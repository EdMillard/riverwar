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530"/>
  <workbookPr showObjects="placeholders" codeName="ThisWorkbook"/>
  <mc:AlternateContent xmlns:mc="http://schemas.openxmlformats.org/markup-compatibility/2006">
    <mc:Choice Requires="x15">
      <x15ac:absPath xmlns:x15ac="http://schemas.microsoft.com/office/spreadsheetml/2010/11/ac" url="E:\Eric's Archive 7-JAN-2021\WY2020 Year End\"/>
    </mc:Choice>
  </mc:AlternateContent>
  <xr:revisionPtr revIDLastSave="0" documentId="13_ncr:1_{78C94DAF-B60F-4186-B075-65B0F1481F1D}" xr6:coauthVersionLast="46" xr6:coauthVersionMax="46" xr10:uidLastSave="{00000000-0000-0000-0000-000000000000}"/>
  <bookViews>
    <workbookView xWindow="28680" yWindow="-120" windowWidth="29040" windowHeight="15840" tabRatio="620" activeTab="5" xr2:uid="{00000000-000D-0000-FFFF-FFFF00000000}"/>
  </bookViews>
  <sheets>
    <sheet name="NOV" sheetId="1" r:id="rId1"/>
    <sheet name="DEC" sheetId="2" r:id="rId2"/>
    <sheet name="JAN" sheetId="13" r:id="rId3"/>
    <sheet name="FEB" sheetId="4" r:id="rId4"/>
    <sheet name="MAR" sheetId="5" r:id="rId5"/>
    <sheet name="APR" sheetId="14" r:id="rId6"/>
    <sheet name="MAY" sheetId="7" r:id="rId7"/>
    <sheet name="JUN" sheetId="8" r:id="rId8"/>
    <sheet name="JUL" sheetId="9" r:id="rId9"/>
    <sheet name="AUG" sheetId="10" r:id="rId10"/>
    <sheet name="SEP" sheetId="11" r:id="rId11"/>
    <sheet name="OCT" sheetId="12" r:id="rId12"/>
    <sheet name="VLOOKUP" sheetId="15" r:id="rId13"/>
  </sheets>
  <definedNames>
    <definedName name="_xlnm.Print_Area" localSheetId="5">APR!$A$1:$BI$56</definedName>
    <definedName name="_xlnm.Print_Area" localSheetId="9">AUG!$A$1:$BI$60</definedName>
    <definedName name="_xlnm.Print_Area" localSheetId="1">DEC!$A$1:$BA$60</definedName>
    <definedName name="_xlnm.Print_Area" localSheetId="3">FEB!$A$1:$BA$61</definedName>
    <definedName name="_xlnm.Print_Area" localSheetId="2">JAN!$A$1:$BA$60</definedName>
    <definedName name="_xlnm.Print_Area" localSheetId="8">JUL!$A$1:$BI$56</definedName>
    <definedName name="_xlnm.Print_Area" localSheetId="7">JUN!$A$1:$BG$56</definedName>
    <definedName name="_xlnm.Print_Area" localSheetId="4">MAR!$A$1:$BC$60</definedName>
    <definedName name="_xlnm.Print_Area" localSheetId="6">MAY!$A$1:$BF$60</definedName>
    <definedName name="_xlnm.Print_Area" localSheetId="11">OCT!$A$1:$BH$60</definedName>
    <definedName name="_xlnm.Print_Area" localSheetId="10">SEP!$A$1:$BI$60</definedName>
    <definedName name="solver_adj" localSheetId="8" hidden="1">JUL!$P$34</definedName>
    <definedName name="solver_adj" localSheetId="10" hidden="1">SEP!$AY$28</definedName>
    <definedName name="solver_cvg" localSheetId="8" hidden="1">0.0001</definedName>
    <definedName name="solver_cvg" localSheetId="10" hidden="1">0.0001</definedName>
    <definedName name="solver_drv" localSheetId="8" hidden="1">1</definedName>
    <definedName name="solver_drv" localSheetId="10" hidden="1">1</definedName>
    <definedName name="solver_eng" localSheetId="8" hidden="1">1</definedName>
    <definedName name="solver_eng" localSheetId="10" hidden="1">1</definedName>
    <definedName name="solver_est" localSheetId="8" hidden="1">1</definedName>
    <definedName name="solver_est" localSheetId="10" hidden="1">1</definedName>
    <definedName name="solver_itr" localSheetId="8" hidden="1">2147483647</definedName>
    <definedName name="solver_itr" localSheetId="10" hidden="1">2147483647</definedName>
    <definedName name="solver_mip" localSheetId="8" hidden="1">2147483647</definedName>
    <definedName name="solver_mip" localSheetId="10" hidden="1">2147483647</definedName>
    <definedName name="solver_mni" localSheetId="8" hidden="1">30</definedName>
    <definedName name="solver_mni" localSheetId="10" hidden="1">30</definedName>
    <definedName name="solver_mrt" localSheetId="8" hidden="1">0.075</definedName>
    <definedName name="solver_mrt" localSheetId="10" hidden="1">0.075</definedName>
    <definedName name="solver_msl" localSheetId="8" hidden="1">2</definedName>
    <definedName name="solver_msl" localSheetId="10" hidden="1">2</definedName>
    <definedName name="solver_neg" localSheetId="8" hidden="1">1</definedName>
    <definedName name="solver_neg" localSheetId="10" hidden="1">1</definedName>
    <definedName name="solver_nod" localSheetId="8" hidden="1">2147483647</definedName>
    <definedName name="solver_nod" localSheetId="10" hidden="1">2147483647</definedName>
    <definedName name="solver_num" localSheetId="8" hidden="1">0</definedName>
    <definedName name="solver_num" localSheetId="10" hidden="1">0</definedName>
    <definedName name="solver_nwt" localSheetId="8" hidden="1">1</definedName>
    <definedName name="solver_nwt" localSheetId="10" hidden="1">1</definedName>
    <definedName name="solver_opt" localSheetId="8" hidden="1">JUL!$P$48</definedName>
    <definedName name="solver_opt" localSheetId="10" hidden="1">SEP!$AY$50</definedName>
    <definedName name="solver_pre" localSheetId="8" hidden="1">0.000001</definedName>
    <definedName name="solver_pre" localSheetId="10" hidden="1">0.000001</definedName>
    <definedName name="solver_rbv" localSheetId="8" hidden="1">1</definedName>
    <definedName name="solver_rbv" localSheetId="10" hidden="1">1</definedName>
    <definedName name="solver_rlx" localSheetId="8" hidden="1">2</definedName>
    <definedName name="solver_rlx" localSheetId="10" hidden="1">2</definedName>
    <definedName name="solver_rsd" localSheetId="8" hidden="1">0</definedName>
    <definedName name="solver_rsd" localSheetId="10" hidden="1">0</definedName>
    <definedName name="solver_scl" localSheetId="8" hidden="1">1</definedName>
    <definedName name="solver_scl" localSheetId="10" hidden="1">1</definedName>
    <definedName name="solver_sho" localSheetId="8" hidden="1">2</definedName>
    <definedName name="solver_sho" localSheetId="10" hidden="1">2</definedName>
    <definedName name="solver_ssz" localSheetId="8" hidden="1">100</definedName>
    <definedName name="solver_ssz" localSheetId="10" hidden="1">100</definedName>
    <definedName name="solver_tim" localSheetId="8" hidden="1">2147483647</definedName>
    <definedName name="solver_tim" localSheetId="10" hidden="1">2147483647</definedName>
    <definedName name="solver_tol" localSheetId="8" hidden="1">0.01</definedName>
    <definedName name="solver_tol" localSheetId="10" hidden="1">0.01</definedName>
    <definedName name="solver_typ" localSheetId="8" hidden="1">3</definedName>
    <definedName name="solver_typ" localSheetId="10" hidden="1">3</definedName>
    <definedName name="solver_val" localSheetId="8" hidden="1">14</definedName>
    <definedName name="solver_val" localSheetId="10" hidden="1">5018</definedName>
    <definedName name="solver_ver" localSheetId="8" hidden="1">3</definedName>
    <definedName name="solver_ver" localSheetId="10" hidden="1">3</definedName>
  </definedNames>
  <calcPr calcId="181029"/>
</workbook>
</file>

<file path=xl/calcChain.xml><?xml version="1.0" encoding="utf-8"?>
<calcChain xmlns="http://schemas.openxmlformats.org/spreadsheetml/2006/main">
  <c r="AF44" i="10" l="1"/>
  <c r="AF42" i="10"/>
  <c r="AF43" i="10" s="1"/>
  <c r="AC45" i="10"/>
  <c r="AC42" i="10"/>
  <c r="Z35" i="10"/>
  <c r="AC32" i="10"/>
  <c r="AA32" i="10"/>
  <c r="AA33" i="10"/>
  <c r="AA34" i="10"/>
  <c r="AA35" i="10"/>
  <c r="Z32" i="10"/>
  <c r="Z33" i="10" s="1"/>
  <c r="Z34" i="10" s="1"/>
  <c r="Z42" i="14"/>
  <c r="Z41" i="14"/>
  <c r="AB42" i="14"/>
  <c r="AB41" i="14"/>
  <c r="AC41" i="14"/>
  <c r="O15" i="12" l="1"/>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15" i="10"/>
  <c r="O16" i="10"/>
  <c r="O17" i="10"/>
  <c r="O18" i="10"/>
  <c r="O19" i="10"/>
  <c r="O20" i="10"/>
  <c r="O21" i="10"/>
  <c r="O22" i="10"/>
  <c r="O23" i="10"/>
  <c r="O24" i="10"/>
  <c r="O25" i="10"/>
  <c r="O26" i="10"/>
  <c r="O27" i="10"/>
  <c r="X27" i="10" s="1"/>
  <c r="Y27" i="10" s="1"/>
  <c r="O28" i="10"/>
  <c r="O29" i="10"/>
  <c r="O30" i="10"/>
  <c r="O31" i="10"/>
  <c r="X31" i="10" s="1"/>
  <c r="Y31" i="10" s="1"/>
  <c r="O32" i="10"/>
  <c r="O33" i="10"/>
  <c r="O34" i="10"/>
  <c r="O35" i="10"/>
  <c r="O36" i="10"/>
  <c r="O37" i="10"/>
  <c r="O38" i="10"/>
  <c r="O39" i="10"/>
  <c r="O40" i="10"/>
  <c r="O41" i="10"/>
  <c r="O42" i="10"/>
  <c r="O43" i="10"/>
  <c r="O44" i="10"/>
  <c r="O45" i="10"/>
  <c r="C15" i="10"/>
  <c r="D15" i="10" s="1"/>
  <c r="F15" i="10" s="1"/>
  <c r="I15" i="10"/>
  <c r="Q15" i="10"/>
  <c r="R15" i="10"/>
  <c r="T15" i="10"/>
  <c r="S15" i="10" s="1"/>
  <c r="AF15" i="10"/>
  <c r="AF16" i="10" s="1"/>
  <c r="AF17" i="10" s="1"/>
  <c r="AF18" i="10" s="1"/>
  <c r="AF19" i="10" s="1"/>
  <c r="AF20" i="10" s="1"/>
  <c r="AF21" i="10" s="1"/>
  <c r="AF22" i="10" s="1"/>
  <c r="AK15" i="10"/>
  <c r="AK16" i="10" s="1"/>
  <c r="AK17" i="10" s="1"/>
  <c r="AK18" i="10" s="1"/>
  <c r="AK19" i="10" s="1"/>
  <c r="AK20" i="10" s="1"/>
  <c r="AK21" i="10" s="1"/>
  <c r="AK22" i="10" s="1"/>
  <c r="AK23" i="10" s="1"/>
  <c r="AU15" i="10"/>
  <c r="AW15" i="10" s="1"/>
  <c r="AV15" i="10"/>
  <c r="AZ15" i="10"/>
  <c r="BO15" i="10"/>
  <c r="BQ15" i="10"/>
  <c r="A16" i="10"/>
  <c r="A17" i="10" s="1"/>
  <c r="A18" i="10" s="1"/>
  <c r="A19" i="10" s="1"/>
  <c r="A20" i="10" s="1"/>
  <c r="A21" i="10" s="1"/>
  <c r="A22" i="10" s="1"/>
  <c r="A23" i="10" s="1"/>
  <c r="A24" i="10" s="1"/>
  <c r="C16" i="10"/>
  <c r="D16" i="10" s="1"/>
  <c r="F16" i="10" s="1"/>
  <c r="I16" i="10"/>
  <c r="Q16" i="10"/>
  <c r="T16" i="10"/>
  <c r="R16" i="10" s="1"/>
  <c r="AU16" i="10"/>
  <c r="AW16" i="10" s="1"/>
  <c r="AV16" i="10"/>
  <c r="AZ16" i="10"/>
  <c r="BM16" i="10"/>
  <c r="BO16" i="10"/>
  <c r="BQ16" i="10"/>
  <c r="C17" i="10"/>
  <c r="E17" i="10" s="1"/>
  <c r="D17" i="10"/>
  <c r="F17" i="10" s="1"/>
  <c r="I17" i="10"/>
  <c r="Q17" i="10"/>
  <c r="BG17" i="10" s="1"/>
  <c r="R17" i="10"/>
  <c r="S17" i="10"/>
  <c r="T17" i="10"/>
  <c r="X17" i="10"/>
  <c r="AS17" i="10" s="1"/>
  <c r="AA17" i="10" s="1"/>
  <c r="AU17" i="10"/>
  <c r="AV17" i="10"/>
  <c r="AW17" i="10"/>
  <c r="AZ17" i="10"/>
  <c r="BM17" i="10"/>
  <c r="BM18" i="10" s="1"/>
  <c r="BM19" i="10" s="1"/>
  <c r="BM20" i="10" s="1"/>
  <c r="BM21" i="10" s="1"/>
  <c r="BM22" i="10" s="1"/>
  <c r="BM23" i="10" s="1"/>
  <c r="BM24" i="10" s="1"/>
  <c r="BM25" i="10" s="1"/>
  <c r="BO17" i="10"/>
  <c r="BQ17" i="10"/>
  <c r="C18" i="10"/>
  <c r="D18" i="10" s="1"/>
  <c r="F18" i="10" s="1"/>
  <c r="I18" i="10"/>
  <c r="Q18" i="10"/>
  <c r="T18" i="10"/>
  <c r="R18" i="10" s="1"/>
  <c r="AU18" i="10"/>
  <c r="AV18" i="10"/>
  <c r="AW18" i="10" s="1"/>
  <c r="AZ18" i="10"/>
  <c r="BO18" i="10"/>
  <c r="BQ18" i="10"/>
  <c r="C19" i="10"/>
  <c r="D19" i="10"/>
  <c r="F19" i="10" s="1"/>
  <c r="E19" i="10"/>
  <c r="I19" i="10"/>
  <c r="Q19" i="10"/>
  <c r="T19" i="10"/>
  <c r="R19" i="10" s="1"/>
  <c r="AU19" i="10"/>
  <c r="AV19" i="10"/>
  <c r="AW19" i="10"/>
  <c r="AZ19" i="10"/>
  <c r="BO19" i="10"/>
  <c r="BQ19" i="10"/>
  <c r="C20" i="10"/>
  <c r="D20" i="10"/>
  <c r="F20" i="10" s="1"/>
  <c r="E20" i="10"/>
  <c r="I20" i="10"/>
  <c r="Q20" i="10"/>
  <c r="S20" i="10"/>
  <c r="T20" i="10"/>
  <c r="R20" i="10" s="1"/>
  <c r="AU20" i="10"/>
  <c r="AV20" i="10"/>
  <c r="AW20" i="10" s="1"/>
  <c r="AZ20" i="10"/>
  <c r="BO20" i="10"/>
  <c r="BQ20" i="10"/>
  <c r="C21" i="10"/>
  <c r="D21" i="10" s="1"/>
  <c r="F21" i="10" s="1"/>
  <c r="I21" i="10"/>
  <c r="Q21" i="10"/>
  <c r="T21" i="10"/>
  <c r="R21" i="10" s="1"/>
  <c r="AU21" i="10"/>
  <c r="AV21" i="10"/>
  <c r="AW21" i="10" s="1"/>
  <c r="AZ21" i="10"/>
  <c r="BO21" i="10"/>
  <c r="BQ21" i="10"/>
  <c r="C22" i="10"/>
  <c r="D22" i="10"/>
  <c r="F22" i="10" s="1"/>
  <c r="E22" i="10"/>
  <c r="I22" i="10"/>
  <c r="Q22" i="10"/>
  <c r="T22" i="10"/>
  <c r="R22" i="10" s="1"/>
  <c r="AU22" i="10"/>
  <c r="AV22" i="10"/>
  <c r="AW22" i="10"/>
  <c r="AZ22" i="10"/>
  <c r="BO22" i="10"/>
  <c r="BQ22" i="10"/>
  <c r="C23" i="10"/>
  <c r="D23" i="10"/>
  <c r="E23" i="10"/>
  <c r="F23" i="10"/>
  <c r="I23" i="10"/>
  <c r="Q23" i="10"/>
  <c r="R23" i="10"/>
  <c r="T23" i="10"/>
  <c r="S23" i="10" s="1"/>
  <c r="AF23" i="10"/>
  <c r="AF24" i="10" s="1"/>
  <c r="AU23" i="10"/>
  <c r="AV23" i="10"/>
  <c r="AW23" i="10"/>
  <c r="AZ23" i="10"/>
  <c r="BJ23" i="10"/>
  <c r="BK23" i="10" s="1"/>
  <c r="BO23" i="10"/>
  <c r="BQ23" i="10"/>
  <c r="C24" i="10"/>
  <c r="D24" i="10"/>
  <c r="E24" i="10"/>
  <c r="F24" i="10"/>
  <c r="I24" i="10"/>
  <c r="Q24" i="10"/>
  <c r="X24" i="10" s="1"/>
  <c r="Y24" i="10" s="1"/>
  <c r="R24" i="10"/>
  <c r="S24" i="10"/>
  <c r="T24" i="10"/>
  <c r="AK24" i="10"/>
  <c r="AU24" i="10"/>
  <c r="AV24" i="10"/>
  <c r="AW24" i="10"/>
  <c r="AZ24" i="10"/>
  <c r="BG24" i="10"/>
  <c r="BO24" i="10"/>
  <c r="BQ24" i="10"/>
  <c r="C25" i="10"/>
  <c r="D25" i="10" s="1"/>
  <c r="F25" i="10" s="1"/>
  <c r="I25" i="10"/>
  <c r="Q25" i="10"/>
  <c r="R25" i="10"/>
  <c r="S25" i="10"/>
  <c r="T25" i="10"/>
  <c r="AF25" i="10"/>
  <c r="AF26" i="10" s="1"/>
  <c r="AF27" i="10" s="1"/>
  <c r="AF28" i="10" s="1"/>
  <c r="AF29" i="10" s="1"/>
  <c r="AF30" i="10" s="1"/>
  <c r="AK25" i="10"/>
  <c r="AK26" i="10" s="1"/>
  <c r="AK27" i="10" s="1"/>
  <c r="AK28" i="10" s="1"/>
  <c r="AK29" i="10" s="1"/>
  <c r="AK30" i="10" s="1"/>
  <c r="AK31" i="10" s="1"/>
  <c r="AK32" i="10" s="1"/>
  <c r="AK33" i="10" s="1"/>
  <c r="AK34" i="10" s="1"/>
  <c r="AK35" i="10" s="1"/>
  <c r="AK36" i="10" s="1"/>
  <c r="AK37" i="10" s="1"/>
  <c r="AK38" i="10" s="1"/>
  <c r="AK39" i="10" s="1"/>
  <c r="AK40" i="10" s="1"/>
  <c r="AK41" i="10" s="1"/>
  <c r="AK42" i="10" s="1"/>
  <c r="AK43" i="10" s="1"/>
  <c r="AK44" i="10" s="1"/>
  <c r="AK45" i="10" s="1"/>
  <c r="AU25" i="10"/>
  <c r="AW25" i="10" s="1"/>
  <c r="AV25" i="10"/>
  <c r="AZ25" i="10"/>
  <c r="BO25" i="10"/>
  <c r="BQ25" i="10"/>
  <c r="C26" i="10"/>
  <c r="D26" i="10" s="1"/>
  <c r="F26" i="10" s="1"/>
  <c r="E26" i="10"/>
  <c r="I26" i="10"/>
  <c r="Q26" i="10"/>
  <c r="R26" i="10"/>
  <c r="S26" i="10"/>
  <c r="T26" i="10"/>
  <c r="AU26" i="10"/>
  <c r="AV26" i="10"/>
  <c r="AZ26" i="10"/>
  <c r="BM26" i="10"/>
  <c r="BM27" i="10" s="1"/>
  <c r="BM28" i="10" s="1"/>
  <c r="BM29" i="10" s="1"/>
  <c r="BM30" i="10" s="1"/>
  <c r="BM31" i="10" s="1"/>
  <c r="BM32" i="10" s="1"/>
  <c r="BM33" i="10" s="1"/>
  <c r="BM34" i="10" s="1"/>
  <c r="BM35" i="10" s="1"/>
  <c r="BM36" i="10" s="1"/>
  <c r="BM37" i="10" s="1"/>
  <c r="BM38" i="10" s="1"/>
  <c r="BM39" i="10" s="1"/>
  <c r="BM40" i="10" s="1"/>
  <c r="BM41" i="10" s="1"/>
  <c r="BM42" i="10" s="1"/>
  <c r="BM43" i="10" s="1"/>
  <c r="BM44" i="10" s="1"/>
  <c r="BM45" i="10" s="1"/>
  <c r="BO26" i="10"/>
  <c r="BQ26" i="10"/>
  <c r="C27" i="10"/>
  <c r="D27" i="10" s="1"/>
  <c r="F27" i="10" s="1"/>
  <c r="I27" i="10"/>
  <c r="Q27" i="10"/>
  <c r="R27" i="10"/>
  <c r="S27" i="10"/>
  <c r="T27" i="10"/>
  <c r="AU27" i="10"/>
  <c r="AW27" i="10" s="1"/>
  <c r="AV27" i="10"/>
  <c r="AZ27" i="10"/>
  <c r="BG27" i="10"/>
  <c r="BO27" i="10"/>
  <c r="BQ27" i="10"/>
  <c r="C28" i="10"/>
  <c r="D28" i="10" s="1"/>
  <c r="F28" i="10" s="1"/>
  <c r="I28" i="10"/>
  <c r="Q28" i="10"/>
  <c r="T28" i="10"/>
  <c r="AU28" i="10"/>
  <c r="AV28" i="10"/>
  <c r="AZ28" i="10"/>
  <c r="BO28" i="10"/>
  <c r="BQ28" i="10"/>
  <c r="C29" i="10"/>
  <c r="E29" i="10"/>
  <c r="I29" i="10"/>
  <c r="Q29" i="10"/>
  <c r="T29" i="10"/>
  <c r="R29" i="10" s="1"/>
  <c r="AU29" i="10"/>
  <c r="AV29" i="10"/>
  <c r="AW29" i="10" s="1"/>
  <c r="AZ29" i="10"/>
  <c r="BO29" i="10"/>
  <c r="BQ29" i="10"/>
  <c r="C30" i="10"/>
  <c r="D30" i="10" s="1"/>
  <c r="E30" i="10"/>
  <c r="F30" i="10"/>
  <c r="I30" i="10"/>
  <c r="BJ30" i="10" s="1"/>
  <c r="Q30" i="10"/>
  <c r="R30" i="10"/>
  <c r="S30" i="10"/>
  <c r="T30" i="10"/>
  <c r="AU30" i="10"/>
  <c r="AV30" i="10"/>
  <c r="AW30" i="10"/>
  <c r="AZ30" i="10"/>
  <c r="BG30" i="10"/>
  <c r="BK30" i="10"/>
  <c r="BO30" i="10"/>
  <c r="BQ30" i="10"/>
  <c r="C31" i="10"/>
  <c r="I31" i="10"/>
  <c r="BJ31" i="10" s="1"/>
  <c r="BK31" i="10" s="1"/>
  <c r="Q31" i="10"/>
  <c r="BG31" i="10" s="1"/>
  <c r="R31" i="10"/>
  <c r="S31" i="10"/>
  <c r="T31" i="10"/>
  <c r="AF31" i="10"/>
  <c r="AF32" i="10" s="1"/>
  <c r="AF33" i="10" s="1"/>
  <c r="AF34" i="10" s="1"/>
  <c r="AF35" i="10" s="1"/>
  <c r="AF36" i="10" s="1"/>
  <c r="AF37" i="10" s="1"/>
  <c r="AF38" i="10" s="1"/>
  <c r="AF39" i="10" s="1"/>
  <c r="AF40" i="10" s="1"/>
  <c r="AF41" i="10" s="1"/>
  <c r="AU31" i="10"/>
  <c r="AW31" i="10" s="1"/>
  <c r="AV31" i="10"/>
  <c r="AZ31" i="10"/>
  <c r="BO31" i="10"/>
  <c r="BQ31" i="10"/>
  <c r="C32" i="10"/>
  <c r="D32" i="10" s="1"/>
  <c r="F32" i="10" s="1"/>
  <c r="I32" i="10"/>
  <c r="Q32" i="10"/>
  <c r="R32" i="10"/>
  <c r="S32" i="10"/>
  <c r="T32" i="10"/>
  <c r="AU32" i="10"/>
  <c r="AW32" i="10" s="1"/>
  <c r="AV32" i="10"/>
  <c r="AZ32" i="10"/>
  <c r="BO32" i="10"/>
  <c r="BQ32" i="10"/>
  <c r="C33" i="10"/>
  <c r="E33" i="10"/>
  <c r="I33" i="10"/>
  <c r="Q33" i="10"/>
  <c r="R33" i="10"/>
  <c r="S33" i="10"/>
  <c r="T33" i="10"/>
  <c r="AU33" i="10"/>
  <c r="AV33" i="10"/>
  <c r="AZ33" i="10"/>
  <c r="BO33" i="10"/>
  <c r="BQ33" i="10"/>
  <c r="C34" i="10"/>
  <c r="E34" i="10" s="1"/>
  <c r="I34" i="10"/>
  <c r="Q34" i="10"/>
  <c r="T34" i="10"/>
  <c r="R34" i="10" s="1"/>
  <c r="AU34" i="10"/>
  <c r="AV34" i="10"/>
  <c r="AW34" i="10" s="1"/>
  <c r="AZ34" i="10"/>
  <c r="BO34" i="10"/>
  <c r="BQ34" i="10"/>
  <c r="C35" i="10"/>
  <c r="I35" i="10"/>
  <c r="BJ35" i="10" s="1"/>
  <c r="BK35" i="10" s="1"/>
  <c r="Q35" i="10"/>
  <c r="R35" i="10"/>
  <c r="S35" i="10"/>
  <c r="T35" i="10"/>
  <c r="X35" i="10"/>
  <c r="Y35" i="10" s="1"/>
  <c r="AU35" i="10"/>
  <c r="AW35" i="10" s="1"/>
  <c r="AV35" i="10"/>
  <c r="AZ35" i="10"/>
  <c r="BO35" i="10"/>
  <c r="BQ35" i="10"/>
  <c r="C36" i="10"/>
  <c r="D36" i="10" s="1"/>
  <c r="F36" i="10" s="1"/>
  <c r="I36" i="10"/>
  <c r="Q36" i="10"/>
  <c r="BG36" i="10" s="1"/>
  <c r="R36" i="10"/>
  <c r="S36" i="10"/>
  <c r="T36" i="10"/>
  <c r="AU36" i="10"/>
  <c r="AV36" i="10"/>
  <c r="AZ36" i="10"/>
  <c r="BO36" i="10"/>
  <c r="BQ36" i="10"/>
  <c r="C37" i="10"/>
  <c r="D37" i="10" s="1"/>
  <c r="F37" i="10" s="1"/>
  <c r="I37" i="10"/>
  <c r="Q37" i="10"/>
  <c r="BG37" i="10" s="1"/>
  <c r="S37" i="10"/>
  <c r="T37" i="10"/>
  <c r="R37" i="10" s="1"/>
  <c r="AU37" i="10"/>
  <c r="AV37" i="10"/>
  <c r="AW37" i="10" s="1"/>
  <c r="AZ37" i="10"/>
  <c r="BO37" i="10"/>
  <c r="BQ37" i="10"/>
  <c r="C38" i="10"/>
  <c r="I38" i="10"/>
  <c r="BJ38" i="10" s="1"/>
  <c r="Q38" i="10"/>
  <c r="X38" i="10" s="1"/>
  <c r="Y38" i="10" s="1"/>
  <c r="R38" i="10"/>
  <c r="S38" i="10"/>
  <c r="T38" i="10"/>
  <c r="AU38" i="10"/>
  <c r="AW38" i="10" s="1"/>
  <c r="AV38" i="10"/>
  <c r="AZ38" i="10"/>
  <c r="BO38" i="10"/>
  <c r="BQ38" i="10"/>
  <c r="C39" i="10"/>
  <c r="E39" i="10"/>
  <c r="I39" i="10"/>
  <c r="Q39" i="10"/>
  <c r="R39" i="10"/>
  <c r="BG39" i="10" s="1"/>
  <c r="S39" i="10"/>
  <c r="T39" i="10"/>
  <c r="AU39" i="10"/>
  <c r="AV39" i="10"/>
  <c r="AZ39" i="10"/>
  <c r="BO39" i="10"/>
  <c r="BQ39" i="10"/>
  <c r="C40" i="10"/>
  <c r="D40" i="10" s="1"/>
  <c r="F40" i="10" s="1"/>
  <c r="E40" i="10"/>
  <c r="I40" i="10"/>
  <c r="BJ40" i="10" s="1"/>
  <c r="Q40" i="10"/>
  <c r="S40" i="10"/>
  <c r="T40" i="10"/>
  <c r="R40" i="10" s="1"/>
  <c r="X40" i="10"/>
  <c r="Y40" i="10" s="1"/>
  <c r="AU40" i="10"/>
  <c r="AV40" i="10"/>
  <c r="AW40" i="10" s="1"/>
  <c r="AZ40" i="10"/>
  <c r="BG40" i="10"/>
  <c r="BO40" i="10"/>
  <c r="BQ40" i="10"/>
  <c r="C41" i="10"/>
  <c r="I41" i="10"/>
  <c r="Q41" i="10"/>
  <c r="X41" i="10" s="1"/>
  <c r="R41" i="10"/>
  <c r="S41" i="10"/>
  <c r="T41" i="10"/>
  <c r="AU41" i="10"/>
  <c r="AV41" i="10"/>
  <c r="AZ41" i="10"/>
  <c r="BG41" i="10"/>
  <c r="BO41" i="10"/>
  <c r="BQ41" i="10"/>
  <c r="C42" i="10"/>
  <c r="E42" i="10" s="1"/>
  <c r="I42" i="10"/>
  <c r="BJ42" i="10" s="1"/>
  <c r="BK42" i="10" s="1"/>
  <c r="Q42" i="10"/>
  <c r="X42" i="10" s="1"/>
  <c r="Y42" i="10" s="1"/>
  <c r="R42" i="10"/>
  <c r="S42" i="10"/>
  <c r="BG42" i="10" s="1"/>
  <c r="T42" i="10"/>
  <c r="AU42" i="10"/>
  <c r="AW42" i="10" s="1"/>
  <c r="AV42" i="10"/>
  <c r="AZ42" i="10"/>
  <c r="BO42" i="10"/>
  <c r="BQ42" i="10"/>
  <c r="C43" i="10"/>
  <c r="E43" i="10" s="1"/>
  <c r="I43" i="10"/>
  <c r="Q43" i="10"/>
  <c r="S43" i="10"/>
  <c r="T43" i="10"/>
  <c r="R43" i="10" s="1"/>
  <c r="X43" i="10"/>
  <c r="Y43" i="10" s="1"/>
  <c r="AU43" i="10"/>
  <c r="AV43" i="10"/>
  <c r="AW43" i="10" s="1"/>
  <c r="AZ43" i="10"/>
  <c r="BG43" i="10"/>
  <c r="BO43" i="10"/>
  <c r="BQ43" i="10"/>
  <c r="C44" i="10"/>
  <c r="I44" i="10"/>
  <c r="BJ44" i="10" s="1"/>
  <c r="BK44" i="10" s="1"/>
  <c r="Q44" i="10"/>
  <c r="BG44" i="10" s="1"/>
  <c r="R44" i="10"/>
  <c r="S44" i="10"/>
  <c r="X44" i="10" s="1"/>
  <c r="Y44" i="10" s="1"/>
  <c r="T44" i="10"/>
  <c r="AU44" i="10"/>
  <c r="AV44" i="10"/>
  <c r="AZ44" i="10"/>
  <c r="BO44" i="10"/>
  <c r="BQ44" i="10"/>
  <c r="C45" i="10"/>
  <c r="D45" i="10" s="1"/>
  <c r="F45" i="10" s="1"/>
  <c r="I45" i="10"/>
  <c r="Q45" i="10"/>
  <c r="X45" i="10" s="1"/>
  <c r="R45" i="10"/>
  <c r="S45" i="10"/>
  <c r="T45" i="10"/>
  <c r="AU45" i="10"/>
  <c r="AW45" i="10" s="1"/>
  <c r="AV45" i="10"/>
  <c r="AZ45" i="10"/>
  <c r="BG45" i="10"/>
  <c r="BO45" i="10"/>
  <c r="BQ45" i="10"/>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15" i="14"/>
  <c r="O16" i="14"/>
  <c r="O17" i="14"/>
  <c r="O18" i="14"/>
  <c r="O19" i="14"/>
  <c r="O20" i="14"/>
  <c r="O21" i="14"/>
  <c r="O22" i="14"/>
  <c r="O23" i="14"/>
  <c r="O24" i="14"/>
  <c r="O25" i="14"/>
  <c r="O26" i="14"/>
  <c r="O27" i="14"/>
  <c r="O28" i="14"/>
  <c r="O29" i="14"/>
  <c r="O30" i="14"/>
  <c r="O31" i="14"/>
  <c r="O32" i="14"/>
  <c r="O33" i="14"/>
  <c r="O34" i="14"/>
  <c r="O35" i="14"/>
  <c r="O36" i="14"/>
  <c r="O37" i="14"/>
  <c r="O38" i="14"/>
  <c r="O39" i="14"/>
  <c r="O40" i="14"/>
  <c r="O41" i="14"/>
  <c r="O42" i="14"/>
  <c r="O43" i="14"/>
  <c r="O44" i="14"/>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AM17" i="10" l="1"/>
  <c r="BK40" i="10"/>
  <c r="X15" i="10"/>
  <c r="Y15" i="10" s="1"/>
  <c r="BK38" i="10"/>
  <c r="X26" i="10"/>
  <c r="Y26" i="10" s="1"/>
  <c r="Y17" i="10"/>
  <c r="AS31" i="10"/>
  <c r="AA31" i="10" s="1"/>
  <c r="X29" i="10"/>
  <c r="Y29" i="10" s="1"/>
  <c r="AM38" i="10"/>
  <c r="Y41" i="10"/>
  <c r="AS41" i="10"/>
  <c r="AM41" i="10"/>
  <c r="Y45" i="10"/>
  <c r="AS45" i="10"/>
  <c r="D41" i="10"/>
  <c r="F41" i="10" s="1"/>
  <c r="E41" i="10"/>
  <c r="X36" i="10"/>
  <c r="Y36" i="10" s="1"/>
  <c r="BG35" i="10"/>
  <c r="D34" i="10"/>
  <c r="F34" i="10" s="1"/>
  <c r="X30" i="10"/>
  <c r="AM30" i="10" s="1"/>
  <c r="BJ29" i="10"/>
  <c r="BK29" i="10" s="1"/>
  <c r="AS43" i="10"/>
  <c r="X33" i="10"/>
  <c r="Y33" i="10" s="1"/>
  <c r="AM31" i="10"/>
  <c r="AM27" i="10"/>
  <c r="L27" i="10" s="1"/>
  <c r="BJ22" i="10"/>
  <c r="BK22" i="10" s="1"/>
  <c r="D42" i="10"/>
  <c r="F42" i="10" s="1"/>
  <c r="AS38" i="10"/>
  <c r="D38" i="10"/>
  <c r="F38" i="10" s="1"/>
  <c r="E38" i="10"/>
  <c r="BG32" i="10"/>
  <c r="BJ32" i="10"/>
  <c r="BK32" i="10" s="1"/>
  <c r="D29" i="10"/>
  <c r="F29" i="10" s="1"/>
  <c r="BJ27" i="10"/>
  <c r="BK27" i="10" s="1"/>
  <c r="AM26" i="10"/>
  <c r="X25" i="10"/>
  <c r="Y25" i="10" s="1"/>
  <c r="BG25" i="10"/>
  <c r="BG21" i="10"/>
  <c r="BJ21" i="10"/>
  <c r="BK21" i="10" s="1"/>
  <c r="X20" i="10"/>
  <c r="Y20" i="10" s="1"/>
  <c r="BG20" i="10"/>
  <c r="D44" i="10"/>
  <c r="F44" i="10" s="1"/>
  <c r="D43" i="10"/>
  <c r="F43" i="10" s="1"/>
  <c r="BJ39" i="10"/>
  <c r="BK39" i="10" s="1"/>
  <c r="E27" i="10"/>
  <c r="X23" i="10"/>
  <c r="Y23" i="10" s="1"/>
  <c r="BG23" i="10"/>
  <c r="D35" i="10"/>
  <c r="F35" i="10" s="1"/>
  <c r="E35" i="10"/>
  <c r="R28" i="10"/>
  <c r="S28" i="10"/>
  <c r="BJ25" i="10"/>
  <c r="BK25" i="10" s="1"/>
  <c r="BG19" i="10"/>
  <c r="BJ19" i="10"/>
  <c r="BK19" i="10" s="1"/>
  <c r="AM44" i="10"/>
  <c r="E44" i="10"/>
  <c r="AS42" i="10"/>
  <c r="X37" i="10"/>
  <c r="Y37" i="10" s="1"/>
  <c r="AS35" i="10"/>
  <c r="AM40" i="10"/>
  <c r="L40" i="10" s="1"/>
  <c r="D31" i="10"/>
  <c r="F31" i="10" s="1"/>
  <c r="L31" i="10" s="1"/>
  <c r="E31" i="10"/>
  <c r="AS27" i="10"/>
  <c r="AA27" i="10" s="1"/>
  <c r="D39" i="10"/>
  <c r="F39" i="10" s="1"/>
  <c r="BJ36" i="10"/>
  <c r="BK36" i="10" s="1"/>
  <c r="BG33" i="10"/>
  <c r="AW39" i="10"/>
  <c r="E36" i="10"/>
  <c r="AM35" i="10"/>
  <c r="BJ33" i="10"/>
  <c r="BK33" i="10" s="1"/>
  <c r="E32" i="10"/>
  <c r="BJ18" i="10"/>
  <c r="BK18" i="10" s="1"/>
  <c r="X16" i="10"/>
  <c r="Y16" i="10" s="1"/>
  <c r="D33" i="10"/>
  <c r="F33" i="10" s="1"/>
  <c r="E28" i="10"/>
  <c r="BG26" i="10"/>
  <c r="BJ26" i="10"/>
  <c r="BK26" i="10" s="1"/>
  <c r="E45" i="10"/>
  <c r="BG15" i="10"/>
  <c r="BJ43" i="10"/>
  <c r="BK43" i="10" s="1"/>
  <c r="AM37" i="10"/>
  <c r="L37" i="10" s="1"/>
  <c r="AW36" i="10"/>
  <c r="AM45" i="10"/>
  <c r="L45" i="10" s="1"/>
  <c r="AS40" i="10"/>
  <c r="BJ37" i="10"/>
  <c r="BK37" i="10" s="1"/>
  <c r="AW33" i="10"/>
  <c r="AW44" i="10"/>
  <c r="AM43" i="10"/>
  <c r="AM42" i="10"/>
  <c r="BG38" i="10"/>
  <c r="BJ34" i="10"/>
  <c r="BK34" i="10" s="1"/>
  <c r="X32" i="10"/>
  <c r="L17" i="10"/>
  <c r="X39" i="10"/>
  <c r="E37" i="10"/>
  <c r="BJ45" i="10"/>
  <c r="BK45" i="10" s="1"/>
  <c r="AS44" i="10"/>
  <c r="AW41" i="10"/>
  <c r="BJ41" i="10"/>
  <c r="BK41" i="10" s="1"/>
  <c r="AW28" i="10"/>
  <c r="AW26" i="10"/>
  <c r="BJ24" i="10"/>
  <c r="BK24" i="10" s="1"/>
  <c r="AS24" i="10"/>
  <c r="AA24" i="10" s="1"/>
  <c r="E16" i="10"/>
  <c r="BJ20" i="10"/>
  <c r="BK20" i="10" s="1"/>
  <c r="E18" i="10"/>
  <c r="AM24" i="10"/>
  <c r="L24" i="10" s="1"/>
  <c r="AS16" i="10"/>
  <c r="AA16" i="10" s="1"/>
  <c r="S16" i="10"/>
  <c r="BG16" i="10" s="1"/>
  <c r="E21" i="10"/>
  <c r="S18" i="10"/>
  <c r="X18" i="10" s="1"/>
  <c r="Y18" i="10" s="1"/>
  <c r="S19" i="10"/>
  <c r="X19" i="10" s="1"/>
  <c r="BJ15" i="10"/>
  <c r="BK15" i="10" s="1"/>
  <c r="S21" i="10"/>
  <c r="X21" i="10" s="1"/>
  <c r="Y21" i="10" s="1"/>
  <c r="BJ16" i="10"/>
  <c r="BK16" i="10" s="1"/>
  <c r="S34" i="10"/>
  <c r="BG34" i="10" s="1"/>
  <c r="S22" i="10"/>
  <c r="BG22" i="10" s="1"/>
  <c r="BJ17" i="10"/>
  <c r="BK17" i="10" s="1"/>
  <c r="E15" i="10"/>
  <c r="S29" i="10"/>
  <c r="BG29" i="10" s="1"/>
  <c r="E25" i="10"/>
  <c r="BF61" i="12"/>
  <c r="BE61" i="12"/>
  <c r="AZ61" i="12"/>
  <c r="AL61" i="12"/>
  <c r="BJ15" i="7"/>
  <c r="BI15" i="7"/>
  <c r="AO25" i="14"/>
  <c r="AN27" i="4"/>
  <c r="AO27" i="4"/>
  <c r="AN36" i="14"/>
  <c r="AN25" i="14"/>
  <c r="N47" i="12"/>
  <c r="N46" i="11"/>
  <c r="N47" i="10"/>
  <c r="AS26" i="10" l="1"/>
  <c r="AA26" i="10" s="1"/>
  <c r="AM15" i="10"/>
  <c r="L15" i="10" s="1"/>
  <c r="J15" i="10" s="1"/>
  <c r="K15" i="10" s="1"/>
  <c r="AM33" i="10"/>
  <c r="L33" i="10" s="1"/>
  <c r="AS37" i="10"/>
  <c r="L38" i="10"/>
  <c r="AS15" i="10"/>
  <c r="AS25" i="10"/>
  <c r="AA25" i="10" s="1"/>
  <c r="AS18" i="10"/>
  <c r="AA18" i="10" s="1"/>
  <c r="AM25" i="10"/>
  <c r="L25" i="10" s="1"/>
  <c r="L43" i="10"/>
  <c r="AS23" i="10"/>
  <c r="AA23" i="10" s="1"/>
  <c r="AM18" i="10"/>
  <c r="L18" i="10" s="1"/>
  <c r="J18" i="10" s="1"/>
  <c r="K18" i="10" s="1"/>
  <c r="AS21" i="10"/>
  <c r="AA21" i="10" s="1"/>
  <c r="J37" i="10"/>
  <c r="K37" i="10" s="1"/>
  <c r="AN37" i="10"/>
  <c r="AO37" i="10" s="1"/>
  <c r="Y19" i="10"/>
  <c r="AS19" i="10"/>
  <c r="AA19" i="10" s="1"/>
  <c r="J24" i="10"/>
  <c r="K24" i="10" s="1"/>
  <c r="AN24" i="10"/>
  <c r="AO24" i="10" s="1"/>
  <c r="J45" i="10"/>
  <c r="K45" i="10" s="1"/>
  <c r="AN45" i="10"/>
  <c r="AO45" i="10" s="1"/>
  <c r="L30" i="10"/>
  <c r="AN38" i="10"/>
  <c r="AO38" i="10" s="1"/>
  <c r="J38" i="10"/>
  <c r="K38" i="10" s="1"/>
  <c r="Y32" i="10"/>
  <c r="AM32" i="10"/>
  <c r="BG28" i="10"/>
  <c r="X28" i="10"/>
  <c r="L42" i="10"/>
  <c r="X34" i="10"/>
  <c r="AM36" i="10"/>
  <c r="J43" i="10"/>
  <c r="K43" i="10" s="1"/>
  <c r="AN43" i="10"/>
  <c r="AO43" i="10" s="1"/>
  <c r="L26" i="10"/>
  <c r="J17" i="10"/>
  <c r="K17" i="10" s="1"/>
  <c r="AN17" i="10"/>
  <c r="AO17" i="10" s="1"/>
  <c r="L35" i="10"/>
  <c r="L44" i="10"/>
  <c r="AA15" i="10"/>
  <c r="AM19" i="10"/>
  <c r="BG18" i="10"/>
  <c r="AS29" i="10"/>
  <c r="AA29" i="10" s="1"/>
  <c r="AS33" i="10"/>
  <c r="X22" i="10"/>
  <c r="AM22" i="10" s="1"/>
  <c r="AM29" i="10"/>
  <c r="L29" i="10" s="1"/>
  <c r="AS36" i="10"/>
  <c r="BJ28" i="10"/>
  <c r="BK28" i="10" s="1"/>
  <c r="AS20" i="10"/>
  <c r="AA20" i="10" s="1"/>
  <c r="AM23" i="10"/>
  <c r="AM20" i="10"/>
  <c r="J40" i="10"/>
  <c r="K40" i="10" s="1"/>
  <c r="AN40" i="10"/>
  <c r="AO40" i="10" s="1"/>
  <c r="AM21" i="10"/>
  <c r="Y30" i="10"/>
  <c r="AS30" i="10"/>
  <c r="AA30" i="10" s="1"/>
  <c r="Y39" i="10"/>
  <c r="AS39" i="10"/>
  <c r="AS32" i="10"/>
  <c r="AN31" i="10"/>
  <c r="AO31" i="10" s="1"/>
  <c r="J31" i="10"/>
  <c r="K31" i="10" s="1"/>
  <c r="J27" i="10"/>
  <c r="K27" i="10" s="1"/>
  <c r="AN27" i="10"/>
  <c r="AO27" i="10" s="1"/>
  <c r="AM16" i="10"/>
  <c r="AM39" i="10"/>
  <c r="L39" i="10" s="1"/>
  <c r="L41" i="10"/>
  <c r="AY47" i="9"/>
  <c r="AN18" i="10" l="1"/>
  <c r="AO18" i="10" s="1"/>
  <c r="AN15" i="10"/>
  <c r="AO15" i="10" s="1"/>
  <c r="J39" i="10"/>
  <c r="K39" i="10" s="1"/>
  <c r="AN39" i="10"/>
  <c r="AO39" i="10" s="1"/>
  <c r="L20" i="10"/>
  <c r="AN35" i="10"/>
  <c r="AO35" i="10" s="1"/>
  <c r="J35" i="10"/>
  <c r="K35" i="10" s="1"/>
  <c r="J30" i="10"/>
  <c r="K30" i="10" s="1"/>
  <c r="AN30" i="10"/>
  <c r="AO30" i="10" s="1"/>
  <c r="L22" i="10"/>
  <c r="L23" i="10"/>
  <c r="J29" i="10"/>
  <c r="K29" i="10" s="1"/>
  <c r="AN29" i="10"/>
  <c r="L19" i="10"/>
  <c r="Y34" i="10"/>
  <c r="AS34" i="10"/>
  <c r="AM34" i="10"/>
  <c r="J33" i="10"/>
  <c r="K33" i="10" s="1"/>
  <c r="AN33" i="10"/>
  <c r="AO33" i="10" s="1"/>
  <c r="J42" i="10"/>
  <c r="K42" i="10" s="1"/>
  <c r="AN42" i="10"/>
  <c r="AO42" i="10" s="1"/>
  <c r="Y28" i="10"/>
  <c r="AM28" i="10"/>
  <c r="AS28" i="10"/>
  <c r="AA28" i="10" s="1"/>
  <c r="AO29" i="10"/>
  <c r="J26" i="10"/>
  <c r="K26" i="10" s="1"/>
  <c r="AN26" i="10"/>
  <c r="AO26" i="10" s="1"/>
  <c r="J41" i="10"/>
  <c r="K41" i="10" s="1"/>
  <c r="AN41" i="10"/>
  <c r="AO41" i="10" s="1"/>
  <c r="L21" i="10"/>
  <c r="L32" i="10"/>
  <c r="AN25" i="10"/>
  <c r="AO25" i="10" s="1"/>
  <c r="J25" i="10"/>
  <c r="K25" i="10" s="1"/>
  <c r="Y22" i="10"/>
  <c r="AS22" i="10"/>
  <c r="AA22" i="10" s="1"/>
  <c r="L36" i="10"/>
  <c r="L16" i="10"/>
  <c r="J44" i="10"/>
  <c r="K44" i="10" s="1"/>
  <c r="AN44" i="10"/>
  <c r="AO44" i="10" s="1"/>
  <c r="Q15" i="12"/>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AN23" i="10" l="1"/>
  <c r="AO23" i="10" s="1"/>
  <c r="J23" i="10"/>
  <c r="K23" i="10" s="1"/>
  <c r="J32" i="10"/>
  <c r="K32" i="10" s="1"/>
  <c r="AN32" i="10"/>
  <c r="AO32" i="10" s="1"/>
  <c r="J16" i="10"/>
  <c r="K16" i="10" s="1"/>
  <c r="AN16" i="10"/>
  <c r="AO16" i="10" s="1"/>
  <c r="J22" i="10"/>
  <c r="K22" i="10" s="1"/>
  <c r="AN22" i="10"/>
  <c r="AO22" i="10" s="1"/>
  <c r="AN21" i="10"/>
  <c r="AO21" i="10" s="1"/>
  <c r="J21" i="10"/>
  <c r="K21" i="10" s="1"/>
  <c r="J36" i="10"/>
  <c r="K36" i="10" s="1"/>
  <c r="AN36" i="10"/>
  <c r="AO36" i="10" s="1"/>
  <c r="L34" i="10"/>
  <c r="AN19" i="10"/>
  <c r="AO19" i="10" s="1"/>
  <c r="J19" i="10"/>
  <c r="K19" i="10" s="1"/>
  <c r="AN20" i="10"/>
  <c r="AO20" i="10" s="1"/>
  <c r="J20" i="10"/>
  <c r="K20" i="10" s="1"/>
  <c r="L28" i="10"/>
  <c r="T45" i="12"/>
  <c r="T44" i="12"/>
  <c r="T38" i="12"/>
  <c r="T39" i="12"/>
  <c r="T40" i="12"/>
  <c r="T41" i="12"/>
  <c r="T42" i="12"/>
  <c r="T43" i="12"/>
  <c r="T37" i="12"/>
  <c r="T31" i="12"/>
  <c r="T32" i="12"/>
  <c r="T33" i="12"/>
  <c r="T34" i="12"/>
  <c r="T35" i="12"/>
  <c r="T36" i="12"/>
  <c r="T30" i="12"/>
  <c r="T24" i="12"/>
  <c r="T25" i="12"/>
  <c r="T26" i="12"/>
  <c r="T27" i="12"/>
  <c r="T28" i="12"/>
  <c r="T29" i="12"/>
  <c r="T23" i="12"/>
  <c r="T17" i="12"/>
  <c r="T18" i="12"/>
  <c r="T19" i="12"/>
  <c r="T20" i="12"/>
  <c r="T21" i="12"/>
  <c r="T22" i="12"/>
  <c r="T16" i="12"/>
  <c r="T15" i="12"/>
  <c r="AN28" i="10" l="1"/>
  <c r="AO28" i="10" s="1"/>
  <c r="J28" i="10"/>
  <c r="K28" i="10" s="1"/>
  <c r="J34" i="10"/>
  <c r="K34" i="10" s="1"/>
  <c r="AN34" i="10"/>
  <c r="AO34" i="10" s="1"/>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R15" i="12"/>
  <c r="R16" i="12"/>
  <c r="R17" i="12"/>
  <c r="R18" i="12"/>
  <c r="R19" i="12"/>
  <c r="R20" i="12"/>
  <c r="R21" i="12"/>
  <c r="R22" i="12"/>
  <c r="R23" i="12"/>
  <c r="R24" i="12"/>
  <c r="R25" i="12"/>
  <c r="R26" i="12"/>
  <c r="R27" i="12"/>
  <c r="R28" i="12"/>
  <c r="R29" i="12"/>
  <c r="R30" i="12"/>
  <c r="R31" i="12"/>
  <c r="R32" i="12"/>
  <c r="R33" i="12"/>
  <c r="R34" i="12"/>
  <c r="R35" i="12"/>
  <c r="R36" i="12"/>
  <c r="R37" i="12"/>
  <c r="R38" i="12"/>
  <c r="R39" i="12"/>
  <c r="R40" i="12"/>
  <c r="R41" i="12"/>
  <c r="R42" i="12"/>
  <c r="R43" i="12"/>
  <c r="R44" i="12"/>
  <c r="R45" i="12"/>
  <c r="R47" i="12" l="1"/>
  <c r="I36" i="12" l="1"/>
  <c r="I37" i="12"/>
  <c r="AZ41" i="11" l="1"/>
  <c r="BA8" i="11" l="1"/>
  <c r="BA8" i="10"/>
  <c r="BA8" i="9"/>
  <c r="BA8" i="8"/>
  <c r="AZ8" i="7"/>
  <c r="BB8" i="12"/>
  <c r="AZ16" i="9" l="1"/>
  <c r="AZ17" i="9"/>
  <c r="AZ18" i="9"/>
  <c r="AZ19" i="9"/>
  <c r="AZ20" i="9"/>
  <c r="AZ21" i="9"/>
  <c r="AZ22" i="9"/>
  <c r="AZ23" i="9"/>
  <c r="AZ24" i="9"/>
  <c r="AZ25" i="9"/>
  <c r="AZ26" i="9"/>
  <c r="AZ27" i="9"/>
  <c r="AZ28" i="9"/>
  <c r="AZ29" i="9"/>
  <c r="AZ30" i="9"/>
  <c r="AZ31" i="9"/>
  <c r="AZ32" i="9"/>
  <c r="AZ33" i="9"/>
  <c r="AZ34" i="9"/>
  <c r="AZ35" i="9"/>
  <c r="AZ36" i="9"/>
  <c r="AZ37" i="9"/>
  <c r="AZ38" i="9"/>
  <c r="AZ39" i="9"/>
  <c r="AZ40" i="9"/>
  <c r="AZ41" i="9"/>
  <c r="AZ42" i="9"/>
  <c r="AZ43" i="9"/>
  <c r="AZ44" i="9"/>
  <c r="AZ45" i="9"/>
  <c r="AZ15" i="9"/>
  <c r="AZ16" i="11"/>
  <c r="AZ17" i="11"/>
  <c r="AZ18" i="11"/>
  <c r="AZ19" i="11"/>
  <c r="AZ20" i="11"/>
  <c r="AZ21" i="11"/>
  <c r="AZ22" i="11"/>
  <c r="AZ23" i="11"/>
  <c r="AZ24" i="11"/>
  <c r="AZ25" i="11"/>
  <c r="AZ26" i="11"/>
  <c r="AZ27" i="11"/>
  <c r="AZ28" i="11"/>
  <c r="AZ29" i="11"/>
  <c r="AZ30" i="11"/>
  <c r="AZ31" i="11"/>
  <c r="AZ32" i="11"/>
  <c r="AZ33" i="11"/>
  <c r="AZ34" i="11"/>
  <c r="AZ35" i="11"/>
  <c r="AZ36" i="11"/>
  <c r="AZ37" i="11"/>
  <c r="AZ38" i="11"/>
  <c r="AZ39" i="11"/>
  <c r="AZ40" i="11"/>
  <c r="AZ15" i="11"/>
  <c r="AZ28" i="8"/>
  <c r="AZ29" i="8"/>
  <c r="AZ30" i="8"/>
  <c r="AZ31" i="8"/>
  <c r="AZ32" i="8"/>
  <c r="AZ33" i="8"/>
  <c r="AZ34" i="8"/>
  <c r="AZ35" i="8"/>
  <c r="AZ36" i="8"/>
  <c r="AZ37" i="8"/>
  <c r="AZ38" i="8"/>
  <c r="AZ39" i="8"/>
  <c r="AZ40" i="8"/>
  <c r="AZ41" i="8"/>
  <c r="AZ42" i="8"/>
  <c r="AZ43" i="8"/>
  <c r="AZ44" i="8"/>
  <c r="AZ27" i="8"/>
  <c r="T40" i="11" l="1"/>
  <c r="T41" i="11"/>
  <c r="T42" i="11"/>
  <c r="T43" i="11"/>
  <c r="T44" i="11"/>
  <c r="T39" i="11"/>
  <c r="T33" i="11"/>
  <c r="T34" i="11"/>
  <c r="T35" i="11"/>
  <c r="T36" i="11"/>
  <c r="T37" i="11"/>
  <c r="T38" i="11"/>
  <c r="T32" i="11"/>
  <c r="T26" i="11"/>
  <c r="T27" i="11"/>
  <c r="T28" i="11"/>
  <c r="T29" i="11"/>
  <c r="T30" i="11"/>
  <c r="T31" i="11"/>
  <c r="T25" i="11"/>
  <c r="T19" i="11"/>
  <c r="T20" i="11"/>
  <c r="T21" i="11"/>
  <c r="T22" i="11"/>
  <c r="T23" i="11"/>
  <c r="T24" i="11"/>
  <c r="T18" i="11"/>
  <c r="T16" i="11"/>
  <c r="T17" i="11"/>
  <c r="T15" i="11"/>
  <c r="Q15" i="11" l="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S15" i="11" l="1"/>
  <c r="S16" i="11"/>
  <c r="S17" i="11"/>
  <c r="S18" i="11"/>
  <c r="S19" i="11"/>
  <c r="S20" i="11"/>
  <c r="S21" i="11"/>
  <c r="S22" i="11"/>
  <c r="S23" i="11"/>
  <c r="S24" i="11"/>
  <c r="S25" i="11"/>
  <c r="S26" i="11"/>
  <c r="S27" i="11"/>
  <c r="S28" i="11"/>
  <c r="S29" i="11"/>
  <c r="S30" i="11"/>
  <c r="S31" i="11"/>
  <c r="S32" i="11"/>
  <c r="S33" i="11"/>
  <c r="S34" i="11"/>
  <c r="S35" i="11"/>
  <c r="S36" i="11"/>
  <c r="S37" i="11"/>
  <c r="S38" i="11"/>
  <c r="S39" i="11"/>
  <c r="S40" i="11"/>
  <c r="S41" i="11"/>
  <c r="S42" i="11"/>
  <c r="S43" i="11"/>
  <c r="S4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I31" i="11" l="1"/>
  <c r="I32" i="11"/>
  <c r="X34" i="11" l="1"/>
  <c r="AM34" i="11" s="1"/>
  <c r="X35" i="11"/>
  <c r="AM35" i="11" s="1"/>
  <c r="X36" i="11"/>
  <c r="AM36" i="11" s="1"/>
  <c r="X37" i="11"/>
  <c r="AM37" i="11" s="1"/>
  <c r="X38" i="11"/>
  <c r="AM38" i="11" s="1"/>
  <c r="X39" i="11"/>
  <c r="AM39" i="11" s="1"/>
  <c r="X40" i="11"/>
  <c r="AM40" i="11" s="1"/>
  <c r="X41" i="11"/>
  <c r="AM41" i="11" s="1"/>
  <c r="X42" i="11"/>
  <c r="AM42" i="11" s="1"/>
  <c r="X43" i="11"/>
  <c r="AM43" i="11" s="1"/>
  <c r="X44" i="11"/>
  <c r="AM44" i="11" s="1"/>
  <c r="X16" i="11"/>
  <c r="AM16" i="11" s="1"/>
  <c r="X17" i="11"/>
  <c r="AM17" i="11" s="1"/>
  <c r="X18" i="11"/>
  <c r="AM18" i="11" s="1"/>
  <c r="X19" i="11"/>
  <c r="AM19" i="11" s="1"/>
  <c r="X20" i="11"/>
  <c r="AM20" i="11" s="1"/>
  <c r="X21" i="11"/>
  <c r="AM21" i="11" s="1"/>
  <c r="X22" i="11"/>
  <c r="AM22" i="11" s="1"/>
  <c r="X23" i="11"/>
  <c r="AM23" i="11" s="1"/>
  <c r="X24" i="11"/>
  <c r="AM24" i="11" s="1"/>
  <c r="X25" i="11"/>
  <c r="AM25" i="11" s="1"/>
  <c r="X26" i="11"/>
  <c r="AM26" i="11" s="1"/>
  <c r="X27" i="11"/>
  <c r="AM27" i="11" s="1"/>
  <c r="X28" i="11"/>
  <c r="AM28" i="11" s="1"/>
  <c r="X29" i="11"/>
  <c r="AM29" i="11" s="1"/>
  <c r="X30" i="11"/>
  <c r="AM30" i="11" s="1"/>
  <c r="X31" i="11"/>
  <c r="X32" i="11"/>
  <c r="X33" i="11"/>
  <c r="AM33" i="11" s="1"/>
  <c r="X15" i="11"/>
  <c r="AM15" i="11" s="1"/>
  <c r="AM32" i="11" l="1"/>
  <c r="AS32" i="11"/>
  <c r="AM31" i="11"/>
  <c r="AS31" i="11"/>
  <c r="BH47" i="9" l="1"/>
  <c r="BH48" i="9" s="1"/>
  <c r="T45" i="9" l="1"/>
  <c r="T39" i="9"/>
  <c r="T40" i="9"/>
  <c r="T41" i="9"/>
  <c r="T42" i="9"/>
  <c r="T43" i="9"/>
  <c r="T44" i="9"/>
  <c r="T38" i="9"/>
  <c r="T32" i="9"/>
  <c r="T33" i="9"/>
  <c r="T34" i="9"/>
  <c r="T35" i="9"/>
  <c r="T36" i="9"/>
  <c r="T37" i="9"/>
  <c r="T31" i="9"/>
  <c r="T25" i="9"/>
  <c r="T26" i="9"/>
  <c r="T27" i="9"/>
  <c r="T28" i="9"/>
  <c r="T29" i="9"/>
  <c r="T30" i="9"/>
  <c r="T24" i="9"/>
  <c r="T18" i="9"/>
  <c r="T19" i="9"/>
  <c r="T20" i="9"/>
  <c r="T21" i="9"/>
  <c r="T22" i="9"/>
  <c r="T23" i="9"/>
  <c r="T17" i="9"/>
  <c r="T16" i="9"/>
  <c r="T15" i="9"/>
  <c r="S15" i="9" l="1"/>
  <c r="S16" i="9"/>
  <c r="S17" i="9"/>
  <c r="S18" i="9"/>
  <c r="S19" i="9"/>
  <c r="S20" i="9"/>
  <c r="S21" i="9"/>
  <c r="S22" i="9"/>
  <c r="S23" i="9"/>
  <c r="S24" i="9"/>
  <c r="S25" i="9"/>
  <c r="S26" i="9"/>
  <c r="S27" i="9"/>
  <c r="S28" i="9"/>
  <c r="S29" i="9"/>
  <c r="S30" i="9"/>
  <c r="S31" i="9"/>
  <c r="S32" i="9"/>
  <c r="S33" i="9"/>
  <c r="S34" i="9"/>
  <c r="S35" i="9"/>
  <c r="S36" i="9"/>
  <c r="S37" i="9"/>
  <c r="S38" i="9"/>
  <c r="S39" i="9"/>
  <c r="S40" i="9"/>
  <c r="S41" i="9"/>
  <c r="S42" i="9"/>
  <c r="S43" i="9"/>
  <c r="S44" i="9"/>
  <c r="S45" i="9"/>
  <c r="R15" i="9"/>
  <c r="R16" i="9"/>
  <c r="R17" i="9"/>
  <c r="R18" i="9"/>
  <c r="R19" i="9"/>
  <c r="R20" i="9"/>
  <c r="R21" i="9"/>
  <c r="R22" i="9"/>
  <c r="R23" i="9"/>
  <c r="R24" i="9"/>
  <c r="R25" i="9"/>
  <c r="R26" i="9"/>
  <c r="R27" i="9"/>
  <c r="R28" i="9"/>
  <c r="R29" i="9"/>
  <c r="R30" i="9"/>
  <c r="R31" i="9"/>
  <c r="R32" i="9"/>
  <c r="R33" i="9"/>
  <c r="R34" i="9"/>
  <c r="R35" i="9"/>
  <c r="R36" i="9"/>
  <c r="R37" i="9"/>
  <c r="R38" i="9"/>
  <c r="R39" i="9"/>
  <c r="R40" i="9"/>
  <c r="R41" i="9"/>
  <c r="R42" i="9"/>
  <c r="R43" i="9"/>
  <c r="R44" i="9"/>
  <c r="R45" i="9"/>
  <c r="Q15" i="9" l="1"/>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AQ44" i="9" l="1"/>
  <c r="AP44" i="9" s="1"/>
  <c r="AQ43" i="9" l="1"/>
  <c r="AP43" i="9" s="1"/>
  <c r="AE42" i="9" l="1"/>
  <c r="AQ42" i="9" s="1"/>
  <c r="AP42" i="9" s="1"/>
  <c r="AE41" i="9" l="1"/>
  <c r="AQ41" i="9" s="1"/>
  <c r="AP41" i="9" s="1"/>
  <c r="BB9" i="12" l="1"/>
  <c r="BA9" i="11"/>
  <c r="BA9" i="10"/>
  <c r="BA9" i="9"/>
  <c r="BA9" i="8"/>
  <c r="AK8" i="12" l="1"/>
  <c r="AK8" i="11"/>
  <c r="AK8" i="10"/>
  <c r="AK8" i="9"/>
  <c r="AI8" i="8"/>
  <c r="AI8" i="7"/>
  <c r="T41" i="8" l="1"/>
  <c r="T42" i="8"/>
  <c r="T43" i="8"/>
  <c r="T44" i="8"/>
  <c r="T40" i="8"/>
  <c r="T34" i="8"/>
  <c r="T35" i="8"/>
  <c r="T36" i="8"/>
  <c r="T37" i="8"/>
  <c r="T38" i="8"/>
  <c r="T39" i="8"/>
  <c r="T33" i="8"/>
  <c r="T27" i="8"/>
  <c r="T28" i="8"/>
  <c r="T29" i="8"/>
  <c r="T30" i="8"/>
  <c r="T31" i="8"/>
  <c r="T32" i="8"/>
  <c r="T26" i="8"/>
  <c r="T20" i="8"/>
  <c r="T21" i="8"/>
  <c r="T22" i="8"/>
  <c r="T23" i="8"/>
  <c r="T24" i="8"/>
  <c r="T25" i="8"/>
  <c r="T19" i="8"/>
  <c r="T16" i="8"/>
  <c r="T17" i="8"/>
  <c r="T18" i="8"/>
  <c r="T15" i="8"/>
  <c r="Q15" i="8" l="1"/>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S15" i="8" l="1"/>
  <c r="S16" i="8"/>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N15" i="9" l="1"/>
  <c r="N16" i="9" l="1"/>
  <c r="N17" i="9"/>
  <c r="N18" i="9"/>
  <c r="N19" i="9"/>
  <c r="N20" i="9"/>
  <c r="N21" i="9"/>
  <c r="N22" i="9"/>
  <c r="N23" i="9"/>
  <c r="I39" i="8" l="1"/>
  <c r="I40" i="8"/>
  <c r="AZ26" i="8" l="1"/>
  <c r="Q15" i="7" l="1"/>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T44" i="7" l="1"/>
  <c r="T45" i="7"/>
  <c r="T43" i="7"/>
  <c r="T37" i="7"/>
  <c r="T38" i="7"/>
  <c r="T39" i="7"/>
  <c r="T40" i="7"/>
  <c r="T41" i="7"/>
  <c r="T42" i="7"/>
  <c r="T36" i="7"/>
  <c r="T30" i="7"/>
  <c r="T31" i="7"/>
  <c r="T32" i="7"/>
  <c r="T33" i="7"/>
  <c r="T34" i="7"/>
  <c r="T35" i="7"/>
  <c r="T29" i="7"/>
  <c r="T23" i="7"/>
  <c r="T24" i="7"/>
  <c r="T25" i="7"/>
  <c r="T26" i="7"/>
  <c r="T27" i="7"/>
  <c r="T28" i="7"/>
  <c r="T22" i="7"/>
  <c r="T16" i="7"/>
  <c r="T17" i="7"/>
  <c r="T18" i="7"/>
  <c r="T19" i="7"/>
  <c r="T20" i="7"/>
  <c r="T21" i="7"/>
  <c r="T15" i="7"/>
  <c r="S15" i="7" l="1"/>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4" i="7"/>
  <c r="S45"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X26" i="7" l="1"/>
  <c r="Y26" i="7" s="1"/>
  <c r="AN37" i="14" l="1"/>
  <c r="Q15" i="14"/>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T39" i="14"/>
  <c r="T40" i="14"/>
  <c r="T41" i="14"/>
  <c r="T42" i="14"/>
  <c r="T43" i="14"/>
  <c r="T44" i="14"/>
  <c r="T38" i="14"/>
  <c r="T33" i="14"/>
  <c r="T34" i="14"/>
  <c r="T35" i="14"/>
  <c r="T36" i="14"/>
  <c r="T37" i="14"/>
  <c r="T32" i="14"/>
  <c r="T25" i="14"/>
  <c r="T26" i="14"/>
  <c r="T27" i="14"/>
  <c r="T28" i="14"/>
  <c r="T29" i="14"/>
  <c r="T30" i="14"/>
  <c r="T31" i="14"/>
  <c r="T24" i="14"/>
  <c r="T18" i="14"/>
  <c r="T19" i="14"/>
  <c r="T20" i="14"/>
  <c r="T21" i="14"/>
  <c r="T22" i="14"/>
  <c r="T23" i="14"/>
  <c r="T17" i="14"/>
  <c r="T16" i="14"/>
  <c r="T15" i="14"/>
  <c r="S15" i="14" l="1"/>
  <c r="S16" i="14"/>
  <c r="S17" i="14"/>
  <c r="S18" i="14"/>
  <c r="S19" i="14"/>
  <c r="S20" i="14"/>
  <c r="S21" i="14"/>
  <c r="S22" i="14"/>
  <c r="S23" i="14"/>
  <c r="S24" i="14"/>
  <c r="S25" i="14"/>
  <c r="S26" i="14"/>
  <c r="S27" i="14"/>
  <c r="S28" i="14"/>
  <c r="S29" i="14"/>
  <c r="S30" i="14"/>
  <c r="S31" i="14"/>
  <c r="S32" i="14"/>
  <c r="S33" i="14"/>
  <c r="S34" i="14"/>
  <c r="S35" i="14"/>
  <c r="S36" i="14"/>
  <c r="S37" i="14"/>
  <c r="S38" i="14"/>
  <c r="S39" i="14"/>
  <c r="S40" i="14"/>
  <c r="S41" i="14"/>
  <c r="S42" i="14"/>
  <c r="S43" i="14"/>
  <c r="S44" i="14"/>
  <c r="R15"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R44" i="14"/>
  <c r="AN18" i="14" l="1"/>
  <c r="AN26" i="14"/>
  <c r="AN20" i="14" l="1"/>
  <c r="AN21" i="14"/>
  <c r="AN22" i="14"/>
  <c r="AN23" i="14"/>
  <c r="AN24" i="14"/>
  <c r="AN27" i="14"/>
  <c r="AP27" i="14" s="1"/>
  <c r="AN28" i="14"/>
  <c r="AN29" i="14"/>
  <c r="AN30" i="14"/>
  <c r="AN31" i="14"/>
  <c r="AN32" i="14"/>
  <c r="AN33" i="14"/>
  <c r="AN34" i="14"/>
  <c r="AN35" i="14"/>
  <c r="AN19" i="14"/>
  <c r="AP11" i="14" l="1"/>
  <c r="AW27" i="14" l="1"/>
  <c r="AX27" i="14"/>
  <c r="AY27" i="14" s="1"/>
  <c r="BR13" i="14" l="1"/>
  <c r="BS13" i="14"/>
  <c r="BQ15" i="14"/>
  <c r="BS15" i="14"/>
  <c r="BO16" i="14"/>
  <c r="BO17" i="14" s="1"/>
  <c r="BO18" i="14" s="1"/>
  <c r="BO19" i="14" s="1"/>
  <c r="BO20" i="14" s="1"/>
  <c r="BO21" i="14" s="1"/>
  <c r="BO22" i="14" s="1"/>
  <c r="BO23" i="14" s="1"/>
  <c r="BO24" i="14" s="1"/>
  <c r="BO25" i="14" s="1"/>
  <c r="BO26" i="14" s="1"/>
  <c r="BO27" i="14" s="1"/>
  <c r="BO28" i="14" s="1"/>
  <c r="BO29" i="14" s="1"/>
  <c r="BO30" i="14" s="1"/>
  <c r="BO31" i="14" s="1"/>
  <c r="BO32" i="14" s="1"/>
  <c r="BO33" i="14" s="1"/>
  <c r="BO34" i="14" s="1"/>
  <c r="BO35" i="14" s="1"/>
  <c r="BO36" i="14" s="1"/>
  <c r="BO37" i="14" s="1"/>
  <c r="BO38" i="14" s="1"/>
  <c r="BO39" i="14" s="1"/>
  <c r="BO40" i="14" s="1"/>
  <c r="BO41" i="14" s="1"/>
  <c r="BO42" i="14" s="1"/>
  <c r="BO43" i="14" s="1"/>
  <c r="BO44" i="14" s="1"/>
  <c r="BQ16" i="14"/>
  <c r="BS16" i="14"/>
  <c r="BQ17" i="14"/>
  <c r="BS17" i="14"/>
  <c r="BQ18" i="14"/>
  <c r="BS18" i="14"/>
  <c r="BQ19" i="14"/>
  <c r="BS19" i="14"/>
  <c r="BQ20" i="14"/>
  <c r="BS20" i="14"/>
  <c r="BQ21" i="14"/>
  <c r="BS21" i="14"/>
  <c r="BQ22" i="14"/>
  <c r="BS22" i="14"/>
  <c r="BQ23" i="14"/>
  <c r="BS23" i="14"/>
  <c r="BQ24" i="14"/>
  <c r="BS24" i="14"/>
  <c r="BQ25" i="14"/>
  <c r="BS25" i="14"/>
  <c r="BQ26" i="14"/>
  <c r="BS26" i="14"/>
  <c r="BQ27" i="14"/>
  <c r="BS27" i="14"/>
  <c r="BQ28" i="14"/>
  <c r="BS28" i="14"/>
  <c r="BQ29" i="14"/>
  <c r="BS29" i="14"/>
  <c r="BQ30" i="14"/>
  <c r="BS30" i="14"/>
  <c r="BQ31" i="14"/>
  <c r="BS31" i="14"/>
  <c r="BQ32" i="14"/>
  <c r="BS32" i="14"/>
  <c r="BQ33" i="14"/>
  <c r="BS33" i="14"/>
  <c r="BQ34" i="14"/>
  <c r="BS34" i="14"/>
  <c r="BQ35" i="14"/>
  <c r="BS35" i="14"/>
  <c r="BQ36" i="14"/>
  <c r="BS36" i="14"/>
  <c r="BQ37" i="14"/>
  <c r="BS37" i="14"/>
  <c r="BQ38" i="14"/>
  <c r="BS38" i="14"/>
  <c r="BQ39" i="14"/>
  <c r="BS39" i="14"/>
  <c r="BQ40" i="14"/>
  <c r="BS40" i="14"/>
  <c r="BQ41" i="14"/>
  <c r="BS41" i="14"/>
  <c r="BQ42" i="14"/>
  <c r="BS42" i="14"/>
  <c r="BQ43" i="14"/>
  <c r="BS43" i="14"/>
  <c r="BQ44" i="14"/>
  <c r="BS44" i="14"/>
  <c r="BR46" i="14"/>
  <c r="BR47" i="14" s="1"/>
  <c r="BR52" i="14" l="1"/>
  <c r="BR53" i="14" s="1"/>
  <c r="BS46" i="14"/>
  <c r="BS47" i="14" s="1"/>
  <c r="BS52" i="14" l="1"/>
  <c r="BS53" i="14" s="1"/>
  <c r="AO21" i="14" l="1"/>
  <c r="AO22" i="14"/>
  <c r="AO23" i="14"/>
  <c r="AO24" i="14"/>
  <c r="AP28" i="14"/>
  <c r="AO20" i="14"/>
  <c r="AN17" i="14"/>
  <c r="AN16" i="14"/>
  <c r="AN15" i="14"/>
  <c r="AN45" i="5"/>
  <c r="AN39" i="5"/>
  <c r="AN44" i="5"/>
  <c r="AN46" i="14" l="1"/>
  <c r="AN47" i="14" s="1"/>
  <c r="AP29" i="14"/>
  <c r="AP30" i="14" s="1"/>
  <c r="AP31" i="14" s="1"/>
  <c r="AP32" i="14" s="1"/>
  <c r="AP33" i="14" s="1"/>
  <c r="AP34" i="14" s="1"/>
  <c r="AP35" i="14" s="1"/>
  <c r="AP36" i="14" s="1"/>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T42" i="5" l="1"/>
  <c r="T43" i="5"/>
  <c r="T44" i="5"/>
  <c r="T45" i="5"/>
  <c r="T41" i="5"/>
  <c r="T35" i="5"/>
  <c r="T36" i="5"/>
  <c r="T37" i="5"/>
  <c r="T38" i="5"/>
  <c r="T39" i="5"/>
  <c r="T40" i="5"/>
  <c r="T34" i="5"/>
  <c r="T28" i="5"/>
  <c r="T29" i="5"/>
  <c r="T30" i="5"/>
  <c r="T31" i="5"/>
  <c r="T32" i="5"/>
  <c r="T33" i="5"/>
  <c r="T27" i="5"/>
  <c r="T21" i="5"/>
  <c r="T22" i="5"/>
  <c r="T23" i="5"/>
  <c r="T24" i="5"/>
  <c r="T25" i="5"/>
  <c r="T26" i="5"/>
  <c r="T20" i="5"/>
  <c r="T16" i="5"/>
  <c r="T17" i="5"/>
  <c r="T18" i="5"/>
  <c r="T19" i="5"/>
  <c r="T15" i="5"/>
  <c r="S15" i="5" l="1"/>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AN37" i="5" l="1"/>
  <c r="AN38" i="5"/>
  <c r="AN40" i="5"/>
  <c r="AN41" i="5"/>
  <c r="AN42" i="5"/>
  <c r="AN43" i="5"/>
  <c r="X39" i="5"/>
  <c r="AP39" i="5" l="1"/>
  <c r="Y39" i="5" s="1"/>
  <c r="AN30" i="5"/>
  <c r="AN31" i="5"/>
  <c r="AN32" i="5"/>
  <c r="AN33" i="5"/>
  <c r="AN34" i="5"/>
  <c r="AN35" i="5"/>
  <c r="AN36" i="5"/>
  <c r="AN23" i="5" l="1"/>
  <c r="AN24" i="5"/>
  <c r="AN25" i="5"/>
  <c r="AN26" i="5"/>
  <c r="AN27" i="5"/>
  <c r="AN28" i="5"/>
  <c r="AN29" i="5"/>
  <c r="AI15" i="1"/>
  <c r="Q15" i="4" l="1"/>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AN16" i="5" l="1"/>
  <c r="AN17" i="5"/>
  <c r="AN18" i="5"/>
  <c r="AN19" i="5"/>
  <c r="AN20" i="5"/>
  <c r="AN21" i="5"/>
  <c r="AN22" i="5"/>
  <c r="T43" i="4" l="1"/>
  <c r="T42" i="4"/>
  <c r="T36" i="4"/>
  <c r="T37" i="4"/>
  <c r="T38" i="4"/>
  <c r="T39" i="4"/>
  <c r="T40" i="4"/>
  <c r="T41" i="4"/>
  <c r="T35" i="4"/>
  <c r="T34" i="4"/>
  <c r="T29" i="4"/>
  <c r="T30" i="4"/>
  <c r="T31" i="4"/>
  <c r="T32" i="4"/>
  <c r="T33" i="4"/>
  <c r="T28" i="4"/>
  <c r="T22" i="4"/>
  <c r="T23" i="4"/>
  <c r="T24" i="4"/>
  <c r="T25" i="4"/>
  <c r="T26" i="4"/>
  <c r="T27" i="4"/>
  <c r="T21" i="4"/>
  <c r="T16" i="4"/>
  <c r="T17" i="4"/>
  <c r="T18" i="4"/>
  <c r="T19" i="4"/>
  <c r="T20" i="4"/>
  <c r="T15" i="4"/>
  <c r="S15" i="4" l="1"/>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AN15" i="5" l="1"/>
  <c r="I15" i="5"/>
  <c r="BG15" i="5"/>
  <c r="BI15" i="5"/>
  <c r="AN40" i="4"/>
  <c r="AN41" i="4"/>
  <c r="AN42" i="4"/>
  <c r="AN43" i="4"/>
  <c r="AN39" i="4"/>
  <c r="BI42" i="4"/>
  <c r="BG42" i="4"/>
  <c r="O42" i="4"/>
  <c r="I42" i="4"/>
  <c r="U15" i="5" l="1"/>
  <c r="X15" i="5" s="1"/>
  <c r="U42" i="4"/>
  <c r="X42" i="4" s="1"/>
  <c r="AO42" i="4" s="1"/>
  <c r="Y15" i="5" l="1"/>
  <c r="AO15" i="5"/>
  <c r="BA15" i="5"/>
  <c r="AK15" i="5"/>
  <c r="BA42" i="4"/>
  <c r="Y42" i="4"/>
  <c r="AK42" i="4"/>
  <c r="AN24" i="4" l="1"/>
  <c r="AN25" i="4"/>
  <c r="AN26" i="4"/>
  <c r="Q15" i="13" l="1"/>
  <c r="Q16" i="13"/>
  <c r="Q17" i="13"/>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T45" i="13" l="1"/>
  <c r="T39" i="13"/>
  <c r="T40" i="13"/>
  <c r="T41" i="13"/>
  <c r="T42" i="13"/>
  <c r="T43" i="13"/>
  <c r="T44" i="13"/>
  <c r="T38" i="13"/>
  <c r="T32" i="13"/>
  <c r="T33" i="13"/>
  <c r="T34" i="13"/>
  <c r="T35" i="13"/>
  <c r="T36" i="13"/>
  <c r="T37" i="13"/>
  <c r="T31" i="13"/>
  <c r="T25" i="13"/>
  <c r="T26" i="13"/>
  <c r="T27" i="13"/>
  <c r="T28" i="13"/>
  <c r="T29" i="13"/>
  <c r="T30" i="13"/>
  <c r="T24" i="13"/>
  <c r="T18" i="13"/>
  <c r="T19" i="13"/>
  <c r="T20" i="13"/>
  <c r="T21" i="13"/>
  <c r="T22" i="13"/>
  <c r="T23" i="13"/>
  <c r="T17" i="13"/>
  <c r="T16" i="13"/>
  <c r="T15" i="13"/>
  <c r="S15" i="13" l="1"/>
  <c r="S16" i="13"/>
  <c r="S17" i="13"/>
  <c r="S18" i="13"/>
  <c r="S19" i="13"/>
  <c r="S20" i="13"/>
  <c r="S21" i="13"/>
  <c r="S22" i="13"/>
  <c r="S23" i="13"/>
  <c r="S24" i="13"/>
  <c r="S25" i="13"/>
  <c r="S26" i="13"/>
  <c r="S27" i="13"/>
  <c r="S28" i="13"/>
  <c r="S29" i="13"/>
  <c r="S30" i="13"/>
  <c r="S31" i="13"/>
  <c r="S32" i="13"/>
  <c r="S33" i="13"/>
  <c r="S34" i="13"/>
  <c r="S35" i="13"/>
  <c r="S36" i="13"/>
  <c r="S37" i="13"/>
  <c r="S38" i="13"/>
  <c r="S39" i="13"/>
  <c r="S40" i="13"/>
  <c r="S41" i="13"/>
  <c r="S42" i="13"/>
  <c r="S43" i="13"/>
  <c r="S44" i="13"/>
  <c r="S45" i="13"/>
  <c r="O45" i="2" l="1"/>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15" i="2"/>
  <c r="O16" i="13"/>
  <c r="O17" i="13"/>
  <c r="O18" i="13"/>
  <c r="O19" i="13"/>
  <c r="O20" i="13"/>
  <c r="O21" i="13"/>
  <c r="O22" i="13"/>
  <c r="O23" i="13"/>
  <c r="O24" i="13"/>
  <c r="O25" i="13"/>
  <c r="O26" i="13"/>
  <c r="O27" i="13"/>
  <c r="O28" i="13"/>
  <c r="O29" i="13"/>
  <c r="O30" i="13"/>
  <c r="O31" i="13"/>
  <c r="O32" i="13"/>
  <c r="O33" i="13"/>
  <c r="O34" i="13"/>
  <c r="O35" i="13"/>
  <c r="O36" i="13"/>
  <c r="O37" i="13"/>
  <c r="O38" i="13"/>
  <c r="O39" i="13"/>
  <c r="O40" i="13"/>
  <c r="O41" i="13"/>
  <c r="O42" i="13"/>
  <c r="O43" i="13"/>
  <c r="O44" i="13"/>
  <c r="O45" i="13"/>
  <c r="O15" i="13"/>
  <c r="O16" i="4"/>
  <c r="O17" i="4"/>
  <c r="O18" i="4"/>
  <c r="O19" i="4"/>
  <c r="O20" i="4"/>
  <c r="O21" i="4"/>
  <c r="O22" i="4"/>
  <c r="O23" i="4"/>
  <c r="O24" i="4"/>
  <c r="O25" i="4"/>
  <c r="O26" i="4"/>
  <c r="O27" i="4"/>
  <c r="O28" i="4"/>
  <c r="O29" i="4"/>
  <c r="O30" i="4"/>
  <c r="O31" i="4"/>
  <c r="O32" i="4"/>
  <c r="O33" i="4"/>
  <c r="O34" i="4"/>
  <c r="O35" i="4"/>
  <c r="O36" i="4"/>
  <c r="O37" i="4"/>
  <c r="O38" i="4"/>
  <c r="O39" i="4"/>
  <c r="O40" i="4"/>
  <c r="O41" i="4"/>
  <c r="O43" i="4"/>
  <c r="O15" i="4"/>
  <c r="Q15" i="2" l="1"/>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T42" i="2" l="1"/>
  <c r="S42" i="2" s="1"/>
  <c r="T43" i="2"/>
  <c r="S43" i="2" s="1"/>
  <c r="T44" i="2"/>
  <c r="S44" i="2" s="1"/>
  <c r="T45" i="2"/>
  <c r="S45" i="2" s="1"/>
  <c r="T41" i="2"/>
  <c r="S41" i="2" s="1"/>
  <c r="T35" i="2"/>
  <c r="S35" i="2" s="1"/>
  <c r="T36" i="2"/>
  <c r="S36" i="2" s="1"/>
  <c r="T37" i="2"/>
  <c r="S37" i="2" s="1"/>
  <c r="T38" i="2"/>
  <c r="S38" i="2" s="1"/>
  <c r="T39" i="2"/>
  <c r="S39" i="2" s="1"/>
  <c r="T40" i="2"/>
  <c r="S40" i="2" s="1"/>
  <c r="T34" i="2"/>
  <c r="S34" i="2" s="1"/>
  <c r="T28" i="2"/>
  <c r="T29" i="2"/>
  <c r="T30" i="2"/>
  <c r="T31" i="2"/>
  <c r="T32" i="2"/>
  <c r="S32" i="2" s="1"/>
  <c r="T33" i="2"/>
  <c r="S33" i="2" s="1"/>
  <c r="T27" i="2"/>
  <c r="T21" i="2"/>
  <c r="S21" i="2" s="1"/>
  <c r="T22" i="2"/>
  <c r="S22" i="2" s="1"/>
  <c r="T23" i="2"/>
  <c r="S23" i="2" s="1"/>
  <c r="T24" i="2"/>
  <c r="S24" i="2" s="1"/>
  <c r="T25" i="2"/>
  <c r="T26" i="2"/>
  <c r="T20" i="2"/>
  <c r="S20" i="2" s="1"/>
  <c r="T16" i="2"/>
  <c r="S16" i="2" s="1"/>
  <c r="T17" i="2"/>
  <c r="S17" i="2" s="1"/>
  <c r="T18" i="2"/>
  <c r="S18" i="2" s="1"/>
  <c r="T19" i="2"/>
  <c r="S19" i="2" s="1"/>
  <c r="T15" i="2"/>
  <c r="S15" i="2" s="1"/>
  <c r="M47" i="2" l="1"/>
  <c r="M48" i="2" s="1"/>
  <c r="AN19" i="1" l="1"/>
  <c r="AN20" i="1"/>
  <c r="AN21" i="1"/>
  <c r="AN22" i="1"/>
  <c r="AN23" i="1"/>
  <c r="AN24" i="1"/>
  <c r="AN25" i="1"/>
  <c r="AN18" i="1"/>
  <c r="T44" i="1"/>
  <c r="T43" i="1"/>
  <c r="T37" i="1"/>
  <c r="T38" i="1"/>
  <c r="T39" i="1"/>
  <c r="T40" i="1"/>
  <c r="T41" i="1"/>
  <c r="T42" i="1"/>
  <c r="T36" i="1"/>
  <c r="T30" i="1"/>
  <c r="T31" i="1"/>
  <c r="T32" i="1"/>
  <c r="T33" i="1"/>
  <c r="T34" i="1"/>
  <c r="T35" i="1"/>
  <c r="T29" i="1"/>
  <c r="T23" i="1"/>
  <c r="T24" i="1"/>
  <c r="T25" i="1"/>
  <c r="T26" i="1"/>
  <c r="T27" i="1"/>
  <c r="T28" i="1"/>
  <c r="T22" i="1"/>
  <c r="T16" i="1"/>
  <c r="T17" i="1"/>
  <c r="T18" i="1"/>
  <c r="T19" i="1"/>
  <c r="T20" i="1"/>
  <c r="T21" i="1"/>
  <c r="T15" i="1"/>
  <c r="Q15" i="1" l="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S15" i="1" l="1"/>
  <c r="U15" i="1" s="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G46" i="1" l="1"/>
  <c r="O44" i="1" l="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I30" i="12" l="1"/>
  <c r="BH30" i="12"/>
  <c r="AU30" i="12"/>
  <c r="AV30" i="12"/>
  <c r="BP30" i="12"/>
  <c r="AW30" i="12" l="1"/>
  <c r="BK30" i="12"/>
  <c r="BL30" i="12" s="1"/>
  <c r="AS30" i="12" l="1"/>
  <c r="AM30" i="12"/>
  <c r="AY9" i="12" l="1"/>
  <c r="AY9" i="11" l="1"/>
  <c r="X15" i="9" l="1"/>
  <c r="Y15" i="9" l="1"/>
  <c r="AM15" i="9"/>
  <c r="X21" i="9"/>
  <c r="AM21" i="9" s="1"/>
  <c r="AY9" i="10"/>
  <c r="X44" i="9" l="1"/>
  <c r="X42" i="9"/>
  <c r="X41" i="9"/>
  <c r="X40" i="9"/>
  <c r="X39" i="9"/>
  <c r="X38" i="9"/>
  <c r="X37" i="9"/>
  <c r="X36" i="9"/>
  <c r="X35" i="9"/>
  <c r="X34" i="9"/>
  <c r="X33" i="9"/>
  <c r="X32" i="9"/>
  <c r="X31" i="9"/>
  <c r="Y31" i="9" s="1"/>
  <c r="X30" i="9"/>
  <c r="X29" i="9"/>
  <c r="X28" i="9"/>
  <c r="X27" i="9"/>
  <c r="X26" i="9"/>
  <c r="X25" i="9"/>
  <c r="X24" i="9"/>
  <c r="X23" i="9"/>
  <c r="X22" i="9"/>
  <c r="Y21" i="9"/>
  <c r="X20" i="9"/>
  <c r="X19" i="9"/>
  <c r="X18" i="9"/>
  <c r="X17" i="9"/>
  <c r="X16" i="9"/>
  <c r="AM44" i="9" l="1"/>
  <c r="Y44" i="9"/>
  <c r="AM42" i="9"/>
  <c r="Y42" i="9"/>
  <c r="AM41" i="9"/>
  <c r="Y41" i="9"/>
  <c r="AM40" i="9"/>
  <c r="Y40" i="9"/>
  <c r="AM39" i="9"/>
  <c r="Y39" i="9"/>
  <c r="AM38" i="9"/>
  <c r="Y38" i="9"/>
  <c r="AM37" i="9"/>
  <c r="Y37" i="9"/>
  <c r="Y18" i="9"/>
  <c r="AM18" i="9"/>
  <c r="Y19" i="9"/>
  <c r="AM19" i="9"/>
  <c r="Y17" i="9"/>
  <c r="AM17" i="9"/>
  <c r="Y16" i="9"/>
  <c r="AM16" i="9"/>
  <c r="Y20" i="9"/>
  <c r="AM20" i="9"/>
  <c r="AM36" i="9"/>
  <c r="Y36" i="9"/>
  <c r="AM35" i="9"/>
  <c r="Y35" i="9"/>
  <c r="AM34" i="9"/>
  <c r="Y34" i="9"/>
  <c r="AM32" i="9"/>
  <c r="Y32" i="9"/>
  <c r="AM33" i="9"/>
  <c r="Y33" i="9"/>
  <c r="AM30" i="9"/>
  <c r="Y30" i="9"/>
  <c r="AM31" i="9"/>
  <c r="AM29" i="9"/>
  <c r="Y29" i="9"/>
  <c r="AM28" i="9"/>
  <c r="Y28" i="9"/>
  <c r="AM27" i="9"/>
  <c r="Y27" i="9"/>
  <c r="AM26" i="9"/>
  <c r="Y26" i="9"/>
  <c r="AM25" i="9"/>
  <c r="Y25" i="9"/>
  <c r="AM23" i="9"/>
  <c r="Y23" i="9"/>
  <c r="AM24" i="9"/>
  <c r="Y24" i="9"/>
  <c r="AM22" i="9"/>
  <c r="Y22" i="9"/>
  <c r="AZ9" i="7"/>
  <c r="AY9" i="9" l="1"/>
  <c r="BP46" i="8" l="1"/>
  <c r="BP47" i="8" s="1"/>
  <c r="AT28" i="7" l="1"/>
  <c r="AD9" i="7" l="1"/>
  <c r="X28" i="7" l="1"/>
  <c r="AK28" i="7" s="1"/>
  <c r="X38" i="7"/>
  <c r="Y38" i="7" s="1"/>
  <c r="AK38" i="7" l="1"/>
  <c r="Y28" i="7"/>
  <c r="X41" i="14" l="1"/>
  <c r="Y41" i="14" s="1"/>
  <c r="X15" i="14"/>
  <c r="AT15" i="14" s="1"/>
  <c r="X22" i="14"/>
  <c r="Y22" i="14" s="1"/>
  <c r="X23" i="14"/>
  <c r="Y23" i="14" s="1"/>
  <c r="X27" i="14"/>
  <c r="Y27" i="14" s="1"/>
  <c r="X30" i="14"/>
  <c r="Y30" i="14" s="1"/>
  <c r="X31" i="14"/>
  <c r="Y31" i="14" s="1"/>
  <c r="X34" i="14"/>
  <c r="Y34" i="14" s="1"/>
  <c r="X35" i="14"/>
  <c r="Y35" i="14" s="1"/>
  <c r="X38" i="14"/>
  <c r="Y38" i="14" s="1"/>
  <c r="X39" i="14"/>
  <c r="Y39" i="14" s="1"/>
  <c r="X42" i="14"/>
  <c r="X43" i="14"/>
  <c r="Y43" i="14" s="1"/>
  <c r="X44" i="14"/>
  <c r="Y44" i="14" s="1"/>
  <c r="Y42" i="14" l="1"/>
  <c r="X26" i="14"/>
  <c r="AU26" i="14" s="1"/>
  <c r="X37" i="14"/>
  <c r="Y37" i="14" s="1"/>
  <c r="X33" i="14"/>
  <c r="Y33" i="14" s="1"/>
  <c r="X29" i="14"/>
  <c r="Y29" i="14" s="1"/>
  <c r="X21" i="14"/>
  <c r="Y21" i="14" s="1"/>
  <c r="X40" i="14"/>
  <c r="Y40" i="14" s="1"/>
  <c r="X36" i="14"/>
  <c r="Y36" i="14" s="1"/>
  <c r="X32" i="14"/>
  <c r="Y32" i="14" s="1"/>
  <c r="X28" i="14"/>
  <c r="Y28" i="14" s="1"/>
  <c r="X24" i="14"/>
  <c r="Y24" i="14" s="1"/>
  <c r="X20" i="14"/>
  <c r="Y20" i="14" s="1"/>
  <c r="X25" i="14"/>
  <c r="AC8" i="14"/>
  <c r="Y25" i="14" l="1"/>
  <c r="AU25" i="14"/>
  <c r="Y26" i="14"/>
  <c r="I15" i="14"/>
  <c r="BI15" i="14"/>
  <c r="AW15" i="14"/>
  <c r="AX15" i="14"/>
  <c r="AY15" i="14" s="1"/>
  <c r="AU15" i="14" l="1"/>
  <c r="AO15" i="14"/>
  <c r="BL15" i="14"/>
  <c r="AK15" i="14"/>
  <c r="AA15" i="14"/>
  <c r="Y15" i="14"/>
  <c r="AB15" i="14" s="1"/>
  <c r="BM15" i="14" l="1"/>
  <c r="AR46" i="14"/>
  <c r="AR47" i="14" s="1"/>
  <c r="G47" i="5" l="1"/>
  <c r="G48" i="5" s="1"/>
  <c r="U35" i="5" l="1"/>
  <c r="U36" i="5"/>
  <c r="T46" i="1" l="1"/>
  <c r="T52" i="1" s="1"/>
  <c r="T53" i="1" s="1"/>
  <c r="T47" i="1" l="1"/>
  <c r="BE16" i="2" l="1"/>
  <c r="BE17" i="2" s="1"/>
  <c r="BE18" i="2" s="1"/>
  <c r="W46" i="1" l="1"/>
  <c r="AX16" i="14" l="1"/>
  <c r="AP13" i="8"/>
  <c r="R46" i="11" l="1"/>
  <c r="BI13" i="11" l="1"/>
  <c r="AT48" i="12" l="1"/>
  <c r="AT48" i="10"/>
  <c r="AT47" i="11"/>
  <c r="AS47" i="8"/>
  <c r="AV47" i="14"/>
  <c r="AV50" i="14" s="1"/>
  <c r="AS13" i="7" s="1"/>
  <c r="AS48" i="7"/>
  <c r="AU17" i="9"/>
  <c r="AT48" i="9"/>
  <c r="AS51" i="7" l="1"/>
  <c r="AS13" i="8" s="1"/>
  <c r="AS50" i="8" s="1"/>
  <c r="AT13" i="9" s="1"/>
  <c r="AT51" i="9" s="1"/>
  <c r="AT13" i="10" s="1"/>
  <c r="AT51" i="10" s="1"/>
  <c r="AT13" i="11" s="1"/>
  <c r="AT50" i="11" s="1"/>
  <c r="AT13" i="12" s="1"/>
  <c r="AT51" i="12" s="1"/>
  <c r="AH46" i="8" l="1"/>
  <c r="AH47" i="8" s="1"/>
  <c r="AD12" i="7" l="1"/>
  <c r="AY46" i="8" l="1"/>
  <c r="AY47" i="8" s="1"/>
  <c r="AY9" i="8"/>
  <c r="AX9" i="8" l="1"/>
  <c r="AO46" i="8" l="1"/>
  <c r="AO47" i="8" s="1"/>
  <c r="X15" i="7"/>
  <c r="X16" i="7"/>
  <c r="X17" i="7"/>
  <c r="X18" i="7"/>
  <c r="X19" i="7"/>
  <c r="X20" i="7"/>
  <c r="X21" i="7"/>
  <c r="X22" i="7"/>
  <c r="X23" i="7"/>
  <c r="X24" i="7"/>
  <c r="X25" i="7"/>
  <c r="X27" i="7"/>
  <c r="X29" i="7"/>
  <c r="X30" i="7"/>
  <c r="X31" i="7"/>
  <c r="X32" i="7"/>
  <c r="X33" i="7"/>
  <c r="X34" i="7"/>
  <c r="X35" i="7"/>
  <c r="X36" i="7"/>
  <c r="X37" i="7"/>
  <c r="X39" i="7"/>
  <c r="X40" i="7"/>
  <c r="X41" i="7"/>
  <c r="X42" i="7"/>
  <c r="X43" i="7"/>
  <c r="X44" i="7"/>
  <c r="X45" i="7"/>
  <c r="X35" i="5"/>
  <c r="X36" i="5"/>
  <c r="X37" i="5"/>
  <c r="X38" i="5"/>
  <c r="X40" i="5"/>
  <c r="X41" i="5"/>
  <c r="X42" i="5"/>
  <c r="X43" i="5"/>
  <c r="X44" i="5"/>
  <c r="AP44" i="5" s="1"/>
  <c r="X45" i="5"/>
  <c r="AP45" i="5" s="1"/>
  <c r="Y15" i="7" l="1"/>
  <c r="AK44" i="14"/>
  <c r="AK17" i="7"/>
  <c r="AK16" i="7"/>
  <c r="AK18" i="7"/>
  <c r="AK44" i="7"/>
  <c r="Y44" i="7"/>
  <c r="AK40" i="7"/>
  <c r="Y40" i="7"/>
  <c r="AK35" i="7"/>
  <c r="Y35" i="7"/>
  <c r="AK31" i="7"/>
  <c r="Y31" i="7"/>
  <c r="AK26" i="7"/>
  <c r="Y22" i="7"/>
  <c r="AK22" i="7"/>
  <c r="AK43" i="7"/>
  <c r="Y43" i="7"/>
  <c r="AK39" i="7"/>
  <c r="Y39" i="7"/>
  <c r="AK34" i="7"/>
  <c r="Y34" i="7"/>
  <c r="AK30" i="7"/>
  <c r="Y30" i="7"/>
  <c r="Y25" i="7"/>
  <c r="AK25" i="7"/>
  <c r="Y21" i="7"/>
  <c r="AK21" i="7"/>
  <c r="AK42" i="7"/>
  <c r="Y42" i="7"/>
  <c r="AK37" i="7"/>
  <c r="Y37" i="7"/>
  <c r="AK33" i="7"/>
  <c r="Y33" i="7"/>
  <c r="AK29" i="7"/>
  <c r="Y29" i="7"/>
  <c r="Y24" i="7"/>
  <c r="AK24" i="7"/>
  <c r="Y20" i="7"/>
  <c r="AK20" i="7"/>
  <c r="AK45" i="7"/>
  <c r="Y45" i="7"/>
  <c r="AK41" i="7"/>
  <c r="Y41" i="7"/>
  <c r="AK36" i="7"/>
  <c r="Y36" i="7"/>
  <c r="AK32" i="7"/>
  <c r="Y32" i="7"/>
  <c r="Y27" i="7"/>
  <c r="AK27" i="7"/>
  <c r="Y23" i="7"/>
  <c r="AK23" i="7"/>
  <c r="Y19" i="7"/>
  <c r="AK19" i="7"/>
  <c r="AK15" i="7"/>
  <c r="Y42" i="5"/>
  <c r="Y45" i="5"/>
  <c r="Y44" i="5"/>
  <c r="Y43" i="5"/>
  <c r="Y41" i="5"/>
  <c r="Y40" i="5"/>
  <c r="Y38" i="5"/>
  <c r="Y37" i="5"/>
  <c r="Y36" i="5"/>
  <c r="Y35" i="5"/>
  <c r="Y18" i="7"/>
  <c r="Y17" i="7"/>
  <c r="Y16" i="7"/>
  <c r="Y47" i="7" l="1"/>
  <c r="AD15" i="7"/>
  <c r="AD16" i="7" s="1"/>
  <c r="AD17" i="7" s="1"/>
  <c r="AD18" i="7" s="1"/>
  <c r="AD19" i="7" s="1"/>
  <c r="AD20" i="7" s="1"/>
  <c r="AD21" i="7" s="1"/>
  <c r="AD22" i="7" s="1"/>
  <c r="AD23" i="7" s="1"/>
  <c r="AD24" i="7" s="1"/>
  <c r="AD25" i="7" s="1"/>
  <c r="AD26" i="7" s="1"/>
  <c r="AD27" i="7" s="1"/>
  <c r="AD28" i="7" s="1"/>
  <c r="AD29" i="7" s="1"/>
  <c r="AD30" i="7" s="1"/>
  <c r="AD31" i="7" s="1"/>
  <c r="AD32" i="7" s="1"/>
  <c r="AD33" i="7" s="1"/>
  <c r="AD34" i="7" s="1"/>
  <c r="AD35" i="7" s="1"/>
  <c r="AD36" i="7" s="1"/>
  <c r="AD37" i="7" s="1"/>
  <c r="AD38" i="7" l="1"/>
  <c r="AD39" i="7" s="1"/>
  <c r="AD40" i="7" s="1"/>
  <c r="AD41" i="7" s="1"/>
  <c r="AD42" i="7" s="1"/>
  <c r="AD43" i="7" s="1"/>
  <c r="AD44" i="7" s="1"/>
  <c r="AD45" i="7" s="1"/>
  <c r="AD47" i="7" l="1"/>
  <c r="AD48" i="7" s="1"/>
  <c r="AD12" i="8"/>
  <c r="X17" i="14" l="1"/>
  <c r="AT17" i="14" s="1"/>
  <c r="X18" i="14"/>
  <c r="X19" i="14"/>
  <c r="Y18" i="14" l="1"/>
  <c r="Y19" i="14"/>
  <c r="Y17" i="14"/>
  <c r="X16" i="14"/>
  <c r="BI32" i="5"/>
  <c r="AT16" i="14" l="1"/>
  <c r="Y16" i="14" s="1"/>
  <c r="AB16" i="14" s="1"/>
  <c r="AB17" i="14" s="1"/>
  <c r="AB18" i="14" s="1"/>
  <c r="AB19" i="14" s="1"/>
  <c r="AE46" i="14"/>
  <c r="AE47" i="5"/>
  <c r="AE53" i="5" s="1"/>
  <c r="AE54" i="5" s="1"/>
  <c r="AC47" i="5"/>
  <c r="AB20" i="14" l="1"/>
  <c r="AB21" i="14" s="1"/>
  <c r="AB22" i="14" s="1"/>
  <c r="AB23" i="14" s="1"/>
  <c r="AB24" i="14" s="1"/>
  <c r="AE48" i="5"/>
  <c r="AB25" i="14" l="1"/>
  <c r="AB26" i="14" s="1"/>
  <c r="AB27" i="14" s="1"/>
  <c r="AB28" i="14" s="1"/>
  <c r="AB29" i="14" s="1"/>
  <c r="AB30" i="14" s="1"/>
  <c r="AB31" i="14" s="1"/>
  <c r="AB32" i="14" s="1"/>
  <c r="AB33" i="14" s="1"/>
  <c r="AB34" i="14" s="1"/>
  <c r="AB35" i="14" s="1"/>
  <c r="AB36" i="14" s="1"/>
  <c r="AB37" i="14" s="1"/>
  <c r="AB38" i="14" s="1"/>
  <c r="AB39" i="14" s="1"/>
  <c r="AB40" i="14" s="1"/>
  <c r="AX17" i="14"/>
  <c r="AX18" i="14"/>
  <c r="AX19" i="14"/>
  <c r="AX20" i="14"/>
  <c r="AX21" i="14"/>
  <c r="AX22" i="14"/>
  <c r="AX23" i="14"/>
  <c r="AX24" i="14"/>
  <c r="AX25" i="14"/>
  <c r="AX26" i="14"/>
  <c r="AX28" i="14"/>
  <c r="AX29" i="14"/>
  <c r="AX30" i="14"/>
  <c r="AX31" i="14"/>
  <c r="AX32" i="14"/>
  <c r="AX33" i="14"/>
  <c r="AX34" i="14"/>
  <c r="AX35" i="14"/>
  <c r="AX36" i="14"/>
  <c r="AX37" i="14"/>
  <c r="AX38" i="14"/>
  <c r="AX39" i="14"/>
  <c r="AX40" i="14"/>
  <c r="AX41" i="14"/>
  <c r="AX42" i="14"/>
  <c r="AX43" i="14"/>
  <c r="AX44" i="14"/>
  <c r="AX45" i="4" l="1"/>
  <c r="BH47" i="13" l="1"/>
  <c r="BH48" i="13" s="1"/>
  <c r="BI15" i="13"/>
  <c r="R46" i="1" l="1"/>
  <c r="BI15" i="1" l="1"/>
  <c r="BG24" i="13" l="1"/>
  <c r="BG25" i="13"/>
  <c r="BG26" i="13"/>
  <c r="BG27" i="13"/>
  <c r="BG28" i="13"/>
  <c r="BG29" i="13"/>
  <c r="BG30" i="13"/>
  <c r="BG31" i="13"/>
  <c r="BG32" i="13"/>
  <c r="BG33" i="13"/>
  <c r="BG34" i="13"/>
  <c r="BG35" i="13"/>
  <c r="BG36" i="13"/>
  <c r="BG37" i="13"/>
  <c r="BG38" i="13"/>
  <c r="BG39" i="13"/>
  <c r="BG40" i="13"/>
  <c r="BG41" i="13"/>
  <c r="BG42" i="13"/>
  <c r="BG43" i="13"/>
  <c r="BG44" i="13"/>
  <c r="BG45" i="13"/>
  <c r="BG18" i="5"/>
  <c r="BG19" i="5"/>
  <c r="BG20" i="5"/>
  <c r="BG21" i="5"/>
  <c r="BG22" i="5"/>
  <c r="BG23" i="5"/>
  <c r="BG24" i="5"/>
  <c r="BG25" i="5"/>
  <c r="BG26" i="5"/>
  <c r="BG27" i="5"/>
  <c r="BG28" i="5"/>
  <c r="BG29" i="5"/>
  <c r="BG30" i="5"/>
  <c r="BG31" i="5"/>
  <c r="BG32" i="5"/>
  <c r="BG33" i="5"/>
  <c r="BG34" i="5"/>
  <c r="BG35" i="5"/>
  <c r="BG36" i="5"/>
  <c r="BG37" i="5"/>
  <c r="BG38" i="5"/>
  <c r="BG39" i="5"/>
  <c r="BG40" i="5"/>
  <c r="BG41" i="5"/>
  <c r="BG42" i="5"/>
  <c r="BG43" i="5"/>
  <c r="BG44" i="5"/>
  <c r="BG45" i="5"/>
  <c r="BG24" i="4"/>
  <c r="BG25" i="4"/>
  <c r="BG26" i="4"/>
  <c r="BG27" i="4"/>
  <c r="BG28" i="4"/>
  <c r="BG29" i="4"/>
  <c r="BP46" i="11" l="1"/>
  <c r="BP16" i="12" l="1"/>
  <c r="BP17" i="12"/>
  <c r="BP18" i="12"/>
  <c r="BP19" i="12"/>
  <c r="BP20" i="12"/>
  <c r="BP21" i="12"/>
  <c r="BP22" i="12"/>
  <c r="BP23" i="12"/>
  <c r="BP24" i="12"/>
  <c r="BP25" i="12"/>
  <c r="BP26" i="12"/>
  <c r="BP27" i="12"/>
  <c r="BP28" i="12"/>
  <c r="BP29" i="12"/>
  <c r="BP31" i="12"/>
  <c r="BP32" i="12"/>
  <c r="BP33" i="12"/>
  <c r="BP34" i="12"/>
  <c r="BP35" i="12"/>
  <c r="BP36" i="12"/>
  <c r="BP37" i="12"/>
  <c r="BP38" i="12"/>
  <c r="BP39" i="12"/>
  <c r="BP40" i="12"/>
  <c r="BP41" i="12"/>
  <c r="BP42" i="12"/>
  <c r="BP43" i="12"/>
  <c r="BP44" i="12"/>
  <c r="BP45" i="12"/>
  <c r="BP15" i="12"/>
  <c r="O46" i="11" l="1"/>
  <c r="Y19" i="11" l="1"/>
  <c r="Y20" i="11"/>
  <c r="Y21" i="11"/>
  <c r="Y22" i="11"/>
  <c r="Y23" i="11"/>
  <c r="Y25" i="11"/>
  <c r="Y27" i="11"/>
  <c r="Y28" i="11"/>
  <c r="Y29" i="11"/>
  <c r="Y30" i="11"/>
  <c r="Y31" i="11"/>
  <c r="Y32" i="11"/>
  <c r="Y33" i="11"/>
  <c r="Y34" i="11"/>
  <c r="Y35" i="11"/>
  <c r="Y36" i="11"/>
  <c r="Y37" i="11"/>
  <c r="Y38" i="11"/>
  <c r="Y39" i="11"/>
  <c r="Y40" i="11"/>
  <c r="Y41" i="11"/>
  <c r="Y42" i="11"/>
  <c r="Y43" i="11"/>
  <c r="Y44" i="11"/>
  <c r="Y18" i="11"/>
  <c r="AI16" i="1"/>
  <c r="AI17" i="1" s="1"/>
  <c r="AI18" i="1" s="1"/>
  <c r="Y26" i="11" l="1"/>
  <c r="Y15" i="11"/>
  <c r="Y24" i="11"/>
  <c r="Y16" i="11"/>
  <c r="X46" i="11" l="1"/>
  <c r="Y17" i="11"/>
  <c r="Y46" i="11" s="1"/>
  <c r="BQ47" i="12" l="1"/>
  <c r="BQ48" i="12" s="1"/>
  <c r="BN16" i="12"/>
  <c r="BN17" i="12" s="1"/>
  <c r="BN18" i="12" s="1"/>
  <c r="BN19" i="12" s="1"/>
  <c r="BN20" i="12" s="1"/>
  <c r="BN21" i="12" s="1"/>
  <c r="BN22" i="12" s="1"/>
  <c r="BN23" i="12" s="1"/>
  <c r="BN24" i="12" s="1"/>
  <c r="BN25" i="12" s="1"/>
  <c r="BN26" i="12" s="1"/>
  <c r="BN27" i="12" s="1"/>
  <c r="BN28" i="12" s="1"/>
  <c r="BN29" i="12" s="1"/>
  <c r="BQ13" i="12"/>
  <c r="AU45" i="12"/>
  <c r="AV45" i="12"/>
  <c r="AV44" i="12"/>
  <c r="AU44" i="12"/>
  <c r="AV43" i="12"/>
  <c r="AU43" i="12"/>
  <c r="AV42" i="12"/>
  <c r="AU42" i="12"/>
  <c r="AV41" i="12"/>
  <c r="AU41" i="12"/>
  <c r="AV40" i="12"/>
  <c r="AU40" i="12"/>
  <c r="AV39" i="12"/>
  <c r="AU39" i="12"/>
  <c r="AV38" i="12"/>
  <c r="AU38" i="12"/>
  <c r="AV37" i="12"/>
  <c r="AU37" i="12"/>
  <c r="AV36" i="12"/>
  <c r="AU36" i="12"/>
  <c r="AV35" i="12"/>
  <c r="AU35" i="12"/>
  <c r="AV34" i="12"/>
  <c r="AU34" i="12"/>
  <c r="AV33" i="12"/>
  <c r="AU33" i="12"/>
  <c r="AV32" i="12"/>
  <c r="AU32" i="12"/>
  <c r="AV31" i="12"/>
  <c r="AU31" i="12"/>
  <c r="AV29" i="12"/>
  <c r="AU29" i="12"/>
  <c r="AV28" i="12"/>
  <c r="AU28" i="12"/>
  <c r="AV27" i="12"/>
  <c r="AU27" i="12"/>
  <c r="AV26" i="12"/>
  <c r="AU26" i="12"/>
  <c r="AV25" i="12"/>
  <c r="AU25" i="12"/>
  <c r="AV24" i="12"/>
  <c r="AU24" i="12"/>
  <c r="AV23" i="12"/>
  <c r="AU23" i="12"/>
  <c r="AV22" i="12"/>
  <c r="AU22" i="12"/>
  <c r="AV21" i="12"/>
  <c r="AU21" i="12"/>
  <c r="AV20" i="12"/>
  <c r="AU20" i="12"/>
  <c r="AV19" i="12"/>
  <c r="AU19" i="12"/>
  <c r="AV18" i="12"/>
  <c r="AU18" i="12"/>
  <c r="AV17" i="12"/>
  <c r="AU17" i="12"/>
  <c r="AV16" i="12"/>
  <c r="AU16" i="12"/>
  <c r="AV15" i="12"/>
  <c r="AU15" i="12"/>
  <c r="AQ9" i="12"/>
  <c r="AE47" i="12"/>
  <c r="AE48" i="12" s="1"/>
  <c r="BP47" i="11"/>
  <c r="BQ44" i="11"/>
  <c r="BO44" i="11"/>
  <c r="BQ43" i="11"/>
  <c r="BO43" i="11"/>
  <c r="BQ42" i="11"/>
  <c r="BO42" i="11"/>
  <c r="BQ41" i="11"/>
  <c r="BO41" i="11"/>
  <c r="BQ40" i="11"/>
  <c r="BO40" i="11"/>
  <c r="BQ39" i="11"/>
  <c r="BO39" i="11"/>
  <c r="BQ38" i="11"/>
  <c r="BO38" i="11"/>
  <c r="BQ37" i="11"/>
  <c r="BO37" i="11"/>
  <c r="BQ36" i="11"/>
  <c r="BO36" i="11"/>
  <c r="BQ35" i="11"/>
  <c r="BO35" i="11"/>
  <c r="BQ34" i="11"/>
  <c r="BO34" i="11"/>
  <c r="BQ33" i="11"/>
  <c r="BO33" i="11"/>
  <c r="BQ32" i="11"/>
  <c r="BO32" i="11"/>
  <c r="BQ31" i="11"/>
  <c r="BO31" i="11"/>
  <c r="BQ30" i="11"/>
  <c r="BO30" i="11"/>
  <c r="BQ29" i="11"/>
  <c r="BO29" i="11"/>
  <c r="BQ28" i="11"/>
  <c r="BO28" i="11"/>
  <c r="BQ27" i="11"/>
  <c r="BO27" i="11"/>
  <c r="BQ26" i="11"/>
  <c r="BO26" i="11"/>
  <c r="BQ25" i="11"/>
  <c r="BO25" i="11"/>
  <c r="BQ24" i="11"/>
  <c r="BO24" i="11"/>
  <c r="BQ23" i="11"/>
  <c r="BO23" i="11"/>
  <c r="BQ22" i="11"/>
  <c r="BO22" i="11"/>
  <c r="BQ21" i="11"/>
  <c r="BO21" i="11"/>
  <c r="BQ20" i="11"/>
  <c r="BO20" i="11"/>
  <c r="BQ19" i="11"/>
  <c r="BO19" i="11"/>
  <c r="BQ18" i="11"/>
  <c r="BO18" i="11"/>
  <c r="BQ17" i="11"/>
  <c r="BO17" i="11"/>
  <c r="BQ16" i="11"/>
  <c r="BO16" i="11"/>
  <c r="BM16" i="11"/>
  <c r="BM17" i="11" s="1"/>
  <c r="BM18" i="11" s="1"/>
  <c r="BM19" i="11" s="1"/>
  <c r="BM20" i="11" s="1"/>
  <c r="BM21" i="11" s="1"/>
  <c r="BM22" i="11" s="1"/>
  <c r="BM23" i="11" s="1"/>
  <c r="BM24" i="11" s="1"/>
  <c r="BM25" i="11" s="1"/>
  <c r="BM26" i="11" s="1"/>
  <c r="BM27" i="11" s="1"/>
  <c r="BM28" i="11" s="1"/>
  <c r="BM29" i="11" s="1"/>
  <c r="BM30" i="11" s="1"/>
  <c r="BM31" i="11" s="1"/>
  <c r="BM32" i="11" s="1"/>
  <c r="BM33" i="11" s="1"/>
  <c r="BM34" i="11" s="1"/>
  <c r="BM35" i="11" s="1"/>
  <c r="BM36" i="11" s="1"/>
  <c r="BM37" i="11" s="1"/>
  <c r="BM38" i="11" s="1"/>
  <c r="BM39" i="11" s="1"/>
  <c r="BM40" i="11" s="1"/>
  <c r="BM41" i="11" s="1"/>
  <c r="BM42" i="11" s="1"/>
  <c r="BM43" i="11" s="1"/>
  <c r="BM44" i="11" s="1"/>
  <c r="BQ15" i="11"/>
  <c r="BO15" i="11"/>
  <c r="BQ13" i="11"/>
  <c r="BP13" i="11"/>
  <c r="AV44" i="11"/>
  <c r="AU44" i="11"/>
  <c r="AV43" i="11"/>
  <c r="AU43" i="11"/>
  <c r="AV42" i="11"/>
  <c r="AU42" i="11"/>
  <c r="AV41" i="11"/>
  <c r="AU41" i="11"/>
  <c r="AV40" i="11"/>
  <c r="AU40" i="11"/>
  <c r="AV39" i="11"/>
  <c r="AU39" i="11"/>
  <c r="AV38" i="11"/>
  <c r="AU38" i="11"/>
  <c r="AV37" i="11"/>
  <c r="AU37" i="11"/>
  <c r="AV36" i="11"/>
  <c r="AU36" i="11"/>
  <c r="AV35" i="11"/>
  <c r="AU35" i="11"/>
  <c r="AV34" i="11"/>
  <c r="AU34" i="11"/>
  <c r="AV33" i="11"/>
  <c r="AU33" i="11"/>
  <c r="AV32" i="11"/>
  <c r="AU32" i="11"/>
  <c r="AV31" i="11"/>
  <c r="AU31" i="11"/>
  <c r="AV30" i="11"/>
  <c r="AU30" i="11"/>
  <c r="AV29" i="11"/>
  <c r="AU29" i="11"/>
  <c r="AV28" i="11"/>
  <c r="AU28" i="11"/>
  <c r="AV27" i="11"/>
  <c r="AU27" i="11"/>
  <c r="AV26" i="11"/>
  <c r="AU26" i="11"/>
  <c r="AV25" i="11"/>
  <c r="AU25" i="11"/>
  <c r="AV24" i="11"/>
  <c r="AU24" i="11"/>
  <c r="AV23" i="11"/>
  <c r="AU23" i="11"/>
  <c r="AV22" i="11"/>
  <c r="AU22" i="11"/>
  <c r="AV21" i="11"/>
  <c r="AU21" i="11"/>
  <c r="AV20" i="11"/>
  <c r="AU20" i="11"/>
  <c r="AV19" i="11"/>
  <c r="AU19" i="11"/>
  <c r="AV18" i="11"/>
  <c r="AU18" i="11"/>
  <c r="AV17" i="11"/>
  <c r="AU17" i="11"/>
  <c r="AV16" i="11"/>
  <c r="AU16" i="11"/>
  <c r="AV15" i="11"/>
  <c r="AU15" i="11"/>
  <c r="AQ46" i="11"/>
  <c r="AQ9" i="11"/>
  <c r="AE46" i="11"/>
  <c r="AE47" i="11" s="1"/>
  <c r="BN30" i="12" l="1"/>
  <c r="BN31" i="12" s="1"/>
  <c r="BN32" i="12" s="1"/>
  <c r="BN33" i="12" s="1"/>
  <c r="BN34" i="12" s="1"/>
  <c r="BN35" i="12" s="1"/>
  <c r="BN36" i="12" s="1"/>
  <c r="BN37" i="12" s="1"/>
  <c r="BN38" i="12" s="1"/>
  <c r="BN39" i="12" s="1"/>
  <c r="BN40" i="12" s="1"/>
  <c r="BN41" i="12" s="1"/>
  <c r="BN42" i="12" s="1"/>
  <c r="BN43" i="12" s="1"/>
  <c r="BN44" i="12" s="1"/>
  <c r="BN45" i="12" s="1"/>
  <c r="BQ53" i="12"/>
  <c r="BQ54" i="12" s="1"/>
  <c r="AW27" i="12"/>
  <c r="AW29" i="12"/>
  <c r="AW45" i="12"/>
  <c r="AW33" i="11"/>
  <c r="AW39" i="11"/>
  <c r="AW43" i="11"/>
  <c r="AW25" i="12"/>
  <c r="AW41" i="12"/>
  <c r="AW42" i="12"/>
  <c r="AW44" i="12"/>
  <c r="AW43" i="12"/>
  <c r="AW38" i="12"/>
  <c r="AW37" i="12"/>
  <c r="AW34" i="12"/>
  <c r="AW33" i="12"/>
  <c r="AW35" i="12"/>
  <c r="AW31" i="12"/>
  <c r="AW26" i="12"/>
  <c r="AW28" i="12"/>
  <c r="AW24" i="12"/>
  <c r="AW21" i="12"/>
  <c r="AW20" i="12"/>
  <c r="AW22" i="12"/>
  <c r="AW19" i="12"/>
  <c r="AW18" i="12"/>
  <c r="AW17" i="12"/>
  <c r="AW15" i="12"/>
  <c r="AW44" i="11"/>
  <c r="AW40" i="11"/>
  <c r="AW36" i="11"/>
  <c r="AW29" i="11"/>
  <c r="AW31" i="11"/>
  <c r="AW23" i="11"/>
  <c r="AW24" i="11"/>
  <c r="AW19" i="11"/>
  <c r="AW18" i="11"/>
  <c r="AW17" i="11"/>
  <c r="AW15" i="11"/>
  <c r="AW30" i="11"/>
  <c r="AW34" i="11"/>
  <c r="BP52" i="11"/>
  <c r="BP53" i="11" s="1"/>
  <c r="AW35" i="11"/>
  <c r="AW20" i="11"/>
  <c r="AW27" i="11"/>
  <c r="AW36" i="12"/>
  <c r="AW40" i="12"/>
  <c r="AW16" i="12"/>
  <c r="AW23" i="12"/>
  <c r="AW32" i="12"/>
  <c r="AW39" i="12"/>
  <c r="AW38" i="11"/>
  <c r="BQ46" i="11"/>
  <c r="BQ47" i="11" s="1"/>
  <c r="AW21" i="11"/>
  <c r="AW26" i="11"/>
  <c r="AW28" i="11"/>
  <c r="AW37" i="11"/>
  <c r="AW42" i="11"/>
  <c r="AW22" i="11"/>
  <c r="AW16" i="11"/>
  <c r="AW25" i="11"/>
  <c r="AW32" i="11"/>
  <c r="AW41" i="11"/>
  <c r="AE50" i="12"/>
  <c r="AE51" i="12" s="1"/>
  <c r="AE53" i="12"/>
  <c r="AE54" i="12" s="1"/>
  <c r="AQ47" i="11"/>
  <c r="AE49" i="11"/>
  <c r="AE50" i="11" s="1"/>
  <c r="AE52" i="11"/>
  <c r="AE53" i="11" s="1"/>
  <c r="AW48" i="12" l="1"/>
  <c r="AW47" i="11"/>
  <c r="BQ52" i="11"/>
  <c r="BQ53" i="11" s="1"/>
  <c r="BQ15" i="9"/>
  <c r="BP47" i="10" l="1"/>
  <c r="BP48" i="10" s="1"/>
  <c r="BQ13" i="10"/>
  <c r="BP13" i="10"/>
  <c r="AV45" i="9"/>
  <c r="AQ9" i="10"/>
  <c r="AR47" i="10"/>
  <c r="AR48" i="10" s="1"/>
  <c r="AP47" i="10" l="1"/>
  <c r="AP48" i="10" s="1"/>
  <c r="BQ47" i="10"/>
  <c r="BQ48" i="10" s="1"/>
  <c r="BP53" i="10"/>
  <c r="BP54" i="10" s="1"/>
  <c r="AQ47" i="10"/>
  <c r="AQ48" i="10" s="1"/>
  <c r="BQ53" i="10" l="1"/>
  <c r="BQ54" i="10" s="1"/>
  <c r="O47" i="9"/>
  <c r="AQ9" i="9" l="1"/>
  <c r="AV21" i="9" l="1"/>
  <c r="AV22" i="9"/>
  <c r="AV23" i="9"/>
  <c r="AV24" i="9"/>
  <c r="AV25" i="9"/>
  <c r="AV26" i="9"/>
  <c r="AV27" i="9"/>
  <c r="AV28" i="9"/>
  <c r="AV29" i="9"/>
  <c r="AV30" i="9"/>
  <c r="AV31" i="9"/>
  <c r="AV32" i="9"/>
  <c r="AV33" i="9"/>
  <c r="AV34" i="9"/>
  <c r="AV35" i="9"/>
  <c r="AV36" i="9"/>
  <c r="AV37" i="9"/>
  <c r="AV38" i="9"/>
  <c r="AV39" i="9"/>
  <c r="AV40" i="9"/>
  <c r="AV41" i="9"/>
  <c r="AV42" i="9"/>
  <c r="AV43" i="9"/>
  <c r="AV44" i="9"/>
  <c r="AV15" i="9"/>
  <c r="AV16" i="9"/>
  <c r="AV17" i="9"/>
  <c r="AV18" i="9"/>
  <c r="AV19" i="9"/>
  <c r="AV20" i="9"/>
  <c r="BQ16" i="9" l="1"/>
  <c r="BQ17" i="9"/>
  <c r="BQ18" i="9"/>
  <c r="BQ19" i="9"/>
  <c r="BQ20" i="9"/>
  <c r="BQ21" i="9"/>
  <c r="BQ22" i="9"/>
  <c r="BQ23" i="9"/>
  <c r="BQ24" i="9"/>
  <c r="BQ25" i="9"/>
  <c r="BQ26" i="9"/>
  <c r="BQ27" i="9"/>
  <c r="BQ28" i="9"/>
  <c r="BQ29" i="9"/>
  <c r="BQ30" i="9"/>
  <c r="BQ31" i="9"/>
  <c r="BQ32" i="9"/>
  <c r="BQ33" i="9"/>
  <c r="BQ34" i="9"/>
  <c r="BQ35" i="9"/>
  <c r="BQ36" i="9"/>
  <c r="BQ37" i="9"/>
  <c r="BQ38" i="9"/>
  <c r="BQ39" i="9"/>
  <c r="BQ40" i="9"/>
  <c r="BQ41" i="9"/>
  <c r="BQ42" i="9"/>
  <c r="BQ43" i="9"/>
  <c r="BQ44" i="9"/>
  <c r="BQ45" i="9"/>
  <c r="BQ33" i="8"/>
  <c r="BO16" i="9"/>
  <c r="BO17" i="9"/>
  <c r="BO18" i="9"/>
  <c r="BO19" i="9"/>
  <c r="BO20" i="9"/>
  <c r="BO21" i="9"/>
  <c r="BO22" i="9"/>
  <c r="BO23" i="9"/>
  <c r="BO24" i="9"/>
  <c r="BO25" i="9"/>
  <c r="BO26" i="9"/>
  <c r="BO27" i="9"/>
  <c r="BO28" i="9"/>
  <c r="BO29" i="9"/>
  <c r="BO30" i="9"/>
  <c r="BO31" i="9"/>
  <c r="BO32" i="9"/>
  <c r="BO33" i="9"/>
  <c r="BO34" i="9"/>
  <c r="BO35" i="9"/>
  <c r="BO36" i="9"/>
  <c r="BO37" i="9"/>
  <c r="BO38" i="9"/>
  <c r="BO39" i="9"/>
  <c r="BO40" i="9"/>
  <c r="BO41" i="9"/>
  <c r="BO42" i="9"/>
  <c r="BO43" i="9"/>
  <c r="BO44" i="9"/>
  <c r="BO45" i="9"/>
  <c r="BO15" i="9"/>
  <c r="BM16" i="9"/>
  <c r="BM17" i="9" s="1"/>
  <c r="BM18" i="9" s="1"/>
  <c r="BM19" i="9" s="1"/>
  <c r="BM20" i="9" s="1"/>
  <c r="BM21" i="9" s="1"/>
  <c r="BM22" i="9" s="1"/>
  <c r="BM23" i="9" s="1"/>
  <c r="BM24" i="9" s="1"/>
  <c r="BM25" i="9" s="1"/>
  <c r="BM26" i="9" s="1"/>
  <c r="BM27" i="9" s="1"/>
  <c r="BM28" i="9" s="1"/>
  <c r="BM29" i="9" s="1"/>
  <c r="BM30" i="9" s="1"/>
  <c r="BM31" i="9" s="1"/>
  <c r="BM32" i="9" s="1"/>
  <c r="BM33" i="9" s="1"/>
  <c r="BM34" i="9" s="1"/>
  <c r="BM35" i="9" s="1"/>
  <c r="BM36" i="9" s="1"/>
  <c r="BM37" i="9" s="1"/>
  <c r="BM38" i="9" s="1"/>
  <c r="BM39" i="9" s="1"/>
  <c r="BM40" i="9" s="1"/>
  <c r="BM41" i="9" s="1"/>
  <c r="BM42" i="9" s="1"/>
  <c r="BM43" i="9" s="1"/>
  <c r="BM44" i="9" s="1"/>
  <c r="BM45" i="9" s="1"/>
  <c r="BQ13" i="9"/>
  <c r="BP13" i="9"/>
  <c r="BQ47" i="9" l="1"/>
  <c r="BQ48" i="9" s="1"/>
  <c r="BQ53" i="9" l="1"/>
  <c r="BQ54" i="9" s="1"/>
  <c r="I42" i="8" l="1"/>
  <c r="AT42" i="8"/>
  <c r="BO42" i="8"/>
  <c r="BQ42" i="8"/>
  <c r="AU42" i="8" l="1"/>
  <c r="AV42" i="8" s="1"/>
  <c r="I21" i="8" l="1"/>
  <c r="AT21" i="8"/>
  <c r="AU21" i="8" s="1"/>
  <c r="AV21" i="8" s="1"/>
  <c r="BO21" i="8"/>
  <c r="BQ21" i="8"/>
  <c r="I19" i="8" l="1"/>
  <c r="AT19" i="8"/>
  <c r="AU19" i="8" s="1"/>
  <c r="AV19" i="8" s="1"/>
  <c r="BO19" i="8"/>
  <c r="BQ19" i="8"/>
  <c r="BQ44" i="8" l="1"/>
  <c r="BO44" i="8"/>
  <c r="BQ43" i="8"/>
  <c r="BO43" i="8"/>
  <c r="BQ41" i="8"/>
  <c r="BO41" i="8"/>
  <c r="BQ40" i="8"/>
  <c r="BO40" i="8"/>
  <c r="BQ39" i="8"/>
  <c r="BO39" i="8"/>
  <c r="BQ38" i="8"/>
  <c r="BO38" i="8"/>
  <c r="BQ37" i="8"/>
  <c r="BO37" i="8"/>
  <c r="BQ36" i="8"/>
  <c r="BO36" i="8"/>
  <c r="BQ35" i="8"/>
  <c r="BO35" i="8"/>
  <c r="BQ34" i="8"/>
  <c r="BO34" i="8"/>
  <c r="BO33" i="8"/>
  <c r="BQ32" i="8"/>
  <c r="BO32" i="8"/>
  <c r="BQ31" i="8"/>
  <c r="BO31" i="8"/>
  <c r="BQ30" i="8"/>
  <c r="BO30" i="8"/>
  <c r="BQ29" i="8"/>
  <c r="BO29" i="8"/>
  <c r="BQ28" i="8"/>
  <c r="BO28" i="8"/>
  <c r="BQ27" i="8"/>
  <c r="BO27" i="8"/>
  <c r="BQ26" i="8"/>
  <c r="BO26" i="8"/>
  <c r="BQ25" i="8"/>
  <c r="BO25" i="8"/>
  <c r="BQ24" i="8"/>
  <c r="BO24" i="8"/>
  <c r="BQ23" i="8"/>
  <c r="BO23" i="8"/>
  <c r="BQ22" i="8"/>
  <c r="BO22" i="8"/>
  <c r="BQ20" i="8"/>
  <c r="BO20" i="8"/>
  <c r="BQ18" i="8"/>
  <c r="BO18" i="8"/>
  <c r="BQ17" i="8"/>
  <c r="BO17" i="8"/>
  <c r="BQ16" i="8"/>
  <c r="BO16" i="8"/>
  <c r="BM16" i="8"/>
  <c r="BM17" i="8" s="1"/>
  <c r="BM18" i="8" s="1"/>
  <c r="BQ15" i="8"/>
  <c r="BO15" i="8"/>
  <c r="AT15" i="7"/>
  <c r="AU15" i="7" s="1"/>
  <c r="AV15" i="7" s="1"/>
  <c r="AT44" i="8"/>
  <c r="AT43" i="8"/>
  <c r="AT41" i="8"/>
  <c r="AT40" i="8"/>
  <c r="AT39" i="8"/>
  <c r="AT38" i="8"/>
  <c r="AT37" i="8"/>
  <c r="AT36" i="8"/>
  <c r="AT35" i="8"/>
  <c r="AT34" i="8"/>
  <c r="AT33" i="8"/>
  <c r="AT32" i="8"/>
  <c r="AT31" i="8"/>
  <c r="AT30" i="8"/>
  <c r="AT29" i="8"/>
  <c r="AU29" i="8" s="1"/>
  <c r="AT28" i="8"/>
  <c r="AT27" i="8"/>
  <c r="AT26" i="8"/>
  <c r="AT25" i="8"/>
  <c r="AT24" i="8"/>
  <c r="AT23" i="8"/>
  <c r="AT22" i="8"/>
  <c r="AT20" i="8"/>
  <c r="AT18" i="8"/>
  <c r="AT17" i="8"/>
  <c r="AT16" i="8"/>
  <c r="AT15" i="8"/>
  <c r="AU15" i="8" s="1"/>
  <c r="BM19" i="8" l="1"/>
  <c r="BM20" i="8" s="1"/>
  <c r="BQ46" i="8"/>
  <c r="BQ47" i="8" s="1"/>
  <c r="AV15" i="8"/>
  <c r="AU16" i="8"/>
  <c r="AV16" i="8" s="1"/>
  <c r="AU17" i="8"/>
  <c r="AV17" i="8" s="1"/>
  <c r="AU18" i="8"/>
  <c r="AV18" i="8" s="1"/>
  <c r="AU20" i="8"/>
  <c r="AV20" i="8" s="1"/>
  <c r="AU22" i="8"/>
  <c r="AV22" i="8" s="1"/>
  <c r="AU23" i="8"/>
  <c r="AV23" i="8" s="1"/>
  <c r="AU24" i="8"/>
  <c r="AV24" i="8" s="1"/>
  <c r="AU25" i="8"/>
  <c r="AV25" i="8" s="1"/>
  <c r="AU26" i="8"/>
  <c r="AV26" i="8" s="1"/>
  <c r="AU27" i="8"/>
  <c r="AV27" i="8" s="1"/>
  <c r="AU28" i="8"/>
  <c r="AV28" i="8" s="1"/>
  <c r="AV29" i="8"/>
  <c r="AU30" i="8"/>
  <c r="AV30" i="8" s="1"/>
  <c r="AU31" i="8"/>
  <c r="AV31" i="8" s="1"/>
  <c r="AU32" i="8"/>
  <c r="AV32" i="8" s="1"/>
  <c r="AU33" i="8"/>
  <c r="AV33" i="8" s="1"/>
  <c r="AU34" i="8"/>
  <c r="AV34" i="8" s="1"/>
  <c r="AU35" i="8"/>
  <c r="AV35" i="8" s="1"/>
  <c r="AU36" i="8"/>
  <c r="AV36" i="8" s="1"/>
  <c r="AU37" i="8"/>
  <c r="AV37" i="8" s="1"/>
  <c r="AU38" i="8"/>
  <c r="AV38" i="8" s="1"/>
  <c r="AU39" i="8"/>
  <c r="AV39" i="8" s="1"/>
  <c r="AU40" i="8"/>
  <c r="AV40" i="8" s="1"/>
  <c r="AU41" i="8"/>
  <c r="AV41" i="8" s="1"/>
  <c r="AU43" i="8"/>
  <c r="AV43" i="8" s="1"/>
  <c r="AU44" i="8"/>
  <c r="AV44" i="8" s="1"/>
  <c r="AV47" i="8" l="1"/>
  <c r="BM21" i="8"/>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l="1"/>
  <c r="BM43" i="8" s="1"/>
  <c r="BM44" i="8" s="1"/>
  <c r="BN24" i="7" l="1"/>
  <c r="BN25" i="7"/>
  <c r="BN26" i="7"/>
  <c r="BN27" i="7"/>
  <c r="BN28" i="7"/>
  <c r="BN29" i="7"/>
  <c r="BN30" i="7"/>
  <c r="BN31" i="7"/>
  <c r="BN32" i="7"/>
  <c r="BN33" i="7"/>
  <c r="BN34" i="7"/>
  <c r="BN35" i="7"/>
  <c r="BN36" i="7"/>
  <c r="BN37" i="7"/>
  <c r="BN38" i="7"/>
  <c r="BN39" i="7"/>
  <c r="BN40" i="7"/>
  <c r="BN41" i="7"/>
  <c r="BN42" i="7"/>
  <c r="BN43" i="7"/>
  <c r="BN44" i="7"/>
  <c r="BN45" i="7"/>
  <c r="BN23" i="7"/>
  <c r="AO47" i="7" l="1"/>
  <c r="AO48" i="7" s="1"/>
  <c r="AO13" i="8"/>
  <c r="AO13" i="7" l="1"/>
  <c r="BP16" i="7" l="1"/>
  <c r="BP17" i="7"/>
  <c r="BP18" i="7"/>
  <c r="BP19" i="7"/>
  <c r="BP20" i="7"/>
  <c r="BP21" i="7"/>
  <c r="BP22" i="7"/>
  <c r="BP23" i="7"/>
  <c r="BP24" i="7"/>
  <c r="BP25" i="7"/>
  <c r="BP26" i="7"/>
  <c r="BP27" i="7"/>
  <c r="BP28" i="7"/>
  <c r="BP29" i="7"/>
  <c r="BP30" i="7"/>
  <c r="BP31" i="7"/>
  <c r="BP32" i="7"/>
  <c r="BP33" i="7"/>
  <c r="BP34" i="7"/>
  <c r="BP35" i="7"/>
  <c r="BP36" i="7"/>
  <c r="BP37" i="7"/>
  <c r="BP38" i="7"/>
  <c r="BP39" i="7"/>
  <c r="BP40" i="7"/>
  <c r="BP41" i="7"/>
  <c r="BP42" i="7"/>
  <c r="BP43" i="7"/>
  <c r="BP44" i="7"/>
  <c r="BP45" i="7"/>
  <c r="BP15" i="7"/>
  <c r="BN22" i="7"/>
  <c r="BN21" i="7"/>
  <c r="BN20" i="7"/>
  <c r="BN19" i="7"/>
  <c r="BN18" i="7"/>
  <c r="BN17" i="7"/>
  <c r="BN16" i="7"/>
  <c r="BN15" i="7"/>
  <c r="AT16" i="7"/>
  <c r="AU16" i="7" s="1"/>
  <c r="AV16" i="7" s="1"/>
  <c r="AT17" i="7"/>
  <c r="AT18" i="7"/>
  <c r="AT19" i="7"/>
  <c r="AT20" i="7"/>
  <c r="AT21" i="7"/>
  <c r="AT22" i="7"/>
  <c r="AT23" i="7"/>
  <c r="AT24" i="7"/>
  <c r="AT25" i="7"/>
  <c r="AT26" i="7"/>
  <c r="AU26" i="7" s="1"/>
  <c r="AT27" i="7"/>
  <c r="AT29" i="7"/>
  <c r="AT30" i="7"/>
  <c r="AT31" i="7"/>
  <c r="AT32" i="7"/>
  <c r="AT33" i="7"/>
  <c r="AT34" i="7"/>
  <c r="AT35" i="7"/>
  <c r="AT36" i="7"/>
  <c r="AT37" i="7"/>
  <c r="AT38" i="7"/>
  <c r="AT39" i="7"/>
  <c r="AT40" i="7"/>
  <c r="AT41" i="7"/>
  <c r="AT42" i="7"/>
  <c r="AT43" i="7"/>
  <c r="AT44" i="7"/>
  <c r="AT45" i="7"/>
  <c r="AN47" i="7"/>
  <c r="BO47" i="7"/>
  <c r="BO48" i="7" s="1"/>
  <c r="BL16" i="7"/>
  <c r="BL17" i="7" s="1"/>
  <c r="BL18" i="7" s="1"/>
  <c r="BL19" i="7" s="1"/>
  <c r="BL20" i="7" s="1"/>
  <c r="BL21" i="7" s="1"/>
  <c r="BL22" i="7" s="1"/>
  <c r="BL23" i="7" s="1"/>
  <c r="BL24" i="7" s="1"/>
  <c r="BL25" i="7" s="1"/>
  <c r="BL26" i="7" s="1"/>
  <c r="BL27" i="7" s="1"/>
  <c r="BL28" i="7" s="1"/>
  <c r="BL29" i="7" s="1"/>
  <c r="BL30" i="7" s="1"/>
  <c r="BL31" i="7" s="1"/>
  <c r="BL32" i="7" s="1"/>
  <c r="BL33" i="7" s="1"/>
  <c r="BL34" i="7" s="1"/>
  <c r="BL35" i="7" s="1"/>
  <c r="BL36" i="7" s="1"/>
  <c r="BL37" i="7" s="1"/>
  <c r="BL38" i="7" s="1"/>
  <c r="BL39" i="7" s="1"/>
  <c r="BL40" i="7" s="1"/>
  <c r="BL41" i="7" s="1"/>
  <c r="BL42" i="7" s="1"/>
  <c r="BL43" i="7" s="1"/>
  <c r="BL44" i="7" s="1"/>
  <c r="BL45" i="7" s="1"/>
  <c r="AU42" i="7" l="1"/>
  <c r="AV42" i="7" s="1"/>
  <c r="AU38" i="7"/>
  <c r="AV38" i="7" s="1"/>
  <c r="AU34" i="7"/>
  <c r="AV34" i="7" s="1"/>
  <c r="AU30" i="7"/>
  <c r="AV30" i="7" s="1"/>
  <c r="AU22" i="7"/>
  <c r="AV22" i="7" s="1"/>
  <c r="AU18" i="7"/>
  <c r="AV18" i="7" s="1"/>
  <c r="AU45" i="7"/>
  <c r="AV45" i="7" s="1"/>
  <c r="AU41" i="7"/>
  <c r="AV41" i="7" s="1"/>
  <c r="AU37" i="7"/>
  <c r="AV37" i="7" s="1"/>
  <c r="AU33" i="7"/>
  <c r="AV33" i="7" s="1"/>
  <c r="AU29" i="7"/>
  <c r="AV29" i="7" s="1"/>
  <c r="AU25" i="7"/>
  <c r="AV25" i="7" s="1"/>
  <c r="AU21" i="7"/>
  <c r="AV21" i="7" s="1"/>
  <c r="AU17" i="7"/>
  <c r="AV17" i="7" s="1"/>
  <c r="AU43" i="7"/>
  <c r="AV43" i="7" s="1"/>
  <c r="AU39" i="7"/>
  <c r="AV39" i="7" s="1"/>
  <c r="AU35" i="7"/>
  <c r="AV35" i="7" s="1"/>
  <c r="AU31" i="7"/>
  <c r="AV31" i="7" s="1"/>
  <c r="AU27" i="7"/>
  <c r="AV27" i="7" s="1"/>
  <c r="AU23" i="7"/>
  <c r="AV23" i="7" s="1"/>
  <c r="AU19" i="7"/>
  <c r="AV19" i="7" s="1"/>
  <c r="BP47" i="7"/>
  <c r="BP48" i="7" s="1"/>
  <c r="AV26" i="7"/>
  <c r="AU44" i="7"/>
  <c r="AV44" i="7" s="1"/>
  <c r="AU40" i="7"/>
  <c r="AV40" i="7" s="1"/>
  <c r="AU36" i="7"/>
  <c r="AV36" i="7" s="1"/>
  <c r="AU32" i="7"/>
  <c r="AV32" i="7" s="1"/>
  <c r="AU28" i="7"/>
  <c r="AV28" i="7" s="1"/>
  <c r="AU24" i="7"/>
  <c r="AV24" i="7" s="1"/>
  <c r="AU20" i="7"/>
  <c r="AV20" i="7" s="1"/>
  <c r="AV48" i="7" l="1"/>
  <c r="I40" i="14"/>
  <c r="AU40" i="14" s="1"/>
  <c r="AW40" i="14"/>
  <c r="AK41" i="14"/>
  <c r="AK42" i="14"/>
  <c r="AK43" i="14"/>
  <c r="AA40" i="14" l="1"/>
  <c r="BL40" i="14"/>
  <c r="BM40" i="14" s="1"/>
  <c r="AK40" i="14"/>
  <c r="BI40" i="14"/>
  <c r="AK39" i="14" l="1"/>
  <c r="O46" i="14" l="1"/>
  <c r="AW44" i="14"/>
  <c r="AW43" i="14"/>
  <c r="AW42" i="14"/>
  <c r="AW41" i="14"/>
  <c r="AW39" i="14"/>
  <c r="AW38" i="14"/>
  <c r="AW37" i="14"/>
  <c r="AW36" i="14"/>
  <c r="AW35" i="14"/>
  <c r="AW34" i="14"/>
  <c r="AW33" i="14"/>
  <c r="AW32" i="14"/>
  <c r="AW31" i="14"/>
  <c r="AW30" i="14"/>
  <c r="AW29" i="14"/>
  <c r="AW28" i="14"/>
  <c r="AW26" i="14"/>
  <c r="AW25" i="14"/>
  <c r="AW24" i="14"/>
  <c r="AW23" i="14"/>
  <c r="AW22" i="14"/>
  <c r="AY22" i="14" s="1"/>
  <c r="AW21" i="14"/>
  <c r="AW20" i="14"/>
  <c r="AW19" i="14"/>
  <c r="AW18" i="14"/>
  <c r="AW17" i="14"/>
  <c r="AW16" i="14"/>
  <c r="BI24" i="5"/>
  <c r="BI25" i="5"/>
  <c r="BI26" i="5"/>
  <c r="BI23" i="5"/>
  <c r="BI20" i="5"/>
  <c r="U33" i="4"/>
  <c r="X33" i="4" s="1"/>
  <c r="U28" i="4"/>
  <c r="X28" i="4" s="1"/>
  <c r="U18" i="4"/>
  <c r="X18" i="4" s="1"/>
  <c r="Y18" i="4" s="1"/>
  <c r="U22" i="4"/>
  <c r="X22" i="4" s="1"/>
  <c r="Y22" i="4" s="1"/>
  <c r="T45" i="4"/>
  <c r="T46" i="4" s="1"/>
  <c r="U27" i="4"/>
  <c r="X27" i="4" s="1"/>
  <c r="U37" i="4"/>
  <c r="X37" i="4" s="1"/>
  <c r="U25" i="4"/>
  <c r="X25" i="4" s="1"/>
  <c r="Y25" i="4" s="1"/>
  <c r="BI39" i="5"/>
  <c r="BI40" i="5"/>
  <c r="BI41" i="5"/>
  <c r="BI42" i="5"/>
  <c r="BI43" i="5"/>
  <c r="BI44" i="5"/>
  <c r="BI45" i="5"/>
  <c r="BH47" i="5"/>
  <c r="BH48" i="5" s="1"/>
  <c r="BI38" i="5"/>
  <c r="BI37" i="5"/>
  <c r="BI36" i="5"/>
  <c r="BI35" i="5"/>
  <c r="BI34" i="5"/>
  <c r="BI33" i="5"/>
  <c r="BI31" i="5"/>
  <c r="BI30" i="5"/>
  <c r="BI29" i="5"/>
  <c r="BI28" i="5"/>
  <c r="BI27" i="5"/>
  <c r="BI22" i="5"/>
  <c r="BI21" i="5"/>
  <c r="BI19" i="5"/>
  <c r="BI18" i="5"/>
  <c r="BI17" i="5"/>
  <c r="BG17" i="5"/>
  <c r="BI16" i="5"/>
  <c r="BG16" i="5"/>
  <c r="BE16" i="5"/>
  <c r="BE17" i="5" s="1"/>
  <c r="BE18" i="5" s="1"/>
  <c r="BE19" i="5" s="1"/>
  <c r="BE20" i="5" s="1"/>
  <c r="BE21" i="5" s="1"/>
  <c r="BE22" i="5" s="1"/>
  <c r="BE23" i="5" s="1"/>
  <c r="BE24" i="5" s="1"/>
  <c r="BE25" i="5" s="1"/>
  <c r="BE26" i="5" s="1"/>
  <c r="BE27" i="5" s="1"/>
  <c r="BE28" i="5" s="1"/>
  <c r="BE29" i="5" s="1"/>
  <c r="BE30" i="5" s="1"/>
  <c r="BE31" i="5" s="1"/>
  <c r="BE32" i="5" s="1"/>
  <c r="BE33" i="5" s="1"/>
  <c r="BE34" i="5" s="1"/>
  <c r="BE35" i="5" s="1"/>
  <c r="BE36" i="5" s="1"/>
  <c r="BE37" i="5" s="1"/>
  <c r="BE38" i="5" s="1"/>
  <c r="BE39" i="5" s="1"/>
  <c r="BE40" i="5" s="1"/>
  <c r="BE41" i="5" s="1"/>
  <c r="BE42" i="5" s="1"/>
  <c r="BE43" i="5" s="1"/>
  <c r="BE44" i="5" s="1"/>
  <c r="BE45" i="5" s="1"/>
  <c r="BI13" i="5"/>
  <c r="BH13" i="5"/>
  <c r="U40" i="13"/>
  <c r="X40" i="13" s="1"/>
  <c r="Y40" i="13" s="1"/>
  <c r="U32" i="13"/>
  <c r="X32" i="13" s="1"/>
  <c r="Y32" i="13" s="1"/>
  <c r="O45" i="4"/>
  <c r="O46" i="4" s="1"/>
  <c r="BH45" i="4"/>
  <c r="BH46" i="4" s="1"/>
  <c r="BI43" i="4"/>
  <c r="BG43" i="4"/>
  <c r="BI41" i="4"/>
  <c r="BG41" i="4"/>
  <c r="BI40" i="4"/>
  <c r="BG40" i="4"/>
  <c r="BI39" i="4"/>
  <c r="BG39" i="4"/>
  <c r="BI38" i="4"/>
  <c r="BG38" i="4"/>
  <c r="BI37" i="4"/>
  <c r="BG37" i="4"/>
  <c r="BI36" i="4"/>
  <c r="BG36" i="4"/>
  <c r="BI35" i="4"/>
  <c r="BG35" i="4"/>
  <c r="BI34" i="4"/>
  <c r="BG34" i="4"/>
  <c r="BI33" i="4"/>
  <c r="BG33" i="4"/>
  <c r="BI32" i="4"/>
  <c r="BG32" i="4"/>
  <c r="BI31" i="4"/>
  <c r="BG31" i="4"/>
  <c r="BI30" i="4"/>
  <c r="BG30" i="4"/>
  <c r="BI29" i="4"/>
  <c r="BI28" i="4"/>
  <c r="BI27" i="4"/>
  <c r="BI26" i="4"/>
  <c r="BI25" i="4"/>
  <c r="BI24" i="4"/>
  <c r="BI23" i="4"/>
  <c r="BG23" i="4"/>
  <c r="BI22" i="4"/>
  <c r="BG22" i="4"/>
  <c r="BI21" i="4"/>
  <c r="BG21" i="4"/>
  <c r="BI20" i="4"/>
  <c r="BG20" i="4"/>
  <c r="BI19" i="4"/>
  <c r="BG19" i="4"/>
  <c r="BI18" i="4"/>
  <c r="BG18" i="4"/>
  <c r="BI17" i="4"/>
  <c r="BG17" i="4"/>
  <c r="BI16" i="4"/>
  <c r="BG16" i="4"/>
  <c r="BI15" i="4"/>
  <c r="BG15" i="4"/>
  <c r="BI13" i="4"/>
  <c r="BH13" i="4"/>
  <c r="BI44" i="13"/>
  <c r="BI16" i="13"/>
  <c r="BI17" i="13"/>
  <c r="BI18" i="13"/>
  <c r="BI19" i="13"/>
  <c r="BI20" i="13"/>
  <c r="BI21" i="13"/>
  <c r="BI22" i="13"/>
  <c r="BI23" i="13"/>
  <c r="BI24" i="13"/>
  <c r="BI25" i="13"/>
  <c r="BI26" i="13"/>
  <c r="BI27" i="13"/>
  <c r="BI28" i="13"/>
  <c r="BI29" i="13"/>
  <c r="BI30" i="13"/>
  <c r="BI31" i="13"/>
  <c r="BI32" i="13"/>
  <c r="BI33" i="13"/>
  <c r="BI34" i="13"/>
  <c r="BI35" i="13"/>
  <c r="BI36" i="13"/>
  <c r="BI37" i="13"/>
  <c r="BI38" i="13"/>
  <c r="BI39" i="13"/>
  <c r="BI40" i="13"/>
  <c r="BI41" i="13"/>
  <c r="BI42" i="13"/>
  <c r="BI43" i="13"/>
  <c r="BI45" i="13"/>
  <c r="BI13" i="13"/>
  <c r="BH13" i="13"/>
  <c r="O47" i="13"/>
  <c r="O48" i="13" s="1"/>
  <c r="S47" i="2"/>
  <c r="S48" i="2" s="1"/>
  <c r="V47" i="2"/>
  <c r="V48" i="2" s="1"/>
  <c r="W47" i="2"/>
  <c r="W48" i="2" s="1"/>
  <c r="O47" i="2"/>
  <c r="O48" i="2" s="1"/>
  <c r="BG23" i="13"/>
  <c r="BG22" i="13"/>
  <c r="BG21" i="13"/>
  <c r="BG20" i="13"/>
  <c r="BG19" i="13"/>
  <c r="BG18" i="13"/>
  <c r="BG17" i="13"/>
  <c r="BG16" i="13"/>
  <c r="BG15" i="13"/>
  <c r="BI26" i="2"/>
  <c r="BG16" i="2"/>
  <c r="BG17" i="2"/>
  <c r="BG18" i="2"/>
  <c r="BG19" i="2"/>
  <c r="BG20" i="2"/>
  <c r="BG21" i="2"/>
  <c r="BG22" i="2"/>
  <c r="BG23" i="2"/>
  <c r="BG24" i="2"/>
  <c r="BG25" i="2"/>
  <c r="BG26" i="2"/>
  <c r="BG27" i="2"/>
  <c r="BG28" i="2"/>
  <c r="BG29" i="2"/>
  <c r="BG30" i="2"/>
  <c r="BG31" i="2"/>
  <c r="BG32" i="2"/>
  <c r="BG33" i="2"/>
  <c r="BG34" i="2"/>
  <c r="BG35" i="2"/>
  <c r="BG36" i="2"/>
  <c r="BG37" i="2"/>
  <c r="BG38" i="2"/>
  <c r="BG39" i="2"/>
  <c r="BG40" i="2"/>
  <c r="BG41" i="2"/>
  <c r="BG42" i="2"/>
  <c r="BG43" i="2"/>
  <c r="BG44" i="2"/>
  <c r="BG45" i="2"/>
  <c r="BG15" i="2"/>
  <c r="BI45" i="2"/>
  <c r="BE45" i="2"/>
  <c r="BI16" i="2"/>
  <c r="BI17" i="2"/>
  <c r="BI18" i="2"/>
  <c r="BI19" i="2"/>
  <c r="BI20" i="2"/>
  <c r="BI21" i="2"/>
  <c r="BI22" i="2"/>
  <c r="BI23" i="2"/>
  <c r="BI24" i="2"/>
  <c r="BI25" i="2"/>
  <c r="BI27" i="2"/>
  <c r="BI28" i="2"/>
  <c r="BI29" i="2"/>
  <c r="BI30" i="2"/>
  <c r="BI31" i="2"/>
  <c r="BI32" i="2"/>
  <c r="BI33" i="2"/>
  <c r="BI34" i="2"/>
  <c r="BI35" i="2"/>
  <c r="BI36" i="2"/>
  <c r="BI37" i="2"/>
  <c r="BI38" i="2"/>
  <c r="BI39" i="2"/>
  <c r="BI40" i="2"/>
  <c r="BI41" i="2"/>
  <c r="BI42" i="2"/>
  <c r="BI43" i="2"/>
  <c r="BI44" i="2"/>
  <c r="BI15" i="2"/>
  <c r="BH47" i="2"/>
  <c r="BH48" i="2" s="1"/>
  <c r="BI16" i="1"/>
  <c r="BI17" i="1"/>
  <c r="BI18" i="1"/>
  <c r="BI19" i="1"/>
  <c r="BI20" i="1"/>
  <c r="BI21" i="1"/>
  <c r="BI22" i="1"/>
  <c r="BI23" i="1"/>
  <c r="BI24" i="1"/>
  <c r="BI25" i="1"/>
  <c r="BI26" i="1"/>
  <c r="BI27" i="1"/>
  <c r="BI28" i="1"/>
  <c r="BI29" i="1"/>
  <c r="BI30" i="1"/>
  <c r="BI31" i="1"/>
  <c r="BI32" i="1"/>
  <c r="BI33" i="1"/>
  <c r="BI34" i="1"/>
  <c r="BI35" i="1"/>
  <c r="BI36" i="1"/>
  <c r="BI37" i="1"/>
  <c r="BI38" i="1"/>
  <c r="BI39" i="1"/>
  <c r="BI40" i="1"/>
  <c r="BI41" i="1"/>
  <c r="BI42" i="1"/>
  <c r="BI43" i="1"/>
  <c r="BI44" i="1"/>
  <c r="BH46" i="1"/>
  <c r="BH52" i="1" s="1"/>
  <c r="BH53" i="1" s="1"/>
  <c r="O46" i="1"/>
  <c r="O52" i="1" s="1"/>
  <c r="BG22" i="1"/>
  <c r="BG17" i="1"/>
  <c r="BG18" i="1"/>
  <c r="BG19" i="1"/>
  <c r="BG20" i="1"/>
  <c r="BG21" i="1"/>
  <c r="BG23" i="1"/>
  <c r="BG24" i="1"/>
  <c r="BG25" i="1"/>
  <c r="BG26" i="1"/>
  <c r="BG27" i="1"/>
  <c r="BG28" i="1"/>
  <c r="BG29" i="1"/>
  <c r="BG30" i="1"/>
  <c r="BG31" i="1"/>
  <c r="BG32" i="1"/>
  <c r="BG33" i="1"/>
  <c r="BG34" i="1"/>
  <c r="BG35" i="1"/>
  <c r="BG36" i="1"/>
  <c r="BG37" i="1"/>
  <c r="BG38" i="1"/>
  <c r="BG39" i="1"/>
  <c r="BG40" i="1"/>
  <c r="BG41" i="1"/>
  <c r="BG42" i="1"/>
  <c r="BG43" i="1"/>
  <c r="BG44" i="1"/>
  <c r="BG15" i="1"/>
  <c r="BG16" i="1"/>
  <c r="BE45" i="13"/>
  <c r="BE16" i="4"/>
  <c r="BE17" i="4" s="1"/>
  <c r="BE18" i="4" s="1"/>
  <c r="BE19" i="4" s="1"/>
  <c r="BE20" i="4" s="1"/>
  <c r="BE21" i="4" s="1"/>
  <c r="BE22" i="4" s="1"/>
  <c r="BE23" i="4" s="1"/>
  <c r="BE24" i="4" s="1"/>
  <c r="BE25" i="4" s="1"/>
  <c r="BE26" i="4" s="1"/>
  <c r="BE27" i="4" s="1"/>
  <c r="BE28" i="4" s="1"/>
  <c r="BE29" i="4" s="1"/>
  <c r="BE30" i="4" s="1"/>
  <c r="BE31" i="4" s="1"/>
  <c r="BE32" i="4" s="1"/>
  <c r="BE33" i="4" s="1"/>
  <c r="BE34" i="4" s="1"/>
  <c r="BE35" i="4" s="1"/>
  <c r="BE36" i="4" s="1"/>
  <c r="BE37" i="4" s="1"/>
  <c r="BE38" i="4" s="1"/>
  <c r="BE39" i="4" s="1"/>
  <c r="BE40" i="4" s="1"/>
  <c r="BE16" i="13"/>
  <c r="BE17" i="13" s="1"/>
  <c r="BE18" i="13" s="1"/>
  <c r="BE19" i="13" s="1"/>
  <c r="BE20" i="13" s="1"/>
  <c r="BE21" i="13" s="1"/>
  <c r="BE22" i="13" s="1"/>
  <c r="BE23" i="13" s="1"/>
  <c r="BE24" i="13" s="1"/>
  <c r="BE25" i="13" s="1"/>
  <c r="BE26" i="13" s="1"/>
  <c r="BE27" i="13" s="1"/>
  <c r="BE28" i="13" s="1"/>
  <c r="BE29" i="13" s="1"/>
  <c r="BE30" i="13" s="1"/>
  <c r="BE31" i="13" s="1"/>
  <c r="BE32" i="13" s="1"/>
  <c r="BE33" i="13" s="1"/>
  <c r="BE34" i="13" s="1"/>
  <c r="BE35" i="13" s="1"/>
  <c r="BE36" i="13" s="1"/>
  <c r="BE37" i="13" s="1"/>
  <c r="BE38" i="13" s="1"/>
  <c r="BE39" i="13" s="1"/>
  <c r="BE40" i="13" s="1"/>
  <c r="BE41" i="13" s="1"/>
  <c r="BE42" i="13" s="1"/>
  <c r="BE43" i="13" s="1"/>
  <c r="BE19" i="2"/>
  <c r="BE20" i="2" s="1"/>
  <c r="BE21" i="2" s="1"/>
  <c r="BE22" i="2" s="1"/>
  <c r="BE23" i="2" s="1"/>
  <c r="BE24" i="2" s="1"/>
  <c r="BE25" i="2" s="1"/>
  <c r="BE26" i="2" s="1"/>
  <c r="BE27" i="2" s="1"/>
  <c r="BE28" i="2" s="1"/>
  <c r="BE29" i="2" s="1"/>
  <c r="BE30" i="2" s="1"/>
  <c r="BE31" i="2" s="1"/>
  <c r="BE32" i="2" s="1"/>
  <c r="BE33" i="2" s="1"/>
  <c r="BE34" i="2" s="1"/>
  <c r="BE35" i="2" s="1"/>
  <c r="BE36" i="2" s="1"/>
  <c r="BE37" i="2" s="1"/>
  <c r="BE38" i="2" s="1"/>
  <c r="BE39" i="2" s="1"/>
  <c r="BE40" i="2" s="1"/>
  <c r="BE41" i="2" s="1"/>
  <c r="BE42" i="2" s="1"/>
  <c r="BE43" i="2" s="1"/>
  <c r="BE16" i="1"/>
  <c r="BE17" i="1" s="1"/>
  <c r="BE18" i="1" s="1"/>
  <c r="BE19" i="1" s="1"/>
  <c r="BE20" i="1" s="1"/>
  <c r="BE21" i="1" s="1"/>
  <c r="BE22" i="1" s="1"/>
  <c r="BE23" i="1" s="1"/>
  <c r="BE24" i="1" s="1"/>
  <c r="BE25" i="1" s="1"/>
  <c r="BE26" i="1" s="1"/>
  <c r="BE27" i="1" s="1"/>
  <c r="BE28" i="1" s="1"/>
  <c r="BE29" i="1" s="1"/>
  <c r="BE30" i="1" s="1"/>
  <c r="BE31" i="1" s="1"/>
  <c r="BE32" i="1" s="1"/>
  <c r="BE33" i="1" s="1"/>
  <c r="BE34" i="1" s="1"/>
  <c r="BE35" i="1" s="1"/>
  <c r="BE36" i="1" s="1"/>
  <c r="BE37" i="1" s="1"/>
  <c r="BE38" i="1" s="1"/>
  <c r="BE39" i="1" s="1"/>
  <c r="BE40" i="1" s="1"/>
  <c r="BE41" i="1" s="1"/>
  <c r="BE42" i="1" s="1"/>
  <c r="BE43" i="1" s="1"/>
  <c r="C13" i="1"/>
  <c r="C15" i="1" s="1"/>
  <c r="C16" i="1" s="1"/>
  <c r="E16" i="1" s="1"/>
  <c r="AU45" i="9"/>
  <c r="AW45" i="9" s="1"/>
  <c r="AU44" i="9"/>
  <c r="AW44" i="9" s="1"/>
  <c r="AU43" i="9"/>
  <c r="AW43" i="9" s="1"/>
  <c r="AU42" i="9"/>
  <c r="AW42" i="9" s="1"/>
  <c r="AU41" i="9"/>
  <c r="AW41" i="9" s="1"/>
  <c r="AU40" i="9"/>
  <c r="AU39" i="9"/>
  <c r="AW39" i="9" s="1"/>
  <c r="AU38" i="9"/>
  <c r="AW38" i="9" s="1"/>
  <c r="AU37" i="9"/>
  <c r="AW37" i="9" s="1"/>
  <c r="AU36" i="9"/>
  <c r="AU35" i="9"/>
  <c r="AW35" i="9" s="1"/>
  <c r="AU34" i="9"/>
  <c r="AW34" i="9" s="1"/>
  <c r="AU33" i="9"/>
  <c r="AW33" i="9" s="1"/>
  <c r="AU32" i="9"/>
  <c r="AW32" i="9" s="1"/>
  <c r="AU31" i="9"/>
  <c r="AW31" i="9" s="1"/>
  <c r="AU30" i="9"/>
  <c r="AW30" i="9" s="1"/>
  <c r="AU29" i="9"/>
  <c r="AW29" i="9" s="1"/>
  <c r="AU28" i="9"/>
  <c r="AU27" i="9"/>
  <c r="AW27" i="9" s="1"/>
  <c r="AU26" i="9"/>
  <c r="AW26" i="9" s="1"/>
  <c r="AU25" i="9"/>
  <c r="AW25" i="9" s="1"/>
  <c r="AU24" i="9"/>
  <c r="AU23" i="9"/>
  <c r="AW23" i="9" s="1"/>
  <c r="AU22" i="9"/>
  <c r="AW22" i="9" s="1"/>
  <c r="AU21" i="9"/>
  <c r="AW21" i="9" s="1"/>
  <c r="AU20" i="9"/>
  <c r="AW20" i="9" s="1"/>
  <c r="AU19" i="9"/>
  <c r="AW19" i="9" s="1"/>
  <c r="AU18" i="9"/>
  <c r="AW17" i="9"/>
  <c r="AU16" i="9"/>
  <c r="AU15" i="9"/>
  <c r="AW15" i="9" s="1"/>
  <c r="BA13" i="8"/>
  <c r="AX46" i="8"/>
  <c r="AX47" i="8" s="1"/>
  <c r="AZ46" i="8"/>
  <c r="AZ47" i="8" s="1"/>
  <c r="BA46" i="8"/>
  <c r="BA47" i="8" s="1"/>
  <c r="BB46" i="8"/>
  <c r="BB47" i="8" s="1"/>
  <c r="I41" i="12"/>
  <c r="I42" i="12"/>
  <c r="I43" i="12"/>
  <c r="I44" i="12"/>
  <c r="AZ47" i="9"/>
  <c r="AZ48" i="9" s="1"/>
  <c r="BG40" i="9"/>
  <c r="BG16" i="9"/>
  <c r="AB12" i="12"/>
  <c r="B13" i="12"/>
  <c r="BA13" i="12"/>
  <c r="BB13" i="12"/>
  <c r="I15" i="12"/>
  <c r="A16" i="12"/>
  <c r="A17" i="12" s="1"/>
  <c r="A18" i="12" s="1"/>
  <c r="A19" i="12" s="1"/>
  <c r="A20" i="12" s="1"/>
  <c r="A21" i="12" s="1"/>
  <c r="A22" i="12" s="1"/>
  <c r="A23" i="12" s="1"/>
  <c r="A24" i="12" s="1"/>
  <c r="A25" i="12" s="1"/>
  <c r="A26" i="12" s="1"/>
  <c r="A27" i="12" s="1"/>
  <c r="A28" i="12" s="1"/>
  <c r="A29" i="12" s="1"/>
  <c r="I16" i="12"/>
  <c r="I17" i="12"/>
  <c r="I18" i="12"/>
  <c r="I19" i="12"/>
  <c r="I20" i="12"/>
  <c r="I21" i="12"/>
  <c r="I22" i="12"/>
  <c r="I23" i="12"/>
  <c r="I24" i="12"/>
  <c r="I25" i="12"/>
  <c r="I26" i="12"/>
  <c r="I27" i="12"/>
  <c r="I28" i="12"/>
  <c r="I29" i="12"/>
  <c r="I31" i="12"/>
  <c r="I32" i="12"/>
  <c r="I33" i="12"/>
  <c r="I34" i="12"/>
  <c r="I35" i="12"/>
  <c r="BK36" i="12"/>
  <c r="BL36" i="12" s="1"/>
  <c r="BK37" i="12"/>
  <c r="BL37" i="12" s="1"/>
  <c r="I38" i="12"/>
  <c r="I39" i="12"/>
  <c r="I40" i="12"/>
  <c r="I45" i="12"/>
  <c r="G47" i="12"/>
  <c r="H47" i="12"/>
  <c r="H48" i="12" s="1"/>
  <c r="M47" i="12"/>
  <c r="M48" i="12" s="1"/>
  <c r="N48" i="12"/>
  <c r="P47" i="12"/>
  <c r="P48" i="12" s="1"/>
  <c r="U47" i="12"/>
  <c r="U48" i="12" s="1"/>
  <c r="V47" i="12"/>
  <c r="V48" i="12" s="1"/>
  <c r="W47" i="12"/>
  <c r="W48" i="12" s="1"/>
  <c r="AG47" i="12"/>
  <c r="AG48" i="12" s="1"/>
  <c r="AH47" i="12"/>
  <c r="AH48" i="12" s="1"/>
  <c r="AI47" i="12"/>
  <c r="AI48" i="12" s="1"/>
  <c r="AJ47" i="12"/>
  <c r="AJ48" i="12" s="1"/>
  <c r="AL47" i="12"/>
  <c r="AL50" i="12" s="1"/>
  <c r="AL51" i="12" s="1"/>
  <c r="AR47" i="12"/>
  <c r="AR48" i="12" s="1"/>
  <c r="AY47" i="12"/>
  <c r="AY48" i="12" s="1"/>
  <c r="AZ47" i="12"/>
  <c r="AZ48" i="12" s="1"/>
  <c r="BC47" i="12"/>
  <c r="BC48" i="12" s="1"/>
  <c r="BD47" i="12"/>
  <c r="BE47" i="12"/>
  <c r="BF47" i="12"/>
  <c r="BI47" i="12"/>
  <c r="BI48" i="12" s="1"/>
  <c r="BE48" i="12"/>
  <c r="BF48" i="12"/>
  <c r="BE50" i="12"/>
  <c r="BF50" i="12"/>
  <c r="B13" i="11"/>
  <c r="I15" i="11"/>
  <c r="AS15" i="11" s="1"/>
  <c r="I16" i="11"/>
  <c r="AS16" i="11" s="1"/>
  <c r="I17" i="11"/>
  <c r="AS17" i="11" s="1"/>
  <c r="I18" i="11"/>
  <c r="AS18" i="11" s="1"/>
  <c r="I19" i="11"/>
  <c r="AS19" i="11" s="1"/>
  <c r="I20" i="11"/>
  <c r="AS20" i="11" s="1"/>
  <c r="I21" i="11"/>
  <c r="AS21" i="11" s="1"/>
  <c r="I22" i="11"/>
  <c r="AS22" i="11" s="1"/>
  <c r="I23" i="11"/>
  <c r="AS23" i="11" s="1"/>
  <c r="I24" i="11"/>
  <c r="AS24" i="11" s="1"/>
  <c r="I25" i="11"/>
  <c r="AS25" i="11" s="1"/>
  <c r="I26" i="11"/>
  <c r="AS26" i="11" s="1"/>
  <c r="I27" i="11"/>
  <c r="AS27" i="11" s="1"/>
  <c r="I28" i="11"/>
  <c r="AS28" i="11" s="1"/>
  <c r="I29" i="11"/>
  <c r="AS29" i="11" s="1"/>
  <c r="I30" i="11"/>
  <c r="AS30" i="11" s="1"/>
  <c r="I33" i="11"/>
  <c r="AS33" i="11" s="1"/>
  <c r="I34" i="11"/>
  <c r="AS34" i="11" s="1"/>
  <c r="I35" i="11"/>
  <c r="AS35" i="11" s="1"/>
  <c r="I36" i="11"/>
  <c r="AS36" i="11" s="1"/>
  <c r="I37" i="11"/>
  <c r="AS37" i="11" s="1"/>
  <c r="I38" i="11"/>
  <c r="AS38" i="11" s="1"/>
  <c r="I39" i="11"/>
  <c r="AS39" i="11" s="1"/>
  <c r="I40" i="11"/>
  <c r="AS40" i="11" s="1"/>
  <c r="I41" i="11"/>
  <c r="AS41" i="11" s="1"/>
  <c r="I42" i="11"/>
  <c r="AS42" i="11" s="1"/>
  <c r="I43" i="11"/>
  <c r="AS43" i="11" s="1"/>
  <c r="I44" i="11"/>
  <c r="AS44" i="11" s="1"/>
  <c r="G46" i="11"/>
  <c r="G47" i="11" s="1"/>
  <c r="H46" i="11"/>
  <c r="H47" i="11" s="1"/>
  <c r="M46" i="11"/>
  <c r="M47" i="11" s="1"/>
  <c r="N47" i="11"/>
  <c r="O47" i="11"/>
  <c r="P46" i="11"/>
  <c r="P47" i="11" s="1"/>
  <c r="U46" i="11"/>
  <c r="U47" i="11" s="1"/>
  <c r="V46" i="11"/>
  <c r="V47" i="11" s="1"/>
  <c r="W46" i="11"/>
  <c r="W47" i="11" s="1"/>
  <c r="AG46" i="11"/>
  <c r="AG47" i="11" s="1"/>
  <c r="AH46" i="11"/>
  <c r="AH47" i="11" s="1"/>
  <c r="AI46" i="11"/>
  <c r="AI47" i="11" s="1"/>
  <c r="AJ46" i="11"/>
  <c r="AJ47" i="11" s="1"/>
  <c r="AL46" i="11"/>
  <c r="AL49" i="11" s="1"/>
  <c r="AL50" i="11" s="1"/>
  <c r="AP46" i="11"/>
  <c r="AP47" i="11" s="1"/>
  <c r="AY46" i="11"/>
  <c r="AY47" i="11" s="1"/>
  <c r="BA46" i="11"/>
  <c r="BA47" i="11" s="1"/>
  <c r="BB46" i="11"/>
  <c r="BB47" i="11" s="1"/>
  <c r="BC46" i="11"/>
  <c r="BD46" i="11"/>
  <c r="BE46" i="11"/>
  <c r="BH46" i="11"/>
  <c r="BH47" i="11" s="1"/>
  <c r="BD47" i="11"/>
  <c r="BE47" i="11"/>
  <c r="BD49" i="11"/>
  <c r="BE49" i="11"/>
  <c r="AS12" i="10"/>
  <c r="B13" i="10"/>
  <c r="BA13" i="10"/>
  <c r="G47" i="10"/>
  <c r="G48" i="10" s="1"/>
  <c r="H47" i="10"/>
  <c r="H48" i="10" s="1"/>
  <c r="M47" i="10"/>
  <c r="M48" i="10" s="1"/>
  <c r="N48" i="10"/>
  <c r="O47" i="10"/>
  <c r="O48" i="10" s="1"/>
  <c r="P47" i="10"/>
  <c r="P48" i="10" s="1"/>
  <c r="U47" i="10"/>
  <c r="U48" i="10" s="1"/>
  <c r="V47" i="10"/>
  <c r="V48" i="10" s="1"/>
  <c r="W47" i="10"/>
  <c r="W48" i="10" s="1"/>
  <c r="AG47" i="10"/>
  <c r="AG48" i="10" s="1"/>
  <c r="AH47" i="10"/>
  <c r="AH48" i="10" s="1"/>
  <c r="AI47" i="10"/>
  <c r="AI48" i="10" s="1"/>
  <c r="AJ47" i="10"/>
  <c r="AJ48" i="10" s="1"/>
  <c r="AL47" i="10"/>
  <c r="AL48" i="10" s="1"/>
  <c r="BA47" i="10"/>
  <c r="BA48" i="10" s="1"/>
  <c r="BB47" i="10"/>
  <c r="BB48" i="10" s="1"/>
  <c r="BC47" i="10"/>
  <c r="BD47" i="10"/>
  <c r="BE47" i="10"/>
  <c r="BH47" i="10"/>
  <c r="BH48" i="10" s="1"/>
  <c r="BD48" i="10"/>
  <c r="BE48" i="10"/>
  <c r="BD50" i="10"/>
  <c r="BE50" i="10"/>
  <c r="B13" i="9"/>
  <c r="P13" i="9"/>
  <c r="I15" i="9"/>
  <c r="BJ15" i="9" s="1"/>
  <c r="A16" i="9"/>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I16" i="9"/>
  <c r="I17" i="9"/>
  <c r="I18" i="9"/>
  <c r="I19" i="9"/>
  <c r="I20" i="9"/>
  <c r="I21" i="9"/>
  <c r="I22" i="9"/>
  <c r="I23" i="9"/>
  <c r="I24" i="9"/>
  <c r="I25" i="9"/>
  <c r="I26" i="9"/>
  <c r="I27" i="9"/>
  <c r="I28" i="9"/>
  <c r="I29" i="9"/>
  <c r="I30" i="9"/>
  <c r="I31" i="9"/>
  <c r="I32" i="9"/>
  <c r="I33" i="9"/>
  <c r="I34" i="9"/>
  <c r="I35" i="9"/>
  <c r="I36" i="9"/>
  <c r="I37" i="9"/>
  <c r="I38" i="9"/>
  <c r="I39" i="9"/>
  <c r="I40" i="9"/>
  <c r="I41" i="9"/>
  <c r="I42" i="9"/>
  <c r="BG42" i="9"/>
  <c r="I43" i="9"/>
  <c r="BG43" i="9"/>
  <c r="I44" i="9"/>
  <c r="I45" i="9"/>
  <c r="G47" i="9"/>
  <c r="G48" i="9" s="1"/>
  <c r="H47" i="9"/>
  <c r="H48" i="9" s="1"/>
  <c r="M47" i="9"/>
  <c r="M48" i="9" s="1"/>
  <c r="N47" i="9"/>
  <c r="N48" i="9" s="1"/>
  <c r="O48" i="9"/>
  <c r="P47" i="9"/>
  <c r="P48" i="9" s="1"/>
  <c r="U47" i="9"/>
  <c r="U48" i="9" s="1"/>
  <c r="V47" i="9"/>
  <c r="V48" i="9" s="1"/>
  <c r="W47" i="9"/>
  <c r="W48" i="9" s="1"/>
  <c r="AG47" i="9"/>
  <c r="AG48" i="9" s="1"/>
  <c r="AH47" i="9"/>
  <c r="AH48" i="9" s="1"/>
  <c r="AI47" i="9"/>
  <c r="AI48" i="9" s="1"/>
  <c r="AJ47" i="9"/>
  <c r="AJ48" i="9" s="1"/>
  <c r="AL47" i="9"/>
  <c r="AL48" i="9" s="1"/>
  <c r="AR47" i="9"/>
  <c r="AR48" i="9" s="1"/>
  <c r="AY48" i="9"/>
  <c r="BA47" i="9"/>
  <c r="BA48" i="9" s="1"/>
  <c r="BB47" i="9"/>
  <c r="BB53" i="9" s="1"/>
  <c r="BB13" i="10" s="1"/>
  <c r="BC47" i="9"/>
  <c r="BD47" i="9"/>
  <c r="BE47" i="9"/>
  <c r="BD48" i="9"/>
  <c r="BE48" i="9"/>
  <c r="BD50" i="9"/>
  <c r="BE50" i="9"/>
  <c r="B13" i="8"/>
  <c r="I15" i="8"/>
  <c r="A16" i="8"/>
  <c r="A17" i="8" s="1"/>
  <c r="A18" i="8" s="1"/>
  <c r="I16" i="8"/>
  <c r="I17" i="8"/>
  <c r="I18" i="8"/>
  <c r="I20" i="8"/>
  <c r="I22" i="8"/>
  <c r="I23" i="8"/>
  <c r="I24" i="8"/>
  <c r="I25" i="8"/>
  <c r="I26" i="8"/>
  <c r="I27" i="8"/>
  <c r="I28" i="8"/>
  <c r="I29" i="8"/>
  <c r="I30" i="8"/>
  <c r="I31" i="8"/>
  <c r="I32" i="8"/>
  <c r="I33" i="8"/>
  <c r="I34" i="8"/>
  <c r="I35" i="8"/>
  <c r="I36" i="8"/>
  <c r="I37" i="8"/>
  <c r="I38" i="8"/>
  <c r="I41" i="8"/>
  <c r="I43" i="8"/>
  <c r="I44" i="8"/>
  <c r="G46" i="8"/>
  <c r="G47" i="8" s="1"/>
  <c r="H46" i="8"/>
  <c r="H47" i="8" s="1"/>
  <c r="M46" i="8"/>
  <c r="M47" i="8" s="1"/>
  <c r="N46" i="8"/>
  <c r="N47" i="8" s="1"/>
  <c r="O46" i="8"/>
  <c r="O47" i="8" s="1"/>
  <c r="P46" i="8"/>
  <c r="P47" i="8" s="1"/>
  <c r="U46" i="8"/>
  <c r="U47" i="8" s="1"/>
  <c r="V46" i="8"/>
  <c r="V47" i="8" s="1"/>
  <c r="W46" i="8"/>
  <c r="W47" i="8" s="1"/>
  <c r="AE46" i="8"/>
  <c r="AE47" i="8" s="1"/>
  <c r="AF46" i="8"/>
  <c r="AF47" i="8" s="1"/>
  <c r="AG46" i="8"/>
  <c r="AG47" i="8" s="1"/>
  <c r="AN46" i="8"/>
  <c r="AN47" i="8" s="1"/>
  <c r="AQ46" i="8"/>
  <c r="AQ47" i="8" s="1"/>
  <c r="BC46" i="8"/>
  <c r="BD46" i="8"/>
  <c r="BE46" i="8"/>
  <c r="BH46" i="8"/>
  <c r="BH47" i="8" s="1"/>
  <c r="BD47" i="8"/>
  <c r="BE47" i="8"/>
  <c r="BD49" i="8"/>
  <c r="BE49" i="8"/>
  <c r="AY12" i="7"/>
  <c r="B13" i="7"/>
  <c r="AY13" i="7"/>
  <c r="I15" i="7"/>
  <c r="A16" i="7"/>
  <c r="I16" i="7"/>
  <c r="Q47" i="7"/>
  <c r="Q48" i="7" s="1"/>
  <c r="I17" i="7"/>
  <c r="AR17" i="7" s="1"/>
  <c r="I18" i="7"/>
  <c r="I19" i="7"/>
  <c r="AR19" i="7" s="1"/>
  <c r="I20" i="7"/>
  <c r="AR20" i="7" s="1"/>
  <c r="I21" i="7"/>
  <c r="I22" i="7"/>
  <c r="I23" i="7"/>
  <c r="I24" i="7"/>
  <c r="AR24" i="7" s="1"/>
  <c r="I25" i="7"/>
  <c r="I26" i="7"/>
  <c r="I27" i="7"/>
  <c r="I28" i="7"/>
  <c r="I29" i="7"/>
  <c r="I30" i="7"/>
  <c r="I31" i="7"/>
  <c r="I32" i="7"/>
  <c r="I33" i="7"/>
  <c r="I34" i="7"/>
  <c r="AR34" i="7" s="1"/>
  <c r="I35" i="7"/>
  <c r="I36" i="7"/>
  <c r="I37" i="7"/>
  <c r="I38" i="7"/>
  <c r="I39" i="7"/>
  <c r="I40" i="7"/>
  <c r="I41" i="7"/>
  <c r="I42" i="7"/>
  <c r="I43" i="7"/>
  <c r="I44" i="7"/>
  <c r="I45" i="7"/>
  <c r="I46" i="7"/>
  <c r="G47" i="7"/>
  <c r="G48" i="7" s="1"/>
  <c r="H47" i="7"/>
  <c r="H48" i="7" s="1"/>
  <c r="M47" i="7"/>
  <c r="M48" i="7" s="1"/>
  <c r="N47" i="7"/>
  <c r="N48" i="7" s="1"/>
  <c r="O47" i="7"/>
  <c r="O48" i="7" s="1"/>
  <c r="P47" i="7"/>
  <c r="P53" i="7" s="1"/>
  <c r="P54" i="7" s="1"/>
  <c r="U47" i="7"/>
  <c r="U48" i="7" s="1"/>
  <c r="V47" i="7"/>
  <c r="V48" i="7" s="1"/>
  <c r="W47" i="7"/>
  <c r="W48" i="7" s="1"/>
  <c r="AE47" i="7"/>
  <c r="AF47" i="7"/>
  <c r="AF48" i="7" s="1"/>
  <c r="AG47" i="7"/>
  <c r="AG48" i="7" s="1"/>
  <c r="AH47" i="7"/>
  <c r="AJ47" i="7"/>
  <c r="AJ48" i="7" s="1"/>
  <c r="AN48" i="7"/>
  <c r="AQ47" i="7"/>
  <c r="AQ48" i="7" s="1"/>
  <c r="AX47" i="7"/>
  <c r="AX48" i="7" s="1"/>
  <c r="AY47" i="7"/>
  <c r="AY48" i="7" s="1"/>
  <c r="AZ47" i="7"/>
  <c r="AZ48" i="7" s="1"/>
  <c r="BB47" i="7"/>
  <c r="BB51" i="7" s="1"/>
  <c r="BC47" i="7"/>
  <c r="BD47" i="7"/>
  <c r="BG47" i="7"/>
  <c r="BG48" i="7" s="1"/>
  <c r="BC48" i="7"/>
  <c r="BD48" i="7"/>
  <c r="BC50" i="7"/>
  <c r="BD50" i="7"/>
  <c r="B13" i="14"/>
  <c r="AE13" i="14"/>
  <c r="AF13" i="14"/>
  <c r="AG13" i="14"/>
  <c r="A16" i="14"/>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I16" i="14"/>
  <c r="AU16" i="14" s="1"/>
  <c r="I17" i="14"/>
  <c r="AU17" i="14" s="1"/>
  <c r="I18" i="14"/>
  <c r="I19" i="14"/>
  <c r="AU19" i="14" s="1"/>
  <c r="I20" i="14"/>
  <c r="AU20" i="14" s="1"/>
  <c r="AC20" i="14" s="1"/>
  <c r="I21" i="14"/>
  <c r="AU21" i="14" s="1"/>
  <c r="I22" i="14"/>
  <c r="AU22" i="14" s="1"/>
  <c r="I23" i="14"/>
  <c r="AU23" i="14" s="1"/>
  <c r="I24" i="14"/>
  <c r="AU24" i="14" s="1"/>
  <c r="I25" i="14"/>
  <c r="I26" i="14"/>
  <c r="I27" i="14"/>
  <c r="AU27" i="14" s="1"/>
  <c r="I28" i="14"/>
  <c r="AU28" i="14" s="1"/>
  <c r="I29" i="14"/>
  <c r="AU29" i="14" s="1"/>
  <c r="I30" i="14"/>
  <c r="I31" i="14"/>
  <c r="I32" i="14"/>
  <c r="I33" i="14"/>
  <c r="AU33" i="14" s="1"/>
  <c r="I34" i="14"/>
  <c r="I35" i="14"/>
  <c r="I36" i="14"/>
  <c r="AU36" i="14" s="1"/>
  <c r="I37" i="14"/>
  <c r="AU37" i="14" s="1"/>
  <c r="I38" i="14"/>
  <c r="I39" i="14"/>
  <c r="I41" i="14"/>
  <c r="AU41" i="14" s="1"/>
  <c r="I42" i="14"/>
  <c r="AU42" i="14" s="1"/>
  <c r="I43" i="14"/>
  <c r="I44" i="14"/>
  <c r="G46" i="14"/>
  <c r="G47" i="14" s="1"/>
  <c r="H46" i="14"/>
  <c r="H47" i="14" s="1"/>
  <c r="M46" i="14"/>
  <c r="M47" i="14" s="1"/>
  <c r="N46" i="14"/>
  <c r="N47" i="14" s="1"/>
  <c r="P46" i="14"/>
  <c r="P47" i="14" s="1"/>
  <c r="U46" i="14"/>
  <c r="U47" i="14" s="1"/>
  <c r="V46" i="14"/>
  <c r="V49" i="14" s="1"/>
  <c r="W46" i="14"/>
  <c r="W47" i="14" s="1"/>
  <c r="AF46" i="14"/>
  <c r="AF49" i="14" s="1"/>
  <c r="AG46" i="14"/>
  <c r="AG47" i="14" s="1"/>
  <c r="AH46" i="14"/>
  <c r="BC46" i="14"/>
  <c r="BC49" i="14" s="1"/>
  <c r="BE46" i="14"/>
  <c r="BF46" i="14"/>
  <c r="BG46" i="14"/>
  <c r="BJ46" i="14"/>
  <c r="BJ47" i="14" s="1"/>
  <c r="BF47" i="14"/>
  <c r="BG47" i="14"/>
  <c r="BF49" i="14"/>
  <c r="BG49" i="14"/>
  <c r="B13" i="5"/>
  <c r="A16" i="5"/>
  <c r="A17" i="5" s="1"/>
  <c r="A18" i="5" s="1"/>
  <c r="A19" i="5" s="1"/>
  <c r="A20" i="5" s="1"/>
  <c r="A21" i="5" s="1"/>
  <c r="A22" i="5" s="1"/>
  <c r="A23" i="5" s="1"/>
  <c r="A24" i="5" s="1"/>
  <c r="A25" i="5" s="1"/>
  <c r="A26" i="5" s="1"/>
  <c r="A27" i="5" s="1"/>
  <c r="A28" i="5" s="1"/>
  <c r="A29" i="5" s="1"/>
  <c r="A30" i="5" s="1"/>
  <c r="Q47" i="5"/>
  <c r="Q48" i="5" s="1"/>
  <c r="I20" i="5"/>
  <c r="I21" i="5"/>
  <c r="I22" i="5"/>
  <c r="I23" i="5"/>
  <c r="I24" i="5"/>
  <c r="I25" i="5"/>
  <c r="I26" i="5"/>
  <c r="I27" i="5"/>
  <c r="I28" i="5"/>
  <c r="I29" i="5"/>
  <c r="I30" i="5"/>
  <c r="I31" i="5"/>
  <c r="A32" i="5"/>
  <c r="A33" i="5" s="1"/>
  <c r="A34" i="5" s="1"/>
  <c r="A35" i="5" s="1"/>
  <c r="A36" i="5" s="1"/>
  <c r="A37" i="5" s="1"/>
  <c r="A38" i="5" s="1"/>
  <c r="A39" i="5" s="1"/>
  <c r="A40" i="5" s="1"/>
  <c r="A41" i="5" s="1"/>
  <c r="A42" i="5" s="1"/>
  <c r="A43" i="5" s="1"/>
  <c r="I32" i="5"/>
  <c r="I33" i="5"/>
  <c r="I34" i="5"/>
  <c r="I35" i="5"/>
  <c r="AO35" i="5" s="1"/>
  <c r="I36" i="5"/>
  <c r="AO36" i="5" s="1"/>
  <c r="I37" i="5"/>
  <c r="AO37" i="5" s="1"/>
  <c r="I38" i="5"/>
  <c r="AO38" i="5" s="1"/>
  <c r="I39" i="5"/>
  <c r="AO39" i="5" s="1"/>
  <c r="I40" i="5"/>
  <c r="AO40" i="5" s="1"/>
  <c r="I41" i="5"/>
  <c r="AO41" i="5" s="1"/>
  <c r="I42" i="5"/>
  <c r="AO42" i="5" s="1"/>
  <c r="I43" i="5"/>
  <c r="AO43" i="5" s="1"/>
  <c r="I44" i="5"/>
  <c r="AO44" i="5" s="1"/>
  <c r="I45" i="5"/>
  <c r="AO45" i="5" s="1"/>
  <c r="M47" i="5"/>
  <c r="M48" i="5" s="1"/>
  <c r="N47" i="5"/>
  <c r="N48" i="5" s="1"/>
  <c r="O47" i="5"/>
  <c r="O50" i="5" s="1"/>
  <c r="O12" i="14" s="1"/>
  <c r="V47" i="5"/>
  <c r="V48" i="5" s="1"/>
  <c r="W47" i="5"/>
  <c r="W48" i="5" s="1"/>
  <c r="AC48" i="5"/>
  <c r="AH47" i="5"/>
  <c r="AH48" i="5" s="1"/>
  <c r="AJ47" i="5"/>
  <c r="AJ48" i="5" s="1"/>
  <c r="AW47" i="5"/>
  <c r="AX47" i="5"/>
  <c r="AY47" i="5"/>
  <c r="BB47" i="5"/>
  <c r="AX48" i="5"/>
  <c r="AY48" i="5"/>
  <c r="AX50" i="5"/>
  <c r="AY50" i="5"/>
  <c r="B13" i="4"/>
  <c r="O13" i="4"/>
  <c r="P13" i="4"/>
  <c r="I15" i="4"/>
  <c r="A16" i="4"/>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I16" i="4"/>
  <c r="I17" i="4"/>
  <c r="I18" i="4"/>
  <c r="I19" i="4"/>
  <c r="I20" i="4"/>
  <c r="I21" i="4"/>
  <c r="I22" i="4"/>
  <c r="I23" i="4"/>
  <c r="I24" i="4"/>
  <c r="I25" i="4"/>
  <c r="I26" i="4"/>
  <c r="I27" i="4"/>
  <c r="I28" i="4"/>
  <c r="I29" i="4"/>
  <c r="I30" i="4"/>
  <c r="I31" i="4"/>
  <c r="I32" i="4"/>
  <c r="I33" i="4"/>
  <c r="I34" i="4"/>
  <c r="I35" i="4"/>
  <c r="I36" i="4"/>
  <c r="I37" i="4"/>
  <c r="I38" i="4"/>
  <c r="I39" i="4"/>
  <c r="I40" i="4"/>
  <c r="I41" i="4"/>
  <c r="I43" i="4"/>
  <c r="G45" i="4"/>
  <c r="H45" i="4"/>
  <c r="H46" i="4" s="1"/>
  <c r="M45" i="4"/>
  <c r="M46" i="4" s="1"/>
  <c r="N45" i="4"/>
  <c r="N46" i="4" s="1"/>
  <c r="P45" i="4"/>
  <c r="V45" i="4"/>
  <c r="V46" i="4" s="1"/>
  <c r="W45" i="4"/>
  <c r="W46" i="4" s="1"/>
  <c r="AC45" i="4"/>
  <c r="AC46" i="4" s="1"/>
  <c r="AH45" i="4"/>
  <c r="AH46" i="4" s="1"/>
  <c r="AJ45" i="4"/>
  <c r="AJ46" i="4" s="1"/>
  <c r="AP45" i="4"/>
  <c r="AP46" i="4" s="1"/>
  <c r="AW45" i="4"/>
  <c r="AY45" i="4"/>
  <c r="BB45" i="4"/>
  <c r="BB46" i="4" s="1"/>
  <c r="AX46" i="4"/>
  <c r="AY46" i="4"/>
  <c r="AX48" i="4"/>
  <c r="AY48" i="4"/>
  <c r="B13" i="13"/>
  <c r="O13" i="13"/>
  <c r="P13" i="13"/>
  <c r="I15" i="13"/>
  <c r="A16" i="13"/>
  <c r="A17" i="13" s="1"/>
  <c r="A18" i="13" s="1"/>
  <c r="A19" i="13" s="1"/>
  <c r="A20" i="13" s="1"/>
  <c r="I16" i="13"/>
  <c r="I17" i="13"/>
  <c r="I18" i="13"/>
  <c r="I19" i="13"/>
  <c r="I20" i="13"/>
  <c r="I21" i="13"/>
  <c r="I22" i="13"/>
  <c r="I23" i="13"/>
  <c r="I24" i="13"/>
  <c r="I25" i="13"/>
  <c r="I26" i="13"/>
  <c r="I27" i="13"/>
  <c r="I28" i="13"/>
  <c r="I29" i="13"/>
  <c r="I30" i="13"/>
  <c r="I31" i="13"/>
  <c r="I32" i="13"/>
  <c r="AO32" i="13" s="1"/>
  <c r="I33" i="13"/>
  <c r="I34" i="13"/>
  <c r="I35" i="13"/>
  <c r="I36" i="13"/>
  <c r="I37" i="13"/>
  <c r="U37" i="13"/>
  <c r="X37" i="13" s="1"/>
  <c r="Y37" i="13" s="1"/>
  <c r="I38" i="13"/>
  <c r="I39" i="13"/>
  <c r="I40" i="13"/>
  <c r="I41" i="13"/>
  <c r="U41" i="13"/>
  <c r="X41" i="13" s="1"/>
  <c r="AK41" i="13" s="1"/>
  <c r="I42" i="13"/>
  <c r="I43" i="13"/>
  <c r="U43" i="13"/>
  <c r="X43" i="13" s="1"/>
  <c r="Y43" i="13" s="1"/>
  <c r="I44" i="13"/>
  <c r="I45" i="13"/>
  <c r="X46" i="13"/>
  <c r="AK46" i="13" s="1"/>
  <c r="G47" i="13"/>
  <c r="G48" i="13" s="1"/>
  <c r="H47" i="13"/>
  <c r="H48" i="13" s="1"/>
  <c r="M47" i="13"/>
  <c r="M48" i="13" s="1"/>
  <c r="N47" i="13"/>
  <c r="N48" i="13" s="1"/>
  <c r="V47" i="13"/>
  <c r="W47" i="13"/>
  <c r="W48" i="13" s="1"/>
  <c r="AC47" i="13"/>
  <c r="AC48" i="13" s="1"/>
  <c r="AH47" i="13"/>
  <c r="AH48" i="13" s="1"/>
  <c r="AJ47" i="13"/>
  <c r="AJ48" i="13" s="1"/>
  <c r="AP47" i="13"/>
  <c r="AP48" i="13" s="1"/>
  <c r="AW47" i="13"/>
  <c r="AX47" i="13"/>
  <c r="AY47" i="13"/>
  <c r="BB47" i="13"/>
  <c r="AX48" i="13"/>
  <c r="AY48" i="13"/>
  <c r="AX50" i="13"/>
  <c r="AY50" i="13"/>
  <c r="O54" i="13"/>
  <c r="B13" i="2"/>
  <c r="I15" i="2"/>
  <c r="A16" i="2"/>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I16" i="2"/>
  <c r="I17" i="2"/>
  <c r="I18" i="2"/>
  <c r="I19" i="2"/>
  <c r="I20" i="2"/>
  <c r="I21" i="2"/>
  <c r="I22" i="2"/>
  <c r="I23" i="2"/>
  <c r="I24" i="2"/>
  <c r="I25" i="2"/>
  <c r="I26" i="2"/>
  <c r="I33" i="2"/>
  <c r="I34" i="2"/>
  <c r="I35" i="2"/>
  <c r="I36" i="2"/>
  <c r="I37" i="2"/>
  <c r="I38" i="2"/>
  <c r="I39" i="2"/>
  <c r="I40" i="2"/>
  <c r="I41" i="2"/>
  <c r="I42" i="2"/>
  <c r="I43" i="2"/>
  <c r="I44" i="2"/>
  <c r="I45" i="2"/>
  <c r="X46" i="2"/>
  <c r="Y46" i="2" s="1"/>
  <c r="N47" i="2"/>
  <c r="N48" i="2" s="1"/>
  <c r="AH47" i="2"/>
  <c r="AH48" i="2" s="1"/>
  <c r="AJ47" i="2"/>
  <c r="AJ53" i="2" s="1"/>
  <c r="AJ54" i="2" s="1"/>
  <c r="AP47" i="2"/>
  <c r="AP48" i="2" s="1"/>
  <c r="AW47" i="2"/>
  <c r="AX47" i="2"/>
  <c r="AY47" i="2"/>
  <c r="BB47" i="2"/>
  <c r="AX48" i="2"/>
  <c r="AY48" i="2"/>
  <c r="AX50" i="2"/>
  <c r="AY50" i="2"/>
  <c r="O54" i="2"/>
  <c r="I15" i="1"/>
  <c r="BA15" i="1"/>
  <c r="AI19" i="1"/>
  <c r="AI20" i="1" s="1"/>
  <c r="AI21" i="1" s="1"/>
  <c r="AI22" i="1" s="1"/>
  <c r="AI23" i="1" s="1"/>
  <c r="AI24" i="1" s="1"/>
  <c r="AI25" i="1" s="1"/>
  <c r="AI26" i="1" s="1"/>
  <c r="AI27" i="1" s="1"/>
  <c r="AI28" i="1" s="1"/>
  <c r="AI29" i="1" s="1"/>
  <c r="AI30" i="1" s="1"/>
  <c r="AI31" i="1" s="1"/>
  <c r="AI32" i="1" s="1"/>
  <c r="AI33" i="1" s="1"/>
  <c r="AI34" i="1" s="1"/>
  <c r="AI35" i="1" s="1"/>
  <c r="AI36" i="1" s="1"/>
  <c r="AI37" i="1" s="1"/>
  <c r="AI38" i="1" s="1"/>
  <c r="AI39" i="1" s="1"/>
  <c r="AI40" i="1" s="1"/>
  <c r="AI41" i="1" s="1"/>
  <c r="AI42" i="1" s="1"/>
  <c r="AI43" i="1" s="1"/>
  <c r="AI44" i="1" s="1"/>
  <c r="AI52" i="1" s="1"/>
  <c r="A16" i="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U44" i="1"/>
  <c r="X44" i="1" s="1"/>
  <c r="G47" i="1"/>
  <c r="H46" i="1"/>
  <c r="H52" i="1" s="1"/>
  <c r="H13" i="2" s="1"/>
  <c r="M46" i="1"/>
  <c r="M47" i="1" s="1"/>
  <c r="N46" i="1"/>
  <c r="N47" i="1" s="1"/>
  <c r="P46" i="1"/>
  <c r="P47" i="1" s="1"/>
  <c r="R52" i="1"/>
  <c r="R13" i="2" s="1"/>
  <c r="R47" i="1"/>
  <c r="V46" i="1"/>
  <c r="V47" i="1" s="1"/>
  <c r="W47" i="1"/>
  <c r="AC46" i="1"/>
  <c r="AC47" i="1" s="1"/>
  <c r="AE46" i="1"/>
  <c r="AE52" i="1" s="1"/>
  <c r="AE53" i="1" s="1"/>
  <c r="AF46" i="1"/>
  <c r="AF52" i="1" s="1"/>
  <c r="AF53" i="1" s="1"/>
  <c r="AG46" i="1"/>
  <c r="AG47" i="1" s="1"/>
  <c r="AH46" i="1"/>
  <c r="AH52" i="1" s="1"/>
  <c r="AJ46" i="1"/>
  <c r="AJ52" i="1" s="1"/>
  <c r="AJ53" i="1" s="1"/>
  <c r="AV46" i="1"/>
  <c r="AV47" i="1" s="1"/>
  <c r="AW46" i="1"/>
  <c r="AW52" i="1" s="1"/>
  <c r="AW13" i="2" s="1"/>
  <c r="AX46" i="1"/>
  <c r="AY46" i="1"/>
  <c r="BB46" i="1"/>
  <c r="BB52" i="1" s="1"/>
  <c r="AX47" i="1"/>
  <c r="AY47" i="1"/>
  <c r="AX49" i="1"/>
  <c r="AY49" i="1"/>
  <c r="BG15" i="9"/>
  <c r="O47" i="12"/>
  <c r="O48" i="12" s="1"/>
  <c r="AJ46" i="8"/>
  <c r="AJ47" i="8" s="1"/>
  <c r="U35" i="13"/>
  <c r="X35" i="13" s="1"/>
  <c r="Y35" i="13" s="1"/>
  <c r="U20" i="13"/>
  <c r="X20" i="13" s="1"/>
  <c r="Y20" i="13" s="1"/>
  <c r="U18" i="13"/>
  <c r="X18" i="13" s="1"/>
  <c r="U45" i="13"/>
  <c r="X45" i="13" s="1"/>
  <c r="AK45" i="13" s="1"/>
  <c r="U29" i="13"/>
  <c r="X29" i="13" s="1"/>
  <c r="Y29" i="13" s="1"/>
  <c r="U38" i="13"/>
  <c r="X38" i="13" s="1"/>
  <c r="Y38" i="13" s="1"/>
  <c r="Q47" i="13"/>
  <c r="Q48" i="13" s="1"/>
  <c r="T47" i="13"/>
  <c r="T48" i="13" s="1"/>
  <c r="U39" i="13"/>
  <c r="X39" i="13" s="1"/>
  <c r="Y39" i="13" s="1"/>
  <c r="U33" i="13"/>
  <c r="X33" i="13" s="1"/>
  <c r="Y33" i="13" s="1"/>
  <c r="U31" i="13"/>
  <c r="X31" i="13" s="1"/>
  <c r="Y31" i="13" s="1"/>
  <c r="U30" i="13"/>
  <c r="X30" i="13" s="1"/>
  <c r="AK30" i="13" s="1"/>
  <c r="U27" i="13"/>
  <c r="X27" i="13" s="1"/>
  <c r="Y27" i="13" s="1"/>
  <c r="U21" i="13"/>
  <c r="X21" i="13" s="1"/>
  <c r="Y21" i="13" s="1"/>
  <c r="U32" i="4"/>
  <c r="X32" i="4" s="1"/>
  <c r="U36" i="4"/>
  <c r="X36" i="4" s="1"/>
  <c r="BG39" i="9"/>
  <c r="T47" i="10"/>
  <c r="T48" i="10" s="1"/>
  <c r="S47" i="10"/>
  <c r="S48" i="10" s="1"/>
  <c r="Q47" i="10"/>
  <c r="Q48" i="10" s="1"/>
  <c r="Q46" i="1"/>
  <c r="Q52" i="1" s="1"/>
  <c r="U34" i="13"/>
  <c r="X34" i="13" s="1"/>
  <c r="Y34" i="13" s="1"/>
  <c r="U16" i="13"/>
  <c r="X16" i="13" s="1"/>
  <c r="U26" i="13"/>
  <c r="X26" i="13" s="1"/>
  <c r="Y26" i="13" s="1"/>
  <c r="U23" i="13"/>
  <c r="X23" i="13" s="1"/>
  <c r="Y23" i="13" s="1"/>
  <c r="U19" i="13"/>
  <c r="X19" i="13" s="1"/>
  <c r="U22" i="13"/>
  <c r="X22" i="13" s="1"/>
  <c r="Y22" i="13" s="1"/>
  <c r="U17" i="13"/>
  <c r="X17" i="13" s="1"/>
  <c r="S47" i="13"/>
  <c r="S48" i="13" s="1"/>
  <c r="U15" i="13"/>
  <c r="X15" i="13" s="1"/>
  <c r="R47" i="13"/>
  <c r="R48" i="13" s="1"/>
  <c r="U28" i="13"/>
  <c r="X28" i="13" s="1"/>
  <c r="AK28" i="13" s="1"/>
  <c r="U42" i="13"/>
  <c r="X42" i="13" s="1"/>
  <c r="Y42" i="13" s="1"/>
  <c r="U44" i="13"/>
  <c r="X44" i="13" s="1"/>
  <c r="Y44" i="13" s="1"/>
  <c r="U24" i="13"/>
  <c r="X24" i="13" s="1"/>
  <c r="Y24" i="13" s="1"/>
  <c r="U25" i="13"/>
  <c r="X25" i="13" s="1"/>
  <c r="Y25" i="13" s="1"/>
  <c r="U36" i="13"/>
  <c r="X36" i="13" s="1"/>
  <c r="Y36" i="13" s="1"/>
  <c r="U41" i="4"/>
  <c r="X41" i="4" s="1"/>
  <c r="BG26" i="9"/>
  <c r="R47" i="10"/>
  <c r="R48" i="10" s="1"/>
  <c r="T47" i="2"/>
  <c r="T48" i="2" s="1"/>
  <c r="Q47" i="2"/>
  <c r="Q48" i="2" s="1"/>
  <c r="I30" i="2"/>
  <c r="G47" i="2"/>
  <c r="G48" i="2" s="1"/>
  <c r="I31" i="2"/>
  <c r="I29" i="2"/>
  <c r="I28" i="2"/>
  <c r="I27" i="2"/>
  <c r="U38" i="4"/>
  <c r="X38" i="4" s="1"/>
  <c r="U24" i="4"/>
  <c r="X24" i="4" s="1"/>
  <c r="Y24" i="4" s="1"/>
  <c r="Q45" i="4"/>
  <c r="Q46" i="4" s="1"/>
  <c r="U29" i="4"/>
  <c r="X29" i="4" s="1"/>
  <c r="U26" i="4"/>
  <c r="X26" i="4" s="1"/>
  <c r="U23" i="4"/>
  <c r="X23" i="4" s="1"/>
  <c r="Y23" i="4" s="1"/>
  <c r="U34" i="4"/>
  <c r="X34" i="4" s="1"/>
  <c r="U17" i="4"/>
  <c r="X17" i="4" s="1"/>
  <c r="Y17" i="4" s="1"/>
  <c r="U16" i="4"/>
  <c r="X16" i="4" s="1"/>
  <c r="Y16" i="4" s="1"/>
  <c r="U35" i="4"/>
  <c r="X35" i="4" s="1"/>
  <c r="U30" i="4"/>
  <c r="X30" i="4" s="1"/>
  <c r="U20" i="4"/>
  <c r="X20" i="4" s="1"/>
  <c r="Y20" i="4" s="1"/>
  <c r="R45" i="4"/>
  <c r="R46" i="4" s="1"/>
  <c r="U21" i="4"/>
  <c r="X21" i="4" s="1"/>
  <c r="Y21" i="4" s="1"/>
  <c r="U40" i="4"/>
  <c r="X40" i="4" s="1"/>
  <c r="I16" i="5"/>
  <c r="T47" i="5"/>
  <c r="T48" i="5" s="1"/>
  <c r="R47" i="5"/>
  <c r="R48" i="5" s="1"/>
  <c r="I18" i="5"/>
  <c r="I19" i="5"/>
  <c r="I17" i="5"/>
  <c r="H47" i="5"/>
  <c r="H48" i="5" s="1"/>
  <c r="U27" i="5"/>
  <c r="X27" i="5" s="1"/>
  <c r="U19" i="5"/>
  <c r="X19" i="5" s="1"/>
  <c r="U23" i="5"/>
  <c r="X23" i="5" s="1"/>
  <c r="U32" i="5"/>
  <c r="X32" i="5" s="1"/>
  <c r="U25" i="5"/>
  <c r="X25" i="5" s="1"/>
  <c r="U30" i="5"/>
  <c r="X30" i="5" s="1"/>
  <c r="U24" i="5"/>
  <c r="X24" i="5" s="1"/>
  <c r="U17" i="5"/>
  <c r="X17" i="5" s="1"/>
  <c r="U29" i="5"/>
  <c r="X29" i="5" s="1"/>
  <c r="U31" i="5"/>
  <c r="X31" i="5" s="1"/>
  <c r="U20" i="5"/>
  <c r="X20" i="5" s="1"/>
  <c r="U26" i="5"/>
  <c r="X26" i="5" s="1"/>
  <c r="U18" i="5"/>
  <c r="X18" i="5" s="1"/>
  <c r="U33" i="5"/>
  <c r="X33" i="5" s="1"/>
  <c r="U28" i="5"/>
  <c r="X28" i="5" s="1"/>
  <c r="U22" i="5"/>
  <c r="X22" i="5" s="1"/>
  <c r="U34" i="5"/>
  <c r="X34" i="5" s="1"/>
  <c r="U16" i="5"/>
  <c r="X16" i="5" s="1"/>
  <c r="AT46" i="14"/>
  <c r="AT47" i="14" s="1"/>
  <c r="T46" i="14"/>
  <c r="T47" i="14" s="1"/>
  <c r="Q46" i="14"/>
  <c r="Q47" i="14" s="1"/>
  <c r="X47" i="11"/>
  <c r="BA35" i="5"/>
  <c r="BK15" i="9" l="1"/>
  <c r="BK45" i="12"/>
  <c r="BL45" i="12" s="1"/>
  <c r="BK33" i="12"/>
  <c r="BL33" i="12" s="1"/>
  <c r="BK40" i="12"/>
  <c r="BL40" i="12" s="1"/>
  <c r="BK44" i="12"/>
  <c r="BL44" i="12" s="1"/>
  <c r="BK39" i="12"/>
  <c r="BL39" i="12" s="1"/>
  <c r="BK35" i="12"/>
  <c r="BL35" i="12" s="1"/>
  <c r="BK31" i="12"/>
  <c r="BL31" i="12" s="1"/>
  <c r="BK26" i="12"/>
  <c r="BL26" i="12" s="1"/>
  <c r="BK22" i="12"/>
  <c r="BL22" i="12" s="1"/>
  <c r="BK38" i="12"/>
  <c r="BL38" i="12" s="1"/>
  <c r="BK34" i="12"/>
  <c r="BL34" i="12" s="1"/>
  <c r="BK42" i="12"/>
  <c r="BL42" i="12" s="1"/>
  <c r="BK41" i="12"/>
  <c r="BL41" i="12" s="1"/>
  <c r="G48" i="12"/>
  <c r="BK28" i="12"/>
  <c r="BL28" i="12" s="1"/>
  <c r="BK24" i="12"/>
  <c r="BL24" i="12" s="1"/>
  <c r="BK20" i="12"/>
  <c r="BL20" i="12" s="1"/>
  <c r="AO40" i="13"/>
  <c r="BK32" i="12"/>
  <c r="BL32" i="12" s="1"/>
  <c r="BK27" i="12"/>
  <c r="BL27" i="12" s="1"/>
  <c r="BK23" i="12"/>
  <c r="BL23" i="12" s="1"/>
  <c r="BK19" i="12"/>
  <c r="BL19" i="12" s="1"/>
  <c r="BK29" i="12"/>
  <c r="BL29" i="12" s="1"/>
  <c r="BK25" i="12"/>
  <c r="BL25" i="12" s="1"/>
  <c r="BK21" i="12"/>
  <c r="BL21" i="12" s="1"/>
  <c r="BK17" i="12"/>
  <c r="BL17" i="12" s="1"/>
  <c r="AS44" i="9"/>
  <c r="BJ44" i="9"/>
  <c r="BK44" i="9" s="1"/>
  <c r="BJ45" i="9"/>
  <c r="BK45" i="9" s="1"/>
  <c r="BJ43" i="9"/>
  <c r="BK43" i="9" s="1"/>
  <c r="AS42" i="9"/>
  <c r="BJ42" i="9"/>
  <c r="BK42" i="9" s="1"/>
  <c r="AS41" i="9"/>
  <c r="AA41" i="9" s="1"/>
  <c r="BJ41" i="9"/>
  <c r="BK41" i="9" s="1"/>
  <c r="AS37" i="9"/>
  <c r="AA37" i="9" s="1"/>
  <c r="BJ37" i="9"/>
  <c r="BK37" i="9" s="1"/>
  <c r="AS40" i="9"/>
  <c r="AA40" i="9" s="1"/>
  <c r="BJ40" i="9"/>
  <c r="BK40" i="9" s="1"/>
  <c r="AS38" i="9"/>
  <c r="AA38" i="9" s="1"/>
  <c r="BJ38" i="9"/>
  <c r="BK38" i="9" s="1"/>
  <c r="AS39" i="9"/>
  <c r="BJ39" i="9"/>
  <c r="BK39" i="9" s="1"/>
  <c r="AR15" i="7"/>
  <c r="AS35" i="9"/>
  <c r="AA35" i="9" s="1"/>
  <c r="BJ35" i="9"/>
  <c r="BK35" i="9" s="1"/>
  <c r="AS36" i="9"/>
  <c r="AA36" i="9" s="1"/>
  <c r="BJ36" i="9"/>
  <c r="BK36" i="9" s="1"/>
  <c r="AS34" i="9"/>
  <c r="AA34" i="9" s="1"/>
  <c r="BJ34" i="9"/>
  <c r="BK34" i="9" s="1"/>
  <c r="AS30" i="9"/>
  <c r="AA30" i="9" s="1"/>
  <c r="BJ30" i="9"/>
  <c r="BK30" i="9" s="1"/>
  <c r="AS33" i="9"/>
  <c r="AA33" i="9" s="1"/>
  <c r="BJ33" i="9"/>
  <c r="BK33" i="9" s="1"/>
  <c r="AS32" i="9"/>
  <c r="AA32" i="9" s="1"/>
  <c r="BJ32" i="9"/>
  <c r="BK32" i="9" s="1"/>
  <c r="AS31" i="9"/>
  <c r="AA31" i="9" s="1"/>
  <c r="BJ31" i="9"/>
  <c r="BK31" i="9" s="1"/>
  <c r="AS29" i="9"/>
  <c r="AA29" i="9" s="1"/>
  <c r="BJ29" i="9"/>
  <c r="BK29" i="9" s="1"/>
  <c r="AS28" i="9"/>
  <c r="AA28" i="9" s="1"/>
  <c r="BJ28" i="9"/>
  <c r="BK28" i="9" s="1"/>
  <c r="AS27" i="9"/>
  <c r="AA27" i="9" s="1"/>
  <c r="BJ27" i="9"/>
  <c r="BK27" i="9" s="1"/>
  <c r="AS25" i="9"/>
  <c r="AA25" i="9" s="1"/>
  <c r="BJ25" i="9"/>
  <c r="BK25" i="9" s="1"/>
  <c r="AS26" i="9"/>
  <c r="AA26" i="9" s="1"/>
  <c r="BJ26" i="9"/>
  <c r="BK26" i="9" s="1"/>
  <c r="AS24" i="9"/>
  <c r="AA24" i="9" s="1"/>
  <c r="BJ24" i="9"/>
  <c r="BK24" i="9" s="1"/>
  <c r="AS23" i="9"/>
  <c r="AA23" i="9" s="1"/>
  <c r="BJ23" i="9"/>
  <c r="BK23" i="9" s="1"/>
  <c r="AS22" i="9"/>
  <c r="AA22" i="9" s="1"/>
  <c r="BJ22" i="9"/>
  <c r="BK22" i="9" s="1"/>
  <c r="AS21" i="9"/>
  <c r="AA21" i="9" s="1"/>
  <c r="BJ21" i="9"/>
  <c r="BK21" i="9" s="1"/>
  <c r="AS18" i="9"/>
  <c r="AA18" i="9" s="1"/>
  <c r="BJ18" i="9"/>
  <c r="BK18" i="9" s="1"/>
  <c r="AS17" i="9"/>
  <c r="AA17" i="9" s="1"/>
  <c r="BJ17" i="9"/>
  <c r="BK17" i="9" s="1"/>
  <c r="AS20" i="9"/>
  <c r="AA20" i="9" s="1"/>
  <c r="BJ20" i="9"/>
  <c r="BK20" i="9" s="1"/>
  <c r="AS16" i="9"/>
  <c r="AA16" i="9" s="1"/>
  <c r="BJ16" i="9"/>
  <c r="BK16" i="9" s="1"/>
  <c r="AS19" i="9"/>
  <c r="AA19" i="9" s="1"/>
  <c r="BJ19" i="9"/>
  <c r="BK19" i="9" s="1"/>
  <c r="AA41" i="7"/>
  <c r="BI41" i="7"/>
  <c r="BJ41" i="7" s="1"/>
  <c r="AA33" i="7"/>
  <c r="BI33" i="7"/>
  <c r="BJ33" i="7" s="1"/>
  <c r="AA44" i="7"/>
  <c r="BI44" i="7"/>
  <c r="BJ44" i="7" s="1"/>
  <c r="AA40" i="7"/>
  <c r="BI40" i="7"/>
  <c r="BJ40" i="7" s="1"/>
  <c r="AA43" i="7"/>
  <c r="BI43" i="7"/>
  <c r="BJ43" i="7" s="1"/>
  <c r="AA39" i="7"/>
  <c r="BI39" i="7"/>
  <c r="BJ39" i="7" s="1"/>
  <c r="AA35" i="7"/>
  <c r="BI35" i="7"/>
  <c r="BJ35" i="7" s="1"/>
  <c r="AA45" i="7"/>
  <c r="BI45" i="7"/>
  <c r="BJ45" i="7" s="1"/>
  <c r="AA37" i="7"/>
  <c r="BI37" i="7"/>
  <c r="BJ37" i="7" s="1"/>
  <c r="AA36" i="7"/>
  <c r="BI36" i="7"/>
  <c r="BJ36" i="7" s="1"/>
  <c r="AA42" i="7"/>
  <c r="BI42" i="7"/>
  <c r="BJ42" i="7" s="1"/>
  <c r="AA38" i="7"/>
  <c r="BI38" i="7"/>
  <c r="BJ38" i="7" s="1"/>
  <c r="AA34" i="7"/>
  <c r="BI34" i="7"/>
  <c r="BJ34" i="7" s="1"/>
  <c r="AA32" i="7"/>
  <c r="BI32" i="7"/>
  <c r="BJ32" i="7" s="1"/>
  <c r="AA29" i="7"/>
  <c r="BI29" i="7"/>
  <c r="BJ29" i="7" s="1"/>
  <c r="AA28" i="7"/>
  <c r="BI28" i="7"/>
  <c r="BJ28" i="7" s="1"/>
  <c r="AA31" i="7"/>
  <c r="BI31" i="7"/>
  <c r="BJ31" i="7" s="1"/>
  <c r="AA30" i="7"/>
  <c r="BI30" i="7"/>
  <c r="BJ30" i="7" s="1"/>
  <c r="AA27" i="7"/>
  <c r="BI27" i="7"/>
  <c r="BJ27" i="7" s="1"/>
  <c r="AA26" i="7"/>
  <c r="BI26" i="7"/>
  <c r="BJ26" i="7" s="1"/>
  <c r="AA25" i="7"/>
  <c r="BI25" i="7"/>
  <c r="BJ25" i="7" s="1"/>
  <c r="AA24" i="7"/>
  <c r="BI24" i="7"/>
  <c r="BJ24" i="7" s="1"/>
  <c r="AA23" i="7"/>
  <c r="BI23" i="7"/>
  <c r="BJ23" i="7" s="1"/>
  <c r="AA22" i="7"/>
  <c r="BI22" i="7"/>
  <c r="BJ22" i="7" s="1"/>
  <c r="AA21" i="7"/>
  <c r="BI21" i="7"/>
  <c r="BJ21" i="7" s="1"/>
  <c r="AA20" i="7"/>
  <c r="BI20" i="7"/>
  <c r="BJ20" i="7" s="1"/>
  <c r="AA19" i="7"/>
  <c r="BI19" i="7"/>
  <c r="BJ19" i="7" s="1"/>
  <c r="AA18" i="7"/>
  <c r="BI18" i="7"/>
  <c r="BJ18" i="7" s="1"/>
  <c r="AU18" i="14"/>
  <c r="AO18" i="14"/>
  <c r="AA41" i="14"/>
  <c r="AA17" i="7"/>
  <c r="BI17" i="7"/>
  <c r="BJ17" i="7" s="1"/>
  <c r="AA16" i="7"/>
  <c r="BI16" i="7"/>
  <c r="BJ16" i="7" s="1"/>
  <c r="AU44" i="14"/>
  <c r="AA44" i="14" s="1"/>
  <c r="BL44" i="14"/>
  <c r="BM44" i="14" s="1"/>
  <c r="AU43" i="14"/>
  <c r="BL43" i="14"/>
  <c r="BM43" i="14" s="1"/>
  <c r="BL42" i="14"/>
  <c r="BM42" i="14" s="1"/>
  <c r="BL41" i="14"/>
  <c r="BM41" i="14" s="1"/>
  <c r="AU38" i="14"/>
  <c r="BL38" i="14"/>
  <c r="BM38" i="14" s="1"/>
  <c r="BL37" i="14"/>
  <c r="BM37" i="14" s="1"/>
  <c r="AU39" i="14"/>
  <c r="AA39" i="14" s="1"/>
  <c r="BL39" i="14"/>
  <c r="BM39" i="14" s="1"/>
  <c r="BL18" i="14"/>
  <c r="BM18" i="14" s="1"/>
  <c r="AA18" i="14"/>
  <c r="BL17" i="14"/>
  <c r="BM17" i="14" s="1"/>
  <c r="AO17" i="14"/>
  <c r="AA20" i="14"/>
  <c r="BL16" i="14"/>
  <c r="AO16" i="14"/>
  <c r="BL19" i="14"/>
  <c r="BM19" i="14" s="1"/>
  <c r="AA19" i="14"/>
  <c r="AO19" i="14"/>
  <c r="BL36" i="14"/>
  <c r="BM36" i="14" s="1"/>
  <c r="AU35" i="14"/>
  <c r="AA35" i="14" s="1"/>
  <c r="BL35" i="14"/>
  <c r="BM35" i="14" s="1"/>
  <c r="AU34" i="14"/>
  <c r="AA34" i="14" s="1"/>
  <c r="BL34" i="14"/>
  <c r="BM34" i="14" s="1"/>
  <c r="AU32" i="14"/>
  <c r="AA32" i="14" s="1"/>
  <c r="BL32" i="14"/>
  <c r="BM32" i="14" s="1"/>
  <c r="AU30" i="14"/>
  <c r="BL30" i="14"/>
  <c r="BM30" i="14" s="1"/>
  <c r="BL33" i="14"/>
  <c r="BM33" i="14" s="1"/>
  <c r="AU31" i="14"/>
  <c r="AA31" i="14" s="1"/>
  <c r="BL31" i="14"/>
  <c r="BM31" i="14" s="1"/>
  <c r="BL29" i="14"/>
  <c r="BM29" i="14" s="1"/>
  <c r="BL28" i="14"/>
  <c r="BM28" i="14" s="1"/>
  <c r="AA27" i="14"/>
  <c r="BL27" i="14"/>
  <c r="BM27" i="14" s="1"/>
  <c r="BL25" i="14"/>
  <c r="BM25" i="14" s="1"/>
  <c r="AA24" i="14"/>
  <c r="BL24" i="14"/>
  <c r="BM24" i="14" s="1"/>
  <c r="BL23" i="14"/>
  <c r="BM23" i="14" s="1"/>
  <c r="AA26" i="14"/>
  <c r="BL26" i="14"/>
  <c r="BM26" i="14" s="1"/>
  <c r="BL22" i="14"/>
  <c r="BM22" i="14" s="1"/>
  <c r="BL21" i="14"/>
  <c r="BM21" i="14" s="1"/>
  <c r="BL20" i="14"/>
  <c r="BM20" i="14" s="1"/>
  <c r="AO34" i="5"/>
  <c r="AO33" i="5"/>
  <c r="AO32" i="5"/>
  <c r="AO20" i="5"/>
  <c r="AO31" i="5"/>
  <c r="AO30" i="5"/>
  <c r="AO44" i="1"/>
  <c r="AO18" i="13"/>
  <c r="AO28" i="5"/>
  <c r="AO27" i="5"/>
  <c r="AO26" i="5"/>
  <c r="AO25" i="5"/>
  <c r="AO24" i="5"/>
  <c r="AO23" i="5"/>
  <c r="AO29" i="5"/>
  <c r="AO19" i="5"/>
  <c r="AO16" i="5"/>
  <c r="AO22" i="5"/>
  <c r="AO17" i="5"/>
  <c r="AO18" i="5"/>
  <c r="BE41" i="4"/>
  <c r="BE43" i="4" s="1"/>
  <c r="BE42" i="4"/>
  <c r="AO16" i="4"/>
  <c r="AO42" i="13"/>
  <c r="AO39" i="13"/>
  <c r="AO36" i="13"/>
  <c r="AO44" i="13"/>
  <c r="AO38" i="13"/>
  <c r="AO35" i="13"/>
  <c r="AO41" i="13"/>
  <c r="AO34" i="13"/>
  <c r="AO45" i="13"/>
  <c r="AO43" i="13"/>
  <c r="AO37" i="13"/>
  <c r="AO28" i="13"/>
  <c r="AO24" i="13"/>
  <c r="AO20" i="13"/>
  <c r="AO31" i="13"/>
  <c r="AO27" i="13"/>
  <c r="AO23" i="13"/>
  <c r="AO30" i="13"/>
  <c r="AO26" i="13"/>
  <c r="AO22" i="13"/>
  <c r="AO33" i="13"/>
  <c r="AO29" i="13"/>
  <c r="AO25" i="13"/>
  <c r="AO21" i="13"/>
  <c r="AK16" i="13"/>
  <c r="AO16" i="13"/>
  <c r="Y19" i="13"/>
  <c r="AO19" i="13"/>
  <c r="Y17" i="13"/>
  <c r="AO17" i="13"/>
  <c r="AK15" i="13"/>
  <c r="AO15" i="13"/>
  <c r="A30" i="12"/>
  <c r="A31" i="12" s="1"/>
  <c r="A32" i="12" s="1"/>
  <c r="A33" i="12" s="1"/>
  <c r="A34" i="12" s="1"/>
  <c r="A35" i="12" s="1"/>
  <c r="A36" i="12" s="1"/>
  <c r="A37" i="12" s="1"/>
  <c r="A38" i="12" s="1"/>
  <c r="BH47" i="1"/>
  <c r="BK43" i="12"/>
  <c r="BL43" i="12" s="1"/>
  <c r="BK18" i="12"/>
  <c r="BL18" i="12" s="1"/>
  <c r="BK16" i="12"/>
  <c r="BL16" i="12" s="1"/>
  <c r="BK15" i="12"/>
  <c r="AS15" i="9"/>
  <c r="AA15" i="7"/>
  <c r="N49" i="14"/>
  <c r="N12" i="7" s="1"/>
  <c r="N50" i="7" s="1"/>
  <c r="N12" i="8" s="1"/>
  <c r="N49" i="8" s="1"/>
  <c r="AR30" i="7"/>
  <c r="AR45" i="7"/>
  <c r="AR41" i="7"/>
  <c r="AR33" i="7"/>
  <c r="AR28" i="7"/>
  <c r="AR44" i="7"/>
  <c r="AR43" i="7"/>
  <c r="AR42" i="7"/>
  <c r="AR38" i="7"/>
  <c r="AR37" i="7"/>
  <c r="AR40" i="7"/>
  <c r="AR39" i="7"/>
  <c r="AR36" i="7"/>
  <c r="AR35" i="7"/>
  <c r="AR32" i="7"/>
  <c r="AR31" i="7"/>
  <c r="AR29" i="7"/>
  <c r="AR27" i="7"/>
  <c r="A21" i="13"/>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AK37" i="13"/>
  <c r="AR23" i="7"/>
  <c r="AR26" i="7"/>
  <c r="AR25" i="7"/>
  <c r="P48" i="7"/>
  <c r="AR22" i="7"/>
  <c r="AR18" i="7"/>
  <c r="AR21" i="7"/>
  <c r="AR16" i="7"/>
  <c r="AA43" i="14"/>
  <c r="AA42" i="14"/>
  <c r="AA38" i="14"/>
  <c r="AA37" i="14"/>
  <c r="AA36" i="14"/>
  <c r="AA33" i="14"/>
  <c r="AA29" i="14"/>
  <c r="AA23" i="14"/>
  <c r="AA25" i="14"/>
  <c r="Y20" i="5"/>
  <c r="Y33" i="5"/>
  <c r="Y31" i="5"/>
  <c r="Y30" i="5"/>
  <c r="Y19" i="5"/>
  <c r="Y28" i="5"/>
  <c r="Y23" i="5"/>
  <c r="Y34" i="5"/>
  <c r="Y18" i="5"/>
  <c r="Y29" i="5"/>
  <c r="Y25" i="5"/>
  <c r="Y27" i="5"/>
  <c r="Y24" i="5"/>
  <c r="Y22" i="5"/>
  <c r="Y26" i="5"/>
  <c r="Y32" i="5"/>
  <c r="Y16" i="5"/>
  <c r="Y17" i="5"/>
  <c r="Y41" i="4"/>
  <c r="Y40" i="4"/>
  <c r="AO40" i="4"/>
  <c r="AO41" i="4"/>
  <c r="Y38" i="4"/>
  <c r="Y36" i="4"/>
  <c r="Y33" i="4"/>
  <c r="Y32" i="4"/>
  <c r="Y34" i="4"/>
  <c r="Y37" i="4"/>
  <c r="Y35" i="4"/>
  <c r="AO38" i="4"/>
  <c r="AO37" i="4"/>
  <c r="AO36" i="4"/>
  <c r="AO35" i="4"/>
  <c r="AO34" i="4"/>
  <c r="AO33" i="4"/>
  <c r="AO32" i="4"/>
  <c r="Y29" i="4"/>
  <c r="Y30" i="4"/>
  <c r="Y26" i="4"/>
  <c r="Y27" i="4"/>
  <c r="Y28" i="4"/>
  <c r="AO30" i="4"/>
  <c r="AO29" i="4"/>
  <c r="AO28" i="4"/>
  <c r="AO26" i="4"/>
  <c r="AO25" i="4"/>
  <c r="AO24" i="4"/>
  <c r="AO20" i="4"/>
  <c r="AO23" i="4"/>
  <c r="AO22" i="4"/>
  <c r="AO18" i="4"/>
  <c r="AO21" i="4"/>
  <c r="AO17" i="4"/>
  <c r="G46" i="4"/>
  <c r="AF47" i="1"/>
  <c r="AK46" i="2"/>
  <c r="AJ47" i="1"/>
  <c r="Y44" i="1"/>
  <c r="BH53" i="5"/>
  <c r="BH54" i="5" s="1"/>
  <c r="AK20" i="13"/>
  <c r="Q47" i="1"/>
  <c r="AC52" i="1"/>
  <c r="AC53" i="1" s="1"/>
  <c r="AK27" i="13"/>
  <c r="BA31" i="13"/>
  <c r="P52" i="1"/>
  <c r="P13" i="2" s="1"/>
  <c r="E15" i="1"/>
  <c r="C17" i="1"/>
  <c r="D16" i="1"/>
  <c r="F16" i="1" s="1"/>
  <c r="AE49" i="14"/>
  <c r="AE52" i="14" s="1"/>
  <c r="AE53" i="14" s="1"/>
  <c r="AH47" i="14"/>
  <c r="AH49" i="14"/>
  <c r="O47" i="14"/>
  <c r="O49" i="14"/>
  <c r="AE48" i="7"/>
  <c r="AM44" i="12"/>
  <c r="AW48" i="10"/>
  <c r="AH48" i="7"/>
  <c r="BA23" i="13"/>
  <c r="BB53" i="10"/>
  <c r="BB54" i="10" s="1"/>
  <c r="X28" i="12"/>
  <c r="Y28" i="12" s="1"/>
  <c r="X20" i="12"/>
  <c r="Y20" i="12" s="1"/>
  <c r="N52" i="1"/>
  <c r="N13" i="2" s="1"/>
  <c r="N53" i="2" s="1"/>
  <c r="AE47" i="1"/>
  <c r="BH39" i="12"/>
  <c r="AA17" i="14"/>
  <c r="AK35" i="5"/>
  <c r="AK25" i="5"/>
  <c r="BA15" i="13"/>
  <c r="AK23" i="13"/>
  <c r="AJ48" i="2"/>
  <c r="BH42" i="12"/>
  <c r="BI47" i="13"/>
  <c r="BI48" i="13" s="1"/>
  <c r="AG52" i="1"/>
  <c r="AG53" i="1" s="1"/>
  <c r="X27" i="12"/>
  <c r="Y27" i="12" s="1"/>
  <c r="X23" i="12"/>
  <c r="Y23" i="12" s="1"/>
  <c r="X19" i="12"/>
  <c r="Y19" i="12" s="1"/>
  <c r="X15" i="12"/>
  <c r="AS15" i="12" s="1"/>
  <c r="AM43" i="12"/>
  <c r="BA25" i="5"/>
  <c r="O48" i="5"/>
  <c r="AK26" i="4"/>
  <c r="AA16" i="14"/>
  <c r="BH41" i="12"/>
  <c r="BH53" i="13"/>
  <c r="BH54" i="13" s="1"/>
  <c r="AK34" i="5"/>
  <c r="BA19" i="5"/>
  <c r="BA39" i="5"/>
  <c r="BA38" i="5"/>
  <c r="BA18" i="5"/>
  <c r="BA28" i="5"/>
  <c r="AK38" i="5"/>
  <c r="BA33" i="5"/>
  <c r="AK23" i="5"/>
  <c r="AK45" i="5"/>
  <c r="AF47" i="14"/>
  <c r="AJ46" i="14"/>
  <c r="AJ47" i="14" s="1"/>
  <c r="AK39" i="5"/>
  <c r="AK29" i="5"/>
  <c r="AK19" i="5"/>
  <c r="AK24" i="5"/>
  <c r="AK41" i="4"/>
  <c r="BA41" i="4"/>
  <c r="S47" i="5"/>
  <c r="S48" i="5" s="1"/>
  <c r="U21" i="5"/>
  <c r="X21" i="5" s="1"/>
  <c r="AO21" i="5" s="1"/>
  <c r="AK28" i="5"/>
  <c r="BI47" i="5"/>
  <c r="BI53" i="5" s="1"/>
  <c r="BI54" i="5" s="1"/>
  <c r="AK16" i="5"/>
  <c r="AK27" i="5"/>
  <c r="AK18" i="5"/>
  <c r="AK29" i="4"/>
  <c r="AK30" i="4"/>
  <c r="AK34" i="4"/>
  <c r="O51" i="4"/>
  <c r="O13" i="5" s="1"/>
  <c r="O53" i="5" s="1"/>
  <c r="O54" i="5" s="1"/>
  <c r="BA32" i="4"/>
  <c r="U15" i="4"/>
  <c r="U19" i="4"/>
  <c r="AK32" i="4"/>
  <c r="U43" i="4"/>
  <c r="X43" i="4" s="1"/>
  <c r="AO43" i="4" s="1"/>
  <c r="U39" i="4"/>
  <c r="X39" i="4" s="1"/>
  <c r="AO39" i="4" s="1"/>
  <c r="P51" i="4"/>
  <c r="P52" i="4" s="1"/>
  <c r="AK24" i="13"/>
  <c r="BA24" i="13"/>
  <c r="BA32" i="13"/>
  <c r="BA45" i="13"/>
  <c r="AK43" i="13"/>
  <c r="BA29" i="13"/>
  <c r="AK29" i="13"/>
  <c r="Y30" i="13"/>
  <c r="BA37" i="13"/>
  <c r="BA19" i="13"/>
  <c r="BA41" i="13"/>
  <c r="BA27" i="13"/>
  <c r="AK19" i="13"/>
  <c r="BA39" i="13"/>
  <c r="Y16" i="13"/>
  <c r="BA42" i="13"/>
  <c r="BA33" i="13"/>
  <c r="BA30" i="13"/>
  <c r="BA38" i="13"/>
  <c r="AK18" i="4"/>
  <c r="AK16" i="4"/>
  <c r="Y45" i="13"/>
  <c r="Y41" i="13"/>
  <c r="BA36" i="13"/>
  <c r="AK40" i="13"/>
  <c r="AK36" i="13"/>
  <c r="AK32" i="13"/>
  <c r="AK33" i="13"/>
  <c r="AK31" i="13"/>
  <c r="U31" i="4"/>
  <c r="X31" i="4" s="1"/>
  <c r="AO31" i="4" s="1"/>
  <c r="S45" i="4"/>
  <c r="S46" i="4" s="1"/>
  <c r="AK36" i="5"/>
  <c r="BA36" i="5"/>
  <c r="BA32" i="5"/>
  <c r="BA42" i="5"/>
  <c r="AK42" i="5"/>
  <c r="BA38" i="4"/>
  <c r="BA36" i="4"/>
  <c r="Y46" i="13"/>
  <c r="BA28" i="13"/>
  <c r="AJ53" i="13"/>
  <c r="BA26" i="5"/>
  <c r="AK32" i="5"/>
  <c r="BA27" i="5"/>
  <c r="AK44" i="5"/>
  <c r="BA16" i="5"/>
  <c r="BA37" i="5"/>
  <c r="BA22" i="5"/>
  <c r="AK20" i="5"/>
  <c r="BA45" i="5"/>
  <c r="AK28" i="4"/>
  <c r="AK40" i="4"/>
  <c r="BA29" i="4"/>
  <c r="AK35" i="4"/>
  <c r="BA35" i="4"/>
  <c r="BA37" i="4"/>
  <c r="BB48" i="2"/>
  <c r="AL47" i="11"/>
  <c r="AM39" i="12"/>
  <c r="X29" i="12"/>
  <c r="Y29" i="12" s="1"/>
  <c r="X25" i="12"/>
  <c r="AM25" i="12" s="1"/>
  <c r="X21" i="12"/>
  <c r="Y21" i="12" s="1"/>
  <c r="AM41" i="12"/>
  <c r="BH31" i="12"/>
  <c r="X26" i="12"/>
  <c r="Y26" i="12" s="1"/>
  <c r="X22" i="12"/>
  <c r="X18" i="12"/>
  <c r="Y18" i="12" s="1"/>
  <c r="X17" i="12"/>
  <c r="AM17" i="12" s="1"/>
  <c r="X16" i="12"/>
  <c r="Y16" i="12" s="1"/>
  <c r="BH51" i="4"/>
  <c r="BH52" i="4" s="1"/>
  <c r="BI45" i="4"/>
  <c r="BI51" i="4" s="1"/>
  <c r="BI52" i="4" s="1"/>
  <c r="D15" i="1"/>
  <c r="F15" i="1" s="1"/>
  <c r="Y28" i="13"/>
  <c r="AN47" i="13"/>
  <c r="AN48" i="13" s="1"/>
  <c r="AK17" i="13"/>
  <c r="BA17" i="13"/>
  <c r="AK39" i="13"/>
  <c r="AK42" i="13"/>
  <c r="AK22" i="13"/>
  <c r="AK38" i="13"/>
  <c r="X47" i="13"/>
  <c r="X48" i="13" s="1"/>
  <c r="Y15" i="13"/>
  <c r="T13" i="2"/>
  <c r="T53" i="2" s="1"/>
  <c r="T13" i="13" s="1"/>
  <c r="T53" i="13" s="1"/>
  <c r="Q13" i="2"/>
  <c r="Q53" i="2" s="1"/>
  <c r="Q54" i="2" s="1"/>
  <c r="Q53" i="1"/>
  <c r="AW53" i="2"/>
  <c r="AW13" i="13" s="1"/>
  <c r="AW53" i="13" s="1"/>
  <c r="AW13" i="4" s="1"/>
  <c r="AW51" i="4" s="1"/>
  <c r="AW13" i="5" s="1"/>
  <c r="AW53" i="5" s="1"/>
  <c r="BE13" i="14" s="1"/>
  <c r="BE52" i="14" s="1"/>
  <c r="BB13" i="7" s="1"/>
  <c r="BB53" i="7" s="1"/>
  <c r="BC13" i="8" s="1"/>
  <c r="BC52" i="8" s="1"/>
  <c r="BC13" i="9" s="1"/>
  <c r="BC53" i="9" s="1"/>
  <c r="BC13" i="10" s="1"/>
  <c r="BC53" i="10" s="1"/>
  <c r="BC13" i="11" s="1"/>
  <c r="BC52" i="11" s="1"/>
  <c r="BD13" i="12" s="1"/>
  <c r="BD53" i="12" s="1"/>
  <c r="BD65" i="12" s="1"/>
  <c r="BI46" i="1"/>
  <c r="BI13" i="2" s="1"/>
  <c r="V52" i="1"/>
  <c r="V53" i="1" s="1"/>
  <c r="H47" i="1"/>
  <c r="AH47" i="1"/>
  <c r="W52" i="1"/>
  <c r="W53" i="1" s="1"/>
  <c r="R53" i="1"/>
  <c r="BB47" i="1"/>
  <c r="BI47" i="2"/>
  <c r="BI48" i="2" s="1"/>
  <c r="M52" i="1"/>
  <c r="M53" i="1" s="1"/>
  <c r="G52" i="1"/>
  <c r="G13" i="2" s="1"/>
  <c r="G53" i="2" s="1"/>
  <c r="G54" i="2" s="1"/>
  <c r="H53" i="1"/>
  <c r="I46" i="1"/>
  <c r="I52" i="1" s="1"/>
  <c r="O13" i="2"/>
  <c r="O53" i="1"/>
  <c r="AK44" i="1"/>
  <c r="X15" i="1"/>
  <c r="AO15" i="1" s="1"/>
  <c r="BA44" i="1"/>
  <c r="O47" i="1"/>
  <c r="AI53" i="1"/>
  <c r="AI13" i="2"/>
  <c r="AI15" i="2" s="1"/>
  <c r="AI16" i="2" s="1"/>
  <c r="AI17" i="2" s="1"/>
  <c r="AI18" i="2" s="1"/>
  <c r="AI19" i="2" s="1"/>
  <c r="AI20" i="2" s="1"/>
  <c r="AI21" i="2" s="1"/>
  <c r="AI22" i="2" s="1"/>
  <c r="AI23" i="2" s="1"/>
  <c r="AI24" i="2" s="1"/>
  <c r="AI25" i="2" s="1"/>
  <c r="AI26" i="2" s="1"/>
  <c r="AI27" i="2" s="1"/>
  <c r="AI28" i="2" s="1"/>
  <c r="AI29" i="2" s="1"/>
  <c r="AI30" i="2" s="1"/>
  <c r="AI31" i="2" s="1"/>
  <c r="AI32" i="2" s="1"/>
  <c r="AI33" i="2" s="1"/>
  <c r="AI34" i="2" s="1"/>
  <c r="AI35" i="2" s="1"/>
  <c r="AI36" i="2" s="1"/>
  <c r="AI37" i="2" s="1"/>
  <c r="AI38" i="2" s="1"/>
  <c r="AI39" i="2" s="1"/>
  <c r="AI40" i="2" s="1"/>
  <c r="AI41" i="2" s="1"/>
  <c r="AI42" i="2" s="1"/>
  <c r="AI43" i="2" s="1"/>
  <c r="AI44" i="2" s="1"/>
  <c r="AI45" i="2" s="1"/>
  <c r="AI53" i="2" s="1"/>
  <c r="AI54" i="2" s="1"/>
  <c r="AH13" i="2"/>
  <c r="AH53" i="2" s="1"/>
  <c r="AH53" i="1"/>
  <c r="BB53" i="1"/>
  <c r="BB13" i="2"/>
  <c r="BB53" i="2" s="1"/>
  <c r="BR13" i="12"/>
  <c r="BP13" i="8"/>
  <c r="BP52" i="8" s="1"/>
  <c r="BP53" i="8" s="1"/>
  <c r="BO13" i="7"/>
  <c r="BO53" i="7" s="1"/>
  <c r="BO54" i="7" s="1"/>
  <c r="BH13" i="2"/>
  <c r="BH53" i="2" s="1"/>
  <c r="BH54" i="2" s="1"/>
  <c r="I47" i="13"/>
  <c r="I48" i="13" s="1"/>
  <c r="AK18" i="13"/>
  <c r="AK26" i="13"/>
  <c r="BA25" i="13"/>
  <c r="Y18" i="13"/>
  <c r="BA16" i="13"/>
  <c r="BA20" i="13"/>
  <c r="BA43" i="13"/>
  <c r="BA40" i="13"/>
  <c r="AK35" i="13"/>
  <c r="BA44" i="13"/>
  <c r="AK21" i="13"/>
  <c r="AK25" i="13"/>
  <c r="U47" i="13"/>
  <c r="AK34" i="13"/>
  <c r="AK44" i="13"/>
  <c r="BA22" i="13"/>
  <c r="BA26" i="13"/>
  <c r="BA34" i="13"/>
  <c r="BA21" i="13"/>
  <c r="BA18" i="13"/>
  <c r="BA35" i="13"/>
  <c r="V48" i="13"/>
  <c r="BB48" i="13"/>
  <c r="AK24" i="4"/>
  <c r="AK27" i="4"/>
  <c r="AK17" i="4"/>
  <c r="AK23" i="4"/>
  <c r="AK37" i="4"/>
  <c r="AK38" i="4"/>
  <c r="AK22" i="4"/>
  <c r="AK21" i="4"/>
  <c r="BA18" i="4"/>
  <c r="BA25" i="4"/>
  <c r="BA21" i="4"/>
  <c r="BA20" i="4"/>
  <c r="BA27" i="4"/>
  <c r="AK36" i="4"/>
  <c r="AK33" i="4"/>
  <c r="BA26" i="4"/>
  <c r="AK20" i="4"/>
  <c r="AK25" i="4"/>
  <c r="BA34" i="4"/>
  <c r="BA40" i="4"/>
  <c r="BA17" i="4"/>
  <c r="BA16" i="4"/>
  <c r="BA30" i="4"/>
  <c r="BA23" i="4"/>
  <c r="BA28" i="4"/>
  <c r="BA33" i="4"/>
  <c r="BA22" i="4"/>
  <c r="BA24" i="4"/>
  <c r="I47" i="5"/>
  <c r="I48" i="5" s="1"/>
  <c r="AK22" i="5"/>
  <c r="AK41" i="5"/>
  <c r="AK37" i="5"/>
  <c r="BA34" i="5"/>
  <c r="BA20" i="5"/>
  <c r="BA29" i="5"/>
  <c r="BA44" i="5"/>
  <c r="BA24" i="5"/>
  <c r="BA41" i="5"/>
  <c r="O51" i="5"/>
  <c r="AK43" i="5"/>
  <c r="AK40" i="5"/>
  <c r="AK26" i="5"/>
  <c r="AK30" i="5"/>
  <c r="AK31" i="5"/>
  <c r="AK17" i="5"/>
  <c r="BA43" i="5"/>
  <c r="BA31" i="5"/>
  <c r="BA40" i="5"/>
  <c r="BA17" i="5"/>
  <c r="BA30" i="5"/>
  <c r="BA23" i="5"/>
  <c r="BB48" i="5"/>
  <c r="AY40" i="14"/>
  <c r="AY34" i="14"/>
  <c r="AY38" i="14"/>
  <c r="AY39" i="14"/>
  <c r="I45" i="4"/>
  <c r="I46" i="4" s="1"/>
  <c r="I46" i="11"/>
  <c r="I47" i="11" s="1"/>
  <c r="AL50" i="10"/>
  <c r="AL51" i="10" s="1"/>
  <c r="BG43" i="11"/>
  <c r="Q46" i="11"/>
  <c r="Q47" i="11" s="1"/>
  <c r="BG33" i="11"/>
  <c r="Q47" i="12"/>
  <c r="Q48" i="12" s="1"/>
  <c r="BH21" i="12"/>
  <c r="S47" i="12"/>
  <c r="S48" i="12" s="1"/>
  <c r="BH19" i="12"/>
  <c r="BG44" i="11"/>
  <c r="BG36" i="11"/>
  <c r="BG25" i="11"/>
  <c r="BG15" i="11"/>
  <c r="BG19" i="11"/>
  <c r="BG23" i="11"/>
  <c r="BG35" i="11"/>
  <c r="BH38" i="12"/>
  <c r="BH20" i="12"/>
  <c r="AL48" i="12"/>
  <c r="AZ50" i="12"/>
  <c r="AZ51" i="12" s="1"/>
  <c r="BH45" i="12"/>
  <c r="BH33" i="12"/>
  <c r="BH37" i="12"/>
  <c r="BH26" i="12"/>
  <c r="BH18" i="12"/>
  <c r="BH17" i="12"/>
  <c r="BH16" i="12"/>
  <c r="BH40" i="12"/>
  <c r="BH27" i="12"/>
  <c r="BH32" i="12"/>
  <c r="BH28" i="12"/>
  <c r="BH43" i="12"/>
  <c r="BH34" i="12"/>
  <c r="BH29" i="12"/>
  <c r="BH25" i="12"/>
  <c r="BH44" i="12"/>
  <c r="I47" i="12"/>
  <c r="I48" i="12" s="1"/>
  <c r="BH35" i="12"/>
  <c r="BH15" i="12"/>
  <c r="BH23" i="12"/>
  <c r="R48" i="12"/>
  <c r="BH36" i="12"/>
  <c r="BH22" i="12"/>
  <c r="T47" i="12"/>
  <c r="T48" i="12" s="1"/>
  <c r="BG21" i="11"/>
  <c r="BG20" i="11"/>
  <c r="BG40" i="11"/>
  <c r="BG37" i="11"/>
  <c r="BG41" i="11"/>
  <c r="T46" i="11"/>
  <c r="T47" i="11" s="1"/>
  <c r="BG31" i="11"/>
  <c r="BG28" i="11"/>
  <c r="BG17" i="11"/>
  <c r="BG24" i="11"/>
  <c r="BG29" i="11"/>
  <c r="BG26" i="11"/>
  <c r="BG39" i="11"/>
  <c r="BG42" i="11"/>
  <c r="I47" i="10"/>
  <c r="I48" i="10" s="1"/>
  <c r="BG45" i="9"/>
  <c r="BG19" i="9"/>
  <c r="BB50" i="9"/>
  <c r="BG31" i="9"/>
  <c r="BB54" i="9"/>
  <c r="BB48" i="9"/>
  <c r="BG20" i="9"/>
  <c r="BG17" i="9"/>
  <c r="BG24" i="9"/>
  <c r="BG47" i="10"/>
  <c r="BG48" i="10" s="1"/>
  <c r="X47" i="10"/>
  <c r="X48" i="10" s="1"/>
  <c r="AW40" i="9"/>
  <c r="I47" i="9"/>
  <c r="I48" i="9" s="1"/>
  <c r="BG28" i="9"/>
  <c r="BG25" i="9"/>
  <c r="BG35" i="9"/>
  <c r="BG44" i="9"/>
  <c r="BG37" i="9"/>
  <c r="T47" i="9"/>
  <c r="T48" i="9" s="1"/>
  <c r="BG34" i="9"/>
  <c r="BG21" i="9"/>
  <c r="AW16" i="9"/>
  <c r="BG18" i="9"/>
  <c r="BG32" i="9"/>
  <c r="BG41" i="9"/>
  <c r="AW24" i="9"/>
  <c r="AW28" i="9"/>
  <c r="BG30" i="9"/>
  <c r="Q47" i="9"/>
  <c r="Q48" i="9" s="1"/>
  <c r="BG23" i="9"/>
  <c r="BG27" i="9"/>
  <c r="AW36" i="9"/>
  <c r="AW18" i="9"/>
  <c r="A19" i="8"/>
  <c r="A20" i="8" s="1"/>
  <c r="AX50" i="7"/>
  <c r="AX12" i="8" s="1"/>
  <c r="AX49" i="8" s="1"/>
  <c r="AX50" i="8" s="1"/>
  <c r="T46" i="8"/>
  <c r="T47" i="8" s="1"/>
  <c r="I46" i="8"/>
  <c r="I47" i="8" s="1"/>
  <c r="BC50" i="8"/>
  <c r="BC51" i="9" s="1"/>
  <c r="BC51" i="10" s="1"/>
  <c r="BC50" i="11" s="1"/>
  <c r="Q46" i="8"/>
  <c r="Q47" i="8" s="1"/>
  <c r="BB49" i="8"/>
  <c r="BB50" i="8" s="1"/>
  <c r="AG49" i="14"/>
  <c r="A40" i="14"/>
  <c r="A41" i="14" s="1"/>
  <c r="A42" i="14" s="1"/>
  <c r="A43" i="14" s="1"/>
  <c r="BC47" i="14"/>
  <c r="AY29" i="14"/>
  <c r="BF36" i="7"/>
  <c r="BF42" i="7"/>
  <c r="BF38" i="7"/>
  <c r="BF32" i="7"/>
  <c r="BF39" i="7"/>
  <c r="BF41" i="7"/>
  <c r="BF33" i="7"/>
  <c r="A17" i="7"/>
  <c r="BF44" i="7"/>
  <c r="BF29" i="7"/>
  <c r="BF27" i="7"/>
  <c r="BF26" i="7"/>
  <c r="T47" i="7"/>
  <c r="T48" i="7" s="1"/>
  <c r="BF15" i="7"/>
  <c r="AY50" i="7"/>
  <c r="AY51" i="7" s="1"/>
  <c r="BF35" i="7"/>
  <c r="BF19" i="7"/>
  <c r="BF37" i="7"/>
  <c r="BF24" i="7"/>
  <c r="BF45" i="7"/>
  <c r="AX53" i="7"/>
  <c r="BF20" i="7"/>
  <c r="BF28" i="7"/>
  <c r="BF25" i="7"/>
  <c r="BF43" i="7"/>
  <c r="I47" i="7"/>
  <c r="I48" i="7" s="1"/>
  <c r="AY53" i="7"/>
  <c r="AZ13" i="8" s="1"/>
  <c r="AZ52" i="8" s="1"/>
  <c r="AZ13" i="9" s="1"/>
  <c r="AZ53" i="9" s="1"/>
  <c r="BF30" i="7"/>
  <c r="AZ12" i="7"/>
  <c r="AZ50" i="7" s="1"/>
  <c r="BA12" i="8" s="1"/>
  <c r="BA49" i="8" s="1"/>
  <c r="BC50" i="14"/>
  <c r="AF50" i="14"/>
  <c r="AF12" i="7"/>
  <c r="AF50" i="7" s="1"/>
  <c r="S46" i="14"/>
  <c r="AG52" i="14"/>
  <c r="AG53" i="14" s="1"/>
  <c r="AY28" i="14"/>
  <c r="AY16" i="14"/>
  <c r="BI21" i="14"/>
  <c r="BI23" i="14"/>
  <c r="BI25" i="14"/>
  <c r="BI27" i="14"/>
  <c r="BI29" i="14"/>
  <c r="BI31" i="14"/>
  <c r="BI33" i="14"/>
  <c r="BI35" i="14"/>
  <c r="BI37" i="14"/>
  <c r="AF52" i="14"/>
  <c r="AF53" i="14" s="1"/>
  <c r="AY31" i="14"/>
  <c r="AY19" i="14"/>
  <c r="P49" i="14"/>
  <c r="AY30" i="14"/>
  <c r="AK22" i="14"/>
  <c r="BI28" i="14"/>
  <c r="AK30" i="14"/>
  <c r="BI32" i="14"/>
  <c r="AK38" i="14"/>
  <c r="AY17" i="14"/>
  <c r="AY20" i="14"/>
  <c r="AY37" i="14"/>
  <c r="AY36" i="14"/>
  <c r="AY35" i="14"/>
  <c r="AY33" i="14"/>
  <c r="AY18" i="14"/>
  <c r="AY32" i="14"/>
  <c r="AY26" i="14"/>
  <c r="BJ49" i="14"/>
  <c r="BG12" i="7" s="1"/>
  <c r="BG50" i="7" s="1"/>
  <c r="BH12" i="8" s="1"/>
  <c r="BH49" i="8" s="1"/>
  <c r="I46" i="14"/>
  <c r="I49" i="14" s="1"/>
  <c r="I50" i="14" s="1"/>
  <c r="AY25" i="14"/>
  <c r="AE47" i="14"/>
  <c r="AY24" i="14"/>
  <c r="W49" i="14"/>
  <c r="W12" i="7" s="1"/>
  <c r="W50" i="7" s="1"/>
  <c r="W12" i="8" s="1"/>
  <c r="W49" i="8" s="1"/>
  <c r="G49" i="14"/>
  <c r="AY23" i="14"/>
  <c r="AY21" i="14"/>
  <c r="M49" i="14"/>
  <c r="V50" i="14"/>
  <c r="V12" i="7"/>
  <c r="V50" i="7" s="1"/>
  <c r="V47" i="14"/>
  <c r="H49" i="14"/>
  <c r="BJ47" i="9" l="1"/>
  <c r="BM16" i="14"/>
  <c r="BL46" i="14"/>
  <c r="BL49" i="14" s="1"/>
  <c r="AD39" i="9"/>
  <c r="AD40" i="9" s="1"/>
  <c r="AD41" i="9" s="1"/>
  <c r="AD42" i="9" s="1"/>
  <c r="AA39" i="9"/>
  <c r="AA44" i="9"/>
  <c r="AA42" i="9"/>
  <c r="AA15" i="9"/>
  <c r="BJ47" i="7"/>
  <c r="AO46" i="14"/>
  <c r="AO47" i="14" s="1"/>
  <c r="AA30" i="14"/>
  <c r="AA28" i="14"/>
  <c r="AA22" i="14"/>
  <c r="N50" i="14"/>
  <c r="AC13" i="2"/>
  <c r="AO47" i="5"/>
  <c r="Y47" i="10"/>
  <c r="Y48" i="10" s="1"/>
  <c r="AS43" i="12"/>
  <c r="Y15" i="12"/>
  <c r="AM40" i="12"/>
  <c r="AM38" i="12"/>
  <c r="Y22" i="12"/>
  <c r="AS18" i="12"/>
  <c r="BK47" i="12"/>
  <c r="BL15" i="12"/>
  <c r="BL47" i="12" s="1"/>
  <c r="BK47" i="10"/>
  <c r="BK48" i="10" s="1"/>
  <c r="BJ47" i="10"/>
  <c r="BJ48" i="10" s="1"/>
  <c r="AM29" i="12"/>
  <c r="AE50" i="14"/>
  <c r="BH24" i="12"/>
  <c r="BH47" i="12" s="1"/>
  <c r="BH48" i="12" s="1"/>
  <c r="AM18" i="12"/>
  <c r="BI53" i="13"/>
  <c r="BI54" i="13" s="1"/>
  <c r="AE12" i="7"/>
  <c r="AE50" i="7" s="1"/>
  <c r="AE51" i="7" s="1"/>
  <c r="AM23" i="12"/>
  <c r="AA21" i="14"/>
  <c r="AM42" i="12"/>
  <c r="AM19" i="12"/>
  <c r="BM46" i="14"/>
  <c r="BM49" i="14" s="1"/>
  <c r="BJ12" i="7" s="1"/>
  <c r="AN47" i="5"/>
  <c r="AN48" i="5" s="1"/>
  <c r="Y21" i="5"/>
  <c r="Y47" i="5" s="1"/>
  <c r="Y48" i="5" s="1"/>
  <c r="AP47" i="5"/>
  <c r="AP48" i="5" s="1"/>
  <c r="Y39" i="4"/>
  <c r="Y43" i="4"/>
  <c r="Y31" i="4"/>
  <c r="O13" i="14"/>
  <c r="O52" i="14" s="1"/>
  <c r="O53" i="14" s="1"/>
  <c r="AO47" i="13"/>
  <c r="AO48" i="13" s="1"/>
  <c r="AN47" i="2"/>
  <c r="AN48" i="2" s="1"/>
  <c r="N13" i="13"/>
  <c r="N53" i="13" s="1"/>
  <c r="N54" i="13" s="1"/>
  <c r="N54" i="2"/>
  <c r="N53" i="1"/>
  <c r="P53" i="1"/>
  <c r="AM33" i="12"/>
  <c r="AM16" i="12"/>
  <c r="AM26" i="12"/>
  <c r="BI46" i="4"/>
  <c r="BP13" i="7"/>
  <c r="BP53" i="7" s="1"/>
  <c r="BP54" i="7" s="1"/>
  <c r="AK15" i="1"/>
  <c r="L15" i="1" s="1"/>
  <c r="J15" i="1" s="1"/>
  <c r="K15" i="1" s="1"/>
  <c r="AP46" i="1"/>
  <c r="BQ13" i="8"/>
  <c r="BQ52" i="8" s="1"/>
  <c r="BQ53" i="8" s="1"/>
  <c r="C18" i="1"/>
  <c r="E17" i="1"/>
  <c r="D17" i="1"/>
  <c r="O52" i="4"/>
  <c r="AH50" i="14"/>
  <c r="AH12" i="7"/>
  <c r="AH50" i="7" s="1"/>
  <c r="AH51" i="7" s="1"/>
  <c r="BI52" i="1"/>
  <c r="BI53" i="1" s="1"/>
  <c r="BI47" i="1"/>
  <c r="AS45" i="12"/>
  <c r="AS44" i="12"/>
  <c r="AS41" i="12"/>
  <c r="AS42" i="12"/>
  <c r="AS39" i="12"/>
  <c r="AS40" i="12"/>
  <c r="AS38" i="12"/>
  <c r="AS37" i="12"/>
  <c r="AM36" i="12"/>
  <c r="AS36" i="12"/>
  <c r="AS35" i="12"/>
  <c r="AS33" i="12"/>
  <c r="AM35" i="12"/>
  <c r="AS34" i="12"/>
  <c r="AS32" i="12"/>
  <c r="AS31" i="12"/>
  <c r="AS29" i="12"/>
  <c r="AM28" i="12"/>
  <c r="AS27" i="12"/>
  <c r="AS26" i="12"/>
  <c r="AS28" i="12"/>
  <c r="AS25" i="12"/>
  <c r="AS23" i="12"/>
  <c r="Y25" i="12"/>
  <c r="AM32" i="12"/>
  <c r="AM34" i="12"/>
  <c r="AM37" i="12"/>
  <c r="AM31" i="12"/>
  <c r="AM22" i="12"/>
  <c r="AS22" i="12"/>
  <c r="AM20" i="12"/>
  <c r="AS19" i="12"/>
  <c r="AS21" i="12"/>
  <c r="AS20" i="12"/>
  <c r="Y17" i="12"/>
  <c r="AS17" i="12"/>
  <c r="AS16" i="12"/>
  <c r="AM15" i="12"/>
  <c r="AW48" i="9"/>
  <c r="AM27" i="12"/>
  <c r="AM21" i="12"/>
  <c r="U47" i="5"/>
  <c r="U48" i="5" s="1"/>
  <c r="P13" i="5"/>
  <c r="X47" i="5"/>
  <c r="X48" i="5" s="1"/>
  <c r="AK33" i="5"/>
  <c r="AJ49" i="14"/>
  <c r="AJ50" i="14" s="1"/>
  <c r="BA21" i="5"/>
  <c r="BA47" i="5" s="1"/>
  <c r="BI48" i="5"/>
  <c r="BA43" i="4"/>
  <c r="AK21" i="5"/>
  <c r="AK39" i="4"/>
  <c r="AK43" i="4"/>
  <c r="X15" i="4"/>
  <c r="AO15" i="4" s="1"/>
  <c r="U45" i="4"/>
  <c r="U46" i="4" s="1"/>
  <c r="BA15" i="4"/>
  <c r="BA31" i="4"/>
  <c r="BA39" i="4"/>
  <c r="X19" i="4"/>
  <c r="AO19" i="4" s="1"/>
  <c r="BA19" i="4"/>
  <c r="Y47" i="13"/>
  <c r="Y48" i="13" s="1"/>
  <c r="AK31" i="4"/>
  <c r="AM45" i="12"/>
  <c r="X24" i="12"/>
  <c r="AS24" i="12" s="1"/>
  <c r="AY54" i="7"/>
  <c r="AJ13" i="4"/>
  <c r="AJ51" i="4" s="1"/>
  <c r="AJ54" i="13"/>
  <c r="Q13" i="13"/>
  <c r="Q53" i="13" s="1"/>
  <c r="Q13" i="4" s="1"/>
  <c r="Q51" i="4" s="1"/>
  <c r="Q13" i="5" s="1"/>
  <c r="Q53" i="5" s="1"/>
  <c r="BA47" i="13"/>
  <c r="BA48" i="13" s="1"/>
  <c r="AK47" i="13"/>
  <c r="AK48" i="13" s="1"/>
  <c r="BI53" i="2"/>
  <c r="BI54" i="2" s="1"/>
  <c r="I32" i="2"/>
  <c r="T54" i="2"/>
  <c r="I47" i="1"/>
  <c r="V13" i="2"/>
  <c r="V53" i="2" s="1"/>
  <c r="V54" i="2" s="1"/>
  <c r="W13" i="2"/>
  <c r="W53" i="2" s="1"/>
  <c r="W54" i="2" s="1"/>
  <c r="M13" i="2"/>
  <c r="M53" i="2" s="1"/>
  <c r="M54" i="2" s="1"/>
  <c r="G13" i="13"/>
  <c r="G53" i="13" s="1"/>
  <c r="G13" i="4" s="1"/>
  <c r="G51" i="4" s="1"/>
  <c r="T54" i="13"/>
  <c r="T13" i="4"/>
  <c r="T51" i="4" s="1"/>
  <c r="G53" i="1"/>
  <c r="BB13" i="13"/>
  <c r="BB53" i="13" s="1"/>
  <c r="BB54" i="13" s="1"/>
  <c r="BB54" i="2"/>
  <c r="AI13" i="13"/>
  <c r="AI15" i="13" s="1"/>
  <c r="AI16" i="13" s="1"/>
  <c r="AI17" i="13" s="1"/>
  <c r="AI18" i="13" s="1"/>
  <c r="AI19" i="13" s="1"/>
  <c r="AI20" i="13" s="1"/>
  <c r="AI21" i="13" s="1"/>
  <c r="AI22" i="13" s="1"/>
  <c r="AI23" i="13" s="1"/>
  <c r="AI24" i="13" s="1"/>
  <c r="AI25" i="13" s="1"/>
  <c r="AI26" i="13" s="1"/>
  <c r="AI27" i="13" s="1"/>
  <c r="AI28" i="13" s="1"/>
  <c r="AI29" i="13" s="1"/>
  <c r="AI30" i="13" s="1"/>
  <c r="AI31" i="13" s="1"/>
  <c r="AI32" i="13" s="1"/>
  <c r="AI33" i="13" s="1"/>
  <c r="AI34" i="13" s="1"/>
  <c r="AI35" i="13" s="1"/>
  <c r="AI36" i="13" s="1"/>
  <c r="AI37" i="13" s="1"/>
  <c r="AI38" i="13" s="1"/>
  <c r="AI39" i="13" s="1"/>
  <c r="AI40" i="13" s="1"/>
  <c r="AI41" i="13" s="1"/>
  <c r="AI42" i="13" s="1"/>
  <c r="AI43" i="13" s="1"/>
  <c r="AI44" i="13" s="1"/>
  <c r="AI45" i="13" s="1"/>
  <c r="AI53" i="13" s="1"/>
  <c r="AI13" i="4" s="1"/>
  <c r="AI15" i="4" s="1"/>
  <c r="AI16" i="4" s="1"/>
  <c r="AI17" i="4" s="1"/>
  <c r="AI18" i="4" s="1"/>
  <c r="AI19" i="4" s="1"/>
  <c r="AI20" i="4" s="1"/>
  <c r="AI21" i="4" s="1"/>
  <c r="AI22" i="4" s="1"/>
  <c r="AI23" i="4" s="1"/>
  <c r="AI24" i="4" s="1"/>
  <c r="AI25" i="4" s="1"/>
  <c r="AI26" i="4" s="1"/>
  <c r="AI27" i="4" s="1"/>
  <c r="AI28" i="4" s="1"/>
  <c r="AI29" i="4" s="1"/>
  <c r="AI30" i="4" s="1"/>
  <c r="AI31" i="4" s="1"/>
  <c r="AI32" i="4" s="1"/>
  <c r="AI33" i="4" s="1"/>
  <c r="AI34" i="4" s="1"/>
  <c r="AI35" i="4" s="1"/>
  <c r="AI36" i="4" s="1"/>
  <c r="AI37" i="4" s="1"/>
  <c r="AI38" i="4" s="1"/>
  <c r="AI39" i="4" s="1"/>
  <c r="AI40" i="4" s="1"/>
  <c r="AI41" i="4" s="1"/>
  <c r="AI42" i="4" s="1"/>
  <c r="AI43" i="4" s="1"/>
  <c r="AH54" i="2"/>
  <c r="AH13" i="13"/>
  <c r="AH53" i="13" s="1"/>
  <c r="U48" i="13"/>
  <c r="AY41" i="14"/>
  <c r="I13" i="2"/>
  <c r="I53" i="1"/>
  <c r="AC47" i="2"/>
  <c r="AC48" i="2" s="1"/>
  <c r="BG22" i="11"/>
  <c r="BG32" i="11"/>
  <c r="BG30" i="11"/>
  <c r="BG16" i="11"/>
  <c r="R47" i="11"/>
  <c r="BG34" i="11"/>
  <c r="BG27" i="11"/>
  <c r="S46" i="11"/>
  <c r="S47" i="11" s="1"/>
  <c r="BG38" i="11"/>
  <c r="BG18" i="11"/>
  <c r="BB12" i="10"/>
  <c r="BB50" i="10" s="1"/>
  <c r="BB51" i="9"/>
  <c r="AX51" i="7"/>
  <c r="AS47" i="10"/>
  <c r="BG33" i="9"/>
  <c r="BG22" i="9"/>
  <c r="R47" i="9"/>
  <c r="R48" i="9" s="1"/>
  <c r="S47" i="9"/>
  <c r="S48" i="9" s="1"/>
  <c r="BG29" i="9"/>
  <c r="BG36" i="9"/>
  <c r="AZ47" i="10"/>
  <c r="AZ48" i="10" s="1"/>
  <c r="BG38" i="9"/>
  <c r="AK18" i="14"/>
  <c r="A21" i="8"/>
  <c r="A22" i="8" s="1"/>
  <c r="A23" i="8" s="1"/>
  <c r="A24" i="8" s="1"/>
  <c r="A25" i="8" s="1"/>
  <c r="A26" i="8" s="1"/>
  <c r="A27" i="8" s="1"/>
  <c r="A28" i="8" s="1"/>
  <c r="A29" i="8" s="1"/>
  <c r="A30" i="8" s="1"/>
  <c r="A31" i="8" s="1"/>
  <c r="A32" i="8" s="1"/>
  <c r="A33" i="8" s="1"/>
  <c r="A34" i="8" s="1"/>
  <c r="A35" i="8" s="1"/>
  <c r="A36" i="8" s="1"/>
  <c r="A37" i="8" s="1"/>
  <c r="A38" i="8" s="1"/>
  <c r="A39" i="8" s="1"/>
  <c r="A40" i="8" s="1"/>
  <c r="A41" i="8" s="1"/>
  <c r="N51" i="7"/>
  <c r="AZ12" i="8"/>
  <c r="AZ49" i="8" s="1"/>
  <c r="AZ50" i="8" s="1"/>
  <c r="AY12" i="9"/>
  <c r="AZ53" i="8"/>
  <c r="S46" i="8"/>
  <c r="S47" i="8" s="1"/>
  <c r="AK27" i="14"/>
  <c r="AK17" i="14"/>
  <c r="AK24" i="14"/>
  <c r="AK35" i="14"/>
  <c r="AK34" i="14"/>
  <c r="AK19" i="14"/>
  <c r="AK31" i="14"/>
  <c r="AG12" i="7"/>
  <c r="AG50" i="14"/>
  <c r="AK32" i="14"/>
  <c r="AK23" i="14"/>
  <c r="BF34" i="7"/>
  <c r="A18" i="7"/>
  <c r="AZ51" i="7"/>
  <c r="BF18" i="7"/>
  <c r="AX13" i="8"/>
  <c r="AX52" i="8" s="1"/>
  <c r="AX54" i="7"/>
  <c r="BF21" i="7"/>
  <c r="BF40" i="7"/>
  <c r="S47" i="7"/>
  <c r="S48" i="7" s="1"/>
  <c r="BF22" i="7"/>
  <c r="BF17" i="7"/>
  <c r="BF23" i="7"/>
  <c r="BF31" i="7"/>
  <c r="R47" i="7"/>
  <c r="R48" i="7" s="1"/>
  <c r="BF16" i="7"/>
  <c r="AF13" i="7"/>
  <c r="AF53" i="7" s="1"/>
  <c r="AF54" i="7" s="1"/>
  <c r="BI43" i="14"/>
  <c r="BI19" i="14"/>
  <c r="AK29" i="14"/>
  <c r="AK37" i="14"/>
  <c r="BI44" i="14"/>
  <c r="BI36" i="14"/>
  <c r="BI20" i="14"/>
  <c r="AK28" i="14"/>
  <c r="BI42" i="14"/>
  <c r="BI34" i="14"/>
  <c r="BI26" i="14"/>
  <c r="BI18" i="14"/>
  <c r="AK26" i="14"/>
  <c r="BI41" i="14"/>
  <c r="BI17" i="14"/>
  <c r="AK21" i="14"/>
  <c r="BI24" i="14"/>
  <c r="BI16" i="14"/>
  <c r="BI39" i="14"/>
  <c r="R46" i="14"/>
  <c r="AK25" i="14"/>
  <c r="AK33" i="14"/>
  <c r="S47" i="14"/>
  <c r="AK36" i="14"/>
  <c r="BI38" i="14"/>
  <c r="BI30" i="14"/>
  <c r="BI22" i="14"/>
  <c r="P12" i="7"/>
  <c r="P50" i="7" s="1"/>
  <c r="P50" i="14"/>
  <c r="BJ50" i="14"/>
  <c r="BA50" i="8"/>
  <c r="BA12" i="9"/>
  <c r="BA50" i="9" s="1"/>
  <c r="BG51" i="7"/>
  <c r="N50" i="8"/>
  <c r="N12" i="9"/>
  <c r="N50" i="9" s="1"/>
  <c r="AZ54" i="9"/>
  <c r="AZ13" i="10"/>
  <c r="AF51" i="7"/>
  <c r="AF12" i="8"/>
  <c r="I47" i="14"/>
  <c r="I12" i="7"/>
  <c r="I50" i="7" s="1"/>
  <c r="I51" i="7" s="1"/>
  <c r="W50" i="14"/>
  <c r="W51" i="7"/>
  <c r="G50" i="14"/>
  <c r="G12" i="7"/>
  <c r="G50" i="7" s="1"/>
  <c r="M50" i="14"/>
  <c r="M12" i="7"/>
  <c r="M50" i="7" s="1"/>
  <c r="BH12" i="9"/>
  <c r="BH50" i="9" s="1"/>
  <c r="BH51" i="9" s="1"/>
  <c r="BH50" i="8"/>
  <c r="V12" i="8"/>
  <c r="V49" i="8" s="1"/>
  <c r="V51" i="7"/>
  <c r="W50" i="8"/>
  <c r="W12" i="9"/>
  <c r="W50" i="9" s="1"/>
  <c r="O12" i="7"/>
  <c r="O50" i="7" s="1"/>
  <c r="O50" i="14"/>
  <c r="H12" i="7"/>
  <c r="H50" i="7" s="1"/>
  <c r="H50" i="14"/>
  <c r="BJ50" i="7" l="1"/>
  <c r="BK12" i="8" s="1"/>
  <c r="AE12" i="8"/>
  <c r="AE49" i="8" s="1"/>
  <c r="AG12" i="9" s="1"/>
  <c r="AG50" i="9" s="1"/>
  <c r="AI51" i="4"/>
  <c r="AI52" i="4" s="1"/>
  <c r="X47" i="12"/>
  <c r="X48" i="12" s="1"/>
  <c r="AQ47" i="12"/>
  <c r="AQ48" i="12" s="1"/>
  <c r="BL48" i="12"/>
  <c r="BK48" i="12"/>
  <c r="AM24" i="12"/>
  <c r="AM47" i="12" s="1"/>
  <c r="AM48" i="12" s="1"/>
  <c r="AE47" i="10"/>
  <c r="AE53" i="10" s="1"/>
  <c r="AE54" i="10" s="1"/>
  <c r="AJ12" i="7"/>
  <c r="AJ50" i="7" s="1"/>
  <c r="AJ12" i="8" s="1"/>
  <c r="AJ49" i="8" s="1"/>
  <c r="AJ50" i="8" s="1"/>
  <c r="BM50" i="14"/>
  <c r="BM52" i="14"/>
  <c r="BM47" i="14"/>
  <c r="AH12" i="8"/>
  <c r="AH49" i="8" s="1"/>
  <c r="AH50" i="8" s="1"/>
  <c r="O13" i="7"/>
  <c r="O53" i="7" s="1"/>
  <c r="O54" i="7" s="1"/>
  <c r="AO48" i="5"/>
  <c r="AN45" i="4"/>
  <c r="AN46" i="4" s="1"/>
  <c r="AK15" i="4"/>
  <c r="AO45" i="4"/>
  <c r="N13" i="4"/>
  <c r="N51" i="4" s="1"/>
  <c r="N13" i="5" s="1"/>
  <c r="N53" i="5" s="1"/>
  <c r="N54" i="5" s="1"/>
  <c r="Y15" i="1"/>
  <c r="AP52" i="1"/>
  <c r="AP47" i="1"/>
  <c r="F17" i="1"/>
  <c r="C19" i="1"/>
  <c r="E18" i="1"/>
  <c r="D18" i="1"/>
  <c r="F18" i="1" s="1"/>
  <c r="AP47" i="12"/>
  <c r="AP48" i="12" s="1"/>
  <c r="Q54" i="13"/>
  <c r="AK47" i="5"/>
  <c r="AK48" i="5" s="1"/>
  <c r="BA45" i="4"/>
  <c r="BA46" i="4" s="1"/>
  <c r="Y19" i="4"/>
  <c r="AK19" i="4"/>
  <c r="Y15" i="4"/>
  <c r="X45" i="4"/>
  <c r="Q52" i="4"/>
  <c r="AJ13" i="5"/>
  <c r="AJ53" i="5" s="1"/>
  <c r="AJ52" i="4"/>
  <c r="Y24" i="12"/>
  <c r="Y47" i="12" s="1"/>
  <c r="H47" i="2"/>
  <c r="H48" i="2" s="1"/>
  <c r="I47" i="2"/>
  <c r="I48" i="2" s="1"/>
  <c r="W13" i="13"/>
  <c r="W53" i="13" s="1"/>
  <c r="W54" i="13" s="1"/>
  <c r="V13" i="13"/>
  <c r="V53" i="13" s="1"/>
  <c r="G54" i="13"/>
  <c r="M13" i="13"/>
  <c r="M53" i="13" s="1"/>
  <c r="BB13" i="4"/>
  <c r="BB51" i="4" s="1"/>
  <c r="BB13" i="5" s="1"/>
  <c r="BB53" i="5" s="1"/>
  <c r="AC53" i="2"/>
  <c r="AC54" i="2" s="1"/>
  <c r="T52" i="4"/>
  <c r="T13" i="5"/>
  <c r="T53" i="5" s="1"/>
  <c r="Q13" i="14"/>
  <c r="Q52" i="14" s="1"/>
  <c r="Q54" i="5"/>
  <c r="AL15" i="1"/>
  <c r="AM15" i="1" s="1"/>
  <c r="AI54" i="13"/>
  <c r="AH13" i="4"/>
  <c r="AH51" i="4" s="1"/>
  <c r="AH54" i="13"/>
  <c r="BA48" i="5"/>
  <c r="AY42" i="14"/>
  <c r="G52" i="4"/>
  <c r="G13" i="5"/>
  <c r="G53" i="5" s="1"/>
  <c r="AM46" i="11"/>
  <c r="AM47" i="11" s="1"/>
  <c r="BG46" i="11"/>
  <c r="BG47" i="11" s="1"/>
  <c r="BB12" i="11"/>
  <c r="BB49" i="11" s="1"/>
  <c r="BB51" i="10"/>
  <c r="AY50" i="9"/>
  <c r="AY51" i="9" s="1"/>
  <c r="AZ53" i="10"/>
  <c r="AZ13" i="11" s="1"/>
  <c r="AZ12" i="9"/>
  <c r="AZ50" i="9" s="1"/>
  <c r="AZ51" i="9" s="1"/>
  <c r="A42" i="8"/>
  <c r="A43" i="8" s="1"/>
  <c r="AZ46" i="11"/>
  <c r="AZ47" i="11" s="1"/>
  <c r="BG47" i="9"/>
  <c r="BG48" i="9" s="1"/>
  <c r="AK20" i="14"/>
  <c r="AK16" i="14"/>
  <c r="AG13" i="7"/>
  <c r="AG53" i="7" s="1"/>
  <c r="AG54" i="7" s="1"/>
  <c r="AG50" i="7"/>
  <c r="A19" i="7"/>
  <c r="BF47" i="7"/>
  <c r="BF48" i="7" s="1"/>
  <c r="X47" i="7"/>
  <c r="X48" i="7" s="1"/>
  <c r="AX53" i="8"/>
  <c r="AY13" i="9"/>
  <c r="P12" i="8"/>
  <c r="P49" i="8" s="1"/>
  <c r="P51" i="7"/>
  <c r="R47" i="14"/>
  <c r="BI46" i="14"/>
  <c r="BA51" i="9"/>
  <c r="BA12" i="10"/>
  <c r="I12" i="8"/>
  <c r="I49" i="8" s="1"/>
  <c r="I50" i="8" s="1"/>
  <c r="AF49" i="8"/>
  <c r="AF13" i="8"/>
  <c r="AF52" i="8" s="1"/>
  <c r="AF53" i="8" s="1"/>
  <c r="N51" i="9"/>
  <c r="N12" i="10"/>
  <c r="N50" i="10" s="1"/>
  <c r="G51" i="7"/>
  <c r="G12" i="8"/>
  <c r="G49" i="8" s="1"/>
  <c r="M12" i="8"/>
  <c r="M49" i="8" s="1"/>
  <c r="M51" i="7"/>
  <c r="BH12" i="10"/>
  <c r="BH50" i="10" s="1"/>
  <c r="AE50" i="8"/>
  <c r="AG13" i="9" s="1"/>
  <c r="W12" i="10"/>
  <c r="W50" i="10" s="1"/>
  <c r="W51" i="9"/>
  <c r="V12" i="9"/>
  <c r="V50" i="9" s="1"/>
  <c r="V50" i="8"/>
  <c r="O12" i="8"/>
  <c r="O49" i="8" s="1"/>
  <c r="O51" i="7"/>
  <c r="H51" i="7"/>
  <c r="H12" i="8"/>
  <c r="H49" i="8" s="1"/>
  <c r="BM53" i="14" l="1"/>
  <c r="BJ13" i="7"/>
  <c r="BJ53" i="7" s="1"/>
  <c r="AI13" i="5"/>
  <c r="AI15" i="5" s="1"/>
  <c r="N52" i="4"/>
  <c r="Y48" i="12"/>
  <c r="AE50" i="10"/>
  <c r="AE51" i="10" s="1"/>
  <c r="AE48" i="10"/>
  <c r="AJ51" i="7"/>
  <c r="AL12" i="9"/>
  <c r="AL50" i="9" s="1"/>
  <c r="AL51" i="9" s="1"/>
  <c r="N13" i="14"/>
  <c r="N52" i="14" s="1"/>
  <c r="N53" i="14" s="1"/>
  <c r="AJ12" i="9"/>
  <c r="AJ50" i="9" s="1"/>
  <c r="AJ12" i="10" s="1"/>
  <c r="AJ50" i="10" s="1"/>
  <c r="O13" i="8"/>
  <c r="O52" i="8" s="1"/>
  <c r="O13" i="9" s="1"/>
  <c r="O53" i="9" s="1"/>
  <c r="O54" i="9" s="1"/>
  <c r="AK45" i="4"/>
  <c r="AK46" i="4" s="1"/>
  <c r="X46" i="4"/>
  <c r="AC13" i="13"/>
  <c r="AC53" i="13" s="1"/>
  <c r="AC54" i="13" s="1"/>
  <c r="AP53" i="1"/>
  <c r="AP13" i="2"/>
  <c r="AP53" i="2" s="1"/>
  <c r="C20" i="1"/>
  <c r="E19" i="1"/>
  <c r="D19" i="1"/>
  <c r="F19" i="1" s="1"/>
  <c r="AI16" i="5"/>
  <c r="AI17" i="5" s="1"/>
  <c r="AI18" i="5" s="1"/>
  <c r="AI19" i="5" s="1"/>
  <c r="AI20" i="5" s="1"/>
  <c r="AI21" i="5" s="1"/>
  <c r="AI22" i="5" s="1"/>
  <c r="AI23" i="5" s="1"/>
  <c r="AI24" i="5" s="1"/>
  <c r="AI25" i="5" s="1"/>
  <c r="AI26" i="5" s="1"/>
  <c r="AI27" i="5" s="1"/>
  <c r="AI28" i="5" s="1"/>
  <c r="AI29" i="5" s="1"/>
  <c r="AI30" i="5" s="1"/>
  <c r="AI31" i="5" s="1"/>
  <c r="AI32" i="5" s="1"/>
  <c r="AI33" i="5" s="1"/>
  <c r="AI34" i="5" s="1"/>
  <c r="AI35" i="5" s="1"/>
  <c r="AI36" i="5" s="1"/>
  <c r="AI37" i="5" s="1"/>
  <c r="AI38" i="5" s="1"/>
  <c r="AI39" i="5" s="1"/>
  <c r="AI40" i="5" s="1"/>
  <c r="AI41" i="5" s="1"/>
  <c r="AI42" i="5" s="1"/>
  <c r="AI43" i="5" s="1"/>
  <c r="AI44" i="5" s="1"/>
  <c r="AI45" i="5" s="1"/>
  <c r="AI53" i="5" s="1"/>
  <c r="AI54" i="5" s="1"/>
  <c r="AI12" i="5"/>
  <c r="Y45" i="4"/>
  <c r="Y46" i="4" s="1"/>
  <c r="AJ13" i="14"/>
  <c r="AJ54" i="5"/>
  <c r="H53" i="2"/>
  <c r="H13" i="13" s="1"/>
  <c r="H53" i="13" s="1"/>
  <c r="I53" i="2"/>
  <c r="W13" i="4"/>
  <c r="W51" i="4" s="1"/>
  <c r="W52" i="4" s="1"/>
  <c r="V54" i="13"/>
  <c r="V13" i="4"/>
  <c r="V51" i="4" s="1"/>
  <c r="BB52" i="4"/>
  <c r="M13" i="4"/>
  <c r="M51" i="4" s="1"/>
  <c r="M54" i="13"/>
  <c r="Q53" i="14"/>
  <c r="Q13" i="7"/>
  <c r="Q53" i="7" s="1"/>
  <c r="T13" i="14"/>
  <c r="T52" i="14" s="1"/>
  <c r="T54" i="5"/>
  <c r="AH13" i="5"/>
  <c r="AH53" i="5" s="1"/>
  <c r="AH52" i="4"/>
  <c r="BB54" i="5"/>
  <c r="BJ13" i="14"/>
  <c r="BJ52" i="14" s="1"/>
  <c r="AY44" i="14"/>
  <c r="AY43" i="14"/>
  <c r="G13" i="14"/>
  <c r="G52" i="14" s="1"/>
  <c r="G54" i="5"/>
  <c r="BC13" i="12"/>
  <c r="BC50" i="12" s="1"/>
  <c r="BC51" i="12" s="1"/>
  <c r="BC61" i="12" s="1"/>
  <c r="BB50" i="11"/>
  <c r="AY12" i="10"/>
  <c r="AZ54" i="10"/>
  <c r="BA47" i="12"/>
  <c r="BA48" i="12" s="1"/>
  <c r="AZ12" i="10"/>
  <c r="AZ50" i="10" s="1"/>
  <c r="AZ51" i="10" s="1"/>
  <c r="AG51" i="7"/>
  <c r="AG12" i="8"/>
  <c r="A20" i="7"/>
  <c r="AK47" i="7"/>
  <c r="Y48" i="7"/>
  <c r="BI49" i="14"/>
  <c r="BI47" i="14"/>
  <c r="P50" i="8"/>
  <c r="P12" i="9"/>
  <c r="P50" i="9" s="1"/>
  <c r="BA50" i="10"/>
  <c r="BA53" i="10"/>
  <c r="I12" i="9"/>
  <c r="I50" i="9" s="1"/>
  <c r="I51" i="9" s="1"/>
  <c r="AF50" i="8"/>
  <c r="AH12" i="9"/>
  <c r="N51" i="10"/>
  <c r="N12" i="11"/>
  <c r="N49" i="11" s="1"/>
  <c r="G50" i="8"/>
  <c r="G12" i="9"/>
  <c r="G50" i="9" s="1"/>
  <c r="M12" i="9"/>
  <c r="M50" i="9" s="1"/>
  <c r="M50" i="8"/>
  <c r="BH51" i="10"/>
  <c r="BH12" i="11"/>
  <c r="BH49" i="11" s="1"/>
  <c r="AG51" i="9"/>
  <c r="AG13" i="10" s="1"/>
  <c r="AG12" i="10"/>
  <c r="AG50" i="10" s="1"/>
  <c r="V12" i="10"/>
  <c r="V50" i="10" s="1"/>
  <c r="V51" i="9"/>
  <c r="W12" i="11"/>
  <c r="W49" i="11" s="1"/>
  <c r="W51" i="10"/>
  <c r="O12" i="9"/>
  <c r="O50" i="9" s="1"/>
  <c r="O50" i="8"/>
  <c r="H12" i="9"/>
  <c r="H50" i="9" s="1"/>
  <c r="H50" i="8"/>
  <c r="N13" i="7" l="1"/>
  <c r="N53" i="7" s="1"/>
  <c r="N13" i="8" s="1"/>
  <c r="N52" i="8" s="1"/>
  <c r="N13" i="9" s="1"/>
  <c r="N53" i="9" s="1"/>
  <c r="N54" i="9" s="1"/>
  <c r="AC13" i="4"/>
  <c r="AC51" i="4" s="1"/>
  <c r="AC13" i="5" s="1"/>
  <c r="AC53" i="5" s="1"/>
  <c r="AJ51" i="9"/>
  <c r="O13" i="10"/>
  <c r="O53" i="10" s="1"/>
  <c r="O54" i="10" s="1"/>
  <c r="O53" i="8"/>
  <c r="AO46" i="4"/>
  <c r="AP13" i="13"/>
  <c r="AP53" i="13" s="1"/>
  <c r="AP54" i="2"/>
  <c r="H54" i="2"/>
  <c r="C21" i="1"/>
  <c r="E20" i="1"/>
  <c r="D20" i="1"/>
  <c r="AY47" i="14"/>
  <c r="AY50" i="14" s="1"/>
  <c r="AV13" i="7" s="1"/>
  <c r="AV51" i="7" s="1"/>
  <c r="AV13" i="8" s="1"/>
  <c r="AV50" i="8" s="1"/>
  <c r="AW13" i="9" s="1"/>
  <c r="AW51" i="9" s="1"/>
  <c r="AW13" i="10" s="1"/>
  <c r="AW51" i="10" s="1"/>
  <c r="AW13" i="11" s="1"/>
  <c r="AW50" i="11" s="1"/>
  <c r="AW13" i="12" s="1"/>
  <c r="AW51" i="12" s="1"/>
  <c r="AJ51" i="10"/>
  <c r="AJ12" i="11"/>
  <c r="AJ49" i="11" s="1"/>
  <c r="AK48" i="7"/>
  <c r="W13" i="5"/>
  <c r="W53" i="5" s="1"/>
  <c r="W54" i="5" s="1"/>
  <c r="AJ52" i="14"/>
  <c r="I54" i="2"/>
  <c r="I13" i="13"/>
  <c r="I53" i="13" s="1"/>
  <c r="H13" i="4"/>
  <c r="H51" i="4" s="1"/>
  <c r="H54" i="13"/>
  <c r="N53" i="8"/>
  <c r="V52" i="4"/>
  <c r="V13" i="5"/>
  <c r="V53" i="5" s="1"/>
  <c r="M52" i="4"/>
  <c r="M13" i="5"/>
  <c r="M53" i="5" s="1"/>
  <c r="Q54" i="7"/>
  <c r="Q13" i="8"/>
  <c r="Q52" i="8" s="1"/>
  <c r="T13" i="7"/>
  <c r="T53" i="7" s="1"/>
  <c r="T53" i="14"/>
  <c r="AH54" i="5"/>
  <c r="AH13" i="14"/>
  <c r="AH52" i="14" s="1"/>
  <c r="BJ53" i="14"/>
  <c r="BG13" i="7"/>
  <c r="BG53" i="7" s="1"/>
  <c r="G13" i="7"/>
  <c r="G53" i="7" s="1"/>
  <c r="G53" i="14"/>
  <c r="AC52" i="4"/>
  <c r="AZ12" i="11"/>
  <c r="AZ49" i="11" s="1"/>
  <c r="BA12" i="12" s="1"/>
  <c r="BA50" i="12" s="1"/>
  <c r="BA51" i="12" s="1"/>
  <c r="BA61" i="12" s="1"/>
  <c r="AG13" i="8"/>
  <c r="AG52" i="8" s="1"/>
  <c r="AG53" i="8" s="1"/>
  <c r="AG49" i="8"/>
  <c r="A21" i="7"/>
  <c r="AA47" i="7"/>
  <c r="P51" i="9"/>
  <c r="P12" i="10"/>
  <c r="P50" i="10" s="1"/>
  <c r="BI50" i="14"/>
  <c r="BF12" i="7"/>
  <c r="BF50" i="7" s="1"/>
  <c r="I12" i="10"/>
  <c r="I50" i="10" s="1"/>
  <c r="I51" i="10" s="1"/>
  <c r="BA12" i="11"/>
  <c r="BA49" i="11" s="1"/>
  <c r="BA51" i="10"/>
  <c r="BA13" i="11"/>
  <c r="BA54" i="10"/>
  <c r="AH50" i="9"/>
  <c r="AH13" i="9"/>
  <c r="AH53" i="9" s="1"/>
  <c r="AH54" i="9" s="1"/>
  <c r="N50" i="11"/>
  <c r="N12" i="12"/>
  <c r="N50" i="12" s="1"/>
  <c r="N51" i="12" s="1"/>
  <c r="N61" i="12" s="1"/>
  <c r="G12" i="10"/>
  <c r="G50" i="10" s="1"/>
  <c r="G51" i="9"/>
  <c r="M12" i="10"/>
  <c r="M50" i="10" s="1"/>
  <c r="M51" i="9"/>
  <c r="BI12" i="12"/>
  <c r="BI50" i="12" s="1"/>
  <c r="BI51" i="12" s="1"/>
  <c r="BI61" i="12" s="1"/>
  <c r="BH50" i="11"/>
  <c r="AG12" i="11"/>
  <c r="AG49" i="11" s="1"/>
  <c r="AG51" i="10"/>
  <c r="AG13" i="11" s="1"/>
  <c r="W50" i="11"/>
  <c r="W12" i="12"/>
  <c r="W50" i="12" s="1"/>
  <c r="W51" i="12" s="1"/>
  <c r="W61" i="12" s="1"/>
  <c r="V51" i="10"/>
  <c r="V12" i="11"/>
  <c r="V49" i="11" s="1"/>
  <c r="O51" i="9"/>
  <c r="O12" i="10"/>
  <c r="O50" i="10" s="1"/>
  <c r="H12" i="10"/>
  <c r="H50" i="10" s="1"/>
  <c r="H51" i="9"/>
  <c r="N54" i="7" l="1"/>
  <c r="N13" i="10"/>
  <c r="N53" i="10" s="1"/>
  <c r="N54" i="10" s="1"/>
  <c r="O13" i="11"/>
  <c r="O52" i="11" s="1"/>
  <c r="O13" i="12" s="1"/>
  <c r="O53" i="12" s="1"/>
  <c r="O54" i="12" s="1"/>
  <c r="O65" i="12" s="1"/>
  <c r="AP54" i="13"/>
  <c r="AP13" i="4"/>
  <c r="AP51" i="4" s="1"/>
  <c r="AP13" i="5" s="1"/>
  <c r="F20" i="1"/>
  <c r="C22" i="1"/>
  <c r="D21" i="1"/>
  <c r="F21" i="1" s="1"/>
  <c r="E21" i="1"/>
  <c r="W13" i="14"/>
  <c r="W52" i="14" s="1"/>
  <c r="W13" i="7" s="1"/>
  <c r="W53" i="7" s="1"/>
  <c r="AJ50" i="11"/>
  <c r="AJ12" i="12"/>
  <c r="AJ50" i="12" s="1"/>
  <c r="AJ51" i="12" s="1"/>
  <c r="AJ53" i="14"/>
  <c r="AJ13" i="7"/>
  <c r="AJ53" i="7" s="1"/>
  <c r="I54" i="13"/>
  <c r="I13" i="4"/>
  <c r="I51" i="4" s="1"/>
  <c r="H13" i="5"/>
  <c r="H53" i="5" s="1"/>
  <c r="H52" i="4"/>
  <c r="V54" i="5"/>
  <c r="V13" i="14"/>
  <c r="V52" i="14" s="1"/>
  <c r="M54" i="5"/>
  <c r="M13" i="14"/>
  <c r="M52" i="14" s="1"/>
  <c r="T13" i="8"/>
  <c r="T52" i="8" s="1"/>
  <c r="T54" i="7"/>
  <c r="Q53" i="8"/>
  <c r="Q13" i="9"/>
  <c r="Q53" i="9" s="1"/>
  <c r="AH13" i="7"/>
  <c r="AH53" i="14"/>
  <c r="BG54" i="7"/>
  <c r="BH13" i="8"/>
  <c r="BH52" i="8" s="1"/>
  <c r="AC54" i="5"/>
  <c r="AC13" i="14"/>
  <c r="G54" i="7"/>
  <c r="G13" i="8"/>
  <c r="G52" i="8" s="1"/>
  <c r="AZ50" i="11"/>
  <c r="AY47" i="10"/>
  <c r="AI12" i="9"/>
  <c r="AG50" i="8"/>
  <c r="A22" i="7"/>
  <c r="BF51" i="7"/>
  <c r="BG12" i="8"/>
  <c r="P12" i="11"/>
  <c r="P49" i="11" s="1"/>
  <c r="P51" i="10"/>
  <c r="AA50" i="7"/>
  <c r="AA48" i="7"/>
  <c r="I12" i="11"/>
  <c r="I49" i="11" s="1"/>
  <c r="BB12" i="12"/>
  <c r="BB50" i="12" s="1"/>
  <c r="BB51" i="12" s="1"/>
  <c r="BB61" i="12" s="1"/>
  <c r="BA50" i="11"/>
  <c r="AH12" i="10"/>
  <c r="AH51" i="9"/>
  <c r="G51" i="10"/>
  <c r="G12" i="11"/>
  <c r="G49" i="11" s="1"/>
  <c r="M51" i="10"/>
  <c r="M12" i="11"/>
  <c r="M49" i="11" s="1"/>
  <c r="AG50" i="11"/>
  <c r="AG13" i="12" s="1"/>
  <c r="AG12" i="12"/>
  <c r="AG50" i="12" s="1"/>
  <c r="AG51" i="12" s="1"/>
  <c r="AG61" i="12" s="1"/>
  <c r="V50" i="11"/>
  <c r="V12" i="12"/>
  <c r="V50" i="12" s="1"/>
  <c r="V51" i="12" s="1"/>
  <c r="V61" i="12" s="1"/>
  <c r="O51" i="10"/>
  <c r="O12" i="11"/>
  <c r="O49" i="11" s="1"/>
  <c r="O50" i="11" s="1"/>
  <c r="H51" i="10"/>
  <c r="H12" i="11"/>
  <c r="H49" i="11" s="1"/>
  <c r="N13" i="11" l="1"/>
  <c r="N52" i="11" s="1"/>
  <c r="N53" i="11" s="1"/>
  <c r="AP52" i="4"/>
  <c r="AP53" i="5"/>
  <c r="W53" i="14"/>
  <c r="C23" i="1"/>
  <c r="D22" i="1"/>
  <c r="F22" i="1" s="1"/>
  <c r="E22" i="1"/>
  <c r="AJ54" i="7"/>
  <c r="AJ13" i="8"/>
  <c r="I52" i="4"/>
  <c r="I13" i="5"/>
  <c r="I53" i="5" s="1"/>
  <c r="H54" i="5"/>
  <c r="H13" i="14"/>
  <c r="H52" i="14" s="1"/>
  <c r="V53" i="14"/>
  <c r="V13" i="7"/>
  <c r="V53" i="7" s="1"/>
  <c r="M13" i="7"/>
  <c r="M53" i="7" s="1"/>
  <c r="M53" i="14"/>
  <c r="Q54" i="9"/>
  <c r="Q13" i="10"/>
  <c r="Q53" i="10" s="1"/>
  <c r="T53" i="8"/>
  <c r="T13" i="9"/>
  <c r="T53" i="9" s="1"/>
  <c r="W13" i="8"/>
  <c r="W52" i="8" s="1"/>
  <c r="W54" i="7"/>
  <c r="AH53" i="7"/>
  <c r="BH13" i="9"/>
  <c r="BH53" i="9" s="1"/>
  <c r="BH53" i="8"/>
  <c r="O53" i="11"/>
  <c r="AD12" i="11"/>
  <c r="AD12" i="12" s="1"/>
  <c r="G53" i="8"/>
  <c r="G13" i="9"/>
  <c r="G53" i="9" s="1"/>
  <c r="AY48" i="10"/>
  <c r="AY50" i="10"/>
  <c r="AM47" i="10"/>
  <c r="AM48" i="10" s="1"/>
  <c r="AI13" i="9"/>
  <c r="AI53" i="9" s="1"/>
  <c r="AI54" i="9" s="1"/>
  <c r="AI50" i="9"/>
  <c r="A23" i="7"/>
  <c r="AA51" i="7"/>
  <c r="AA12" i="8"/>
  <c r="P12" i="12"/>
  <c r="P50" i="12" s="1"/>
  <c r="P51" i="12" s="1"/>
  <c r="P61" i="12" s="1"/>
  <c r="P50" i="11"/>
  <c r="I12" i="12"/>
  <c r="I50" i="12" s="1"/>
  <c r="I51" i="12" s="1"/>
  <c r="I61" i="12" s="1"/>
  <c r="I50" i="11"/>
  <c r="AH50" i="10"/>
  <c r="AH13" i="10"/>
  <c r="AH53" i="10" s="1"/>
  <c r="AH54" i="10" s="1"/>
  <c r="G50" i="11"/>
  <c r="G12" i="12"/>
  <c r="G50" i="12" s="1"/>
  <c r="G51" i="12" s="1"/>
  <c r="G61" i="12" s="1"/>
  <c r="M12" i="12"/>
  <c r="M50" i="12" s="1"/>
  <c r="M51" i="12" s="1"/>
  <c r="M61" i="12" s="1"/>
  <c r="M50" i="11"/>
  <c r="O12" i="12"/>
  <c r="O50" i="12" s="1"/>
  <c r="O51" i="12" s="1"/>
  <c r="O61" i="12" s="1"/>
  <c r="H12" i="12"/>
  <c r="H50" i="12" s="1"/>
  <c r="H51" i="12" s="1"/>
  <c r="H61" i="12" s="1"/>
  <c r="H50" i="11"/>
  <c r="N13" i="12" l="1"/>
  <c r="N53" i="12" s="1"/>
  <c r="N54" i="12" s="1"/>
  <c r="N65" i="12" s="1"/>
  <c r="AT13" i="14"/>
  <c r="AT52" i="14" s="1"/>
  <c r="AP54" i="5"/>
  <c r="C24" i="1"/>
  <c r="E23" i="1"/>
  <c r="D23" i="1"/>
  <c r="F23" i="1" s="1"/>
  <c r="AJ52" i="8"/>
  <c r="I54" i="5"/>
  <c r="I13" i="14"/>
  <c r="I52" i="14" s="1"/>
  <c r="H13" i="7"/>
  <c r="H53" i="7" s="1"/>
  <c r="H53" i="14"/>
  <c r="V13" i="8"/>
  <c r="V52" i="8" s="1"/>
  <c r="V54" i="7"/>
  <c r="M54" i="7"/>
  <c r="M13" i="8"/>
  <c r="M52" i="8" s="1"/>
  <c r="T13" i="10"/>
  <c r="T53" i="10" s="1"/>
  <c r="T54" i="9"/>
  <c r="Q54" i="10"/>
  <c r="Q13" i="11"/>
  <c r="Q52" i="11" s="1"/>
  <c r="W13" i="9"/>
  <c r="W53" i="9" s="1"/>
  <c r="W53" i="8"/>
  <c r="AH13" i="8"/>
  <c r="AH52" i="8" s="1"/>
  <c r="AH54" i="7"/>
  <c r="BH13" i="10"/>
  <c r="BH53" i="10" s="1"/>
  <c r="BH54" i="9"/>
  <c r="G13" i="10"/>
  <c r="G53" i="10" s="1"/>
  <c r="G54" i="9"/>
  <c r="AY51" i="10"/>
  <c r="AY12" i="11"/>
  <c r="AY49" i="11" s="1"/>
  <c r="AI51" i="9"/>
  <c r="AI12" i="10"/>
  <c r="A24" i="7"/>
  <c r="AH51" i="10"/>
  <c r="AH12" i="11"/>
  <c r="AT53" i="14" l="1"/>
  <c r="AQ13" i="7"/>
  <c r="AQ53" i="7" s="1"/>
  <c r="C25" i="1"/>
  <c r="E24" i="1"/>
  <c r="D24" i="1"/>
  <c r="F24" i="1" s="1"/>
  <c r="AJ53" i="8"/>
  <c r="AL13" i="9"/>
  <c r="AL53" i="9" s="1"/>
  <c r="I53" i="14"/>
  <c r="I13" i="7"/>
  <c r="I53" i="7" s="1"/>
  <c r="H54" i="7"/>
  <c r="H13" i="8"/>
  <c r="H52" i="8" s="1"/>
  <c r="V53" i="8"/>
  <c r="V13" i="9"/>
  <c r="V53" i="9" s="1"/>
  <c r="M53" i="8"/>
  <c r="M13" i="9"/>
  <c r="M53" i="9" s="1"/>
  <c r="Q13" i="12"/>
  <c r="Q53" i="12" s="1"/>
  <c r="Q54" i="12" s="1"/>
  <c r="Q65" i="12" s="1"/>
  <c r="Q53" i="11"/>
  <c r="T13" i="11"/>
  <c r="T52" i="11" s="1"/>
  <c r="T54" i="10"/>
  <c r="W13" i="10"/>
  <c r="W53" i="10" s="1"/>
  <c r="W54" i="9"/>
  <c r="AJ13" i="9"/>
  <c r="AJ53" i="9" s="1"/>
  <c r="AH53" i="8"/>
  <c r="BH54" i="10"/>
  <c r="BH13" i="11"/>
  <c r="BH52" i="11" s="1"/>
  <c r="G54" i="10"/>
  <c r="G13" i="11"/>
  <c r="G52" i="11" s="1"/>
  <c r="AY12" i="12"/>
  <c r="AY50" i="12" s="1"/>
  <c r="AY51" i="12" s="1"/>
  <c r="AY61" i="12" s="1"/>
  <c r="AY50" i="11"/>
  <c r="AI13" i="10"/>
  <c r="AI53" i="10" s="1"/>
  <c r="AI54" i="10" s="1"/>
  <c r="AI50" i="10"/>
  <c r="A25" i="7"/>
  <c r="AH49" i="11"/>
  <c r="AH13" i="11"/>
  <c r="AH52" i="11" s="1"/>
  <c r="AH53" i="11" s="1"/>
  <c r="AQ54" i="7" l="1"/>
  <c r="AQ13" i="8"/>
  <c r="AQ52" i="8" s="1"/>
  <c r="C26" i="1"/>
  <c r="E25" i="1"/>
  <c r="D25" i="1"/>
  <c r="F25" i="1" s="1"/>
  <c r="AL54" i="9"/>
  <c r="AL13" i="10"/>
  <c r="AL53" i="10" s="1"/>
  <c r="I54" i="7"/>
  <c r="I13" i="8"/>
  <c r="I52" i="8" s="1"/>
  <c r="H53" i="8"/>
  <c r="H13" i="9"/>
  <c r="H53" i="9" s="1"/>
  <c r="V54" i="9"/>
  <c r="V13" i="10"/>
  <c r="V53" i="10" s="1"/>
  <c r="M13" i="10"/>
  <c r="M53" i="10" s="1"/>
  <c r="M54" i="9"/>
  <c r="T53" i="11"/>
  <c r="T13" i="12"/>
  <c r="T53" i="12" s="1"/>
  <c r="T54" i="12" s="1"/>
  <c r="T65" i="12" s="1"/>
  <c r="W54" i="10"/>
  <c r="W13" i="11"/>
  <c r="W52" i="11" s="1"/>
  <c r="AJ54" i="9"/>
  <c r="AJ13" i="10"/>
  <c r="AJ53" i="10" s="1"/>
  <c r="BI13" i="12"/>
  <c r="BI53" i="12" s="1"/>
  <c r="BI54" i="12" s="1"/>
  <c r="BI65" i="12" s="1"/>
  <c r="BH53" i="11"/>
  <c r="G53" i="11"/>
  <c r="G13" i="12"/>
  <c r="AI51" i="10"/>
  <c r="AI12" i="11"/>
  <c r="A26" i="7"/>
  <c r="AH12" i="12"/>
  <c r="AH50" i="11"/>
  <c r="G53" i="12" l="1"/>
  <c r="G54" i="12" s="1"/>
  <c r="G65" i="12" s="1"/>
  <c r="AQ53" i="8"/>
  <c r="AR13" i="9"/>
  <c r="AR53" i="9" s="1"/>
  <c r="C27" i="1"/>
  <c r="E26" i="1"/>
  <c r="D26" i="1"/>
  <c r="F26" i="1" s="1"/>
  <c r="AL54" i="10"/>
  <c r="AL13" i="11"/>
  <c r="AL52" i="11" s="1"/>
  <c r="I13" i="9"/>
  <c r="I53" i="9" s="1"/>
  <c r="I53" i="8"/>
  <c r="H13" i="10"/>
  <c r="H53" i="10" s="1"/>
  <c r="H54" i="9"/>
  <c r="V13" i="11"/>
  <c r="V52" i="11" s="1"/>
  <c r="V54" i="10"/>
  <c r="M54" i="10"/>
  <c r="M13" i="11"/>
  <c r="M52" i="11" s="1"/>
  <c r="W13" i="12"/>
  <c r="W53" i="12" s="1"/>
  <c r="W54" i="12" s="1"/>
  <c r="W65" i="12" s="1"/>
  <c r="W53" i="11"/>
  <c r="AJ54" i="10"/>
  <c r="AJ13" i="11"/>
  <c r="AJ52" i="11" s="1"/>
  <c r="AI49" i="11"/>
  <c r="AI13" i="11"/>
  <c r="AI52" i="11" s="1"/>
  <c r="AI53" i="11" s="1"/>
  <c r="A27" i="7"/>
  <c r="AH13" i="12"/>
  <c r="AH53" i="12" s="1"/>
  <c r="AH54" i="12" s="1"/>
  <c r="AH65" i="12" s="1"/>
  <c r="AH50" i="12"/>
  <c r="AH51" i="12" s="1"/>
  <c r="AH61" i="12" s="1"/>
  <c r="AR13" i="10" l="1"/>
  <c r="AR53" i="10" s="1"/>
  <c r="AR54" i="9"/>
  <c r="C28" i="1"/>
  <c r="E27" i="1"/>
  <c r="D27" i="1"/>
  <c r="F27" i="1" s="1"/>
  <c r="AL13" i="12"/>
  <c r="AL53" i="12" s="1"/>
  <c r="AL54" i="12" s="1"/>
  <c r="AL65" i="12" s="1"/>
  <c r="AL53" i="11"/>
  <c r="I54" i="9"/>
  <c r="I13" i="10"/>
  <c r="I53" i="10" s="1"/>
  <c r="H13" i="11"/>
  <c r="H52" i="11" s="1"/>
  <c r="H54" i="10"/>
  <c r="V53" i="11"/>
  <c r="V13" i="12"/>
  <c r="V53" i="12" s="1"/>
  <c r="V54" i="12" s="1"/>
  <c r="V65" i="12" s="1"/>
  <c r="M13" i="12"/>
  <c r="M53" i="12" s="1"/>
  <c r="M54" i="12" s="1"/>
  <c r="M65" i="12" s="1"/>
  <c r="M53" i="11"/>
  <c r="AJ53" i="11"/>
  <c r="AJ13" i="12"/>
  <c r="AJ53" i="12" s="1"/>
  <c r="AJ54" i="12" s="1"/>
  <c r="AJ65" i="12" s="1"/>
  <c r="AI12" i="12"/>
  <c r="AI50" i="11"/>
  <c r="A28" i="7"/>
  <c r="AR54" i="10" l="1"/>
  <c r="AR13" i="11"/>
  <c r="C29" i="1"/>
  <c r="E28" i="1"/>
  <c r="D28" i="1"/>
  <c r="F28" i="1" s="1"/>
  <c r="I54" i="10"/>
  <c r="I13" i="11"/>
  <c r="I52" i="11" s="1"/>
  <c r="H53" i="11"/>
  <c r="H13" i="12"/>
  <c r="H53" i="12" s="1"/>
  <c r="H54" i="12" s="1"/>
  <c r="H65" i="12" s="1"/>
  <c r="AI13" i="12"/>
  <c r="AI53" i="12" s="1"/>
  <c r="AI54" i="12" s="1"/>
  <c r="AI65" i="12" s="1"/>
  <c r="AI50" i="12"/>
  <c r="AI51" i="12" s="1"/>
  <c r="AI61" i="12" s="1"/>
  <c r="A29" i="7"/>
  <c r="C30" i="1" l="1"/>
  <c r="E29" i="1"/>
  <c r="D29" i="1"/>
  <c r="F29" i="1" s="1"/>
  <c r="I13" i="12"/>
  <c r="I53" i="12" s="1"/>
  <c r="I54" i="12" s="1"/>
  <c r="I65" i="12" s="1"/>
  <c r="I53" i="11"/>
  <c r="A30" i="7"/>
  <c r="C31" i="1" l="1"/>
  <c r="E30" i="1"/>
  <c r="D30" i="1"/>
  <c r="F30" i="1" s="1"/>
  <c r="A31" i="7"/>
  <c r="C32" i="1" l="1"/>
  <c r="E31" i="1"/>
  <c r="D31" i="1"/>
  <c r="F31" i="1" s="1"/>
  <c r="A32" i="7"/>
  <c r="C33" i="1" l="1"/>
  <c r="D32" i="1"/>
  <c r="F32" i="1" s="1"/>
  <c r="E32" i="1"/>
  <c r="A33" i="7"/>
  <c r="C34" i="1" l="1"/>
  <c r="E33" i="1"/>
  <c r="D33" i="1"/>
  <c r="F33" i="1" s="1"/>
  <c r="A34" i="7"/>
  <c r="C35" i="1" l="1"/>
  <c r="E34" i="1"/>
  <c r="D34" i="1"/>
  <c r="F34" i="1" s="1"/>
  <c r="A35" i="7"/>
  <c r="C36" i="1" l="1"/>
  <c r="D35" i="1"/>
  <c r="F35" i="1" s="1"/>
  <c r="E35" i="1"/>
  <c r="A36" i="7"/>
  <c r="C37" i="1" l="1"/>
  <c r="E36" i="1"/>
  <c r="D36" i="1"/>
  <c r="F36" i="1" s="1"/>
  <c r="A37" i="7"/>
  <c r="C38" i="1" l="1"/>
  <c r="D37" i="1"/>
  <c r="F37" i="1" s="1"/>
  <c r="E37" i="1"/>
  <c r="A38" i="7"/>
  <c r="C39" i="1" l="1"/>
  <c r="D38" i="1"/>
  <c r="F38" i="1" s="1"/>
  <c r="E38" i="1"/>
  <c r="A39" i="7"/>
  <c r="C40" i="1" l="1"/>
  <c r="E39" i="1"/>
  <c r="D39" i="1"/>
  <c r="F39" i="1" s="1"/>
  <c r="A40" i="7"/>
  <c r="C41" i="1" l="1"/>
  <c r="E40" i="1"/>
  <c r="D40" i="1"/>
  <c r="F40" i="1" s="1"/>
  <c r="A41" i="7"/>
  <c r="C42" i="1" l="1"/>
  <c r="E41" i="1"/>
  <c r="D41" i="1"/>
  <c r="F41" i="1" s="1"/>
  <c r="C43" i="1" l="1"/>
  <c r="E42" i="1"/>
  <c r="D42" i="1"/>
  <c r="F42" i="1" s="1"/>
  <c r="C44" i="1" l="1"/>
  <c r="D43" i="1"/>
  <c r="F43" i="1" s="1"/>
  <c r="E43" i="1"/>
  <c r="D44" i="1" l="1"/>
  <c r="C13" i="2"/>
  <c r="C15" i="2" s="1"/>
  <c r="E44" i="1"/>
  <c r="E53" i="1" s="1"/>
  <c r="E13" i="2" s="1"/>
  <c r="C16" i="2" l="1"/>
  <c r="E15" i="2"/>
  <c r="D15" i="2"/>
  <c r="F44" i="1"/>
  <c r="D47" i="1"/>
  <c r="D53" i="1" s="1"/>
  <c r="D13" i="2" s="1"/>
  <c r="F46" i="1" l="1"/>
  <c r="F52" i="1" s="1"/>
  <c r="L44" i="1"/>
  <c r="F15" i="2"/>
  <c r="C17" i="2"/>
  <c r="D16" i="2"/>
  <c r="F16" i="2" s="1"/>
  <c r="E16" i="2"/>
  <c r="F47" i="1" l="1"/>
  <c r="AL44" i="1"/>
  <c r="J44" i="1"/>
  <c r="C18" i="2"/>
  <c r="D17" i="2"/>
  <c r="E17" i="2"/>
  <c r="F13" i="2"/>
  <c r="F53" i="1"/>
  <c r="K44" i="1" l="1"/>
  <c r="AM44" i="1"/>
  <c r="C19" i="2"/>
  <c r="E18" i="2"/>
  <c r="D18" i="2"/>
  <c r="F18" i="2" s="1"/>
  <c r="F17" i="2"/>
  <c r="C20" i="2" l="1"/>
  <c r="D19" i="2"/>
  <c r="E19" i="2"/>
  <c r="C21" i="2" l="1"/>
  <c r="E20" i="2"/>
  <c r="D20" i="2"/>
  <c r="F20" i="2" s="1"/>
  <c r="F19" i="2"/>
  <c r="C22" i="2" l="1"/>
  <c r="D21" i="2"/>
  <c r="F21" i="2" s="1"/>
  <c r="E21" i="2"/>
  <c r="C23" i="2" l="1"/>
  <c r="D22" i="2"/>
  <c r="F22" i="2" s="1"/>
  <c r="E22" i="2"/>
  <c r="C24" i="2" l="1"/>
  <c r="E23" i="2"/>
  <c r="D23" i="2"/>
  <c r="F23" i="2" s="1"/>
  <c r="C25" i="2" l="1"/>
  <c r="D24" i="2"/>
  <c r="F24" i="2" s="1"/>
  <c r="E24" i="2"/>
  <c r="C26" i="2" l="1"/>
  <c r="E25" i="2"/>
  <c r="D25" i="2"/>
  <c r="F25" i="2" s="1"/>
  <c r="C27" i="2" l="1"/>
  <c r="E26" i="2"/>
  <c r="D26" i="2"/>
  <c r="F26" i="2" s="1"/>
  <c r="C28" i="2" l="1"/>
  <c r="D27" i="2"/>
  <c r="F27" i="2" s="1"/>
  <c r="E27" i="2"/>
  <c r="C29" i="2" l="1"/>
  <c r="E28" i="2"/>
  <c r="D28" i="2"/>
  <c r="F28" i="2" s="1"/>
  <c r="C30" i="2" l="1"/>
  <c r="D29" i="2"/>
  <c r="F29" i="2" s="1"/>
  <c r="E29" i="2"/>
  <c r="C31" i="2" l="1"/>
  <c r="D30" i="2"/>
  <c r="F30" i="2" s="1"/>
  <c r="E30" i="2"/>
  <c r="C32" i="2" l="1"/>
  <c r="E31" i="2"/>
  <c r="D31" i="2"/>
  <c r="F31" i="2" s="1"/>
  <c r="C33" i="2" l="1"/>
  <c r="D32" i="2"/>
  <c r="F32" i="2" s="1"/>
  <c r="E32" i="2"/>
  <c r="C34" i="2" l="1"/>
  <c r="D33" i="2"/>
  <c r="F33" i="2" s="1"/>
  <c r="E33" i="2"/>
  <c r="C35" i="2" l="1"/>
  <c r="D34" i="2"/>
  <c r="F34" i="2" s="1"/>
  <c r="E34" i="2"/>
  <c r="C36" i="2" l="1"/>
  <c r="E35" i="2"/>
  <c r="D35" i="2"/>
  <c r="F35" i="2" s="1"/>
  <c r="C37" i="2" l="1"/>
  <c r="E36" i="2"/>
  <c r="D36" i="2"/>
  <c r="F36" i="2" s="1"/>
  <c r="C38" i="2" l="1"/>
  <c r="D37" i="2"/>
  <c r="F37" i="2" s="1"/>
  <c r="E37" i="2"/>
  <c r="C39" i="2" l="1"/>
  <c r="D38" i="2"/>
  <c r="F38" i="2" s="1"/>
  <c r="E38" i="2"/>
  <c r="C40" i="2" l="1"/>
  <c r="E39" i="2"/>
  <c r="D39" i="2"/>
  <c r="F39" i="2" s="1"/>
  <c r="C41" i="2" l="1"/>
  <c r="D40" i="2"/>
  <c r="F40" i="2" s="1"/>
  <c r="E40" i="2"/>
  <c r="C42" i="2" l="1"/>
  <c r="D41" i="2"/>
  <c r="F41" i="2" s="1"/>
  <c r="E41" i="2"/>
  <c r="C43" i="2" l="1"/>
  <c r="E42" i="2"/>
  <c r="D42" i="2"/>
  <c r="F42" i="2" s="1"/>
  <c r="C44" i="2" l="1"/>
  <c r="D43" i="2"/>
  <c r="F43" i="2" s="1"/>
  <c r="E43" i="2"/>
  <c r="C45" i="2" l="1"/>
  <c r="D44" i="2"/>
  <c r="F44" i="2" s="1"/>
  <c r="E44" i="2"/>
  <c r="C13" i="13" l="1"/>
  <c r="C15" i="13" s="1"/>
  <c r="D45" i="2"/>
  <c r="E45" i="2"/>
  <c r="E54" i="2" s="1"/>
  <c r="E13" i="13" s="1"/>
  <c r="F45" i="2" l="1"/>
  <c r="D48" i="2"/>
  <c r="D54" i="2" s="1"/>
  <c r="D13" i="13" s="1"/>
  <c r="C16" i="13"/>
  <c r="E15" i="13"/>
  <c r="D15" i="13"/>
  <c r="F47" i="2" l="1"/>
  <c r="F53" i="2" s="1"/>
  <c r="C17" i="13"/>
  <c r="E16" i="13"/>
  <c r="D16" i="13"/>
  <c r="F16" i="13" s="1"/>
  <c r="L16" i="13" s="1"/>
  <c r="F15" i="13"/>
  <c r="L15" i="13" s="1"/>
  <c r="F48" i="2" l="1"/>
  <c r="J16" i="13"/>
  <c r="K16" i="13" s="1"/>
  <c r="AL16" i="13"/>
  <c r="AM16" i="13" s="1"/>
  <c r="AL15" i="13"/>
  <c r="J15" i="13"/>
  <c r="F54" i="2"/>
  <c r="F13" i="13"/>
  <c r="C18" i="13"/>
  <c r="E17" i="13"/>
  <c r="D17" i="13"/>
  <c r="F17" i="13" s="1"/>
  <c r="L17" i="13" s="1"/>
  <c r="AL17" i="13" l="1"/>
  <c r="AM17" i="13" s="1"/>
  <c r="J17" i="13"/>
  <c r="K17" i="13" s="1"/>
  <c r="K15" i="13"/>
  <c r="AM15" i="13"/>
  <c r="C19" i="13"/>
  <c r="D18" i="13"/>
  <c r="F18" i="13" s="1"/>
  <c r="L18" i="13" s="1"/>
  <c r="E18" i="13"/>
  <c r="J18" i="13" l="1"/>
  <c r="K18" i="13" s="1"/>
  <c r="AL18" i="13"/>
  <c r="E19" i="13"/>
  <c r="D19" i="13"/>
  <c r="C20" i="13"/>
  <c r="AM18" i="13" l="1"/>
  <c r="E20" i="13"/>
  <c r="C21" i="13"/>
  <c r="D20" i="13"/>
  <c r="F20" i="13" s="1"/>
  <c r="L20" i="13" s="1"/>
  <c r="F19" i="13"/>
  <c r="L19" i="13" s="1"/>
  <c r="AL19" i="13" l="1"/>
  <c r="J19" i="13"/>
  <c r="AL20" i="13"/>
  <c r="AM20" i="13" s="1"/>
  <c r="J20" i="13"/>
  <c r="K20" i="13" s="1"/>
  <c r="E21" i="13"/>
  <c r="D21" i="13"/>
  <c r="F21" i="13" s="1"/>
  <c r="L21" i="13" s="1"/>
  <c r="C22" i="13"/>
  <c r="AL21" i="13" l="1"/>
  <c r="AM21" i="13" s="1"/>
  <c r="J21" i="13"/>
  <c r="K21" i="13" s="1"/>
  <c r="K19" i="13"/>
  <c r="AM19" i="13"/>
  <c r="D22" i="13"/>
  <c r="F22" i="13" s="1"/>
  <c r="L22" i="13" s="1"/>
  <c r="C23" i="13"/>
  <c r="E22" i="13"/>
  <c r="AL22" i="13" l="1"/>
  <c r="J22" i="13"/>
  <c r="K22" i="13" s="1"/>
  <c r="C24" i="13"/>
  <c r="D23" i="13"/>
  <c r="F23" i="13" s="1"/>
  <c r="L23" i="13" s="1"/>
  <c r="E23" i="13"/>
  <c r="J23" i="13" l="1"/>
  <c r="K23" i="13" s="1"/>
  <c r="AL23" i="13"/>
  <c r="AM23" i="13" s="1"/>
  <c r="AM22" i="13"/>
  <c r="D24" i="13"/>
  <c r="F24" i="13" s="1"/>
  <c r="L24" i="13" s="1"/>
  <c r="E24" i="13"/>
  <c r="C25" i="13"/>
  <c r="AL24" i="13" l="1"/>
  <c r="AM24" i="13" s="1"/>
  <c r="J24" i="13"/>
  <c r="D25" i="13"/>
  <c r="F25" i="13" s="1"/>
  <c r="L25" i="13" s="1"/>
  <c r="E25" i="13"/>
  <c r="C26" i="13"/>
  <c r="AL25" i="13" l="1"/>
  <c r="J25" i="13"/>
  <c r="K25" i="13" s="1"/>
  <c r="K24" i="13"/>
  <c r="E26" i="13"/>
  <c r="C27" i="13"/>
  <c r="D26" i="13"/>
  <c r="F26" i="13" s="1"/>
  <c r="L26" i="13" s="1"/>
  <c r="J26" i="13" l="1"/>
  <c r="K26" i="13" s="1"/>
  <c r="AL26" i="13"/>
  <c r="AM26" i="13" s="1"/>
  <c r="AM25" i="13"/>
  <c r="C28" i="13"/>
  <c r="E27" i="13"/>
  <c r="D27" i="13"/>
  <c r="F27" i="13" s="1"/>
  <c r="L27" i="13" s="1"/>
  <c r="J27" i="13" l="1"/>
  <c r="AL27" i="13"/>
  <c r="E28" i="13"/>
  <c r="D28" i="13"/>
  <c r="F28" i="13" s="1"/>
  <c r="L28" i="13" s="1"/>
  <c r="C29" i="13"/>
  <c r="AL28" i="13" l="1"/>
  <c r="AM28" i="13" s="1"/>
  <c r="J28" i="13"/>
  <c r="K28" i="13" s="1"/>
  <c r="AM27" i="13"/>
  <c r="K27" i="13"/>
  <c r="D29" i="13"/>
  <c r="F29" i="13" s="1"/>
  <c r="L29" i="13" s="1"/>
  <c r="E29" i="13"/>
  <c r="C30" i="13"/>
  <c r="J29" i="13" l="1"/>
  <c r="K29" i="13" s="1"/>
  <c r="AL29" i="13"/>
  <c r="D30" i="13"/>
  <c r="F30" i="13" s="1"/>
  <c r="L30" i="13" s="1"/>
  <c r="E30" i="13"/>
  <c r="C31" i="13"/>
  <c r="J30" i="13" l="1"/>
  <c r="K30" i="13" s="1"/>
  <c r="AL30" i="13"/>
  <c r="AM30" i="13" s="1"/>
  <c r="AM29" i="13"/>
  <c r="C32" i="13"/>
  <c r="D31" i="13"/>
  <c r="F31" i="13" s="1"/>
  <c r="L31" i="13" s="1"/>
  <c r="E31" i="13"/>
  <c r="AL31" i="13" l="1"/>
  <c r="AM31" i="13" s="1"/>
  <c r="J31" i="13"/>
  <c r="C33" i="13"/>
  <c r="E32" i="13"/>
  <c r="D32" i="13"/>
  <c r="F32" i="13" s="1"/>
  <c r="L32" i="13" s="1"/>
  <c r="J32" i="13" l="1"/>
  <c r="K32" i="13" s="1"/>
  <c r="AL32" i="13"/>
  <c r="AM32" i="13" s="1"/>
  <c r="K31" i="13"/>
  <c r="D33" i="13"/>
  <c r="F33" i="13" s="1"/>
  <c r="L33" i="13" s="1"/>
  <c r="E33" i="13"/>
  <c r="C34" i="13"/>
  <c r="J33" i="13" l="1"/>
  <c r="K33" i="13" s="1"/>
  <c r="AL33" i="13"/>
  <c r="E34" i="13"/>
  <c r="D34" i="13"/>
  <c r="F34" i="13" s="1"/>
  <c r="L34" i="13" s="1"/>
  <c r="C35" i="13"/>
  <c r="AM33" i="13" l="1"/>
  <c r="AL34" i="13"/>
  <c r="AM34" i="13" s="1"/>
  <c r="J34" i="13"/>
  <c r="C36" i="13"/>
  <c r="E35" i="13"/>
  <c r="D35" i="13"/>
  <c r="F35" i="13" s="1"/>
  <c r="L35" i="13" s="1"/>
  <c r="J35" i="13" l="1"/>
  <c r="K35" i="13" s="1"/>
  <c r="AL35" i="13"/>
  <c r="AM35" i="13" s="1"/>
  <c r="K34" i="13"/>
  <c r="E36" i="13"/>
  <c r="D36" i="13"/>
  <c r="F36" i="13" s="1"/>
  <c r="L36" i="13" s="1"/>
  <c r="C37" i="13"/>
  <c r="J36" i="13" l="1"/>
  <c r="AL36" i="13"/>
  <c r="C38" i="13"/>
  <c r="E37" i="13"/>
  <c r="D37" i="13"/>
  <c r="F37" i="13" s="1"/>
  <c r="L37" i="13" s="1"/>
  <c r="AL37" i="13" l="1"/>
  <c r="AM37" i="13" s="1"/>
  <c r="J37" i="13"/>
  <c r="K37" i="13" s="1"/>
  <c r="AM36" i="13"/>
  <c r="K36" i="13"/>
  <c r="E38" i="13"/>
  <c r="D38" i="13"/>
  <c r="F38" i="13" s="1"/>
  <c r="L38" i="13" s="1"/>
  <c r="C39" i="13"/>
  <c r="J38" i="13" l="1"/>
  <c r="AL38" i="13"/>
  <c r="C40" i="13"/>
  <c r="E39" i="13"/>
  <c r="D39" i="13"/>
  <c r="F39" i="13" s="1"/>
  <c r="L39" i="13" s="1"/>
  <c r="AM38" i="13" l="1"/>
  <c r="J39" i="13"/>
  <c r="K39" i="13" s="1"/>
  <c r="AL39" i="13"/>
  <c r="AM39" i="13" s="1"/>
  <c r="K38" i="13"/>
  <c r="E40" i="13"/>
  <c r="D40" i="13"/>
  <c r="F40" i="13" s="1"/>
  <c r="L40" i="13" s="1"/>
  <c r="C41" i="13"/>
  <c r="J40" i="13" l="1"/>
  <c r="AL40" i="13"/>
  <c r="AM40" i="13" s="1"/>
  <c r="C42" i="13"/>
  <c r="E41" i="13"/>
  <c r="D41" i="13"/>
  <c r="F41" i="13" s="1"/>
  <c r="L41" i="13" s="1"/>
  <c r="AL41" i="13" l="1"/>
  <c r="AM41" i="13" s="1"/>
  <c r="J41" i="13"/>
  <c r="K41" i="13" s="1"/>
  <c r="K40" i="13"/>
  <c r="D42" i="13"/>
  <c r="F42" i="13" s="1"/>
  <c r="L42" i="13" s="1"/>
  <c r="C43" i="13"/>
  <c r="E42" i="13"/>
  <c r="AL42" i="13" l="1"/>
  <c r="J42" i="13"/>
  <c r="K42" i="13" s="1"/>
  <c r="E43" i="13"/>
  <c r="C44" i="13"/>
  <c r="D43" i="13"/>
  <c r="F43" i="13" s="1"/>
  <c r="L43" i="13" s="1"/>
  <c r="AL43" i="13" l="1"/>
  <c r="AM43" i="13" s="1"/>
  <c r="J43" i="13"/>
  <c r="K43" i="13" s="1"/>
  <c r="AM42" i="13"/>
  <c r="D44" i="13"/>
  <c r="F44" i="13" s="1"/>
  <c r="L44" i="13" s="1"/>
  <c r="C45" i="13"/>
  <c r="E44" i="13"/>
  <c r="AL44" i="13" l="1"/>
  <c r="J44" i="13"/>
  <c r="C13" i="4"/>
  <c r="C15" i="4" s="1"/>
  <c r="E45" i="13"/>
  <c r="E54" i="13" s="1"/>
  <c r="E13" i="4" s="1"/>
  <c r="D45" i="13"/>
  <c r="K44" i="13" l="1"/>
  <c r="AM44" i="13"/>
  <c r="F45" i="13"/>
  <c r="D48" i="13"/>
  <c r="D54" i="13" s="1"/>
  <c r="D13" i="4" s="1"/>
  <c r="E15" i="4"/>
  <c r="C16" i="4"/>
  <c r="D15" i="4"/>
  <c r="F47" i="13" l="1"/>
  <c r="F53" i="13" s="1"/>
  <c r="L45" i="13"/>
  <c r="D16" i="4"/>
  <c r="F16" i="4" s="1"/>
  <c r="L16" i="4" s="1"/>
  <c r="C17" i="4"/>
  <c r="E16" i="4"/>
  <c r="F15" i="4"/>
  <c r="L15" i="4" s="1"/>
  <c r="F48" i="13" l="1"/>
  <c r="J45" i="13"/>
  <c r="AL45" i="13"/>
  <c r="L47" i="13"/>
  <c r="L48" i="13" s="1"/>
  <c r="J15" i="4"/>
  <c r="AL15" i="4"/>
  <c r="AL16" i="4"/>
  <c r="AM16" i="4" s="1"/>
  <c r="J16" i="4"/>
  <c r="K16" i="4" s="1"/>
  <c r="F54" i="13"/>
  <c r="F13" i="4"/>
  <c r="C18" i="4"/>
  <c r="D17" i="4"/>
  <c r="E17" i="4"/>
  <c r="AM45" i="13" l="1"/>
  <c r="AM47" i="13" s="1"/>
  <c r="AM48" i="13" s="1"/>
  <c r="AL47" i="13"/>
  <c r="AL48" i="13" s="1"/>
  <c r="K45" i="13"/>
  <c r="K47" i="13" s="1"/>
  <c r="K48" i="13" s="1"/>
  <c r="J47" i="13"/>
  <c r="J48" i="13" s="1"/>
  <c r="AM15" i="4"/>
  <c r="K15" i="4"/>
  <c r="C19" i="4"/>
  <c r="D18" i="4"/>
  <c r="F18" i="4" s="1"/>
  <c r="L18" i="4" s="1"/>
  <c r="E18" i="4"/>
  <c r="F17" i="4"/>
  <c r="L17" i="4" s="1"/>
  <c r="J18" i="4" l="1"/>
  <c r="K18" i="4" s="1"/>
  <c r="AL18" i="4"/>
  <c r="AM18" i="4" s="1"/>
  <c r="AL17" i="4"/>
  <c r="J17" i="4"/>
  <c r="D19" i="4"/>
  <c r="F19" i="4" s="1"/>
  <c r="L19" i="4" s="1"/>
  <c r="C20" i="4"/>
  <c r="E19" i="4"/>
  <c r="AL19" i="4" l="1"/>
  <c r="AM19" i="4" s="1"/>
  <c r="J19" i="4"/>
  <c r="K19" i="4" s="1"/>
  <c r="K17" i="4"/>
  <c r="AM17" i="4"/>
  <c r="C21" i="4"/>
  <c r="D20" i="4"/>
  <c r="F20" i="4" s="1"/>
  <c r="L20" i="4" s="1"/>
  <c r="E20" i="4"/>
  <c r="AL20" i="4" l="1"/>
  <c r="J20" i="4"/>
  <c r="K20" i="4" s="1"/>
  <c r="C22" i="4"/>
  <c r="E21" i="4"/>
  <c r="D21" i="4"/>
  <c r="F21" i="4" s="1"/>
  <c r="L21" i="4" s="1"/>
  <c r="AM20" i="4" l="1"/>
  <c r="J21" i="4"/>
  <c r="AL21" i="4"/>
  <c r="AM21" i="4" s="1"/>
  <c r="D22" i="4"/>
  <c r="F22" i="4" s="1"/>
  <c r="L22" i="4" s="1"/>
  <c r="C23" i="4"/>
  <c r="E22" i="4"/>
  <c r="K21" i="4" l="1"/>
  <c r="J22" i="4"/>
  <c r="K22" i="4" s="1"/>
  <c r="AL22" i="4"/>
  <c r="AM22" i="4" s="1"/>
  <c r="D23" i="4"/>
  <c r="F23" i="4" s="1"/>
  <c r="L23" i="4" s="1"/>
  <c r="E23" i="4"/>
  <c r="C24" i="4"/>
  <c r="AL23" i="4" l="1"/>
  <c r="J23" i="4"/>
  <c r="K23" i="4" s="1"/>
  <c r="E24" i="4"/>
  <c r="C25" i="4"/>
  <c r="D24" i="4"/>
  <c r="F24" i="4" s="1"/>
  <c r="L24" i="4" s="1"/>
  <c r="J24" i="4" l="1"/>
  <c r="AL24" i="4"/>
  <c r="AM24" i="4" s="1"/>
  <c r="AM23" i="4"/>
  <c r="C26" i="4"/>
  <c r="D25" i="4"/>
  <c r="F25" i="4" s="1"/>
  <c r="L25" i="4" s="1"/>
  <c r="E25" i="4"/>
  <c r="AN46" i="1"/>
  <c r="AN52" i="1" s="1"/>
  <c r="J25" i="4" l="1"/>
  <c r="K25" i="4" s="1"/>
  <c r="AL25" i="4"/>
  <c r="AM25" i="4" s="1"/>
  <c r="K24" i="4"/>
  <c r="C27" i="4"/>
  <c r="D26" i="4"/>
  <c r="F26" i="4" s="1"/>
  <c r="L26" i="4" s="1"/>
  <c r="E26" i="4"/>
  <c r="AN53" i="1"/>
  <c r="AN13" i="2"/>
  <c r="AN53" i="2" s="1"/>
  <c r="AN47" i="1"/>
  <c r="AL26" i="4" l="1"/>
  <c r="J26" i="4"/>
  <c r="D27" i="4"/>
  <c r="F27" i="4" s="1"/>
  <c r="L27" i="4" s="1"/>
  <c r="C28" i="4"/>
  <c r="E27" i="4"/>
  <c r="AN13" i="13"/>
  <c r="AN53" i="13" s="1"/>
  <c r="AN54" i="2"/>
  <c r="K26" i="4" l="1"/>
  <c r="AL27" i="4"/>
  <c r="AM27" i="4" s="1"/>
  <c r="J27" i="4"/>
  <c r="K27" i="4" s="1"/>
  <c r="AM26" i="4"/>
  <c r="D28" i="4"/>
  <c r="F28" i="4" s="1"/>
  <c r="L28" i="4" s="1"/>
  <c r="C29" i="4"/>
  <c r="E28" i="4"/>
  <c r="AN54" i="13"/>
  <c r="AN13" i="4"/>
  <c r="AN51" i="4" s="1"/>
  <c r="J28" i="4" l="1"/>
  <c r="K28" i="4" s="1"/>
  <c r="AL28" i="4"/>
  <c r="AM28" i="4" s="1"/>
  <c r="D29" i="4"/>
  <c r="F29" i="4" s="1"/>
  <c r="L29" i="4" s="1"/>
  <c r="E29" i="4"/>
  <c r="C30" i="4"/>
  <c r="AN52" i="4"/>
  <c r="AN13" i="5"/>
  <c r="AN53" i="5" s="1"/>
  <c r="AL29" i="4" l="1"/>
  <c r="AM29" i="4" s="1"/>
  <c r="J29" i="4"/>
  <c r="K29" i="4" s="1"/>
  <c r="E30" i="4"/>
  <c r="C31" i="4"/>
  <c r="D30" i="4"/>
  <c r="F30" i="4" s="1"/>
  <c r="L30" i="4" s="1"/>
  <c r="AN13" i="14"/>
  <c r="AN54" i="5"/>
  <c r="AL30" i="4" l="1"/>
  <c r="AM30" i="4" s="1"/>
  <c r="J30" i="4"/>
  <c r="D31" i="4"/>
  <c r="F31" i="4" s="1"/>
  <c r="L31" i="4" s="1"/>
  <c r="E31" i="4"/>
  <c r="C32" i="4"/>
  <c r="K30" i="4" l="1"/>
  <c r="J31" i="4"/>
  <c r="K31" i="4" s="1"/>
  <c r="AL31" i="4"/>
  <c r="C33" i="4"/>
  <c r="D32" i="4"/>
  <c r="F32" i="4" s="1"/>
  <c r="L32" i="4" s="1"/>
  <c r="E32" i="4"/>
  <c r="AP13" i="7"/>
  <c r="AN49" i="14"/>
  <c r="X46" i="14"/>
  <c r="AN52" i="14"/>
  <c r="AL32" i="4" l="1"/>
  <c r="AM32" i="4" s="1"/>
  <c r="J32" i="4"/>
  <c r="K32" i="4" s="1"/>
  <c r="AM31" i="4"/>
  <c r="E33" i="4"/>
  <c r="D33" i="4"/>
  <c r="F33" i="4" s="1"/>
  <c r="L33" i="4" s="1"/>
  <c r="C34" i="4"/>
  <c r="X47" i="14"/>
  <c r="X49" i="14"/>
  <c r="AK46" i="14"/>
  <c r="AN53" i="14"/>
  <c r="AN13" i="7"/>
  <c r="AN53" i="7" s="1"/>
  <c r="AN50" i="14"/>
  <c r="AN12" i="7"/>
  <c r="AN50" i="7" s="1"/>
  <c r="Y46" i="14"/>
  <c r="J33" i="4" l="1"/>
  <c r="K33" i="4" s="1"/>
  <c r="AL33" i="4"/>
  <c r="C35" i="4"/>
  <c r="D34" i="4"/>
  <c r="F34" i="4" s="1"/>
  <c r="L34" i="4" s="1"/>
  <c r="E34" i="4"/>
  <c r="AN54" i="7"/>
  <c r="AN13" i="8"/>
  <c r="AN52" i="8" s="1"/>
  <c r="Y47" i="14"/>
  <c r="Y49" i="14"/>
  <c r="X50" i="14"/>
  <c r="X12" i="7"/>
  <c r="X50" i="7" s="1"/>
  <c r="AN51" i="7"/>
  <c r="AN12" i="8"/>
  <c r="AN49" i="8" s="1"/>
  <c r="AK47" i="14"/>
  <c r="AK49" i="14"/>
  <c r="AM33" i="4" l="1"/>
  <c r="J34" i="4"/>
  <c r="K34" i="4" s="1"/>
  <c r="AL34" i="4"/>
  <c r="AM34" i="4" s="1"/>
  <c r="D35" i="4"/>
  <c r="F35" i="4" s="1"/>
  <c r="L35" i="4" s="1"/>
  <c r="E35" i="4"/>
  <c r="C36" i="4"/>
  <c r="AN50" i="8"/>
  <c r="AP12" i="9"/>
  <c r="AK50" i="14"/>
  <c r="AK12" i="7"/>
  <c r="AK50" i="7" s="1"/>
  <c r="X51" i="7"/>
  <c r="X12" i="8"/>
  <c r="AN53" i="8"/>
  <c r="AP13" i="9"/>
  <c r="Y50" i="14"/>
  <c r="Y12" i="7"/>
  <c r="Y50" i="7" s="1"/>
  <c r="J35" i="4" l="1"/>
  <c r="K35" i="4" s="1"/>
  <c r="AL35" i="4"/>
  <c r="AM35" i="4" s="1"/>
  <c r="D36" i="4"/>
  <c r="F36" i="4" s="1"/>
  <c r="L36" i="4" s="1"/>
  <c r="E36" i="4"/>
  <c r="C37" i="4"/>
  <c r="Y12" i="8"/>
  <c r="Y51" i="7"/>
  <c r="AK12" i="8"/>
  <c r="AK51" i="7"/>
  <c r="AL36" i="4" l="1"/>
  <c r="AM36" i="4" s="1"/>
  <c r="J36" i="4"/>
  <c r="D37" i="4"/>
  <c r="F37" i="4" s="1"/>
  <c r="L37" i="4" s="1"/>
  <c r="E37" i="4"/>
  <c r="C38" i="4"/>
  <c r="K36" i="4" l="1"/>
  <c r="AL37" i="4"/>
  <c r="J37" i="4"/>
  <c r="K37" i="4" s="1"/>
  <c r="C39" i="4"/>
  <c r="D38" i="4"/>
  <c r="F38" i="4" s="1"/>
  <c r="L38" i="4" s="1"/>
  <c r="E38" i="4"/>
  <c r="AM37" i="4" l="1"/>
  <c r="AL38" i="4"/>
  <c r="AM38" i="4" s="1"/>
  <c r="J38" i="4"/>
  <c r="K38" i="4" s="1"/>
  <c r="E39" i="4"/>
  <c r="D39" i="4"/>
  <c r="F39" i="4" s="1"/>
  <c r="L39" i="4" s="1"/>
  <c r="C40" i="4"/>
  <c r="C42" i="4" s="1"/>
  <c r="E42" i="4" l="1"/>
  <c r="D42" i="4"/>
  <c r="F42" i="4" s="1"/>
  <c r="L42" i="4" s="1"/>
  <c r="J39" i="4"/>
  <c r="K39" i="4" s="1"/>
  <c r="AL39" i="4"/>
  <c r="AM39" i="4" s="1"/>
  <c r="D40" i="4"/>
  <c r="F40" i="4" s="1"/>
  <c r="L40" i="4" s="1"/>
  <c r="E40" i="4"/>
  <c r="C41" i="4"/>
  <c r="AL42" i="4" l="1"/>
  <c r="AM42" i="4" s="1"/>
  <c r="J42" i="4"/>
  <c r="K42" i="4" s="1"/>
  <c r="J40" i="4"/>
  <c r="K40" i="4" s="1"/>
  <c r="AL40" i="4"/>
  <c r="C43" i="4"/>
  <c r="E41" i="4"/>
  <c r="D41" i="4"/>
  <c r="F41" i="4" s="1"/>
  <c r="L41" i="4" s="1"/>
  <c r="AL41" i="4" l="1"/>
  <c r="AM41" i="4" s="1"/>
  <c r="J41" i="4"/>
  <c r="K41" i="4" s="1"/>
  <c r="AM40" i="4"/>
  <c r="D43" i="4"/>
  <c r="E43" i="4"/>
  <c r="E52" i="4" s="1"/>
  <c r="E13" i="5" s="1"/>
  <c r="C13" i="5"/>
  <c r="C15" i="5" l="1"/>
  <c r="F43" i="4"/>
  <c r="D46" i="4"/>
  <c r="D52" i="4" s="1"/>
  <c r="D13" i="5" s="1"/>
  <c r="D15" i="5" l="1"/>
  <c r="F15" i="5" s="1"/>
  <c r="L15" i="5" s="1"/>
  <c r="E15" i="5"/>
  <c r="C16" i="5"/>
  <c r="E16" i="5" s="1"/>
  <c r="F45" i="4"/>
  <c r="F46" i="4" s="1"/>
  <c r="L43" i="4"/>
  <c r="C17" i="5" l="1"/>
  <c r="D17" i="5" s="1"/>
  <c r="F17" i="5" s="1"/>
  <c r="L17" i="5" s="1"/>
  <c r="D16" i="5"/>
  <c r="F16" i="5" s="1"/>
  <c r="L16" i="5" s="1"/>
  <c r="J16" i="5" s="1"/>
  <c r="K16" i="5" s="1"/>
  <c r="AL15" i="5"/>
  <c r="AM15" i="5" s="1"/>
  <c r="J15" i="5"/>
  <c r="K15" i="5" s="1"/>
  <c r="F51" i="4"/>
  <c r="F52" i="4" s="1"/>
  <c r="J43" i="4"/>
  <c r="AL43" i="4"/>
  <c r="L45" i="4"/>
  <c r="L46" i="4" s="1"/>
  <c r="C18" i="5"/>
  <c r="E17" i="5" l="1"/>
  <c r="AL16" i="5"/>
  <c r="AM16" i="5" s="1"/>
  <c r="F13" i="5"/>
  <c r="AM43" i="4"/>
  <c r="AM45" i="4" s="1"/>
  <c r="AM46" i="4" s="1"/>
  <c r="AL45" i="4"/>
  <c r="AL46" i="4" s="1"/>
  <c r="K43" i="4"/>
  <c r="K45" i="4" s="1"/>
  <c r="K46" i="4" s="1"/>
  <c r="J45" i="4"/>
  <c r="J46" i="4" s="1"/>
  <c r="AL17" i="5"/>
  <c r="AM17" i="5" s="1"/>
  <c r="J17" i="5"/>
  <c r="K17" i="5" s="1"/>
  <c r="C19" i="5"/>
  <c r="E18" i="5"/>
  <c r="D18" i="5"/>
  <c r="D19" i="5" l="1"/>
  <c r="F19" i="5" s="1"/>
  <c r="L19" i="5" s="1"/>
  <c r="E19" i="5"/>
  <c r="C20" i="5"/>
  <c r="F18" i="5"/>
  <c r="L18" i="5" s="1"/>
  <c r="AL19" i="5" l="1"/>
  <c r="AM19" i="5" s="1"/>
  <c r="J19" i="5"/>
  <c r="K19" i="5" s="1"/>
  <c r="AL18" i="5"/>
  <c r="J18" i="5"/>
  <c r="D20" i="5"/>
  <c r="C21" i="5"/>
  <c r="E20" i="5"/>
  <c r="K18" i="5" l="1"/>
  <c r="AM18" i="5"/>
  <c r="D21" i="5"/>
  <c r="F21" i="5" s="1"/>
  <c r="L21" i="5" s="1"/>
  <c r="C22" i="5"/>
  <c r="E21" i="5"/>
  <c r="F20" i="5"/>
  <c r="L20" i="5" s="1"/>
  <c r="AL20" i="5" l="1"/>
  <c r="J20" i="5"/>
  <c r="AL21" i="5"/>
  <c r="AM21" i="5" s="1"/>
  <c r="J21" i="5"/>
  <c r="K21" i="5" s="1"/>
  <c r="E22" i="5"/>
  <c r="D22" i="5"/>
  <c r="C23" i="5"/>
  <c r="K20" i="5" l="1"/>
  <c r="AM20" i="5"/>
  <c r="F22" i="5"/>
  <c r="L22" i="5" s="1"/>
  <c r="C24" i="5"/>
  <c r="E23" i="5"/>
  <c r="D23" i="5"/>
  <c r="F23" i="5" s="1"/>
  <c r="L23" i="5" s="1"/>
  <c r="J23" i="5" l="1"/>
  <c r="K23" i="5" s="1"/>
  <c r="AL23" i="5"/>
  <c r="AM23" i="5" s="1"/>
  <c r="AL22" i="5"/>
  <c r="J22" i="5"/>
  <c r="C25" i="5"/>
  <c r="D24" i="5"/>
  <c r="F24" i="5" s="1"/>
  <c r="L24" i="5" s="1"/>
  <c r="E24" i="5"/>
  <c r="AM22" i="5" l="1"/>
  <c r="AL24" i="5"/>
  <c r="AM24" i="5" s="1"/>
  <c r="J24" i="5"/>
  <c r="K24" i="5" s="1"/>
  <c r="K22" i="5"/>
  <c r="E25" i="5"/>
  <c r="D25" i="5"/>
  <c r="F25" i="5" s="1"/>
  <c r="L25" i="5" s="1"/>
  <c r="C26" i="5"/>
  <c r="J25" i="5" l="1"/>
  <c r="K25" i="5" s="1"/>
  <c r="AL25" i="5"/>
  <c r="AM25" i="5" s="1"/>
  <c r="E26" i="5"/>
  <c r="D26" i="5"/>
  <c r="F26" i="5" s="1"/>
  <c r="L26" i="5" s="1"/>
  <c r="C27" i="5"/>
  <c r="J26" i="5" l="1"/>
  <c r="AL26" i="5"/>
  <c r="C28" i="5"/>
  <c r="D27" i="5"/>
  <c r="F27" i="5" s="1"/>
  <c r="L27" i="5" s="1"/>
  <c r="E27" i="5"/>
  <c r="J27" i="5" l="1"/>
  <c r="K27" i="5" s="1"/>
  <c r="AL27" i="5"/>
  <c r="AM27" i="5" s="1"/>
  <c r="AM26" i="5"/>
  <c r="K26" i="5"/>
  <c r="C29" i="5"/>
  <c r="E28" i="5"/>
  <c r="D28" i="5"/>
  <c r="F28" i="5" s="1"/>
  <c r="L28" i="5" s="1"/>
  <c r="AL28" i="5" l="1"/>
  <c r="AM28" i="5" s="1"/>
  <c r="J28" i="5"/>
  <c r="D29" i="5"/>
  <c r="F29" i="5" s="1"/>
  <c r="L29" i="5" s="1"/>
  <c r="C30" i="5"/>
  <c r="E29" i="5"/>
  <c r="K28" i="5" l="1"/>
  <c r="AL29" i="5"/>
  <c r="J29" i="5"/>
  <c r="K29" i="5" s="1"/>
  <c r="D30" i="5"/>
  <c r="F30" i="5" s="1"/>
  <c r="L30" i="5" s="1"/>
  <c r="C31" i="5"/>
  <c r="E30" i="5"/>
  <c r="AM29" i="5" l="1"/>
  <c r="J30" i="5"/>
  <c r="K30" i="5" s="1"/>
  <c r="AL30" i="5"/>
  <c r="AM30" i="5" s="1"/>
  <c r="D31" i="5"/>
  <c r="F31" i="5" s="1"/>
  <c r="L31" i="5" s="1"/>
  <c r="C32" i="5"/>
  <c r="E31" i="5"/>
  <c r="J31" i="5" l="1"/>
  <c r="K31" i="5" s="1"/>
  <c r="AL31" i="5"/>
  <c r="E32" i="5"/>
  <c r="D32" i="5"/>
  <c r="F32" i="5" s="1"/>
  <c r="L32" i="5" s="1"/>
  <c r="C33" i="5"/>
  <c r="J32" i="5" l="1"/>
  <c r="K32" i="5" s="1"/>
  <c r="AL32" i="5"/>
  <c r="AM32" i="5" s="1"/>
  <c r="AM31" i="5"/>
  <c r="C34" i="5"/>
  <c r="E33" i="5"/>
  <c r="D33" i="5"/>
  <c r="F33" i="5" s="1"/>
  <c r="L33" i="5" s="1"/>
  <c r="AL33" i="5" l="1"/>
  <c r="AM33" i="5" s="1"/>
  <c r="J33" i="5"/>
  <c r="K33" i="5" s="1"/>
  <c r="E34" i="5"/>
  <c r="C35" i="5"/>
  <c r="D34" i="5"/>
  <c r="F34" i="5" s="1"/>
  <c r="L34" i="5" s="1"/>
  <c r="AL34" i="5" l="1"/>
  <c r="J34" i="5"/>
  <c r="E35" i="5"/>
  <c r="C36" i="5"/>
  <c r="D35" i="5"/>
  <c r="F35" i="5" s="1"/>
  <c r="L35" i="5" s="1"/>
  <c r="J35" i="5" l="1"/>
  <c r="K35" i="5" s="1"/>
  <c r="AL35" i="5"/>
  <c r="AM35" i="5" s="1"/>
  <c r="K34" i="5"/>
  <c r="AM34" i="5"/>
  <c r="D36" i="5"/>
  <c r="F36" i="5" s="1"/>
  <c r="L36" i="5" s="1"/>
  <c r="C37" i="5"/>
  <c r="E36" i="5"/>
  <c r="AL36" i="5" l="1"/>
  <c r="J36" i="5"/>
  <c r="E37" i="5"/>
  <c r="D37" i="5"/>
  <c r="F37" i="5" s="1"/>
  <c r="L37" i="5" s="1"/>
  <c r="C38" i="5"/>
  <c r="AL37" i="5" l="1"/>
  <c r="AM37" i="5" s="1"/>
  <c r="J37" i="5"/>
  <c r="K37" i="5" s="1"/>
  <c r="K36" i="5"/>
  <c r="AM36" i="5"/>
  <c r="E38" i="5"/>
  <c r="C39" i="5"/>
  <c r="D38" i="5"/>
  <c r="F38" i="5" s="1"/>
  <c r="L38" i="5" s="1"/>
  <c r="AL38" i="5" l="1"/>
  <c r="J38" i="5"/>
  <c r="K38" i="5" s="1"/>
  <c r="E39" i="5"/>
  <c r="D39" i="5"/>
  <c r="F39" i="5" s="1"/>
  <c r="L39" i="5" s="1"/>
  <c r="C40" i="5"/>
  <c r="AL39" i="5" l="1"/>
  <c r="AM39" i="5" s="1"/>
  <c r="J39" i="5"/>
  <c r="K39" i="5" s="1"/>
  <c r="AM38" i="5"/>
  <c r="D40" i="5"/>
  <c r="F40" i="5" s="1"/>
  <c r="L40" i="5" s="1"/>
  <c r="E40" i="5"/>
  <c r="C41" i="5"/>
  <c r="J40" i="5" l="1"/>
  <c r="K40" i="5" s="1"/>
  <c r="AL40" i="5"/>
  <c r="AM40" i="5" s="1"/>
  <c r="E41" i="5"/>
  <c r="C42" i="5"/>
  <c r="D41" i="5"/>
  <c r="F41" i="5" s="1"/>
  <c r="L41" i="5" s="1"/>
  <c r="J41" i="5" l="1"/>
  <c r="AL41" i="5"/>
  <c r="C43" i="5"/>
  <c r="E42" i="5"/>
  <c r="D42" i="5"/>
  <c r="F42" i="5" s="1"/>
  <c r="L42" i="5" s="1"/>
  <c r="AM41" i="5" l="1"/>
  <c r="J42" i="5"/>
  <c r="K42" i="5" s="1"/>
  <c r="AL42" i="5"/>
  <c r="AM42" i="5" s="1"/>
  <c r="K41" i="5"/>
  <c r="D43" i="5"/>
  <c r="F43" i="5" s="1"/>
  <c r="L43" i="5" s="1"/>
  <c r="E43" i="5"/>
  <c r="C44" i="5"/>
  <c r="J43" i="5" l="1"/>
  <c r="AL43" i="5"/>
  <c r="E44" i="5"/>
  <c r="D44" i="5"/>
  <c r="F44" i="5" s="1"/>
  <c r="L44" i="5" s="1"/>
  <c r="C45" i="5"/>
  <c r="J44" i="5" l="1"/>
  <c r="K44" i="5" s="1"/>
  <c r="AL44" i="5"/>
  <c r="AM44" i="5" s="1"/>
  <c r="AM43" i="5"/>
  <c r="K43" i="5"/>
  <c r="E45" i="5"/>
  <c r="E54" i="5" s="1"/>
  <c r="E13" i="14" s="1"/>
  <c r="D45" i="5"/>
  <c r="C13" i="14"/>
  <c r="C15" i="14" s="1"/>
  <c r="E15" i="14" s="1"/>
  <c r="AZ15" i="14" l="1"/>
  <c r="C16" i="14"/>
  <c r="E16" i="14" s="1"/>
  <c r="AZ16" i="14" s="1"/>
  <c r="D15" i="14"/>
  <c r="F15" i="14" s="1"/>
  <c r="C17" i="14"/>
  <c r="F45" i="5"/>
  <c r="D48" i="5"/>
  <c r="D54" i="5" s="1"/>
  <c r="D13" i="14" s="1"/>
  <c r="L15" i="14" l="1"/>
  <c r="AL15" i="14" s="1"/>
  <c r="AM15" i="14" s="1"/>
  <c r="C18" i="14"/>
  <c r="E17" i="14"/>
  <c r="D17" i="14"/>
  <c r="F17" i="14" s="1"/>
  <c r="D16" i="14"/>
  <c r="F16" i="14" s="1"/>
  <c r="F47" i="5"/>
  <c r="F48" i="5" s="1"/>
  <c r="L45" i="5"/>
  <c r="J15" i="14" l="1"/>
  <c r="K15" i="14" s="1"/>
  <c r="L16" i="14"/>
  <c r="AL16" i="14" s="1"/>
  <c r="AM16" i="14" s="1"/>
  <c r="L17" i="14"/>
  <c r="J17" i="14" s="1"/>
  <c r="K17" i="14" s="1"/>
  <c r="C19" i="14"/>
  <c r="E18" i="14"/>
  <c r="D18" i="14"/>
  <c r="F18" i="14" s="1"/>
  <c r="AZ17" i="14"/>
  <c r="F53" i="5"/>
  <c r="F13" i="14" s="1"/>
  <c r="J45" i="5"/>
  <c r="AL45" i="5"/>
  <c r="L47" i="5"/>
  <c r="L48" i="5" s="1"/>
  <c r="J16" i="14" l="1"/>
  <c r="K16" i="14" s="1"/>
  <c r="AL17" i="14"/>
  <c r="AM17" i="14" s="1"/>
  <c r="L18" i="14"/>
  <c r="AL18" i="14" s="1"/>
  <c r="AM18" i="14" s="1"/>
  <c r="AZ18" i="14"/>
  <c r="C20" i="14"/>
  <c r="E19" i="14"/>
  <c r="D19" i="14"/>
  <c r="F54" i="5"/>
  <c r="AM45" i="5"/>
  <c r="AM47" i="5" s="1"/>
  <c r="AM48" i="5" s="1"/>
  <c r="AL47" i="5"/>
  <c r="AL48" i="5" s="1"/>
  <c r="K45" i="5"/>
  <c r="K47" i="5" s="1"/>
  <c r="K48" i="5" s="1"/>
  <c r="J47" i="5"/>
  <c r="J48" i="5" s="1"/>
  <c r="J18" i="14" l="1"/>
  <c r="K18" i="14" s="1"/>
  <c r="AZ19" i="14"/>
  <c r="C21" i="14"/>
  <c r="D20" i="14"/>
  <c r="F20" i="14" s="1"/>
  <c r="E20" i="14"/>
  <c r="AZ20" i="14" s="1"/>
  <c r="AC21" i="14" s="1"/>
  <c r="F19" i="14"/>
  <c r="L20" i="14" l="1"/>
  <c r="J20" i="14" s="1"/>
  <c r="K20" i="14" s="1"/>
  <c r="L19" i="14"/>
  <c r="J19" i="14" s="1"/>
  <c r="C22" i="14"/>
  <c r="E21" i="14"/>
  <c r="D21" i="14"/>
  <c r="F21" i="14" s="1"/>
  <c r="AZ21" i="14" l="1"/>
  <c r="AL20" i="14"/>
  <c r="AM20" i="14" s="1"/>
  <c r="L21" i="14"/>
  <c r="J21" i="14" s="1"/>
  <c r="K21" i="14" s="1"/>
  <c r="AL19" i="14"/>
  <c r="AM19" i="14" s="1"/>
  <c r="K19" i="14"/>
  <c r="C23" i="14"/>
  <c r="D22" i="14"/>
  <c r="E22" i="14"/>
  <c r="AC22" i="14" l="1"/>
  <c r="AL21" i="14"/>
  <c r="AM21" i="14" s="1"/>
  <c r="F22" i="14"/>
  <c r="C24" i="14"/>
  <c r="E23" i="14"/>
  <c r="D23" i="14"/>
  <c r="F23" i="14" s="1"/>
  <c r="L22" i="14" l="1"/>
  <c r="J22" i="14" s="1"/>
  <c r="L23" i="14"/>
  <c r="J23" i="14" s="1"/>
  <c r="K23" i="14" s="1"/>
  <c r="C25" i="14"/>
  <c r="D24" i="14"/>
  <c r="E24" i="14"/>
  <c r="AL22" i="14" l="1"/>
  <c r="AM22" i="14" s="1"/>
  <c r="AL23" i="14"/>
  <c r="AM23" i="14" s="1"/>
  <c r="K22" i="14"/>
  <c r="F24" i="14"/>
  <c r="L24" i="14" s="1"/>
  <c r="C26" i="14"/>
  <c r="E25" i="14"/>
  <c r="D25" i="14"/>
  <c r="F25" i="14" s="1"/>
  <c r="L25" i="14" s="1"/>
  <c r="J25" i="14" l="1"/>
  <c r="K25" i="14" s="1"/>
  <c r="AL25" i="14"/>
  <c r="AM25" i="14" s="1"/>
  <c r="J24" i="14"/>
  <c r="AL24" i="14"/>
  <c r="C27" i="14"/>
  <c r="E26" i="14"/>
  <c r="D26" i="14"/>
  <c r="AM24" i="14" l="1"/>
  <c r="K24" i="14"/>
  <c r="F26" i="14"/>
  <c r="L26" i="14" s="1"/>
  <c r="C28" i="14"/>
  <c r="D27" i="14"/>
  <c r="F27" i="14" s="1"/>
  <c r="L27" i="14" s="1"/>
  <c r="E27" i="14"/>
  <c r="J26" i="14" l="1"/>
  <c r="AL26" i="14"/>
  <c r="AL27" i="14"/>
  <c r="AM27" i="14" s="1"/>
  <c r="J27" i="14"/>
  <c r="K27" i="14" s="1"/>
  <c r="C29" i="14"/>
  <c r="D28" i="14"/>
  <c r="F28" i="14" s="1"/>
  <c r="L28" i="14" s="1"/>
  <c r="E28" i="14"/>
  <c r="J28" i="14" l="1"/>
  <c r="K28" i="14" s="1"/>
  <c r="AL28" i="14"/>
  <c r="AM28" i="14" s="1"/>
  <c r="AM26" i="14"/>
  <c r="K26" i="14"/>
  <c r="C30" i="14"/>
  <c r="D29" i="14"/>
  <c r="F29" i="14" s="1"/>
  <c r="L29" i="14" s="1"/>
  <c r="E29" i="14"/>
  <c r="AL29" i="14" l="1"/>
  <c r="AM29" i="14" s="1"/>
  <c r="J29" i="14"/>
  <c r="C31" i="14"/>
  <c r="E30" i="14"/>
  <c r="D30" i="14"/>
  <c r="F30" i="14" s="1"/>
  <c r="L30" i="14" s="1"/>
  <c r="J30" i="14" l="1"/>
  <c r="K30" i="14" s="1"/>
  <c r="AL30" i="14"/>
  <c r="AM30" i="14" s="1"/>
  <c r="K29" i="14"/>
  <c r="C32" i="14"/>
  <c r="D31" i="14"/>
  <c r="F31" i="14" s="1"/>
  <c r="L31" i="14" s="1"/>
  <c r="E31" i="14"/>
  <c r="AL31" i="14" l="1"/>
  <c r="AM31" i="14" s="1"/>
  <c r="J31" i="14"/>
  <c r="C33" i="14"/>
  <c r="E32" i="14"/>
  <c r="D32" i="14"/>
  <c r="F32" i="14" s="1"/>
  <c r="L32" i="14" s="1"/>
  <c r="J32" i="14" l="1"/>
  <c r="K32" i="14" s="1"/>
  <c r="AL32" i="14"/>
  <c r="K31" i="14"/>
  <c r="C34" i="14"/>
  <c r="D33" i="14"/>
  <c r="F33" i="14" s="1"/>
  <c r="L33" i="14" s="1"/>
  <c r="E33" i="14"/>
  <c r="AL33" i="14" l="1"/>
  <c r="AM33" i="14" s="1"/>
  <c r="J33" i="14"/>
  <c r="AM32" i="14"/>
  <c r="C35" i="14"/>
  <c r="D34" i="14"/>
  <c r="F34" i="14" s="1"/>
  <c r="L34" i="14" s="1"/>
  <c r="E34" i="14"/>
  <c r="J34" i="14" l="1"/>
  <c r="K34" i="14" s="1"/>
  <c r="AL34" i="14"/>
  <c r="K33" i="14"/>
  <c r="C36" i="14"/>
  <c r="E35" i="14"/>
  <c r="D35" i="14"/>
  <c r="F35" i="14" s="1"/>
  <c r="L35" i="14" s="1"/>
  <c r="AM34" i="14" l="1"/>
  <c r="J35" i="14"/>
  <c r="AL35" i="14"/>
  <c r="AM35" i="14" s="1"/>
  <c r="C37" i="14"/>
  <c r="D36" i="14"/>
  <c r="F36" i="14" s="1"/>
  <c r="L36" i="14" s="1"/>
  <c r="E36" i="14"/>
  <c r="AL36" i="14" l="1"/>
  <c r="AM36" i="14" s="1"/>
  <c r="J36" i="14"/>
  <c r="K36" i="14" s="1"/>
  <c r="K35" i="14"/>
  <c r="C38" i="14"/>
  <c r="D37" i="14"/>
  <c r="F37" i="14" s="1"/>
  <c r="L37" i="14" s="1"/>
  <c r="E37" i="14"/>
  <c r="J37" i="14" l="1"/>
  <c r="AL37" i="14"/>
  <c r="C39" i="14"/>
  <c r="E38" i="14"/>
  <c r="D38" i="14"/>
  <c r="F38" i="14" s="1"/>
  <c r="L38" i="14" s="1"/>
  <c r="AD15" i="8"/>
  <c r="AD16" i="8" s="1"/>
  <c r="AD17" i="8" s="1"/>
  <c r="AD18" i="8" s="1"/>
  <c r="AD19" i="8" s="1"/>
  <c r="AD20" i="8" s="1"/>
  <c r="AD21" i="8" s="1"/>
  <c r="AD22" i="8" s="1"/>
  <c r="AD23" i="8" s="1"/>
  <c r="AD24" i="8" s="1"/>
  <c r="AD25" i="8" s="1"/>
  <c r="AD26" i="8" s="1"/>
  <c r="AD27" i="8" s="1"/>
  <c r="AD28" i="8" s="1"/>
  <c r="AD29" i="8" s="1"/>
  <c r="AD30" i="8" s="1"/>
  <c r="AD31" i="8" s="1"/>
  <c r="AD32" i="8" s="1"/>
  <c r="AD33" i="8" s="1"/>
  <c r="AD34" i="8" s="1"/>
  <c r="AD35" i="8" s="1"/>
  <c r="AD36" i="8" s="1"/>
  <c r="AD37" i="8" s="1"/>
  <c r="AD38" i="8" s="1"/>
  <c r="AD39" i="8" s="1"/>
  <c r="AD40" i="8" s="1"/>
  <c r="AD41" i="8" s="1"/>
  <c r="AD42" i="8" s="1"/>
  <c r="AD43" i="8" s="1"/>
  <c r="AD44" i="8" s="1"/>
  <c r="J38" i="14" l="1"/>
  <c r="K38" i="14" s="1"/>
  <c r="AL38" i="14"/>
  <c r="AM38" i="14" s="1"/>
  <c r="AM37" i="14"/>
  <c r="K37" i="14"/>
  <c r="C40" i="14"/>
  <c r="D39" i="14"/>
  <c r="F39" i="14" s="1"/>
  <c r="L39" i="14" s="1"/>
  <c r="E39" i="14"/>
  <c r="AL39" i="14" l="1"/>
  <c r="J39" i="14"/>
  <c r="C41" i="14"/>
  <c r="E40" i="14"/>
  <c r="D40" i="14"/>
  <c r="F40" i="14" s="1"/>
  <c r="L40" i="14" s="1"/>
  <c r="J40" i="14" l="1"/>
  <c r="K40" i="14" s="1"/>
  <c r="AL40" i="14"/>
  <c r="AM40" i="14" s="1"/>
  <c r="K39" i="14"/>
  <c r="AM39" i="14"/>
  <c r="C42" i="14"/>
  <c r="E41" i="14"/>
  <c r="D41" i="14"/>
  <c r="F41" i="14" s="1"/>
  <c r="L41" i="14" s="1"/>
  <c r="AL41" i="14" l="1"/>
  <c r="J41" i="14"/>
  <c r="C43" i="14"/>
  <c r="D42" i="14"/>
  <c r="F42" i="14" s="1"/>
  <c r="L42" i="14" s="1"/>
  <c r="E42" i="14"/>
  <c r="AL42" i="14" l="1"/>
  <c r="AM42" i="14" s="1"/>
  <c r="J42" i="14"/>
  <c r="K42" i="14" s="1"/>
  <c r="K41" i="14"/>
  <c r="AM41" i="14"/>
  <c r="C44" i="14"/>
  <c r="E43" i="14"/>
  <c r="D43" i="14"/>
  <c r="F43" i="14" s="1"/>
  <c r="L43" i="14" s="1"/>
  <c r="AL43" i="14" l="1"/>
  <c r="J43" i="14"/>
  <c r="E44" i="14"/>
  <c r="E53" i="14" s="1"/>
  <c r="E13" i="7" s="1"/>
  <c r="C13" i="7"/>
  <c r="D44" i="14"/>
  <c r="AM43" i="14" l="1"/>
  <c r="K43" i="14"/>
  <c r="F44" i="14"/>
  <c r="L44" i="14" s="1"/>
  <c r="D47" i="14"/>
  <c r="D53" i="14" s="1"/>
  <c r="D13" i="7" s="1"/>
  <c r="C15" i="7"/>
  <c r="J44" i="14" l="1"/>
  <c r="AL44" i="14"/>
  <c r="L46" i="14"/>
  <c r="F46" i="14"/>
  <c r="F52" i="14" s="1"/>
  <c r="BI12" i="7"/>
  <c r="C16" i="7"/>
  <c r="E15" i="7"/>
  <c r="D15" i="7"/>
  <c r="L47" i="14" l="1"/>
  <c r="L49" i="14"/>
  <c r="AM44" i="14"/>
  <c r="AM46" i="14" s="1"/>
  <c r="AL46" i="14"/>
  <c r="K44" i="14"/>
  <c r="K46" i="14" s="1"/>
  <c r="J46" i="14"/>
  <c r="F49" i="14"/>
  <c r="F12" i="7" s="1"/>
  <c r="F47" i="14"/>
  <c r="BL52" i="14"/>
  <c r="BL47" i="14"/>
  <c r="F15" i="7"/>
  <c r="L15" i="7" s="1"/>
  <c r="F13" i="7"/>
  <c r="F53" i="14"/>
  <c r="C17" i="7"/>
  <c r="D16" i="7"/>
  <c r="F16" i="7" s="1"/>
  <c r="L16" i="7" s="1"/>
  <c r="E16" i="7"/>
  <c r="BL53" i="14" l="1"/>
  <c r="BI13" i="7"/>
  <c r="BL50" i="14"/>
  <c r="F50" i="14"/>
  <c r="J16" i="7"/>
  <c r="K16" i="7" s="1"/>
  <c r="AL16" i="7"/>
  <c r="AM16" i="7" s="1"/>
  <c r="AL15" i="7"/>
  <c r="J15" i="7"/>
  <c r="AL49" i="14"/>
  <c r="AL47" i="14"/>
  <c r="AM49" i="14"/>
  <c r="AM47" i="14"/>
  <c r="L50" i="14"/>
  <c r="L12" i="7"/>
  <c r="J49" i="14"/>
  <c r="J47" i="14"/>
  <c r="K49" i="14"/>
  <c r="K47" i="14"/>
  <c r="C18" i="7"/>
  <c r="D17" i="7"/>
  <c r="F17" i="7" s="1"/>
  <c r="L17" i="7" s="1"/>
  <c r="E17" i="7"/>
  <c r="AL17" i="7" l="1"/>
  <c r="AM17" i="7" s="1"/>
  <c r="J17" i="7"/>
  <c r="K17" i="7" s="1"/>
  <c r="K15" i="7"/>
  <c r="AM15" i="7"/>
  <c r="J50" i="14"/>
  <c r="J12" i="7"/>
  <c r="AM50" i="14"/>
  <c r="AM12" i="7"/>
  <c r="K12" i="7"/>
  <c r="K50" i="14"/>
  <c r="AL12" i="7"/>
  <c r="AL50" i="14"/>
  <c r="C19" i="7"/>
  <c r="E18" i="7"/>
  <c r="D18" i="7"/>
  <c r="F18" i="7" s="1"/>
  <c r="L18" i="7" s="1"/>
  <c r="AL18" i="7" l="1"/>
  <c r="J18" i="7"/>
  <c r="C20" i="7"/>
  <c r="E19" i="7"/>
  <c r="D19" i="7"/>
  <c r="K18" i="7" l="1"/>
  <c r="AM18" i="7"/>
  <c r="C21" i="7"/>
  <c r="E20" i="7"/>
  <c r="D20" i="7"/>
  <c r="F20" i="7" s="1"/>
  <c r="L20" i="7" s="1"/>
  <c r="F19" i="7"/>
  <c r="L19" i="7" s="1"/>
  <c r="J20" i="7" l="1"/>
  <c r="K20" i="7" s="1"/>
  <c r="AL20" i="7"/>
  <c r="AM20" i="7" s="1"/>
  <c r="J19" i="7"/>
  <c r="AL19" i="7"/>
  <c r="C22" i="7"/>
  <c r="D21" i="7"/>
  <c r="F21" i="7" s="1"/>
  <c r="L21" i="7" s="1"/>
  <c r="E21" i="7"/>
  <c r="AL21" i="7" l="1"/>
  <c r="AM21" i="7" s="1"/>
  <c r="J21" i="7"/>
  <c r="K21" i="7" s="1"/>
  <c r="AM19" i="7"/>
  <c r="K19" i="7"/>
  <c r="C23" i="7"/>
  <c r="E22" i="7"/>
  <c r="D22" i="7"/>
  <c r="F22" i="7" s="1"/>
  <c r="L22" i="7" s="1"/>
  <c r="J22" i="7" l="1"/>
  <c r="K22" i="7" s="1"/>
  <c r="AL22" i="7"/>
  <c r="AM22" i="7" s="1"/>
  <c r="C24" i="7"/>
  <c r="D23" i="7"/>
  <c r="F23" i="7" s="1"/>
  <c r="L23" i="7" s="1"/>
  <c r="E23" i="7"/>
  <c r="AL23" i="7" l="1"/>
  <c r="J23" i="7"/>
  <c r="C25" i="7"/>
  <c r="D24" i="7"/>
  <c r="F24" i="7" s="1"/>
  <c r="L24" i="7" s="1"/>
  <c r="E24" i="7"/>
  <c r="AL24" i="7" l="1"/>
  <c r="AM24" i="7" s="1"/>
  <c r="J24" i="7"/>
  <c r="K24" i="7" s="1"/>
  <c r="K23" i="7"/>
  <c r="AM23" i="7"/>
  <c r="C26" i="7"/>
  <c r="E25" i="7"/>
  <c r="D25" i="7"/>
  <c r="F25" i="7" s="1"/>
  <c r="L25" i="7" s="1"/>
  <c r="J25" i="7" l="1"/>
  <c r="AL25" i="7"/>
  <c r="C27" i="7"/>
  <c r="D26" i="7"/>
  <c r="F26" i="7" s="1"/>
  <c r="L26" i="7" s="1"/>
  <c r="E26" i="7"/>
  <c r="AL26" i="7" l="1"/>
  <c r="AM26" i="7" s="1"/>
  <c r="J26" i="7"/>
  <c r="K26" i="7" s="1"/>
  <c r="AM25" i="7"/>
  <c r="K25" i="7"/>
  <c r="C28" i="7"/>
  <c r="E27" i="7"/>
  <c r="D27" i="7"/>
  <c r="F27" i="7" s="1"/>
  <c r="L27" i="7" s="1"/>
  <c r="AL27" i="7" l="1"/>
  <c r="J27" i="7"/>
  <c r="K27" i="7" s="1"/>
  <c r="C29" i="7"/>
  <c r="D28" i="7"/>
  <c r="F28" i="7" s="1"/>
  <c r="L28" i="7" s="1"/>
  <c r="E28" i="7"/>
  <c r="AL28" i="7" l="1"/>
  <c r="AM28" i="7" s="1"/>
  <c r="J28" i="7"/>
  <c r="AM27" i="7"/>
  <c r="C30" i="7"/>
  <c r="D29" i="7"/>
  <c r="F29" i="7" s="1"/>
  <c r="L29" i="7" s="1"/>
  <c r="E29" i="7"/>
  <c r="J29" i="7" l="1"/>
  <c r="K29" i="7" s="1"/>
  <c r="AL29" i="7"/>
  <c r="K28" i="7"/>
  <c r="C31" i="7"/>
  <c r="E30" i="7"/>
  <c r="D30" i="7"/>
  <c r="F30" i="7" s="1"/>
  <c r="L30" i="7" s="1"/>
  <c r="AL30" i="7" l="1"/>
  <c r="AM30" i="7" s="1"/>
  <c r="J30" i="7"/>
  <c r="AM29" i="7"/>
  <c r="C32" i="7"/>
  <c r="E31" i="7"/>
  <c r="D31" i="7"/>
  <c r="F31" i="7" s="1"/>
  <c r="L31" i="7" s="1"/>
  <c r="K30" i="7" l="1"/>
  <c r="AL31" i="7"/>
  <c r="J31" i="7"/>
  <c r="K31" i="7" s="1"/>
  <c r="C33" i="7"/>
  <c r="E32" i="7"/>
  <c r="D32" i="7"/>
  <c r="F32" i="7" s="1"/>
  <c r="L32" i="7" s="1"/>
  <c r="AL32" i="7" l="1"/>
  <c r="AM32" i="7" s="1"/>
  <c r="J32" i="7"/>
  <c r="AM31" i="7"/>
  <c r="C34" i="7"/>
  <c r="D33" i="7"/>
  <c r="F33" i="7" s="1"/>
  <c r="L33" i="7" s="1"/>
  <c r="E33" i="7"/>
  <c r="AL33" i="7" l="1"/>
  <c r="AM33" i="7" s="1"/>
  <c r="J33" i="7"/>
  <c r="K33" i="7" s="1"/>
  <c r="K32" i="7"/>
  <c r="C35" i="7"/>
  <c r="D34" i="7"/>
  <c r="F34" i="7" s="1"/>
  <c r="L34" i="7" s="1"/>
  <c r="E34" i="7"/>
  <c r="AL34" i="7" l="1"/>
  <c r="AM34" i="7" s="1"/>
  <c r="J34" i="7"/>
  <c r="K34" i="7" s="1"/>
  <c r="C36" i="7"/>
  <c r="E35" i="7"/>
  <c r="D35" i="7"/>
  <c r="F35" i="7" s="1"/>
  <c r="L35" i="7" s="1"/>
  <c r="AL35" i="7" l="1"/>
  <c r="J35" i="7"/>
  <c r="K35" i="7" s="1"/>
  <c r="C37" i="7"/>
  <c r="E36" i="7"/>
  <c r="D36" i="7"/>
  <c r="F36" i="7" s="1"/>
  <c r="L36" i="7" s="1"/>
  <c r="AL36" i="7" l="1"/>
  <c r="AM36" i="7" s="1"/>
  <c r="J36" i="7"/>
  <c r="AM35" i="7"/>
  <c r="C38" i="7"/>
  <c r="D37" i="7"/>
  <c r="F37" i="7" s="1"/>
  <c r="L37" i="7" s="1"/>
  <c r="E37" i="7"/>
  <c r="AL37" i="7" l="1"/>
  <c r="J37" i="7"/>
  <c r="K37" i="7" s="1"/>
  <c r="K36" i="7"/>
  <c r="C39" i="7"/>
  <c r="D38" i="7"/>
  <c r="F38" i="7" s="1"/>
  <c r="L38" i="7" s="1"/>
  <c r="E38" i="7"/>
  <c r="AL38" i="7" l="1"/>
  <c r="AM38" i="7" s="1"/>
  <c r="J38" i="7"/>
  <c r="K38" i="7" s="1"/>
  <c r="AM37" i="7"/>
  <c r="C40" i="7"/>
  <c r="E39" i="7"/>
  <c r="D39" i="7"/>
  <c r="F39" i="7" s="1"/>
  <c r="L39" i="7" s="1"/>
  <c r="AL39" i="7" l="1"/>
  <c r="J39" i="7"/>
  <c r="C41" i="7"/>
  <c r="D40" i="7"/>
  <c r="F40" i="7" s="1"/>
  <c r="L40" i="7" s="1"/>
  <c r="E40" i="7"/>
  <c r="K39" i="7" l="1"/>
  <c r="AL40" i="7"/>
  <c r="AM40" i="7" s="1"/>
  <c r="J40" i="7"/>
  <c r="K40" i="7" s="1"/>
  <c r="AM39" i="7"/>
  <c r="C42" i="7"/>
  <c r="E41" i="7"/>
  <c r="D41" i="7"/>
  <c r="F41" i="7" s="1"/>
  <c r="L41" i="7" s="1"/>
  <c r="AL41" i="7" l="1"/>
  <c r="AM41" i="7" s="1"/>
  <c r="J41" i="7"/>
  <c r="K41" i="7" s="1"/>
  <c r="C43" i="7"/>
  <c r="D42" i="7"/>
  <c r="F42" i="7" s="1"/>
  <c r="L42" i="7" s="1"/>
  <c r="E42" i="7"/>
  <c r="J42" i="7" l="1"/>
  <c r="K42" i="7" s="1"/>
  <c r="AL42" i="7"/>
  <c r="C44" i="7"/>
  <c r="D43" i="7"/>
  <c r="F43" i="7" s="1"/>
  <c r="L43" i="7" s="1"/>
  <c r="E43" i="7"/>
  <c r="AL43" i="7" l="1"/>
  <c r="AM43" i="7" s="1"/>
  <c r="J43" i="7"/>
  <c r="AM42" i="7"/>
  <c r="C45" i="7"/>
  <c r="E44" i="7"/>
  <c r="BI47" i="7" s="1"/>
  <c r="D44" i="7"/>
  <c r="F44" i="7" s="1"/>
  <c r="L44" i="7" s="1"/>
  <c r="BI50" i="7" l="1"/>
  <c r="BJ12" i="8" s="1"/>
  <c r="BI53" i="7"/>
  <c r="J44" i="7"/>
  <c r="K44" i="7" s="1"/>
  <c r="AL44" i="7"/>
  <c r="K43" i="7"/>
  <c r="BI48" i="7"/>
  <c r="BI51" i="7"/>
  <c r="D45" i="7"/>
  <c r="C13" i="8"/>
  <c r="E45" i="7"/>
  <c r="E54" i="7" s="1"/>
  <c r="E13" i="8" s="1"/>
  <c r="BI54" i="7" l="1"/>
  <c r="BJ13" i="8"/>
  <c r="AM44" i="7"/>
  <c r="F45" i="7"/>
  <c r="D48" i="7"/>
  <c r="D54" i="7" s="1"/>
  <c r="D13" i="8" s="1"/>
  <c r="C15" i="8"/>
  <c r="D15" i="8" s="1"/>
  <c r="F47" i="7" l="1"/>
  <c r="F48" i="7" s="1"/>
  <c r="L45" i="7"/>
  <c r="F15" i="8"/>
  <c r="C16" i="8"/>
  <c r="E15" i="8"/>
  <c r="F53" i="7" l="1"/>
  <c r="F13" i="8" s="1"/>
  <c r="F50" i="7"/>
  <c r="F12" i="8" s="1"/>
  <c r="J45" i="7"/>
  <c r="AL45" i="7"/>
  <c r="AM45" i="7" s="1"/>
  <c r="L47" i="7"/>
  <c r="C17" i="8"/>
  <c r="D16" i="8"/>
  <c r="E16" i="8"/>
  <c r="F51" i="7" l="1"/>
  <c r="F54" i="7"/>
  <c r="L48" i="7"/>
  <c r="L50" i="7"/>
  <c r="AM47" i="7"/>
  <c r="AL47" i="7"/>
  <c r="K45" i="7"/>
  <c r="K47" i="7" s="1"/>
  <c r="J47" i="7"/>
  <c r="F16" i="8"/>
  <c r="C18" i="8"/>
  <c r="D17" i="8"/>
  <c r="F17" i="8" s="1"/>
  <c r="E17" i="8"/>
  <c r="AL50" i="7" l="1"/>
  <c r="AL48" i="7"/>
  <c r="AM50" i="7"/>
  <c r="AM48" i="7"/>
  <c r="J48" i="7"/>
  <c r="J50" i="7"/>
  <c r="L12" i="8"/>
  <c r="L51" i="7"/>
  <c r="K50" i="7"/>
  <c r="K48" i="7"/>
  <c r="C19" i="8"/>
  <c r="D18" i="8"/>
  <c r="F18" i="8" s="1"/>
  <c r="E18" i="8"/>
  <c r="AM51" i="7" l="1"/>
  <c r="AM12" i="8"/>
  <c r="J12" i="8"/>
  <c r="J51" i="7"/>
  <c r="K12" i="8"/>
  <c r="K51" i="7"/>
  <c r="AL12" i="8"/>
  <c r="AL51" i="7"/>
  <c r="E19" i="8"/>
  <c r="D19" i="8"/>
  <c r="C20" i="8"/>
  <c r="F19" i="8" l="1"/>
  <c r="C21" i="8"/>
  <c r="E20" i="8"/>
  <c r="D20" i="8"/>
  <c r="F20" i="8" s="1"/>
  <c r="D21" i="8" l="1"/>
  <c r="E21" i="8"/>
  <c r="C22" i="8"/>
  <c r="C23" i="8" l="1"/>
  <c r="D22" i="8"/>
  <c r="F22" i="8" s="1"/>
  <c r="E22" i="8"/>
  <c r="F21" i="8"/>
  <c r="C24" i="8" l="1"/>
  <c r="E23" i="8"/>
  <c r="D23" i="8"/>
  <c r="F23" i="8" s="1"/>
  <c r="C25" i="8" l="1"/>
  <c r="E24" i="8"/>
  <c r="D24" i="8"/>
  <c r="F24" i="8" s="1"/>
  <c r="C26" i="8" l="1"/>
  <c r="D25" i="8"/>
  <c r="F25" i="8" s="1"/>
  <c r="E25" i="8"/>
  <c r="C27" i="8" l="1"/>
  <c r="D26" i="8"/>
  <c r="F26" i="8" s="1"/>
  <c r="E26" i="8"/>
  <c r="C28" i="8" l="1"/>
  <c r="E27" i="8"/>
  <c r="D27" i="8"/>
  <c r="F27" i="8" s="1"/>
  <c r="C29" i="8" l="1"/>
  <c r="E28" i="8"/>
  <c r="D28" i="8"/>
  <c r="F28" i="8" s="1"/>
  <c r="C30" i="8" l="1"/>
  <c r="E29" i="8"/>
  <c r="D29" i="8"/>
  <c r="F29" i="8" s="1"/>
  <c r="C31" i="8" l="1"/>
  <c r="D30" i="8"/>
  <c r="F30" i="8" s="1"/>
  <c r="E30" i="8"/>
  <c r="C32" i="8" l="1"/>
  <c r="E31" i="8"/>
  <c r="D31" i="8"/>
  <c r="F31" i="8" s="1"/>
  <c r="C33" i="8" l="1"/>
  <c r="D32" i="8"/>
  <c r="F32" i="8" s="1"/>
  <c r="E32" i="8"/>
  <c r="C34" i="8" l="1"/>
  <c r="E33" i="8"/>
  <c r="D33" i="8"/>
  <c r="F33" i="8" s="1"/>
  <c r="C35" i="8" l="1"/>
  <c r="D34" i="8"/>
  <c r="F34" i="8" s="1"/>
  <c r="E34" i="8"/>
  <c r="C36" i="8" l="1"/>
  <c r="E35" i="8"/>
  <c r="D35" i="8"/>
  <c r="F35" i="8" s="1"/>
  <c r="C37" i="8" l="1"/>
  <c r="D36" i="8"/>
  <c r="F36" i="8" s="1"/>
  <c r="E36" i="8"/>
  <c r="C38" i="8" l="1"/>
  <c r="D37" i="8"/>
  <c r="F37" i="8" s="1"/>
  <c r="E37" i="8"/>
  <c r="C39" i="8" l="1"/>
  <c r="D38" i="8"/>
  <c r="F38" i="8" s="1"/>
  <c r="E38" i="8"/>
  <c r="C40" i="8" l="1"/>
  <c r="E39" i="8"/>
  <c r="D39" i="8"/>
  <c r="F39" i="8" s="1"/>
  <c r="C41" i="8" l="1"/>
  <c r="D40" i="8"/>
  <c r="F40" i="8" s="1"/>
  <c r="E40" i="8"/>
  <c r="C42" i="8" l="1"/>
  <c r="D41" i="8"/>
  <c r="F41" i="8" s="1"/>
  <c r="E41" i="8"/>
  <c r="D42" i="8" l="1"/>
  <c r="F42" i="8" s="1"/>
  <c r="E42" i="8"/>
  <c r="C43" i="8"/>
  <c r="C44" i="8" l="1"/>
  <c r="E43" i="8"/>
  <c r="D43" i="8"/>
  <c r="F43" i="8" s="1"/>
  <c r="E44" i="8" l="1"/>
  <c r="E53" i="8" s="1"/>
  <c r="E13" i="9" s="1"/>
  <c r="C13" i="9"/>
  <c r="D44" i="8"/>
  <c r="C15" i="9" l="1"/>
  <c r="F44" i="8"/>
  <c r="D47" i="8"/>
  <c r="D53" i="8" s="1"/>
  <c r="D13" i="9" s="1"/>
  <c r="F46" i="8" l="1"/>
  <c r="F47" i="8" s="1"/>
  <c r="C16" i="9"/>
  <c r="E15" i="9"/>
  <c r="D15" i="9"/>
  <c r="F49" i="8" l="1"/>
  <c r="F12" i="9" s="1"/>
  <c r="F52" i="8"/>
  <c r="F53" i="8" s="1"/>
  <c r="F15" i="9"/>
  <c r="C17" i="9"/>
  <c r="E16" i="9"/>
  <c r="D16" i="9"/>
  <c r="F16" i="9" s="1"/>
  <c r="F13" i="9" l="1"/>
  <c r="F50" i="8"/>
  <c r="L15" i="9"/>
  <c r="AN15" i="9" s="1"/>
  <c r="AO15" i="9" s="1"/>
  <c r="L16" i="9"/>
  <c r="J16" i="9" s="1"/>
  <c r="K16" i="9" s="1"/>
  <c r="C18" i="9"/>
  <c r="E17" i="9"/>
  <c r="D17" i="9"/>
  <c r="J15" i="9" l="1"/>
  <c r="K15" i="9" s="1"/>
  <c r="AN16" i="9"/>
  <c r="AO16" i="9" s="1"/>
  <c r="F17" i="9"/>
  <c r="C19" i="9"/>
  <c r="E18" i="9"/>
  <c r="D18" i="9"/>
  <c r="F18" i="9" s="1"/>
  <c r="L17" i="9" l="1"/>
  <c r="AN17" i="9" s="1"/>
  <c r="L18" i="9"/>
  <c r="J18" i="9" s="1"/>
  <c r="K18" i="9" s="1"/>
  <c r="C20" i="9"/>
  <c r="D19" i="9"/>
  <c r="E19" i="9"/>
  <c r="J17" i="9" l="1"/>
  <c r="K17" i="9" s="1"/>
  <c r="AN18" i="9"/>
  <c r="AO18" i="9" s="1"/>
  <c r="AO17" i="9"/>
  <c r="F19" i="9"/>
  <c r="C21" i="9"/>
  <c r="D20" i="9"/>
  <c r="F20" i="9" s="1"/>
  <c r="E20" i="9"/>
  <c r="L19" i="9" l="1"/>
  <c r="AN19" i="9" s="1"/>
  <c r="L20" i="9"/>
  <c r="J20" i="9" s="1"/>
  <c r="K20" i="9" s="1"/>
  <c r="C22" i="9"/>
  <c r="D21" i="9"/>
  <c r="E21" i="9"/>
  <c r="J19" i="9" l="1"/>
  <c r="K19" i="9" s="1"/>
  <c r="AN20" i="9"/>
  <c r="AO20" i="9" s="1"/>
  <c r="AO19" i="9"/>
  <c r="F21" i="9"/>
  <c r="C23" i="9"/>
  <c r="E22" i="9"/>
  <c r="D22" i="9"/>
  <c r="F22" i="9" s="1"/>
  <c r="L21" i="9" l="1"/>
  <c r="J21" i="9" s="1"/>
  <c r="L22" i="9"/>
  <c r="C24" i="9"/>
  <c r="D23" i="9"/>
  <c r="F23" i="9" s="1"/>
  <c r="E23" i="9"/>
  <c r="AN21" i="9" l="1"/>
  <c r="AO21" i="9" s="1"/>
  <c r="L23" i="9"/>
  <c r="AN23" i="9" s="1"/>
  <c r="AO23" i="9" s="1"/>
  <c r="AN22" i="9"/>
  <c r="AO22" i="9" s="1"/>
  <c r="J22" i="9"/>
  <c r="K22" i="9" s="1"/>
  <c r="K21" i="9"/>
  <c r="C25" i="9"/>
  <c r="E24" i="9"/>
  <c r="D24" i="9"/>
  <c r="F24" i="9" s="1"/>
  <c r="J23" i="9" l="1"/>
  <c r="K23" i="9" s="1"/>
  <c r="L24" i="9"/>
  <c r="J24" i="9" s="1"/>
  <c r="C26" i="9"/>
  <c r="D25" i="9"/>
  <c r="F25" i="9" s="1"/>
  <c r="E25" i="9"/>
  <c r="AN24" i="9" l="1"/>
  <c r="AO24" i="9" s="1"/>
  <c r="L25" i="9"/>
  <c r="J25" i="9" s="1"/>
  <c r="K25" i="9" s="1"/>
  <c r="K24" i="9"/>
  <c r="C27" i="9"/>
  <c r="E26" i="9"/>
  <c r="D26" i="9"/>
  <c r="F26" i="9" s="1"/>
  <c r="AN25" i="9" l="1"/>
  <c r="AO25" i="9" s="1"/>
  <c r="L26" i="9"/>
  <c r="J26" i="9" s="1"/>
  <c r="C28" i="9"/>
  <c r="D27" i="9"/>
  <c r="F27" i="9" s="1"/>
  <c r="E27" i="9"/>
  <c r="AN26" i="9" l="1"/>
  <c r="AO26" i="9" s="1"/>
  <c r="L27" i="9"/>
  <c r="J27" i="9" s="1"/>
  <c r="K27" i="9" s="1"/>
  <c r="K26" i="9"/>
  <c r="C29" i="9"/>
  <c r="E28" i="9"/>
  <c r="D28" i="9"/>
  <c r="F28" i="9" s="1"/>
  <c r="AN27" i="9" l="1"/>
  <c r="AO27" i="9" s="1"/>
  <c r="L28" i="9"/>
  <c r="AN28" i="9" s="1"/>
  <c r="AO28" i="9" s="1"/>
  <c r="C30" i="9"/>
  <c r="E29" i="9"/>
  <c r="D29" i="9"/>
  <c r="F29" i="9" s="1"/>
  <c r="L29" i="9" s="1"/>
  <c r="J29" i="9" l="1"/>
  <c r="K29" i="9" s="1"/>
  <c r="AN29" i="9"/>
  <c r="J28" i="9"/>
  <c r="K28" i="9" s="1"/>
  <c r="C31" i="9"/>
  <c r="D30" i="9"/>
  <c r="F30" i="9" s="1"/>
  <c r="L30" i="9" s="1"/>
  <c r="E30" i="9"/>
  <c r="AN30" i="9" l="1"/>
  <c r="AO30" i="9" s="1"/>
  <c r="J30" i="9"/>
  <c r="AO29" i="9"/>
  <c r="C32" i="9"/>
  <c r="E31" i="9"/>
  <c r="D31" i="9"/>
  <c r="F31" i="9" s="1"/>
  <c r="L31" i="9" s="1"/>
  <c r="AN31" i="9" l="1"/>
  <c r="J31" i="9"/>
  <c r="K31" i="9" s="1"/>
  <c r="K30" i="9"/>
  <c r="C33" i="9"/>
  <c r="D32" i="9"/>
  <c r="F32" i="9" s="1"/>
  <c r="L32" i="9" s="1"/>
  <c r="E32" i="9"/>
  <c r="J32" i="9" l="1"/>
  <c r="AN32" i="9"/>
  <c r="AO32" i="9" s="1"/>
  <c r="AO31" i="9"/>
  <c r="C34" i="9"/>
  <c r="D33" i="9"/>
  <c r="F33" i="9" s="1"/>
  <c r="L33" i="9" s="1"/>
  <c r="E33" i="9"/>
  <c r="J33" i="9" l="1"/>
  <c r="K33" i="9" s="1"/>
  <c r="AN33" i="9"/>
  <c r="AO33" i="9" s="1"/>
  <c r="K32" i="9"/>
  <c r="C35" i="9"/>
  <c r="D34" i="9"/>
  <c r="F34" i="9" s="1"/>
  <c r="L34" i="9" s="1"/>
  <c r="E34" i="9"/>
  <c r="J34" i="9" l="1"/>
  <c r="AN34" i="9"/>
  <c r="C36" i="9"/>
  <c r="D35" i="9"/>
  <c r="F35" i="9" s="1"/>
  <c r="L35" i="9" s="1"/>
  <c r="E35" i="9"/>
  <c r="AO34" i="9" l="1"/>
  <c r="AN35" i="9"/>
  <c r="AO35" i="9" s="1"/>
  <c r="J35" i="9"/>
  <c r="K35" i="9" s="1"/>
  <c r="K34" i="9"/>
  <c r="C37" i="9"/>
  <c r="E36" i="9"/>
  <c r="D36" i="9"/>
  <c r="F36" i="9" s="1"/>
  <c r="L36" i="9" s="1"/>
  <c r="J36" i="9" l="1"/>
  <c r="K36" i="9" s="1"/>
  <c r="AN36" i="9"/>
  <c r="AO36" i="9" s="1"/>
  <c r="C38" i="9"/>
  <c r="E37" i="9"/>
  <c r="D37" i="9"/>
  <c r="F37" i="9" s="1"/>
  <c r="L37" i="9" s="1"/>
  <c r="J37" i="9" l="1"/>
  <c r="AN37" i="9"/>
  <c r="C39" i="9"/>
  <c r="D38" i="9"/>
  <c r="F38" i="9" s="1"/>
  <c r="L38" i="9" s="1"/>
  <c r="E38" i="9"/>
  <c r="J38" i="9" l="1"/>
  <c r="K38" i="9" s="1"/>
  <c r="AN38" i="9"/>
  <c r="AO38" i="9" s="1"/>
  <c r="AO37" i="9"/>
  <c r="K37" i="9"/>
  <c r="C40" i="9"/>
  <c r="D39" i="9"/>
  <c r="F39" i="9" s="1"/>
  <c r="L39" i="9" s="1"/>
  <c r="E39" i="9"/>
  <c r="AN39" i="9" l="1"/>
  <c r="J39" i="9"/>
  <c r="C41" i="9"/>
  <c r="D40" i="9"/>
  <c r="F40" i="9" s="1"/>
  <c r="L40" i="9" s="1"/>
  <c r="E40" i="9"/>
  <c r="K39" i="9" l="1"/>
  <c r="AO39" i="9"/>
  <c r="J40" i="9"/>
  <c r="K40" i="9" s="1"/>
  <c r="AN40" i="9"/>
  <c r="AO40" i="9" s="1"/>
  <c r="C42" i="9"/>
  <c r="D41" i="9"/>
  <c r="F41" i="9" s="1"/>
  <c r="L41" i="9" s="1"/>
  <c r="E41" i="9"/>
  <c r="AN41" i="9" l="1"/>
  <c r="AO41" i="9" s="1"/>
  <c r="J41" i="9"/>
  <c r="C43" i="9"/>
  <c r="D42" i="9"/>
  <c r="F42" i="9" s="1"/>
  <c r="L42" i="9" s="1"/>
  <c r="E42" i="9"/>
  <c r="AN42" i="9" l="1"/>
  <c r="AO42" i="9" s="1"/>
  <c r="J42" i="9"/>
  <c r="K42" i="9" s="1"/>
  <c r="K41" i="9"/>
  <c r="C44" i="9"/>
  <c r="E43" i="9"/>
  <c r="D43" i="9"/>
  <c r="F43" i="9" s="1"/>
  <c r="C45" i="9" l="1"/>
  <c r="D44" i="9"/>
  <c r="F44" i="9" s="1"/>
  <c r="L44" i="9" s="1"/>
  <c r="E44" i="9"/>
  <c r="J44" i="9" l="1"/>
  <c r="AN44" i="9"/>
  <c r="AO44" i="9" s="1"/>
  <c r="E45" i="9"/>
  <c r="E54" i="9" s="1"/>
  <c r="E13" i="10" s="1"/>
  <c r="C13" i="10"/>
  <c r="D45" i="9"/>
  <c r="K44" i="9" l="1"/>
  <c r="F45" i="9"/>
  <c r="D48" i="9"/>
  <c r="D54" i="9" s="1"/>
  <c r="D13" i="10" s="1"/>
  <c r="F47" i="9" l="1"/>
  <c r="F53" i="9" s="1"/>
  <c r="F50" i="9" l="1"/>
  <c r="F12" i="10" s="1"/>
  <c r="F48" i="9"/>
  <c r="BJ48" i="9"/>
  <c r="F13" i="10"/>
  <c r="F54" i="9"/>
  <c r="F51" i="9" l="1"/>
  <c r="E54" i="10" l="1"/>
  <c r="E13" i="11" s="1"/>
  <c r="C13" i="11"/>
  <c r="C15" i="11" s="1"/>
  <c r="C16" i="11" l="1"/>
  <c r="D15" i="11"/>
  <c r="E15" i="11"/>
  <c r="D48" i="10"/>
  <c r="D54" i="10" s="1"/>
  <c r="D13" i="11" s="1"/>
  <c r="F47" i="10" l="1"/>
  <c r="F48" i="10" s="1"/>
  <c r="F15" i="11"/>
  <c r="C17" i="11"/>
  <c r="D16" i="11"/>
  <c r="F16" i="11" s="1"/>
  <c r="L16" i="11" s="1"/>
  <c r="E16" i="11"/>
  <c r="F50" i="10" l="1"/>
  <c r="F12" i="11" s="1"/>
  <c r="F53" i="10"/>
  <c r="F13" i="11" s="1"/>
  <c r="L47" i="10"/>
  <c r="L48" i="10" s="1"/>
  <c r="J16" i="11"/>
  <c r="K16" i="11" s="1"/>
  <c r="AN16" i="11"/>
  <c r="AO16" i="11" s="1"/>
  <c r="C18" i="11"/>
  <c r="E17" i="11"/>
  <c r="D17" i="11"/>
  <c r="F17" i="11" s="1"/>
  <c r="L17" i="11" s="1"/>
  <c r="L15" i="11"/>
  <c r="F54" i="10" l="1"/>
  <c r="F51" i="10"/>
  <c r="AO47" i="10"/>
  <c r="AO48" i="10" s="1"/>
  <c r="AN47" i="10"/>
  <c r="AN48" i="10" s="1"/>
  <c r="K47" i="10"/>
  <c r="K48" i="10" s="1"/>
  <c r="J47" i="10"/>
  <c r="J48" i="10" s="1"/>
  <c r="C19" i="11"/>
  <c r="D18" i="11"/>
  <c r="F18" i="11" s="1"/>
  <c r="L18" i="11" s="1"/>
  <c r="E18" i="11"/>
  <c r="AN15" i="11"/>
  <c r="J15" i="11"/>
  <c r="AN17" i="11"/>
  <c r="AO17" i="11" s="1"/>
  <c r="J17" i="11"/>
  <c r="K17" i="11" s="1"/>
  <c r="J18" i="11" l="1"/>
  <c r="K18" i="11" s="1"/>
  <c r="AN18" i="11"/>
  <c r="AO18" i="11" s="1"/>
  <c r="K15" i="11"/>
  <c r="AO15" i="11"/>
  <c r="C20" i="11"/>
  <c r="D19" i="11"/>
  <c r="E19" i="11"/>
  <c r="F19" i="11" l="1"/>
  <c r="C21" i="11"/>
  <c r="D20" i="11"/>
  <c r="F20" i="11" s="1"/>
  <c r="L20" i="11" s="1"/>
  <c r="E20" i="11"/>
  <c r="L19" i="11" l="1"/>
  <c r="J20" i="11"/>
  <c r="K20" i="11" s="1"/>
  <c r="AN20" i="11"/>
  <c r="AO20" i="11" s="1"/>
  <c r="C22" i="11"/>
  <c r="D21" i="11"/>
  <c r="F21" i="11" s="1"/>
  <c r="L21" i="11" s="1"/>
  <c r="E21" i="11"/>
  <c r="J21" i="11" l="1"/>
  <c r="K21" i="11" s="1"/>
  <c r="AN21" i="11"/>
  <c r="AO21" i="11" s="1"/>
  <c r="J19" i="11"/>
  <c r="AN19" i="11"/>
  <c r="C23" i="11"/>
  <c r="D22" i="11"/>
  <c r="F22" i="11" s="1"/>
  <c r="L22" i="11" s="1"/>
  <c r="E22" i="11"/>
  <c r="K19" i="11" l="1"/>
  <c r="J22" i="11"/>
  <c r="K22" i="11" s="1"/>
  <c r="AN22" i="11"/>
  <c r="AO22" i="11" s="1"/>
  <c r="C24" i="11"/>
  <c r="D23" i="11"/>
  <c r="F23" i="11" s="1"/>
  <c r="L23" i="11" s="1"/>
  <c r="E23" i="11"/>
  <c r="AO19" i="11"/>
  <c r="AN23" i="11" l="1"/>
  <c r="AO23" i="11" s="1"/>
  <c r="J23" i="11"/>
  <c r="K23" i="11" s="1"/>
  <c r="C25" i="11"/>
  <c r="E24" i="11"/>
  <c r="D24" i="11"/>
  <c r="F24" i="11" s="1"/>
  <c r="L24" i="11" s="1"/>
  <c r="C26" i="11" l="1"/>
  <c r="E25" i="11"/>
  <c r="D25" i="11"/>
  <c r="F25" i="11" s="1"/>
  <c r="L25" i="11" s="1"/>
  <c r="J24" i="11"/>
  <c r="AN24" i="11"/>
  <c r="AO24" i="11" s="1"/>
  <c r="C27" i="11" l="1"/>
  <c r="E26" i="11"/>
  <c r="D26" i="11"/>
  <c r="F26" i="11" s="1"/>
  <c r="L26" i="11" s="1"/>
  <c r="K24" i="11"/>
  <c r="AN25" i="11"/>
  <c r="AO25" i="11" s="1"/>
  <c r="J25" i="11"/>
  <c r="K25" i="11" s="1"/>
  <c r="J26" i="11" l="1"/>
  <c r="AN26" i="11"/>
  <c r="AO26" i="11" s="1"/>
  <c r="C28" i="11"/>
  <c r="D27" i="11"/>
  <c r="F27" i="11" s="1"/>
  <c r="L27" i="11" s="1"/>
  <c r="E27" i="11"/>
  <c r="AN27" i="11" l="1"/>
  <c r="AO27" i="11" s="1"/>
  <c r="J27" i="11"/>
  <c r="K27" i="11" s="1"/>
  <c r="C29" i="11"/>
  <c r="E28" i="11"/>
  <c r="D28" i="11"/>
  <c r="F28" i="11" s="1"/>
  <c r="L28" i="11" s="1"/>
  <c r="K26" i="11"/>
  <c r="J28" i="11" l="1"/>
  <c r="K28" i="11" s="1"/>
  <c r="AN28" i="11"/>
  <c r="AO28" i="11" s="1"/>
  <c r="C30" i="11"/>
  <c r="D29" i="11"/>
  <c r="F29" i="11" s="1"/>
  <c r="L29" i="11" s="1"/>
  <c r="E29" i="11"/>
  <c r="C31" i="11" l="1"/>
  <c r="E30" i="11"/>
  <c r="D30" i="11"/>
  <c r="F30" i="11" s="1"/>
  <c r="L30" i="11" s="1"/>
  <c r="J29" i="11"/>
  <c r="K29" i="11" s="1"/>
  <c r="AN29" i="11"/>
  <c r="AO29" i="11" s="1"/>
  <c r="C32" i="11" l="1"/>
  <c r="D31" i="11"/>
  <c r="F31" i="11" s="1"/>
  <c r="L31" i="11" s="1"/>
  <c r="J31" i="11" s="1"/>
  <c r="E31" i="11"/>
  <c r="J30" i="11"/>
  <c r="K30" i="11" s="1"/>
  <c r="AN30" i="11"/>
  <c r="AO30" i="11" s="1"/>
  <c r="C33" i="11" l="1"/>
  <c r="D32" i="11"/>
  <c r="F32" i="11" s="1"/>
  <c r="L32" i="11" s="1"/>
  <c r="J32" i="11" s="1"/>
  <c r="E32" i="11"/>
  <c r="AN31" i="11"/>
  <c r="AO31" i="11" s="1"/>
  <c r="K31" i="11"/>
  <c r="C34" i="11" l="1"/>
  <c r="D33" i="11"/>
  <c r="F33" i="11" s="1"/>
  <c r="L33" i="11" s="1"/>
  <c r="E33" i="11"/>
  <c r="K32" i="11"/>
  <c r="AN32" i="11"/>
  <c r="AO32" i="11" s="1"/>
  <c r="AN33" i="11" l="1"/>
  <c r="AO33" i="11" s="1"/>
  <c r="J33" i="11"/>
  <c r="K33" i="11" s="1"/>
  <c r="C35" i="11"/>
  <c r="D34" i="11"/>
  <c r="F34" i="11" s="1"/>
  <c r="L34" i="11" s="1"/>
  <c r="E34" i="11"/>
  <c r="J34" i="11" l="1"/>
  <c r="K34" i="11" s="1"/>
  <c r="AN34" i="11"/>
  <c r="AO34" i="11" s="1"/>
  <c r="C36" i="11"/>
  <c r="D35" i="11"/>
  <c r="F35" i="11" s="1"/>
  <c r="L35" i="11" s="1"/>
  <c r="E35" i="11"/>
  <c r="J35" i="11" l="1"/>
  <c r="K35" i="11" s="1"/>
  <c r="AN35" i="11"/>
  <c r="AO35" i="11" s="1"/>
  <c r="C37" i="11"/>
  <c r="D36" i="11"/>
  <c r="F36" i="11" s="1"/>
  <c r="L36" i="11" s="1"/>
  <c r="E36" i="11"/>
  <c r="AN36" i="11" l="1"/>
  <c r="AO36" i="11" s="1"/>
  <c r="J36" i="11"/>
  <c r="K36" i="11" s="1"/>
  <c r="C38" i="11"/>
  <c r="D37" i="11"/>
  <c r="F37" i="11" s="1"/>
  <c r="L37" i="11" s="1"/>
  <c r="E37" i="11"/>
  <c r="AN37" i="11" l="1"/>
  <c r="AO37" i="11" s="1"/>
  <c r="J37" i="11"/>
  <c r="K37" i="11" s="1"/>
  <c r="C39" i="11"/>
  <c r="E38" i="11"/>
  <c r="D38" i="11"/>
  <c r="F38" i="11" s="1"/>
  <c r="L38" i="11" s="1"/>
  <c r="J38" i="11" l="1"/>
  <c r="K38" i="11" s="1"/>
  <c r="AN38" i="11"/>
  <c r="AO38" i="11" s="1"/>
  <c r="C40" i="11"/>
  <c r="E39" i="11"/>
  <c r="D39" i="11"/>
  <c r="F39" i="11" s="1"/>
  <c r="L39" i="11" s="1"/>
  <c r="AN39" i="11" l="1"/>
  <c r="AO39" i="11" s="1"/>
  <c r="J39" i="11"/>
  <c r="K39" i="11" s="1"/>
  <c r="C41" i="11"/>
  <c r="E40" i="11"/>
  <c r="D40" i="11"/>
  <c r="F40" i="11" s="1"/>
  <c r="L40" i="11" s="1"/>
  <c r="AN40" i="11" l="1"/>
  <c r="AO40" i="11" s="1"/>
  <c r="J40" i="11"/>
  <c r="K40" i="11" s="1"/>
  <c r="C42" i="11"/>
  <c r="E41" i="11"/>
  <c r="D41" i="11"/>
  <c r="F41" i="11" s="1"/>
  <c r="L41" i="11" s="1"/>
  <c r="AN41" i="11" l="1"/>
  <c r="AO41" i="11" s="1"/>
  <c r="J41" i="11"/>
  <c r="K41" i="11" s="1"/>
  <c r="C43" i="11"/>
  <c r="D42" i="11"/>
  <c r="F42" i="11" s="1"/>
  <c r="L42" i="11" s="1"/>
  <c r="E42" i="11"/>
  <c r="AN42" i="11" l="1"/>
  <c r="AO42" i="11" s="1"/>
  <c r="J42" i="11"/>
  <c r="K42" i="11" s="1"/>
  <c r="C44" i="11"/>
  <c r="D43" i="11"/>
  <c r="F43" i="11" s="1"/>
  <c r="L43" i="11" s="1"/>
  <c r="E43" i="11"/>
  <c r="J43" i="11" l="1"/>
  <c r="K43" i="11" s="1"/>
  <c r="AN43" i="11"/>
  <c r="AO43" i="11" s="1"/>
  <c r="C13" i="12"/>
  <c r="C15" i="12" s="1"/>
  <c r="D44" i="11"/>
  <c r="E44" i="11"/>
  <c r="E53" i="11" s="1"/>
  <c r="E13" i="12" s="1"/>
  <c r="F44" i="11" l="1"/>
  <c r="D47" i="11"/>
  <c r="D53" i="11" s="1"/>
  <c r="D13" i="12" s="1"/>
  <c r="C16" i="12"/>
  <c r="D15" i="12"/>
  <c r="E15" i="12"/>
  <c r="F15" i="12" l="1"/>
  <c r="L44" i="11"/>
  <c r="F46" i="11"/>
  <c r="C17" i="12"/>
  <c r="E16" i="12"/>
  <c r="D16" i="12"/>
  <c r="F16" i="12" s="1"/>
  <c r="L16" i="12" s="1"/>
  <c r="AN44" i="11" l="1"/>
  <c r="J44" i="11"/>
  <c r="L46" i="11"/>
  <c r="E17" i="12"/>
  <c r="D17" i="12"/>
  <c r="C18" i="12"/>
  <c r="L15" i="12"/>
  <c r="J16" i="12"/>
  <c r="K16" i="12" s="1"/>
  <c r="AN16" i="12"/>
  <c r="AO16" i="12" s="1"/>
  <c r="F47" i="11"/>
  <c r="F52" i="11"/>
  <c r="F49" i="11"/>
  <c r="AN15" i="12" l="1"/>
  <c r="J15" i="12"/>
  <c r="F17" i="12"/>
  <c r="AO44" i="11"/>
  <c r="AO46" i="11" s="1"/>
  <c r="AN46" i="11"/>
  <c r="L47" i="11"/>
  <c r="F12" i="12"/>
  <c r="F50" i="11"/>
  <c r="F53" i="11"/>
  <c r="F13" i="12"/>
  <c r="D18" i="12"/>
  <c r="F18" i="12" s="1"/>
  <c r="L18" i="12" s="1"/>
  <c r="C19" i="12"/>
  <c r="E18" i="12"/>
  <c r="K44" i="11"/>
  <c r="K46" i="11" s="1"/>
  <c r="J46" i="11"/>
  <c r="AO47" i="11" l="1"/>
  <c r="K15" i="12"/>
  <c r="J47" i="11"/>
  <c r="AO15" i="12"/>
  <c r="AN18" i="12"/>
  <c r="AO18" i="12" s="1"/>
  <c r="J18" i="12"/>
  <c r="K18" i="12" s="1"/>
  <c r="K47" i="11"/>
  <c r="L17" i="12"/>
  <c r="E19" i="12"/>
  <c r="D19" i="12"/>
  <c r="F19" i="12" s="1"/>
  <c r="L19" i="12" s="1"/>
  <c r="C20" i="12"/>
  <c r="AN47" i="11"/>
  <c r="C21" i="12" l="1"/>
  <c r="E20" i="12"/>
  <c r="D20" i="12"/>
  <c r="J19" i="12"/>
  <c r="K19" i="12" s="1"/>
  <c r="AN19" i="12"/>
  <c r="AO19" i="12" s="1"/>
  <c r="J17" i="12"/>
  <c r="AN17" i="12"/>
  <c r="F20" i="12" l="1"/>
  <c r="K17" i="12"/>
  <c r="E21" i="12"/>
  <c r="D21" i="12"/>
  <c r="F21" i="12" s="1"/>
  <c r="L21" i="12" s="1"/>
  <c r="C22" i="12"/>
  <c r="AO17" i="12"/>
  <c r="L20" i="12" l="1"/>
  <c r="D22" i="12"/>
  <c r="C23" i="12"/>
  <c r="E22" i="12"/>
  <c r="AN21" i="12"/>
  <c r="AO21" i="12" s="1"/>
  <c r="J21" i="12"/>
  <c r="K21" i="12" s="1"/>
  <c r="E23" i="12" l="1"/>
  <c r="D23" i="12"/>
  <c r="F23" i="12" s="1"/>
  <c r="L23" i="12" s="1"/>
  <c r="C24" i="12"/>
  <c r="F22" i="12"/>
  <c r="J20" i="12"/>
  <c r="AN20" i="12"/>
  <c r="K20" i="12" l="1"/>
  <c r="L22" i="12"/>
  <c r="C25" i="12"/>
  <c r="E24" i="12"/>
  <c r="D24" i="12"/>
  <c r="F24" i="12" s="1"/>
  <c r="L24" i="12" s="1"/>
  <c r="J23" i="12"/>
  <c r="K23" i="12" s="1"/>
  <c r="AN23" i="12"/>
  <c r="AO23" i="12" s="1"/>
  <c r="AO20" i="12"/>
  <c r="D25" i="12" l="1"/>
  <c r="F25" i="12" s="1"/>
  <c r="L25" i="12" s="1"/>
  <c r="C26" i="12"/>
  <c r="E25" i="12"/>
  <c r="AN24" i="12"/>
  <c r="AO24" i="12" s="1"/>
  <c r="J24" i="12"/>
  <c r="K24" i="12" s="1"/>
  <c r="J22" i="12"/>
  <c r="AN22" i="12"/>
  <c r="AR46" i="11"/>
  <c r="AR47" i="11" s="1"/>
  <c r="J25" i="12" l="1"/>
  <c r="K25" i="12" s="1"/>
  <c r="AN25" i="12"/>
  <c r="AO25" i="12" s="1"/>
  <c r="K22" i="12"/>
  <c r="AO22" i="12"/>
  <c r="D26" i="12"/>
  <c r="F26" i="12" s="1"/>
  <c r="L26" i="12" s="1"/>
  <c r="E26" i="12"/>
  <c r="C27" i="12"/>
  <c r="Y47" i="11"/>
  <c r="AR52" i="11"/>
  <c r="J26" i="12" l="1"/>
  <c r="K26" i="12" s="1"/>
  <c r="AN26" i="12"/>
  <c r="AO26" i="12" s="1"/>
  <c r="E27" i="12"/>
  <c r="C28" i="12"/>
  <c r="D27" i="12"/>
  <c r="F27" i="12" s="1"/>
  <c r="L27" i="12" s="1"/>
  <c r="AR13" i="12"/>
  <c r="AR53" i="12" s="1"/>
  <c r="AR54" i="12" s="1"/>
  <c r="AR65" i="12" s="1"/>
  <c r="AR53" i="11"/>
  <c r="J27" i="12" l="1"/>
  <c r="K27" i="12" s="1"/>
  <c r="AN27" i="12"/>
  <c r="AO27" i="12" s="1"/>
  <c r="E28" i="12"/>
  <c r="C29" i="12"/>
  <c r="C30" i="12" s="1"/>
  <c r="D28" i="12"/>
  <c r="F28" i="12" s="1"/>
  <c r="L28" i="12" s="1"/>
  <c r="U25" i="1"/>
  <c r="U19" i="1"/>
  <c r="X19" i="1" s="1"/>
  <c r="AO19" i="1" s="1"/>
  <c r="U39" i="1"/>
  <c r="U27" i="1"/>
  <c r="U17" i="1"/>
  <c r="U22" i="1"/>
  <c r="U29" i="1"/>
  <c r="U23" i="1"/>
  <c r="X23" i="1" s="1"/>
  <c r="AO23" i="1" s="1"/>
  <c r="U20" i="1"/>
  <c r="BA20" i="1" s="1"/>
  <c r="U26" i="1"/>
  <c r="X26" i="1" s="1"/>
  <c r="AO26" i="1" s="1"/>
  <c r="U32" i="1"/>
  <c r="BA32" i="1" s="1"/>
  <c r="U36" i="1"/>
  <c r="U41" i="1"/>
  <c r="U33" i="1"/>
  <c r="U30" i="1"/>
  <c r="BA30" i="1" s="1"/>
  <c r="U28" i="1"/>
  <c r="U18" i="1"/>
  <c r="U40" i="1"/>
  <c r="X40" i="1" s="1"/>
  <c r="AO40" i="1" s="1"/>
  <c r="U38" i="1"/>
  <c r="U35" i="1"/>
  <c r="U42" i="1"/>
  <c r="U34" i="1"/>
  <c r="U21" i="1"/>
  <c r="S46" i="1"/>
  <c r="S47" i="1" s="1"/>
  <c r="U43" i="1"/>
  <c r="U37" i="1"/>
  <c r="U24" i="1"/>
  <c r="U31" i="1"/>
  <c r="X31" i="1" s="1"/>
  <c r="AO31" i="1" s="1"/>
  <c r="U16" i="1"/>
  <c r="BA16" i="1" s="1"/>
  <c r="AK23" i="1" l="1"/>
  <c r="L23" i="1" s="1"/>
  <c r="J23" i="1" s="1"/>
  <c r="K23" i="1" s="1"/>
  <c r="E30" i="12"/>
  <c r="AX30" i="12" s="1"/>
  <c r="D30" i="12"/>
  <c r="F30" i="12" s="1"/>
  <c r="L30" i="12" s="1"/>
  <c r="AN28" i="12"/>
  <c r="AO28" i="12" s="1"/>
  <c r="J28" i="12"/>
  <c r="K28" i="12" s="1"/>
  <c r="E29" i="12"/>
  <c r="D29" i="12"/>
  <c r="F29" i="12" s="1"/>
  <c r="L29" i="12" s="1"/>
  <c r="Y40" i="1"/>
  <c r="S52" i="1"/>
  <c r="S53" i="1" s="1"/>
  <c r="Y26" i="1"/>
  <c r="Y19" i="1"/>
  <c r="X16" i="1"/>
  <c r="BA23" i="1"/>
  <c r="X21" i="1"/>
  <c r="AO21" i="1" s="1"/>
  <c r="BA21" i="1"/>
  <c r="U46" i="1"/>
  <c r="X43" i="1"/>
  <c r="AO43" i="1" s="1"/>
  <c r="BA43" i="1"/>
  <c r="Y31" i="1"/>
  <c r="BA34" i="1"/>
  <c r="X34" i="1"/>
  <c r="AO34" i="1" s="1"/>
  <c r="BA42" i="1"/>
  <c r="X42" i="1"/>
  <c r="AO42" i="1" s="1"/>
  <c r="BA18" i="1"/>
  <c r="X28" i="1"/>
  <c r="AO28" i="1" s="1"/>
  <c r="BA28" i="1"/>
  <c r="BA17" i="1"/>
  <c r="X24" i="1"/>
  <c r="AO24" i="1" s="1"/>
  <c r="X35" i="1"/>
  <c r="AO35" i="1" s="1"/>
  <c r="BA35" i="1"/>
  <c r="BA38" i="1"/>
  <c r="X38" i="1"/>
  <c r="AO38" i="1" s="1"/>
  <c r="AK31" i="1"/>
  <c r="BA29" i="1"/>
  <c r="X29" i="1"/>
  <c r="AO29" i="1" s="1"/>
  <c r="BA31" i="1"/>
  <c r="X36" i="1"/>
  <c r="AO36" i="1" s="1"/>
  <c r="BA36" i="1"/>
  <c r="X22" i="1"/>
  <c r="AO22" i="1" s="1"/>
  <c r="BA22" i="1"/>
  <c r="X37" i="1"/>
  <c r="AO37" i="1" s="1"/>
  <c r="BA37" i="1"/>
  <c r="BA40" i="1"/>
  <c r="AK40" i="1"/>
  <c r="Y23" i="1"/>
  <c r="X27" i="1"/>
  <c r="AO27" i="1" s="1"/>
  <c r="BA27" i="1"/>
  <c r="BA24" i="1"/>
  <c r="BA25" i="1"/>
  <c r="X25" i="1"/>
  <c r="AO25" i="1" s="1"/>
  <c r="X18" i="1"/>
  <c r="AO18" i="1" s="1"/>
  <c r="X17" i="1"/>
  <c r="BA33" i="1"/>
  <c r="X33" i="1"/>
  <c r="AO33" i="1" s="1"/>
  <c r="X32" i="1"/>
  <c r="AO32" i="1" s="1"/>
  <c r="AK26" i="1"/>
  <c r="BA39" i="1"/>
  <c r="AK19" i="1"/>
  <c r="X30" i="1"/>
  <c r="AO30" i="1" s="1"/>
  <c r="BA41" i="1"/>
  <c r="X41" i="1"/>
  <c r="AO41" i="1" s="1"/>
  <c r="X39" i="1"/>
  <c r="AO39" i="1" s="1"/>
  <c r="X20" i="1"/>
  <c r="AO20" i="1" s="1"/>
  <c r="BA19" i="1"/>
  <c r="BA26" i="1"/>
  <c r="AN30" i="12" l="1"/>
  <c r="AO30" i="12" s="1"/>
  <c r="J30" i="12"/>
  <c r="K30" i="12" s="1"/>
  <c r="AK30" i="1"/>
  <c r="L30" i="1" s="1"/>
  <c r="AK43" i="1"/>
  <c r="L43" i="1" s="1"/>
  <c r="AK29" i="1"/>
  <c r="L29" i="1" s="1"/>
  <c r="AK39" i="1"/>
  <c r="L39" i="1" s="1"/>
  <c r="AK25" i="1"/>
  <c r="L25" i="1" s="1"/>
  <c r="AK41" i="1"/>
  <c r="L41" i="1" s="1"/>
  <c r="AK34" i="1"/>
  <c r="L34" i="1" s="1"/>
  <c r="AK36" i="1"/>
  <c r="L36" i="1" s="1"/>
  <c r="AK38" i="1"/>
  <c r="L38" i="1" s="1"/>
  <c r="AL23" i="1"/>
  <c r="AM23" i="1" s="1"/>
  <c r="AK24" i="1"/>
  <c r="L24" i="1" s="1"/>
  <c r="AK21" i="1"/>
  <c r="L21" i="1" s="1"/>
  <c r="AK22" i="1"/>
  <c r="L22" i="1" s="1"/>
  <c r="Y16" i="1"/>
  <c r="AO16" i="1"/>
  <c r="AK17" i="1"/>
  <c r="L17" i="1" s="1"/>
  <c r="AO17" i="1"/>
  <c r="C31" i="12"/>
  <c r="J29" i="12"/>
  <c r="AN29" i="12"/>
  <c r="AK16" i="1"/>
  <c r="L16" i="1" s="1"/>
  <c r="S13" i="2"/>
  <c r="S53" i="2" s="1"/>
  <c r="S13" i="13" s="1"/>
  <c r="S53" i="13" s="1"/>
  <c r="BA46" i="1"/>
  <c r="BA52" i="1" s="1"/>
  <c r="Y32" i="1"/>
  <c r="Y37" i="1"/>
  <c r="Y35" i="1"/>
  <c r="AK35" i="1"/>
  <c r="Y42" i="1"/>
  <c r="AK32" i="1"/>
  <c r="Y27" i="1"/>
  <c r="Y20" i="1"/>
  <c r="Y30" i="1"/>
  <c r="AK20" i="1"/>
  <c r="AK33" i="1"/>
  <c r="Y33" i="1"/>
  <c r="Y18" i="1"/>
  <c r="AK42" i="1"/>
  <c r="AK27" i="1"/>
  <c r="Y36" i="1"/>
  <c r="Y24" i="1"/>
  <c r="AK18" i="1"/>
  <c r="Y21" i="1"/>
  <c r="Y41" i="1"/>
  <c r="Y29" i="1"/>
  <c r="Y17" i="1"/>
  <c r="L40" i="1"/>
  <c r="Y38" i="1"/>
  <c r="Y28" i="1"/>
  <c r="X46" i="1"/>
  <c r="Y39" i="1"/>
  <c r="L19" i="1"/>
  <c r="L26" i="1"/>
  <c r="Y25" i="1"/>
  <c r="Y22" i="1"/>
  <c r="L31" i="1"/>
  <c r="AK28" i="1"/>
  <c r="Y34" i="1"/>
  <c r="Y43" i="1"/>
  <c r="U47" i="1"/>
  <c r="U52" i="1"/>
  <c r="AK37" i="1"/>
  <c r="AO46" i="1" l="1"/>
  <c r="S54" i="2"/>
  <c r="AO29" i="12"/>
  <c r="C32" i="12"/>
  <c r="D31" i="12"/>
  <c r="F31" i="12" s="1"/>
  <c r="L31" i="12" s="1"/>
  <c r="E31" i="12"/>
  <c r="AX31" i="12" s="1"/>
  <c r="K29" i="12"/>
  <c r="BA47" i="1"/>
  <c r="AK46" i="1"/>
  <c r="AK52" i="1" s="1"/>
  <c r="Y46" i="1"/>
  <c r="Y47" i="1" s="1"/>
  <c r="AO47" i="1"/>
  <c r="U53" i="1"/>
  <c r="U13" i="2"/>
  <c r="AL26" i="1"/>
  <c r="AM26" i="1" s="1"/>
  <c r="J26" i="1"/>
  <c r="K26" i="1" s="1"/>
  <c r="J30" i="1"/>
  <c r="K30" i="1" s="1"/>
  <c r="AL30" i="1"/>
  <c r="AM30" i="1" s="1"/>
  <c r="L42" i="1"/>
  <c r="BA53" i="1"/>
  <c r="BA13" i="2"/>
  <c r="S13" i="4"/>
  <c r="S51" i="4" s="1"/>
  <c r="S54" i="13"/>
  <c r="AL17" i="1"/>
  <c r="AM17" i="1" s="1"/>
  <c r="J17" i="1"/>
  <c r="K17" i="1" s="1"/>
  <c r="AL36" i="1"/>
  <c r="AM36" i="1" s="1"/>
  <c r="J36" i="1"/>
  <c r="K36" i="1" s="1"/>
  <c r="L32" i="1"/>
  <c r="L28" i="1"/>
  <c r="J31" i="1"/>
  <c r="K31" i="1" s="1"/>
  <c r="AL31" i="1"/>
  <c r="AM31" i="1" s="1"/>
  <c r="J19" i="1"/>
  <c r="K19" i="1" s="1"/>
  <c r="AL19" i="1"/>
  <c r="AM19" i="1" s="1"/>
  <c r="X47" i="1"/>
  <c r="X52" i="1"/>
  <c r="L18" i="1"/>
  <c r="L20" i="1"/>
  <c r="J43" i="1"/>
  <c r="K43" i="1" s="1"/>
  <c r="AL43" i="1"/>
  <c r="AM43" i="1" s="1"/>
  <c r="AL34" i="1"/>
  <c r="AM34" i="1" s="1"/>
  <c r="J34" i="1"/>
  <c r="K34" i="1" s="1"/>
  <c r="J29" i="1"/>
  <c r="K29" i="1" s="1"/>
  <c r="AL29" i="1"/>
  <c r="AM29" i="1" s="1"/>
  <c r="AL40" i="1"/>
  <c r="AM40" i="1" s="1"/>
  <c r="J40" i="1"/>
  <c r="K40" i="1" s="1"/>
  <c r="L33" i="1"/>
  <c r="AL24" i="1"/>
  <c r="AM24" i="1" s="1"/>
  <c r="J24" i="1"/>
  <c r="K24" i="1" s="1"/>
  <c r="AL41" i="1"/>
  <c r="AM41" i="1" s="1"/>
  <c r="J41" i="1"/>
  <c r="K41" i="1" s="1"/>
  <c r="AL25" i="1"/>
  <c r="AM25" i="1" s="1"/>
  <c r="J25" i="1"/>
  <c r="K25" i="1" s="1"/>
  <c r="L37" i="1"/>
  <c r="J16" i="1"/>
  <c r="AL16" i="1"/>
  <c r="J38" i="1"/>
  <c r="K38" i="1" s="1"/>
  <c r="AL38" i="1"/>
  <c r="AM38" i="1" s="1"/>
  <c r="L27" i="1"/>
  <c r="J21" i="1"/>
  <c r="K21" i="1" s="1"/>
  <c r="AL21" i="1"/>
  <c r="AM21" i="1" s="1"/>
  <c r="AL39" i="1"/>
  <c r="AM39" i="1" s="1"/>
  <c r="J39" i="1"/>
  <c r="K39" i="1" s="1"/>
  <c r="L35" i="1"/>
  <c r="J22" i="1"/>
  <c r="K22" i="1" s="1"/>
  <c r="AL22" i="1"/>
  <c r="AM22" i="1" s="1"/>
  <c r="J31" i="12" l="1"/>
  <c r="K31" i="12" s="1"/>
  <c r="AN31" i="12"/>
  <c r="AO31" i="12" s="1"/>
  <c r="D32" i="12"/>
  <c r="F32" i="12" s="1"/>
  <c r="L32" i="12" s="1"/>
  <c r="E32" i="12"/>
  <c r="AX32" i="12" s="1"/>
  <c r="C33" i="12"/>
  <c r="AK47" i="1"/>
  <c r="Y52" i="1"/>
  <c r="Y53" i="1" s="1"/>
  <c r="AO52" i="1"/>
  <c r="AO53" i="1" s="1"/>
  <c r="J27" i="1"/>
  <c r="K27" i="1" s="1"/>
  <c r="AL27" i="1"/>
  <c r="AM27" i="1" s="1"/>
  <c r="X13" i="2"/>
  <c r="X53" i="1"/>
  <c r="AK53" i="1"/>
  <c r="AK13" i="2"/>
  <c r="J33" i="1"/>
  <c r="K33" i="1" s="1"/>
  <c r="AL33" i="1"/>
  <c r="AM33" i="1" s="1"/>
  <c r="AL28" i="1"/>
  <c r="AM28" i="1" s="1"/>
  <c r="J28" i="1"/>
  <c r="K28" i="1" s="1"/>
  <c r="K16" i="1"/>
  <c r="AL20" i="1"/>
  <c r="AM20" i="1" s="1"/>
  <c r="J20" i="1"/>
  <c r="K20" i="1" s="1"/>
  <c r="J32" i="1"/>
  <c r="K32" i="1" s="1"/>
  <c r="AL32" i="1"/>
  <c r="AM32" i="1" s="1"/>
  <c r="L46" i="1"/>
  <c r="AL35" i="1"/>
  <c r="AM35" i="1" s="1"/>
  <c r="J35" i="1"/>
  <c r="K35" i="1" s="1"/>
  <c r="AL37" i="1"/>
  <c r="AM37" i="1" s="1"/>
  <c r="J37" i="1"/>
  <c r="K37" i="1" s="1"/>
  <c r="AM16" i="1"/>
  <c r="J18" i="1"/>
  <c r="K18" i="1" s="1"/>
  <c r="AL18" i="1"/>
  <c r="AM18" i="1" s="1"/>
  <c r="S52" i="4"/>
  <c r="S13" i="5"/>
  <c r="S53" i="5" s="1"/>
  <c r="J42" i="1"/>
  <c r="K42" i="1" s="1"/>
  <c r="AL42" i="1"/>
  <c r="AM42" i="1" s="1"/>
  <c r="AN32" i="12" l="1"/>
  <c r="AO32" i="12" s="1"/>
  <c r="J32" i="12"/>
  <c r="K32" i="12" s="1"/>
  <c r="C34" i="12"/>
  <c r="E33" i="12"/>
  <c r="AX33" i="12" s="1"/>
  <c r="D33" i="12"/>
  <c r="F33" i="12" s="1"/>
  <c r="L33" i="12" s="1"/>
  <c r="AO13" i="2"/>
  <c r="Y13" i="2"/>
  <c r="AL46" i="1"/>
  <c r="AL47" i="1" s="1"/>
  <c r="J46" i="1"/>
  <c r="J47" i="1" s="1"/>
  <c r="L47" i="1"/>
  <c r="L52" i="1"/>
  <c r="K46" i="1"/>
  <c r="S54" i="5"/>
  <c r="S13" i="14"/>
  <c r="S52" i="14" s="1"/>
  <c r="AM46" i="1"/>
  <c r="C35" i="12" l="1"/>
  <c r="E34" i="12"/>
  <c r="AX34" i="12" s="1"/>
  <c r="D34" i="12"/>
  <c r="F34" i="12" s="1"/>
  <c r="L34" i="12" s="1"/>
  <c r="AN33" i="12"/>
  <c r="AO33" i="12" s="1"/>
  <c r="J33" i="12"/>
  <c r="K33" i="12" s="1"/>
  <c r="AL52" i="1"/>
  <c r="AL53" i="1" s="1"/>
  <c r="J52" i="1"/>
  <c r="J53" i="1" s="1"/>
  <c r="L13" i="2"/>
  <c r="L53" i="1"/>
  <c r="S53" i="14"/>
  <c r="S13" i="7"/>
  <c r="S53" i="7" s="1"/>
  <c r="AM47" i="1"/>
  <c r="AM52" i="1"/>
  <c r="K47" i="1"/>
  <c r="K52" i="1"/>
  <c r="AL13" i="2" l="1"/>
  <c r="AN34" i="12"/>
  <c r="AO34" i="12" s="1"/>
  <c r="J34" i="12"/>
  <c r="K34" i="12" s="1"/>
  <c r="C36" i="12"/>
  <c r="E35" i="12"/>
  <c r="AX35" i="12" s="1"/>
  <c r="D35" i="12"/>
  <c r="F35" i="12" s="1"/>
  <c r="L35" i="12" s="1"/>
  <c r="J13" i="2"/>
  <c r="K53" i="1"/>
  <c r="K13" i="2"/>
  <c r="S54" i="7"/>
  <c r="S13" i="8"/>
  <c r="S52" i="8" s="1"/>
  <c r="AM53" i="1"/>
  <c r="AM13" i="2"/>
  <c r="E36" i="12" l="1"/>
  <c r="AX36" i="12" s="1"/>
  <c r="D36" i="12"/>
  <c r="F36" i="12" s="1"/>
  <c r="L36" i="12" s="1"/>
  <c r="J36" i="12" s="1"/>
  <c r="C37" i="12"/>
  <c r="AN35" i="12"/>
  <c r="AO35" i="12" s="1"/>
  <c r="J35" i="12"/>
  <c r="K35" i="12" s="1"/>
  <c r="S13" i="9"/>
  <c r="S53" i="9" s="1"/>
  <c r="S53" i="8"/>
  <c r="C38" i="12" l="1"/>
  <c r="D37" i="12"/>
  <c r="F37" i="12" s="1"/>
  <c r="L37" i="12" s="1"/>
  <c r="J37" i="12" s="1"/>
  <c r="E37" i="12"/>
  <c r="AX37" i="12" s="1"/>
  <c r="AN36" i="12"/>
  <c r="AO36" i="12" s="1"/>
  <c r="K36" i="12"/>
  <c r="S54" i="9"/>
  <c r="S13" i="10"/>
  <c r="S53" i="10" s="1"/>
  <c r="AN37" i="12" l="1"/>
  <c r="AO37" i="12" s="1"/>
  <c r="K37" i="12"/>
  <c r="C39" i="12"/>
  <c r="E38" i="12"/>
  <c r="AX38" i="12" s="1"/>
  <c r="D38" i="12"/>
  <c r="F38" i="12" s="1"/>
  <c r="L38" i="12" s="1"/>
  <c r="S54" i="10"/>
  <c r="S13" i="11"/>
  <c r="S52" i="11" s="1"/>
  <c r="C40" i="12" l="1"/>
  <c r="E39" i="12"/>
  <c r="AX39" i="12" s="1"/>
  <c r="D39" i="12"/>
  <c r="F39" i="12" s="1"/>
  <c r="L39" i="12" s="1"/>
  <c r="J38" i="12"/>
  <c r="K38" i="12" s="1"/>
  <c r="AN38" i="12"/>
  <c r="AO38" i="12" s="1"/>
  <c r="S53" i="11"/>
  <c r="S13" i="12"/>
  <c r="S53" i="12" s="1"/>
  <c r="S54" i="12" s="1"/>
  <c r="S65" i="12" s="1"/>
  <c r="J39" i="12" l="1"/>
  <c r="K39" i="12" s="1"/>
  <c r="AN39" i="12"/>
  <c r="AO39" i="12" s="1"/>
  <c r="E40" i="12"/>
  <c r="AX40" i="12" s="1"/>
  <c r="C41" i="12"/>
  <c r="D40" i="12"/>
  <c r="F40" i="12" s="1"/>
  <c r="L40" i="12" s="1"/>
  <c r="U42" i="2"/>
  <c r="BA42" i="2" s="1"/>
  <c r="U18" i="2"/>
  <c r="U43" i="2"/>
  <c r="BA43" i="2" s="1"/>
  <c r="U44" i="2"/>
  <c r="BA44" i="2" s="1"/>
  <c r="U30" i="2"/>
  <c r="BA30" i="2" s="1"/>
  <c r="U41" i="2"/>
  <c r="U39" i="2"/>
  <c r="BA39" i="2" s="1"/>
  <c r="U27" i="2"/>
  <c r="BA27" i="2" s="1"/>
  <c r="U35" i="2"/>
  <c r="BA35" i="2" s="1"/>
  <c r="U40" i="2"/>
  <c r="BA40" i="2" s="1"/>
  <c r="U24" i="2"/>
  <c r="U32" i="2"/>
  <c r="BA32" i="2" s="1"/>
  <c r="U45" i="2"/>
  <c r="BA45" i="2" s="1"/>
  <c r="U36" i="2"/>
  <c r="U25" i="2"/>
  <c r="X25" i="2" s="1"/>
  <c r="AO25" i="2" s="1"/>
  <c r="U21" i="2"/>
  <c r="BA21" i="2" s="1"/>
  <c r="U38" i="2"/>
  <c r="BA38" i="2" s="1"/>
  <c r="U23" i="2"/>
  <c r="U22" i="2"/>
  <c r="BA22" i="2" s="1"/>
  <c r="U19" i="2"/>
  <c r="U34" i="2"/>
  <c r="BA34" i="2" s="1"/>
  <c r="U28" i="2"/>
  <c r="BA28" i="2" s="1"/>
  <c r="U20" i="2"/>
  <c r="BA20" i="2" s="1"/>
  <c r="U16" i="2"/>
  <c r="BA16" i="2" s="1"/>
  <c r="X27" i="2"/>
  <c r="U33" i="2"/>
  <c r="U29" i="2"/>
  <c r="U26" i="2"/>
  <c r="X26" i="2" s="1"/>
  <c r="AO26" i="2" s="1"/>
  <c r="U37" i="2"/>
  <c r="BA37" i="2" s="1"/>
  <c r="U17" i="2"/>
  <c r="BA17" i="2" s="1"/>
  <c r="U31" i="2"/>
  <c r="BA31" i="2" s="1"/>
  <c r="R47" i="2"/>
  <c r="U15" i="2"/>
  <c r="X15" i="2" s="1"/>
  <c r="AO15" i="2" s="1"/>
  <c r="X44" i="2" l="1"/>
  <c r="X39" i="2"/>
  <c r="X28" i="2"/>
  <c r="AO28" i="2" s="1"/>
  <c r="Y44" i="2"/>
  <c r="AO44" i="2"/>
  <c r="Y39" i="2"/>
  <c r="AO39" i="2"/>
  <c r="X31" i="2"/>
  <c r="AO31" i="2" s="1"/>
  <c r="Y27" i="2"/>
  <c r="AO27" i="2"/>
  <c r="BA15" i="2"/>
  <c r="AK39" i="2"/>
  <c r="L39" i="2" s="1"/>
  <c r="AL39" i="2" s="1"/>
  <c r="AM39" i="2" s="1"/>
  <c r="X21" i="2"/>
  <c r="Y21" i="2" s="1"/>
  <c r="X42" i="2"/>
  <c r="AO42" i="2" s="1"/>
  <c r="X43" i="2"/>
  <c r="AO43" i="2" s="1"/>
  <c r="X34" i="2"/>
  <c r="AO34" i="2" s="1"/>
  <c r="X20" i="2"/>
  <c r="X35" i="2"/>
  <c r="AO35" i="2" s="1"/>
  <c r="X37" i="2"/>
  <c r="AK37" i="2" s="1"/>
  <c r="X45" i="2"/>
  <c r="AO45" i="2" s="1"/>
  <c r="BA26" i="2"/>
  <c r="X16" i="2"/>
  <c r="AO16" i="2" s="1"/>
  <c r="X38" i="2"/>
  <c r="D41" i="12"/>
  <c r="F41" i="12" s="1"/>
  <c r="L41" i="12" s="1"/>
  <c r="E41" i="12"/>
  <c r="AX41" i="12" s="1"/>
  <c r="C42" i="12"/>
  <c r="J40" i="12"/>
  <c r="K40" i="12" s="1"/>
  <c r="AN40" i="12"/>
  <c r="AO40" i="12" s="1"/>
  <c r="AK44" i="2"/>
  <c r="L44" i="2" s="1"/>
  <c r="AK28" i="2"/>
  <c r="L28" i="2" s="1"/>
  <c r="J28" i="2" s="1"/>
  <c r="K28" i="2" s="1"/>
  <c r="X22" i="2"/>
  <c r="Y22" i="2" s="1"/>
  <c r="X30" i="2"/>
  <c r="U47" i="2"/>
  <c r="U53" i="2" s="1"/>
  <c r="X17" i="2"/>
  <c r="X32" i="2"/>
  <c r="Y25" i="2"/>
  <c r="Y28" i="2"/>
  <c r="X33" i="2"/>
  <c r="AO33" i="2" s="1"/>
  <c r="BA33" i="2"/>
  <c r="BA36" i="2"/>
  <c r="X36" i="2"/>
  <c r="AK15" i="2"/>
  <c r="R48" i="2"/>
  <c r="R53" i="2"/>
  <c r="Y31" i="2"/>
  <c r="AK31" i="2"/>
  <c r="BA24" i="2"/>
  <c r="X24" i="2"/>
  <c r="AO24" i="2" s="1"/>
  <c r="Y15" i="2"/>
  <c r="Y26" i="2"/>
  <c r="AK26" i="2"/>
  <c r="X29" i="2"/>
  <c r="BA29" i="2"/>
  <c r="AK27" i="2"/>
  <c r="BA19" i="2"/>
  <c r="X19" i="2"/>
  <c r="AO19" i="2" s="1"/>
  <c r="BA23" i="2"/>
  <c r="X23" i="2"/>
  <c r="X18" i="2"/>
  <c r="AO18" i="2" s="1"/>
  <c r="BA18" i="2"/>
  <c r="AK25" i="2"/>
  <c r="BA25" i="2"/>
  <c r="X40" i="2"/>
  <c r="BA41" i="2"/>
  <c r="X41" i="2"/>
  <c r="AO41" i="2" s="1"/>
  <c r="Y42" i="2" l="1"/>
  <c r="J39" i="2"/>
  <c r="K39" i="2" s="1"/>
  <c r="AK43" i="2"/>
  <c r="L43" i="2" s="1"/>
  <c r="Y43" i="2"/>
  <c r="AK36" i="2"/>
  <c r="L36" i="2" s="1"/>
  <c r="AO36" i="2"/>
  <c r="AK38" i="2"/>
  <c r="L38" i="2" s="1"/>
  <c r="J38" i="2" s="1"/>
  <c r="K38" i="2" s="1"/>
  <c r="AO38" i="2"/>
  <c r="Y37" i="2"/>
  <c r="AO37" i="2"/>
  <c r="AK40" i="2"/>
  <c r="L40" i="2" s="1"/>
  <c r="AO40" i="2"/>
  <c r="Y38" i="2"/>
  <c r="AK29" i="2"/>
  <c r="L29" i="2" s="1"/>
  <c r="AO29" i="2"/>
  <c r="Y30" i="2"/>
  <c r="AO30" i="2"/>
  <c r="Y32" i="2"/>
  <c r="AO32" i="2"/>
  <c r="AK23" i="2"/>
  <c r="L23" i="2" s="1"/>
  <c r="AO23" i="2"/>
  <c r="AK21" i="2"/>
  <c r="L21" i="2" s="1"/>
  <c r="J21" i="2" s="1"/>
  <c r="K21" i="2" s="1"/>
  <c r="AO21" i="2"/>
  <c r="AK22" i="2"/>
  <c r="L22" i="2" s="1"/>
  <c r="J22" i="2" s="1"/>
  <c r="K22" i="2" s="1"/>
  <c r="AO22" i="2"/>
  <c r="Y20" i="2"/>
  <c r="AO20" i="2"/>
  <c r="Y17" i="2"/>
  <c r="AO17" i="2"/>
  <c r="AK20" i="2"/>
  <c r="L20" i="2" s="1"/>
  <c r="J20" i="2" s="1"/>
  <c r="K20" i="2" s="1"/>
  <c r="AK42" i="2"/>
  <c r="L42" i="2" s="1"/>
  <c r="Y35" i="2"/>
  <c r="Y16" i="2"/>
  <c r="AK16" i="2"/>
  <c r="L16" i="2" s="1"/>
  <c r="AK35" i="2"/>
  <c r="L35" i="2" s="1"/>
  <c r="AL35" i="2" s="1"/>
  <c r="AM35" i="2" s="1"/>
  <c r="AK34" i="2"/>
  <c r="L34" i="2" s="1"/>
  <c r="AL34" i="2" s="1"/>
  <c r="AM34" i="2" s="1"/>
  <c r="Y34" i="2"/>
  <c r="AK32" i="2"/>
  <c r="L32" i="2" s="1"/>
  <c r="Y45" i="2"/>
  <c r="AK45" i="2"/>
  <c r="L45" i="2" s="1"/>
  <c r="AL28" i="2"/>
  <c r="AM28" i="2" s="1"/>
  <c r="C43" i="12"/>
  <c r="D42" i="12"/>
  <c r="F42" i="12" s="1"/>
  <c r="L42" i="12" s="1"/>
  <c r="E42" i="12"/>
  <c r="AX42" i="12" s="1"/>
  <c r="J41" i="12"/>
  <c r="K41" i="12" s="1"/>
  <c r="AN41" i="12"/>
  <c r="AO41" i="12" s="1"/>
  <c r="U48" i="2"/>
  <c r="AK17" i="2"/>
  <c r="AK30" i="2"/>
  <c r="L30" i="2" s="1"/>
  <c r="AL30" i="2" s="1"/>
  <c r="AM30" i="2" s="1"/>
  <c r="Y41" i="2"/>
  <c r="AK41" i="2"/>
  <c r="Y18" i="2"/>
  <c r="Y33" i="2"/>
  <c r="U54" i="2"/>
  <c r="U13" i="13"/>
  <c r="U53" i="13" s="1"/>
  <c r="AK33" i="2"/>
  <c r="L37" i="2"/>
  <c r="AK18" i="2"/>
  <c r="Y23" i="2"/>
  <c r="L27" i="2"/>
  <c r="Y24" i="2"/>
  <c r="AK24" i="2"/>
  <c r="L31" i="2"/>
  <c r="L15" i="2"/>
  <c r="AK19" i="2"/>
  <c r="Y19" i="2"/>
  <c r="L26" i="2"/>
  <c r="Y36" i="2"/>
  <c r="L25" i="2"/>
  <c r="X47" i="2"/>
  <c r="Y40" i="2"/>
  <c r="BA47" i="2"/>
  <c r="Y29" i="2"/>
  <c r="J44" i="2"/>
  <c r="K44" i="2" s="1"/>
  <c r="AL44" i="2"/>
  <c r="AM44" i="2" s="1"/>
  <c r="R54" i="2"/>
  <c r="R13" i="13"/>
  <c r="R53" i="13" s="1"/>
  <c r="AL38" i="2" l="1"/>
  <c r="AM38" i="2" s="1"/>
  <c r="AL22" i="2"/>
  <c r="AM22" i="2" s="1"/>
  <c r="AL20" i="2"/>
  <c r="AM20" i="2" s="1"/>
  <c r="AL21" i="2"/>
  <c r="AM21" i="2" s="1"/>
  <c r="J34" i="2"/>
  <c r="K34" i="2" s="1"/>
  <c r="J35" i="2"/>
  <c r="K35" i="2" s="1"/>
  <c r="AL45" i="2"/>
  <c r="AM45" i="2" s="1"/>
  <c r="J45" i="2"/>
  <c r="K45" i="2" s="1"/>
  <c r="J30" i="2"/>
  <c r="K30" i="2" s="1"/>
  <c r="J42" i="12"/>
  <c r="K42" i="12" s="1"/>
  <c r="AN42" i="12"/>
  <c r="AO42" i="12" s="1"/>
  <c r="C44" i="12"/>
  <c r="E43" i="12"/>
  <c r="AX43" i="12" s="1"/>
  <c r="D43" i="12"/>
  <c r="F43" i="12" s="1"/>
  <c r="L43" i="12" s="1"/>
  <c r="AK47" i="2"/>
  <c r="AK48" i="2" s="1"/>
  <c r="L17" i="2"/>
  <c r="Y47" i="2"/>
  <c r="Y53" i="2" s="1"/>
  <c r="X48" i="2"/>
  <c r="X53" i="2"/>
  <c r="AL25" i="2"/>
  <c r="AM25" i="2" s="1"/>
  <c r="J25" i="2"/>
  <c r="K25" i="2" s="1"/>
  <c r="J26" i="2"/>
  <c r="K26" i="2" s="1"/>
  <c r="AL26" i="2"/>
  <c r="AM26" i="2" s="1"/>
  <c r="J37" i="2"/>
  <c r="K37" i="2" s="1"/>
  <c r="AL37" i="2"/>
  <c r="AM37" i="2" s="1"/>
  <c r="L33" i="2"/>
  <c r="L41" i="2"/>
  <c r="AL16" i="2"/>
  <c r="AM16" i="2" s="1"/>
  <c r="J16" i="2"/>
  <c r="K16" i="2" s="1"/>
  <c r="L24" i="2"/>
  <c r="L18" i="2"/>
  <c r="AL23" i="2"/>
  <c r="AM23" i="2" s="1"/>
  <c r="J23" i="2"/>
  <c r="K23" i="2" s="1"/>
  <c r="AO47" i="2"/>
  <c r="AL27" i="2"/>
  <c r="AM27" i="2" s="1"/>
  <c r="J27" i="2"/>
  <c r="K27" i="2" s="1"/>
  <c r="J40" i="2"/>
  <c r="K40" i="2" s="1"/>
  <c r="AL40" i="2"/>
  <c r="AM40" i="2" s="1"/>
  <c r="AL42" i="2"/>
  <c r="AM42" i="2" s="1"/>
  <c r="J42" i="2"/>
  <c r="K42" i="2" s="1"/>
  <c r="AL29" i="2"/>
  <c r="AM29" i="2" s="1"/>
  <c r="J29" i="2"/>
  <c r="K29" i="2" s="1"/>
  <c r="J15" i="2"/>
  <c r="AL15" i="2"/>
  <c r="R54" i="13"/>
  <c r="R13" i="4"/>
  <c r="R51" i="4" s="1"/>
  <c r="AL32" i="2"/>
  <c r="AM32" i="2" s="1"/>
  <c r="J32" i="2"/>
  <c r="K32" i="2" s="1"/>
  <c r="BA48" i="2"/>
  <c r="BA53" i="2"/>
  <c r="L19" i="2"/>
  <c r="J31" i="2"/>
  <c r="K31" i="2" s="1"/>
  <c r="AL31" i="2"/>
  <c r="AM31" i="2" s="1"/>
  <c r="U54" i="13"/>
  <c r="U13" i="4"/>
  <c r="U51" i="4" s="1"/>
  <c r="AL43" i="2"/>
  <c r="AM43" i="2" s="1"/>
  <c r="J43" i="2"/>
  <c r="K43" i="2" s="1"/>
  <c r="AL36" i="2"/>
  <c r="AM36" i="2" s="1"/>
  <c r="J36" i="2"/>
  <c r="K36" i="2" s="1"/>
  <c r="AK53" i="2" l="1"/>
  <c r="AK13" i="13" s="1"/>
  <c r="AK53" i="13" s="1"/>
  <c r="C45" i="12"/>
  <c r="E44" i="12"/>
  <c r="AX44" i="12" s="1"/>
  <c r="D44" i="12"/>
  <c r="F44" i="12" s="1"/>
  <c r="L44" i="12" s="1"/>
  <c r="AN43" i="12"/>
  <c r="AO43" i="12" s="1"/>
  <c r="J43" i="12"/>
  <c r="K43" i="12" s="1"/>
  <c r="Y48" i="2"/>
  <c r="L47" i="2"/>
  <c r="L53" i="2" s="1"/>
  <c r="AL17" i="2"/>
  <c r="AM17" i="2" s="1"/>
  <c r="J17" i="2"/>
  <c r="K17" i="2" s="1"/>
  <c r="J19" i="2"/>
  <c r="K19" i="2" s="1"/>
  <c r="AL19" i="2"/>
  <c r="AM19" i="2" s="1"/>
  <c r="AM15" i="2"/>
  <c r="X54" i="2"/>
  <c r="X13" i="13"/>
  <c r="X53" i="13" s="1"/>
  <c r="BA54" i="2"/>
  <c r="BA13" i="13"/>
  <c r="BA53" i="13" s="1"/>
  <c r="R52" i="4"/>
  <c r="R13" i="5"/>
  <c r="R53" i="5" s="1"/>
  <c r="K15" i="2"/>
  <c r="J24" i="2"/>
  <c r="K24" i="2" s="1"/>
  <c r="AL24" i="2"/>
  <c r="AM24" i="2" s="1"/>
  <c r="Y54" i="2"/>
  <c r="Y13" i="13"/>
  <c r="Y53" i="13" s="1"/>
  <c r="U52" i="4"/>
  <c r="U13" i="5"/>
  <c r="U53" i="5" s="1"/>
  <c r="AL18" i="2"/>
  <c r="AM18" i="2" s="1"/>
  <c r="J18" i="2"/>
  <c r="K18" i="2" s="1"/>
  <c r="J33" i="2"/>
  <c r="K33" i="2" s="1"/>
  <c r="AL33" i="2"/>
  <c r="AM33" i="2" s="1"/>
  <c r="AO48" i="2"/>
  <c r="AO53" i="2"/>
  <c r="AL41" i="2"/>
  <c r="AM41" i="2" s="1"/>
  <c r="J41" i="2"/>
  <c r="K41" i="2" s="1"/>
  <c r="AK54" i="2" l="1"/>
  <c r="J44" i="12"/>
  <c r="K44" i="12" s="1"/>
  <c r="AN44" i="12"/>
  <c r="AO44" i="12" s="1"/>
  <c r="E45" i="12"/>
  <c r="D45" i="12"/>
  <c r="L48" i="2"/>
  <c r="AK54" i="13"/>
  <c r="AK13" i="4"/>
  <c r="AK51" i="4" s="1"/>
  <c r="X13" i="4"/>
  <c r="X51" i="4" s="1"/>
  <c r="X54" i="13"/>
  <c r="J47" i="2"/>
  <c r="AM47" i="2"/>
  <c r="AO13" i="13"/>
  <c r="AO53" i="13" s="1"/>
  <c r="AO54" i="2"/>
  <c r="Y54" i="13"/>
  <c r="Y13" i="4"/>
  <c r="Y51" i="4" s="1"/>
  <c r="R54" i="5"/>
  <c r="R13" i="14"/>
  <c r="R52" i="14" s="1"/>
  <c r="U54" i="5"/>
  <c r="U13" i="14"/>
  <c r="U52" i="14" s="1"/>
  <c r="BA54" i="13"/>
  <c r="BA13" i="4"/>
  <c r="BA51" i="4" s="1"/>
  <c r="K47" i="2"/>
  <c r="AL47" i="2"/>
  <c r="L54" i="2"/>
  <c r="L13" i="13"/>
  <c r="L53" i="13" s="1"/>
  <c r="F45" i="12" l="1"/>
  <c r="D48" i="12"/>
  <c r="D54" i="12" s="1"/>
  <c r="D65" i="12" s="1"/>
  <c r="AX45" i="12"/>
  <c r="E54" i="12"/>
  <c r="E65" i="12" s="1"/>
  <c r="AO54" i="13"/>
  <c r="AO13" i="4"/>
  <c r="AO51" i="4" s="1"/>
  <c r="L13" i="4"/>
  <c r="L51" i="4" s="1"/>
  <c r="L54" i="13"/>
  <c r="R53" i="14"/>
  <c r="R13" i="7"/>
  <c r="R53" i="7" s="1"/>
  <c r="X52" i="4"/>
  <c r="X13" i="5"/>
  <c r="X53" i="5" s="1"/>
  <c r="AL48" i="2"/>
  <c r="AL53" i="2"/>
  <c r="Y52" i="4"/>
  <c r="Y13" i="5"/>
  <c r="Y53" i="5" s="1"/>
  <c r="AM48" i="2"/>
  <c r="AM53" i="2"/>
  <c r="AK52" i="4"/>
  <c r="AK13" i="5"/>
  <c r="AK53" i="5" s="1"/>
  <c r="BA52" i="4"/>
  <c r="BA13" i="5"/>
  <c r="BA53" i="5" s="1"/>
  <c r="U53" i="14"/>
  <c r="U13" i="7"/>
  <c r="U53" i="7" s="1"/>
  <c r="K53" i="2"/>
  <c r="K48" i="2"/>
  <c r="J48" i="2"/>
  <c r="J53" i="2"/>
  <c r="L45" i="12" l="1"/>
  <c r="F47" i="12"/>
  <c r="AO13" i="5"/>
  <c r="AO53" i="5" s="1"/>
  <c r="AO13" i="14" s="1"/>
  <c r="AO52" i="4"/>
  <c r="BA54" i="5"/>
  <c r="BI13" i="14"/>
  <c r="BI52" i="14" s="1"/>
  <c r="AM54" i="2"/>
  <c r="AM13" i="13"/>
  <c r="AM53" i="13" s="1"/>
  <c r="AL54" i="2"/>
  <c r="AL13" i="13"/>
  <c r="AL53" i="13" s="1"/>
  <c r="K13" i="13"/>
  <c r="K53" i="13" s="1"/>
  <c r="K54" i="2"/>
  <c r="U13" i="8"/>
  <c r="U52" i="8" s="1"/>
  <c r="U54" i="7"/>
  <c r="Y54" i="5"/>
  <c r="Y13" i="14"/>
  <c r="Y52" i="14" s="1"/>
  <c r="X54" i="5"/>
  <c r="X13" i="14"/>
  <c r="X52" i="14" s="1"/>
  <c r="R54" i="7"/>
  <c r="R13" i="8"/>
  <c r="J13" i="13"/>
  <c r="J53" i="13" s="1"/>
  <c r="J54" i="2"/>
  <c r="AK54" i="5"/>
  <c r="AK13" i="14"/>
  <c r="AK52" i="14" s="1"/>
  <c r="L52" i="4"/>
  <c r="L13" i="5"/>
  <c r="L53" i="5" s="1"/>
  <c r="AP13" i="14" l="1"/>
  <c r="AO52" i="14"/>
  <c r="AO53" i="14" s="1"/>
  <c r="AO54" i="5"/>
  <c r="F48" i="12"/>
  <c r="F53" i="12"/>
  <c r="F54" i="12" s="1"/>
  <c r="F65" i="12" s="1"/>
  <c r="F50" i="12"/>
  <c r="F51" i="12" s="1"/>
  <c r="F61" i="12" s="1"/>
  <c r="J45" i="12"/>
  <c r="AN45" i="12"/>
  <c r="L47" i="12"/>
  <c r="AK13" i="7"/>
  <c r="AK53" i="7" s="1"/>
  <c r="AK53" i="14"/>
  <c r="Y53" i="14"/>
  <c r="Y13" i="7"/>
  <c r="Y53" i="7" s="1"/>
  <c r="AM54" i="13"/>
  <c r="AM13" i="4"/>
  <c r="AM51" i="4" s="1"/>
  <c r="X53" i="14"/>
  <c r="X13" i="7"/>
  <c r="X53" i="7" s="1"/>
  <c r="AL13" i="4"/>
  <c r="AL51" i="4" s="1"/>
  <c r="AL54" i="13"/>
  <c r="BI53" i="14"/>
  <c r="BF13" i="7"/>
  <c r="BF53" i="7" s="1"/>
  <c r="K13" i="4"/>
  <c r="K51" i="4" s="1"/>
  <c r="K54" i="13"/>
  <c r="L54" i="5"/>
  <c r="L13" i="14"/>
  <c r="L52" i="14" s="1"/>
  <c r="J54" i="13"/>
  <c r="J13" i="4"/>
  <c r="J51" i="4" s="1"/>
  <c r="U53" i="8"/>
  <c r="U13" i="9"/>
  <c r="U53" i="9" s="1"/>
  <c r="AP15" i="14" l="1"/>
  <c r="AP16" i="14" s="1"/>
  <c r="AP17" i="14" s="1"/>
  <c r="AP18" i="14" s="1"/>
  <c r="AP19" i="14" s="1"/>
  <c r="AP20" i="14" s="1"/>
  <c r="AP21" i="14" s="1"/>
  <c r="AP22" i="14" s="1"/>
  <c r="AP23" i="14" s="1"/>
  <c r="AP24" i="14" s="1"/>
  <c r="AP25" i="14" s="1"/>
  <c r="AP26" i="14" s="1"/>
  <c r="K45" i="12"/>
  <c r="K47" i="12" s="1"/>
  <c r="J47" i="12"/>
  <c r="L48" i="12"/>
  <c r="AO45" i="12"/>
  <c r="AO47" i="12" s="1"/>
  <c r="AN47" i="12"/>
  <c r="J52" i="4"/>
  <c r="J13" i="5"/>
  <c r="J53" i="5" s="1"/>
  <c r="Y54" i="7"/>
  <c r="Y13" i="8"/>
  <c r="K52" i="4"/>
  <c r="K13" i="5"/>
  <c r="K53" i="5" s="1"/>
  <c r="L53" i="14"/>
  <c r="L13" i="7"/>
  <c r="L53" i="7" s="1"/>
  <c r="AM52" i="4"/>
  <c r="AM13" i="5"/>
  <c r="AM53" i="5" s="1"/>
  <c r="BF54" i="7"/>
  <c r="BG13" i="8"/>
  <c r="X54" i="7"/>
  <c r="X13" i="8"/>
  <c r="U54" i="9"/>
  <c r="U13" i="10"/>
  <c r="U53" i="10" s="1"/>
  <c r="AL52" i="4"/>
  <c r="AL13" i="5"/>
  <c r="AL53" i="5" s="1"/>
  <c r="AK54" i="7"/>
  <c r="AK13" i="8"/>
  <c r="AP46" i="14" l="1"/>
  <c r="AP47" i="14" s="1"/>
  <c r="AN48" i="12"/>
  <c r="J48" i="12"/>
  <c r="AO48" i="12"/>
  <c r="K48" i="12"/>
  <c r="U13" i="11"/>
  <c r="U52" i="11" s="1"/>
  <c r="U54" i="10"/>
  <c r="L54" i="7"/>
  <c r="L13" i="8"/>
  <c r="AM54" i="5"/>
  <c r="AM13" i="14"/>
  <c r="AM52" i="14" s="1"/>
  <c r="K54" i="5"/>
  <c r="K13" i="14"/>
  <c r="K52" i="14" s="1"/>
  <c r="J54" i="5"/>
  <c r="J13" i="14"/>
  <c r="J52" i="14" s="1"/>
  <c r="AL54" i="5"/>
  <c r="AL13" i="14"/>
  <c r="AL52" i="14" s="1"/>
  <c r="AP52" i="14" l="1"/>
  <c r="AP53" i="14" s="1"/>
  <c r="J53" i="14"/>
  <c r="J13" i="7"/>
  <c r="J53" i="7" s="1"/>
  <c r="AM53" i="14"/>
  <c r="AM13" i="7"/>
  <c r="AM53" i="7" s="1"/>
  <c r="AL53" i="14"/>
  <c r="AL13" i="7"/>
  <c r="AL53" i="7" s="1"/>
  <c r="K53" i="14"/>
  <c r="K13" i="7"/>
  <c r="K53" i="7" s="1"/>
  <c r="U53" i="11"/>
  <c r="U13" i="12"/>
  <c r="U53" i="12" s="1"/>
  <c r="U54" i="12" s="1"/>
  <c r="U65" i="12" s="1"/>
  <c r="K54" i="7" l="1"/>
  <c r="K13" i="8"/>
  <c r="AL54" i="7"/>
  <c r="AL13" i="8"/>
  <c r="J54" i="7"/>
  <c r="J13" i="8"/>
  <c r="AM54" i="7"/>
  <c r="AM13" i="8"/>
  <c r="BJ54" i="7" l="1"/>
  <c r="BK13" i="8"/>
  <c r="BJ51" i="7"/>
  <c r="BJ48" i="7"/>
  <c r="AF12" i="9" l="1"/>
  <c r="AF15" i="9" s="1"/>
  <c r="AF16" i="9" s="1"/>
  <c r="AF17" i="9" s="1"/>
  <c r="AF18" i="9" s="1"/>
  <c r="AF19" i="9" s="1"/>
  <c r="AF20" i="9" s="1"/>
  <c r="AF21" i="9" s="1"/>
  <c r="AF22" i="9" s="1"/>
  <c r="AF23" i="9" s="1"/>
  <c r="AF24" i="9" s="1"/>
  <c r="AF25" i="9" s="1"/>
  <c r="AF26" i="9" s="1"/>
  <c r="AF27" i="9" s="1"/>
  <c r="AF28" i="9" s="1"/>
  <c r="AF29" i="9" s="1"/>
  <c r="AF30" i="9" s="1"/>
  <c r="AF31" i="9" s="1"/>
  <c r="AF32" i="9" s="1"/>
  <c r="AF33" i="9" s="1"/>
  <c r="AF34" i="9" s="1"/>
  <c r="AF35" i="9" s="1"/>
  <c r="AF36" i="9" s="1"/>
  <c r="AF37" i="9" s="1"/>
  <c r="AF38" i="9" s="1"/>
  <c r="AF39" i="9" s="1"/>
  <c r="AF40" i="9" s="1"/>
  <c r="AF41" i="9" s="1"/>
  <c r="AF42" i="9" s="1"/>
  <c r="AF43" i="9" s="1"/>
  <c r="AF44" i="9" s="1"/>
  <c r="AF45" i="9" s="1"/>
  <c r="AD46" i="8" l="1"/>
  <c r="AF13" i="9" s="1"/>
  <c r="AD47" i="8" l="1"/>
  <c r="BK47" i="9" l="1"/>
  <c r="BK48" i="9" l="1"/>
  <c r="AI8" i="14" l="1"/>
  <c r="AI13" i="14" s="1"/>
  <c r="AI15" i="14" s="1"/>
  <c r="AI16" i="14" s="1"/>
  <c r="AI17" i="14" s="1"/>
  <c r="AI18" i="14" s="1"/>
  <c r="AI19" i="14" s="1"/>
  <c r="AI20" i="14" s="1"/>
  <c r="AI21" i="14" s="1"/>
  <c r="AI22" i="14" s="1"/>
  <c r="AI23" i="14" s="1"/>
  <c r="AI24" i="14" s="1"/>
  <c r="AI25" i="14" s="1"/>
  <c r="AI26" i="14" s="1"/>
  <c r="AI27" i="14" s="1"/>
  <c r="AI28" i="14" s="1"/>
  <c r="AI29" i="14" s="1"/>
  <c r="AI30" i="14" s="1"/>
  <c r="AI31" i="14" s="1"/>
  <c r="AI32" i="14" s="1"/>
  <c r="AI33" i="14" s="1"/>
  <c r="AI34" i="14" s="1"/>
  <c r="AI35" i="14" s="1"/>
  <c r="AI36" i="14" s="1"/>
  <c r="AI37" i="14" s="1"/>
  <c r="AI38" i="14" s="1"/>
  <c r="AI39" i="14" s="1"/>
  <c r="AI40" i="14" s="1"/>
  <c r="AI41" i="14" s="1"/>
  <c r="AI42" i="14" s="1"/>
  <c r="AI43" i="14" s="1"/>
  <c r="AI44" i="14" s="1"/>
  <c r="AI52" i="14" s="1"/>
  <c r="AI13" i="7" l="1"/>
  <c r="AI15" i="7" s="1"/>
  <c r="AI16" i="7" s="1"/>
  <c r="AI17" i="7" s="1"/>
  <c r="AI18" i="7" s="1"/>
  <c r="AI19" i="7" s="1"/>
  <c r="AI20" i="7" s="1"/>
  <c r="AI21" i="7" s="1"/>
  <c r="AI22" i="7" s="1"/>
  <c r="AI23" i="7" s="1"/>
  <c r="AI24" i="7" s="1"/>
  <c r="AI25" i="7" s="1"/>
  <c r="AI26" i="7" s="1"/>
  <c r="AI27" i="7" s="1"/>
  <c r="AI28" i="7" s="1"/>
  <c r="AI29" i="7" s="1"/>
  <c r="AI30" i="7" s="1"/>
  <c r="AI31" i="7" s="1"/>
  <c r="AI32" i="7" s="1"/>
  <c r="AI33" i="7" s="1"/>
  <c r="AI34" i="7" s="1"/>
  <c r="AI35" i="7" s="1"/>
  <c r="AI36" i="7" s="1"/>
  <c r="AI37" i="7" s="1"/>
  <c r="AI38" i="7" s="1"/>
  <c r="AI39" i="7" s="1"/>
  <c r="AI40" i="7" s="1"/>
  <c r="AI41" i="7" s="1"/>
  <c r="AI42" i="7" s="1"/>
  <c r="AI43" i="7" s="1"/>
  <c r="AI44" i="7" s="1"/>
  <c r="AI45" i="7" s="1"/>
  <c r="AI53" i="7" s="1"/>
  <c r="AI53" i="14"/>
  <c r="AI54" i="7" l="1"/>
  <c r="AI13" i="8"/>
  <c r="AI15" i="8" s="1"/>
  <c r="AI16" i="8" s="1"/>
  <c r="AI17" i="8" s="1"/>
  <c r="AI18" i="8" s="1"/>
  <c r="AI19" i="8" s="1"/>
  <c r="AI20" i="8" s="1"/>
  <c r="AI21" i="8" s="1"/>
  <c r="AI22" i="8" s="1"/>
  <c r="AI23" i="8" s="1"/>
  <c r="AI24" i="8" s="1"/>
  <c r="AI25" i="8" s="1"/>
  <c r="AI26" i="8" s="1"/>
  <c r="AI27" i="8" s="1"/>
  <c r="AI28" i="8" s="1"/>
  <c r="AI29" i="8" s="1"/>
  <c r="AI30" i="8" s="1"/>
  <c r="AI31" i="8" s="1"/>
  <c r="AI32" i="8" s="1"/>
  <c r="AI33" i="8" s="1"/>
  <c r="AI34" i="8" s="1"/>
  <c r="AI35" i="8" s="1"/>
  <c r="AI36" i="8" s="1"/>
  <c r="AI37" i="8" s="1"/>
  <c r="AI38" i="8" s="1"/>
  <c r="AI39" i="8" s="1"/>
  <c r="AI40" i="8" s="1"/>
  <c r="AI41" i="8" s="1"/>
  <c r="AI42" i="8" s="1"/>
  <c r="AI43" i="8" s="1"/>
  <c r="AI44" i="8" s="1"/>
  <c r="AI52" i="8" s="1"/>
  <c r="AK13" i="9" l="1"/>
  <c r="AK15" i="9" s="1"/>
  <c r="AK16" i="9" s="1"/>
  <c r="AK17" i="9" s="1"/>
  <c r="AK18" i="9" s="1"/>
  <c r="AK19" i="9" s="1"/>
  <c r="AK20" i="9" s="1"/>
  <c r="AK21" i="9" s="1"/>
  <c r="AK22" i="9" s="1"/>
  <c r="AK23" i="9" s="1"/>
  <c r="AK24" i="9" s="1"/>
  <c r="AK25" i="9" s="1"/>
  <c r="AK26" i="9" s="1"/>
  <c r="AK27" i="9" s="1"/>
  <c r="AK28" i="9" s="1"/>
  <c r="AK29" i="9" s="1"/>
  <c r="AK30" i="9" s="1"/>
  <c r="AK31" i="9" s="1"/>
  <c r="AK32" i="9" s="1"/>
  <c r="AK33" i="9" s="1"/>
  <c r="AK34" i="9" s="1"/>
  <c r="AK35" i="9" s="1"/>
  <c r="AK36" i="9" s="1"/>
  <c r="AK37" i="9" s="1"/>
  <c r="AK38" i="9" s="1"/>
  <c r="AK39" i="9" s="1"/>
  <c r="AK40" i="9" s="1"/>
  <c r="AK41" i="9" s="1"/>
  <c r="AK42" i="9" s="1"/>
  <c r="AK43" i="9" s="1"/>
  <c r="AK44" i="9" s="1"/>
  <c r="AK45" i="9" s="1"/>
  <c r="AK53" i="9" s="1"/>
  <c r="AI53" i="8"/>
  <c r="AK54" i="9" l="1"/>
  <c r="AK13" i="10"/>
  <c r="AK53" i="10" s="1"/>
  <c r="AK13" i="11" l="1"/>
  <c r="AK15" i="11" s="1"/>
  <c r="AK16" i="11" s="1"/>
  <c r="AK17" i="11" s="1"/>
  <c r="AK18" i="11" s="1"/>
  <c r="AK19" i="11" s="1"/>
  <c r="AK20" i="11" s="1"/>
  <c r="AK21" i="11" s="1"/>
  <c r="AK22" i="11" s="1"/>
  <c r="AK23" i="11" s="1"/>
  <c r="AK24" i="11" s="1"/>
  <c r="AK25" i="11" s="1"/>
  <c r="AK26" i="11" s="1"/>
  <c r="AK27" i="11" s="1"/>
  <c r="AK28" i="11" s="1"/>
  <c r="AK29" i="11" s="1"/>
  <c r="AK30" i="11" s="1"/>
  <c r="AK31" i="11" s="1"/>
  <c r="AK32" i="11" s="1"/>
  <c r="AK33" i="11" s="1"/>
  <c r="AK34" i="11" s="1"/>
  <c r="AK35" i="11" s="1"/>
  <c r="AK36" i="11" s="1"/>
  <c r="AK37" i="11" s="1"/>
  <c r="AK38" i="11" s="1"/>
  <c r="AK39" i="11" s="1"/>
  <c r="AK40" i="11" s="1"/>
  <c r="AK41" i="11" s="1"/>
  <c r="AK42" i="11" s="1"/>
  <c r="AK43" i="11" s="1"/>
  <c r="AK44" i="11" s="1"/>
  <c r="AK52" i="11" s="1"/>
  <c r="AK54" i="10"/>
  <c r="AK13" i="12" l="1"/>
  <c r="AK15" i="12" s="1"/>
  <c r="AK53" i="11"/>
  <c r="AK16" i="12" l="1"/>
  <c r="BR15" i="12"/>
  <c r="BR16" i="12" l="1"/>
  <c r="AK17" i="12"/>
  <c r="BR17" i="12" l="1"/>
  <c r="AK18" i="12"/>
  <c r="BR18" i="12" l="1"/>
  <c r="AK19" i="12"/>
  <c r="BR19" i="12" l="1"/>
  <c r="AK20" i="12"/>
  <c r="BR20" i="12" l="1"/>
  <c r="AK21" i="12"/>
  <c r="AK22" i="12" l="1"/>
  <c r="BR21" i="12"/>
  <c r="AK23" i="12" l="1"/>
  <c r="BR22" i="12"/>
  <c r="BR23" i="12" l="1"/>
  <c r="AK24" i="12"/>
  <c r="BR24" i="12" l="1"/>
  <c r="AK25" i="12"/>
  <c r="BR25" i="12" l="1"/>
  <c r="AK26" i="12"/>
  <c r="AK27" i="12" l="1"/>
  <c r="BR26" i="12"/>
  <c r="BR27" i="12" l="1"/>
  <c r="AK28" i="12"/>
  <c r="BR28" i="12" l="1"/>
  <c r="AK29" i="12"/>
  <c r="AK30" i="12" s="1"/>
  <c r="BR30" i="12" s="1"/>
  <c r="BR29" i="12" l="1"/>
  <c r="AK31" i="12" l="1"/>
  <c r="AK32" i="12" l="1"/>
  <c r="BR31" i="12"/>
  <c r="BR32" i="12" l="1"/>
  <c r="AK33" i="12"/>
  <c r="AK34" i="12" l="1"/>
  <c r="BR33" i="12"/>
  <c r="BR34" i="12" l="1"/>
  <c r="AK35" i="12"/>
  <c r="BR35" i="12" l="1"/>
  <c r="AK36" i="12"/>
  <c r="BR36" i="12" l="1"/>
  <c r="AK37" i="12"/>
  <c r="BR37" i="12" l="1"/>
  <c r="AK38" i="12"/>
  <c r="BR38" i="12" l="1"/>
  <c r="AK39" i="12"/>
  <c r="BR39" i="12" l="1"/>
  <c r="AK40" i="12"/>
  <c r="AK41" i="12" l="1"/>
  <c r="BR40" i="12"/>
  <c r="BR41" i="12" l="1"/>
  <c r="AK42" i="12"/>
  <c r="BR42" i="12" l="1"/>
  <c r="AK43" i="12"/>
  <c r="AK44" i="12" l="1"/>
  <c r="BR43" i="12"/>
  <c r="AK45" i="12" l="1"/>
  <c r="BR44" i="12"/>
  <c r="BR47" i="12" s="1"/>
  <c r="BR48" i="12" l="1"/>
  <c r="BR53" i="12"/>
  <c r="BR54" i="12" s="1"/>
  <c r="BR45" i="12"/>
  <c r="AK53" i="12"/>
  <c r="AK54" i="12" s="1"/>
  <c r="AK65" i="12" s="1"/>
  <c r="X43" i="9" l="1"/>
  <c r="Y43" i="9" s="1"/>
  <c r="AM43" i="9" l="1"/>
  <c r="L43" i="9" s="1"/>
  <c r="AS43" i="9"/>
  <c r="AA43" i="9" l="1"/>
  <c r="AD43" i="9"/>
  <c r="AD44" i="9" s="1"/>
  <c r="AN43" i="9"/>
  <c r="J43" i="9"/>
  <c r="AE45" i="9" l="1"/>
  <c r="AQ45" i="9" s="1"/>
  <c r="AO43" i="9"/>
  <c r="K43" i="9"/>
  <c r="AP45" i="9" l="1"/>
  <c r="AQ47" i="9"/>
  <c r="AQ48" i="9" l="1"/>
  <c r="AQ53" i="9"/>
  <c r="AQ50" i="9"/>
  <c r="X45" i="9"/>
  <c r="AP47" i="9"/>
  <c r="AE47" i="9"/>
  <c r="AP48" i="9" l="1"/>
  <c r="AP53" i="9"/>
  <c r="AP50" i="9"/>
  <c r="AQ51" i="9"/>
  <c r="AQ12" i="10"/>
  <c r="AQ50" i="10" s="1"/>
  <c r="AQ54" i="9"/>
  <c r="AQ13" i="10"/>
  <c r="AQ53" i="10" s="1"/>
  <c r="AM45" i="9"/>
  <c r="Y45" i="9"/>
  <c r="Y47" i="9" s="1"/>
  <c r="Y48" i="9" s="1"/>
  <c r="AS45" i="9"/>
  <c r="X47" i="9"/>
  <c r="X48" i="9" s="1"/>
  <c r="AE48" i="9"/>
  <c r="AE53" i="9"/>
  <c r="AE54" i="9" s="1"/>
  <c r="AE50" i="9"/>
  <c r="AE51" i="9" s="1"/>
  <c r="AQ13" i="11" l="1"/>
  <c r="AQ52" i="11" s="1"/>
  <c r="AQ54" i="10"/>
  <c r="L45" i="9"/>
  <c r="AM47" i="9"/>
  <c r="AM48" i="9" s="1"/>
  <c r="AP51" i="9"/>
  <c r="AP12" i="10"/>
  <c r="AP50" i="10" s="1"/>
  <c r="AA45" i="9"/>
  <c r="AA47" i="9" s="1"/>
  <c r="AS47" i="9"/>
  <c r="AD45" i="9"/>
  <c r="AD12" i="10" s="1"/>
  <c r="AP13" i="10"/>
  <c r="AP53" i="10" s="1"/>
  <c r="AP54" i="9"/>
  <c r="AQ12" i="11"/>
  <c r="AQ49" i="11" s="1"/>
  <c r="AQ51" i="10"/>
  <c r="AZ22" i="14"/>
  <c r="AQ50" i="11" l="1"/>
  <c r="AQ12" i="12"/>
  <c r="AQ50" i="12" s="1"/>
  <c r="AQ51" i="12" s="1"/>
  <c r="AP13" i="11"/>
  <c r="AP52" i="11" s="1"/>
  <c r="AP54" i="10"/>
  <c r="AP12" i="11"/>
  <c r="AP49" i="11" s="1"/>
  <c r="AP51" i="10"/>
  <c r="AQ53" i="11"/>
  <c r="AQ13" i="12"/>
  <c r="AQ53" i="12" s="1"/>
  <c r="AQ54" i="12" s="1"/>
  <c r="AA48" i="9"/>
  <c r="AA12" i="10"/>
  <c r="J45" i="9"/>
  <c r="AN45" i="9"/>
  <c r="L47" i="9"/>
  <c r="L48" i="9" s="1"/>
  <c r="AC23" i="14"/>
  <c r="AZ23" i="14" s="1"/>
  <c r="AC24" i="14" s="1"/>
  <c r="AO45" i="9" l="1"/>
  <c r="AO47" i="9" s="1"/>
  <c r="AO48" i="9" s="1"/>
  <c r="AN47" i="9"/>
  <c r="AN48" i="9" s="1"/>
  <c r="AP50" i="11"/>
  <c r="AP12" i="12"/>
  <c r="AP50" i="12" s="1"/>
  <c r="AP51" i="12" s="1"/>
  <c r="K45" i="9"/>
  <c r="K47" i="9" s="1"/>
  <c r="K48" i="9" s="1"/>
  <c r="J47" i="9"/>
  <c r="J48" i="9" s="1"/>
  <c r="AP53" i="11"/>
  <c r="AP13" i="12"/>
  <c r="AP53" i="12" s="1"/>
  <c r="AP54" i="12" s="1"/>
  <c r="AP65" i="12" s="1"/>
  <c r="AZ24" i="14"/>
  <c r="AC25" i="14" s="1"/>
  <c r="AZ25" i="14" l="1"/>
  <c r="AC26" i="14" s="1"/>
  <c r="AZ26" i="14" s="1"/>
  <c r="AC27" i="14" l="1"/>
  <c r="AZ27" i="14" s="1"/>
  <c r="AC28" i="14" s="1"/>
  <c r="AZ28" i="14" s="1"/>
  <c r="AC29" i="14" s="1"/>
  <c r="AZ29" i="14" s="1"/>
  <c r="AC30" i="14" s="1"/>
  <c r="AZ30" i="14" l="1"/>
  <c r="AC31" i="14" s="1"/>
  <c r="AZ31" i="14" l="1"/>
  <c r="AC32" i="14" s="1"/>
  <c r="AZ32" i="14" l="1"/>
  <c r="AC33" i="14" s="1"/>
  <c r="AZ33" i="14" l="1"/>
  <c r="AC34" i="14" s="1"/>
  <c r="AZ34" i="14" l="1"/>
  <c r="AC35" i="14" l="1"/>
  <c r="AZ35" i="14" s="1"/>
  <c r="AC36" i="14" s="1"/>
  <c r="AZ36" i="14" s="1"/>
  <c r="AC37" i="14" l="1"/>
  <c r="AZ37" i="14" s="1"/>
  <c r="AC38" i="14" s="1"/>
  <c r="AZ38" i="14" s="1"/>
  <c r="AC39" i="14" s="1"/>
  <c r="AZ39" i="14" l="1"/>
  <c r="AC40" i="14" s="1"/>
  <c r="AZ40" i="14" l="1"/>
  <c r="AZ41" i="14" l="1"/>
  <c r="AC42" i="14" s="1"/>
  <c r="AC9" i="14" l="1"/>
  <c r="AB43" i="14"/>
  <c r="AB44" i="14" s="1"/>
  <c r="AB12" i="7" s="1"/>
  <c r="AB15" i="7" s="1"/>
  <c r="AB16" i="7" l="1"/>
  <c r="AB17" i="7" s="1"/>
  <c r="AB18" i="7" s="1"/>
  <c r="AB19" i="7" s="1"/>
  <c r="AB20" i="7" s="1"/>
  <c r="AB21" i="7" s="1"/>
  <c r="AB22" i="7" s="1"/>
  <c r="AB23" i="7" s="1"/>
  <c r="AB24" i="7" s="1"/>
  <c r="AB25" i="7" s="1"/>
  <c r="AB26" i="7" s="1"/>
  <c r="AB27" i="7" s="1"/>
  <c r="AB28" i="7" s="1"/>
  <c r="AB29" i="7" s="1"/>
  <c r="AB30" i="7" s="1"/>
  <c r="AB31" i="7" s="1"/>
  <c r="AB32" i="7" s="1"/>
  <c r="AB33" i="7" s="1"/>
  <c r="AB34" i="7" s="1"/>
  <c r="AB35" i="7" s="1"/>
  <c r="AB36" i="7" s="1"/>
  <c r="AB37" i="7" s="1"/>
  <c r="AB38" i="7" s="1"/>
  <c r="AB39" i="7" s="1"/>
  <c r="AB40" i="7" s="1"/>
  <c r="AB41" i="7" s="1"/>
  <c r="AB42" i="7" s="1"/>
  <c r="AB43" i="7" s="1"/>
  <c r="AB44" i="7" s="1"/>
  <c r="AB45" i="7" s="1"/>
  <c r="AB12" i="8" s="1"/>
  <c r="Z43" i="14"/>
  <c r="Z44" i="14" s="1"/>
  <c r="Z12" i="7" s="1"/>
  <c r="Z15" i="7" s="1"/>
  <c r="Z49" i="14" l="1"/>
  <c r="Z50" i="14" s="1"/>
  <c r="AZ42" i="14"/>
  <c r="AC43" i="14" s="1"/>
  <c r="AZ43" i="14" s="1"/>
  <c r="AC44" i="14" s="1"/>
  <c r="AZ44" i="14" s="1"/>
  <c r="Z16" i="7"/>
  <c r="Z17" i="7" s="1"/>
  <c r="Z18" i="7" s="1"/>
  <c r="Z19" i="7" s="1"/>
  <c r="Z20" i="7" s="1"/>
  <c r="Z21" i="7" s="1"/>
  <c r="Z22" i="7" s="1"/>
  <c r="Z23" i="7" s="1"/>
  <c r="Z24" i="7" s="1"/>
  <c r="Z25" i="7" s="1"/>
  <c r="Z26" i="7" s="1"/>
  <c r="Z27" i="7" s="1"/>
  <c r="Z28" i="7" s="1"/>
  <c r="Z29" i="7" s="1"/>
  <c r="Z30" i="7" s="1"/>
  <c r="Z31" i="7" s="1"/>
  <c r="Z32" i="7" s="1"/>
  <c r="Z33" i="7" s="1"/>
  <c r="Z34" i="7" s="1"/>
  <c r="Z35" i="7" s="1"/>
  <c r="Z36" i="7" s="1"/>
  <c r="Z37" i="7" s="1"/>
  <c r="Z38" i="7" s="1"/>
  <c r="Z39" i="7" s="1"/>
  <c r="Z40" i="7" s="1"/>
  <c r="Z41" i="7" s="1"/>
  <c r="Z42" i="7" s="1"/>
  <c r="Z43" i="7" s="1"/>
  <c r="Z44" i="7" s="1"/>
  <c r="Z45" i="7" s="1"/>
  <c r="AC46" i="14" l="1"/>
  <c r="Z50" i="7"/>
  <c r="Z51" i="7" s="1"/>
  <c r="Y57" i="7" s="1"/>
  <c r="Z12" i="8"/>
  <c r="AW13" i="7"/>
  <c r="AZ47" i="14"/>
  <c r="AC47" i="14" l="1"/>
  <c r="AC52" i="14"/>
  <c r="AC53" i="14" s="1"/>
  <c r="AC49" i="14"/>
  <c r="AZ50" i="14"/>
  <c r="AW12" i="7" s="1"/>
  <c r="AZ53" i="14"/>
  <c r="AC12" i="7" l="1"/>
  <c r="AC15" i="7" s="1"/>
  <c r="AC50" i="14"/>
  <c r="AF12" i="10"/>
  <c r="AF47" i="9"/>
  <c r="AF48" i="9" l="1"/>
  <c r="AF50" i="9"/>
  <c r="AF51" i="9" l="1"/>
  <c r="AF13" i="10"/>
  <c r="X15" i="8" l="1"/>
  <c r="Y15" i="8" s="1"/>
  <c r="BJ15" i="8"/>
  <c r="R46" i="8"/>
  <c r="R52" i="8" s="1"/>
  <c r="BG15" i="8"/>
  <c r="BJ18" i="8"/>
  <c r="BK18" i="8" s="1"/>
  <c r="BJ34" i="8"/>
  <c r="BK34" i="8" s="1"/>
  <c r="X17" i="8"/>
  <c r="Y17" i="8" s="1"/>
  <c r="BJ37" i="8"/>
  <c r="BK37" i="8" s="1"/>
  <c r="BJ19" i="8"/>
  <c r="BK19" i="8" s="1"/>
  <c r="BJ27" i="8"/>
  <c r="BK27" i="8" s="1"/>
  <c r="BJ38" i="8"/>
  <c r="BK38" i="8" s="1"/>
  <c r="BJ42" i="8"/>
  <c r="BK42" i="8" s="1"/>
  <c r="BJ20" i="8"/>
  <c r="BK20" i="8" s="1"/>
  <c r="BJ25" i="8"/>
  <c r="BK25" i="8" s="1"/>
  <c r="BJ44" i="8"/>
  <c r="BK44" i="8" s="1"/>
  <c r="BJ39" i="8"/>
  <c r="BK39" i="8" s="1"/>
  <c r="BJ43" i="8"/>
  <c r="BK43" i="8" s="1"/>
  <c r="BJ17" i="8"/>
  <c r="BK17" i="8" s="1"/>
  <c r="X27" i="8"/>
  <c r="Y27" i="8" s="1"/>
  <c r="BG27" i="8"/>
  <c r="X44" i="8"/>
  <c r="Y44" i="8" s="1"/>
  <c r="BG44" i="8"/>
  <c r="BG42" i="8"/>
  <c r="X42" i="8"/>
  <c r="Y42" i="8" s="1"/>
  <c r="BG39" i="8"/>
  <c r="X39" i="8"/>
  <c r="AR39" i="8" s="1"/>
  <c r="AA39" i="8" s="1"/>
  <c r="BJ40" i="8"/>
  <c r="BK40" i="8" s="1"/>
  <c r="BG40" i="8"/>
  <c r="X40" i="8"/>
  <c r="AR40" i="8" s="1"/>
  <c r="AA40" i="8" s="1"/>
  <c r="BG20" i="8"/>
  <c r="X20" i="8"/>
  <c r="Y20" i="8" s="1"/>
  <c r="X37" i="8"/>
  <c r="AR37" i="8" s="1"/>
  <c r="AA37" i="8" s="1"/>
  <c r="BG37" i="8"/>
  <c r="BG19" i="8"/>
  <c r="X19" i="8"/>
  <c r="Y19" i="8" s="1"/>
  <c r="BG29" i="8"/>
  <c r="X29" i="8"/>
  <c r="Y29" i="8" s="1"/>
  <c r="BJ29" i="8"/>
  <c r="BK29" i="8" s="1"/>
  <c r="X33" i="8"/>
  <c r="AR33" i="8" s="1"/>
  <c r="AA33" i="8" s="1"/>
  <c r="BJ33" i="8"/>
  <c r="BK33" i="8" s="1"/>
  <c r="BG33" i="8"/>
  <c r="BG36" i="8"/>
  <c r="X36" i="8"/>
  <c r="AR36" i="8" s="1"/>
  <c r="AA36" i="8" s="1"/>
  <c r="BJ36" i="8"/>
  <c r="BK36" i="8" s="1"/>
  <c r="BG30" i="8"/>
  <c r="X30" i="8"/>
  <c r="AR30" i="8" s="1"/>
  <c r="AA30" i="8" s="1"/>
  <c r="BJ30" i="8"/>
  <c r="BK30" i="8" s="1"/>
  <c r="BG34" i="8"/>
  <c r="X34" i="8"/>
  <c r="AR34" i="8" s="1"/>
  <c r="AA34" i="8" s="1"/>
  <c r="X38" i="8"/>
  <c r="AR38" i="8" s="1"/>
  <c r="AA38" i="8" s="1"/>
  <c r="BG38" i="8"/>
  <c r="BJ16" i="8"/>
  <c r="BK16" i="8" s="1"/>
  <c r="BG16" i="8"/>
  <c r="X16" i="8"/>
  <c r="AR16" i="8" s="1"/>
  <c r="AA16" i="8" s="1"/>
  <c r="BJ24" i="8"/>
  <c r="BK24" i="8" s="1"/>
  <c r="X24" i="8"/>
  <c r="Y24" i="8" s="1"/>
  <c r="BG24" i="8"/>
  <c r="BJ32" i="8"/>
  <c r="BK32" i="8" s="1"/>
  <c r="X32" i="8"/>
  <c r="Y32" i="8" s="1"/>
  <c r="BG32" i="8"/>
  <c r="BJ26" i="8"/>
  <c r="BK26" i="8" s="1"/>
  <c r="BJ31" i="8"/>
  <c r="BK31" i="8" s="1"/>
  <c r="BJ35" i="8"/>
  <c r="BK35" i="8" s="1"/>
  <c r="X35" i="8"/>
  <c r="Y35" i="8" s="1"/>
  <c r="BG35" i="8"/>
  <c r="X43" i="8"/>
  <c r="AR43" i="8" s="1"/>
  <c r="AA43" i="8" s="1"/>
  <c r="BG43" i="8"/>
  <c r="BJ21" i="8"/>
  <c r="BK21" i="8" s="1"/>
  <c r="X21" i="8"/>
  <c r="Y21" i="8" s="1"/>
  <c r="BG21" i="8"/>
  <c r="X28" i="8"/>
  <c r="Y28" i="8" s="1"/>
  <c r="BG28" i="8"/>
  <c r="BJ28" i="8"/>
  <c r="BK28" i="8" s="1"/>
  <c r="BG31" i="8"/>
  <c r="X31" i="8"/>
  <c r="Y31" i="8" s="1"/>
  <c r="BJ23" i="8"/>
  <c r="BK23" i="8" s="1"/>
  <c r="BG23" i="8"/>
  <c r="X23" i="8"/>
  <c r="AR23" i="8" s="1"/>
  <c r="AA23" i="8" s="1"/>
  <c r="BJ41" i="8"/>
  <c r="BK41" i="8" s="1"/>
  <c r="BG41" i="8"/>
  <c r="X41" i="8"/>
  <c r="Y41" i="8" s="1"/>
  <c r="BJ22" i="8"/>
  <c r="BK22" i="8" s="1"/>
  <c r="BG22" i="8"/>
  <c r="X22" i="8"/>
  <c r="Y22" i="8" s="1"/>
  <c r="BG25" i="8"/>
  <c r="X25" i="8"/>
  <c r="AK25" i="8" s="1"/>
  <c r="BG26" i="8"/>
  <c r="X26" i="8"/>
  <c r="AR26" i="8" s="1"/>
  <c r="AA26" i="8" s="1"/>
  <c r="BG18" i="8"/>
  <c r="X18" i="8"/>
  <c r="Y18" i="8" s="1"/>
  <c r="BG17" i="8"/>
  <c r="AK17" i="8"/>
  <c r="AK37" i="8"/>
  <c r="AK30" i="8"/>
  <c r="AK39" i="8"/>
  <c r="L39" i="8" s="1"/>
  <c r="AR15" i="8" l="1"/>
  <c r="Z15" i="8" s="1"/>
  <c r="AK21" i="8"/>
  <c r="AK27" i="8"/>
  <c r="AK32" i="8"/>
  <c r="L32" i="8" s="1"/>
  <c r="AL32" i="8" s="1"/>
  <c r="AM32" i="8" s="1"/>
  <c r="AK35" i="8"/>
  <c r="AK34" i="8"/>
  <c r="L34" i="8" s="1"/>
  <c r="AK20" i="8"/>
  <c r="L20" i="8" s="1"/>
  <c r="J20" i="8" s="1"/>
  <c r="K20" i="8" s="1"/>
  <c r="AK19" i="8"/>
  <c r="L19" i="8" s="1"/>
  <c r="AR17" i="8"/>
  <c r="AA17" i="8" s="1"/>
  <c r="AR27" i="8"/>
  <c r="AA27" i="8" s="1"/>
  <c r="AK38" i="8"/>
  <c r="L38" i="8" s="1"/>
  <c r="AK33" i="8"/>
  <c r="L33" i="8" s="1"/>
  <c r="AR20" i="8"/>
  <c r="AA20" i="8" s="1"/>
  <c r="AK42" i="8"/>
  <c r="L42" i="8" s="1"/>
  <c r="AK43" i="8"/>
  <c r="L43" i="8" s="1"/>
  <c r="AL43" i="8" s="1"/>
  <c r="AM43" i="8" s="1"/>
  <c r="AK40" i="8"/>
  <c r="L40" i="8" s="1"/>
  <c r="AL40" i="8" s="1"/>
  <c r="AM40" i="8" s="1"/>
  <c r="AK31" i="8"/>
  <c r="L31" i="8" s="1"/>
  <c r="AK24" i="8"/>
  <c r="L24" i="8" s="1"/>
  <c r="AL24" i="8" s="1"/>
  <c r="AM24" i="8" s="1"/>
  <c r="AK44" i="8"/>
  <c r="L44" i="8" s="1"/>
  <c r="AL44" i="8" s="1"/>
  <c r="AR42" i="8"/>
  <c r="AA42" i="8" s="1"/>
  <c r="AR41" i="8"/>
  <c r="AA41" i="8" s="1"/>
  <c r="AR28" i="8"/>
  <c r="AA28" i="8" s="1"/>
  <c r="BJ46" i="8"/>
  <c r="AK36" i="8"/>
  <c r="L36" i="8" s="1"/>
  <c r="J36" i="8" s="1"/>
  <c r="K36" i="8" s="1"/>
  <c r="AK16" i="8"/>
  <c r="L16" i="8" s="1"/>
  <c r="AL16" i="8" s="1"/>
  <c r="AM16" i="8" s="1"/>
  <c r="AK22" i="8"/>
  <c r="L22" i="8" s="1"/>
  <c r="AK29" i="8"/>
  <c r="L29" i="8" s="1"/>
  <c r="AK28" i="8"/>
  <c r="L28" i="8" s="1"/>
  <c r="AL28" i="8" s="1"/>
  <c r="AK41" i="8"/>
  <c r="L41" i="8" s="1"/>
  <c r="AR22" i="8"/>
  <c r="AA22" i="8" s="1"/>
  <c r="AR44" i="8"/>
  <c r="AA44" i="8" s="1"/>
  <c r="AK26" i="8"/>
  <c r="L26" i="8" s="1"/>
  <c r="R47" i="8"/>
  <c r="AK23" i="8"/>
  <c r="L23" i="8" s="1"/>
  <c r="AK18" i="8"/>
  <c r="L18" i="8" s="1"/>
  <c r="Y33" i="8"/>
  <c r="AK15" i="8"/>
  <c r="L15" i="8" s="1"/>
  <c r="L25" i="8"/>
  <c r="Y25" i="8"/>
  <c r="AR25" i="8"/>
  <c r="AA25" i="8" s="1"/>
  <c r="J39" i="8"/>
  <c r="K39" i="8" s="1"/>
  <c r="AL39" i="8"/>
  <c r="AM39" i="8" s="1"/>
  <c r="L27" i="8"/>
  <c r="L37" i="8"/>
  <c r="L21" i="8"/>
  <c r="AB15" i="8"/>
  <c r="L30" i="8"/>
  <c r="L17" i="8"/>
  <c r="L35" i="8"/>
  <c r="BG46" i="8"/>
  <c r="R13" i="9"/>
  <c r="R53" i="9" s="1"/>
  <c r="R53" i="8"/>
  <c r="AR31" i="8"/>
  <c r="AA31" i="8" s="1"/>
  <c r="X46" i="8"/>
  <c r="BK15" i="8"/>
  <c r="BK46" i="8" s="1"/>
  <c r="BK49" i="8" s="1"/>
  <c r="BK12" i="9" s="1"/>
  <c r="BK50" i="9" s="1"/>
  <c r="AA15" i="8"/>
  <c r="Y43" i="8"/>
  <c r="AR35" i="8"/>
  <c r="AA35" i="8" s="1"/>
  <c r="AR32" i="8"/>
  <c r="AA32" i="8" s="1"/>
  <c r="Y30" i="8"/>
  <c r="AR19" i="8"/>
  <c r="AA19" i="8" s="1"/>
  <c r="Y37" i="8"/>
  <c r="Y39" i="8"/>
  <c r="AR18" i="8"/>
  <c r="AA18" i="8" s="1"/>
  <c r="Y26" i="8"/>
  <c r="Y23" i="8"/>
  <c r="AR21" i="8"/>
  <c r="AA21" i="8" s="1"/>
  <c r="AR24" i="8"/>
  <c r="AA24" i="8" s="1"/>
  <c r="Y16" i="8"/>
  <c r="Y38" i="8"/>
  <c r="Y34" i="8"/>
  <c r="Y36" i="8"/>
  <c r="AR29" i="8"/>
  <c r="AA29" i="8" s="1"/>
  <c r="Y40" i="8"/>
  <c r="Z16" i="8"/>
  <c r="BJ49" i="8" l="1"/>
  <c r="BJ12" i="9" s="1"/>
  <c r="BJ50" i="9" s="1"/>
  <c r="BJ52" i="8"/>
  <c r="BJ53" i="8" s="1"/>
  <c r="J32" i="8"/>
  <c r="K32" i="8" s="1"/>
  <c r="BK12" i="10"/>
  <c r="BK50" i="10" s="1"/>
  <c r="BK51" i="9"/>
  <c r="J40" i="8"/>
  <c r="K40" i="8" s="1"/>
  <c r="AL20" i="8"/>
  <c r="AM20" i="8" s="1"/>
  <c r="J43" i="8"/>
  <c r="K43" i="8" s="1"/>
  <c r="J24" i="8"/>
  <c r="K24" i="8" s="1"/>
  <c r="AL36" i="8"/>
  <c r="AM36" i="8" s="1"/>
  <c r="J44" i="8"/>
  <c r="K44" i="8" s="1"/>
  <c r="Y46" i="8"/>
  <c r="Y52" i="8" s="1"/>
  <c r="BJ47" i="8"/>
  <c r="AM44" i="8"/>
  <c r="BJ50" i="8"/>
  <c r="J16" i="8"/>
  <c r="K16" i="8" s="1"/>
  <c r="J28" i="8"/>
  <c r="K28" i="8" s="1"/>
  <c r="AM28" i="8"/>
  <c r="AK46" i="8"/>
  <c r="AK52" i="8" s="1"/>
  <c r="AA46" i="8"/>
  <c r="BG47" i="8"/>
  <c r="BG49" i="8"/>
  <c r="BG52" i="8"/>
  <c r="J18" i="8"/>
  <c r="K18" i="8" s="1"/>
  <c r="AL18" i="8"/>
  <c r="AM18" i="8" s="1"/>
  <c r="J33" i="8"/>
  <c r="K33" i="8" s="1"/>
  <c r="AL33" i="8"/>
  <c r="AM33" i="8" s="1"/>
  <c r="AB16" i="8"/>
  <c r="AB17" i="8" s="1"/>
  <c r="AB18" i="8" s="1"/>
  <c r="AB19" i="8" s="1"/>
  <c r="AB20" i="8" s="1"/>
  <c r="AB21" i="8" s="1"/>
  <c r="BK50" i="8"/>
  <c r="BK52" i="8"/>
  <c r="BK47" i="8"/>
  <c r="AL37" i="8"/>
  <c r="AM37" i="8" s="1"/>
  <c r="J37" i="8"/>
  <c r="K37" i="8" s="1"/>
  <c r="J42" i="8"/>
  <c r="K42" i="8" s="1"/>
  <c r="AL42" i="8"/>
  <c r="AM42" i="8" s="1"/>
  <c r="BJ13" i="9"/>
  <c r="BJ53" i="9" s="1"/>
  <c r="J19" i="8"/>
  <c r="K19" i="8" s="1"/>
  <c r="AL19" i="8"/>
  <c r="AM19" i="8" s="1"/>
  <c r="X49" i="8"/>
  <c r="X47" i="8"/>
  <c r="X52" i="8"/>
  <c r="R13" i="10"/>
  <c r="R53" i="10" s="1"/>
  <c r="R54" i="9"/>
  <c r="J29" i="8"/>
  <c r="K29" i="8" s="1"/>
  <c r="AL29" i="8"/>
  <c r="AM29" i="8" s="1"/>
  <c r="J34" i="8"/>
  <c r="K34" i="8" s="1"/>
  <c r="AL34" i="8"/>
  <c r="AM34" i="8" s="1"/>
  <c r="J17" i="8"/>
  <c r="K17" i="8" s="1"/>
  <c r="AL17" i="8"/>
  <c r="AM17" i="8" s="1"/>
  <c r="AL22" i="8"/>
  <c r="AM22" i="8" s="1"/>
  <c r="J22" i="8"/>
  <c r="K22" i="8" s="1"/>
  <c r="AL23" i="8"/>
  <c r="AM23" i="8" s="1"/>
  <c r="J23" i="8"/>
  <c r="K23" i="8" s="1"/>
  <c r="J30" i="8"/>
  <c r="K30" i="8" s="1"/>
  <c r="AL30" i="8"/>
  <c r="AM30" i="8" s="1"/>
  <c r="J27" i="8"/>
  <c r="K27" i="8" s="1"/>
  <c r="AL27" i="8"/>
  <c r="AM27" i="8" s="1"/>
  <c r="AL15" i="8"/>
  <c r="L46" i="8"/>
  <c r="J15" i="8"/>
  <c r="Z17" i="8"/>
  <c r="AR46" i="8"/>
  <c r="J35" i="8"/>
  <c r="K35" i="8" s="1"/>
  <c r="AL35" i="8"/>
  <c r="AM35" i="8" s="1"/>
  <c r="AL38" i="8"/>
  <c r="AM38" i="8" s="1"/>
  <c r="J38" i="8"/>
  <c r="K38" i="8" s="1"/>
  <c r="AL31" i="8"/>
  <c r="AM31" i="8" s="1"/>
  <c r="J31" i="8"/>
  <c r="K31" i="8" s="1"/>
  <c r="J21" i="8"/>
  <c r="K21" i="8" s="1"/>
  <c r="AL21" i="8"/>
  <c r="AM21" i="8" s="1"/>
  <c r="J26" i="8"/>
  <c r="K26" i="8" s="1"/>
  <c r="AL26" i="8"/>
  <c r="AM26" i="8" s="1"/>
  <c r="AL41" i="8"/>
  <c r="AM41" i="8" s="1"/>
  <c r="J41" i="8"/>
  <c r="K41" i="8" s="1"/>
  <c r="J25" i="8"/>
  <c r="K25" i="8" s="1"/>
  <c r="AL25" i="8"/>
  <c r="AM25" i="8" s="1"/>
  <c r="AB22" i="8" l="1"/>
  <c r="AB23" i="8" s="1"/>
  <c r="AB24" i="8" s="1"/>
  <c r="AB25" i="8" s="1"/>
  <c r="AB26" i="8" s="1"/>
  <c r="AB27" i="8" s="1"/>
  <c r="AB28" i="8" s="1"/>
  <c r="AB29" i="8" s="1"/>
  <c r="AB30" i="8" s="1"/>
  <c r="AB31" i="8" s="1"/>
  <c r="AB32" i="8" s="1"/>
  <c r="AB33" i="8" s="1"/>
  <c r="AB34" i="8" s="1"/>
  <c r="AB35" i="8" s="1"/>
  <c r="AB36" i="8" s="1"/>
  <c r="AB37" i="8" s="1"/>
  <c r="AB38" i="8" s="1"/>
  <c r="AB39" i="8" s="1"/>
  <c r="AB40" i="8" s="1"/>
  <c r="AB41" i="8" s="1"/>
  <c r="AB42" i="8" s="1"/>
  <c r="AB43" i="8" s="1"/>
  <c r="AB44" i="8" s="1"/>
  <c r="AB12" i="9" s="1"/>
  <c r="BK51" i="10"/>
  <c r="BK12" i="11"/>
  <c r="BK53" i="8"/>
  <c r="BK13" i="9"/>
  <c r="BK53" i="9" s="1"/>
  <c r="Y49" i="8"/>
  <c r="Y50" i="8" s="1"/>
  <c r="Y47" i="8"/>
  <c r="AK47" i="8"/>
  <c r="AK49" i="8"/>
  <c r="AK50" i="8" s="1"/>
  <c r="AA47" i="8"/>
  <c r="AA49" i="8"/>
  <c r="AA50" i="8" s="1"/>
  <c r="Z18" i="8"/>
  <c r="BJ13" i="10"/>
  <c r="BJ53" i="10" s="1"/>
  <c r="BJ54" i="9"/>
  <c r="J46" i="8"/>
  <c r="K15" i="8"/>
  <c r="K46" i="8" s="1"/>
  <c r="R54" i="10"/>
  <c r="R13" i="11"/>
  <c r="R52" i="11" s="1"/>
  <c r="BG53" i="8"/>
  <c r="BG13" i="9"/>
  <c r="BG53" i="9" s="1"/>
  <c r="X13" i="9"/>
  <c r="X53" i="9" s="1"/>
  <c r="X53" i="8"/>
  <c r="BG12" i="9"/>
  <c r="BG50" i="9" s="1"/>
  <c r="BG50" i="8"/>
  <c r="Y13" i="9"/>
  <c r="Y53" i="9" s="1"/>
  <c r="Y53" i="8"/>
  <c r="BJ51" i="9"/>
  <c r="BJ12" i="10"/>
  <c r="BJ50" i="10" s="1"/>
  <c r="BJ12" i="11" s="1"/>
  <c r="X12" i="9"/>
  <c r="X50" i="9" s="1"/>
  <c r="X50" i="8"/>
  <c r="L49" i="8"/>
  <c r="L52" i="8"/>
  <c r="L47" i="8"/>
  <c r="AM13" i="9"/>
  <c r="AM53" i="9" s="1"/>
  <c r="AK53" i="8"/>
  <c r="AL46" i="8"/>
  <c r="AM15" i="8"/>
  <c r="AM46" i="8" s="1"/>
  <c r="Y12" i="9" l="1"/>
  <c r="Y50" i="9" s="1"/>
  <c r="BK13" i="10"/>
  <c r="BK53" i="10" s="1"/>
  <c r="BK54" i="9"/>
  <c r="AM12" i="9"/>
  <c r="AM50" i="9" s="1"/>
  <c r="AM54" i="9"/>
  <c r="AM13" i="10"/>
  <c r="AM53" i="10" s="1"/>
  <c r="BJ51" i="10"/>
  <c r="BG13" i="10"/>
  <c r="BG53" i="10" s="1"/>
  <c r="BG54" i="9"/>
  <c r="K49" i="8"/>
  <c r="K47" i="8"/>
  <c r="K52" i="8"/>
  <c r="Z19" i="8"/>
  <c r="BG12" i="10"/>
  <c r="BG50" i="10" s="1"/>
  <c r="BG51" i="9"/>
  <c r="J49" i="8"/>
  <c r="J52" i="8"/>
  <c r="J47" i="8"/>
  <c r="AM12" i="10"/>
  <c r="AM50" i="10" s="1"/>
  <c r="AM51" i="9"/>
  <c r="L13" i="9"/>
  <c r="L53" i="9" s="1"/>
  <c r="L53" i="8"/>
  <c r="R13" i="12"/>
  <c r="R53" i="12" s="1"/>
  <c r="R54" i="12" s="1"/>
  <c r="R65" i="12" s="1"/>
  <c r="R53" i="11"/>
  <c r="AL47" i="8"/>
  <c r="AL49" i="8"/>
  <c r="AL52" i="8"/>
  <c r="Y12" i="10"/>
  <c r="Y50" i="10" s="1"/>
  <c r="Y51" i="9"/>
  <c r="AM49" i="8"/>
  <c r="AM47" i="8"/>
  <c r="AM52" i="8"/>
  <c r="L12" i="9"/>
  <c r="L50" i="9" s="1"/>
  <c r="L50" i="8"/>
  <c r="X12" i="10"/>
  <c r="X50" i="10" s="1"/>
  <c r="X51" i="9"/>
  <c r="Y13" i="10"/>
  <c r="Y53" i="10" s="1"/>
  <c r="Y54" i="9"/>
  <c r="X13" i="10"/>
  <c r="X53" i="10" s="1"/>
  <c r="X54" i="9"/>
  <c r="BJ13" i="11"/>
  <c r="BJ54" i="10"/>
  <c r="BK54" i="10" l="1"/>
  <c r="BK13" i="11"/>
  <c r="X54" i="10"/>
  <c r="X13" i="11"/>
  <c r="X52" i="11" s="1"/>
  <c r="X12" i="11"/>
  <c r="X49" i="11" s="1"/>
  <c r="X51" i="10"/>
  <c r="AL53" i="8"/>
  <c r="AN13" i="9"/>
  <c r="AN53" i="9" s="1"/>
  <c r="J12" i="9"/>
  <c r="J50" i="9" s="1"/>
  <c r="J50" i="8"/>
  <c r="Z20" i="8"/>
  <c r="AM54" i="10"/>
  <c r="AM13" i="11"/>
  <c r="AM52" i="11" s="1"/>
  <c r="AL50" i="8"/>
  <c r="AN12" i="9"/>
  <c r="AN50" i="9" s="1"/>
  <c r="K13" i="9"/>
  <c r="K53" i="9" s="1"/>
  <c r="K53" i="8"/>
  <c r="BK13" i="12"/>
  <c r="Y13" i="11"/>
  <c r="Y52" i="11" s="1"/>
  <c r="Y54" i="10"/>
  <c r="L12" i="10"/>
  <c r="L50" i="10" s="1"/>
  <c r="L51" i="9"/>
  <c r="L13" i="10"/>
  <c r="L53" i="10" s="1"/>
  <c r="L54" i="9"/>
  <c r="BG51" i="10"/>
  <c r="BG12" i="11"/>
  <c r="BG49" i="11" s="1"/>
  <c r="AM50" i="8"/>
  <c r="AO12" i="9"/>
  <c r="AO50" i="9" s="1"/>
  <c r="AM12" i="11"/>
  <c r="AM49" i="11" s="1"/>
  <c r="AM51" i="10"/>
  <c r="BG13" i="11"/>
  <c r="BG52" i="11" s="1"/>
  <c r="BG54" i="10"/>
  <c r="AO13" i="9"/>
  <c r="AO53" i="9" s="1"/>
  <c r="AM53" i="8"/>
  <c r="Y12" i="11"/>
  <c r="Y49" i="11" s="1"/>
  <c r="Y51" i="10"/>
  <c r="J13" i="9"/>
  <c r="J53" i="9" s="1"/>
  <c r="J53" i="8"/>
  <c r="K50" i="8"/>
  <c r="K12" i="9"/>
  <c r="K50" i="9" s="1"/>
  <c r="BK53" i="12" l="1"/>
  <c r="BK54" i="12" s="1"/>
  <c r="BK65" i="12" s="1"/>
  <c r="AO54" i="9"/>
  <c r="AO13" i="10"/>
  <c r="AO53" i="10" s="1"/>
  <c r="AM12" i="12"/>
  <c r="AM50" i="12" s="1"/>
  <c r="AM51" i="12" s="1"/>
  <c r="AM61" i="12" s="1"/>
  <c r="AM50" i="11"/>
  <c r="AM13" i="12"/>
  <c r="AM53" i="12" s="1"/>
  <c r="AM54" i="12" s="1"/>
  <c r="AM65" i="12" s="1"/>
  <c r="AM53" i="11"/>
  <c r="J54" i="9"/>
  <c r="J13" i="10"/>
  <c r="J53" i="10" s="1"/>
  <c r="L54" i="10"/>
  <c r="L13" i="11"/>
  <c r="L52" i="11" s="1"/>
  <c r="K13" i="10"/>
  <c r="K53" i="10" s="1"/>
  <c r="K54" i="9"/>
  <c r="J12" i="10"/>
  <c r="J50" i="10" s="1"/>
  <c r="J51" i="9"/>
  <c r="X12" i="12"/>
  <c r="X50" i="12" s="1"/>
  <c r="X51" i="12" s="1"/>
  <c r="X61" i="12" s="1"/>
  <c r="X50" i="11"/>
  <c r="AO51" i="9"/>
  <c r="AO12" i="10"/>
  <c r="AO50" i="10" s="1"/>
  <c r="Y53" i="11"/>
  <c r="Y13" i="12"/>
  <c r="Y53" i="12" s="1"/>
  <c r="Y54" i="12" s="1"/>
  <c r="Y65" i="12" s="1"/>
  <c r="Y12" i="12"/>
  <c r="Y50" i="12" s="1"/>
  <c r="Y51" i="12" s="1"/>
  <c r="Y61" i="12" s="1"/>
  <c r="Y50" i="11"/>
  <c r="BG53" i="11"/>
  <c r="BH13" i="12"/>
  <c r="BH53" i="12" s="1"/>
  <c r="BH54" i="12" s="1"/>
  <c r="BH65" i="12" s="1"/>
  <c r="BH12" i="12"/>
  <c r="BH50" i="12" s="1"/>
  <c r="BH51" i="12" s="1"/>
  <c r="BH61" i="12" s="1"/>
  <c r="BG50" i="11"/>
  <c r="AN51" i="9"/>
  <c r="AN12" i="10"/>
  <c r="AN50" i="10" s="1"/>
  <c r="Z21" i="8"/>
  <c r="AN13" i="10"/>
  <c r="AN53" i="10" s="1"/>
  <c r="AN54" i="9"/>
  <c r="X53" i="11"/>
  <c r="X13" i="12"/>
  <c r="X53" i="12" s="1"/>
  <c r="X54" i="12" s="1"/>
  <c r="X65" i="12" s="1"/>
  <c r="K12" i="10"/>
  <c r="K50" i="10" s="1"/>
  <c r="K51" i="9"/>
  <c r="L51" i="10"/>
  <c r="L12" i="11"/>
  <c r="L49" i="11" s="1"/>
  <c r="J13" i="11" l="1"/>
  <c r="J52" i="11" s="1"/>
  <c r="J54" i="10"/>
  <c r="K12" i="11"/>
  <c r="K49" i="11" s="1"/>
  <c r="K51" i="10"/>
  <c r="K13" i="11"/>
  <c r="K52" i="11" s="1"/>
  <c r="K54" i="10"/>
  <c r="AN51" i="10"/>
  <c r="AN12" i="11"/>
  <c r="AN49" i="11" s="1"/>
  <c r="AN13" i="11"/>
  <c r="AN52" i="11" s="1"/>
  <c r="AN54" i="10"/>
  <c r="AO51" i="10"/>
  <c r="AO12" i="11"/>
  <c r="AO49" i="11" s="1"/>
  <c r="L13" i="12"/>
  <c r="L53" i="12" s="1"/>
  <c r="L54" i="12" s="1"/>
  <c r="L65" i="12" s="1"/>
  <c r="L53" i="11"/>
  <c r="AO54" i="10"/>
  <c r="AO13" i="11"/>
  <c r="AO52" i="11" s="1"/>
  <c r="L12" i="12"/>
  <c r="L50" i="12" s="1"/>
  <c r="L51" i="12" s="1"/>
  <c r="L61" i="12" s="1"/>
  <c r="L50" i="11"/>
  <c r="Z22" i="8"/>
  <c r="J12" i="11"/>
  <c r="J49" i="11" s="1"/>
  <c r="J51" i="10"/>
  <c r="AO50" i="11" l="1"/>
  <c r="AO12" i="12"/>
  <c r="AO50" i="12" s="1"/>
  <c r="AO51" i="12" s="1"/>
  <c r="AO61" i="12" s="1"/>
  <c r="K12" i="12"/>
  <c r="K50" i="12" s="1"/>
  <c r="K51" i="12" s="1"/>
  <c r="K61" i="12" s="1"/>
  <c r="K50" i="11"/>
  <c r="AO13" i="12"/>
  <c r="AO53" i="12" s="1"/>
  <c r="AO54" i="12" s="1"/>
  <c r="AO65" i="12" s="1"/>
  <c r="AO53" i="11"/>
  <c r="Z23" i="8"/>
  <c r="AN12" i="12"/>
  <c r="AN50" i="12" s="1"/>
  <c r="AN51" i="12" s="1"/>
  <c r="AN61" i="12" s="1"/>
  <c r="AN50" i="11"/>
  <c r="J50" i="11"/>
  <c r="J12" i="12"/>
  <c r="J50" i="12" s="1"/>
  <c r="J51" i="12" s="1"/>
  <c r="J61" i="12" s="1"/>
  <c r="AN13" i="12"/>
  <c r="AN53" i="12" s="1"/>
  <c r="AN54" i="12" s="1"/>
  <c r="AN65" i="12" s="1"/>
  <c r="AN53" i="11"/>
  <c r="K53" i="11"/>
  <c r="K13" i="12"/>
  <c r="K53" i="12" s="1"/>
  <c r="K54" i="12" s="1"/>
  <c r="K65" i="12" s="1"/>
  <c r="J13" i="12"/>
  <c r="J53" i="12" s="1"/>
  <c r="J54" i="12" s="1"/>
  <c r="J65" i="12" s="1"/>
  <c r="J53" i="11"/>
  <c r="Z24" i="8" l="1"/>
  <c r="Z25" i="8" l="1"/>
  <c r="Z26" i="8" l="1"/>
  <c r="Z27" i="8" l="1"/>
  <c r="Z28" i="8" l="1"/>
  <c r="Z29" i="8" l="1"/>
  <c r="Z30" i="8" l="1"/>
  <c r="Z31" i="8" l="1"/>
  <c r="Z32" i="8" l="1"/>
  <c r="Z33" i="8" l="1"/>
  <c r="Z34" i="8" l="1"/>
  <c r="Z35" i="8" l="1"/>
  <c r="Z36" i="8" l="1"/>
  <c r="Z37" i="8" l="1"/>
  <c r="Z38" i="8" l="1"/>
  <c r="Z39" i="8" l="1"/>
  <c r="Z40" i="8" l="1"/>
  <c r="Z41" i="8" l="1"/>
  <c r="Z42" i="8" l="1"/>
  <c r="Z43" i="8" l="1"/>
  <c r="Z44" i="8" l="1"/>
  <c r="AW15" i="7" l="1"/>
  <c r="Z12" i="9"/>
  <c r="Z15" i="9" s="1"/>
  <c r="Z56" i="8"/>
  <c r="Z58" i="8" s="1"/>
  <c r="AB58" i="8" s="1"/>
  <c r="Z49" i="8"/>
  <c r="Z50" i="8" s="1"/>
  <c r="AC16" i="7" l="1"/>
  <c r="AW16" i="7" s="1"/>
  <c r="AC17" i="7" s="1"/>
  <c r="AW17" i="7" s="1"/>
  <c r="AC18" i="7" s="1"/>
  <c r="AW18" i="7" s="1"/>
  <c r="AC19" i="7" s="1"/>
  <c r="AW19" i="7" s="1"/>
  <c r="AC20" i="7" s="1"/>
  <c r="AW20" i="7" s="1"/>
  <c r="AC21" i="7" s="1"/>
  <c r="AW21" i="7" s="1"/>
  <c r="AC22" i="7" s="1"/>
  <c r="AW22" i="7" s="1"/>
  <c r="AC23" i="7" s="1"/>
  <c r="AW23" i="7" s="1"/>
  <c r="AC24" i="7" s="1"/>
  <c r="AW24" i="7" s="1"/>
  <c r="AC25" i="7" s="1"/>
  <c r="AW25" i="7" s="1"/>
  <c r="AC26" i="7" s="1"/>
  <c r="AW26" i="7" s="1"/>
  <c r="AC27" i="7" s="1"/>
  <c r="AW27" i="7" s="1"/>
  <c r="AC28" i="7" s="1"/>
  <c r="AW28" i="7" s="1"/>
  <c r="AC29" i="7" s="1"/>
  <c r="AW29" i="7" s="1"/>
  <c r="AC30" i="7" s="1"/>
  <c r="AW30" i="7" s="1"/>
  <c r="AC31" i="7" s="1"/>
  <c r="AW31" i="7" s="1"/>
  <c r="AC32" i="7" s="1"/>
  <c r="AW32" i="7" s="1"/>
  <c r="AC33" i="7" s="1"/>
  <c r="AW33" i="7" s="1"/>
  <c r="AC34" i="7" s="1"/>
  <c r="AW34" i="7" s="1"/>
  <c r="AC35" i="7" s="1"/>
  <c r="AW35" i="7" s="1"/>
  <c r="AC36" i="7" s="1"/>
  <c r="AW36" i="7" s="1"/>
  <c r="AC37" i="7" s="1"/>
  <c r="AW37" i="7" s="1"/>
  <c r="AC38" i="7" s="1"/>
  <c r="AW38" i="7" s="1"/>
  <c r="AC39" i="7" s="1"/>
  <c r="AW39" i="7" s="1"/>
  <c r="AC40" i="7" s="1"/>
  <c r="AW40" i="7" s="1"/>
  <c r="AC41" i="7" s="1"/>
  <c r="AW41" i="7" s="1"/>
  <c r="AC42" i="7" s="1"/>
  <c r="AW42" i="7" s="1"/>
  <c r="AC43" i="7" s="1"/>
  <c r="AW43" i="7" s="1"/>
  <c r="AC44" i="7" s="1"/>
  <c r="AW44" i="7" s="1"/>
  <c r="AC45" i="7" s="1"/>
  <c r="Z16" i="9"/>
  <c r="AW45" i="7" l="1"/>
  <c r="AW13" i="8" s="1"/>
  <c r="AC12" i="8"/>
  <c r="AC47" i="7"/>
  <c r="Z17" i="9"/>
  <c r="AC15" i="8" l="1"/>
  <c r="AW15" i="8" s="1"/>
  <c r="AC16" i="8" s="1"/>
  <c r="AW16" i="8" s="1"/>
  <c r="AC17" i="8" s="1"/>
  <c r="AW17" i="8" s="1"/>
  <c r="AC18" i="8" s="1"/>
  <c r="AW18" i="8" s="1"/>
  <c r="AC19" i="8" s="1"/>
  <c r="AW19" i="8" s="1"/>
  <c r="AC20" i="8" s="1"/>
  <c r="AW20" i="8" s="1"/>
  <c r="AC21" i="8" s="1"/>
  <c r="AW21" i="8" s="1"/>
  <c r="AC22" i="8" s="1"/>
  <c r="AW22" i="8" s="1"/>
  <c r="AC23" i="8" s="1"/>
  <c r="AW23" i="8" s="1"/>
  <c r="AC24" i="8" s="1"/>
  <c r="AW24" i="8" s="1"/>
  <c r="AC25" i="8" s="1"/>
  <c r="AW25" i="8" s="1"/>
  <c r="AC26" i="8" s="1"/>
  <c r="AW26" i="8" s="1"/>
  <c r="AC27" i="8" s="1"/>
  <c r="AW27" i="8" s="1"/>
  <c r="AC28" i="8" s="1"/>
  <c r="AW28" i="8" s="1"/>
  <c r="AC29" i="8" s="1"/>
  <c r="AW29" i="8" s="1"/>
  <c r="AC30" i="8" s="1"/>
  <c r="AW30" i="8" s="1"/>
  <c r="AC31" i="8" s="1"/>
  <c r="AW31" i="8" s="1"/>
  <c r="AC32" i="8" s="1"/>
  <c r="AW32" i="8" s="1"/>
  <c r="AC33" i="8" s="1"/>
  <c r="AW33" i="8" s="1"/>
  <c r="AC34" i="8" s="1"/>
  <c r="AW34" i="8" s="1"/>
  <c r="AC35" i="8" s="1"/>
  <c r="AW35" i="8" s="1"/>
  <c r="AC36" i="8" s="1"/>
  <c r="AW36" i="8" s="1"/>
  <c r="AC37" i="8" s="1"/>
  <c r="AW37" i="8" s="1"/>
  <c r="AC38" i="8" s="1"/>
  <c r="AW38" i="8" s="1"/>
  <c r="AC39" i="8" s="1"/>
  <c r="AW39" i="8" s="1"/>
  <c r="AC40" i="8" s="1"/>
  <c r="AW40" i="8" s="1"/>
  <c r="AC41" i="8" s="1"/>
  <c r="AW41" i="8" s="1"/>
  <c r="AC42" i="8" s="1"/>
  <c r="AW42" i="8" s="1"/>
  <c r="AC43" i="8" s="1"/>
  <c r="AW43" i="8" s="1"/>
  <c r="AC44" i="8" s="1"/>
  <c r="AC50" i="7"/>
  <c r="AC51" i="7" s="1"/>
  <c r="AC48" i="7"/>
  <c r="AW48" i="7"/>
  <c r="Z18" i="9"/>
  <c r="AW44" i="8" l="1"/>
  <c r="AX13" i="9" s="1"/>
  <c r="AC46" i="8"/>
  <c r="AC12" i="9"/>
  <c r="AW51" i="7"/>
  <c r="AW12" i="8" s="1"/>
  <c r="AW54" i="7"/>
  <c r="Z19" i="9"/>
  <c r="AC49" i="8" l="1"/>
  <c r="AC50" i="8" s="1"/>
  <c r="AC47" i="8"/>
  <c r="AC15" i="9"/>
  <c r="AX15" i="9" s="1"/>
  <c r="AC16" i="9" s="1"/>
  <c r="AX16" i="9" s="1"/>
  <c r="AC17" i="9" s="1"/>
  <c r="AX17" i="9" s="1"/>
  <c r="AC18" i="9" s="1"/>
  <c r="AX18" i="9" s="1"/>
  <c r="AC19" i="9" s="1"/>
  <c r="AX19" i="9" s="1"/>
  <c r="AC20" i="9" s="1"/>
  <c r="AW47" i="8"/>
  <c r="AW50" i="8" s="1"/>
  <c r="AX12" i="9" s="1"/>
  <c r="Z20" i="9"/>
  <c r="AW53" i="8" l="1"/>
  <c r="Z21" i="9"/>
  <c r="AX20" i="9"/>
  <c r="AC21" i="9" l="1"/>
  <c r="AX21" i="9" s="1"/>
  <c r="AC22" i="9" s="1"/>
  <c r="Z22" i="9"/>
  <c r="Z23" i="9" l="1"/>
  <c r="AX22" i="9"/>
  <c r="AC23" i="9" s="1"/>
  <c r="Z24" i="9" l="1"/>
  <c r="AX23" i="9"/>
  <c r="AC24" i="9" s="1"/>
  <c r="Z25" i="9" l="1"/>
  <c r="AX24" i="9"/>
  <c r="AC25" i="9" s="1"/>
  <c r="Z26" i="9" l="1"/>
  <c r="AX25" i="9"/>
  <c r="AC26" i="9" s="1"/>
  <c r="Z27" i="9" l="1"/>
  <c r="AX26" i="9"/>
  <c r="AC27" i="9" s="1"/>
  <c r="Z28" i="9" l="1"/>
  <c r="AX27" i="9"/>
  <c r="AC28" i="9" s="1"/>
  <c r="Z29" i="9" l="1"/>
  <c r="AX28" i="9"/>
  <c r="AC29" i="9" s="1"/>
  <c r="Z30" i="9" l="1"/>
  <c r="AX29" i="9"/>
  <c r="AC30" i="9" s="1"/>
  <c r="Z31" i="9" l="1"/>
  <c r="AX30" i="9"/>
  <c r="AC31" i="9" s="1"/>
  <c r="Z32" i="9" l="1"/>
  <c r="AX31" i="9"/>
  <c r="AC32" i="9" s="1"/>
  <c r="Z33" i="9" l="1"/>
  <c r="AX32" i="9"/>
  <c r="AC33" i="9" s="1"/>
  <c r="Z34" i="9" l="1"/>
  <c r="AX33" i="9"/>
  <c r="AC34" i="9" s="1"/>
  <c r="Z35" i="9" l="1"/>
  <c r="AX34" i="9"/>
  <c r="AC35" i="9" s="1"/>
  <c r="Z36" i="9" l="1"/>
  <c r="AX35" i="9"/>
  <c r="AC36" i="9" s="1"/>
  <c r="Z37" i="9" l="1"/>
  <c r="AX36" i="9"/>
  <c r="AC37" i="9" s="1"/>
  <c r="Z38" i="9" l="1"/>
  <c r="Z39" i="9" s="1"/>
  <c r="Z40" i="9" s="1"/>
  <c r="Z41" i="9" s="1"/>
  <c r="Z42" i="9" s="1"/>
  <c r="AX37" i="9"/>
  <c r="AC38" i="9" s="1"/>
  <c r="AX38" i="9" l="1"/>
  <c r="AC39" i="9" s="1"/>
  <c r="AX39" i="9" l="1"/>
  <c r="AC40" i="9" s="1"/>
  <c r="AX40" i="9" l="1"/>
  <c r="AC41" i="9" s="1"/>
  <c r="AX41" i="9" l="1"/>
  <c r="AC42" i="9" s="1"/>
  <c r="Z43" i="9" l="1"/>
  <c r="AX42" i="9"/>
  <c r="AC43" i="9" s="1"/>
  <c r="Z44" i="9" l="1"/>
  <c r="AX43" i="9"/>
  <c r="AC44" i="9" s="1"/>
  <c r="AX44" i="9" l="1"/>
  <c r="AC45" i="9" s="1"/>
  <c r="AC12" i="10" s="1"/>
  <c r="Z45" i="9"/>
  <c r="Z12" i="10" l="1"/>
  <c r="Z15" i="10" s="1"/>
  <c r="AX45" i="9"/>
  <c r="Z16" i="10" l="1"/>
  <c r="Z12" i="11"/>
  <c r="Z12" i="12" s="1"/>
  <c r="AX48" i="9"/>
  <c r="AX54" i="9" s="1"/>
  <c r="AX13" i="10"/>
  <c r="AC15" i="10" s="1"/>
  <c r="AX15" i="10" s="1"/>
  <c r="AC16" i="10" s="1"/>
  <c r="Z17" i="10" l="1"/>
  <c r="AX16" i="10"/>
  <c r="AC17" i="10" s="1"/>
  <c r="AX51" i="9"/>
  <c r="AX12" i="10" s="1"/>
  <c r="Z18" i="10" l="1"/>
  <c r="AX17" i="10"/>
  <c r="AC18" i="10" s="1"/>
  <c r="Z19" i="10" l="1"/>
  <c r="AX18" i="10"/>
  <c r="AC19" i="10" s="1"/>
  <c r="Z20" i="10" l="1"/>
  <c r="AX19" i="10"/>
  <c r="AC20" i="10" l="1"/>
  <c r="AX20" i="10" s="1"/>
  <c r="AC21" i="10" s="1"/>
  <c r="Z21" i="10"/>
  <c r="Z22" i="10" l="1"/>
  <c r="AX21" i="10"/>
  <c r="AC22" i="10" s="1"/>
  <c r="AX22" i="10" l="1"/>
  <c r="Z23" i="10"/>
  <c r="Z24" i="10" l="1"/>
  <c r="AC23" i="10"/>
  <c r="AX23" i="10" s="1"/>
  <c r="AC24" i="10" l="1"/>
  <c r="AX24" i="10" s="1"/>
  <c r="AC25" i="10" s="1"/>
  <c r="Z25" i="10"/>
  <c r="Z26" i="10" l="1"/>
  <c r="AX25" i="10"/>
  <c r="AC26" i="10" s="1"/>
  <c r="Z27" i="10" l="1"/>
  <c r="AX26" i="10"/>
  <c r="AC27" i="10" s="1"/>
  <c r="Z28" i="10" l="1"/>
  <c r="AX27" i="10"/>
  <c r="AC28" i="10" s="1"/>
  <c r="Z29" i="10" l="1"/>
  <c r="AX28" i="10"/>
  <c r="AC29" i="10" s="1"/>
  <c r="Z30" i="10" l="1"/>
  <c r="AX29" i="10"/>
  <c r="AC30" i="10" s="1"/>
  <c r="Z31" i="10" l="1"/>
  <c r="AX30" i="10"/>
  <c r="AC31" i="10" s="1"/>
  <c r="AA47" i="10" l="1"/>
  <c r="AX31" i="10"/>
  <c r="AX32" i="10" l="1"/>
  <c r="AA48" i="10"/>
  <c r="AA50" i="10"/>
  <c r="AA51" i="10" s="1"/>
  <c r="AC33" i="10" l="1"/>
  <c r="AX33" i="10" s="1"/>
  <c r="AC34" i="10" l="1"/>
  <c r="AX34" i="10" s="1"/>
  <c r="AC35" i="10" l="1"/>
  <c r="AX35" i="10" s="1"/>
  <c r="AC36" i="10" s="1"/>
  <c r="AX36" i="10" s="1"/>
  <c r="AC37" i="10" s="1"/>
  <c r="AX37" i="10" s="1"/>
  <c r="AC38" i="10" s="1"/>
  <c r="AX38" i="10" s="1"/>
  <c r="AC39" i="10" s="1"/>
  <c r="AX39" i="10" s="1"/>
  <c r="AC40" i="10" s="1"/>
  <c r="AX40" i="10" s="1"/>
  <c r="AC41" i="10" s="1"/>
  <c r="AX41" i="10" s="1"/>
  <c r="AX42" i="10" l="1"/>
  <c r="AC43" i="10" s="1"/>
  <c r="AX43" i="10" l="1"/>
  <c r="AC44" i="10" l="1"/>
  <c r="AX44" i="10"/>
  <c r="AX45" i="10" l="1"/>
  <c r="AX13" i="11" s="1"/>
  <c r="AC12" i="11"/>
  <c r="AF45" i="10"/>
  <c r="AX48" i="10"/>
  <c r="AC15" i="11" l="1"/>
  <c r="AX15" i="11" s="1"/>
  <c r="AC16" i="11" s="1"/>
  <c r="AX16" i="11" s="1"/>
  <c r="AC17" i="11" s="1"/>
  <c r="AX17" i="11" s="1"/>
  <c r="AC18" i="11" s="1"/>
  <c r="AX18" i="11" s="1"/>
  <c r="AC19" i="11" s="1"/>
  <c r="AX19" i="11" s="1"/>
  <c r="AC20" i="11" s="1"/>
  <c r="AX20" i="11" s="1"/>
  <c r="AC21" i="11" s="1"/>
  <c r="AX21" i="11" s="1"/>
  <c r="AC22" i="11" s="1"/>
  <c r="AX22" i="11" s="1"/>
  <c r="AC23" i="11" s="1"/>
  <c r="AX54" i="10"/>
  <c r="AX51" i="10"/>
  <c r="AX12" i="11" s="1"/>
  <c r="AF47" i="10"/>
  <c r="AF12" i="11"/>
  <c r="AF15" i="11" s="1"/>
  <c r="BJ15" i="11" l="1"/>
  <c r="BK15" i="11" s="1"/>
  <c r="AF16" i="11"/>
  <c r="AF53" i="10"/>
  <c r="AF50" i="10"/>
  <c r="AF51" i="10" s="1"/>
  <c r="AF48" i="10"/>
  <c r="AX23" i="11"/>
  <c r="AC24" i="11" s="1"/>
  <c r="AX24" i="11" s="1"/>
  <c r="AC25" i="11" s="1"/>
  <c r="AX25" i="11" s="1"/>
  <c r="AC26" i="11" s="1"/>
  <c r="AF13" i="11" l="1"/>
  <c r="AF54" i="10"/>
  <c r="BJ16" i="11"/>
  <c r="BK16" i="11" s="1"/>
  <c r="AF17" i="11"/>
  <c r="AX26" i="11"/>
  <c r="AC27" i="11" s="1"/>
  <c r="AX27" i="11" s="1"/>
  <c r="AC28" i="11" s="1"/>
  <c r="BJ17" i="11" l="1"/>
  <c r="BK17" i="11" s="1"/>
  <c r="AF18" i="11"/>
  <c r="AX28" i="11"/>
  <c r="AC29" i="11" s="1"/>
  <c r="BJ18" i="11" l="1"/>
  <c r="BK18" i="11" s="1"/>
  <c r="AF19" i="11"/>
  <c r="AX29" i="11"/>
  <c r="AC30" i="11" s="1"/>
  <c r="AF20" i="11" l="1"/>
  <c r="BJ19" i="11"/>
  <c r="BK19" i="11" s="1"/>
  <c r="AX30" i="11"/>
  <c r="AC31" i="11" s="1"/>
  <c r="AF21" i="11" l="1"/>
  <c r="BJ20" i="11"/>
  <c r="BK20" i="11" s="1"/>
  <c r="AX31" i="11"/>
  <c r="AC32" i="11" s="1"/>
  <c r="AX32" i="11" s="1"/>
  <c r="AC33" i="11" s="1"/>
  <c r="AF22" i="11" l="1"/>
  <c r="BJ21" i="11"/>
  <c r="BK21" i="11" s="1"/>
  <c r="AX33" i="11"/>
  <c r="AC34" i="11" s="1"/>
  <c r="AX34" i="11" s="1"/>
  <c r="AC35" i="11" s="1"/>
  <c r="AX35" i="11" s="1"/>
  <c r="AC36" i="11" s="1"/>
  <c r="BJ22" i="11" l="1"/>
  <c r="BK22" i="11" s="1"/>
  <c r="AF23" i="11"/>
  <c r="AX36" i="11"/>
  <c r="AC37" i="11" s="1"/>
  <c r="AF24" i="11" l="1"/>
  <c r="BJ23" i="11"/>
  <c r="BK23" i="11" s="1"/>
  <c r="AX37" i="11"/>
  <c r="AC38" i="11" s="1"/>
  <c r="AX38" i="11" s="1"/>
  <c r="AC39" i="11" s="1"/>
  <c r="AX39" i="11" s="1"/>
  <c r="AC40" i="11" s="1"/>
  <c r="AX40" i="11" s="1"/>
  <c r="AC41" i="11" s="1"/>
  <c r="AF25" i="11" l="1"/>
  <c r="BJ24" i="11"/>
  <c r="BK24" i="11" s="1"/>
  <c r="AX41" i="11"/>
  <c r="BJ25" i="11" l="1"/>
  <c r="BK25" i="11" s="1"/>
  <c r="AF26" i="11"/>
  <c r="BJ26" i="11" l="1"/>
  <c r="BK26" i="11" s="1"/>
  <c r="AF27" i="11"/>
  <c r="AX42" i="11"/>
  <c r="BJ27" i="11" l="1"/>
  <c r="BK27" i="11" s="1"/>
  <c r="AF28" i="11"/>
  <c r="AF29" i="11" l="1"/>
  <c r="BJ28" i="11"/>
  <c r="BK28" i="11" s="1"/>
  <c r="AX43" i="11"/>
  <c r="BJ29" i="11" l="1"/>
  <c r="BK29" i="11" s="1"/>
  <c r="AF30" i="11"/>
  <c r="AX44" i="11"/>
  <c r="AX47" i="11" s="1"/>
  <c r="AC12" i="12"/>
  <c r="BJ30" i="11" l="1"/>
  <c r="BK30" i="11" s="1"/>
  <c r="AF31" i="11"/>
  <c r="AX53" i="11"/>
  <c r="AX13" i="12" s="1"/>
  <c r="AX50" i="11"/>
  <c r="AX12" i="12" s="1"/>
  <c r="BJ31" i="11" l="1"/>
  <c r="BK31" i="11" s="1"/>
  <c r="AF32" i="11"/>
  <c r="BJ32" i="11" l="1"/>
  <c r="BK32" i="11" s="1"/>
  <c r="AF33" i="11"/>
  <c r="AX15" i="12"/>
  <c r="AF34" i="11" l="1"/>
  <c r="BJ33" i="11"/>
  <c r="BK33" i="11" s="1"/>
  <c r="BJ34" i="11" l="1"/>
  <c r="BK34" i="11" s="1"/>
  <c r="AF35" i="11"/>
  <c r="AX16" i="12"/>
  <c r="AX17" i="12" s="1"/>
  <c r="AF36" i="11" l="1"/>
  <c r="BJ35" i="11"/>
  <c r="BK35" i="11" s="1"/>
  <c r="AX18" i="12"/>
  <c r="BJ36" i="11" l="1"/>
  <c r="BK36" i="11" s="1"/>
  <c r="AF37" i="11"/>
  <c r="AX19" i="12"/>
  <c r="AF38" i="11" l="1"/>
  <c r="BJ37" i="11"/>
  <c r="BK37" i="11" s="1"/>
  <c r="AX20" i="12"/>
  <c r="AF39" i="11" l="1"/>
  <c r="BJ38" i="11"/>
  <c r="BK38" i="11" s="1"/>
  <c r="AX21" i="12"/>
  <c r="AF40" i="11" l="1"/>
  <c r="BJ39" i="11"/>
  <c r="BK39" i="11" s="1"/>
  <c r="AX22" i="12"/>
  <c r="AF41" i="11" l="1"/>
  <c r="BJ40" i="11"/>
  <c r="BK40" i="11" s="1"/>
  <c r="AX23" i="12"/>
  <c r="AF42" i="11" l="1"/>
  <c r="BJ41" i="11"/>
  <c r="BK41" i="11" s="1"/>
  <c r="AX24" i="12"/>
  <c r="BJ42" i="11" l="1"/>
  <c r="BK42" i="11" s="1"/>
  <c r="AF43" i="11"/>
  <c r="AF44" i="11" l="1"/>
  <c r="BJ43" i="11"/>
  <c r="BK43" i="11" s="1"/>
  <c r="AX25" i="12"/>
  <c r="AF12" i="12" l="1"/>
  <c r="AF15" i="12" s="1"/>
  <c r="AF16" i="12" s="1"/>
  <c r="AF17" i="12" s="1"/>
  <c r="AF18" i="12" s="1"/>
  <c r="AF19" i="12" s="1"/>
  <c r="AF20" i="12" s="1"/>
  <c r="AF21" i="12" s="1"/>
  <c r="AF22" i="12" s="1"/>
  <c r="AF23" i="12" s="1"/>
  <c r="AF24" i="12" s="1"/>
  <c r="AF25" i="12" s="1"/>
  <c r="AF26" i="12" s="1"/>
  <c r="AF46" i="11"/>
  <c r="BJ44" i="11"/>
  <c r="AX26" i="12"/>
  <c r="BK44" i="11" l="1"/>
  <c r="BK46" i="11" s="1"/>
  <c r="BJ46" i="11"/>
  <c r="AF52" i="11"/>
  <c r="AF47" i="11"/>
  <c r="AF49" i="11"/>
  <c r="AF50" i="11" s="1"/>
  <c r="AX27" i="12"/>
  <c r="AF27" i="12"/>
  <c r="AF28" i="12" s="1"/>
  <c r="BJ49" i="11" l="1"/>
  <c r="BJ52" i="11"/>
  <c r="BJ53" i="11" s="1"/>
  <c r="BJ47" i="11"/>
  <c r="AF53" i="11"/>
  <c r="AF13" i="12"/>
  <c r="BK52" i="11"/>
  <c r="BK49" i="11"/>
  <c r="BK47" i="11"/>
  <c r="AX28" i="12"/>
  <c r="AX29" i="12" s="1"/>
  <c r="AX48" i="12" s="1"/>
  <c r="AX54" i="12" s="1"/>
  <c r="AX65" i="12" s="1"/>
  <c r="BK50" i="11" l="1"/>
  <c r="BL12" i="12"/>
  <c r="BL50" i="12" s="1"/>
  <c r="BL51" i="12" s="1"/>
  <c r="BL61" i="12" s="1"/>
  <c r="BK53" i="11"/>
  <c r="BL13" i="12"/>
  <c r="BL53" i="12" s="1"/>
  <c r="BL54" i="12" s="1"/>
  <c r="BL65" i="12" s="1"/>
  <c r="BJ50" i="11"/>
  <c r="BK12" i="12"/>
  <c r="BK50" i="12" s="1"/>
  <c r="BK51" i="12" s="1"/>
  <c r="BK61" i="12" s="1"/>
  <c r="AF29" i="12"/>
  <c r="AF47" i="12" s="1"/>
  <c r="AX51" i="12"/>
  <c r="AX61" i="12" s="1"/>
  <c r="AF50" i="12" l="1"/>
  <c r="AF51" i="12" s="1"/>
  <c r="AF53" i="12"/>
  <c r="AF54" i="12" s="1"/>
  <c r="AF65" i="12" s="1"/>
  <c r="AF48"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 A. Birk</author>
    <author>Eric Sprague</author>
    <author>Vernon</author>
  </authors>
  <commentList>
    <comment ref="AI5" authorId="0" shapeId="0" xr:uid="{00000000-0006-0000-0000-000001000000}">
      <text>
        <r>
          <rPr>
            <b/>
            <sz val="8"/>
            <color indexed="81"/>
            <rFont val="Tahoma"/>
            <family val="2"/>
          </rPr>
          <t>E. A. Birk:</t>
        </r>
        <r>
          <rPr>
            <sz val="8"/>
            <color indexed="81"/>
            <rFont val="Tahoma"/>
            <family val="2"/>
          </rPr>
          <t xml:space="preserve">
This column runs from April 1st to March 31th as according to contract.</t>
        </r>
      </text>
    </comment>
    <comment ref="R8" authorId="0" shapeId="0" xr:uid="{00000000-0006-0000-00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0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000-000004000000}">
      <text>
        <r>
          <rPr>
            <b/>
            <sz val="8"/>
            <color indexed="81"/>
            <rFont val="Tahoma"/>
            <family val="2"/>
          </rPr>
          <t>E. A. Birk:</t>
        </r>
        <r>
          <rPr>
            <sz val="8"/>
            <color indexed="81"/>
            <rFont val="Tahoma"/>
            <family val="2"/>
          </rPr>
          <t xml:space="preserve">
Cortez Non-project water is limited to 4.20 cfs/day.</t>
        </r>
      </text>
    </comment>
    <comment ref="G15" authorId="1" shapeId="0" xr:uid="{00000000-0006-0000-0000-000005000000}">
      <text>
        <r>
          <rPr>
            <b/>
            <sz val="9"/>
            <color indexed="81"/>
            <rFont val="Tahoma"/>
            <family val="2"/>
          </rPr>
          <t>Eric Sprague:</t>
        </r>
        <r>
          <rPr>
            <sz val="9"/>
            <color indexed="81"/>
            <rFont val="Tahoma"/>
            <family val="2"/>
          </rPr>
          <t xml:space="preserve">
USGS approved estimates.</t>
        </r>
      </text>
    </comment>
    <comment ref="AO15" authorId="1" shapeId="0" xr:uid="{00000000-0006-0000-0000-000006000000}">
      <text>
        <r>
          <rPr>
            <b/>
            <sz val="9"/>
            <color indexed="81"/>
            <rFont val="Tahoma"/>
            <family val="2"/>
          </rPr>
          <t>Eric Sprague:</t>
        </r>
        <r>
          <rPr>
            <sz val="9"/>
            <color indexed="81"/>
            <rFont val="Tahoma"/>
            <family val="2"/>
          </rPr>
          <t xml:space="preserve">
MVIC began filling "NARR stored in McPhee" according to their WY2020 first fill water right.</t>
        </r>
      </text>
    </comment>
    <comment ref="AO18" authorId="1" shapeId="0" xr:uid="{00000000-0006-0000-0000-000007000000}">
      <text>
        <r>
          <rPr>
            <b/>
            <sz val="9"/>
            <color indexed="81"/>
            <rFont val="Tahoma"/>
            <family val="2"/>
          </rPr>
          <t>Eric Sprague:</t>
        </r>
        <r>
          <rPr>
            <sz val="9"/>
            <color indexed="81"/>
            <rFont val="Tahoma"/>
            <family val="2"/>
          </rPr>
          <t xml:space="preserve">
MVIC began running water from NARR stored in McPhee to NARR to increase NARR Elevation.
NARR stored in McPhee will run slightly negative, but will be balanced out by inflows this winter.</t>
        </r>
      </text>
    </comment>
    <comment ref="BB47" authorId="2" shapeId="0" xr:uid="{00000000-0006-0000-0000-000008000000}">
      <text>
        <r>
          <rPr>
            <b/>
            <sz val="8"/>
            <color indexed="81"/>
            <rFont val="Tahoma"/>
            <family val="2"/>
          </rPr>
          <t>Vernon:</t>
        </r>
        <r>
          <rPr>
            <sz val="8"/>
            <color indexed="81"/>
            <rFont val="Tahoma"/>
            <family val="2"/>
          </rPr>
          <t xml:space="preserve">
The gate leaks and this is an estimated discharge via DWR (leak of 0.2 cfs per day).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 A. Birk</author>
    <author>Eric Sprague</author>
    <author>Vernon</author>
  </authors>
  <commentList>
    <comment ref="AI5" authorId="0" shapeId="0" xr:uid="{00000000-0006-0000-0100-000001000000}">
      <text>
        <r>
          <rPr>
            <b/>
            <sz val="8"/>
            <color indexed="81"/>
            <rFont val="Tahoma"/>
            <family val="2"/>
          </rPr>
          <t>E. A. Birk:</t>
        </r>
        <r>
          <rPr>
            <sz val="8"/>
            <color indexed="81"/>
            <rFont val="Tahoma"/>
            <family val="2"/>
          </rPr>
          <t xml:space="preserve">
This column runs from April 1st to March 31th as according to contract.</t>
        </r>
      </text>
    </comment>
    <comment ref="R8" authorId="0" shapeId="0" xr:uid="{00000000-0006-0000-01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1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100-000004000000}">
      <text>
        <r>
          <rPr>
            <b/>
            <sz val="8"/>
            <color indexed="81"/>
            <rFont val="Tahoma"/>
            <family val="2"/>
          </rPr>
          <t>E. A. Birk:</t>
        </r>
        <r>
          <rPr>
            <sz val="8"/>
            <color indexed="81"/>
            <rFont val="Tahoma"/>
            <family val="2"/>
          </rPr>
          <t xml:space="preserve">
Cortez Non-project water is limited to 4.20 cfs/day.</t>
        </r>
      </text>
    </comment>
    <comment ref="S22" authorId="1" shapeId="0" xr:uid="{00000000-0006-0000-0100-000006000000}">
      <text>
        <r>
          <rPr>
            <b/>
            <sz val="9"/>
            <color indexed="81"/>
            <rFont val="Tahoma"/>
            <family val="2"/>
          </rPr>
          <t>Eric Sprague:</t>
        </r>
        <r>
          <rPr>
            <sz val="9"/>
            <color indexed="81"/>
            <rFont val="Tahoma"/>
            <family val="2"/>
          </rPr>
          <t xml:space="preserve">
City's plant went down. Value estimated by Cortez.</t>
        </r>
      </text>
    </comment>
    <comment ref="S23" authorId="1" shapeId="0" xr:uid="{00000000-0006-0000-0100-000007000000}">
      <text>
        <r>
          <rPr>
            <b/>
            <sz val="9"/>
            <color indexed="81"/>
            <rFont val="Tahoma"/>
            <family val="2"/>
          </rPr>
          <t>Eric Sprague:</t>
        </r>
        <r>
          <rPr>
            <sz val="9"/>
            <color indexed="81"/>
            <rFont val="Tahoma"/>
            <family val="2"/>
          </rPr>
          <t xml:space="preserve">
City's plant went down. Value estimated by Cortez.</t>
        </r>
      </text>
    </comment>
    <comment ref="S24" authorId="1" shapeId="0" xr:uid="{00000000-0006-0000-0100-000008000000}">
      <text>
        <r>
          <rPr>
            <b/>
            <sz val="9"/>
            <color indexed="81"/>
            <rFont val="Tahoma"/>
            <family val="2"/>
          </rPr>
          <t>Eric Sprague:</t>
        </r>
        <r>
          <rPr>
            <sz val="9"/>
            <color indexed="81"/>
            <rFont val="Tahoma"/>
            <family val="2"/>
          </rPr>
          <t xml:space="preserve">
City's plant went down. Value estimated by Cortez.</t>
        </r>
      </text>
    </comment>
    <comment ref="S25" authorId="1" shapeId="0" xr:uid="{00000000-0006-0000-0100-000009000000}">
      <text>
        <r>
          <rPr>
            <b/>
            <sz val="9"/>
            <color indexed="81"/>
            <rFont val="Tahoma"/>
            <family val="2"/>
          </rPr>
          <t>Eric Sprague:</t>
        </r>
        <r>
          <rPr>
            <sz val="9"/>
            <color indexed="81"/>
            <rFont val="Tahoma"/>
            <family val="2"/>
          </rPr>
          <t xml:space="preserve">
City's plant went down. Value estimated by Cortez. Per Rich Landreth, there was no use today. I cancelled out the negative value in this cell.</t>
        </r>
      </text>
    </comment>
    <comment ref="S26" authorId="1" shapeId="0" xr:uid="{00000000-0006-0000-0100-00000A000000}">
      <text>
        <r>
          <rPr>
            <b/>
            <sz val="9"/>
            <color indexed="81"/>
            <rFont val="Tahoma"/>
            <family val="2"/>
          </rPr>
          <t>Eric Sprague:</t>
        </r>
        <r>
          <rPr>
            <sz val="9"/>
            <color indexed="81"/>
            <rFont val="Tahoma"/>
            <family val="2"/>
          </rPr>
          <t xml:space="preserve">
City's plant went down. Value estimated by Cortez. Per Rich Landreth, there was no use today. I cancelled out the negative value in this cell.</t>
        </r>
      </text>
    </comment>
    <comment ref="S27" authorId="1" shapeId="0" xr:uid="{00000000-0006-0000-0100-00000B000000}">
      <text>
        <r>
          <rPr>
            <b/>
            <sz val="9"/>
            <color indexed="81"/>
            <rFont val="Tahoma"/>
            <family val="2"/>
          </rPr>
          <t>Eric Sprague:</t>
        </r>
        <r>
          <rPr>
            <sz val="9"/>
            <color indexed="81"/>
            <rFont val="Tahoma"/>
            <family val="2"/>
          </rPr>
          <t xml:space="preserve">
City's plant went down. Value estimated by Cortez. Per Rich Landreth, there was no use today. I cancelled out the negative value in this cell.</t>
        </r>
      </text>
    </comment>
    <comment ref="S28" authorId="1" shapeId="0" xr:uid="{00000000-0006-0000-0100-00000C000000}">
      <text>
        <r>
          <rPr>
            <b/>
            <sz val="9"/>
            <color indexed="81"/>
            <rFont val="Tahoma"/>
            <family val="2"/>
          </rPr>
          <t>Eric Sprague:</t>
        </r>
        <r>
          <rPr>
            <sz val="9"/>
            <color indexed="81"/>
            <rFont val="Tahoma"/>
            <family val="2"/>
          </rPr>
          <t xml:space="preserve">
City's plant went down. Value estimated by Cortez. Per Rich Landreth, there was no use today. I cancelled out the negative value in this cell.</t>
        </r>
      </text>
    </comment>
    <comment ref="S29" authorId="1" shapeId="0" xr:uid="{00000000-0006-0000-0100-00000D000000}">
      <text>
        <r>
          <rPr>
            <b/>
            <sz val="9"/>
            <color indexed="81"/>
            <rFont val="Tahoma"/>
            <family val="2"/>
          </rPr>
          <t>Eric Sprague:</t>
        </r>
        <r>
          <rPr>
            <sz val="9"/>
            <color indexed="81"/>
            <rFont val="Tahoma"/>
            <family val="2"/>
          </rPr>
          <t xml:space="preserve">
City's plant went down. Value estimated by Cortez. Per Rich Landreth, there was no use today. I cancelled out the negative value in this cell.</t>
        </r>
      </text>
    </comment>
    <comment ref="S30" authorId="1" shapeId="0" xr:uid="{00000000-0006-0000-0100-00000E000000}">
      <text>
        <r>
          <rPr>
            <b/>
            <sz val="9"/>
            <color indexed="81"/>
            <rFont val="Tahoma"/>
            <family val="2"/>
          </rPr>
          <t>Eric Sprague:</t>
        </r>
        <r>
          <rPr>
            <sz val="9"/>
            <color indexed="81"/>
            <rFont val="Tahoma"/>
            <family val="2"/>
          </rPr>
          <t xml:space="preserve">
City's plant went down. Value estimated by Cortez. Per Rich Landreth, there was no use today. I cancelled out the negative value in this cell.</t>
        </r>
      </text>
    </comment>
    <comment ref="S31" authorId="1" shapeId="0" xr:uid="{00000000-0006-0000-0100-00000F000000}">
      <text>
        <r>
          <rPr>
            <b/>
            <sz val="9"/>
            <color indexed="81"/>
            <rFont val="Tahoma"/>
            <family val="2"/>
          </rPr>
          <t>Eric Sprague:</t>
        </r>
        <r>
          <rPr>
            <sz val="9"/>
            <color indexed="81"/>
            <rFont val="Tahoma"/>
            <family val="2"/>
          </rPr>
          <t xml:space="preserve">
City's plant went down. Value estimated by Cortez. Per Rich Landreth, there was no use today. I cancelled out the negative value in this cell.</t>
        </r>
      </text>
    </comment>
    <comment ref="S32" authorId="1" shapeId="0" xr:uid="{00000000-0006-0000-0100-000010000000}">
      <text>
        <r>
          <rPr>
            <b/>
            <sz val="9"/>
            <color indexed="81"/>
            <rFont val="Tahoma"/>
            <family val="2"/>
          </rPr>
          <t>Eric Sprague:</t>
        </r>
        <r>
          <rPr>
            <sz val="9"/>
            <color indexed="81"/>
            <rFont val="Tahoma"/>
            <family val="2"/>
          </rPr>
          <t xml:space="preserve">
City's plant went down. Value estimated by Cortez.</t>
        </r>
      </text>
    </comment>
    <comment ref="S33" authorId="1" shapeId="0" xr:uid="{00000000-0006-0000-0100-000011000000}">
      <text>
        <r>
          <rPr>
            <b/>
            <sz val="9"/>
            <color indexed="81"/>
            <rFont val="Tahoma"/>
            <family val="2"/>
          </rPr>
          <t>Eric Sprague:</t>
        </r>
        <r>
          <rPr>
            <sz val="9"/>
            <color indexed="81"/>
            <rFont val="Tahoma"/>
            <family val="2"/>
          </rPr>
          <t xml:space="preserve">
City's plant went down. Value estimated by Cortez.</t>
        </r>
      </text>
    </comment>
    <comment ref="S34" authorId="1" shapeId="0" xr:uid="{00000000-0006-0000-0100-000012000000}">
      <text>
        <r>
          <rPr>
            <b/>
            <sz val="9"/>
            <color indexed="81"/>
            <rFont val="Tahoma"/>
            <family val="2"/>
          </rPr>
          <t>Eric Sprague:</t>
        </r>
        <r>
          <rPr>
            <sz val="9"/>
            <color indexed="81"/>
            <rFont val="Tahoma"/>
            <family val="2"/>
          </rPr>
          <t xml:space="preserve">
City's plant went down. Value estimated by Cortez.</t>
        </r>
      </text>
    </comment>
    <comment ref="S35" authorId="1" shapeId="0" xr:uid="{00000000-0006-0000-0100-000013000000}">
      <text>
        <r>
          <rPr>
            <b/>
            <sz val="9"/>
            <color indexed="81"/>
            <rFont val="Tahoma"/>
            <family val="2"/>
          </rPr>
          <t>Eric Sprague:</t>
        </r>
        <r>
          <rPr>
            <sz val="9"/>
            <color indexed="81"/>
            <rFont val="Tahoma"/>
            <family val="2"/>
          </rPr>
          <t xml:space="preserve">
City's plant went down. Value estimated by Cortez.</t>
        </r>
      </text>
    </comment>
    <comment ref="S36" authorId="1" shapeId="0" xr:uid="{00000000-0006-0000-0100-000014000000}">
      <text>
        <r>
          <rPr>
            <b/>
            <sz val="9"/>
            <color indexed="81"/>
            <rFont val="Tahoma"/>
            <family val="2"/>
          </rPr>
          <t>Eric Sprague:</t>
        </r>
        <r>
          <rPr>
            <sz val="9"/>
            <color indexed="81"/>
            <rFont val="Tahoma"/>
            <family val="2"/>
          </rPr>
          <t xml:space="preserve">
City's plant went down. Value estimated by Cortez.</t>
        </r>
      </text>
    </comment>
    <comment ref="S37" authorId="1" shapeId="0" xr:uid="{00000000-0006-0000-0100-000015000000}">
      <text>
        <r>
          <rPr>
            <b/>
            <sz val="9"/>
            <color indexed="81"/>
            <rFont val="Tahoma"/>
            <family val="2"/>
          </rPr>
          <t>Eric Sprague:</t>
        </r>
        <r>
          <rPr>
            <sz val="9"/>
            <color indexed="81"/>
            <rFont val="Tahoma"/>
            <family val="2"/>
          </rPr>
          <t xml:space="preserve">
City's plant went down. Value estimated by Cortez.</t>
        </r>
      </text>
    </comment>
    <comment ref="S38" authorId="1" shapeId="0" xr:uid="{00000000-0006-0000-0100-000016000000}">
      <text>
        <r>
          <rPr>
            <b/>
            <sz val="9"/>
            <color indexed="81"/>
            <rFont val="Tahoma"/>
            <family val="2"/>
          </rPr>
          <t>Eric Sprague:</t>
        </r>
        <r>
          <rPr>
            <sz val="9"/>
            <color indexed="81"/>
            <rFont val="Tahoma"/>
            <family val="2"/>
          </rPr>
          <t xml:space="preserve">
City's plant went down. Value estimated by Cortez.</t>
        </r>
      </text>
    </comment>
    <comment ref="S39" authorId="1" shapeId="0" xr:uid="{00000000-0006-0000-0100-000017000000}">
      <text>
        <r>
          <rPr>
            <b/>
            <sz val="9"/>
            <color indexed="81"/>
            <rFont val="Tahoma"/>
            <family val="2"/>
          </rPr>
          <t>Eric Sprague:</t>
        </r>
        <r>
          <rPr>
            <sz val="9"/>
            <color indexed="81"/>
            <rFont val="Tahoma"/>
            <family val="2"/>
          </rPr>
          <t xml:space="preserve">
City's plant went down. Value estimated by Cortez.</t>
        </r>
      </text>
    </comment>
    <comment ref="S40" authorId="1" shapeId="0" xr:uid="{00000000-0006-0000-0100-000018000000}">
      <text>
        <r>
          <rPr>
            <b/>
            <sz val="9"/>
            <color indexed="81"/>
            <rFont val="Tahoma"/>
            <family val="2"/>
          </rPr>
          <t>Eric Sprague:</t>
        </r>
        <r>
          <rPr>
            <sz val="9"/>
            <color indexed="81"/>
            <rFont val="Tahoma"/>
            <family val="2"/>
          </rPr>
          <t xml:space="preserve">
City's plant went down. Value estimated by Cortez.</t>
        </r>
      </text>
    </comment>
    <comment ref="S41" authorId="1" shapeId="0" xr:uid="{00000000-0006-0000-0100-000019000000}">
      <text>
        <r>
          <rPr>
            <b/>
            <sz val="9"/>
            <color indexed="81"/>
            <rFont val="Tahoma"/>
            <family val="2"/>
          </rPr>
          <t>Eric Sprague:</t>
        </r>
        <r>
          <rPr>
            <sz val="9"/>
            <color indexed="81"/>
            <rFont val="Tahoma"/>
            <family val="2"/>
          </rPr>
          <t xml:space="preserve">
City's plant went down. Value estimated by Cortez.</t>
        </r>
      </text>
    </comment>
    <comment ref="BB48" authorId="2" shapeId="0" xr:uid="{00000000-0006-0000-0100-00001A000000}">
      <text>
        <r>
          <rPr>
            <b/>
            <sz val="8"/>
            <color indexed="81"/>
            <rFont val="Tahoma"/>
            <family val="2"/>
          </rPr>
          <t>Eric Sprague:</t>
        </r>
        <r>
          <rPr>
            <sz val="8"/>
            <color indexed="81"/>
            <rFont val="Tahoma"/>
            <family val="2"/>
          </rPr>
          <t xml:space="preserve">
The gate leaks and this is an estimated discharge via DWR (leak of 0.3 cfs per day per Doug Pickering).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Eric Sprague</author>
    <author>E. A. Birk</author>
  </authors>
  <commentList>
    <comment ref="G5" authorId="0" shapeId="0" xr:uid="{00000000-0006-0000-0200-000001000000}">
      <text>
        <r>
          <rPr>
            <b/>
            <sz val="9"/>
            <color indexed="81"/>
            <rFont val="Tahoma"/>
            <family val="2"/>
          </rPr>
          <t>Eric Sprague 2020:</t>
        </r>
        <r>
          <rPr>
            <sz val="9"/>
            <color indexed="81"/>
            <rFont val="Tahoma"/>
            <family val="2"/>
          </rPr>
          <t xml:space="preserve">
6-JAN-2019. Dolores River Inflows are estimated from reservoir elevation for this month.</t>
        </r>
      </text>
    </comment>
    <comment ref="AI5" authorId="1" shapeId="0" xr:uid="{00000000-0006-0000-0200-000002000000}">
      <text>
        <r>
          <rPr>
            <b/>
            <sz val="8"/>
            <color indexed="81"/>
            <rFont val="Tahoma"/>
            <family val="2"/>
          </rPr>
          <t>E. A. Birk:</t>
        </r>
        <r>
          <rPr>
            <sz val="8"/>
            <color indexed="81"/>
            <rFont val="Tahoma"/>
            <family val="2"/>
          </rPr>
          <t xml:space="preserve">
This column runs from April 1st to March 31th as according to contract.</t>
        </r>
      </text>
    </comment>
    <comment ref="R8" authorId="1" shapeId="0" xr:uid="{00000000-0006-0000-0200-000003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200-000004000000}">
      <text>
        <r>
          <rPr>
            <b/>
            <sz val="8"/>
            <color indexed="81"/>
            <rFont val="Tahoma"/>
            <family val="2"/>
          </rPr>
          <t>E. A. Birk:</t>
        </r>
        <r>
          <rPr>
            <sz val="8"/>
            <color indexed="81"/>
            <rFont val="Tahoma"/>
            <family val="2"/>
          </rPr>
          <t xml:space="preserve">
The formula is =(daily use from the Towaoc file*1.06)*1.04</t>
        </r>
      </text>
    </comment>
    <comment ref="R9" authorId="1" shapeId="0" xr:uid="{00000000-0006-0000-0200-000005000000}">
      <text>
        <r>
          <rPr>
            <b/>
            <sz val="8"/>
            <color indexed="81"/>
            <rFont val="Tahoma"/>
            <family val="2"/>
          </rPr>
          <t>E. A. Birk:</t>
        </r>
        <r>
          <rPr>
            <sz val="8"/>
            <color indexed="81"/>
            <rFont val="Tahoma"/>
            <family val="2"/>
          </rPr>
          <t xml:space="preserve">
Cortez Non-project water is limited to 4.20 cfs/day.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 A. Birk</author>
    <author>Eric Sprague</author>
  </authors>
  <commentList>
    <comment ref="AI5" authorId="0" shapeId="0" xr:uid="{00000000-0006-0000-0300-000001000000}">
      <text>
        <r>
          <rPr>
            <b/>
            <sz val="8"/>
            <color indexed="81"/>
            <rFont val="Tahoma"/>
            <family val="2"/>
          </rPr>
          <t>E. A. Birk:</t>
        </r>
        <r>
          <rPr>
            <sz val="8"/>
            <color indexed="81"/>
            <rFont val="Tahoma"/>
            <family val="2"/>
          </rPr>
          <t xml:space="preserve">
This column runs from April 1st to March 31th as according to contract.</t>
        </r>
      </text>
    </comment>
    <comment ref="R8" authorId="0" shapeId="0" xr:uid="{00000000-0006-0000-03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3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300-000004000000}">
      <text>
        <r>
          <rPr>
            <b/>
            <sz val="8"/>
            <color indexed="81"/>
            <rFont val="Tahoma"/>
            <family val="2"/>
          </rPr>
          <t>E. A. Birk:</t>
        </r>
        <r>
          <rPr>
            <sz val="8"/>
            <color indexed="81"/>
            <rFont val="Tahoma"/>
            <family val="2"/>
          </rPr>
          <t xml:space="preserve">
Cortez Non-project water is limited to 4.20 cfs/day.</t>
        </r>
      </text>
    </comment>
    <comment ref="BB20" authorId="1" shapeId="0" xr:uid="{00000000-0006-0000-0300-000006000000}">
      <text>
        <r>
          <rPr>
            <b/>
            <sz val="9"/>
            <color indexed="81"/>
            <rFont val="Tahoma"/>
            <family val="2"/>
          </rPr>
          <t>Eric Sprague:</t>
        </r>
        <r>
          <rPr>
            <sz val="9"/>
            <color indexed="81"/>
            <rFont val="Tahoma"/>
            <family val="2"/>
          </rPr>
          <t xml:space="preserve">
GH gage out. DWR will investigate in spring.</t>
        </r>
      </text>
    </comment>
    <comment ref="BC20" authorId="1" shapeId="0" xr:uid="{00000000-0006-0000-0300-000007000000}">
      <text>
        <r>
          <rPr>
            <b/>
            <sz val="9"/>
            <color indexed="81"/>
            <rFont val="Tahoma"/>
            <family val="2"/>
          </rPr>
          <t>Eric Sprague:</t>
        </r>
        <r>
          <rPr>
            <sz val="9"/>
            <color indexed="81"/>
            <rFont val="Tahoma"/>
            <family val="2"/>
          </rPr>
          <t xml:space="preserve">
GH gage out. DWR will investigate in spring.</t>
        </r>
      </text>
    </comment>
    <comment ref="BB21" authorId="1" shapeId="0" xr:uid="{00000000-0006-0000-0300-000008000000}">
      <text>
        <r>
          <rPr>
            <b/>
            <sz val="9"/>
            <color indexed="81"/>
            <rFont val="Tahoma"/>
            <family val="2"/>
          </rPr>
          <t>Eric Sprague:</t>
        </r>
        <r>
          <rPr>
            <sz val="9"/>
            <color indexed="81"/>
            <rFont val="Tahoma"/>
            <family val="2"/>
          </rPr>
          <t xml:space="preserve">
GH gage out. DWR will investigate in spring.</t>
        </r>
      </text>
    </comment>
    <comment ref="BC21" authorId="1" shapeId="0" xr:uid="{00000000-0006-0000-0300-000009000000}">
      <text>
        <r>
          <rPr>
            <b/>
            <sz val="9"/>
            <color indexed="81"/>
            <rFont val="Tahoma"/>
            <family val="2"/>
          </rPr>
          <t>Eric Sprague:</t>
        </r>
        <r>
          <rPr>
            <sz val="9"/>
            <color indexed="81"/>
            <rFont val="Tahoma"/>
            <family val="2"/>
          </rPr>
          <t xml:space="preserve">
GH gage out. DWR will investigate in spring.</t>
        </r>
      </text>
    </comment>
    <comment ref="V22" authorId="1" shapeId="0" xr:uid="{00000000-0006-0000-0300-00000A000000}">
      <text>
        <r>
          <rPr>
            <b/>
            <sz val="9"/>
            <color indexed="81"/>
            <rFont val="Tahoma"/>
            <family val="2"/>
          </rPr>
          <t>Eric Sprague:</t>
        </r>
        <r>
          <rPr>
            <sz val="9"/>
            <color indexed="81"/>
            <rFont val="Tahoma"/>
            <family val="2"/>
          </rPr>
          <t xml:space="preserve">
NARR fill this week.</t>
        </r>
      </text>
    </comment>
    <comment ref="BB22" authorId="1" shapeId="0" xr:uid="{00000000-0006-0000-0300-00000B000000}">
      <text>
        <r>
          <rPr>
            <b/>
            <sz val="9"/>
            <color indexed="81"/>
            <rFont val="Tahoma"/>
            <family val="2"/>
          </rPr>
          <t>Eric Sprague:</t>
        </r>
        <r>
          <rPr>
            <sz val="9"/>
            <color indexed="81"/>
            <rFont val="Tahoma"/>
            <family val="2"/>
          </rPr>
          <t xml:space="preserve">
GH gage out. DWR will investigate in spring.</t>
        </r>
      </text>
    </comment>
    <comment ref="BC22" authorId="1" shapeId="0" xr:uid="{00000000-0006-0000-0300-00000C000000}">
      <text>
        <r>
          <rPr>
            <b/>
            <sz val="9"/>
            <color indexed="81"/>
            <rFont val="Tahoma"/>
            <family val="2"/>
          </rPr>
          <t>Eric Sprague:</t>
        </r>
        <r>
          <rPr>
            <sz val="9"/>
            <color indexed="81"/>
            <rFont val="Tahoma"/>
            <family val="2"/>
          </rPr>
          <t xml:space="preserve">
GH gage out. DWR will investigate in spring.</t>
        </r>
      </text>
    </comment>
    <comment ref="BB23" authorId="1" shapeId="0" xr:uid="{00000000-0006-0000-0300-00000D000000}">
      <text>
        <r>
          <rPr>
            <b/>
            <sz val="9"/>
            <color indexed="81"/>
            <rFont val="Tahoma"/>
            <family val="2"/>
          </rPr>
          <t>Eric Sprague:</t>
        </r>
        <r>
          <rPr>
            <sz val="9"/>
            <color indexed="81"/>
            <rFont val="Tahoma"/>
            <family val="2"/>
          </rPr>
          <t xml:space="preserve">
GH gage out. DWR will investigate in spring.</t>
        </r>
      </text>
    </comment>
    <comment ref="BC23" authorId="1" shapeId="0" xr:uid="{00000000-0006-0000-0300-00000E000000}">
      <text>
        <r>
          <rPr>
            <b/>
            <sz val="9"/>
            <color indexed="81"/>
            <rFont val="Tahoma"/>
            <family val="2"/>
          </rPr>
          <t>Eric Sprague:</t>
        </r>
        <r>
          <rPr>
            <sz val="9"/>
            <color indexed="81"/>
            <rFont val="Tahoma"/>
            <family val="2"/>
          </rPr>
          <t xml:space="preserve">
GH gage out. DWR will investigate in spring.</t>
        </r>
      </text>
    </comment>
    <comment ref="BB24" authorId="1" shapeId="0" xr:uid="{00000000-0006-0000-0300-00000F000000}">
      <text>
        <r>
          <rPr>
            <b/>
            <sz val="9"/>
            <color indexed="81"/>
            <rFont val="Tahoma"/>
            <family val="2"/>
          </rPr>
          <t>Eric Sprague:</t>
        </r>
        <r>
          <rPr>
            <sz val="9"/>
            <color indexed="81"/>
            <rFont val="Tahoma"/>
            <family val="2"/>
          </rPr>
          <t xml:space="preserve">
GH gage out. DWR will investigate in spring.</t>
        </r>
      </text>
    </comment>
    <comment ref="BC24" authorId="1" shapeId="0" xr:uid="{00000000-0006-0000-0300-000010000000}">
      <text>
        <r>
          <rPr>
            <b/>
            <sz val="9"/>
            <color indexed="81"/>
            <rFont val="Tahoma"/>
            <family val="2"/>
          </rPr>
          <t>Eric Sprague:</t>
        </r>
        <r>
          <rPr>
            <sz val="9"/>
            <color indexed="81"/>
            <rFont val="Tahoma"/>
            <family val="2"/>
          </rPr>
          <t xml:space="preserve">
GH gage out. DWR will investigate in spring.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 A. Birk</author>
    <author>Eric Sprague</author>
  </authors>
  <commentList>
    <comment ref="AI5" authorId="0" shapeId="0" xr:uid="{00000000-0006-0000-0400-000001000000}">
      <text>
        <r>
          <rPr>
            <b/>
            <sz val="8"/>
            <color indexed="81"/>
            <rFont val="Tahoma"/>
            <family val="2"/>
          </rPr>
          <t>E. A. Birk:</t>
        </r>
        <r>
          <rPr>
            <sz val="8"/>
            <color indexed="81"/>
            <rFont val="Tahoma"/>
            <family val="2"/>
          </rPr>
          <t xml:space="preserve">
This column runs from April 1st to March 31th as according to contract.</t>
        </r>
      </text>
    </comment>
    <comment ref="R8" authorId="0" shapeId="0" xr:uid="{00000000-0006-0000-04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4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400-000004000000}">
      <text>
        <r>
          <rPr>
            <b/>
            <sz val="8"/>
            <color indexed="81"/>
            <rFont val="Tahoma"/>
            <family val="2"/>
          </rPr>
          <t>E. A. Birk:</t>
        </r>
        <r>
          <rPr>
            <sz val="8"/>
            <color indexed="81"/>
            <rFont val="Tahoma"/>
            <family val="2"/>
          </rPr>
          <t xml:space="preserve">
Cortez Non-project water is limited to 4.20 cfs/day.</t>
        </r>
      </text>
    </comment>
    <comment ref="V15" authorId="1" shapeId="0" xr:uid="{00000000-0006-0000-0400-000006000000}">
      <text>
        <r>
          <rPr>
            <b/>
            <sz val="9"/>
            <color indexed="81"/>
            <rFont val="Tahoma"/>
            <family val="2"/>
          </rPr>
          <t>Eric Sprague:</t>
        </r>
        <r>
          <rPr>
            <sz val="9"/>
            <color indexed="81"/>
            <rFont val="Tahoma"/>
            <family val="2"/>
          </rPr>
          <t xml:space="preserve">
MVIC filling NARR from NARR stored in McPhee.</t>
        </r>
      </text>
    </comment>
    <comment ref="U37" authorId="1" shapeId="0" xr:uid="{00000000-0006-0000-0400-000007000000}">
      <text>
        <r>
          <rPr>
            <b/>
            <sz val="9"/>
            <color indexed="81"/>
            <rFont val="Tahoma"/>
            <family val="2"/>
          </rPr>
          <t>Eric Sprague:</t>
        </r>
        <r>
          <rPr>
            <sz val="9"/>
            <color indexed="81"/>
            <rFont val="Tahoma"/>
            <family val="2"/>
          </rPr>
          <t xml:space="preserve">
Began filling THC.</t>
        </r>
      </text>
    </comment>
    <comment ref="S39" authorId="1" shapeId="0" xr:uid="{00000000-0006-0000-0400-000008000000}">
      <text>
        <r>
          <rPr>
            <b/>
            <sz val="9"/>
            <color indexed="81"/>
            <rFont val="Tahoma"/>
            <family val="2"/>
          </rPr>
          <t>Eric Sprague:</t>
        </r>
        <r>
          <rPr>
            <sz val="9"/>
            <color indexed="81"/>
            <rFont val="Tahoma"/>
            <family val="2"/>
          </rPr>
          <t xml:space="preserve">
Made slightly negative by the subtraction of the weekly Towaoc use averaged across the days. 
</t>
        </r>
      </text>
    </comment>
    <comment ref="S40" authorId="1" shapeId="0" xr:uid="{00000000-0006-0000-0400-000009000000}">
      <text>
        <r>
          <rPr>
            <b/>
            <sz val="9"/>
            <color indexed="81"/>
            <rFont val="Tahoma"/>
            <family val="2"/>
          </rPr>
          <t>Eric Sprague:</t>
        </r>
        <r>
          <rPr>
            <sz val="9"/>
            <color indexed="81"/>
            <rFont val="Tahoma"/>
            <family val="2"/>
          </rPr>
          <t xml:space="preserve">
Made slightly negative by the subtraction of the weekly Towaoc use averaged across the days.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Eric Sprague</author>
    <author>E. A. Birk</author>
    <author>Vernon Lamb</author>
  </authors>
  <commentList>
    <comment ref="X5" authorId="0" shapeId="0" xr:uid="{00000000-0006-0000-0500-000001000000}">
      <text>
        <r>
          <rPr>
            <b/>
            <sz val="9"/>
            <color indexed="81"/>
            <rFont val="Tahoma"/>
            <family val="2"/>
          </rPr>
          <t>Eric Sprague:</t>
        </r>
        <r>
          <rPr>
            <sz val="9"/>
            <color indexed="81"/>
            <rFont val="Tahoma"/>
            <family val="2"/>
          </rPr>
          <t xml:space="preserve">
NARR fill during the irrigation season does not count towards MVIC's 72,000 AF of call water; however, water passing through NARR does count, so first, the estimated "NARR OTF" (estimated regularly by B. Johnson, then double-checked with the month-end) is subtracted from the "NARR FILL" column. This value is the the change in NARR capacity which is subtracted from the "TOTAL MVI WATER USED". This ensures water used to fill NARR does not count towards the 72,000 AF of MVI call.</t>
        </r>
      </text>
    </comment>
    <comment ref="AI5" authorId="1" shapeId="0" xr:uid="{00000000-0006-0000-0500-000002000000}">
      <text>
        <r>
          <rPr>
            <b/>
            <sz val="8"/>
            <color indexed="81"/>
            <rFont val="Tahoma"/>
            <family val="2"/>
          </rPr>
          <t>E. A. Birk:</t>
        </r>
        <r>
          <rPr>
            <sz val="8"/>
            <color indexed="81"/>
            <rFont val="Tahoma"/>
            <family val="2"/>
          </rPr>
          <t xml:space="preserve">
This column runs from April 1st to March 31th as according to contract.</t>
        </r>
      </text>
    </comment>
    <comment ref="AO5" authorId="0" shapeId="0" xr:uid="{00000000-0006-0000-0500-000003000000}">
      <text>
        <r>
          <rPr>
            <b/>
            <sz val="9"/>
            <color indexed="81"/>
            <rFont val="Tahoma"/>
            <family val="2"/>
          </rPr>
          <t>Eric Sprague:</t>
        </r>
        <r>
          <rPr>
            <sz val="9"/>
            <color indexed="81"/>
            <rFont val="Tahoma"/>
            <family val="2"/>
          </rPr>
          <t xml:space="preserve">
1-APR-2020. Per Marty, NARR was at 15,462.7 AF of capacity 1-APR. As of today, an estimated  2,118 AF of NARR is stored in McPhee.
MVIC can store NARR in APR-JUN above their 72,000 AF, so I will assume they will do that and complete the TOTT Exch between 1-APR and 1-JUL. 
The TOTAL CAPACITY of Narraguinnep is 20,710 AF, but only the PHYSICAL CAPACITY of 19,075 AF at 71.7 FT (was cosidered 18,960 AF until a remeasuring in early 2020) will usually fill before April 1st, so only the EXTENDED FILL of 1,635 AF (was 1,750 AF before 2020) usually needs to show up here.</t>
        </r>
      </text>
    </comment>
    <comment ref="AI7" authorId="2" shapeId="0" xr:uid="{63E7CB75-5828-473B-8948-98EA594DF186}">
      <text>
        <r>
          <rPr>
            <b/>
            <sz val="8"/>
            <color indexed="81"/>
            <rFont val="Tahoma"/>
            <family val="2"/>
          </rPr>
          <t>Eric Sprague:</t>
        </r>
        <r>
          <rPr>
            <sz val="8"/>
            <color indexed="81"/>
            <rFont val="Tahoma"/>
            <family val="2"/>
          </rPr>
          <t xml:space="preserve">
1-OCT-2020. Fishpool at 27,780 AF at 86.5% supply. </t>
        </r>
        <r>
          <rPr>
            <b/>
            <sz val="8"/>
            <color indexed="81"/>
            <rFont val="Tahoma"/>
            <family val="2"/>
          </rPr>
          <t xml:space="preserve">
</t>
        </r>
        <r>
          <rPr>
            <sz val="8"/>
            <color indexed="81"/>
            <rFont val="Tahoma"/>
            <family val="2"/>
          </rPr>
          <t xml:space="preserve">3-SEP-2020. Fishpool at 27,739 AF at 86% supply. </t>
        </r>
        <r>
          <rPr>
            <b/>
            <sz val="8"/>
            <color indexed="81"/>
            <rFont val="Tahoma"/>
            <family val="2"/>
          </rPr>
          <t xml:space="preserve">
</t>
        </r>
        <r>
          <rPr>
            <sz val="8"/>
            <color indexed="81"/>
            <rFont val="Tahoma"/>
            <family val="2"/>
          </rPr>
          <t xml:space="preserve">6-AUG-2020. Fishpool at 27,357 AF at 85% supply. </t>
        </r>
        <r>
          <rPr>
            <b/>
            <sz val="8"/>
            <color indexed="81"/>
            <rFont val="Tahoma"/>
            <family val="2"/>
          </rPr>
          <t xml:space="preserve">
</t>
        </r>
        <r>
          <rPr>
            <sz val="8"/>
            <color indexed="81"/>
            <rFont val="Tahoma"/>
            <family val="2"/>
          </rPr>
          <t>1-JUL-2020. Fishpool at 26,917 AF at 83% supply. 
2-JUN-2020. Fishpool at 25,415 AF at 78% supply. Using 18-MAY-2020 CBRFC 90% ESP FCST.</t>
        </r>
        <r>
          <rPr>
            <b/>
            <sz val="8"/>
            <color indexed="81"/>
            <rFont val="Tahoma"/>
            <family val="2"/>
          </rPr>
          <t xml:space="preserve">
</t>
        </r>
        <r>
          <rPr>
            <sz val="8"/>
            <color indexed="81"/>
            <rFont val="Tahoma"/>
            <family val="2"/>
          </rPr>
          <t xml:space="preserve">14-MAY-2020. Fishpool at 25,090 AF at 75% supply. Using 1-MAY-2020 CBRFC 90% ESP FCST.
</t>
        </r>
        <r>
          <rPr>
            <b/>
            <sz val="8"/>
            <color indexed="81"/>
            <rFont val="Tahoma"/>
            <family val="2"/>
          </rPr>
          <t xml:space="preserve">
</t>
        </r>
        <r>
          <rPr>
            <sz val="8"/>
            <color indexed="81"/>
            <rFont val="Tahoma"/>
            <family val="2"/>
          </rPr>
          <t>6-APR-2020. Fishpool at 31,798 AF at full supply. Using 30-MAR-2020 CBRFC 90% ESP FCST.</t>
        </r>
        <r>
          <rPr>
            <b/>
            <sz val="8"/>
            <color indexed="81"/>
            <rFont val="Tahoma"/>
            <family val="2"/>
          </rPr>
          <t xml:space="preserve">
</t>
        </r>
      </text>
    </comment>
    <comment ref="BC7" authorId="1" shapeId="0" xr:uid="{00000000-0006-0000-0500-000005000000}">
      <text>
        <r>
          <rPr>
            <b/>
            <sz val="8"/>
            <color indexed="81"/>
            <rFont val="Tahoma"/>
            <family val="2"/>
          </rPr>
          <t>E. A. Birk:</t>
        </r>
        <r>
          <rPr>
            <sz val="8"/>
            <color indexed="81"/>
            <rFont val="Tahoma"/>
            <family val="2"/>
          </rPr>
          <t xml:space="preserve">
Of the 800 Ac. Ft. of Fish &amp; Wildlife water 400 Ac. Ft. goes into Totten.</t>
        </r>
      </text>
    </comment>
    <comment ref="N8" authorId="1" shapeId="0" xr:uid="{00000000-0006-0000-0500-000006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R8" authorId="1" shapeId="0" xr:uid="{00000000-0006-0000-0500-000007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500-000008000000}">
      <text>
        <r>
          <rPr>
            <b/>
            <sz val="8"/>
            <color indexed="81"/>
            <rFont val="Tahoma"/>
            <family val="2"/>
          </rPr>
          <t>E. A. Birk:</t>
        </r>
        <r>
          <rPr>
            <sz val="8"/>
            <color indexed="81"/>
            <rFont val="Tahoma"/>
            <family val="2"/>
          </rPr>
          <t xml:space="preserve">
The formula is =(daily use from the Towaoc file*1.06)*1.04</t>
        </r>
      </text>
    </comment>
    <comment ref="AI8" authorId="0" shapeId="0" xr:uid="{00000000-0006-0000-0500-000009000000}">
      <text>
        <r>
          <rPr>
            <b/>
            <sz val="9"/>
            <color indexed="81"/>
            <rFont val="Tahoma"/>
            <family val="2"/>
          </rPr>
          <t>Eric Sprague:</t>
        </r>
        <r>
          <rPr>
            <sz val="9"/>
            <color indexed="81"/>
            <rFont val="Tahoma"/>
            <family val="2"/>
          </rPr>
          <t xml:space="preserve">
Above amount converted to cfs.</t>
        </r>
      </text>
    </comment>
    <comment ref="R9" authorId="1" shapeId="0" xr:uid="{00000000-0006-0000-0500-00000A000000}">
      <text>
        <r>
          <rPr>
            <b/>
            <sz val="8"/>
            <color indexed="81"/>
            <rFont val="Tahoma"/>
            <family val="2"/>
          </rPr>
          <t>E. A. Birk:</t>
        </r>
        <r>
          <rPr>
            <sz val="8"/>
            <color indexed="81"/>
            <rFont val="Tahoma"/>
            <family val="2"/>
          </rPr>
          <t xml:space="preserve">
Cortez Non-project water is limited to 4.20 cfs/day.</t>
        </r>
      </text>
    </comment>
    <comment ref="AC9" authorId="0" shapeId="0" xr:uid="{00000000-0006-0000-0500-00000B000000}">
      <text>
        <r>
          <rPr>
            <b/>
            <sz val="9"/>
            <color indexed="81"/>
            <rFont val="Tahoma"/>
            <family val="2"/>
          </rPr>
          <t>Eric Sprague:</t>
        </r>
        <r>
          <rPr>
            <sz val="9"/>
            <color indexed="81"/>
            <rFont val="Tahoma"/>
            <family val="2"/>
          </rPr>
          <t xml:space="preserve">
Total with evap losses incurred while Tott Exch was filled.</t>
        </r>
      </text>
    </comment>
    <comment ref="AP9" authorId="0" shapeId="0" xr:uid="{00000000-0006-0000-0500-00000C000000}">
      <text>
        <r>
          <rPr>
            <b/>
            <sz val="9"/>
            <color indexed="81"/>
            <rFont val="Tahoma"/>
            <family val="2"/>
          </rPr>
          <t xml:space="preserve">Eric Sprague:
</t>
        </r>
        <r>
          <rPr>
            <sz val="9"/>
            <color indexed="81"/>
            <rFont val="Tahoma"/>
            <family val="2"/>
          </rPr>
          <t>1-APR-2020. Per Marty, NARR was at 15,462.7 AF of capacity 1-APR. 
3-APR NARR stored in McPhee (with USGS Prov river numbers released) = 2,118 AF. 
Total NARR as of 1-APR = 17,581 AF.
NARR first fill:
19,075-17,581=1,494 AF still left to fill.
Or 753 CFS.</t>
        </r>
      </text>
    </comment>
    <comment ref="AP10" authorId="0" shapeId="0" xr:uid="{00000000-0006-0000-0500-00000D000000}">
      <text>
        <r>
          <rPr>
            <b/>
            <sz val="9"/>
            <color indexed="81"/>
            <rFont val="Tahoma"/>
            <family val="2"/>
          </rPr>
          <t>Eric Sprague:</t>
        </r>
        <r>
          <rPr>
            <sz val="9"/>
            <color indexed="81"/>
            <rFont val="Tahoma"/>
            <family val="2"/>
          </rPr>
          <t xml:space="preserve">
in CFS</t>
        </r>
      </text>
    </comment>
    <comment ref="AP11" authorId="0" shapeId="0" xr:uid="{00000000-0006-0000-0500-00000E000000}">
      <text>
        <r>
          <rPr>
            <b/>
            <sz val="9"/>
            <color indexed="81"/>
            <rFont val="Tahoma"/>
            <family val="2"/>
          </rPr>
          <t>Eric Sprague:</t>
        </r>
        <r>
          <rPr>
            <sz val="9"/>
            <color indexed="81"/>
            <rFont val="Tahoma"/>
            <family val="2"/>
          </rPr>
          <t xml:space="preserve">
in CFS</t>
        </r>
      </text>
    </comment>
    <comment ref="AO13" authorId="0" shapeId="0" xr:uid="{00000000-0006-0000-0500-00000F000000}">
      <text>
        <r>
          <rPr>
            <b/>
            <sz val="9"/>
            <color indexed="81"/>
            <rFont val="Tahoma"/>
            <family val="2"/>
          </rPr>
          <t xml:space="preserve">Eric Sprague:
</t>
        </r>
        <r>
          <rPr>
            <sz val="9"/>
            <color indexed="81"/>
            <rFont val="Tahoma"/>
            <family val="2"/>
          </rPr>
          <t>1-APR-2020. Per Marty, NARR was at 15,462.7 AF of capacity 1-APR. 
3-APR NARR stored in McPhee (with USGS Prov river numbers released) = 2,118 AF. 
Total NARR as of 1-APR = 17,581 AF.
NARR first fill:
19,075-17,581=1,494 AF still left to fill.
Or 753 CFS.</t>
        </r>
      </text>
    </comment>
    <comment ref="Z15" authorId="0" shapeId="0" xr:uid="{00000000-0006-0000-0500-000010000000}">
      <text>
        <r>
          <rPr>
            <b/>
            <sz val="9"/>
            <color indexed="81"/>
            <rFont val="Tahoma"/>
            <family val="2"/>
          </rPr>
          <t>Eric Sprague:</t>
        </r>
        <r>
          <rPr>
            <sz val="9"/>
            <color indexed="81"/>
            <rFont val="Tahoma"/>
            <family val="2"/>
          </rPr>
          <t xml:space="preserve">
6-APR-2020. MVIC is not yet storing Call Water. Currently, inflows are still going towards NARR first fill. Afterwards inflows will first go to filling the TOTT EXCH, then to call water.</t>
        </r>
      </text>
    </comment>
    <comment ref="AB15" authorId="0" shapeId="0" xr:uid="{00000000-0006-0000-0500-000011000000}">
      <text>
        <r>
          <rPr>
            <b/>
            <sz val="9"/>
            <color indexed="81"/>
            <rFont val="Tahoma"/>
            <family val="2"/>
          </rPr>
          <t>Eric Sprague:</t>
        </r>
        <r>
          <rPr>
            <sz val="9"/>
            <color indexed="81"/>
            <rFont val="Tahoma"/>
            <family val="2"/>
          </rPr>
          <t xml:space="preserve">
MVIC is still completeing the NARR 1st fill and running stock water. No "direct diversions" to irrigation today.</t>
        </r>
      </text>
    </comment>
    <comment ref="AC15" authorId="2" shapeId="0" xr:uid="{00000000-0006-0000-0500-000012000000}">
      <text>
        <r>
          <rPr>
            <b/>
            <sz val="8"/>
            <color indexed="81"/>
            <rFont val="Tahoma"/>
            <family val="2"/>
          </rPr>
          <t>Eric Sprague:</t>
        </r>
        <r>
          <rPr>
            <sz val="8"/>
            <color indexed="81"/>
            <rFont val="Tahoma"/>
            <family val="2"/>
          </rPr>
          <t xml:space="preserve">
MVIC is not yet storing Call Water. Currently, inflows are still going towards NARR 1st fill stored in McPhee and then the TOTT EXCH.
When TOTT EXCH is full, Call water will begin storing.
Totten Exchange has not yet been completed this water year. MVIC is still finishing the first fill of Narraguinnep for now.
Evap is being functionally deducted here, but currently, MVIC does not have enough water stored in McPhee which is not NARR water, so the charge is 0 each day.
Cells in this row would normally read:
="Previous day's TO &amp; U/S Exchange" -("Previous Day's MVI Stored Evap"/1.9835)</t>
        </r>
      </text>
    </comment>
    <comment ref="AN15" authorId="0" shapeId="0" xr:uid="{00000000-0006-0000-0500-000013000000}">
      <text>
        <r>
          <rPr>
            <b/>
            <sz val="9"/>
            <color indexed="81"/>
            <rFont val="Tahoma"/>
            <family val="2"/>
          </rPr>
          <t>Eric Sprague:</t>
        </r>
        <r>
          <rPr>
            <sz val="9"/>
            <color indexed="81"/>
            <rFont val="Tahoma"/>
            <family val="2"/>
          </rPr>
          <t xml:space="preserve">
MVIC is still working on the first fill of NARR.
24 AF of stock water not  counted to NARR.</t>
        </r>
      </text>
    </comment>
    <comment ref="AU15" authorId="0" shapeId="0" xr:uid="{00000000-0006-0000-0500-000014000000}">
      <text>
        <r>
          <rPr>
            <b/>
            <sz val="9"/>
            <color indexed="81"/>
            <rFont val="Tahoma"/>
            <family val="2"/>
          </rPr>
          <t>Eric Sprague:</t>
        </r>
        <r>
          <rPr>
            <sz val="9"/>
            <color indexed="81"/>
            <rFont val="Tahoma"/>
            <family val="2"/>
          </rPr>
          <t xml:space="preserve">
MVIC is still fillinf NARR 1st Fill. Doesn't count against 72,000 AF APR-JUN limit. Then will fill Totten Exchange, which also doesn't count against 72,000 AF limit. Then call water.
For now, any diversions in Lone Pine are NARR first fill, and come from "NARR stored  in McP" if the river can't make it.
</t>
        </r>
      </text>
    </comment>
    <comment ref="AZ15" authorId="0" shapeId="0" xr:uid="{00000000-0006-0000-0500-000015000000}">
      <text>
        <r>
          <rPr>
            <b/>
            <sz val="9"/>
            <color indexed="81"/>
            <rFont val="Tahoma"/>
            <family val="2"/>
          </rPr>
          <t>Eric Sprague:</t>
        </r>
        <r>
          <rPr>
            <sz val="9"/>
            <color indexed="81"/>
            <rFont val="Tahoma"/>
            <family val="2"/>
          </rPr>
          <t xml:space="preserve">
No MVIC water stored in McPhee other than NARR. No evap charged here.</t>
        </r>
      </text>
    </comment>
    <comment ref="AB16" authorId="0" shapeId="0" xr:uid="{00000000-0006-0000-0500-000016000000}">
      <text>
        <r>
          <rPr>
            <b/>
            <sz val="9"/>
            <color indexed="81"/>
            <rFont val="Tahoma"/>
            <family val="2"/>
          </rPr>
          <t>Eric Sprague:</t>
        </r>
        <r>
          <rPr>
            <sz val="9"/>
            <color indexed="81"/>
            <rFont val="Tahoma"/>
            <family val="2"/>
          </rPr>
          <t xml:space="preserve">
MVIC is still completeing the NARR 1st fill and running stock water. No "direct diversions" to irrigation today.</t>
        </r>
      </text>
    </comment>
    <comment ref="AN16" authorId="0" shapeId="0" xr:uid="{00000000-0006-0000-0500-000017000000}">
      <text>
        <r>
          <rPr>
            <b/>
            <sz val="9"/>
            <color indexed="81"/>
            <rFont val="Tahoma"/>
            <family val="2"/>
          </rPr>
          <t>Eric Sprague:</t>
        </r>
        <r>
          <rPr>
            <sz val="9"/>
            <color indexed="81"/>
            <rFont val="Tahoma"/>
            <family val="2"/>
          </rPr>
          <t xml:space="preserve">
24 AF of stock water not  counted to NARR.</t>
        </r>
      </text>
    </comment>
    <comment ref="AZ16" authorId="0" shapeId="0" xr:uid="{00000000-0006-0000-0500-000018000000}">
      <text>
        <r>
          <rPr>
            <b/>
            <sz val="9"/>
            <color indexed="81"/>
            <rFont val="Tahoma"/>
            <family val="2"/>
          </rPr>
          <t>Eric Sprague:</t>
        </r>
        <r>
          <rPr>
            <sz val="9"/>
            <color indexed="81"/>
            <rFont val="Tahoma"/>
            <family val="2"/>
          </rPr>
          <t xml:space="preserve">
No MVIC water stored in McPhee other than NARR. No evap charged here.</t>
        </r>
      </text>
    </comment>
    <comment ref="AB17" authorId="0" shapeId="0" xr:uid="{00000000-0006-0000-0500-000019000000}">
      <text>
        <r>
          <rPr>
            <b/>
            <sz val="9"/>
            <color indexed="81"/>
            <rFont val="Tahoma"/>
            <family val="2"/>
          </rPr>
          <t>Eric Sprague:</t>
        </r>
        <r>
          <rPr>
            <sz val="9"/>
            <color indexed="81"/>
            <rFont val="Tahoma"/>
            <family val="2"/>
          </rPr>
          <t xml:space="preserve">
MVIC is still completeing the NARR 1st fill and running stock water. No "direct diversions" to irrigation today.</t>
        </r>
      </text>
    </comment>
    <comment ref="AZ17" authorId="0" shapeId="0" xr:uid="{00000000-0006-0000-0500-00001A000000}">
      <text>
        <r>
          <rPr>
            <b/>
            <sz val="9"/>
            <color indexed="81"/>
            <rFont val="Tahoma"/>
            <family val="2"/>
          </rPr>
          <t>Eric Sprague:</t>
        </r>
        <r>
          <rPr>
            <sz val="9"/>
            <color indexed="81"/>
            <rFont val="Tahoma"/>
            <family val="2"/>
          </rPr>
          <t xml:space="preserve">
No MVIC water stored in McPhee other than NARR. No evap charged here.</t>
        </r>
      </text>
    </comment>
    <comment ref="AB18" authorId="0" shapeId="0" xr:uid="{00000000-0006-0000-0500-00001B000000}">
      <text>
        <r>
          <rPr>
            <b/>
            <sz val="9"/>
            <color indexed="81"/>
            <rFont val="Tahoma"/>
            <family val="2"/>
          </rPr>
          <t>Eric Sprague:</t>
        </r>
        <r>
          <rPr>
            <sz val="9"/>
            <color indexed="81"/>
            <rFont val="Tahoma"/>
            <family val="2"/>
          </rPr>
          <t xml:space="preserve">
MVIC is putting the river mainly towards NARR fill. Small amounts recorded in Lone pine below NARR and from Dolores Tunnel.</t>
        </r>
      </text>
    </comment>
    <comment ref="AR18" authorId="0" shapeId="0" xr:uid="{00000000-0006-0000-0500-00001C000000}">
      <text>
        <r>
          <rPr>
            <b/>
            <sz val="9"/>
            <color indexed="81"/>
            <rFont val="Tahoma"/>
            <family val="2"/>
          </rPr>
          <t>Eric Sprague:</t>
        </r>
        <r>
          <rPr>
            <sz val="9"/>
            <color indexed="81"/>
            <rFont val="Tahoma"/>
            <family val="2"/>
          </rPr>
          <t xml:space="preserve">
27-APR-2020. Per Marty, these are the flows at the Lone Pine clockhouse where it crosses highway 184. Because MVIC was not using the Lone Pine where is bypasses NARR and was only releasing from NARR through the west gate, we can treat this as the daily "pass-through", with all other water released into the lone pine being considered NARR fill.</t>
        </r>
      </text>
    </comment>
    <comment ref="AZ18" authorId="0" shapeId="0" xr:uid="{00000000-0006-0000-0500-00001D000000}">
      <text>
        <r>
          <rPr>
            <b/>
            <sz val="9"/>
            <color indexed="81"/>
            <rFont val="Tahoma"/>
            <family val="2"/>
          </rPr>
          <t>Eric Sprague:</t>
        </r>
        <r>
          <rPr>
            <sz val="9"/>
            <color indexed="81"/>
            <rFont val="Tahoma"/>
            <family val="2"/>
          </rPr>
          <t xml:space="preserve">
No MVIC water stored in McPhee other than NARR. No evap charged here.</t>
        </r>
      </text>
    </comment>
    <comment ref="AB19" authorId="0" shapeId="0" xr:uid="{00000000-0006-0000-0500-00001E000000}">
      <text>
        <r>
          <rPr>
            <b/>
            <sz val="9"/>
            <color indexed="81"/>
            <rFont val="Tahoma"/>
            <family val="2"/>
          </rPr>
          <t>Eric Sprague:</t>
        </r>
        <r>
          <rPr>
            <sz val="9"/>
            <color indexed="81"/>
            <rFont val="Tahoma"/>
            <family val="2"/>
          </rPr>
          <t xml:space="preserve">
MVIC is putting the river mainly towards NARR fill. Small amounts recorded in Lone pine below NARR and from Dolores Tunnel.</t>
        </r>
      </text>
    </comment>
    <comment ref="AZ19" authorId="0" shapeId="0" xr:uid="{00000000-0006-0000-0500-00001F000000}">
      <text>
        <r>
          <rPr>
            <b/>
            <sz val="9"/>
            <color indexed="81"/>
            <rFont val="Tahoma"/>
            <family val="2"/>
          </rPr>
          <t>Eric Sprague:</t>
        </r>
        <r>
          <rPr>
            <sz val="9"/>
            <color indexed="81"/>
            <rFont val="Tahoma"/>
            <family val="2"/>
          </rPr>
          <t xml:space="preserve">
No MVIC water stored in McPhee other than NARR. No evap charged here.</t>
        </r>
      </text>
    </comment>
    <comment ref="AB20" authorId="0" shapeId="0" xr:uid="{00000000-0006-0000-0500-000020000000}">
      <text>
        <r>
          <rPr>
            <b/>
            <sz val="9"/>
            <color indexed="81"/>
            <rFont val="Tahoma"/>
            <family val="2"/>
          </rPr>
          <t>Eric Sprague:</t>
        </r>
        <r>
          <rPr>
            <sz val="9"/>
            <color indexed="81"/>
            <rFont val="Tahoma"/>
            <family val="2"/>
          </rPr>
          <t xml:space="preserve">
MVIC is now filling NARR fully from the "NARR stored in McPhee" pool. The river is now going fully to the Totten Exchange pool, which does not count towards the 72,000 AF limit, and a small amount towards diversions as recorded at Lone Pine below NARR and in the Dolores Tunnel.</t>
        </r>
      </text>
    </comment>
    <comment ref="AC20" authorId="0" shapeId="0" xr:uid="{00000000-0006-0000-0500-000021000000}">
      <text>
        <r>
          <rPr>
            <b/>
            <sz val="9"/>
            <color indexed="81"/>
            <rFont val="Tahoma"/>
            <family val="2"/>
          </rPr>
          <t>Eric Sprague:</t>
        </r>
        <r>
          <rPr>
            <sz val="9"/>
            <color indexed="81"/>
            <rFont val="Tahoma"/>
            <family val="2"/>
          </rPr>
          <t xml:space="preserve">
MVIC began filling the Totten Exchange.</t>
        </r>
      </text>
    </comment>
    <comment ref="AO20" authorId="0" shapeId="0" xr:uid="{00000000-0006-0000-0500-000022000000}">
      <text>
        <r>
          <rPr>
            <b/>
            <sz val="9"/>
            <color indexed="81"/>
            <rFont val="Tahoma"/>
            <family val="2"/>
          </rPr>
          <t>Eric Sprague:</t>
        </r>
        <r>
          <rPr>
            <sz val="9"/>
            <color indexed="81"/>
            <rFont val="Tahoma"/>
            <family val="2"/>
          </rPr>
          <t xml:space="preserve">
B. Johnson requested switching the river to begin filling the Totten exchange. The NARR fill is coming purely from storage now.</t>
        </r>
      </text>
    </comment>
    <comment ref="AU20" authorId="0" shapeId="0" xr:uid="{00000000-0006-0000-0500-000023000000}">
      <text>
        <r>
          <rPr>
            <b/>
            <sz val="9"/>
            <color indexed="81"/>
            <rFont val="Tahoma"/>
            <family val="2"/>
          </rPr>
          <t>Eric Sprague:</t>
        </r>
        <r>
          <rPr>
            <sz val="9"/>
            <color indexed="81"/>
            <rFont val="Tahoma"/>
            <family val="2"/>
          </rPr>
          <t xml:space="preserve">
MVIC began filling Totten Exchange.
</t>
        </r>
      </text>
    </comment>
    <comment ref="AN25" authorId="0" shapeId="0" xr:uid="{D48699A6-01AC-4A72-87D2-1B90EDED8FE5}">
      <text>
        <r>
          <rPr>
            <b/>
            <sz val="9"/>
            <color indexed="81"/>
            <rFont val="Tahoma"/>
            <family val="2"/>
          </rPr>
          <t>Eric Sprague:</t>
        </r>
        <r>
          <rPr>
            <sz val="9"/>
            <color indexed="81"/>
            <rFont val="Tahoma"/>
            <family val="2"/>
          </rPr>
          <t xml:space="preserve">
NARR in McP ran out today. 50 CFS of the river went to NARR fill.</t>
        </r>
      </text>
    </comment>
    <comment ref="AO25" authorId="0" shapeId="0" xr:uid="{F6E0CB4D-AB7E-478B-B911-E4294213F014}">
      <text>
        <r>
          <rPr>
            <b/>
            <sz val="9"/>
            <color indexed="81"/>
            <rFont val="Tahoma"/>
            <family val="2"/>
          </rPr>
          <t>Eric Sprague:</t>
        </r>
        <r>
          <rPr>
            <sz val="9"/>
            <color indexed="81"/>
            <rFont val="Tahoma"/>
            <family val="2"/>
          </rPr>
          <t xml:space="preserve">
NARR in McP ran out today. 50 CFS of the river went to NARR fill.</t>
        </r>
      </text>
    </comment>
    <comment ref="AU25" authorId="0" shapeId="0" xr:uid="{F12A4CD5-AF38-4B69-BB5C-4040CCAE810F}">
      <text>
        <r>
          <rPr>
            <b/>
            <sz val="9"/>
            <color indexed="81"/>
            <rFont val="Tahoma"/>
            <family val="2"/>
          </rPr>
          <t>Eric Sprague:</t>
        </r>
        <r>
          <rPr>
            <sz val="9"/>
            <color indexed="81"/>
            <rFont val="Tahoma"/>
            <family val="2"/>
          </rPr>
          <t xml:space="preserve">
NARR in McP ran out today. 50 CFS of the river went to NARR fill.</t>
        </r>
      </text>
    </comment>
    <comment ref="AB26" authorId="0" shapeId="0" xr:uid="{1306B4B7-612E-45A9-AC0C-292143BDEDBA}">
      <text>
        <r>
          <rPr>
            <b/>
            <sz val="9"/>
            <color indexed="81"/>
            <rFont val="Tahoma"/>
            <family val="2"/>
          </rPr>
          <t>Eric Sprague:</t>
        </r>
        <r>
          <rPr>
            <sz val="9"/>
            <color indexed="81"/>
            <rFont val="Tahoma"/>
            <family val="2"/>
          </rPr>
          <t xml:space="preserve">
MVIC began splitting the river between finishing the first fill of NARR and TOTT Exch. Also began seeing increased diversions to irrigation.</t>
        </r>
      </text>
    </comment>
    <comment ref="AN26" authorId="0" shapeId="0" xr:uid="{9F1BAF4F-0F78-48FA-B0E4-AA86F0D2139F}">
      <text>
        <r>
          <rPr>
            <b/>
            <sz val="9"/>
            <color indexed="81"/>
            <rFont val="Tahoma"/>
            <family val="2"/>
          </rPr>
          <t>Eric Sprague:</t>
        </r>
        <r>
          <rPr>
            <sz val="9"/>
            <color indexed="81"/>
            <rFont val="Tahoma"/>
            <family val="2"/>
          </rPr>
          <t xml:space="preserve">
NARR fill is now off the river.</t>
        </r>
      </text>
    </comment>
    <comment ref="AU26" authorId="0" shapeId="0" xr:uid="{63CF75FB-337D-41C7-8649-2C5C687FCB85}">
      <text>
        <r>
          <rPr>
            <b/>
            <sz val="9"/>
            <color indexed="81"/>
            <rFont val="Tahoma"/>
            <family val="2"/>
          </rPr>
          <t>Eric Sprague:</t>
        </r>
        <r>
          <rPr>
            <sz val="9"/>
            <color indexed="81"/>
            <rFont val="Tahoma"/>
            <family val="2"/>
          </rPr>
          <t xml:space="preserve">
NARR fill is now off the river.</t>
        </r>
      </text>
    </comment>
    <comment ref="AP27" authorId="0" shapeId="0" xr:uid="{00000000-0006-0000-0500-000029000000}">
      <text>
        <r>
          <rPr>
            <b/>
            <sz val="9"/>
            <color indexed="81"/>
            <rFont val="Tahoma"/>
            <family val="2"/>
          </rPr>
          <t>Eric Sprague:</t>
        </r>
        <r>
          <rPr>
            <sz val="9"/>
            <color indexed="81"/>
            <rFont val="Tahoma"/>
            <family val="2"/>
          </rPr>
          <t xml:space="preserve">
Marty downloaded the NARR bubbler. 13-APR-2020 Midnight ELEV=70.19' VOL=18,213.5 AF.
Remaining first fill is 19,075 AF - 18,213.5 AF = 861.5 AF or 434.3 CFS/day.
Likely an issue in the bathymetric elevation to volume table. Adjusted remaining first fill accordingly.
Brandon has used no water out of NARR yet this season. </t>
        </r>
      </text>
    </comment>
    <comment ref="V31" authorId="0" shapeId="0" xr:uid="{00000000-0006-0000-0500-00002B000000}">
      <text>
        <r>
          <rPr>
            <b/>
            <sz val="9"/>
            <color indexed="81"/>
            <rFont val="Tahoma"/>
            <family val="2"/>
          </rPr>
          <t>Eric Sprague:</t>
        </r>
        <r>
          <rPr>
            <sz val="9"/>
            <color indexed="81"/>
            <rFont val="Tahoma"/>
            <family val="2"/>
          </rPr>
          <t xml:space="preserve">
MVIC started running some pass-through on NARR, though not using NARR water. </t>
        </r>
      </text>
    </comment>
    <comment ref="AP31" authorId="0" shapeId="0" xr:uid="{00000000-0006-0000-0500-00002D000000}">
      <text>
        <r>
          <rPr>
            <b/>
            <sz val="9"/>
            <color indexed="81"/>
            <rFont val="Tahoma"/>
            <family val="2"/>
          </rPr>
          <t>Eric Sprague:</t>
        </r>
        <r>
          <rPr>
            <sz val="9"/>
            <color indexed="81"/>
            <rFont val="Tahoma"/>
            <family val="2"/>
          </rPr>
          <t xml:space="preserve">
MVIC started running higher pass-through on NARR, though not using NARR water. </t>
        </r>
      </text>
    </comment>
    <comment ref="AV35" authorId="0" shapeId="0" xr:uid="{00000000-0006-0000-0500-00002E000000}">
      <text>
        <r>
          <rPr>
            <b/>
            <sz val="9"/>
            <color indexed="81"/>
            <rFont val="Tahoma"/>
            <family val="2"/>
          </rPr>
          <t>Eric Sprague:</t>
        </r>
        <r>
          <rPr>
            <sz val="9"/>
            <color indexed="81"/>
            <rFont val="Tahoma"/>
            <family val="2"/>
          </rPr>
          <t xml:space="preserve">
Evap cancelled out by precip.</t>
        </r>
      </text>
    </comment>
    <comment ref="AN37" authorId="0" shapeId="0" xr:uid="{00000000-0006-0000-0500-00002F000000}">
      <text>
        <r>
          <rPr>
            <b/>
            <sz val="9"/>
            <color indexed="81"/>
            <rFont val="Tahoma"/>
            <family val="2"/>
          </rPr>
          <t>Eric Sprague:</t>
        </r>
        <r>
          <rPr>
            <sz val="9"/>
            <color indexed="81"/>
            <rFont val="Tahoma"/>
            <family val="2"/>
          </rPr>
          <t xml:space="preserve">
NARR first fill was completed today.</t>
        </r>
      </text>
    </comment>
    <comment ref="AP37" authorId="0" shapeId="0" xr:uid="{00000000-0006-0000-0500-000030000000}">
      <text>
        <r>
          <rPr>
            <b/>
            <sz val="9"/>
            <color indexed="81"/>
            <rFont val="Tahoma"/>
            <family val="2"/>
          </rPr>
          <t>Eric Sprague:</t>
        </r>
        <r>
          <rPr>
            <sz val="9"/>
            <color indexed="81"/>
            <rFont val="Tahoma"/>
            <family val="2"/>
          </rPr>
          <t xml:space="preserve">
NARR first fill was completed today.</t>
        </r>
      </text>
    </comment>
    <comment ref="AR37" authorId="0" shapeId="0" xr:uid="{00000000-0006-0000-0500-000031000000}">
      <text>
        <r>
          <rPr>
            <b/>
            <sz val="9"/>
            <color indexed="81"/>
            <rFont val="Tahoma"/>
            <family val="2"/>
          </rPr>
          <t>Eric Sprague:</t>
        </r>
        <r>
          <rPr>
            <sz val="9"/>
            <color indexed="81"/>
            <rFont val="Tahoma"/>
            <family val="2"/>
          </rPr>
          <t xml:space="preserve">
NARR first fill was completed today. No longer need to track pass-through until extended fill begins.</t>
        </r>
      </text>
    </comment>
    <comment ref="Z41" authorId="0" shapeId="0" xr:uid="{19B282C5-F15E-46C8-A801-F49C99682037}">
      <text>
        <r>
          <rPr>
            <b/>
            <sz val="9"/>
            <color indexed="81"/>
            <rFont val="Tahoma"/>
            <family val="2"/>
          </rPr>
          <t>Eric Sprague:</t>
        </r>
        <r>
          <rPr>
            <sz val="9"/>
            <color indexed="81"/>
            <rFont val="Tahoma"/>
            <family val="2"/>
          </rPr>
          <t xml:space="preserve">
Inflows that did not go to Totten Exch. Went to Call stored today.</t>
        </r>
      </text>
    </comment>
    <comment ref="AB41" authorId="0" shapeId="0" xr:uid="{184E5EF0-AEA7-49A1-A739-3D43EA3A2D98}">
      <text>
        <r>
          <rPr>
            <b/>
            <sz val="9"/>
            <color indexed="81"/>
            <rFont val="Tahoma"/>
            <family val="2"/>
          </rPr>
          <t>Eric Sprague:</t>
        </r>
        <r>
          <rPr>
            <sz val="9"/>
            <color indexed="81"/>
            <rFont val="Tahoma"/>
            <family val="2"/>
          </rPr>
          <t xml:space="preserve">
Inflows that did not go to Totten Exch. Went to Call stored today.</t>
        </r>
      </text>
    </comment>
    <comment ref="AC41" authorId="0" shapeId="0" xr:uid="{5FA0B379-E165-4AE1-84FF-14528A0BF9EE}">
      <text>
        <r>
          <rPr>
            <b/>
            <sz val="9"/>
            <color indexed="81"/>
            <rFont val="Tahoma"/>
            <family val="2"/>
          </rPr>
          <t>Eric Sprague:</t>
        </r>
        <r>
          <rPr>
            <sz val="9"/>
            <color indexed="81"/>
            <rFont val="Tahoma"/>
            <family val="2"/>
          </rPr>
          <t xml:space="preserve">
MVIC completed Totten exchange today. Only stored up to 1,705 CFS rather than 1,714 CFS because evap has been accruing against the Totten exchange as it has been building.</t>
        </r>
      </text>
    </comment>
    <comment ref="AC46" authorId="0" shapeId="0" xr:uid="{00000000-0006-0000-0500-000035000000}">
      <text>
        <r>
          <rPr>
            <b/>
            <sz val="9"/>
            <color indexed="81"/>
            <rFont val="Tahoma"/>
            <family val="2"/>
          </rPr>
          <t>Eric Sprague:</t>
        </r>
        <r>
          <rPr>
            <sz val="9"/>
            <color indexed="81"/>
            <rFont val="Tahoma"/>
            <family val="2"/>
          </rPr>
          <t xml:space="preserve">
This is cumulative TOTT EXCH stored. Not used.</t>
        </r>
      </text>
    </comment>
    <comment ref="AC52" authorId="0" shapeId="0" xr:uid="{00000000-0006-0000-0500-000036000000}">
      <text>
        <r>
          <rPr>
            <b/>
            <sz val="9"/>
            <color indexed="81"/>
            <rFont val="Tahoma"/>
            <family val="2"/>
          </rPr>
          <t>Eric Sprague:</t>
        </r>
        <r>
          <rPr>
            <sz val="9"/>
            <color indexed="81"/>
            <rFont val="Tahoma"/>
            <family val="2"/>
          </rPr>
          <t xml:space="preserve">
This is cumulative TOTT EXCH stored. Not used.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Eric Sprague</author>
    <author>Vernon Lamb</author>
    <author>E. A. Birk</author>
  </authors>
  <commentList>
    <comment ref="P6" authorId="0" shapeId="0" xr:uid="{D118DCF1-DCF9-49C4-A987-AD300C5AFBCD}">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I7" authorId="1" shapeId="0" xr:uid="{CEA61CDE-3949-446B-ADC0-AFC4E8CEA63D}">
      <text>
        <r>
          <rPr>
            <b/>
            <sz val="8"/>
            <color indexed="81"/>
            <rFont val="Tahoma"/>
            <family val="2"/>
          </rPr>
          <t>Eric Sprague:</t>
        </r>
        <r>
          <rPr>
            <sz val="8"/>
            <color indexed="81"/>
            <rFont val="Tahoma"/>
            <family val="2"/>
          </rPr>
          <t xml:space="preserve">
1-OCT-2020. Fishpool at 27,780 AF at 86.5% supply. </t>
        </r>
        <r>
          <rPr>
            <b/>
            <sz val="8"/>
            <color indexed="81"/>
            <rFont val="Tahoma"/>
            <family val="2"/>
          </rPr>
          <t xml:space="preserve">
</t>
        </r>
        <r>
          <rPr>
            <sz val="8"/>
            <color indexed="81"/>
            <rFont val="Tahoma"/>
            <family val="2"/>
          </rPr>
          <t xml:space="preserve">3-SEP-2020. Fishpool at 27,739 AF at 86% supply. </t>
        </r>
        <r>
          <rPr>
            <b/>
            <sz val="8"/>
            <color indexed="81"/>
            <rFont val="Tahoma"/>
            <family val="2"/>
          </rPr>
          <t xml:space="preserve">
</t>
        </r>
        <r>
          <rPr>
            <sz val="8"/>
            <color indexed="81"/>
            <rFont val="Tahoma"/>
            <family val="2"/>
          </rPr>
          <t xml:space="preserve">6-AUG-2020. Fishpool at 27,357 AF at 85% supply. </t>
        </r>
        <r>
          <rPr>
            <b/>
            <sz val="8"/>
            <color indexed="81"/>
            <rFont val="Tahoma"/>
            <family val="2"/>
          </rPr>
          <t xml:space="preserve">
</t>
        </r>
        <r>
          <rPr>
            <sz val="8"/>
            <color indexed="81"/>
            <rFont val="Tahoma"/>
            <family val="2"/>
          </rPr>
          <t>1-JUL-2020. Fishpool at 26,917 AF at 83% supply. 
2-JUN-2020. Fishpool at 25,415 AF at 78% supply. Using 18-MAY-2020 CBRFC 90% ESP FCST.</t>
        </r>
        <r>
          <rPr>
            <b/>
            <sz val="8"/>
            <color indexed="81"/>
            <rFont val="Tahoma"/>
            <family val="2"/>
          </rPr>
          <t xml:space="preserve">
</t>
        </r>
        <r>
          <rPr>
            <sz val="8"/>
            <color indexed="81"/>
            <rFont val="Tahoma"/>
            <family val="2"/>
          </rPr>
          <t xml:space="preserve">14-MAY-2020. Fishpool at 25,090 AF at 75% supply. Using 1-MAY-2020 CBRFC 90% ESP FCST.
</t>
        </r>
        <r>
          <rPr>
            <b/>
            <sz val="8"/>
            <color indexed="81"/>
            <rFont val="Tahoma"/>
            <family val="2"/>
          </rPr>
          <t xml:space="preserve">
</t>
        </r>
        <r>
          <rPr>
            <sz val="8"/>
            <color indexed="81"/>
            <rFont val="Tahoma"/>
            <family val="2"/>
          </rPr>
          <t>6-APR-2020. Fishpool at 31,798 AF at full supply. Using 30-MAR-2020 CBRFC 90% ESP FCST.</t>
        </r>
        <r>
          <rPr>
            <b/>
            <sz val="8"/>
            <color indexed="81"/>
            <rFont val="Tahoma"/>
            <family val="2"/>
          </rPr>
          <t xml:space="preserve">
</t>
        </r>
      </text>
    </comment>
    <comment ref="N8" authorId="2" shapeId="0" xr:uid="{00000000-0006-0000-0600-000003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8" authorId="0" shapeId="0" xr:uid="{83A2DD00-C649-4684-86CC-178E44A59574}">
      <text>
        <r>
          <rPr>
            <b/>
            <sz val="9"/>
            <color indexed="81"/>
            <rFont val="Tahoma"/>
            <family val="2"/>
          </rPr>
          <t>Eric Sprague:</t>
        </r>
        <r>
          <rPr>
            <sz val="9"/>
            <color indexed="81"/>
            <rFont val="Tahoma"/>
            <family val="2"/>
          </rPr>
          <t xml:space="preserve">
1-OCT-2020. UFR Project water allocation 24,214 AF at 86.5% including 3,000 AF M&amp;I lease water.
3-SEP-2020. UFR Project water allocation 24,180 AF at 86% including 3,000 AF M&amp;I lease water.
6-AUG-2020. UFR Project water allocation 23,867 AF at 85% including 3,000 AF M&amp;I lease water.
1-JUL-2020. UFR Project water allocation 23,504 AF at 83% including 3,000 AF M&amp;I lease water.
2-JUN-2020. UFR Project water allocation 19,270 AF at 77% supply plus 3,000 AF M&amp;I lease water = 22,270 AF.
14-MAY-2020. UFR Project water allocation 19,003 AF at 75% supply plus 3,000 AF M&amp;I lease water. CBRFC's 1-MAY 90% Excd. 
4-APR-2020. UFR Project water allocation 24,517 AF at 100% supply plus 3,000 AF M&amp;I lease water. CBRFC's 15-APR 70% Excd. FCST is a full supply this season.
</t>
        </r>
      </text>
    </comment>
    <comment ref="R8" authorId="2" shapeId="0" xr:uid="{00000000-0006-0000-06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2" shapeId="0" xr:uid="{00000000-0006-0000-0600-000006000000}">
      <text>
        <r>
          <rPr>
            <b/>
            <sz val="8"/>
            <color indexed="81"/>
            <rFont val="Tahoma"/>
            <family val="2"/>
          </rPr>
          <t>E. A. Birk:</t>
        </r>
        <r>
          <rPr>
            <sz val="8"/>
            <color indexed="81"/>
            <rFont val="Tahoma"/>
            <family val="2"/>
          </rPr>
          <t xml:space="preserve">
The formula is =(daily use from the Towaoc file*1.06)*1.04</t>
        </r>
      </text>
    </comment>
    <comment ref="AD8" authorId="1" shapeId="0" xr:uid="{6D1506EC-2FA4-4FF2-89FD-056A2AE9B514}">
      <text>
        <r>
          <rPr>
            <b/>
            <sz val="8"/>
            <color indexed="81"/>
            <rFont val="Tahoma"/>
            <family val="2"/>
          </rPr>
          <t>Eric Sprague:</t>
        </r>
        <r>
          <rPr>
            <sz val="8"/>
            <color indexed="81"/>
            <rFont val="Tahoma"/>
            <family val="2"/>
          </rPr>
          <t xml:space="preserve">
1-OCT-2020: MVIC Project Water amount calc'd = 17,365 AF AF at 86.5% supply.
3-SEP-2020: MVIC Project Water amount calc'd = 17,519 AF AF at 86% supply.</t>
        </r>
        <r>
          <rPr>
            <b/>
            <sz val="8"/>
            <color indexed="81"/>
            <rFont val="Tahoma"/>
            <family val="2"/>
          </rPr>
          <t xml:space="preserve">
</t>
        </r>
        <r>
          <rPr>
            <sz val="8"/>
            <color indexed="81"/>
            <rFont val="Tahoma"/>
            <family val="2"/>
          </rPr>
          <t>6-AUG-2020: MVIC Project Water amount calc'd = 18,144 AF AF at 85% supply.</t>
        </r>
        <r>
          <rPr>
            <b/>
            <sz val="8"/>
            <color indexed="81"/>
            <rFont val="Tahoma"/>
            <family val="2"/>
          </rPr>
          <t xml:space="preserve">
</t>
        </r>
        <r>
          <rPr>
            <sz val="8"/>
            <color indexed="81"/>
            <rFont val="Tahoma"/>
            <family val="2"/>
          </rPr>
          <t>1-JUL-2020: MVIC Project Water amount calc'd = 19,791 AF AF at 83% supply.
2-JUN-2020: MVIC Project Water amount calc'd = 26,751 AF AF at 77% supply.</t>
        </r>
        <r>
          <rPr>
            <b/>
            <sz val="8"/>
            <color indexed="81"/>
            <rFont val="Tahoma"/>
            <family val="2"/>
          </rPr>
          <t xml:space="preserve">
</t>
        </r>
        <r>
          <rPr>
            <sz val="8"/>
            <color indexed="81"/>
            <rFont val="Tahoma"/>
            <family val="2"/>
          </rPr>
          <t>14-MAY-2020: MVIC Project Water amount calc'd = 24,180 AF AF at 75% supply, by CBRFC's 1-MAY 90% excd. FCST.</t>
        </r>
        <r>
          <rPr>
            <b/>
            <sz val="8"/>
            <color indexed="81"/>
            <rFont val="Tahoma"/>
            <family val="2"/>
          </rPr>
          <t xml:space="preserve">
</t>
        </r>
        <r>
          <rPr>
            <sz val="8"/>
            <color indexed="81"/>
            <rFont val="Tahoma"/>
            <family val="2"/>
          </rPr>
          <t xml:space="preserve">4-MAY-2020: MVIC Project Water amount calc'd = 9,045 AF at 100% supply, by CBRFC's 15-APR 70% excd. FCST.
</t>
        </r>
        <r>
          <rPr>
            <b/>
            <sz val="8"/>
            <color indexed="81"/>
            <rFont val="Tahoma"/>
            <family val="2"/>
          </rPr>
          <t xml:space="preserve">
</t>
        </r>
      </text>
    </comment>
    <comment ref="AE8" authorId="0" shapeId="0" xr:uid="{E030722D-892D-47EE-B791-E3FBC338993A}">
      <text>
        <r>
          <rPr>
            <b/>
            <sz val="9"/>
            <color indexed="81"/>
            <rFont val="Tahoma"/>
            <family val="2"/>
          </rPr>
          <t>Eric Sprague:</t>
        </r>
        <r>
          <rPr>
            <sz val="9"/>
            <color indexed="81"/>
            <rFont val="Tahoma"/>
            <family val="2"/>
          </rPr>
          <t xml:space="preserve">
1-OCT-2020. FSA Project water allocation: 55,878 AF at 86.5% supply including 5,192 AF MVIC Class B shares and 2,000 AF M&amp;I lease water.
1-SEP-2020. FSA Project water allocation: 55,792 AF at 86% supply including 5,183 AF MVIC Class B shares and 2,000 AF M&amp;I lease water.
1-AUG-2020. FSA Project water allocation: 54,996 AF at 85% supply including 5,107 AF MVIC Class B shares and 2,000 AF M&amp;I lease water.
1-JUL-2020. FSA Project water allocation: 54,075 AF at 83% supply including 5,018 AF MVIC Class B shares and 2,000 AF M&amp;I lease water.
2-JUN-2020. FSA Project water allocation: 50,941 AF at 77% supply including 4,716 AF MVIC Class B shares and no M&amp;I lease water.
14-MAY-2020. FSA Project water allocation: 43,612 AF at 75% supply including 4,651 AF MVIC Class B shares and no M&amp;I lease water.
4-MAY-2020. FSA Project water allocation: 62,267 AF at 100% supply including MVIC Class B shares and no M&amp;I lease water.</t>
        </r>
      </text>
    </comment>
    <comment ref="AI8" authorId="0" shapeId="0" xr:uid="{00000000-0006-0000-0600-000009000000}">
      <text>
        <r>
          <rPr>
            <b/>
            <sz val="9"/>
            <color indexed="81"/>
            <rFont val="Tahoma"/>
            <family val="2"/>
          </rPr>
          <t>Eric Sprague:</t>
        </r>
        <r>
          <rPr>
            <sz val="9"/>
            <color indexed="81"/>
            <rFont val="Tahoma"/>
            <family val="2"/>
          </rPr>
          <t xml:space="preserve">
Above amount converted to cfs.</t>
        </r>
      </text>
    </comment>
    <comment ref="AX8" authorId="0" shapeId="0" xr:uid="{9B1FD14B-571C-43C1-8DC9-BDD5709FD61C}">
      <text>
        <r>
          <rPr>
            <b/>
            <sz val="9"/>
            <color indexed="81"/>
            <rFont val="Tahoma"/>
            <family val="2"/>
          </rPr>
          <t>Eric Sprague:</t>
        </r>
        <r>
          <rPr>
            <sz val="9"/>
            <color indexed="81"/>
            <rFont val="Tahoma"/>
            <family val="2"/>
          </rPr>
          <t xml:space="preserve"> 
1-OCT-2020. Cass B acres at 86.5% supply = 5,192 AF.
3-SEP-2020. Cass B acres at 86% supply = 5,183 AF.
6-AUG-2020. Cass B acres at 85% supply = 5,107 AF.
1-JUL-2020. Cass B acres at 83% supply = 5,018 AF using 1-JUL FCST calcs.
2-JUN-2020. Cass B acres at 77% supply = 4,716 AF using 18-MAY FCST calcs.
14-MAY-2020. Cass B acres at 75% supply = 4,651 AF using 1-MAY FCST calcs.
4-MAY-2020. Cass B acres at full supply = 6,000 AF using mid-April FCST calcs.</t>
        </r>
      </text>
    </comment>
    <comment ref="AY8" authorId="1" shapeId="0" xr:uid="{00000000-0006-0000-0600-00000B000000}">
      <text>
        <r>
          <rPr>
            <b/>
            <sz val="8"/>
            <color indexed="81"/>
            <rFont val="Tahoma"/>
            <family val="2"/>
          </rPr>
          <t>Eric Sprague:</t>
        </r>
        <r>
          <rPr>
            <sz val="8"/>
            <color indexed="81"/>
            <rFont val="Tahoma"/>
            <family val="2"/>
          </rPr>
          <t xml:space="preserve">
WY 2020 1,685.1 AF.
WY 2019 1,677.2 AF.
WY 2018. 1,676.9 AF is the 2018 U/S users release amount.
The U/S Exchange must reach this amount by for the end of the season.</t>
        </r>
      </text>
    </comment>
    <comment ref="AZ8" authorId="1" shapeId="0" xr:uid="{10EF6385-64E9-44B9-A4F0-46C78BE9AEF4}">
      <text>
        <r>
          <rPr>
            <b/>
            <sz val="8"/>
            <color indexed="81"/>
            <rFont val="Tahoma"/>
            <family val="2"/>
          </rPr>
          <t>Eric Sprague:</t>
        </r>
        <r>
          <rPr>
            <sz val="8"/>
            <color indexed="81"/>
            <rFont val="Tahoma"/>
            <family val="2"/>
          </rPr>
          <t xml:space="preserve"> 
1-OCT-2020. SJB F&amp;W water adjusted based on 1-OCT calcs to 346 AF allocated to Totten Fresh Water.
3-SEP-2020. SJB F&amp;W water adjusted based on 1-AUG calcs to 345 AF allocated to Totten Fresh Water.</t>
        </r>
        <r>
          <rPr>
            <b/>
            <sz val="8"/>
            <color indexed="81"/>
            <rFont val="Tahoma"/>
            <family val="2"/>
          </rPr>
          <t xml:space="preserve">
</t>
        </r>
        <r>
          <rPr>
            <sz val="8"/>
            <color indexed="81"/>
            <rFont val="Tahoma"/>
            <family val="2"/>
          </rPr>
          <t>6-AUG-2020. SJB F&amp;W water adjusted based on 1-AUG calcs to 340 AF allocated to Totten Fresh Water.</t>
        </r>
        <r>
          <rPr>
            <b/>
            <sz val="8"/>
            <color indexed="81"/>
            <rFont val="Tahoma"/>
            <family val="2"/>
          </rPr>
          <t xml:space="preserve">
</t>
        </r>
        <r>
          <rPr>
            <sz val="8"/>
            <color indexed="81"/>
            <rFont val="Tahoma"/>
            <family val="2"/>
          </rPr>
          <t>1-JUL-2020. SJB F&amp;W water adjusted based on 1-JUL calcs to 334 AF allocated to Totten Fresh Water.
14-MAY-2020. SJB F&amp;W water adjusted based on 1-MAY calcs to 310 AF allocated to Totten Fresh Water.
4-MAY-2020. SJB F&amp;W water adjusted based on mid-APR calcs to 400 AF allocated to Totten Fresh Water.</t>
        </r>
        <r>
          <rPr>
            <b/>
            <sz val="8"/>
            <color indexed="81"/>
            <rFont val="Tahoma"/>
            <family val="2"/>
          </rPr>
          <t xml:space="preserve">
</t>
        </r>
      </text>
    </comment>
    <comment ref="R9" authorId="2" shapeId="0" xr:uid="{00000000-0006-0000-0600-00000D000000}">
      <text>
        <r>
          <rPr>
            <b/>
            <sz val="8"/>
            <color indexed="81"/>
            <rFont val="Tahoma"/>
            <family val="2"/>
          </rPr>
          <t>E. A. Birk:</t>
        </r>
        <r>
          <rPr>
            <sz val="8"/>
            <color indexed="81"/>
            <rFont val="Tahoma"/>
            <family val="2"/>
          </rPr>
          <t xml:space="preserve">
Cortez Non-project water is limited to 4.20 cfs/day.</t>
        </r>
      </text>
    </comment>
    <comment ref="AZ9" authorId="1" shapeId="0" xr:uid="{00000000-0006-0000-0600-00000E000000}">
      <text>
        <r>
          <rPr>
            <b/>
            <sz val="8"/>
            <color indexed="81"/>
            <rFont val="Tahoma"/>
            <family val="2"/>
          </rPr>
          <t>Vernon Lamb:</t>
        </r>
        <r>
          <rPr>
            <sz val="8"/>
            <color indexed="81"/>
            <rFont val="Tahoma"/>
            <family val="2"/>
          </rPr>
          <t xml:space="preserve">
Above value converted to cfs.</t>
        </r>
      </text>
    </comment>
    <comment ref="AD12" authorId="1" shapeId="0" xr:uid="{00000000-0006-0000-0600-00000F000000}">
      <text>
        <r>
          <rPr>
            <b/>
            <sz val="9"/>
            <color indexed="81"/>
            <rFont val="Tahoma"/>
            <family val="2"/>
          </rPr>
          <t>Vernon Lamb:</t>
        </r>
        <r>
          <rPr>
            <sz val="9"/>
            <color indexed="81"/>
            <rFont val="Tahoma"/>
            <family val="2"/>
          </rPr>
          <t xml:space="preserve">
MVIC Project Water amount in cfs.</t>
        </r>
      </text>
    </comment>
    <comment ref="J41" authorId="0" shapeId="0" xr:uid="{00000000-0006-0000-0600-000010000000}">
      <text>
        <r>
          <rPr>
            <b/>
            <sz val="9"/>
            <color indexed="81"/>
            <rFont val="Tahoma"/>
            <family val="2"/>
          </rPr>
          <t>Eric Sprague:</t>
        </r>
        <r>
          <rPr>
            <sz val="9"/>
            <color indexed="81"/>
            <rFont val="Tahoma"/>
            <family val="2"/>
          </rPr>
          <t xml:space="preserve">
On the 27th and 28th of May, 2020, Colorado Division of Relamation, Mining, &amp; Safety (Contact is Kirsten Brown at (970) 903-8653), diverted 80,000 Gallons (0.25 AF) of runoff from Beaver Creek at the bridge in order to put out the coal seam fire that started from -- and has been burning since -- the wildfire at Plateau Creek back in 2018.</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Eric Sprague</author>
    <author>Vernon Lamb</author>
    <author>E. A. Birk</author>
  </authors>
  <commentList>
    <comment ref="P6" authorId="0" shapeId="0" xr:uid="{C9F3387D-E5BE-45AB-B3C2-D36642783E69}">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I7" authorId="1" shapeId="0" xr:uid="{95682B03-F78D-46CA-85E5-7F74132E2FAA}">
      <text>
        <r>
          <rPr>
            <b/>
            <sz val="8"/>
            <color indexed="81"/>
            <rFont val="Tahoma"/>
            <family val="2"/>
          </rPr>
          <t>Eric Sprague:</t>
        </r>
        <r>
          <rPr>
            <sz val="8"/>
            <color indexed="81"/>
            <rFont val="Tahoma"/>
            <family val="2"/>
          </rPr>
          <t xml:space="preserve">
1-OCT-2020. Fishpool at 27,780 AF at 86.5% supply. </t>
        </r>
        <r>
          <rPr>
            <b/>
            <sz val="8"/>
            <color indexed="81"/>
            <rFont val="Tahoma"/>
            <family val="2"/>
          </rPr>
          <t xml:space="preserve">
</t>
        </r>
        <r>
          <rPr>
            <sz val="8"/>
            <color indexed="81"/>
            <rFont val="Tahoma"/>
            <family val="2"/>
          </rPr>
          <t xml:space="preserve">3-SEP-2020. Fishpool at 27,739 AF at 86% supply. </t>
        </r>
        <r>
          <rPr>
            <b/>
            <sz val="8"/>
            <color indexed="81"/>
            <rFont val="Tahoma"/>
            <family val="2"/>
          </rPr>
          <t xml:space="preserve">
</t>
        </r>
        <r>
          <rPr>
            <sz val="8"/>
            <color indexed="81"/>
            <rFont val="Tahoma"/>
            <family val="2"/>
          </rPr>
          <t xml:space="preserve">6-AUG-2020. Fishpool at 27,357 AF at 85% supply. </t>
        </r>
        <r>
          <rPr>
            <b/>
            <sz val="8"/>
            <color indexed="81"/>
            <rFont val="Tahoma"/>
            <family val="2"/>
          </rPr>
          <t xml:space="preserve">
</t>
        </r>
        <r>
          <rPr>
            <sz val="8"/>
            <color indexed="81"/>
            <rFont val="Tahoma"/>
            <family val="2"/>
          </rPr>
          <t>1-JUL-2020. Fishpool at 26,917 AF at 83% supply. 
2-JUN-2020. Fishpool at 25,415 AF at 78% supply. Using 18-MAY-2020 CBRFC 90% ESP FCST.</t>
        </r>
        <r>
          <rPr>
            <b/>
            <sz val="8"/>
            <color indexed="81"/>
            <rFont val="Tahoma"/>
            <family val="2"/>
          </rPr>
          <t xml:space="preserve">
</t>
        </r>
        <r>
          <rPr>
            <sz val="8"/>
            <color indexed="81"/>
            <rFont val="Tahoma"/>
            <family val="2"/>
          </rPr>
          <t xml:space="preserve">14-MAY-2020. Fishpool at 25,090 AF at 75% supply. Using 1-MAY-2020 CBRFC 90% ESP FCST.
</t>
        </r>
        <r>
          <rPr>
            <b/>
            <sz val="8"/>
            <color indexed="81"/>
            <rFont val="Tahoma"/>
            <family val="2"/>
          </rPr>
          <t xml:space="preserve">
</t>
        </r>
        <r>
          <rPr>
            <sz val="8"/>
            <color indexed="81"/>
            <rFont val="Tahoma"/>
            <family val="2"/>
          </rPr>
          <t>6-APR-2020. Fishpool at 31,798 AF at full supply. Using 30-MAR-2020 CBRFC 90% ESP FCST.</t>
        </r>
        <r>
          <rPr>
            <b/>
            <sz val="8"/>
            <color indexed="81"/>
            <rFont val="Tahoma"/>
            <family val="2"/>
          </rPr>
          <t xml:space="preserve">
</t>
        </r>
      </text>
    </comment>
    <comment ref="N8" authorId="2" shapeId="0" xr:uid="{00000000-0006-0000-0700-000002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8" authorId="0" shapeId="0" xr:uid="{A26FE709-C9C8-4884-B62E-DE5B6CEAE88C}">
      <text>
        <r>
          <rPr>
            <b/>
            <sz val="9"/>
            <color indexed="81"/>
            <rFont val="Tahoma"/>
            <family val="2"/>
          </rPr>
          <t>Eric Sprague:</t>
        </r>
        <r>
          <rPr>
            <sz val="9"/>
            <color indexed="81"/>
            <rFont val="Tahoma"/>
            <family val="2"/>
          </rPr>
          <t xml:space="preserve">
1-OCT-2020. UFR Project water allocation 24,214 AF at 86.5% including 3,000 AF M&amp;I lease water.
3-SEP-2020. UFR Project water allocation 24,180 AF at 86% including 3,000 AF M&amp;I lease water.
6-AUG-2020. UFR Project water allocation 23,867 AF at 85% including 3,000 AF M&amp;I lease water.
1-JUL-2020. UFR Project water allocation 23,504 AF at 83% including 3,000 AF M&amp;I lease water.
2-JUN-2020. UFR Project water allocation 19,270 AF at 77% supply plus 3,000 AF M&amp;I lease water = 22,270 AF.
14-MAY-2020. UFR Project water allocation 19,003 AF at 75% supply plus 3,000 AF M&amp;I lease water. CBRFC's 1-MAY 90% Excd. 
4-APR-2020. UFR Project water allocation 24,517 AF at 100% supply plus 3,000 AF M&amp;I lease water. CBRFC's 15-APR 70% Excd. FCST is a full supply this season.
</t>
        </r>
      </text>
    </comment>
    <comment ref="R8" authorId="2" shapeId="0" xr:uid="{00000000-0006-0000-0700-000004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2" shapeId="0" xr:uid="{00000000-0006-0000-0700-000005000000}">
      <text>
        <r>
          <rPr>
            <b/>
            <sz val="8"/>
            <color indexed="81"/>
            <rFont val="Tahoma"/>
            <family val="2"/>
          </rPr>
          <t>E. A. Birk:</t>
        </r>
        <r>
          <rPr>
            <sz val="8"/>
            <color indexed="81"/>
            <rFont val="Tahoma"/>
            <family val="2"/>
          </rPr>
          <t xml:space="preserve">
The formula is =(daily use from the Towaoc file*1.06)*1.04</t>
        </r>
      </text>
    </comment>
    <comment ref="AD8" authorId="1" shapeId="0" xr:uid="{6E0715E6-AB60-4D2D-9A2B-F05E029E5B3B}">
      <text>
        <r>
          <rPr>
            <b/>
            <sz val="8"/>
            <color indexed="81"/>
            <rFont val="Tahoma"/>
            <family val="2"/>
          </rPr>
          <t>Eric Sprague:</t>
        </r>
        <r>
          <rPr>
            <sz val="8"/>
            <color indexed="81"/>
            <rFont val="Tahoma"/>
            <family val="2"/>
          </rPr>
          <t xml:space="preserve">
1-OCT-2020: MVIC Project Water amount calc'd = 17,365 AF AF at 86.5% supply.
3-SEP-2020: MVIC Project Water amount calc'd = 17,519 AF AF at 86% supply.</t>
        </r>
        <r>
          <rPr>
            <b/>
            <sz val="8"/>
            <color indexed="81"/>
            <rFont val="Tahoma"/>
            <family val="2"/>
          </rPr>
          <t xml:space="preserve">
</t>
        </r>
        <r>
          <rPr>
            <sz val="8"/>
            <color indexed="81"/>
            <rFont val="Tahoma"/>
            <family val="2"/>
          </rPr>
          <t>6-AUG-2020: MVIC Project Water amount calc'd = 18,144 AF AF at 85% supply.</t>
        </r>
        <r>
          <rPr>
            <b/>
            <sz val="8"/>
            <color indexed="81"/>
            <rFont val="Tahoma"/>
            <family val="2"/>
          </rPr>
          <t xml:space="preserve">
</t>
        </r>
        <r>
          <rPr>
            <sz val="8"/>
            <color indexed="81"/>
            <rFont val="Tahoma"/>
            <family val="2"/>
          </rPr>
          <t>1-JUL-2020: MVIC Project Water amount calc'd = 19,791 AF AF at 83% supply.
2-JUN-2020: MVIC Project Water amount calc'd = 26,751 AF AF at 77% supply.</t>
        </r>
        <r>
          <rPr>
            <b/>
            <sz val="8"/>
            <color indexed="81"/>
            <rFont val="Tahoma"/>
            <family val="2"/>
          </rPr>
          <t xml:space="preserve">
</t>
        </r>
        <r>
          <rPr>
            <sz val="8"/>
            <color indexed="81"/>
            <rFont val="Tahoma"/>
            <family val="2"/>
          </rPr>
          <t>14-MAY-2020: MVIC Project Water amount calc'd = 24,180 AF AF at 75% supply, by CBRFC's 1-MAY 90% excd. FCST.</t>
        </r>
        <r>
          <rPr>
            <b/>
            <sz val="8"/>
            <color indexed="81"/>
            <rFont val="Tahoma"/>
            <family val="2"/>
          </rPr>
          <t xml:space="preserve">
</t>
        </r>
        <r>
          <rPr>
            <sz val="8"/>
            <color indexed="81"/>
            <rFont val="Tahoma"/>
            <family val="2"/>
          </rPr>
          <t xml:space="preserve">4-MAY-2020: MVIC Project Water amount calc'd = 9,045 AF at 100% supply, by CBRFC's 15-APR 70% excd. FCST.
</t>
        </r>
        <r>
          <rPr>
            <b/>
            <sz val="8"/>
            <color indexed="81"/>
            <rFont val="Tahoma"/>
            <family val="2"/>
          </rPr>
          <t xml:space="preserve">
</t>
        </r>
      </text>
    </comment>
    <comment ref="AE8" authorId="0" shapeId="0" xr:uid="{B6A430E0-7301-48BA-95FE-85BF6248BED6}">
      <text>
        <r>
          <rPr>
            <b/>
            <sz val="9"/>
            <color indexed="81"/>
            <rFont val="Tahoma"/>
            <family val="2"/>
          </rPr>
          <t>Eric Sprague:</t>
        </r>
        <r>
          <rPr>
            <sz val="9"/>
            <color indexed="81"/>
            <rFont val="Tahoma"/>
            <family val="2"/>
          </rPr>
          <t xml:space="preserve">
1-OCT-2020. FSA Project water allocation: 55,878 AF at 86.5% supply including 5,192 AF MVIC Class B shares and 2,000 AF M&amp;I lease water.
1-SEP-2020. FSA Project water allocation: 55,792 AF at 86% supply including 5,183 AF MVIC Class B shares and 2,000 AF M&amp;I lease water.
1-AUG-2020. FSA Project water allocation: 54,996 AF at 85% supply including 5,107 AF MVIC Class B shares and 2,000 AF M&amp;I lease water.
1-JUL-2020. FSA Project water allocation: 54,075 AF at 83% supply including 5,018 AF MVIC Class B shares and 2,000 AF M&amp;I lease water.
2-JUN-2020. FSA Project water allocation: 50,941 AF at 77% supply including 4,716 AF MVIC Class B shares and no M&amp;I lease water.
14-MAY-2020. FSA Project water allocation: 43,612 AF at 75% supply including 4,651 AF MVIC Class B shares and no M&amp;I lease water.
4-MAY-2020. FSA Project water allocation: 62,267 AF at 100% supply including MVIC Class B shares and no M&amp;I lease water.</t>
        </r>
      </text>
    </comment>
    <comment ref="AI8" authorId="0" shapeId="0" xr:uid="{00000000-0006-0000-0700-000008000000}">
      <text>
        <r>
          <rPr>
            <b/>
            <sz val="9"/>
            <color indexed="81"/>
            <rFont val="Tahoma"/>
            <family val="2"/>
          </rPr>
          <t>Eric Sprague:</t>
        </r>
        <r>
          <rPr>
            <sz val="9"/>
            <color indexed="81"/>
            <rFont val="Tahoma"/>
            <family val="2"/>
          </rPr>
          <t xml:space="preserve">
Above amount converted to cfs.</t>
        </r>
      </text>
    </comment>
    <comment ref="AX8" authorId="0" shapeId="0" xr:uid="{33385C44-4018-474A-8427-51547A594400}">
      <text>
        <r>
          <rPr>
            <b/>
            <sz val="9"/>
            <color indexed="81"/>
            <rFont val="Tahoma"/>
            <family val="2"/>
          </rPr>
          <t>Eric Sprague:</t>
        </r>
        <r>
          <rPr>
            <sz val="9"/>
            <color indexed="81"/>
            <rFont val="Tahoma"/>
            <family val="2"/>
          </rPr>
          <t xml:space="preserve"> 
1-OCT-2020. Cass B acres at 86.5% supply = 5,192 AF.
3-SEP-2020. Cass B acres at 86% supply = 5,183 AF.
6-AUG-2020. Cass B acres at 85% supply = 5,107 AF.
1-JUL-2020. Cass B acres at 83% supply = 5,018 AF using 1-JUL FCST calcs.
2-JUN-2020. Cass B acres at 77% supply = 4,716 AF using 18-MAY FCST calcs.
14-MAY-2020. Cass B acres at 75% supply = 4,651 AF using 1-MAY FCST calcs.
4-MAY-2020. Cass B acres at full supply = 6,000 AF using mid-April FCST calcs.</t>
        </r>
      </text>
    </comment>
    <comment ref="AZ8" authorId="1" shapeId="0" xr:uid="{00000000-0006-0000-0700-00000A000000}">
      <text>
        <r>
          <rPr>
            <b/>
            <sz val="8"/>
            <color indexed="81"/>
            <rFont val="Tahoma"/>
            <family val="2"/>
          </rPr>
          <t>Eric Sprague:</t>
        </r>
        <r>
          <rPr>
            <sz val="8"/>
            <color indexed="81"/>
            <rFont val="Tahoma"/>
            <family val="2"/>
          </rPr>
          <t xml:space="preserve">
WY 2020 1,685.1 AF.
WY 2019 1,677.2 AF.
WY 2018. 1,676.9 AF is the 2018 U/S users release amount.
The U/S Exchange must reach this amount by for the end of the season.</t>
        </r>
      </text>
    </comment>
    <comment ref="BA8" authorId="1" shapeId="0" xr:uid="{6B4C42AD-E02B-4641-8FB2-22A21DE61C11}">
      <text>
        <r>
          <rPr>
            <b/>
            <sz val="8"/>
            <color indexed="81"/>
            <rFont val="Tahoma"/>
            <family val="2"/>
          </rPr>
          <t>Eric Sprague:</t>
        </r>
        <r>
          <rPr>
            <sz val="8"/>
            <color indexed="81"/>
            <rFont val="Tahoma"/>
            <family val="2"/>
          </rPr>
          <t xml:space="preserve"> 
1-OCT-2020. SJB F&amp;W water adjusted based on 1-OCT calcs to 346 AF allocated to Totten Fresh Water.
3-SEP-2020. SJB F&amp;W water adjusted based on 1-AUG calcs to 345 AF allocated to Totten Fresh Water.</t>
        </r>
        <r>
          <rPr>
            <b/>
            <sz val="8"/>
            <color indexed="81"/>
            <rFont val="Tahoma"/>
            <family val="2"/>
          </rPr>
          <t xml:space="preserve">
</t>
        </r>
        <r>
          <rPr>
            <sz val="8"/>
            <color indexed="81"/>
            <rFont val="Tahoma"/>
            <family val="2"/>
          </rPr>
          <t>6-AUG-2020. SJB F&amp;W water adjusted based on 1-AUG calcs to 340 AF allocated to Totten Fresh Water.</t>
        </r>
        <r>
          <rPr>
            <b/>
            <sz val="8"/>
            <color indexed="81"/>
            <rFont val="Tahoma"/>
            <family val="2"/>
          </rPr>
          <t xml:space="preserve">
</t>
        </r>
        <r>
          <rPr>
            <sz val="8"/>
            <color indexed="81"/>
            <rFont val="Tahoma"/>
            <family val="2"/>
          </rPr>
          <t>1-JUL-2020. SJB F&amp;W water adjusted based on 1-JUL calcs to 334 AF allocated to Totten Fresh Water.
14-MAY-2020. SJB F&amp;W water adjusted based on 1-MAY calcs to 310 AF allocated to Totten Fresh Water.
4-MAY-2020. SJB F&amp;W water adjusted based on mid-APR calcs to 400 AF allocated to Totten Fresh Water.</t>
        </r>
        <r>
          <rPr>
            <b/>
            <sz val="8"/>
            <color indexed="81"/>
            <rFont val="Tahoma"/>
            <family val="2"/>
          </rPr>
          <t xml:space="preserve">
</t>
        </r>
      </text>
    </comment>
    <comment ref="R9" authorId="2" shapeId="0" xr:uid="{00000000-0006-0000-0700-00000C000000}">
      <text>
        <r>
          <rPr>
            <b/>
            <sz val="8"/>
            <color indexed="81"/>
            <rFont val="Tahoma"/>
            <family val="2"/>
          </rPr>
          <t>E. A. Birk:</t>
        </r>
        <r>
          <rPr>
            <sz val="8"/>
            <color indexed="81"/>
            <rFont val="Tahoma"/>
            <family val="2"/>
          </rPr>
          <t xml:space="preserve">
Cortez Non-project water is limited to 4.20 cfs/day.</t>
        </r>
      </text>
    </comment>
    <comment ref="BA9" authorId="1" shapeId="0" xr:uid="{00000000-0006-0000-0700-00000D000000}">
      <text>
        <r>
          <rPr>
            <b/>
            <sz val="8"/>
            <color indexed="81"/>
            <rFont val="Tahoma"/>
            <family val="2"/>
          </rPr>
          <t>Vernon Lamb:</t>
        </r>
        <r>
          <rPr>
            <sz val="8"/>
            <color indexed="81"/>
            <rFont val="Tahoma"/>
            <family val="2"/>
          </rPr>
          <t xml:space="preserve">
Above value converted to cfs.</t>
        </r>
      </text>
    </comment>
    <comment ref="G26" authorId="0" shapeId="0" xr:uid="{00000000-0006-0000-0700-00000E000000}">
      <text>
        <r>
          <rPr>
            <b/>
            <sz val="9"/>
            <color indexed="81"/>
            <rFont val="Tahoma"/>
            <family val="2"/>
          </rPr>
          <t>Eric Sprague:</t>
        </r>
        <r>
          <rPr>
            <sz val="9"/>
            <color indexed="81"/>
            <rFont val="Tahoma"/>
            <family val="2"/>
          </rPr>
          <t xml:space="preserve">
15-JUN-2020. USGS updated daily average values going back to 16-MAY.</t>
        </r>
      </text>
    </comment>
    <comment ref="AZ26" authorId="0" shapeId="0" xr:uid="{00000000-0006-0000-0700-00000F000000}">
      <text>
        <r>
          <rPr>
            <b/>
            <sz val="9"/>
            <color indexed="81"/>
            <rFont val="Tahoma"/>
            <family val="2"/>
          </rPr>
          <t>Eric Sprague:</t>
        </r>
        <r>
          <rPr>
            <sz val="9"/>
            <color indexed="81"/>
            <rFont val="Tahoma"/>
            <family val="2"/>
          </rPr>
          <t xml:space="preserve">
The river crossed the 300 CFS threshold. MVIC Began Running the U/S Exchange.</t>
        </r>
      </text>
    </comment>
    <comment ref="P37" authorId="0" shapeId="0" xr:uid="{00000000-0006-0000-0700-000010000000}">
      <text>
        <r>
          <rPr>
            <b/>
            <sz val="9"/>
            <color indexed="81"/>
            <rFont val="Tahoma"/>
            <family val="2"/>
          </rPr>
          <t>Eric Sprague:</t>
        </r>
        <r>
          <rPr>
            <sz val="9"/>
            <color indexed="81"/>
            <rFont val="Tahoma"/>
            <family val="2"/>
          </rPr>
          <t xml:space="preserve">
QEP release began for 2020.</t>
        </r>
      </text>
    </comment>
    <comment ref="P43" authorId="0" shapeId="0" xr:uid="{00000000-0006-0000-0700-000011000000}">
      <text>
        <r>
          <rPr>
            <b/>
            <sz val="9"/>
            <color indexed="81"/>
            <rFont val="Tahoma"/>
            <family val="2"/>
          </rPr>
          <t>Eric Sprague:</t>
        </r>
        <r>
          <rPr>
            <sz val="9"/>
            <color indexed="81"/>
            <rFont val="Tahoma"/>
            <family val="2"/>
          </rPr>
          <t xml:space="preserve">
QEP release ended for 2020.</t>
        </r>
      </text>
    </comment>
    <comment ref="BC46" authorId="0" shapeId="0" xr:uid="{00000000-0006-0000-0700-000012000000}">
      <text>
        <r>
          <rPr>
            <b/>
            <sz val="9"/>
            <color indexed="81"/>
            <rFont val="Tahoma"/>
            <family val="2"/>
          </rPr>
          <t>Eric Sprague:</t>
        </r>
        <r>
          <rPr>
            <sz val="9"/>
            <color indexed="81"/>
            <rFont val="Tahoma"/>
            <family val="2"/>
          </rPr>
          <t xml:space="preserve">
18-JUN-2019. Note for posterity. While little precip has been recorded at Great Cut this month, weather patterns in the region and over the McPhee basin have been very active for June. Lots of cloud cover and regular afternoon storms. It has had an impact on irrigation demand as well as spill management.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Eric Sprague</author>
    <author>Vernon Lamb</author>
    <author>E. A. Birk</author>
  </authors>
  <commentList>
    <comment ref="AY5" authorId="0" shapeId="0" xr:uid="{00000000-0006-0000-0800-000001000000}">
      <text>
        <r>
          <rPr>
            <b/>
            <sz val="9"/>
            <color indexed="81"/>
            <rFont val="Tahoma"/>
            <family val="2"/>
          </rPr>
          <t>Eric Sprague:</t>
        </r>
        <r>
          <rPr>
            <sz val="9"/>
            <color indexed="81"/>
            <rFont val="Tahoma"/>
            <family val="2"/>
          </rPr>
          <t xml:space="preserve">
WY 2020. There are currently 4,438.1 Acres of Class B land in the FSA area. At 5.6 GPM per Acre, this comes out to a maximum flow of 55 CFS/day.</t>
        </r>
      </text>
    </comment>
    <comment ref="P6" authorId="0" shapeId="0" xr:uid="{11BCBFD1-47BD-4731-8EAE-8612DFC8DB43}">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K7" authorId="1" shapeId="0" xr:uid="{51EE76EF-AF3E-4145-8E4F-7EAA3F1B321F}">
      <text>
        <r>
          <rPr>
            <b/>
            <sz val="8"/>
            <color indexed="81"/>
            <rFont val="Tahoma"/>
            <family val="2"/>
          </rPr>
          <t>Eric Sprague:</t>
        </r>
        <r>
          <rPr>
            <sz val="8"/>
            <color indexed="81"/>
            <rFont val="Tahoma"/>
            <family val="2"/>
          </rPr>
          <t xml:space="preserve">
1-OCT-2020. Fishpool at 27,780 AF at 86.5% supply. </t>
        </r>
        <r>
          <rPr>
            <b/>
            <sz val="8"/>
            <color indexed="81"/>
            <rFont val="Tahoma"/>
            <family val="2"/>
          </rPr>
          <t xml:space="preserve">
</t>
        </r>
        <r>
          <rPr>
            <sz val="8"/>
            <color indexed="81"/>
            <rFont val="Tahoma"/>
            <family val="2"/>
          </rPr>
          <t xml:space="preserve">3-SEP-2020. Fishpool at 27,739 AF at 86% supply. </t>
        </r>
        <r>
          <rPr>
            <b/>
            <sz val="8"/>
            <color indexed="81"/>
            <rFont val="Tahoma"/>
            <family val="2"/>
          </rPr>
          <t xml:space="preserve">
</t>
        </r>
        <r>
          <rPr>
            <sz val="8"/>
            <color indexed="81"/>
            <rFont val="Tahoma"/>
            <family val="2"/>
          </rPr>
          <t xml:space="preserve">6-AUG-2020. Fishpool at 27,357 AF at 85% supply. </t>
        </r>
        <r>
          <rPr>
            <b/>
            <sz val="8"/>
            <color indexed="81"/>
            <rFont val="Tahoma"/>
            <family val="2"/>
          </rPr>
          <t xml:space="preserve">
</t>
        </r>
        <r>
          <rPr>
            <sz val="8"/>
            <color indexed="81"/>
            <rFont val="Tahoma"/>
            <family val="2"/>
          </rPr>
          <t>1-JUL-2020. Fishpool at 26,917 AF at 83% supply. 
2-JUN-2020. Fishpool at 25,415 AF at 78% supply. Using 18-MAY-2020 CBRFC 90% ESP FCST.</t>
        </r>
        <r>
          <rPr>
            <b/>
            <sz val="8"/>
            <color indexed="81"/>
            <rFont val="Tahoma"/>
            <family val="2"/>
          </rPr>
          <t xml:space="preserve">
</t>
        </r>
        <r>
          <rPr>
            <sz val="8"/>
            <color indexed="81"/>
            <rFont val="Tahoma"/>
            <family val="2"/>
          </rPr>
          <t xml:space="preserve">14-MAY-2020. Fishpool at 25,090 AF at 75% supply. Using 1-MAY-2020 CBRFC 90% ESP FCST.
</t>
        </r>
        <r>
          <rPr>
            <b/>
            <sz val="8"/>
            <color indexed="81"/>
            <rFont val="Tahoma"/>
            <family val="2"/>
          </rPr>
          <t xml:space="preserve">
</t>
        </r>
        <r>
          <rPr>
            <sz val="8"/>
            <color indexed="81"/>
            <rFont val="Tahoma"/>
            <family val="2"/>
          </rPr>
          <t>6-APR-2020. Fishpool at 31,798 AF at full supply. Using 30-MAR-2020 CBRFC 90% ESP FCST.</t>
        </r>
        <r>
          <rPr>
            <b/>
            <sz val="8"/>
            <color indexed="81"/>
            <rFont val="Tahoma"/>
            <family val="2"/>
          </rPr>
          <t xml:space="preserve">
</t>
        </r>
      </text>
    </comment>
    <comment ref="N8" authorId="2" shapeId="0" xr:uid="{00000000-0006-0000-0800-000003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8" authorId="0" shapeId="0" xr:uid="{5041ADDD-2659-4625-AD98-A1FDBB1813C8}">
      <text>
        <r>
          <rPr>
            <b/>
            <sz val="9"/>
            <color indexed="81"/>
            <rFont val="Tahoma"/>
            <family val="2"/>
          </rPr>
          <t>Eric Sprague:</t>
        </r>
        <r>
          <rPr>
            <sz val="9"/>
            <color indexed="81"/>
            <rFont val="Tahoma"/>
            <family val="2"/>
          </rPr>
          <t xml:space="preserve">
1-OCT-2020. UFR Project water allocation 24,214 AF at 86.5% including 3,000 AF M&amp;I lease water.
3-SEP-2020. UFR Project water allocation 24,180 AF at 86% including 3,000 AF M&amp;I lease water.
6-AUG-2020. UFR Project water allocation 23,867 AF at 85% including 3,000 AF M&amp;I lease water.
1-JUL-2020. UFR Project water allocation 23,504 AF at 83% including 3,000 AF M&amp;I lease water.
2-JUN-2020. UFR Project water allocation 19,270 AF at 77% supply plus 3,000 AF M&amp;I lease water = 22,270 AF.
14-MAY-2020. UFR Project water allocation 19,003 AF at 75% supply plus 3,000 AF M&amp;I lease water. CBRFC's 1-MAY 90% Excd. 
4-APR-2020. UFR Project water allocation 24,517 AF at 100% supply plus 3,000 AF M&amp;I lease water. CBRFC's 15-APR 70% Excd. FCST is a full supply this season.
</t>
        </r>
      </text>
    </comment>
    <comment ref="R8" authorId="2" shapeId="0" xr:uid="{00000000-0006-0000-08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2" shapeId="0" xr:uid="{00000000-0006-0000-0800-000006000000}">
      <text>
        <r>
          <rPr>
            <b/>
            <sz val="8"/>
            <color indexed="81"/>
            <rFont val="Tahoma"/>
            <family val="2"/>
          </rPr>
          <t>E. A. Birk:</t>
        </r>
        <r>
          <rPr>
            <sz val="8"/>
            <color indexed="81"/>
            <rFont val="Tahoma"/>
            <family val="2"/>
          </rPr>
          <t xml:space="preserve">
The formula is =(daily use from the Towaoc file*1.06)*1.04</t>
        </r>
      </text>
    </comment>
    <comment ref="AD8" authorId="0" shapeId="0" xr:uid="{00000000-0006-0000-0800-000007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F8" authorId="1" shapeId="0" xr:uid="{3DE5C063-A164-4027-8166-5AC6CABEF394}">
      <text>
        <r>
          <rPr>
            <b/>
            <sz val="8"/>
            <color indexed="81"/>
            <rFont val="Tahoma"/>
            <family val="2"/>
          </rPr>
          <t>Eric Sprague:</t>
        </r>
        <r>
          <rPr>
            <sz val="8"/>
            <color indexed="81"/>
            <rFont val="Tahoma"/>
            <family val="2"/>
          </rPr>
          <t xml:space="preserve">
1-OCT-2020: MVIC Project Water amount calc'd = 17,365 AF AF at 86.5% supply.
3-SEP-2020: MVIC Project Water amount calc'd = 17,519 AF AF at 86% supply.</t>
        </r>
        <r>
          <rPr>
            <b/>
            <sz val="8"/>
            <color indexed="81"/>
            <rFont val="Tahoma"/>
            <family val="2"/>
          </rPr>
          <t xml:space="preserve">
</t>
        </r>
        <r>
          <rPr>
            <sz val="8"/>
            <color indexed="81"/>
            <rFont val="Tahoma"/>
            <family val="2"/>
          </rPr>
          <t>6-AUG-2020: MVIC Project Water amount calc'd = 18,144 AF AF at 85% supply.</t>
        </r>
        <r>
          <rPr>
            <b/>
            <sz val="8"/>
            <color indexed="81"/>
            <rFont val="Tahoma"/>
            <family val="2"/>
          </rPr>
          <t xml:space="preserve">
</t>
        </r>
        <r>
          <rPr>
            <sz val="8"/>
            <color indexed="81"/>
            <rFont val="Tahoma"/>
            <family val="2"/>
          </rPr>
          <t>1-JUL-2020: MVIC Project Water amount calc'd = 19,791 AF AF at 83% supply.
2-JUN-2020: MVIC Project Water amount calc'd = 26,751 AF AF at 77% supply.</t>
        </r>
        <r>
          <rPr>
            <b/>
            <sz val="8"/>
            <color indexed="81"/>
            <rFont val="Tahoma"/>
            <family val="2"/>
          </rPr>
          <t xml:space="preserve">
</t>
        </r>
        <r>
          <rPr>
            <sz val="8"/>
            <color indexed="81"/>
            <rFont val="Tahoma"/>
            <family val="2"/>
          </rPr>
          <t>14-MAY-2020: MVIC Project Water amount calc'd = 24,180 AF AF at 75% supply, by CBRFC's 1-MAY 90% excd. FCST.</t>
        </r>
        <r>
          <rPr>
            <b/>
            <sz val="8"/>
            <color indexed="81"/>
            <rFont val="Tahoma"/>
            <family val="2"/>
          </rPr>
          <t xml:space="preserve">
</t>
        </r>
        <r>
          <rPr>
            <sz val="8"/>
            <color indexed="81"/>
            <rFont val="Tahoma"/>
            <family val="2"/>
          </rPr>
          <t xml:space="preserve">4-MAY-2020: MVIC Project Water amount calc'd = 9,045 AF at 100% supply, by CBRFC's 15-APR 70% excd. FCST.
</t>
        </r>
        <r>
          <rPr>
            <b/>
            <sz val="8"/>
            <color indexed="81"/>
            <rFont val="Tahoma"/>
            <family val="2"/>
          </rPr>
          <t xml:space="preserve">
</t>
        </r>
      </text>
    </comment>
    <comment ref="AG8" authorId="0" shapeId="0" xr:uid="{471ADCDC-B121-436D-BA27-9C7503211473}">
      <text>
        <r>
          <rPr>
            <b/>
            <sz val="9"/>
            <color indexed="81"/>
            <rFont val="Tahoma"/>
            <family val="2"/>
          </rPr>
          <t>Eric Sprague:</t>
        </r>
        <r>
          <rPr>
            <sz val="9"/>
            <color indexed="81"/>
            <rFont val="Tahoma"/>
            <family val="2"/>
          </rPr>
          <t xml:space="preserve">
1-OCT-2020. FSA Project water allocation: 55,878 AF at 86.5% supply including 5,192 AF MVIC Class B shares and 2,000 AF M&amp;I lease water.
1-SEP-2020. FSA Project water allocation: 55,792 AF at 86% supply including 5,183 AF MVIC Class B shares and 2,000 AF M&amp;I lease water.
1-AUG-2020. FSA Project water allocation: 54,996 AF at 85% supply including 5,107 AF MVIC Class B shares and 2,000 AF M&amp;I lease water.
1-JUL-2020. FSA Project water allocation: 54,075 AF at 83% supply including 5,018 AF MVIC Class B shares and 2,000 AF M&amp;I lease water.
2-JUN-2020. FSA Project water allocation: 50,941 AF at 77% supply including 4,716 AF MVIC Class B shares and no M&amp;I lease water.
14-MAY-2020. FSA Project water allocation: 43,612 AF at 75% supply including 4,651 AF MVIC Class B shares and no M&amp;I lease water.
4-MAY-2020. FSA Project water allocation: 62,267 AF at 100% supply including MVIC Class B shares and no M&amp;I lease water.</t>
        </r>
      </text>
    </comment>
    <comment ref="AK8" authorId="0" shapeId="0" xr:uid="{00000000-0006-0000-0800-00000A000000}">
      <text>
        <r>
          <rPr>
            <b/>
            <sz val="9"/>
            <color indexed="81"/>
            <rFont val="Tahoma"/>
            <family val="2"/>
          </rPr>
          <t>Eric Sprague:</t>
        </r>
        <r>
          <rPr>
            <sz val="9"/>
            <color indexed="81"/>
            <rFont val="Tahoma"/>
            <family val="2"/>
          </rPr>
          <t xml:space="preserve">
Above amount converted to cfs.</t>
        </r>
      </text>
    </comment>
    <comment ref="AS8" authorId="2" shapeId="0" xr:uid="{00000000-0006-0000-0800-00000B000000}">
      <text>
        <r>
          <rPr>
            <b/>
            <sz val="8"/>
            <color indexed="81"/>
            <rFont val="Tahoma"/>
            <family val="2"/>
          </rPr>
          <t>E. A. Birk:</t>
        </r>
        <r>
          <rPr>
            <sz val="8"/>
            <color indexed="81"/>
            <rFont val="Tahoma"/>
            <family val="2"/>
          </rPr>
          <t xml:space="preserve">
After June 30th MVIC can not store water in Narr. by contact, so this column only shows what the river produced in relationship to what MVIC used.</t>
        </r>
      </text>
    </comment>
    <comment ref="AY8" authorId="0" shapeId="0" xr:uid="{F6147B0C-1757-4755-B63C-ABCC4BA727F0}">
      <text>
        <r>
          <rPr>
            <b/>
            <sz val="9"/>
            <color indexed="81"/>
            <rFont val="Tahoma"/>
            <family val="2"/>
          </rPr>
          <t>Eric Sprague:</t>
        </r>
        <r>
          <rPr>
            <sz val="9"/>
            <color indexed="81"/>
            <rFont val="Tahoma"/>
            <family val="2"/>
          </rPr>
          <t xml:space="preserve"> 
1-OCT-2020. Cass B acres at 86.5% supply = 5,192 AF.
3-SEP-2020. Cass B acres at 86% supply = 5,183 AF.
6-AUG-2020. Cass B acres at 85% supply = 5,107 AF.
1-JUL-2020. Cass B acres at 83% supply = 5,018 AF using 1-JUL FCST calcs.
2-JUN-2020. Cass B acres at 77% supply = 4,716 AF using 18-MAY FCST calcs.
14-MAY-2020. Cass B acres at 75% supply = 4,651 AF using 1-MAY FCST calcs.
4-MAY-2020. Cass B acres at full supply = 6,000 AF using mid-April FCST calcs.</t>
        </r>
      </text>
    </comment>
    <comment ref="AZ8" authorId="1" shapeId="0" xr:uid="{00000000-0006-0000-0800-00000D000000}">
      <text>
        <r>
          <rPr>
            <b/>
            <sz val="8"/>
            <color indexed="81"/>
            <rFont val="Tahoma"/>
            <family val="2"/>
          </rPr>
          <t>Eric Sprague:</t>
        </r>
        <r>
          <rPr>
            <sz val="8"/>
            <color indexed="81"/>
            <rFont val="Tahoma"/>
            <family val="2"/>
          </rPr>
          <t xml:space="preserve">
WY 2020 1,685.1 AF.
WY 2019 1,677.2 AF.
WY 2018. 1,676.9 AF is the 2018 U/S users release amount.
The U/S Exchange must reach this amount by for the end of the season.</t>
        </r>
      </text>
    </comment>
    <comment ref="BA8" authorId="1" shapeId="0" xr:uid="{6FEE9E02-6039-4B7B-879B-FF927FAB119D}">
      <text>
        <r>
          <rPr>
            <b/>
            <sz val="8"/>
            <color indexed="81"/>
            <rFont val="Tahoma"/>
            <family val="2"/>
          </rPr>
          <t>Eric Sprague:</t>
        </r>
        <r>
          <rPr>
            <sz val="8"/>
            <color indexed="81"/>
            <rFont val="Tahoma"/>
            <family val="2"/>
          </rPr>
          <t xml:space="preserve"> 
1-OCT-2020. SJB F&amp;W water adjusted based on 1-OCT calcs to 346 AF allocated to Totten Fresh Water.
3-SEP-2020. SJB F&amp;W water adjusted based on 1-AUG calcs to 345 AF allocated to Totten Fresh Water.</t>
        </r>
        <r>
          <rPr>
            <b/>
            <sz val="8"/>
            <color indexed="81"/>
            <rFont val="Tahoma"/>
            <family val="2"/>
          </rPr>
          <t xml:space="preserve">
</t>
        </r>
        <r>
          <rPr>
            <sz val="8"/>
            <color indexed="81"/>
            <rFont val="Tahoma"/>
            <family val="2"/>
          </rPr>
          <t>6-AUG-2020. SJB F&amp;W water adjusted based on 1-AUG calcs to 340 AF allocated to Totten Fresh Water.</t>
        </r>
        <r>
          <rPr>
            <b/>
            <sz val="8"/>
            <color indexed="81"/>
            <rFont val="Tahoma"/>
            <family val="2"/>
          </rPr>
          <t xml:space="preserve">
</t>
        </r>
        <r>
          <rPr>
            <sz val="8"/>
            <color indexed="81"/>
            <rFont val="Tahoma"/>
            <family val="2"/>
          </rPr>
          <t>1-JUL-2020. SJB F&amp;W water adjusted based on 1-JUL calcs to 334 AF allocated to Totten Fresh Water.
14-MAY-2020. SJB F&amp;W water adjusted based on 1-MAY calcs to 310 AF allocated to Totten Fresh Water.
4-MAY-2020. SJB F&amp;W water adjusted based on mid-APR calcs to 400 AF allocated to Totten Fresh Water.</t>
        </r>
        <r>
          <rPr>
            <b/>
            <sz val="8"/>
            <color indexed="81"/>
            <rFont val="Tahoma"/>
            <family val="2"/>
          </rPr>
          <t xml:space="preserve">
</t>
        </r>
      </text>
    </comment>
    <comment ref="R9" authorId="2" shapeId="0" xr:uid="{00000000-0006-0000-0800-00000F000000}">
      <text>
        <r>
          <rPr>
            <b/>
            <sz val="8"/>
            <color indexed="81"/>
            <rFont val="Tahoma"/>
            <family val="2"/>
          </rPr>
          <t>E. A. Birk:</t>
        </r>
        <r>
          <rPr>
            <sz val="8"/>
            <color indexed="81"/>
            <rFont val="Tahoma"/>
            <family val="2"/>
          </rPr>
          <t xml:space="preserve">
Cortez Non-project water is limited to 4.20 cfs/day.</t>
        </r>
      </text>
    </comment>
    <comment ref="BA9" authorId="1" shapeId="0" xr:uid="{00000000-0006-0000-0800-000010000000}">
      <text>
        <r>
          <rPr>
            <b/>
            <sz val="8"/>
            <color indexed="81"/>
            <rFont val="Tahoma"/>
            <family val="2"/>
          </rPr>
          <t>Vernon Lamb:</t>
        </r>
        <r>
          <rPr>
            <sz val="8"/>
            <color indexed="81"/>
            <rFont val="Tahoma"/>
            <family val="2"/>
          </rPr>
          <t xml:space="preserve">
Above value converted to cfs.</t>
        </r>
      </text>
    </comment>
    <comment ref="AF12" authorId="1" shapeId="0" xr:uid="{00000000-0006-0000-0800-000011000000}">
      <text>
        <r>
          <rPr>
            <b/>
            <sz val="9"/>
            <color indexed="81"/>
            <rFont val="Tahoma"/>
            <family val="2"/>
          </rPr>
          <t>Vernon Lamb:</t>
        </r>
        <r>
          <rPr>
            <sz val="9"/>
            <color indexed="81"/>
            <rFont val="Tahoma"/>
            <family val="2"/>
          </rPr>
          <t xml:space="preserve">
MVIC Project Water amount in cfs.</t>
        </r>
      </text>
    </comment>
    <comment ref="N15" authorId="0" shapeId="0" xr:uid="{00000000-0006-0000-0800-000012000000}">
      <text>
        <r>
          <rPr>
            <b/>
            <sz val="9"/>
            <color indexed="81"/>
            <rFont val="Tahoma"/>
            <family val="2"/>
          </rPr>
          <t>Eric Sprague:</t>
        </r>
        <r>
          <rPr>
            <sz val="9"/>
            <color indexed="81"/>
            <rFont val="Tahoma"/>
            <family val="2"/>
          </rPr>
          <t xml:space="preserve">
R Stump used 33.0 AF of the 400 AF San Juan F&amp;W Water today in support of San Juan RIP per the resource management plan.  It was diverted at the check structure just above the Pipe Chute on Towoac Highline.</t>
        </r>
      </text>
    </comment>
    <comment ref="N24" authorId="0" shapeId="0" xr:uid="{00000000-0006-0000-0800-000018000000}">
      <text>
        <r>
          <rPr>
            <b/>
            <sz val="9"/>
            <color indexed="81"/>
            <rFont val="Tahoma"/>
            <family val="2"/>
          </rPr>
          <t>Eric Sprague:</t>
        </r>
        <r>
          <rPr>
            <sz val="9"/>
            <color indexed="81"/>
            <rFont val="Tahoma"/>
            <family val="2"/>
          </rPr>
          <t xml:space="preserve">
13-JUL-2020. R Stump discovered a leak at Simon Draw, and gave me the daily estimates. </t>
        </r>
      </text>
    </comment>
    <comment ref="BH24" authorId="0" shapeId="0" xr:uid="{00000000-0006-0000-0800-000019000000}">
      <text>
        <r>
          <rPr>
            <b/>
            <sz val="9"/>
            <color indexed="81"/>
            <rFont val="Tahoma"/>
            <family val="2"/>
          </rPr>
          <t>Eric Sprague:</t>
        </r>
        <r>
          <rPr>
            <sz val="9"/>
            <color indexed="81"/>
            <rFont val="Tahoma"/>
            <family val="2"/>
          </rPr>
          <t xml:space="preserve">
GH release gage went down for a couple days. Per D. Pickering, releases estimated at 8.1 CFS.</t>
        </r>
      </text>
    </comment>
    <comment ref="BN27" authorId="0" shapeId="0" xr:uid="{00000000-0006-0000-0800-00001A000000}">
      <text>
        <r>
          <rPr>
            <b/>
            <sz val="9"/>
            <color indexed="81"/>
            <rFont val="Tahoma"/>
            <family val="2"/>
          </rPr>
          <t>Eric Sprague:</t>
        </r>
        <r>
          <rPr>
            <sz val="9"/>
            <color indexed="81"/>
            <rFont val="Tahoma"/>
            <family val="2"/>
          </rPr>
          <t xml:space="preserve">
R Sliwinski checked the tunnel ELEV probe and found it was off by 0.12. Reset it.</t>
        </r>
      </text>
    </comment>
    <comment ref="N28" authorId="0" shapeId="0" xr:uid="{00000000-0006-0000-0800-00001B000000}">
      <text>
        <r>
          <rPr>
            <b/>
            <sz val="9"/>
            <color indexed="81"/>
            <rFont val="Tahoma"/>
            <family val="2"/>
          </rPr>
          <t>Eric Sprague:</t>
        </r>
        <r>
          <rPr>
            <sz val="9"/>
            <color indexed="81"/>
            <rFont val="Tahoma"/>
            <family val="2"/>
          </rPr>
          <t xml:space="preserve">
Wetland outlet at Simon Draw is closed until R Stump can repair the pipe.</t>
        </r>
      </text>
    </comment>
    <comment ref="AZ28" authorId="0" shapeId="0" xr:uid="{00000000-0006-0000-0800-00001C000000}">
      <text>
        <r>
          <rPr>
            <b/>
            <sz val="9"/>
            <color indexed="81"/>
            <rFont val="Tahoma"/>
            <family val="2"/>
          </rPr>
          <t>Eric Sprague:</t>
        </r>
        <r>
          <rPr>
            <sz val="9"/>
            <color indexed="81"/>
            <rFont val="Tahoma"/>
            <family val="2"/>
          </rPr>
          <t xml:space="preserve">
MVIC began releases from GH for their supply. Only 6.8 CFS will be accounted to the U/S users exch.</t>
        </r>
      </text>
    </comment>
    <comment ref="BH31" authorId="0" shapeId="0" xr:uid="{667EF183-2F17-4B2C-94E8-A4AF58EE38B7}">
      <text>
        <r>
          <rPr>
            <b/>
            <sz val="9"/>
            <color indexed="81"/>
            <rFont val="Tahoma"/>
            <family val="2"/>
          </rPr>
          <t>Eric Sprague:</t>
        </r>
        <r>
          <rPr>
            <sz val="9"/>
            <color indexed="81"/>
            <rFont val="Tahoma"/>
            <family val="2"/>
          </rPr>
          <t xml:space="preserve">
27-JUL-2020. Per Doug Pickering DWR, the SDR encoder may be malfunctioning. He suggested using 60.5 CFS until he can get it repaired.</t>
        </r>
      </text>
    </comment>
    <comment ref="Z39" authorId="0" shapeId="0" xr:uid="{1C0A9BE3-7918-4455-9B23-AD5CCD0C398D}">
      <text>
        <r>
          <rPr>
            <b/>
            <sz val="9"/>
            <color indexed="81"/>
            <rFont val="Tahoma"/>
            <family val="2"/>
          </rPr>
          <t>Eric Sprague:</t>
        </r>
        <r>
          <rPr>
            <sz val="9"/>
            <color indexed="81"/>
            <rFont val="Tahoma"/>
            <family val="2"/>
          </rPr>
          <t xml:space="preserve">
MVIC cannot store after June. </t>
        </r>
      </text>
    </comment>
    <comment ref="AA39" authorId="0" shapeId="0" xr:uid="{B40193C8-7D1F-454B-B4C7-E55E2B929831}">
      <text>
        <r>
          <rPr>
            <b/>
            <sz val="9"/>
            <color indexed="81"/>
            <rFont val="Tahoma"/>
            <family val="2"/>
          </rPr>
          <t>Eric Sprague:</t>
        </r>
        <r>
          <rPr>
            <sz val="9"/>
            <color indexed="81"/>
            <rFont val="Tahoma"/>
            <family val="2"/>
          </rPr>
          <t xml:space="preserve">
MVIC cannot store after June. </t>
        </r>
      </text>
    </comment>
    <comment ref="AD39" authorId="0" shapeId="0" xr:uid="{721BF53B-4D95-4C9E-90E0-68C5B248C35A}">
      <text>
        <r>
          <rPr>
            <b/>
            <sz val="9"/>
            <color indexed="81"/>
            <rFont val="Tahoma"/>
            <family val="2"/>
          </rPr>
          <t>Eric Sprague:</t>
        </r>
        <r>
          <rPr>
            <sz val="9"/>
            <color indexed="81"/>
            <rFont val="Tahoma"/>
            <family val="2"/>
          </rPr>
          <t xml:space="preserve">
28-JUL-2020. The river is making more than MVIC was using. To help MVIC aviod instantaneous operational reactions to the precip (in order for them to utilize the river as much as possible), this column is accounting the daily inflows above what MVIC diverted. These volumes will be very briefly (transitionally) stored in McPhee while BJ dials up the Lone Pine to move the water to NARR as part of NARR's extended fill.
While this column functions mathematically as storage, this river water is treated as direct diversions to NARR. MVIC cannot store water in McPhee after June.
I'm running this column cumulatively, so I can also use it to count down when Brandon starts running the water to NARR.
BJ began running 100 CFS into NARR at 09:00 27-JUL.</t>
        </r>
      </text>
    </comment>
    <comment ref="AQ39" authorId="0" shapeId="0" xr:uid="{02E4293A-F03B-49FA-8A37-7BE78035F988}">
      <text>
        <r>
          <rPr>
            <b/>
            <sz val="9"/>
            <color indexed="81"/>
            <rFont val="Tahoma"/>
            <family val="2"/>
          </rPr>
          <t>Eric Sprague:</t>
        </r>
        <r>
          <rPr>
            <sz val="9"/>
            <color indexed="81"/>
            <rFont val="Tahoma"/>
            <family val="2"/>
          </rPr>
          <t xml:space="preserve">
27-JUL-2020. Retroactively began storing GH releases in McPhee to be sent to NARR as extended fill 27-JUL through 28-JUL.
This is an ease of operations issue -- to save Brandon the trouble of shutting off GH immediately whenever it rains.</t>
        </r>
      </text>
    </comment>
    <comment ref="AS39" authorId="0" shapeId="0" xr:uid="{553284F6-2272-4EF0-9874-DDE9CEF38F04}">
      <text>
        <r>
          <rPr>
            <b/>
            <sz val="9"/>
            <color indexed="81"/>
            <rFont val="Tahoma"/>
            <family val="2"/>
          </rPr>
          <t>Eric Sprague:</t>
        </r>
        <r>
          <rPr>
            <sz val="9"/>
            <color indexed="81"/>
            <rFont val="Tahoma"/>
            <family val="2"/>
          </rPr>
          <t xml:space="preserve">
MVIC cannot store after June. </t>
        </r>
      </text>
    </comment>
    <comment ref="AT39" authorId="0" shapeId="0" xr:uid="{458C5459-DF80-45AA-ACD3-92910D554528}">
      <text>
        <r>
          <rPr>
            <b/>
            <sz val="9"/>
            <color indexed="81"/>
            <rFont val="Tahoma"/>
            <family val="2"/>
          </rPr>
          <t>Eric Sprague:</t>
        </r>
        <r>
          <rPr>
            <sz val="9"/>
            <color indexed="81"/>
            <rFont val="Tahoma"/>
            <family val="2"/>
          </rPr>
          <t xml:space="preserve">
Evap Pan cancelled out by precip.</t>
        </r>
      </text>
    </comment>
    <comment ref="Z40" authorId="0" shapeId="0" xr:uid="{D4867899-5467-42C5-AEF3-9A031788BC34}">
      <text>
        <r>
          <rPr>
            <b/>
            <sz val="9"/>
            <color indexed="81"/>
            <rFont val="Tahoma"/>
            <family val="2"/>
          </rPr>
          <t>Eric Sprague:</t>
        </r>
        <r>
          <rPr>
            <sz val="9"/>
            <color indexed="81"/>
            <rFont val="Tahoma"/>
            <family val="2"/>
          </rPr>
          <t xml:space="preserve">
MVIC cannot store after June. </t>
        </r>
      </text>
    </comment>
    <comment ref="AA40" authorId="0" shapeId="0" xr:uid="{D1898307-52A6-4716-84C6-4D730E8D0C73}">
      <text>
        <r>
          <rPr>
            <b/>
            <sz val="9"/>
            <color indexed="81"/>
            <rFont val="Tahoma"/>
            <family val="2"/>
          </rPr>
          <t>Eric Sprague:</t>
        </r>
        <r>
          <rPr>
            <sz val="9"/>
            <color indexed="81"/>
            <rFont val="Tahoma"/>
            <family val="2"/>
          </rPr>
          <t xml:space="preserve">
MVIC cannot store after June. </t>
        </r>
      </text>
    </comment>
    <comment ref="AS40" authorId="0" shapeId="0" xr:uid="{AD3FCF8A-BBBF-4727-8AC7-B9C7393F4FAC}">
      <text>
        <r>
          <rPr>
            <b/>
            <sz val="9"/>
            <color indexed="81"/>
            <rFont val="Tahoma"/>
            <family val="2"/>
          </rPr>
          <t>Eric Sprague:</t>
        </r>
        <r>
          <rPr>
            <sz val="9"/>
            <color indexed="81"/>
            <rFont val="Tahoma"/>
            <family val="2"/>
          </rPr>
          <t xml:space="preserve">
MVIC cannot store after June. </t>
        </r>
      </text>
    </comment>
    <comment ref="Z41" authorId="0" shapeId="0" xr:uid="{2AB3AD39-3A1E-46AB-8AC1-24D1215ABD03}">
      <text>
        <r>
          <rPr>
            <b/>
            <sz val="9"/>
            <color indexed="81"/>
            <rFont val="Tahoma"/>
            <family val="2"/>
          </rPr>
          <t>Eric Sprague:</t>
        </r>
        <r>
          <rPr>
            <sz val="9"/>
            <color indexed="81"/>
            <rFont val="Tahoma"/>
            <family val="2"/>
          </rPr>
          <t xml:space="preserve">
MVIC cannot store after June. </t>
        </r>
      </text>
    </comment>
    <comment ref="AA41" authorId="0" shapeId="0" xr:uid="{F68D6B7E-9B7C-4D83-9CFE-409C1E6575E1}">
      <text>
        <r>
          <rPr>
            <b/>
            <sz val="9"/>
            <color indexed="81"/>
            <rFont val="Tahoma"/>
            <family val="2"/>
          </rPr>
          <t>Eric Sprague:</t>
        </r>
        <r>
          <rPr>
            <sz val="9"/>
            <color indexed="81"/>
            <rFont val="Tahoma"/>
            <family val="2"/>
          </rPr>
          <t xml:space="preserve">
MVIC cannot store after June. </t>
        </r>
      </text>
    </comment>
    <comment ref="AE41" authorId="0" shapeId="0" xr:uid="{C50931CE-EAB9-4890-8864-A24C7C197AA6}">
      <text>
        <r>
          <rPr>
            <b/>
            <sz val="9"/>
            <color indexed="81"/>
            <rFont val="Tahoma"/>
            <family val="2"/>
          </rPr>
          <t>Eric Sprague:</t>
        </r>
        <r>
          <rPr>
            <sz val="9"/>
            <color indexed="81"/>
            <rFont val="Tahoma"/>
            <family val="2"/>
          </rPr>
          <t xml:space="preserve">
On the Lone Pine, MVIC ran 100 CFS to the NARR extended fill from 10:00 AM through Midnight.</t>
        </r>
      </text>
    </comment>
    <comment ref="AP41" authorId="0" shapeId="0" xr:uid="{441C835B-B7FA-456F-8EAA-2BE73B2DA0E3}">
      <text>
        <r>
          <rPr>
            <b/>
            <sz val="9"/>
            <color indexed="81"/>
            <rFont val="Tahoma"/>
            <family val="2"/>
          </rPr>
          <t>Eric Sprague:</t>
        </r>
        <r>
          <rPr>
            <sz val="9"/>
            <color indexed="81"/>
            <rFont val="Tahoma"/>
            <family val="2"/>
          </rPr>
          <t xml:space="preserve">
MVIC allowed to retroactively capure storm runoff they couldn't react to quickly enough to divert in real time. Treated as NARR extended fill.</t>
        </r>
      </text>
    </comment>
    <comment ref="AS41" authorId="0" shapeId="0" xr:uid="{558C0C7D-6DF2-4868-8308-3B390A7848B7}">
      <text>
        <r>
          <rPr>
            <b/>
            <sz val="9"/>
            <color indexed="81"/>
            <rFont val="Tahoma"/>
            <family val="2"/>
          </rPr>
          <t>Eric Sprague:</t>
        </r>
        <r>
          <rPr>
            <sz val="9"/>
            <color indexed="81"/>
            <rFont val="Tahoma"/>
            <family val="2"/>
          </rPr>
          <t xml:space="preserve">
MVIC cannot store after June. </t>
        </r>
      </text>
    </comment>
    <comment ref="AT41" authorId="0" shapeId="0" xr:uid="{5A307EBE-88C9-4E42-BFEB-25A81861A83D}">
      <text>
        <r>
          <rPr>
            <b/>
            <sz val="9"/>
            <color indexed="81"/>
            <rFont val="Tahoma"/>
            <family val="2"/>
          </rPr>
          <t>Eric Sprague:</t>
        </r>
        <r>
          <rPr>
            <sz val="9"/>
            <color indexed="81"/>
            <rFont val="Tahoma"/>
            <family val="2"/>
          </rPr>
          <t xml:space="preserve">
Evap Pan cancelled out by precip.</t>
        </r>
      </text>
    </comment>
    <comment ref="Z42" authorId="0" shapeId="0" xr:uid="{BFC1B159-3440-4B4C-9A81-05FD8D9BA71D}">
      <text>
        <r>
          <rPr>
            <b/>
            <sz val="9"/>
            <color indexed="81"/>
            <rFont val="Tahoma"/>
            <family val="2"/>
          </rPr>
          <t>Eric Sprague:</t>
        </r>
        <r>
          <rPr>
            <sz val="9"/>
            <color indexed="81"/>
            <rFont val="Tahoma"/>
            <family val="2"/>
          </rPr>
          <t xml:space="preserve">
MVIC cannot store after June. </t>
        </r>
      </text>
    </comment>
    <comment ref="AA42" authorId="0" shapeId="0" xr:uid="{87B34179-F6C1-4CCD-9EE2-5F9BBFE68FAB}">
      <text>
        <r>
          <rPr>
            <b/>
            <sz val="9"/>
            <color indexed="81"/>
            <rFont val="Tahoma"/>
            <family val="2"/>
          </rPr>
          <t>Eric Sprague:</t>
        </r>
        <r>
          <rPr>
            <sz val="9"/>
            <color indexed="81"/>
            <rFont val="Tahoma"/>
            <family val="2"/>
          </rPr>
          <t xml:space="preserve">
MVIC cannot store after June. </t>
        </r>
      </text>
    </comment>
    <comment ref="AE42" authorId="0" shapeId="0" xr:uid="{B46DF180-E3B7-4CA9-BD0D-57A3EA15A8AD}">
      <text>
        <r>
          <rPr>
            <b/>
            <sz val="9"/>
            <color indexed="81"/>
            <rFont val="Tahoma"/>
            <family val="2"/>
          </rPr>
          <t>Eric Sprague:</t>
        </r>
        <r>
          <rPr>
            <sz val="9"/>
            <color indexed="81"/>
            <rFont val="Tahoma"/>
            <family val="2"/>
          </rPr>
          <t xml:space="preserve">
At 10:00, MVIC increased NARR portion of Lone Pine to 130 CFS.</t>
        </r>
      </text>
    </comment>
    <comment ref="AS42" authorId="0" shapeId="0" xr:uid="{57BC313C-8C53-4DFF-845C-67F643844494}">
      <text>
        <r>
          <rPr>
            <b/>
            <sz val="9"/>
            <color indexed="81"/>
            <rFont val="Tahoma"/>
            <family val="2"/>
          </rPr>
          <t>Eric Sprague:</t>
        </r>
        <r>
          <rPr>
            <sz val="9"/>
            <color indexed="81"/>
            <rFont val="Tahoma"/>
            <family val="2"/>
          </rPr>
          <t xml:space="preserve">
MVIC cannot store after June.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Eric Sprague</author>
    <author>Vernon Lamb</author>
    <author>E. A. Birk</author>
  </authors>
  <commentList>
    <comment ref="P6" authorId="0" shapeId="0" xr:uid="{A238600B-4DA0-4BAC-837D-FCCCDFEE2454}">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K7" authorId="1" shapeId="0" xr:uid="{58D6984A-1A99-4461-80DB-ECA6E2CF1D15}">
      <text>
        <r>
          <rPr>
            <b/>
            <sz val="8"/>
            <color indexed="81"/>
            <rFont val="Tahoma"/>
            <family val="2"/>
          </rPr>
          <t>Eric Sprague:</t>
        </r>
        <r>
          <rPr>
            <sz val="8"/>
            <color indexed="81"/>
            <rFont val="Tahoma"/>
            <family val="2"/>
          </rPr>
          <t xml:space="preserve">
1-OCT-2020. Fishpool at 27,780 AF at 86.5% supply. </t>
        </r>
        <r>
          <rPr>
            <b/>
            <sz val="8"/>
            <color indexed="81"/>
            <rFont val="Tahoma"/>
            <family val="2"/>
          </rPr>
          <t xml:space="preserve">
</t>
        </r>
        <r>
          <rPr>
            <sz val="8"/>
            <color indexed="81"/>
            <rFont val="Tahoma"/>
            <family val="2"/>
          </rPr>
          <t xml:space="preserve">3-SEP-2020. Fishpool at 27,739 AF at 86% supply. </t>
        </r>
        <r>
          <rPr>
            <b/>
            <sz val="8"/>
            <color indexed="81"/>
            <rFont val="Tahoma"/>
            <family val="2"/>
          </rPr>
          <t xml:space="preserve">
</t>
        </r>
        <r>
          <rPr>
            <sz val="8"/>
            <color indexed="81"/>
            <rFont val="Tahoma"/>
            <family val="2"/>
          </rPr>
          <t xml:space="preserve">6-AUG-2020. Fishpool at 27,357 AF at 85% supply. </t>
        </r>
        <r>
          <rPr>
            <b/>
            <sz val="8"/>
            <color indexed="81"/>
            <rFont val="Tahoma"/>
            <family val="2"/>
          </rPr>
          <t xml:space="preserve">
</t>
        </r>
        <r>
          <rPr>
            <sz val="8"/>
            <color indexed="81"/>
            <rFont val="Tahoma"/>
            <family val="2"/>
          </rPr>
          <t>1-JUL-2020. Fishpool at 26,917 AF at 83% supply. 
2-JUN-2020. Fishpool at 25,415 AF at 78% supply. Using 18-MAY-2020 CBRFC 90% ESP FCST.</t>
        </r>
        <r>
          <rPr>
            <b/>
            <sz val="8"/>
            <color indexed="81"/>
            <rFont val="Tahoma"/>
            <family val="2"/>
          </rPr>
          <t xml:space="preserve">
</t>
        </r>
        <r>
          <rPr>
            <sz val="8"/>
            <color indexed="81"/>
            <rFont val="Tahoma"/>
            <family val="2"/>
          </rPr>
          <t xml:space="preserve">14-MAY-2020. Fishpool at 25,090 AF at 75% supply. Using 1-MAY-2020 CBRFC 90% ESP FCST.
</t>
        </r>
        <r>
          <rPr>
            <b/>
            <sz val="8"/>
            <color indexed="81"/>
            <rFont val="Tahoma"/>
            <family val="2"/>
          </rPr>
          <t xml:space="preserve">
</t>
        </r>
        <r>
          <rPr>
            <sz val="8"/>
            <color indexed="81"/>
            <rFont val="Tahoma"/>
            <family val="2"/>
          </rPr>
          <t>6-APR-2020. Fishpool at 31,798 AF at full supply. Using 30-MAR-2020 CBRFC 90% ESP FCST.</t>
        </r>
        <r>
          <rPr>
            <b/>
            <sz val="8"/>
            <color indexed="81"/>
            <rFont val="Tahoma"/>
            <family val="2"/>
          </rPr>
          <t xml:space="preserve">
</t>
        </r>
      </text>
    </comment>
    <comment ref="N8" authorId="2" shapeId="0" xr:uid="{00000000-0006-0000-0900-000002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8" authorId="0" shapeId="0" xr:uid="{F5CD8C84-F12B-4D23-A5D5-FD96E66F4F01}">
      <text>
        <r>
          <rPr>
            <b/>
            <sz val="9"/>
            <color indexed="81"/>
            <rFont val="Tahoma"/>
            <family val="2"/>
          </rPr>
          <t>Eric Sprague:</t>
        </r>
        <r>
          <rPr>
            <sz val="9"/>
            <color indexed="81"/>
            <rFont val="Tahoma"/>
            <family val="2"/>
          </rPr>
          <t xml:space="preserve">
1-OCT-2020. UFR Project water allocation 24,214 AF at 86.5% including 3,000 AF M&amp;I lease water.
3-SEP-2020. UFR Project water allocation 24,180 AF at 86% including 3,000 AF M&amp;I lease water.
6-AUG-2020. UFR Project water allocation 23,867 AF at 85% including 3,000 AF M&amp;I lease water.
1-JUL-2020. UFR Project water allocation 23,504 AF at 83% including 3,000 AF M&amp;I lease water.
2-JUN-2020. UFR Project water allocation 19,270 AF at 77% supply plus 3,000 AF M&amp;I lease water = 22,270 AF.
14-MAY-2020. UFR Project water allocation 19,003 AF at 75% supply plus 3,000 AF M&amp;I lease water. CBRFC's 1-MAY 90% Excd. 
4-APR-2020. UFR Project water allocation 24,517 AF at 100% supply plus 3,000 AF M&amp;I lease water. CBRFC's 15-APR 70% Excd. FCST is a full supply this season.
</t>
        </r>
      </text>
    </comment>
    <comment ref="R8" authorId="2" shapeId="0" xr:uid="{00000000-0006-0000-0900-000004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2" shapeId="0" xr:uid="{00000000-0006-0000-0900-000005000000}">
      <text>
        <r>
          <rPr>
            <b/>
            <sz val="8"/>
            <color indexed="81"/>
            <rFont val="Tahoma"/>
            <family val="2"/>
          </rPr>
          <t>E. A. Birk:</t>
        </r>
        <r>
          <rPr>
            <sz val="8"/>
            <color indexed="81"/>
            <rFont val="Tahoma"/>
            <family val="2"/>
          </rPr>
          <t xml:space="preserve">
The formula is =(daily use from the Towaoc file*1.06)*1.04</t>
        </r>
      </text>
    </comment>
    <comment ref="AD8" authorId="0" shapeId="0" xr:uid="{00000000-0006-0000-0900-000006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F8" authorId="1" shapeId="0" xr:uid="{C92E9965-7A0B-4701-9040-EEFC9918CD2F}">
      <text>
        <r>
          <rPr>
            <b/>
            <sz val="8"/>
            <color indexed="81"/>
            <rFont val="Tahoma"/>
            <family val="2"/>
          </rPr>
          <t>Eric Sprague:</t>
        </r>
        <r>
          <rPr>
            <sz val="8"/>
            <color indexed="81"/>
            <rFont val="Tahoma"/>
            <family val="2"/>
          </rPr>
          <t xml:space="preserve">
1-OCT-2020: MVIC Project Water amount calc'd = 17,365 AF AF at 86.5% supply.
3-SEP-2020: MVIC Project Water amount calc'd = 17,519 AF AF at 86% supply.</t>
        </r>
        <r>
          <rPr>
            <b/>
            <sz val="8"/>
            <color indexed="81"/>
            <rFont val="Tahoma"/>
            <family val="2"/>
          </rPr>
          <t xml:space="preserve">
</t>
        </r>
        <r>
          <rPr>
            <sz val="8"/>
            <color indexed="81"/>
            <rFont val="Tahoma"/>
            <family val="2"/>
          </rPr>
          <t>6-AUG-2020: MVIC Project Water amount calc'd = 18,144 AF AF at 85% supply.</t>
        </r>
        <r>
          <rPr>
            <b/>
            <sz val="8"/>
            <color indexed="81"/>
            <rFont val="Tahoma"/>
            <family val="2"/>
          </rPr>
          <t xml:space="preserve">
</t>
        </r>
        <r>
          <rPr>
            <sz val="8"/>
            <color indexed="81"/>
            <rFont val="Tahoma"/>
            <family val="2"/>
          </rPr>
          <t>1-JUL-2020: MVIC Project Water amount calc'd = 19,791 AF AF at 83% supply.
2-JUN-2020: MVIC Project Water amount calc'd = 26,751 AF AF at 77% supply.</t>
        </r>
        <r>
          <rPr>
            <b/>
            <sz val="8"/>
            <color indexed="81"/>
            <rFont val="Tahoma"/>
            <family val="2"/>
          </rPr>
          <t xml:space="preserve">
</t>
        </r>
        <r>
          <rPr>
            <sz val="8"/>
            <color indexed="81"/>
            <rFont val="Tahoma"/>
            <family val="2"/>
          </rPr>
          <t>14-MAY-2020: MVIC Project Water amount calc'd = 24,180 AF AF at 75% supply, by CBRFC's 1-MAY 90% excd. FCST.</t>
        </r>
        <r>
          <rPr>
            <b/>
            <sz val="8"/>
            <color indexed="81"/>
            <rFont val="Tahoma"/>
            <family val="2"/>
          </rPr>
          <t xml:space="preserve">
</t>
        </r>
        <r>
          <rPr>
            <sz val="8"/>
            <color indexed="81"/>
            <rFont val="Tahoma"/>
            <family val="2"/>
          </rPr>
          <t xml:space="preserve">4-MAY-2020: MVIC Project Water amount calc'd = 9,045 AF at 100% supply, by CBRFC's 15-APR 70% excd. FCST.
</t>
        </r>
        <r>
          <rPr>
            <b/>
            <sz val="8"/>
            <color indexed="81"/>
            <rFont val="Tahoma"/>
            <family val="2"/>
          </rPr>
          <t xml:space="preserve">
</t>
        </r>
      </text>
    </comment>
    <comment ref="AG8" authorId="0" shapeId="0" xr:uid="{EA77D155-4E36-47AF-9FD7-4D31FB2239B9}">
      <text>
        <r>
          <rPr>
            <b/>
            <sz val="9"/>
            <color indexed="81"/>
            <rFont val="Tahoma"/>
            <family val="2"/>
          </rPr>
          <t>Eric Sprague:</t>
        </r>
        <r>
          <rPr>
            <sz val="9"/>
            <color indexed="81"/>
            <rFont val="Tahoma"/>
            <family val="2"/>
          </rPr>
          <t xml:space="preserve">
1-OCT-2020. FSA Project water allocation: 55,878 AF at 86.5% supply including 5,192 AF MVIC Class B shares and 2,000 AF M&amp;I lease water.
1-SEP-2020. FSA Project water allocation: 55,792 AF at 86% supply including 5,183 AF MVIC Class B shares and 2,000 AF M&amp;I lease water.
1-AUG-2020. FSA Project water allocation: 54,996 AF at 85% supply including 5,107 AF MVIC Class B shares and 2,000 AF M&amp;I lease water.
1-JUL-2020. FSA Project water allocation: 54,075 AF at 83% supply including 5,018 AF MVIC Class B shares and 2,000 AF M&amp;I lease water.
2-JUN-2020. FSA Project water allocation: 50,941 AF at 77% supply including 4,716 AF MVIC Class B shares and no M&amp;I lease water.
14-MAY-2020. FSA Project water allocation: 43,612 AF at 75% supply including 4,651 AF MVIC Class B shares and no M&amp;I lease water.
4-MAY-2020. FSA Project water allocation: 62,267 AF at 100% supply including MVIC Class B shares and no M&amp;I lease water.</t>
        </r>
      </text>
    </comment>
    <comment ref="AK8" authorId="0" shapeId="0" xr:uid="{00000000-0006-0000-0900-000009000000}">
      <text>
        <r>
          <rPr>
            <b/>
            <sz val="9"/>
            <color indexed="81"/>
            <rFont val="Tahoma"/>
            <family val="2"/>
          </rPr>
          <t>Eric Sprague:</t>
        </r>
        <r>
          <rPr>
            <sz val="9"/>
            <color indexed="81"/>
            <rFont val="Tahoma"/>
            <family val="2"/>
          </rPr>
          <t xml:space="preserve">
Above amount converted to cfs.</t>
        </r>
      </text>
    </comment>
    <comment ref="AS8" authorId="2" shapeId="0" xr:uid="{00000000-0006-0000-0900-00000A000000}">
      <text>
        <r>
          <rPr>
            <b/>
            <sz val="8"/>
            <color indexed="81"/>
            <rFont val="Tahoma"/>
            <family val="2"/>
          </rPr>
          <t>E. A. Birk:</t>
        </r>
        <r>
          <rPr>
            <sz val="8"/>
            <color indexed="81"/>
            <rFont val="Tahoma"/>
            <family val="2"/>
          </rPr>
          <t xml:space="preserve">
After June 30th MVIC can not store water in Narr. by contact, so this column only shows what the river produced in relationship to what MVIC used.</t>
        </r>
      </text>
    </comment>
    <comment ref="AY8" authorId="0" shapeId="0" xr:uid="{7968556A-4266-401F-ACAC-CED029BD06EF}">
      <text>
        <r>
          <rPr>
            <b/>
            <sz val="9"/>
            <color indexed="81"/>
            <rFont val="Tahoma"/>
            <family val="2"/>
          </rPr>
          <t>Eric Sprague:</t>
        </r>
        <r>
          <rPr>
            <sz val="9"/>
            <color indexed="81"/>
            <rFont val="Tahoma"/>
            <family val="2"/>
          </rPr>
          <t xml:space="preserve"> 
1-OCT-2020. Cass B acres at 86.5% supply = 5,192 AF.
3-SEP-2020. Cass B acres at 86% supply = 5,183 AF.
6-AUG-2020. Cass B acres at 85% supply = 5,107 AF.
1-JUL-2020. Cass B acres at 83% supply = 5,018 AF using 1-JUL FCST calcs.
2-JUN-2020. Cass B acres at 77% supply = 4,716 AF using 18-MAY FCST calcs.
14-MAY-2020. Cass B acres at 75% supply = 4,651 AF using 1-MAY FCST calcs.
4-MAY-2020. Cass B acres at full supply = 6,000 AF using mid-April FCST calcs.</t>
        </r>
      </text>
    </comment>
    <comment ref="AZ8" authorId="1" shapeId="0" xr:uid="{00000000-0006-0000-0900-00000C000000}">
      <text>
        <r>
          <rPr>
            <b/>
            <sz val="8"/>
            <color indexed="81"/>
            <rFont val="Tahoma"/>
            <family val="2"/>
          </rPr>
          <t>Eric Sprague:</t>
        </r>
        <r>
          <rPr>
            <sz val="8"/>
            <color indexed="81"/>
            <rFont val="Tahoma"/>
            <family val="2"/>
          </rPr>
          <t xml:space="preserve">
WY 2020 1,685.1 AF.
WY 2019 1,677.2 AF.
WY 2018. 1,676.9 AF is the 2018 U/S users release amount.
The U/S Exchange must reach this amount by for the end of the season.</t>
        </r>
      </text>
    </comment>
    <comment ref="BA8" authorId="1" shapeId="0" xr:uid="{BA1EB6C5-4D02-4BA8-8CA9-F254D1A1B892}">
      <text>
        <r>
          <rPr>
            <b/>
            <sz val="8"/>
            <color indexed="81"/>
            <rFont val="Tahoma"/>
            <family val="2"/>
          </rPr>
          <t>Eric Sprague:</t>
        </r>
        <r>
          <rPr>
            <sz val="8"/>
            <color indexed="81"/>
            <rFont val="Tahoma"/>
            <family val="2"/>
          </rPr>
          <t xml:space="preserve"> 
1-OCT-2020. SJB F&amp;W water adjusted based on 1-OCT calcs to 346 AF allocated to Totten Fresh Water.
3-SEP-2020. SJB F&amp;W water adjusted based on 1-AUG calcs to 345 AF allocated to Totten Fresh Water.</t>
        </r>
        <r>
          <rPr>
            <b/>
            <sz val="8"/>
            <color indexed="81"/>
            <rFont val="Tahoma"/>
            <family val="2"/>
          </rPr>
          <t xml:space="preserve">
</t>
        </r>
        <r>
          <rPr>
            <sz val="8"/>
            <color indexed="81"/>
            <rFont val="Tahoma"/>
            <family val="2"/>
          </rPr>
          <t>6-AUG-2020. SJB F&amp;W water adjusted based on 1-AUG calcs to 340 AF allocated to Totten Fresh Water.</t>
        </r>
        <r>
          <rPr>
            <b/>
            <sz val="8"/>
            <color indexed="81"/>
            <rFont val="Tahoma"/>
            <family val="2"/>
          </rPr>
          <t xml:space="preserve">
</t>
        </r>
        <r>
          <rPr>
            <sz val="8"/>
            <color indexed="81"/>
            <rFont val="Tahoma"/>
            <family val="2"/>
          </rPr>
          <t>1-JUL-2020. SJB F&amp;W water adjusted based on 1-JUL calcs to 334 AF allocated to Totten Fresh Water.
14-MAY-2020. SJB F&amp;W water adjusted based on 1-MAY calcs to 310 AF allocated to Totten Fresh Water.
4-MAY-2020. SJB F&amp;W water adjusted based on mid-APR calcs to 400 AF allocated to Totten Fresh Water.</t>
        </r>
        <r>
          <rPr>
            <b/>
            <sz val="8"/>
            <color indexed="81"/>
            <rFont val="Tahoma"/>
            <family val="2"/>
          </rPr>
          <t xml:space="preserve">
</t>
        </r>
      </text>
    </comment>
    <comment ref="R9" authorId="2" shapeId="0" xr:uid="{00000000-0006-0000-0900-00000E000000}">
      <text>
        <r>
          <rPr>
            <b/>
            <sz val="8"/>
            <color indexed="81"/>
            <rFont val="Tahoma"/>
            <family val="2"/>
          </rPr>
          <t>E. A. Birk:</t>
        </r>
        <r>
          <rPr>
            <sz val="8"/>
            <color indexed="81"/>
            <rFont val="Tahoma"/>
            <family val="2"/>
          </rPr>
          <t xml:space="preserve">
Cortez Non-project water is limited to 4.20 cfs/day.</t>
        </r>
      </text>
    </comment>
    <comment ref="BA9" authorId="1" shapeId="0" xr:uid="{00000000-0006-0000-0900-00000F000000}">
      <text>
        <r>
          <rPr>
            <b/>
            <sz val="8"/>
            <color indexed="81"/>
            <rFont val="Tahoma"/>
            <family val="2"/>
          </rPr>
          <t>Vernon Lamb:</t>
        </r>
        <r>
          <rPr>
            <sz val="8"/>
            <color indexed="81"/>
            <rFont val="Tahoma"/>
            <family val="2"/>
          </rPr>
          <t xml:space="preserve">
Above value converted to cfs.</t>
        </r>
      </text>
    </comment>
    <comment ref="N24" authorId="0" shapeId="0" xr:uid="{D4B82A65-B4FA-4D26-B06E-653C73CC30D9}">
      <text>
        <r>
          <rPr>
            <b/>
            <sz val="9"/>
            <color indexed="81"/>
            <rFont val="Tahoma"/>
            <family val="2"/>
          </rPr>
          <t>Eric Sprague:</t>
        </r>
        <r>
          <rPr>
            <sz val="9"/>
            <color indexed="81"/>
            <rFont val="Tahoma"/>
            <family val="2"/>
          </rPr>
          <t xml:space="preserve">
R Stump got the Simon Draw outlet flixed and began running 1.5 CFS.</t>
        </r>
      </text>
    </comment>
    <comment ref="B34" authorId="0" shapeId="0" xr:uid="{0BEDEACD-5B51-43CE-8A7B-4638C4A59199}">
      <text>
        <r>
          <rPr>
            <b/>
            <sz val="9"/>
            <color indexed="81"/>
            <rFont val="Tahoma"/>
            <family val="2"/>
          </rPr>
          <t>Eric Sprague:</t>
        </r>
        <r>
          <rPr>
            <sz val="9"/>
            <color indexed="81"/>
            <rFont val="Tahoma"/>
            <family val="2"/>
          </rPr>
          <t xml:space="preserve">
24-AUG-2020. Due to hardware issues on the control room server, Elevation, temperature, evaporation, and precip data was not recorded 20-AUG through 24-AUG. These values are estimated in the provisional.</t>
        </r>
      </text>
    </comment>
    <comment ref="AT34" authorId="0" shapeId="0" xr:uid="{4CBAD948-CD22-4087-8CD8-394C8F524B0C}">
      <text>
        <r>
          <rPr>
            <b/>
            <sz val="9"/>
            <color indexed="81"/>
            <rFont val="Tahoma"/>
            <family val="2"/>
          </rPr>
          <t>Eric Sprague:</t>
        </r>
        <r>
          <rPr>
            <sz val="9"/>
            <color indexed="81"/>
            <rFont val="Tahoma"/>
            <family val="2"/>
          </rPr>
          <t xml:space="preserve">
24-AUG-2020. Due to hardware issues on the control room server, Elevation, temperature, evaporation, and precip data was not recorded 20-AUG through 24-AUG. These values are estimated in the provisional.</t>
        </r>
      </text>
    </comment>
    <comment ref="BD34" authorId="0" shapeId="0" xr:uid="{C8625DEA-CB99-4243-9332-BB3C3E9F66DA}">
      <text>
        <r>
          <rPr>
            <b/>
            <sz val="9"/>
            <color indexed="81"/>
            <rFont val="Tahoma"/>
            <family val="2"/>
          </rPr>
          <t>Eric Sprague:</t>
        </r>
        <r>
          <rPr>
            <sz val="9"/>
            <color indexed="81"/>
            <rFont val="Tahoma"/>
            <family val="2"/>
          </rPr>
          <t xml:space="preserve">
24-AUG-2020. Due to hardware issues on the control room server, Elevation, temperature, evaporation, and precip data was not recorded 20-AUG through 24-AUG. These values are estimated in the provisional.</t>
        </r>
      </text>
    </comment>
    <comment ref="BE34" authorId="0" shapeId="0" xr:uid="{740FE023-33E9-4758-85DE-CC06170038C7}">
      <text>
        <r>
          <rPr>
            <b/>
            <sz val="9"/>
            <color indexed="81"/>
            <rFont val="Tahoma"/>
            <family val="2"/>
          </rPr>
          <t>Eric Sprague:</t>
        </r>
        <r>
          <rPr>
            <sz val="9"/>
            <color indexed="81"/>
            <rFont val="Tahoma"/>
            <family val="2"/>
          </rPr>
          <t xml:space="preserve">
24-AUG-2020. Due to hardware issues on the control room server, Elevation, temperature, evaporation, and precip data was not recorded 20-AUG through 24-AUG. These values are estimated in the provisional.</t>
        </r>
      </text>
    </comment>
    <comment ref="BN34" authorId="0" shapeId="0" xr:uid="{F016CA2F-F254-4E85-8C62-E12E08A17FC8}">
      <text>
        <r>
          <rPr>
            <b/>
            <sz val="9"/>
            <color indexed="81"/>
            <rFont val="Tahoma"/>
            <family val="2"/>
          </rPr>
          <t>Eric Sprague:</t>
        </r>
        <r>
          <rPr>
            <sz val="9"/>
            <color indexed="81"/>
            <rFont val="Tahoma"/>
            <family val="2"/>
          </rPr>
          <t xml:space="preserve">
24-AUG-2020. Due to hardware issues on the control room server, Elevation, temperature, evaporation, and precip data was not recorded 20-AUG through 24-AUG. These values are estimated in the provisional.</t>
        </r>
      </text>
    </comment>
    <comment ref="B35" authorId="0" shapeId="0" xr:uid="{E791CA11-E381-42A1-9C84-F91B10403D75}">
      <text>
        <r>
          <rPr>
            <b/>
            <sz val="9"/>
            <color indexed="81"/>
            <rFont val="Tahoma"/>
            <family val="2"/>
          </rPr>
          <t>Eric Sprague:</t>
        </r>
        <r>
          <rPr>
            <sz val="9"/>
            <color indexed="81"/>
            <rFont val="Tahoma"/>
            <family val="2"/>
          </rPr>
          <t xml:space="preserve">
24-AUG-2020. Due to hardware issues on the control room server, Elevation, temperature, evaporation, and precip data was not recorded 20-AUG through 24-AUG. These values are estimated in the provisional.</t>
        </r>
      </text>
    </comment>
    <comment ref="Z35" authorId="0" shapeId="0" xr:uid="{62EA8ABA-AE10-4FA5-8A10-6E27B4C3BE49}">
      <text>
        <r>
          <rPr>
            <b/>
            <sz val="9"/>
            <color indexed="81"/>
            <rFont val="Tahoma"/>
            <family val="2"/>
          </rPr>
          <t>Eric Sprague:</t>
        </r>
        <r>
          <rPr>
            <sz val="9"/>
            <color indexed="81"/>
            <rFont val="Tahoma"/>
            <family val="2"/>
          </rPr>
          <t xml:space="preserve">
MVIC Call water ran out today. It went over by 194 CFS, which was moved to be reduced from exchange water instead.</t>
        </r>
      </text>
    </comment>
    <comment ref="AC35" authorId="0" shapeId="0" xr:uid="{9474C748-92F9-4391-B7F2-A0E5E05EC2F3}">
      <text>
        <r>
          <rPr>
            <b/>
            <sz val="9"/>
            <color indexed="81"/>
            <rFont val="Tahoma"/>
            <family val="2"/>
          </rPr>
          <t>Eric Sprague:</t>
        </r>
        <r>
          <rPr>
            <sz val="9"/>
            <color indexed="81"/>
            <rFont val="Tahoma"/>
            <family val="2"/>
          </rPr>
          <t xml:space="preserve">
MVIC began using Totten exchange and Upstream exchange water today.</t>
        </r>
      </text>
    </comment>
    <comment ref="AT35" authorId="0" shapeId="0" xr:uid="{4CFF3322-BB21-4B7A-A68F-0185CE01EFFC}">
      <text>
        <r>
          <rPr>
            <b/>
            <sz val="9"/>
            <color indexed="81"/>
            <rFont val="Tahoma"/>
            <family val="2"/>
          </rPr>
          <t>Eric Sprague:</t>
        </r>
        <r>
          <rPr>
            <sz val="9"/>
            <color indexed="81"/>
            <rFont val="Tahoma"/>
            <family val="2"/>
          </rPr>
          <t xml:space="preserve">
24-AUG-2020. Due to hardware issues on the control room server, Elevation, temperature, evaporation, and precip data was not recorded 20-AUG through 24-AUG. These values are estimated in the provisional.</t>
        </r>
      </text>
    </comment>
    <comment ref="BD35" authorId="0" shapeId="0" xr:uid="{F66E4248-F3B9-4BEC-9790-18E238B0A7FD}">
      <text>
        <r>
          <rPr>
            <b/>
            <sz val="9"/>
            <color indexed="81"/>
            <rFont val="Tahoma"/>
            <family val="2"/>
          </rPr>
          <t>Eric Sprague:</t>
        </r>
        <r>
          <rPr>
            <sz val="9"/>
            <color indexed="81"/>
            <rFont val="Tahoma"/>
            <family val="2"/>
          </rPr>
          <t xml:space="preserve">
24-AUG-2020. Due to hardware issues on the control room server, Elevation, temperature, evaporation, and precip data was not recorded 20-AUG through 24-AUG. These values are estimated in the provisional.</t>
        </r>
      </text>
    </comment>
    <comment ref="BE35" authorId="0" shapeId="0" xr:uid="{1C24BBF9-FFEE-4FB8-9279-0281CAD4398E}">
      <text>
        <r>
          <rPr>
            <b/>
            <sz val="9"/>
            <color indexed="81"/>
            <rFont val="Tahoma"/>
            <family val="2"/>
          </rPr>
          <t>Eric Sprague:</t>
        </r>
        <r>
          <rPr>
            <sz val="9"/>
            <color indexed="81"/>
            <rFont val="Tahoma"/>
            <family val="2"/>
          </rPr>
          <t xml:space="preserve">
24-AUG-2020. Due to hardware issues on the control room server, Elevation, temperature, evaporation, and precip data was not recorded 20-AUG through 24-AUG. These values are estimated in the provisional.</t>
        </r>
      </text>
    </comment>
    <comment ref="BN35" authorId="0" shapeId="0" xr:uid="{FA9EAFB2-4233-4CB3-940B-B9A8FA3CE0C9}">
      <text>
        <r>
          <rPr>
            <b/>
            <sz val="9"/>
            <color indexed="81"/>
            <rFont val="Tahoma"/>
            <family val="2"/>
          </rPr>
          <t>Eric Sprague:</t>
        </r>
        <r>
          <rPr>
            <sz val="9"/>
            <color indexed="81"/>
            <rFont val="Tahoma"/>
            <family val="2"/>
          </rPr>
          <t xml:space="preserve">
24-AUG-2020. Due to hardware issues on the control room server, Elevation, temperature, evaporation, and precip data was not recorded 20-AUG through 24-AUG. These values are estimated in the provisional.</t>
        </r>
      </text>
    </comment>
    <comment ref="B36" authorId="0" shapeId="0" xr:uid="{B27707B7-77A7-4D84-8284-6E3134EF7415}">
      <text>
        <r>
          <rPr>
            <b/>
            <sz val="9"/>
            <color indexed="81"/>
            <rFont val="Tahoma"/>
            <family val="2"/>
          </rPr>
          <t>Eric Sprague:</t>
        </r>
        <r>
          <rPr>
            <sz val="9"/>
            <color indexed="81"/>
            <rFont val="Tahoma"/>
            <family val="2"/>
          </rPr>
          <t xml:space="preserve">
24-AUG-2020. Due to hardware issues on the control room server, Elevation, temperature, evaporation, and precip data was not recorded 20-AUG through 24-AUG. These values are estimated in the provisional.</t>
        </r>
      </text>
    </comment>
    <comment ref="AT36" authorId="0" shapeId="0" xr:uid="{A6916C2A-2F24-43AD-AE54-9A6EFAA2F8BE}">
      <text>
        <r>
          <rPr>
            <b/>
            <sz val="9"/>
            <color indexed="81"/>
            <rFont val="Tahoma"/>
            <family val="2"/>
          </rPr>
          <t>Eric Sprague:</t>
        </r>
        <r>
          <rPr>
            <sz val="9"/>
            <color indexed="81"/>
            <rFont val="Tahoma"/>
            <family val="2"/>
          </rPr>
          <t xml:space="preserve">
24-AUG-2020. Due to hardware issues on the control room server, Elevation, temperature, evaporation, and precip data was not recorded 20-AUG through 24-AUG. These values are estimated in the provisional.</t>
        </r>
      </text>
    </comment>
    <comment ref="BD36" authorId="0" shapeId="0" xr:uid="{EA44CE4E-AABB-4318-9446-52E47FFDA071}">
      <text>
        <r>
          <rPr>
            <b/>
            <sz val="9"/>
            <color indexed="81"/>
            <rFont val="Tahoma"/>
            <family val="2"/>
          </rPr>
          <t>Eric Sprague:</t>
        </r>
        <r>
          <rPr>
            <sz val="9"/>
            <color indexed="81"/>
            <rFont val="Tahoma"/>
            <family val="2"/>
          </rPr>
          <t xml:space="preserve">
24-AUG-2020. Due to hardware issues on the control room server, Elevation, temperature, evaporation, and precip data was not recorded 20-AUG through 24-AUG. These values are estimated in the provisional.</t>
        </r>
      </text>
    </comment>
    <comment ref="BE36" authorId="0" shapeId="0" xr:uid="{D4D7783D-3CE0-4D47-94C4-6A6C2CEEA6CF}">
      <text>
        <r>
          <rPr>
            <b/>
            <sz val="9"/>
            <color indexed="81"/>
            <rFont val="Tahoma"/>
            <family val="2"/>
          </rPr>
          <t>Eric Sprague:</t>
        </r>
        <r>
          <rPr>
            <sz val="9"/>
            <color indexed="81"/>
            <rFont val="Tahoma"/>
            <family val="2"/>
          </rPr>
          <t xml:space="preserve">
24-AUG-2020. Due to hardware issues on the control room server, Elevation, temperature, evaporation, and precip data was not recorded 20-AUG through 24-AUG. These values are estimated in the provisional.</t>
        </r>
      </text>
    </comment>
    <comment ref="BN36" authorId="0" shapeId="0" xr:uid="{448CD24E-A02A-4FDE-A9A7-2850E7FAC317}">
      <text>
        <r>
          <rPr>
            <b/>
            <sz val="9"/>
            <color indexed="81"/>
            <rFont val="Tahoma"/>
            <family val="2"/>
          </rPr>
          <t>Eric Sprague:</t>
        </r>
        <r>
          <rPr>
            <sz val="9"/>
            <color indexed="81"/>
            <rFont val="Tahoma"/>
            <family val="2"/>
          </rPr>
          <t xml:space="preserve">
24-AUG-2020. Due to hardware issues on the control room server, Elevation, temperature, evaporation, and precip data was not recorded 20-AUG through 24-AUG. These values are estimated in the provisional.</t>
        </r>
      </text>
    </comment>
    <comment ref="B37" authorId="0" shapeId="0" xr:uid="{54D1FF39-649A-4260-A525-74EE932D10FD}">
      <text>
        <r>
          <rPr>
            <b/>
            <sz val="9"/>
            <color indexed="81"/>
            <rFont val="Tahoma"/>
            <family val="2"/>
          </rPr>
          <t>Eric Sprague:</t>
        </r>
        <r>
          <rPr>
            <sz val="9"/>
            <color indexed="81"/>
            <rFont val="Tahoma"/>
            <family val="2"/>
          </rPr>
          <t xml:space="preserve">
24-AUG-2020. Due to hardware issues on the control room server, Elevation, temperature, evaporation, and precip data was not recorded 20-AUG through 24-AUG. These values are estimated in the provisional.</t>
        </r>
      </text>
    </comment>
    <comment ref="AT37" authorId="0" shapeId="0" xr:uid="{68628072-4114-44CE-808A-A1417FA5EC8D}">
      <text>
        <r>
          <rPr>
            <b/>
            <sz val="9"/>
            <color indexed="81"/>
            <rFont val="Tahoma"/>
            <family val="2"/>
          </rPr>
          <t>Eric Sprague:</t>
        </r>
        <r>
          <rPr>
            <sz val="9"/>
            <color indexed="81"/>
            <rFont val="Tahoma"/>
            <family val="2"/>
          </rPr>
          <t xml:space="preserve">
24-AUG-2020. Due to hardware issues on the control room server, Elevation, temperature, evaporation, and precip data was not recorded 20-AUG through 24-AUG. These values are estimated in the provisional.</t>
        </r>
      </text>
    </comment>
    <comment ref="BD37" authorId="0" shapeId="0" xr:uid="{92BAAC0B-D9E8-4850-BB48-8CDD7B825233}">
      <text>
        <r>
          <rPr>
            <b/>
            <sz val="9"/>
            <color indexed="81"/>
            <rFont val="Tahoma"/>
            <family val="2"/>
          </rPr>
          <t>Eric Sprague:</t>
        </r>
        <r>
          <rPr>
            <sz val="9"/>
            <color indexed="81"/>
            <rFont val="Tahoma"/>
            <family val="2"/>
          </rPr>
          <t xml:space="preserve">
24-AUG-2020. Due to hardware issues on the control room server, Elevation, temperature, evaporation, and precip data was not recorded 20-AUG through 24-AUG. These values are estimated in the provisional.</t>
        </r>
      </text>
    </comment>
    <comment ref="BE37" authorId="0" shapeId="0" xr:uid="{52CF7724-5C24-4C4A-917D-6EF0EF414244}">
      <text>
        <r>
          <rPr>
            <b/>
            <sz val="9"/>
            <color indexed="81"/>
            <rFont val="Tahoma"/>
            <family val="2"/>
          </rPr>
          <t>Eric Sprague:</t>
        </r>
        <r>
          <rPr>
            <sz val="9"/>
            <color indexed="81"/>
            <rFont val="Tahoma"/>
            <family val="2"/>
          </rPr>
          <t xml:space="preserve">
24-AUG-2020. Due to hardware issues on the control room server, Elevation, temperature, evaporation, and precip data was not recorded 20-AUG through 24-AUG. These values are estimated in the provisional.</t>
        </r>
      </text>
    </comment>
    <comment ref="BN37" authorId="0" shapeId="0" xr:uid="{AF87D3B1-CFC0-4F1F-822E-0ABF428DD4C4}">
      <text>
        <r>
          <rPr>
            <b/>
            <sz val="9"/>
            <color indexed="81"/>
            <rFont val="Tahoma"/>
            <family val="2"/>
          </rPr>
          <t>Eric Sprague:</t>
        </r>
        <r>
          <rPr>
            <sz val="9"/>
            <color indexed="81"/>
            <rFont val="Tahoma"/>
            <family val="2"/>
          </rPr>
          <t xml:space="preserve">
24-AUG-2020. Due to hardware issues on the control room server, Elevation, temperature, evaporation, and precip data was not recorded 20-AUG through 24-AUG. These values are estimated in the provisional.</t>
        </r>
      </text>
    </comment>
    <comment ref="R45" authorId="0" shapeId="0" xr:uid="{D05DB52B-37CA-421A-83EC-8DD803D654D3}">
      <text>
        <r>
          <rPr>
            <b/>
            <sz val="9"/>
            <color indexed="81"/>
            <rFont val="Tahoma"/>
            <family val="2"/>
          </rPr>
          <t>Eric Sprague:</t>
        </r>
        <r>
          <rPr>
            <sz val="9"/>
            <color indexed="81"/>
            <rFont val="Tahoma"/>
            <family val="2"/>
          </rPr>
          <t xml:space="preserve">
31-AUG-2020. At 14:30 today, Cortez Water shut down its hydropower plant for an undetermined amount of time. Because their water meter is integrated into the power plant, they'll have to switch to using the meter at the treatment plant and their flume once they get an SDR installed.</t>
        </r>
      </text>
    </comment>
    <comment ref="AC45" authorId="0" shapeId="0" xr:uid="{B0DEFE9F-0220-4628-8DA2-D28292A631C6}">
      <text>
        <r>
          <rPr>
            <b/>
            <sz val="9"/>
            <color indexed="81"/>
            <rFont val="Tahoma"/>
            <family val="2"/>
          </rPr>
          <t>Eric Sprague:</t>
        </r>
        <r>
          <rPr>
            <sz val="9"/>
            <color indexed="81"/>
            <rFont val="Tahoma"/>
            <family val="2"/>
          </rPr>
          <t xml:space="preserve">
MVIC Totten &amp; Upstream exchange water ran out today. It went over by 40 CFS, which was moved to be reduced from project water instead.</t>
        </r>
      </text>
    </comment>
    <comment ref="AF45" authorId="0" shapeId="0" xr:uid="{2FEE9CE3-F86C-48C2-8944-8980D3C50593}">
      <text>
        <r>
          <rPr>
            <b/>
            <sz val="9"/>
            <color indexed="81"/>
            <rFont val="Tahoma"/>
            <family val="2"/>
          </rPr>
          <t>Eric Sprague:</t>
        </r>
        <r>
          <rPr>
            <sz val="9"/>
            <color indexed="81"/>
            <rFont val="Tahoma"/>
            <family val="2"/>
          </rPr>
          <t xml:space="preserve">
MVIC ran out of exchange water stored in McPhee and switched to using Project water today. MVIC will continue to accumulate ~7.9 CFS of U/S exchange water until the 1,685 AF is reached. It is now being taken into account in this column (effectively off-setting 8 CFS worth of the calculated change in storage).</t>
        </r>
      </text>
    </comment>
    <comment ref="N47" authorId="0" shapeId="0" xr:uid="{9C588128-ACAB-4F6C-9A33-494D5D272AAC}">
      <text>
        <r>
          <rPr>
            <b/>
            <sz val="9"/>
            <color indexed="81"/>
            <rFont val="Tahoma"/>
            <family val="2"/>
          </rPr>
          <t>Eric Sprague:</t>
        </r>
        <r>
          <rPr>
            <sz val="9"/>
            <color indexed="81"/>
            <rFont val="Tahoma"/>
            <family val="2"/>
          </rPr>
          <t xml:space="preserve">
9-NOV-2020. Stump filled Denny Lake. 3.07 AF this month.</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Eric Sprague</author>
    <author>Vernon Lamb</author>
    <author>E. A. Birk</author>
  </authors>
  <commentList>
    <comment ref="P6" authorId="0" shapeId="0" xr:uid="{2580492C-A174-4596-A5E1-88FDB392F462}">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K7" authorId="1" shapeId="0" xr:uid="{D679A899-C132-4AE4-99F1-E12297560457}">
      <text>
        <r>
          <rPr>
            <b/>
            <sz val="8"/>
            <color indexed="81"/>
            <rFont val="Tahoma"/>
            <family val="2"/>
          </rPr>
          <t>Eric Sprague:</t>
        </r>
        <r>
          <rPr>
            <sz val="8"/>
            <color indexed="81"/>
            <rFont val="Tahoma"/>
            <family val="2"/>
          </rPr>
          <t xml:space="preserve">
1-OCT-2020. Fishpool at 27,780 AF at 86.5% supply. </t>
        </r>
        <r>
          <rPr>
            <b/>
            <sz val="8"/>
            <color indexed="81"/>
            <rFont val="Tahoma"/>
            <family val="2"/>
          </rPr>
          <t xml:space="preserve">
</t>
        </r>
        <r>
          <rPr>
            <sz val="8"/>
            <color indexed="81"/>
            <rFont val="Tahoma"/>
            <family val="2"/>
          </rPr>
          <t xml:space="preserve">3-SEP-2020. Fishpool at 27,739 AF at 86% supply. </t>
        </r>
        <r>
          <rPr>
            <b/>
            <sz val="8"/>
            <color indexed="81"/>
            <rFont val="Tahoma"/>
            <family val="2"/>
          </rPr>
          <t xml:space="preserve">
</t>
        </r>
        <r>
          <rPr>
            <sz val="8"/>
            <color indexed="81"/>
            <rFont val="Tahoma"/>
            <family val="2"/>
          </rPr>
          <t xml:space="preserve">6-AUG-2020. Fishpool at 27,357 AF at 85% supply. </t>
        </r>
        <r>
          <rPr>
            <b/>
            <sz val="8"/>
            <color indexed="81"/>
            <rFont val="Tahoma"/>
            <family val="2"/>
          </rPr>
          <t xml:space="preserve">
</t>
        </r>
        <r>
          <rPr>
            <sz val="8"/>
            <color indexed="81"/>
            <rFont val="Tahoma"/>
            <family val="2"/>
          </rPr>
          <t>1-JUL-2020. Fishpool at 26,917 AF at 83% supply. 
2-JUN-2020. Fishpool at 25,415 AF at 78% supply. Using 18-MAY-2020 CBRFC 90% ESP FCST.</t>
        </r>
        <r>
          <rPr>
            <b/>
            <sz val="8"/>
            <color indexed="81"/>
            <rFont val="Tahoma"/>
            <family val="2"/>
          </rPr>
          <t xml:space="preserve">
</t>
        </r>
        <r>
          <rPr>
            <sz val="8"/>
            <color indexed="81"/>
            <rFont val="Tahoma"/>
            <family val="2"/>
          </rPr>
          <t xml:space="preserve">14-MAY-2020. Fishpool at 25,090 AF at 75% supply. Using 1-MAY-2020 CBRFC 90% ESP FCST.
</t>
        </r>
        <r>
          <rPr>
            <b/>
            <sz val="8"/>
            <color indexed="81"/>
            <rFont val="Tahoma"/>
            <family val="2"/>
          </rPr>
          <t xml:space="preserve">
</t>
        </r>
        <r>
          <rPr>
            <sz val="8"/>
            <color indexed="81"/>
            <rFont val="Tahoma"/>
            <family val="2"/>
          </rPr>
          <t>6-APR-2020. Fishpool at 31,798 AF at full supply. Using 30-MAR-2020 CBRFC 90% ESP FCST.</t>
        </r>
        <r>
          <rPr>
            <b/>
            <sz val="8"/>
            <color indexed="81"/>
            <rFont val="Tahoma"/>
            <family val="2"/>
          </rPr>
          <t xml:space="preserve">
</t>
        </r>
      </text>
    </comment>
    <comment ref="N8" authorId="2" shapeId="0" xr:uid="{00000000-0006-0000-0A00-000002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8" authorId="0" shapeId="0" xr:uid="{02B09DF1-A933-43B1-A9C7-2EE8062E785D}">
      <text>
        <r>
          <rPr>
            <b/>
            <sz val="9"/>
            <color indexed="81"/>
            <rFont val="Tahoma"/>
            <family val="2"/>
          </rPr>
          <t>Eric Sprague:</t>
        </r>
        <r>
          <rPr>
            <sz val="9"/>
            <color indexed="81"/>
            <rFont val="Tahoma"/>
            <family val="2"/>
          </rPr>
          <t xml:space="preserve">
1-OCT-2020. UFR Project water allocation 24,214 AF at 86.5% including 3,000 AF M&amp;I lease water.
3-SEP-2020. UFR Project water allocation 24,180 AF at 86% including 3,000 AF M&amp;I lease water.
6-AUG-2020. UFR Project water allocation 23,867 AF at 85% including 3,000 AF M&amp;I lease water.
1-JUL-2020. UFR Project water allocation 23,504 AF at 83% including 3,000 AF M&amp;I lease water.
2-JUN-2020. UFR Project water allocation 19,270 AF at 77% supply plus 3,000 AF M&amp;I lease water = 22,270 AF.
14-MAY-2020. UFR Project water allocation 19,003 AF at 75% supply plus 3,000 AF M&amp;I lease water. CBRFC's 1-MAY 90% Excd. 
4-APR-2020. UFR Project water allocation 24,517 AF at 100% supply plus 3,000 AF M&amp;I lease water. CBRFC's 15-APR 70% Excd. FCST is a full supply this season.
</t>
        </r>
      </text>
    </comment>
    <comment ref="R8" authorId="2" shapeId="0" xr:uid="{00000000-0006-0000-0A00-000004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2" shapeId="0" xr:uid="{00000000-0006-0000-0A00-000005000000}">
      <text>
        <r>
          <rPr>
            <b/>
            <sz val="8"/>
            <color indexed="81"/>
            <rFont val="Tahoma"/>
            <family val="2"/>
          </rPr>
          <t>E. A. Birk:</t>
        </r>
        <r>
          <rPr>
            <sz val="8"/>
            <color indexed="81"/>
            <rFont val="Tahoma"/>
            <family val="2"/>
          </rPr>
          <t xml:space="preserve">
The formula is =(daily use from the Towaoc file*1.06)*1.04</t>
        </r>
      </text>
    </comment>
    <comment ref="AD8" authorId="0" shapeId="0" xr:uid="{00000000-0006-0000-0A00-000006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F8" authorId="1" shapeId="0" xr:uid="{ACC5E0A9-EB95-4DC7-B573-7E336501A5BF}">
      <text>
        <r>
          <rPr>
            <b/>
            <sz val="8"/>
            <color indexed="81"/>
            <rFont val="Tahoma"/>
            <family val="2"/>
          </rPr>
          <t>Eric Sprague:</t>
        </r>
        <r>
          <rPr>
            <sz val="8"/>
            <color indexed="81"/>
            <rFont val="Tahoma"/>
            <family val="2"/>
          </rPr>
          <t xml:space="preserve">
1-OCT-2020: MVIC Project Water amount calc'd = 17,365 AF AF at 86.5% supply.
3-SEP-2020: MVIC Project Water amount calc'd = 17,519 AF AF at 86% supply.</t>
        </r>
        <r>
          <rPr>
            <b/>
            <sz val="8"/>
            <color indexed="81"/>
            <rFont val="Tahoma"/>
            <family val="2"/>
          </rPr>
          <t xml:space="preserve">
</t>
        </r>
        <r>
          <rPr>
            <sz val="8"/>
            <color indexed="81"/>
            <rFont val="Tahoma"/>
            <family val="2"/>
          </rPr>
          <t>6-AUG-2020: MVIC Project Water amount calc'd = 18,144 AF AF at 85% supply.</t>
        </r>
        <r>
          <rPr>
            <b/>
            <sz val="8"/>
            <color indexed="81"/>
            <rFont val="Tahoma"/>
            <family val="2"/>
          </rPr>
          <t xml:space="preserve">
</t>
        </r>
        <r>
          <rPr>
            <sz val="8"/>
            <color indexed="81"/>
            <rFont val="Tahoma"/>
            <family val="2"/>
          </rPr>
          <t>1-JUL-2020: MVIC Project Water amount calc'd = 19,791 AF AF at 83% supply.
2-JUN-2020: MVIC Project Water amount calc'd = 26,751 AF AF at 77% supply.</t>
        </r>
        <r>
          <rPr>
            <b/>
            <sz val="8"/>
            <color indexed="81"/>
            <rFont val="Tahoma"/>
            <family val="2"/>
          </rPr>
          <t xml:space="preserve">
</t>
        </r>
        <r>
          <rPr>
            <sz val="8"/>
            <color indexed="81"/>
            <rFont val="Tahoma"/>
            <family val="2"/>
          </rPr>
          <t>14-MAY-2020: MVIC Project Water amount calc'd = 24,180 AF AF at 75% supply, by CBRFC's 1-MAY 90% excd. FCST.</t>
        </r>
        <r>
          <rPr>
            <b/>
            <sz val="8"/>
            <color indexed="81"/>
            <rFont val="Tahoma"/>
            <family val="2"/>
          </rPr>
          <t xml:space="preserve">
</t>
        </r>
        <r>
          <rPr>
            <sz val="8"/>
            <color indexed="81"/>
            <rFont val="Tahoma"/>
            <family val="2"/>
          </rPr>
          <t xml:space="preserve">4-MAY-2020: MVIC Project Water amount calc'd = 9,045 AF at 100% supply, by CBRFC's 15-APR 70% excd. FCST.
</t>
        </r>
        <r>
          <rPr>
            <b/>
            <sz val="8"/>
            <color indexed="81"/>
            <rFont val="Tahoma"/>
            <family val="2"/>
          </rPr>
          <t xml:space="preserve">
</t>
        </r>
      </text>
    </comment>
    <comment ref="AG8" authorId="0" shapeId="0" xr:uid="{8E7BB0F6-6C55-4ACA-8409-646373A6CE68}">
      <text>
        <r>
          <rPr>
            <b/>
            <sz val="9"/>
            <color indexed="81"/>
            <rFont val="Tahoma"/>
            <family val="2"/>
          </rPr>
          <t>Eric Sprague:</t>
        </r>
        <r>
          <rPr>
            <sz val="9"/>
            <color indexed="81"/>
            <rFont val="Tahoma"/>
            <family val="2"/>
          </rPr>
          <t xml:space="preserve">
1-OCT-2020. FSA Project water allocation: 55,878 AF at 86.5% supply including 5,192 AF MVIC Class B shares and 2,000 AF M&amp;I lease water.
1-SEP-2020. FSA Project water allocation: 55,792 AF at 86% supply including 5,183 AF MVIC Class B shares and 2,000 AF M&amp;I lease water.
1-AUG-2020. FSA Project water allocation: 54,996 AF at 85% supply including 5,107 AF MVIC Class B shares and 2,000 AF M&amp;I lease water.
1-JUL-2020. FSA Project water allocation: 54,075 AF at 83% supply including 5,018 AF MVIC Class B shares and 2,000 AF M&amp;I lease water.
2-JUN-2020. FSA Project water allocation: 50,941 AF at 77% supply including 4,716 AF MVIC Class B shares and no M&amp;I lease water.
14-MAY-2020. FSA Project water allocation: 43,612 AF at 75% supply including 4,651 AF MVIC Class B shares and no M&amp;I lease water.
4-MAY-2020. FSA Project water allocation: 62,267 AF at 100% supply including MVIC Class B shares and no M&amp;I lease water.</t>
        </r>
      </text>
    </comment>
    <comment ref="AK8" authorId="0" shapeId="0" xr:uid="{00000000-0006-0000-0A00-000009000000}">
      <text>
        <r>
          <rPr>
            <b/>
            <sz val="9"/>
            <color indexed="81"/>
            <rFont val="Tahoma"/>
            <family val="2"/>
          </rPr>
          <t>Eric Sprague:</t>
        </r>
        <r>
          <rPr>
            <sz val="9"/>
            <color indexed="81"/>
            <rFont val="Tahoma"/>
            <family val="2"/>
          </rPr>
          <t xml:space="preserve">
Above amount converted to cfs.</t>
        </r>
      </text>
    </comment>
    <comment ref="AS8" authorId="2" shapeId="0" xr:uid="{00000000-0006-0000-0A00-00000A000000}">
      <text>
        <r>
          <rPr>
            <b/>
            <sz val="8"/>
            <color indexed="81"/>
            <rFont val="Tahoma"/>
            <family val="2"/>
          </rPr>
          <t>E. A. Birk:</t>
        </r>
        <r>
          <rPr>
            <sz val="8"/>
            <color indexed="81"/>
            <rFont val="Tahoma"/>
            <family val="2"/>
          </rPr>
          <t xml:space="preserve">
After June 30th MVIC can not store water in Narr. by contract, so this column only shows what the river produced in relationship to what MVIC used.</t>
        </r>
      </text>
    </comment>
    <comment ref="AY8" authorId="0" shapeId="0" xr:uid="{756478B8-30D6-4984-A920-5B920EDAA7D3}">
      <text>
        <r>
          <rPr>
            <b/>
            <sz val="9"/>
            <color indexed="81"/>
            <rFont val="Tahoma"/>
            <family val="2"/>
          </rPr>
          <t>Eric Sprague:</t>
        </r>
        <r>
          <rPr>
            <sz val="9"/>
            <color indexed="81"/>
            <rFont val="Tahoma"/>
            <family val="2"/>
          </rPr>
          <t xml:space="preserve"> 
1-OCT-2020. Cass B acres at 86.5% supply = 5,192 AF.
3-SEP-2020. Cass B acres at 86% supply = 5,183 AF.
6-AUG-2020. Cass B acres at 85% supply = 5,107 AF.
1-JUL-2020. Cass B acres at 83% supply = 5,018 AF using 1-JUL FCST calcs.
2-JUN-2020. Cass B acres at 77% supply = 4,716 AF using 18-MAY FCST calcs.
14-MAY-2020. Cass B acres at 75% supply = 4,651 AF using 1-MAY FCST calcs.
4-MAY-2020. Cass B acres at full supply = 6,000 AF using mid-April FCST calcs.</t>
        </r>
      </text>
    </comment>
    <comment ref="AZ8" authorId="1" shapeId="0" xr:uid="{00000000-0006-0000-0A00-00000C000000}">
      <text>
        <r>
          <rPr>
            <b/>
            <sz val="8"/>
            <color indexed="81"/>
            <rFont val="Tahoma"/>
            <family val="2"/>
          </rPr>
          <t>Eric Sprague:</t>
        </r>
        <r>
          <rPr>
            <sz val="8"/>
            <color indexed="81"/>
            <rFont val="Tahoma"/>
            <family val="2"/>
          </rPr>
          <t xml:space="preserve">
WY 2020 1,685.1 AF.
WY 2019 1,677.2 AF.
WY 2018. 1,676.9 AF is the 2018 U/S users release amount.
The U/S Exchange must reach this amount by for the end of the season.</t>
        </r>
      </text>
    </comment>
    <comment ref="BA8" authorId="1" shapeId="0" xr:uid="{D514F4B1-AF7D-4E16-9311-45D25E41C978}">
      <text>
        <r>
          <rPr>
            <b/>
            <sz val="8"/>
            <color indexed="81"/>
            <rFont val="Tahoma"/>
            <family val="2"/>
          </rPr>
          <t>Eric Sprague:</t>
        </r>
        <r>
          <rPr>
            <sz val="8"/>
            <color indexed="81"/>
            <rFont val="Tahoma"/>
            <family val="2"/>
          </rPr>
          <t xml:space="preserve"> 
1-OCT-2020. SJB F&amp;W water adjusted based on 1-OCT calcs to 346 AF allocated to Totten Fresh Water.
3-SEP-2020. SJB F&amp;W water adjusted based on 1-AUG calcs to 345 AF allocated to Totten Fresh Water.</t>
        </r>
        <r>
          <rPr>
            <b/>
            <sz val="8"/>
            <color indexed="81"/>
            <rFont val="Tahoma"/>
            <family val="2"/>
          </rPr>
          <t xml:space="preserve">
</t>
        </r>
        <r>
          <rPr>
            <sz val="8"/>
            <color indexed="81"/>
            <rFont val="Tahoma"/>
            <family val="2"/>
          </rPr>
          <t>6-AUG-2020. SJB F&amp;W water adjusted based on 1-AUG calcs to 340 AF allocated to Totten Fresh Water.</t>
        </r>
        <r>
          <rPr>
            <b/>
            <sz val="8"/>
            <color indexed="81"/>
            <rFont val="Tahoma"/>
            <family val="2"/>
          </rPr>
          <t xml:space="preserve">
</t>
        </r>
        <r>
          <rPr>
            <sz val="8"/>
            <color indexed="81"/>
            <rFont val="Tahoma"/>
            <family val="2"/>
          </rPr>
          <t>1-JUL-2020. SJB F&amp;W water adjusted based on 1-JUL calcs to 334 AF allocated to Totten Fresh Water.
14-MAY-2020. SJB F&amp;W water adjusted based on 1-MAY calcs to 310 AF allocated to Totten Fresh Water.
4-MAY-2020. SJB F&amp;W water adjusted based on mid-APR calcs to 400 AF allocated to Totten Fresh Water.</t>
        </r>
        <r>
          <rPr>
            <b/>
            <sz val="8"/>
            <color indexed="81"/>
            <rFont val="Tahoma"/>
            <family val="2"/>
          </rPr>
          <t xml:space="preserve">
</t>
        </r>
      </text>
    </comment>
    <comment ref="R9" authorId="2" shapeId="0" xr:uid="{00000000-0006-0000-0A00-00000E000000}">
      <text>
        <r>
          <rPr>
            <b/>
            <sz val="8"/>
            <color indexed="81"/>
            <rFont val="Tahoma"/>
            <family val="2"/>
          </rPr>
          <t>E. A. Birk:</t>
        </r>
        <r>
          <rPr>
            <sz val="8"/>
            <color indexed="81"/>
            <rFont val="Tahoma"/>
            <family val="2"/>
          </rPr>
          <t xml:space="preserve">
Cortez Non-project water is limited to 4.20 cfs/day.</t>
        </r>
      </text>
    </comment>
    <comment ref="BA9" authorId="1" shapeId="0" xr:uid="{00000000-0006-0000-0A00-00000F000000}">
      <text>
        <r>
          <rPr>
            <b/>
            <sz val="8"/>
            <color indexed="81"/>
            <rFont val="Tahoma"/>
            <family val="2"/>
          </rPr>
          <t>Vernon Lamb:</t>
        </r>
        <r>
          <rPr>
            <sz val="8"/>
            <color indexed="81"/>
            <rFont val="Tahoma"/>
            <family val="2"/>
          </rPr>
          <t xml:space="preserve">
Above value converted to cfs.</t>
        </r>
      </text>
    </comment>
    <comment ref="AT23" authorId="0" shapeId="0" xr:uid="{F95BCE28-8274-461A-A296-CCE3AB60F7EA}">
      <text>
        <r>
          <rPr>
            <b/>
            <sz val="9"/>
            <color indexed="81"/>
            <rFont val="Tahoma"/>
            <family val="2"/>
          </rPr>
          <t>Eric Sprague:</t>
        </r>
        <r>
          <rPr>
            <sz val="9"/>
            <color indexed="81"/>
            <rFont val="Tahoma"/>
            <family val="2"/>
          </rPr>
          <t xml:space="preserve">
Evap cancelled out by precip.</t>
        </r>
      </text>
    </comment>
    <comment ref="N24" authorId="0" shapeId="0" xr:uid="{08E27C19-703F-4754-9827-2B95DBEE36F5}">
      <text>
        <r>
          <rPr>
            <b/>
            <sz val="9"/>
            <color indexed="81"/>
            <rFont val="Tahoma"/>
            <family val="2"/>
          </rPr>
          <t>Eric Sprague:</t>
        </r>
        <r>
          <rPr>
            <sz val="9"/>
            <color indexed="81"/>
            <rFont val="Tahoma"/>
            <family val="2"/>
          </rPr>
          <t xml:space="preserve">
R. Stump shut off release in the evening.</t>
        </r>
      </text>
    </comment>
    <comment ref="AT24" authorId="0" shapeId="0" xr:uid="{6D1D0F23-A571-4542-B220-A257704B6B84}">
      <text>
        <r>
          <rPr>
            <b/>
            <sz val="9"/>
            <color indexed="81"/>
            <rFont val="Tahoma"/>
            <family val="2"/>
          </rPr>
          <t>Eric Sprague:</t>
        </r>
        <r>
          <rPr>
            <sz val="9"/>
            <color indexed="81"/>
            <rFont val="Tahoma"/>
            <family val="2"/>
          </rPr>
          <t xml:space="preserve">
Evap cancelled out by Precip</t>
        </r>
      </text>
    </comment>
    <comment ref="AY31" authorId="0" shapeId="0" xr:uid="{5A2547FD-D399-441E-B476-2480A0E75F7A}">
      <text>
        <r>
          <rPr>
            <b/>
            <sz val="9"/>
            <color indexed="81"/>
            <rFont val="Tahoma"/>
            <family val="2"/>
          </rPr>
          <t>Eric Sprague:</t>
        </r>
        <r>
          <rPr>
            <sz val="9"/>
            <color indexed="81"/>
            <rFont val="Tahoma"/>
            <family val="2"/>
          </rPr>
          <t xml:space="preserve">
Today the Class B Allocation to be delivered to Fairview was completed for the year.</t>
        </r>
      </text>
    </comment>
    <comment ref="X39" authorId="0" shapeId="0" xr:uid="{12D5E83B-437A-4760-AAAF-FFAFCFCB227A}">
      <text>
        <r>
          <rPr>
            <b/>
            <sz val="9"/>
            <color indexed="81"/>
            <rFont val="Tahoma"/>
            <family val="2"/>
          </rPr>
          <t>Eric Sprague:</t>
        </r>
        <r>
          <rPr>
            <sz val="9"/>
            <color indexed="81"/>
            <rFont val="Tahoma"/>
            <family val="2"/>
          </rPr>
          <t xml:space="preserve">
NARR reached the fishpool today.</t>
        </r>
      </text>
    </comment>
    <comment ref="N40" authorId="0" shapeId="0" xr:uid="{ECF77925-47A4-45CC-A14E-57E5DC8BDA4E}">
      <text>
        <r>
          <rPr>
            <b/>
            <sz val="9"/>
            <color indexed="81"/>
            <rFont val="Tahoma"/>
            <family val="2"/>
          </rPr>
          <t>Eric Sprague:</t>
        </r>
        <r>
          <rPr>
            <sz val="9"/>
            <color indexed="81"/>
            <rFont val="Tahoma"/>
            <family val="2"/>
          </rPr>
          <t xml:space="preserve">
R. Stump began running 0.1 CFS for the wetlands.</t>
        </r>
      </text>
    </comment>
    <comment ref="AC41" authorId="0" shapeId="0" xr:uid="{5A5FD503-71D1-460B-BF1D-1535342BF5F3}">
      <text>
        <r>
          <rPr>
            <b/>
            <sz val="9"/>
            <color indexed="81"/>
            <rFont val="Tahoma"/>
            <family val="2"/>
          </rPr>
          <t>Eric Sprague:</t>
        </r>
        <r>
          <rPr>
            <sz val="9"/>
            <color indexed="81"/>
            <rFont val="Tahoma"/>
            <family val="2"/>
          </rPr>
          <t xml:space="preserve">
Upstream Exchange was completed today.</t>
        </r>
      </text>
    </comment>
    <comment ref="AZ41" authorId="0" shapeId="0" xr:uid="{D48D68E9-649D-4F2E-A9FC-3F9C92858708}">
      <text>
        <r>
          <rPr>
            <b/>
            <sz val="9"/>
            <color indexed="81"/>
            <rFont val="Tahoma"/>
            <family val="2"/>
          </rPr>
          <t>Eric Sprague:</t>
        </r>
        <r>
          <rPr>
            <sz val="9"/>
            <color indexed="81"/>
            <rFont val="Tahoma"/>
            <family val="2"/>
          </rPr>
          <t xml:space="preserve">
Upstream Exchange was completed today.</t>
        </r>
      </text>
    </comment>
    <comment ref="N46" authorId="0" shapeId="0" xr:uid="{73483DAF-9A10-46AE-BE1D-CFEEB734D5F9}">
      <text>
        <r>
          <rPr>
            <b/>
            <sz val="9"/>
            <color indexed="81"/>
            <rFont val="Tahoma"/>
            <family val="2"/>
          </rPr>
          <t>Eric Sprague:</t>
        </r>
        <r>
          <rPr>
            <sz val="9"/>
            <color indexed="81"/>
            <rFont val="Tahoma"/>
            <family val="2"/>
          </rPr>
          <t xml:space="preserve">
9-NOV-2020. Stump filled Denny Lake. 19.7 AF this month.</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Eric Sprague</author>
    <author>Vernon Lamb</author>
    <author>E. A. Birk</author>
  </authors>
  <commentList>
    <comment ref="P6" authorId="0" shapeId="0" xr:uid="{6A5C8AA6-7988-4F3D-B542-FC90CC2D1854}">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K7" authorId="1" shapeId="0" xr:uid="{6AF19CCE-EF2C-4237-A73B-FE26024417B5}">
      <text>
        <r>
          <rPr>
            <b/>
            <sz val="8"/>
            <color indexed="81"/>
            <rFont val="Tahoma"/>
            <family val="2"/>
          </rPr>
          <t>Eric Sprague:</t>
        </r>
        <r>
          <rPr>
            <sz val="8"/>
            <color indexed="81"/>
            <rFont val="Tahoma"/>
            <family val="2"/>
          </rPr>
          <t xml:space="preserve">
1-OCT-2020. Fishpool at 27,780 AF at 86.5% supply. </t>
        </r>
        <r>
          <rPr>
            <b/>
            <sz val="8"/>
            <color indexed="81"/>
            <rFont val="Tahoma"/>
            <family val="2"/>
          </rPr>
          <t xml:space="preserve">
</t>
        </r>
        <r>
          <rPr>
            <sz val="8"/>
            <color indexed="81"/>
            <rFont val="Tahoma"/>
            <family val="2"/>
          </rPr>
          <t xml:space="preserve">3-SEP-2020. Fishpool at 27,739 AF at 86% supply. </t>
        </r>
        <r>
          <rPr>
            <b/>
            <sz val="8"/>
            <color indexed="81"/>
            <rFont val="Tahoma"/>
            <family val="2"/>
          </rPr>
          <t xml:space="preserve">
</t>
        </r>
        <r>
          <rPr>
            <sz val="8"/>
            <color indexed="81"/>
            <rFont val="Tahoma"/>
            <family val="2"/>
          </rPr>
          <t xml:space="preserve">6-AUG-2020. Fishpool at 27,357 AF at 85% supply. </t>
        </r>
        <r>
          <rPr>
            <b/>
            <sz val="8"/>
            <color indexed="81"/>
            <rFont val="Tahoma"/>
            <family val="2"/>
          </rPr>
          <t xml:space="preserve">
</t>
        </r>
        <r>
          <rPr>
            <sz val="8"/>
            <color indexed="81"/>
            <rFont val="Tahoma"/>
            <family val="2"/>
          </rPr>
          <t>1-JUL-2020. Fishpool at 26,917 AF at 83% supply. 
2-JUN-2020. Fishpool at 25,415 AF at 78% supply. Using 18-MAY-2020 CBRFC 90% ESP FCST.</t>
        </r>
        <r>
          <rPr>
            <b/>
            <sz val="8"/>
            <color indexed="81"/>
            <rFont val="Tahoma"/>
            <family val="2"/>
          </rPr>
          <t xml:space="preserve">
</t>
        </r>
        <r>
          <rPr>
            <sz val="8"/>
            <color indexed="81"/>
            <rFont val="Tahoma"/>
            <family val="2"/>
          </rPr>
          <t xml:space="preserve">14-MAY-2020. Fishpool at 25,090 AF at 75% supply. Using 1-MAY-2020 CBRFC 90% ESP FCST.
</t>
        </r>
        <r>
          <rPr>
            <b/>
            <sz val="8"/>
            <color indexed="81"/>
            <rFont val="Tahoma"/>
            <family val="2"/>
          </rPr>
          <t xml:space="preserve">
</t>
        </r>
        <r>
          <rPr>
            <sz val="8"/>
            <color indexed="81"/>
            <rFont val="Tahoma"/>
            <family val="2"/>
          </rPr>
          <t>6-APR-2020. Fishpool at 31,798 AF at full supply. Using 30-MAR-2020 CBRFC 90% ESP FCST.</t>
        </r>
        <r>
          <rPr>
            <b/>
            <sz val="8"/>
            <color indexed="81"/>
            <rFont val="Tahoma"/>
            <family val="2"/>
          </rPr>
          <t xml:space="preserve">
</t>
        </r>
      </text>
    </comment>
    <comment ref="N8" authorId="2" shapeId="0" xr:uid="{00000000-0006-0000-0B00-000002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8" authorId="0" shapeId="0" xr:uid="{3BAC92B7-1F68-42D0-9094-01D8F80E8586}">
      <text>
        <r>
          <rPr>
            <b/>
            <sz val="9"/>
            <color indexed="81"/>
            <rFont val="Tahoma"/>
            <family val="2"/>
          </rPr>
          <t>Eric Sprague:</t>
        </r>
        <r>
          <rPr>
            <sz val="9"/>
            <color indexed="81"/>
            <rFont val="Tahoma"/>
            <family val="2"/>
          </rPr>
          <t xml:space="preserve">
1-OCT-2020. UFR Project water allocation 24,214 AF at 86.5% including 3,000 AF M&amp;I lease water.
3-SEP-2020. UFR Project water allocation 24,180 AF at 86% including 3,000 AF M&amp;I lease water.
6-AUG-2020. UFR Project water allocation 23,867 AF at 85% including 3,000 AF M&amp;I lease water.
1-JUL-2020. UFR Project water allocation 23,504 AF at 83% including 3,000 AF M&amp;I lease water.
2-JUN-2020. UFR Project water allocation 19,270 AF at 77% supply plus 3,000 AF M&amp;I lease water = 22,270 AF.
14-MAY-2020. UFR Project water allocation 19,003 AF at 75% supply plus 3,000 AF M&amp;I lease water. CBRFC's 1-MAY 90% Excd. 
4-APR-2020. UFR Project water allocation 24,517 AF at 100% supply plus 3,000 AF M&amp;I lease water. CBRFC's 15-APR 70% Excd. FCST is a full supply this season.
</t>
        </r>
      </text>
    </comment>
    <comment ref="R8" authorId="2" shapeId="0" xr:uid="{00000000-0006-0000-0B00-000004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2" shapeId="0" xr:uid="{00000000-0006-0000-0B00-000005000000}">
      <text>
        <r>
          <rPr>
            <b/>
            <sz val="8"/>
            <color indexed="81"/>
            <rFont val="Tahoma"/>
            <family val="2"/>
          </rPr>
          <t>E. A. Birk:</t>
        </r>
        <r>
          <rPr>
            <sz val="8"/>
            <color indexed="81"/>
            <rFont val="Tahoma"/>
            <family val="2"/>
          </rPr>
          <t xml:space="preserve">
The formula is =(daily use from the Towaoc file*1.06)*1.04</t>
        </r>
      </text>
    </comment>
    <comment ref="AD8" authorId="0" shapeId="0" xr:uid="{00000000-0006-0000-0B00-000006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F8" authorId="1" shapeId="0" xr:uid="{8366AF94-B6C3-43C8-9544-9BB7C1E10B43}">
      <text>
        <r>
          <rPr>
            <b/>
            <sz val="8"/>
            <color indexed="81"/>
            <rFont val="Tahoma"/>
            <family val="2"/>
          </rPr>
          <t>Eric Sprague:</t>
        </r>
        <r>
          <rPr>
            <sz val="8"/>
            <color indexed="81"/>
            <rFont val="Tahoma"/>
            <family val="2"/>
          </rPr>
          <t xml:space="preserve">
1-OCT-2020: MVIC Project Water amount calc'd = 17,365 AF AF at 86.5% supply.
3-SEP-2020: MVIC Project Water amount calc'd = 17,519 AF AF at 86% supply.</t>
        </r>
        <r>
          <rPr>
            <b/>
            <sz val="8"/>
            <color indexed="81"/>
            <rFont val="Tahoma"/>
            <family val="2"/>
          </rPr>
          <t xml:space="preserve">
</t>
        </r>
        <r>
          <rPr>
            <sz val="8"/>
            <color indexed="81"/>
            <rFont val="Tahoma"/>
            <family val="2"/>
          </rPr>
          <t>6-AUG-2020: MVIC Project Water amount calc'd = 18,144 AF AF at 85% supply.</t>
        </r>
        <r>
          <rPr>
            <b/>
            <sz val="8"/>
            <color indexed="81"/>
            <rFont val="Tahoma"/>
            <family val="2"/>
          </rPr>
          <t xml:space="preserve">
</t>
        </r>
        <r>
          <rPr>
            <sz val="8"/>
            <color indexed="81"/>
            <rFont val="Tahoma"/>
            <family val="2"/>
          </rPr>
          <t>1-JUL-2020: MVIC Project Water amount calc'd = 19,791 AF AF at 83% supply.
2-JUN-2020: MVIC Project Water amount calc'd = 26,751 AF AF at 77% supply.</t>
        </r>
        <r>
          <rPr>
            <b/>
            <sz val="8"/>
            <color indexed="81"/>
            <rFont val="Tahoma"/>
            <family val="2"/>
          </rPr>
          <t xml:space="preserve">
</t>
        </r>
        <r>
          <rPr>
            <sz val="8"/>
            <color indexed="81"/>
            <rFont val="Tahoma"/>
            <family val="2"/>
          </rPr>
          <t>14-MAY-2020: MVIC Project Water amount calc'd = 24,180 AF AF at 75% supply, by CBRFC's 1-MAY 90% excd. FCST.</t>
        </r>
        <r>
          <rPr>
            <b/>
            <sz val="8"/>
            <color indexed="81"/>
            <rFont val="Tahoma"/>
            <family val="2"/>
          </rPr>
          <t xml:space="preserve">
</t>
        </r>
        <r>
          <rPr>
            <sz val="8"/>
            <color indexed="81"/>
            <rFont val="Tahoma"/>
            <family val="2"/>
          </rPr>
          <t xml:space="preserve">4-MAY-2020: MVIC Project Water amount calc'd = 9,045 AF at 100% supply, by CBRFC's 15-APR 70% excd. FCST.
</t>
        </r>
        <r>
          <rPr>
            <b/>
            <sz val="8"/>
            <color indexed="81"/>
            <rFont val="Tahoma"/>
            <family val="2"/>
          </rPr>
          <t xml:space="preserve">
</t>
        </r>
      </text>
    </comment>
    <comment ref="AG8" authorId="0" shapeId="0" xr:uid="{6DE9A6F0-A387-4E5D-95CB-5A65D81BAC30}">
      <text>
        <r>
          <rPr>
            <b/>
            <sz val="9"/>
            <color indexed="81"/>
            <rFont val="Tahoma"/>
            <family val="2"/>
          </rPr>
          <t>Eric Sprague:</t>
        </r>
        <r>
          <rPr>
            <sz val="9"/>
            <color indexed="81"/>
            <rFont val="Tahoma"/>
            <family val="2"/>
          </rPr>
          <t xml:space="preserve">
1-OCT-2020. FSA Project water allocation: 55,878 AF at 86.5% supply including 5,192 AF MVIC Class B shares and 2,000 AF M&amp;I lease water.
1-SEP-2020. FSA Project water allocation: 55,792 AF at 86% supply including 5,183 AF MVIC Class B shares and 2,000 AF M&amp;I lease water.
1-AUG-2020. FSA Project water allocation: 54,996 AF at 85% supply including 5,107 AF MVIC Class B shares and 2,000 AF M&amp;I lease water.
1-JUL-2020. FSA Project water allocation: 54,075 AF at 83% supply including 5,018 AF MVIC Class B shares and 2,000 AF M&amp;I lease water.
2-JUN-2020. FSA Project water allocation: 50,941 AF at 77% supply including 4,716 AF MVIC Class B shares and no M&amp;I lease water.
14-MAY-2020. FSA Project water allocation: 43,612 AF at 75% supply including 4,651 AF MVIC Class B shares and no M&amp;I lease water.
4-MAY-2020. FSA Project water allocation: 62,267 AF at 100% supply including MVIC Class B shares and no M&amp;I lease water.</t>
        </r>
      </text>
    </comment>
    <comment ref="AK8" authorId="0" shapeId="0" xr:uid="{00000000-0006-0000-0B00-000009000000}">
      <text>
        <r>
          <rPr>
            <b/>
            <sz val="9"/>
            <color indexed="81"/>
            <rFont val="Tahoma"/>
            <family val="2"/>
          </rPr>
          <t>Eric Sprague:</t>
        </r>
        <r>
          <rPr>
            <sz val="9"/>
            <color indexed="81"/>
            <rFont val="Tahoma"/>
            <family val="2"/>
          </rPr>
          <t xml:space="preserve">
Above amount converted to cfs.</t>
        </r>
      </text>
    </comment>
    <comment ref="AS8" authorId="2" shapeId="0" xr:uid="{00000000-0006-0000-0B00-00000A000000}">
      <text>
        <r>
          <rPr>
            <b/>
            <sz val="8"/>
            <color indexed="81"/>
            <rFont val="Tahoma"/>
            <family val="2"/>
          </rPr>
          <t>E. A. Birk:</t>
        </r>
        <r>
          <rPr>
            <sz val="8"/>
            <color indexed="81"/>
            <rFont val="Tahoma"/>
            <family val="2"/>
          </rPr>
          <t xml:space="preserve">
After June 30th MVIC can not store water in Narr. by contact, so this column only shows what the river produced in relationship to what MVIC used.</t>
        </r>
      </text>
    </comment>
    <comment ref="AY8" authorId="0" shapeId="0" xr:uid="{C955404D-E8C0-4B60-9FF2-3BA351D64A2E}">
      <text>
        <r>
          <rPr>
            <b/>
            <sz val="9"/>
            <color indexed="81"/>
            <rFont val="Tahoma"/>
            <family val="2"/>
          </rPr>
          <t>Eric Sprague:</t>
        </r>
        <r>
          <rPr>
            <sz val="9"/>
            <color indexed="81"/>
            <rFont val="Tahoma"/>
            <family val="2"/>
          </rPr>
          <t xml:space="preserve"> 
1-OCT-2020. Cass B acres at 86.5% supply = 5,192 AF.
3-SEP-2020. Cass B acres at 86% supply = 5,183 AF.
6-AUG-2020. Cass B acres at 85% supply = 5,107 AF.
1-JUL-2020. Cass B acres at 83% supply = 5,018 AF using 1-JUL FCST calcs.
2-JUN-2020. Cass B acres at 77% supply = 4,716 AF using 18-MAY FCST calcs.
14-MAY-2020. Cass B acres at 75% supply = 4,651 AF using 1-MAY FCST calcs.
4-MAY-2020. Cass B acres at full supply = 6,000 AF using mid-April FCST calcs.</t>
        </r>
      </text>
    </comment>
    <comment ref="BA8" authorId="1" shapeId="0" xr:uid="{00000000-0006-0000-0B00-00000C000000}">
      <text>
        <r>
          <rPr>
            <b/>
            <sz val="8"/>
            <color indexed="81"/>
            <rFont val="Tahoma"/>
            <family val="2"/>
          </rPr>
          <t>Eric Sprague:</t>
        </r>
        <r>
          <rPr>
            <sz val="8"/>
            <color indexed="81"/>
            <rFont val="Tahoma"/>
            <family val="2"/>
          </rPr>
          <t xml:space="preserve">
WY 2020 1,685.1 AF.
WY 2019 1,677.2 AF.
WY 2018. 1,676.9 AF is the 2018 U/S users release amount.
The U/S Exchange must reach this amount by for the end of the season.</t>
        </r>
      </text>
    </comment>
    <comment ref="BB8" authorId="1" shapeId="0" xr:uid="{146AF580-BA39-4DA3-9495-3D4D1F91D21C}">
      <text>
        <r>
          <rPr>
            <b/>
            <sz val="8"/>
            <color indexed="81"/>
            <rFont val="Tahoma"/>
            <family val="2"/>
          </rPr>
          <t>Eric Sprague:</t>
        </r>
        <r>
          <rPr>
            <sz val="8"/>
            <color indexed="81"/>
            <rFont val="Tahoma"/>
            <family val="2"/>
          </rPr>
          <t xml:space="preserve"> 
1-OCT-2020. SJB F&amp;W water adjusted based on 1-OCT calcs to 346 AF allocated to Totten Fresh Water.
3-SEP-2020. SJB F&amp;W water adjusted based on 1-AUG calcs to 345 AF allocated to Totten Fresh Water.</t>
        </r>
        <r>
          <rPr>
            <b/>
            <sz val="8"/>
            <color indexed="81"/>
            <rFont val="Tahoma"/>
            <family val="2"/>
          </rPr>
          <t xml:space="preserve">
</t>
        </r>
        <r>
          <rPr>
            <sz val="8"/>
            <color indexed="81"/>
            <rFont val="Tahoma"/>
            <family val="2"/>
          </rPr>
          <t>6-AUG-2020. SJB F&amp;W water adjusted based on 1-AUG calcs to 340 AF allocated to Totten Fresh Water.</t>
        </r>
        <r>
          <rPr>
            <b/>
            <sz val="8"/>
            <color indexed="81"/>
            <rFont val="Tahoma"/>
            <family val="2"/>
          </rPr>
          <t xml:space="preserve">
</t>
        </r>
        <r>
          <rPr>
            <sz val="8"/>
            <color indexed="81"/>
            <rFont val="Tahoma"/>
            <family val="2"/>
          </rPr>
          <t>1-JUL-2020. SJB F&amp;W water adjusted based on 1-JUL calcs to 334 AF allocated to Totten Fresh Water.
14-MAY-2020. SJB F&amp;W water adjusted based on 1-MAY calcs to 310 AF allocated to Totten Fresh Water.
4-MAY-2020. SJB F&amp;W water adjusted based on mid-APR calcs to 400 AF allocated to Totten Fresh Water.</t>
        </r>
        <r>
          <rPr>
            <b/>
            <sz val="8"/>
            <color indexed="81"/>
            <rFont val="Tahoma"/>
            <family val="2"/>
          </rPr>
          <t xml:space="preserve">
</t>
        </r>
      </text>
    </comment>
    <comment ref="R9" authorId="2" shapeId="0" xr:uid="{00000000-0006-0000-0B00-00000E000000}">
      <text>
        <r>
          <rPr>
            <b/>
            <sz val="8"/>
            <color indexed="81"/>
            <rFont val="Tahoma"/>
            <family val="2"/>
          </rPr>
          <t>E. A. Birk:</t>
        </r>
        <r>
          <rPr>
            <sz val="8"/>
            <color indexed="81"/>
            <rFont val="Tahoma"/>
            <family val="2"/>
          </rPr>
          <t xml:space="preserve">
Cortez Non-project water is limited to 4.20 cfs/day.</t>
        </r>
      </text>
    </comment>
    <comment ref="BB9" authorId="1" shapeId="0" xr:uid="{00000000-0006-0000-0B00-00000F000000}">
      <text>
        <r>
          <rPr>
            <b/>
            <sz val="8"/>
            <color indexed="81"/>
            <rFont val="Tahoma"/>
            <family val="2"/>
          </rPr>
          <t>Vernon Lamb:</t>
        </r>
        <r>
          <rPr>
            <sz val="8"/>
            <color indexed="81"/>
            <rFont val="Tahoma"/>
            <family val="2"/>
          </rPr>
          <t xml:space="preserve">
Above value converted to cfs.</t>
        </r>
      </text>
    </comment>
    <comment ref="N15" authorId="0" shapeId="0" xr:uid="{187CA4B6-C53C-456C-BE87-8557FAD1B8B6}">
      <text>
        <r>
          <rPr>
            <b/>
            <sz val="9"/>
            <color indexed="81"/>
            <rFont val="Tahoma"/>
            <family val="2"/>
          </rPr>
          <t>Eric Sprague:</t>
        </r>
        <r>
          <rPr>
            <sz val="9"/>
            <color indexed="81"/>
            <rFont val="Tahoma"/>
            <family val="2"/>
          </rPr>
          <t xml:space="preserve">
2020. R Stump began refilling the wetland ponds at approximately 3 CFS plus 0.1 CFS for the newly installed wetland sprinklers.</t>
        </r>
      </text>
    </comment>
    <comment ref="N23" authorId="0" shapeId="0" xr:uid="{D77C0C85-1703-463A-BD91-5D724F1AD9DD}">
      <text>
        <r>
          <rPr>
            <b/>
            <sz val="9"/>
            <color indexed="81"/>
            <rFont val="Tahoma"/>
            <family val="2"/>
          </rPr>
          <t>Eric Sprague:</t>
        </r>
        <r>
          <rPr>
            <sz val="9"/>
            <color indexed="81"/>
            <rFont val="Tahoma"/>
            <family val="2"/>
          </rPr>
          <t xml:space="preserve">
R Stump Shut off for the weekend.</t>
        </r>
      </text>
    </comment>
    <comment ref="AR26" authorId="0" shapeId="0" xr:uid="{F97EF688-F6E0-4803-9A2E-36AE03EEB8EF}">
      <text>
        <r>
          <rPr>
            <b/>
            <sz val="9"/>
            <color indexed="81"/>
            <rFont val="Tahoma"/>
            <family val="2"/>
          </rPr>
          <t>Eric Sprague:</t>
        </r>
        <r>
          <rPr>
            <sz val="9"/>
            <color indexed="81"/>
            <rFont val="Tahoma"/>
            <family val="2"/>
          </rPr>
          <t xml:space="preserve">
Stock run estimates provided by B. Johnson.</t>
        </r>
      </text>
    </comment>
    <comment ref="N27" authorId="0" shapeId="0" xr:uid="{74616958-C5AE-4419-8351-3203BA4C1F04}">
      <text>
        <r>
          <rPr>
            <b/>
            <sz val="9"/>
            <color indexed="81"/>
            <rFont val="Tahoma"/>
            <family val="2"/>
          </rPr>
          <t>Eric Sprague:</t>
        </r>
        <r>
          <rPr>
            <sz val="9"/>
            <color indexed="81"/>
            <rFont val="Tahoma"/>
            <family val="2"/>
          </rPr>
          <t xml:space="preserve">
R. Stump turned wetlands back on at 0.1 CFS.</t>
        </r>
      </text>
    </comment>
    <comment ref="AG27" authorId="0" shapeId="0" xr:uid="{14C3DFCF-A08D-4DFB-B8B3-B2680E3B1B42}">
      <text>
        <r>
          <rPr>
            <b/>
            <sz val="9"/>
            <color indexed="81"/>
            <rFont val="Tahoma"/>
            <family val="2"/>
          </rPr>
          <t>Eric Sprague:</t>
        </r>
        <r>
          <rPr>
            <sz val="9"/>
            <color indexed="81"/>
            <rFont val="Tahoma"/>
            <family val="2"/>
          </rPr>
          <t xml:space="preserve">
Last day of releases into DCC.</t>
        </r>
      </text>
    </comment>
    <comment ref="AF30" authorId="0" shapeId="0" xr:uid="{00000000-0006-0000-0B00-000014000000}">
      <text>
        <r>
          <rPr>
            <b/>
            <sz val="9"/>
            <color indexed="81"/>
            <rFont val="Tahoma"/>
            <family val="2"/>
          </rPr>
          <t>Eric Sprague:</t>
        </r>
        <r>
          <rPr>
            <sz val="9"/>
            <color indexed="81"/>
            <rFont val="Tahoma"/>
            <family val="2"/>
          </rPr>
          <t xml:space="preserve">
MVIC Project Water Reset.</t>
        </r>
      </text>
    </comment>
    <comment ref="G40" authorId="0" shapeId="0" xr:uid="{E2FC8233-6045-4704-869B-3F8B527CA59A}">
      <text>
        <r>
          <rPr>
            <b/>
            <sz val="9"/>
            <color indexed="81"/>
            <rFont val="Tahoma"/>
            <family val="2"/>
          </rPr>
          <t>Eric Sprague:</t>
        </r>
        <r>
          <rPr>
            <sz val="9"/>
            <color indexed="81"/>
            <rFont val="Tahoma"/>
            <family val="2"/>
          </rPr>
          <t xml:space="preserve">
DOLDOLCO gage began reporting ICE. River values from today forward are estimates based on elevation changes.</t>
        </r>
      </text>
    </comment>
    <comment ref="N47" authorId="0" shapeId="0" xr:uid="{FD27128B-CFB8-4B64-BDC7-396A7AA9A7C1}">
      <text>
        <r>
          <rPr>
            <b/>
            <sz val="9"/>
            <color indexed="81"/>
            <rFont val="Tahoma"/>
            <family val="2"/>
          </rPr>
          <t>Eric Sprague:</t>
        </r>
        <r>
          <rPr>
            <sz val="9"/>
            <color indexed="81"/>
            <rFont val="Tahoma"/>
            <family val="2"/>
          </rPr>
          <t xml:space="preserve">
9-NOV-2020. Stump filled Denny Lake. 12.25 AF this month.</t>
        </r>
      </text>
    </comment>
    <comment ref="X47" authorId="0" shapeId="0" xr:uid="{00000000-0006-0000-0B00-000016000000}">
      <text>
        <r>
          <rPr>
            <b/>
            <sz val="9"/>
            <color indexed="81"/>
            <rFont val="Tahoma"/>
            <family val="2"/>
          </rPr>
          <t>Eric Sprague:</t>
        </r>
        <r>
          <rPr>
            <sz val="9"/>
            <color indexed="81"/>
            <rFont val="Tahoma"/>
            <family val="2"/>
          </rPr>
          <t xml:space="preserve">
OCT 1 thru 15</t>
        </r>
      </text>
    </comment>
    <comment ref="Y47" authorId="0" shapeId="0" xr:uid="{00000000-0006-0000-0B00-000017000000}">
      <text>
        <r>
          <rPr>
            <b/>
            <sz val="9"/>
            <color indexed="81"/>
            <rFont val="Tahoma"/>
            <family val="2"/>
          </rPr>
          <t>Eric Sprague:</t>
        </r>
        <r>
          <rPr>
            <sz val="9"/>
            <color indexed="81"/>
            <rFont val="Tahoma"/>
            <family val="2"/>
          </rPr>
          <t xml:space="preserve">
OCT 1 thru 15</t>
        </r>
      </text>
    </comment>
  </commentList>
</comments>
</file>

<file path=xl/sharedStrings.xml><?xml version="1.0" encoding="utf-8"?>
<sst xmlns="http://schemas.openxmlformats.org/spreadsheetml/2006/main" count="2765" uniqueCount="193">
  <si>
    <t>AF/cfs  CONVERT FACTOR</t>
  </si>
  <si>
    <t>DATE</t>
  </si>
  <si>
    <t>RESERV</t>
  </si>
  <si>
    <t>AC  FT</t>
  </si>
  <si>
    <t>ACTIVE</t>
  </si>
  <si>
    <t>CONV  TO</t>
  </si>
  <si>
    <t>DOLORES</t>
  </si>
  <si>
    <t>LOST</t>
  </si>
  <si>
    <t>CALC</t>
  </si>
  <si>
    <t>TOTAL</t>
  </si>
  <si>
    <t>DOLORES TUNNEL</t>
  </si>
  <si>
    <t>LONE</t>
  </si>
  <si>
    <t>U</t>
  </si>
  <si>
    <t>MVI</t>
  </si>
  <si>
    <t>DV  CR</t>
  </si>
  <si>
    <t>BELOW</t>
  </si>
  <si>
    <t>RAIN</t>
  </si>
  <si>
    <t>MAX</t>
  </si>
  <si>
    <t>MIN</t>
  </si>
  <si>
    <t>ELEV</t>
  </si>
  <si>
    <t>CHANGE</t>
  </si>
  <si>
    <t>CAP</t>
  </si>
  <si>
    <t>CFS</t>
  </si>
  <si>
    <t>RIVER</t>
  </si>
  <si>
    <t>INFLOW</t>
  </si>
  <si>
    <t>INF/OTF</t>
  </si>
  <si>
    <t>TOT DIV</t>
  </si>
  <si>
    <t>PINE</t>
  </si>
  <si>
    <t>CALL</t>
  </si>
  <si>
    <t>CANAL</t>
  </si>
  <si>
    <t>TMP</t>
  </si>
  <si>
    <t>SEASON BAL</t>
  </si>
  <si>
    <t>YTD</t>
  </si>
  <si>
    <t>MONTH / CFS</t>
  </si>
  <si>
    <t>MONTH / AF</t>
  </si>
  <si>
    <t>HI</t>
  </si>
  <si>
    <t>SEASON / CFS</t>
  </si>
  <si>
    <t>LO</t>
  </si>
  <si>
    <t>SEASON / AF</t>
  </si>
  <si>
    <t>YTD / CFS</t>
  </si>
  <si>
    <t>YTD / AF</t>
  </si>
  <si>
    <t>Avg</t>
  </si>
  <si>
    <t>LAT</t>
  </si>
  <si>
    <t>AVE</t>
  </si>
  <si>
    <t>AVG</t>
  </si>
  <si>
    <t>Apr - Jun</t>
  </si>
  <si>
    <t xml:space="preserve"> </t>
  </si>
  <si>
    <t>RESERVOIR</t>
  </si>
  <si>
    <t>WEATHER</t>
  </si>
  <si>
    <t xml:space="preserve">MVI </t>
  </si>
  <si>
    <t>AC FT</t>
  </si>
  <si>
    <t>STORED</t>
  </si>
  <si>
    <t>NAR</t>
  </si>
  <si>
    <t>MCPHEE  RESERVOIR  INFLOW/OUTFLOW  TABULATION</t>
  </si>
  <si>
    <t>USERS</t>
  </si>
  <si>
    <t>ADJUSTMENTS</t>
  </si>
  <si>
    <t>U/S</t>
  </si>
  <si>
    <t>MWC</t>
  </si>
  <si>
    <t>PROJ</t>
  </si>
  <si>
    <t>EXCH</t>
  </si>
  <si>
    <t>c</t>
  </si>
  <si>
    <t>FISH</t>
  </si>
  <si>
    <t>LEFT</t>
  </si>
  <si>
    <t>RECORD</t>
  </si>
  <si>
    <t>CAN</t>
  </si>
  <si>
    <t>WET</t>
  </si>
  <si>
    <t>LAND</t>
  </si>
  <si>
    <t>UTE</t>
  </si>
  <si>
    <t>F&amp;R</t>
  </si>
  <si>
    <t>MCP</t>
  </si>
  <si>
    <t>OTF</t>
  </si>
  <si>
    <t>STOCK</t>
  </si>
  <si>
    <t>EVAP</t>
  </si>
  <si>
    <t>AC.FT.</t>
  </si>
  <si>
    <t xml:space="preserve">FISH </t>
  </si>
  <si>
    <t>APR</t>
  </si>
  <si>
    <t>MVIC</t>
  </si>
  <si>
    <t xml:space="preserve">       D/S SENIOR </t>
  </si>
  <si>
    <t xml:space="preserve">       D/S SENIOR</t>
  </si>
  <si>
    <t>TOTTEN</t>
  </si>
  <si>
    <t>(FRESH</t>
  </si>
  <si>
    <t>WATER)</t>
  </si>
  <si>
    <t>TO EX &amp;</t>
  </si>
  <si>
    <t>U/S EX</t>
  </si>
  <si>
    <t>QUEST</t>
  </si>
  <si>
    <t>MAY</t>
  </si>
  <si>
    <t xml:space="preserve">PROJ </t>
  </si>
  <si>
    <t>F-BAY</t>
  </si>
  <si>
    <t>SPILL</t>
  </si>
  <si>
    <t>Ac. Ft.</t>
  </si>
  <si>
    <t>IRRIG.</t>
  </si>
  <si>
    <t>AC. Ft.</t>
  </si>
  <si>
    <t>APR-</t>
  </si>
  <si>
    <t>JUNE</t>
  </si>
  <si>
    <t>CLASS</t>
  </si>
  <si>
    <t>"B"</t>
  </si>
  <si>
    <t>DIST.</t>
  </si>
  <si>
    <t>Misc.</t>
  </si>
  <si>
    <t xml:space="preserve">Outflow </t>
  </si>
  <si>
    <t>TUNNEL</t>
  </si>
  <si>
    <t>JUN</t>
  </si>
  <si>
    <t>JUL</t>
  </si>
  <si>
    <t>SEPT</t>
  </si>
  <si>
    <t>OCT</t>
  </si>
  <si>
    <t>NOV</t>
  </si>
  <si>
    <t>DEC</t>
  </si>
  <si>
    <t>FEB</t>
  </si>
  <si>
    <t>MAR</t>
  </si>
  <si>
    <t>WATER</t>
  </si>
  <si>
    <t>USED</t>
  </si>
  <si>
    <t>FILL</t>
  </si>
  <si>
    <t>SPILLED</t>
  </si>
  <si>
    <t>CALL)</t>
  </si>
  <si>
    <t>(DIV+</t>
  </si>
  <si>
    <t xml:space="preserve">OR </t>
  </si>
  <si>
    <t>STOR</t>
  </si>
  <si>
    <t>Carry-</t>
  </si>
  <si>
    <t>over</t>
  </si>
  <si>
    <t xml:space="preserve">         CORTEZ</t>
  </si>
  <si>
    <t>NON -</t>
  </si>
  <si>
    <t>BAL</t>
  </si>
  <si>
    <t xml:space="preserve">     INFLOW</t>
  </si>
  <si>
    <t xml:space="preserve">OUTFLOW </t>
  </si>
  <si>
    <t xml:space="preserve">      INFLOW</t>
  </si>
  <si>
    <t xml:space="preserve">       INFLOW</t>
  </si>
  <si>
    <t>OUTFLOW</t>
  </si>
  <si>
    <t xml:space="preserve">         INFLOW</t>
  </si>
  <si>
    <t xml:space="preserve">D/S SENIOR </t>
  </si>
  <si>
    <t>GRNDHOG</t>
  </si>
  <si>
    <t>CAPACITY</t>
  </si>
  <si>
    <t>DISCHARGE</t>
  </si>
  <si>
    <t>M - S</t>
  </si>
  <si>
    <t xml:space="preserve"> D/S SENIOR</t>
  </si>
  <si>
    <t>LEASE</t>
  </si>
  <si>
    <t>UF&amp;R</t>
  </si>
  <si>
    <t>JAN</t>
  </si>
  <si>
    <t>6/30 Call Water (AF)</t>
  </si>
  <si>
    <t>Call Water +MVI Irri Water Used (AF)</t>
  </si>
  <si>
    <t>(Call Water + MVI Irrig) - Nar Fill; in AF [Should =72K]</t>
  </si>
  <si>
    <t>AUG</t>
  </si>
  <si>
    <t>D/S SENIOR</t>
  </si>
  <si>
    <t>FP = 3960</t>
  </si>
  <si>
    <t>DTGH</t>
  </si>
  <si>
    <t>Elevation</t>
  </si>
  <si>
    <t>McPhee Elevation to Capacity Table</t>
  </si>
  <si>
    <t>McPhee Elevation to Surface Area Table</t>
  </si>
  <si>
    <t>PAN</t>
  </si>
  <si>
    <t>IN</t>
  </si>
  <si>
    <t>LAKE</t>
  </si>
  <si>
    <t>VOL</t>
  </si>
  <si>
    <t>SURFACE</t>
  </si>
  <si>
    <t>AREA</t>
  </si>
  <si>
    <t>AC.</t>
  </si>
  <si>
    <t>MPP</t>
  </si>
  <si>
    <t>OVER</t>
  </si>
  <si>
    <t>from</t>
  </si>
  <si>
    <t>ctrl room</t>
  </si>
  <si>
    <t>AF</t>
  </si>
  <si>
    <t>EXTND"D</t>
  </si>
  <si>
    <t>NARR</t>
  </si>
  <si>
    <t>DAILY</t>
  </si>
  <si>
    <t>POOL</t>
  </si>
  <si>
    <t>EXT'D</t>
  </si>
  <si>
    <t>UFR</t>
  </si>
  <si>
    <t>Shares</t>
  </si>
  <si>
    <t>MCPHEE</t>
  </si>
  <si>
    <t xml:space="preserve">           D/S SENIOR </t>
  </si>
  <si>
    <t>DWCD</t>
  </si>
  <si>
    <t>505 CFS</t>
  </si>
  <si>
    <t>in MCP</t>
  </si>
  <si>
    <t>FIRST</t>
  </si>
  <si>
    <t>LIMIT</t>
  </si>
  <si>
    <t>DIRECT</t>
  </si>
  <si>
    <t>DIV</t>
  </si>
  <si>
    <t>DWCD FLOWS</t>
  </si>
  <si>
    <t>AVAILABLE</t>
  </si>
  <si>
    <t>FOR DWCD</t>
  </si>
  <si>
    <t>OCTOBER  "2020"</t>
  </si>
  <si>
    <t>SEPTEMBER  "2020"</t>
  </si>
  <si>
    <t>AUGUST  "2020"</t>
  </si>
  <si>
    <t>JULY  "2020"</t>
  </si>
  <si>
    <t>JUNE  "2020"</t>
  </si>
  <si>
    <t>MAY  "2020"</t>
  </si>
  <si>
    <t>APRIL  "2020"</t>
  </si>
  <si>
    <t>MARCH  "2020"</t>
  </si>
  <si>
    <t>FEBRUARY  "2020"</t>
  </si>
  <si>
    <t>JANUARY  "2020"</t>
  </si>
  <si>
    <t>DECEMBER  "2019"</t>
  </si>
  <si>
    <t>NOVEMBER  "2019"</t>
  </si>
  <si>
    <t>DURING</t>
  </si>
  <si>
    <t>SEELEY</t>
  </si>
  <si>
    <t>PROV VALUES</t>
  </si>
  <si>
    <t>Appr-Prov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</si>
</sst>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0.0"/>
    <numFmt numFmtId="166" formatCode="##0.0"/>
    <numFmt numFmtId="167" formatCode="0.000"/>
    <numFmt numFmtId="168" formatCode="0.0000"/>
    <numFmt numFmtId="169" formatCode="#,##0.000"/>
    <numFmt numFmtId="170" formatCode="#,##0.0000"/>
    <numFmt numFmtId="171" formatCode="0.00_);\(0.00\)"/>
    <numFmt numFmtId="172" formatCode="0.00_);[Red]\(0.00\)"/>
    <numFmt numFmtId="173" formatCode="0.0_);\(0.0\)"/>
    <numFmt numFmtId="174" formatCode="0_);[Red]\(0\)"/>
    <numFmt numFmtId="175" formatCode="0_);\(0\)"/>
    <numFmt numFmtId="176" formatCode="#,##0.0_);\(#,##0.0\)"/>
  </numFmts>
  <fonts count="25">
    <font>
      <sz val="8"/>
      <name val="LinePrinter"/>
    </font>
    <font>
      <sz val="11"/>
      <color theme="1"/>
      <name val="Calibri"/>
      <family val="2"/>
      <scheme val="minor"/>
    </font>
    <font>
      <sz val="10"/>
      <name val="Helv"/>
    </font>
    <font>
      <sz val="8"/>
      <name val="LinePrinter"/>
    </font>
    <font>
      <sz val="6"/>
      <name val="Arial Narrow"/>
      <family val="2"/>
    </font>
    <font>
      <sz val="8"/>
      <color indexed="81"/>
      <name val="Tahoma"/>
      <family val="2"/>
    </font>
    <font>
      <b/>
      <sz val="8"/>
      <color indexed="81"/>
      <name val="Tahoma"/>
      <family val="2"/>
    </font>
    <font>
      <sz val="8"/>
      <name val="Arial Narrow"/>
      <family val="2"/>
    </font>
    <font>
      <b/>
      <sz val="8"/>
      <name val="Arial Narrow"/>
      <family val="2"/>
    </font>
    <font>
      <b/>
      <sz val="6"/>
      <name val="Arial Narrow"/>
      <family val="2"/>
    </font>
    <font>
      <b/>
      <i/>
      <sz val="12"/>
      <name val="Arial Narrow"/>
      <family val="2"/>
    </font>
    <font>
      <b/>
      <sz val="9"/>
      <name val="Arial Narrow"/>
      <family val="2"/>
    </font>
    <font>
      <sz val="6"/>
      <name val="LinePrinter"/>
    </font>
    <font>
      <sz val="9"/>
      <color indexed="81"/>
      <name val="Tahoma"/>
      <family val="2"/>
    </font>
    <font>
      <b/>
      <sz val="9"/>
      <color indexed="81"/>
      <name val="Tahoma"/>
      <family val="2"/>
    </font>
    <font>
      <sz val="10"/>
      <name val="Arial"/>
      <family val="2"/>
    </font>
    <font>
      <b/>
      <u/>
      <sz val="8"/>
      <name val="LinePrinter"/>
    </font>
    <font>
      <sz val="11"/>
      <color theme="1"/>
      <name val="Calibri"/>
      <family val="2"/>
      <scheme val="minor"/>
    </font>
    <font>
      <sz val="8"/>
      <color theme="1"/>
      <name val="Arial Narrow"/>
      <family val="2"/>
    </font>
    <font>
      <b/>
      <u/>
      <sz val="8"/>
      <color theme="1"/>
      <name val="LinePrinter"/>
    </font>
    <font>
      <u/>
      <sz val="6"/>
      <name val="Arial Narrow"/>
      <family val="2"/>
    </font>
    <font>
      <b/>
      <sz val="14"/>
      <name val="Arial Narrow"/>
      <family val="2"/>
    </font>
    <font>
      <i/>
      <sz val="6"/>
      <name val="LinePrinter"/>
    </font>
    <font>
      <b/>
      <sz val="8"/>
      <color rgb="FFFF0000"/>
      <name val="Arial Narrow"/>
      <family val="2"/>
    </font>
    <font>
      <b/>
      <sz val="8"/>
      <name val="LinePrinter"/>
    </font>
  </fonts>
  <fills count="8">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gray125">
        <bgColor theme="0" tint="-4.9989318521683403E-2"/>
      </patternFill>
    </fill>
    <fill>
      <patternFill patternType="solid">
        <fgColor rgb="FFFFFF00"/>
        <bgColor indexed="64"/>
      </patternFill>
    </fill>
    <fill>
      <patternFill patternType="solid">
        <fgColor rgb="FF00B050"/>
        <bgColor indexed="64"/>
      </patternFill>
    </fill>
    <fill>
      <patternFill patternType="solid">
        <fgColor rgb="FF92D050"/>
        <bgColor indexed="64"/>
      </patternFill>
    </fill>
  </fills>
  <borders count="36">
    <border>
      <left/>
      <right/>
      <top/>
      <bottom/>
      <diagonal/>
    </border>
    <border>
      <left/>
      <right/>
      <top style="thin">
        <color indexed="64"/>
      </top>
      <bottom/>
      <diagonal/>
    </border>
    <border>
      <left style="medium">
        <color indexed="64"/>
      </left>
      <right/>
      <top style="medium">
        <color indexed="64"/>
      </top>
      <bottom/>
      <diagonal/>
    </border>
    <border>
      <left/>
      <right/>
      <top style="thick">
        <color indexed="64"/>
      </top>
      <bottom/>
      <diagonal/>
    </border>
    <border>
      <left/>
      <right/>
      <top style="thin">
        <color indexed="64"/>
      </top>
      <bottom style="thin">
        <color indexed="64"/>
      </bottom>
      <diagonal/>
    </border>
    <border>
      <left/>
      <right style="medium">
        <color indexed="64"/>
      </right>
      <top/>
      <bottom/>
      <diagonal/>
    </border>
    <border>
      <left style="thick">
        <color indexed="64"/>
      </left>
      <right/>
      <top/>
      <bottom/>
      <diagonal/>
    </border>
    <border>
      <left/>
      <right style="thick">
        <color indexed="64"/>
      </right>
      <top/>
      <bottom/>
      <diagonal/>
    </border>
    <border>
      <left/>
      <right style="medium">
        <color indexed="64"/>
      </right>
      <top style="thin">
        <color indexed="64"/>
      </top>
      <bottom style="thin">
        <color indexed="64"/>
      </bottom>
      <diagonal/>
    </border>
    <border>
      <left style="thick">
        <color indexed="64"/>
      </left>
      <right/>
      <top style="thin">
        <color indexed="64"/>
      </top>
      <bottom style="thin">
        <color indexed="64"/>
      </bottom>
      <diagonal/>
    </border>
    <border>
      <left style="medium">
        <color indexed="64"/>
      </left>
      <right/>
      <top/>
      <bottom/>
      <diagonal/>
    </border>
    <border>
      <left/>
      <right style="thick">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right style="thick">
        <color indexed="64"/>
      </right>
      <top style="thick">
        <color indexed="64"/>
      </top>
      <bottom/>
      <diagonal/>
    </border>
    <border>
      <left style="thick">
        <color indexed="64"/>
      </left>
      <right/>
      <top style="thick">
        <color indexed="64"/>
      </top>
      <bottom/>
      <diagonal/>
    </border>
    <border>
      <left/>
      <right/>
      <top style="medium">
        <color indexed="64"/>
      </top>
      <bottom/>
      <diagonal/>
    </border>
    <border>
      <left/>
      <right/>
      <top style="hair">
        <color indexed="64"/>
      </top>
      <bottom style="hair">
        <color indexed="64"/>
      </bottom>
      <diagonal/>
    </border>
    <border>
      <left style="medium">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ck">
        <color indexed="64"/>
      </left>
      <right/>
      <top/>
      <bottom style="thin">
        <color indexed="64"/>
      </bottom>
      <diagonal/>
    </border>
    <border>
      <left/>
      <right style="thin">
        <color indexed="64"/>
      </right>
      <top style="thin">
        <color indexed="64"/>
      </top>
      <bottom style="thin">
        <color indexed="64"/>
      </bottom>
      <diagonal/>
    </border>
    <border>
      <left style="thick">
        <color indexed="64"/>
      </left>
      <right/>
      <top style="thin">
        <color indexed="64"/>
      </top>
      <bottom/>
      <diagonal/>
    </border>
    <border>
      <left/>
      <right/>
      <top/>
      <bottom style="thin">
        <color indexed="64"/>
      </bottom>
      <diagonal/>
    </border>
    <border>
      <left/>
      <right style="medium">
        <color indexed="64"/>
      </right>
      <top style="medium">
        <color indexed="64"/>
      </top>
      <bottom/>
      <diagonal/>
    </border>
    <border>
      <left/>
      <right/>
      <top/>
      <bottom style="thick">
        <color indexed="64"/>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right style="medium">
        <color indexed="64"/>
      </right>
      <top style="thick">
        <color indexed="64"/>
      </top>
      <bottom/>
      <diagonal/>
    </border>
    <border>
      <left/>
      <right style="hair">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s>
  <cellStyleXfs count="15">
    <xf numFmtId="0" fontId="0" fillId="0" borderId="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0" fontId="15" fillId="0" borderId="0"/>
    <xf numFmtId="0" fontId="3" fillId="0" borderId="0"/>
    <xf numFmtId="0" fontId="17" fillId="0" borderId="0"/>
    <xf numFmtId="0" fontId="3" fillId="0" borderId="0"/>
    <xf numFmtId="0" fontId="3" fillId="0" borderId="0" applyBorder="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5" fillId="0" borderId="0"/>
    <xf numFmtId="0" fontId="1" fillId="0" borderId="0"/>
    <xf numFmtId="0" fontId="15" fillId="0" borderId="0"/>
  </cellStyleXfs>
  <cellXfs count="851">
    <xf numFmtId="0" fontId="0" fillId="0" borderId="0" xfId="0"/>
    <xf numFmtId="3" fontId="0" fillId="0" borderId="0" xfId="0" applyNumberFormat="1"/>
    <xf numFmtId="0" fontId="3" fillId="0" borderId="0" xfId="8"/>
    <xf numFmtId="3" fontId="3" fillId="0" borderId="0" xfId="8" applyNumberFormat="1"/>
    <xf numFmtId="3" fontId="4" fillId="0" borderId="0" xfId="8" applyNumberFormat="1" applyFont="1" applyAlignment="1">
      <alignment horizontal="center"/>
    </xf>
    <xf numFmtId="3" fontId="4" fillId="0" borderId="0" xfId="0" applyNumberFormat="1" applyFont="1" applyAlignment="1">
      <alignment horizontal="right"/>
    </xf>
    <xf numFmtId="3" fontId="4" fillId="0" borderId="0" xfId="0" applyNumberFormat="1" applyFont="1"/>
    <xf numFmtId="165" fontId="4" fillId="0" borderId="0" xfId="8" applyNumberFormat="1" applyFont="1" applyAlignment="1">
      <alignment horizontal="center"/>
    </xf>
    <xf numFmtId="165" fontId="4" fillId="0" borderId="0" xfId="0" applyNumberFormat="1" applyFont="1" applyAlignment="1">
      <alignment horizontal="center"/>
    </xf>
    <xf numFmtId="3" fontId="4" fillId="0" borderId="1" xfId="0" applyNumberFormat="1" applyFont="1" applyBorder="1"/>
    <xf numFmtId="3" fontId="7" fillId="0" borderId="0" xfId="1" applyNumberFormat="1" applyFont="1"/>
    <xf numFmtId="2" fontId="4" fillId="0" borderId="0" xfId="8" applyNumberFormat="1" applyFont="1"/>
    <xf numFmtId="1" fontId="4" fillId="0" borderId="0" xfId="0" applyNumberFormat="1" applyFont="1" applyAlignment="1">
      <alignment horizontal="center"/>
    </xf>
    <xf numFmtId="3" fontId="4" fillId="0" borderId="0" xfId="0" applyNumberFormat="1" applyFont="1" applyAlignment="1">
      <alignment horizontal="center"/>
    </xf>
    <xf numFmtId="164" fontId="4" fillId="0" borderId="0" xfId="0" applyNumberFormat="1" applyFont="1" applyAlignment="1">
      <alignment horizontal="center"/>
    </xf>
    <xf numFmtId="1" fontId="4" fillId="0" borderId="0" xfId="8" applyNumberFormat="1" applyFont="1" applyAlignment="1">
      <alignment horizontal="center"/>
    </xf>
    <xf numFmtId="1" fontId="8" fillId="0" borderId="3" xfId="8" applyNumberFormat="1" applyFont="1" applyBorder="1" applyAlignment="1">
      <alignment horizontal="center"/>
    </xf>
    <xf numFmtId="165" fontId="9" fillId="0" borderId="2" xfId="8" applyNumberFormat="1" applyFont="1" applyBorder="1" applyAlignment="1">
      <alignment horizontal="centerContinuous"/>
    </xf>
    <xf numFmtId="1" fontId="8" fillId="0" borderId="3" xfId="0" applyNumberFormat="1" applyFont="1" applyBorder="1" applyAlignment="1">
      <alignment horizontal="center"/>
    </xf>
    <xf numFmtId="165" fontId="8" fillId="0" borderId="0" xfId="8" applyNumberFormat="1" applyFont="1" applyAlignment="1">
      <alignment horizontal="center"/>
    </xf>
    <xf numFmtId="167" fontId="8" fillId="0" borderId="3" xfId="8" applyNumberFormat="1" applyFont="1" applyBorder="1" applyAlignment="1">
      <alignment horizontal="center"/>
    </xf>
    <xf numFmtId="164" fontId="4" fillId="0" borderId="0" xfId="8" applyNumberFormat="1" applyFont="1" applyAlignment="1">
      <alignment horizontal="center"/>
    </xf>
    <xf numFmtId="167" fontId="8" fillId="0" borderId="3" xfId="0" applyNumberFormat="1" applyFont="1" applyBorder="1" applyAlignment="1">
      <alignment horizontal="center"/>
    </xf>
    <xf numFmtId="164" fontId="7" fillId="0" borderId="0" xfId="0" applyNumberFormat="1" applyFont="1"/>
    <xf numFmtId="3" fontId="8" fillId="0" borderId="0" xfId="8" applyNumberFormat="1" applyFont="1"/>
    <xf numFmtId="2" fontId="7" fillId="0" borderId="0" xfId="1" applyNumberFormat="1" applyFont="1"/>
    <xf numFmtId="3" fontId="7" fillId="0" borderId="0" xfId="8" applyNumberFormat="1" applyFont="1" applyAlignment="1">
      <alignment horizontal="center"/>
    </xf>
    <xf numFmtId="164" fontId="7" fillId="0" borderId="0" xfId="0" applyNumberFormat="1" applyFont="1" applyAlignment="1">
      <alignment horizontal="center"/>
    </xf>
    <xf numFmtId="164" fontId="7" fillId="0" borderId="0" xfId="8" applyNumberFormat="1" applyFont="1" applyAlignment="1">
      <alignment horizontal="center"/>
    </xf>
    <xf numFmtId="164" fontId="7" fillId="1" borderId="4" xfId="8" applyNumberFormat="1" applyFont="1" applyFill="1" applyBorder="1" applyAlignment="1">
      <alignment horizontal="center"/>
    </xf>
    <xf numFmtId="0" fontId="7" fillId="0" borderId="0" xfId="8" applyFont="1"/>
    <xf numFmtId="3" fontId="7" fillId="0" borderId="0" xfId="0" applyNumberFormat="1" applyFont="1"/>
    <xf numFmtId="2" fontId="4" fillId="0" borderId="5" xfId="8" applyNumberFormat="1" applyFont="1" applyBorder="1" applyAlignment="1">
      <alignment horizontal="center"/>
    </xf>
    <xf numFmtId="2" fontId="7" fillId="0" borderId="0" xfId="8" applyNumberFormat="1" applyFont="1" applyAlignment="1">
      <alignment horizontal="center"/>
    </xf>
    <xf numFmtId="2" fontId="7" fillId="1" borderId="4" xfId="8" applyNumberFormat="1" applyFont="1" applyFill="1" applyBorder="1" applyAlignment="1">
      <alignment horizontal="center"/>
    </xf>
    <xf numFmtId="0" fontId="4" fillId="0" borderId="0" xfId="0" applyFont="1" applyAlignment="1">
      <alignment horizontal="center"/>
    </xf>
    <xf numFmtId="2" fontId="4" fillId="0" borderId="0" xfId="0" applyNumberFormat="1" applyFont="1" applyAlignment="1">
      <alignment horizontal="center"/>
    </xf>
    <xf numFmtId="0" fontId="4" fillId="0" borderId="0" xfId="8" applyFont="1" applyAlignment="1">
      <alignment horizontal="center"/>
    </xf>
    <xf numFmtId="2" fontId="7" fillId="0" borderId="0" xfId="0" applyNumberFormat="1" applyFont="1"/>
    <xf numFmtId="2" fontId="7" fillId="0" borderId="0" xfId="8" applyNumberFormat="1" applyFont="1" applyAlignment="1">
      <alignment horizontal="right"/>
    </xf>
    <xf numFmtId="2" fontId="7" fillId="1" borderId="4" xfId="8" applyNumberFormat="1" applyFont="1" applyFill="1" applyBorder="1" applyAlignment="1">
      <alignment horizontal="right"/>
    </xf>
    <xf numFmtId="164" fontId="7" fillId="1" borderId="4" xfId="8" applyNumberFormat="1" applyFont="1" applyFill="1" applyBorder="1" applyAlignment="1">
      <alignment horizontal="right"/>
    </xf>
    <xf numFmtId="164" fontId="7" fillId="0" borderId="0" xfId="8" applyNumberFormat="1" applyFont="1" applyAlignment="1">
      <alignment horizontal="right"/>
    </xf>
    <xf numFmtId="1" fontId="7" fillId="0" borderId="0" xfId="0" applyNumberFormat="1" applyFont="1" applyAlignment="1">
      <alignment horizontal="right"/>
    </xf>
    <xf numFmtId="1" fontId="7" fillId="1" borderId="4" xfId="8" applyNumberFormat="1" applyFont="1" applyFill="1" applyBorder="1" applyAlignment="1">
      <alignment horizontal="right"/>
    </xf>
    <xf numFmtId="1" fontId="7" fillId="0" borderId="0" xfId="8" applyNumberFormat="1" applyFont="1" applyAlignment="1">
      <alignment horizontal="right"/>
    </xf>
    <xf numFmtId="164" fontId="7" fillId="0" borderId="0" xfId="8" applyNumberFormat="1" applyFont="1"/>
    <xf numFmtId="165" fontId="7" fillId="0" borderId="0" xfId="8" applyNumberFormat="1" applyFont="1" applyAlignment="1">
      <alignment horizontal="right"/>
    </xf>
    <xf numFmtId="1" fontId="7" fillId="0" borderId="0" xfId="8" applyNumberFormat="1" applyFont="1" applyAlignment="1">
      <alignment horizontal="center"/>
    </xf>
    <xf numFmtId="3" fontId="7" fillId="0" borderId="0" xfId="8" applyNumberFormat="1" applyFont="1"/>
    <xf numFmtId="1" fontId="7" fillId="1" borderId="4" xfId="8" applyNumberFormat="1" applyFont="1" applyFill="1" applyBorder="1" applyAlignment="1">
      <alignment horizontal="center"/>
    </xf>
    <xf numFmtId="3" fontId="7" fillId="1" borderId="4" xfId="8" applyNumberFormat="1" applyFont="1" applyFill="1" applyBorder="1"/>
    <xf numFmtId="2" fontId="7" fillId="0" borderId="0" xfId="8" applyNumberFormat="1" applyFont="1"/>
    <xf numFmtId="171" fontId="7" fillId="1" borderId="4" xfId="8" applyNumberFormat="1" applyFont="1" applyFill="1" applyBorder="1"/>
    <xf numFmtId="165" fontId="7" fillId="1" borderId="4" xfId="8" applyNumberFormat="1" applyFont="1" applyFill="1" applyBorder="1"/>
    <xf numFmtId="3" fontId="7" fillId="0" borderId="0" xfId="8" applyNumberFormat="1" applyFont="1" applyAlignment="1">
      <alignment horizontal="right"/>
    </xf>
    <xf numFmtId="0" fontId="7" fillId="0" borderId="0" xfId="8" applyFont="1" applyAlignment="1">
      <alignment horizontal="right"/>
    </xf>
    <xf numFmtId="3" fontId="7" fillId="1" borderId="4" xfId="8" applyNumberFormat="1" applyFont="1" applyFill="1" applyBorder="1" applyAlignment="1">
      <alignment horizontal="right"/>
    </xf>
    <xf numFmtId="171" fontId="7" fillId="1" borderId="4" xfId="8" applyNumberFormat="1" applyFont="1" applyFill="1" applyBorder="1" applyAlignment="1">
      <alignment horizontal="right"/>
    </xf>
    <xf numFmtId="165" fontId="7" fillId="1" borderId="4" xfId="8" applyNumberFormat="1" applyFont="1" applyFill="1" applyBorder="1" applyAlignment="1">
      <alignment horizontal="right"/>
    </xf>
    <xf numFmtId="0" fontId="7" fillId="0" borderId="0" xfId="0" applyFont="1"/>
    <xf numFmtId="165" fontId="7" fillId="0" borderId="0" xfId="0" applyNumberFormat="1" applyFont="1"/>
    <xf numFmtId="3" fontId="7" fillId="0" borderId="0" xfId="0" applyNumberFormat="1" applyFont="1" applyAlignment="1">
      <alignment horizontal="right"/>
    </xf>
    <xf numFmtId="3" fontId="7" fillId="0" borderId="5" xfId="0" applyNumberFormat="1" applyFont="1" applyBorder="1" applyAlignment="1">
      <alignment horizontal="right"/>
    </xf>
    <xf numFmtId="171" fontId="7" fillId="0" borderId="6" xfId="0" applyNumberFormat="1" applyFont="1" applyBorder="1" applyAlignment="1">
      <alignment horizontal="right"/>
    </xf>
    <xf numFmtId="2" fontId="7" fillId="0" borderId="0" xfId="0" applyNumberFormat="1" applyFont="1" applyAlignment="1">
      <alignment horizontal="right"/>
    </xf>
    <xf numFmtId="0" fontId="7" fillId="0" borderId="0" xfId="0" applyFont="1" applyAlignment="1">
      <alignment horizontal="right"/>
    </xf>
    <xf numFmtId="165" fontId="7" fillId="1" borderId="4" xfId="0" applyNumberFormat="1" applyFont="1" applyFill="1" applyBorder="1" applyAlignment="1">
      <alignment horizontal="right"/>
    </xf>
    <xf numFmtId="165" fontId="7" fillId="1" borderId="8" xfId="0" applyNumberFormat="1" applyFont="1" applyFill="1" applyBorder="1" applyAlignment="1">
      <alignment horizontal="right"/>
    </xf>
    <xf numFmtId="3" fontId="7" fillId="1" borderId="4" xfId="0" applyNumberFormat="1" applyFont="1" applyFill="1" applyBorder="1" applyAlignment="1">
      <alignment horizontal="right"/>
    </xf>
    <xf numFmtId="171" fontId="7" fillId="1" borderId="9" xfId="0" applyNumberFormat="1" applyFont="1" applyFill="1" applyBorder="1" applyAlignment="1">
      <alignment horizontal="right"/>
    </xf>
    <xf numFmtId="1" fontId="7" fillId="1" borderId="4" xfId="0" applyNumberFormat="1" applyFont="1" applyFill="1" applyBorder="1" applyAlignment="1">
      <alignment horizontal="right"/>
    </xf>
    <xf numFmtId="2" fontId="7" fillId="1" borderId="4" xfId="0" applyNumberFormat="1" applyFont="1" applyFill="1" applyBorder="1" applyAlignment="1">
      <alignment horizontal="right"/>
    </xf>
    <xf numFmtId="4" fontId="7" fillId="0" borderId="0" xfId="0" applyNumberFormat="1" applyFont="1" applyAlignment="1">
      <alignment horizontal="right"/>
    </xf>
    <xf numFmtId="165" fontId="7" fillId="0" borderId="0" xfId="0" applyNumberFormat="1" applyFont="1" applyAlignment="1">
      <alignment horizontal="right"/>
    </xf>
    <xf numFmtId="3" fontId="7" fillId="1" borderId="8" xfId="0" applyNumberFormat="1" applyFont="1" applyFill="1" applyBorder="1" applyAlignment="1">
      <alignment horizontal="right"/>
    </xf>
    <xf numFmtId="165" fontId="7" fillId="0" borderId="6" xfId="8" applyNumberFormat="1" applyFont="1" applyBorder="1"/>
    <xf numFmtId="3" fontId="7" fillId="0" borderId="7" xfId="8" applyNumberFormat="1" applyFont="1" applyBorder="1"/>
    <xf numFmtId="1" fontId="7" fillId="0" borderId="0" xfId="8" applyNumberFormat="1" applyFont="1"/>
    <xf numFmtId="3" fontId="7" fillId="0" borderId="10" xfId="8" applyNumberFormat="1" applyFont="1" applyBorder="1"/>
    <xf numFmtId="171" fontId="7" fillId="0" borderId="6" xfId="8" applyNumberFormat="1" applyFont="1" applyBorder="1"/>
    <xf numFmtId="0" fontId="7" fillId="0" borderId="0" xfId="8" applyFont="1" applyAlignment="1">
      <alignment horizontal="center"/>
    </xf>
    <xf numFmtId="4" fontId="7" fillId="0" borderId="6" xfId="8" applyNumberFormat="1" applyFont="1" applyBorder="1"/>
    <xf numFmtId="4" fontId="7" fillId="1" borderId="9" xfId="8" applyNumberFormat="1" applyFont="1" applyFill="1" applyBorder="1"/>
    <xf numFmtId="165" fontId="7" fillId="1" borderId="11" xfId="8" applyNumberFormat="1" applyFont="1" applyFill="1" applyBorder="1"/>
    <xf numFmtId="166" fontId="7" fillId="1" borderId="4" xfId="8" applyNumberFormat="1" applyFont="1" applyFill="1" applyBorder="1"/>
    <xf numFmtId="165" fontId="7" fillId="1" borderId="12" xfId="8" applyNumberFormat="1" applyFont="1" applyFill="1" applyBorder="1"/>
    <xf numFmtId="171" fontId="7" fillId="1" borderId="9" xfId="8" applyNumberFormat="1" applyFont="1" applyFill="1" applyBorder="1"/>
    <xf numFmtId="1" fontId="7" fillId="1" borderId="4" xfId="8" applyNumberFormat="1" applyFont="1" applyFill="1" applyBorder="1"/>
    <xf numFmtId="165" fontId="7" fillId="0" borderId="7" xfId="8" applyNumberFormat="1" applyFont="1" applyBorder="1"/>
    <xf numFmtId="165" fontId="7" fillId="0" borderId="0" xfId="8" applyNumberFormat="1" applyFont="1"/>
    <xf numFmtId="166" fontId="7" fillId="0" borderId="0" xfId="8" applyNumberFormat="1" applyFont="1"/>
    <xf numFmtId="165" fontId="7" fillId="0" borderId="10" xfId="8" applyNumberFormat="1" applyFont="1" applyBorder="1"/>
    <xf numFmtId="165" fontId="7" fillId="1" borderId="9" xfId="8" applyNumberFormat="1" applyFont="1" applyFill="1" applyBorder="1"/>
    <xf numFmtId="3" fontId="7" fillId="1" borderId="11" xfId="8" applyNumberFormat="1" applyFont="1" applyFill="1" applyBorder="1"/>
    <xf numFmtId="3" fontId="7" fillId="1" borderId="12" xfId="8" applyNumberFormat="1" applyFont="1" applyFill="1" applyBorder="1"/>
    <xf numFmtId="3" fontId="7" fillId="1" borderId="9" xfId="8" applyNumberFormat="1" applyFont="1" applyFill="1" applyBorder="1"/>
    <xf numFmtId="3" fontId="7" fillId="1" borderId="4" xfId="8" applyNumberFormat="1" applyFont="1" applyFill="1" applyBorder="1" applyAlignment="1">
      <alignment horizontal="center"/>
    </xf>
    <xf numFmtId="165" fontId="7" fillId="0" borderId="6" xfId="8" applyNumberFormat="1" applyFont="1" applyBorder="1" applyAlignment="1">
      <alignment horizontal="right"/>
    </xf>
    <xf numFmtId="3" fontId="7" fillId="0" borderId="7" xfId="8" applyNumberFormat="1" applyFont="1" applyBorder="1" applyAlignment="1">
      <alignment horizontal="right"/>
    </xf>
    <xf numFmtId="3" fontId="7" fillId="0" borderId="10" xfId="8" applyNumberFormat="1" applyFont="1" applyBorder="1" applyAlignment="1">
      <alignment horizontal="right"/>
    </xf>
    <xf numFmtId="3" fontId="7" fillId="0" borderId="5" xfId="8" applyNumberFormat="1" applyFont="1" applyBorder="1" applyAlignment="1">
      <alignment horizontal="right"/>
    </xf>
    <xf numFmtId="171" fontId="7" fillId="0" borderId="6" xfId="8" applyNumberFormat="1" applyFont="1" applyBorder="1" applyAlignment="1">
      <alignment horizontal="right"/>
    </xf>
    <xf numFmtId="1" fontId="7" fillId="0" borderId="7" xfId="8" applyNumberFormat="1" applyFont="1" applyBorder="1" applyAlignment="1">
      <alignment horizontal="right"/>
    </xf>
    <xf numFmtId="4" fontId="7" fillId="0" borderId="6" xfId="8" applyNumberFormat="1" applyFont="1" applyBorder="1" applyAlignment="1">
      <alignment horizontal="right"/>
    </xf>
    <xf numFmtId="4" fontId="7" fillId="1" borderId="9" xfId="8" applyNumberFormat="1" applyFont="1" applyFill="1" applyBorder="1" applyAlignment="1">
      <alignment horizontal="right"/>
    </xf>
    <xf numFmtId="165" fontId="7" fillId="1" borderId="11" xfId="8" applyNumberFormat="1" applyFont="1" applyFill="1" applyBorder="1" applyAlignment="1">
      <alignment horizontal="right"/>
    </xf>
    <xf numFmtId="166" fontId="7" fillId="1" borderId="4" xfId="8" applyNumberFormat="1" applyFont="1" applyFill="1" applyBorder="1" applyAlignment="1">
      <alignment horizontal="right"/>
    </xf>
    <xf numFmtId="165" fontId="7" fillId="1" borderId="12" xfId="8" applyNumberFormat="1" applyFont="1" applyFill="1" applyBorder="1" applyAlignment="1">
      <alignment horizontal="right"/>
    </xf>
    <xf numFmtId="165" fontId="7" fillId="1" borderId="8" xfId="8" applyNumberFormat="1" applyFont="1" applyFill="1" applyBorder="1" applyAlignment="1">
      <alignment horizontal="right"/>
    </xf>
    <xf numFmtId="171" fontId="7" fillId="1" borderId="9" xfId="8" applyNumberFormat="1" applyFont="1" applyFill="1" applyBorder="1" applyAlignment="1">
      <alignment horizontal="right"/>
    </xf>
    <xf numFmtId="1" fontId="7" fillId="1" borderId="11" xfId="8" applyNumberFormat="1" applyFont="1" applyFill="1" applyBorder="1" applyAlignment="1">
      <alignment horizontal="right"/>
    </xf>
    <xf numFmtId="165" fontId="7" fillId="0" borderId="7" xfId="8" applyNumberFormat="1" applyFont="1" applyBorder="1" applyAlignment="1">
      <alignment horizontal="right"/>
    </xf>
    <xf numFmtId="166" fontId="7" fillId="0" borderId="0" xfId="8" applyNumberFormat="1" applyFont="1" applyAlignment="1">
      <alignment horizontal="right"/>
    </xf>
    <xf numFmtId="165" fontId="7" fillId="0" borderId="10" xfId="8" applyNumberFormat="1" applyFont="1" applyBorder="1" applyAlignment="1">
      <alignment horizontal="right"/>
    </xf>
    <xf numFmtId="0" fontId="7" fillId="0" borderId="7" xfId="8" applyFont="1" applyBorder="1" applyAlignment="1">
      <alignment horizontal="right"/>
    </xf>
    <xf numFmtId="165" fontId="7" fillId="1" borderId="9" xfId="8" applyNumberFormat="1" applyFont="1" applyFill="1" applyBorder="1" applyAlignment="1">
      <alignment horizontal="right"/>
    </xf>
    <xf numFmtId="3" fontId="7" fillId="1" borderId="11" xfId="8" applyNumberFormat="1" applyFont="1" applyFill="1" applyBorder="1" applyAlignment="1">
      <alignment horizontal="right"/>
    </xf>
    <xf numFmtId="3" fontId="7" fillId="1" borderId="12" xfId="8" applyNumberFormat="1" applyFont="1" applyFill="1" applyBorder="1" applyAlignment="1">
      <alignment horizontal="right"/>
    </xf>
    <xf numFmtId="3" fontId="7" fillId="1" borderId="8" xfId="8" applyNumberFormat="1" applyFont="1" applyFill="1" applyBorder="1" applyAlignment="1">
      <alignment horizontal="right"/>
    </xf>
    <xf numFmtId="3" fontId="7" fillId="1" borderId="9" xfId="8" applyNumberFormat="1" applyFont="1" applyFill="1" applyBorder="1" applyAlignment="1">
      <alignment horizontal="right"/>
    </xf>
    <xf numFmtId="3" fontId="7" fillId="0" borderId="13" xfId="8" applyNumberFormat="1" applyFont="1" applyBorder="1" applyAlignment="1">
      <alignment horizontal="right"/>
    </xf>
    <xf numFmtId="173" fontId="7" fillId="0" borderId="0" xfId="8" applyNumberFormat="1" applyFont="1"/>
    <xf numFmtId="2" fontId="7" fillId="0" borderId="5" xfId="8" applyNumberFormat="1" applyFont="1" applyBorder="1"/>
    <xf numFmtId="2" fontId="7" fillId="1" borderId="8" xfId="8" applyNumberFormat="1" applyFont="1" applyFill="1" applyBorder="1"/>
    <xf numFmtId="173" fontId="7" fillId="0" borderId="0" xfId="8" applyNumberFormat="1" applyFont="1" applyAlignment="1">
      <alignment horizontal="right"/>
    </xf>
    <xf numFmtId="2" fontId="7" fillId="0" borderId="5" xfId="8" applyNumberFormat="1" applyFont="1" applyBorder="1" applyAlignment="1">
      <alignment horizontal="right"/>
    </xf>
    <xf numFmtId="0" fontId="4" fillId="0" borderId="0" xfId="8" applyFont="1" applyAlignment="1">
      <alignment horizontal="right"/>
    </xf>
    <xf numFmtId="3" fontId="4" fillId="0" borderId="0" xfId="8" applyNumberFormat="1" applyFont="1" applyAlignment="1">
      <alignment horizontal="right"/>
    </xf>
    <xf numFmtId="173" fontId="7" fillId="1" borderId="4" xfId="8" applyNumberFormat="1" applyFont="1" applyFill="1" applyBorder="1" applyAlignment="1">
      <alignment horizontal="right"/>
    </xf>
    <xf numFmtId="2" fontId="7" fillId="1" borderId="8" xfId="8" applyNumberFormat="1" applyFont="1" applyFill="1" applyBorder="1" applyAlignment="1">
      <alignment horizontal="right"/>
    </xf>
    <xf numFmtId="2" fontId="7" fillId="0" borderId="5" xfId="0" applyNumberFormat="1" applyFont="1" applyBorder="1" applyAlignment="1">
      <alignment horizontal="right"/>
    </xf>
    <xf numFmtId="1" fontId="7" fillId="1" borderId="8" xfId="8" applyNumberFormat="1" applyFont="1" applyFill="1" applyBorder="1" applyAlignment="1">
      <alignment horizontal="right"/>
    </xf>
    <xf numFmtId="175" fontId="7" fillId="0" borderId="0" xfId="8" applyNumberFormat="1" applyFont="1" applyAlignment="1">
      <alignment horizontal="right"/>
    </xf>
    <xf numFmtId="1" fontId="7" fillId="0" borderId="6" xfId="8" applyNumberFormat="1" applyFont="1" applyBorder="1" applyAlignment="1">
      <alignment horizontal="right"/>
    </xf>
    <xf numFmtId="1" fontId="7" fillId="0" borderId="10" xfId="8" applyNumberFormat="1" applyFont="1" applyBorder="1" applyAlignment="1">
      <alignment horizontal="right"/>
    </xf>
    <xf numFmtId="1" fontId="4" fillId="0" borderId="0" xfId="8" applyNumberFormat="1" applyFont="1" applyAlignment="1">
      <alignment horizontal="right"/>
    </xf>
    <xf numFmtId="1" fontId="7" fillId="1" borderId="9" xfId="8" applyNumberFormat="1" applyFont="1" applyFill="1" applyBorder="1" applyAlignment="1">
      <alignment horizontal="right"/>
    </xf>
    <xf numFmtId="1" fontId="7" fillId="1" borderId="12" xfId="8" applyNumberFormat="1" applyFont="1" applyFill="1" applyBorder="1" applyAlignment="1">
      <alignment horizontal="right"/>
    </xf>
    <xf numFmtId="171" fontId="4" fillId="0" borderId="6" xfId="8" applyNumberFormat="1" applyFont="1" applyBorder="1" applyAlignment="1">
      <alignment horizontal="center"/>
    </xf>
    <xf numFmtId="171" fontId="4" fillId="0" borderId="6" xfId="8" applyNumberFormat="1" applyFont="1" applyBorder="1"/>
    <xf numFmtId="165" fontId="4" fillId="0" borderId="0" xfId="8" applyNumberFormat="1" applyFont="1"/>
    <xf numFmtId="171" fontId="7" fillId="0" borderId="0" xfId="8" applyNumberFormat="1" applyFont="1"/>
    <xf numFmtId="171" fontId="7" fillId="0" borderId="0" xfId="8" applyNumberFormat="1" applyFont="1" applyAlignment="1">
      <alignment horizontal="right"/>
    </xf>
    <xf numFmtId="4" fontId="7" fillId="0" borderId="0" xfId="8" applyNumberFormat="1" applyFont="1" applyAlignment="1">
      <alignment horizontal="right"/>
    </xf>
    <xf numFmtId="175" fontId="7" fillId="1" borderId="4" xfId="8" applyNumberFormat="1" applyFont="1" applyFill="1" applyBorder="1" applyAlignment="1">
      <alignment horizontal="right"/>
    </xf>
    <xf numFmtId="3" fontId="8" fillId="0" borderId="3" xfId="0" applyNumberFormat="1" applyFont="1" applyBorder="1" applyAlignment="1">
      <alignment horizontal="right"/>
    </xf>
    <xf numFmtId="165" fontId="7" fillId="0" borderId="14" xfId="0" applyNumberFormat="1" applyFont="1" applyBorder="1"/>
    <xf numFmtId="165" fontId="7" fillId="0" borderId="15" xfId="0" applyNumberFormat="1" applyFont="1" applyBorder="1"/>
    <xf numFmtId="3" fontId="7" fillId="0" borderId="3" xfId="0" applyNumberFormat="1" applyFont="1" applyBorder="1"/>
    <xf numFmtId="165" fontId="7" fillId="0" borderId="3" xfId="0" applyNumberFormat="1" applyFont="1" applyBorder="1"/>
    <xf numFmtId="1" fontId="7" fillId="0" borderId="3" xfId="0" applyNumberFormat="1" applyFont="1" applyBorder="1"/>
    <xf numFmtId="164" fontId="7" fillId="0" borderId="3" xfId="0" applyNumberFormat="1" applyFont="1" applyBorder="1"/>
    <xf numFmtId="2" fontId="7" fillId="0" borderId="3" xfId="0" applyNumberFormat="1" applyFont="1" applyBorder="1"/>
    <xf numFmtId="171" fontId="7" fillId="0" borderId="15" xfId="0" applyNumberFormat="1" applyFont="1" applyBorder="1"/>
    <xf numFmtId="1" fontId="7" fillId="0" borderId="14" xfId="0" applyNumberFormat="1" applyFont="1" applyBorder="1" applyAlignment="1">
      <alignment horizontal="center"/>
    </xf>
    <xf numFmtId="1" fontId="7" fillId="0" borderId="3" xfId="0" applyNumberFormat="1" applyFont="1" applyBorder="1" applyAlignment="1">
      <alignment horizontal="center"/>
    </xf>
    <xf numFmtId="2" fontId="7" fillId="0" borderId="3" xfId="0" applyNumberFormat="1" applyFont="1" applyBorder="1" applyAlignment="1">
      <alignment horizontal="center"/>
    </xf>
    <xf numFmtId="0" fontId="7" fillId="0" borderId="3" xfId="0" applyFont="1" applyBorder="1"/>
    <xf numFmtId="165" fontId="7" fillId="0" borderId="15" xfId="8" applyNumberFormat="1" applyFont="1" applyBorder="1"/>
    <xf numFmtId="3" fontId="7" fillId="0" borderId="3" xfId="8" applyNumberFormat="1" applyFont="1" applyBorder="1"/>
    <xf numFmtId="165" fontId="7" fillId="0" borderId="14" xfId="8" applyNumberFormat="1" applyFont="1" applyBorder="1"/>
    <xf numFmtId="171" fontId="7" fillId="0" borderId="15" xfId="8" applyNumberFormat="1" applyFont="1" applyBorder="1"/>
    <xf numFmtId="0" fontId="7" fillId="0" borderId="3" xfId="8" applyFont="1" applyBorder="1"/>
    <xf numFmtId="166" fontId="7" fillId="0" borderId="0" xfId="0" applyNumberFormat="1" applyFont="1"/>
    <xf numFmtId="165" fontId="4" fillId="0" borderId="6" xfId="0" applyNumberFormat="1" applyFont="1" applyBorder="1" applyAlignment="1">
      <alignment horizontal="center"/>
    </xf>
    <xf numFmtId="165" fontId="4" fillId="0" borderId="7" xfId="0" applyNumberFormat="1" applyFont="1" applyBorder="1" applyAlignment="1">
      <alignment horizontal="center"/>
    </xf>
    <xf numFmtId="165" fontId="4" fillId="0" borderId="16" xfId="0" applyNumberFormat="1" applyFont="1" applyBorder="1" applyAlignment="1">
      <alignment horizontal="centerContinuous"/>
    </xf>
    <xf numFmtId="171" fontId="4" fillId="0" borderId="6" xfId="0" applyNumberFormat="1" applyFont="1" applyBorder="1" applyAlignment="1">
      <alignment horizontal="center"/>
    </xf>
    <xf numFmtId="1" fontId="4" fillId="0" borderId="7" xfId="0" applyNumberFormat="1" applyFont="1" applyBorder="1" applyAlignment="1">
      <alignment horizontal="center"/>
    </xf>
    <xf numFmtId="165" fontId="9" fillId="0" borderId="0" xfId="0" applyNumberFormat="1" applyFont="1" applyAlignment="1">
      <alignment horizontal="center"/>
    </xf>
    <xf numFmtId="165" fontId="4" fillId="0" borderId="10" xfId="0" applyNumberFormat="1" applyFont="1" applyBorder="1" applyAlignment="1">
      <alignment horizontal="center"/>
    </xf>
    <xf numFmtId="171" fontId="4" fillId="0" borderId="6" xfId="0" applyNumberFormat="1" applyFont="1" applyBorder="1"/>
    <xf numFmtId="0" fontId="4" fillId="0" borderId="0" xfId="0" applyFont="1"/>
    <xf numFmtId="165" fontId="4" fillId="0" borderId="0" xfId="0" applyNumberFormat="1" applyFont="1"/>
    <xf numFmtId="3" fontId="4" fillId="0" borderId="0" xfId="8" applyNumberFormat="1" applyFont="1"/>
    <xf numFmtId="165" fontId="4" fillId="1" borderId="4" xfId="8" applyNumberFormat="1" applyFont="1" applyFill="1" applyBorder="1"/>
    <xf numFmtId="165" fontId="7" fillId="0" borderId="6" xfId="0" applyNumberFormat="1" applyFont="1" applyBorder="1" applyAlignment="1">
      <alignment horizontal="right"/>
    </xf>
    <xf numFmtId="3" fontId="7" fillId="0" borderId="7" xfId="0" applyNumberFormat="1" applyFont="1" applyBorder="1" applyAlignment="1">
      <alignment horizontal="right"/>
    </xf>
    <xf numFmtId="3" fontId="7" fillId="0" borderId="10" xfId="0" applyNumberFormat="1" applyFont="1" applyBorder="1" applyAlignment="1">
      <alignment horizontal="right"/>
    </xf>
    <xf numFmtId="164" fontId="7" fillId="0" borderId="0" xfId="0" applyNumberFormat="1" applyFont="1" applyAlignment="1">
      <alignment horizontal="right"/>
    </xf>
    <xf numFmtId="4" fontId="7" fillId="0" borderId="6" xfId="0" applyNumberFormat="1" applyFont="1" applyBorder="1" applyAlignment="1">
      <alignment horizontal="right"/>
    </xf>
    <xf numFmtId="4" fontId="7" fillId="1" borderId="9" xfId="0" applyNumberFormat="1" applyFont="1" applyFill="1" applyBorder="1" applyAlignment="1">
      <alignment horizontal="right"/>
    </xf>
    <xf numFmtId="165" fontId="7" fillId="1" borderId="11" xfId="0" applyNumberFormat="1" applyFont="1" applyFill="1" applyBorder="1" applyAlignment="1">
      <alignment horizontal="right"/>
    </xf>
    <xf numFmtId="165" fontId="7" fillId="1" borderId="12" xfId="0" applyNumberFormat="1" applyFont="1" applyFill="1" applyBorder="1" applyAlignment="1">
      <alignment horizontal="right"/>
    </xf>
    <xf numFmtId="164" fontId="7" fillId="1" borderId="4" xfId="0" applyNumberFormat="1" applyFont="1" applyFill="1" applyBorder="1" applyAlignment="1">
      <alignment horizontal="right"/>
    </xf>
    <xf numFmtId="165" fontId="7" fillId="0" borderId="7" xfId="0" applyNumberFormat="1" applyFont="1" applyBorder="1" applyAlignment="1">
      <alignment horizontal="right"/>
    </xf>
    <xf numFmtId="165" fontId="7" fillId="0" borderId="0" xfId="1" applyNumberFormat="1" applyFont="1" applyAlignment="1">
      <alignment horizontal="right"/>
    </xf>
    <xf numFmtId="165" fontId="7" fillId="0" borderId="10" xfId="0" applyNumberFormat="1" applyFont="1" applyBorder="1" applyAlignment="1">
      <alignment horizontal="right"/>
    </xf>
    <xf numFmtId="165" fontId="7" fillId="1" borderId="9" xfId="0" applyNumberFormat="1" applyFont="1" applyFill="1" applyBorder="1" applyAlignment="1">
      <alignment horizontal="right"/>
    </xf>
    <xf numFmtId="3" fontId="7" fillId="1" borderId="11" xfId="0" applyNumberFormat="1" applyFont="1" applyFill="1" applyBorder="1" applyAlignment="1">
      <alignment horizontal="right"/>
    </xf>
    <xf numFmtId="3" fontId="7" fillId="1" borderId="12" xfId="0" applyNumberFormat="1" applyFont="1" applyFill="1" applyBorder="1" applyAlignment="1">
      <alignment horizontal="right"/>
    </xf>
    <xf numFmtId="3" fontId="7" fillId="1" borderId="9" xfId="0" applyNumberFormat="1" applyFont="1" applyFill="1" applyBorder="1" applyAlignment="1">
      <alignment horizontal="right"/>
    </xf>
    <xf numFmtId="171" fontId="7" fillId="1" borderId="4" xfId="0" applyNumberFormat="1" applyFont="1" applyFill="1" applyBorder="1" applyAlignment="1">
      <alignment horizontal="right"/>
    </xf>
    <xf numFmtId="165" fontId="4" fillId="0" borderId="6" xfId="8" applyNumberFormat="1" applyFont="1" applyBorder="1" applyAlignment="1">
      <alignment horizontal="center"/>
    </xf>
    <xf numFmtId="165" fontId="4" fillId="0" borderId="16" xfId="8" applyNumberFormat="1" applyFont="1" applyBorder="1" applyAlignment="1">
      <alignment horizontal="centerContinuous"/>
    </xf>
    <xf numFmtId="165" fontId="9" fillId="0" borderId="0" xfId="8" applyNumberFormat="1" applyFont="1" applyAlignment="1">
      <alignment horizontal="center"/>
    </xf>
    <xf numFmtId="165" fontId="4" fillId="0" borderId="10" xfId="8" applyNumberFormat="1" applyFont="1" applyBorder="1" applyAlignment="1">
      <alignment horizontal="center"/>
    </xf>
    <xf numFmtId="2" fontId="7" fillId="1" borderId="4" xfId="8" applyNumberFormat="1" applyFont="1" applyFill="1" applyBorder="1"/>
    <xf numFmtId="2" fontId="7" fillId="0" borderId="17" xfId="8" applyNumberFormat="1" applyFont="1" applyBorder="1" applyAlignment="1">
      <alignment horizontal="right"/>
    </xf>
    <xf numFmtId="0" fontId="4" fillId="0" borderId="0" xfId="8" applyFont="1"/>
    <xf numFmtId="1" fontId="4" fillId="0" borderId="0" xfId="0" applyNumberFormat="1" applyFont="1"/>
    <xf numFmtId="2" fontId="7" fillId="0" borderId="6" xfId="8" applyNumberFormat="1" applyFont="1" applyBorder="1" applyAlignment="1">
      <alignment horizontal="right"/>
    </xf>
    <xf numFmtId="164" fontId="7" fillId="0" borderId="6" xfId="8" applyNumberFormat="1" applyFont="1" applyBorder="1" applyAlignment="1">
      <alignment horizontal="right"/>
    </xf>
    <xf numFmtId="2" fontId="7" fillId="1" borderId="9" xfId="8" applyNumberFormat="1" applyFont="1" applyFill="1" applyBorder="1" applyAlignment="1">
      <alignment horizontal="right"/>
    </xf>
    <xf numFmtId="2" fontId="8" fillId="0" borderId="0" xfId="8" applyNumberFormat="1" applyFont="1" applyAlignment="1">
      <alignment horizontal="center"/>
    </xf>
    <xf numFmtId="174" fontId="7" fillId="0" borderId="0" xfId="8" applyNumberFormat="1" applyFont="1" applyAlignment="1">
      <alignment horizontal="right"/>
    </xf>
    <xf numFmtId="172" fontId="7" fillId="1" borderId="4" xfId="8" applyNumberFormat="1" applyFont="1" applyFill="1" applyBorder="1" applyAlignment="1">
      <alignment horizontal="right"/>
    </xf>
    <xf numFmtId="172" fontId="7" fillId="0" borderId="0" xfId="8" applyNumberFormat="1" applyFont="1" applyAlignment="1">
      <alignment horizontal="right"/>
    </xf>
    <xf numFmtId="1" fontId="8" fillId="0" borderId="0" xfId="8" applyNumberFormat="1" applyFont="1" applyAlignment="1">
      <alignment horizontal="center"/>
    </xf>
    <xf numFmtId="165" fontId="7" fillId="0" borderId="5" xfId="0" applyNumberFormat="1" applyFont="1" applyBorder="1" applyAlignment="1">
      <alignment horizontal="right"/>
    </xf>
    <xf numFmtId="3" fontId="7" fillId="0" borderId="18" xfId="8" applyNumberFormat="1" applyFont="1" applyBorder="1" applyAlignment="1">
      <alignment horizontal="right"/>
    </xf>
    <xf numFmtId="165" fontId="7" fillId="0" borderId="5" xfId="8" applyNumberFormat="1" applyFont="1" applyBorder="1" applyAlignment="1">
      <alignment horizontal="right"/>
    </xf>
    <xf numFmtId="165" fontId="9" fillId="0" borderId="19" xfId="0" applyNumberFormat="1" applyFont="1" applyBorder="1" applyAlignment="1">
      <alignment horizontal="right"/>
    </xf>
    <xf numFmtId="165" fontId="9" fillId="0" borderId="19" xfId="8" applyNumberFormat="1" applyFont="1" applyBorder="1" applyAlignment="1">
      <alignment horizontal="right"/>
    </xf>
    <xf numFmtId="165" fontId="9" fillId="0" borderId="19" xfId="0" applyNumberFormat="1" applyFont="1" applyBorder="1" applyAlignment="1">
      <alignment horizontal="left"/>
    </xf>
    <xf numFmtId="165" fontId="9" fillId="0" borderId="19" xfId="8" applyNumberFormat="1" applyFont="1" applyBorder="1" applyAlignment="1">
      <alignment horizontal="left"/>
    </xf>
    <xf numFmtId="1" fontId="7" fillId="0" borderId="20" xfId="8" applyNumberFormat="1" applyFont="1" applyBorder="1" applyAlignment="1">
      <alignment horizontal="right"/>
    </xf>
    <xf numFmtId="1" fontId="7" fillId="0" borderId="5" xfId="0" applyNumberFormat="1" applyFont="1" applyBorder="1" applyAlignment="1">
      <alignment horizontal="right"/>
    </xf>
    <xf numFmtId="4" fontId="4" fillId="0" borderId="0" xfId="8" applyNumberFormat="1" applyFont="1" applyAlignment="1">
      <alignment horizontal="center"/>
    </xf>
    <xf numFmtId="2" fontId="4" fillId="0" borderId="0" xfId="8" applyNumberFormat="1" applyFont="1" applyAlignment="1">
      <alignment horizontal="center"/>
    </xf>
    <xf numFmtId="165" fontId="7" fillId="1" borderId="4" xfId="8" applyNumberFormat="1" applyFont="1" applyFill="1" applyBorder="1" applyAlignment="1">
      <alignment horizontal="center"/>
    </xf>
    <xf numFmtId="164" fontId="7" fillId="0" borderId="3" xfId="8" applyNumberFormat="1" applyFont="1" applyBorder="1" applyAlignment="1">
      <alignment horizontal="center"/>
    </xf>
    <xf numFmtId="3" fontId="7" fillId="0" borderId="20" xfId="8" applyNumberFormat="1" applyFont="1" applyBorder="1" applyAlignment="1">
      <alignment horizontal="right"/>
    </xf>
    <xf numFmtId="3" fontId="7" fillId="0" borderId="21" xfId="8" applyNumberFormat="1" applyFont="1" applyBorder="1" applyAlignment="1">
      <alignment horizontal="right"/>
    </xf>
    <xf numFmtId="3" fontId="7" fillId="0" borderId="5" xfId="8" applyNumberFormat="1" applyFont="1" applyBorder="1"/>
    <xf numFmtId="3" fontId="7" fillId="1" borderId="8" xfId="8" applyNumberFormat="1" applyFont="1" applyFill="1" applyBorder="1"/>
    <xf numFmtId="2" fontId="7" fillId="0" borderId="0" xfId="0" applyNumberFormat="1" applyFont="1" applyAlignment="1">
      <alignment horizontal="center"/>
    </xf>
    <xf numFmtId="165" fontId="7" fillId="0" borderId="3" xfId="8" applyNumberFormat="1" applyFont="1" applyBorder="1"/>
    <xf numFmtId="164" fontId="7" fillId="0" borderId="3" xfId="8" applyNumberFormat="1" applyFont="1" applyBorder="1"/>
    <xf numFmtId="2" fontId="7" fillId="0" borderId="3" xfId="8" applyNumberFormat="1" applyFont="1" applyBorder="1"/>
    <xf numFmtId="165" fontId="8" fillId="0" borderId="3" xfId="8" applyNumberFormat="1" applyFont="1" applyBorder="1"/>
    <xf numFmtId="1" fontId="7" fillId="0" borderId="3" xfId="8" applyNumberFormat="1" applyFont="1" applyBorder="1"/>
    <xf numFmtId="2" fontId="4" fillId="0" borderId="16" xfId="8" applyNumberFormat="1" applyFont="1" applyBorder="1" applyAlignment="1">
      <alignment horizontal="centerContinuous"/>
    </xf>
    <xf numFmtId="3" fontId="7" fillId="0" borderId="6" xfId="8" applyNumberFormat="1" applyFont="1" applyBorder="1" applyAlignment="1">
      <alignment horizontal="right"/>
    </xf>
    <xf numFmtId="3" fontId="7" fillId="0" borderId="22" xfId="8" applyNumberFormat="1" applyFont="1" applyBorder="1" applyAlignment="1">
      <alignment horizontal="right"/>
    </xf>
    <xf numFmtId="171" fontId="7" fillId="1" borderId="23" xfId="8" applyNumberFormat="1" applyFont="1" applyFill="1" applyBorder="1" applyAlignment="1">
      <alignment horizontal="right"/>
    </xf>
    <xf numFmtId="165" fontId="7" fillId="1" borderId="1" xfId="8" applyNumberFormat="1" applyFont="1" applyFill="1" applyBorder="1" applyAlignment="1">
      <alignment horizontal="right"/>
    </xf>
    <xf numFmtId="165" fontId="7" fillId="1" borderId="24" xfId="8" applyNumberFormat="1" applyFont="1" applyFill="1" applyBorder="1" applyAlignment="1">
      <alignment horizontal="right"/>
    </xf>
    <xf numFmtId="164" fontId="7" fillId="1" borderId="1" xfId="8" applyNumberFormat="1" applyFont="1" applyFill="1" applyBorder="1" applyAlignment="1">
      <alignment horizontal="right"/>
    </xf>
    <xf numFmtId="2" fontId="4" fillId="0" borderId="0" xfId="0" applyNumberFormat="1" applyFont="1"/>
    <xf numFmtId="2" fontId="7" fillId="0" borderId="5" xfId="8" applyNumberFormat="1" applyFont="1" applyBorder="1" applyAlignment="1">
      <alignment horizontal="center"/>
    </xf>
    <xf numFmtId="2" fontId="7" fillId="1" borderId="8" xfId="8" applyNumberFormat="1" applyFont="1" applyFill="1" applyBorder="1" applyAlignment="1">
      <alignment horizontal="center"/>
    </xf>
    <xf numFmtId="2" fontId="7" fillId="0" borderId="5" xfId="0" applyNumberFormat="1" applyFont="1" applyBorder="1" applyAlignment="1">
      <alignment horizontal="center"/>
    </xf>
    <xf numFmtId="2" fontId="4" fillId="0" borderId="5" xfId="0" applyNumberFormat="1" applyFont="1" applyBorder="1" applyAlignment="1">
      <alignment horizontal="center"/>
    </xf>
    <xf numFmtId="2" fontId="7" fillId="1" borderId="8" xfId="0" applyNumberFormat="1" applyFont="1" applyFill="1" applyBorder="1" applyAlignment="1">
      <alignment horizontal="center"/>
    </xf>
    <xf numFmtId="3" fontId="7" fillId="0" borderId="25" xfId="8" applyNumberFormat="1" applyFont="1" applyBorder="1" applyAlignment="1">
      <alignment horizontal="right"/>
    </xf>
    <xf numFmtId="2" fontId="7" fillId="0" borderId="13" xfId="8" applyNumberFormat="1" applyFont="1" applyBorder="1" applyAlignment="1">
      <alignment horizontal="right"/>
    </xf>
    <xf numFmtId="2" fontId="4" fillId="0" borderId="26" xfId="0" applyNumberFormat="1" applyFont="1" applyBorder="1" applyAlignment="1">
      <alignment horizontal="centerContinuous"/>
    </xf>
    <xf numFmtId="2" fontId="7" fillId="1" borderId="8" xfId="0" applyNumberFormat="1" applyFont="1" applyFill="1" applyBorder="1" applyAlignment="1">
      <alignment horizontal="right"/>
    </xf>
    <xf numFmtId="2" fontId="4" fillId="0" borderId="26" xfId="8" applyNumberFormat="1" applyFont="1" applyBorder="1" applyAlignment="1">
      <alignment horizontal="centerContinuous"/>
    </xf>
    <xf numFmtId="1" fontId="7" fillId="0" borderId="25" xfId="8" applyNumberFormat="1" applyFont="1" applyBorder="1"/>
    <xf numFmtId="2" fontId="4" fillId="0" borderId="16" xfId="0" applyNumberFormat="1" applyFont="1" applyBorder="1" applyAlignment="1">
      <alignment horizontal="centerContinuous"/>
    </xf>
    <xf numFmtId="1" fontId="7" fillId="0" borderId="0" xfId="0" applyNumberFormat="1" applyFont="1" applyAlignment="1">
      <alignment horizontal="center"/>
    </xf>
    <xf numFmtId="3" fontId="4" fillId="1" borderId="4" xfId="8" applyNumberFormat="1" applyFont="1" applyFill="1" applyBorder="1" applyAlignment="1">
      <alignment horizontal="right"/>
    </xf>
    <xf numFmtId="165" fontId="4" fillId="1" borderId="4" xfId="8" applyNumberFormat="1" applyFont="1" applyFill="1" applyBorder="1" applyAlignment="1">
      <alignment horizontal="right"/>
    </xf>
    <xf numFmtId="1" fontId="4" fillId="1" borderId="4" xfId="8" applyNumberFormat="1" applyFont="1" applyFill="1" applyBorder="1" applyAlignment="1">
      <alignment horizontal="right"/>
    </xf>
    <xf numFmtId="0" fontId="4" fillId="0" borderId="3" xfId="8" applyFont="1" applyBorder="1"/>
    <xf numFmtId="165" fontId="4" fillId="0" borderId="3" xfId="0" applyNumberFormat="1" applyFont="1" applyBorder="1"/>
    <xf numFmtId="0" fontId="4" fillId="0" borderId="3" xfId="0" applyFont="1" applyBorder="1"/>
    <xf numFmtId="2" fontId="4" fillId="1" borderId="4" xfId="0" applyNumberFormat="1" applyFont="1" applyFill="1" applyBorder="1" applyAlignment="1">
      <alignment horizontal="right"/>
    </xf>
    <xf numFmtId="164" fontId="4" fillId="0" borderId="0" xfId="0" applyNumberFormat="1" applyFont="1"/>
    <xf numFmtId="2" fontId="4" fillId="1" borderId="4" xfId="0" applyNumberFormat="1" applyFont="1" applyFill="1" applyBorder="1"/>
    <xf numFmtId="164" fontId="4" fillId="0" borderId="0" xfId="8" applyNumberFormat="1" applyFont="1"/>
    <xf numFmtId="164" fontId="4" fillId="0" borderId="3" xfId="8" applyNumberFormat="1" applyFont="1" applyBorder="1"/>
    <xf numFmtId="2" fontId="4" fillId="0" borderId="3" xfId="0" applyNumberFormat="1" applyFont="1" applyBorder="1"/>
    <xf numFmtId="1" fontId="7" fillId="0" borderId="0" xfId="8" applyNumberFormat="1" applyFont="1" applyAlignment="1">
      <alignment horizontal="left"/>
    </xf>
    <xf numFmtId="2" fontId="9" fillId="0" borderId="0" xfId="8" applyNumberFormat="1" applyFont="1" applyAlignment="1">
      <alignment horizontal="center"/>
    </xf>
    <xf numFmtId="164" fontId="4" fillId="0" borderId="3" xfId="8" applyNumberFormat="1" applyFont="1" applyBorder="1" applyAlignment="1">
      <alignment horizontal="center"/>
    </xf>
    <xf numFmtId="1" fontId="4" fillId="0" borderId="0" xfId="8" applyNumberFormat="1" applyFont="1"/>
    <xf numFmtId="1" fontId="4" fillId="0" borderId="0" xfId="8" applyNumberFormat="1" applyFont="1" applyAlignment="1">
      <alignment horizontal="left"/>
    </xf>
    <xf numFmtId="171" fontId="4" fillId="0" borderId="15" xfId="8" applyNumberFormat="1" applyFont="1" applyBorder="1"/>
    <xf numFmtId="1" fontId="9" fillId="0" borderId="3" xfId="8" applyNumberFormat="1" applyFont="1" applyBorder="1" applyAlignment="1">
      <alignment horizontal="center"/>
    </xf>
    <xf numFmtId="1" fontId="4" fillId="0" borderId="3" xfId="8" applyNumberFormat="1" applyFont="1" applyBorder="1"/>
    <xf numFmtId="171" fontId="4" fillId="0" borderId="0" xfId="8" applyNumberFormat="1" applyFont="1"/>
    <xf numFmtId="165" fontId="7" fillId="1" borderId="4" xfId="0" applyNumberFormat="1" applyFont="1" applyFill="1" applyBorder="1"/>
    <xf numFmtId="165" fontId="10" fillId="0" borderId="0" xfId="8" applyNumberFormat="1" applyFont="1"/>
    <xf numFmtId="168" fontId="7" fillId="0" borderId="0" xfId="8" applyNumberFormat="1" applyFont="1"/>
    <xf numFmtId="165" fontId="7" fillId="0" borderId="0" xfId="8" applyNumberFormat="1" applyFont="1" applyAlignment="1">
      <alignment horizontal="centerContinuous"/>
    </xf>
    <xf numFmtId="3" fontId="7" fillId="0" borderId="0" xfId="8" applyNumberFormat="1" applyFont="1" applyAlignment="1">
      <alignment horizontal="centerContinuous"/>
    </xf>
    <xf numFmtId="165" fontId="7" fillId="0" borderId="27" xfId="8" applyNumberFormat="1" applyFont="1" applyBorder="1"/>
    <xf numFmtId="165" fontId="4" fillId="0" borderId="5" xfId="8" applyNumberFormat="1" applyFont="1" applyBorder="1" applyAlignment="1">
      <alignment horizontal="center"/>
    </xf>
    <xf numFmtId="165" fontId="7" fillId="0" borderId="10" xfId="8" applyNumberFormat="1" applyFont="1" applyBorder="1" applyAlignment="1">
      <alignment horizontal="center"/>
    </xf>
    <xf numFmtId="165" fontId="7" fillId="0" borderId="5" xfId="8" applyNumberFormat="1" applyFont="1" applyBorder="1" applyAlignment="1">
      <alignment horizontal="center"/>
    </xf>
    <xf numFmtId="4" fontId="7" fillId="0" borderId="0" xfId="8" applyNumberFormat="1" applyFont="1"/>
    <xf numFmtId="0" fontId="7" fillId="0" borderId="0" xfId="0" applyFont="1" applyAlignment="1">
      <alignment horizontal="center"/>
    </xf>
    <xf numFmtId="16" fontId="7" fillId="0" borderId="0" xfId="8" applyNumberFormat="1" applyFont="1"/>
    <xf numFmtId="9" fontId="7" fillId="0" borderId="0" xfId="9" applyFont="1"/>
    <xf numFmtId="9" fontId="7" fillId="0" borderId="0" xfId="8" applyNumberFormat="1" applyFont="1"/>
    <xf numFmtId="171" fontId="7" fillId="0" borderId="0" xfId="0" applyNumberFormat="1" applyFont="1"/>
    <xf numFmtId="1" fontId="7" fillId="0" borderId="0" xfId="0" applyNumberFormat="1" applyFont="1"/>
    <xf numFmtId="165" fontId="10" fillId="0" borderId="0" xfId="0" applyNumberFormat="1" applyFont="1"/>
    <xf numFmtId="168" fontId="7" fillId="0" borderId="0" xfId="0" applyNumberFormat="1" applyFont="1"/>
    <xf numFmtId="165" fontId="7" fillId="0" borderId="27" xfId="0" applyNumberFormat="1" applyFont="1" applyBorder="1"/>
    <xf numFmtId="165" fontId="4" fillId="0" borderId="5" xfId="0" applyNumberFormat="1" applyFont="1" applyBorder="1" applyAlignment="1">
      <alignment horizontal="center"/>
    </xf>
    <xf numFmtId="165" fontId="7" fillId="0" borderId="0" xfId="0" applyNumberFormat="1" applyFont="1" applyAlignment="1">
      <alignment horizontal="center"/>
    </xf>
    <xf numFmtId="165" fontId="7" fillId="0" borderId="6" xfId="0" applyNumberFormat="1" applyFont="1" applyBorder="1"/>
    <xf numFmtId="3" fontId="7" fillId="0" borderId="7" xfId="0" applyNumberFormat="1" applyFont="1" applyBorder="1"/>
    <xf numFmtId="4" fontId="7" fillId="1" borderId="9" xfId="0" applyNumberFormat="1" applyFont="1" applyFill="1" applyBorder="1"/>
    <xf numFmtId="3" fontId="7" fillId="1" borderId="4" xfId="0" applyNumberFormat="1" applyFont="1" applyFill="1" applyBorder="1"/>
    <xf numFmtId="165" fontId="7" fillId="1" borderId="11" xfId="0" applyNumberFormat="1" applyFont="1" applyFill="1" applyBorder="1"/>
    <xf numFmtId="166" fontId="7" fillId="1" borderId="4" xfId="0" applyNumberFormat="1" applyFont="1" applyFill="1" applyBorder="1"/>
    <xf numFmtId="165" fontId="7" fillId="1" borderId="12" xfId="0" applyNumberFormat="1" applyFont="1" applyFill="1" applyBorder="1"/>
    <xf numFmtId="2" fontId="7" fillId="1" borderId="4" xfId="0" applyNumberFormat="1" applyFont="1" applyFill="1" applyBorder="1"/>
    <xf numFmtId="4" fontId="7" fillId="0" borderId="6" xfId="0" applyNumberFormat="1" applyFont="1" applyBorder="1"/>
    <xf numFmtId="165" fontId="7" fillId="1" borderId="9" xfId="0" applyNumberFormat="1" applyFont="1" applyFill="1" applyBorder="1"/>
    <xf numFmtId="3" fontId="7" fillId="1" borderId="11" xfId="0" applyNumberFormat="1" applyFont="1" applyFill="1" applyBorder="1"/>
    <xf numFmtId="1" fontId="7" fillId="1" borderId="4" xfId="0" applyNumberFormat="1" applyFont="1" applyFill="1" applyBorder="1"/>
    <xf numFmtId="165" fontId="7" fillId="1" borderId="8" xfId="0" applyNumberFormat="1" applyFont="1" applyFill="1" applyBorder="1"/>
    <xf numFmtId="164" fontId="7" fillId="1" borderId="4" xfId="0" applyNumberFormat="1" applyFont="1" applyFill="1" applyBorder="1"/>
    <xf numFmtId="165" fontId="7" fillId="1" borderId="4" xfId="0" applyNumberFormat="1" applyFont="1" applyFill="1" applyBorder="1" applyAlignment="1">
      <alignment horizontal="center"/>
    </xf>
    <xf numFmtId="3" fontId="7" fillId="1" borderId="4" xfId="0" applyNumberFormat="1" applyFont="1" applyFill="1" applyBorder="1" applyAlignment="1">
      <alignment horizontal="center"/>
    </xf>
    <xf numFmtId="0" fontId="11" fillId="0" borderId="0" xfId="0" applyFont="1"/>
    <xf numFmtId="16" fontId="7" fillId="0" borderId="0" xfId="0" applyNumberFormat="1" applyFont="1"/>
    <xf numFmtId="4" fontId="7" fillId="0" borderId="0" xfId="0" applyNumberFormat="1" applyFont="1"/>
    <xf numFmtId="9" fontId="7" fillId="0" borderId="0" xfId="0" applyNumberFormat="1" applyFont="1"/>
    <xf numFmtId="164" fontId="7" fillId="0" borderId="0" xfId="8" applyNumberFormat="1" applyFont="1" applyAlignment="1">
      <alignment horizontal="centerContinuous"/>
    </xf>
    <xf numFmtId="166" fontId="7" fillId="0" borderId="0" xfId="8" applyNumberFormat="1" applyFont="1" applyAlignment="1">
      <alignment horizontal="center"/>
    </xf>
    <xf numFmtId="173" fontId="7" fillId="0" borderId="0" xfId="0" applyNumberFormat="1" applyFont="1"/>
    <xf numFmtId="165" fontId="7" fillId="0" borderId="0" xfId="0" applyNumberFormat="1" applyFont="1" applyAlignment="1">
      <alignment horizontal="centerContinuous"/>
    </xf>
    <xf numFmtId="3" fontId="7" fillId="0" borderId="0" xfId="0" applyNumberFormat="1" applyFont="1" applyAlignment="1">
      <alignment horizontal="centerContinuous"/>
    </xf>
    <xf numFmtId="2" fontId="7" fillId="1" borderId="8" xfId="0" applyNumberFormat="1" applyFont="1" applyFill="1" applyBorder="1"/>
    <xf numFmtId="4" fontId="7" fillId="0" borderId="0" xfId="0" applyNumberFormat="1" applyFont="1" applyAlignment="1">
      <alignment horizontal="center"/>
    </xf>
    <xf numFmtId="167" fontId="7" fillId="0" borderId="0" xfId="8" applyNumberFormat="1" applyFont="1"/>
    <xf numFmtId="17" fontId="7" fillId="0" borderId="0" xfId="8" applyNumberFormat="1" applyFont="1"/>
    <xf numFmtId="2" fontId="7" fillId="0" borderId="1" xfId="8" applyNumberFormat="1" applyFont="1" applyBorder="1"/>
    <xf numFmtId="164" fontId="7" fillId="0" borderId="1" xfId="8" applyNumberFormat="1" applyFont="1" applyBorder="1"/>
    <xf numFmtId="9" fontId="8" fillId="0" borderId="0" xfId="8" applyNumberFormat="1" applyFont="1"/>
    <xf numFmtId="164" fontId="8" fillId="0" borderId="0" xfId="8" applyNumberFormat="1" applyFont="1"/>
    <xf numFmtId="164" fontId="7" fillId="1" borderId="4" xfId="8" applyNumberFormat="1" applyFont="1" applyFill="1" applyBorder="1"/>
    <xf numFmtId="165" fontId="7" fillId="1" borderId="1" xfId="8" applyNumberFormat="1" applyFont="1" applyFill="1" applyBorder="1"/>
    <xf numFmtId="165" fontId="8" fillId="0" borderId="0" xfId="8" applyNumberFormat="1" applyFont="1"/>
    <xf numFmtId="170" fontId="7" fillId="0" borderId="0" xfId="8" applyNumberFormat="1" applyFont="1" applyAlignment="1">
      <alignment horizontal="right"/>
    </xf>
    <xf numFmtId="172" fontId="7" fillId="0" borderId="0" xfId="8" applyNumberFormat="1" applyFont="1" applyAlignment="1">
      <alignment horizontal="center"/>
    </xf>
    <xf numFmtId="172" fontId="7" fillId="1" borderId="4" xfId="8" applyNumberFormat="1" applyFont="1" applyFill="1" applyBorder="1" applyAlignment="1">
      <alignment horizontal="center"/>
    </xf>
    <xf numFmtId="165" fontId="7" fillId="1" borderId="23" xfId="8" applyNumberFormat="1" applyFont="1" applyFill="1" applyBorder="1"/>
    <xf numFmtId="171" fontId="7" fillId="0" borderId="0" xfId="0" applyNumberFormat="1" applyFont="1" applyAlignment="1">
      <alignment horizontal="center"/>
    </xf>
    <xf numFmtId="164" fontId="4" fillId="0" borderId="0" xfId="8" applyNumberFormat="1" applyFont="1" applyAlignment="1">
      <alignment horizontal="right"/>
    </xf>
    <xf numFmtId="164" fontId="4" fillId="0" borderId="3" xfId="0" applyNumberFormat="1" applyFont="1" applyBorder="1"/>
    <xf numFmtId="164" fontId="4" fillId="0" borderId="0" xfId="8" applyNumberFormat="1" applyFont="1" applyAlignment="1">
      <alignment horizontal="left"/>
    </xf>
    <xf numFmtId="171" fontId="7" fillId="0" borderId="24" xfId="0" applyNumberFormat="1" applyFont="1" applyBorder="1" applyAlignment="1">
      <alignment horizontal="right"/>
    </xf>
    <xf numFmtId="164" fontId="7" fillId="0" borderId="5" xfId="8" applyNumberFormat="1" applyFont="1" applyBorder="1" applyAlignment="1">
      <alignment horizontal="right"/>
    </xf>
    <xf numFmtId="4" fontId="7" fillId="0" borderId="22" xfId="8" applyNumberFormat="1" applyFont="1" applyBorder="1" applyAlignment="1">
      <alignment horizontal="right"/>
    </xf>
    <xf numFmtId="1" fontId="7" fillId="0" borderId="1" xfId="0" applyNumberFormat="1" applyFont="1" applyBorder="1" applyAlignment="1">
      <alignment horizontal="right"/>
    </xf>
    <xf numFmtId="3" fontId="4" fillId="0" borderId="5" xfId="0" applyNumberFormat="1" applyFont="1" applyBorder="1" applyAlignment="1">
      <alignment horizontal="center"/>
    </xf>
    <xf numFmtId="3" fontId="7" fillId="0" borderId="13" xfId="0" applyNumberFormat="1" applyFont="1" applyBorder="1" applyAlignment="1">
      <alignment horizontal="right"/>
    </xf>
    <xf numFmtId="3" fontId="7" fillId="0" borderId="18" xfId="0" applyNumberFormat="1" applyFont="1" applyBorder="1" applyAlignment="1">
      <alignment horizontal="right"/>
    </xf>
    <xf numFmtId="165" fontId="10" fillId="0" borderId="0" xfId="8" applyNumberFormat="1" applyFont="1" applyAlignment="1">
      <alignment horizontal="left"/>
    </xf>
    <xf numFmtId="3" fontId="7" fillId="0" borderId="15" xfId="0" applyNumberFormat="1" applyFont="1" applyBorder="1" applyAlignment="1">
      <alignment horizontal="center"/>
    </xf>
    <xf numFmtId="3" fontId="4" fillId="0" borderId="6" xfId="0" applyNumberFormat="1" applyFont="1" applyBorder="1" applyAlignment="1">
      <alignment horizontal="center"/>
    </xf>
    <xf numFmtId="164" fontId="7" fillId="0" borderId="6" xfId="0" applyNumberFormat="1" applyFont="1" applyBorder="1" applyAlignment="1">
      <alignment horizontal="right"/>
    </xf>
    <xf numFmtId="164" fontId="7" fillId="1" borderId="9" xfId="0" applyNumberFormat="1" applyFont="1" applyFill="1" applyBorder="1" applyAlignment="1">
      <alignment horizontal="right"/>
    </xf>
    <xf numFmtId="164" fontId="7" fillId="1" borderId="9" xfId="0" applyNumberFormat="1" applyFont="1" applyFill="1" applyBorder="1"/>
    <xf numFmtId="171" fontId="7" fillId="0" borderId="22" xfId="0" applyNumberFormat="1" applyFont="1" applyBorder="1" applyAlignment="1">
      <alignment horizontal="right"/>
    </xf>
    <xf numFmtId="1" fontId="7" fillId="0" borderId="6" xfId="8" applyNumberFormat="1" applyFont="1" applyBorder="1" applyAlignment="1">
      <alignment horizontal="center"/>
    </xf>
    <xf numFmtId="1" fontId="7" fillId="1" borderId="9" xfId="8" applyNumberFormat="1" applyFont="1" applyFill="1" applyBorder="1" applyAlignment="1">
      <alignment horizontal="center"/>
    </xf>
    <xf numFmtId="3" fontId="7" fillId="0" borderId="6" xfId="0" applyNumberFormat="1" applyFont="1" applyBorder="1" applyAlignment="1">
      <alignment horizontal="right"/>
    </xf>
    <xf numFmtId="3" fontId="7" fillId="1" borderId="9" xfId="0" applyNumberFormat="1" applyFont="1" applyFill="1" applyBorder="1"/>
    <xf numFmtId="1" fontId="4" fillId="0" borderId="6" xfId="0" applyNumberFormat="1" applyFont="1" applyBorder="1" applyAlignment="1">
      <alignment horizontal="center"/>
    </xf>
    <xf numFmtId="164" fontId="7" fillId="0" borderId="3" xfId="0" applyNumberFormat="1" applyFont="1" applyBorder="1" applyAlignment="1">
      <alignment horizontal="center"/>
    </xf>
    <xf numFmtId="4" fontId="7" fillId="0" borderId="3" xfId="8" applyNumberFormat="1" applyFont="1" applyBorder="1"/>
    <xf numFmtId="4" fontId="4" fillId="0" borderId="16" xfId="8" applyNumberFormat="1" applyFont="1" applyBorder="1" applyAlignment="1">
      <alignment horizontal="centerContinuous"/>
    </xf>
    <xf numFmtId="4" fontId="7" fillId="0" borderId="25" xfId="8" applyNumberFormat="1" applyFont="1" applyBorder="1" applyAlignment="1">
      <alignment horizontal="right"/>
    </xf>
    <xf numFmtId="4" fontId="7" fillId="1" borderId="4" xfId="8" applyNumberFormat="1" applyFont="1" applyFill="1" applyBorder="1" applyAlignment="1">
      <alignment horizontal="right"/>
    </xf>
    <xf numFmtId="2" fontId="9" fillId="0" borderId="3" xfId="8" applyNumberFormat="1" applyFont="1" applyBorder="1" applyAlignment="1">
      <alignment horizontal="center"/>
    </xf>
    <xf numFmtId="2" fontId="8" fillId="0" borderId="3" xfId="8" applyNumberFormat="1" applyFont="1" applyBorder="1" applyAlignment="1">
      <alignment horizontal="center"/>
    </xf>
    <xf numFmtId="164" fontId="4" fillId="0" borderId="10" xfId="8" applyNumberFormat="1" applyFont="1" applyBorder="1" applyAlignment="1">
      <alignment horizontal="center"/>
    </xf>
    <xf numFmtId="164" fontId="4" fillId="0" borderId="5" xfId="8" applyNumberFormat="1" applyFont="1" applyBorder="1" applyAlignment="1">
      <alignment horizontal="center"/>
    </xf>
    <xf numFmtId="165" fontId="4" fillId="0" borderId="15" xfId="8" applyNumberFormat="1" applyFont="1" applyBorder="1"/>
    <xf numFmtId="1" fontId="7" fillId="0" borderId="6" xfId="8" applyNumberFormat="1" applyFont="1" applyBorder="1"/>
    <xf numFmtId="1" fontId="7" fillId="0" borderId="25" xfId="0" applyNumberFormat="1" applyFont="1" applyBorder="1" applyAlignment="1">
      <alignment horizontal="right"/>
    </xf>
    <xf numFmtId="0" fontId="7" fillId="0" borderId="28" xfId="0" applyFont="1" applyBorder="1"/>
    <xf numFmtId="164" fontId="7" fillId="0" borderId="28" xfId="0" applyNumberFormat="1" applyFont="1" applyBorder="1"/>
    <xf numFmtId="164" fontId="7" fillId="0" borderId="29" xfId="0" applyNumberFormat="1" applyFont="1" applyBorder="1" applyAlignment="1">
      <alignment horizontal="right"/>
    </xf>
    <xf numFmtId="164" fontId="7" fillId="0" borderId="30" xfId="0" applyNumberFormat="1" applyFont="1" applyBorder="1" applyAlignment="1">
      <alignment horizontal="right"/>
    </xf>
    <xf numFmtId="164" fontId="7" fillId="0" borderId="29" xfId="8" applyNumberFormat="1" applyFont="1" applyBorder="1" applyAlignment="1">
      <alignment horizontal="right"/>
    </xf>
    <xf numFmtId="164" fontId="7" fillId="0" borderId="30" xfId="8" applyNumberFormat="1" applyFont="1" applyBorder="1" applyAlignment="1">
      <alignment horizontal="right"/>
    </xf>
    <xf numFmtId="0" fontId="0" fillId="0" borderId="7" xfId="0" applyBorder="1"/>
    <xf numFmtId="0" fontId="3" fillId="0" borderId="7" xfId="8" applyBorder="1"/>
    <xf numFmtId="3" fontId="3" fillId="0" borderId="7" xfId="8" applyNumberFormat="1" applyBorder="1"/>
    <xf numFmtId="0" fontId="3" fillId="0" borderId="29" xfId="8" applyBorder="1"/>
    <xf numFmtId="0" fontId="7" fillId="0" borderId="14" xfId="0" applyFont="1" applyBorder="1"/>
    <xf numFmtId="1" fontId="4" fillId="1" borderId="11" xfId="8" applyNumberFormat="1" applyFont="1" applyFill="1" applyBorder="1" applyAlignment="1">
      <alignment horizontal="right"/>
    </xf>
    <xf numFmtId="1" fontId="7" fillId="0" borderId="31" xfId="8" applyNumberFormat="1" applyFont="1" applyBorder="1" applyAlignment="1">
      <alignment horizontal="right"/>
    </xf>
    <xf numFmtId="164" fontId="4" fillId="0" borderId="29" xfId="0" applyNumberFormat="1" applyFont="1" applyBorder="1" applyAlignment="1">
      <alignment horizontal="center"/>
    </xf>
    <xf numFmtId="165" fontId="7" fillId="0" borderId="29" xfId="0" applyNumberFormat="1" applyFont="1" applyBorder="1"/>
    <xf numFmtId="0" fontId="4" fillId="0" borderId="28" xfId="0" applyFont="1" applyBorder="1"/>
    <xf numFmtId="0" fontId="4" fillId="0" borderId="29" xfId="0" applyFont="1" applyBorder="1" applyAlignment="1">
      <alignment horizontal="center"/>
    </xf>
    <xf numFmtId="0" fontId="4" fillId="0" borderId="29" xfId="0" applyFont="1" applyBorder="1"/>
    <xf numFmtId="164" fontId="12" fillId="0" borderId="29" xfId="0" applyNumberFormat="1" applyFont="1" applyBorder="1" applyAlignment="1">
      <alignment horizontal="center"/>
    </xf>
    <xf numFmtId="164" fontId="3" fillId="0" borderId="0" xfId="8" applyNumberFormat="1"/>
    <xf numFmtId="164" fontId="3" fillId="0" borderId="29" xfId="8" applyNumberFormat="1" applyBorder="1"/>
    <xf numFmtId="1" fontId="7" fillId="0" borderId="29" xfId="8" applyNumberFormat="1" applyFont="1" applyBorder="1" applyAlignment="1">
      <alignment horizontal="right"/>
    </xf>
    <xf numFmtId="3" fontId="7" fillId="0" borderId="29" xfId="8" applyNumberFormat="1" applyFont="1" applyBorder="1" applyAlignment="1">
      <alignment horizontal="right"/>
    </xf>
    <xf numFmtId="3" fontId="0" fillId="0" borderId="7" xfId="0" applyNumberFormat="1" applyBorder="1"/>
    <xf numFmtId="1" fontId="7" fillId="0" borderId="3" xfId="8" applyNumberFormat="1" applyFont="1" applyBorder="1" applyAlignment="1">
      <alignment horizontal="center"/>
    </xf>
    <xf numFmtId="0" fontId="7" fillId="0" borderId="14" xfId="8" applyFont="1" applyBorder="1"/>
    <xf numFmtId="0" fontId="7" fillId="0" borderId="28" xfId="8" applyFont="1" applyBorder="1"/>
    <xf numFmtId="175" fontId="7" fillId="0" borderId="29" xfId="8" applyNumberFormat="1" applyFont="1" applyBorder="1" applyAlignment="1">
      <alignment horizontal="right"/>
    </xf>
    <xf numFmtId="164" fontId="7" fillId="0" borderId="32" xfId="8" applyNumberFormat="1" applyFont="1" applyBorder="1"/>
    <xf numFmtId="3" fontId="7" fillId="0" borderId="29" xfId="8" applyNumberFormat="1" applyFont="1" applyBorder="1"/>
    <xf numFmtId="1" fontId="7" fillId="0" borderId="7" xfId="8" applyNumberFormat="1" applyFont="1" applyBorder="1" applyAlignment="1">
      <alignment horizontal="center"/>
    </xf>
    <xf numFmtId="1" fontId="4" fillId="0" borderId="3" xfId="8" applyNumberFormat="1" applyFont="1" applyBorder="1" applyAlignment="1">
      <alignment horizontal="center"/>
    </xf>
    <xf numFmtId="164" fontId="7" fillId="0" borderId="13" xfId="8" applyNumberFormat="1" applyFont="1" applyBorder="1" applyAlignment="1">
      <alignment horizontal="right"/>
    </xf>
    <xf numFmtId="164" fontId="7" fillId="0" borderId="13" xfId="8" applyNumberFormat="1" applyFont="1" applyBorder="1"/>
    <xf numFmtId="164" fontId="7" fillId="0" borderId="29" xfId="0" applyNumberFormat="1" applyFont="1" applyBorder="1"/>
    <xf numFmtId="165" fontId="7" fillId="0" borderId="25" xfId="8" applyNumberFormat="1" applyFont="1" applyBorder="1" applyAlignment="1">
      <alignment horizontal="right"/>
    </xf>
    <xf numFmtId="0" fontId="7" fillId="0" borderId="7" xfId="8" applyFont="1" applyBorder="1"/>
    <xf numFmtId="165" fontId="7" fillId="0" borderId="30" xfId="8" applyNumberFormat="1" applyFont="1" applyBorder="1" applyAlignment="1">
      <alignment horizontal="right"/>
    </xf>
    <xf numFmtId="165" fontId="7" fillId="0" borderId="22" xfId="0" applyNumberFormat="1" applyFont="1" applyBorder="1" applyAlignment="1">
      <alignment horizontal="right"/>
    </xf>
    <xf numFmtId="3" fontId="7" fillId="0" borderId="25" xfId="0" applyNumberFormat="1" applyFont="1" applyBorder="1" applyAlignment="1">
      <alignment horizontal="right"/>
    </xf>
    <xf numFmtId="3" fontId="7" fillId="0" borderId="32" xfId="0" applyNumberFormat="1" applyFont="1" applyBorder="1" applyAlignment="1">
      <alignment horizontal="right"/>
    </xf>
    <xf numFmtId="9" fontId="4" fillId="0" borderId="0" xfId="0" applyNumberFormat="1" applyFont="1" applyAlignment="1">
      <alignment horizontal="center"/>
    </xf>
    <xf numFmtId="176" fontId="7" fillId="0" borderId="0" xfId="0" applyNumberFormat="1" applyFont="1" applyAlignment="1">
      <alignment horizontal="center"/>
    </xf>
    <xf numFmtId="1" fontId="7" fillId="0" borderId="5" xfId="0" applyNumberFormat="1" applyFont="1" applyBorder="1" applyAlignment="1">
      <alignment horizontal="center"/>
    </xf>
    <xf numFmtId="1" fontId="7" fillId="1" borderId="8" xfId="0" applyNumberFormat="1" applyFont="1" applyFill="1" applyBorder="1" applyAlignment="1">
      <alignment horizontal="center"/>
    </xf>
    <xf numFmtId="165" fontId="4" fillId="0" borderId="7" xfId="8" applyNumberFormat="1" applyFont="1" applyBorder="1" applyAlignment="1">
      <alignment horizontal="center"/>
    </xf>
    <xf numFmtId="165" fontId="7" fillId="0" borderId="0" xfId="8" applyNumberFormat="1" applyFont="1" applyAlignment="1">
      <alignment horizontal="center"/>
    </xf>
    <xf numFmtId="1" fontId="4" fillId="0" borderId="10" xfId="8" applyNumberFormat="1" applyFont="1" applyBorder="1" applyAlignment="1">
      <alignment horizontal="center"/>
    </xf>
    <xf numFmtId="165" fontId="7" fillId="1" borderId="8" xfId="8" applyNumberFormat="1" applyFont="1" applyFill="1" applyBorder="1"/>
    <xf numFmtId="1" fontId="7" fillId="0" borderId="5" xfId="8" applyNumberFormat="1" applyFont="1" applyBorder="1" applyAlignment="1">
      <alignment horizontal="right"/>
    </xf>
    <xf numFmtId="1" fontId="7" fillId="0" borderId="13" xfId="8" applyNumberFormat="1" applyFont="1" applyBorder="1" applyAlignment="1">
      <alignment horizontal="right"/>
    </xf>
    <xf numFmtId="164" fontId="7" fillId="1" borderId="8" xfId="8" applyNumberFormat="1" applyFont="1" applyFill="1" applyBorder="1" applyAlignment="1">
      <alignment horizontal="center"/>
    </xf>
    <xf numFmtId="164" fontId="7" fillId="0" borderId="5" xfId="8" applyNumberFormat="1" applyFont="1" applyBorder="1" applyAlignment="1">
      <alignment horizontal="center"/>
    </xf>
    <xf numFmtId="164" fontId="7" fillId="0" borderId="5" xfId="8" applyNumberFormat="1" applyFont="1" applyBorder="1"/>
    <xf numFmtId="165" fontId="9" fillId="0" borderId="16" xfId="0" applyNumberFormat="1" applyFont="1" applyBorder="1" applyAlignment="1">
      <alignment horizontal="centerContinuous"/>
    </xf>
    <xf numFmtId="165" fontId="7" fillId="0" borderId="33" xfId="0" applyNumberFormat="1" applyFont="1" applyBorder="1"/>
    <xf numFmtId="165" fontId="8" fillId="0" borderId="3" xfId="0" applyNumberFormat="1" applyFont="1" applyBorder="1"/>
    <xf numFmtId="165" fontId="7" fillId="0" borderId="33" xfId="8" applyNumberFormat="1" applyFont="1" applyBorder="1"/>
    <xf numFmtId="165" fontId="9" fillId="0" borderId="16" xfId="8" applyNumberFormat="1" applyFont="1" applyBorder="1" applyAlignment="1">
      <alignment horizontal="centerContinuous"/>
    </xf>
    <xf numFmtId="165" fontId="7" fillId="0" borderId="10" xfId="0" applyNumberFormat="1" applyFont="1" applyBorder="1" applyAlignment="1">
      <alignment horizontal="center"/>
    </xf>
    <xf numFmtId="165" fontId="7" fillId="0" borderId="5" xfId="0" applyNumberFormat="1" applyFont="1" applyBorder="1" applyAlignment="1">
      <alignment horizontal="center"/>
    </xf>
    <xf numFmtId="0" fontId="4" fillId="0" borderId="7" xfId="8" applyFont="1" applyBorder="1"/>
    <xf numFmtId="165" fontId="4" fillId="0" borderId="7" xfId="8" applyNumberFormat="1" applyFont="1" applyBorder="1"/>
    <xf numFmtId="3" fontId="4" fillId="0" borderId="32" xfId="8" applyNumberFormat="1" applyFont="1" applyBorder="1"/>
    <xf numFmtId="3" fontId="7" fillId="0" borderId="13" xfId="8" applyNumberFormat="1" applyFont="1" applyBorder="1"/>
    <xf numFmtId="164" fontId="7" fillId="0" borderId="21" xfId="8" applyNumberFormat="1" applyFont="1" applyBorder="1" applyAlignment="1">
      <alignment horizontal="right"/>
    </xf>
    <xf numFmtId="3" fontId="7" fillId="0" borderId="32" xfId="8" applyNumberFormat="1" applyFont="1" applyBorder="1" applyAlignment="1">
      <alignment horizontal="right"/>
    </xf>
    <xf numFmtId="1" fontId="7" fillId="0" borderId="32" xfId="8" applyNumberFormat="1" applyFont="1" applyBorder="1" applyAlignment="1">
      <alignment horizontal="right"/>
    </xf>
    <xf numFmtId="3" fontId="7" fillId="0" borderId="31" xfId="8" applyNumberFormat="1" applyFont="1" applyBorder="1" applyAlignment="1">
      <alignment horizontal="right"/>
    </xf>
    <xf numFmtId="2" fontId="7" fillId="1" borderId="34" xfId="8" applyNumberFormat="1" applyFont="1" applyFill="1" applyBorder="1"/>
    <xf numFmtId="0" fontId="4" fillId="0" borderId="0" xfId="8" applyFont="1" applyAlignment="1">
      <alignment horizontal="left"/>
    </xf>
    <xf numFmtId="164" fontId="4" fillId="0" borderId="0" xfId="0" applyNumberFormat="1" applyFont="1" applyAlignment="1">
      <alignment horizontal="right"/>
    </xf>
    <xf numFmtId="164" fontId="4" fillId="1" borderId="4" xfId="0" applyNumberFormat="1" applyFont="1" applyFill="1" applyBorder="1"/>
    <xf numFmtId="0" fontId="4" fillId="0" borderId="7" xfId="8" applyFont="1" applyBorder="1" applyAlignment="1">
      <alignment horizontal="center"/>
    </xf>
    <xf numFmtId="0" fontId="7" fillId="0" borderId="7" xfId="0" applyFont="1" applyBorder="1"/>
    <xf numFmtId="3" fontId="7" fillId="0" borderId="31" xfId="8" applyNumberFormat="1" applyFont="1" applyBorder="1"/>
    <xf numFmtId="3" fontId="7" fillId="0" borderId="32" xfId="8" applyNumberFormat="1" applyFont="1" applyBorder="1"/>
    <xf numFmtId="164" fontId="4" fillId="0" borderId="7" xfId="8" applyNumberFormat="1" applyFont="1" applyBorder="1" applyAlignment="1">
      <alignment horizontal="center"/>
    </xf>
    <xf numFmtId="165" fontId="7" fillId="0" borderId="21" xfId="0" applyNumberFormat="1" applyFont="1" applyBorder="1" applyAlignment="1">
      <alignment horizontal="right"/>
    </xf>
    <xf numFmtId="0" fontId="4" fillId="0" borderId="14" xfId="0" applyFont="1" applyBorder="1" applyAlignment="1">
      <alignment horizontal="center"/>
    </xf>
    <xf numFmtId="0" fontId="12" fillId="0" borderId="0" xfId="0" applyFont="1" applyAlignment="1">
      <alignment horizontal="center"/>
    </xf>
    <xf numFmtId="0" fontId="12" fillId="0" borderId="7" xfId="0" applyFont="1" applyBorder="1" applyAlignment="1">
      <alignment horizontal="center"/>
    </xf>
    <xf numFmtId="0" fontId="12" fillId="0" borderId="0" xfId="8" applyFont="1" applyAlignment="1">
      <alignment horizontal="center"/>
    </xf>
    <xf numFmtId="0" fontId="12" fillId="0" borderId="7" xfId="8" applyFont="1" applyBorder="1" applyAlignment="1">
      <alignment horizontal="center"/>
    </xf>
    <xf numFmtId="3" fontId="12" fillId="0" borderId="7" xfId="8" applyNumberFormat="1" applyFont="1" applyBorder="1" applyAlignment="1">
      <alignment horizontal="center"/>
    </xf>
    <xf numFmtId="3" fontId="3" fillId="0" borderId="0" xfId="8" applyNumberFormat="1" applyAlignment="1">
      <alignment horizontal="right"/>
    </xf>
    <xf numFmtId="167" fontId="4" fillId="0" borderId="0" xfId="8" applyNumberFormat="1" applyFont="1"/>
    <xf numFmtId="167" fontId="8" fillId="0" borderId="15" xfId="0" applyNumberFormat="1" applyFont="1" applyBorder="1"/>
    <xf numFmtId="167" fontId="8" fillId="0" borderId="3" xfId="0" applyNumberFormat="1" applyFont="1" applyBorder="1"/>
    <xf numFmtId="167" fontId="8" fillId="0" borderId="14" xfId="0" applyNumberFormat="1" applyFont="1" applyBorder="1"/>
    <xf numFmtId="165" fontId="8" fillId="0" borderId="33" xfId="0" applyNumberFormat="1" applyFont="1" applyBorder="1"/>
    <xf numFmtId="165" fontId="8" fillId="0" borderId="14" xfId="0" applyNumberFormat="1" applyFont="1" applyBorder="1"/>
    <xf numFmtId="164" fontId="8" fillId="0" borderId="15" xfId="8" applyNumberFormat="1" applyFont="1" applyBorder="1"/>
    <xf numFmtId="164" fontId="8" fillId="0" borderId="3" xfId="8" applyNumberFormat="1" applyFont="1" applyBorder="1"/>
    <xf numFmtId="164" fontId="8" fillId="0" borderId="14" xfId="8" applyNumberFormat="1" applyFont="1" applyBorder="1"/>
    <xf numFmtId="1" fontId="8" fillId="0" borderId="15" xfId="0" applyNumberFormat="1" applyFont="1" applyBorder="1"/>
    <xf numFmtId="1" fontId="8" fillId="0" borderId="3" xfId="0" applyNumberFormat="1" applyFont="1" applyBorder="1"/>
    <xf numFmtId="1" fontId="8" fillId="0" borderId="14" xfId="0" applyNumberFormat="1" applyFont="1" applyBorder="1"/>
    <xf numFmtId="169" fontId="7" fillId="0" borderId="0" xfId="8" applyNumberFormat="1" applyFont="1"/>
    <xf numFmtId="165" fontId="7" fillId="0" borderId="0" xfId="8" quotePrefix="1" applyNumberFormat="1" applyFont="1" applyAlignment="1">
      <alignment horizontal="right"/>
    </xf>
    <xf numFmtId="2" fontId="18" fillId="0" borderId="0" xfId="6" applyNumberFormat="1" applyFont="1"/>
    <xf numFmtId="4" fontId="4" fillId="0" borderId="0" xfId="0" applyNumberFormat="1" applyFont="1" applyAlignment="1">
      <alignment horizontal="center"/>
    </xf>
    <xf numFmtId="2" fontId="4" fillId="0" borderId="0" xfId="0" applyNumberFormat="1" applyFont="1" applyAlignment="1">
      <alignment horizontal="right"/>
    </xf>
    <xf numFmtId="3" fontId="7" fillId="0" borderId="0" xfId="8" quotePrefix="1" applyNumberFormat="1" applyFont="1" applyAlignment="1">
      <alignment horizontal="right"/>
    </xf>
    <xf numFmtId="2" fontId="7" fillId="0" borderId="4" xfId="8" applyNumberFormat="1" applyFont="1" applyBorder="1" applyAlignment="1">
      <alignment horizontal="right"/>
    </xf>
    <xf numFmtId="0" fontId="0" fillId="0" borderId="0" xfId="0" applyAlignment="1">
      <alignment horizontal="center" vertical="center"/>
    </xf>
    <xf numFmtId="0" fontId="16" fillId="0" borderId="0" xfId="0" applyFont="1" applyAlignment="1">
      <alignment horizontal="center" vertical="center"/>
    </xf>
    <xf numFmtId="2" fontId="16" fillId="0" borderId="0" xfId="0" applyNumberFormat="1" applyFont="1" applyAlignment="1">
      <alignment horizontal="center" vertical="center"/>
    </xf>
    <xf numFmtId="164" fontId="16" fillId="0" borderId="0" xfId="0" applyNumberFormat="1" applyFont="1" applyAlignment="1">
      <alignment horizontal="center" vertical="center"/>
    </xf>
    <xf numFmtId="0" fontId="0" fillId="2" borderId="0" xfId="0" applyFill="1"/>
    <xf numFmtId="0" fontId="19" fillId="0" borderId="0" xfId="0" applyFont="1" applyAlignment="1">
      <alignment horizontal="center" vertical="center"/>
    </xf>
    <xf numFmtId="0" fontId="19" fillId="0" borderId="0" xfId="0" applyFont="1" applyAlignment="1">
      <alignment horizontal="center"/>
    </xf>
    <xf numFmtId="3" fontId="7" fillId="0" borderId="0" xfId="0" quotePrefix="1" applyNumberFormat="1" applyFont="1"/>
    <xf numFmtId="165" fontId="4" fillId="3" borderId="0" xfId="8" applyNumberFormat="1" applyFont="1" applyFill="1"/>
    <xf numFmtId="165" fontId="4" fillId="3" borderId="27" xfId="8" applyNumberFormat="1" applyFont="1" applyFill="1" applyBorder="1"/>
    <xf numFmtId="165" fontId="8" fillId="3" borderId="3" xfId="8" applyNumberFormat="1" applyFont="1" applyFill="1" applyBorder="1" applyAlignment="1">
      <alignment horizontal="center"/>
    </xf>
    <xf numFmtId="2" fontId="4" fillId="3" borderId="0" xfId="0" applyNumberFormat="1" applyFont="1" applyFill="1" applyAlignment="1">
      <alignment horizontal="center"/>
    </xf>
    <xf numFmtId="1" fontId="4" fillId="3" borderId="0" xfId="0" applyNumberFormat="1" applyFont="1" applyFill="1" applyAlignment="1">
      <alignment horizontal="center"/>
    </xf>
    <xf numFmtId="165" fontId="7" fillId="3" borderId="0" xfId="8" applyNumberFormat="1" applyFont="1" applyFill="1" applyAlignment="1">
      <alignment horizontal="right"/>
    </xf>
    <xf numFmtId="3" fontId="7" fillId="3" borderId="0" xfId="8" applyNumberFormat="1" applyFont="1" applyFill="1" applyAlignment="1">
      <alignment horizontal="right"/>
    </xf>
    <xf numFmtId="1" fontId="7" fillId="4" borderId="4" xfId="8" applyNumberFormat="1" applyFont="1" applyFill="1" applyBorder="1" applyAlignment="1">
      <alignment horizontal="right"/>
    </xf>
    <xf numFmtId="169" fontId="7" fillId="3" borderId="0" xfId="0" applyNumberFormat="1" applyFont="1" applyFill="1" applyAlignment="1">
      <alignment horizontal="right"/>
    </xf>
    <xf numFmtId="167" fontId="7" fillId="3" borderId="0" xfId="0" applyNumberFormat="1" applyFont="1" applyFill="1" applyAlignment="1">
      <alignment horizontal="right"/>
    </xf>
    <xf numFmtId="1" fontId="7" fillId="3" borderId="0" xfId="0" applyNumberFormat="1" applyFont="1" applyFill="1" applyAlignment="1">
      <alignment horizontal="right"/>
    </xf>
    <xf numFmtId="3" fontId="7" fillId="4" borderId="4" xfId="8" applyNumberFormat="1" applyFont="1" applyFill="1" applyBorder="1" applyAlignment="1">
      <alignment horizontal="right"/>
    </xf>
    <xf numFmtId="171" fontId="7" fillId="4" borderId="4" xfId="8" applyNumberFormat="1" applyFont="1" applyFill="1" applyBorder="1" applyAlignment="1">
      <alignment horizontal="right"/>
    </xf>
    <xf numFmtId="165" fontId="7" fillId="4" borderId="4" xfId="8" applyNumberFormat="1" applyFont="1" applyFill="1" applyBorder="1" applyAlignment="1">
      <alignment horizontal="right"/>
    </xf>
    <xf numFmtId="0" fontId="7" fillId="3" borderId="0" xfId="8" applyFont="1" applyFill="1"/>
    <xf numFmtId="0" fontId="4" fillId="3" borderId="0" xfId="8" applyFont="1" applyFill="1"/>
    <xf numFmtId="167" fontId="4" fillId="3" borderId="0" xfId="8" applyNumberFormat="1" applyFont="1" applyFill="1"/>
    <xf numFmtId="165" fontId="4" fillId="3" borderId="0" xfId="0" applyNumberFormat="1" applyFont="1" applyFill="1"/>
    <xf numFmtId="165" fontId="4" fillId="3" borderId="27" xfId="0" applyNumberFormat="1" applyFont="1" applyFill="1" applyBorder="1"/>
    <xf numFmtId="3" fontId="7" fillId="3" borderId="0" xfId="0" applyNumberFormat="1" applyFont="1" applyFill="1" applyAlignment="1">
      <alignment horizontal="center"/>
    </xf>
    <xf numFmtId="3" fontId="4" fillId="3" borderId="0" xfId="0" applyNumberFormat="1" applyFont="1" applyFill="1" applyAlignment="1">
      <alignment horizontal="center"/>
    </xf>
    <xf numFmtId="3" fontId="7" fillId="3" borderId="0" xfId="0" applyNumberFormat="1" applyFont="1" applyFill="1" applyAlignment="1">
      <alignment horizontal="right"/>
    </xf>
    <xf numFmtId="3" fontId="7" fillId="4" borderId="4" xfId="0" applyNumberFormat="1" applyFont="1" applyFill="1" applyBorder="1" applyAlignment="1">
      <alignment horizontal="right"/>
    </xf>
    <xf numFmtId="3" fontId="7" fillId="4" borderId="4" xfId="0" applyNumberFormat="1" applyFont="1" applyFill="1" applyBorder="1"/>
    <xf numFmtId="3" fontId="7" fillId="3" borderId="0" xfId="0" applyNumberFormat="1" applyFont="1" applyFill="1"/>
    <xf numFmtId="0" fontId="4" fillId="3" borderId="0" xfId="0" applyFont="1" applyFill="1"/>
    <xf numFmtId="0" fontId="7" fillId="3" borderId="0" xfId="0" applyFont="1" applyFill="1"/>
    <xf numFmtId="0" fontId="12" fillId="3" borderId="0" xfId="8" applyFont="1" applyFill="1" applyAlignment="1">
      <alignment horizontal="center"/>
    </xf>
    <xf numFmtId="165" fontId="7" fillId="0" borderId="31" xfId="0" applyNumberFormat="1" applyFont="1" applyBorder="1" applyAlignment="1">
      <alignment horizontal="right"/>
    </xf>
    <xf numFmtId="0" fontId="3" fillId="0" borderId="7" xfId="8" applyBorder="1" applyAlignment="1">
      <alignment horizontal="center"/>
    </xf>
    <xf numFmtId="2" fontId="0" fillId="0" borderId="0" xfId="0" applyNumberFormat="1"/>
    <xf numFmtId="165" fontId="4" fillId="0" borderId="3" xfId="8" applyNumberFormat="1" applyFont="1" applyBorder="1"/>
    <xf numFmtId="1" fontId="7" fillId="0" borderId="15" xfId="0" applyNumberFormat="1" applyFont="1" applyBorder="1" applyAlignment="1">
      <alignment horizontal="center"/>
    </xf>
    <xf numFmtId="1" fontId="7" fillId="0" borderId="6" xfId="0" applyNumberFormat="1" applyFont="1" applyBorder="1" applyAlignment="1">
      <alignment horizontal="right"/>
    </xf>
    <xf numFmtId="164" fontId="7" fillId="0" borderId="7" xfId="0" applyNumberFormat="1" applyFont="1" applyBorder="1"/>
    <xf numFmtId="171" fontId="7" fillId="0" borderId="0" xfId="0" applyNumberFormat="1" applyFont="1" applyAlignment="1">
      <alignment horizontal="right"/>
    </xf>
    <xf numFmtId="3" fontId="7" fillId="0" borderId="29" xfId="0" applyNumberFormat="1" applyFont="1" applyBorder="1"/>
    <xf numFmtId="164" fontId="7" fillId="0" borderId="5" xfId="0" applyNumberFormat="1" applyFont="1" applyBorder="1" applyAlignment="1">
      <alignment horizontal="right"/>
    </xf>
    <xf numFmtId="164" fontId="7" fillId="0" borderId="32" xfId="0" applyNumberFormat="1" applyFont="1" applyBorder="1"/>
    <xf numFmtId="3" fontId="7" fillId="0" borderId="29" xfId="0" applyNumberFormat="1" applyFont="1" applyBorder="1" applyAlignment="1">
      <alignment horizontal="right"/>
    </xf>
    <xf numFmtId="1" fontId="7" fillId="0" borderId="7" xfId="0" applyNumberFormat="1" applyFont="1" applyBorder="1"/>
    <xf numFmtId="1" fontId="7" fillId="0" borderId="7" xfId="0" applyNumberFormat="1" applyFont="1" applyBorder="1" applyAlignment="1">
      <alignment horizontal="right"/>
    </xf>
    <xf numFmtId="164" fontId="7" fillId="0" borderId="22" xfId="8" applyNumberFormat="1" applyFont="1" applyBorder="1" applyAlignment="1">
      <alignment horizontal="right"/>
    </xf>
    <xf numFmtId="3" fontId="7" fillId="0" borderId="30" xfId="0" applyNumberFormat="1" applyFont="1" applyBorder="1" applyAlignment="1">
      <alignment horizontal="right"/>
    </xf>
    <xf numFmtId="165" fontId="7" fillId="0" borderId="22" xfId="8" applyNumberFormat="1" applyFont="1" applyBorder="1" applyAlignment="1">
      <alignment horizontal="right"/>
    </xf>
    <xf numFmtId="164" fontId="8" fillId="0" borderId="0" xfId="0" applyNumberFormat="1" applyFont="1"/>
    <xf numFmtId="164" fontId="7" fillId="0" borderId="0" xfId="1" applyNumberFormat="1" applyFont="1"/>
    <xf numFmtId="165" fontId="7" fillId="3" borderId="0" xfId="0" applyNumberFormat="1" applyFont="1" applyFill="1"/>
    <xf numFmtId="165" fontId="7" fillId="3" borderId="0" xfId="0" applyNumberFormat="1" applyFont="1" applyFill="1" applyAlignment="1">
      <alignment horizontal="centerContinuous"/>
    </xf>
    <xf numFmtId="165" fontId="7" fillId="3" borderId="27" xfId="0" applyNumberFormat="1" applyFont="1" applyFill="1" applyBorder="1"/>
    <xf numFmtId="165" fontId="8" fillId="3" borderId="3" xfId="0" applyNumberFormat="1" applyFont="1" applyFill="1" applyBorder="1"/>
    <xf numFmtId="3" fontId="4" fillId="3" borderId="0" xfId="8" applyNumberFormat="1" applyFont="1" applyFill="1" applyAlignment="1">
      <alignment horizontal="center"/>
    </xf>
    <xf numFmtId="164" fontId="4" fillId="3" borderId="0" xfId="8" applyNumberFormat="1" applyFont="1" applyFill="1" applyAlignment="1">
      <alignment horizontal="center"/>
    </xf>
    <xf numFmtId="3" fontId="7" fillId="4" borderId="4" xfId="8" applyNumberFormat="1" applyFont="1" applyFill="1" applyBorder="1"/>
    <xf numFmtId="3" fontId="7" fillId="3" borderId="0" xfId="8" applyNumberFormat="1" applyFont="1" applyFill="1"/>
    <xf numFmtId="164" fontId="8" fillId="3" borderId="3" xfId="8" applyNumberFormat="1" applyFont="1" applyFill="1" applyBorder="1"/>
    <xf numFmtId="1" fontId="7" fillId="3" borderId="0" xfId="8" applyNumberFormat="1" applyFont="1" applyFill="1" applyAlignment="1">
      <alignment horizontal="right"/>
    </xf>
    <xf numFmtId="1" fontId="7" fillId="3" borderId="0" xfId="8" applyNumberFormat="1" applyFont="1" applyFill="1" applyAlignment="1">
      <alignment horizontal="center"/>
    </xf>
    <xf numFmtId="165" fontId="7" fillId="0" borderId="0" xfId="12" applyNumberFormat="1" applyFont="1"/>
    <xf numFmtId="1" fontId="7" fillId="3" borderId="0" xfId="8" applyNumberFormat="1" applyFont="1" applyFill="1"/>
    <xf numFmtId="164" fontId="7" fillId="0" borderId="17" xfId="8" applyNumberFormat="1" applyFont="1" applyBorder="1" applyAlignment="1">
      <alignment horizontal="right"/>
    </xf>
    <xf numFmtId="1" fontId="7" fillId="1" borderId="9" xfId="0" applyNumberFormat="1" applyFont="1" applyFill="1" applyBorder="1" applyAlignment="1">
      <alignment horizontal="right"/>
    </xf>
    <xf numFmtId="3" fontId="7" fillId="1" borderId="35" xfId="0" applyNumberFormat="1" applyFont="1" applyFill="1" applyBorder="1" applyAlignment="1">
      <alignment horizontal="right"/>
    </xf>
    <xf numFmtId="0" fontId="4" fillId="0" borderId="7" xfId="0" applyFont="1" applyBorder="1" applyAlignment="1">
      <alignment horizontal="center"/>
    </xf>
    <xf numFmtId="3" fontId="4" fillId="0" borderId="7" xfId="8" applyNumberFormat="1" applyFont="1" applyBorder="1" applyAlignment="1">
      <alignment horizontal="center"/>
    </xf>
    <xf numFmtId="0" fontId="7" fillId="0" borderId="29" xfId="8" applyFont="1" applyBorder="1"/>
    <xf numFmtId="164" fontId="4" fillId="3" borderId="0" xfId="0" applyNumberFormat="1" applyFont="1" applyFill="1" applyAlignment="1">
      <alignment horizontal="center"/>
    </xf>
    <xf numFmtId="165" fontId="4" fillId="0" borderId="0" xfId="0" quotePrefix="1" applyNumberFormat="1" applyFont="1" applyAlignment="1">
      <alignment horizontal="center"/>
    </xf>
    <xf numFmtId="164" fontId="12" fillId="0" borderId="29" xfId="0" applyNumberFormat="1" applyFont="1" applyBorder="1" applyAlignment="1">
      <alignment horizontal="left"/>
    </xf>
    <xf numFmtId="165" fontId="20" fillId="0" borderId="0" xfId="0" applyNumberFormat="1" applyFont="1" applyAlignment="1">
      <alignment horizontal="center"/>
    </xf>
    <xf numFmtId="3" fontId="20" fillId="0" borderId="0" xfId="0" applyNumberFormat="1" applyFont="1" applyAlignment="1">
      <alignment horizontal="center"/>
    </xf>
    <xf numFmtId="164" fontId="7" fillId="3" borderId="0" xfId="8" applyNumberFormat="1" applyFont="1" applyFill="1" applyAlignment="1">
      <alignment horizontal="center"/>
    </xf>
    <xf numFmtId="164" fontId="7" fillId="3" borderId="3" xfId="0" applyNumberFormat="1" applyFont="1" applyFill="1" applyBorder="1" applyAlignment="1">
      <alignment horizontal="center"/>
    </xf>
    <xf numFmtId="164" fontId="7" fillId="4" borderId="4" xfId="8" applyNumberFormat="1" applyFont="1" applyFill="1" applyBorder="1" applyAlignment="1">
      <alignment horizontal="right"/>
    </xf>
    <xf numFmtId="164" fontId="7" fillId="3" borderId="0" xfId="8" applyNumberFormat="1" applyFont="1" applyFill="1" applyAlignment="1">
      <alignment horizontal="right"/>
    </xf>
    <xf numFmtId="4" fontId="7" fillId="3" borderId="0" xfId="8" applyNumberFormat="1" applyFont="1" applyFill="1" applyAlignment="1">
      <alignment horizontal="right"/>
    </xf>
    <xf numFmtId="0" fontId="0" fillId="5" borderId="0" xfId="0" applyFill="1"/>
    <xf numFmtId="1" fontId="0" fillId="0" borderId="0" xfId="0" applyNumberFormat="1"/>
    <xf numFmtId="0" fontId="0" fillId="3" borderId="0" xfId="0" applyFill="1"/>
    <xf numFmtId="165" fontId="7" fillId="3" borderId="0" xfId="8" applyNumberFormat="1" applyFont="1" applyFill="1"/>
    <xf numFmtId="165" fontId="7" fillId="3" borderId="27" xfId="8" applyNumberFormat="1" applyFont="1" applyFill="1" applyBorder="1"/>
    <xf numFmtId="3" fontId="7" fillId="3" borderId="27" xfId="0" applyNumberFormat="1" applyFont="1" applyFill="1" applyBorder="1"/>
    <xf numFmtId="165" fontId="7" fillId="3" borderId="3" xfId="8" applyNumberFormat="1" applyFont="1" applyFill="1" applyBorder="1"/>
    <xf numFmtId="3" fontId="7" fillId="3" borderId="3" xfId="0" applyNumberFormat="1" applyFont="1" applyFill="1" applyBorder="1"/>
    <xf numFmtId="165" fontId="4" fillId="3" borderId="0" xfId="8" applyNumberFormat="1" applyFont="1" applyFill="1" applyAlignment="1">
      <alignment horizontal="center"/>
    </xf>
    <xf numFmtId="165" fontId="4" fillId="3" borderId="0" xfId="0" applyNumberFormat="1" applyFont="1" applyFill="1" applyAlignment="1">
      <alignment horizontal="center"/>
    </xf>
    <xf numFmtId="165" fontId="4" fillId="3" borderId="10" xfId="0" applyNumberFormat="1" applyFont="1" applyFill="1" applyBorder="1" applyAlignment="1">
      <alignment horizontal="center"/>
    </xf>
    <xf numFmtId="3" fontId="0" fillId="3" borderId="0" xfId="0" applyNumberFormat="1" applyFill="1"/>
    <xf numFmtId="4" fontId="7" fillId="4" borderId="4" xfId="8" applyNumberFormat="1" applyFont="1" applyFill="1" applyBorder="1" applyAlignment="1">
      <alignment horizontal="right"/>
    </xf>
    <xf numFmtId="165" fontId="7" fillId="4" borderId="4" xfId="0" applyNumberFormat="1" applyFont="1" applyFill="1" applyBorder="1" applyAlignment="1">
      <alignment horizontal="right"/>
    </xf>
    <xf numFmtId="1" fontId="7" fillId="3" borderId="0" xfId="0" applyNumberFormat="1" applyFont="1" applyFill="1" applyAlignment="1">
      <alignment horizontal="center"/>
    </xf>
    <xf numFmtId="4" fontId="0" fillId="3" borderId="0" xfId="0" applyNumberFormat="1" applyFill="1"/>
    <xf numFmtId="165" fontId="7" fillId="3" borderId="0" xfId="0" applyNumberFormat="1" applyFont="1" applyFill="1" applyAlignment="1">
      <alignment horizontal="right"/>
    </xf>
    <xf numFmtId="4" fontId="7" fillId="3" borderId="0" xfId="8" applyNumberFormat="1" applyFont="1" applyFill="1"/>
    <xf numFmtId="165" fontId="7" fillId="4" borderId="4" xfId="8" applyNumberFormat="1" applyFont="1" applyFill="1" applyBorder="1"/>
    <xf numFmtId="165" fontId="7" fillId="4" borderId="4" xfId="0" applyNumberFormat="1" applyFont="1" applyFill="1" applyBorder="1"/>
    <xf numFmtId="3" fontId="8" fillId="3" borderId="0" xfId="8" applyNumberFormat="1" applyFont="1" applyFill="1"/>
    <xf numFmtId="4" fontId="7" fillId="3" borderId="0" xfId="0" applyNumberFormat="1" applyFont="1" applyFill="1"/>
    <xf numFmtId="3" fontId="7" fillId="0" borderId="0" xfId="0" applyNumberFormat="1" applyFont="1" applyAlignment="1">
      <alignment horizontal="center"/>
    </xf>
    <xf numFmtId="165" fontId="9" fillId="0" borderId="19" xfId="0" applyNumberFormat="1" applyFont="1" applyBorder="1" applyAlignment="1">
      <alignment horizontal="center"/>
    </xf>
    <xf numFmtId="4" fontId="7" fillId="0" borderId="6" xfId="0" applyNumberFormat="1" applyFont="1" applyBorder="1" applyAlignment="1">
      <alignment horizontal="center"/>
    </xf>
    <xf numFmtId="164" fontId="7" fillId="3" borderId="0" xfId="0" applyNumberFormat="1" applyFont="1" applyFill="1"/>
    <xf numFmtId="164" fontId="7" fillId="3" borderId="27" xfId="0" applyNumberFormat="1" applyFont="1" applyFill="1" applyBorder="1"/>
    <xf numFmtId="164" fontId="7" fillId="3" borderId="0" xfId="0" applyNumberFormat="1" applyFont="1" applyFill="1" applyAlignment="1">
      <alignment horizontal="right"/>
    </xf>
    <xf numFmtId="164" fontId="7" fillId="4" borderId="4" xfId="0" applyNumberFormat="1" applyFont="1" applyFill="1" applyBorder="1" applyAlignment="1">
      <alignment horizontal="right"/>
    </xf>
    <xf numFmtId="164" fontId="7" fillId="3" borderId="0" xfId="0" applyNumberFormat="1" applyFont="1" applyFill="1" applyAlignment="1">
      <alignment horizontal="center"/>
    </xf>
    <xf numFmtId="164" fontId="7" fillId="0" borderId="32" xfId="8" applyNumberFormat="1" applyFont="1" applyBorder="1" applyAlignment="1">
      <alignment horizontal="right"/>
    </xf>
    <xf numFmtId="165" fontId="7" fillId="0" borderId="7" xfId="0" applyNumberFormat="1" applyFont="1" applyBorder="1"/>
    <xf numFmtId="1" fontId="7" fillId="1" borderId="11" xfId="0" applyNumberFormat="1" applyFont="1" applyFill="1" applyBorder="1" applyAlignment="1">
      <alignment horizontal="right"/>
    </xf>
    <xf numFmtId="1" fontId="7" fillId="1" borderId="35" xfId="0" applyNumberFormat="1" applyFont="1" applyFill="1" applyBorder="1" applyAlignment="1">
      <alignment horizontal="right"/>
    </xf>
    <xf numFmtId="171" fontId="7" fillId="1" borderId="11" xfId="0" applyNumberFormat="1" applyFont="1" applyFill="1" applyBorder="1" applyAlignment="1">
      <alignment horizontal="right"/>
    </xf>
    <xf numFmtId="165" fontId="4" fillId="0" borderId="7" xfId="0" applyNumberFormat="1" applyFont="1" applyBorder="1"/>
    <xf numFmtId="3" fontId="4" fillId="0" borderId="7" xfId="0" applyNumberFormat="1" applyFont="1" applyBorder="1"/>
    <xf numFmtId="4" fontId="7" fillId="3" borderId="0" xfId="0" applyNumberFormat="1" applyFont="1" applyFill="1" applyAlignment="1">
      <alignment horizontal="right"/>
    </xf>
    <xf numFmtId="0" fontId="0" fillId="0" borderId="0" xfId="0" applyBorder="1"/>
    <xf numFmtId="164" fontId="12" fillId="0" borderId="7" xfId="0" applyNumberFormat="1" applyFont="1" applyBorder="1" applyAlignment="1">
      <alignment horizontal="center" vertical="center"/>
    </xf>
    <xf numFmtId="164" fontId="12" fillId="0" borderId="7" xfId="0" applyNumberFormat="1" applyFont="1" applyBorder="1" applyAlignment="1">
      <alignment horizontal="center"/>
    </xf>
    <xf numFmtId="0" fontId="7" fillId="0" borderId="15" xfId="0" applyFont="1" applyBorder="1"/>
    <xf numFmtId="164" fontId="12" fillId="0" borderId="6" xfId="0" applyNumberFormat="1" applyFont="1" applyBorder="1" applyAlignment="1">
      <alignment horizontal="center" vertical="center"/>
    </xf>
    <xf numFmtId="164" fontId="12" fillId="0" borderId="6" xfId="0" applyNumberFormat="1" applyFont="1" applyBorder="1" applyAlignment="1">
      <alignment horizontal="center"/>
    </xf>
    <xf numFmtId="0" fontId="3" fillId="0" borderId="6" xfId="8" applyBorder="1"/>
    <xf numFmtId="3" fontId="7" fillId="0" borderId="0" xfId="0" applyNumberFormat="1" applyFont="1" applyBorder="1" applyAlignment="1">
      <alignment horizontal="right"/>
    </xf>
    <xf numFmtId="164" fontId="22" fillId="0" borderId="6" xfId="0" applyNumberFormat="1" applyFont="1" applyBorder="1" applyAlignment="1">
      <alignment horizontal="center" vertical="center"/>
    </xf>
    <xf numFmtId="171" fontId="7" fillId="0" borderId="6" xfId="0" applyNumberFormat="1" applyFont="1" applyFill="1" applyBorder="1" applyAlignment="1">
      <alignment horizontal="right"/>
    </xf>
    <xf numFmtId="165" fontId="7" fillId="0" borderId="0" xfId="1" applyNumberFormat="1" applyFont="1" applyFill="1" applyAlignment="1">
      <alignment horizontal="right"/>
    </xf>
    <xf numFmtId="3" fontId="7" fillId="0" borderId="0" xfId="0" applyNumberFormat="1" applyFont="1" applyFill="1" applyAlignment="1">
      <alignment horizontal="right"/>
    </xf>
    <xf numFmtId="2" fontId="7" fillId="0" borderId="0" xfId="8" applyNumberFormat="1" applyFont="1" applyFill="1" applyAlignment="1">
      <alignment horizontal="right"/>
    </xf>
    <xf numFmtId="2" fontId="4" fillId="0" borderId="0" xfId="0" applyNumberFormat="1" applyFont="1" applyFill="1" applyAlignment="1">
      <alignment horizontal="center"/>
    </xf>
    <xf numFmtId="1" fontId="7" fillId="0" borderId="0" xfId="0" applyNumberFormat="1" applyFont="1" applyFill="1" applyAlignment="1">
      <alignment horizontal="center"/>
    </xf>
    <xf numFmtId="0" fontId="4" fillId="0" borderId="0" xfId="0" applyFont="1" applyFill="1" applyAlignment="1">
      <alignment horizontal="center"/>
    </xf>
    <xf numFmtId="164" fontId="7" fillId="0" borderId="0" xfId="8" applyNumberFormat="1" applyFont="1" applyFill="1" applyAlignment="1">
      <alignment horizontal="center"/>
    </xf>
    <xf numFmtId="171" fontId="7" fillId="0" borderId="6" xfId="8" applyNumberFormat="1" applyFont="1" applyFill="1" applyBorder="1" applyAlignment="1">
      <alignment horizontal="right"/>
    </xf>
    <xf numFmtId="3" fontId="7" fillId="0" borderId="0" xfId="8" applyNumberFormat="1" applyFont="1" applyFill="1" applyAlignment="1">
      <alignment horizontal="right"/>
    </xf>
    <xf numFmtId="164" fontId="7" fillId="0" borderId="0" xfId="0" applyNumberFormat="1" applyFont="1" applyFill="1" applyAlignment="1">
      <alignment horizontal="right"/>
    </xf>
    <xf numFmtId="164" fontId="7" fillId="0" borderId="0" xfId="8" applyNumberFormat="1" applyFont="1" applyFill="1" applyAlignment="1">
      <alignment horizontal="right"/>
    </xf>
    <xf numFmtId="164" fontId="4" fillId="0" borderId="0" xfId="0" applyNumberFormat="1" applyFont="1" applyFill="1" applyAlignment="1">
      <alignment horizontal="center"/>
    </xf>
    <xf numFmtId="165" fontId="4" fillId="0" borderId="6" xfId="8" applyNumberFormat="1" applyFont="1" applyFill="1" applyBorder="1" applyAlignment="1">
      <alignment horizontal="center"/>
    </xf>
    <xf numFmtId="165" fontId="7" fillId="0" borderId="0" xfId="0" applyNumberFormat="1" applyFont="1" applyFill="1" applyAlignment="1">
      <alignment horizontal="right"/>
    </xf>
    <xf numFmtId="2" fontId="4" fillId="0" borderId="0" xfId="8" applyNumberFormat="1" applyFont="1" applyFill="1" applyAlignment="1">
      <alignment horizontal="center"/>
    </xf>
    <xf numFmtId="165" fontId="4" fillId="0" borderId="0" xfId="0" applyNumberFormat="1" applyFont="1" applyFill="1" applyAlignment="1">
      <alignment horizontal="center"/>
    </xf>
    <xf numFmtId="3" fontId="4" fillId="0" borderId="0" xfId="0" applyNumberFormat="1" applyFont="1" applyFill="1" applyAlignment="1">
      <alignment horizontal="center"/>
    </xf>
    <xf numFmtId="1" fontId="4" fillId="0" borderId="0" xfId="0" applyNumberFormat="1" applyFont="1" applyFill="1" applyAlignment="1">
      <alignment horizontal="center"/>
    </xf>
    <xf numFmtId="3" fontId="4" fillId="0" borderId="0" xfId="8" applyNumberFormat="1" applyFont="1" applyFill="1" applyAlignment="1">
      <alignment horizontal="center"/>
    </xf>
    <xf numFmtId="165" fontId="7" fillId="0" borderId="0" xfId="8" applyNumberFormat="1" applyFont="1" applyFill="1" applyAlignment="1">
      <alignment horizontal="right"/>
    </xf>
    <xf numFmtId="165" fontId="7" fillId="0" borderId="10" xfId="0" applyNumberFormat="1" applyFont="1" applyFill="1" applyBorder="1" applyAlignment="1">
      <alignment horizontal="right"/>
    </xf>
    <xf numFmtId="1" fontId="7" fillId="0" borderId="0" xfId="0" applyNumberFormat="1" applyFont="1" applyFill="1" applyAlignment="1">
      <alignment horizontal="right"/>
    </xf>
    <xf numFmtId="164" fontId="7" fillId="0" borderId="0" xfId="0" applyNumberFormat="1" applyFont="1" applyFill="1"/>
    <xf numFmtId="0" fontId="7" fillId="0" borderId="7" xfId="0" applyFont="1" applyFill="1" applyBorder="1"/>
    <xf numFmtId="4" fontId="7" fillId="0" borderId="6" xfId="0" applyNumberFormat="1" applyFont="1" applyFill="1" applyBorder="1" applyAlignment="1">
      <alignment horizontal="right"/>
    </xf>
    <xf numFmtId="3" fontId="7" fillId="0" borderId="0" xfId="0" quotePrefix="1" applyNumberFormat="1" applyFont="1" applyFill="1"/>
    <xf numFmtId="165" fontId="7" fillId="0" borderId="7" xfId="0" applyNumberFormat="1" applyFont="1" applyFill="1" applyBorder="1" applyAlignment="1">
      <alignment horizontal="right"/>
    </xf>
    <xf numFmtId="4" fontId="7" fillId="0" borderId="0" xfId="8" applyNumberFormat="1" applyFont="1" applyFill="1" applyAlignment="1">
      <alignment horizontal="right"/>
    </xf>
    <xf numFmtId="4" fontId="7" fillId="0" borderId="0" xfId="0" applyNumberFormat="1" applyFont="1" applyFill="1" applyAlignment="1">
      <alignment horizontal="right"/>
    </xf>
    <xf numFmtId="2" fontId="7" fillId="0" borderId="5" xfId="0" applyNumberFormat="1" applyFont="1" applyFill="1" applyBorder="1" applyAlignment="1">
      <alignment horizontal="right"/>
    </xf>
    <xf numFmtId="165" fontId="7" fillId="0" borderId="5" xfId="0" applyNumberFormat="1" applyFont="1" applyFill="1" applyBorder="1" applyAlignment="1">
      <alignment horizontal="right"/>
    </xf>
    <xf numFmtId="1" fontId="7" fillId="0" borderId="0" xfId="8" applyNumberFormat="1" applyFont="1" applyFill="1" applyAlignment="1">
      <alignment horizontal="right"/>
    </xf>
    <xf numFmtId="4" fontId="7" fillId="0" borderId="0" xfId="0" applyNumberFormat="1" applyFont="1" applyFill="1"/>
    <xf numFmtId="0" fontId="0" fillId="0" borderId="7" xfId="0" applyFill="1" applyBorder="1"/>
    <xf numFmtId="165" fontId="7" fillId="0" borderId="29" xfId="0" applyNumberFormat="1" applyFont="1" applyFill="1" applyBorder="1"/>
    <xf numFmtId="165" fontId="7" fillId="0" borderId="6" xfId="0" applyNumberFormat="1" applyFont="1" applyFill="1" applyBorder="1"/>
    <xf numFmtId="165" fontId="7" fillId="0" borderId="7" xfId="0" applyNumberFormat="1" applyFont="1" applyFill="1" applyBorder="1"/>
    <xf numFmtId="3" fontId="7" fillId="0" borderId="0" xfId="8" applyNumberFormat="1" applyFont="1" applyAlignment="1">
      <alignment horizontal="center" vertical="center"/>
    </xf>
    <xf numFmtId="164" fontId="7" fillId="0" borderId="0" xfId="12" applyNumberFormat="1" applyFont="1"/>
    <xf numFmtId="165" fontId="7" fillId="0" borderId="0" xfId="8" applyNumberFormat="1" applyFont="1" applyFill="1"/>
    <xf numFmtId="2" fontId="7" fillId="0" borderId="0" xfId="0" applyNumberFormat="1" applyFont="1" applyFill="1" applyAlignment="1">
      <alignment horizontal="right"/>
    </xf>
    <xf numFmtId="165" fontId="4" fillId="0" borderId="10" xfId="8" applyNumberFormat="1" applyFont="1" applyFill="1" applyBorder="1" applyAlignment="1">
      <alignment horizontal="center"/>
    </xf>
    <xf numFmtId="165" fontId="7" fillId="0" borderId="10" xfId="8" applyNumberFormat="1" applyFont="1" applyFill="1" applyBorder="1" applyAlignment="1">
      <alignment horizontal="right"/>
    </xf>
    <xf numFmtId="165" fontId="4" fillId="0" borderId="0" xfId="8" applyNumberFormat="1" applyFont="1" applyFill="1" applyAlignment="1">
      <alignment horizontal="center"/>
    </xf>
    <xf numFmtId="164" fontId="4" fillId="0" borderId="0" xfId="8" applyNumberFormat="1" applyFont="1" applyFill="1" applyAlignment="1">
      <alignment horizontal="center"/>
    </xf>
    <xf numFmtId="165" fontId="4" fillId="0" borderId="16" xfId="0" applyNumberFormat="1" applyFont="1" applyFill="1" applyBorder="1" applyAlignment="1">
      <alignment horizontal="centerContinuous"/>
    </xf>
    <xf numFmtId="2" fontId="7" fillId="0" borderId="0" xfId="0" applyNumberFormat="1" applyFont="1" applyFill="1" applyAlignment="1">
      <alignment horizontal="center"/>
    </xf>
    <xf numFmtId="3" fontId="7" fillId="0" borderId="0" xfId="0" applyNumberFormat="1" applyFont="1" applyFill="1"/>
    <xf numFmtId="165" fontId="7" fillId="0" borderId="0" xfId="0" applyNumberFormat="1" applyFont="1" applyFill="1"/>
    <xf numFmtId="0" fontId="0" fillId="0" borderId="0" xfId="0" applyFill="1"/>
    <xf numFmtId="2" fontId="7" fillId="1" borderId="11" xfId="8" applyNumberFormat="1" applyFont="1" applyFill="1" applyBorder="1" applyAlignment="1">
      <alignment horizontal="center"/>
    </xf>
    <xf numFmtId="0" fontId="7" fillId="0" borderId="32" xfId="0" applyFont="1" applyBorder="1"/>
    <xf numFmtId="164" fontId="7" fillId="0" borderId="7" xfId="0" applyNumberFormat="1" applyFont="1" applyBorder="1" applyAlignment="1">
      <alignment horizontal="right"/>
    </xf>
    <xf numFmtId="164" fontId="7" fillId="0" borderId="31" xfId="0" applyNumberFormat="1" applyFont="1" applyBorder="1" applyAlignment="1">
      <alignment horizontal="right"/>
    </xf>
    <xf numFmtId="1" fontId="7" fillId="0" borderId="32" xfId="0" applyNumberFormat="1" applyFont="1" applyBorder="1" applyAlignment="1">
      <alignment horizontal="right"/>
    </xf>
    <xf numFmtId="165" fontId="7" fillId="1" borderId="35" xfId="0" applyNumberFormat="1" applyFont="1" applyFill="1" applyBorder="1"/>
    <xf numFmtId="165" fontId="9" fillId="0" borderId="16" xfId="0" applyNumberFormat="1" applyFont="1" applyFill="1" applyBorder="1" applyAlignment="1">
      <alignment horizontal="centerContinuous"/>
    </xf>
    <xf numFmtId="165" fontId="4" fillId="0" borderId="0" xfId="0" applyNumberFormat="1" applyFont="1" applyFill="1" applyBorder="1" applyAlignment="1">
      <alignment horizontal="center"/>
    </xf>
    <xf numFmtId="3" fontId="7" fillId="0" borderId="0" xfId="0" applyNumberFormat="1" applyFont="1" applyFill="1" applyBorder="1"/>
    <xf numFmtId="4" fontId="7" fillId="1" borderId="4" xfId="0" applyNumberFormat="1" applyFont="1" applyFill="1" applyBorder="1"/>
    <xf numFmtId="165" fontId="7" fillId="0" borderId="0" xfId="0" applyNumberFormat="1" applyFont="1" applyFill="1" applyBorder="1"/>
    <xf numFmtId="165" fontId="7" fillId="0" borderId="0" xfId="0" applyNumberFormat="1" applyFont="1" applyBorder="1"/>
    <xf numFmtId="3" fontId="7" fillId="0" borderId="0" xfId="0" applyNumberFormat="1" applyFont="1" applyBorder="1"/>
    <xf numFmtId="165" fontId="9" fillId="0" borderId="7" xfId="0" applyNumberFormat="1" applyFont="1" applyBorder="1" applyAlignment="1">
      <alignment horizontal="center"/>
    </xf>
    <xf numFmtId="1" fontId="7" fillId="0" borderId="7" xfId="0" applyNumberFormat="1" applyFont="1" applyBorder="1" applyAlignment="1">
      <alignment horizontal="center"/>
    </xf>
    <xf numFmtId="165" fontId="7" fillId="0" borderId="32" xfId="0" applyNumberFormat="1" applyFont="1" applyBorder="1"/>
    <xf numFmtId="164" fontId="7" fillId="0" borderId="6" xfId="8" applyNumberFormat="1" applyFont="1" applyFill="1" applyBorder="1" applyAlignment="1">
      <alignment horizontal="right"/>
    </xf>
    <xf numFmtId="3" fontId="4" fillId="0" borderId="6" xfId="0" applyNumberFormat="1" applyFont="1" applyFill="1" applyBorder="1" applyAlignment="1">
      <alignment horizontal="center"/>
    </xf>
    <xf numFmtId="171" fontId="7" fillId="0" borderId="0" xfId="8" applyNumberFormat="1" applyFont="1" applyFill="1" applyAlignment="1">
      <alignment horizontal="right"/>
    </xf>
    <xf numFmtId="171" fontId="4" fillId="0" borderId="6" xfId="0" applyNumberFormat="1" applyFont="1" applyFill="1" applyBorder="1" applyAlignment="1">
      <alignment horizontal="center"/>
    </xf>
    <xf numFmtId="0" fontId="7" fillId="0" borderId="0" xfId="8" applyFont="1" applyFill="1" applyAlignment="1">
      <alignment horizontal="right"/>
    </xf>
    <xf numFmtId="4" fontId="7" fillId="0" borderId="6" xfId="8" applyNumberFormat="1" applyFont="1" applyFill="1" applyBorder="1" applyAlignment="1">
      <alignment horizontal="right"/>
    </xf>
    <xf numFmtId="166" fontId="7" fillId="0" borderId="0" xfId="8" applyNumberFormat="1" applyFont="1" applyFill="1" applyAlignment="1">
      <alignment horizontal="right"/>
    </xf>
    <xf numFmtId="0" fontId="7" fillId="0" borderId="0" xfId="8" applyFont="1" applyFill="1"/>
    <xf numFmtId="0" fontId="7" fillId="0" borderId="7" xfId="8" applyFont="1" applyFill="1" applyBorder="1"/>
    <xf numFmtId="173" fontId="7" fillId="0" borderId="0" xfId="8" applyNumberFormat="1" applyFont="1" applyFill="1" applyAlignment="1">
      <alignment horizontal="right"/>
    </xf>
    <xf numFmtId="3" fontId="7" fillId="0" borderId="6" xfId="0" applyNumberFormat="1" applyFont="1" applyFill="1" applyBorder="1" applyAlignment="1">
      <alignment horizontal="right"/>
    </xf>
    <xf numFmtId="165" fontId="7" fillId="0" borderId="6" xfId="8" applyNumberFormat="1" applyFont="1" applyFill="1" applyBorder="1" applyAlignment="1">
      <alignment horizontal="right"/>
    </xf>
    <xf numFmtId="1" fontId="4" fillId="0" borderId="0" xfId="8" applyNumberFormat="1" applyFont="1" applyFill="1" applyAlignment="1">
      <alignment horizontal="center"/>
    </xf>
    <xf numFmtId="169" fontId="7" fillId="0" borderId="0" xfId="0" applyNumberFormat="1" applyFont="1" applyFill="1" applyAlignment="1">
      <alignment horizontal="right"/>
    </xf>
    <xf numFmtId="167" fontId="7" fillId="0" borderId="0" xfId="0" applyNumberFormat="1" applyFont="1" applyFill="1" applyAlignment="1">
      <alignment horizontal="right"/>
    </xf>
    <xf numFmtId="0" fontId="7" fillId="0" borderId="0" xfId="0" applyFont="1" applyFill="1" applyAlignment="1">
      <alignment horizontal="right"/>
    </xf>
    <xf numFmtId="0" fontId="7" fillId="0" borderId="0" xfId="0" applyFont="1" applyFill="1"/>
    <xf numFmtId="165" fontId="7" fillId="0" borderId="22" xfId="0" applyNumberFormat="1" applyFont="1" applyFill="1" applyBorder="1"/>
    <xf numFmtId="4" fontId="0" fillId="0" borderId="0" xfId="0" applyNumberFormat="1" applyFill="1"/>
    <xf numFmtId="3" fontId="7" fillId="0" borderId="0" xfId="8" applyNumberFormat="1" applyFont="1" applyFill="1" applyAlignment="1">
      <alignment horizontal="center"/>
    </xf>
    <xf numFmtId="164" fontId="7" fillId="0" borderId="0" xfId="0" applyNumberFormat="1" applyFont="1" applyFill="1" applyAlignment="1">
      <alignment horizontal="center"/>
    </xf>
    <xf numFmtId="3" fontId="3" fillId="0" borderId="6" xfId="8" applyNumberFormat="1" applyBorder="1"/>
    <xf numFmtId="3" fontId="7" fillId="0" borderId="6" xfId="8" applyNumberFormat="1" applyFont="1" applyBorder="1"/>
    <xf numFmtId="165" fontId="4" fillId="0" borderId="0" xfId="0" applyNumberFormat="1" applyFont="1" applyFill="1"/>
    <xf numFmtId="168" fontId="7" fillId="0" borderId="0" xfId="0" applyNumberFormat="1" applyFont="1" applyFill="1"/>
    <xf numFmtId="165" fontId="7" fillId="0" borderId="0" xfId="0" applyNumberFormat="1" applyFont="1" applyFill="1" applyAlignment="1">
      <alignment horizontal="centerContinuous"/>
    </xf>
    <xf numFmtId="3" fontId="7" fillId="0" borderId="0" xfId="0" applyNumberFormat="1" applyFont="1" applyFill="1" applyAlignment="1">
      <alignment horizontal="centerContinuous"/>
    </xf>
    <xf numFmtId="1" fontId="7" fillId="0" borderId="0" xfId="0" applyNumberFormat="1" applyFont="1" applyFill="1" applyAlignment="1">
      <alignment horizontal="centerContinuous"/>
    </xf>
    <xf numFmtId="2" fontId="7" fillId="0" borderId="0" xfId="0" applyNumberFormat="1" applyFont="1" applyFill="1"/>
    <xf numFmtId="164" fontId="4" fillId="0" borderId="0" xfId="0" applyNumberFormat="1" applyFont="1" applyFill="1"/>
    <xf numFmtId="2" fontId="7" fillId="0" borderId="0" xfId="8" applyNumberFormat="1" applyFont="1" applyFill="1" applyAlignment="1">
      <alignment horizontal="center"/>
    </xf>
    <xf numFmtId="171" fontId="7" fillId="0" borderId="0" xfId="0" applyNumberFormat="1" applyFont="1" applyFill="1"/>
    <xf numFmtId="1" fontId="7" fillId="0" borderId="0" xfId="0" applyNumberFormat="1" applyFont="1" applyFill="1"/>
    <xf numFmtId="0" fontId="3" fillId="0" borderId="0" xfId="8" applyFill="1"/>
    <xf numFmtId="165" fontId="7" fillId="0" borderId="27" xfId="0" applyNumberFormat="1" applyFont="1" applyFill="1" applyBorder="1"/>
    <xf numFmtId="165" fontId="7" fillId="0" borderId="27" xfId="8" applyNumberFormat="1" applyFont="1" applyFill="1" applyBorder="1"/>
    <xf numFmtId="1" fontId="7" fillId="0" borderId="0" xfId="8" applyNumberFormat="1" applyFont="1" applyFill="1" applyAlignment="1">
      <alignment horizontal="center"/>
    </xf>
    <xf numFmtId="172" fontId="7" fillId="0" borderId="0" xfId="8" applyNumberFormat="1" applyFont="1" applyFill="1" applyAlignment="1">
      <alignment horizontal="right"/>
    </xf>
    <xf numFmtId="3" fontId="7" fillId="6" borderId="27" xfId="0" applyNumberFormat="1" applyFont="1" applyFill="1" applyBorder="1"/>
    <xf numFmtId="3" fontId="7" fillId="6" borderId="27" xfId="8" applyNumberFormat="1" applyFont="1" applyFill="1" applyBorder="1"/>
    <xf numFmtId="1" fontId="7" fillId="6" borderId="0" xfId="8" applyNumberFormat="1" applyFont="1" applyFill="1"/>
    <xf numFmtId="165" fontId="7" fillId="6" borderId="27" xfId="0" applyNumberFormat="1" applyFont="1" applyFill="1" applyBorder="1"/>
    <xf numFmtId="165" fontId="7" fillId="6" borderId="27" xfId="8" applyNumberFormat="1" applyFont="1" applyFill="1" applyBorder="1"/>
    <xf numFmtId="165" fontId="7" fillId="6" borderId="0" xfId="8" applyNumberFormat="1" applyFont="1" applyFill="1"/>
    <xf numFmtId="164" fontId="7" fillId="6" borderId="27" xfId="0" applyNumberFormat="1" applyFont="1" applyFill="1" applyBorder="1"/>
    <xf numFmtId="166" fontId="7" fillId="6" borderId="27" xfId="0" applyNumberFormat="1" applyFont="1" applyFill="1" applyBorder="1"/>
    <xf numFmtId="166" fontId="7" fillId="6" borderId="27" xfId="8" applyNumberFormat="1" applyFont="1" applyFill="1" applyBorder="1"/>
    <xf numFmtId="173" fontId="7" fillId="6" borderId="27" xfId="8" applyNumberFormat="1" applyFont="1" applyFill="1" applyBorder="1"/>
    <xf numFmtId="172" fontId="7" fillId="6" borderId="27" xfId="8" applyNumberFormat="1" applyFont="1" applyFill="1" applyBorder="1" applyAlignment="1">
      <alignment horizontal="center"/>
    </xf>
    <xf numFmtId="171" fontId="7" fillId="6" borderId="27" xfId="8" applyNumberFormat="1" applyFont="1" applyFill="1" applyBorder="1"/>
    <xf numFmtId="164" fontId="7" fillId="6" borderId="0" xfId="8" applyNumberFormat="1" applyFont="1" applyFill="1"/>
    <xf numFmtId="0" fontId="7" fillId="6" borderId="0" xfId="0" applyFont="1" applyFill="1"/>
    <xf numFmtId="0" fontId="4" fillId="6" borderId="0" xfId="8" applyFont="1" applyFill="1"/>
    <xf numFmtId="0" fontId="7" fillId="6" borderId="0" xfId="8" applyFont="1" applyFill="1"/>
    <xf numFmtId="164" fontId="4" fillId="6" borderId="0" xfId="8" applyNumberFormat="1" applyFont="1" applyFill="1"/>
    <xf numFmtId="164" fontId="4" fillId="6" borderId="0" xfId="0" applyNumberFormat="1" applyFont="1" applyFill="1"/>
    <xf numFmtId="0" fontId="7" fillId="6" borderId="0" xfId="8" applyFont="1" applyFill="1" applyAlignment="1">
      <alignment horizontal="center"/>
    </xf>
    <xf numFmtId="0" fontId="3" fillId="6" borderId="27" xfId="8" applyFill="1" applyBorder="1"/>
    <xf numFmtId="0" fontId="3" fillId="6" borderId="0" xfId="8" applyFill="1"/>
    <xf numFmtId="0" fontId="7" fillId="6" borderId="27" xfId="8" applyFont="1" applyFill="1" applyBorder="1"/>
    <xf numFmtId="0" fontId="7" fillId="6" borderId="27" xfId="0" applyFont="1" applyFill="1" applyBorder="1"/>
    <xf numFmtId="2" fontId="0" fillId="6" borderId="27" xfId="0" applyNumberFormat="1" applyFill="1" applyBorder="1"/>
    <xf numFmtId="0" fontId="0" fillId="6" borderId="27" xfId="0" applyFill="1" applyBorder="1"/>
    <xf numFmtId="165" fontId="7" fillId="7" borderId="27" xfId="0" applyNumberFormat="1" applyFont="1" applyFill="1" applyBorder="1"/>
    <xf numFmtId="3" fontId="7" fillId="7" borderId="27" xfId="0" applyNumberFormat="1" applyFont="1" applyFill="1" applyBorder="1"/>
    <xf numFmtId="167" fontId="7" fillId="7" borderId="27" xfId="0" applyNumberFormat="1" applyFont="1" applyFill="1" applyBorder="1"/>
    <xf numFmtId="165" fontId="7" fillId="7" borderId="27" xfId="8" applyNumberFormat="1" applyFont="1" applyFill="1" applyBorder="1"/>
    <xf numFmtId="3" fontId="7" fillId="7" borderId="27" xfId="8" applyNumberFormat="1" applyFont="1" applyFill="1" applyBorder="1"/>
    <xf numFmtId="167" fontId="7" fillId="7" borderId="27" xfId="8" applyNumberFormat="1" applyFont="1" applyFill="1" applyBorder="1"/>
    <xf numFmtId="165" fontId="7" fillId="7" borderId="0" xfId="8" applyNumberFormat="1" applyFont="1" applyFill="1"/>
    <xf numFmtId="3" fontId="7" fillId="7" borderId="0" xfId="8" applyNumberFormat="1" applyFont="1" applyFill="1"/>
    <xf numFmtId="167" fontId="7" fillId="7" borderId="0" xfId="8" applyNumberFormat="1" applyFont="1" applyFill="1"/>
    <xf numFmtId="2" fontId="7" fillId="6" borderId="0" xfId="8" applyNumberFormat="1" applyFont="1" applyFill="1"/>
    <xf numFmtId="2" fontId="7" fillId="7" borderId="27" xfId="8" applyNumberFormat="1" applyFont="1" applyFill="1" applyBorder="1"/>
    <xf numFmtId="2" fontId="7" fillId="7" borderId="27" xfId="0" applyNumberFormat="1" applyFont="1" applyFill="1" applyBorder="1"/>
    <xf numFmtId="2" fontId="7" fillId="7" borderId="0" xfId="8" applyNumberFormat="1" applyFont="1" applyFill="1"/>
    <xf numFmtId="2" fontId="7" fillId="7" borderId="27" xfId="8" applyNumberFormat="1" applyFont="1" applyFill="1" applyBorder="1" applyAlignment="1">
      <alignment horizontal="center"/>
    </xf>
    <xf numFmtId="2" fontId="7" fillId="7" borderId="27" xfId="0" applyNumberFormat="1" applyFont="1" applyFill="1" applyBorder="1" applyAlignment="1">
      <alignment horizontal="center"/>
    </xf>
    <xf numFmtId="2" fontId="7" fillId="6" borderId="27" xfId="0" applyNumberFormat="1" applyFont="1" applyFill="1" applyBorder="1"/>
    <xf numFmtId="2" fontId="7" fillId="6" borderId="27" xfId="8" applyNumberFormat="1" applyFont="1" applyFill="1" applyBorder="1"/>
    <xf numFmtId="4" fontId="7" fillId="6" borderId="0" xfId="8" applyNumberFormat="1" applyFont="1" applyFill="1"/>
    <xf numFmtId="164" fontId="7" fillId="7" borderId="27" xfId="0" applyNumberFormat="1" applyFont="1" applyFill="1" applyBorder="1"/>
    <xf numFmtId="164" fontId="7" fillId="7" borderId="27" xfId="8" applyNumberFormat="1" applyFont="1" applyFill="1" applyBorder="1"/>
    <xf numFmtId="164" fontId="4" fillId="7" borderId="27" xfId="0" applyNumberFormat="1" applyFont="1" applyFill="1" applyBorder="1"/>
    <xf numFmtId="165" fontId="4" fillId="7" borderId="27" xfId="8" applyNumberFormat="1" applyFont="1" applyFill="1" applyBorder="1"/>
    <xf numFmtId="164" fontId="4" fillId="7" borderId="27" xfId="8" applyNumberFormat="1" applyFont="1" applyFill="1" applyBorder="1"/>
    <xf numFmtId="164" fontId="4" fillId="7" borderId="0" xfId="8" applyNumberFormat="1" applyFont="1" applyFill="1"/>
    <xf numFmtId="165" fontId="4" fillId="7" borderId="27" xfId="0" applyNumberFormat="1" applyFont="1" applyFill="1" applyBorder="1"/>
    <xf numFmtId="2" fontId="4" fillId="7" borderId="27" xfId="8" applyNumberFormat="1" applyFont="1" applyFill="1" applyBorder="1"/>
    <xf numFmtId="1" fontId="7" fillId="7" borderId="0" xfId="0" applyNumberFormat="1" applyFont="1" applyFill="1" applyAlignment="1">
      <alignment horizontal="center"/>
    </xf>
    <xf numFmtId="164" fontId="7" fillId="7" borderId="0" xfId="0" applyNumberFormat="1" applyFont="1" applyFill="1"/>
    <xf numFmtId="0" fontId="7" fillId="7" borderId="0" xfId="0" applyFont="1" applyFill="1"/>
    <xf numFmtId="0" fontId="0" fillId="7" borderId="0" xfId="0" applyFill="1"/>
    <xf numFmtId="3" fontId="7" fillId="7" borderId="0" xfId="0" applyNumberFormat="1" applyFont="1" applyFill="1"/>
    <xf numFmtId="3" fontId="4" fillId="7" borderId="0" xfId="8" applyNumberFormat="1" applyFont="1" applyFill="1"/>
    <xf numFmtId="1" fontId="7" fillId="7" borderId="27" xfId="0" applyNumberFormat="1" applyFont="1" applyFill="1" applyBorder="1"/>
    <xf numFmtId="165" fontId="7" fillId="0" borderId="0" xfId="8" applyNumberFormat="1" applyFont="1" applyBorder="1" applyAlignment="1">
      <alignment horizontal="centerContinuous"/>
    </xf>
    <xf numFmtId="3" fontId="7" fillId="0" borderId="0" xfId="8" applyNumberFormat="1" applyFont="1" applyBorder="1" applyAlignment="1">
      <alignment horizontal="centerContinuous"/>
    </xf>
    <xf numFmtId="165" fontId="7" fillId="3" borderId="0" xfId="0" applyNumberFormat="1" applyFont="1" applyFill="1" applyBorder="1" applyAlignment="1">
      <alignment horizontal="centerContinuous"/>
    </xf>
    <xf numFmtId="0" fontId="7" fillId="7" borderId="27" xfId="0" applyFont="1" applyFill="1" applyBorder="1"/>
    <xf numFmtId="0" fontId="7" fillId="7" borderId="27" xfId="0" applyFont="1" applyFill="1" applyBorder="1" applyAlignment="1">
      <alignment horizontal="center"/>
    </xf>
    <xf numFmtId="0" fontId="7" fillId="7" borderId="0" xfId="0" applyFont="1" applyFill="1" applyAlignment="1">
      <alignment horizontal="center"/>
    </xf>
    <xf numFmtId="171" fontId="7" fillId="7" borderId="27" xfId="0" applyNumberFormat="1" applyFont="1" applyFill="1" applyBorder="1"/>
    <xf numFmtId="1" fontId="7" fillId="7" borderId="27" xfId="0" applyNumberFormat="1" applyFont="1" applyFill="1" applyBorder="1" applyAlignment="1">
      <alignment horizontal="center"/>
    </xf>
    <xf numFmtId="0" fontId="7" fillId="7" borderId="0" xfId="8" applyFont="1" applyFill="1"/>
    <xf numFmtId="171" fontId="7" fillId="7" borderId="27" xfId="8" applyNumberFormat="1" applyFont="1" applyFill="1" applyBorder="1"/>
    <xf numFmtId="1" fontId="7" fillId="7" borderId="27" xfId="8" applyNumberFormat="1" applyFont="1" applyFill="1" applyBorder="1"/>
    <xf numFmtId="1" fontId="7" fillId="7" borderId="27" xfId="8" applyNumberFormat="1" applyFont="1" applyFill="1" applyBorder="1" applyAlignment="1">
      <alignment horizontal="center"/>
    </xf>
    <xf numFmtId="1" fontId="7" fillId="7" borderId="0" xfId="8" applyNumberFormat="1" applyFont="1" applyFill="1" applyAlignment="1">
      <alignment horizontal="center"/>
    </xf>
    <xf numFmtId="0" fontId="4" fillId="7" borderId="0" xfId="8" applyFont="1" applyFill="1"/>
    <xf numFmtId="0" fontId="7" fillId="7" borderId="27" xfId="8" applyFont="1" applyFill="1" applyBorder="1"/>
    <xf numFmtId="1" fontId="4" fillId="7" borderId="27" xfId="8" applyNumberFormat="1" applyFont="1" applyFill="1" applyBorder="1"/>
    <xf numFmtId="0" fontId="7" fillId="7" borderId="27" xfId="8" applyFont="1" applyFill="1" applyBorder="1" applyAlignment="1">
      <alignment horizontal="center"/>
    </xf>
    <xf numFmtId="0" fontId="7" fillId="7" borderId="0" xfId="8" applyFont="1" applyFill="1" applyAlignment="1">
      <alignment horizontal="center"/>
    </xf>
    <xf numFmtId="0" fontId="4" fillId="7" borderId="0" xfId="8" applyFont="1" applyFill="1" applyAlignment="1">
      <alignment horizontal="center"/>
    </xf>
    <xf numFmtId="0" fontId="3" fillId="7" borderId="0" xfId="8" applyFill="1"/>
    <xf numFmtId="164" fontId="3" fillId="7" borderId="0" xfId="8" applyNumberFormat="1" applyFill="1"/>
    <xf numFmtId="165" fontId="21" fillId="7" borderId="27" xfId="0" quotePrefix="1" applyNumberFormat="1" applyFont="1" applyFill="1" applyBorder="1" applyAlignment="1">
      <alignment horizontal="left" vertical="center"/>
    </xf>
    <xf numFmtId="164" fontId="7" fillId="7" borderId="27" xfId="8" applyNumberFormat="1" applyFont="1" applyFill="1" applyBorder="1" applyAlignment="1">
      <alignment horizontal="center"/>
    </xf>
    <xf numFmtId="2" fontId="7" fillId="7" borderId="0" xfId="0" applyNumberFormat="1" applyFont="1" applyFill="1" applyAlignment="1">
      <alignment horizontal="center"/>
    </xf>
    <xf numFmtId="171" fontId="7" fillId="7" borderId="0" xfId="8" applyNumberFormat="1" applyFont="1" applyFill="1"/>
    <xf numFmtId="1" fontId="7" fillId="7" borderId="0" xfId="8" applyNumberFormat="1" applyFont="1" applyFill="1"/>
    <xf numFmtId="2" fontId="7" fillId="7" borderId="0" xfId="8" applyNumberFormat="1" applyFont="1" applyFill="1" applyAlignment="1">
      <alignment horizontal="center"/>
    </xf>
    <xf numFmtId="164" fontId="7" fillId="7" borderId="0" xfId="8" applyNumberFormat="1" applyFont="1" applyFill="1" applyAlignment="1">
      <alignment horizontal="center"/>
    </xf>
    <xf numFmtId="164" fontId="7" fillId="7" borderId="0" xfId="0" applyNumberFormat="1" applyFont="1" applyFill="1" applyAlignment="1">
      <alignment horizontal="center"/>
    </xf>
    <xf numFmtId="1" fontId="4" fillId="7" borderId="27" xfId="8" applyNumberFormat="1" applyFont="1" applyFill="1" applyBorder="1" applyAlignment="1">
      <alignment horizontal="center"/>
    </xf>
    <xf numFmtId="2" fontId="4" fillId="7" borderId="0" xfId="8" applyNumberFormat="1" applyFont="1" applyFill="1"/>
    <xf numFmtId="164" fontId="4" fillId="7" borderId="0" xfId="8" applyNumberFormat="1" applyFont="1" applyFill="1" applyAlignment="1">
      <alignment horizontal="center"/>
    </xf>
    <xf numFmtId="164" fontId="7" fillId="7" borderId="0" xfId="8" applyNumberFormat="1" applyFont="1" applyFill="1"/>
    <xf numFmtId="1" fontId="4" fillId="7" borderId="0" xfId="8" applyNumberFormat="1" applyFont="1" applyFill="1"/>
    <xf numFmtId="3" fontId="8" fillId="0" borderId="0" xfId="8" applyNumberFormat="1" applyFont="1" applyBorder="1"/>
    <xf numFmtId="165" fontId="4" fillId="0" borderId="0" xfId="8" applyNumberFormat="1" applyFont="1" applyBorder="1"/>
    <xf numFmtId="2" fontId="4" fillId="0" borderId="0" xfId="1" applyNumberFormat="1" applyFont="1" applyBorder="1"/>
    <xf numFmtId="2" fontId="7" fillId="0" borderId="0" xfId="1" applyNumberFormat="1" applyFont="1" applyBorder="1"/>
    <xf numFmtId="3" fontId="7" fillId="0" borderId="0" xfId="8" applyNumberFormat="1" applyFont="1" applyBorder="1"/>
    <xf numFmtId="3" fontId="7" fillId="0" borderId="0" xfId="8" applyNumberFormat="1" applyFont="1" applyBorder="1" applyAlignment="1">
      <alignment horizontal="center"/>
    </xf>
    <xf numFmtId="3" fontId="7" fillId="3" borderId="0" xfId="8" applyNumberFormat="1" applyFont="1" applyFill="1" applyBorder="1" applyAlignment="1">
      <alignment horizontal="center"/>
    </xf>
    <xf numFmtId="1" fontId="4" fillId="3" borderId="0" xfId="8" applyNumberFormat="1" applyFont="1" applyFill="1" applyAlignment="1">
      <alignment horizontal="left"/>
    </xf>
    <xf numFmtId="164" fontId="4" fillId="3" borderId="0" xfId="8" applyNumberFormat="1" applyFont="1" applyFill="1"/>
    <xf numFmtId="3" fontId="7" fillId="0" borderId="0" xfId="8" applyNumberFormat="1" applyFont="1" applyBorder="1" applyAlignment="1">
      <alignment horizontal="right"/>
    </xf>
    <xf numFmtId="2" fontId="7" fillId="0" borderId="0" xfId="8" applyNumberFormat="1" applyFont="1" applyBorder="1" applyAlignment="1">
      <alignment horizontal="right"/>
    </xf>
    <xf numFmtId="1" fontId="7" fillId="0" borderId="0" xfId="8" applyNumberFormat="1" applyFont="1" applyBorder="1" applyAlignment="1">
      <alignment horizontal="right"/>
    </xf>
    <xf numFmtId="165" fontId="7" fillId="3" borderId="0" xfId="8" applyNumberFormat="1" applyFont="1" applyFill="1" applyBorder="1" applyAlignment="1">
      <alignment horizontal="right"/>
    </xf>
    <xf numFmtId="0" fontId="8" fillId="0" borderId="0" xfId="8" applyFont="1"/>
    <xf numFmtId="165" fontId="8" fillId="0" borderId="0" xfId="8" applyNumberFormat="1" applyFont="1" applyBorder="1" applyAlignment="1">
      <alignment horizontal="left"/>
    </xf>
    <xf numFmtId="3" fontId="8" fillId="0" borderId="0" xfId="1" applyNumberFormat="1" applyFont="1" applyFill="1"/>
    <xf numFmtId="3" fontId="23" fillId="0" borderId="7" xfId="8" applyNumberFormat="1" applyFont="1" applyBorder="1"/>
    <xf numFmtId="3" fontId="23" fillId="0" borderId="0" xfId="8" applyNumberFormat="1" applyFont="1" applyBorder="1"/>
    <xf numFmtId="3" fontId="23" fillId="0" borderId="5" xfId="8" applyNumberFormat="1" applyFont="1" applyBorder="1"/>
    <xf numFmtId="3" fontId="23" fillId="3" borderId="0" xfId="8" applyNumberFormat="1" applyFont="1" applyFill="1" applyBorder="1"/>
    <xf numFmtId="3" fontId="23" fillId="0" borderId="29" xfId="8" applyNumberFormat="1" applyFont="1" applyBorder="1"/>
    <xf numFmtId="0" fontId="24" fillId="0" borderId="0" xfId="8" applyFont="1"/>
    <xf numFmtId="0" fontId="7" fillId="0" borderId="0" xfId="8" applyFont="1" applyBorder="1"/>
    <xf numFmtId="3" fontId="7" fillId="0" borderId="0" xfId="1" applyNumberFormat="1" applyFont="1" applyBorder="1"/>
    <xf numFmtId="1" fontId="7" fillId="0" borderId="5" xfId="8" applyNumberFormat="1" applyFont="1" applyBorder="1"/>
    <xf numFmtId="1" fontId="7" fillId="0" borderId="0" xfId="8" applyNumberFormat="1" applyFont="1" applyBorder="1"/>
    <xf numFmtId="2" fontId="7" fillId="0" borderId="5" xfId="0" applyNumberFormat="1" applyFont="1" applyBorder="1"/>
    <xf numFmtId="1" fontId="7" fillId="3" borderId="0" xfId="8" applyNumberFormat="1" applyFont="1" applyFill="1" applyBorder="1"/>
    <xf numFmtId="3" fontId="4" fillId="0" borderId="7" xfId="1" applyNumberFormat="1" applyFont="1" applyBorder="1"/>
    <xf numFmtId="1" fontId="4" fillId="0" borderId="7" xfId="8" applyNumberFormat="1" applyFont="1" applyBorder="1"/>
    <xf numFmtId="1" fontId="7" fillId="0" borderId="7" xfId="8" applyNumberFormat="1" applyFont="1" applyBorder="1"/>
    <xf numFmtId="164" fontId="7" fillId="0" borderId="0" xfId="8" applyNumberFormat="1" applyFont="1" applyBorder="1" applyAlignment="1">
      <alignment horizontal="right"/>
    </xf>
    <xf numFmtId="3" fontId="23" fillId="0" borderId="0" xfId="8" applyNumberFormat="1" applyFont="1" applyBorder="1" applyAlignment="1">
      <alignment horizontal="right"/>
    </xf>
    <xf numFmtId="3" fontId="23" fillId="0" borderId="32" xfId="8" applyNumberFormat="1" applyFont="1" applyBorder="1" applyAlignment="1">
      <alignment horizontal="right"/>
    </xf>
    <xf numFmtId="3" fontId="23" fillId="0" borderId="13" xfId="8" applyNumberFormat="1" applyFont="1" applyBorder="1" applyAlignment="1">
      <alignment horizontal="right"/>
    </xf>
    <xf numFmtId="3" fontId="23" fillId="0" borderId="25" xfId="8" applyNumberFormat="1" applyFont="1" applyBorder="1" applyAlignment="1">
      <alignment horizontal="right"/>
    </xf>
    <xf numFmtId="3" fontId="23" fillId="3" borderId="0" xfId="8" applyNumberFormat="1" applyFont="1" applyFill="1" applyBorder="1" applyAlignment="1">
      <alignment horizontal="right"/>
    </xf>
    <xf numFmtId="3" fontId="23" fillId="0" borderId="30" xfId="8" applyNumberFormat="1" applyFont="1" applyBorder="1" applyAlignment="1">
      <alignment horizontal="right"/>
    </xf>
    <xf numFmtId="164" fontId="7" fillId="4" borderId="4" xfId="8" applyNumberFormat="1" applyFont="1" applyFill="1" applyBorder="1"/>
    <xf numFmtId="165" fontId="10" fillId="0" borderId="0" xfId="0" applyNumberFormat="1" applyFont="1" applyAlignment="1">
      <alignment horizontal="center"/>
    </xf>
    <xf numFmtId="165" fontId="10" fillId="0" borderId="0" xfId="8" applyNumberFormat="1" applyFont="1" applyAlignment="1">
      <alignment horizontal="center"/>
    </xf>
    <xf numFmtId="165" fontId="9" fillId="0" borderId="2" xfId="0" applyNumberFormat="1" applyFont="1" applyBorder="1" applyAlignment="1">
      <alignment horizontal="center"/>
    </xf>
    <xf numFmtId="165" fontId="9" fillId="0" borderId="26" xfId="0" applyNumberFormat="1" applyFont="1" applyBorder="1" applyAlignment="1">
      <alignment horizontal="center"/>
    </xf>
    <xf numFmtId="49" fontId="10" fillId="0" borderId="0" xfId="0" applyNumberFormat="1" applyFont="1" applyAlignment="1">
      <alignment horizontal="center"/>
    </xf>
    <xf numFmtId="165" fontId="9" fillId="0" borderId="2" xfId="8" applyNumberFormat="1" applyFont="1" applyBorder="1" applyAlignment="1">
      <alignment horizontal="center"/>
    </xf>
    <xf numFmtId="165" fontId="9" fillId="0" borderId="26" xfId="8" applyNumberFormat="1" applyFont="1" applyBorder="1" applyAlignment="1">
      <alignment horizontal="center"/>
    </xf>
    <xf numFmtId="165" fontId="10" fillId="0" borderId="0" xfId="0" applyNumberFormat="1" applyFont="1" applyFill="1" applyAlignment="1">
      <alignment horizontal="center"/>
    </xf>
  </cellXfs>
  <cellStyles count="15">
    <cellStyle name="Comma" xfId="1" builtinId="3"/>
    <cellStyle name="Comma 2" xfId="2" xr:uid="{00000000-0005-0000-0000-000001000000}"/>
    <cellStyle name="Comma 3" xfId="3" xr:uid="{00000000-0005-0000-0000-000002000000}"/>
    <cellStyle name="Normal" xfId="0" builtinId="0"/>
    <cellStyle name="Normal 2" xfId="4" xr:uid="{00000000-0005-0000-0000-000004000000}"/>
    <cellStyle name="Normal 3" xfId="5" xr:uid="{00000000-0005-0000-0000-000005000000}"/>
    <cellStyle name="Normal 3 2" xfId="14" xr:uid="{00000000-0005-0000-0000-000006000000}"/>
    <cellStyle name="Normal 4" xfId="6" xr:uid="{00000000-0005-0000-0000-000007000000}"/>
    <cellStyle name="Normal 5" xfId="7" xr:uid="{00000000-0005-0000-0000-000008000000}"/>
    <cellStyle name="Normal 6" xfId="13" xr:uid="{00000000-0005-0000-0000-000009000000}"/>
    <cellStyle name="Normal_RIVER054" xfId="8" xr:uid="{00000000-0005-0000-0000-00000A000000}"/>
    <cellStyle name="Normal_Sheet1" xfId="12" xr:uid="{00000000-0005-0000-0000-00000B000000}"/>
    <cellStyle name="Percent" xfId="9" builtinId="5"/>
    <cellStyle name="Percent 2" xfId="10" xr:uid="{00000000-0005-0000-0000-00000D000000}"/>
    <cellStyle name="Percent 3" xfId="11" xr:uid="{00000000-0005-0000-0000-00000E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I59"/>
  <sheetViews>
    <sheetView zoomScaleNormal="100" workbookViewId="0">
      <pane xSplit="1" ySplit="14" topLeftCell="B15" activePane="bottomRight" state="frozenSplit"/>
      <selection pane="topRight" activeCell="B1" sqref="B1"/>
      <selection pane="bottomLeft" activeCell="A10" sqref="A10"/>
      <selection pane="bottomRight" activeCell="A15" sqref="A15:XFD15"/>
    </sheetView>
  </sheetViews>
  <sheetFormatPr defaultRowHeight="11.1" customHeight="1"/>
  <cols>
    <col min="1" max="1" width="4.6640625" style="60" customWidth="1"/>
    <col min="2" max="2" width="7" style="60" customWidth="1"/>
    <col min="3" max="3" width="7" style="31" customWidth="1"/>
    <col min="4" max="4" width="7" style="60" customWidth="1"/>
    <col min="5" max="5" width="7" style="31" customWidth="1"/>
    <col min="6" max="6" width="7.33203125" style="60" customWidth="1"/>
    <col min="7" max="7" width="6.83203125" style="60" customWidth="1"/>
    <col min="8" max="8" width="5.6640625" style="289" customWidth="1"/>
    <col min="9" max="11" width="6.33203125" style="60" customWidth="1"/>
    <col min="12" max="12" width="6.83203125" style="60" customWidth="1"/>
    <col min="13" max="13" width="5.5" style="23" customWidth="1"/>
    <col min="14" max="14" width="4.5" style="23" customWidth="1"/>
    <col min="15" max="15" width="5.5" style="23" customWidth="1"/>
    <col min="16" max="16" width="4.83203125" style="38" customWidth="1"/>
    <col min="17" max="18" width="4.33203125" style="23" customWidth="1"/>
    <col min="19" max="20" width="4.33203125" style="60" customWidth="1"/>
    <col min="21" max="21" width="5.1640625" style="227" customWidth="1"/>
    <col min="22" max="23" width="5.5" style="60" customWidth="1"/>
    <col min="24" max="24" width="6.33203125" style="31" customWidth="1"/>
    <col min="25" max="25" width="6.33203125" style="23" customWidth="1"/>
    <col min="26" max="26" width="5.5" style="60" customWidth="1"/>
    <col min="27" max="27" width="6.33203125" style="23" customWidth="1"/>
    <col min="28" max="28" width="5.5" style="60" customWidth="1"/>
    <col min="29" max="29" width="6" style="60" customWidth="1"/>
    <col min="30" max="31" width="5.5" style="60" customWidth="1"/>
    <col min="32" max="33" width="5.5" style="31" customWidth="1"/>
    <col min="34" max="34" width="6.33203125" style="31" customWidth="1"/>
    <col min="35" max="35" width="5.5" style="60" customWidth="1"/>
    <col min="36" max="37" width="6.33203125" style="60" customWidth="1"/>
    <col min="38" max="38" width="6.83203125" style="60" customWidth="1"/>
    <col min="39" max="39" width="6.83203125" style="289" customWidth="1"/>
    <col min="40" max="40" width="5.5" style="23" customWidth="1"/>
    <col min="41" max="41" width="6.33203125" style="23" customWidth="1"/>
    <col min="42" max="42" width="5.5" style="23" customWidth="1"/>
    <col min="43" max="43" width="6.33203125" style="60" customWidth="1"/>
    <col min="44" max="44" width="6.33203125" style="285" customWidth="1"/>
    <col min="45" max="45" width="5.5" style="285" customWidth="1"/>
    <col min="46" max="46" width="5.33203125" style="60" customWidth="1"/>
    <col min="47" max="47" width="5.83203125" style="60" customWidth="1"/>
    <col min="48" max="48" width="8" style="52" customWidth="1"/>
    <col min="49" max="49" width="5.33203125" style="289" customWidth="1"/>
    <col min="50" max="50" width="3.83203125" style="290" customWidth="1"/>
    <col min="51" max="52" width="3.83203125" style="253" customWidth="1"/>
    <col min="53" max="53" width="6.33203125" style="23" customWidth="1"/>
    <col min="54" max="55" width="9.33203125" style="60"/>
    <col min="57" max="57" width="9.33203125" style="562" hidden="1" customWidth="1"/>
    <col min="58" max="58" width="7" style="498" hidden="1" customWidth="1"/>
    <col min="59" max="59" width="9.33203125" style="562" hidden="1" customWidth="1"/>
    <col min="60" max="61" width="6.33203125" style="508" hidden="1" customWidth="1"/>
  </cols>
  <sheetData>
    <row r="1" spans="1:61" ht="14.1" customHeight="1">
      <c r="A1" s="61"/>
      <c r="B1" s="61"/>
      <c r="D1" s="61"/>
      <c r="F1" s="61"/>
      <c r="G1" s="61"/>
      <c r="H1" s="164"/>
      <c r="I1" s="61"/>
      <c r="J1" s="61"/>
      <c r="K1" s="291" t="s">
        <v>53</v>
      </c>
      <c r="L1" s="61"/>
      <c r="M1" s="61"/>
      <c r="N1" s="61"/>
      <c r="O1" s="61"/>
      <c r="Q1" s="61"/>
      <c r="R1" s="61"/>
      <c r="S1" s="61"/>
      <c r="T1" s="61"/>
      <c r="V1" s="61"/>
      <c r="W1" s="61"/>
      <c r="Z1" s="61"/>
      <c r="AB1" s="61"/>
      <c r="AC1" s="61"/>
      <c r="AD1" s="61"/>
      <c r="AE1" s="61"/>
      <c r="AI1" s="61"/>
      <c r="AJ1" s="61"/>
      <c r="AK1" s="61"/>
      <c r="AL1" s="61"/>
      <c r="AM1" s="38"/>
      <c r="BF1" s="563"/>
    </row>
    <row r="2" spans="1:61" ht="14.1" customHeight="1">
      <c r="A2" s="174" t="s">
        <v>0</v>
      </c>
      <c r="B2" s="61"/>
      <c r="D2" s="292">
        <v>1.9835</v>
      </c>
      <c r="F2" s="61"/>
      <c r="G2" s="61"/>
      <c r="H2" s="164"/>
      <c r="I2" s="61"/>
      <c r="J2" s="61"/>
      <c r="K2" s="843" t="s">
        <v>188</v>
      </c>
      <c r="L2" s="843"/>
      <c r="M2" s="843"/>
      <c r="N2" s="843"/>
      <c r="O2" s="843"/>
      <c r="P2" s="843"/>
      <c r="Q2" s="843"/>
      <c r="R2" s="843"/>
      <c r="S2" s="843"/>
      <c r="T2" s="843"/>
      <c r="U2" s="843"/>
      <c r="V2" s="843"/>
      <c r="W2" s="61"/>
      <c r="Z2" s="61"/>
      <c r="AB2" s="61"/>
      <c r="AC2" s="61"/>
      <c r="AD2" s="61"/>
      <c r="AE2" s="61"/>
      <c r="AI2" s="61"/>
      <c r="AJ2" s="61"/>
      <c r="AK2" s="61"/>
      <c r="AL2" s="61"/>
      <c r="AM2" s="38"/>
      <c r="BF2" s="563"/>
    </row>
    <row r="3" spans="1:61" ht="14.1" customHeight="1" thickBot="1">
      <c r="A3" s="293"/>
      <c r="B3" s="737"/>
      <c r="C3" s="738"/>
      <c r="D3" s="739"/>
      <c r="E3" s="738"/>
      <c r="F3" s="737"/>
      <c r="G3" s="715"/>
      <c r="H3" s="719"/>
      <c r="I3" s="737"/>
      <c r="J3" s="737"/>
      <c r="K3" s="737"/>
      <c r="L3" s="737"/>
      <c r="M3" s="715"/>
      <c r="N3" s="715"/>
      <c r="O3" s="715"/>
      <c r="P3" s="752"/>
      <c r="Q3" s="715"/>
      <c r="R3" s="715"/>
      <c r="S3" s="715"/>
      <c r="T3" s="715"/>
      <c r="U3" s="751"/>
      <c r="V3" s="715"/>
      <c r="W3" s="715"/>
      <c r="X3" s="738"/>
      <c r="Y3" s="755"/>
      <c r="Z3" s="737"/>
      <c r="AA3" s="755"/>
      <c r="AB3" s="737"/>
      <c r="AC3" s="737"/>
      <c r="AD3" s="737"/>
      <c r="AE3" s="737"/>
      <c r="AF3" s="738"/>
      <c r="AG3" s="738"/>
      <c r="AH3" s="712"/>
      <c r="AI3" s="737"/>
      <c r="AJ3" s="737"/>
      <c r="AK3" s="737"/>
      <c r="AL3" s="737"/>
      <c r="AM3" s="748"/>
      <c r="AN3" s="755"/>
      <c r="AO3" s="755"/>
      <c r="AP3" s="755"/>
      <c r="AQ3" s="773"/>
      <c r="AR3" s="774"/>
      <c r="AS3" s="775"/>
      <c r="AT3" s="765"/>
      <c r="AU3" s="725"/>
      <c r="AV3" s="749"/>
      <c r="AW3" s="776"/>
      <c r="AX3" s="769"/>
      <c r="AY3" s="777"/>
      <c r="AZ3" s="763"/>
      <c r="BA3" s="764"/>
      <c r="BB3" s="734"/>
      <c r="BC3" s="734"/>
      <c r="BF3" s="564"/>
      <c r="BH3" s="565"/>
      <c r="BI3" s="565"/>
    </row>
    <row r="4" spans="1:61" s="60" customFormat="1" ht="14.1" customHeight="1" thickTop="1" thickBot="1">
      <c r="A4" s="147"/>
      <c r="B4" s="148"/>
      <c r="C4" s="149"/>
      <c r="D4" s="22" t="s">
        <v>47</v>
      </c>
      <c r="E4" s="149"/>
      <c r="F4" s="147"/>
      <c r="G4" s="150"/>
      <c r="H4" s="150"/>
      <c r="I4" s="427" t="s">
        <v>123</v>
      </c>
      <c r="J4" s="150"/>
      <c r="K4" s="150"/>
      <c r="L4" s="147"/>
      <c r="M4" s="150"/>
      <c r="N4" s="150"/>
      <c r="O4" s="150"/>
      <c r="P4" s="153"/>
      <c r="Q4" s="150"/>
      <c r="R4" s="150"/>
      <c r="S4" s="150"/>
      <c r="T4" s="150"/>
      <c r="U4" s="153"/>
      <c r="V4" s="150"/>
      <c r="W4" s="150"/>
      <c r="X4" s="146" t="s">
        <v>122</v>
      </c>
      <c r="Y4" s="146"/>
      <c r="Z4" s="151"/>
      <c r="AA4" s="146"/>
      <c r="AB4" s="151"/>
      <c r="AC4" s="151"/>
      <c r="AD4" s="152"/>
      <c r="AE4" s="150"/>
      <c r="AF4" s="150"/>
      <c r="AG4" s="150"/>
      <c r="AH4" s="149"/>
      <c r="AI4" s="150"/>
      <c r="AJ4" s="258"/>
      <c r="AK4" s="150"/>
      <c r="AL4" s="150"/>
      <c r="AM4" s="153"/>
      <c r="AN4" s="348"/>
      <c r="AO4" s="582"/>
      <c r="AP4" s="27"/>
      <c r="AQ4" s="209" t="s">
        <v>55</v>
      </c>
      <c r="AR4" s="227"/>
      <c r="AS4" s="157"/>
      <c r="AT4" s="158"/>
      <c r="AU4" s="259"/>
      <c r="AV4" s="265"/>
      <c r="AW4" s="154"/>
      <c r="AX4" s="18" t="s">
        <v>48</v>
      </c>
      <c r="AY4" s="156"/>
      <c r="AZ4" s="156"/>
      <c r="BA4" s="372"/>
      <c r="BB4" s="30"/>
      <c r="BC4" s="396"/>
      <c r="BE4" s="566"/>
      <c r="BF4" s="566"/>
      <c r="BG4" s="566"/>
      <c r="BH4" s="567"/>
      <c r="BI4" s="567"/>
    </row>
    <row r="5" spans="1:61" ht="12.95" customHeight="1">
      <c r="A5" s="166" t="s">
        <v>1</v>
      </c>
      <c r="B5" s="165" t="s">
        <v>2</v>
      </c>
      <c r="C5" s="13" t="s">
        <v>2</v>
      </c>
      <c r="D5" s="8" t="s">
        <v>3</v>
      </c>
      <c r="E5" s="13" t="s">
        <v>4</v>
      </c>
      <c r="F5" s="166" t="s">
        <v>5</v>
      </c>
      <c r="G5" s="623" t="s">
        <v>6</v>
      </c>
      <c r="H5" s="8" t="s">
        <v>7</v>
      </c>
      <c r="I5" s="8" t="s">
        <v>63</v>
      </c>
      <c r="J5" s="8" t="s">
        <v>8</v>
      </c>
      <c r="K5" s="8" t="s">
        <v>9</v>
      </c>
      <c r="L5" s="166" t="s">
        <v>8</v>
      </c>
      <c r="M5" s="664" t="s">
        <v>10</v>
      </c>
      <c r="N5" s="653"/>
      <c r="O5" s="167"/>
      <c r="P5" s="252"/>
      <c r="Q5" s="167"/>
      <c r="R5" s="167"/>
      <c r="S5" s="167"/>
      <c r="T5" s="167"/>
      <c r="U5" s="248"/>
      <c r="V5" s="8" t="s">
        <v>11</v>
      </c>
      <c r="W5" s="623" t="s">
        <v>12</v>
      </c>
      <c r="X5" s="8" t="s">
        <v>9</v>
      </c>
      <c r="Y5" s="8" t="s">
        <v>9</v>
      </c>
      <c r="Z5" s="12" t="s">
        <v>13</v>
      </c>
      <c r="AA5" s="8" t="s">
        <v>13</v>
      </c>
      <c r="AB5" s="12" t="s">
        <v>13</v>
      </c>
      <c r="AC5" s="12" t="s">
        <v>82</v>
      </c>
      <c r="AD5" s="14" t="s">
        <v>13</v>
      </c>
      <c r="AE5" s="8" t="s">
        <v>14</v>
      </c>
      <c r="AF5" s="215" t="s">
        <v>77</v>
      </c>
      <c r="AG5" s="213"/>
      <c r="AH5" s="623" t="s">
        <v>15</v>
      </c>
      <c r="AI5" s="13" t="s">
        <v>61</v>
      </c>
      <c r="AJ5" s="13" t="s">
        <v>88</v>
      </c>
      <c r="AK5" s="8" t="s">
        <v>63</v>
      </c>
      <c r="AL5" s="8" t="s">
        <v>8</v>
      </c>
      <c r="AM5" s="8" t="s">
        <v>9</v>
      </c>
      <c r="AN5" s="349" t="s">
        <v>52</v>
      </c>
      <c r="AO5" s="624" t="s">
        <v>159</v>
      </c>
      <c r="AP5" s="619" t="s">
        <v>13</v>
      </c>
      <c r="AQ5" s="12" t="s">
        <v>49</v>
      </c>
      <c r="AR5" s="36" t="s">
        <v>49</v>
      </c>
      <c r="AS5" s="14" t="s">
        <v>96</v>
      </c>
      <c r="AT5" s="35" t="s">
        <v>56</v>
      </c>
      <c r="AU5" s="35" t="s">
        <v>79</v>
      </c>
      <c r="AV5" s="37" t="s">
        <v>134</v>
      </c>
      <c r="AW5" s="168" t="s">
        <v>16</v>
      </c>
      <c r="AX5" s="12" t="s">
        <v>17</v>
      </c>
      <c r="AY5" s="12" t="s">
        <v>18</v>
      </c>
      <c r="AZ5" s="12"/>
      <c r="BA5" s="384" t="s">
        <v>9</v>
      </c>
      <c r="BB5" s="220" t="s">
        <v>128</v>
      </c>
      <c r="BC5" s="444" t="s">
        <v>128</v>
      </c>
      <c r="BF5" s="568" t="s">
        <v>2</v>
      </c>
      <c r="BG5" s="568"/>
      <c r="BH5" s="569" t="s">
        <v>15</v>
      </c>
      <c r="BI5" s="569" t="s">
        <v>15</v>
      </c>
    </row>
    <row r="6" spans="1:61" ht="12.95" customHeight="1">
      <c r="A6" s="671" t="s">
        <v>104</v>
      </c>
      <c r="B6" s="165" t="s">
        <v>19</v>
      </c>
      <c r="C6" s="13"/>
      <c r="D6" s="8" t="s">
        <v>20</v>
      </c>
      <c r="E6" s="13" t="s">
        <v>21</v>
      </c>
      <c r="F6" s="166" t="s">
        <v>22</v>
      </c>
      <c r="G6" s="623" t="s">
        <v>23</v>
      </c>
      <c r="H6" s="8" t="s">
        <v>64</v>
      </c>
      <c r="I6" s="8" t="s">
        <v>24</v>
      </c>
      <c r="J6" s="8" t="s">
        <v>24</v>
      </c>
      <c r="K6" s="8" t="s">
        <v>24</v>
      </c>
      <c r="L6" s="166" t="s">
        <v>25</v>
      </c>
      <c r="M6" s="665" t="s">
        <v>26</v>
      </c>
      <c r="N6" s="623" t="s">
        <v>65</v>
      </c>
      <c r="O6" s="8" t="s">
        <v>67</v>
      </c>
      <c r="P6" s="36" t="s">
        <v>84</v>
      </c>
      <c r="Q6" s="8" t="s">
        <v>57</v>
      </c>
      <c r="R6" s="8" t="s">
        <v>118</v>
      </c>
      <c r="S6" s="8"/>
      <c r="T6" s="8" t="s">
        <v>67</v>
      </c>
      <c r="U6" s="244" t="s">
        <v>87</v>
      </c>
      <c r="V6" s="8" t="s">
        <v>27</v>
      </c>
      <c r="W6" s="8" t="s">
        <v>42</v>
      </c>
      <c r="X6" s="8" t="s">
        <v>13</v>
      </c>
      <c r="Y6" s="8" t="s">
        <v>13</v>
      </c>
      <c r="Z6" s="12" t="s">
        <v>28</v>
      </c>
      <c r="AA6" s="8" t="s">
        <v>28</v>
      </c>
      <c r="AB6" s="12" t="s">
        <v>92</v>
      </c>
      <c r="AC6" s="12" t="s">
        <v>83</v>
      </c>
      <c r="AD6" s="14" t="s">
        <v>86</v>
      </c>
      <c r="AE6" s="8" t="s">
        <v>29</v>
      </c>
      <c r="AF6" s="171" t="s">
        <v>76</v>
      </c>
      <c r="AG6" s="294" t="s">
        <v>58</v>
      </c>
      <c r="AH6" s="8" t="s">
        <v>69</v>
      </c>
      <c r="AI6" s="13" t="s">
        <v>62</v>
      </c>
      <c r="AJ6" s="13"/>
      <c r="AK6" s="8" t="s">
        <v>70</v>
      </c>
      <c r="AL6" s="8" t="s">
        <v>70</v>
      </c>
      <c r="AM6" s="8" t="s">
        <v>70</v>
      </c>
      <c r="AN6" s="349" t="s">
        <v>110</v>
      </c>
      <c r="AO6" s="13" t="s">
        <v>110</v>
      </c>
      <c r="AP6" s="14" t="s">
        <v>71</v>
      </c>
      <c r="AQ6" s="12" t="s">
        <v>51</v>
      </c>
      <c r="AR6" s="36" t="s">
        <v>51</v>
      </c>
      <c r="AS6" s="14" t="s">
        <v>94</v>
      </c>
      <c r="AT6" s="35" t="s">
        <v>54</v>
      </c>
      <c r="AU6" s="35" t="s">
        <v>80</v>
      </c>
      <c r="AV6" s="37" t="s">
        <v>133</v>
      </c>
      <c r="AW6" s="172"/>
      <c r="AX6" s="12" t="s">
        <v>30</v>
      </c>
      <c r="AY6" s="12" t="s">
        <v>30</v>
      </c>
      <c r="AZ6" s="12"/>
      <c r="BA6" s="384" t="s">
        <v>99</v>
      </c>
      <c r="BB6" s="220" t="s">
        <v>130</v>
      </c>
      <c r="BC6" s="444" t="s">
        <v>129</v>
      </c>
      <c r="BF6" s="568" t="s">
        <v>19</v>
      </c>
      <c r="BG6" s="568"/>
      <c r="BH6" s="569" t="s">
        <v>69</v>
      </c>
      <c r="BI6" s="569" t="s">
        <v>69</v>
      </c>
    </row>
    <row r="7" spans="1:61" ht="12.95" customHeight="1">
      <c r="A7" s="166"/>
      <c r="B7" s="165"/>
      <c r="C7" s="13"/>
      <c r="D7" s="8"/>
      <c r="E7" s="13"/>
      <c r="F7" s="166"/>
      <c r="G7" s="623"/>
      <c r="H7" s="8"/>
      <c r="I7" s="8"/>
      <c r="J7" s="8"/>
      <c r="K7" s="8"/>
      <c r="L7" s="166"/>
      <c r="M7" s="623"/>
      <c r="N7" s="623" t="s">
        <v>66</v>
      </c>
      <c r="O7" s="8" t="s">
        <v>68</v>
      </c>
      <c r="P7" s="36"/>
      <c r="Q7" s="8" t="s">
        <v>119</v>
      </c>
      <c r="R7" s="8" t="s">
        <v>119</v>
      </c>
      <c r="S7" s="8" t="s">
        <v>58</v>
      </c>
      <c r="T7" s="8" t="s">
        <v>58</v>
      </c>
      <c r="U7" s="244" t="s">
        <v>120</v>
      </c>
      <c r="V7" s="8"/>
      <c r="W7" s="8"/>
      <c r="X7" s="13" t="s">
        <v>108</v>
      </c>
      <c r="Y7" s="13" t="s">
        <v>90</v>
      </c>
      <c r="Z7" s="12" t="s">
        <v>115</v>
      </c>
      <c r="AA7" s="8" t="s">
        <v>111</v>
      </c>
      <c r="AB7" s="12" t="s">
        <v>93</v>
      </c>
      <c r="AC7" s="12"/>
      <c r="AD7" s="14"/>
      <c r="AE7" s="294"/>
      <c r="AF7" s="295">
        <v>1.7</v>
      </c>
      <c r="AG7" s="295">
        <v>1.3</v>
      </c>
      <c r="AH7" s="171"/>
      <c r="AJ7" s="13"/>
      <c r="AK7" s="8"/>
      <c r="AL7" s="8"/>
      <c r="AM7" s="8"/>
      <c r="AN7" s="349"/>
      <c r="AO7" s="13" t="s">
        <v>147</v>
      </c>
      <c r="AP7" s="14"/>
      <c r="AQ7" s="12" t="s">
        <v>45</v>
      </c>
      <c r="AR7" s="36" t="s">
        <v>72</v>
      </c>
      <c r="AS7" s="14" t="s">
        <v>95</v>
      </c>
      <c r="AT7" s="35" t="s">
        <v>59</v>
      </c>
      <c r="AU7" s="35" t="s">
        <v>81</v>
      </c>
      <c r="AV7" s="37" t="s">
        <v>108</v>
      </c>
      <c r="AW7" s="172"/>
      <c r="AX7" s="12"/>
      <c r="AY7" s="12"/>
      <c r="AZ7" s="12"/>
      <c r="BA7" s="384" t="s">
        <v>97</v>
      </c>
      <c r="BB7" s="52"/>
      <c r="BC7" s="407"/>
      <c r="BF7" s="568" t="s">
        <v>142</v>
      </c>
      <c r="BG7" s="568"/>
      <c r="BH7" s="570" t="s">
        <v>153</v>
      </c>
      <c r="BI7" s="570" t="s">
        <v>154</v>
      </c>
    </row>
    <row r="8" spans="1:61" ht="12.95" customHeight="1">
      <c r="A8" s="166"/>
      <c r="B8" s="165"/>
      <c r="C8" s="13"/>
      <c r="D8" s="8"/>
      <c r="E8" s="13"/>
      <c r="F8" s="166"/>
      <c r="G8" s="623"/>
      <c r="H8" s="8"/>
      <c r="I8" s="8"/>
      <c r="J8" s="8"/>
      <c r="K8" s="8"/>
      <c r="L8" s="166"/>
      <c r="M8" s="623"/>
      <c r="N8" s="623"/>
      <c r="O8" s="8"/>
      <c r="P8" s="36"/>
      <c r="Q8" s="8" t="s">
        <v>58</v>
      </c>
      <c r="R8" s="8" t="s">
        <v>58</v>
      </c>
      <c r="S8" s="8"/>
      <c r="T8" s="8"/>
      <c r="U8" s="244"/>
      <c r="V8" s="8"/>
      <c r="W8" s="8"/>
      <c r="X8" s="13" t="s">
        <v>109</v>
      </c>
      <c r="Y8" s="13" t="s">
        <v>108</v>
      </c>
      <c r="Z8" s="12"/>
      <c r="AA8" s="13" t="s">
        <v>114</v>
      </c>
      <c r="AB8" s="12" t="s">
        <v>113</v>
      </c>
      <c r="AC8" s="12"/>
      <c r="AD8" s="14"/>
      <c r="AE8" s="294"/>
      <c r="AF8" s="295"/>
      <c r="AG8" s="295"/>
      <c r="AH8" s="171"/>
      <c r="AJ8" s="13"/>
      <c r="AK8" s="8"/>
      <c r="AL8" s="8"/>
      <c r="AM8" s="8"/>
      <c r="AN8" s="349"/>
      <c r="AO8" s="13" t="s">
        <v>165</v>
      </c>
      <c r="AP8" s="14"/>
      <c r="AQ8" s="12"/>
      <c r="AR8" s="36"/>
      <c r="AS8" s="14"/>
      <c r="AT8" s="35"/>
      <c r="AU8" s="35"/>
      <c r="AV8" s="220"/>
      <c r="AW8" s="172"/>
      <c r="AX8" s="12"/>
      <c r="AY8" s="12"/>
      <c r="AZ8" s="12"/>
      <c r="BA8" s="384"/>
      <c r="BB8" s="52"/>
      <c r="BC8" s="407"/>
      <c r="BF8" s="568"/>
      <c r="BG8" s="568"/>
      <c r="BH8" s="570"/>
      <c r="BI8" s="570" t="s">
        <v>153</v>
      </c>
    </row>
    <row r="9" spans="1:61" ht="12.95" customHeight="1">
      <c r="A9" s="166"/>
      <c r="B9" s="165"/>
      <c r="C9" s="13"/>
      <c r="D9" s="8"/>
      <c r="E9" s="13"/>
      <c r="F9" s="166"/>
      <c r="G9" s="623"/>
      <c r="H9" s="8"/>
      <c r="I9" s="8"/>
      <c r="J9" s="8"/>
      <c r="K9" s="8"/>
      <c r="L9" s="166"/>
      <c r="M9" s="623"/>
      <c r="N9" s="623"/>
      <c r="O9" s="8"/>
      <c r="P9" s="36"/>
      <c r="Q9" s="8"/>
      <c r="R9" s="413">
        <v>4.2</v>
      </c>
      <c r="S9" s="8"/>
      <c r="T9" s="8"/>
      <c r="U9" s="244"/>
      <c r="V9" s="8"/>
      <c r="W9" s="8"/>
      <c r="X9" s="13"/>
      <c r="Y9" s="13" t="s">
        <v>109</v>
      </c>
      <c r="Z9" s="12"/>
      <c r="AA9" s="13" t="s">
        <v>109</v>
      </c>
      <c r="AB9" s="12" t="s">
        <v>112</v>
      </c>
      <c r="AC9" s="12"/>
      <c r="AD9" s="14"/>
      <c r="AE9" s="294"/>
      <c r="AF9" s="295"/>
      <c r="AG9" s="295"/>
      <c r="AH9" s="171"/>
      <c r="AI9" s="62"/>
      <c r="AJ9" s="13"/>
      <c r="AK9" s="8"/>
      <c r="AL9" s="8"/>
      <c r="AM9" s="8"/>
      <c r="AN9" s="349"/>
      <c r="AO9" s="13"/>
      <c r="AP9" s="14"/>
      <c r="AQ9" s="12"/>
      <c r="AR9" s="36"/>
      <c r="AS9" s="14"/>
      <c r="AT9" s="35"/>
      <c r="AU9" s="35"/>
      <c r="AV9" s="220"/>
      <c r="AW9" s="172"/>
      <c r="AX9" s="12"/>
      <c r="AY9" s="12"/>
      <c r="AZ9" s="12"/>
      <c r="BA9" s="384"/>
      <c r="BB9" s="52"/>
      <c r="BC9" s="547" t="s">
        <v>141</v>
      </c>
      <c r="BF9" s="568"/>
      <c r="BG9" s="568"/>
      <c r="BH9" s="570"/>
      <c r="BI9" s="570"/>
    </row>
    <row r="10" spans="1:61" ht="12.95" customHeight="1">
      <c r="A10" s="166"/>
      <c r="B10" s="165"/>
      <c r="C10" s="13" t="s">
        <v>91</v>
      </c>
      <c r="D10" s="8"/>
      <c r="E10" s="13" t="s">
        <v>50</v>
      </c>
      <c r="F10" s="166"/>
      <c r="G10" s="623" t="s">
        <v>22</v>
      </c>
      <c r="H10" s="8" t="s">
        <v>22</v>
      </c>
      <c r="I10" s="8" t="s">
        <v>22</v>
      </c>
      <c r="J10" s="8" t="s">
        <v>22</v>
      </c>
      <c r="K10" s="8" t="s">
        <v>22</v>
      </c>
      <c r="L10" s="166" t="s">
        <v>22</v>
      </c>
      <c r="M10" s="623" t="s">
        <v>22</v>
      </c>
      <c r="N10" s="623" t="s">
        <v>22</v>
      </c>
      <c r="O10" s="8" t="s">
        <v>22</v>
      </c>
      <c r="P10" s="8" t="s">
        <v>22</v>
      </c>
      <c r="Q10" s="8" t="s">
        <v>22</v>
      </c>
      <c r="R10" s="8" t="s">
        <v>22</v>
      </c>
      <c r="S10" s="8" t="s">
        <v>22</v>
      </c>
      <c r="T10" s="8" t="s">
        <v>22</v>
      </c>
      <c r="U10" s="294" t="s">
        <v>22</v>
      </c>
      <c r="V10" s="8" t="s">
        <v>22</v>
      </c>
      <c r="W10" s="8" t="s">
        <v>22</v>
      </c>
      <c r="X10" s="13">
        <v>153400</v>
      </c>
      <c r="Y10" s="13">
        <v>150400</v>
      </c>
      <c r="Z10" s="8"/>
      <c r="AA10" s="13"/>
      <c r="AB10" s="13">
        <v>72000</v>
      </c>
      <c r="AC10" s="8" t="s">
        <v>22</v>
      </c>
      <c r="AD10" s="8" t="s">
        <v>22</v>
      </c>
      <c r="AE10" s="294" t="s">
        <v>22</v>
      </c>
      <c r="AF10" s="8" t="s">
        <v>22</v>
      </c>
      <c r="AG10" s="8" t="s">
        <v>22</v>
      </c>
      <c r="AH10" s="171" t="s">
        <v>22</v>
      </c>
      <c r="AI10" s="8" t="s">
        <v>22</v>
      </c>
      <c r="AJ10" s="8" t="s">
        <v>22</v>
      </c>
      <c r="AK10" s="8" t="s">
        <v>22</v>
      </c>
      <c r="AL10" s="8" t="s">
        <v>22</v>
      </c>
      <c r="AM10" s="166" t="s">
        <v>22</v>
      </c>
      <c r="AN10" s="14" t="s">
        <v>22</v>
      </c>
      <c r="AO10" s="14" t="s">
        <v>22</v>
      </c>
      <c r="AP10" s="14" t="s">
        <v>22</v>
      </c>
      <c r="AQ10" s="14" t="s">
        <v>22</v>
      </c>
      <c r="AR10" s="36" t="s">
        <v>73</v>
      </c>
      <c r="AS10" s="14" t="s">
        <v>22</v>
      </c>
      <c r="AT10" s="14" t="s">
        <v>22</v>
      </c>
      <c r="AU10" s="14" t="s">
        <v>22</v>
      </c>
      <c r="AV10" s="36" t="s">
        <v>22</v>
      </c>
      <c r="AW10" s="172"/>
      <c r="AX10" s="12"/>
      <c r="AY10" s="12"/>
      <c r="AZ10" s="12"/>
      <c r="BA10" s="384" t="s">
        <v>98</v>
      </c>
      <c r="BB10" s="220" t="s">
        <v>22</v>
      </c>
      <c r="BC10" s="444" t="s">
        <v>50</v>
      </c>
      <c r="BF10" s="568"/>
      <c r="BG10" s="568"/>
      <c r="BH10" s="570" t="s">
        <v>22</v>
      </c>
      <c r="BI10" s="570" t="s">
        <v>22</v>
      </c>
    </row>
    <row r="11" spans="1:61" ht="12.95" customHeight="1">
      <c r="A11" s="166"/>
      <c r="B11" s="165"/>
      <c r="C11" s="13"/>
      <c r="D11" s="8"/>
      <c r="E11" s="13"/>
      <c r="F11" s="166"/>
      <c r="G11" s="623"/>
      <c r="H11" s="8"/>
      <c r="I11" s="8"/>
      <c r="J11" s="8"/>
      <c r="K11" s="8"/>
      <c r="L11" s="166"/>
      <c r="M11" s="623"/>
      <c r="N11" s="654">
        <v>1.03</v>
      </c>
      <c r="O11" s="227">
        <v>1.05</v>
      </c>
      <c r="P11" s="227">
        <v>1.02</v>
      </c>
      <c r="Q11" s="322">
        <v>1.02</v>
      </c>
      <c r="R11" s="65">
        <v>1.04</v>
      </c>
      <c r="S11" s="8"/>
      <c r="T11" s="322">
        <v>1.04</v>
      </c>
      <c r="U11" s="244"/>
      <c r="V11" s="8"/>
      <c r="W11" s="8"/>
      <c r="X11" s="8" t="s">
        <v>22</v>
      </c>
      <c r="Y11" s="8" t="s">
        <v>22</v>
      </c>
      <c r="Z11" s="8" t="s">
        <v>22</v>
      </c>
      <c r="AA11" s="13" t="s">
        <v>22</v>
      </c>
      <c r="AB11" s="26" t="s">
        <v>89</v>
      </c>
      <c r="AC11" s="12"/>
      <c r="AD11" s="12"/>
      <c r="AE11" s="344"/>
      <c r="AF11" s="295"/>
      <c r="AG11" s="295"/>
      <c r="AH11" s="171"/>
      <c r="AI11" s="62"/>
      <c r="AJ11" s="5"/>
      <c r="AK11" s="8"/>
      <c r="AL11" s="8"/>
      <c r="AM11" s="8"/>
      <c r="AN11" s="349"/>
      <c r="AO11" s="13"/>
      <c r="AP11" s="14"/>
      <c r="AQ11" s="12"/>
      <c r="AR11" s="36"/>
      <c r="AS11" s="36"/>
      <c r="AT11" s="173"/>
      <c r="AU11" s="173"/>
      <c r="AV11" s="240"/>
      <c r="AW11" s="172"/>
      <c r="AX11" s="12"/>
      <c r="AY11" s="12"/>
      <c r="AZ11" s="12"/>
      <c r="BA11" s="384" t="s">
        <v>22</v>
      </c>
      <c r="BB11" s="52"/>
      <c r="BC11" s="407"/>
      <c r="BF11" s="568"/>
      <c r="BG11" s="568"/>
      <c r="BH11" s="570"/>
      <c r="BI11" s="570"/>
    </row>
    <row r="12" spans="1:61" ht="12.95" customHeight="1">
      <c r="A12" s="595" t="s">
        <v>31</v>
      </c>
      <c r="B12" s="296"/>
      <c r="D12" s="31"/>
      <c r="F12" s="297"/>
      <c r="G12" s="655"/>
      <c r="H12" s="290"/>
      <c r="I12" s="31"/>
      <c r="J12" s="31"/>
      <c r="K12" s="31"/>
      <c r="L12" s="297"/>
      <c r="M12" s="666"/>
      <c r="N12" s="655"/>
      <c r="O12" s="31"/>
      <c r="Q12" s="62"/>
      <c r="R12" s="31"/>
      <c r="S12" s="62"/>
      <c r="T12" s="62"/>
      <c r="U12" s="243"/>
      <c r="V12" s="62"/>
      <c r="W12" s="62"/>
      <c r="X12" s="62"/>
      <c r="Y12" s="180"/>
      <c r="Z12" s="62"/>
      <c r="AA12" s="180"/>
      <c r="AB12" s="62"/>
      <c r="AC12" s="62"/>
      <c r="AD12" s="62"/>
      <c r="AE12" s="62"/>
      <c r="AF12" s="179"/>
      <c r="AG12" s="63"/>
      <c r="AH12" s="62"/>
      <c r="AI12" s="5"/>
      <c r="AJ12" s="5"/>
      <c r="AK12" s="62"/>
      <c r="AL12" s="62"/>
      <c r="AM12" s="62"/>
      <c r="AN12" s="350"/>
      <c r="AO12" s="180"/>
      <c r="AP12" s="180"/>
      <c r="AQ12" s="66"/>
      <c r="AR12" s="66"/>
      <c r="AS12" s="66"/>
      <c r="AT12" s="66"/>
      <c r="AW12" s="64"/>
      <c r="AX12" s="43"/>
      <c r="AY12" s="43"/>
      <c r="AZ12" s="43"/>
      <c r="BA12" s="405"/>
      <c r="BB12" s="46"/>
      <c r="BC12" s="407"/>
      <c r="BF12" s="489"/>
      <c r="BG12" s="489"/>
      <c r="BH12" s="505"/>
      <c r="BI12" s="505"/>
    </row>
    <row r="13" spans="1:61" s="1" customFormat="1" ht="12.95" customHeight="1">
      <c r="A13" s="596" t="s">
        <v>32</v>
      </c>
      <c r="B13" s="104">
        <v>6902.18</v>
      </c>
      <c r="C13" s="483">
        <f>VLOOKUP(TRUNC(B13,1),VLOOKUP!$A$3:$K$2834,RIGHT(TEXT(B13,"0000.00"),1)+2,FALSE)</f>
        <v>291692</v>
      </c>
      <c r="D13" s="31"/>
      <c r="E13" s="31"/>
      <c r="F13" s="297"/>
      <c r="G13" s="655"/>
      <c r="H13" s="290"/>
      <c r="I13" s="31"/>
      <c r="J13" s="31"/>
      <c r="K13" s="31"/>
      <c r="L13" s="297"/>
      <c r="M13" s="666"/>
      <c r="N13" s="655"/>
      <c r="O13" s="31"/>
      <c r="P13" s="38"/>
      <c r="Q13" s="62"/>
      <c r="R13" s="62"/>
      <c r="S13" s="62"/>
      <c r="T13" s="62"/>
      <c r="U13" s="243"/>
      <c r="V13" s="62"/>
      <c r="W13" s="62"/>
      <c r="X13" s="62"/>
      <c r="Y13" s="180"/>
      <c r="Z13" s="62"/>
      <c r="AA13" s="180"/>
      <c r="AB13" s="62"/>
      <c r="AC13" s="62"/>
      <c r="AD13" s="62"/>
      <c r="AE13" s="62"/>
      <c r="AF13" s="179"/>
      <c r="AG13" s="63"/>
      <c r="AH13" s="55"/>
      <c r="AI13" s="55">
        <v>6456.1578774893114</v>
      </c>
      <c r="AJ13" s="55"/>
      <c r="AK13" s="62"/>
      <c r="AL13" s="62"/>
      <c r="AM13" s="62"/>
      <c r="AN13" s="350"/>
      <c r="AO13" s="617">
        <v>0</v>
      </c>
      <c r="AP13" s="180"/>
      <c r="AQ13" s="62"/>
      <c r="AR13" s="62"/>
      <c r="AS13" s="62"/>
      <c r="AT13" s="62"/>
      <c r="AU13" s="31"/>
      <c r="AV13" s="52"/>
      <c r="AW13" s="64"/>
      <c r="AX13" s="43"/>
      <c r="AY13" s="43"/>
      <c r="AZ13" s="43"/>
      <c r="BA13" s="405"/>
      <c r="BB13" s="46"/>
      <c r="BC13" s="77"/>
      <c r="BD13" s="657"/>
      <c r="BE13" s="571"/>
      <c r="BF13" s="559"/>
      <c r="BG13" s="559"/>
      <c r="BH13" s="490"/>
      <c r="BI13" s="490"/>
    </row>
    <row r="14" spans="1:61" ht="3" customHeight="1">
      <c r="A14" s="300"/>
      <c r="B14" s="298"/>
      <c r="C14" s="299"/>
      <c r="D14" s="275"/>
      <c r="E14" s="299"/>
      <c r="F14" s="300"/>
      <c r="G14" s="298"/>
      <c r="H14" s="301"/>
      <c r="I14" s="275"/>
      <c r="J14" s="275"/>
      <c r="K14" s="275"/>
      <c r="L14" s="300"/>
      <c r="M14" s="667"/>
      <c r="N14" s="301"/>
      <c r="O14" s="275"/>
      <c r="P14" s="303"/>
      <c r="Q14" s="67"/>
      <c r="R14" s="67"/>
      <c r="S14" s="67"/>
      <c r="T14" s="67"/>
      <c r="U14" s="245"/>
      <c r="V14" s="67"/>
      <c r="W14" s="67"/>
      <c r="X14" s="67"/>
      <c r="Y14" s="185"/>
      <c r="Z14" s="69"/>
      <c r="AA14" s="185"/>
      <c r="AB14" s="69"/>
      <c r="AC14" s="69"/>
      <c r="AD14" s="69"/>
      <c r="AE14" s="67"/>
      <c r="AF14" s="184"/>
      <c r="AG14" s="68"/>
      <c r="AH14" s="67"/>
      <c r="AI14" s="69"/>
      <c r="AJ14" s="69"/>
      <c r="AK14" s="67"/>
      <c r="AL14" s="67"/>
      <c r="AM14" s="67"/>
      <c r="AN14" s="351"/>
      <c r="AO14" s="185"/>
      <c r="AP14" s="185"/>
      <c r="AQ14" s="71"/>
      <c r="AR14" s="71"/>
      <c r="AS14" s="71"/>
      <c r="AT14" s="71"/>
      <c r="AU14" s="71"/>
      <c r="AV14" s="34"/>
      <c r="AW14" s="70"/>
      <c r="AX14" s="71"/>
      <c r="AY14" s="71"/>
      <c r="AZ14" s="67"/>
      <c r="BA14" s="351"/>
      <c r="BB14" s="351"/>
      <c r="BC14" s="658"/>
      <c r="BE14" s="573"/>
      <c r="BF14" s="572"/>
      <c r="BG14" s="572"/>
      <c r="BH14" s="573"/>
      <c r="BI14" s="573"/>
    </row>
    <row r="15" spans="1:61" ht="12.95" customHeight="1">
      <c r="A15" s="672">
        <v>1</v>
      </c>
      <c r="B15" s="304">
        <v>6902.18</v>
      </c>
      <c r="C15" s="483">
        <f>IF(B15="",C13,VLOOKUP(TRUNC(B15,1),VLOOKUP!$A$3:$K$2834,RIGHT(TEXT(B15,"0000.00"),1)+2,FALSE))</f>
        <v>291692</v>
      </c>
      <c r="D15" s="31">
        <f>C15-C13</f>
        <v>0</v>
      </c>
      <c r="E15" s="31">
        <f t="shared" ref="E15:E44" si="0">C15-152000</f>
        <v>139692</v>
      </c>
      <c r="F15" s="297">
        <f t="shared" ref="F15:F44" si="1">D15/$D$2</f>
        <v>0</v>
      </c>
      <c r="G15" s="656">
        <v>26.2</v>
      </c>
      <c r="H15" s="164">
        <v>0</v>
      </c>
      <c r="I15" s="61">
        <f t="shared" ref="I15:I44" si="2">G15+H15</f>
        <v>26.2</v>
      </c>
      <c r="J15" s="23">
        <f>IF(L15&gt;0,L15,0)</f>
        <v>16.2</v>
      </c>
      <c r="K15" s="61">
        <f t="shared" ref="K15:K44" si="3">I15+J15</f>
        <v>42.4</v>
      </c>
      <c r="L15" s="591">
        <f t="shared" ref="L15:L44" si="4">IF(G15="",0,F15-(I15-AK15))</f>
        <v>16.2</v>
      </c>
      <c r="M15" s="668">
        <v>4.4000000000000004</v>
      </c>
      <c r="N15" s="656">
        <v>0</v>
      </c>
      <c r="O15" s="61">
        <f>0*1.05</f>
        <v>0</v>
      </c>
      <c r="P15" s="38">
        <v>0</v>
      </c>
      <c r="Q15" s="73">
        <f>1143800/325851/1.9835*1.02</f>
        <v>1.8050905850245105</v>
      </c>
      <c r="R15" s="73">
        <v>0</v>
      </c>
      <c r="S15" s="73">
        <f>IF(((2*1.04)-T15)&gt;=4.2,4.2,(2*1.04)-T15)</f>
        <v>1.49231056</v>
      </c>
      <c r="T15" s="314">
        <f>(0.5331*1.06)*1.04</f>
        <v>0.58768944000000012</v>
      </c>
      <c r="U15" s="243">
        <f t="shared" ref="U15:U44" si="5">M15-(Q15+R15+S15+T15)</f>
        <v>0.51490941497548981</v>
      </c>
      <c r="V15" s="74">
        <v>0</v>
      </c>
      <c r="W15" s="621">
        <v>0</v>
      </c>
      <c r="X15" s="47">
        <f t="shared" ref="X15:X44" si="6">MAX(0,M15-N15-O15-P15-Q15-R15-S15-T15-U15+V15+W15-AU15+AS15)</f>
        <v>0</v>
      </c>
      <c r="Y15" s="42">
        <f t="shared" ref="Y15:Y44" si="7">X15-AP15</f>
        <v>0</v>
      </c>
      <c r="Z15" s="62"/>
      <c r="AA15" s="42"/>
      <c r="AB15" s="62"/>
      <c r="AC15" s="74"/>
      <c r="AD15" s="62"/>
      <c r="AE15" s="74">
        <v>0</v>
      </c>
      <c r="AF15" s="188">
        <v>0</v>
      </c>
      <c r="AG15" s="210">
        <v>0</v>
      </c>
      <c r="AH15" s="74">
        <v>38</v>
      </c>
      <c r="AI15" s="62">
        <f>AI13-AH15</f>
        <v>6418.1578774893114</v>
      </c>
      <c r="AJ15" s="62"/>
      <c r="AK15" s="74">
        <f t="shared" ref="AK15:AK44" si="8">N15+O15+P15+Q15+R15+S15+T15+U15+X15+AE15+AH15</f>
        <v>42.4</v>
      </c>
      <c r="AL15" s="74">
        <f t="shared" ref="AL15:AL44" si="9">IF(L15&lt;0,L15*-1,0)</f>
        <v>0</v>
      </c>
      <c r="AM15" s="74">
        <f>AK15+AL15</f>
        <v>42.4</v>
      </c>
      <c r="AN15" s="203"/>
      <c r="AO15" s="618">
        <f>IF(G15="","",IF(I15&gt;=795,795-X15,I15-Q15-R15-X15-AF15)-AJ15)</f>
        <v>24.394909414975487</v>
      </c>
      <c r="AP15" s="617"/>
      <c r="AQ15" s="43"/>
      <c r="AR15" s="66"/>
      <c r="AS15" s="66"/>
      <c r="AT15" s="66"/>
      <c r="AV15" s="38"/>
      <c r="AW15" s="340">
        <v>0</v>
      </c>
      <c r="AX15" s="43">
        <v>60</v>
      </c>
      <c r="AY15" s="43">
        <v>21</v>
      </c>
      <c r="AZ15" s="43"/>
      <c r="BA15" s="405">
        <f t="shared" ref="BA15:BA44" si="10">SUM(N15,P15:U15)</f>
        <v>4.4000000000000004</v>
      </c>
      <c r="BB15" s="180">
        <v>1.1399999999999999</v>
      </c>
      <c r="BC15" s="445">
        <v>15835</v>
      </c>
      <c r="BE15" s="574">
        <v>1</v>
      </c>
      <c r="BF15" s="559">
        <v>6902.2</v>
      </c>
      <c r="BG15" s="575">
        <f>B15-BF15</f>
        <v>-1.9999999999527063E-2</v>
      </c>
      <c r="BH15" s="576">
        <v>24.952083333333338</v>
      </c>
      <c r="BI15" s="576">
        <f>AH15-BH15</f>
        <v>13.047916666666662</v>
      </c>
    </row>
    <row r="16" spans="1:61" ht="12.95" customHeight="1">
      <c r="A16" s="672">
        <f t="shared" ref="A16:A43" si="11">A15+1</f>
        <v>2</v>
      </c>
      <c r="B16" s="304">
        <v>6902.18</v>
      </c>
      <c r="C16" s="483">
        <f>IF(B16="",C15,VLOOKUP(TRUNC(B16,1),VLOOKUP!$A$3:$K$2834,RIGHT(TEXT(B16,"0000.00"),1)+2,FALSE))</f>
        <v>291692</v>
      </c>
      <c r="D16" s="31">
        <f>C16-C15</f>
        <v>0</v>
      </c>
      <c r="E16" s="31">
        <f t="shared" si="0"/>
        <v>139692</v>
      </c>
      <c r="F16" s="297">
        <f t="shared" si="1"/>
        <v>0</v>
      </c>
      <c r="G16" s="61">
        <v>31.6</v>
      </c>
      <c r="H16" s="164">
        <v>0</v>
      </c>
      <c r="I16" s="61">
        <f t="shared" si="2"/>
        <v>31.6</v>
      </c>
      <c r="J16" s="23">
        <f t="shared" ref="J16:J29" si="12">IF(L16&gt;0,L16,0)</f>
        <v>10.899999999999999</v>
      </c>
      <c r="K16" s="61">
        <f t="shared" si="3"/>
        <v>42.5</v>
      </c>
      <c r="L16" s="591">
        <f t="shared" si="4"/>
        <v>10.899999999999999</v>
      </c>
      <c r="M16" s="668">
        <v>4.5</v>
      </c>
      <c r="N16" s="656">
        <v>0</v>
      </c>
      <c r="O16" s="61">
        <f t="shared" ref="O16:O44" si="13">0*1.05</f>
        <v>0</v>
      </c>
      <c r="P16" s="38">
        <v>0</v>
      </c>
      <c r="Q16" s="73">
        <f>1204900/325851/1.9835*1.02</f>
        <v>1.9015156897150136</v>
      </c>
      <c r="R16" s="73">
        <v>0</v>
      </c>
      <c r="S16" s="73">
        <f>IF(((2.5*1.04)-T16)&gt;=4.2,4.2,(2.5*1.04)-T16)</f>
        <v>2.01231056</v>
      </c>
      <c r="T16" s="314">
        <f t="shared" ref="T16:T21" si="14">(0.5331*1.06)*1.04</f>
        <v>0.58768944000000012</v>
      </c>
      <c r="U16" s="243">
        <f t="shared" si="5"/>
        <v>-1.5156897150134796E-3</v>
      </c>
      <c r="V16" s="74">
        <v>0</v>
      </c>
      <c r="W16" s="74">
        <v>0</v>
      </c>
      <c r="X16" s="47">
        <f t="shared" si="6"/>
        <v>0</v>
      </c>
      <c r="Y16" s="42">
        <f t="shared" si="7"/>
        <v>0</v>
      </c>
      <c r="Z16" s="62"/>
      <c r="AA16" s="42"/>
      <c r="AB16" s="62"/>
      <c r="AC16" s="74"/>
      <c r="AD16" s="62"/>
      <c r="AE16" s="74">
        <v>0</v>
      </c>
      <c r="AF16" s="188">
        <v>0</v>
      </c>
      <c r="AG16" s="210">
        <v>0</v>
      </c>
      <c r="AH16" s="74">
        <v>38</v>
      </c>
      <c r="AI16" s="62">
        <f>AI15-AH16</f>
        <v>6380.1578774893114</v>
      </c>
      <c r="AJ16" s="62"/>
      <c r="AK16" s="74">
        <f t="shared" si="8"/>
        <v>42.5</v>
      </c>
      <c r="AL16" s="74">
        <f t="shared" si="9"/>
        <v>0</v>
      </c>
      <c r="AM16" s="74">
        <f t="shared" ref="AM16:AM44" si="15">AK16+AL16</f>
        <v>42.5</v>
      </c>
      <c r="AN16" s="203"/>
      <c r="AO16" s="42">
        <f t="shared" ref="AO16:AO44" si="16">IF(G16="","",IF(I16&gt;=795,795-X16,I16-Q16-R16-X16-AF16)-AJ16)</f>
        <v>29.698484310284989</v>
      </c>
      <c r="AP16" s="180"/>
      <c r="AQ16" s="66"/>
      <c r="AR16" s="66"/>
      <c r="AS16" s="66"/>
      <c r="AT16" s="66"/>
      <c r="AV16" s="38"/>
      <c r="AW16" s="64">
        <v>0</v>
      </c>
      <c r="AX16" s="43">
        <v>59</v>
      </c>
      <c r="AY16" s="43">
        <v>21</v>
      </c>
      <c r="AZ16" s="43"/>
      <c r="BA16" s="405">
        <f t="shared" si="10"/>
        <v>4.5</v>
      </c>
      <c r="BB16" s="180">
        <v>1.1399999999999999</v>
      </c>
      <c r="BC16" s="445">
        <v>15830</v>
      </c>
      <c r="BE16" s="574">
        <f>BE15+1</f>
        <v>2</v>
      </c>
      <c r="BF16" s="559">
        <v>6902.18</v>
      </c>
      <c r="BG16" s="575">
        <f t="shared" ref="BG16:BG44" si="17">B16-BF16</f>
        <v>0</v>
      </c>
      <c r="BH16" s="576">
        <v>24.893749999999983</v>
      </c>
      <c r="BI16" s="576">
        <f t="shared" ref="BI16:BI44" si="18">AH16-BH16</f>
        <v>13.106250000000017</v>
      </c>
    </row>
    <row r="17" spans="1:61" ht="12.95" customHeight="1">
      <c r="A17" s="672">
        <f t="shared" si="11"/>
        <v>3</v>
      </c>
      <c r="B17" s="304">
        <v>6902.18</v>
      </c>
      <c r="C17" s="483">
        <f>IF(B17="",C16,VLOOKUP(TRUNC(B17,1),VLOOKUP!$A$3:$K$2834,RIGHT(TEXT(B17,"0000.00"),1)+2,FALSE))</f>
        <v>291692</v>
      </c>
      <c r="D17" s="31">
        <f t="shared" ref="D17:D44" si="19">C17-C16</f>
        <v>0</v>
      </c>
      <c r="E17" s="31">
        <f t="shared" si="0"/>
        <v>139692</v>
      </c>
      <c r="F17" s="297">
        <f t="shared" si="1"/>
        <v>0</v>
      </c>
      <c r="G17" s="61">
        <v>33.299999999999997</v>
      </c>
      <c r="H17" s="164">
        <v>0</v>
      </c>
      <c r="I17" s="61">
        <f t="shared" si="2"/>
        <v>33.299999999999997</v>
      </c>
      <c r="J17" s="23">
        <f t="shared" si="12"/>
        <v>9.3000000000000043</v>
      </c>
      <c r="K17" s="61">
        <f t="shared" si="3"/>
        <v>42.6</v>
      </c>
      <c r="L17" s="591">
        <f t="shared" si="4"/>
        <v>9.3000000000000043</v>
      </c>
      <c r="M17" s="668">
        <v>4.5999999999999996</v>
      </c>
      <c r="N17" s="61">
        <v>0</v>
      </c>
      <c r="O17" s="61">
        <f t="shared" si="13"/>
        <v>0</v>
      </c>
      <c r="P17" s="38">
        <v>0</v>
      </c>
      <c r="Q17" s="73">
        <f>1300200/325851/1.9835*1.02</f>
        <v>2.0519136025956186</v>
      </c>
      <c r="R17" s="73">
        <v>0</v>
      </c>
      <c r="S17" s="73">
        <f>IF(((2.6*1.04)-T17)&gt;=4.2,4.2,(2.6*1.04)-T17)</f>
        <v>2.1163105600000001</v>
      </c>
      <c r="T17" s="314">
        <f t="shared" si="14"/>
        <v>0.58768944000000012</v>
      </c>
      <c r="U17" s="243">
        <f t="shared" si="5"/>
        <v>-0.15591360259561959</v>
      </c>
      <c r="V17" s="74">
        <v>0</v>
      </c>
      <c r="W17" s="74">
        <v>0</v>
      </c>
      <c r="X17" s="47">
        <f t="shared" si="6"/>
        <v>4.4408920985006262E-16</v>
      </c>
      <c r="Y17" s="42">
        <f t="shared" si="7"/>
        <v>4.4408920985006262E-16</v>
      </c>
      <c r="Z17" s="62"/>
      <c r="AA17" s="42"/>
      <c r="AB17" s="62"/>
      <c r="AC17" s="74"/>
      <c r="AD17" s="62"/>
      <c r="AE17" s="74">
        <v>0</v>
      </c>
      <c r="AF17" s="188">
        <v>0</v>
      </c>
      <c r="AG17" s="210">
        <v>0</v>
      </c>
      <c r="AH17" s="74">
        <v>38</v>
      </c>
      <c r="AI17" s="62">
        <f>AI16-AH17</f>
        <v>6342.1578774893114</v>
      </c>
      <c r="AJ17" s="62"/>
      <c r="AK17" s="74">
        <f t="shared" si="8"/>
        <v>42.6</v>
      </c>
      <c r="AL17" s="74">
        <f t="shared" si="9"/>
        <v>0</v>
      </c>
      <c r="AM17" s="74">
        <f>AK17+AL17</f>
        <v>42.6</v>
      </c>
      <c r="AN17" s="203"/>
      <c r="AO17" s="42">
        <f t="shared" si="16"/>
        <v>31.248086397404379</v>
      </c>
      <c r="AP17" s="180"/>
      <c r="AQ17" s="66"/>
      <c r="AR17" s="66"/>
      <c r="AS17" s="66"/>
      <c r="AT17" s="66"/>
      <c r="AV17" s="38"/>
      <c r="AW17" s="64">
        <v>0</v>
      </c>
      <c r="AX17" s="43">
        <v>63</v>
      </c>
      <c r="AY17" s="43">
        <v>26</v>
      </c>
      <c r="AZ17" s="43"/>
      <c r="BA17" s="405">
        <f t="shared" si="10"/>
        <v>4.5999999999999996</v>
      </c>
      <c r="BB17" s="180">
        <v>1.1399999999999999</v>
      </c>
      <c r="BC17" s="445">
        <v>15825</v>
      </c>
      <c r="BE17" s="574">
        <f t="shared" ref="BE17:BE43" si="20">BE16+1</f>
        <v>3</v>
      </c>
      <c r="BF17" s="559">
        <v>6902.17</v>
      </c>
      <c r="BG17" s="575">
        <f t="shared" si="17"/>
        <v>1.0000000000218279E-2</v>
      </c>
      <c r="BH17" s="576">
        <v>25.088999999999992</v>
      </c>
      <c r="BI17" s="576">
        <f t="shared" si="18"/>
        <v>12.911000000000008</v>
      </c>
    </row>
    <row r="18" spans="1:61" ht="12.95" customHeight="1">
      <c r="A18" s="672">
        <f t="shared" si="11"/>
        <v>4</v>
      </c>
      <c r="B18" s="304">
        <v>6902.09</v>
      </c>
      <c r="C18" s="483">
        <f>IF(B18="",C17,VLOOKUP(TRUNC(B18,1),VLOOKUP!$A$3:$K$2834,RIGHT(TEXT(B18,"0000.00"),1)+2,FALSE))</f>
        <v>291353</v>
      </c>
      <c r="D18" s="31">
        <f t="shared" si="19"/>
        <v>-339</v>
      </c>
      <c r="E18" s="31">
        <f t="shared" si="0"/>
        <v>139353</v>
      </c>
      <c r="F18" s="297">
        <f t="shared" si="1"/>
        <v>-170.91000756238972</v>
      </c>
      <c r="G18" s="61">
        <v>42.5</v>
      </c>
      <c r="H18" s="164">
        <v>0</v>
      </c>
      <c r="I18" s="61">
        <f t="shared" si="2"/>
        <v>42.5</v>
      </c>
      <c r="J18" s="23">
        <f t="shared" si="12"/>
        <v>0</v>
      </c>
      <c r="K18" s="61">
        <f t="shared" si="3"/>
        <v>42.5</v>
      </c>
      <c r="L18" s="591">
        <f t="shared" si="4"/>
        <v>-78.610007562389711</v>
      </c>
      <c r="M18" s="669">
        <v>4.8</v>
      </c>
      <c r="N18" s="61">
        <v>0</v>
      </c>
      <c r="O18" s="61">
        <f t="shared" si="13"/>
        <v>0</v>
      </c>
      <c r="P18" s="38">
        <v>0</v>
      </c>
      <c r="Q18" s="73">
        <f>966400/325851/1.9835*1.02</f>
        <v>1.5251263694419366</v>
      </c>
      <c r="R18" s="73">
        <v>0</v>
      </c>
      <c r="S18" s="73">
        <f>IF(((2.5*1.04)-T18)&gt;=4.2,4.2,(2.5*1.04)-T18)</f>
        <v>2.01231056</v>
      </c>
      <c r="T18" s="314">
        <f t="shared" si="14"/>
        <v>0.58768944000000012</v>
      </c>
      <c r="U18" s="243">
        <f t="shared" si="5"/>
        <v>0.67487363055806338</v>
      </c>
      <c r="V18" s="74">
        <v>92</v>
      </c>
      <c r="W18" s="74">
        <v>0</v>
      </c>
      <c r="X18" s="47">
        <f t="shared" si="6"/>
        <v>92</v>
      </c>
      <c r="Y18" s="42">
        <f t="shared" si="7"/>
        <v>92</v>
      </c>
      <c r="Z18" s="62"/>
      <c r="AA18" s="42"/>
      <c r="AB18" s="62"/>
      <c r="AC18" s="74"/>
      <c r="AD18" s="62"/>
      <c r="AE18" s="74">
        <v>0</v>
      </c>
      <c r="AF18" s="188">
        <v>0</v>
      </c>
      <c r="AG18" s="210">
        <v>0</v>
      </c>
      <c r="AH18" s="74">
        <v>38</v>
      </c>
      <c r="AI18" s="62">
        <f>AI17-AH18</f>
        <v>6304.1578774893114</v>
      </c>
      <c r="AJ18" s="62"/>
      <c r="AK18" s="74">
        <f t="shared" si="8"/>
        <v>134.80000000000001</v>
      </c>
      <c r="AL18" s="74">
        <f t="shared" si="9"/>
        <v>78.610007562389711</v>
      </c>
      <c r="AM18" s="74">
        <f t="shared" si="15"/>
        <v>213.41000756238972</v>
      </c>
      <c r="AN18" s="203">
        <f>V18</f>
        <v>92</v>
      </c>
      <c r="AO18" s="42">
        <f t="shared" si="16"/>
        <v>-51.025126369441935</v>
      </c>
      <c r="AP18" s="180"/>
      <c r="AQ18" s="66"/>
      <c r="AR18" s="66"/>
      <c r="AS18" s="66"/>
      <c r="AT18" s="66"/>
      <c r="AV18" s="38"/>
      <c r="AW18" s="64">
        <v>0</v>
      </c>
      <c r="AX18" s="43">
        <v>65</v>
      </c>
      <c r="AY18" s="43">
        <v>29</v>
      </c>
      <c r="AZ18" s="43"/>
      <c r="BA18" s="405">
        <f t="shared" si="10"/>
        <v>4.8</v>
      </c>
      <c r="BB18" s="180">
        <v>1.1399999999999999</v>
      </c>
      <c r="BC18" s="445">
        <v>15822</v>
      </c>
      <c r="BE18" s="574">
        <f t="shared" si="20"/>
        <v>4</v>
      </c>
      <c r="BF18" s="559">
        <v>6902.11</v>
      </c>
      <c r="BG18" s="575">
        <f t="shared" si="17"/>
        <v>-1.9999999999527063E-2</v>
      </c>
      <c r="BH18" s="576">
        <v>24.764583333333334</v>
      </c>
      <c r="BI18" s="576">
        <f t="shared" si="18"/>
        <v>13.235416666666666</v>
      </c>
    </row>
    <row r="19" spans="1:61" ht="12.95" customHeight="1">
      <c r="A19" s="672">
        <f t="shared" si="11"/>
        <v>5</v>
      </c>
      <c r="B19" s="304">
        <v>6901.99</v>
      </c>
      <c r="C19" s="483">
        <f>IF(B19="",C18,VLOOKUP(TRUNC(B19,1),VLOOKUP!$A$3:$K$2834,RIGHT(TEXT(B19,"0000.00"),1)+2,FALSE))</f>
        <v>290977</v>
      </c>
      <c r="D19" s="31">
        <f t="shared" si="19"/>
        <v>-376</v>
      </c>
      <c r="E19" s="31">
        <f t="shared" si="0"/>
        <v>138977</v>
      </c>
      <c r="F19" s="297">
        <f t="shared" si="1"/>
        <v>-189.56390219309301</v>
      </c>
      <c r="G19" s="61">
        <v>48.2</v>
      </c>
      <c r="H19" s="164">
        <v>0</v>
      </c>
      <c r="I19" s="61">
        <f t="shared" si="2"/>
        <v>48.2</v>
      </c>
      <c r="J19" s="23">
        <f t="shared" si="12"/>
        <v>0</v>
      </c>
      <c r="K19" s="61">
        <f t="shared" si="3"/>
        <v>48.2</v>
      </c>
      <c r="L19" s="591">
        <f t="shared" si="4"/>
        <v>-14.963902193092991</v>
      </c>
      <c r="M19" s="669">
        <v>4.8</v>
      </c>
      <c r="N19" s="61">
        <v>0</v>
      </c>
      <c r="O19" s="61">
        <f t="shared" si="13"/>
        <v>0</v>
      </c>
      <c r="P19" s="38">
        <v>0</v>
      </c>
      <c r="Q19" s="73">
        <f>1003100/325851/1.9835*1.02</f>
        <v>1.5830445583476889</v>
      </c>
      <c r="R19" s="73">
        <v>0</v>
      </c>
      <c r="S19" s="73">
        <f>IF(((2.6*1.04)-T19)&gt;=4.2,4.2,(2.6*1.04)-T19)</f>
        <v>2.1163105600000001</v>
      </c>
      <c r="T19" s="314">
        <f t="shared" si="14"/>
        <v>0.58768944000000012</v>
      </c>
      <c r="U19" s="243">
        <f t="shared" si="5"/>
        <v>0.51295544165231099</v>
      </c>
      <c r="V19" s="74">
        <v>180</v>
      </c>
      <c r="W19" s="74">
        <v>0</v>
      </c>
      <c r="X19" s="47">
        <f t="shared" si="6"/>
        <v>180</v>
      </c>
      <c r="Y19" s="42">
        <f t="shared" si="7"/>
        <v>180</v>
      </c>
      <c r="Z19" s="62"/>
      <c r="AA19" s="42"/>
      <c r="AB19" s="62"/>
      <c r="AC19" s="74"/>
      <c r="AD19" s="62"/>
      <c r="AE19" s="74">
        <v>0</v>
      </c>
      <c r="AF19" s="188">
        <v>0</v>
      </c>
      <c r="AG19" s="210">
        <v>0</v>
      </c>
      <c r="AH19" s="74">
        <v>38</v>
      </c>
      <c r="AI19" s="62">
        <f t="shared" ref="AI19:AI44" si="21">AI18-AH19</f>
        <v>6266.1578774893114</v>
      </c>
      <c r="AJ19" s="62"/>
      <c r="AK19" s="74">
        <f t="shared" si="8"/>
        <v>222.8</v>
      </c>
      <c r="AL19" s="74">
        <f t="shared" si="9"/>
        <v>14.963902193092991</v>
      </c>
      <c r="AM19" s="74">
        <f t="shared" si="15"/>
        <v>237.763902193093</v>
      </c>
      <c r="AN19" s="203">
        <f t="shared" ref="AN19:AN25" si="22">V19</f>
        <v>180</v>
      </c>
      <c r="AO19" s="42">
        <f t="shared" si="16"/>
        <v>-133.38304455834768</v>
      </c>
      <c r="AP19" s="180"/>
      <c r="AQ19" s="66"/>
      <c r="AR19" s="66"/>
      <c r="AS19" s="66"/>
      <c r="AT19" s="66"/>
      <c r="AV19" s="38"/>
      <c r="AW19" s="64">
        <v>0</v>
      </c>
      <c r="AX19" s="43">
        <v>66</v>
      </c>
      <c r="AY19" s="43">
        <v>31</v>
      </c>
      <c r="AZ19" s="43"/>
      <c r="BA19" s="405">
        <f t="shared" si="10"/>
        <v>4.8</v>
      </c>
      <c r="BB19" s="180">
        <v>1.1399999999999999</v>
      </c>
      <c r="BC19" s="445">
        <v>15819</v>
      </c>
      <c r="BE19" s="574">
        <f t="shared" si="20"/>
        <v>5</v>
      </c>
      <c r="BF19" s="559">
        <v>6902.01</v>
      </c>
      <c r="BG19" s="575">
        <f t="shared" si="17"/>
        <v>-2.0000000000436557E-2</v>
      </c>
      <c r="BH19" s="576">
        <v>24.814583333333335</v>
      </c>
      <c r="BI19" s="576">
        <f t="shared" si="18"/>
        <v>13.185416666666665</v>
      </c>
    </row>
    <row r="20" spans="1:61" ht="12.95" customHeight="1">
      <c r="A20" s="672">
        <f t="shared" si="11"/>
        <v>6</v>
      </c>
      <c r="B20" s="304">
        <v>6901.89</v>
      </c>
      <c r="C20" s="483">
        <f>IF(B20="",C19,VLOOKUP(TRUNC(B20,1),VLOOKUP!$A$3:$K$2834,RIGHT(TEXT(B20,"0000.00"),1)+2,FALSE))</f>
        <v>290604</v>
      </c>
      <c r="D20" s="31">
        <f t="shared" si="19"/>
        <v>-373</v>
      </c>
      <c r="E20" s="31">
        <f t="shared" si="0"/>
        <v>138604</v>
      </c>
      <c r="F20" s="297">
        <f t="shared" si="1"/>
        <v>-188.05142425006301</v>
      </c>
      <c r="G20" s="61">
        <v>46.4</v>
      </c>
      <c r="H20" s="164">
        <v>0</v>
      </c>
      <c r="I20" s="61">
        <f t="shared" si="2"/>
        <v>46.4</v>
      </c>
      <c r="J20" s="23">
        <f t="shared" si="12"/>
        <v>0</v>
      </c>
      <c r="K20" s="61">
        <f t="shared" si="3"/>
        <v>46.4</v>
      </c>
      <c r="L20" s="591">
        <f t="shared" si="4"/>
        <v>-11.651424250063002</v>
      </c>
      <c r="M20" s="669">
        <v>4.8</v>
      </c>
      <c r="N20" s="61">
        <v>0</v>
      </c>
      <c r="O20" s="61">
        <f t="shared" si="13"/>
        <v>0</v>
      </c>
      <c r="P20" s="38">
        <v>0</v>
      </c>
      <c r="Q20" s="73">
        <f>1226900/325851/1.9835*1.02</f>
        <v>1.9362350400127399</v>
      </c>
      <c r="R20" s="73">
        <v>0</v>
      </c>
      <c r="S20" s="73">
        <f>IF(((2.7*1.04)-T20)&gt;=4.2,4.2,(2.7*1.04)-T20)</f>
        <v>2.2203105600000002</v>
      </c>
      <c r="T20" s="314">
        <f t="shared" si="14"/>
        <v>0.58768944000000012</v>
      </c>
      <c r="U20" s="243">
        <f t="shared" si="5"/>
        <v>5.5764959987259388E-2</v>
      </c>
      <c r="V20" s="74">
        <v>180</v>
      </c>
      <c r="W20" s="74">
        <v>0</v>
      </c>
      <c r="X20" s="47">
        <f t="shared" si="6"/>
        <v>180</v>
      </c>
      <c r="Y20" s="42">
        <f t="shared" si="7"/>
        <v>180</v>
      </c>
      <c r="Z20" s="62"/>
      <c r="AA20" s="42"/>
      <c r="AB20" s="62"/>
      <c r="AC20" s="74"/>
      <c r="AD20" s="62"/>
      <c r="AE20" s="74">
        <v>0</v>
      </c>
      <c r="AF20" s="188">
        <v>0</v>
      </c>
      <c r="AG20" s="210">
        <v>0</v>
      </c>
      <c r="AH20" s="74">
        <v>38</v>
      </c>
      <c r="AI20" s="62">
        <f t="shared" si="21"/>
        <v>6228.1578774893114</v>
      </c>
      <c r="AJ20" s="62"/>
      <c r="AK20" s="74">
        <f t="shared" si="8"/>
        <v>222.8</v>
      </c>
      <c r="AL20" s="74">
        <f t="shared" si="9"/>
        <v>11.651424250063002</v>
      </c>
      <c r="AM20" s="74">
        <f t="shared" si="15"/>
        <v>234.45142425006301</v>
      </c>
      <c r="AN20" s="203">
        <f t="shared" si="22"/>
        <v>180</v>
      </c>
      <c r="AO20" s="42">
        <f t="shared" si="16"/>
        <v>-135.53623504001274</v>
      </c>
      <c r="AP20" s="180"/>
      <c r="AQ20" s="66"/>
      <c r="AR20" s="66"/>
      <c r="AS20" s="66"/>
      <c r="AT20" s="66"/>
      <c r="AV20" s="38"/>
      <c r="AW20" s="64">
        <v>0</v>
      </c>
      <c r="AX20" s="43">
        <v>67</v>
      </c>
      <c r="AY20" s="43">
        <v>32</v>
      </c>
      <c r="AZ20" s="43"/>
      <c r="BA20" s="405">
        <f t="shared" si="10"/>
        <v>4.8</v>
      </c>
      <c r="BB20" s="180">
        <v>1.1399999999999999</v>
      </c>
      <c r="BC20" s="445">
        <v>15816</v>
      </c>
      <c r="BE20" s="574">
        <f t="shared" si="20"/>
        <v>6</v>
      </c>
      <c r="BF20" s="559">
        <v>6901.9</v>
      </c>
      <c r="BG20" s="575">
        <f t="shared" si="17"/>
        <v>-9.999999999308784E-3</v>
      </c>
      <c r="BH20" s="576">
        <v>24.753125000000001</v>
      </c>
      <c r="BI20" s="576">
        <f t="shared" si="18"/>
        <v>13.246874999999999</v>
      </c>
    </row>
    <row r="21" spans="1:61" ht="12.75" customHeight="1">
      <c r="A21" s="672">
        <f t="shared" si="11"/>
        <v>7</v>
      </c>
      <c r="B21" s="304">
        <v>6901.79</v>
      </c>
      <c r="C21" s="483">
        <f>IF(B21="",C20,VLOOKUP(TRUNC(B21,1),VLOOKUP!$A$3:$K$2834,RIGHT(TEXT(B21,"0000.00"),1)+2,FALSE))</f>
        <v>290231</v>
      </c>
      <c r="D21" s="31">
        <f t="shared" si="19"/>
        <v>-373</v>
      </c>
      <c r="E21" s="31">
        <f t="shared" si="0"/>
        <v>138231</v>
      </c>
      <c r="F21" s="297">
        <f t="shared" si="1"/>
        <v>-188.05142425006301</v>
      </c>
      <c r="G21" s="61">
        <v>46.7</v>
      </c>
      <c r="H21" s="164">
        <v>0</v>
      </c>
      <c r="I21" s="61">
        <f t="shared" si="2"/>
        <v>46.7</v>
      </c>
      <c r="J21" s="23">
        <f t="shared" si="12"/>
        <v>0</v>
      </c>
      <c r="K21" s="61">
        <f t="shared" si="3"/>
        <v>46.7</v>
      </c>
      <c r="L21" s="591">
        <f t="shared" si="4"/>
        <v>-12.551424250063008</v>
      </c>
      <c r="M21" s="669">
        <v>5.2</v>
      </c>
      <c r="N21" s="61">
        <v>0</v>
      </c>
      <c r="O21" s="61">
        <f t="shared" si="13"/>
        <v>0</v>
      </c>
      <c r="P21" s="38">
        <v>0</v>
      </c>
      <c r="Q21" s="73">
        <f>1036500/325851/1.9835*1.02</f>
        <v>1.6357548447087822</v>
      </c>
      <c r="R21" s="73">
        <v>0</v>
      </c>
      <c r="S21" s="73">
        <f>IF(((2.6*1.04)-T21)&gt;=4.2,4.2,(2.6*1.04)-T21)</f>
        <v>2.1163105600000001</v>
      </c>
      <c r="T21" s="314">
        <f t="shared" si="14"/>
        <v>0.58768944000000012</v>
      </c>
      <c r="U21" s="243">
        <f t="shared" si="5"/>
        <v>0.86024515529121803</v>
      </c>
      <c r="V21" s="74">
        <v>179</v>
      </c>
      <c r="W21" s="74">
        <v>0</v>
      </c>
      <c r="X21" s="47">
        <f t="shared" si="6"/>
        <v>179</v>
      </c>
      <c r="Y21" s="42">
        <f t="shared" si="7"/>
        <v>179</v>
      </c>
      <c r="Z21" s="62"/>
      <c r="AA21" s="42"/>
      <c r="AB21" s="62"/>
      <c r="AC21" s="74"/>
      <c r="AD21" s="62"/>
      <c r="AE21" s="74">
        <v>0</v>
      </c>
      <c r="AF21" s="188">
        <v>0</v>
      </c>
      <c r="AG21" s="210">
        <v>0</v>
      </c>
      <c r="AH21" s="74">
        <v>38</v>
      </c>
      <c r="AI21" s="62">
        <f t="shared" si="21"/>
        <v>6190.1578774893114</v>
      </c>
      <c r="AJ21" s="62"/>
      <c r="AK21" s="74">
        <f t="shared" si="8"/>
        <v>222.2</v>
      </c>
      <c r="AL21" s="74">
        <f t="shared" si="9"/>
        <v>12.551424250063008</v>
      </c>
      <c r="AM21" s="74">
        <f t="shared" si="15"/>
        <v>234.751424250063</v>
      </c>
      <c r="AN21" s="203">
        <f t="shared" si="22"/>
        <v>179</v>
      </c>
      <c r="AO21" s="42">
        <f t="shared" si="16"/>
        <v>-133.93575484470878</v>
      </c>
      <c r="AP21" s="180"/>
      <c r="AQ21" s="66"/>
      <c r="AR21" s="66"/>
      <c r="AS21" s="66"/>
      <c r="AT21" s="66"/>
      <c r="AV21" s="38"/>
      <c r="AW21" s="64">
        <v>0</v>
      </c>
      <c r="AX21" s="43">
        <v>64</v>
      </c>
      <c r="AY21" s="43">
        <v>31</v>
      </c>
      <c r="AZ21" s="43"/>
      <c r="BA21" s="405">
        <f t="shared" si="10"/>
        <v>5.2</v>
      </c>
      <c r="BB21" s="180">
        <v>1.1399999999999999</v>
      </c>
      <c r="BC21" s="445">
        <v>15814</v>
      </c>
      <c r="BE21" s="574">
        <f t="shared" si="20"/>
        <v>7</v>
      </c>
      <c r="BF21" s="559">
        <v>6901.8</v>
      </c>
      <c r="BG21" s="575">
        <f t="shared" si="17"/>
        <v>-1.0000000000218279E-2</v>
      </c>
      <c r="BH21" s="576">
        <v>24.805208333333326</v>
      </c>
      <c r="BI21" s="576">
        <f t="shared" si="18"/>
        <v>13.194791666666674</v>
      </c>
    </row>
    <row r="22" spans="1:61" ht="12.75" customHeight="1">
      <c r="A22" s="672">
        <f t="shared" si="11"/>
        <v>8</v>
      </c>
      <c r="B22" s="304">
        <v>6901.68</v>
      </c>
      <c r="C22" s="483">
        <f>IF(B22="",C21,VLOOKUP(TRUNC(B22,1),VLOOKUP!$A$3:$K$2834,RIGHT(TEXT(B22,"0000.00"),1)+2,FALSE))</f>
        <v>289820</v>
      </c>
      <c r="D22" s="31">
        <f t="shared" si="19"/>
        <v>-411</v>
      </c>
      <c r="E22" s="31">
        <f t="shared" si="0"/>
        <v>137820</v>
      </c>
      <c r="F22" s="297">
        <f t="shared" si="1"/>
        <v>-207.20947819510965</v>
      </c>
      <c r="G22" s="61">
        <v>42</v>
      </c>
      <c r="H22" s="164">
        <v>0</v>
      </c>
      <c r="I22" s="61">
        <f t="shared" si="2"/>
        <v>42</v>
      </c>
      <c r="J22" s="23">
        <f t="shared" si="12"/>
        <v>0</v>
      </c>
      <c r="K22" s="61">
        <f t="shared" si="3"/>
        <v>42</v>
      </c>
      <c r="L22" s="591">
        <f t="shared" si="4"/>
        <v>-27.409478195109642</v>
      </c>
      <c r="M22" s="669">
        <v>4.8</v>
      </c>
      <c r="N22" s="61">
        <v>0</v>
      </c>
      <c r="O22" s="61">
        <f t="shared" si="13"/>
        <v>0</v>
      </c>
      <c r="P22" s="38">
        <v>0</v>
      </c>
      <c r="Q22" s="73">
        <f>1263700/325851/1.9835*1.02</f>
        <v>1.9943110441471184</v>
      </c>
      <c r="R22" s="73">
        <v>0</v>
      </c>
      <c r="S22" s="73">
        <f>IF(((2.4*1.04)-T22)&gt;=4.2,4.2,(2.4*1.04)-T22)</f>
        <v>1.97654912</v>
      </c>
      <c r="T22" s="314">
        <f>(0.4712*1.06)*1.04</f>
        <v>0.51945088000000006</v>
      </c>
      <c r="U22" s="243">
        <f t="shared" si="5"/>
        <v>0.3096889558528817</v>
      </c>
      <c r="V22" s="74">
        <v>179</v>
      </c>
      <c r="W22" s="74">
        <v>0</v>
      </c>
      <c r="X22" s="47">
        <f t="shared" si="6"/>
        <v>179</v>
      </c>
      <c r="Y22" s="42">
        <f t="shared" si="7"/>
        <v>179</v>
      </c>
      <c r="Z22" s="62"/>
      <c r="AA22" s="42"/>
      <c r="AB22" s="62"/>
      <c r="AC22" s="74"/>
      <c r="AD22" s="62"/>
      <c r="AE22" s="74">
        <v>0</v>
      </c>
      <c r="AF22" s="188">
        <v>0</v>
      </c>
      <c r="AG22" s="210">
        <v>0</v>
      </c>
      <c r="AH22" s="74">
        <v>38</v>
      </c>
      <c r="AI22" s="62">
        <f t="shared" si="21"/>
        <v>6152.1578774893114</v>
      </c>
      <c r="AJ22" s="62"/>
      <c r="AK22" s="74">
        <f t="shared" si="8"/>
        <v>221.8</v>
      </c>
      <c r="AL22" s="74">
        <f t="shared" si="9"/>
        <v>27.409478195109642</v>
      </c>
      <c r="AM22" s="74">
        <f t="shared" si="15"/>
        <v>249.20947819510965</v>
      </c>
      <c r="AN22" s="203">
        <f t="shared" si="22"/>
        <v>179</v>
      </c>
      <c r="AO22" s="42">
        <f t="shared" si="16"/>
        <v>-138.99431104414711</v>
      </c>
      <c r="AP22" s="180"/>
      <c r="AQ22" s="66"/>
      <c r="AR22" s="66"/>
      <c r="AS22" s="66"/>
      <c r="AT22" s="66"/>
      <c r="AV22" s="38"/>
      <c r="AW22" s="64">
        <v>0</v>
      </c>
      <c r="AX22" s="43">
        <v>68</v>
      </c>
      <c r="AY22" s="43">
        <v>30</v>
      </c>
      <c r="AZ22" s="43"/>
      <c r="BA22" s="405">
        <f t="shared" si="10"/>
        <v>4.8</v>
      </c>
      <c r="BB22" s="180">
        <v>1.1399999999999999</v>
      </c>
      <c r="BC22" s="445">
        <v>15811</v>
      </c>
      <c r="BE22" s="574">
        <f t="shared" si="20"/>
        <v>8</v>
      </c>
      <c r="BF22" s="559">
        <v>6901.68</v>
      </c>
      <c r="BG22" s="575">
        <f t="shared" si="17"/>
        <v>0</v>
      </c>
      <c r="BH22" s="576">
        <v>24.791666666666661</v>
      </c>
      <c r="BI22" s="576">
        <f t="shared" si="18"/>
        <v>13.208333333333339</v>
      </c>
    </row>
    <row r="23" spans="1:61" ht="12.75" customHeight="1">
      <c r="A23" s="672">
        <f t="shared" si="11"/>
        <v>9</v>
      </c>
      <c r="B23" s="304">
        <v>6901.57</v>
      </c>
      <c r="C23" s="483">
        <f>IF(B23="",C22,VLOOKUP(TRUNC(B23,1),VLOOKUP!$A$3:$K$2834,RIGHT(TEXT(B23,"0000.00"),1)+2,FALSE))</f>
        <v>289409</v>
      </c>
      <c r="D23" s="31">
        <f t="shared" si="19"/>
        <v>-411</v>
      </c>
      <c r="E23" s="31">
        <f t="shared" si="0"/>
        <v>137409</v>
      </c>
      <c r="F23" s="297">
        <f t="shared" si="1"/>
        <v>-207.20947819510965</v>
      </c>
      <c r="G23" s="61">
        <v>42.2</v>
      </c>
      <c r="H23" s="164">
        <v>0</v>
      </c>
      <c r="I23" s="61">
        <f t="shared" si="2"/>
        <v>42.2</v>
      </c>
      <c r="J23" s="23">
        <f t="shared" si="12"/>
        <v>0</v>
      </c>
      <c r="K23" s="61">
        <f t="shared" si="3"/>
        <v>42.2</v>
      </c>
      <c r="L23" s="591">
        <f t="shared" si="4"/>
        <v>-28.009478195109665</v>
      </c>
      <c r="M23" s="669">
        <v>4.4000000000000004</v>
      </c>
      <c r="N23" s="61">
        <v>0</v>
      </c>
      <c r="O23" s="61">
        <f t="shared" si="13"/>
        <v>0</v>
      </c>
      <c r="P23" s="38">
        <v>0</v>
      </c>
      <c r="Q23" s="73">
        <f>1135800/325851/1.9835*1.02</f>
        <v>1.7924653667344281</v>
      </c>
      <c r="R23" s="73">
        <v>0</v>
      </c>
      <c r="S23" s="73">
        <f>IF(((2.4*1.04)-T23)&gt;=4.2,4.2,(2.4*1.04)-T23)</f>
        <v>1.97654912</v>
      </c>
      <c r="T23" s="314">
        <f t="shared" ref="T23:T28" si="23">(0.4712*1.06)*1.04</f>
        <v>0.51945088000000006</v>
      </c>
      <c r="U23" s="243">
        <f t="shared" si="5"/>
        <v>0.11153463326557223</v>
      </c>
      <c r="V23" s="74">
        <v>179</v>
      </c>
      <c r="W23" s="74">
        <v>0</v>
      </c>
      <c r="X23" s="47">
        <f t="shared" si="6"/>
        <v>179</v>
      </c>
      <c r="Y23" s="42">
        <f t="shared" si="7"/>
        <v>179</v>
      </c>
      <c r="Z23" s="62"/>
      <c r="AA23" s="42"/>
      <c r="AB23" s="62"/>
      <c r="AC23" s="74"/>
      <c r="AD23" s="62"/>
      <c r="AE23" s="74">
        <v>0</v>
      </c>
      <c r="AF23" s="188">
        <v>0</v>
      </c>
      <c r="AG23" s="210">
        <v>0</v>
      </c>
      <c r="AH23" s="621">
        <v>38</v>
      </c>
      <c r="AI23" s="62">
        <f t="shared" si="21"/>
        <v>6114.1578774893114</v>
      </c>
      <c r="AJ23" s="62"/>
      <c r="AK23" s="74">
        <f t="shared" si="8"/>
        <v>221.4</v>
      </c>
      <c r="AL23" s="74">
        <f t="shared" si="9"/>
        <v>28.009478195109665</v>
      </c>
      <c r="AM23" s="74">
        <f t="shared" si="15"/>
        <v>249.40947819510967</v>
      </c>
      <c r="AN23" s="203">
        <f t="shared" si="22"/>
        <v>179</v>
      </c>
      <c r="AO23" s="42">
        <f t="shared" si="16"/>
        <v>-138.59246536673442</v>
      </c>
      <c r="AP23" s="180"/>
      <c r="AQ23" s="66"/>
      <c r="AR23" s="66"/>
      <c r="AS23" s="66"/>
      <c r="AT23" s="66"/>
      <c r="AV23" s="38"/>
      <c r="AW23" s="64">
        <v>0</v>
      </c>
      <c r="AX23" s="43">
        <v>68</v>
      </c>
      <c r="AY23" s="66">
        <v>32</v>
      </c>
      <c r="AZ23" s="66"/>
      <c r="BA23" s="405">
        <f t="shared" si="10"/>
        <v>4.4000000000000004</v>
      </c>
      <c r="BB23" s="180">
        <v>1.1399999999999999</v>
      </c>
      <c r="BC23" s="445">
        <v>15806</v>
      </c>
      <c r="BE23" s="574">
        <f t="shared" si="20"/>
        <v>9</v>
      </c>
      <c r="BF23" s="559">
        <v>6901.59</v>
      </c>
      <c r="BG23" s="575">
        <f t="shared" si="17"/>
        <v>-2.0000000000436557E-2</v>
      </c>
      <c r="BH23" s="576">
        <v>24.691666666666666</v>
      </c>
      <c r="BI23" s="576">
        <f t="shared" si="18"/>
        <v>13.308333333333334</v>
      </c>
    </row>
    <row r="24" spans="1:61" ht="12.95" customHeight="1">
      <c r="A24" s="672">
        <f t="shared" si="11"/>
        <v>10</v>
      </c>
      <c r="B24" s="304">
        <v>6901.46</v>
      </c>
      <c r="C24" s="483">
        <f>IF(B24="",C23,VLOOKUP(TRUNC(B24,1),VLOOKUP!$A$3:$K$2834,RIGHT(TEXT(B24,"0000.00"),1)+2,FALSE))</f>
        <v>288999</v>
      </c>
      <c r="D24" s="31">
        <f t="shared" si="19"/>
        <v>-410</v>
      </c>
      <c r="E24" s="31">
        <f t="shared" si="0"/>
        <v>136999</v>
      </c>
      <c r="F24" s="297">
        <f t="shared" si="1"/>
        <v>-206.70531888076633</v>
      </c>
      <c r="G24" s="61">
        <v>46</v>
      </c>
      <c r="H24" s="164">
        <v>0</v>
      </c>
      <c r="I24" s="61">
        <f t="shared" si="2"/>
        <v>46</v>
      </c>
      <c r="J24" s="23">
        <f t="shared" si="12"/>
        <v>0</v>
      </c>
      <c r="K24" s="61">
        <f t="shared" si="3"/>
        <v>46</v>
      </c>
      <c r="L24" s="591">
        <f t="shared" si="4"/>
        <v>-30.505318880766339</v>
      </c>
      <c r="M24" s="669">
        <v>5.2</v>
      </c>
      <c r="N24" s="61">
        <v>0</v>
      </c>
      <c r="O24" s="61">
        <f t="shared" si="13"/>
        <v>0</v>
      </c>
      <c r="P24" s="38">
        <v>0</v>
      </c>
      <c r="Q24" s="73">
        <f>1155400/325851/1.9835*1.02</f>
        <v>1.8233971515451295</v>
      </c>
      <c r="R24" s="73">
        <v>0</v>
      </c>
      <c r="S24" s="73">
        <f t="shared" ref="S24:S32" si="24">IF(((2.2*1.04)-T24)&gt;=4.2,4.2,(2.2*1.04)-T24)</f>
        <v>1.7685491200000003</v>
      </c>
      <c r="T24" s="314">
        <f t="shared" si="23"/>
        <v>0.51945088000000006</v>
      </c>
      <c r="U24" s="243">
        <f t="shared" si="5"/>
        <v>1.0886028484548707</v>
      </c>
      <c r="V24" s="74">
        <v>179</v>
      </c>
      <c r="W24" s="74">
        <v>0</v>
      </c>
      <c r="X24" s="47">
        <f t="shared" si="6"/>
        <v>179</v>
      </c>
      <c r="Y24" s="42">
        <f t="shared" si="7"/>
        <v>179</v>
      </c>
      <c r="Z24" s="62"/>
      <c r="AA24" s="42"/>
      <c r="AB24" s="62"/>
      <c r="AC24" s="74"/>
      <c r="AD24" s="62"/>
      <c r="AE24" s="74">
        <v>0</v>
      </c>
      <c r="AF24" s="188">
        <v>0</v>
      </c>
      <c r="AG24" s="210">
        <v>0</v>
      </c>
      <c r="AH24" s="621">
        <v>38</v>
      </c>
      <c r="AI24" s="62">
        <f t="shared" si="21"/>
        <v>6076.1578774893114</v>
      </c>
      <c r="AJ24" s="62"/>
      <c r="AK24" s="74">
        <f t="shared" si="8"/>
        <v>222.2</v>
      </c>
      <c r="AL24" s="74">
        <f t="shared" si="9"/>
        <v>30.505318880766339</v>
      </c>
      <c r="AM24" s="74">
        <f t="shared" si="15"/>
        <v>252.70531888076633</v>
      </c>
      <c r="AN24" s="203">
        <f t="shared" si="22"/>
        <v>179</v>
      </c>
      <c r="AO24" s="42">
        <f t="shared" si="16"/>
        <v>-134.82339715154512</v>
      </c>
      <c r="AP24" s="180"/>
      <c r="AQ24" s="66"/>
      <c r="AR24" s="66"/>
      <c r="AS24" s="66"/>
      <c r="AT24" s="66"/>
      <c r="AV24" s="38"/>
      <c r="AW24" s="64">
        <v>0</v>
      </c>
      <c r="AX24" s="43">
        <v>65</v>
      </c>
      <c r="AY24" s="43">
        <v>33</v>
      </c>
      <c r="AZ24" s="43"/>
      <c r="BA24" s="405">
        <f t="shared" si="10"/>
        <v>5.2</v>
      </c>
      <c r="BB24" s="180">
        <v>1.1399999999999999</v>
      </c>
      <c r="BC24" s="445">
        <v>15805</v>
      </c>
      <c r="BE24" s="574">
        <f t="shared" si="20"/>
        <v>10</v>
      </c>
      <c r="BF24" s="559">
        <v>6901.47</v>
      </c>
      <c r="BG24" s="575">
        <f t="shared" si="17"/>
        <v>-1.0000000000218279E-2</v>
      </c>
      <c r="BH24" s="576">
        <v>24.741666666666678</v>
      </c>
      <c r="BI24" s="576">
        <f t="shared" si="18"/>
        <v>13.258333333333322</v>
      </c>
    </row>
    <row r="25" spans="1:61" ht="12.75" customHeight="1">
      <c r="A25" s="672">
        <f t="shared" si="11"/>
        <v>11</v>
      </c>
      <c r="B25" s="304">
        <v>6901.42</v>
      </c>
      <c r="C25" s="483">
        <f>IF(B25="",C24,VLOOKUP(TRUNC(B25,1),VLOOKUP!$A$3:$K$2834,RIGHT(TEXT(B25,"0000.00"),1)+2,FALSE))</f>
        <v>288850</v>
      </c>
      <c r="D25" s="31">
        <f t="shared" si="19"/>
        <v>-149</v>
      </c>
      <c r="E25" s="31">
        <f t="shared" si="0"/>
        <v>136850</v>
      </c>
      <c r="F25" s="297">
        <f t="shared" si="1"/>
        <v>-75.119737837156535</v>
      </c>
      <c r="G25" s="61">
        <v>42.2</v>
      </c>
      <c r="H25" s="164">
        <v>0</v>
      </c>
      <c r="I25" s="61">
        <f t="shared" si="2"/>
        <v>42.2</v>
      </c>
      <c r="J25" s="23">
        <f t="shared" si="12"/>
        <v>0</v>
      </c>
      <c r="K25" s="61">
        <f t="shared" si="3"/>
        <v>42.2</v>
      </c>
      <c r="L25" s="591">
        <f t="shared" si="4"/>
        <v>-1.2197378371565435</v>
      </c>
      <c r="M25" s="669">
        <v>4.0999999999999996</v>
      </c>
      <c r="N25" s="61">
        <v>0</v>
      </c>
      <c r="O25" s="61">
        <f t="shared" si="13"/>
        <v>0</v>
      </c>
      <c r="P25" s="38">
        <v>0</v>
      </c>
      <c r="Q25" s="73">
        <f>1110900/325851/1.9835*1.02</f>
        <v>1.7531693748065471</v>
      </c>
      <c r="R25" s="73">
        <v>0</v>
      </c>
      <c r="S25" s="73">
        <f t="shared" si="24"/>
        <v>1.7685491200000003</v>
      </c>
      <c r="T25" s="314">
        <f t="shared" si="23"/>
        <v>0.51945088000000006</v>
      </c>
      <c r="U25" s="243">
        <f t="shared" si="5"/>
        <v>5.8830625193452057E-2</v>
      </c>
      <c r="V25" s="74">
        <v>74</v>
      </c>
      <c r="W25" s="74">
        <v>0</v>
      </c>
      <c r="X25" s="47">
        <f t="shared" si="6"/>
        <v>74</v>
      </c>
      <c r="Y25" s="42">
        <f t="shared" si="7"/>
        <v>74</v>
      </c>
      <c r="Z25" s="62"/>
      <c r="AA25" s="42"/>
      <c r="AB25" s="62"/>
      <c r="AC25" s="74"/>
      <c r="AD25" s="62"/>
      <c r="AE25" s="74">
        <v>0</v>
      </c>
      <c r="AF25" s="188">
        <v>0</v>
      </c>
      <c r="AG25" s="210">
        <v>0</v>
      </c>
      <c r="AH25" s="621">
        <v>38</v>
      </c>
      <c r="AI25" s="62">
        <f t="shared" si="21"/>
        <v>6038.1578774893114</v>
      </c>
      <c r="AJ25" s="62"/>
      <c r="AK25" s="74">
        <f t="shared" si="8"/>
        <v>116.1</v>
      </c>
      <c r="AL25" s="74">
        <f t="shared" si="9"/>
        <v>1.2197378371565435</v>
      </c>
      <c r="AM25" s="74">
        <f t="shared" si="15"/>
        <v>117.31973783715654</v>
      </c>
      <c r="AN25" s="203">
        <f t="shared" si="22"/>
        <v>74</v>
      </c>
      <c r="AO25" s="42">
        <f t="shared" si="16"/>
        <v>-33.553169374806544</v>
      </c>
      <c r="AP25" s="180"/>
      <c r="AQ25" s="66"/>
      <c r="AR25" s="66"/>
      <c r="AS25" s="66"/>
      <c r="AT25" s="66"/>
      <c r="AV25" s="38"/>
      <c r="AW25" s="64">
        <v>0</v>
      </c>
      <c r="AX25" s="43">
        <v>60</v>
      </c>
      <c r="AY25" s="43">
        <v>31</v>
      </c>
      <c r="AZ25" s="43"/>
      <c r="BA25" s="405">
        <f t="shared" si="10"/>
        <v>4.0999999999999996</v>
      </c>
      <c r="BB25" s="180">
        <v>1.17</v>
      </c>
      <c r="BC25" s="445">
        <v>15802</v>
      </c>
      <c r="BE25" s="574">
        <f t="shared" si="20"/>
        <v>11</v>
      </c>
      <c r="BF25" s="559">
        <v>6901.42</v>
      </c>
      <c r="BG25" s="575">
        <f t="shared" si="17"/>
        <v>0</v>
      </c>
      <c r="BH25" s="576">
        <v>24.729166666666668</v>
      </c>
      <c r="BI25" s="576">
        <f t="shared" si="18"/>
        <v>13.270833333333332</v>
      </c>
    </row>
    <row r="26" spans="1:61" ht="12.75" customHeight="1">
      <c r="A26" s="672">
        <f t="shared" si="11"/>
        <v>12</v>
      </c>
      <c r="B26" s="304">
        <v>6901.41</v>
      </c>
      <c r="C26" s="483">
        <f>IF(B26="",C25,VLOOKUP(TRUNC(B26,1),VLOOKUP!$A$3:$K$2834,RIGHT(TEXT(B26,"0000.00"),1)+2,FALSE))</f>
        <v>288812</v>
      </c>
      <c r="D26" s="31">
        <f t="shared" si="19"/>
        <v>-38</v>
      </c>
      <c r="E26" s="31">
        <f t="shared" si="0"/>
        <v>136812</v>
      </c>
      <c r="F26" s="297">
        <f t="shared" si="1"/>
        <v>-19.158053945046635</v>
      </c>
      <c r="G26" s="61">
        <v>37.200000000000003</v>
      </c>
      <c r="H26" s="164">
        <v>0</v>
      </c>
      <c r="I26" s="61">
        <f t="shared" si="2"/>
        <v>37.200000000000003</v>
      </c>
      <c r="J26" s="23">
        <f t="shared" si="12"/>
        <v>0</v>
      </c>
      <c r="K26" s="61">
        <f t="shared" si="3"/>
        <v>37.200000000000003</v>
      </c>
      <c r="L26" s="591">
        <f t="shared" si="4"/>
        <v>-12.758053945046637</v>
      </c>
      <c r="M26" s="669">
        <v>4.5999999999999996</v>
      </c>
      <c r="N26" s="61">
        <v>0</v>
      </c>
      <c r="O26" s="61">
        <f t="shared" si="13"/>
        <v>0</v>
      </c>
      <c r="P26" s="38">
        <v>0</v>
      </c>
      <c r="Q26" s="73">
        <f>1221300/325851/1.9835*1.02</f>
        <v>1.9273973872096823</v>
      </c>
      <c r="R26" s="73">
        <v>0</v>
      </c>
      <c r="S26" s="73">
        <f t="shared" si="24"/>
        <v>1.7685491200000003</v>
      </c>
      <c r="T26" s="314">
        <f t="shared" si="23"/>
        <v>0.51945088000000006</v>
      </c>
      <c r="U26" s="243">
        <f t="shared" si="5"/>
        <v>0.38460261279031727</v>
      </c>
      <c r="V26" s="74">
        <v>0</v>
      </c>
      <c r="W26" s="74">
        <v>0</v>
      </c>
      <c r="X26" s="47">
        <f t="shared" si="6"/>
        <v>0</v>
      </c>
      <c r="Y26" s="42">
        <f t="shared" si="7"/>
        <v>0</v>
      </c>
      <c r="Z26" s="62"/>
      <c r="AA26" s="42"/>
      <c r="AB26" s="62"/>
      <c r="AC26" s="74"/>
      <c r="AD26" s="62"/>
      <c r="AE26" s="74">
        <v>0</v>
      </c>
      <c r="AF26" s="188">
        <v>0</v>
      </c>
      <c r="AG26" s="210">
        <v>0</v>
      </c>
      <c r="AH26" s="621">
        <v>39</v>
      </c>
      <c r="AI26" s="62">
        <f t="shared" si="21"/>
        <v>5999.1578774893114</v>
      </c>
      <c r="AJ26" s="62"/>
      <c r="AK26" s="74">
        <f t="shared" si="8"/>
        <v>43.6</v>
      </c>
      <c r="AL26" s="74">
        <f t="shared" si="9"/>
        <v>12.758053945046637</v>
      </c>
      <c r="AM26" s="74">
        <f t="shared" si="15"/>
        <v>56.358053945046635</v>
      </c>
      <c r="AN26" s="203"/>
      <c r="AO26" s="42">
        <f t="shared" si="16"/>
        <v>35.272602612790322</v>
      </c>
      <c r="AP26" s="180"/>
      <c r="AQ26" s="66"/>
      <c r="AR26" s="66"/>
      <c r="AS26" s="66"/>
      <c r="AT26" s="66"/>
      <c r="AV26" s="38"/>
      <c r="AW26" s="64">
        <v>0</v>
      </c>
      <c r="AX26" s="43">
        <v>56</v>
      </c>
      <c r="AY26" s="43">
        <v>23</v>
      </c>
      <c r="AZ26" s="43"/>
      <c r="BA26" s="405">
        <f t="shared" si="10"/>
        <v>4.5999999999999996</v>
      </c>
      <c r="BB26" s="180">
        <v>1.1599999999999999</v>
      </c>
      <c r="BC26" s="445">
        <v>15797</v>
      </c>
      <c r="BE26" s="574">
        <f t="shared" si="20"/>
        <v>12</v>
      </c>
      <c r="BF26" s="559">
        <v>6901.4</v>
      </c>
      <c r="BG26" s="575">
        <f t="shared" si="17"/>
        <v>1.0000000000218279E-2</v>
      </c>
      <c r="BH26" s="576">
        <v>24.829166666666698</v>
      </c>
      <c r="BI26" s="576">
        <f t="shared" si="18"/>
        <v>14.170833333333302</v>
      </c>
    </row>
    <row r="27" spans="1:61" ht="12.95" customHeight="1">
      <c r="A27" s="672">
        <f t="shared" si="11"/>
        <v>13</v>
      </c>
      <c r="B27" s="304">
        <v>6901.37</v>
      </c>
      <c r="C27" s="483">
        <f>IF(B27="",C26,VLOOKUP(TRUNC(B27,1),VLOOKUP!$A$3:$K$2834,RIGHT(TEXT(B27,"0000.00"),1)+2,FALSE))</f>
        <v>288663</v>
      </c>
      <c r="D27" s="31">
        <f t="shared" si="19"/>
        <v>-149</v>
      </c>
      <c r="E27" s="31">
        <f t="shared" si="0"/>
        <v>136663</v>
      </c>
      <c r="F27" s="297">
        <f t="shared" si="1"/>
        <v>-75.119737837156535</v>
      </c>
      <c r="G27" s="61">
        <v>38.9</v>
      </c>
      <c r="H27" s="164">
        <v>0</v>
      </c>
      <c r="I27" s="61">
        <f t="shared" si="2"/>
        <v>38.9</v>
      </c>
      <c r="J27" s="23">
        <f t="shared" si="12"/>
        <v>0</v>
      </c>
      <c r="K27" s="61">
        <f t="shared" si="3"/>
        <v>38.9</v>
      </c>
      <c r="L27" s="591">
        <f t="shared" si="4"/>
        <v>-70.519737837156526</v>
      </c>
      <c r="M27" s="669">
        <v>3.5</v>
      </c>
      <c r="N27" s="61">
        <v>0</v>
      </c>
      <c r="O27" s="61">
        <f t="shared" si="13"/>
        <v>0</v>
      </c>
      <c r="P27" s="38">
        <v>0</v>
      </c>
      <c r="Q27" s="73">
        <f>984600/325851/1.9835*1.02</f>
        <v>1.5538487410518738</v>
      </c>
      <c r="R27" s="73">
        <v>0</v>
      </c>
      <c r="S27" s="73">
        <f t="shared" si="24"/>
        <v>1.7685491200000003</v>
      </c>
      <c r="T27" s="314">
        <f t="shared" si="23"/>
        <v>0.51945088000000006</v>
      </c>
      <c r="U27" s="243">
        <f t="shared" si="5"/>
        <v>-0.34184874105187379</v>
      </c>
      <c r="V27" s="74">
        <v>0</v>
      </c>
      <c r="W27" s="74">
        <v>0</v>
      </c>
      <c r="X27" s="47">
        <f t="shared" si="6"/>
        <v>0</v>
      </c>
      <c r="Y27" s="42">
        <f t="shared" si="7"/>
        <v>0</v>
      </c>
      <c r="Z27" s="62"/>
      <c r="AA27" s="42"/>
      <c r="AB27" s="62"/>
      <c r="AC27" s="74"/>
      <c r="AD27" s="62"/>
      <c r="AE27" s="74">
        <v>0</v>
      </c>
      <c r="AF27" s="188">
        <v>0</v>
      </c>
      <c r="AG27" s="210">
        <v>0</v>
      </c>
      <c r="AH27" s="74">
        <v>40</v>
      </c>
      <c r="AI27" s="62">
        <f t="shared" si="21"/>
        <v>5959.1578774893114</v>
      </c>
      <c r="AJ27" s="62"/>
      <c r="AK27" s="74">
        <f t="shared" si="8"/>
        <v>43.5</v>
      </c>
      <c r="AL27" s="74">
        <f t="shared" si="9"/>
        <v>70.519737837156526</v>
      </c>
      <c r="AM27" s="74">
        <f t="shared" si="15"/>
        <v>114.01973783715653</v>
      </c>
      <c r="AN27" s="203"/>
      <c r="AO27" s="42">
        <f t="shared" si="16"/>
        <v>37.346151258948126</v>
      </c>
      <c r="AP27" s="180"/>
      <c r="AQ27" s="66"/>
      <c r="AR27" s="66"/>
      <c r="AS27" s="66"/>
      <c r="AT27" s="66"/>
      <c r="AV27" s="38"/>
      <c r="AW27" s="64">
        <v>0</v>
      </c>
      <c r="AX27" s="43">
        <v>65</v>
      </c>
      <c r="AY27" s="43">
        <v>27</v>
      </c>
      <c r="AZ27" s="43"/>
      <c r="BA27" s="405">
        <f t="shared" si="10"/>
        <v>3.5</v>
      </c>
      <c r="BB27" s="180">
        <v>1.17</v>
      </c>
      <c r="BC27" s="445">
        <v>15794</v>
      </c>
      <c r="BE27" s="574">
        <f t="shared" si="20"/>
        <v>13</v>
      </c>
      <c r="BF27" s="559">
        <v>6901.4</v>
      </c>
      <c r="BG27" s="575">
        <f t="shared" si="17"/>
        <v>-2.9999999999745341E-2</v>
      </c>
      <c r="BH27" s="576">
        <v>24.970833333333342</v>
      </c>
      <c r="BI27" s="576">
        <f t="shared" si="18"/>
        <v>15.029166666666658</v>
      </c>
    </row>
    <row r="28" spans="1:61" ht="12.95" customHeight="1">
      <c r="A28" s="672">
        <f t="shared" si="11"/>
        <v>14</v>
      </c>
      <c r="B28" s="304">
        <v>6901.36</v>
      </c>
      <c r="C28" s="483">
        <f>IF(B28="",C27,VLOOKUP(TRUNC(B28,1),VLOOKUP!$A$3:$K$2834,RIGHT(TEXT(B28,"0000.00"),1)+2,FALSE))</f>
        <v>288626</v>
      </c>
      <c r="D28" s="31">
        <f t="shared" si="19"/>
        <v>-37</v>
      </c>
      <c r="E28" s="31">
        <f t="shared" si="0"/>
        <v>136626</v>
      </c>
      <c r="F28" s="297">
        <f t="shared" si="1"/>
        <v>-18.653894630703302</v>
      </c>
      <c r="G28" s="61">
        <v>40.1</v>
      </c>
      <c r="H28" s="164">
        <v>0</v>
      </c>
      <c r="I28" s="61">
        <f t="shared" si="2"/>
        <v>40.1</v>
      </c>
      <c r="J28" s="23">
        <f t="shared" si="12"/>
        <v>0</v>
      </c>
      <c r="K28" s="61">
        <f t="shared" si="3"/>
        <v>40.1</v>
      </c>
      <c r="L28" s="591">
        <f t="shared" si="4"/>
        <v>-15.353894630703305</v>
      </c>
      <c r="M28" s="669">
        <v>3.4</v>
      </c>
      <c r="N28" s="61">
        <v>0</v>
      </c>
      <c r="O28" s="61">
        <f t="shared" si="13"/>
        <v>0</v>
      </c>
      <c r="P28" s="38">
        <v>0</v>
      </c>
      <c r="Q28" s="73">
        <f>1137800/325851/1.9835*1.02</f>
        <v>1.7956216713069488</v>
      </c>
      <c r="R28" s="73">
        <v>0</v>
      </c>
      <c r="S28" s="73">
        <f t="shared" si="24"/>
        <v>1.7685491200000003</v>
      </c>
      <c r="T28" s="314">
        <f t="shared" si="23"/>
        <v>0.51945088000000006</v>
      </c>
      <c r="U28" s="243">
        <f t="shared" si="5"/>
        <v>-0.68362167130694962</v>
      </c>
      <c r="V28" s="74">
        <v>0</v>
      </c>
      <c r="W28" s="74">
        <v>0</v>
      </c>
      <c r="X28" s="47">
        <f t="shared" si="6"/>
        <v>3.3306690738754696E-16</v>
      </c>
      <c r="Y28" s="42">
        <f t="shared" si="7"/>
        <v>3.3306690738754696E-16</v>
      </c>
      <c r="Z28" s="62"/>
      <c r="AA28" s="42"/>
      <c r="AB28" s="62"/>
      <c r="AC28" s="74"/>
      <c r="AD28" s="62"/>
      <c r="AE28" s="74">
        <v>0</v>
      </c>
      <c r="AF28" s="188">
        <v>0</v>
      </c>
      <c r="AG28" s="210">
        <v>0</v>
      </c>
      <c r="AH28" s="74">
        <v>40</v>
      </c>
      <c r="AI28" s="62">
        <f t="shared" si="21"/>
        <v>5919.1578774893114</v>
      </c>
      <c r="AJ28" s="62"/>
      <c r="AK28" s="74">
        <f t="shared" si="8"/>
        <v>43.4</v>
      </c>
      <c r="AL28" s="74">
        <f t="shared" si="9"/>
        <v>15.353894630703305</v>
      </c>
      <c r="AM28" s="74">
        <f t="shared" si="15"/>
        <v>58.7538946307033</v>
      </c>
      <c r="AN28" s="203"/>
      <c r="AO28" s="42">
        <f t="shared" si="16"/>
        <v>38.304378328693055</v>
      </c>
      <c r="AP28" s="180"/>
      <c r="AQ28" s="66"/>
      <c r="AR28" s="66"/>
      <c r="AS28" s="66"/>
      <c r="AT28" s="66"/>
      <c r="AV28" s="38"/>
      <c r="AW28" s="64">
        <v>0</v>
      </c>
      <c r="AX28" s="43">
        <v>62</v>
      </c>
      <c r="AY28" s="43">
        <v>29</v>
      </c>
      <c r="AZ28" s="43"/>
      <c r="BA28" s="405">
        <f t="shared" si="10"/>
        <v>3.4</v>
      </c>
      <c r="BB28" s="180">
        <v>1.18</v>
      </c>
      <c r="BC28" s="445">
        <v>15790</v>
      </c>
      <c r="BE28" s="574">
        <f t="shared" si="20"/>
        <v>14</v>
      </c>
      <c r="BF28" s="559">
        <v>6901.38</v>
      </c>
      <c r="BG28" s="575">
        <f t="shared" si="17"/>
        <v>-2.0000000000436557E-2</v>
      </c>
      <c r="BH28" s="576">
        <v>24.991666666666664</v>
      </c>
      <c r="BI28" s="576">
        <f t="shared" si="18"/>
        <v>15.008333333333336</v>
      </c>
    </row>
    <row r="29" spans="1:61" ht="12.95" customHeight="1">
      <c r="A29" s="672">
        <f t="shared" si="11"/>
        <v>15</v>
      </c>
      <c r="B29" s="304">
        <v>6901.35</v>
      </c>
      <c r="C29" s="483">
        <f>IF(B29="",C28,VLOOKUP(TRUNC(B29,1),VLOOKUP!$A$3:$K$2834,RIGHT(TEXT(B29,"0000.00"),1)+2,FALSE))</f>
        <v>288588</v>
      </c>
      <c r="D29" s="31">
        <f t="shared" si="19"/>
        <v>-38</v>
      </c>
      <c r="E29" s="31">
        <f t="shared" si="0"/>
        <v>136588</v>
      </c>
      <c r="F29" s="297">
        <f t="shared" si="1"/>
        <v>-19.158053945046635</v>
      </c>
      <c r="G29" s="61">
        <v>41.8</v>
      </c>
      <c r="H29" s="164">
        <v>0</v>
      </c>
      <c r="I29" s="61">
        <f>G29+H29</f>
        <v>41.8</v>
      </c>
      <c r="J29" s="23">
        <f t="shared" si="12"/>
        <v>0</v>
      </c>
      <c r="K29" s="61">
        <f t="shared" si="3"/>
        <v>41.8</v>
      </c>
      <c r="L29" s="591">
        <f t="shared" si="4"/>
        <v>-17.058053945046634</v>
      </c>
      <c r="M29" s="669">
        <v>3.9</v>
      </c>
      <c r="N29" s="61">
        <v>0</v>
      </c>
      <c r="O29" s="61">
        <f t="shared" si="13"/>
        <v>0</v>
      </c>
      <c r="P29" s="38">
        <v>0</v>
      </c>
      <c r="Q29" s="73">
        <f>928500/325851/1.9835*1.02</f>
        <v>1.4653143977926717</v>
      </c>
      <c r="R29" s="73">
        <v>0</v>
      </c>
      <c r="S29" s="73">
        <f t="shared" si="24"/>
        <v>1.6785932800000003</v>
      </c>
      <c r="T29" s="314">
        <f>(0.5528*1.06)*1.04</f>
        <v>0.60940671999999996</v>
      </c>
      <c r="U29" s="243">
        <f t="shared" si="5"/>
        <v>0.14668560220732774</v>
      </c>
      <c r="V29" s="74">
        <v>0</v>
      </c>
      <c r="W29" s="74">
        <v>0</v>
      </c>
      <c r="X29" s="47">
        <f t="shared" si="6"/>
        <v>4.4408920985006262E-16</v>
      </c>
      <c r="Y29" s="42">
        <f t="shared" si="7"/>
        <v>4.4408920985006262E-16</v>
      </c>
      <c r="Z29" s="62"/>
      <c r="AA29" s="42"/>
      <c r="AB29" s="62"/>
      <c r="AC29" s="74"/>
      <c r="AD29" s="62"/>
      <c r="AE29" s="74">
        <v>0</v>
      </c>
      <c r="AF29" s="188">
        <v>0</v>
      </c>
      <c r="AG29" s="210">
        <v>0</v>
      </c>
      <c r="AH29" s="74">
        <v>40</v>
      </c>
      <c r="AI29" s="62">
        <f t="shared" si="21"/>
        <v>5879.1578774893114</v>
      </c>
      <c r="AJ29" s="62"/>
      <c r="AK29" s="74">
        <f t="shared" si="8"/>
        <v>43.9</v>
      </c>
      <c r="AL29" s="74">
        <f t="shared" si="9"/>
        <v>17.058053945046634</v>
      </c>
      <c r="AM29" s="74">
        <f t="shared" si="15"/>
        <v>60.958053945046629</v>
      </c>
      <c r="AN29" s="203"/>
      <c r="AO29" s="42">
        <f t="shared" si="16"/>
        <v>40.334685602207323</v>
      </c>
      <c r="AP29" s="180"/>
      <c r="AQ29" s="66"/>
      <c r="AR29" s="66"/>
      <c r="AS29" s="66"/>
      <c r="AT29" s="66"/>
      <c r="AV29" s="38"/>
      <c r="AW29" s="64">
        <v>0</v>
      </c>
      <c r="AX29" s="43">
        <v>65</v>
      </c>
      <c r="AY29" s="43">
        <v>33</v>
      </c>
      <c r="AZ29" s="43"/>
      <c r="BA29" s="405">
        <f t="shared" si="10"/>
        <v>3.9</v>
      </c>
      <c r="BB29" s="180">
        <v>1.1499999999999999</v>
      </c>
      <c r="BC29" s="445">
        <v>15787</v>
      </c>
      <c r="BE29" s="574">
        <f t="shared" si="20"/>
        <v>15</v>
      </c>
      <c r="BF29" s="559">
        <v>6901.38</v>
      </c>
      <c r="BG29" s="575">
        <f t="shared" si="17"/>
        <v>-2.9999999999745341E-2</v>
      </c>
      <c r="BH29" s="576">
        <v>25.034374999999997</v>
      </c>
      <c r="BI29" s="576">
        <f t="shared" si="18"/>
        <v>14.965625000000003</v>
      </c>
    </row>
    <row r="30" spans="1:61" ht="12.95" customHeight="1">
      <c r="A30" s="672">
        <f t="shared" si="11"/>
        <v>16</v>
      </c>
      <c r="B30" s="304">
        <v>6901.32</v>
      </c>
      <c r="C30" s="483">
        <f>IF(B30="",C29,VLOOKUP(TRUNC(B30,1),VLOOKUP!$A$3:$K$2834,RIGHT(TEXT(B30,"0000.00"),1)+2,FALSE))</f>
        <v>288476</v>
      </c>
      <c r="D30" s="31">
        <f t="shared" si="19"/>
        <v>-112</v>
      </c>
      <c r="E30" s="31">
        <f t="shared" si="0"/>
        <v>136476</v>
      </c>
      <c r="F30" s="297">
        <f t="shared" si="1"/>
        <v>-56.465843206453236</v>
      </c>
      <c r="G30" s="61">
        <v>44.9</v>
      </c>
      <c r="H30" s="164">
        <v>0</v>
      </c>
      <c r="I30" s="61">
        <f t="shared" si="2"/>
        <v>44.9</v>
      </c>
      <c r="J30" s="23">
        <f t="shared" ref="J30:J44" si="25">IF(L30&gt;0,L30,0)</f>
        <v>0</v>
      </c>
      <c r="K30" s="61">
        <f t="shared" si="3"/>
        <v>44.9</v>
      </c>
      <c r="L30" s="591">
        <f t="shared" si="4"/>
        <v>-58.265843206453233</v>
      </c>
      <c r="M30" s="669">
        <v>3.1</v>
      </c>
      <c r="N30" s="61">
        <v>0</v>
      </c>
      <c r="O30" s="61">
        <f t="shared" si="13"/>
        <v>0</v>
      </c>
      <c r="P30" s="38">
        <v>0</v>
      </c>
      <c r="Q30" s="73">
        <f>1137200/325851/1.9835*1.02</f>
        <v>1.7946747799351928</v>
      </c>
      <c r="R30" s="73">
        <v>0</v>
      </c>
      <c r="S30" s="73">
        <f t="shared" si="24"/>
        <v>1.6785932800000003</v>
      </c>
      <c r="T30" s="314">
        <f t="shared" ref="T30:T35" si="26">(0.5528*1.06)*1.04</f>
        <v>0.60940671999999996</v>
      </c>
      <c r="U30" s="243">
        <f t="shared" si="5"/>
        <v>-0.9826747799351927</v>
      </c>
      <c r="V30" s="74">
        <v>0</v>
      </c>
      <c r="W30" s="74">
        <v>0</v>
      </c>
      <c r="X30" s="47">
        <f t="shared" si="6"/>
        <v>0</v>
      </c>
      <c r="Y30" s="42">
        <f t="shared" si="7"/>
        <v>0</v>
      </c>
      <c r="Z30" s="62"/>
      <c r="AA30" s="42"/>
      <c r="AB30" s="62"/>
      <c r="AC30" s="74"/>
      <c r="AD30" s="62"/>
      <c r="AE30" s="74">
        <v>0</v>
      </c>
      <c r="AF30" s="188">
        <v>0</v>
      </c>
      <c r="AG30" s="210">
        <v>0</v>
      </c>
      <c r="AH30" s="74">
        <v>40</v>
      </c>
      <c r="AI30" s="62">
        <f t="shared" si="21"/>
        <v>5839.1578774893114</v>
      </c>
      <c r="AJ30" s="62"/>
      <c r="AK30" s="74">
        <f t="shared" si="8"/>
        <v>43.1</v>
      </c>
      <c r="AL30" s="74">
        <f t="shared" si="9"/>
        <v>58.265843206453233</v>
      </c>
      <c r="AM30" s="74">
        <f t="shared" si="15"/>
        <v>101.36584320645323</v>
      </c>
      <c r="AN30" s="203"/>
      <c r="AO30" s="42">
        <f t="shared" si="16"/>
        <v>43.105325220064806</v>
      </c>
      <c r="AP30" s="180"/>
      <c r="AQ30" s="66"/>
      <c r="AR30" s="66"/>
      <c r="AS30" s="66"/>
      <c r="AT30" s="66"/>
      <c r="AV30" s="38"/>
      <c r="AW30" s="64">
        <v>0</v>
      </c>
      <c r="AX30" s="43">
        <v>65</v>
      </c>
      <c r="AY30" s="43">
        <v>33</v>
      </c>
      <c r="AZ30" s="43"/>
      <c r="BA30" s="405">
        <f t="shared" si="10"/>
        <v>3.1</v>
      </c>
      <c r="BB30" s="180">
        <v>1.17</v>
      </c>
      <c r="BC30" s="445">
        <v>15785</v>
      </c>
      <c r="BE30" s="574">
        <f t="shared" si="20"/>
        <v>16</v>
      </c>
      <c r="BF30" s="559">
        <v>6901.36</v>
      </c>
      <c r="BG30" s="575">
        <f t="shared" si="17"/>
        <v>-3.999999999996362E-2</v>
      </c>
      <c r="BH30" s="576">
        <v>25</v>
      </c>
      <c r="BI30" s="576">
        <f t="shared" si="18"/>
        <v>15</v>
      </c>
    </row>
    <row r="31" spans="1:61" ht="12.95" customHeight="1">
      <c r="A31" s="672">
        <f t="shared" si="11"/>
        <v>17</v>
      </c>
      <c r="B31" s="304">
        <v>6901.3</v>
      </c>
      <c r="C31" s="483">
        <f>IF(B31="",C30,VLOOKUP(TRUNC(B31,1),VLOOKUP!$A$3:$K$2834,RIGHT(TEXT(B31,"0000.00"),1)+2,FALSE))</f>
        <v>288402</v>
      </c>
      <c r="D31" s="31">
        <f t="shared" si="19"/>
        <v>-74</v>
      </c>
      <c r="E31" s="31">
        <f t="shared" si="0"/>
        <v>136402</v>
      </c>
      <c r="F31" s="297">
        <f t="shared" si="1"/>
        <v>-37.307789261406604</v>
      </c>
      <c r="G31" s="61">
        <v>38.799999999999997</v>
      </c>
      <c r="H31" s="164">
        <v>0</v>
      </c>
      <c r="I31" s="61">
        <f t="shared" si="2"/>
        <v>38.799999999999997</v>
      </c>
      <c r="J31" s="23">
        <f t="shared" si="25"/>
        <v>0</v>
      </c>
      <c r="K31" s="61">
        <f t="shared" si="3"/>
        <v>38.799999999999997</v>
      </c>
      <c r="L31" s="591">
        <f t="shared" si="4"/>
        <v>-32.407789261406599</v>
      </c>
      <c r="M31" s="669">
        <v>3.7</v>
      </c>
      <c r="N31" s="61">
        <v>0</v>
      </c>
      <c r="O31" s="61">
        <f t="shared" si="13"/>
        <v>0</v>
      </c>
      <c r="P31" s="38">
        <v>0</v>
      </c>
      <c r="Q31" s="73">
        <f>929300/325851/1.9835*1.02</f>
        <v>1.46657691962168</v>
      </c>
      <c r="R31" s="73">
        <v>0</v>
      </c>
      <c r="S31" s="73">
        <f t="shared" si="24"/>
        <v>1.6785932800000003</v>
      </c>
      <c r="T31" s="314">
        <f t="shared" si="26"/>
        <v>0.60940671999999996</v>
      </c>
      <c r="U31" s="243">
        <f t="shared" si="5"/>
        <v>-5.4576919621680098E-2</v>
      </c>
      <c r="V31" s="74">
        <v>0</v>
      </c>
      <c r="W31" s="74">
        <v>0</v>
      </c>
      <c r="X31" s="47">
        <f t="shared" si="6"/>
        <v>0</v>
      </c>
      <c r="Y31" s="42">
        <f t="shared" si="7"/>
        <v>0</v>
      </c>
      <c r="Z31" s="62"/>
      <c r="AA31" s="42"/>
      <c r="AB31" s="62"/>
      <c r="AC31" s="74"/>
      <c r="AD31" s="62"/>
      <c r="AE31" s="74">
        <v>0</v>
      </c>
      <c r="AF31" s="188">
        <v>0</v>
      </c>
      <c r="AG31" s="210">
        <v>0</v>
      </c>
      <c r="AH31" s="74">
        <v>40</v>
      </c>
      <c r="AI31" s="62">
        <f t="shared" si="21"/>
        <v>5799.1578774893114</v>
      </c>
      <c r="AJ31" s="62"/>
      <c r="AK31" s="74">
        <f t="shared" si="8"/>
        <v>43.7</v>
      </c>
      <c r="AL31" s="74">
        <f t="shared" si="9"/>
        <v>32.407789261406599</v>
      </c>
      <c r="AM31" s="74">
        <f t="shared" si="15"/>
        <v>76.107789261406595</v>
      </c>
      <c r="AN31" s="203"/>
      <c r="AO31" s="42">
        <f t="shared" si="16"/>
        <v>37.333423080378317</v>
      </c>
      <c r="AP31" s="180"/>
      <c r="AQ31" s="66"/>
      <c r="AR31" s="66"/>
      <c r="AS31" s="66"/>
      <c r="AT31" s="66"/>
      <c r="AV31" s="38"/>
      <c r="AW31" s="64">
        <v>0</v>
      </c>
      <c r="AX31" s="43">
        <v>64</v>
      </c>
      <c r="AY31" s="43">
        <v>28</v>
      </c>
      <c r="AZ31" s="43"/>
      <c r="BA31" s="405">
        <f t="shared" si="10"/>
        <v>3.7</v>
      </c>
      <c r="BB31" s="180">
        <v>1.2</v>
      </c>
      <c r="BC31" s="445">
        <v>15782</v>
      </c>
      <c r="BE31" s="574">
        <f t="shared" si="20"/>
        <v>17</v>
      </c>
      <c r="BF31" s="559">
        <v>6901.36</v>
      </c>
      <c r="BG31" s="575">
        <f t="shared" si="17"/>
        <v>-5.9999999999490683E-2</v>
      </c>
      <c r="BH31" s="576">
        <v>25.040624999999995</v>
      </c>
      <c r="BI31" s="576">
        <f t="shared" si="18"/>
        <v>14.959375000000005</v>
      </c>
    </row>
    <row r="32" spans="1:61" ht="12.95" customHeight="1">
      <c r="A32" s="672">
        <f t="shared" si="11"/>
        <v>18</v>
      </c>
      <c r="B32" s="304">
        <v>6901.3</v>
      </c>
      <c r="C32" s="483">
        <f>IF(B32="",C31,VLOOKUP(TRUNC(B32,1),VLOOKUP!$A$3:$K$2834,RIGHT(TEXT(B32,"0000.00"),1)+2,FALSE))</f>
        <v>288402</v>
      </c>
      <c r="D32" s="31">
        <f t="shared" si="19"/>
        <v>0</v>
      </c>
      <c r="E32" s="31">
        <f t="shared" si="0"/>
        <v>136402</v>
      </c>
      <c r="F32" s="297">
        <f t="shared" si="1"/>
        <v>0</v>
      </c>
      <c r="G32" s="61">
        <v>41.3</v>
      </c>
      <c r="H32" s="164">
        <v>0</v>
      </c>
      <c r="I32" s="61">
        <f t="shared" si="2"/>
        <v>41.3</v>
      </c>
      <c r="J32" s="23">
        <f t="shared" si="25"/>
        <v>1.8000000000000043</v>
      </c>
      <c r="K32" s="61">
        <f t="shared" si="3"/>
        <v>43.1</v>
      </c>
      <c r="L32" s="591">
        <f t="shared" si="4"/>
        <v>1.8000000000000043</v>
      </c>
      <c r="M32" s="669">
        <v>3.1</v>
      </c>
      <c r="N32" s="61">
        <v>0</v>
      </c>
      <c r="O32" s="61">
        <f t="shared" si="13"/>
        <v>0</v>
      </c>
      <c r="P32" s="38">
        <v>0</v>
      </c>
      <c r="Q32" s="73">
        <f>1427300/325851/1.9835*1.02</f>
        <v>2.2524967581793005</v>
      </c>
      <c r="R32" s="73">
        <v>0</v>
      </c>
      <c r="S32" s="73">
        <f t="shared" si="24"/>
        <v>1.6785932800000003</v>
      </c>
      <c r="T32" s="314">
        <f t="shared" si="26"/>
        <v>0.60940671999999996</v>
      </c>
      <c r="U32" s="243">
        <f t="shared" si="5"/>
        <v>-1.4404967581793007</v>
      </c>
      <c r="V32" s="74">
        <v>0</v>
      </c>
      <c r="W32" s="74">
        <v>0</v>
      </c>
      <c r="X32" s="47">
        <f t="shared" si="6"/>
        <v>0</v>
      </c>
      <c r="Y32" s="42">
        <f t="shared" si="7"/>
        <v>0</v>
      </c>
      <c r="Z32" s="62"/>
      <c r="AA32" s="42"/>
      <c r="AB32" s="62"/>
      <c r="AC32" s="74"/>
      <c r="AD32" s="62"/>
      <c r="AE32" s="74">
        <v>0</v>
      </c>
      <c r="AF32" s="188">
        <v>0</v>
      </c>
      <c r="AG32" s="210">
        <v>0</v>
      </c>
      <c r="AH32" s="74">
        <v>40</v>
      </c>
      <c r="AI32" s="62">
        <f t="shared" si="21"/>
        <v>5759.1578774893114</v>
      </c>
      <c r="AJ32" s="62"/>
      <c r="AK32" s="74">
        <f t="shared" si="8"/>
        <v>43.1</v>
      </c>
      <c r="AL32" s="74">
        <f t="shared" si="9"/>
        <v>0</v>
      </c>
      <c r="AM32" s="74">
        <f t="shared" si="15"/>
        <v>43.1</v>
      </c>
      <c r="AN32" s="203"/>
      <c r="AO32" s="42">
        <f t="shared" si="16"/>
        <v>39.047503241820699</v>
      </c>
      <c r="AP32" s="180"/>
      <c r="AQ32" s="66"/>
      <c r="AR32" s="66"/>
      <c r="AS32" s="66"/>
      <c r="AT32" s="66"/>
      <c r="AV32" s="38"/>
      <c r="AW32" s="64">
        <v>0</v>
      </c>
      <c r="AX32" s="43">
        <v>65</v>
      </c>
      <c r="AY32" s="43">
        <v>30</v>
      </c>
      <c r="AZ32" s="43"/>
      <c r="BA32" s="405">
        <f t="shared" si="10"/>
        <v>3.1</v>
      </c>
      <c r="BB32" s="180">
        <v>1.1499999999999999</v>
      </c>
      <c r="BC32" s="445">
        <v>15779</v>
      </c>
      <c r="BE32" s="574">
        <f t="shared" si="20"/>
        <v>18</v>
      </c>
      <c r="BF32" s="559">
        <v>6901.34</v>
      </c>
      <c r="BG32" s="575">
        <f t="shared" si="17"/>
        <v>-3.999999999996362E-2</v>
      </c>
      <c r="BH32" s="576">
        <v>24.901041666666675</v>
      </c>
      <c r="BI32" s="576">
        <f t="shared" si="18"/>
        <v>15.098958333333325</v>
      </c>
    </row>
    <row r="33" spans="1:61" ht="12.95" customHeight="1">
      <c r="A33" s="672">
        <f t="shared" si="11"/>
        <v>19</v>
      </c>
      <c r="B33" s="304">
        <v>6901.31</v>
      </c>
      <c r="C33" s="483">
        <f>IF(B33="",C32,VLOOKUP(TRUNC(B33,1),VLOOKUP!$A$3:$K$2834,RIGHT(TEXT(B33,"0000.00"),1)+2,FALSE))</f>
        <v>288439</v>
      </c>
      <c r="D33" s="31">
        <f t="shared" si="19"/>
        <v>37</v>
      </c>
      <c r="E33" s="31">
        <f t="shared" si="0"/>
        <v>136439</v>
      </c>
      <c r="F33" s="297">
        <f t="shared" si="1"/>
        <v>18.653894630703302</v>
      </c>
      <c r="G33" s="61">
        <v>39.5</v>
      </c>
      <c r="H33" s="164">
        <v>0</v>
      </c>
      <c r="I33" s="61">
        <f t="shared" si="2"/>
        <v>39.5</v>
      </c>
      <c r="J33" s="23">
        <f t="shared" si="25"/>
        <v>23.253894630703304</v>
      </c>
      <c r="K33" s="61">
        <f t="shared" si="3"/>
        <v>62.7538946307033</v>
      </c>
      <c r="L33" s="591">
        <f t="shared" si="4"/>
        <v>23.253894630703304</v>
      </c>
      <c r="M33" s="669">
        <v>4.0999999999999996</v>
      </c>
      <c r="N33" s="61">
        <v>0</v>
      </c>
      <c r="O33" s="61">
        <f t="shared" si="13"/>
        <v>0</v>
      </c>
      <c r="P33" s="38">
        <v>0</v>
      </c>
      <c r="Q33" s="73">
        <f>1096300/325851/1.9835*1.02</f>
        <v>1.7301283514271473</v>
      </c>
      <c r="R33" s="73">
        <v>0</v>
      </c>
      <c r="S33" s="73">
        <f>IF(((2.3*1.04)-T33)&gt;=4.2,4.2,(2.3*1.04)-T33)</f>
        <v>1.7825932799999999</v>
      </c>
      <c r="T33" s="314">
        <f t="shared" si="26"/>
        <v>0.60940671999999996</v>
      </c>
      <c r="U33" s="243">
        <f t="shared" si="5"/>
        <v>-2.2128351427147308E-2</v>
      </c>
      <c r="V33" s="74">
        <v>0</v>
      </c>
      <c r="W33" s="74">
        <v>0</v>
      </c>
      <c r="X33" s="47">
        <f t="shared" si="6"/>
        <v>0</v>
      </c>
      <c r="Y33" s="42">
        <f t="shared" si="7"/>
        <v>0</v>
      </c>
      <c r="Z33" s="62"/>
      <c r="AA33" s="42"/>
      <c r="AB33" s="62"/>
      <c r="AC33" s="74"/>
      <c r="AD33" s="62"/>
      <c r="AE33" s="74">
        <v>0</v>
      </c>
      <c r="AF33" s="188">
        <v>0</v>
      </c>
      <c r="AG33" s="210">
        <v>0</v>
      </c>
      <c r="AH33" s="74">
        <v>40</v>
      </c>
      <c r="AI33" s="62">
        <f t="shared" si="21"/>
        <v>5719.1578774893114</v>
      </c>
      <c r="AJ33" s="62"/>
      <c r="AK33" s="74">
        <f t="shared" si="8"/>
        <v>44.1</v>
      </c>
      <c r="AL33" s="74">
        <f t="shared" si="9"/>
        <v>0</v>
      </c>
      <c r="AM33" s="74">
        <f t="shared" si="15"/>
        <v>44.1</v>
      </c>
      <c r="AN33" s="203"/>
      <c r="AO33" s="42">
        <f t="shared" si="16"/>
        <v>37.769871648572853</v>
      </c>
      <c r="AP33" s="180"/>
      <c r="AQ33" s="66"/>
      <c r="AR33" s="66"/>
      <c r="AS33" s="66"/>
      <c r="AT33" s="66"/>
      <c r="AV33" s="38"/>
      <c r="AW33" s="64">
        <v>0.14000000000000001</v>
      </c>
      <c r="AX33" s="43">
        <v>65</v>
      </c>
      <c r="AY33" s="43">
        <v>32</v>
      </c>
      <c r="AZ33" s="43"/>
      <c r="BA33" s="405">
        <f t="shared" si="10"/>
        <v>4.0999999999999996</v>
      </c>
      <c r="BB33" s="180">
        <v>0.93500000000000005</v>
      </c>
      <c r="BC33" s="445">
        <v>15777</v>
      </c>
      <c r="BE33" s="574">
        <f t="shared" si="20"/>
        <v>19</v>
      </c>
      <c r="BF33" s="559">
        <v>6901.35</v>
      </c>
      <c r="BG33" s="575">
        <f t="shared" si="17"/>
        <v>-3.999999999996362E-2</v>
      </c>
      <c r="BH33" s="576">
        <v>24.717708333333338</v>
      </c>
      <c r="BI33" s="576">
        <f t="shared" si="18"/>
        <v>15.282291666666662</v>
      </c>
    </row>
    <row r="34" spans="1:61" ht="12.95" customHeight="1">
      <c r="A34" s="672">
        <f t="shared" si="11"/>
        <v>20</v>
      </c>
      <c r="B34" s="304">
        <v>6901.34</v>
      </c>
      <c r="C34" s="483">
        <f>IF(B34="",C33,VLOOKUP(TRUNC(B34,1),VLOOKUP!$A$3:$K$2834,RIGHT(TEXT(B34,"0000.00"),1)+2,FALSE))</f>
        <v>288551</v>
      </c>
      <c r="D34" s="31">
        <f t="shared" si="19"/>
        <v>112</v>
      </c>
      <c r="E34" s="31">
        <f t="shared" si="0"/>
        <v>136551</v>
      </c>
      <c r="F34" s="297">
        <f t="shared" si="1"/>
        <v>56.465843206453236</v>
      </c>
      <c r="G34" s="61">
        <v>51.9</v>
      </c>
      <c r="H34" s="164">
        <v>0</v>
      </c>
      <c r="I34" s="61">
        <f t="shared" si="2"/>
        <v>51.9</v>
      </c>
      <c r="J34" s="23">
        <f t="shared" si="25"/>
        <v>48.465843206453236</v>
      </c>
      <c r="K34" s="61">
        <f t="shared" si="3"/>
        <v>100.36584320645323</v>
      </c>
      <c r="L34" s="591">
        <f t="shared" si="4"/>
        <v>48.465843206453236</v>
      </c>
      <c r="M34" s="669">
        <v>2.9</v>
      </c>
      <c r="N34" s="61">
        <v>0</v>
      </c>
      <c r="O34" s="61">
        <f t="shared" si="13"/>
        <v>0</v>
      </c>
      <c r="P34" s="38">
        <v>0</v>
      </c>
      <c r="Q34" s="73">
        <f>957300/325851/1.9835*1.02</f>
        <v>1.510765183636968</v>
      </c>
      <c r="R34" s="73">
        <v>0</v>
      </c>
      <c r="S34" s="73">
        <f>IF(((2.1*1.04)-T34)&gt;=4.2,4.2,(2.1*1.04)-T34)</f>
        <v>1.5745932800000002</v>
      </c>
      <c r="T34" s="314">
        <f t="shared" si="26"/>
        <v>0.60940671999999996</v>
      </c>
      <c r="U34" s="243">
        <f t="shared" si="5"/>
        <v>-0.79476518363696824</v>
      </c>
      <c r="V34" s="74">
        <v>0</v>
      </c>
      <c r="W34" s="74">
        <v>0</v>
      </c>
      <c r="X34" s="47">
        <f t="shared" si="6"/>
        <v>0</v>
      </c>
      <c r="Y34" s="42">
        <f t="shared" si="7"/>
        <v>0</v>
      </c>
      <c r="Z34" s="62"/>
      <c r="AA34" s="42"/>
      <c r="AB34" s="62"/>
      <c r="AC34" s="74"/>
      <c r="AD34" s="62"/>
      <c r="AE34" s="74">
        <v>0</v>
      </c>
      <c r="AF34" s="188">
        <v>0</v>
      </c>
      <c r="AG34" s="210">
        <v>0</v>
      </c>
      <c r="AH34" s="74">
        <v>41</v>
      </c>
      <c r="AI34" s="62">
        <f t="shared" si="21"/>
        <v>5678.1578774893114</v>
      </c>
      <c r="AJ34" s="62"/>
      <c r="AK34" s="74">
        <f t="shared" si="8"/>
        <v>43.9</v>
      </c>
      <c r="AL34" s="74">
        <f t="shared" si="9"/>
        <v>0</v>
      </c>
      <c r="AM34" s="74">
        <f t="shared" si="15"/>
        <v>43.9</v>
      </c>
      <c r="AN34" s="203"/>
      <c r="AO34" s="42">
        <f t="shared" si="16"/>
        <v>50.389234816363029</v>
      </c>
      <c r="AP34" s="180"/>
      <c r="AQ34" s="66"/>
      <c r="AR34" s="66"/>
      <c r="AS34" s="66"/>
      <c r="AT34" s="66"/>
      <c r="AV34" s="38"/>
      <c r="AW34" s="64">
        <v>0.31</v>
      </c>
      <c r="AX34" s="43">
        <v>52</v>
      </c>
      <c r="AY34" s="43">
        <v>41</v>
      </c>
      <c r="AZ34" s="43"/>
      <c r="BA34" s="405">
        <f t="shared" si="10"/>
        <v>2.9</v>
      </c>
      <c r="BB34" s="180">
        <v>0.65</v>
      </c>
      <c r="BC34" s="445">
        <v>15783</v>
      </c>
      <c r="BE34" s="574">
        <f t="shared" si="20"/>
        <v>20</v>
      </c>
      <c r="BF34" s="559">
        <v>6901.38</v>
      </c>
      <c r="BG34" s="575">
        <f t="shared" si="17"/>
        <v>-3.999999999996362E-2</v>
      </c>
      <c r="BH34" s="576">
        <v>24.814583333333328</v>
      </c>
      <c r="BI34" s="576">
        <f t="shared" si="18"/>
        <v>16.185416666666672</v>
      </c>
    </row>
    <row r="35" spans="1:61" ht="12.95" customHeight="1">
      <c r="A35" s="672">
        <f t="shared" si="11"/>
        <v>21</v>
      </c>
      <c r="B35" s="304">
        <v>6901.42</v>
      </c>
      <c r="C35" s="483">
        <f>IF(B35="",C34,VLOOKUP(TRUNC(B35,1),VLOOKUP!$A$3:$K$2834,RIGHT(TEXT(B35,"0000.00"),1)+2,FALSE))</f>
        <v>288850</v>
      </c>
      <c r="D35" s="31">
        <f t="shared" si="19"/>
        <v>299</v>
      </c>
      <c r="E35" s="31">
        <f t="shared" si="0"/>
        <v>136850</v>
      </c>
      <c r="F35" s="297">
        <f t="shared" si="1"/>
        <v>150.74363498865642</v>
      </c>
      <c r="G35" s="61">
        <v>63.4</v>
      </c>
      <c r="H35" s="164">
        <v>0</v>
      </c>
      <c r="I35" s="61">
        <f t="shared" si="2"/>
        <v>63.4</v>
      </c>
      <c r="J35" s="23">
        <f t="shared" si="25"/>
        <v>132.04363498865644</v>
      </c>
      <c r="K35" s="61">
        <f t="shared" si="3"/>
        <v>195.44363498865644</v>
      </c>
      <c r="L35" s="591">
        <f t="shared" si="4"/>
        <v>132.04363498865644</v>
      </c>
      <c r="M35" s="669">
        <v>3.7</v>
      </c>
      <c r="N35" s="61">
        <v>0</v>
      </c>
      <c r="O35" s="61">
        <f t="shared" si="13"/>
        <v>0</v>
      </c>
      <c r="P35" s="38">
        <v>0</v>
      </c>
      <c r="Q35" s="73">
        <f>899300/325851/1.9835*1.02</f>
        <v>1.4192323510338718</v>
      </c>
      <c r="R35" s="73">
        <v>0</v>
      </c>
      <c r="S35" s="73">
        <f>IF(((2.1*1.04)-T35)&gt;=4.2,4.2,(2.1*1.04)-T35)</f>
        <v>1.5745932800000002</v>
      </c>
      <c r="T35" s="314">
        <f t="shared" si="26"/>
        <v>0.60940671999999996</v>
      </c>
      <c r="U35" s="243">
        <f t="shared" si="5"/>
        <v>9.6767648966128217E-2</v>
      </c>
      <c r="V35" s="74">
        <v>0</v>
      </c>
      <c r="W35" s="74">
        <v>0</v>
      </c>
      <c r="X35" s="47">
        <f t="shared" si="6"/>
        <v>0</v>
      </c>
      <c r="Y35" s="42">
        <f t="shared" si="7"/>
        <v>0</v>
      </c>
      <c r="Z35" s="62"/>
      <c r="AA35" s="42"/>
      <c r="AB35" s="62"/>
      <c r="AC35" s="74"/>
      <c r="AD35" s="62"/>
      <c r="AE35" s="74">
        <v>0</v>
      </c>
      <c r="AF35" s="188">
        <v>0</v>
      </c>
      <c r="AG35" s="210">
        <v>0</v>
      </c>
      <c r="AH35" s="74">
        <v>41</v>
      </c>
      <c r="AI35" s="62">
        <f t="shared" si="21"/>
        <v>5637.1578774893114</v>
      </c>
      <c r="AJ35" s="62"/>
      <c r="AK35" s="74">
        <f t="shared" si="8"/>
        <v>44.7</v>
      </c>
      <c r="AL35" s="74">
        <f t="shared" si="9"/>
        <v>0</v>
      </c>
      <c r="AM35" s="74">
        <f t="shared" si="15"/>
        <v>44.7</v>
      </c>
      <c r="AN35" s="203"/>
      <c r="AO35" s="42">
        <f t="shared" si="16"/>
        <v>61.980767648966129</v>
      </c>
      <c r="AP35" s="180"/>
      <c r="AQ35" s="66"/>
      <c r="AR35" s="66"/>
      <c r="AS35" s="66"/>
      <c r="AT35" s="66"/>
      <c r="AV35" s="38"/>
      <c r="AW35" s="64">
        <v>0.65</v>
      </c>
      <c r="AX35" s="43">
        <v>48</v>
      </c>
      <c r="AY35" s="43">
        <v>32</v>
      </c>
      <c r="AZ35" s="43"/>
      <c r="BA35" s="405">
        <f t="shared" si="10"/>
        <v>3.7</v>
      </c>
      <c r="BB35" s="180">
        <v>0.65</v>
      </c>
      <c r="BC35" s="445">
        <v>15807</v>
      </c>
      <c r="BE35" s="574">
        <f t="shared" si="20"/>
        <v>21</v>
      </c>
      <c r="BF35" s="559">
        <v>6901.43</v>
      </c>
      <c r="BG35" s="575">
        <f t="shared" si="17"/>
        <v>-1.0000000000218279E-2</v>
      </c>
      <c r="BH35" s="576">
        <v>24.520833333333346</v>
      </c>
      <c r="BI35" s="576">
        <f t="shared" si="18"/>
        <v>16.479166666666654</v>
      </c>
    </row>
    <row r="36" spans="1:61" ht="12.95" customHeight="1">
      <c r="A36" s="672">
        <f t="shared" si="11"/>
        <v>22</v>
      </c>
      <c r="B36" s="304">
        <v>6901.43</v>
      </c>
      <c r="C36" s="483">
        <f>IF(B36="",C35,VLOOKUP(TRUNC(B36,1),VLOOKUP!$A$3:$K$2834,RIGHT(TEXT(B36,"0000.00"),1)+2,FALSE))</f>
        <v>288887</v>
      </c>
      <c r="D36" s="31">
        <f t="shared" si="19"/>
        <v>37</v>
      </c>
      <c r="E36" s="31">
        <f t="shared" si="0"/>
        <v>136887</v>
      </c>
      <c r="F36" s="297">
        <f t="shared" si="1"/>
        <v>18.653894630703302</v>
      </c>
      <c r="G36" s="61">
        <v>59.4</v>
      </c>
      <c r="H36" s="164">
        <v>0</v>
      </c>
      <c r="I36" s="61">
        <f t="shared" si="2"/>
        <v>59.4</v>
      </c>
      <c r="J36" s="23">
        <f t="shared" si="25"/>
        <v>2.8538946307033051</v>
      </c>
      <c r="K36" s="61">
        <f t="shared" si="3"/>
        <v>62.2538946307033</v>
      </c>
      <c r="L36" s="591">
        <f t="shared" si="4"/>
        <v>2.8538946307033051</v>
      </c>
      <c r="M36" s="669">
        <v>2.6</v>
      </c>
      <c r="N36" s="61">
        <v>0</v>
      </c>
      <c r="O36" s="61">
        <f t="shared" si="13"/>
        <v>0</v>
      </c>
      <c r="P36" s="38">
        <v>0</v>
      </c>
      <c r="Q36" s="73">
        <f>881000/325851/1.9835*1.02</f>
        <v>1.3903521641953083</v>
      </c>
      <c r="R36" s="73">
        <v>0</v>
      </c>
      <c r="S36" s="73">
        <f>IF(((2.1*1.04)-T36)&gt;=4.2,4.2,(2.1*1.04)-T36)</f>
        <v>1.6845025600000001</v>
      </c>
      <c r="T36" s="314">
        <f>(0.4531*1.06)*1.04</f>
        <v>0.49949744000000007</v>
      </c>
      <c r="U36" s="243">
        <f t="shared" si="5"/>
        <v>-0.97435216419530812</v>
      </c>
      <c r="V36" s="74">
        <v>0</v>
      </c>
      <c r="W36" s="74">
        <v>0</v>
      </c>
      <c r="X36" s="47">
        <f t="shared" si="6"/>
        <v>0</v>
      </c>
      <c r="Y36" s="42">
        <f t="shared" si="7"/>
        <v>0</v>
      </c>
      <c r="Z36" s="62"/>
      <c r="AA36" s="42"/>
      <c r="AB36" s="62"/>
      <c r="AC36" s="74"/>
      <c r="AD36" s="62"/>
      <c r="AE36" s="74">
        <v>0</v>
      </c>
      <c r="AF36" s="188">
        <v>0</v>
      </c>
      <c r="AG36" s="210">
        <v>0</v>
      </c>
      <c r="AH36" s="74">
        <v>41</v>
      </c>
      <c r="AI36" s="62">
        <f t="shared" si="21"/>
        <v>5596.1578774893114</v>
      </c>
      <c r="AJ36" s="62"/>
      <c r="AK36" s="74">
        <f t="shared" si="8"/>
        <v>43.6</v>
      </c>
      <c r="AL36" s="74">
        <f t="shared" si="9"/>
        <v>0</v>
      </c>
      <c r="AM36" s="74">
        <f t="shared" si="15"/>
        <v>43.6</v>
      </c>
      <c r="AN36" s="203"/>
      <c r="AO36" s="42">
        <f t="shared" si="16"/>
        <v>58.009647835804692</v>
      </c>
      <c r="AP36" s="180"/>
      <c r="AQ36" s="66"/>
      <c r="AR36" s="66"/>
      <c r="AS36" s="66"/>
      <c r="AT36" s="66"/>
      <c r="AV36" s="38"/>
      <c r="AW36" s="64">
        <v>0.02</v>
      </c>
      <c r="AX36" s="43">
        <v>46</v>
      </c>
      <c r="AY36" s="43">
        <v>29</v>
      </c>
      <c r="AZ36" s="43"/>
      <c r="BA36" s="405">
        <f t="shared" si="10"/>
        <v>2.6</v>
      </c>
      <c r="BB36" s="180">
        <v>0.64200000000000002</v>
      </c>
      <c r="BC36" s="445">
        <v>15817</v>
      </c>
      <c r="BE36" s="574">
        <f t="shared" si="20"/>
        <v>22</v>
      </c>
      <c r="BF36" s="559">
        <v>6901.44</v>
      </c>
      <c r="BG36" s="575">
        <f t="shared" si="17"/>
        <v>-9.999999999308784E-3</v>
      </c>
      <c r="BH36" s="576">
        <v>24.979166666666661</v>
      </c>
      <c r="BI36" s="576">
        <f t="shared" si="18"/>
        <v>16.020833333333339</v>
      </c>
    </row>
    <row r="37" spans="1:61" ht="12.95" customHeight="1">
      <c r="A37" s="672">
        <f t="shared" si="11"/>
        <v>23</v>
      </c>
      <c r="B37" s="304">
        <v>6901.41</v>
      </c>
      <c r="C37" s="483">
        <f>IF(B37="",C36,VLOOKUP(TRUNC(B37,1),VLOOKUP!$A$3:$K$2834,RIGHT(TEXT(B37,"0000.00"),1)+2,FALSE))</f>
        <v>288812</v>
      </c>
      <c r="D37" s="31">
        <f t="shared" si="19"/>
        <v>-75</v>
      </c>
      <c r="E37" s="31">
        <f t="shared" si="0"/>
        <v>136812</v>
      </c>
      <c r="F37" s="297">
        <f t="shared" si="1"/>
        <v>-37.811948575749938</v>
      </c>
      <c r="G37" s="61">
        <v>44.6</v>
      </c>
      <c r="H37" s="164">
        <v>0</v>
      </c>
      <c r="I37" s="61">
        <f>G37+H37</f>
        <v>44.6</v>
      </c>
      <c r="J37" s="23">
        <f t="shared" si="25"/>
        <v>0</v>
      </c>
      <c r="K37" s="61">
        <f>I37+J37</f>
        <v>44.6</v>
      </c>
      <c r="L37" s="591">
        <f t="shared" si="4"/>
        <v>-37.911948575749939</v>
      </c>
      <c r="M37" s="669">
        <v>3.5</v>
      </c>
      <c r="N37" s="61">
        <v>0</v>
      </c>
      <c r="O37" s="61">
        <f t="shared" si="13"/>
        <v>0</v>
      </c>
      <c r="P37" s="38">
        <v>0</v>
      </c>
      <c r="Q37" s="73">
        <f>887400/325851/1.9835*1.02</f>
        <v>1.400452338827374</v>
      </c>
      <c r="R37" s="73">
        <v>0</v>
      </c>
      <c r="S37" s="73">
        <f>IF(((2*1.04)-T37)&gt;=4.2,4.2,(2*1.04)-T37)</f>
        <v>1.58050256</v>
      </c>
      <c r="T37" s="314">
        <f t="shared" ref="T37:T42" si="27">(0.4531*1.06)*1.04</f>
        <v>0.49949744000000007</v>
      </c>
      <c r="U37" s="243">
        <f t="shared" si="5"/>
        <v>1.9547661172626185E-2</v>
      </c>
      <c r="V37" s="74">
        <v>0</v>
      </c>
      <c r="W37" s="74">
        <v>0</v>
      </c>
      <c r="X37" s="47">
        <f t="shared" si="6"/>
        <v>0</v>
      </c>
      <c r="Y37" s="42">
        <f t="shared" si="7"/>
        <v>0</v>
      </c>
      <c r="Z37" s="62"/>
      <c r="AA37" s="42"/>
      <c r="AB37" s="62"/>
      <c r="AC37" s="74"/>
      <c r="AD37" s="62"/>
      <c r="AE37" s="74">
        <v>0</v>
      </c>
      <c r="AF37" s="188">
        <v>0</v>
      </c>
      <c r="AG37" s="210">
        <v>0</v>
      </c>
      <c r="AH37" s="74">
        <v>41</v>
      </c>
      <c r="AI37" s="62">
        <f t="shared" si="21"/>
        <v>5555.1578774893114</v>
      </c>
      <c r="AJ37" s="62"/>
      <c r="AK37" s="74">
        <f t="shared" si="8"/>
        <v>44.5</v>
      </c>
      <c r="AL37" s="74">
        <f t="shared" si="9"/>
        <v>37.911948575749939</v>
      </c>
      <c r="AM37" s="74">
        <f t="shared" si="15"/>
        <v>82.411948575749932</v>
      </c>
      <c r="AN37" s="203"/>
      <c r="AO37" s="42">
        <f t="shared" si="16"/>
        <v>43.19954766117263</v>
      </c>
      <c r="AP37" s="180"/>
      <c r="AQ37" s="66"/>
      <c r="AR37" s="66"/>
      <c r="AS37" s="66"/>
      <c r="AT37" s="66"/>
      <c r="AV37" s="38"/>
      <c r="AW37" s="64">
        <v>0</v>
      </c>
      <c r="AX37" s="43">
        <v>50</v>
      </c>
      <c r="AY37" s="66">
        <v>24</v>
      </c>
      <c r="AZ37" s="66"/>
      <c r="BA37" s="405">
        <f t="shared" si="10"/>
        <v>3.5</v>
      </c>
      <c r="BB37" s="180">
        <v>0.64800000000000002</v>
      </c>
      <c r="BC37" s="445">
        <v>15816</v>
      </c>
      <c r="BE37" s="574">
        <f t="shared" si="20"/>
        <v>23</v>
      </c>
      <c r="BF37" s="559">
        <v>6901.43</v>
      </c>
      <c r="BG37" s="575">
        <f t="shared" si="17"/>
        <v>-2.0000000000436557E-2</v>
      </c>
      <c r="BH37" s="576">
        <v>25.00104166666668</v>
      </c>
      <c r="BI37" s="576">
        <f t="shared" si="18"/>
        <v>15.99895833333332</v>
      </c>
    </row>
    <row r="38" spans="1:61" ht="12.95" customHeight="1">
      <c r="A38" s="672">
        <f t="shared" si="11"/>
        <v>24</v>
      </c>
      <c r="B38" s="304">
        <v>6901.39</v>
      </c>
      <c r="C38" s="483">
        <f>IF(B38="",C37,VLOOKUP(TRUNC(B38,1),VLOOKUP!$A$3:$K$2834,RIGHT(TEXT(B38,"0000.00"),1)+2,FALSE))</f>
        <v>288738</v>
      </c>
      <c r="D38" s="31">
        <f t="shared" si="19"/>
        <v>-74</v>
      </c>
      <c r="E38" s="31">
        <f t="shared" si="0"/>
        <v>136738</v>
      </c>
      <c r="F38" s="297">
        <f t="shared" si="1"/>
        <v>-37.307789261406604</v>
      </c>
      <c r="G38" s="61">
        <v>39.4</v>
      </c>
      <c r="H38" s="164">
        <v>0</v>
      </c>
      <c r="I38" s="61">
        <f t="shared" si="2"/>
        <v>39.4</v>
      </c>
      <c r="J38" s="23">
        <f t="shared" si="25"/>
        <v>0</v>
      </c>
      <c r="K38" s="61">
        <f t="shared" si="3"/>
        <v>39.4</v>
      </c>
      <c r="L38" s="591">
        <f t="shared" si="4"/>
        <v>-33.107789261406602</v>
      </c>
      <c r="M38" s="669">
        <v>2.6</v>
      </c>
      <c r="N38" s="61">
        <v>0</v>
      </c>
      <c r="O38" s="61">
        <f t="shared" si="13"/>
        <v>0</v>
      </c>
      <c r="P38" s="38">
        <v>0</v>
      </c>
      <c r="Q38" s="73">
        <f>1121500/325851/1.9835*1.02</f>
        <v>1.7698977890409062</v>
      </c>
      <c r="R38" s="73">
        <v>0</v>
      </c>
      <c r="S38" s="73">
        <f>IF(((2*1.04)-T38)&gt;=4.2,4.2,(2*1.04)-T38)</f>
        <v>1.58050256</v>
      </c>
      <c r="T38" s="314">
        <f t="shared" si="27"/>
        <v>0.49949744000000007</v>
      </c>
      <c r="U38" s="243">
        <f t="shared" si="5"/>
        <v>-1.2498977890409058</v>
      </c>
      <c r="V38" s="74">
        <v>0</v>
      </c>
      <c r="W38" s="74">
        <v>0</v>
      </c>
      <c r="X38" s="47">
        <f t="shared" si="6"/>
        <v>0</v>
      </c>
      <c r="Y38" s="42">
        <f t="shared" si="7"/>
        <v>0</v>
      </c>
      <c r="Z38" s="62"/>
      <c r="AA38" s="42"/>
      <c r="AB38" s="62"/>
      <c r="AC38" s="74"/>
      <c r="AD38" s="62"/>
      <c r="AE38" s="74">
        <v>0</v>
      </c>
      <c r="AF38" s="188">
        <v>0</v>
      </c>
      <c r="AG38" s="210">
        <v>0</v>
      </c>
      <c r="AH38" s="74">
        <v>41</v>
      </c>
      <c r="AI38" s="62">
        <f t="shared" si="21"/>
        <v>5514.1578774893114</v>
      </c>
      <c r="AJ38" s="62"/>
      <c r="AK38" s="74">
        <f t="shared" si="8"/>
        <v>43.6</v>
      </c>
      <c r="AL38" s="74">
        <f t="shared" si="9"/>
        <v>33.107789261406602</v>
      </c>
      <c r="AM38" s="74">
        <f t="shared" si="15"/>
        <v>76.707789261406603</v>
      </c>
      <c r="AN38" s="203"/>
      <c r="AO38" s="42">
        <f t="shared" si="16"/>
        <v>37.630102210959095</v>
      </c>
      <c r="AP38" s="180"/>
      <c r="AQ38" s="66"/>
      <c r="AR38" s="66"/>
      <c r="AS38" s="66"/>
      <c r="AT38" s="66"/>
      <c r="AV38" s="38"/>
      <c r="AW38" s="64">
        <v>0</v>
      </c>
      <c r="AX38" s="43">
        <v>50</v>
      </c>
      <c r="AY38" s="66">
        <v>22</v>
      </c>
      <c r="AZ38" s="66"/>
      <c r="BA38" s="405">
        <f t="shared" si="10"/>
        <v>2.6</v>
      </c>
      <c r="BB38" s="180">
        <v>0.59399999999999997</v>
      </c>
      <c r="BC38" s="445">
        <v>15815</v>
      </c>
      <c r="BE38" s="574">
        <f t="shared" si="20"/>
        <v>24</v>
      </c>
      <c r="BF38" s="559">
        <v>6901.42</v>
      </c>
      <c r="BG38" s="575">
        <f t="shared" si="17"/>
        <v>-2.9999999999745341E-2</v>
      </c>
      <c r="BH38" s="576">
        <v>24.942708333333353</v>
      </c>
      <c r="BI38" s="576">
        <f t="shared" si="18"/>
        <v>16.057291666666647</v>
      </c>
    </row>
    <row r="39" spans="1:61" ht="12.95" customHeight="1">
      <c r="A39" s="672">
        <f t="shared" si="11"/>
        <v>25</v>
      </c>
      <c r="B39" s="304">
        <v>6901.39</v>
      </c>
      <c r="C39" s="483">
        <f>IF(B39="",C38,VLOOKUP(TRUNC(B39,1),VLOOKUP!$A$3:$K$2834,RIGHT(TEXT(B39,"0000.00"),1)+2,FALSE))</f>
        <v>288738</v>
      </c>
      <c r="D39" s="31">
        <f t="shared" si="19"/>
        <v>0</v>
      </c>
      <c r="E39" s="31">
        <f t="shared" si="0"/>
        <v>136738</v>
      </c>
      <c r="F39" s="297">
        <f t="shared" si="1"/>
        <v>0</v>
      </c>
      <c r="G39" s="61">
        <v>36.200000000000003</v>
      </c>
      <c r="H39" s="164">
        <v>0</v>
      </c>
      <c r="I39" s="61">
        <f t="shared" si="2"/>
        <v>36.200000000000003</v>
      </c>
      <c r="J39" s="23">
        <f t="shared" si="25"/>
        <v>8.2999999999999972</v>
      </c>
      <c r="K39" s="61">
        <f t="shared" si="3"/>
        <v>44.5</v>
      </c>
      <c r="L39" s="591">
        <f t="shared" si="4"/>
        <v>8.2999999999999972</v>
      </c>
      <c r="M39" s="669">
        <v>3.5</v>
      </c>
      <c r="N39" s="61">
        <v>0</v>
      </c>
      <c r="O39" s="61">
        <f t="shared" si="13"/>
        <v>0</v>
      </c>
      <c r="P39" s="38">
        <v>0</v>
      </c>
      <c r="Q39" s="73">
        <f>1050600/325851/1.9835*1.02</f>
        <v>1.6580067919450523</v>
      </c>
      <c r="R39" s="73">
        <v>0</v>
      </c>
      <c r="S39" s="73">
        <f>IF(((2.1*1.04)-T39)&gt;=4.2,4.2,(2.1*1.04)-T39)</f>
        <v>1.6845025600000001</v>
      </c>
      <c r="T39" s="314">
        <f t="shared" si="27"/>
        <v>0.49949744000000007</v>
      </c>
      <c r="U39" s="243">
        <f t="shared" si="5"/>
        <v>-0.34200679194505224</v>
      </c>
      <c r="V39" s="74">
        <v>0</v>
      </c>
      <c r="W39" s="74">
        <v>0</v>
      </c>
      <c r="X39" s="47">
        <f t="shared" si="6"/>
        <v>0</v>
      </c>
      <c r="Y39" s="42">
        <f t="shared" si="7"/>
        <v>0</v>
      </c>
      <c r="Z39" s="62"/>
      <c r="AA39" s="42"/>
      <c r="AB39" s="62"/>
      <c r="AC39" s="74"/>
      <c r="AD39" s="62"/>
      <c r="AE39" s="74">
        <v>0</v>
      </c>
      <c r="AF39" s="188">
        <v>0</v>
      </c>
      <c r="AG39" s="210">
        <v>0</v>
      </c>
      <c r="AH39" s="74">
        <v>41</v>
      </c>
      <c r="AI39" s="62">
        <f t="shared" si="21"/>
        <v>5473.1578774893114</v>
      </c>
      <c r="AJ39" s="62"/>
      <c r="AK39" s="74">
        <f t="shared" si="8"/>
        <v>44.5</v>
      </c>
      <c r="AL39" s="74">
        <f t="shared" si="9"/>
        <v>0</v>
      </c>
      <c r="AM39" s="74">
        <f t="shared" si="15"/>
        <v>44.5</v>
      </c>
      <c r="AN39" s="203"/>
      <c r="AO39" s="42">
        <f t="shared" si="16"/>
        <v>34.541993208054947</v>
      </c>
      <c r="AP39" s="180"/>
      <c r="AQ39" s="66"/>
      <c r="AR39" s="66"/>
      <c r="AS39" s="66"/>
      <c r="AT39" s="66"/>
      <c r="AV39" s="38"/>
      <c r="AW39" s="64">
        <v>0</v>
      </c>
      <c r="AX39" s="43">
        <v>49</v>
      </c>
      <c r="AY39" s="66">
        <v>25</v>
      </c>
      <c r="AZ39" s="66"/>
      <c r="BA39" s="405">
        <f t="shared" si="10"/>
        <v>3.5</v>
      </c>
      <c r="BB39" s="180">
        <v>0.63600000000000001</v>
      </c>
      <c r="BC39" s="445">
        <v>15809</v>
      </c>
      <c r="BE39" s="574">
        <f t="shared" si="20"/>
        <v>25</v>
      </c>
      <c r="BF39" s="559">
        <v>6901.46</v>
      </c>
      <c r="BG39" s="575">
        <f t="shared" si="17"/>
        <v>-6.9999999999708962E-2</v>
      </c>
      <c r="BH39" s="576">
        <v>24.965625000000003</v>
      </c>
      <c r="BI39" s="576">
        <f t="shared" si="18"/>
        <v>16.034374999999997</v>
      </c>
    </row>
    <row r="40" spans="1:61" ht="12.95" customHeight="1">
      <c r="A40" s="672">
        <f t="shared" si="11"/>
        <v>26</v>
      </c>
      <c r="B40" s="304">
        <v>6901.39</v>
      </c>
      <c r="C40" s="483">
        <f>IF(B40="",C39,VLOOKUP(TRUNC(B40,1),VLOOKUP!$A$3:$K$2834,RIGHT(TEXT(B40,"0000.00"),1)+2,FALSE))</f>
        <v>288738</v>
      </c>
      <c r="D40" s="31">
        <f t="shared" si="19"/>
        <v>0</v>
      </c>
      <c r="E40" s="31">
        <f t="shared" si="0"/>
        <v>136738</v>
      </c>
      <c r="F40" s="297">
        <f t="shared" si="1"/>
        <v>0</v>
      </c>
      <c r="G40" s="61">
        <v>23.2</v>
      </c>
      <c r="H40" s="164">
        <v>0</v>
      </c>
      <c r="I40" s="61">
        <f t="shared" si="2"/>
        <v>23.2</v>
      </c>
      <c r="J40" s="23">
        <f t="shared" si="25"/>
        <v>21.2</v>
      </c>
      <c r="K40" s="61">
        <f t="shared" si="3"/>
        <v>44.4</v>
      </c>
      <c r="L40" s="591">
        <f t="shared" si="4"/>
        <v>21.2</v>
      </c>
      <c r="M40" s="669">
        <v>3.4</v>
      </c>
      <c r="N40" s="61">
        <v>0</v>
      </c>
      <c r="O40" s="61">
        <f t="shared" si="13"/>
        <v>0</v>
      </c>
      <c r="P40" s="38">
        <v>0</v>
      </c>
      <c r="Q40" s="73">
        <f>881800/325851/1.9835*1.02</f>
        <v>1.3916146860243166</v>
      </c>
      <c r="R40" s="73">
        <v>0</v>
      </c>
      <c r="S40" s="73">
        <f>IF(((2*1.04)-T40)&gt;=4.2,4.2,(2*1.04)-T40)</f>
        <v>1.58050256</v>
      </c>
      <c r="T40" s="314">
        <f t="shared" si="27"/>
        <v>0.49949744000000007</v>
      </c>
      <c r="U40" s="243">
        <f t="shared" si="5"/>
        <v>-7.161468602431631E-2</v>
      </c>
      <c r="V40" s="74">
        <v>0</v>
      </c>
      <c r="W40" s="74">
        <v>0</v>
      </c>
      <c r="X40" s="47">
        <f t="shared" si="6"/>
        <v>0</v>
      </c>
      <c r="Y40" s="42">
        <f t="shared" si="7"/>
        <v>0</v>
      </c>
      <c r="Z40" s="62"/>
      <c r="AA40" s="42"/>
      <c r="AB40" s="62"/>
      <c r="AC40" s="74"/>
      <c r="AD40" s="62"/>
      <c r="AE40" s="74">
        <v>0</v>
      </c>
      <c r="AF40" s="188">
        <v>0</v>
      </c>
      <c r="AG40" s="210">
        <v>0</v>
      </c>
      <c r="AH40" s="74">
        <v>41</v>
      </c>
      <c r="AI40" s="62">
        <f t="shared" si="21"/>
        <v>5432.1578774893114</v>
      </c>
      <c r="AJ40" s="62"/>
      <c r="AK40" s="74">
        <f t="shared" si="8"/>
        <v>44.4</v>
      </c>
      <c r="AL40" s="74">
        <f t="shared" si="9"/>
        <v>0</v>
      </c>
      <c r="AM40" s="74">
        <f t="shared" si="15"/>
        <v>44.4</v>
      </c>
      <c r="AN40" s="203"/>
      <c r="AO40" s="42">
        <f t="shared" si="16"/>
        <v>21.808385313975684</v>
      </c>
      <c r="AP40" s="180"/>
      <c r="AQ40" s="66"/>
      <c r="AR40" s="66"/>
      <c r="AS40" s="66"/>
      <c r="AT40" s="66"/>
      <c r="AV40" s="38"/>
      <c r="AW40" s="64">
        <v>0</v>
      </c>
      <c r="AX40" s="43">
        <v>30</v>
      </c>
      <c r="AY40" s="43">
        <v>9</v>
      </c>
      <c r="AZ40" s="43"/>
      <c r="BA40" s="405">
        <f t="shared" si="10"/>
        <v>3.4</v>
      </c>
      <c r="BB40" s="180">
        <v>0.61899999999999999</v>
      </c>
      <c r="BC40" s="445">
        <v>15832</v>
      </c>
      <c r="BE40" s="574">
        <f t="shared" si="20"/>
        <v>26</v>
      </c>
      <c r="BF40" s="559">
        <v>6901.4</v>
      </c>
      <c r="BG40" s="575">
        <f t="shared" si="17"/>
        <v>-9.999999999308784E-3</v>
      </c>
      <c r="BH40" s="576">
        <v>25.003125000000008</v>
      </c>
      <c r="BI40" s="576">
        <f t="shared" si="18"/>
        <v>15.996874999999992</v>
      </c>
    </row>
    <row r="41" spans="1:61" ht="12.95" customHeight="1">
      <c r="A41" s="672">
        <f t="shared" si="11"/>
        <v>27</v>
      </c>
      <c r="B41" s="304">
        <v>6901.39</v>
      </c>
      <c r="C41" s="483">
        <f>IF(B41="",C40,VLOOKUP(TRUNC(B41,1),VLOOKUP!$A$3:$K$2834,RIGHT(TEXT(B41,"0000.00"),1)+2,FALSE))</f>
        <v>288738</v>
      </c>
      <c r="D41" s="31">
        <f t="shared" si="19"/>
        <v>0</v>
      </c>
      <c r="E41" s="31">
        <f t="shared" si="0"/>
        <v>136738</v>
      </c>
      <c r="F41" s="297">
        <f t="shared" si="1"/>
        <v>0</v>
      </c>
      <c r="G41" s="61">
        <v>22.7</v>
      </c>
      <c r="H41" s="164">
        <v>0</v>
      </c>
      <c r="I41" s="61">
        <f t="shared" si="2"/>
        <v>22.7</v>
      </c>
      <c r="J41" s="23">
        <f t="shared" si="25"/>
        <v>19.7</v>
      </c>
      <c r="K41" s="61">
        <f t="shared" si="3"/>
        <v>42.4</v>
      </c>
      <c r="L41" s="591">
        <f t="shared" si="4"/>
        <v>19.7</v>
      </c>
      <c r="M41" s="669">
        <v>2.4</v>
      </c>
      <c r="N41" s="61">
        <v>0</v>
      </c>
      <c r="O41" s="61">
        <f t="shared" si="13"/>
        <v>0</v>
      </c>
      <c r="P41" s="38">
        <v>0</v>
      </c>
      <c r="Q41" s="73">
        <f>989800/325851/1.9835*1.02</f>
        <v>1.5620551329404271</v>
      </c>
      <c r="R41" s="73">
        <v>0</v>
      </c>
      <c r="S41" s="73">
        <f>IF(((2*1.04)-T41)&gt;=4.2,4.2,(2*1.04)-T41)</f>
        <v>1.58050256</v>
      </c>
      <c r="T41" s="314">
        <f t="shared" si="27"/>
        <v>0.49949744000000007</v>
      </c>
      <c r="U41" s="243">
        <f t="shared" si="5"/>
        <v>-1.2420551329404268</v>
      </c>
      <c r="V41" s="74">
        <v>0</v>
      </c>
      <c r="W41" s="74">
        <v>0</v>
      </c>
      <c r="X41" s="47">
        <f t="shared" si="6"/>
        <v>0</v>
      </c>
      <c r="Y41" s="42">
        <f t="shared" si="7"/>
        <v>0</v>
      </c>
      <c r="Z41" s="62"/>
      <c r="AA41" s="42"/>
      <c r="AB41" s="62"/>
      <c r="AC41" s="74"/>
      <c r="AD41" s="62"/>
      <c r="AE41" s="74">
        <v>0</v>
      </c>
      <c r="AF41" s="188">
        <v>0</v>
      </c>
      <c r="AG41" s="210">
        <v>0</v>
      </c>
      <c r="AH41" s="74">
        <v>40</v>
      </c>
      <c r="AI41" s="62">
        <f t="shared" si="21"/>
        <v>5392.1578774893114</v>
      </c>
      <c r="AJ41" s="62"/>
      <c r="AK41" s="74">
        <f t="shared" si="8"/>
        <v>42.4</v>
      </c>
      <c r="AL41" s="74">
        <f t="shared" si="9"/>
        <v>0</v>
      </c>
      <c r="AM41" s="74">
        <f t="shared" si="15"/>
        <v>42.4</v>
      </c>
      <c r="AN41" s="203"/>
      <c r="AO41" s="42">
        <f t="shared" si="16"/>
        <v>21.137944867059574</v>
      </c>
      <c r="AP41" s="180"/>
      <c r="AQ41" s="66"/>
      <c r="AR41" s="66"/>
      <c r="AS41" s="66"/>
      <c r="AT41" s="66"/>
      <c r="AV41" s="38"/>
      <c r="AW41" s="64">
        <v>0.01</v>
      </c>
      <c r="AX41" s="43">
        <v>43</v>
      </c>
      <c r="AY41" s="43">
        <v>9</v>
      </c>
      <c r="AZ41" s="43"/>
      <c r="BA41" s="405">
        <f t="shared" si="10"/>
        <v>2.4</v>
      </c>
      <c r="BB41" s="180">
        <v>0.65</v>
      </c>
      <c r="BC41" s="445">
        <v>15832</v>
      </c>
      <c r="BE41" s="574">
        <f t="shared" si="20"/>
        <v>27</v>
      </c>
      <c r="BF41" s="559">
        <v>6901.4</v>
      </c>
      <c r="BG41" s="575">
        <f t="shared" si="17"/>
        <v>-9.999999999308784E-3</v>
      </c>
      <c r="BH41" s="576">
        <v>25.020000000000003</v>
      </c>
      <c r="BI41" s="576">
        <f t="shared" si="18"/>
        <v>14.979999999999997</v>
      </c>
    </row>
    <row r="42" spans="1:61" ht="12.95" customHeight="1">
      <c r="A42" s="672">
        <f t="shared" si="11"/>
        <v>28</v>
      </c>
      <c r="B42" s="304">
        <v>6901.4</v>
      </c>
      <c r="C42" s="483">
        <f>IF(B42="",C41,VLOOKUP(TRUNC(B42,1),VLOOKUP!$A$3:$K$2834,RIGHT(TEXT(B42,"0000.00"),1)+2,FALSE))</f>
        <v>288775</v>
      </c>
      <c r="D42" s="31">
        <f t="shared" si="19"/>
        <v>37</v>
      </c>
      <c r="E42" s="31">
        <f t="shared" si="0"/>
        <v>136775</v>
      </c>
      <c r="F42" s="297">
        <f t="shared" si="1"/>
        <v>18.653894630703302</v>
      </c>
      <c r="G42" s="61">
        <v>26</v>
      </c>
      <c r="H42" s="164">
        <v>0</v>
      </c>
      <c r="I42" s="61">
        <f t="shared" si="2"/>
        <v>26</v>
      </c>
      <c r="J42" s="23">
        <f t="shared" si="25"/>
        <v>35.853894630703309</v>
      </c>
      <c r="K42" s="61">
        <f t="shared" si="3"/>
        <v>61.853894630703309</v>
      </c>
      <c r="L42" s="591">
        <f t="shared" si="4"/>
        <v>35.853894630703309</v>
      </c>
      <c r="M42" s="669">
        <v>3.2</v>
      </c>
      <c r="N42" s="61">
        <v>0</v>
      </c>
      <c r="O42" s="61">
        <f t="shared" si="13"/>
        <v>0</v>
      </c>
      <c r="P42" s="38">
        <v>0</v>
      </c>
      <c r="Q42" s="73">
        <f>904000/325851/1.9835*1.02</f>
        <v>1.4266496667792947</v>
      </c>
      <c r="R42" s="73">
        <v>0</v>
      </c>
      <c r="S42" s="73">
        <f>IF(((2.1*1.04)-T42)&gt;=4.2,4.2,(2.1*1.04)-T42)</f>
        <v>1.6845025600000001</v>
      </c>
      <c r="T42" s="314">
        <f t="shared" si="27"/>
        <v>0.49949744000000007</v>
      </c>
      <c r="U42" s="243">
        <f t="shared" si="5"/>
        <v>-0.41064966677929426</v>
      </c>
      <c r="V42" s="74">
        <v>0</v>
      </c>
      <c r="W42" s="74">
        <v>0</v>
      </c>
      <c r="X42" s="47">
        <f t="shared" si="6"/>
        <v>0</v>
      </c>
      <c r="Y42" s="42">
        <f t="shared" si="7"/>
        <v>0</v>
      </c>
      <c r="Z42" s="62"/>
      <c r="AA42" s="42"/>
      <c r="AB42" s="62"/>
      <c r="AC42" s="74"/>
      <c r="AD42" s="62"/>
      <c r="AE42" s="74">
        <v>0</v>
      </c>
      <c r="AF42" s="188">
        <v>0</v>
      </c>
      <c r="AG42" s="210">
        <v>0</v>
      </c>
      <c r="AH42" s="74">
        <v>40</v>
      </c>
      <c r="AI42" s="62">
        <f t="shared" si="21"/>
        <v>5352.1578774893114</v>
      </c>
      <c r="AJ42" s="62"/>
      <c r="AK42" s="74">
        <f t="shared" si="8"/>
        <v>43.2</v>
      </c>
      <c r="AL42" s="74">
        <f t="shared" si="9"/>
        <v>0</v>
      </c>
      <c r="AM42" s="74">
        <f t="shared" si="15"/>
        <v>43.2</v>
      </c>
      <c r="AN42" s="203"/>
      <c r="AO42" s="42">
        <f t="shared" si="16"/>
        <v>24.573350333220706</v>
      </c>
      <c r="AP42" s="180"/>
      <c r="AQ42" s="66"/>
      <c r="AR42" s="66"/>
      <c r="AS42" s="66"/>
      <c r="AT42" s="66"/>
      <c r="AV42" s="38"/>
      <c r="AW42" s="64">
        <v>0.11</v>
      </c>
      <c r="AX42" s="43">
        <v>46</v>
      </c>
      <c r="AY42" s="43">
        <v>35</v>
      </c>
      <c r="AZ42" s="43"/>
      <c r="BA42" s="405">
        <f t="shared" si="10"/>
        <v>3.2</v>
      </c>
      <c r="BB42" s="180">
        <v>0.55800000000000005</v>
      </c>
      <c r="BC42" s="445">
        <v>15827</v>
      </c>
      <c r="BE42" s="574">
        <f t="shared" si="20"/>
        <v>28</v>
      </c>
      <c r="BF42" s="559">
        <v>6901.38</v>
      </c>
      <c r="BG42" s="575">
        <f t="shared" si="17"/>
        <v>1.9999999999527063E-2</v>
      </c>
      <c r="BH42" s="576">
        <v>14.189583333333323</v>
      </c>
      <c r="BI42" s="576">
        <f t="shared" si="18"/>
        <v>25.810416666666676</v>
      </c>
    </row>
    <row r="43" spans="1:61" ht="12.95" customHeight="1">
      <c r="A43" s="672">
        <f t="shared" si="11"/>
        <v>29</v>
      </c>
      <c r="B43" s="304">
        <v>6901.42</v>
      </c>
      <c r="C43" s="483">
        <f>IF(B43="",C42,VLOOKUP(TRUNC(B43,1),VLOOKUP!$A$3:$K$2834,RIGHT(TEXT(B43,"0000.00"),1)+2,FALSE))</f>
        <v>288850</v>
      </c>
      <c r="D43" s="31">
        <f t="shared" si="19"/>
        <v>75</v>
      </c>
      <c r="E43" s="31">
        <f t="shared" si="0"/>
        <v>136850</v>
      </c>
      <c r="F43" s="297">
        <f t="shared" si="1"/>
        <v>37.811948575749938</v>
      </c>
      <c r="G43" s="61">
        <v>29.1</v>
      </c>
      <c r="H43" s="164">
        <v>0</v>
      </c>
      <c r="I43" s="61">
        <f t="shared" si="2"/>
        <v>29.1</v>
      </c>
      <c r="J43" s="23">
        <f t="shared" si="25"/>
        <v>51.911948575749939</v>
      </c>
      <c r="K43" s="61">
        <f t="shared" si="3"/>
        <v>81.01194857574994</v>
      </c>
      <c r="L43" s="591">
        <f t="shared" si="4"/>
        <v>51.911948575749939</v>
      </c>
      <c r="M43" s="669">
        <v>3.2</v>
      </c>
      <c r="N43" s="61">
        <v>0</v>
      </c>
      <c r="O43" s="61">
        <f t="shared" si="13"/>
        <v>0</v>
      </c>
      <c r="P43" s="38">
        <v>0</v>
      </c>
      <c r="Q43" s="73">
        <f>924500/325851/1.9835*1.02</f>
        <v>1.4590017886476307</v>
      </c>
      <c r="R43" s="73">
        <v>0</v>
      </c>
      <c r="S43" s="73">
        <f>IF(((2.1*1.04)-T43)&gt;=4.2,4.2,(2.1*1.04)-T43)</f>
        <v>1.5876016000000002</v>
      </c>
      <c r="T43" s="314">
        <f>(0.541*1.06)*1.04</f>
        <v>0.59639840000000011</v>
      </c>
      <c r="U43" s="243">
        <f t="shared" si="5"/>
        <v>-0.44300178864763051</v>
      </c>
      <c r="V43" s="74">
        <v>0</v>
      </c>
      <c r="W43" s="74">
        <v>0</v>
      </c>
      <c r="X43" s="47">
        <f t="shared" si="6"/>
        <v>0</v>
      </c>
      <c r="Y43" s="42">
        <f t="shared" si="7"/>
        <v>0</v>
      </c>
      <c r="Z43" s="62"/>
      <c r="AA43" s="42"/>
      <c r="AB43" s="62"/>
      <c r="AC43" s="74"/>
      <c r="AD43" s="62"/>
      <c r="AE43" s="74">
        <v>0</v>
      </c>
      <c r="AF43" s="188">
        <v>0</v>
      </c>
      <c r="AG43" s="210">
        <v>0</v>
      </c>
      <c r="AH43" s="74">
        <v>40</v>
      </c>
      <c r="AI43" s="62">
        <f t="shared" si="21"/>
        <v>5312.1578774893114</v>
      </c>
      <c r="AJ43" s="62"/>
      <c r="AK43" s="74">
        <f t="shared" si="8"/>
        <v>43.2</v>
      </c>
      <c r="AL43" s="74">
        <f t="shared" si="9"/>
        <v>0</v>
      </c>
      <c r="AM43" s="74">
        <f t="shared" si="15"/>
        <v>43.2</v>
      </c>
      <c r="AN43" s="203"/>
      <c r="AO43" s="42">
        <f t="shared" si="16"/>
        <v>27.640998211352372</v>
      </c>
      <c r="AP43" s="180"/>
      <c r="AQ43" s="66"/>
      <c r="AR43" s="66"/>
      <c r="AS43" s="66"/>
      <c r="AT43" s="66"/>
      <c r="AV43" s="38"/>
      <c r="AW43" s="64">
        <v>0.02</v>
      </c>
      <c r="AX43" s="43">
        <v>46</v>
      </c>
      <c r="AY43" s="43">
        <v>21</v>
      </c>
      <c r="AZ43" s="43"/>
      <c r="BA43" s="405">
        <f t="shared" si="10"/>
        <v>3.2</v>
      </c>
      <c r="BB43" s="180">
        <v>0.48899999999999999</v>
      </c>
      <c r="BC43" s="445">
        <v>15832</v>
      </c>
      <c r="BE43" s="574">
        <f t="shared" si="20"/>
        <v>29</v>
      </c>
      <c r="BF43" s="559">
        <v>6901.42</v>
      </c>
      <c r="BG43" s="575">
        <f t="shared" si="17"/>
        <v>0</v>
      </c>
      <c r="BH43" s="576">
        <v>24.833333333333339</v>
      </c>
      <c r="BI43" s="576">
        <f t="shared" si="18"/>
        <v>15.166666666666661</v>
      </c>
    </row>
    <row r="44" spans="1:61" ht="12.95" customHeight="1">
      <c r="A44" s="672">
        <v>30</v>
      </c>
      <c r="B44" s="304">
        <v>6901.39</v>
      </c>
      <c r="C44" s="483">
        <f>IF(B44="",C43,VLOOKUP(TRUNC(B44,1),VLOOKUP!$A$3:$K$2834,RIGHT(TEXT(B44,"0000.00"),1)+2,FALSE))</f>
        <v>288738</v>
      </c>
      <c r="D44" s="31">
        <f t="shared" si="19"/>
        <v>-112</v>
      </c>
      <c r="E44" s="31">
        <f t="shared" si="0"/>
        <v>136738</v>
      </c>
      <c r="F44" s="297">
        <f t="shared" si="1"/>
        <v>-56.465843206453236</v>
      </c>
      <c r="G44" s="61">
        <v>23.6</v>
      </c>
      <c r="H44" s="164">
        <v>0</v>
      </c>
      <c r="I44" s="61">
        <f t="shared" si="2"/>
        <v>23.6</v>
      </c>
      <c r="J44" s="23">
        <f t="shared" si="25"/>
        <v>0</v>
      </c>
      <c r="K44" s="61">
        <f t="shared" si="3"/>
        <v>23.6</v>
      </c>
      <c r="L44" s="591">
        <f t="shared" si="4"/>
        <v>-37.265843206453241</v>
      </c>
      <c r="M44" s="669">
        <v>2.8</v>
      </c>
      <c r="N44" s="61">
        <v>0</v>
      </c>
      <c r="O44" s="61">
        <f t="shared" si="13"/>
        <v>0</v>
      </c>
      <c r="P44" s="38">
        <v>0</v>
      </c>
      <c r="Q44" s="73">
        <f>966500/325851/1.9835*1.02</f>
        <v>1.5252841846705625</v>
      </c>
      <c r="R44" s="73">
        <v>0</v>
      </c>
      <c r="S44" s="73">
        <f>IF(((2.1*1.04)-T44)&gt;=4.2,4.2,(2.1*1.04)-T44)</f>
        <v>1.5876016000000002</v>
      </c>
      <c r="T44" s="314">
        <f>(0.541*1.06)*1.04</f>
        <v>0.59639840000000011</v>
      </c>
      <c r="U44" s="243">
        <f t="shared" si="5"/>
        <v>-0.90928418467056282</v>
      </c>
      <c r="V44" s="74">
        <v>0</v>
      </c>
      <c r="W44" s="74">
        <v>0</v>
      </c>
      <c r="X44" s="47">
        <f t="shared" si="6"/>
        <v>0</v>
      </c>
      <c r="Y44" s="42">
        <f t="shared" si="7"/>
        <v>0</v>
      </c>
      <c r="Z44" s="62"/>
      <c r="AA44" s="42"/>
      <c r="AB44" s="62"/>
      <c r="AC44" s="74"/>
      <c r="AD44" s="62"/>
      <c r="AE44" s="74">
        <v>0</v>
      </c>
      <c r="AF44" s="188">
        <v>0</v>
      </c>
      <c r="AG44" s="210">
        <v>0</v>
      </c>
      <c r="AH44" s="74">
        <v>40</v>
      </c>
      <c r="AI44" s="62">
        <f t="shared" si="21"/>
        <v>5272.1578774893114</v>
      </c>
      <c r="AJ44" s="62"/>
      <c r="AK44" s="74">
        <f t="shared" si="8"/>
        <v>42.8</v>
      </c>
      <c r="AL44" s="74">
        <f t="shared" si="9"/>
        <v>37.265843206453241</v>
      </c>
      <c r="AM44" s="186">
        <f t="shared" si="15"/>
        <v>80.065843206453238</v>
      </c>
      <c r="AN44" s="203"/>
      <c r="AO44" s="42">
        <f t="shared" si="16"/>
        <v>22.074715815329441</v>
      </c>
      <c r="AP44" s="180"/>
      <c r="AQ44" s="66"/>
      <c r="AR44" s="66"/>
      <c r="AS44" s="66"/>
      <c r="AT44" s="66"/>
      <c r="AV44" s="38"/>
      <c r="AW44" s="64">
        <v>0</v>
      </c>
      <c r="AX44" s="43">
        <v>34</v>
      </c>
      <c r="AY44" s="43">
        <v>14</v>
      </c>
      <c r="AZ44" s="525"/>
      <c r="BA44" s="405">
        <f t="shared" si="10"/>
        <v>2.8</v>
      </c>
      <c r="BB44" s="180">
        <v>0.48699999999999999</v>
      </c>
      <c r="BC44" s="445">
        <v>15854</v>
      </c>
      <c r="BE44" s="574">
        <v>30</v>
      </c>
      <c r="BF44" s="559">
        <v>6901.42</v>
      </c>
      <c r="BG44" s="575">
        <f t="shared" si="17"/>
        <v>-2.9999999999745341E-2</v>
      </c>
      <c r="BH44" s="576">
        <v>25.084946236559141</v>
      </c>
      <c r="BI44" s="576">
        <f t="shared" si="18"/>
        <v>14.915053763440859</v>
      </c>
    </row>
    <row r="45" spans="1:61" ht="3" customHeight="1">
      <c r="A45" s="300"/>
      <c r="B45" s="305"/>
      <c r="C45" s="299"/>
      <c r="D45" s="275"/>
      <c r="E45" s="299"/>
      <c r="F45" s="300"/>
      <c r="G45" s="275"/>
      <c r="H45" s="301"/>
      <c r="I45" s="275"/>
      <c r="J45" s="275"/>
      <c r="K45" s="275"/>
      <c r="L45" s="300"/>
      <c r="M45" s="275"/>
      <c r="N45" s="275"/>
      <c r="O45" s="275"/>
      <c r="P45" s="303"/>
      <c r="Q45" s="67"/>
      <c r="R45" s="67"/>
      <c r="S45" s="67"/>
      <c r="T45" s="67"/>
      <c r="U45" s="245"/>
      <c r="V45" s="67"/>
      <c r="W45" s="67"/>
      <c r="X45" s="67"/>
      <c r="Y45" s="71"/>
      <c r="Z45" s="69"/>
      <c r="AA45" s="71"/>
      <c r="AB45" s="69"/>
      <c r="AC45" s="69"/>
      <c r="AD45" s="69"/>
      <c r="AE45" s="67"/>
      <c r="AF45" s="184"/>
      <c r="AG45" s="68"/>
      <c r="AH45" s="67"/>
      <c r="AI45" s="67"/>
      <c r="AJ45" s="67"/>
      <c r="AK45" s="67"/>
      <c r="AL45" s="67"/>
      <c r="AM45" s="183"/>
      <c r="AN45" s="185"/>
      <c r="AO45" s="185"/>
      <c r="AP45" s="185"/>
      <c r="AQ45" s="71"/>
      <c r="AR45" s="71"/>
      <c r="AS45" s="71"/>
      <c r="AT45" s="71"/>
      <c r="AU45" s="71"/>
      <c r="AV45" s="34"/>
      <c r="AW45" s="70"/>
      <c r="AX45" s="71">
        <v>4</v>
      </c>
      <c r="AY45" s="71"/>
      <c r="AZ45" s="592"/>
      <c r="BA45" s="593"/>
      <c r="BB45" s="71">
        <v>0.48699999999999999</v>
      </c>
      <c r="BC45" s="592">
        <v>15855</v>
      </c>
      <c r="BE45" s="573"/>
      <c r="BF45" s="497"/>
      <c r="BG45" s="573"/>
      <c r="BH45" s="573"/>
      <c r="BI45" s="573"/>
    </row>
    <row r="46" spans="1:61" ht="12.95" customHeight="1">
      <c r="A46" s="591" t="s">
        <v>33</v>
      </c>
      <c r="B46" s="296"/>
      <c r="D46" s="31"/>
      <c r="F46" s="297">
        <f t="shared" ref="F46:V46" si="28">SUM(F15:F44)</f>
        <v>-1489.2866145702046</v>
      </c>
      <c r="G46" s="31">
        <f t="shared" si="28"/>
        <v>1189.2999999999997</v>
      </c>
      <c r="H46" s="31">
        <f>SUM(H15:H44)</f>
        <v>0</v>
      </c>
      <c r="I46" s="31">
        <f>SUM(I15:I44)</f>
        <v>1189.2999999999997</v>
      </c>
      <c r="J46" s="31">
        <f t="shared" si="28"/>
        <v>381.78311066296948</v>
      </c>
      <c r="K46" s="31">
        <f t="shared" si="28"/>
        <v>1571.0831106629696</v>
      </c>
      <c r="L46" s="297">
        <f t="shared" si="28"/>
        <v>-137.78661457020405</v>
      </c>
      <c r="M46" s="670">
        <f t="shared" si="28"/>
        <v>114.8</v>
      </c>
      <c r="N46" s="31">
        <f>SUM(N15:N44)</f>
        <v>0</v>
      </c>
      <c r="O46" s="62">
        <f>SUM(O15:O44)</f>
        <v>0</v>
      </c>
      <c r="P46" s="62">
        <f>SUM(P15:P44)</f>
        <v>0</v>
      </c>
      <c r="Q46" s="62">
        <f t="shared" si="28"/>
        <v>50.301394711345729</v>
      </c>
      <c r="R46" s="62">
        <f t="shared" si="28"/>
        <v>0</v>
      </c>
      <c r="S46" s="62">
        <f>SUM(S15:S44)</f>
        <v>53.078891839999997</v>
      </c>
      <c r="T46" s="62">
        <f>SUM(T15:T44)</f>
        <v>16.705108160000002</v>
      </c>
      <c r="U46" s="414">
        <f>SUM(U15:U44)</f>
        <v>-5.2853947113457247</v>
      </c>
      <c r="V46" s="62">
        <f t="shared" si="28"/>
        <v>1242</v>
      </c>
      <c r="W46" s="62">
        <f>SUM(W15:W44)</f>
        <v>0</v>
      </c>
      <c r="X46" s="62">
        <f>SUM(X15:X44)</f>
        <v>1242</v>
      </c>
      <c r="Y46" s="62">
        <f>SUM(Y15:Y44)</f>
        <v>1242</v>
      </c>
      <c r="Z46" s="62"/>
      <c r="AA46" s="62"/>
      <c r="AB46" s="62"/>
      <c r="AC46" s="62">
        <f>SUM(AC15:AC44)</f>
        <v>0</v>
      </c>
      <c r="AD46" s="62"/>
      <c r="AE46" s="449">
        <f>SUM(AE15:AE44)</f>
        <v>0</v>
      </c>
      <c r="AF46" s="74">
        <f>SUM(AF15:AF44)</f>
        <v>0</v>
      </c>
      <c r="AG46" s="449">
        <f>SUM(AG15:AG44)</f>
        <v>0</v>
      </c>
      <c r="AH46" s="62">
        <f>SUM(AH15:AH44)</f>
        <v>1184</v>
      </c>
      <c r="AI46" s="62"/>
      <c r="AJ46" s="62">
        <f t="shared" ref="AJ46:AP46" si="29">SUM(AJ15:AJ44)</f>
        <v>0</v>
      </c>
      <c r="AK46" s="62">
        <f t="shared" si="29"/>
        <v>2540.7999999999997</v>
      </c>
      <c r="AL46" s="62">
        <f t="shared" si="29"/>
        <v>519.56972523317359</v>
      </c>
      <c r="AM46" s="178">
        <f t="shared" si="29"/>
        <v>3060.3697252331726</v>
      </c>
      <c r="AN46" s="43">
        <f t="shared" si="29"/>
        <v>1242</v>
      </c>
      <c r="AO46" s="43">
        <f t="shared" ref="AO46" si="30">SUM(AO15:AO44)</f>
        <v>-103.0013947113456</v>
      </c>
      <c r="AP46" s="180">
        <f t="shared" si="29"/>
        <v>0</v>
      </c>
      <c r="AQ46" s="66"/>
      <c r="AR46" s="66"/>
      <c r="AS46" s="66"/>
      <c r="AT46" s="66"/>
      <c r="AV46" s="65">
        <f>SUM(AV15:AV44)</f>
        <v>0</v>
      </c>
      <c r="AW46" s="340">
        <f>SUM(AW15:AW44)</f>
        <v>1.2600000000000002</v>
      </c>
      <c r="AX46" s="43">
        <f>AVERAGE(AX15:AX44)</f>
        <v>56.866666666666667</v>
      </c>
      <c r="AY46" s="43">
        <f>AVERAGE(AY15:AY44)</f>
        <v>27.1</v>
      </c>
      <c r="AZ46" s="661" t="s">
        <v>41</v>
      </c>
      <c r="BA46" s="373">
        <f>SUM(BA15:BA44)</f>
        <v>114.8</v>
      </c>
      <c r="BB46" s="49">
        <f>SUM(BB14:BB44)</f>
        <v>28.307999999999989</v>
      </c>
      <c r="BC46" s="445"/>
      <c r="BF46" s="489"/>
      <c r="BH46" s="505">
        <f>SUM(BH15:BH44)</f>
        <v>735.86686290322587</v>
      </c>
      <c r="BI46" s="505">
        <f>SUM(BI15:BI44)</f>
        <v>448.13313709677413</v>
      </c>
    </row>
    <row r="47" spans="1:61" ht="12.95" customHeight="1">
      <c r="A47" s="673" t="s">
        <v>34</v>
      </c>
      <c r="B47" s="296"/>
      <c r="D47" s="31">
        <f>SUM(D15:D44)</f>
        <v>-2954</v>
      </c>
      <c r="F47" s="297">
        <f t="shared" ref="F47:Y47" si="31">F46*$D$2</f>
        <v>-2954.0000000000009</v>
      </c>
      <c r="G47" s="31">
        <f t="shared" si="31"/>
        <v>2358.9765499999994</v>
      </c>
      <c r="H47" s="31">
        <f t="shared" si="31"/>
        <v>0</v>
      </c>
      <c r="I47" s="31">
        <f t="shared" si="31"/>
        <v>2358.9765499999994</v>
      </c>
      <c r="J47" s="31">
        <f t="shared" si="31"/>
        <v>757.26679999999999</v>
      </c>
      <c r="K47" s="31">
        <f t="shared" si="31"/>
        <v>3116.2433500000002</v>
      </c>
      <c r="L47" s="297">
        <f t="shared" si="31"/>
        <v>-273.29974999999973</v>
      </c>
      <c r="M47" s="670">
        <f t="shared" si="31"/>
        <v>227.70580000000001</v>
      </c>
      <c r="N47" s="31">
        <f t="shared" si="31"/>
        <v>0</v>
      </c>
      <c r="O47" s="31">
        <f t="shared" si="31"/>
        <v>0</v>
      </c>
      <c r="P47" s="62">
        <f t="shared" ref="P47:U47" si="32">P46*$D$2</f>
        <v>0</v>
      </c>
      <c r="Q47" s="62">
        <f t="shared" si="32"/>
        <v>99.77281640995426</v>
      </c>
      <c r="R47" s="62">
        <f t="shared" si="32"/>
        <v>0</v>
      </c>
      <c r="S47" s="62">
        <f t="shared" si="32"/>
        <v>105.28198196464</v>
      </c>
      <c r="T47" s="62">
        <f t="shared" si="32"/>
        <v>33.134582035360005</v>
      </c>
      <c r="U47" s="414">
        <f t="shared" si="32"/>
        <v>-10.483580409954245</v>
      </c>
      <c r="V47" s="62">
        <f t="shared" si="31"/>
        <v>2463.5070000000001</v>
      </c>
      <c r="W47" s="62">
        <f t="shared" si="31"/>
        <v>0</v>
      </c>
      <c r="X47" s="62">
        <f t="shared" si="31"/>
        <v>2463.5070000000001</v>
      </c>
      <c r="Y47" s="62">
        <f t="shared" si="31"/>
        <v>2463.5070000000001</v>
      </c>
      <c r="Z47" s="62"/>
      <c r="AA47" s="62"/>
      <c r="AB47" s="62"/>
      <c r="AC47" s="62">
        <f>AC46*$D$2</f>
        <v>0</v>
      </c>
      <c r="AD47" s="62"/>
      <c r="AE47" s="345">
        <f>AE46*$D$2</f>
        <v>0</v>
      </c>
      <c r="AF47" s="62">
        <f>AF46*$D$2</f>
        <v>0</v>
      </c>
      <c r="AG47" s="345">
        <f>AG46*$D$2</f>
        <v>0</v>
      </c>
      <c r="AH47" s="62">
        <f>AH46*$D$2</f>
        <v>2348.4639999999999</v>
      </c>
      <c r="AI47" s="62"/>
      <c r="AJ47" s="62">
        <f t="shared" ref="AJ47:AP47" si="33">AJ46*$D$2</f>
        <v>0</v>
      </c>
      <c r="AK47" s="62">
        <f t="shared" si="33"/>
        <v>5039.6767999999993</v>
      </c>
      <c r="AL47" s="62">
        <f t="shared" si="33"/>
        <v>1030.5665499999998</v>
      </c>
      <c r="AM47" s="178">
        <f t="shared" si="33"/>
        <v>6070.2433499999979</v>
      </c>
      <c r="AN47" s="43">
        <f t="shared" si="33"/>
        <v>2463.5070000000001</v>
      </c>
      <c r="AO47" s="43">
        <f t="shared" ref="AO47" si="34">AO46*$D$2</f>
        <v>-204.30326640995401</v>
      </c>
      <c r="AP47" s="180">
        <f t="shared" si="33"/>
        <v>0</v>
      </c>
      <c r="AQ47" s="66"/>
      <c r="AR47" s="66"/>
      <c r="AS47" s="66"/>
      <c r="AT47" s="66"/>
      <c r="AV47" s="43">
        <f>AV46*$D$2</f>
        <v>0</v>
      </c>
      <c r="AW47" s="64"/>
      <c r="AX47" s="43">
        <f>MAX(AX15:AX44)</f>
        <v>68</v>
      </c>
      <c r="AY47" s="43">
        <f>MAX(AY15:AY44)</f>
        <v>41</v>
      </c>
      <c r="AZ47" s="660" t="s">
        <v>35</v>
      </c>
      <c r="BA47" s="373">
        <f>BA46*$D$2</f>
        <v>227.70580000000001</v>
      </c>
      <c r="BB47" s="49">
        <f>BB46*$D$2</f>
        <v>56.148917999999981</v>
      </c>
      <c r="BC47" s="445"/>
      <c r="BF47" s="489"/>
      <c r="BH47" s="505">
        <f>BH46*$D$2</f>
        <v>1459.5919225685486</v>
      </c>
      <c r="BI47" s="505">
        <f>BI46*$D$2</f>
        <v>888.87207743145154</v>
      </c>
    </row>
    <row r="48" spans="1:61" ht="3" customHeight="1">
      <c r="A48" s="300"/>
      <c r="B48" s="305"/>
      <c r="C48" s="299"/>
      <c r="D48" s="299"/>
      <c r="E48" s="299"/>
      <c r="F48" s="306"/>
      <c r="G48" s="299"/>
      <c r="H48" s="299"/>
      <c r="I48" s="299"/>
      <c r="J48" s="299"/>
      <c r="K48" s="299"/>
      <c r="L48" s="306"/>
      <c r="M48" s="299"/>
      <c r="N48" s="299"/>
      <c r="O48" s="299"/>
      <c r="P48" s="303"/>
      <c r="Q48" s="69"/>
      <c r="R48" s="69"/>
      <c r="S48" s="69"/>
      <c r="T48" s="69"/>
      <c r="U48" s="415"/>
      <c r="V48" s="69"/>
      <c r="W48" s="69"/>
      <c r="X48" s="69"/>
      <c r="Y48" s="69"/>
      <c r="Z48" s="69"/>
      <c r="AA48" s="69"/>
      <c r="AB48" s="69"/>
      <c r="AC48" s="69"/>
      <c r="AD48" s="69"/>
      <c r="AE48" s="69"/>
      <c r="AF48" s="191"/>
      <c r="AG48" s="75"/>
      <c r="AH48" s="69"/>
      <c r="AI48" s="67"/>
      <c r="AJ48" s="69"/>
      <c r="AK48" s="69"/>
      <c r="AL48" s="69"/>
      <c r="AM48" s="190"/>
      <c r="AN48" s="185"/>
      <c r="AO48" s="185"/>
      <c r="AP48" s="185"/>
      <c r="AQ48" s="69"/>
      <c r="AR48" s="69"/>
      <c r="AS48" s="69"/>
      <c r="AT48" s="69"/>
      <c r="AU48" s="69"/>
      <c r="AV48" s="34"/>
      <c r="AW48" s="192"/>
      <c r="AX48" s="71"/>
      <c r="AY48" s="69"/>
      <c r="AZ48" s="190"/>
      <c r="BA48" s="546"/>
      <c r="BB48" s="69"/>
      <c r="BC48" s="190"/>
      <c r="BE48" s="497"/>
      <c r="BF48" s="497"/>
      <c r="BG48" s="497"/>
      <c r="BH48" s="506"/>
      <c r="BI48" s="506"/>
    </row>
    <row r="49" spans="1:61" ht="12.95" customHeight="1">
      <c r="A49" s="591" t="s">
        <v>36</v>
      </c>
      <c r="B49" s="296"/>
      <c r="D49" s="31"/>
      <c r="F49" s="297"/>
      <c r="G49" s="31"/>
      <c r="H49" s="290"/>
      <c r="I49" s="31"/>
      <c r="J49" s="31"/>
      <c r="K49" s="31"/>
      <c r="L49" s="297"/>
      <c r="M49" s="670"/>
      <c r="N49" s="31"/>
      <c r="O49" s="31"/>
      <c r="Q49" s="62"/>
      <c r="R49" s="62"/>
      <c r="S49" s="62"/>
      <c r="T49" s="62"/>
      <c r="U49" s="414"/>
      <c r="V49" s="62"/>
      <c r="W49" s="62"/>
      <c r="X49" s="62"/>
      <c r="Y49" s="62"/>
      <c r="Z49" s="62"/>
      <c r="AA49" s="62"/>
      <c r="AB49" s="62"/>
      <c r="AC49" s="62"/>
      <c r="AD49" s="62"/>
      <c r="AE49" s="62"/>
      <c r="AF49" s="179"/>
      <c r="AG49" s="63"/>
      <c r="AH49" s="62"/>
      <c r="AI49" s="62"/>
      <c r="AJ49" s="62"/>
      <c r="AK49" s="62"/>
      <c r="AL49" s="62"/>
      <c r="AM49" s="178"/>
      <c r="AN49" s="180"/>
      <c r="AO49" s="180"/>
      <c r="AP49" s="180"/>
      <c r="AQ49" s="66"/>
      <c r="AR49" s="66"/>
      <c r="AS49" s="66"/>
      <c r="AT49" s="66"/>
      <c r="AV49" s="38"/>
      <c r="AW49" s="64"/>
      <c r="AX49" s="43">
        <f>MIN(AX15:AX44)</f>
        <v>30</v>
      </c>
      <c r="AY49" s="43">
        <f>MIN(AY15:AY44)</f>
        <v>9</v>
      </c>
      <c r="AZ49" s="660" t="s">
        <v>37</v>
      </c>
      <c r="BA49" s="373"/>
      <c r="BB49" s="49"/>
      <c r="BC49" s="445"/>
      <c r="BF49" s="489"/>
      <c r="BH49" s="505"/>
      <c r="BI49" s="505"/>
    </row>
    <row r="50" spans="1:61" ht="12.95" customHeight="1">
      <c r="A50" s="591" t="s">
        <v>38</v>
      </c>
      <c r="B50" s="296"/>
      <c r="D50" s="31"/>
      <c r="F50" s="297"/>
      <c r="G50" s="31"/>
      <c r="H50" s="290"/>
      <c r="I50" s="31"/>
      <c r="J50" s="31"/>
      <c r="K50" s="31"/>
      <c r="L50" s="297"/>
      <c r="M50" s="670"/>
      <c r="N50" s="31"/>
      <c r="O50" s="31"/>
      <c r="Q50" s="62"/>
      <c r="R50" s="62"/>
      <c r="S50" s="62"/>
      <c r="T50" s="62"/>
      <c r="U50" s="414"/>
      <c r="V50" s="62"/>
      <c r="W50" s="62"/>
      <c r="X50" s="62"/>
      <c r="Y50" s="62"/>
      <c r="Z50" s="62"/>
      <c r="AA50" s="62"/>
      <c r="AB50" s="62"/>
      <c r="AC50" s="62"/>
      <c r="AD50" s="62"/>
      <c r="AE50" s="62"/>
      <c r="AF50" s="179"/>
      <c r="AG50" s="63"/>
      <c r="AH50" s="62"/>
      <c r="AI50" s="62"/>
      <c r="AJ50" s="62"/>
      <c r="AK50" s="62"/>
      <c r="AL50" s="62"/>
      <c r="AM50" s="178"/>
      <c r="AN50" s="180"/>
      <c r="AO50" s="180"/>
      <c r="AP50" s="180"/>
      <c r="AQ50" s="66"/>
      <c r="AR50" s="66"/>
      <c r="AS50" s="66"/>
      <c r="AT50" s="66"/>
      <c r="AV50" s="39"/>
      <c r="AW50" s="353"/>
      <c r="AX50" s="43"/>
      <c r="AY50" s="43"/>
      <c r="AZ50" s="525"/>
      <c r="BA50" s="373"/>
      <c r="BB50" s="49"/>
      <c r="BC50" s="445"/>
      <c r="BF50" s="489"/>
      <c r="BH50" s="505"/>
      <c r="BI50" s="505"/>
    </row>
    <row r="51" spans="1:61" ht="3" customHeight="1">
      <c r="A51" s="300"/>
      <c r="B51" s="305"/>
      <c r="C51" s="299"/>
      <c r="D51" s="299"/>
      <c r="E51" s="299"/>
      <c r="F51" s="306"/>
      <c r="G51" s="299"/>
      <c r="H51" s="307"/>
      <c r="I51" s="299"/>
      <c r="J51" s="299"/>
      <c r="K51" s="299"/>
      <c r="L51" s="306"/>
      <c r="M51" s="299"/>
      <c r="N51" s="299"/>
      <c r="O51" s="299"/>
      <c r="P51" s="303"/>
      <c r="Q51" s="69"/>
      <c r="R51" s="69"/>
      <c r="S51" s="69"/>
      <c r="T51" s="69"/>
      <c r="U51" s="415"/>
      <c r="V51" s="69"/>
      <c r="W51" s="69"/>
      <c r="X51" s="69"/>
      <c r="Y51" s="69"/>
      <c r="Z51" s="69"/>
      <c r="AA51" s="69"/>
      <c r="AB51" s="69"/>
      <c r="AC51" s="69"/>
      <c r="AD51" s="69"/>
      <c r="AE51" s="69"/>
      <c r="AF51" s="191"/>
      <c r="AG51" s="75"/>
      <c r="AH51" s="69"/>
      <c r="AI51" s="69"/>
      <c r="AJ51" s="69"/>
      <c r="AK51" s="69"/>
      <c r="AL51" s="69"/>
      <c r="AM51" s="190"/>
      <c r="AN51" s="185"/>
      <c r="AO51" s="185"/>
      <c r="AP51" s="185"/>
      <c r="AQ51" s="69"/>
      <c r="AR51" s="69"/>
      <c r="AS51" s="69"/>
      <c r="AT51" s="69"/>
      <c r="AU51" s="69"/>
      <c r="AV51" s="34"/>
      <c r="AW51" s="70"/>
      <c r="AX51" s="71"/>
      <c r="AY51" s="69"/>
      <c r="AZ51" s="190"/>
      <c r="BA51" s="546"/>
      <c r="BB51" s="69"/>
      <c r="BC51" s="190"/>
      <c r="BE51" s="497"/>
      <c r="BF51" s="497"/>
      <c r="BG51" s="497"/>
      <c r="BH51" s="506"/>
      <c r="BI51" s="506"/>
    </row>
    <row r="52" spans="1:61" ht="12.95" customHeight="1">
      <c r="A52" s="591" t="s">
        <v>39</v>
      </c>
      <c r="B52" s="296"/>
      <c r="D52" s="31"/>
      <c r="F52" s="297">
        <f t="shared" ref="F52:X52" si="35">F13+F46</f>
        <v>-1489.2866145702046</v>
      </c>
      <c r="G52" s="31">
        <f t="shared" si="35"/>
        <v>1189.2999999999997</v>
      </c>
      <c r="H52" s="290">
        <f t="shared" si="35"/>
        <v>0</v>
      </c>
      <c r="I52" s="31">
        <f t="shared" si="35"/>
        <v>1189.2999999999997</v>
      </c>
      <c r="J52" s="31">
        <f t="shared" si="35"/>
        <v>381.78311066296948</v>
      </c>
      <c r="K52" s="31">
        <f t="shared" si="35"/>
        <v>1571.0831106629696</v>
      </c>
      <c r="L52" s="297">
        <f t="shared" si="35"/>
        <v>-137.78661457020405</v>
      </c>
      <c r="M52" s="670">
        <f t="shared" si="35"/>
        <v>114.8</v>
      </c>
      <c r="N52" s="31">
        <f>N13+N46</f>
        <v>0</v>
      </c>
      <c r="O52" s="31">
        <f>O13+O46</f>
        <v>0</v>
      </c>
      <c r="P52" s="62">
        <f t="shared" ref="P52:U52" si="36">P13+P46</f>
        <v>0</v>
      </c>
      <c r="Q52" s="62">
        <f t="shared" si="36"/>
        <v>50.301394711345729</v>
      </c>
      <c r="R52" s="62">
        <f t="shared" si="36"/>
        <v>0</v>
      </c>
      <c r="S52" s="62">
        <f t="shared" si="36"/>
        <v>53.078891839999997</v>
      </c>
      <c r="T52" s="62">
        <f t="shared" si="36"/>
        <v>16.705108160000002</v>
      </c>
      <c r="U52" s="414">
        <f t="shared" si="36"/>
        <v>-5.2853947113457247</v>
      </c>
      <c r="V52" s="62">
        <f t="shared" si="35"/>
        <v>1242</v>
      </c>
      <c r="W52" s="62">
        <f t="shared" si="35"/>
        <v>0</v>
      </c>
      <c r="X52" s="62">
        <f t="shared" si="35"/>
        <v>1242</v>
      </c>
      <c r="Y52" s="62">
        <f>Y13+Y46</f>
        <v>1242</v>
      </c>
      <c r="Z52" s="62"/>
      <c r="AA52" s="62"/>
      <c r="AB52" s="62"/>
      <c r="AC52" s="62">
        <f>AC13+AC46</f>
        <v>0</v>
      </c>
      <c r="AD52" s="62"/>
      <c r="AE52" s="449">
        <f>AE13+AE46</f>
        <v>0</v>
      </c>
      <c r="AF52" s="74">
        <f>AF13+AF46</f>
        <v>0</v>
      </c>
      <c r="AG52" s="449">
        <f>AG13+AG46</f>
        <v>0</v>
      </c>
      <c r="AH52" s="62">
        <f>AH13+AH46</f>
        <v>1184</v>
      </c>
      <c r="AI52" s="62">
        <f>AI44</f>
        <v>5272.1578774893114</v>
      </c>
      <c r="AJ52" s="62">
        <f t="shared" ref="AJ52:AP52" si="37">AJ13+AJ46</f>
        <v>0</v>
      </c>
      <c r="AK52" s="62">
        <f t="shared" si="37"/>
        <v>2540.7999999999997</v>
      </c>
      <c r="AL52" s="62">
        <f t="shared" si="37"/>
        <v>519.56972523317359</v>
      </c>
      <c r="AM52" s="178">
        <f t="shared" si="37"/>
        <v>3060.3697252331726</v>
      </c>
      <c r="AN52" s="43">
        <f>AN13+AN46</f>
        <v>1242</v>
      </c>
      <c r="AO52" s="43">
        <f>AO13+AO46</f>
        <v>-103.0013947113456</v>
      </c>
      <c r="AP52" s="180">
        <f t="shared" si="37"/>
        <v>0</v>
      </c>
      <c r="AQ52" s="66"/>
      <c r="AR52" s="66"/>
      <c r="AS52" s="66"/>
      <c r="AT52" s="66"/>
      <c r="AV52" s="38"/>
      <c r="AW52" s="64">
        <f>AW13+AW46</f>
        <v>1.2600000000000002</v>
      </c>
      <c r="AX52" s="43"/>
      <c r="AY52" s="43"/>
      <c r="AZ52" s="525"/>
      <c r="BA52" s="373">
        <f>BA13+BA46</f>
        <v>114.8</v>
      </c>
      <c r="BB52" s="49">
        <f>BB13+BB46</f>
        <v>28.307999999999989</v>
      </c>
      <c r="BC52" s="445"/>
      <c r="BF52" s="489"/>
      <c r="BH52" s="505">
        <f>BH13+BH46</f>
        <v>735.86686290322587</v>
      </c>
      <c r="BI52" s="505">
        <f>BI13+BI46</f>
        <v>448.13313709677413</v>
      </c>
    </row>
    <row r="53" spans="1:61" ht="12.95" customHeight="1">
      <c r="A53" s="591" t="s">
        <v>40</v>
      </c>
      <c r="B53" s="296"/>
      <c r="D53" s="31">
        <f>D13+D47</f>
        <v>-2954</v>
      </c>
      <c r="E53" s="31">
        <f>E44</f>
        <v>136738</v>
      </c>
      <c r="F53" s="297">
        <f t="shared" ref="F53:AM53" si="38">F52*$D$2</f>
        <v>-2954.0000000000009</v>
      </c>
      <c r="G53" s="31">
        <f t="shared" si="38"/>
        <v>2358.9765499999994</v>
      </c>
      <c r="H53" s="290">
        <f t="shared" si="38"/>
        <v>0</v>
      </c>
      <c r="I53" s="31">
        <f t="shared" si="38"/>
        <v>2358.9765499999994</v>
      </c>
      <c r="J53" s="31">
        <f t="shared" si="38"/>
        <v>757.26679999999999</v>
      </c>
      <c r="K53" s="31">
        <f t="shared" si="38"/>
        <v>3116.2433500000002</v>
      </c>
      <c r="L53" s="297">
        <f t="shared" si="38"/>
        <v>-273.29974999999973</v>
      </c>
      <c r="M53" s="670">
        <f t="shared" si="38"/>
        <v>227.70580000000001</v>
      </c>
      <c r="N53" s="31">
        <f t="shared" si="38"/>
        <v>0</v>
      </c>
      <c r="O53" s="31">
        <f t="shared" si="38"/>
        <v>0</v>
      </c>
      <c r="P53" s="62">
        <f t="shared" ref="P53:U53" si="39">P52*$D$2</f>
        <v>0</v>
      </c>
      <c r="Q53" s="62">
        <f t="shared" si="39"/>
        <v>99.77281640995426</v>
      </c>
      <c r="R53" s="62">
        <f t="shared" si="39"/>
        <v>0</v>
      </c>
      <c r="S53" s="62">
        <f t="shared" si="39"/>
        <v>105.28198196464</v>
      </c>
      <c r="T53" s="62">
        <f t="shared" si="39"/>
        <v>33.134582035360005</v>
      </c>
      <c r="U53" s="414">
        <f t="shared" si="39"/>
        <v>-10.483580409954245</v>
      </c>
      <c r="V53" s="62">
        <f t="shared" si="38"/>
        <v>2463.5070000000001</v>
      </c>
      <c r="W53" s="62">
        <f t="shared" si="38"/>
        <v>0</v>
      </c>
      <c r="X53" s="62">
        <f t="shared" si="38"/>
        <v>2463.5070000000001</v>
      </c>
      <c r="Y53" s="62">
        <f t="shared" si="38"/>
        <v>2463.5070000000001</v>
      </c>
      <c r="Z53" s="62"/>
      <c r="AA53" s="62"/>
      <c r="AB53" s="62"/>
      <c r="AC53" s="62">
        <f>AC52*$D$2</f>
        <v>0</v>
      </c>
      <c r="AD53" s="62"/>
      <c r="AE53" s="345">
        <f>AE52*$D$2</f>
        <v>0</v>
      </c>
      <c r="AF53" s="62">
        <f>AF52*$D$2</f>
        <v>0</v>
      </c>
      <c r="AG53" s="345">
        <f>AG52*$D$2</f>
        <v>0</v>
      </c>
      <c r="AH53" s="62">
        <f t="shared" si="38"/>
        <v>2348.4639999999999</v>
      </c>
      <c r="AI53" s="62">
        <f t="shared" si="38"/>
        <v>10457.32515000005</v>
      </c>
      <c r="AJ53" s="62">
        <f t="shared" si="38"/>
        <v>0</v>
      </c>
      <c r="AK53" s="62">
        <f t="shared" si="38"/>
        <v>5039.6767999999993</v>
      </c>
      <c r="AL53" s="62">
        <f t="shared" si="38"/>
        <v>1030.5665499999998</v>
      </c>
      <c r="AM53" s="411">
        <f t="shared" si="38"/>
        <v>6070.2433499999979</v>
      </c>
      <c r="AN53" s="43">
        <f>AN52*$D$2</f>
        <v>2463.5070000000001</v>
      </c>
      <c r="AO53" s="43">
        <f>AO52*$D$2</f>
        <v>-204.30326640995401</v>
      </c>
      <c r="AP53" s="180">
        <f>AP52*$D$2</f>
        <v>0</v>
      </c>
      <c r="AQ53" s="66"/>
      <c r="AR53" s="66"/>
      <c r="AS53" s="66"/>
      <c r="AT53" s="66"/>
      <c r="AW53" s="64"/>
      <c r="AX53" s="43"/>
      <c r="AY53" s="370"/>
      <c r="AZ53" s="662"/>
      <c r="BA53" s="374">
        <f>BA52*$D$2</f>
        <v>227.70580000000001</v>
      </c>
      <c r="BB53" s="49">
        <f>BB52*$D$2</f>
        <v>56.148917999999981</v>
      </c>
      <c r="BC53" s="659"/>
      <c r="BF53" s="489"/>
      <c r="BH53" s="505">
        <f>BH52*$D$2</f>
        <v>1459.5919225685486</v>
      </c>
      <c r="BI53" s="505">
        <f>BI52*$D$2</f>
        <v>888.87207743145154</v>
      </c>
    </row>
    <row r="54" spans="1:61" ht="3" customHeight="1">
      <c r="A54" s="300"/>
      <c r="B54" s="305"/>
      <c r="C54" s="299"/>
      <c r="D54" s="275"/>
      <c r="E54" s="299"/>
      <c r="F54" s="300"/>
      <c r="G54" s="275"/>
      <c r="H54" s="301"/>
      <c r="I54" s="275"/>
      <c r="J54" s="275"/>
      <c r="K54" s="275"/>
      <c r="L54" s="300"/>
      <c r="M54" s="275"/>
      <c r="N54" s="275"/>
      <c r="O54" s="275"/>
      <c r="P54" s="303"/>
      <c r="Q54" s="275"/>
      <c r="R54" s="275"/>
      <c r="S54" s="275"/>
      <c r="T54" s="275"/>
      <c r="U54" s="245"/>
      <c r="V54" s="275"/>
      <c r="W54" s="275"/>
      <c r="X54" s="275"/>
      <c r="Y54" s="309"/>
      <c r="Z54" s="299"/>
      <c r="AA54" s="309"/>
      <c r="AB54" s="299"/>
      <c r="AC54" s="299"/>
      <c r="AD54" s="299"/>
      <c r="AE54" s="275"/>
      <c r="AF54" s="302"/>
      <c r="AG54" s="308"/>
      <c r="AH54" s="275"/>
      <c r="AI54" s="299"/>
      <c r="AJ54" s="299"/>
      <c r="AK54" s="275"/>
      <c r="AL54" s="275"/>
      <c r="AM54" s="275"/>
      <c r="AN54" s="352"/>
      <c r="AO54" s="185"/>
      <c r="AP54" s="309"/>
      <c r="AQ54" s="275"/>
      <c r="AR54" s="310"/>
      <c r="AS54" s="310"/>
      <c r="AT54" s="311"/>
      <c r="AU54" s="311"/>
      <c r="AV54" s="658"/>
      <c r="AW54" s="275"/>
      <c r="AX54" s="307"/>
      <c r="AY54" s="275"/>
      <c r="AZ54" s="275"/>
      <c r="BA54" s="663"/>
      <c r="BB54" s="275"/>
      <c r="BC54" s="300"/>
      <c r="BE54" s="497"/>
      <c r="BF54" s="578"/>
      <c r="BG54" s="497"/>
      <c r="BH54" s="579"/>
      <c r="BI54" s="579"/>
    </row>
    <row r="55" spans="1:61" ht="14.1" customHeight="1">
      <c r="A55" s="312"/>
      <c r="B55" s="313"/>
      <c r="D55" s="61"/>
      <c r="F55" s="61"/>
      <c r="G55" s="61"/>
      <c r="I55" s="61"/>
      <c r="J55" s="61"/>
      <c r="K55" s="61"/>
      <c r="L55" s="61"/>
      <c r="M55" s="61"/>
      <c r="N55" s="61"/>
      <c r="O55" s="61"/>
      <c r="Q55" s="61"/>
      <c r="R55" s="61"/>
      <c r="S55" s="61"/>
      <c r="T55" s="61"/>
      <c r="V55" s="61"/>
      <c r="W55" s="61"/>
      <c r="X55" s="61"/>
      <c r="Z55" s="31"/>
      <c r="AB55" s="31"/>
      <c r="AC55" s="31"/>
      <c r="AD55" s="31"/>
      <c r="AE55" s="61"/>
      <c r="AF55" s="61"/>
      <c r="AG55" s="61"/>
      <c r="AH55" s="61"/>
      <c r="AI55" s="31"/>
      <c r="AJ55" s="31"/>
      <c r="AK55" s="61"/>
      <c r="AL55" s="61"/>
      <c r="AN55" s="27"/>
      <c r="AO55" s="27"/>
      <c r="AP55" s="27"/>
      <c r="AV55" s="227"/>
      <c r="AY55" s="290"/>
      <c r="AZ55" s="290"/>
      <c r="BH55" s="531"/>
      <c r="BI55" s="531"/>
    </row>
    <row r="56" spans="1:61" ht="11.1" customHeight="1">
      <c r="A56" s="61"/>
      <c r="B56" s="314"/>
      <c r="F56" s="61"/>
      <c r="G56" s="61"/>
      <c r="I56" s="164"/>
      <c r="J56" s="61"/>
      <c r="K56" s="287"/>
      <c r="L56" s="61"/>
      <c r="M56" s="61"/>
      <c r="N56" s="61"/>
      <c r="O56" s="61"/>
      <c r="Q56" s="61"/>
      <c r="R56" s="61"/>
      <c r="S56" s="61"/>
      <c r="T56" s="61"/>
      <c r="V56" s="61"/>
      <c r="W56" s="61"/>
      <c r="X56" s="61"/>
      <c r="Z56" s="31"/>
      <c r="AB56" s="31"/>
      <c r="AC56" s="31"/>
      <c r="AD56" s="31"/>
      <c r="AE56" s="61"/>
      <c r="AF56" s="61"/>
      <c r="AG56" s="61"/>
      <c r="AH56" s="61"/>
      <c r="AI56" s="31"/>
      <c r="AJ56" s="31"/>
      <c r="AK56" s="61"/>
      <c r="AL56" s="61"/>
      <c r="AN56" s="27"/>
      <c r="AO56" s="27"/>
      <c r="AP56" s="27"/>
      <c r="AV56" s="38"/>
      <c r="AY56" s="290"/>
      <c r="AZ56" s="290"/>
      <c r="BF56" s="580"/>
      <c r="BH56" s="531"/>
      <c r="BI56" s="531"/>
    </row>
    <row r="57" spans="1:61" ht="11.1" customHeight="1">
      <c r="D57" s="31"/>
      <c r="S57" s="23"/>
      <c r="T57" s="23"/>
      <c r="X57" s="60"/>
      <c r="Z57" s="31"/>
      <c r="AB57" s="31"/>
      <c r="AC57" s="31"/>
      <c r="AD57" s="31"/>
      <c r="AF57" s="60"/>
      <c r="AG57" s="60"/>
      <c r="AH57" s="60"/>
      <c r="AI57" s="31"/>
      <c r="AJ57" s="31"/>
      <c r="AN57" s="27"/>
      <c r="AO57" s="27"/>
      <c r="AP57" s="27"/>
      <c r="AY57" s="290"/>
      <c r="AZ57" s="290"/>
      <c r="BF57" s="538"/>
      <c r="BH57" s="510"/>
      <c r="BI57" s="510"/>
    </row>
    <row r="58" spans="1:61" ht="11.1" customHeight="1">
      <c r="B58" s="38"/>
      <c r="D58" s="31"/>
      <c r="S58" s="23"/>
      <c r="T58" s="23"/>
      <c r="X58" s="60"/>
      <c r="Z58" s="31"/>
      <c r="AB58" s="31"/>
      <c r="AC58" s="31"/>
      <c r="AD58" s="31"/>
      <c r="AF58" s="60"/>
      <c r="AG58" s="60"/>
      <c r="AH58" s="60"/>
      <c r="AI58" s="31"/>
      <c r="AJ58" s="31"/>
      <c r="AN58" s="27"/>
      <c r="AO58" s="27"/>
      <c r="AP58" s="27"/>
      <c r="AY58" s="290"/>
      <c r="AZ58" s="290"/>
      <c r="BH58" s="510"/>
      <c r="BI58" s="510"/>
    </row>
    <row r="59" spans="1:61" ht="11.1" customHeight="1">
      <c r="G59" s="315"/>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4294967292" r:id="rId1"/>
  <headerFooter alignWithMargins="0"/>
  <ignoredErrors>
    <ignoredError sqref="J15:J29 J30:J44"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I60"/>
  <sheetViews>
    <sheetView zoomScaleNormal="100" workbookViewId="0">
      <pane xSplit="1" ySplit="14" topLeftCell="B15" activePane="bottomRight" state="frozen"/>
      <selection activeCell="C53" sqref="C53"/>
      <selection pane="topRight" activeCell="C53" sqref="C53"/>
      <selection pane="bottomLeft" activeCell="C53" sqref="C53"/>
      <selection pane="bottomRight" activeCell="A15" sqref="A15:XFD15"/>
    </sheetView>
  </sheetViews>
  <sheetFormatPr defaultColWidth="9.33203125" defaultRowHeight="11.1" customHeight="1"/>
  <cols>
    <col min="1" max="1" width="4.6640625" style="30" customWidth="1"/>
    <col min="2" max="2" width="7" style="30" customWidth="1"/>
    <col min="3" max="3" width="6.33203125" style="49" customWidth="1"/>
    <col min="4" max="4" width="6.33203125" style="30" customWidth="1"/>
    <col min="5" max="5" width="7" style="49" customWidth="1"/>
    <col min="6" max="6" width="7.33203125" style="30" customWidth="1"/>
    <col min="7" max="7" width="6.83203125" style="30" customWidth="1"/>
    <col min="8" max="8" width="5.6640625" style="142" customWidth="1"/>
    <col min="9" max="11" width="6.33203125" style="30" customWidth="1"/>
    <col min="12" max="12" width="6.83203125" style="30" customWidth="1"/>
    <col min="13" max="13" width="5.5" style="46" customWidth="1"/>
    <col min="14" max="14" width="4.5" style="46" customWidth="1"/>
    <col min="15" max="15" width="5.5" style="46" customWidth="1"/>
    <col min="16" max="16" width="4.83203125" style="52" customWidth="1"/>
    <col min="17" max="20" width="4.33203125" style="30" customWidth="1"/>
    <col min="21" max="21" width="6" style="52" customWidth="1"/>
    <col min="22" max="23" width="5.5" style="30" customWidth="1"/>
    <col min="24" max="25" width="6.33203125" style="49" customWidth="1"/>
    <col min="26" max="26" width="5.5" style="46" customWidth="1"/>
    <col min="27" max="27" width="6.33203125" style="49" customWidth="1"/>
    <col min="28" max="28" width="5.5" style="46" customWidth="1"/>
    <col min="29" max="29" width="6" style="46" customWidth="1"/>
    <col min="30" max="33" width="5.5" style="30" customWidth="1"/>
    <col min="34" max="34" width="6.33203125" style="49" customWidth="1"/>
    <col min="35" max="35" width="5.5" style="30" customWidth="1"/>
    <col min="36" max="36" width="6.33203125" style="200" customWidth="1"/>
    <col min="37" max="37" width="6.33203125" style="30" customWidth="1"/>
    <col min="38" max="38" width="6.83203125" style="30" customWidth="1"/>
    <col min="39" max="39" width="6.83203125" style="52" customWidth="1"/>
    <col min="40" max="40" width="5.5" style="30" customWidth="1"/>
    <col min="41" max="41" width="6.33203125" style="23" customWidth="1"/>
    <col min="42" max="42" width="5.5" style="46" customWidth="1"/>
    <col min="43" max="44" width="6.33203125" style="30" customWidth="1"/>
    <col min="45" max="45" width="5.5" style="30" customWidth="1"/>
    <col min="46" max="46" width="5.33203125" style="30" customWidth="1"/>
    <col min="47" max="47" width="5.83203125" style="30" customWidth="1"/>
    <col min="48" max="48" width="5" style="30" customWidth="1"/>
    <col min="49" max="49" width="5.33203125" style="142" customWidth="1"/>
    <col min="50" max="50" width="3.83203125" style="78" customWidth="1"/>
    <col min="51" max="52" width="3.83203125" style="48" customWidth="1"/>
    <col min="53" max="53" width="5.5" style="200" customWidth="1"/>
    <col min="54" max="55" width="9.33203125" style="30"/>
    <col min="56" max="56" width="9.33203125" style="2"/>
    <col min="57" max="57" width="9.33203125" style="562" hidden="1" customWidth="1"/>
    <col min="58" max="59" width="7" style="498" hidden="1" customWidth="1"/>
    <col min="60" max="61" width="6.33203125" style="508" hidden="1" customWidth="1"/>
    <col min="62" max="16384" width="9.33203125" style="2"/>
  </cols>
  <sheetData>
    <row r="1" spans="1:61" ht="14.1" customHeight="1">
      <c r="A1" s="90"/>
      <c r="B1" s="90"/>
      <c r="D1" s="90"/>
      <c r="F1" s="90"/>
      <c r="G1" s="90"/>
      <c r="H1" s="91"/>
      <c r="I1" s="90"/>
      <c r="J1" s="90"/>
      <c r="K1" s="276" t="s">
        <v>53</v>
      </c>
      <c r="L1" s="90"/>
      <c r="M1" s="90"/>
      <c r="N1" s="90"/>
      <c r="O1" s="90"/>
      <c r="Q1" s="90"/>
      <c r="R1" s="90"/>
      <c r="S1" s="90"/>
      <c r="T1" s="90"/>
      <c r="V1" s="90"/>
      <c r="W1" s="90"/>
      <c r="AD1" s="90"/>
      <c r="AE1" s="90"/>
      <c r="AF1" s="90"/>
      <c r="AG1" s="90"/>
      <c r="AI1" s="90"/>
      <c r="AJ1" s="141"/>
      <c r="AK1" s="90"/>
      <c r="AL1" s="90"/>
      <c r="BF1" s="563"/>
      <c r="BG1" s="563"/>
    </row>
    <row r="2" spans="1:61" ht="14.1" customHeight="1">
      <c r="A2" s="141" t="s">
        <v>0</v>
      </c>
      <c r="B2" s="90"/>
      <c r="D2" s="277">
        <v>1.9835</v>
      </c>
      <c r="F2" s="90"/>
      <c r="G2" s="90"/>
      <c r="H2" s="91"/>
      <c r="I2" s="90"/>
      <c r="J2" s="90"/>
      <c r="K2" s="844" t="s">
        <v>187</v>
      </c>
      <c r="L2" s="844"/>
      <c r="M2" s="844"/>
      <c r="N2" s="844"/>
      <c r="O2" s="844"/>
      <c r="P2" s="844"/>
      <c r="Q2" s="844"/>
      <c r="R2" s="844"/>
      <c r="S2" s="844"/>
      <c r="T2" s="844"/>
      <c r="U2" s="844"/>
      <c r="V2" s="844"/>
      <c r="W2" s="278"/>
      <c r="X2" s="279"/>
      <c r="Y2" s="279"/>
      <c r="Z2" s="316"/>
      <c r="AA2" s="279"/>
      <c r="AB2" s="316"/>
      <c r="AC2" s="316"/>
      <c r="AD2" s="278"/>
      <c r="AE2" s="90"/>
      <c r="AF2" s="90"/>
      <c r="AG2" s="90"/>
      <c r="AI2" s="90"/>
      <c r="AJ2" s="141"/>
      <c r="AK2" s="90"/>
      <c r="AL2" s="90"/>
      <c r="BF2" s="563"/>
      <c r="BG2" s="563"/>
    </row>
    <row r="3" spans="1:61" ht="14.1" customHeight="1" thickBot="1">
      <c r="A3" s="280"/>
      <c r="B3" s="740"/>
      <c r="C3" s="741"/>
      <c r="D3" s="742"/>
      <c r="E3" s="741"/>
      <c r="F3" s="740"/>
      <c r="G3" s="716"/>
      <c r="H3" s="720"/>
      <c r="I3" s="740"/>
      <c r="J3" s="740"/>
      <c r="K3" s="740"/>
      <c r="L3" s="740"/>
      <c r="M3" s="716"/>
      <c r="N3" s="716"/>
      <c r="O3" s="716"/>
      <c r="P3" s="753"/>
      <c r="Q3" s="716"/>
      <c r="R3" s="716"/>
      <c r="S3" s="716"/>
      <c r="T3" s="716"/>
      <c r="U3" s="747"/>
      <c r="V3" s="716"/>
      <c r="W3" s="716"/>
      <c r="X3" s="741"/>
      <c r="Y3" s="741"/>
      <c r="Z3" s="756"/>
      <c r="AA3" s="741"/>
      <c r="AB3" s="756"/>
      <c r="AC3" s="756"/>
      <c r="AD3" s="740"/>
      <c r="AE3" s="740"/>
      <c r="AF3" s="740"/>
      <c r="AG3" s="740"/>
      <c r="AH3" s="713"/>
      <c r="AI3" s="740"/>
      <c r="AJ3" s="758"/>
      <c r="AK3" s="740"/>
      <c r="AL3" s="740"/>
      <c r="AM3" s="747"/>
      <c r="AN3" s="784"/>
      <c r="AO3" s="755"/>
      <c r="AP3" s="756"/>
      <c r="AQ3" s="784"/>
      <c r="AR3" s="784"/>
      <c r="AS3" s="778"/>
      <c r="AT3" s="778"/>
      <c r="AU3" s="727"/>
      <c r="AV3" s="778"/>
      <c r="AW3" s="779"/>
      <c r="AX3" s="780"/>
      <c r="AY3" s="781"/>
      <c r="AZ3" s="782"/>
      <c r="BA3" s="783"/>
      <c r="BB3" s="733"/>
      <c r="BC3" s="733"/>
      <c r="BF3" s="564"/>
      <c r="BG3" s="564"/>
      <c r="BH3" s="565"/>
      <c r="BI3" s="565"/>
    </row>
    <row r="4" spans="1:61" s="60" customFormat="1" ht="14.1" customHeight="1" thickTop="1" thickBot="1">
      <c r="A4" s="147"/>
      <c r="B4" s="148"/>
      <c r="C4" s="149"/>
      <c r="D4" s="22" t="s">
        <v>47</v>
      </c>
      <c r="E4" s="149"/>
      <c r="F4" s="147"/>
      <c r="G4" s="150"/>
      <c r="H4" s="150"/>
      <c r="I4" s="427" t="s">
        <v>124</v>
      </c>
      <c r="J4" s="150"/>
      <c r="K4" s="150"/>
      <c r="L4" s="426"/>
      <c r="M4" s="150"/>
      <c r="N4" s="150"/>
      <c r="O4" s="150"/>
      <c r="P4" s="153"/>
      <c r="Q4" s="150"/>
      <c r="R4" s="150"/>
      <c r="S4" s="150"/>
      <c r="T4" s="150"/>
      <c r="U4" s="153"/>
      <c r="V4" s="150"/>
      <c r="W4" s="150"/>
      <c r="X4" s="146" t="s">
        <v>122</v>
      </c>
      <c r="Y4" s="146"/>
      <c r="Z4" s="151"/>
      <c r="AA4" s="146"/>
      <c r="AB4" s="151"/>
      <c r="AC4" s="151"/>
      <c r="AD4" s="152"/>
      <c r="AE4" s="150"/>
      <c r="AF4" s="150"/>
      <c r="AG4" s="150"/>
      <c r="AH4" s="149"/>
      <c r="AI4" s="150"/>
      <c r="AJ4" s="258"/>
      <c r="AK4" s="150"/>
      <c r="AL4" s="150"/>
      <c r="AM4" s="153"/>
      <c r="AN4" s="348"/>
      <c r="AO4" s="582"/>
      <c r="AP4" s="27"/>
      <c r="AQ4" s="209" t="s">
        <v>55</v>
      </c>
      <c r="AR4" s="227"/>
      <c r="AS4" s="157"/>
      <c r="AT4" s="158"/>
      <c r="AU4" s="259"/>
      <c r="AV4" s="259"/>
      <c r="AW4" s="154"/>
      <c r="AX4" s="18" t="s">
        <v>48</v>
      </c>
      <c r="AY4" s="156"/>
      <c r="AZ4" s="155"/>
      <c r="BA4" s="386"/>
      <c r="BB4" s="35"/>
      <c r="BC4" s="450"/>
      <c r="BE4" s="566"/>
      <c r="BF4" s="566"/>
      <c r="BG4" s="566"/>
      <c r="BH4" s="567"/>
      <c r="BI4" s="567"/>
    </row>
    <row r="5" spans="1:61" customFormat="1" ht="12.95" customHeight="1">
      <c r="A5" s="8" t="s">
        <v>1</v>
      </c>
      <c r="B5" s="165" t="s">
        <v>2</v>
      </c>
      <c r="C5" s="13" t="s">
        <v>2</v>
      </c>
      <c r="D5" s="8" t="s">
        <v>3</v>
      </c>
      <c r="E5" s="13" t="s">
        <v>4</v>
      </c>
      <c r="F5" s="166" t="s">
        <v>5</v>
      </c>
      <c r="G5" s="623" t="s">
        <v>6</v>
      </c>
      <c r="H5" s="8" t="s">
        <v>7</v>
      </c>
      <c r="I5" s="8" t="s">
        <v>63</v>
      </c>
      <c r="J5" s="8" t="s">
        <v>8</v>
      </c>
      <c r="K5" s="8" t="s">
        <v>9</v>
      </c>
      <c r="L5" s="294" t="s">
        <v>8</v>
      </c>
      <c r="M5" s="425" t="s">
        <v>10</v>
      </c>
      <c r="N5" s="167"/>
      <c r="O5" s="167"/>
      <c r="P5" s="252"/>
      <c r="Q5" s="167"/>
      <c r="R5" s="167"/>
      <c r="S5" s="167"/>
      <c r="T5" s="167"/>
      <c r="U5" s="248"/>
      <c r="V5" s="623" t="s">
        <v>11</v>
      </c>
      <c r="W5" s="8" t="s">
        <v>12</v>
      </c>
      <c r="X5" s="8" t="s">
        <v>9</v>
      </c>
      <c r="Y5" s="8" t="s">
        <v>9</v>
      </c>
      <c r="Z5" s="12" t="s">
        <v>13</v>
      </c>
      <c r="AA5" s="8" t="s">
        <v>13</v>
      </c>
      <c r="AB5" s="12" t="s">
        <v>13</v>
      </c>
      <c r="AC5" s="12" t="s">
        <v>82</v>
      </c>
      <c r="AD5" s="14" t="s">
        <v>13</v>
      </c>
      <c r="AE5" s="8" t="s">
        <v>14</v>
      </c>
      <c r="AF5" s="215" t="s">
        <v>77</v>
      </c>
      <c r="AG5" s="213"/>
      <c r="AH5" s="8" t="s">
        <v>15</v>
      </c>
      <c r="AI5" s="13" t="s">
        <v>61</v>
      </c>
      <c r="AJ5" s="13" t="s">
        <v>88</v>
      </c>
      <c r="AK5" s="8" t="s">
        <v>63</v>
      </c>
      <c r="AL5" s="8" t="s">
        <v>8</v>
      </c>
      <c r="AM5" s="8" t="s">
        <v>9</v>
      </c>
      <c r="AN5" s="675" t="s">
        <v>52</v>
      </c>
      <c r="AO5" s="624" t="s">
        <v>159</v>
      </c>
      <c r="AP5" s="14" t="s">
        <v>13</v>
      </c>
      <c r="AQ5" s="12" t="s">
        <v>49</v>
      </c>
      <c r="AR5" s="36" t="s">
        <v>49</v>
      </c>
      <c r="AS5" s="14" t="s">
        <v>96</v>
      </c>
      <c r="AT5" s="35" t="s">
        <v>56</v>
      </c>
      <c r="AU5" s="35" t="s">
        <v>79</v>
      </c>
      <c r="AV5" s="37" t="s">
        <v>134</v>
      </c>
      <c r="AW5" s="168" t="s">
        <v>16</v>
      </c>
      <c r="AX5" s="12" t="s">
        <v>17</v>
      </c>
      <c r="AY5" s="12" t="s">
        <v>18</v>
      </c>
      <c r="AZ5" s="169"/>
      <c r="BA5" s="387" t="s">
        <v>9</v>
      </c>
      <c r="BB5" s="35" t="s">
        <v>128</v>
      </c>
      <c r="BC5" s="547" t="s">
        <v>128</v>
      </c>
      <c r="BE5" s="562"/>
      <c r="BF5" s="568" t="s">
        <v>2</v>
      </c>
      <c r="BG5" s="568"/>
      <c r="BH5" s="569" t="s">
        <v>15</v>
      </c>
      <c r="BI5" s="569" t="s">
        <v>15</v>
      </c>
    </row>
    <row r="6" spans="1:61" customFormat="1" ht="12.95" customHeight="1">
      <c r="A6" s="170" t="s">
        <v>105</v>
      </c>
      <c r="B6" s="165" t="s">
        <v>19</v>
      </c>
      <c r="C6" s="13"/>
      <c r="D6" s="8" t="s">
        <v>20</v>
      </c>
      <c r="E6" s="13" t="s">
        <v>21</v>
      </c>
      <c r="F6" s="166" t="s">
        <v>22</v>
      </c>
      <c r="G6" s="8" t="s">
        <v>23</v>
      </c>
      <c r="H6" s="8" t="s">
        <v>64</v>
      </c>
      <c r="I6" s="8" t="s">
        <v>24</v>
      </c>
      <c r="J6" s="8" t="s">
        <v>24</v>
      </c>
      <c r="K6" s="8" t="s">
        <v>24</v>
      </c>
      <c r="L6" s="294" t="s">
        <v>25</v>
      </c>
      <c r="M6" s="8" t="s">
        <v>26</v>
      </c>
      <c r="N6" s="623" t="s">
        <v>65</v>
      </c>
      <c r="O6" s="8" t="s">
        <v>67</v>
      </c>
      <c r="P6" s="36" t="s">
        <v>84</v>
      </c>
      <c r="Q6" s="8" t="s">
        <v>57</v>
      </c>
      <c r="R6" s="8" t="s">
        <v>118</v>
      </c>
      <c r="S6" s="8"/>
      <c r="T6" s="8" t="s">
        <v>67</v>
      </c>
      <c r="U6" s="244" t="s">
        <v>87</v>
      </c>
      <c r="V6" s="8" t="s">
        <v>27</v>
      </c>
      <c r="W6" s="8" t="s">
        <v>42</v>
      </c>
      <c r="X6" s="8" t="s">
        <v>13</v>
      </c>
      <c r="Y6" s="8" t="s">
        <v>13</v>
      </c>
      <c r="Z6" s="12" t="s">
        <v>28</v>
      </c>
      <c r="AA6" s="8" t="s">
        <v>28</v>
      </c>
      <c r="AB6" s="12" t="s">
        <v>92</v>
      </c>
      <c r="AC6" s="12" t="s">
        <v>83</v>
      </c>
      <c r="AD6" s="14" t="s">
        <v>86</v>
      </c>
      <c r="AE6" s="8" t="s">
        <v>29</v>
      </c>
      <c r="AF6" s="171" t="s">
        <v>76</v>
      </c>
      <c r="AG6" s="294" t="s">
        <v>58</v>
      </c>
      <c r="AH6" s="8" t="s">
        <v>69</v>
      </c>
      <c r="AI6" s="13" t="s">
        <v>62</v>
      </c>
      <c r="AJ6" s="13"/>
      <c r="AK6" s="8" t="s">
        <v>70</v>
      </c>
      <c r="AL6" s="8" t="s">
        <v>70</v>
      </c>
      <c r="AM6" s="8" t="s">
        <v>70</v>
      </c>
      <c r="AN6" s="349" t="s">
        <v>110</v>
      </c>
      <c r="AO6" s="13" t="s">
        <v>110</v>
      </c>
      <c r="AP6" s="14" t="s">
        <v>71</v>
      </c>
      <c r="AQ6" s="12" t="s">
        <v>51</v>
      </c>
      <c r="AR6" s="36" t="s">
        <v>51</v>
      </c>
      <c r="AS6" s="14" t="s">
        <v>94</v>
      </c>
      <c r="AT6" s="35" t="s">
        <v>54</v>
      </c>
      <c r="AU6" s="35" t="s">
        <v>80</v>
      </c>
      <c r="AV6" s="37" t="s">
        <v>133</v>
      </c>
      <c r="AW6" s="172"/>
      <c r="AX6" s="12" t="s">
        <v>30</v>
      </c>
      <c r="AY6" s="12" t="s">
        <v>30</v>
      </c>
      <c r="AZ6" s="169"/>
      <c r="BA6" s="387" t="s">
        <v>99</v>
      </c>
      <c r="BB6" s="35" t="s">
        <v>130</v>
      </c>
      <c r="BC6" s="547" t="s">
        <v>129</v>
      </c>
      <c r="BE6" s="562"/>
      <c r="BF6" s="568" t="s">
        <v>19</v>
      </c>
      <c r="BG6" s="568"/>
      <c r="BH6" s="569" t="s">
        <v>69</v>
      </c>
      <c r="BI6" s="569" t="s">
        <v>69</v>
      </c>
    </row>
    <row r="7" spans="1:61" customFormat="1" ht="12.95" customHeight="1">
      <c r="A7" s="8"/>
      <c r="B7" s="165"/>
      <c r="C7" s="13"/>
      <c r="D7" s="8"/>
      <c r="E7" s="13"/>
      <c r="F7" s="166"/>
      <c r="G7" s="8"/>
      <c r="H7" s="8"/>
      <c r="I7" s="8"/>
      <c r="J7" s="8"/>
      <c r="K7" s="8"/>
      <c r="L7" s="294"/>
      <c r="M7" s="8"/>
      <c r="N7" s="8" t="s">
        <v>66</v>
      </c>
      <c r="O7" s="8" t="s">
        <v>68</v>
      </c>
      <c r="P7" s="36"/>
      <c r="Q7" s="8" t="s">
        <v>119</v>
      </c>
      <c r="R7" s="8" t="s">
        <v>119</v>
      </c>
      <c r="S7" s="8" t="s">
        <v>58</v>
      </c>
      <c r="T7" s="8" t="s">
        <v>58</v>
      </c>
      <c r="U7" s="244" t="s">
        <v>120</v>
      </c>
      <c r="V7" s="8"/>
      <c r="W7" s="8"/>
      <c r="X7" s="13" t="s">
        <v>108</v>
      </c>
      <c r="Y7" s="13" t="s">
        <v>90</v>
      </c>
      <c r="Z7" s="12" t="s">
        <v>115</v>
      </c>
      <c r="AA7" s="8" t="s">
        <v>111</v>
      </c>
      <c r="AB7" s="12" t="s">
        <v>93</v>
      </c>
      <c r="AC7" s="12"/>
      <c r="AD7" s="14"/>
      <c r="AE7" s="294"/>
      <c r="AF7" s="295">
        <v>1.7</v>
      </c>
      <c r="AG7" s="295">
        <v>1.3</v>
      </c>
      <c r="AH7" s="171"/>
      <c r="AI7" s="62"/>
      <c r="AJ7" s="13"/>
      <c r="AK7" s="8"/>
      <c r="AL7" s="8"/>
      <c r="AM7" s="8"/>
      <c r="AN7" s="349"/>
      <c r="AO7" s="13" t="s">
        <v>147</v>
      </c>
      <c r="AP7" s="14"/>
      <c r="AQ7" s="12" t="s">
        <v>45</v>
      </c>
      <c r="AR7" s="36" t="s">
        <v>72</v>
      </c>
      <c r="AS7" s="14" t="s">
        <v>95</v>
      </c>
      <c r="AT7" s="35" t="s">
        <v>59</v>
      </c>
      <c r="AU7" s="35" t="s">
        <v>81</v>
      </c>
      <c r="AV7" s="37" t="s">
        <v>108</v>
      </c>
      <c r="AW7" s="172"/>
      <c r="AX7" s="12"/>
      <c r="AY7" s="12"/>
      <c r="AZ7" s="169"/>
      <c r="BA7" s="387" t="s">
        <v>97</v>
      </c>
      <c r="BB7" s="35"/>
      <c r="BC7" s="547"/>
      <c r="BE7" s="562"/>
      <c r="BF7" s="568" t="s">
        <v>142</v>
      </c>
      <c r="BG7" s="568"/>
      <c r="BH7" s="570" t="s">
        <v>153</v>
      </c>
      <c r="BI7" s="570" t="s">
        <v>154</v>
      </c>
    </row>
    <row r="8" spans="1:61" customFormat="1" ht="12.95" customHeight="1">
      <c r="A8" s="8"/>
      <c r="B8" s="165"/>
      <c r="C8" s="13"/>
      <c r="D8" s="8"/>
      <c r="E8" s="13"/>
      <c r="F8" s="166"/>
      <c r="G8" s="8"/>
      <c r="H8" s="8"/>
      <c r="I8" s="8"/>
      <c r="J8" s="8"/>
      <c r="K8" s="8"/>
      <c r="L8" s="294"/>
      <c r="M8" s="8"/>
      <c r="N8" s="8"/>
      <c r="O8" s="8"/>
      <c r="P8" s="36"/>
      <c r="Q8" s="8" t="s">
        <v>58</v>
      </c>
      <c r="R8" s="8" t="s">
        <v>58</v>
      </c>
      <c r="S8" s="8"/>
      <c r="T8" s="8"/>
      <c r="U8" s="244"/>
      <c r="V8" s="8"/>
      <c r="W8" s="8"/>
      <c r="X8" s="13" t="s">
        <v>109</v>
      </c>
      <c r="Y8" s="13" t="s">
        <v>108</v>
      </c>
      <c r="Z8" s="12"/>
      <c r="AA8" s="13" t="s">
        <v>114</v>
      </c>
      <c r="AB8" s="12" t="s">
        <v>113</v>
      </c>
      <c r="AC8" s="12"/>
      <c r="AD8" s="14"/>
      <c r="AE8" s="294"/>
      <c r="AF8" s="295"/>
      <c r="AG8" s="295"/>
      <c r="AH8" s="171"/>
      <c r="AI8" s="62"/>
      <c r="AJ8" s="13"/>
      <c r="AK8" s="8"/>
      <c r="AL8" s="8"/>
      <c r="AM8" s="8"/>
      <c r="AN8" s="349"/>
      <c r="AO8" s="13" t="s">
        <v>165</v>
      </c>
      <c r="AP8" s="14"/>
      <c r="AQ8" s="12"/>
      <c r="AR8" s="36"/>
      <c r="AS8" s="14"/>
      <c r="AT8" s="35"/>
      <c r="AU8" s="35"/>
      <c r="AV8" s="37"/>
      <c r="AW8" s="172"/>
      <c r="AX8" s="12"/>
      <c r="AY8" s="12"/>
      <c r="AZ8" s="169"/>
      <c r="BA8" s="387"/>
      <c r="BB8" s="35"/>
      <c r="BC8" s="547"/>
      <c r="BE8" s="562"/>
      <c r="BF8" s="568"/>
      <c r="BG8" s="568"/>
      <c r="BH8" s="570"/>
      <c r="BI8" s="570" t="s">
        <v>153</v>
      </c>
    </row>
    <row r="9" spans="1:61" customFormat="1" ht="12.95" customHeight="1">
      <c r="A9" s="8"/>
      <c r="B9" s="165"/>
      <c r="C9" s="13"/>
      <c r="D9" s="8"/>
      <c r="E9" s="13"/>
      <c r="F9" s="166"/>
      <c r="G9" s="8"/>
      <c r="H9" s="8"/>
      <c r="I9" s="8"/>
      <c r="J9" s="8"/>
      <c r="K9" s="8"/>
      <c r="L9" s="294"/>
      <c r="M9" s="8"/>
      <c r="N9" s="8"/>
      <c r="O9" s="8"/>
      <c r="P9" s="36"/>
      <c r="Q9" s="8"/>
      <c r="R9" s="413">
        <v>4.2</v>
      </c>
      <c r="S9" s="8"/>
      <c r="T9" s="8"/>
      <c r="U9" s="244"/>
      <c r="V9" s="8"/>
      <c r="W9" s="8"/>
      <c r="X9" s="13"/>
      <c r="Y9" s="13" t="s">
        <v>109</v>
      </c>
      <c r="Z9" s="12"/>
      <c r="AA9" s="13" t="s">
        <v>109</v>
      </c>
      <c r="AB9" s="12" t="s">
        <v>112</v>
      </c>
      <c r="AC9" s="12"/>
      <c r="AD9" s="14"/>
      <c r="AE9" s="294"/>
      <c r="AF9" s="295"/>
      <c r="AG9" s="295"/>
      <c r="AH9" s="171"/>
      <c r="AI9" s="62"/>
      <c r="AJ9" s="13"/>
      <c r="AK9" s="8"/>
      <c r="AL9" s="8"/>
      <c r="AM9" s="8"/>
      <c r="AN9" s="349"/>
      <c r="AO9" s="13"/>
      <c r="AP9" s="14"/>
      <c r="AQ9" s="12"/>
      <c r="AR9" s="36"/>
      <c r="AS9" s="14"/>
      <c r="AT9" s="35"/>
      <c r="AU9" s="35"/>
      <c r="AV9" s="37"/>
      <c r="AW9" s="172"/>
      <c r="AX9" s="12"/>
      <c r="AY9" s="12"/>
      <c r="AZ9" s="169"/>
      <c r="BA9" s="387"/>
      <c r="BB9" s="35"/>
      <c r="BC9" s="547" t="s">
        <v>141</v>
      </c>
      <c r="BE9" s="562"/>
      <c r="BF9" s="568"/>
      <c r="BG9" s="568"/>
      <c r="BH9" s="570"/>
      <c r="BI9" s="570"/>
    </row>
    <row r="10" spans="1:61" customFormat="1" ht="12.95" customHeight="1">
      <c r="A10" s="8"/>
      <c r="B10" s="165"/>
      <c r="C10" s="13" t="s">
        <v>91</v>
      </c>
      <c r="D10" s="8"/>
      <c r="E10" s="13" t="s">
        <v>50</v>
      </c>
      <c r="F10" s="166"/>
      <c r="G10" s="8" t="s">
        <v>22</v>
      </c>
      <c r="H10" s="8" t="s">
        <v>22</v>
      </c>
      <c r="I10" s="8" t="s">
        <v>22</v>
      </c>
      <c r="J10" s="8" t="s">
        <v>22</v>
      </c>
      <c r="K10" s="8" t="s">
        <v>22</v>
      </c>
      <c r="L10" s="294" t="s">
        <v>22</v>
      </c>
      <c r="M10" s="8" t="s">
        <v>22</v>
      </c>
      <c r="N10" s="8" t="s">
        <v>22</v>
      </c>
      <c r="O10" s="8" t="s">
        <v>22</v>
      </c>
      <c r="P10" s="8" t="s">
        <v>22</v>
      </c>
      <c r="Q10" s="8" t="s">
        <v>22</v>
      </c>
      <c r="R10" s="8" t="s">
        <v>22</v>
      </c>
      <c r="S10" s="8" t="s">
        <v>22</v>
      </c>
      <c r="T10" s="8" t="s">
        <v>22</v>
      </c>
      <c r="U10" s="294" t="s">
        <v>22</v>
      </c>
      <c r="V10" s="8" t="s">
        <v>22</v>
      </c>
      <c r="W10" s="8" t="s">
        <v>22</v>
      </c>
      <c r="X10" s="13">
        <v>153400</v>
      </c>
      <c r="Y10" s="13">
        <v>150400</v>
      </c>
      <c r="Z10" s="8"/>
      <c r="AA10" s="13"/>
      <c r="AB10" s="13">
        <v>72000</v>
      </c>
      <c r="AC10" s="8" t="s">
        <v>22</v>
      </c>
      <c r="AD10" s="8" t="s">
        <v>22</v>
      </c>
      <c r="AE10" s="294" t="s">
        <v>22</v>
      </c>
      <c r="AF10" s="8" t="s">
        <v>22</v>
      </c>
      <c r="AG10" s="8" t="s">
        <v>22</v>
      </c>
      <c r="AH10" s="171" t="s">
        <v>22</v>
      </c>
      <c r="AI10" s="8" t="s">
        <v>22</v>
      </c>
      <c r="AJ10" s="8" t="s">
        <v>22</v>
      </c>
      <c r="AK10" s="8" t="s">
        <v>22</v>
      </c>
      <c r="AL10" s="8" t="s">
        <v>22</v>
      </c>
      <c r="AM10" s="166" t="s">
        <v>22</v>
      </c>
      <c r="AN10" s="14" t="s">
        <v>22</v>
      </c>
      <c r="AO10" s="14" t="s">
        <v>22</v>
      </c>
      <c r="AP10" s="14" t="s">
        <v>22</v>
      </c>
      <c r="AQ10" s="14" t="s">
        <v>22</v>
      </c>
      <c r="AR10" s="36" t="s">
        <v>73</v>
      </c>
      <c r="AS10" s="14" t="s">
        <v>22</v>
      </c>
      <c r="AT10" s="14" t="s">
        <v>22</v>
      </c>
      <c r="AU10" s="14" t="s">
        <v>22</v>
      </c>
      <c r="AV10" s="14" t="s">
        <v>22</v>
      </c>
      <c r="AW10" s="172"/>
      <c r="AX10" s="12"/>
      <c r="AY10" s="12"/>
      <c r="AZ10" s="169"/>
      <c r="BA10" s="387" t="s">
        <v>98</v>
      </c>
      <c r="BB10" s="35" t="s">
        <v>22</v>
      </c>
      <c r="BC10" s="547" t="s">
        <v>50</v>
      </c>
      <c r="BE10" s="562"/>
      <c r="BF10" s="568"/>
      <c r="BG10" s="568"/>
      <c r="BH10" s="570" t="s">
        <v>22</v>
      </c>
      <c r="BI10" s="570" t="s">
        <v>22</v>
      </c>
    </row>
    <row r="11" spans="1:61" customFormat="1" ht="12.95" customHeight="1">
      <c r="A11" s="8"/>
      <c r="B11" s="165"/>
      <c r="C11" s="13"/>
      <c r="D11" s="8"/>
      <c r="E11" s="13"/>
      <c r="F11" s="166"/>
      <c r="G11" s="8"/>
      <c r="H11" s="8"/>
      <c r="I11" s="8"/>
      <c r="J11" s="8"/>
      <c r="K11" s="8"/>
      <c r="L11" s="294"/>
      <c r="M11" s="8"/>
      <c r="N11" s="227">
        <v>1.03</v>
      </c>
      <c r="O11" s="227">
        <v>1.05</v>
      </c>
      <c r="P11" s="227">
        <v>1.02</v>
      </c>
      <c r="Q11" s="322">
        <v>1.02</v>
      </c>
      <c r="R11" s="65">
        <v>1.04</v>
      </c>
      <c r="S11" s="8"/>
      <c r="T11" s="322">
        <v>1.04</v>
      </c>
      <c r="U11" s="244"/>
      <c r="V11" s="8"/>
      <c r="W11" s="8"/>
      <c r="X11" s="8" t="s">
        <v>22</v>
      </c>
      <c r="Y11" s="8" t="s">
        <v>22</v>
      </c>
      <c r="Z11" s="8" t="s">
        <v>22</v>
      </c>
      <c r="AA11" s="13" t="s">
        <v>22</v>
      </c>
      <c r="AB11" s="26" t="s">
        <v>89</v>
      </c>
      <c r="AC11" s="12"/>
      <c r="AD11" s="12"/>
      <c r="AE11" s="344"/>
      <c r="AF11" s="295"/>
      <c r="AG11" s="295"/>
      <c r="AH11" s="171"/>
      <c r="AI11" s="62"/>
      <c r="AJ11" s="5"/>
      <c r="AK11" s="8"/>
      <c r="AL11" s="8"/>
      <c r="AM11" s="8"/>
      <c r="AN11" s="349"/>
      <c r="AO11" s="13"/>
      <c r="AP11" s="14"/>
      <c r="AQ11" s="12"/>
      <c r="AR11" s="36"/>
      <c r="AS11" s="36"/>
      <c r="AT11" s="173"/>
      <c r="AU11" s="173"/>
      <c r="AV11" s="173"/>
      <c r="AW11" s="172"/>
      <c r="AX11" s="12"/>
      <c r="AY11" s="12"/>
      <c r="AZ11" s="169"/>
      <c r="BA11" s="387" t="s">
        <v>22</v>
      </c>
      <c r="BB11" s="35"/>
      <c r="BC11" s="547"/>
      <c r="BE11" s="562"/>
      <c r="BF11" s="568"/>
      <c r="BG11" s="568"/>
      <c r="BH11" s="570"/>
      <c r="BI11" s="570"/>
    </row>
    <row r="12" spans="1:61" ht="12.95" customHeight="1">
      <c r="A12" s="141" t="s">
        <v>31</v>
      </c>
      <c r="B12" s="98"/>
      <c r="C12" s="55"/>
      <c r="D12" s="55"/>
      <c r="E12" s="55"/>
      <c r="F12" s="99"/>
      <c r="G12" s="55"/>
      <c r="H12" s="45"/>
      <c r="I12" s="55"/>
      <c r="J12" s="55"/>
      <c r="K12" s="55"/>
      <c r="L12" s="55"/>
      <c r="M12" s="100"/>
      <c r="N12" s="55"/>
      <c r="O12" s="55"/>
      <c r="P12" s="39"/>
      <c r="Q12" s="55"/>
      <c r="R12" s="55"/>
      <c r="S12" s="55"/>
      <c r="T12" s="55"/>
      <c r="U12" s="126"/>
      <c r="V12" s="55"/>
      <c r="W12" s="55"/>
      <c r="X12" s="55"/>
      <c r="Y12" s="55"/>
      <c r="Z12" s="42"/>
      <c r="AA12" s="55"/>
      <c r="AB12" s="42"/>
      <c r="AC12" s="42"/>
      <c r="AD12" s="55"/>
      <c r="AE12" s="55"/>
      <c r="AF12" s="100"/>
      <c r="AG12" s="101"/>
      <c r="AH12" s="55"/>
      <c r="AI12" s="55"/>
      <c r="AJ12" s="128"/>
      <c r="AK12" s="55"/>
      <c r="AL12" s="55"/>
      <c r="AM12" s="55"/>
      <c r="AN12" s="134"/>
      <c r="AO12" s="180"/>
      <c r="AP12" s="42"/>
      <c r="AQ12" s="56"/>
      <c r="AW12" s="102"/>
      <c r="AX12" s="45"/>
      <c r="AY12" s="45"/>
      <c r="AZ12" s="103"/>
      <c r="BA12" s="388"/>
      <c r="BB12" s="55"/>
      <c r="BC12" s="444"/>
      <c r="BF12" s="489"/>
      <c r="BG12" s="489"/>
      <c r="BH12" s="505"/>
      <c r="BI12" s="505"/>
    </row>
    <row r="13" spans="1:61" s="3" customFormat="1" ht="12.95" customHeight="1">
      <c r="A13" s="175" t="s">
        <v>32</v>
      </c>
      <c r="B13" s="104">
        <f>NOV!B44</f>
        <v>6901.39</v>
      </c>
      <c r="C13" s="55">
        <f>NOV!C44</f>
        <v>288738</v>
      </c>
      <c r="D13" s="55">
        <f>NOV!D53</f>
        <v>-2954</v>
      </c>
      <c r="E13" s="55">
        <f>NOV!E53</f>
        <v>136738</v>
      </c>
      <c r="F13" s="99">
        <f>NOV!F52</f>
        <v>-1489.2866145702046</v>
      </c>
      <c r="G13" s="55">
        <f>NOV!G52</f>
        <v>1189.2999999999997</v>
      </c>
      <c r="H13" s="45">
        <f>NOV!H52</f>
        <v>0</v>
      </c>
      <c r="I13" s="55">
        <f>NOV!I52</f>
        <v>1189.2999999999997</v>
      </c>
      <c r="J13" s="55">
        <f>NOV!J52</f>
        <v>381.78311066296948</v>
      </c>
      <c r="K13" s="55">
        <f>NOV!K52</f>
        <v>1571.0831106629696</v>
      </c>
      <c r="L13" s="55">
        <f>NOV!L52</f>
        <v>-137.78661457020405</v>
      </c>
      <c r="M13" s="100">
        <f>NOV!M52</f>
        <v>114.8</v>
      </c>
      <c r="N13" s="55">
        <f>NOV!N52</f>
        <v>0</v>
      </c>
      <c r="O13" s="55">
        <f>NOV!O52</f>
        <v>0</v>
      </c>
      <c r="P13" s="55">
        <f>NOV!P52</f>
        <v>0</v>
      </c>
      <c r="Q13" s="55">
        <f>NOV!Q52</f>
        <v>50.301394711345729</v>
      </c>
      <c r="R13" s="55">
        <f>NOV!R52</f>
        <v>0</v>
      </c>
      <c r="S13" s="246">
        <f>NOV!S52</f>
        <v>53.078891839999997</v>
      </c>
      <c r="T13" s="246">
        <f>NOV!T52</f>
        <v>16.705108160000002</v>
      </c>
      <c r="U13" s="247">
        <f>NOV!U52</f>
        <v>-5.2853947113457247</v>
      </c>
      <c r="V13" s="55">
        <f>NOV!V52</f>
        <v>1242</v>
      </c>
      <c r="W13" s="55">
        <f>NOV!W52</f>
        <v>0</v>
      </c>
      <c r="X13" s="55">
        <f>NOV!X52</f>
        <v>1242</v>
      </c>
      <c r="Y13" s="55">
        <f>NOV!Y52</f>
        <v>1242</v>
      </c>
      <c r="Z13" s="42"/>
      <c r="AA13" s="55"/>
      <c r="AB13" s="42"/>
      <c r="AC13" s="55">
        <f>NOV!AC52</f>
        <v>0</v>
      </c>
      <c r="AD13" s="55"/>
      <c r="AE13" s="55"/>
      <c r="AF13" s="100"/>
      <c r="AG13" s="101"/>
      <c r="AH13" s="55">
        <f>NOV!AH52</f>
        <v>1184</v>
      </c>
      <c r="AI13" s="55">
        <f>NOV!AI52</f>
        <v>5272.1578774893114</v>
      </c>
      <c r="AJ13" s="55"/>
      <c r="AK13" s="55">
        <f>NOV!AK52</f>
        <v>2540.7999999999997</v>
      </c>
      <c r="AL13" s="55">
        <f>NOV!AL52</f>
        <v>519.56972523317359</v>
      </c>
      <c r="AM13" s="55">
        <f>NOV!AM52</f>
        <v>3060.3697252331726</v>
      </c>
      <c r="AN13" s="134">
        <f>NOV!AN52</f>
        <v>1242</v>
      </c>
      <c r="AO13" s="180">
        <f>NOV!AO52</f>
        <v>-103.0013947113456</v>
      </c>
      <c r="AP13" s="42">
        <f>NOV!AP52</f>
        <v>0</v>
      </c>
      <c r="AQ13" s="55"/>
      <c r="AR13" s="49"/>
      <c r="AS13" s="49"/>
      <c r="AT13" s="49"/>
      <c r="AU13" s="49"/>
      <c r="AV13" s="49"/>
      <c r="AW13" s="102">
        <f>NOV!AW52</f>
        <v>1.2600000000000002</v>
      </c>
      <c r="AX13" s="45"/>
      <c r="AY13" s="45"/>
      <c r="AZ13" s="103"/>
      <c r="BA13" s="376">
        <f>NOV!BA52</f>
        <v>114.8</v>
      </c>
      <c r="BB13" s="55">
        <f>NOV!BB52</f>
        <v>28.307999999999989</v>
      </c>
      <c r="BC13" s="548"/>
      <c r="BE13" s="571"/>
      <c r="BF13" s="559"/>
      <c r="BG13" s="559"/>
      <c r="BH13" s="490">
        <f>NOV!BH46</f>
        <v>735.86686290322587</v>
      </c>
      <c r="BI13" s="490">
        <f>NOV!BI46</f>
        <v>448.13313709677413</v>
      </c>
    </row>
    <row r="14" spans="1:61" ht="3" customHeight="1">
      <c r="A14" s="54"/>
      <c r="B14" s="105"/>
      <c r="C14" s="57"/>
      <c r="D14" s="59"/>
      <c r="E14" s="57"/>
      <c r="F14" s="106"/>
      <c r="G14" s="59"/>
      <c r="H14" s="107"/>
      <c r="I14" s="59"/>
      <c r="J14" s="59"/>
      <c r="K14" s="59"/>
      <c r="L14" s="59"/>
      <c r="M14" s="108"/>
      <c r="N14" s="59"/>
      <c r="O14" s="59"/>
      <c r="P14" s="40"/>
      <c r="Q14" s="59"/>
      <c r="R14" s="59"/>
      <c r="S14" s="59"/>
      <c r="T14" s="59"/>
      <c r="U14" s="130"/>
      <c r="V14" s="108"/>
      <c r="W14" s="59"/>
      <c r="X14" s="59"/>
      <c r="Y14" s="59"/>
      <c r="Z14" s="41"/>
      <c r="AA14" s="59"/>
      <c r="AB14" s="59"/>
      <c r="AC14" s="59"/>
      <c r="AD14" s="57"/>
      <c r="AE14" s="59"/>
      <c r="AF14" s="108"/>
      <c r="AG14" s="109"/>
      <c r="AH14" s="59"/>
      <c r="AI14" s="57"/>
      <c r="AJ14" s="57"/>
      <c r="AK14" s="59"/>
      <c r="AL14" s="59"/>
      <c r="AM14" s="59"/>
      <c r="AN14" s="59"/>
      <c r="AO14" s="185"/>
      <c r="AP14" s="41"/>
      <c r="AQ14" s="44"/>
      <c r="AR14" s="88"/>
      <c r="AS14" s="88"/>
      <c r="AT14" s="88"/>
      <c r="AU14" s="88"/>
      <c r="AV14" s="44"/>
      <c r="AW14" s="110"/>
      <c r="AX14" s="44"/>
      <c r="AY14" s="44"/>
      <c r="AZ14" s="44"/>
      <c r="BA14" s="44"/>
      <c r="BB14" s="44"/>
      <c r="BC14" s="44"/>
      <c r="BE14" s="572"/>
      <c r="BF14" s="572"/>
      <c r="BG14" s="572"/>
      <c r="BH14" s="573"/>
      <c r="BI14" s="573"/>
    </row>
    <row r="15" spans="1:61" ht="12.95" customHeight="1">
      <c r="A15" s="48">
        <v>1</v>
      </c>
      <c r="B15" s="104">
        <v>6901.39</v>
      </c>
      <c r="C15" s="483">
        <f>IF(B15="",C13,VLOOKUP(TRUNC(B15,1),VLOOKUP!$A$3:$K$2834,RIGHT(TEXT(B15,"0000.00"),1)+2,FALSE))</f>
        <v>288738</v>
      </c>
      <c r="D15" s="45">
        <f>C15-C13</f>
        <v>0</v>
      </c>
      <c r="E15" s="55">
        <f t="shared" ref="E15:E45" si="0">C15-152000</f>
        <v>136738</v>
      </c>
      <c r="F15" s="112">
        <f t="shared" ref="F15:F45" si="1">D15/$D$2</f>
        <v>0</v>
      </c>
      <c r="G15" s="627">
        <v>17.7</v>
      </c>
      <c r="H15" s="113">
        <v>0</v>
      </c>
      <c r="I15" s="47">
        <f>G15+H15</f>
        <v>17.7</v>
      </c>
      <c r="J15" s="42">
        <f>IF(L15&gt;0,L15,0)</f>
        <v>25.8</v>
      </c>
      <c r="K15" s="47">
        <f t="shared" ref="K15:K45" si="2">I15+J15</f>
        <v>43.5</v>
      </c>
      <c r="L15" s="47">
        <f>IF(G15="",0,F15-(I15-AK15))</f>
        <v>25.8</v>
      </c>
      <c r="M15" s="114">
        <v>3.5</v>
      </c>
      <c r="N15" s="627">
        <v>0</v>
      </c>
      <c r="O15" s="47">
        <f>0*1.05</f>
        <v>0</v>
      </c>
      <c r="P15" s="39">
        <v>0</v>
      </c>
      <c r="Q15" s="73">
        <f>1036000/325851/1.9835*1.02</f>
        <v>1.634965768565652</v>
      </c>
      <c r="R15" s="73">
        <v>0</v>
      </c>
      <c r="S15" s="73">
        <f>IF(((2*1.04)-T15)&gt;=4.2,4.2,(2*1.04)-T15)</f>
        <v>1.61765344</v>
      </c>
      <c r="T15" s="73">
        <f>(0.4194*1.06)*1.04</f>
        <v>0.46234656000000002</v>
      </c>
      <c r="U15" s="243">
        <f>M15-(Q15+R15+S15+T15)</f>
        <v>-0.21496576856565186</v>
      </c>
      <c r="V15" s="47">
        <v>0</v>
      </c>
      <c r="W15" s="47">
        <v>0</v>
      </c>
      <c r="X15" s="47">
        <f t="shared" ref="X15:X45" si="3">MAX(0,M15-N15-P15-O15-Q15-R15-S15-T15-U15+V15+W15-AU15+AS15)</f>
        <v>0</v>
      </c>
      <c r="Y15" s="47">
        <f t="shared" ref="Y15:Y45" si="4">X15-AP15</f>
        <v>0</v>
      </c>
      <c r="Z15" s="42"/>
      <c r="AA15" s="47"/>
      <c r="AB15" s="42"/>
      <c r="AC15" s="42"/>
      <c r="AD15" s="55"/>
      <c r="AE15" s="47">
        <v>0</v>
      </c>
      <c r="AF15" s="114"/>
      <c r="AG15" s="212"/>
      <c r="AH15" s="47">
        <v>40</v>
      </c>
      <c r="AI15" s="55">
        <f>AI13-AH15</f>
        <v>5232.1578774893114</v>
      </c>
      <c r="AJ15" s="55"/>
      <c r="AK15" s="74">
        <f>N15+O15+P15+Q15+R15+S15+T15+U15+X15+AE15+AH15</f>
        <v>43.5</v>
      </c>
      <c r="AL15" s="47">
        <f>IF(L15&lt;0,L15*-1,0)</f>
        <v>0</v>
      </c>
      <c r="AM15" s="47">
        <f t="shared" ref="AM15:AM45" si="5">AK15+AL15</f>
        <v>43.5</v>
      </c>
      <c r="AN15" s="203"/>
      <c r="AO15" s="618">
        <f t="shared" ref="AO15:AO45" si="6">IF(G15="","",IF(I15&gt;=795,795-X15,I15-Q15-R15-X15-AF15)-AJ15)</f>
        <v>16.065034231434346</v>
      </c>
      <c r="AP15" s="42"/>
      <c r="AQ15" s="56"/>
      <c r="AW15" s="615">
        <v>0</v>
      </c>
      <c r="AX15" s="45">
        <v>40</v>
      </c>
      <c r="AY15" s="45">
        <v>11</v>
      </c>
      <c r="AZ15" s="103"/>
      <c r="BA15" s="385">
        <f t="shared" ref="BA15:BA45" si="7">SUM(N15,P15:U15)</f>
        <v>3.5</v>
      </c>
      <c r="BB15" s="60">
        <v>0.48699999999999999</v>
      </c>
      <c r="BC15" s="407">
        <v>15855</v>
      </c>
      <c r="BE15" s="574">
        <v>1</v>
      </c>
      <c r="BF15" s="559">
        <v>6901.39</v>
      </c>
      <c r="BG15" s="575">
        <f t="shared" ref="BG15:BG45" si="8">B15-BF15</f>
        <v>0</v>
      </c>
      <c r="BH15" s="576">
        <v>27.895833333333353</v>
      </c>
      <c r="BI15" s="576">
        <f t="shared" ref="BI15:BI45" si="9">AH15-BH15</f>
        <v>12.104166666666647</v>
      </c>
    </row>
    <row r="16" spans="1:61" ht="12.95" customHeight="1">
      <c r="A16" s="48">
        <f t="shared" ref="A16:A43" si="10">A15+1</f>
        <v>2</v>
      </c>
      <c r="B16" s="104">
        <v>6901.39</v>
      </c>
      <c r="C16" s="483">
        <f>IF(B16="",C15,VLOOKUP(TRUNC(B16,1),VLOOKUP!$A$3:$K$2834,RIGHT(TEXT(B16,"0000.00"),1)+2,FALSE))</f>
        <v>288738</v>
      </c>
      <c r="D16" s="45">
        <f t="shared" ref="D16:D45" si="11">C16-C15</f>
        <v>0</v>
      </c>
      <c r="E16" s="55">
        <f t="shared" si="0"/>
        <v>136738</v>
      </c>
      <c r="F16" s="112">
        <f t="shared" si="1"/>
        <v>0</v>
      </c>
      <c r="G16" s="47">
        <v>20.8</v>
      </c>
      <c r="H16" s="113">
        <v>0</v>
      </c>
      <c r="I16" s="47">
        <f t="shared" ref="I16:I45" si="12">G16+H16</f>
        <v>20.8</v>
      </c>
      <c r="J16" s="42">
        <f t="shared" ref="J16:J45" si="13">IF(L16&gt;0,L16,0)</f>
        <v>22.2</v>
      </c>
      <c r="K16" s="47">
        <f t="shared" si="2"/>
        <v>43</v>
      </c>
      <c r="L16" s="47">
        <f t="shared" ref="L16:L45" si="14">IF(G16="",0,F16-(I16-AK16))</f>
        <v>22.2</v>
      </c>
      <c r="M16" s="114">
        <v>3</v>
      </c>
      <c r="N16" s="47">
        <v>0</v>
      </c>
      <c r="O16" s="47">
        <f t="shared" ref="O16:O45" si="15">0*1.05</f>
        <v>0</v>
      </c>
      <c r="P16" s="39">
        <v>0</v>
      </c>
      <c r="Q16" s="73">
        <f>1067500/325851/1.9835*1.02</f>
        <v>1.6846775655828512</v>
      </c>
      <c r="R16" s="73">
        <v>0</v>
      </c>
      <c r="S16" s="73">
        <f>IF(((2*1.04)-T16)&gt;=4.2,4.2,(2*1.04)-T16)</f>
        <v>1.61765344</v>
      </c>
      <c r="T16" s="73">
        <f t="shared" ref="T16:T19" si="16">(0.4194*1.06)*1.04</f>
        <v>0.46234656000000002</v>
      </c>
      <c r="U16" s="243">
        <f t="shared" ref="U16:U45" si="17">M16-(Q16+R16+S16+T16)</f>
        <v>-0.76467756558285105</v>
      </c>
      <c r="V16" s="47">
        <v>0</v>
      </c>
      <c r="W16" s="47">
        <v>0</v>
      </c>
      <c r="X16" s="47">
        <f t="shared" si="3"/>
        <v>0</v>
      </c>
      <c r="Y16" s="47">
        <f t="shared" si="4"/>
        <v>0</v>
      </c>
      <c r="Z16" s="42"/>
      <c r="AA16" s="47"/>
      <c r="AB16" s="42"/>
      <c r="AC16" s="42"/>
      <c r="AD16" s="55"/>
      <c r="AE16" s="47">
        <v>0</v>
      </c>
      <c r="AF16" s="114"/>
      <c r="AG16" s="212"/>
      <c r="AH16" s="47">
        <v>40</v>
      </c>
      <c r="AI16" s="55">
        <f>AI15-AH16</f>
        <v>5192.1578774893114</v>
      </c>
      <c r="AJ16" s="55"/>
      <c r="AK16" s="74">
        <f t="shared" ref="AK16:AK45" si="18">N16+O16+P16+Q16+R16+S16+T16+U16+X16+AE16+AH16</f>
        <v>43</v>
      </c>
      <c r="AL16" s="47">
        <f t="shared" ref="AL16:AL45" si="19">IF(L16&lt;0,L16*-1,0)</f>
        <v>0</v>
      </c>
      <c r="AM16" s="47">
        <f t="shared" si="5"/>
        <v>43</v>
      </c>
      <c r="AN16" s="203"/>
      <c r="AO16" s="618">
        <f t="shared" si="6"/>
        <v>19.115322434417148</v>
      </c>
      <c r="AP16" s="42"/>
      <c r="AQ16" s="56"/>
      <c r="AW16" s="615">
        <v>0</v>
      </c>
      <c r="AX16" s="45">
        <v>51</v>
      </c>
      <c r="AY16" s="45">
        <v>22</v>
      </c>
      <c r="AZ16" s="103"/>
      <c r="BA16" s="385">
        <f t="shared" si="7"/>
        <v>3</v>
      </c>
      <c r="BB16" s="60">
        <v>0.48699999999999999</v>
      </c>
      <c r="BC16" s="407">
        <v>15855</v>
      </c>
      <c r="BE16" s="574">
        <f t="shared" ref="BE16:BE45" si="20">BE15+1</f>
        <v>2</v>
      </c>
      <c r="BF16" s="559">
        <v>6901.39</v>
      </c>
      <c r="BG16" s="575">
        <f t="shared" si="8"/>
        <v>0</v>
      </c>
      <c r="BH16" s="576">
        <v>27.595833333333346</v>
      </c>
      <c r="BI16" s="576">
        <f t="shared" si="9"/>
        <v>12.404166666666654</v>
      </c>
    </row>
    <row r="17" spans="1:61" ht="12.95" customHeight="1">
      <c r="A17" s="48">
        <f t="shared" si="10"/>
        <v>3</v>
      </c>
      <c r="B17" s="104">
        <v>6901.4</v>
      </c>
      <c r="C17" s="483">
        <f>IF(B17="",C16,VLOOKUP(TRUNC(B17,1),VLOOKUP!$A$3:$K$2834,RIGHT(TEXT(B17,"0000.00"),1)+2,FALSE))</f>
        <v>288775</v>
      </c>
      <c r="D17" s="45">
        <f t="shared" si="11"/>
        <v>37</v>
      </c>
      <c r="E17" s="55">
        <f t="shared" si="0"/>
        <v>136775</v>
      </c>
      <c r="F17" s="112">
        <f t="shared" si="1"/>
        <v>18.653894630703302</v>
      </c>
      <c r="G17" s="47">
        <v>30.4</v>
      </c>
      <c r="H17" s="113">
        <v>0</v>
      </c>
      <c r="I17" s="47">
        <f t="shared" si="12"/>
        <v>30.4</v>
      </c>
      <c r="J17" s="42">
        <f t="shared" si="13"/>
        <v>31.753894630703304</v>
      </c>
      <c r="K17" s="47">
        <f t="shared" si="2"/>
        <v>62.153894630703306</v>
      </c>
      <c r="L17" s="47">
        <f t="shared" si="14"/>
        <v>31.753894630703304</v>
      </c>
      <c r="M17" s="114">
        <v>3.5</v>
      </c>
      <c r="N17" s="47">
        <v>0</v>
      </c>
      <c r="O17" s="47">
        <f t="shared" si="15"/>
        <v>0</v>
      </c>
      <c r="P17" s="39">
        <v>0</v>
      </c>
      <c r="Q17" s="73">
        <f>1114600/325851/1.9835*1.02</f>
        <v>1.7590085382657104</v>
      </c>
      <c r="R17" s="73">
        <v>0</v>
      </c>
      <c r="S17" s="73">
        <f>IF(((2.1*1.04)-T17)&gt;=4.2,4.2,(2.1*1.04)-T17)</f>
        <v>1.7216534400000001</v>
      </c>
      <c r="T17" s="73">
        <f t="shared" si="16"/>
        <v>0.46234656000000002</v>
      </c>
      <c r="U17" s="243">
        <f>M17-(Q17+R17+S17+T17)</f>
        <v>-0.44300853826571052</v>
      </c>
      <c r="V17" s="47">
        <v>0</v>
      </c>
      <c r="W17" s="47">
        <v>0</v>
      </c>
      <c r="X17" s="47">
        <f t="shared" si="3"/>
        <v>5.5511151231257827E-17</v>
      </c>
      <c r="Y17" s="47">
        <f t="shared" si="4"/>
        <v>5.5511151231257827E-17</v>
      </c>
      <c r="Z17" s="42"/>
      <c r="AA17" s="47"/>
      <c r="AB17" s="42"/>
      <c r="AC17" s="42"/>
      <c r="AD17" s="55"/>
      <c r="AE17" s="47">
        <v>0</v>
      </c>
      <c r="AF17" s="114"/>
      <c r="AG17" s="212"/>
      <c r="AH17" s="47">
        <v>40</v>
      </c>
      <c r="AI17" s="55">
        <f t="shared" ref="AI17:AI45" si="21">AI16-AH17</f>
        <v>5152.1578774893114</v>
      </c>
      <c r="AJ17" s="55"/>
      <c r="AK17" s="74">
        <f>N17+O17+P17+Q17+R17+S17+T17+U17+X17+AE17+AH17</f>
        <v>43.5</v>
      </c>
      <c r="AL17" s="47">
        <f t="shared" si="19"/>
        <v>0</v>
      </c>
      <c r="AM17" s="47">
        <f t="shared" si="5"/>
        <v>43.5</v>
      </c>
      <c r="AN17" s="203"/>
      <c r="AO17" s="618">
        <f t="shared" si="6"/>
        <v>28.640991461734288</v>
      </c>
      <c r="AP17" s="42"/>
      <c r="AQ17" s="56"/>
      <c r="AW17" s="615">
        <v>0</v>
      </c>
      <c r="AX17" s="45">
        <v>50</v>
      </c>
      <c r="AY17" s="45">
        <v>27</v>
      </c>
      <c r="AZ17" s="103"/>
      <c r="BA17" s="385">
        <f t="shared" si="7"/>
        <v>3.5</v>
      </c>
      <c r="BB17" s="60">
        <v>0.53100000000000003</v>
      </c>
      <c r="BC17" s="407">
        <v>15853</v>
      </c>
      <c r="BE17" s="574">
        <f t="shared" si="20"/>
        <v>3</v>
      </c>
      <c r="BF17" s="559">
        <v>6901.39</v>
      </c>
      <c r="BG17" s="575">
        <f t="shared" si="8"/>
        <v>9.999999999308784E-3</v>
      </c>
      <c r="BH17" s="576">
        <v>27.74375000000002</v>
      </c>
      <c r="BI17" s="576">
        <f t="shared" si="9"/>
        <v>12.25624999999998</v>
      </c>
    </row>
    <row r="18" spans="1:61" ht="12.95" customHeight="1">
      <c r="A18" s="48">
        <f t="shared" si="10"/>
        <v>4</v>
      </c>
      <c r="B18" s="104">
        <v>6901.4</v>
      </c>
      <c r="C18" s="483">
        <f>IF(B18="",C17,VLOOKUP(TRUNC(B18,1),VLOOKUP!$A$3:$K$2834,RIGHT(TEXT(B18,"0000.00"),1)+2,FALSE))</f>
        <v>288775</v>
      </c>
      <c r="D18" s="45">
        <f t="shared" si="11"/>
        <v>0</v>
      </c>
      <c r="E18" s="55">
        <f t="shared" si="0"/>
        <v>136775</v>
      </c>
      <c r="F18" s="112">
        <f t="shared" si="1"/>
        <v>0</v>
      </c>
      <c r="G18" s="47">
        <v>33.5</v>
      </c>
      <c r="H18" s="113">
        <v>0</v>
      </c>
      <c r="I18" s="47">
        <f t="shared" si="12"/>
        <v>33.5</v>
      </c>
      <c r="J18" s="42">
        <f t="shared" si="13"/>
        <v>10.200000000000003</v>
      </c>
      <c r="K18" s="47">
        <f t="shared" si="2"/>
        <v>43.7</v>
      </c>
      <c r="L18" s="47">
        <f t="shared" si="14"/>
        <v>10.200000000000003</v>
      </c>
      <c r="M18" s="114">
        <v>3.7</v>
      </c>
      <c r="N18" s="47">
        <v>0</v>
      </c>
      <c r="O18" s="47">
        <f t="shared" si="15"/>
        <v>0</v>
      </c>
      <c r="P18" s="39">
        <v>0</v>
      </c>
      <c r="Q18" s="73">
        <f>1098200/325851/1.9835*1.02</f>
        <v>1.7331268407710418</v>
      </c>
      <c r="R18" s="73">
        <v>0</v>
      </c>
      <c r="S18" s="73">
        <f>IF(((2.2*1.04)-T18)&gt;=4.2,4.2,(2.2*1.04)-T18)</f>
        <v>1.8256534400000002</v>
      </c>
      <c r="T18" s="73">
        <f t="shared" si="16"/>
        <v>0.46234656000000002</v>
      </c>
      <c r="U18" s="243">
        <f>M18-(Q18+R18+S18+T18)</f>
        <v>-0.3211268407710417</v>
      </c>
      <c r="V18" s="47">
        <v>0</v>
      </c>
      <c r="W18" s="47">
        <v>0</v>
      </c>
      <c r="X18" s="47">
        <f t="shared" si="3"/>
        <v>0</v>
      </c>
      <c r="Y18" s="47">
        <f t="shared" si="4"/>
        <v>0</v>
      </c>
      <c r="Z18" s="42"/>
      <c r="AA18" s="47"/>
      <c r="AB18" s="42"/>
      <c r="AC18" s="42"/>
      <c r="AD18" s="55"/>
      <c r="AE18" s="47">
        <v>0</v>
      </c>
      <c r="AF18" s="114"/>
      <c r="AG18" s="212"/>
      <c r="AH18" s="47">
        <v>40</v>
      </c>
      <c r="AI18" s="55">
        <f t="shared" si="21"/>
        <v>5112.1578774893114</v>
      </c>
      <c r="AJ18" s="55"/>
      <c r="AK18" s="74">
        <f>N18+O18+P18+Q18+R18+S18+T18+U18+X18+AE18+AH18</f>
        <v>43.7</v>
      </c>
      <c r="AL18" s="47">
        <f t="shared" si="19"/>
        <v>0</v>
      </c>
      <c r="AM18" s="47">
        <f t="shared" si="5"/>
        <v>43.7</v>
      </c>
      <c r="AN18" s="203"/>
      <c r="AO18" s="618">
        <f t="shared" si="6"/>
        <v>31.766873159228957</v>
      </c>
      <c r="AP18" s="42"/>
      <c r="AQ18" s="56"/>
      <c r="AW18" s="615">
        <v>0</v>
      </c>
      <c r="AX18" s="45">
        <v>53</v>
      </c>
      <c r="AY18" s="45">
        <v>30</v>
      </c>
      <c r="AZ18" s="103"/>
      <c r="BA18" s="385">
        <f t="shared" si="7"/>
        <v>3.7</v>
      </c>
      <c r="BB18" s="60">
        <v>0.71599999999999997</v>
      </c>
      <c r="BC18" s="407">
        <v>15854</v>
      </c>
      <c r="BE18" s="574">
        <f t="shared" si="20"/>
        <v>4</v>
      </c>
      <c r="BF18" s="559">
        <v>6901.4</v>
      </c>
      <c r="BG18" s="575">
        <f t="shared" si="8"/>
        <v>0</v>
      </c>
      <c r="BH18" s="576">
        <v>26.971717171717188</v>
      </c>
      <c r="BI18" s="576">
        <f t="shared" si="9"/>
        <v>13.028282828282812</v>
      </c>
    </row>
    <row r="19" spans="1:61" ht="12.95" customHeight="1">
      <c r="A19" s="48">
        <f t="shared" si="10"/>
        <v>5</v>
      </c>
      <c r="B19" s="104">
        <v>6901.41</v>
      </c>
      <c r="C19" s="483">
        <f>IF(B19="",C18,VLOOKUP(TRUNC(B19,1),VLOOKUP!$A$3:$K$2834,RIGHT(TEXT(B19,"0000.00"),1)+2,FALSE))</f>
        <v>288812</v>
      </c>
      <c r="D19" s="45">
        <f t="shared" si="11"/>
        <v>37</v>
      </c>
      <c r="E19" s="55">
        <f t="shared" si="0"/>
        <v>136812</v>
      </c>
      <c r="F19" s="112">
        <f t="shared" si="1"/>
        <v>18.653894630703302</v>
      </c>
      <c r="G19" s="47">
        <v>33.299999999999997</v>
      </c>
      <c r="H19" s="113">
        <v>0</v>
      </c>
      <c r="I19" s="47">
        <f t="shared" si="12"/>
        <v>33.299999999999997</v>
      </c>
      <c r="J19" s="42">
        <f t="shared" si="13"/>
        <v>27.953894630703306</v>
      </c>
      <c r="K19" s="47">
        <f t="shared" si="2"/>
        <v>61.2538946307033</v>
      </c>
      <c r="L19" s="47">
        <f t="shared" si="14"/>
        <v>27.953894630703306</v>
      </c>
      <c r="M19" s="114">
        <v>2.6</v>
      </c>
      <c r="N19" s="47">
        <v>0</v>
      </c>
      <c r="O19" s="47">
        <f t="shared" si="15"/>
        <v>0</v>
      </c>
      <c r="P19" s="39">
        <v>0</v>
      </c>
      <c r="Q19" s="73">
        <f>985900/325851/1.9835*1.02</f>
        <v>1.555900339024012</v>
      </c>
      <c r="R19" s="73">
        <v>0</v>
      </c>
      <c r="S19" s="73">
        <f>IF(((1.5*1.04)-T19)&gt;=4.2,4.2,(1.5*1.04)-T19)</f>
        <v>1.09765344</v>
      </c>
      <c r="T19" s="73">
        <f t="shared" si="16"/>
        <v>0.46234656000000002</v>
      </c>
      <c r="U19" s="243">
        <f t="shared" si="17"/>
        <v>-0.51590033902401178</v>
      </c>
      <c r="V19" s="47">
        <v>0</v>
      </c>
      <c r="W19" s="47">
        <v>0</v>
      </c>
      <c r="X19" s="47">
        <f t="shared" si="3"/>
        <v>0</v>
      </c>
      <c r="Y19" s="47">
        <f t="shared" si="4"/>
        <v>0</v>
      </c>
      <c r="Z19" s="42"/>
      <c r="AA19" s="47"/>
      <c r="AB19" s="42"/>
      <c r="AC19" s="42"/>
      <c r="AD19" s="55"/>
      <c r="AE19" s="47">
        <v>0</v>
      </c>
      <c r="AF19" s="114"/>
      <c r="AG19" s="212"/>
      <c r="AH19" s="47">
        <v>40</v>
      </c>
      <c r="AI19" s="55">
        <f t="shared" si="21"/>
        <v>5072.1578774893114</v>
      </c>
      <c r="AJ19" s="55"/>
      <c r="AK19" s="74">
        <f t="shared" si="18"/>
        <v>42.6</v>
      </c>
      <c r="AL19" s="47">
        <f t="shared" si="19"/>
        <v>0</v>
      </c>
      <c r="AM19" s="47">
        <f t="shared" si="5"/>
        <v>42.6</v>
      </c>
      <c r="AN19" s="203"/>
      <c r="AO19" s="618">
        <f t="shared" si="6"/>
        <v>31.744099660975984</v>
      </c>
      <c r="AP19" s="42"/>
      <c r="AQ19" s="56"/>
      <c r="AW19" s="615">
        <v>0.12</v>
      </c>
      <c r="AX19" s="45">
        <v>44</v>
      </c>
      <c r="AY19" s="45">
        <v>30</v>
      </c>
      <c r="AZ19" s="103"/>
      <c r="BA19" s="385">
        <f t="shared" si="7"/>
        <v>2.6</v>
      </c>
      <c r="BB19" s="60">
        <v>0.81299999999999994</v>
      </c>
      <c r="BC19" s="407">
        <v>15868</v>
      </c>
      <c r="BE19" s="574">
        <f t="shared" si="20"/>
        <v>5</v>
      </c>
      <c r="BF19" s="559">
        <v>6901.45</v>
      </c>
      <c r="BG19" s="575">
        <f t="shared" si="8"/>
        <v>-3.999999999996362E-2</v>
      </c>
      <c r="BH19" s="576">
        <v>27.898958333333354</v>
      </c>
      <c r="BI19" s="576">
        <f t="shared" si="9"/>
        <v>12.101041666666646</v>
      </c>
    </row>
    <row r="20" spans="1:61" ht="12.95" customHeight="1">
      <c r="A20" s="48">
        <f t="shared" si="10"/>
        <v>6</v>
      </c>
      <c r="B20" s="104">
        <v>6901.43</v>
      </c>
      <c r="C20" s="483">
        <f>IF(B20="",C19,VLOOKUP(TRUNC(B20,1),VLOOKUP!$A$3:$K$2834,RIGHT(TEXT(B20,"0000.00"),1)+2,FALSE))</f>
        <v>288887</v>
      </c>
      <c r="D20" s="45">
        <f t="shared" si="11"/>
        <v>75</v>
      </c>
      <c r="E20" s="55">
        <f t="shared" si="0"/>
        <v>136887</v>
      </c>
      <c r="F20" s="112">
        <f t="shared" si="1"/>
        <v>37.811948575749938</v>
      </c>
      <c r="G20" s="47">
        <v>28.8</v>
      </c>
      <c r="H20" s="113">
        <v>0</v>
      </c>
      <c r="I20" s="47">
        <f>G20+H20</f>
        <v>28.8</v>
      </c>
      <c r="J20" s="42">
        <f t="shared" si="13"/>
        <v>51.911948575749932</v>
      </c>
      <c r="K20" s="47">
        <f t="shared" si="2"/>
        <v>80.711948575749929</v>
      </c>
      <c r="L20" s="47">
        <f t="shared" si="14"/>
        <v>51.911948575749932</v>
      </c>
      <c r="M20" s="114">
        <v>2.9</v>
      </c>
      <c r="N20" s="47">
        <v>0</v>
      </c>
      <c r="O20" s="47">
        <f t="shared" si="15"/>
        <v>0</v>
      </c>
      <c r="P20" s="39">
        <v>0</v>
      </c>
      <c r="Q20" s="73">
        <f>1022800/325851/1.9835*1.02</f>
        <v>1.6141341583870163</v>
      </c>
      <c r="R20" s="73">
        <v>0</v>
      </c>
      <c r="S20" s="73">
        <f>IF(((1.8*1.04)-T20)&gt;=4.2,4.2,(1.8*1.04)-T20)</f>
        <v>1.3055868799999999</v>
      </c>
      <c r="T20" s="73">
        <f>(0.5138*1.06)*1.04</f>
        <v>0.5664131200000001</v>
      </c>
      <c r="U20" s="243">
        <f t="shared" si="17"/>
        <v>-0.58613415838701632</v>
      </c>
      <c r="V20" s="47">
        <v>0</v>
      </c>
      <c r="W20" s="47">
        <v>0</v>
      </c>
      <c r="X20" s="47">
        <f t="shared" si="3"/>
        <v>0</v>
      </c>
      <c r="Y20" s="47">
        <f t="shared" si="4"/>
        <v>0</v>
      </c>
      <c r="Z20" s="42"/>
      <c r="AA20" s="47"/>
      <c r="AB20" s="42"/>
      <c r="AC20" s="42"/>
      <c r="AD20" s="55"/>
      <c r="AE20" s="47">
        <v>0</v>
      </c>
      <c r="AF20" s="114"/>
      <c r="AG20" s="212"/>
      <c r="AH20" s="47">
        <v>40</v>
      </c>
      <c r="AI20" s="55">
        <f t="shared" si="21"/>
        <v>5032.1578774893114</v>
      </c>
      <c r="AJ20" s="55"/>
      <c r="AK20" s="74">
        <f t="shared" si="18"/>
        <v>42.9</v>
      </c>
      <c r="AL20" s="47">
        <f t="shared" si="19"/>
        <v>0</v>
      </c>
      <c r="AM20" s="47">
        <f t="shared" si="5"/>
        <v>42.9</v>
      </c>
      <c r="AN20" s="203"/>
      <c r="AO20" s="618">
        <f t="shared" si="6"/>
        <v>27.185865841612983</v>
      </c>
      <c r="AP20" s="42"/>
      <c r="AQ20" s="56"/>
      <c r="AW20" s="615">
        <v>0.09</v>
      </c>
      <c r="AX20" s="45">
        <v>52</v>
      </c>
      <c r="AY20" s="45">
        <v>24</v>
      </c>
      <c r="AZ20" s="103"/>
      <c r="BA20" s="385">
        <f t="shared" si="7"/>
        <v>2.9</v>
      </c>
      <c r="BB20" s="60">
        <v>0.86699999999999999</v>
      </c>
      <c r="BC20" s="407">
        <v>15874</v>
      </c>
      <c r="BE20" s="574">
        <f t="shared" si="20"/>
        <v>6</v>
      </c>
      <c r="BF20" s="559">
        <v>6901.45</v>
      </c>
      <c r="BG20" s="575">
        <f t="shared" si="8"/>
        <v>-1.9999999999527063E-2</v>
      </c>
      <c r="BH20" s="576">
        <v>27.781250000000018</v>
      </c>
      <c r="BI20" s="576">
        <f t="shared" si="9"/>
        <v>12.218749999999982</v>
      </c>
    </row>
    <row r="21" spans="1:61" ht="12.95" customHeight="1">
      <c r="A21" s="48">
        <f t="shared" si="10"/>
        <v>7</v>
      </c>
      <c r="B21" s="104">
        <v>6901.45</v>
      </c>
      <c r="C21" s="483">
        <f>IF(B21="",C20,VLOOKUP(TRUNC(B21,1),VLOOKUP!$A$3:$K$2834,RIGHT(TEXT(B21,"0000.00"),1)+2,FALSE))</f>
        <v>288962</v>
      </c>
      <c r="D21" s="45">
        <f t="shared" si="11"/>
        <v>75</v>
      </c>
      <c r="E21" s="55">
        <f t="shared" si="0"/>
        <v>136962</v>
      </c>
      <c r="F21" s="112">
        <f t="shared" si="1"/>
        <v>37.811948575749938</v>
      </c>
      <c r="G21" s="47">
        <v>30.1</v>
      </c>
      <c r="H21" s="113">
        <v>0</v>
      </c>
      <c r="I21" s="47">
        <f t="shared" si="12"/>
        <v>30.1</v>
      </c>
      <c r="J21" s="42">
        <f t="shared" si="13"/>
        <v>51.111948575749935</v>
      </c>
      <c r="K21" s="47">
        <f t="shared" si="2"/>
        <v>81.211948575749943</v>
      </c>
      <c r="L21" s="47">
        <f t="shared" si="14"/>
        <v>51.111948575749935</v>
      </c>
      <c r="M21" s="114">
        <v>3.4</v>
      </c>
      <c r="N21" s="47">
        <v>0</v>
      </c>
      <c r="O21" s="47">
        <f t="shared" si="15"/>
        <v>0</v>
      </c>
      <c r="P21" s="39">
        <v>0</v>
      </c>
      <c r="Q21" s="73">
        <f>943500/325851/1.9835*1.02</f>
        <v>1.4889866820865763</v>
      </c>
      <c r="R21" s="73">
        <v>0</v>
      </c>
      <c r="S21" s="73">
        <f>IF(((1.7*1.04)-T21)&gt;=4.2,4.2,(1.7*1.04)-T21)</f>
        <v>1.2015868799999998</v>
      </c>
      <c r="T21" s="73">
        <f t="shared" ref="T21:T26" si="22">(0.5138*1.06)*1.04</f>
        <v>0.5664131200000001</v>
      </c>
      <c r="U21" s="243">
        <f t="shared" si="17"/>
        <v>0.14301331791342387</v>
      </c>
      <c r="V21" s="47">
        <v>0</v>
      </c>
      <c r="W21" s="47">
        <v>0</v>
      </c>
      <c r="X21" s="47">
        <f t="shared" si="3"/>
        <v>0</v>
      </c>
      <c r="Y21" s="47">
        <f t="shared" si="4"/>
        <v>0</v>
      </c>
      <c r="Z21" s="42"/>
      <c r="AA21" s="47"/>
      <c r="AB21" s="42"/>
      <c r="AC21" s="42"/>
      <c r="AD21" s="55"/>
      <c r="AE21" s="47">
        <v>0</v>
      </c>
      <c r="AF21" s="114"/>
      <c r="AG21" s="212"/>
      <c r="AH21" s="47">
        <v>40</v>
      </c>
      <c r="AI21" s="55">
        <f t="shared" si="21"/>
        <v>4992.1578774893114</v>
      </c>
      <c r="AJ21" s="55"/>
      <c r="AK21" s="74">
        <f t="shared" si="18"/>
        <v>43.4</v>
      </c>
      <c r="AL21" s="47">
        <f t="shared" si="19"/>
        <v>0</v>
      </c>
      <c r="AM21" s="47">
        <f t="shared" si="5"/>
        <v>43.4</v>
      </c>
      <c r="AN21" s="203"/>
      <c r="AO21" s="618">
        <f t="shared" si="6"/>
        <v>28.611013317913425</v>
      </c>
      <c r="AP21" s="42"/>
      <c r="AQ21" s="56"/>
      <c r="AW21" s="615">
        <v>0.17</v>
      </c>
      <c r="AX21" s="45">
        <v>53</v>
      </c>
      <c r="AY21" s="45">
        <v>28</v>
      </c>
      <c r="AZ21" s="103"/>
      <c r="BA21" s="385">
        <f t="shared" si="7"/>
        <v>3.4</v>
      </c>
      <c r="BB21" s="60">
        <v>0.97499999999999998</v>
      </c>
      <c r="BC21" s="407">
        <v>15873</v>
      </c>
      <c r="BE21" s="574">
        <f t="shared" si="20"/>
        <v>7</v>
      </c>
      <c r="BF21" s="559">
        <v>6901.47</v>
      </c>
      <c r="BG21" s="575">
        <f t="shared" si="8"/>
        <v>-2.0000000000436557E-2</v>
      </c>
      <c r="BH21" s="576">
        <v>27.898958333333354</v>
      </c>
      <c r="BI21" s="576">
        <f t="shared" si="9"/>
        <v>12.101041666666646</v>
      </c>
    </row>
    <row r="22" spans="1:61" ht="12.95" customHeight="1">
      <c r="A22" s="48">
        <f t="shared" si="10"/>
        <v>8</v>
      </c>
      <c r="B22" s="104">
        <v>6901.5</v>
      </c>
      <c r="C22" s="483">
        <f>IF(B22="",C21,VLOOKUP(TRUNC(B22,1),VLOOKUP!$A$3:$K$2834,RIGHT(TEXT(B22,"0000.00"),1)+2,FALSE))</f>
        <v>289148</v>
      </c>
      <c r="D22" s="45">
        <f t="shared" si="11"/>
        <v>186</v>
      </c>
      <c r="E22" s="55">
        <f t="shared" si="0"/>
        <v>137148</v>
      </c>
      <c r="F22" s="112">
        <f t="shared" si="1"/>
        <v>93.773632467859841</v>
      </c>
      <c r="G22" s="47">
        <v>36.299999999999997</v>
      </c>
      <c r="H22" s="113">
        <v>0</v>
      </c>
      <c r="I22" s="47">
        <f t="shared" si="12"/>
        <v>36.299999999999997</v>
      </c>
      <c r="J22" s="42">
        <f t="shared" si="13"/>
        <v>99.473632467859844</v>
      </c>
      <c r="K22" s="47">
        <f t="shared" si="2"/>
        <v>135.77363246785984</v>
      </c>
      <c r="L22" s="47">
        <f t="shared" si="14"/>
        <v>99.473632467859844</v>
      </c>
      <c r="M22" s="114">
        <v>2</v>
      </c>
      <c r="N22" s="47">
        <v>0</v>
      </c>
      <c r="O22" s="47">
        <f t="shared" si="15"/>
        <v>0</v>
      </c>
      <c r="P22" s="39">
        <v>0</v>
      </c>
      <c r="Q22" s="73">
        <f>1378100/325851/1.9835*1.02</f>
        <v>2.1748516656952948</v>
      </c>
      <c r="R22" s="73">
        <v>0</v>
      </c>
      <c r="S22" s="73">
        <f>IF(((2.3*1.04)-T22)&gt;=4.2,4.2,(2.3*1.04)-T22)</f>
        <v>1.8255868799999999</v>
      </c>
      <c r="T22" s="73">
        <f t="shared" si="22"/>
        <v>0.5664131200000001</v>
      </c>
      <c r="U22" s="243">
        <f t="shared" si="17"/>
        <v>-2.5668516656952942</v>
      </c>
      <c r="V22" s="47">
        <v>0</v>
      </c>
      <c r="W22" s="47">
        <v>0</v>
      </c>
      <c r="X22" s="47">
        <f t="shared" si="3"/>
        <v>0</v>
      </c>
      <c r="Y22" s="47">
        <f t="shared" si="4"/>
        <v>0</v>
      </c>
      <c r="Z22" s="42"/>
      <c r="AA22" s="47"/>
      <c r="AB22" s="42"/>
      <c r="AC22" s="42"/>
      <c r="AD22" s="55"/>
      <c r="AE22" s="47">
        <v>0</v>
      </c>
      <c r="AF22" s="114"/>
      <c r="AG22" s="212"/>
      <c r="AH22" s="47">
        <v>40</v>
      </c>
      <c r="AI22" s="55">
        <f t="shared" si="21"/>
        <v>4952.1578774893114</v>
      </c>
      <c r="AJ22" s="55"/>
      <c r="AK22" s="74">
        <f t="shared" si="18"/>
        <v>42</v>
      </c>
      <c r="AL22" s="47">
        <f t="shared" si="19"/>
        <v>0</v>
      </c>
      <c r="AM22" s="47">
        <f t="shared" si="5"/>
        <v>42</v>
      </c>
      <c r="AN22" s="203"/>
      <c r="AO22" s="618">
        <f t="shared" si="6"/>
        <v>34.125148334304704</v>
      </c>
      <c r="AP22" s="42"/>
      <c r="AQ22" s="56"/>
      <c r="AW22" s="615">
        <v>0.28999999999999998</v>
      </c>
      <c r="AX22" s="55">
        <v>45</v>
      </c>
      <c r="AY22" s="45">
        <v>31</v>
      </c>
      <c r="AZ22" s="103"/>
      <c r="BA22" s="385">
        <f t="shared" si="7"/>
        <v>2</v>
      </c>
      <c r="BB22" s="60">
        <v>0.97499999999999998</v>
      </c>
      <c r="BC22" s="407">
        <v>15883</v>
      </c>
      <c r="BE22" s="574">
        <f t="shared" si="20"/>
        <v>8</v>
      </c>
      <c r="BF22" s="559">
        <v>6901.51</v>
      </c>
      <c r="BG22" s="575">
        <f t="shared" si="8"/>
        <v>-1.0000000000218279E-2</v>
      </c>
      <c r="BH22" s="576">
        <v>27.864583333333353</v>
      </c>
      <c r="BI22" s="576">
        <f t="shared" si="9"/>
        <v>12.135416666666647</v>
      </c>
    </row>
    <row r="23" spans="1:61" ht="12.95" customHeight="1">
      <c r="A23" s="48">
        <f t="shared" si="10"/>
        <v>9</v>
      </c>
      <c r="B23" s="104">
        <v>6901.5</v>
      </c>
      <c r="C23" s="483">
        <f>IF(B23="",C22,VLOOKUP(TRUNC(B23,1),VLOOKUP!$A$3:$K$2834,RIGHT(TEXT(B23,"0000.00"),1)+2,FALSE))</f>
        <v>289148</v>
      </c>
      <c r="D23" s="45">
        <f t="shared" si="11"/>
        <v>0</v>
      </c>
      <c r="E23" s="55">
        <f t="shared" si="0"/>
        <v>137148</v>
      </c>
      <c r="F23" s="112">
        <f t="shared" si="1"/>
        <v>0</v>
      </c>
      <c r="G23" s="47">
        <v>29.5</v>
      </c>
      <c r="H23" s="113">
        <v>0</v>
      </c>
      <c r="I23" s="47">
        <f t="shared" si="12"/>
        <v>29.5</v>
      </c>
      <c r="J23" s="42">
        <f t="shared" si="13"/>
        <v>13.899999999999999</v>
      </c>
      <c r="K23" s="47">
        <f t="shared" si="2"/>
        <v>43.4</v>
      </c>
      <c r="L23" s="47">
        <f t="shared" si="14"/>
        <v>13.899999999999999</v>
      </c>
      <c r="M23" s="114">
        <v>3.4</v>
      </c>
      <c r="N23" s="47">
        <v>0</v>
      </c>
      <c r="O23" s="47">
        <f t="shared" si="15"/>
        <v>0</v>
      </c>
      <c r="P23" s="39">
        <v>0</v>
      </c>
      <c r="Q23" s="73">
        <f>1029100/325851/1.9835*1.02</f>
        <v>1.6240765177904561</v>
      </c>
      <c r="R23" s="73">
        <v>0</v>
      </c>
      <c r="S23" s="73">
        <f>IF(((2.7*1.04)-T23)&gt;=4.2,4.2,(2.7*1.04)-T23)</f>
        <v>2.2415868800000003</v>
      </c>
      <c r="T23" s="73">
        <f t="shared" si="22"/>
        <v>0.5664131200000001</v>
      </c>
      <c r="U23" s="243">
        <f t="shared" si="17"/>
        <v>-1.0320765177904563</v>
      </c>
      <c r="V23" s="47">
        <v>0</v>
      </c>
      <c r="W23" s="47">
        <v>0</v>
      </c>
      <c r="X23" s="47">
        <f t="shared" si="3"/>
        <v>0</v>
      </c>
      <c r="Y23" s="47">
        <f t="shared" si="4"/>
        <v>0</v>
      </c>
      <c r="Z23" s="42"/>
      <c r="AA23" s="47"/>
      <c r="AB23" s="42"/>
      <c r="AC23" s="42"/>
      <c r="AD23" s="55"/>
      <c r="AE23" s="47">
        <v>0</v>
      </c>
      <c r="AF23" s="114"/>
      <c r="AG23" s="212"/>
      <c r="AH23" s="47">
        <v>40</v>
      </c>
      <c r="AI23" s="55">
        <f t="shared" si="21"/>
        <v>4912.1578774893114</v>
      </c>
      <c r="AJ23" s="55"/>
      <c r="AK23" s="74">
        <f t="shared" si="18"/>
        <v>43.4</v>
      </c>
      <c r="AL23" s="47">
        <f t="shared" si="19"/>
        <v>0</v>
      </c>
      <c r="AM23" s="47">
        <f t="shared" si="5"/>
        <v>43.4</v>
      </c>
      <c r="AN23" s="203"/>
      <c r="AO23" s="618">
        <f t="shared" si="6"/>
        <v>27.875923482209544</v>
      </c>
      <c r="AP23" s="42"/>
      <c r="AQ23" s="56"/>
      <c r="AW23" s="615">
        <v>0.08</v>
      </c>
      <c r="AX23" s="55">
        <v>50</v>
      </c>
      <c r="AY23" s="45">
        <v>24</v>
      </c>
      <c r="AZ23" s="103"/>
      <c r="BA23" s="385">
        <f t="shared" si="7"/>
        <v>3.4</v>
      </c>
      <c r="BB23" s="60">
        <v>0.97499999999999998</v>
      </c>
      <c r="BC23" s="407">
        <v>15905</v>
      </c>
      <c r="BE23" s="574">
        <f t="shared" si="20"/>
        <v>9</v>
      </c>
      <c r="BF23" s="559">
        <v>6901.51</v>
      </c>
      <c r="BG23" s="575">
        <f t="shared" si="8"/>
        <v>-1.0000000000218279E-2</v>
      </c>
      <c r="BH23" s="576">
        <v>27.880208333333353</v>
      </c>
      <c r="BI23" s="576">
        <f t="shared" si="9"/>
        <v>12.119791666666647</v>
      </c>
    </row>
    <row r="24" spans="1:61" ht="12.95" customHeight="1">
      <c r="A24" s="48">
        <f t="shared" si="10"/>
        <v>10</v>
      </c>
      <c r="B24" s="104">
        <v>6901.5</v>
      </c>
      <c r="C24" s="483">
        <f>IF(B24="",C23,VLOOKUP(TRUNC(B24,1),VLOOKUP!$A$3:$K$2834,RIGHT(TEXT(B24,"0000.00"),1)+2,FALSE))</f>
        <v>289148</v>
      </c>
      <c r="D24" s="45">
        <f t="shared" si="11"/>
        <v>0</v>
      </c>
      <c r="E24" s="55">
        <f t="shared" si="0"/>
        <v>137148</v>
      </c>
      <c r="F24" s="112">
        <f t="shared" si="1"/>
        <v>0</v>
      </c>
      <c r="G24" s="47">
        <v>19.100000000000001</v>
      </c>
      <c r="H24" s="113">
        <v>0</v>
      </c>
      <c r="I24" s="47">
        <f t="shared" si="12"/>
        <v>19.100000000000001</v>
      </c>
      <c r="J24" s="42">
        <f t="shared" si="13"/>
        <v>23.299999999999997</v>
      </c>
      <c r="K24" s="47">
        <f t="shared" si="2"/>
        <v>42.4</v>
      </c>
      <c r="L24" s="47">
        <f t="shared" si="14"/>
        <v>23.299999999999997</v>
      </c>
      <c r="M24" s="114">
        <v>2.4</v>
      </c>
      <c r="N24" s="47">
        <v>0</v>
      </c>
      <c r="O24" s="47">
        <f t="shared" si="15"/>
        <v>0</v>
      </c>
      <c r="P24" s="39">
        <v>0</v>
      </c>
      <c r="Q24" s="73">
        <f>797300/325851/1.9835*1.02</f>
        <v>1.2582608178353227</v>
      </c>
      <c r="R24" s="73">
        <v>0</v>
      </c>
      <c r="S24" s="73">
        <f>IF(((2.7*1.04)-T24)&gt;=4.2,4.2,(2.7*1.04)-T24)</f>
        <v>2.2415868800000003</v>
      </c>
      <c r="T24" s="73">
        <f t="shared" si="22"/>
        <v>0.5664131200000001</v>
      </c>
      <c r="U24" s="243">
        <f t="shared" si="17"/>
        <v>-1.6662608178353229</v>
      </c>
      <c r="V24" s="627">
        <v>0</v>
      </c>
      <c r="W24" s="47">
        <v>0</v>
      </c>
      <c r="X24" s="47">
        <f t="shared" si="3"/>
        <v>0</v>
      </c>
      <c r="Y24" s="47">
        <f t="shared" si="4"/>
        <v>0</v>
      </c>
      <c r="Z24" s="42"/>
      <c r="AA24" s="47"/>
      <c r="AB24" s="42"/>
      <c r="AC24" s="42"/>
      <c r="AD24" s="55"/>
      <c r="AE24" s="47">
        <v>0</v>
      </c>
      <c r="AF24" s="114"/>
      <c r="AG24" s="212"/>
      <c r="AH24" s="47">
        <v>40</v>
      </c>
      <c r="AI24" s="55">
        <f t="shared" si="21"/>
        <v>4872.1578774893114</v>
      </c>
      <c r="AJ24" s="55"/>
      <c r="AK24" s="74">
        <f t="shared" si="18"/>
        <v>42.4</v>
      </c>
      <c r="AL24" s="47">
        <f t="shared" si="19"/>
        <v>0</v>
      </c>
      <c r="AM24" s="47">
        <f t="shared" si="5"/>
        <v>42.4</v>
      </c>
      <c r="AN24" s="674"/>
      <c r="AO24" s="618">
        <f t="shared" si="6"/>
        <v>17.84173918216468</v>
      </c>
      <c r="AP24" s="42"/>
      <c r="AQ24" s="56"/>
      <c r="AW24" s="615">
        <v>0</v>
      </c>
      <c r="AX24" s="55">
        <v>46</v>
      </c>
      <c r="AY24" s="45">
        <v>19</v>
      </c>
      <c r="AZ24" s="103"/>
      <c r="BA24" s="385">
        <f t="shared" si="7"/>
        <v>2.4</v>
      </c>
      <c r="BB24" s="60">
        <v>0.97499999999999998</v>
      </c>
      <c r="BC24" s="407">
        <v>15906</v>
      </c>
      <c r="BE24" s="574">
        <f t="shared" si="20"/>
        <v>10</v>
      </c>
      <c r="BF24" s="559">
        <v>6901.51</v>
      </c>
      <c r="BG24" s="575">
        <f t="shared" si="8"/>
        <v>-1.0000000000218279E-2</v>
      </c>
      <c r="BH24" s="576">
        <v>27.165306122449</v>
      </c>
      <c r="BI24" s="576">
        <f t="shared" si="9"/>
        <v>12.834693877551</v>
      </c>
    </row>
    <row r="25" spans="1:61" ht="12.95" customHeight="1">
      <c r="A25" s="48">
        <f t="shared" si="10"/>
        <v>11</v>
      </c>
      <c r="B25" s="104">
        <v>6901.5</v>
      </c>
      <c r="C25" s="483">
        <f>IF(B25="",C24,VLOOKUP(TRUNC(B25,1),VLOOKUP!$A$3:$K$2834,RIGHT(TEXT(B25,"0000.00"),1)+2,FALSE))</f>
        <v>289148</v>
      </c>
      <c r="D25" s="45">
        <f t="shared" si="11"/>
        <v>0</v>
      </c>
      <c r="E25" s="55">
        <f t="shared" si="0"/>
        <v>137148</v>
      </c>
      <c r="F25" s="112">
        <f t="shared" si="1"/>
        <v>0</v>
      </c>
      <c r="G25" s="47">
        <v>18.2</v>
      </c>
      <c r="H25" s="113">
        <v>0</v>
      </c>
      <c r="I25" s="47">
        <f t="shared" si="12"/>
        <v>18.2</v>
      </c>
      <c r="J25" s="42">
        <f t="shared" si="13"/>
        <v>22.37</v>
      </c>
      <c r="K25" s="47">
        <f t="shared" si="2"/>
        <v>40.57</v>
      </c>
      <c r="L25" s="47">
        <f t="shared" si="14"/>
        <v>22.37</v>
      </c>
      <c r="M25" s="114">
        <v>0.56999999999999995</v>
      </c>
      <c r="N25" s="47">
        <v>0</v>
      </c>
      <c r="O25" s="47">
        <f t="shared" si="15"/>
        <v>0</v>
      </c>
      <c r="P25" s="39">
        <v>0</v>
      </c>
      <c r="Q25" s="73">
        <f>980900/325851/1.9835*1.02</f>
        <v>1.5480095775927105</v>
      </c>
      <c r="R25" s="73">
        <v>0</v>
      </c>
      <c r="S25" s="73">
        <v>0</v>
      </c>
      <c r="T25" s="73">
        <f t="shared" si="22"/>
        <v>0.5664131200000001</v>
      </c>
      <c r="U25" s="243">
        <f t="shared" si="17"/>
        <v>-1.5444226975927107</v>
      </c>
      <c r="V25" s="47">
        <v>0</v>
      </c>
      <c r="W25" s="47">
        <v>0</v>
      </c>
      <c r="X25" s="47">
        <f t="shared" si="3"/>
        <v>0</v>
      </c>
      <c r="Y25" s="47">
        <f t="shared" si="4"/>
        <v>0</v>
      </c>
      <c r="Z25" s="42"/>
      <c r="AA25" s="47"/>
      <c r="AB25" s="42"/>
      <c r="AC25" s="42"/>
      <c r="AD25" s="55"/>
      <c r="AE25" s="47">
        <v>0</v>
      </c>
      <c r="AF25" s="114"/>
      <c r="AG25" s="212"/>
      <c r="AH25" s="47">
        <v>40</v>
      </c>
      <c r="AI25" s="55">
        <f t="shared" si="21"/>
        <v>4832.1578774893114</v>
      </c>
      <c r="AJ25" s="55"/>
      <c r="AK25" s="74">
        <f t="shared" si="18"/>
        <v>40.57</v>
      </c>
      <c r="AL25" s="47">
        <f t="shared" si="19"/>
        <v>0</v>
      </c>
      <c r="AM25" s="47">
        <f t="shared" si="5"/>
        <v>40.57</v>
      </c>
      <c r="AN25" s="674"/>
      <c r="AO25" s="618">
        <f t="shared" si="6"/>
        <v>16.651990422407287</v>
      </c>
      <c r="AP25" s="42"/>
      <c r="AQ25" s="56"/>
      <c r="AW25" s="615">
        <v>0</v>
      </c>
      <c r="AX25" s="55">
        <v>46</v>
      </c>
      <c r="AY25" s="45">
        <v>21</v>
      </c>
      <c r="AZ25" s="103"/>
      <c r="BA25" s="385">
        <f t="shared" si="7"/>
        <v>0.56999999999999984</v>
      </c>
      <c r="BB25" s="60">
        <v>0.97499999999999998</v>
      </c>
      <c r="BC25" s="407">
        <v>15905</v>
      </c>
      <c r="BE25" s="574">
        <f t="shared" si="20"/>
        <v>11</v>
      </c>
      <c r="BF25" s="559">
        <v>6901.51</v>
      </c>
      <c r="BG25" s="575">
        <f t="shared" si="8"/>
        <v>-1.0000000000218279E-2</v>
      </c>
      <c r="BH25" s="576">
        <v>27.469791666666676</v>
      </c>
      <c r="BI25" s="576">
        <f t="shared" si="9"/>
        <v>12.530208333333324</v>
      </c>
    </row>
    <row r="26" spans="1:61" ht="12.95" customHeight="1">
      <c r="A26" s="48">
        <f t="shared" si="10"/>
        <v>12</v>
      </c>
      <c r="B26" s="104">
        <v>6901.5</v>
      </c>
      <c r="C26" s="483">
        <f>IF(B26="",C25,VLOOKUP(TRUNC(B26,1),VLOOKUP!$A$3:$K$2834,RIGHT(TEXT(B26,"0000.00"),1)+2,FALSE))</f>
        <v>289148</v>
      </c>
      <c r="D26" s="45">
        <f t="shared" si="11"/>
        <v>0</v>
      </c>
      <c r="E26" s="55">
        <f t="shared" si="0"/>
        <v>137148</v>
      </c>
      <c r="F26" s="112">
        <f t="shared" si="1"/>
        <v>0</v>
      </c>
      <c r="G26" s="47">
        <v>29.6</v>
      </c>
      <c r="H26" s="113">
        <v>0</v>
      </c>
      <c r="I26" s="47">
        <f t="shared" si="12"/>
        <v>29.6</v>
      </c>
      <c r="J26" s="42">
        <f t="shared" si="13"/>
        <v>11.799999999999997</v>
      </c>
      <c r="K26" s="47">
        <f t="shared" si="2"/>
        <v>41.4</v>
      </c>
      <c r="L26" s="47">
        <f t="shared" si="14"/>
        <v>11.799999999999997</v>
      </c>
      <c r="M26" s="114">
        <v>1.4</v>
      </c>
      <c r="N26" s="47">
        <v>0</v>
      </c>
      <c r="O26" s="47">
        <f t="shared" si="15"/>
        <v>0</v>
      </c>
      <c r="P26" s="39">
        <v>0</v>
      </c>
      <c r="Q26" s="73">
        <f>1050200/325851/1.9835*1.02</f>
        <v>1.657375531030548</v>
      </c>
      <c r="R26" s="73">
        <v>0</v>
      </c>
      <c r="S26" s="73">
        <v>0</v>
      </c>
      <c r="T26" s="73">
        <f t="shared" si="22"/>
        <v>0.5664131200000001</v>
      </c>
      <c r="U26" s="243">
        <f t="shared" si="17"/>
        <v>-0.8237886510305481</v>
      </c>
      <c r="V26" s="47">
        <v>0</v>
      </c>
      <c r="W26" s="47">
        <v>0</v>
      </c>
      <c r="X26" s="47">
        <f t="shared" si="3"/>
        <v>0</v>
      </c>
      <c r="Y26" s="47">
        <f t="shared" si="4"/>
        <v>0</v>
      </c>
      <c r="Z26" s="42"/>
      <c r="AA26" s="47"/>
      <c r="AB26" s="42"/>
      <c r="AC26" s="42"/>
      <c r="AD26" s="55"/>
      <c r="AE26" s="47">
        <v>0</v>
      </c>
      <c r="AF26" s="114"/>
      <c r="AG26" s="212"/>
      <c r="AH26" s="47">
        <v>40</v>
      </c>
      <c r="AI26" s="55">
        <f t="shared" si="21"/>
        <v>4792.1578774893114</v>
      </c>
      <c r="AJ26" s="55"/>
      <c r="AK26" s="74">
        <f t="shared" si="18"/>
        <v>41.4</v>
      </c>
      <c r="AL26" s="47">
        <f t="shared" si="19"/>
        <v>0</v>
      </c>
      <c r="AM26" s="47">
        <f t="shared" si="5"/>
        <v>41.4</v>
      </c>
      <c r="AN26" s="674"/>
      <c r="AO26" s="618">
        <f t="shared" si="6"/>
        <v>27.942624468969452</v>
      </c>
      <c r="AP26" s="42"/>
      <c r="AQ26" s="56"/>
      <c r="AW26" s="615">
        <v>0</v>
      </c>
      <c r="AX26" s="55">
        <v>48</v>
      </c>
      <c r="AY26" s="45">
        <v>21</v>
      </c>
      <c r="AZ26" s="103"/>
      <c r="BA26" s="385">
        <f t="shared" si="7"/>
        <v>1.4</v>
      </c>
      <c r="BB26" s="60">
        <v>0.97499999999999998</v>
      </c>
      <c r="BC26" s="407">
        <v>15905</v>
      </c>
      <c r="BE26" s="574">
        <f t="shared" si="20"/>
        <v>12</v>
      </c>
      <c r="BF26" s="559">
        <v>6901.51</v>
      </c>
      <c r="BG26" s="575">
        <f t="shared" si="8"/>
        <v>-1.0000000000218279E-2</v>
      </c>
      <c r="BH26" s="576">
        <v>27.272916666666685</v>
      </c>
      <c r="BI26" s="576">
        <f t="shared" si="9"/>
        <v>12.727083333333315</v>
      </c>
    </row>
    <row r="27" spans="1:61" ht="12.95" customHeight="1">
      <c r="A27" s="48">
        <f t="shared" si="10"/>
        <v>13</v>
      </c>
      <c r="B27" s="104">
        <v>6901.5</v>
      </c>
      <c r="C27" s="483">
        <f>IF(B27="",C26,VLOOKUP(TRUNC(B27,1),VLOOKUP!$A$3:$K$2834,RIGHT(TEXT(B27,"0000.00"),1)+2,FALSE))</f>
        <v>289148</v>
      </c>
      <c r="D27" s="45">
        <f t="shared" si="11"/>
        <v>0</v>
      </c>
      <c r="E27" s="55">
        <f t="shared" si="0"/>
        <v>137148</v>
      </c>
      <c r="F27" s="112">
        <f t="shared" si="1"/>
        <v>0</v>
      </c>
      <c r="G27" s="47">
        <v>39.700000000000003</v>
      </c>
      <c r="H27" s="113">
        <v>0</v>
      </c>
      <c r="I27" s="47">
        <f t="shared" si="12"/>
        <v>39.700000000000003</v>
      </c>
      <c r="J27" s="42">
        <f t="shared" si="13"/>
        <v>0.29999999999999716</v>
      </c>
      <c r="K27" s="47">
        <f t="shared" si="2"/>
        <v>40</v>
      </c>
      <c r="L27" s="47">
        <f t="shared" si="14"/>
        <v>0.29999999999999716</v>
      </c>
      <c r="M27" s="114">
        <v>0</v>
      </c>
      <c r="N27" s="47">
        <v>0</v>
      </c>
      <c r="O27" s="47">
        <f t="shared" si="15"/>
        <v>0</v>
      </c>
      <c r="P27" s="39">
        <v>0</v>
      </c>
      <c r="Q27" s="73">
        <f>931600/325851/1.9835*1.02</f>
        <v>1.4702066698800786</v>
      </c>
      <c r="R27" s="73">
        <v>0</v>
      </c>
      <c r="S27" s="73">
        <v>0</v>
      </c>
      <c r="T27" s="73">
        <f>(0.4883*1.06)*1.04</f>
        <v>0.53830191999999999</v>
      </c>
      <c r="U27" s="243">
        <f t="shared" si="17"/>
        <v>-2.0085085898800785</v>
      </c>
      <c r="V27" s="47">
        <v>0</v>
      </c>
      <c r="W27" s="47">
        <v>0</v>
      </c>
      <c r="X27" s="47">
        <f t="shared" si="3"/>
        <v>0</v>
      </c>
      <c r="Y27" s="47">
        <f t="shared" si="4"/>
        <v>0</v>
      </c>
      <c r="Z27" s="42"/>
      <c r="AA27" s="47"/>
      <c r="AB27" s="42"/>
      <c r="AC27" s="42"/>
      <c r="AD27" s="55"/>
      <c r="AE27" s="47">
        <v>0</v>
      </c>
      <c r="AF27" s="114"/>
      <c r="AG27" s="212"/>
      <c r="AH27" s="47">
        <v>40</v>
      </c>
      <c r="AI27" s="55">
        <f t="shared" si="21"/>
        <v>4752.1578774893114</v>
      </c>
      <c r="AJ27" s="55"/>
      <c r="AK27" s="74">
        <f>N27+O27+P27+Q27+R27+S27+T27+U27+X27+AE27+AH27</f>
        <v>40</v>
      </c>
      <c r="AL27" s="47">
        <f t="shared" si="19"/>
        <v>0</v>
      </c>
      <c r="AM27" s="47">
        <f>AK27+AL27</f>
        <v>40</v>
      </c>
      <c r="AN27" s="674"/>
      <c r="AO27" s="618">
        <f t="shared" si="6"/>
        <v>38.229793330119925</v>
      </c>
      <c r="AP27" s="42"/>
      <c r="AQ27" s="56"/>
      <c r="AW27" s="615">
        <v>0</v>
      </c>
      <c r="AX27" s="55">
        <v>49</v>
      </c>
      <c r="AY27" s="45">
        <v>28</v>
      </c>
      <c r="AZ27" s="103"/>
      <c r="BA27" s="385">
        <f t="shared" si="7"/>
        <v>0</v>
      </c>
      <c r="BB27" s="60">
        <v>1.2</v>
      </c>
      <c r="BC27" s="407">
        <v>15905</v>
      </c>
      <c r="BE27" s="574">
        <f t="shared" si="20"/>
        <v>13</v>
      </c>
      <c r="BF27" s="559">
        <v>6901.51</v>
      </c>
      <c r="BG27" s="575">
        <f t="shared" si="8"/>
        <v>-1.0000000000218279E-2</v>
      </c>
      <c r="BH27" s="576">
        <v>27.839583333333348</v>
      </c>
      <c r="BI27" s="576">
        <f t="shared" si="9"/>
        <v>12.160416666666652</v>
      </c>
    </row>
    <row r="28" spans="1:61" ht="12.95" customHeight="1">
      <c r="A28" s="48">
        <f t="shared" si="10"/>
        <v>14</v>
      </c>
      <c r="B28" s="104">
        <v>6901.5</v>
      </c>
      <c r="C28" s="483">
        <f>IF(B28="",C27,VLOOKUP(TRUNC(B28,1),VLOOKUP!$A$3:$K$2834,RIGHT(TEXT(B28,"0000.00"),1)+2,FALSE))</f>
        <v>289148</v>
      </c>
      <c r="D28" s="45">
        <f t="shared" si="11"/>
        <v>0</v>
      </c>
      <c r="E28" s="55">
        <f t="shared" si="0"/>
        <v>137148</v>
      </c>
      <c r="F28" s="112">
        <f t="shared" si="1"/>
        <v>0</v>
      </c>
      <c r="G28" s="47">
        <v>42.9</v>
      </c>
      <c r="H28" s="113">
        <v>0</v>
      </c>
      <c r="I28" s="47">
        <f t="shared" si="12"/>
        <v>42.9</v>
      </c>
      <c r="J28" s="42">
        <f t="shared" si="13"/>
        <v>0</v>
      </c>
      <c r="K28" s="47">
        <f t="shared" si="2"/>
        <v>42.9</v>
      </c>
      <c r="L28" s="47">
        <f t="shared" si="14"/>
        <v>-1.9799999999999969</v>
      </c>
      <c r="M28" s="114">
        <v>0.92</v>
      </c>
      <c r="N28" s="47">
        <v>0</v>
      </c>
      <c r="O28" s="47">
        <f t="shared" si="15"/>
        <v>0</v>
      </c>
      <c r="P28" s="39">
        <v>0</v>
      </c>
      <c r="Q28" s="73">
        <f>956000/325851/1.9835*1.02</f>
        <v>1.5087135856648295</v>
      </c>
      <c r="R28" s="73">
        <v>0</v>
      </c>
      <c r="S28" s="73">
        <v>0</v>
      </c>
      <c r="T28" s="73">
        <f t="shared" ref="T28:T33" si="23">(0.4883*1.06)*1.04</f>
        <v>0.53830191999999999</v>
      </c>
      <c r="U28" s="243">
        <f t="shared" si="17"/>
        <v>-1.1270155056648297</v>
      </c>
      <c r="V28" s="47">
        <v>0</v>
      </c>
      <c r="W28" s="47">
        <v>0</v>
      </c>
      <c r="X28" s="47">
        <f t="shared" si="3"/>
        <v>2.2204460492503131E-16</v>
      </c>
      <c r="Y28" s="47">
        <f t="shared" si="4"/>
        <v>2.2204460492503131E-16</v>
      </c>
      <c r="Z28" s="42"/>
      <c r="AA28" s="47"/>
      <c r="AB28" s="42"/>
      <c r="AC28" s="42"/>
      <c r="AD28" s="55"/>
      <c r="AE28" s="47">
        <v>0</v>
      </c>
      <c r="AF28" s="114"/>
      <c r="AG28" s="212"/>
      <c r="AH28" s="47">
        <v>40</v>
      </c>
      <c r="AI28" s="55">
        <f t="shared" si="21"/>
        <v>4712.1578774893114</v>
      </c>
      <c r="AJ28" s="55"/>
      <c r="AK28" s="74">
        <f t="shared" si="18"/>
        <v>40.92</v>
      </c>
      <c r="AL28" s="47">
        <f t="shared" si="19"/>
        <v>1.9799999999999969</v>
      </c>
      <c r="AM28" s="47">
        <f t="shared" si="5"/>
        <v>42.9</v>
      </c>
      <c r="AN28" s="674"/>
      <c r="AO28" s="618">
        <f t="shared" si="6"/>
        <v>41.39128641433517</v>
      </c>
      <c r="AP28" s="42"/>
      <c r="AQ28" s="56"/>
      <c r="AW28" s="615">
        <v>0.04</v>
      </c>
      <c r="AX28" s="55">
        <v>46</v>
      </c>
      <c r="AY28" s="45">
        <v>31</v>
      </c>
      <c r="AZ28" s="103"/>
      <c r="BA28" s="385">
        <f t="shared" si="7"/>
        <v>0.91999999999999993</v>
      </c>
      <c r="BB28" s="60">
        <v>1.3</v>
      </c>
      <c r="BC28" s="407">
        <v>15909</v>
      </c>
      <c r="BE28" s="574">
        <f t="shared" si="20"/>
        <v>14</v>
      </c>
      <c r="BF28" s="559">
        <v>6901.51</v>
      </c>
      <c r="BG28" s="575">
        <f t="shared" si="8"/>
        <v>-1.0000000000218279E-2</v>
      </c>
      <c r="BH28" s="576">
        <v>27.818750000000019</v>
      </c>
      <c r="BI28" s="576">
        <f t="shared" si="9"/>
        <v>12.181249999999981</v>
      </c>
    </row>
    <row r="29" spans="1:61" ht="12.95" customHeight="1">
      <c r="A29" s="48">
        <f t="shared" si="10"/>
        <v>15</v>
      </c>
      <c r="B29" s="104">
        <v>6901.5</v>
      </c>
      <c r="C29" s="483">
        <f>IF(B29="",C28,VLOOKUP(TRUNC(B29,1),VLOOKUP!$A$3:$K$2834,RIGHT(TEXT(B29,"0000.00"),1)+2,FALSE))</f>
        <v>289148</v>
      </c>
      <c r="D29" s="45">
        <f t="shared" si="11"/>
        <v>0</v>
      </c>
      <c r="E29" s="55">
        <f t="shared" si="0"/>
        <v>137148</v>
      </c>
      <c r="F29" s="112">
        <f t="shared" si="1"/>
        <v>0</v>
      </c>
      <c r="G29" s="627">
        <v>37.799999999999997</v>
      </c>
      <c r="H29" s="113">
        <v>0</v>
      </c>
      <c r="I29" s="47">
        <f t="shared" si="12"/>
        <v>37.799999999999997</v>
      </c>
      <c r="J29" s="42">
        <f t="shared" si="13"/>
        <v>3.0500000000000043</v>
      </c>
      <c r="K29" s="47">
        <f t="shared" si="2"/>
        <v>40.85</v>
      </c>
      <c r="L29" s="47">
        <f t="shared" si="14"/>
        <v>3.0500000000000043</v>
      </c>
      <c r="M29" s="114">
        <v>0.85</v>
      </c>
      <c r="N29" s="47">
        <v>0</v>
      </c>
      <c r="O29" s="47">
        <f t="shared" si="15"/>
        <v>0</v>
      </c>
      <c r="P29" s="39">
        <v>0</v>
      </c>
      <c r="Q29" s="73">
        <f>1063200/325851/1.9835*1.02</f>
        <v>1.6778915107519317</v>
      </c>
      <c r="R29" s="73">
        <v>0</v>
      </c>
      <c r="S29" s="73">
        <v>0</v>
      </c>
      <c r="T29" s="73">
        <f t="shared" si="23"/>
        <v>0.53830191999999999</v>
      </c>
      <c r="U29" s="243">
        <f t="shared" si="17"/>
        <v>-1.3661934307519314</v>
      </c>
      <c r="V29" s="47">
        <v>0</v>
      </c>
      <c r="W29" s="47">
        <v>0</v>
      </c>
      <c r="X29" s="47">
        <f t="shared" si="3"/>
        <v>0</v>
      </c>
      <c r="Y29" s="47">
        <f t="shared" si="4"/>
        <v>0</v>
      </c>
      <c r="Z29" s="42"/>
      <c r="AA29" s="47"/>
      <c r="AB29" s="42"/>
      <c r="AC29" s="42"/>
      <c r="AD29" s="55"/>
      <c r="AE29" s="47">
        <v>0</v>
      </c>
      <c r="AF29" s="114"/>
      <c r="AG29" s="212"/>
      <c r="AH29" s="47">
        <v>40</v>
      </c>
      <c r="AI29" s="55">
        <f t="shared" si="21"/>
        <v>4672.1578774893114</v>
      </c>
      <c r="AJ29" s="55"/>
      <c r="AK29" s="74">
        <f t="shared" si="18"/>
        <v>40.85</v>
      </c>
      <c r="AL29" s="47">
        <f t="shared" si="19"/>
        <v>0</v>
      </c>
      <c r="AM29" s="47">
        <f t="shared" si="5"/>
        <v>40.85</v>
      </c>
      <c r="AN29" s="674"/>
      <c r="AO29" s="618">
        <f t="shared" si="6"/>
        <v>36.122108489248063</v>
      </c>
      <c r="AP29" s="42"/>
      <c r="AQ29" s="56"/>
      <c r="AW29" s="615">
        <v>0.09</v>
      </c>
      <c r="AX29" s="55">
        <v>36</v>
      </c>
      <c r="AY29" s="45">
        <v>18</v>
      </c>
      <c r="AZ29" s="103"/>
      <c r="BA29" s="385">
        <f t="shared" si="7"/>
        <v>0.85000000000000009</v>
      </c>
      <c r="BB29" s="60">
        <v>1.3</v>
      </c>
      <c r="BC29" s="407">
        <v>15915</v>
      </c>
      <c r="BE29" s="574">
        <f t="shared" si="20"/>
        <v>15</v>
      </c>
      <c r="BF29" s="559">
        <v>6901.51</v>
      </c>
      <c r="BG29" s="575">
        <f t="shared" si="8"/>
        <v>-1.0000000000218279E-2</v>
      </c>
      <c r="BH29" s="576">
        <v>27.794791666666686</v>
      </c>
      <c r="BI29" s="576">
        <f t="shared" si="9"/>
        <v>12.205208333333314</v>
      </c>
    </row>
    <row r="30" spans="1:61" ht="12.95" customHeight="1">
      <c r="A30" s="48">
        <f t="shared" si="10"/>
        <v>16</v>
      </c>
      <c r="B30" s="679">
        <v>6901.49</v>
      </c>
      <c r="C30" s="483">
        <f>IF(B30="",C29,VLOOKUP(TRUNC(B30,1),VLOOKUP!$A$3:$K$2834,RIGHT(TEXT(B30,"0000.00"),1)+2,FALSE))</f>
        <v>289111</v>
      </c>
      <c r="D30" s="45">
        <f t="shared" si="11"/>
        <v>-37</v>
      </c>
      <c r="E30" s="55">
        <f t="shared" si="0"/>
        <v>137111</v>
      </c>
      <c r="F30" s="112">
        <f t="shared" si="1"/>
        <v>-18.653894630703302</v>
      </c>
      <c r="G30" s="627">
        <v>30.5</v>
      </c>
      <c r="H30" s="113">
        <v>0</v>
      </c>
      <c r="I30" s="47">
        <f t="shared" si="12"/>
        <v>30.5</v>
      </c>
      <c r="J30" s="42">
        <f t="shared" si="13"/>
        <v>0</v>
      </c>
      <c r="K30" s="47">
        <f t="shared" si="2"/>
        <v>30.5</v>
      </c>
      <c r="L30" s="47">
        <f t="shared" si="14"/>
        <v>-8.0538946307033008</v>
      </c>
      <c r="M30" s="114">
        <v>1.1000000000000001</v>
      </c>
      <c r="N30" s="47">
        <v>0</v>
      </c>
      <c r="O30" s="47">
        <f t="shared" si="15"/>
        <v>0</v>
      </c>
      <c r="P30" s="39">
        <v>0</v>
      </c>
      <c r="Q30" s="73">
        <f>1007700/325851/1.9835*1.02</f>
        <v>1.5903040588644861</v>
      </c>
      <c r="R30" s="73">
        <v>0</v>
      </c>
      <c r="S30" s="73">
        <v>0</v>
      </c>
      <c r="T30" s="73">
        <f t="shared" si="23"/>
        <v>0.53830191999999999</v>
      </c>
      <c r="U30" s="243">
        <f t="shared" si="17"/>
        <v>-1.0286059788644861</v>
      </c>
      <c r="V30" s="47">
        <v>0</v>
      </c>
      <c r="W30" s="47">
        <v>0</v>
      </c>
      <c r="X30" s="47">
        <f t="shared" si="3"/>
        <v>0</v>
      </c>
      <c r="Y30" s="47">
        <f t="shared" si="4"/>
        <v>0</v>
      </c>
      <c r="Z30" s="42"/>
      <c r="AA30" s="47"/>
      <c r="AB30" s="42"/>
      <c r="AC30" s="42"/>
      <c r="AD30" s="55"/>
      <c r="AE30" s="47">
        <v>0</v>
      </c>
      <c r="AF30" s="114"/>
      <c r="AG30" s="212"/>
      <c r="AH30" s="47">
        <v>40</v>
      </c>
      <c r="AI30" s="55">
        <f t="shared" si="21"/>
        <v>4632.1578774893114</v>
      </c>
      <c r="AJ30" s="55"/>
      <c r="AK30" s="74">
        <f t="shared" si="18"/>
        <v>41.1</v>
      </c>
      <c r="AL30" s="47">
        <f t="shared" si="19"/>
        <v>8.0538946307033008</v>
      </c>
      <c r="AM30" s="47">
        <f t="shared" si="5"/>
        <v>49.153894630703306</v>
      </c>
      <c r="AN30" s="674"/>
      <c r="AO30" s="618">
        <f t="shared" si="6"/>
        <v>28.909695941135514</v>
      </c>
      <c r="AP30" s="42"/>
      <c r="AQ30" s="56"/>
      <c r="AW30" s="615">
        <v>0</v>
      </c>
      <c r="AX30" s="616">
        <v>30</v>
      </c>
      <c r="AY30" s="639">
        <v>9</v>
      </c>
      <c r="AZ30" s="103"/>
      <c r="BA30" s="385">
        <f t="shared" si="7"/>
        <v>1.1000000000000001</v>
      </c>
      <c r="BB30" s="60">
        <v>1.3</v>
      </c>
      <c r="BC30" s="407">
        <v>15924</v>
      </c>
      <c r="BE30" s="574">
        <f t="shared" si="20"/>
        <v>16</v>
      </c>
      <c r="BF30" s="559">
        <v>6901.5</v>
      </c>
      <c r="BG30" s="575">
        <f t="shared" si="8"/>
        <v>-1.0000000000218279E-2</v>
      </c>
      <c r="BH30" s="576">
        <v>27.050000000000018</v>
      </c>
      <c r="BI30" s="576">
        <f t="shared" si="9"/>
        <v>12.949999999999982</v>
      </c>
    </row>
    <row r="31" spans="1:61" ht="12.95" customHeight="1">
      <c r="A31" s="48">
        <f t="shared" si="10"/>
        <v>17</v>
      </c>
      <c r="B31" s="679">
        <v>6901.48</v>
      </c>
      <c r="C31" s="483">
        <f>IF(B31="",C30,VLOOKUP(TRUNC(B31,1),VLOOKUP!$A$3:$K$2834,RIGHT(TEXT(B31,"0000.00"),1)+2,FALSE))</f>
        <v>289074</v>
      </c>
      <c r="D31" s="45">
        <f t="shared" si="11"/>
        <v>-37</v>
      </c>
      <c r="E31" s="55">
        <f t="shared" si="0"/>
        <v>137074</v>
      </c>
      <c r="F31" s="112">
        <f t="shared" si="1"/>
        <v>-18.653894630703302</v>
      </c>
      <c r="G31" s="627">
        <v>28.2</v>
      </c>
      <c r="H31" s="113">
        <v>0</v>
      </c>
      <c r="I31" s="47">
        <f t="shared" si="12"/>
        <v>28.2</v>
      </c>
      <c r="J31" s="42">
        <f t="shared" si="13"/>
        <v>0</v>
      </c>
      <c r="K31" s="47">
        <f t="shared" si="2"/>
        <v>28.2</v>
      </c>
      <c r="L31" s="47">
        <f t="shared" si="14"/>
        <v>-4.4538946307033029</v>
      </c>
      <c r="M31" s="114">
        <v>2.4</v>
      </c>
      <c r="N31" s="47">
        <v>0</v>
      </c>
      <c r="O31" s="47">
        <f t="shared" si="15"/>
        <v>0</v>
      </c>
      <c r="P31" s="39">
        <v>0</v>
      </c>
      <c r="Q31" s="73">
        <f>926800/325851/1.9835*1.02</f>
        <v>1.4626315389060294</v>
      </c>
      <c r="R31" s="73">
        <v>0</v>
      </c>
      <c r="S31" s="73">
        <v>0</v>
      </c>
      <c r="T31" s="73">
        <f t="shared" si="23"/>
        <v>0.53830191999999999</v>
      </c>
      <c r="U31" s="243">
        <f t="shared" si="17"/>
        <v>0.39906654109397044</v>
      </c>
      <c r="V31" s="47">
        <v>0</v>
      </c>
      <c r="W31" s="47">
        <v>0</v>
      </c>
      <c r="X31" s="47">
        <f t="shared" si="3"/>
        <v>1.1102230246251565E-16</v>
      </c>
      <c r="Y31" s="47">
        <f t="shared" si="4"/>
        <v>1.1102230246251565E-16</v>
      </c>
      <c r="Z31" s="42"/>
      <c r="AA31" s="47"/>
      <c r="AB31" s="42"/>
      <c r="AC31" s="42"/>
      <c r="AD31" s="55"/>
      <c r="AE31" s="47">
        <v>0</v>
      </c>
      <c r="AF31" s="114"/>
      <c r="AG31" s="212"/>
      <c r="AH31" s="47">
        <v>40</v>
      </c>
      <c r="AI31" s="55">
        <f t="shared" si="21"/>
        <v>4592.1578774893114</v>
      </c>
      <c r="AJ31" s="55"/>
      <c r="AK31" s="74">
        <f t="shared" si="18"/>
        <v>42.4</v>
      </c>
      <c r="AL31" s="47">
        <f t="shared" si="19"/>
        <v>4.4538946307033029</v>
      </c>
      <c r="AM31" s="47">
        <f t="shared" si="5"/>
        <v>46.853894630703302</v>
      </c>
      <c r="AN31" s="674"/>
      <c r="AO31" s="618">
        <f t="shared" si="6"/>
        <v>26.737368461093968</v>
      </c>
      <c r="AP31" s="42"/>
      <c r="AQ31" s="56"/>
      <c r="AW31" s="615">
        <v>0</v>
      </c>
      <c r="AX31" s="616">
        <v>37</v>
      </c>
      <c r="AY31" s="639">
        <v>5</v>
      </c>
      <c r="AZ31" s="103"/>
      <c r="BA31" s="385">
        <f t="shared" si="7"/>
        <v>2.4</v>
      </c>
      <c r="BB31" s="60">
        <v>1.3</v>
      </c>
      <c r="BC31" s="407">
        <v>15926</v>
      </c>
      <c r="BE31" s="574">
        <f t="shared" si="20"/>
        <v>17</v>
      </c>
      <c r="BF31" s="559">
        <v>6901.47</v>
      </c>
      <c r="BG31" s="575">
        <f t="shared" si="8"/>
        <v>9.999999999308784E-3</v>
      </c>
      <c r="BH31" s="576">
        <v>27.087755102040834</v>
      </c>
      <c r="BI31" s="576">
        <f t="shared" si="9"/>
        <v>12.912244897959166</v>
      </c>
    </row>
    <row r="32" spans="1:61" ht="12.95" customHeight="1">
      <c r="A32" s="48">
        <f t="shared" si="10"/>
        <v>18</v>
      </c>
      <c r="B32" s="679">
        <v>6901.45</v>
      </c>
      <c r="C32" s="483">
        <f>IF(B32="",C31,VLOOKUP(TRUNC(B32,1),VLOOKUP!$A$3:$K$2834,RIGHT(TEXT(B32,"0000.00"),1)+2,FALSE))</f>
        <v>288962</v>
      </c>
      <c r="D32" s="45">
        <f t="shared" si="11"/>
        <v>-112</v>
      </c>
      <c r="E32" s="55">
        <f t="shared" si="0"/>
        <v>136962</v>
      </c>
      <c r="F32" s="112">
        <f t="shared" si="1"/>
        <v>-56.465843206453236</v>
      </c>
      <c r="G32" s="627">
        <v>29.4</v>
      </c>
      <c r="H32" s="113">
        <v>0</v>
      </c>
      <c r="I32" s="47">
        <f t="shared" si="12"/>
        <v>29.4</v>
      </c>
      <c r="J32" s="42">
        <f t="shared" si="13"/>
        <v>0</v>
      </c>
      <c r="K32" s="47">
        <f t="shared" si="2"/>
        <v>29.4</v>
      </c>
      <c r="L32" s="47">
        <f t="shared" si="14"/>
        <v>-41.765843206453233</v>
      </c>
      <c r="M32" s="114">
        <v>4.0999999999999996</v>
      </c>
      <c r="N32" s="47">
        <v>0</v>
      </c>
      <c r="O32" s="47">
        <f t="shared" si="15"/>
        <v>0</v>
      </c>
      <c r="P32" s="39">
        <v>0</v>
      </c>
      <c r="Q32" s="73">
        <f>1092100/325851/1.9835*1.02</f>
        <v>1.7235001118248541</v>
      </c>
      <c r="R32" s="73">
        <v>0</v>
      </c>
      <c r="S32" s="73">
        <f>IF(((1.4*1.04)-T32)&gt;=4.2,4.2,(1.4*1.04)-T32)</f>
        <v>0.91769807999999997</v>
      </c>
      <c r="T32" s="73">
        <f t="shared" si="23"/>
        <v>0.53830191999999999</v>
      </c>
      <c r="U32" s="243">
        <f t="shared" si="17"/>
        <v>0.92049988817514583</v>
      </c>
      <c r="V32" s="47">
        <v>0</v>
      </c>
      <c r="W32" s="47">
        <v>0</v>
      </c>
      <c r="X32" s="47">
        <f t="shared" si="3"/>
        <v>0</v>
      </c>
      <c r="Y32" s="47">
        <f t="shared" si="4"/>
        <v>0</v>
      </c>
      <c r="Z32" s="42"/>
      <c r="AA32" s="47"/>
      <c r="AB32" s="42"/>
      <c r="AC32" s="42"/>
      <c r="AD32" s="55"/>
      <c r="AE32" s="47">
        <v>0</v>
      </c>
      <c r="AF32" s="114"/>
      <c r="AG32" s="212"/>
      <c r="AH32" s="47">
        <v>40</v>
      </c>
      <c r="AI32" s="55">
        <f t="shared" si="21"/>
        <v>4552.1578774893114</v>
      </c>
      <c r="AJ32" s="55"/>
      <c r="AK32" s="74">
        <f t="shared" si="18"/>
        <v>44.1</v>
      </c>
      <c r="AL32" s="47">
        <f t="shared" si="19"/>
        <v>41.765843206453233</v>
      </c>
      <c r="AM32" s="47">
        <f t="shared" si="5"/>
        <v>85.865843206453235</v>
      </c>
      <c r="AN32" s="674"/>
      <c r="AO32" s="618">
        <f t="shared" si="6"/>
        <v>27.676499888175144</v>
      </c>
      <c r="AP32" s="42"/>
      <c r="AQ32" s="56"/>
      <c r="AW32" s="615">
        <v>6.5000000000000002E-2</v>
      </c>
      <c r="AX32" s="616">
        <v>46</v>
      </c>
      <c r="AY32" s="639">
        <v>11</v>
      </c>
      <c r="AZ32" s="103"/>
      <c r="BA32" s="385">
        <f t="shared" si="7"/>
        <v>4.0999999999999996</v>
      </c>
      <c r="BB32" s="60">
        <v>1.3</v>
      </c>
      <c r="BC32" s="407">
        <v>15924</v>
      </c>
      <c r="BE32" s="574">
        <f t="shared" si="20"/>
        <v>18</v>
      </c>
      <c r="BF32" s="559">
        <v>6901.46</v>
      </c>
      <c r="BG32" s="575">
        <f t="shared" si="8"/>
        <v>-1.0000000000218279E-2</v>
      </c>
      <c r="BH32" s="576">
        <v>27.388659793814451</v>
      </c>
      <c r="BI32" s="576">
        <f t="shared" si="9"/>
        <v>12.611340206185549</v>
      </c>
    </row>
    <row r="33" spans="1:61" ht="12.95" customHeight="1">
      <c r="A33" s="48">
        <f t="shared" si="10"/>
        <v>19</v>
      </c>
      <c r="B33" s="679">
        <v>6901.44</v>
      </c>
      <c r="C33" s="483">
        <f>IF(B33="",C32,VLOOKUP(TRUNC(B33,1),VLOOKUP!$A$3:$K$2834,RIGHT(TEXT(B33,"0000.00"),1)+2,FALSE))</f>
        <v>288924</v>
      </c>
      <c r="D33" s="45">
        <f>C33-C32</f>
        <v>-38</v>
      </c>
      <c r="E33" s="55">
        <f>C33-152000</f>
        <v>136924</v>
      </c>
      <c r="F33" s="112">
        <f t="shared" si="1"/>
        <v>-19.158053945046635</v>
      </c>
      <c r="G33" s="627">
        <v>28.9</v>
      </c>
      <c r="H33" s="113">
        <v>0</v>
      </c>
      <c r="I33" s="47">
        <f t="shared" si="12"/>
        <v>28.9</v>
      </c>
      <c r="J33" s="42">
        <f t="shared" si="13"/>
        <v>0</v>
      </c>
      <c r="K33" s="47">
        <f t="shared" si="2"/>
        <v>28.9</v>
      </c>
      <c r="L33" s="47">
        <f t="shared" si="14"/>
        <v>-4.6580539450466354</v>
      </c>
      <c r="M33" s="114">
        <v>3.4</v>
      </c>
      <c r="N33" s="47">
        <v>0</v>
      </c>
      <c r="O33" s="47">
        <f t="shared" si="15"/>
        <v>0</v>
      </c>
      <c r="P33" s="39">
        <v>0</v>
      </c>
      <c r="Q33" s="73">
        <f>866400/325851/1.9835*1.02</f>
        <v>1.3673111408159082</v>
      </c>
      <c r="R33" s="73">
        <v>0</v>
      </c>
      <c r="S33" s="73">
        <f t="shared" ref="S33:S40" si="24">IF(((2.7*1.04)-T33)&gt;=4.2,4.2,(2.7*1.04)-T33)</f>
        <v>2.2696980800000004</v>
      </c>
      <c r="T33" s="73">
        <f t="shared" si="23"/>
        <v>0.53830191999999999</v>
      </c>
      <c r="U33" s="243">
        <f t="shared" si="17"/>
        <v>-0.77531114081590902</v>
      </c>
      <c r="V33" s="47">
        <v>0</v>
      </c>
      <c r="W33" s="47">
        <v>0</v>
      </c>
      <c r="X33" s="47">
        <f t="shared" si="3"/>
        <v>3.3306690738754696E-16</v>
      </c>
      <c r="Y33" s="47">
        <f t="shared" si="4"/>
        <v>3.3306690738754696E-16</v>
      </c>
      <c r="Z33" s="42"/>
      <c r="AA33" s="47"/>
      <c r="AB33" s="42"/>
      <c r="AC33" s="42"/>
      <c r="AD33" s="55"/>
      <c r="AE33" s="47">
        <v>0</v>
      </c>
      <c r="AF33" s="114"/>
      <c r="AG33" s="212"/>
      <c r="AH33" s="47">
        <v>40</v>
      </c>
      <c r="AI33" s="55">
        <f t="shared" si="21"/>
        <v>4512.1578774893114</v>
      </c>
      <c r="AJ33" s="55"/>
      <c r="AK33" s="74">
        <f t="shared" si="18"/>
        <v>43.4</v>
      </c>
      <c r="AL33" s="47">
        <f t="shared" si="19"/>
        <v>4.6580539450466354</v>
      </c>
      <c r="AM33" s="47">
        <f t="shared" si="5"/>
        <v>48.058053945046638</v>
      </c>
      <c r="AN33" s="203"/>
      <c r="AO33" s="618">
        <f t="shared" si="6"/>
        <v>27.532688859184091</v>
      </c>
      <c r="AP33" s="42"/>
      <c r="AQ33" s="56"/>
      <c r="AW33" s="615">
        <v>0</v>
      </c>
      <c r="AX33" s="616">
        <v>41</v>
      </c>
      <c r="AY33" s="639">
        <v>20</v>
      </c>
      <c r="AZ33" s="103"/>
      <c r="BA33" s="385">
        <f t="shared" si="7"/>
        <v>3.4</v>
      </c>
      <c r="BB33" s="60">
        <v>1.3</v>
      </c>
      <c r="BC33" s="407">
        <v>15924</v>
      </c>
      <c r="BE33" s="574">
        <f t="shared" si="20"/>
        <v>19</v>
      </c>
      <c r="BF33" s="559">
        <v>6901.45</v>
      </c>
      <c r="BG33" s="575">
        <f t="shared" si="8"/>
        <v>-1.0000000000218279E-2</v>
      </c>
      <c r="BH33" s="576">
        <v>26.6357142857143</v>
      </c>
      <c r="BI33" s="576">
        <f t="shared" si="9"/>
        <v>13.3642857142857</v>
      </c>
    </row>
    <row r="34" spans="1:61" ht="12.95" customHeight="1">
      <c r="A34" s="48">
        <f t="shared" si="10"/>
        <v>20</v>
      </c>
      <c r="B34" s="679">
        <v>6901.43</v>
      </c>
      <c r="C34" s="483">
        <f>IF(B34="",C33,VLOOKUP(TRUNC(B34,1),VLOOKUP!$A$3:$K$2834,RIGHT(TEXT(B34,"0000.00"),1)+2,FALSE))</f>
        <v>288887</v>
      </c>
      <c r="D34" s="45">
        <f>C34-C33</f>
        <v>-37</v>
      </c>
      <c r="E34" s="55">
        <f>C34-152000</f>
        <v>136887</v>
      </c>
      <c r="F34" s="112">
        <f t="shared" si="1"/>
        <v>-18.653894630703302</v>
      </c>
      <c r="G34" s="627">
        <v>29.6</v>
      </c>
      <c r="H34" s="113">
        <v>0</v>
      </c>
      <c r="I34" s="47">
        <f t="shared" si="12"/>
        <v>29.6</v>
      </c>
      <c r="J34" s="42">
        <f t="shared" si="13"/>
        <v>0</v>
      </c>
      <c r="K34" s="47">
        <f t="shared" si="2"/>
        <v>29.6</v>
      </c>
      <c r="L34" s="47">
        <f t="shared" si="14"/>
        <v>-4.5538946307033008</v>
      </c>
      <c r="M34" s="114">
        <v>3.7</v>
      </c>
      <c r="N34" s="47">
        <v>0</v>
      </c>
      <c r="O34" s="47">
        <f t="shared" si="15"/>
        <v>0</v>
      </c>
      <c r="P34" s="39">
        <v>0</v>
      </c>
      <c r="Q34" s="73">
        <f>1126900/325851/1.9835*1.02</f>
        <v>1.7784198113867118</v>
      </c>
      <c r="R34" s="73">
        <v>0</v>
      </c>
      <c r="S34" s="73">
        <f t="shared" si="24"/>
        <v>2.22119248</v>
      </c>
      <c r="T34" s="73">
        <f>(0.5323*1.06)*1.04</f>
        <v>0.58680752000000003</v>
      </c>
      <c r="U34" s="243">
        <f t="shared" si="17"/>
        <v>-0.88641981138671166</v>
      </c>
      <c r="V34" s="47">
        <v>0</v>
      </c>
      <c r="W34" s="47">
        <v>0</v>
      </c>
      <c r="X34" s="47">
        <f t="shared" si="3"/>
        <v>0</v>
      </c>
      <c r="Y34" s="47">
        <f t="shared" si="4"/>
        <v>0</v>
      </c>
      <c r="Z34" s="42"/>
      <c r="AA34" s="47"/>
      <c r="AB34" s="42"/>
      <c r="AC34" s="42"/>
      <c r="AD34" s="55"/>
      <c r="AE34" s="47">
        <v>0</v>
      </c>
      <c r="AF34" s="114"/>
      <c r="AG34" s="212"/>
      <c r="AH34" s="47">
        <v>40</v>
      </c>
      <c r="AI34" s="55">
        <f t="shared" si="21"/>
        <v>4472.1578774893114</v>
      </c>
      <c r="AJ34" s="55"/>
      <c r="AK34" s="74">
        <f t="shared" si="18"/>
        <v>43.7</v>
      </c>
      <c r="AL34" s="47">
        <f t="shared" si="19"/>
        <v>4.5538946307033008</v>
      </c>
      <c r="AM34" s="47">
        <f t="shared" si="5"/>
        <v>48.2538946307033</v>
      </c>
      <c r="AN34" s="203"/>
      <c r="AO34" s="618">
        <f t="shared" si="6"/>
        <v>27.821580188613289</v>
      </c>
      <c r="AP34" s="42"/>
      <c r="AQ34" s="56"/>
      <c r="AW34" s="615">
        <v>0</v>
      </c>
      <c r="AX34" s="616">
        <v>45</v>
      </c>
      <c r="AY34" s="639">
        <v>16</v>
      </c>
      <c r="AZ34" s="103"/>
      <c r="BA34" s="385">
        <f t="shared" si="7"/>
        <v>3.7</v>
      </c>
      <c r="BB34" s="60">
        <v>1.3</v>
      </c>
      <c r="BC34" s="407">
        <v>15923</v>
      </c>
      <c r="BE34" s="574">
        <f t="shared" si="20"/>
        <v>20</v>
      </c>
      <c r="BF34" s="559">
        <v>6901.44</v>
      </c>
      <c r="BG34" s="575">
        <f t="shared" si="8"/>
        <v>-9.999999999308784E-3</v>
      </c>
      <c r="BH34" s="576">
        <v>27.887500000000021</v>
      </c>
      <c r="BI34" s="576">
        <f t="shared" si="9"/>
        <v>12.112499999999979</v>
      </c>
    </row>
    <row r="35" spans="1:61" ht="13.5" customHeight="1">
      <c r="A35" s="48">
        <f t="shared" si="10"/>
        <v>21</v>
      </c>
      <c r="B35" s="679">
        <v>6901.43</v>
      </c>
      <c r="C35" s="483">
        <f>IF(B35="",C34,VLOOKUP(TRUNC(B35,1),VLOOKUP!$A$3:$K$2834,RIGHT(TEXT(B35,"0000.00"),1)+2,FALSE))</f>
        <v>288887</v>
      </c>
      <c r="D35" s="45">
        <f>C35-C34</f>
        <v>0</v>
      </c>
      <c r="E35" s="55">
        <f>C35-152000</f>
        <v>136887</v>
      </c>
      <c r="F35" s="112">
        <f t="shared" si="1"/>
        <v>0</v>
      </c>
      <c r="G35" s="627">
        <v>32.799999999999997</v>
      </c>
      <c r="H35" s="113">
        <v>0</v>
      </c>
      <c r="I35" s="47">
        <f t="shared" si="12"/>
        <v>32.799999999999997</v>
      </c>
      <c r="J35" s="42">
        <f>IF(L35&gt;0,L35,0)</f>
        <v>12.100000000000001</v>
      </c>
      <c r="K35" s="47">
        <f t="shared" si="2"/>
        <v>44.9</v>
      </c>
      <c r="L35" s="47">
        <f t="shared" si="14"/>
        <v>12.100000000000001</v>
      </c>
      <c r="M35" s="114">
        <v>4.9000000000000004</v>
      </c>
      <c r="N35" s="47">
        <v>0</v>
      </c>
      <c r="O35" s="47">
        <f t="shared" si="15"/>
        <v>0</v>
      </c>
      <c r="P35" s="39">
        <v>0</v>
      </c>
      <c r="Q35" s="73">
        <f>1003100/325851/1.9835*1.02</f>
        <v>1.5830445583476889</v>
      </c>
      <c r="R35" s="73">
        <v>0</v>
      </c>
      <c r="S35" s="73">
        <f t="shared" si="24"/>
        <v>2.22119248</v>
      </c>
      <c r="T35" s="73">
        <f t="shared" ref="T35:T40" si="25">(0.5323*1.06)*1.04</f>
        <v>0.58680752000000003</v>
      </c>
      <c r="U35" s="243">
        <f t="shared" si="17"/>
        <v>0.50895544165231144</v>
      </c>
      <c r="V35" s="47">
        <v>0</v>
      </c>
      <c r="W35" s="47">
        <v>0</v>
      </c>
      <c r="X35" s="47">
        <f t="shared" si="3"/>
        <v>0</v>
      </c>
      <c r="Y35" s="47">
        <f t="shared" si="4"/>
        <v>0</v>
      </c>
      <c r="Z35" s="42"/>
      <c r="AA35" s="47"/>
      <c r="AB35" s="42"/>
      <c r="AC35" s="42"/>
      <c r="AD35" s="55"/>
      <c r="AE35" s="47">
        <v>0</v>
      </c>
      <c r="AF35" s="114"/>
      <c r="AG35" s="212"/>
      <c r="AH35" s="47">
        <v>40</v>
      </c>
      <c r="AI35" s="55">
        <f t="shared" si="21"/>
        <v>4432.1578774893114</v>
      </c>
      <c r="AJ35" s="55"/>
      <c r="AK35" s="74">
        <f t="shared" si="18"/>
        <v>44.9</v>
      </c>
      <c r="AL35" s="47">
        <f t="shared" si="19"/>
        <v>0</v>
      </c>
      <c r="AM35" s="47">
        <f t="shared" si="5"/>
        <v>44.9</v>
      </c>
      <c r="AN35" s="203"/>
      <c r="AO35" s="618">
        <f t="shared" si="6"/>
        <v>31.21695544165231</v>
      </c>
      <c r="AP35" s="42"/>
      <c r="AQ35" s="56"/>
      <c r="AW35" s="615">
        <v>0.04</v>
      </c>
      <c r="AX35" s="616">
        <v>51</v>
      </c>
      <c r="AY35" s="639">
        <v>20</v>
      </c>
      <c r="AZ35" s="103"/>
      <c r="BA35" s="385">
        <f t="shared" si="7"/>
        <v>4.9000000000000004</v>
      </c>
      <c r="BB35" s="60">
        <v>1.3</v>
      </c>
      <c r="BC35" s="407">
        <v>15921</v>
      </c>
      <c r="BE35" s="574">
        <f t="shared" si="20"/>
        <v>21</v>
      </c>
      <c r="BF35" s="559">
        <v>6901.43</v>
      </c>
      <c r="BG35" s="575">
        <f t="shared" si="8"/>
        <v>0</v>
      </c>
      <c r="BH35" s="576">
        <v>27.829166666666683</v>
      </c>
      <c r="BI35" s="576">
        <f t="shared" si="9"/>
        <v>12.170833333333317</v>
      </c>
    </row>
    <row r="36" spans="1:61" ht="12.95" customHeight="1">
      <c r="A36" s="48">
        <f t="shared" si="10"/>
        <v>22</v>
      </c>
      <c r="B36" s="679">
        <v>6901.42</v>
      </c>
      <c r="C36" s="483">
        <f>IF(B36="",C35,VLOOKUP(TRUNC(B36,1),VLOOKUP!$A$3:$K$2834,RIGHT(TEXT(B36,"0000.00"),1)+2,FALSE))</f>
        <v>288850</v>
      </c>
      <c r="D36" s="45">
        <f>C36-C35</f>
        <v>-37</v>
      </c>
      <c r="E36" s="55">
        <f t="shared" si="0"/>
        <v>136850</v>
      </c>
      <c r="F36" s="112">
        <f t="shared" si="1"/>
        <v>-18.653894630703302</v>
      </c>
      <c r="G36" s="627">
        <v>36.1</v>
      </c>
      <c r="H36" s="113">
        <v>0</v>
      </c>
      <c r="I36" s="47">
        <f t="shared" si="12"/>
        <v>36.1</v>
      </c>
      <c r="J36" s="42">
        <f t="shared" si="13"/>
        <v>0</v>
      </c>
      <c r="K36" s="47">
        <f t="shared" si="2"/>
        <v>36.1</v>
      </c>
      <c r="L36" s="47">
        <f t="shared" si="14"/>
        <v>-11.653894630703302</v>
      </c>
      <c r="M36" s="114">
        <v>3.1</v>
      </c>
      <c r="N36" s="47">
        <v>0</v>
      </c>
      <c r="O36" s="47">
        <f t="shared" si="15"/>
        <v>0</v>
      </c>
      <c r="P36" s="39">
        <v>0</v>
      </c>
      <c r="Q36" s="73">
        <f>1055800/325851/1.9835*1.02</f>
        <v>1.6662131838336056</v>
      </c>
      <c r="R36" s="73">
        <v>0</v>
      </c>
      <c r="S36" s="73">
        <f t="shared" si="24"/>
        <v>2.22119248</v>
      </c>
      <c r="T36" s="73">
        <f t="shared" si="25"/>
        <v>0.58680752000000003</v>
      </c>
      <c r="U36" s="243">
        <f t="shared" si="17"/>
        <v>-1.3742131838336058</v>
      </c>
      <c r="V36" s="47">
        <v>0</v>
      </c>
      <c r="W36" s="47">
        <v>0</v>
      </c>
      <c r="X36" s="47">
        <f t="shared" si="3"/>
        <v>2.2204460492503131E-16</v>
      </c>
      <c r="Y36" s="47">
        <f t="shared" si="4"/>
        <v>2.2204460492503131E-16</v>
      </c>
      <c r="Z36" s="42"/>
      <c r="AA36" s="47"/>
      <c r="AB36" s="42"/>
      <c r="AC36" s="42"/>
      <c r="AD36" s="55"/>
      <c r="AE36" s="47">
        <v>0</v>
      </c>
      <c r="AF36" s="114"/>
      <c r="AG36" s="212"/>
      <c r="AH36" s="47">
        <v>40</v>
      </c>
      <c r="AI36" s="55">
        <f t="shared" si="21"/>
        <v>4392.1578774893114</v>
      </c>
      <c r="AJ36" s="55"/>
      <c r="AK36" s="74">
        <f t="shared" si="18"/>
        <v>43.1</v>
      </c>
      <c r="AL36" s="47">
        <f t="shared" si="19"/>
        <v>11.653894630703302</v>
      </c>
      <c r="AM36" s="47">
        <f t="shared" si="5"/>
        <v>54.7538946307033</v>
      </c>
      <c r="AN36" s="203"/>
      <c r="AO36" s="618">
        <f t="shared" si="6"/>
        <v>34.433786816166396</v>
      </c>
      <c r="AP36" s="42"/>
      <c r="AQ36" s="56"/>
      <c r="AW36" s="615">
        <v>0</v>
      </c>
      <c r="AX36" s="616">
        <v>54</v>
      </c>
      <c r="AY36" s="639">
        <v>27</v>
      </c>
      <c r="AZ36" s="103"/>
      <c r="BA36" s="385">
        <f t="shared" si="7"/>
        <v>3.1</v>
      </c>
      <c r="BB36" s="60">
        <v>1.3</v>
      </c>
      <c r="BC36" s="407">
        <v>15920</v>
      </c>
      <c r="BE36" s="574">
        <f t="shared" si="20"/>
        <v>22</v>
      </c>
      <c r="BF36" s="559">
        <v>6901.41</v>
      </c>
      <c r="BG36" s="575">
        <f t="shared" si="8"/>
        <v>1.0000000000218279E-2</v>
      </c>
      <c r="BH36" s="576">
        <v>27.77500000000002</v>
      </c>
      <c r="BI36" s="576">
        <f t="shared" si="9"/>
        <v>12.22499999999998</v>
      </c>
    </row>
    <row r="37" spans="1:61" ht="12.95" customHeight="1">
      <c r="A37" s="48">
        <f t="shared" si="10"/>
        <v>23</v>
      </c>
      <c r="B37" s="679">
        <v>6901.42</v>
      </c>
      <c r="C37" s="483">
        <f>IF(B37="",C36,VLOOKUP(TRUNC(B37,1),VLOOKUP!$A$3:$K$2834,RIGHT(TEXT(B37,"0000.00"),1)+2,FALSE))</f>
        <v>288850</v>
      </c>
      <c r="D37" s="45">
        <f t="shared" si="11"/>
        <v>0</v>
      </c>
      <c r="E37" s="55">
        <f t="shared" si="0"/>
        <v>136850</v>
      </c>
      <c r="F37" s="112">
        <f t="shared" si="1"/>
        <v>0</v>
      </c>
      <c r="G37" s="627">
        <v>39.1</v>
      </c>
      <c r="H37" s="113">
        <v>0</v>
      </c>
      <c r="I37" s="47">
        <f t="shared" si="12"/>
        <v>39.1</v>
      </c>
      <c r="J37" s="42">
        <f t="shared" si="13"/>
        <v>4</v>
      </c>
      <c r="K37" s="47">
        <f t="shared" si="2"/>
        <v>43.1</v>
      </c>
      <c r="L37" s="47">
        <f t="shared" si="14"/>
        <v>4</v>
      </c>
      <c r="M37" s="114">
        <v>3.1</v>
      </c>
      <c r="N37" s="47">
        <v>0</v>
      </c>
      <c r="O37" s="47">
        <f t="shared" si="15"/>
        <v>0</v>
      </c>
      <c r="P37" s="39">
        <v>0</v>
      </c>
      <c r="Q37" s="73">
        <f>1060600/325851/1.9835*1.02</f>
        <v>1.6737883148076551</v>
      </c>
      <c r="R37" s="73">
        <v>0</v>
      </c>
      <c r="S37" s="73">
        <f t="shared" si="24"/>
        <v>2.22119248</v>
      </c>
      <c r="T37" s="73">
        <f t="shared" si="25"/>
        <v>0.58680752000000003</v>
      </c>
      <c r="U37" s="243">
        <f t="shared" si="17"/>
        <v>-1.3817883148076553</v>
      </c>
      <c r="V37" s="47">
        <v>0</v>
      </c>
      <c r="W37" s="47">
        <v>0</v>
      </c>
      <c r="X37" s="47">
        <f t="shared" si="3"/>
        <v>2.2204460492503131E-16</v>
      </c>
      <c r="Y37" s="47">
        <f t="shared" si="4"/>
        <v>2.2204460492503131E-16</v>
      </c>
      <c r="Z37" s="42"/>
      <c r="AA37" s="47"/>
      <c r="AB37" s="42"/>
      <c r="AC37" s="42"/>
      <c r="AD37" s="55"/>
      <c r="AE37" s="47">
        <v>0</v>
      </c>
      <c r="AF37" s="114"/>
      <c r="AG37" s="212"/>
      <c r="AH37" s="47">
        <v>40</v>
      </c>
      <c r="AI37" s="55">
        <f t="shared" si="21"/>
        <v>4352.1578774893114</v>
      </c>
      <c r="AJ37" s="55"/>
      <c r="AK37" s="74">
        <f t="shared" si="18"/>
        <v>43.1</v>
      </c>
      <c r="AL37" s="47">
        <f t="shared" si="19"/>
        <v>0</v>
      </c>
      <c r="AM37" s="47">
        <f t="shared" si="5"/>
        <v>43.1</v>
      </c>
      <c r="AN37" s="203"/>
      <c r="AO37" s="618">
        <f t="shared" si="6"/>
        <v>37.426211685192349</v>
      </c>
      <c r="AP37" s="42"/>
      <c r="AQ37" s="56"/>
      <c r="AW37" s="615">
        <v>0</v>
      </c>
      <c r="AX37" s="616">
        <v>49</v>
      </c>
      <c r="AY37" s="678">
        <v>28</v>
      </c>
      <c r="AZ37" s="115"/>
      <c r="BA37" s="385">
        <f t="shared" si="7"/>
        <v>3.1</v>
      </c>
      <c r="BB37" s="60">
        <v>1.3</v>
      </c>
      <c r="BC37" s="407">
        <v>15920</v>
      </c>
      <c r="BE37" s="574">
        <f t="shared" si="20"/>
        <v>23</v>
      </c>
      <c r="BF37" s="559">
        <v>6901.41</v>
      </c>
      <c r="BG37" s="575">
        <f t="shared" si="8"/>
        <v>1.0000000000218279E-2</v>
      </c>
      <c r="BH37" s="576">
        <v>27.495833333333351</v>
      </c>
      <c r="BI37" s="576">
        <f t="shared" si="9"/>
        <v>12.504166666666649</v>
      </c>
    </row>
    <row r="38" spans="1:61" ht="12.95" customHeight="1">
      <c r="A38" s="48">
        <f t="shared" si="10"/>
        <v>24</v>
      </c>
      <c r="B38" s="679">
        <v>6901.43</v>
      </c>
      <c r="C38" s="483">
        <f>IF(B38="",C37,VLOOKUP(TRUNC(B38,1),VLOOKUP!$A$3:$K$2834,RIGHT(TEXT(B38,"0000.00"),1)+2,FALSE))</f>
        <v>288887</v>
      </c>
      <c r="D38" s="45">
        <f t="shared" si="11"/>
        <v>37</v>
      </c>
      <c r="E38" s="55">
        <f t="shared" si="0"/>
        <v>136887</v>
      </c>
      <c r="F38" s="112">
        <f t="shared" si="1"/>
        <v>18.653894630703302</v>
      </c>
      <c r="G38" s="627">
        <v>42</v>
      </c>
      <c r="H38" s="113">
        <v>0</v>
      </c>
      <c r="I38" s="47">
        <f t="shared" si="12"/>
        <v>42</v>
      </c>
      <c r="J38" s="42">
        <f t="shared" si="13"/>
        <v>20.553894630703301</v>
      </c>
      <c r="K38" s="47">
        <f t="shared" si="2"/>
        <v>62.553894630703297</v>
      </c>
      <c r="L38" s="47">
        <f t="shared" si="14"/>
        <v>20.553894630703301</v>
      </c>
      <c r="M38" s="114">
        <v>3.9</v>
      </c>
      <c r="N38" s="47">
        <v>0</v>
      </c>
      <c r="O38" s="47">
        <f t="shared" si="15"/>
        <v>0</v>
      </c>
      <c r="P38" s="39">
        <v>0</v>
      </c>
      <c r="Q38" s="73">
        <f>1012100/325851/1.9835*1.02</f>
        <v>1.5972479289240316</v>
      </c>
      <c r="R38" s="73">
        <v>0</v>
      </c>
      <c r="S38" s="73">
        <f t="shared" si="24"/>
        <v>2.22119248</v>
      </c>
      <c r="T38" s="73">
        <f t="shared" si="25"/>
        <v>0.58680752000000003</v>
      </c>
      <c r="U38" s="243">
        <f t="shared" si="17"/>
        <v>-0.50524792892403125</v>
      </c>
      <c r="V38" s="47">
        <v>0</v>
      </c>
      <c r="W38" s="47">
        <v>0</v>
      </c>
      <c r="X38" s="47">
        <f t="shared" si="3"/>
        <v>0</v>
      </c>
      <c r="Y38" s="47">
        <f t="shared" si="4"/>
        <v>0</v>
      </c>
      <c r="Z38" s="42"/>
      <c r="AA38" s="47"/>
      <c r="AB38" s="42"/>
      <c r="AC38" s="42"/>
      <c r="AD38" s="55"/>
      <c r="AE38" s="47">
        <v>0</v>
      </c>
      <c r="AF38" s="114"/>
      <c r="AG38" s="212"/>
      <c r="AH38" s="47">
        <v>40</v>
      </c>
      <c r="AI38" s="55">
        <f t="shared" si="21"/>
        <v>4312.1578774893114</v>
      </c>
      <c r="AJ38" s="55"/>
      <c r="AK38" s="74">
        <f t="shared" si="18"/>
        <v>43.9</v>
      </c>
      <c r="AL38" s="47">
        <f t="shared" si="19"/>
        <v>0</v>
      </c>
      <c r="AM38" s="47">
        <f t="shared" si="5"/>
        <v>43.9</v>
      </c>
      <c r="AN38" s="203"/>
      <c r="AO38" s="618">
        <f t="shared" si="6"/>
        <v>40.402752071075966</v>
      </c>
      <c r="AP38" s="42"/>
      <c r="AQ38" s="56"/>
      <c r="AW38" s="615">
        <v>0.44</v>
      </c>
      <c r="AX38" s="616">
        <v>47</v>
      </c>
      <c r="AY38" s="678">
        <v>32</v>
      </c>
      <c r="AZ38" s="115"/>
      <c r="BA38" s="385">
        <f t="shared" si="7"/>
        <v>3.9</v>
      </c>
      <c r="BB38" s="60">
        <v>1.37</v>
      </c>
      <c r="BC38" s="407">
        <v>15922</v>
      </c>
      <c r="BE38" s="574">
        <f t="shared" si="20"/>
        <v>24</v>
      </c>
      <c r="BF38" s="559">
        <v>6901.43</v>
      </c>
      <c r="BG38" s="575">
        <f t="shared" si="8"/>
        <v>0</v>
      </c>
      <c r="BH38" s="576">
        <v>27.836458333333354</v>
      </c>
      <c r="BI38" s="576">
        <f t="shared" si="9"/>
        <v>12.163541666666646</v>
      </c>
    </row>
    <row r="39" spans="1:61" ht="12.95" customHeight="1">
      <c r="A39" s="48">
        <f t="shared" si="10"/>
        <v>25</v>
      </c>
      <c r="B39" s="679">
        <v>6901.46</v>
      </c>
      <c r="C39" s="483">
        <f>IF(B39="",C38,VLOOKUP(TRUNC(B39,1),VLOOKUP!$A$3:$K$2834,RIGHT(TEXT(B39,"0000.00"),1)+2,FALSE))</f>
        <v>288999</v>
      </c>
      <c r="D39" s="45">
        <f t="shared" si="11"/>
        <v>112</v>
      </c>
      <c r="E39" s="55">
        <f t="shared" si="0"/>
        <v>136999</v>
      </c>
      <c r="F39" s="112">
        <f t="shared" si="1"/>
        <v>56.465843206453236</v>
      </c>
      <c r="G39" s="627">
        <v>44</v>
      </c>
      <c r="H39" s="113">
        <v>0</v>
      </c>
      <c r="I39" s="47">
        <f t="shared" si="12"/>
        <v>44</v>
      </c>
      <c r="J39" s="42">
        <f t="shared" si="13"/>
        <v>57.165843206453239</v>
      </c>
      <c r="K39" s="47">
        <f t="shared" si="2"/>
        <v>101.16584320645325</v>
      </c>
      <c r="L39" s="47">
        <f t="shared" si="14"/>
        <v>57.165843206453239</v>
      </c>
      <c r="M39" s="114">
        <v>3.7</v>
      </c>
      <c r="N39" s="47">
        <v>0</v>
      </c>
      <c r="O39" s="47">
        <f t="shared" si="15"/>
        <v>0</v>
      </c>
      <c r="P39" s="39">
        <v>0</v>
      </c>
      <c r="Q39" s="73">
        <f>1227700/325851/1.9835*1.02</f>
        <v>1.9374975618417483</v>
      </c>
      <c r="R39" s="73">
        <v>0</v>
      </c>
      <c r="S39" s="73">
        <f t="shared" si="24"/>
        <v>2.22119248</v>
      </c>
      <c r="T39" s="73">
        <f t="shared" si="25"/>
        <v>0.58680752000000003</v>
      </c>
      <c r="U39" s="243">
        <f t="shared" si="17"/>
        <v>-1.0454975618417475</v>
      </c>
      <c r="V39" s="47">
        <v>0</v>
      </c>
      <c r="W39" s="47">
        <v>0</v>
      </c>
      <c r="X39" s="47">
        <f t="shared" si="3"/>
        <v>0</v>
      </c>
      <c r="Y39" s="47">
        <f t="shared" si="4"/>
        <v>0</v>
      </c>
      <c r="Z39" s="42"/>
      <c r="AA39" s="47"/>
      <c r="AB39" s="42"/>
      <c r="AC39" s="42"/>
      <c r="AD39" s="55"/>
      <c r="AE39" s="47">
        <v>0</v>
      </c>
      <c r="AF39" s="114"/>
      <c r="AG39" s="212"/>
      <c r="AH39" s="47">
        <v>41</v>
      </c>
      <c r="AI39" s="55">
        <f t="shared" si="21"/>
        <v>4271.1578774893114</v>
      </c>
      <c r="AJ39" s="55"/>
      <c r="AK39" s="74">
        <f t="shared" si="18"/>
        <v>44.7</v>
      </c>
      <c r="AL39" s="47">
        <f t="shared" si="19"/>
        <v>0</v>
      </c>
      <c r="AM39" s="47">
        <f t="shared" si="5"/>
        <v>44.7</v>
      </c>
      <c r="AN39" s="203"/>
      <c r="AO39" s="618">
        <f t="shared" si="6"/>
        <v>42.062502438158255</v>
      </c>
      <c r="AP39" s="42"/>
      <c r="AQ39" s="56"/>
      <c r="AW39" s="615">
        <v>0.125</v>
      </c>
      <c r="AX39" s="616">
        <v>41</v>
      </c>
      <c r="AY39" s="678">
        <v>26</v>
      </c>
      <c r="AZ39" s="115"/>
      <c r="BA39" s="385">
        <f t="shared" si="7"/>
        <v>3.7</v>
      </c>
      <c r="BB39" s="60">
        <v>1.63</v>
      </c>
      <c r="BC39" s="407">
        <v>15935</v>
      </c>
      <c r="BE39" s="574">
        <f t="shared" si="20"/>
        <v>25</v>
      </c>
      <c r="BF39" s="559">
        <v>6901.46</v>
      </c>
      <c r="BG39" s="575">
        <f t="shared" si="8"/>
        <v>0</v>
      </c>
      <c r="BH39" s="576">
        <v>27.809375000000017</v>
      </c>
      <c r="BI39" s="576">
        <f t="shared" si="9"/>
        <v>13.190624999999983</v>
      </c>
    </row>
    <row r="40" spans="1:61" ht="12.95" customHeight="1">
      <c r="A40" s="48">
        <f t="shared" si="10"/>
        <v>26</v>
      </c>
      <c r="B40" s="679">
        <v>6901.46</v>
      </c>
      <c r="C40" s="483">
        <f>IF(B40="",C39,VLOOKUP(TRUNC(B40,1),VLOOKUP!$A$3:$K$2834,RIGHT(TEXT(B40,"0000.00"),1)+2,FALSE))</f>
        <v>288999</v>
      </c>
      <c r="D40" s="45">
        <f t="shared" si="11"/>
        <v>0</v>
      </c>
      <c r="E40" s="55">
        <f t="shared" si="0"/>
        <v>136999</v>
      </c>
      <c r="F40" s="112">
        <f t="shared" si="1"/>
        <v>0</v>
      </c>
      <c r="G40" s="627">
        <v>44.5</v>
      </c>
      <c r="H40" s="113">
        <v>0</v>
      </c>
      <c r="I40" s="47">
        <f t="shared" si="12"/>
        <v>44.5</v>
      </c>
      <c r="J40" s="42">
        <f t="shared" si="13"/>
        <v>0.20000000000000284</v>
      </c>
      <c r="K40" s="47">
        <f t="shared" si="2"/>
        <v>44.7</v>
      </c>
      <c r="L40" s="47">
        <f t="shared" si="14"/>
        <v>0.20000000000000284</v>
      </c>
      <c r="M40" s="114">
        <v>3.7</v>
      </c>
      <c r="N40" s="47">
        <v>0</v>
      </c>
      <c r="O40" s="47">
        <f t="shared" si="15"/>
        <v>0</v>
      </c>
      <c r="P40" s="39">
        <v>0</v>
      </c>
      <c r="Q40" s="73">
        <f>948200/325851/1.9835*1.02</f>
        <v>1.4964039978319992</v>
      </c>
      <c r="R40" s="73">
        <v>0</v>
      </c>
      <c r="S40" s="73">
        <f t="shared" si="24"/>
        <v>2.22119248</v>
      </c>
      <c r="T40" s="73">
        <f t="shared" si="25"/>
        <v>0.58680752000000003</v>
      </c>
      <c r="U40" s="243">
        <f t="shared" si="17"/>
        <v>-0.60440399783199883</v>
      </c>
      <c r="V40" s="47">
        <v>0</v>
      </c>
      <c r="W40" s="47">
        <v>0</v>
      </c>
      <c r="X40" s="47">
        <f t="shared" si="3"/>
        <v>0</v>
      </c>
      <c r="Y40" s="47">
        <f t="shared" si="4"/>
        <v>0</v>
      </c>
      <c r="Z40" s="42"/>
      <c r="AA40" s="47"/>
      <c r="AB40" s="42"/>
      <c r="AC40" s="42"/>
      <c r="AD40" s="55"/>
      <c r="AE40" s="47">
        <v>0</v>
      </c>
      <c r="AF40" s="114"/>
      <c r="AG40" s="212"/>
      <c r="AH40" s="47">
        <v>41</v>
      </c>
      <c r="AI40" s="55">
        <f t="shared" si="21"/>
        <v>4230.1578774893114</v>
      </c>
      <c r="AJ40" s="55"/>
      <c r="AK40" s="74">
        <f t="shared" si="18"/>
        <v>44.7</v>
      </c>
      <c r="AL40" s="47">
        <f t="shared" si="19"/>
        <v>0</v>
      </c>
      <c r="AM40" s="47">
        <f t="shared" si="5"/>
        <v>44.7</v>
      </c>
      <c r="AN40" s="203"/>
      <c r="AO40" s="618">
        <f t="shared" si="6"/>
        <v>43.003596002168003</v>
      </c>
      <c r="AP40" s="42"/>
      <c r="AQ40" s="56"/>
      <c r="AW40" s="615">
        <v>0.1</v>
      </c>
      <c r="AX40" s="616">
        <v>45</v>
      </c>
      <c r="AY40" s="639">
        <v>20</v>
      </c>
      <c r="AZ40" s="103"/>
      <c r="BA40" s="385">
        <f t="shared" si="7"/>
        <v>3.7</v>
      </c>
      <c r="BB40" s="60">
        <v>1.63</v>
      </c>
      <c r="BC40" s="407">
        <v>15946</v>
      </c>
      <c r="BE40" s="574">
        <f t="shared" si="20"/>
        <v>26</v>
      </c>
      <c r="BF40" s="559">
        <v>6901.46</v>
      </c>
      <c r="BG40" s="575">
        <f t="shared" si="8"/>
        <v>0</v>
      </c>
      <c r="BH40" s="576">
        <v>27.822916666666686</v>
      </c>
      <c r="BI40" s="576">
        <f t="shared" si="9"/>
        <v>13.177083333333314</v>
      </c>
    </row>
    <row r="41" spans="1:61" ht="12.95" customHeight="1">
      <c r="A41" s="48">
        <f t="shared" si="10"/>
        <v>27</v>
      </c>
      <c r="B41" s="679">
        <v>6901.48</v>
      </c>
      <c r="C41" s="483">
        <f>IF(B41="",C40,VLOOKUP(TRUNC(B41,1),VLOOKUP!$A$3:$K$2834,RIGHT(TEXT(B41,"0000.00"),1)+2,FALSE))</f>
        <v>289074</v>
      </c>
      <c r="D41" s="45">
        <f t="shared" si="11"/>
        <v>75</v>
      </c>
      <c r="E41" s="55">
        <f t="shared" si="0"/>
        <v>137074</v>
      </c>
      <c r="F41" s="112">
        <f t="shared" si="1"/>
        <v>37.811948575749938</v>
      </c>
      <c r="G41" s="627">
        <v>42</v>
      </c>
      <c r="H41" s="113">
        <v>0</v>
      </c>
      <c r="I41" s="47">
        <f t="shared" si="12"/>
        <v>42</v>
      </c>
      <c r="J41" s="42">
        <f t="shared" si="13"/>
        <v>40.411948575749939</v>
      </c>
      <c r="K41" s="47">
        <f t="shared" si="2"/>
        <v>82.411948575749932</v>
      </c>
      <c r="L41" s="47">
        <f t="shared" si="14"/>
        <v>40.411948575749939</v>
      </c>
      <c r="M41" s="114">
        <v>3.6</v>
      </c>
      <c r="N41" s="47">
        <v>0</v>
      </c>
      <c r="O41" s="47">
        <f t="shared" si="15"/>
        <v>0</v>
      </c>
      <c r="P41" s="39">
        <v>0</v>
      </c>
      <c r="Q41" s="73">
        <f>879000/325851/1.9835*1.02</f>
        <v>1.3871958596227878</v>
      </c>
      <c r="R41" s="73">
        <v>0</v>
      </c>
      <c r="S41" s="73">
        <f>IF(((2.2*1.04)-T41)&gt;=4.2,4.2,(2.2*1.04)-T41)</f>
        <v>1.7095707200000003</v>
      </c>
      <c r="T41" s="73">
        <f>(0.5247*1.06)*1.04</f>
        <v>0.57842928000000005</v>
      </c>
      <c r="U41" s="243">
        <f t="shared" si="17"/>
        <v>-7.5195859622787964E-2</v>
      </c>
      <c r="V41" s="47">
        <v>0</v>
      </c>
      <c r="W41" s="47">
        <v>0</v>
      </c>
      <c r="X41" s="47">
        <f t="shared" si="3"/>
        <v>0</v>
      </c>
      <c r="Y41" s="47">
        <f t="shared" si="4"/>
        <v>0</v>
      </c>
      <c r="Z41" s="42"/>
      <c r="AA41" s="47"/>
      <c r="AB41" s="42"/>
      <c r="AC41" s="42"/>
      <c r="AD41" s="55"/>
      <c r="AE41" s="47">
        <v>0</v>
      </c>
      <c r="AF41" s="114"/>
      <c r="AG41" s="212"/>
      <c r="AH41" s="47">
        <v>41</v>
      </c>
      <c r="AI41" s="55">
        <f t="shared" si="21"/>
        <v>4189.1578774893114</v>
      </c>
      <c r="AJ41" s="55"/>
      <c r="AK41" s="74">
        <f t="shared" si="18"/>
        <v>44.6</v>
      </c>
      <c r="AL41" s="47">
        <f t="shared" si="19"/>
        <v>0</v>
      </c>
      <c r="AM41" s="47">
        <f t="shared" si="5"/>
        <v>44.6</v>
      </c>
      <c r="AN41" s="203"/>
      <c r="AO41" s="618">
        <f t="shared" si="6"/>
        <v>40.612804140377214</v>
      </c>
      <c r="AP41" s="42"/>
      <c r="AQ41" s="56"/>
      <c r="AW41" s="615">
        <v>0.2</v>
      </c>
      <c r="AX41" s="616">
        <v>43</v>
      </c>
      <c r="AY41" s="639">
        <v>27</v>
      </c>
      <c r="AZ41" s="103"/>
      <c r="BA41" s="385">
        <f t="shared" si="7"/>
        <v>3.6</v>
      </c>
      <c r="BB41" s="60">
        <v>1.63</v>
      </c>
      <c r="BC41" s="407">
        <v>15952</v>
      </c>
      <c r="BE41" s="574">
        <f t="shared" si="20"/>
        <v>27</v>
      </c>
      <c r="BF41" s="559">
        <v>6901.49</v>
      </c>
      <c r="BG41" s="575">
        <f t="shared" si="8"/>
        <v>-1.0000000000218279E-2</v>
      </c>
      <c r="BH41" s="576">
        <v>27.847916666666688</v>
      </c>
      <c r="BI41" s="576">
        <f t="shared" si="9"/>
        <v>13.152083333333312</v>
      </c>
    </row>
    <row r="42" spans="1:61" ht="12.95" customHeight="1">
      <c r="A42" s="48">
        <f t="shared" si="10"/>
        <v>28</v>
      </c>
      <c r="B42" s="679">
        <v>6901.48</v>
      </c>
      <c r="C42" s="483">
        <f>IF(B42="",C41,VLOOKUP(TRUNC(B42,1),VLOOKUP!$A$3:$K$2834,RIGHT(TEXT(B42,"0000.00"),1)+2,FALSE))</f>
        <v>289074</v>
      </c>
      <c r="D42" s="45">
        <f t="shared" si="11"/>
        <v>0</v>
      </c>
      <c r="E42" s="55">
        <f t="shared" si="0"/>
        <v>137074</v>
      </c>
      <c r="F42" s="112">
        <f t="shared" si="1"/>
        <v>0</v>
      </c>
      <c r="G42" s="627">
        <v>36.9</v>
      </c>
      <c r="H42" s="113">
        <v>0</v>
      </c>
      <c r="I42" s="47">
        <f t="shared" si="12"/>
        <v>36.9</v>
      </c>
      <c r="J42" s="42">
        <f t="shared" si="13"/>
        <v>7.5</v>
      </c>
      <c r="K42" s="47">
        <f t="shared" si="2"/>
        <v>44.4</v>
      </c>
      <c r="L42" s="47">
        <f t="shared" si="14"/>
        <v>7.5</v>
      </c>
      <c r="M42" s="114">
        <v>3.4</v>
      </c>
      <c r="N42" s="47">
        <v>0</v>
      </c>
      <c r="O42" s="47">
        <f t="shared" si="15"/>
        <v>0</v>
      </c>
      <c r="P42" s="39">
        <v>0</v>
      </c>
      <c r="Q42" s="73">
        <f>1020100/325851/1.9835*1.02</f>
        <v>1.6098731472141137</v>
      </c>
      <c r="R42" s="73">
        <v>0</v>
      </c>
      <c r="S42" s="73">
        <f>IF(((2.5*1.04)-T42)&gt;=4.2,4.2,(2.5*1.04)-T42)</f>
        <v>2.0215707200000002</v>
      </c>
      <c r="T42" s="73">
        <f t="shared" ref="T42:T45" si="26">(0.5247*1.06)*1.04</f>
        <v>0.57842928000000005</v>
      </c>
      <c r="U42" s="243">
        <f t="shared" si="17"/>
        <v>-0.80987314721411385</v>
      </c>
      <c r="V42" s="47">
        <v>0</v>
      </c>
      <c r="W42" s="47">
        <v>0</v>
      </c>
      <c r="X42" s="47">
        <f t="shared" si="3"/>
        <v>0</v>
      </c>
      <c r="Y42" s="47">
        <f t="shared" si="4"/>
        <v>0</v>
      </c>
      <c r="Z42" s="42"/>
      <c r="AA42" s="47"/>
      <c r="AB42" s="42"/>
      <c r="AC42" s="42"/>
      <c r="AD42" s="55"/>
      <c r="AE42" s="47">
        <v>0</v>
      </c>
      <c r="AF42" s="114"/>
      <c r="AG42" s="212"/>
      <c r="AH42" s="47">
        <v>41</v>
      </c>
      <c r="AI42" s="55">
        <f t="shared" si="21"/>
        <v>4148.1578774893114</v>
      </c>
      <c r="AJ42" s="55"/>
      <c r="AK42" s="74">
        <f t="shared" si="18"/>
        <v>44.4</v>
      </c>
      <c r="AL42" s="47">
        <f t="shared" si="19"/>
        <v>0</v>
      </c>
      <c r="AM42" s="47">
        <f t="shared" si="5"/>
        <v>44.4</v>
      </c>
      <c r="AN42" s="203"/>
      <c r="AO42" s="618">
        <f t="shared" si="6"/>
        <v>35.290126852785882</v>
      </c>
      <c r="AP42" s="42"/>
      <c r="AQ42" s="56"/>
      <c r="AW42" s="615">
        <v>0</v>
      </c>
      <c r="AX42" s="616">
        <v>32</v>
      </c>
      <c r="AY42" s="639">
        <v>12</v>
      </c>
      <c r="AZ42" s="103"/>
      <c r="BA42" s="385">
        <f t="shared" si="7"/>
        <v>3.4</v>
      </c>
      <c r="BB42" s="60">
        <v>1.63</v>
      </c>
      <c r="BC42" s="407">
        <v>15965</v>
      </c>
      <c r="BE42" s="574">
        <f t="shared" si="20"/>
        <v>28</v>
      </c>
      <c r="BF42" s="559">
        <v>6901.48</v>
      </c>
      <c r="BG42" s="575">
        <f t="shared" si="8"/>
        <v>0</v>
      </c>
      <c r="BH42" s="576">
        <v>27.750000000000018</v>
      </c>
      <c r="BI42" s="576">
        <f t="shared" si="9"/>
        <v>13.249999999999982</v>
      </c>
    </row>
    <row r="43" spans="1:61" ht="12.95" customHeight="1">
      <c r="A43" s="48">
        <f t="shared" si="10"/>
        <v>29</v>
      </c>
      <c r="B43" s="679">
        <v>6901.46</v>
      </c>
      <c r="C43" s="483">
        <f>IF(B43="",C42,VLOOKUP(TRUNC(B43,1),VLOOKUP!$A$3:$K$2834,RIGHT(TEXT(B43,"0000.00"),1)+2,FALSE))</f>
        <v>288999</v>
      </c>
      <c r="D43" s="45">
        <f t="shared" si="11"/>
        <v>-75</v>
      </c>
      <c r="E43" s="55">
        <f t="shared" si="0"/>
        <v>136999</v>
      </c>
      <c r="F43" s="112">
        <f t="shared" si="1"/>
        <v>-37.811948575749938</v>
      </c>
      <c r="G43" s="627">
        <v>28.2</v>
      </c>
      <c r="H43" s="113">
        <v>0</v>
      </c>
      <c r="I43" s="47">
        <f t="shared" si="12"/>
        <v>28.2</v>
      </c>
      <c r="J43" s="42">
        <f t="shared" si="13"/>
        <v>0</v>
      </c>
      <c r="K43" s="47">
        <f t="shared" si="2"/>
        <v>28.2</v>
      </c>
      <c r="L43" s="47">
        <f t="shared" si="14"/>
        <v>-21.311948575749934</v>
      </c>
      <c r="M43" s="114">
        <v>3.7</v>
      </c>
      <c r="N43" s="47">
        <v>0</v>
      </c>
      <c r="O43" s="47">
        <f t="shared" si="15"/>
        <v>0</v>
      </c>
      <c r="P43" s="39">
        <v>0</v>
      </c>
      <c r="Q43" s="73">
        <f>1145000/325851/1.9835*1.02</f>
        <v>1.8069843677680228</v>
      </c>
      <c r="R43" s="73">
        <v>0</v>
      </c>
      <c r="S43" s="73">
        <f>IF(((2.4*1.04)-T43)&gt;=4.2,4.2,(2.4*1.04)-T43)</f>
        <v>1.9175707200000001</v>
      </c>
      <c r="T43" s="73">
        <f t="shared" si="26"/>
        <v>0.57842928000000005</v>
      </c>
      <c r="U43" s="243">
        <f t="shared" si="17"/>
        <v>-0.60298436776802244</v>
      </c>
      <c r="V43" s="47">
        <v>0</v>
      </c>
      <c r="W43" s="47">
        <v>0</v>
      </c>
      <c r="X43" s="47">
        <f t="shared" si="3"/>
        <v>0</v>
      </c>
      <c r="Y43" s="47">
        <f t="shared" si="4"/>
        <v>0</v>
      </c>
      <c r="Z43" s="42"/>
      <c r="AA43" s="47"/>
      <c r="AB43" s="42"/>
      <c r="AC43" s="42"/>
      <c r="AD43" s="55"/>
      <c r="AE43" s="47">
        <v>0</v>
      </c>
      <c r="AF43" s="114"/>
      <c r="AG43" s="212"/>
      <c r="AH43" s="47">
        <v>41</v>
      </c>
      <c r="AI43" s="55">
        <f t="shared" si="21"/>
        <v>4107.1578774893114</v>
      </c>
      <c r="AJ43" s="55"/>
      <c r="AK43" s="74">
        <f t="shared" si="18"/>
        <v>44.7</v>
      </c>
      <c r="AL43" s="47">
        <f t="shared" si="19"/>
        <v>21.311948575749934</v>
      </c>
      <c r="AM43" s="47">
        <f t="shared" si="5"/>
        <v>66.01194857574994</v>
      </c>
      <c r="AN43" s="203"/>
      <c r="AO43" s="618">
        <f t="shared" si="6"/>
        <v>26.393015632231975</v>
      </c>
      <c r="AP43" s="42"/>
      <c r="AQ43" s="56"/>
      <c r="AW43" s="615">
        <v>0</v>
      </c>
      <c r="AX43" s="616">
        <v>28</v>
      </c>
      <c r="AY43" s="639">
        <v>5</v>
      </c>
      <c r="AZ43" s="103"/>
      <c r="BA43" s="385">
        <f t="shared" si="7"/>
        <v>3.7</v>
      </c>
      <c r="BB43" s="60">
        <v>1.63</v>
      </c>
      <c r="BC43" s="407">
        <v>15969</v>
      </c>
      <c r="BE43" s="574">
        <f t="shared" si="20"/>
        <v>29</v>
      </c>
      <c r="BF43" s="559">
        <v>6901.45</v>
      </c>
      <c r="BG43" s="575">
        <f t="shared" si="8"/>
        <v>1.0000000000218279E-2</v>
      </c>
      <c r="BH43" s="576">
        <v>27.807291666666682</v>
      </c>
      <c r="BI43" s="576">
        <f t="shared" si="9"/>
        <v>13.192708333333318</v>
      </c>
    </row>
    <row r="44" spans="1:61" ht="12.95" customHeight="1">
      <c r="A44" s="48">
        <v>30</v>
      </c>
      <c r="B44" s="679">
        <v>6901.45</v>
      </c>
      <c r="C44" s="483">
        <f>IF(B44="",C43,VLOOKUP(TRUNC(B44,1),VLOOKUP!$A$3:$K$2834,RIGHT(TEXT(B44,"0000.00"),1)+2,FALSE))</f>
        <v>288962</v>
      </c>
      <c r="D44" s="45">
        <f>C44-C43</f>
        <v>-37</v>
      </c>
      <c r="E44" s="55">
        <f t="shared" si="0"/>
        <v>136962</v>
      </c>
      <c r="F44" s="112">
        <f t="shared" si="1"/>
        <v>-18.653894630703302</v>
      </c>
      <c r="G44" s="627">
        <v>23.2</v>
      </c>
      <c r="H44" s="113">
        <v>0</v>
      </c>
      <c r="I44" s="47">
        <f t="shared" si="12"/>
        <v>23.2</v>
      </c>
      <c r="J44" s="42">
        <f t="shared" si="13"/>
        <v>3.0461053692966971</v>
      </c>
      <c r="K44" s="47">
        <f t="shared" si="2"/>
        <v>26.246105369296696</v>
      </c>
      <c r="L44" s="47">
        <f t="shared" si="14"/>
        <v>3.0461053692966971</v>
      </c>
      <c r="M44" s="114">
        <v>3.9</v>
      </c>
      <c r="N44" s="47">
        <v>0</v>
      </c>
      <c r="O44" s="47">
        <f t="shared" si="15"/>
        <v>0</v>
      </c>
      <c r="P44" s="39">
        <v>0</v>
      </c>
      <c r="Q44" s="73">
        <f>970500/325851/1.9835*1.02</f>
        <v>1.5315967938156037</v>
      </c>
      <c r="R44" s="73">
        <v>0</v>
      </c>
      <c r="S44" s="73">
        <f>IF(((2.4*1.04)-T44)&gt;=4.2,4.2,(2.4*1.04)-T44)</f>
        <v>1.9175707200000001</v>
      </c>
      <c r="T44" s="73">
        <f t="shared" si="26"/>
        <v>0.57842928000000005</v>
      </c>
      <c r="U44" s="243">
        <f t="shared" si="17"/>
        <v>-0.12759679381560352</v>
      </c>
      <c r="V44" s="47">
        <v>0</v>
      </c>
      <c r="W44" s="47">
        <v>0</v>
      </c>
      <c r="X44" s="47">
        <f t="shared" si="3"/>
        <v>0</v>
      </c>
      <c r="Y44" s="47">
        <f t="shared" si="4"/>
        <v>0</v>
      </c>
      <c r="Z44" s="42"/>
      <c r="AA44" s="47"/>
      <c r="AB44" s="42"/>
      <c r="AC44" s="42"/>
      <c r="AD44" s="55"/>
      <c r="AE44" s="47">
        <v>0</v>
      </c>
      <c r="AF44" s="114"/>
      <c r="AG44" s="212"/>
      <c r="AH44" s="47">
        <v>41</v>
      </c>
      <c r="AI44" s="55">
        <f>AI43-AH44</f>
        <v>4066.1578774893114</v>
      </c>
      <c r="AJ44" s="55"/>
      <c r="AK44" s="74">
        <f t="shared" si="18"/>
        <v>44.9</v>
      </c>
      <c r="AL44" s="47">
        <f t="shared" si="19"/>
        <v>0</v>
      </c>
      <c r="AM44" s="47">
        <f t="shared" si="5"/>
        <v>44.9</v>
      </c>
      <c r="AN44" s="203"/>
      <c r="AO44" s="618">
        <f t="shared" si="6"/>
        <v>21.668403206184397</v>
      </c>
      <c r="AP44" s="42"/>
      <c r="AQ44" s="56"/>
      <c r="AW44" s="615">
        <v>0</v>
      </c>
      <c r="AX44" s="616">
        <v>31</v>
      </c>
      <c r="AY44" s="639">
        <v>7</v>
      </c>
      <c r="AZ44" s="103"/>
      <c r="BA44" s="385">
        <f t="shared" si="7"/>
        <v>3.9</v>
      </c>
      <c r="BB44" s="60">
        <v>1.63</v>
      </c>
      <c r="BC44" s="407">
        <v>15969</v>
      </c>
      <c r="BE44" s="574">
        <v>30</v>
      </c>
      <c r="BF44" s="559">
        <v>6901.45</v>
      </c>
      <c r="BG44" s="575">
        <f t="shared" si="8"/>
        <v>0</v>
      </c>
      <c r="BH44" s="576">
        <v>27.923958333333356</v>
      </c>
      <c r="BI44" s="576">
        <f t="shared" si="9"/>
        <v>13.076041666666644</v>
      </c>
    </row>
    <row r="45" spans="1:61" ht="12.95" customHeight="1">
      <c r="A45" s="48">
        <v>31</v>
      </c>
      <c r="B45" s="679">
        <v>6901.44</v>
      </c>
      <c r="C45" s="483">
        <f>IF(B45="",C44,VLOOKUP(TRUNC(B45,1),VLOOKUP!$A$3:$K$2834,RIGHT(TEXT(B45,"0000.00"),1)+2,FALSE))</f>
        <v>288924</v>
      </c>
      <c r="D45" s="45">
        <f t="shared" si="11"/>
        <v>-38</v>
      </c>
      <c r="E45" s="55">
        <f t="shared" si="0"/>
        <v>136924</v>
      </c>
      <c r="F45" s="112">
        <f t="shared" si="1"/>
        <v>-19.158053945046635</v>
      </c>
      <c r="G45" s="627">
        <v>22.6</v>
      </c>
      <c r="H45" s="113">
        <v>0</v>
      </c>
      <c r="I45" s="47">
        <f t="shared" si="12"/>
        <v>22.6</v>
      </c>
      <c r="J45" s="42">
        <f t="shared" si="13"/>
        <v>2.941946054953366</v>
      </c>
      <c r="K45" s="47">
        <f t="shared" si="2"/>
        <v>25.541946054953367</v>
      </c>
      <c r="L45" s="47">
        <f t="shared" si="14"/>
        <v>2.941946054953366</v>
      </c>
      <c r="M45" s="114">
        <v>3.7</v>
      </c>
      <c r="N45" s="47">
        <v>0</v>
      </c>
      <c r="O45" s="47">
        <f t="shared" si="15"/>
        <v>0</v>
      </c>
      <c r="P45" s="39">
        <v>0</v>
      </c>
      <c r="Q45" s="73">
        <f>1274600/325851/1.9835*1.02</f>
        <v>2.0115129040673554</v>
      </c>
      <c r="R45" s="73">
        <v>0</v>
      </c>
      <c r="S45" s="73">
        <f>IF(((2.5*1.04)-T45)&gt;=4.2,4.2,(2.5*1.04)-T45)</f>
        <v>2.0215707200000002</v>
      </c>
      <c r="T45" s="73">
        <f t="shared" si="26"/>
        <v>0.57842928000000005</v>
      </c>
      <c r="U45" s="243">
        <f t="shared" si="17"/>
        <v>-0.9115129040673553</v>
      </c>
      <c r="V45" s="47">
        <v>0</v>
      </c>
      <c r="W45" s="47">
        <v>0</v>
      </c>
      <c r="X45" s="47">
        <f t="shared" si="3"/>
        <v>0</v>
      </c>
      <c r="Y45" s="47">
        <f t="shared" si="4"/>
        <v>0</v>
      </c>
      <c r="Z45" s="42"/>
      <c r="AA45" s="47"/>
      <c r="AB45" s="42"/>
      <c r="AC45" s="42"/>
      <c r="AD45" s="55"/>
      <c r="AE45" s="47">
        <v>0</v>
      </c>
      <c r="AF45" s="114"/>
      <c r="AG45" s="212"/>
      <c r="AH45" s="47">
        <v>41</v>
      </c>
      <c r="AI45" s="55">
        <f t="shared" si="21"/>
        <v>4025.1578774893114</v>
      </c>
      <c r="AJ45" s="55"/>
      <c r="AK45" s="74">
        <f t="shared" si="18"/>
        <v>44.7</v>
      </c>
      <c r="AL45" s="47">
        <f t="shared" si="19"/>
        <v>0</v>
      </c>
      <c r="AM45" s="112">
        <f t="shared" si="5"/>
        <v>44.7</v>
      </c>
      <c r="AN45" s="203"/>
      <c r="AO45" s="618">
        <f t="shared" si="6"/>
        <v>20.588487095932646</v>
      </c>
      <c r="AP45" s="42"/>
      <c r="AQ45" s="56"/>
      <c r="AW45" s="615">
        <v>0.05</v>
      </c>
      <c r="AX45" s="616">
        <v>36</v>
      </c>
      <c r="AY45" s="639">
        <v>6</v>
      </c>
      <c r="AZ45" s="103"/>
      <c r="BA45" s="385">
        <f t="shared" si="7"/>
        <v>3.7</v>
      </c>
      <c r="BB45" s="60">
        <v>1.63</v>
      </c>
      <c r="BC45" s="407">
        <v>15970</v>
      </c>
      <c r="BE45" s="574">
        <f t="shared" si="20"/>
        <v>31</v>
      </c>
      <c r="BF45" s="559">
        <v>6901.43</v>
      </c>
      <c r="BG45" s="575">
        <f t="shared" si="8"/>
        <v>9.999999999308784E-3</v>
      </c>
      <c r="BH45" s="576">
        <v>27.975000000000019</v>
      </c>
      <c r="BI45" s="576">
        <f t="shared" si="9"/>
        <v>13.024999999999981</v>
      </c>
    </row>
    <row r="46" spans="1:61" ht="3" customHeight="1">
      <c r="A46" s="54"/>
      <c r="B46" s="116"/>
      <c r="C46" s="57"/>
      <c r="D46" s="59"/>
      <c r="E46" s="57"/>
      <c r="F46" s="106"/>
      <c r="G46" s="59"/>
      <c r="H46" s="107"/>
      <c r="I46" s="59"/>
      <c r="J46" s="59"/>
      <c r="K46" s="59"/>
      <c r="L46" s="59"/>
      <c r="M46" s="59"/>
      <c r="N46" s="59"/>
      <c r="O46" s="59"/>
      <c r="P46" s="40"/>
      <c r="Q46" s="59"/>
      <c r="R46" s="59"/>
      <c r="S46" s="59"/>
      <c r="T46" s="59"/>
      <c r="U46" s="130"/>
      <c r="V46" s="59"/>
      <c r="W46" s="59"/>
      <c r="X46" s="59">
        <f>M46-N46-O46-Q46-R46-S46+V46+W46</f>
        <v>0</v>
      </c>
      <c r="Y46" s="59">
        <f>N46-O46-P46-R46-S46-U46+W46+X46</f>
        <v>0</v>
      </c>
      <c r="Z46" s="41"/>
      <c r="AA46" s="59"/>
      <c r="AB46" s="41"/>
      <c r="AC46" s="41"/>
      <c r="AD46" s="57"/>
      <c r="AE46" s="59"/>
      <c r="AF46" s="108"/>
      <c r="AG46" s="109"/>
      <c r="AH46" s="108"/>
      <c r="AI46" s="59"/>
      <c r="AJ46" s="59"/>
      <c r="AK46" s="59">
        <f>N46+O46+Q46+R46+S46+X46+AE46+AH46</f>
        <v>0</v>
      </c>
      <c r="AL46" s="59"/>
      <c r="AM46" s="106"/>
      <c r="AN46" s="44"/>
      <c r="AO46" s="185"/>
      <c r="AP46" s="41"/>
      <c r="AQ46" s="44"/>
      <c r="AR46" s="88"/>
      <c r="AS46" s="88"/>
      <c r="AT46" s="88"/>
      <c r="AU46" s="88"/>
      <c r="AV46" s="44"/>
      <c r="AW46" s="110"/>
      <c r="AX46" s="44"/>
      <c r="AY46" s="44" t="s">
        <v>46</v>
      </c>
      <c r="AZ46" s="44" t="s">
        <v>46</v>
      </c>
      <c r="BA46" s="44" t="s">
        <v>46</v>
      </c>
      <c r="BB46" s="44"/>
      <c r="BC46" s="44"/>
      <c r="BE46" s="572"/>
      <c r="BF46" s="497"/>
      <c r="BG46" s="497"/>
      <c r="BH46" s="573"/>
      <c r="BI46" s="573"/>
    </row>
    <row r="47" spans="1:61" ht="12.95" customHeight="1">
      <c r="A47" s="90" t="s">
        <v>33</v>
      </c>
      <c r="B47" s="98"/>
      <c r="C47" s="55"/>
      <c r="D47" s="55"/>
      <c r="E47" s="55"/>
      <c r="F47" s="99">
        <f t="shared" ref="F47:W47" si="27">SUM(F15:F45)</f>
        <v>93.773632467859869</v>
      </c>
      <c r="G47" s="55">
        <f t="shared" si="27"/>
        <v>985.7</v>
      </c>
      <c r="H47" s="55">
        <f t="shared" si="27"/>
        <v>0</v>
      </c>
      <c r="I47" s="55">
        <f t="shared" si="27"/>
        <v>985.7</v>
      </c>
      <c r="J47" s="55">
        <f t="shared" si="27"/>
        <v>543.04505671792299</v>
      </c>
      <c r="K47" s="55">
        <f t="shared" si="27"/>
        <v>1528.7450567179228</v>
      </c>
      <c r="L47" s="55">
        <f t="shared" si="27"/>
        <v>444.61363246785987</v>
      </c>
      <c r="M47" s="100">
        <f>SUM(M15:M45)</f>
        <v>89.54000000000002</v>
      </c>
      <c r="N47" s="55">
        <f>SUM(N15:N45)</f>
        <v>0</v>
      </c>
      <c r="O47" s="55">
        <f>SUM(O15:O45)-SUM(O28:O33)</f>
        <v>0</v>
      </c>
      <c r="P47" s="39"/>
      <c r="Q47" s="55">
        <f t="shared" si="27"/>
        <v>50.613711048796624</v>
      </c>
      <c r="R47" s="55">
        <f t="shared" si="27"/>
        <v>0</v>
      </c>
      <c r="S47" s="55">
        <f t="shared" si="27"/>
        <v>45.019798719999997</v>
      </c>
      <c r="T47" s="55">
        <f>SUM(T15:T45)</f>
        <v>17.044537120000008</v>
      </c>
      <c r="U47" s="126">
        <f>SUM(U15:U45)</f>
        <v>-23.138046888796627</v>
      </c>
      <c r="V47" s="55">
        <f t="shared" si="27"/>
        <v>0</v>
      </c>
      <c r="W47" s="55">
        <f t="shared" si="27"/>
        <v>0</v>
      </c>
      <c r="X47" s="55">
        <f>SUM(X15:X45)</f>
        <v>1.1657341758564144E-15</v>
      </c>
      <c r="Y47" s="55">
        <f>SUM(Y15:Y45)</f>
        <v>1.1657341758564144E-15</v>
      </c>
      <c r="Z47" s="42"/>
      <c r="AA47" s="55"/>
      <c r="AB47" s="42"/>
      <c r="AC47" s="47">
        <f>SUM(AC15:AC45)</f>
        <v>0</v>
      </c>
      <c r="AD47" s="55"/>
      <c r="AE47" s="55"/>
      <c r="AF47" s="100"/>
      <c r="AG47" s="101"/>
      <c r="AH47" s="55">
        <f>SUM(AH15:AH45)</f>
        <v>1247</v>
      </c>
      <c r="AI47" s="55"/>
      <c r="AJ47" s="62">
        <f t="shared" ref="AJ47:AP47" si="28">SUM(AJ15:AJ45)</f>
        <v>0</v>
      </c>
      <c r="AK47" s="55">
        <f t="shared" si="28"/>
        <v>1336.5400000000002</v>
      </c>
      <c r="AL47" s="55">
        <f t="shared" si="28"/>
        <v>98.431424250063003</v>
      </c>
      <c r="AM47" s="99">
        <f t="shared" si="28"/>
        <v>1434.9714242500631</v>
      </c>
      <c r="AN47" s="55">
        <f t="shared" si="28"/>
        <v>0</v>
      </c>
      <c r="AO47" s="43">
        <f>SUM(AO15:AO45)</f>
        <v>935.08628895120341</v>
      </c>
      <c r="AP47" s="42">
        <f t="shared" si="28"/>
        <v>0</v>
      </c>
      <c r="AQ47" s="56"/>
      <c r="AW47" s="102">
        <f>SUM(AW15:AW45)</f>
        <v>1.9</v>
      </c>
      <c r="AX47" s="45">
        <f>AVERAGE(AX15:AX45)</f>
        <v>44.032258064516128</v>
      </c>
      <c r="AY47" s="45">
        <f>AVERAGE(AY15:AY45)</f>
        <v>20.516129032258064</v>
      </c>
      <c r="AZ47" s="103" t="s">
        <v>41</v>
      </c>
      <c r="BA47" s="375">
        <f>SUM(BA15:BA45)</f>
        <v>89.54000000000002</v>
      </c>
      <c r="BB47" s="90">
        <f>SUM(BB15:BB45)</f>
        <v>36.731000000000009</v>
      </c>
      <c r="BC47" s="407"/>
      <c r="BF47" s="489"/>
      <c r="BG47" s="489"/>
      <c r="BH47" s="505">
        <f>SUM(BH15:BH44)</f>
        <v>828.83977747573613</v>
      </c>
      <c r="BI47" s="505">
        <f>SUM(BI15:BI44)</f>
        <v>377.16022252426376</v>
      </c>
    </row>
    <row r="48" spans="1:61" ht="12.95" customHeight="1">
      <c r="A48" s="90" t="s">
        <v>34</v>
      </c>
      <c r="B48" s="98"/>
      <c r="C48" s="55"/>
      <c r="D48" s="55">
        <f>SUM(D15:D45)</f>
        <v>186</v>
      </c>
      <c r="E48" s="55"/>
      <c r="F48" s="99">
        <f t="shared" ref="F48:Y48" si="29">F47*$D$2</f>
        <v>186.00000000000006</v>
      </c>
      <c r="G48" s="55">
        <f t="shared" si="29"/>
        <v>1955.1359500000001</v>
      </c>
      <c r="H48" s="55">
        <f t="shared" si="29"/>
        <v>0</v>
      </c>
      <c r="I48" s="55">
        <f t="shared" si="29"/>
        <v>1955.1359500000001</v>
      </c>
      <c r="J48" s="55">
        <f t="shared" si="29"/>
        <v>1077.1298700000002</v>
      </c>
      <c r="K48" s="55">
        <f t="shared" si="29"/>
        <v>3032.2658200000001</v>
      </c>
      <c r="L48" s="55">
        <f t="shared" si="29"/>
        <v>881.89114000000006</v>
      </c>
      <c r="M48" s="100">
        <f t="shared" si="29"/>
        <v>177.60259000000005</v>
      </c>
      <c r="N48" s="55">
        <f t="shared" si="29"/>
        <v>0</v>
      </c>
      <c r="O48" s="55">
        <f t="shared" si="29"/>
        <v>0</v>
      </c>
      <c r="P48" s="39"/>
      <c r="Q48" s="55">
        <f t="shared" si="29"/>
        <v>100.39229586528811</v>
      </c>
      <c r="R48" s="55">
        <f>R47*$D$2</f>
        <v>0</v>
      </c>
      <c r="S48" s="55">
        <f>S47*$D$2</f>
        <v>89.296770761120001</v>
      </c>
      <c r="T48" s="55">
        <f>T47*$D$2</f>
        <v>33.807839377520018</v>
      </c>
      <c r="U48" s="126">
        <f>U47*$D$2</f>
        <v>-45.894316003928111</v>
      </c>
      <c r="V48" s="55">
        <f t="shared" si="29"/>
        <v>0</v>
      </c>
      <c r="W48" s="55">
        <f t="shared" si="29"/>
        <v>0</v>
      </c>
      <c r="X48" s="55">
        <f t="shared" si="29"/>
        <v>2.312233737811198E-15</v>
      </c>
      <c r="Y48" s="55">
        <f t="shared" si="29"/>
        <v>2.312233737811198E-15</v>
      </c>
      <c r="Z48" s="42"/>
      <c r="AA48" s="55"/>
      <c r="AB48" s="42"/>
      <c r="AC48" s="47">
        <f>AC47*$D$2</f>
        <v>0</v>
      </c>
      <c r="AD48" s="55"/>
      <c r="AE48" s="55"/>
      <c r="AF48" s="100"/>
      <c r="AG48" s="101"/>
      <c r="AH48" s="55">
        <f>AH47*$D$2</f>
        <v>2473.4245000000001</v>
      </c>
      <c r="AI48" s="55"/>
      <c r="AJ48" s="62">
        <f t="shared" ref="AJ48:AP48" si="30">AJ47*$D$2</f>
        <v>0</v>
      </c>
      <c r="AK48" s="55">
        <f t="shared" si="30"/>
        <v>2651.0270900000005</v>
      </c>
      <c r="AL48" s="55">
        <f t="shared" si="30"/>
        <v>195.23872999999998</v>
      </c>
      <c r="AM48" s="99">
        <f t="shared" si="30"/>
        <v>2846.2658200000001</v>
      </c>
      <c r="AN48" s="55">
        <f t="shared" si="30"/>
        <v>0</v>
      </c>
      <c r="AO48" s="43">
        <f t="shared" ref="AO48" si="31">AO47*$D$2</f>
        <v>1854.743654134712</v>
      </c>
      <c r="AP48" s="42">
        <f t="shared" si="30"/>
        <v>0</v>
      </c>
      <c r="AQ48" s="56"/>
      <c r="AW48" s="102"/>
      <c r="AX48" s="45">
        <f>MAX(AX15:AX45)</f>
        <v>54</v>
      </c>
      <c r="AY48" s="45">
        <f>MAX(AY15:AY45)</f>
        <v>32</v>
      </c>
      <c r="AZ48" s="103" t="s">
        <v>35</v>
      </c>
      <c r="BA48" s="375">
        <f>BA47*$D$2</f>
        <v>177.60259000000005</v>
      </c>
      <c r="BB48" s="90">
        <f>BB47*D2</f>
        <v>72.855938500000022</v>
      </c>
      <c r="BC48" s="407"/>
      <c r="BF48" s="489"/>
      <c r="BG48" s="489"/>
      <c r="BH48" s="505">
        <f>BH47*$D$2</f>
        <v>1644.0036986231225</v>
      </c>
      <c r="BI48" s="505">
        <f>BI47*$D$2</f>
        <v>748.09730137687723</v>
      </c>
    </row>
    <row r="49" spans="1:61" ht="3" customHeight="1">
      <c r="A49" s="54"/>
      <c r="B49" s="116"/>
      <c r="C49" s="57"/>
      <c r="D49" s="57"/>
      <c r="E49" s="57"/>
      <c r="F49" s="117"/>
      <c r="G49" s="57"/>
      <c r="H49" s="57"/>
      <c r="I49" s="57"/>
      <c r="J49" s="57"/>
      <c r="K49" s="57"/>
      <c r="L49" s="57"/>
      <c r="M49" s="118"/>
      <c r="N49" s="57"/>
      <c r="O49" s="57"/>
      <c r="P49" s="40"/>
      <c r="Q49" s="57"/>
      <c r="R49" s="57"/>
      <c r="S49" s="57"/>
      <c r="T49" s="57"/>
      <c r="U49" s="130"/>
      <c r="V49" s="57"/>
      <c r="W49" s="57"/>
      <c r="X49" s="57"/>
      <c r="Y49" s="57"/>
      <c r="Z49" s="41"/>
      <c r="AA49" s="57"/>
      <c r="AB49" s="41"/>
      <c r="AC49" s="59"/>
      <c r="AD49" s="57"/>
      <c r="AE49" s="57"/>
      <c r="AF49" s="118"/>
      <c r="AG49" s="119"/>
      <c r="AH49" s="57"/>
      <c r="AI49" s="59"/>
      <c r="AJ49" s="69"/>
      <c r="AK49" s="57"/>
      <c r="AL49" s="57"/>
      <c r="AM49" s="117"/>
      <c r="AN49" s="57"/>
      <c r="AO49" s="185"/>
      <c r="AP49" s="41"/>
      <c r="AQ49" s="57"/>
      <c r="AR49" s="51"/>
      <c r="AS49" s="51"/>
      <c r="AT49" s="88"/>
      <c r="AU49" s="88"/>
      <c r="AV49" s="44"/>
      <c r="AW49" s="120"/>
      <c r="AX49" s="57"/>
      <c r="AY49" s="57"/>
      <c r="AZ49" s="57"/>
      <c r="BA49" s="57"/>
      <c r="BB49" s="59"/>
      <c r="BC49" s="57"/>
      <c r="BE49" s="572"/>
      <c r="BF49" s="497"/>
      <c r="BG49" s="497"/>
      <c r="BH49" s="506"/>
      <c r="BI49" s="506"/>
    </row>
    <row r="50" spans="1:61" ht="12.95" customHeight="1">
      <c r="A50" s="90" t="s">
        <v>36</v>
      </c>
      <c r="B50" s="98"/>
      <c r="C50" s="55"/>
      <c r="D50" s="55"/>
      <c r="E50" s="55"/>
      <c r="F50" s="99"/>
      <c r="G50" s="55"/>
      <c r="H50" s="55"/>
      <c r="I50" s="55"/>
      <c r="J50" s="55"/>
      <c r="K50" s="55"/>
      <c r="L50" s="55"/>
      <c r="M50" s="100"/>
      <c r="N50" s="55"/>
      <c r="O50" s="474"/>
      <c r="P50" s="39"/>
      <c r="Q50" s="55"/>
      <c r="R50" s="55"/>
      <c r="S50" s="55"/>
      <c r="T50" s="55"/>
      <c r="U50" s="126"/>
      <c r="V50" s="55"/>
      <c r="W50" s="55"/>
      <c r="X50" s="55"/>
      <c r="Y50" s="55"/>
      <c r="Z50" s="42"/>
      <c r="AA50" s="55"/>
      <c r="AB50" s="42"/>
      <c r="AC50" s="47"/>
      <c r="AD50" s="55"/>
      <c r="AE50" s="55"/>
      <c r="AF50" s="100"/>
      <c r="AG50" s="101"/>
      <c r="AH50" s="55"/>
      <c r="AI50" s="55"/>
      <c r="AJ50" s="62"/>
      <c r="AK50" s="55"/>
      <c r="AL50" s="55"/>
      <c r="AM50" s="99"/>
      <c r="AN50" s="55"/>
      <c r="AO50" s="180"/>
      <c r="AP50" s="42"/>
      <c r="AQ50" s="56"/>
      <c r="AW50" s="102"/>
      <c r="AX50" s="45">
        <f>MIN(AX15:AX45)</f>
        <v>28</v>
      </c>
      <c r="AY50" s="45">
        <f>MIN(AY15:AY45)</f>
        <v>5</v>
      </c>
      <c r="AZ50" s="103" t="s">
        <v>37</v>
      </c>
      <c r="BA50" s="375"/>
      <c r="BB50" s="90"/>
      <c r="BC50" s="407"/>
      <c r="BF50" s="489"/>
      <c r="BG50" s="489"/>
      <c r="BH50" s="505"/>
      <c r="BI50" s="505"/>
    </row>
    <row r="51" spans="1:61" ht="12.95" customHeight="1">
      <c r="A51" s="90" t="s">
        <v>38</v>
      </c>
      <c r="B51" s="98"/>
      <c r="C51" s="55"/>
      <c r="D51" s="55"/>
      <c r="E51" s="55"/>
      <c r="F51" s="99"/>
      <c r="G51" s="55"/>
      <c r="H51" s="55"/>
      <c r="I51" s="55"/>
      <c r="J51" s="55"/>
      <c r="K51" s="55"/>
      <c r="L51" s="55"/>
      <c r="M51" s="100"/>
      <c r="N51" s="55"/>
      <c r="O51" s="55"/>
      <c r="P51" s="39"/>
      <c r="Q51" s="55"/>
      <c r="R51" s="55"/>
      <c r="S51" s="55"/>
      <c r="T51" s="55"/>
      <c r="U51" s="126"/>
      <c r="V51" s="55"/>
      <c r="W51" s="55"/>
      <c r="X51" s="55"/>
      <c r="Y51" s="55"/>
      <c r="Z51" s="42"/>
      <c r="AA51" s="55"/>
      <c r="AB51" s="42"/>
      <c r="AC51" s="47"/>
      <c r="AD51" s="55"/>
      <c r="AE51" s="55"/>
      <c r="AF51" s="100"/>
      <c r="AG51" s="101"/>
      <c r="AH51" s="55"/>
      <c r="AI51" s="55"/>
      <c r="AJ51" s="62"/>
      <c r="AK51" s="55"/>
      <c r="AL51" s="55"/>
      <c r="AM51" s="99"/>
      <c r="AN51" s="55"/>
      <c r="AO51" s="180"/>
      <c r="AP51" s="42"/>
      <c r="AQ51" s="56"/>
      <c r="AW51" s="102"/>
      <c r="AX51" s="45"/>
      <c r="AY51" s="45"/>
      <c r="AZ51" s="103"/>
      <c r="BA51" s="375"/>
      <c r="BB51" s="90"/>
      <c r="BC51" s="407"/>
      <c r="BF51" s="489"/>
      <c r="BG51" s="489"/>
      <c r="BH51" s="505"/>
      <c r="BI51" s="505"/>
    </row>
    <row r="52" spans="1:61" ht="3" customHeight="1">
      <c r="A52" s="54"/>
      <c r="B52" s="116"/>
      <c r="C52" s="57"/>
      <c r="D52" s="57"/>
      <c r="E52" s="57"/>
      <c r="F52" s="117"/>
      <c r="G52" s="57"/>
      <c r="H52" s="44"/>
      <c r="I52" s="57"/>
      <c r="J52" s="57"/>
      <c r="K52" s="57"/>
      <c r="L52" s="57"/>
      <c r="M52" s="118"/>
      <c r="N52" s="57"/>
      <c r="O52" s="57"/>
      <c r="P52" s="40"/>
      <c r="Q52" s="57"/>
      <c r="R52" s="57"/>
      <c r="S52" s="57"/>
      <c r="T52" s="57"/>
      <c r="U52" s="130"/>
      <c r="V52" s="57"/>
      <c r="W52" s="57"/>
      <c r="X52" s="57"/>
      <c r="Y52" s="57"/>
      <c r="Z52" s="41"/>
      <c r="AA52" s="57"/>
      <c r="AB52" s="41"/>
      <c r="AC52" s="59"/>
      <c r="AD52" s="57"/>
      <c r="AE52" s="57"/>
      <c r="AF52" s="118"/>
      <c r="AG52" s="119"/>
      <c r="AH52" s="57"/>
      <c r="AI52" s="57"/>
      <c r="AJ52" s="69"/>
      <c r="AK52" s="57"/>
      <c r="AL52" s="57"/>
      <c r="AM52" s="117"/>
      <c r="AN52" s="57"/>
      <c r="AO52" s="185"/>
      <c r="AP52" s="41"/>
      <c r="AQ52" s="58"/>
      <c r="AR52" s="53"/>
      <c r="AS52" s="53"/>
      <c r="AT52" s="88"/>
      <c r="AU52" s="88"/>
      <c r="AV52" s="44"/>
      <c r="AW52" s="110"/>
      <c r="AX52" s="58"/>
      <c r="AY52" s="58"/>
      <c r="AZ52" s="58"/>
      <c r="BA52" s="58"/>
      <c r="BB52" s="59"/>
      <c r="BC52" s="58"/>
      <c r="BE52" s="572"/>
      <c r="BF52" s="497"/>
      <c r="BG52" s="497"/>
      <c r="BH52" s="506"/>
      <c r="BI52" s="506"/>
    </row>
    <row r="53" spans="1:61" ht="12.95" customHeight="1">
      <c r="A53" s="90" t="s">
        <v>39</v>
      </c>
      <c r="B53" s="98"/>
      <c r="C53" s="55"/>
      <c r="D53" s="55"/>
      <c r="E53" s="55"/>
      <c r="F53" s="99">
        <f t="shared" ref="F53:N53" si="32">F13+F47</f>
        <v>-1395.5129821023447</v>
      </c>
      <c r="G53" s="55">
        <f t="shared" si="32"/>
        <v>2175</v>
      </c>
      <c r="H53" s="45">
        <f t="shared" si="32"/>
        <v>0</v>
      </c>
      <c r="I53" s="55">
        <f t="shared" si="32"/>
        <v>2175</v>
      </c>
      <c r="J53" s="55">
        <f t="shared" si="32"/>
        <v>924.82816738089241</v>
      </c>
      <c r="K53" s="55">
        <f t="shared" si="32"/>
        <v>3099.8281673808924</v>
      </c>
      <c r="L53" s="55">
        <f t="shared" si="32"/>
        <v>306.82701789765582</v>
      </c>
      <c r="M53" s="100">
        <f t="shared" si="32"/>
        <v>204.34000000000003</v>
      </c>
      <c r="N53" s="55">
        <f t="shared" si="32"/>
        <v>0</v>
      </c>
      <c r="O53" s="55">
        <v>0</v>
      </c>
      <c r="P53" s="39"/>
      <c r="Q53" s="55">
        <f t="shared" ref="Q53:Y53" si="33">Q13+Q47</f>
        <v>100.91510576014235</v>
      </c>
      <c r="R53" s="55">
        <f t="shared" si="33"/>
        <v>0</v>
      </c>
      <c r="S53" s="55">
        <f t="shared" si="33"/>
        <v>98.098690559999994</v>
      </c>
      <c r="T53" s="55">
        <f>T13+T47</f>
        <v>33.74964528000001</v>
      </c>
      <c r="U53" s="126">
        <f t="shared" si="33"/>
        <v>-28.42344160014235</v>
      </c>
      <c r="V53" s="55">
        <f t="shared" si="33"/>
        <v>1242</v>
      </c>
      <c r="W53" s="55">
        <f t="shared" si="33"/>
        <v>0</v>
      </c>
      <c r="X53" s="55">
        <f t="shared" si="33"/>
        <v>1242</v>
      </c>
      <c r="Y53" s="55">
        <f t="shared" si="33"/>
        <v>1242</v>
      </c>
      <c r="Z53" s="42"/>
      <c r="AA53" s="55"/>
      <c r="AB53" s="42"/>
      <c r="AC53" s="55">
        <f>AC13+AC47</f>
        <v>0</v>
      </c>
      <c r="AD53" s="55"/>
      <c r="AE53" s="55"/>
      <c r="AF53" s="100"/>
      <c r="AG53" s="101"/>
      <c r="AH53" s="55">
        <f>AH13+AH47</f>
        <v>2431</v>
      </c>
      <c r="AI53" s="55">
        <f>AI45</f>
        <v>4025.1578774893114</v>
      </c>
      <c r="AJ53" s="62">
        <f>AJ14+AJ47</f>
        <v>0</v>
      </c>
      <c r="AK53" s="55">
        <f t="shared" ref="AK53:AP53" si="34">AK13+AK47</f>
        <v>3877.34</v>
      </c>
      <c r="AL53" s="55">
        <f t="shared" si="34"/>
        <v>618.00114948323653</v>
      </c>
      <c r="AM53" s="99">
        <f t="shared" si="34"/>
        <v>4495.3411494832362</v>
      </c>
      <c r="AN53" s="55">
        <f t="shared" si="34"/>
        <v>1242</v>
      </c>
      <c r="AO53" s="43">
        <f t="shared" si="34"/>
        <v>832.08489423985782</v>
      </c>
      <c r="AP53" s="42">
        <f t="shared" si="34"/>
        <v>0</v>
      </c>
      <c r="AQ53" s="56"/>
      <c r="AW53" s="102">
        <f>AW13+AW47</f>
        <v>3.16</v>
      </c>
      <c r="AX53" s="45"/>
      <c r="AY53" s="45"/>
      <c r="AZ53" s="103"/>
      <c r="BA53" s="375">
        <f>BA13+BA47</f>
        <v>204.34000000000003</v>
      </c>
      <c r="BB53" s="90">
        <f>BB47+BB13</f>
        <v>65.039000000000001</v>
      </c>
      <c r="BC53" s="407"/>
      <c r="BF53" s="489"/>
      <c r="BG53" s="489"/>
      <c r="BH53" s="505">
        <f>BH13+BH47</f>
        <v>1564.706640378962</v>
      </c>
      <c r="BI53" s="505">
        <f>BI13+BI47</f>
        <v>825.29335962103789</v>
      </c>
    </row>
    <row r="54" spans="1:61" ht="12.95" customHeight="1">
      <c r="A54" s="90" t="s">
        <v>40</v>
      </c>
      <c r="B54" s="98"/>
      <c r="C54" s="55"/>
      <c r="D54" s="55">
        <f>D13+D48</f>
        <v>-2768</v>
      </c>
      <c r="E54" s="55">
        <f>E45</f>
        <v>136924</v>
      </c>
      <c r="F54" s="99">
        <f t="shared" ref="F54:AH54" si="35">F53*$D$2</f>
        <v>-2768.0000000000009</v>
      </c>
      <c r="G54" s="55">
        <f t="shared" si="35"/>
        <v>4314.1125000000002</v>
      </c>
      <c r="H54" s="45">
        <f t="shared" si="35"/>
        <v>0</v>
      </c>
      <c r="I54" s="55">
        <f t="shared" si="35"/>
        <v>4314.1125000000002</v>
      </c>
      <c r="J54" s="55">
        <f t="shared" si="35"/>
        <v>1834.3966700000001</v>
      </c>
      <c r="K54" s="55">
        <f t="shared" si="35"/>
        <v>6148.5091700000003</v>
      </c>
      <c r="L54" s="55">
        <f t="shared" si="35"/>
        <v>608.59139000000039</v>
      </c>
      <c r="M54" s="100">
        <f t="shared" si="35"/>
        <v>405.30839000000009</v>
      </c>
      <c r="N54" s="55">
        <f t="shared" si="35"/>
        <v>0</v>
      </c>
      <c r="O54" s="55">
        <f t="shared" si="35"/>
        <v>0</v>
      </c>
      <c r="P54" s="39"/>
      <c r="Q54" s="55">
        <f t="shared" si="35"/>
        <v>200.16511227524236</v>
      </c>
      <c r="R54" s="55">
        <f>R53*$D$2</f>
        <v>0</v>
      </c>
      <c r="S54" s="246">
        <f>S53*$D$2</f>
        <v>194.57875272575998</v>
      </c>
      <c r="T54" s="246">
        <f>T53*$D$2</f>
        <v>66.942421412880023</v>
      </c>
      <c r="U54" s="247">
        <f>U53*$D$2</f>
        <v>-56.377896413882354</v>
      </c>
      <c r="V54" s="55">
        <f t="shared" si="35"/>
        <v>2463.5070000000001</v>
      </c>
      <c r="W54" s="55">
        <f t="shared" si="35"/>
        <v>0</v>
      </c>
      <c r="X54" s="55">
        <f t="shared" si="35"/>
        <v>2463.5070000000001</v>
      </c>
      <c r="Y54" s="55">
        <f t="shared" si="35"/>
        <v>2463.5070000000001</v>
      </c>
      <c r="Z54" s="42"/>
      <c r="AA54" s="55"/>
      <c r="AB54" s="42"/>
      <c r="AC54" s="55">
        <f>AC53*$D$2</f>
        <v>0</v>
      </c>
      <c r="AD54" s="55"/>
      <c r="AE54" s="55"/>
      <c r="AF54" s="211"/>
      <c r="AG54" s="121"/>
      <c r="AH54" s="55">
        <f t="shared" si="35"/>
        <v>4821.8885</v>
      </c>
      <c r="AI54" s="55">
        <f t="shared" ref="AI54:AP54" si="36">AI53*$D$2</f>
        <v>7983.9006500000496</v>
      </c>
      <c r="AJ54" s="62">
        <f t="shared" si="36"/>
        <v>0</v>
      </c>
      <c r="AK54" s="55">
        <f t="shared" si="36"/>
        <v>7690.7038900000007</v>
      </c>
      <c r="AL54" s="55">
        <f t="shared" si="36"/>
        <v>1225.8052799999996</v>
      </c>
      <c r="AM54" s="437">
        <f t="shared" si="36"/>
        <v>8916.5091699999994</v>
      </c>
      <c r="AN54" s="55">
        <f t="shared" si="36"/>
        <v>2463.5070000000001</v>
      </c>
      <c r="AO54" s="43">
        <f>AO53*$D$2</f>
        <v>1650.440387724758</v>
      </c>
      <c r="AP54" s="42">
        <f t="shared" si="36"/>
        <v>0</v>
      </c>
      <c r="AQ54" s="56"/>
      <c r="AW54" s="102"/>
      <c r="AX54" s="45"/>
      <c r="AY54" s="45"/>
      <c r="AZ54" s="103"/>
      <c r="BA54" s="376">
        <f>BA53*$D$2</f>
        <v>405.30839000000009</v>
      </c>
      <c r="BB54" s="90">
        <f>BB53*D2</f>
        <v>129.00485650000002</v>
      </c>
      <c r="BC54" s="407"/>
      <c r="BF54" s="489"/>
      <c r="BG54" s="489"/>
      <c r="BH54" s="505">
        <f>BH53*$D$2</f>
        <v>3103.5956211916714</v>
      </c>
      <c r="BI54" s="505">
        <f>BI53*$D$2</f>
        <v>1636.9693788083287</v>
      </c>
    </row>
    <row r="55" spans="1:61" ht="3" customHeight="1">
      <c r="A55" s="54"/>
      <c r="B55" s="116"/>
      <c r="C55" s="57"/>
      <c r="D55" s="59"/>
      <c r="E55" s="57"/>
      <c r="F55" s="106"/>
      <c r="G55" s="59"/>
      <c r="H55" s="107"/>
      <c r="I55" s="59"/>
      <c r="J55" s="59"/>
      <c r="K55" s="59"/>
      <c r="L55" s="59"/>
      <c r="M55" s="108"/>
      <c r="N55" s="59"/>
      <c r="O55" s="59"/>
      <c r="P55" s="40"/>
      <c r="Q55" s="59"/>
      <c r="R55" s="59"/>
      <c r="S55" s="59"/>
      <c r="T55" s="59"/>
      <c r="U55" s="130"/>
      <c r="V55" s="59"/>
      <c r="W55" s="59"/>
      <c r="X55" s="59"/>
      <c r="Y55" s="59"/>
      <c r="Z55" s="41"/>
      <c r="AA55" s="59"/>
      <c r="AB55" s="41"/>
      <c r="AC55" s="41"/>
      <c r="AD55" s="57"/>
      <c r="AE55" s="59"/>
      <c r="AF55" s="108"/>
      <c r="AG55" s="109"/>
      <c r="AH55" s="59"/>
      <c r="AI55" s="57"/>
      <c r="AJ55" s="57"/>
      <c r="AK55" s="59"/>
      <c r="AL55" s="59"/>
      <c r="AM55" s="59"/>
      <c r="AN55" s="116"/>
      <c r="AO55" s="185"/>
      <c r="AP55" s="41"/>
      <c r="AQ55" s="59"/>
      <c r="AR55" s="54"/>
      <c r="AS55" s="54"/>
      <c r="AT55" s="88"/>
      <c r="AU55" s="88"/>
      <c r="AV55" s="44"/>
      <c r="AW55" s="116"/>
      <c r="AX55" s="59"/>
      <c r="AY55" s="59"/>
      <c r="AZ55" s="59"/>
      <c r="BA55" s="59"/>
      <c r="BB55" s="59"/>
      <c r="BC55" s="59"/>
      <c r="BE55" s="572"/>
      <c r="BF55" s="578"/>
      <c r="BG55" s="578"/>
      <c r="BH55" s="579"/>
      <c r="BI55" s="579"/>
    </row>
    <row r="56" spans="1:61" ht="11.1" customHeight="1">
      <c r="A56" s="90"/>
      <c r="B56" s="286"/>
      <c r="D56" s="90"/>
      <c r="F56" s="90"/>
      <c r="G56" s="90"/>
      <c r="I56" s="90"/>
      <c r="J56" s="90"/>
      <c r="K56" s="90"/>
      <c r="L56" s="90"/>
      <c r="M56" s="90"/>
      <c r="N56" s="90"/>
      <c r="O56" s="90"/>
      <c r="Q56" s="90"/>
      <c r="R56" s="90"/>
      <c r="S56" s="90"/>
      <c r="T56" s="90"/>
      <c r="V56" s="90"/>
      <c r="W56" s="90"/>
      <c r="X56" s="90"/>
      <c r="Y56" s="90"/>
      <c r="AA56" s="90"/>
      <c r="AD56" s="49"/>
      <c r="AE56" s="90"/>
      <c r="AF56" s="90"/>
      <c r="AG56" s="90"/>
      <c r="AH56" s="90"/>
      <c r="AI56" s="49"/>
      <c r="AJ56" s="175"/>
      <c r="AK56" s="90"/>
      <c r="AL56" s="90"/>
      <c r="AM56" s="90"/>
      <c r="AN56" s="48"/>
      <c r="AO56" s="27"/>
      <c r="AP56" s="28"/>
      <c r="AY56" s="78"/>
      <c r="AZ56" s="78"/>
      <c r="BH56" s="531"/>
      <c r="BI56" s="531"/>
    </row>
    <row r="57" spans="1:61" ht="11.1" customHeight="1">
      <c r="A57" s="90"/>
      <c r="B57" s="284"/>
      <c r="F57" s="90"/>
      <c r="G57" s="90"/>
      <c r="I57" s="91"/>
      <c r="J57" s="90"/>
      <c r="K57" s="287"/>
      <c r="L57" s="90"/>
      <c r="M57" s="90"/>
      <c r="N57" s="90"/>
      <c r="O57" s="90"/>
      <c r="Q57" s="90"/>
      <c r="R57" s="90"/>
      <c r="S57" s="90"/>
      <c r="T57" s="90"/>
      <c r="V57" s="90"/>
      <c r="W57" s="90"/>
      <c r="X57" s="90"/>
      <c r="Y57" s="90"/>
      <c r="AA57" s="90"/>
      <c r="AD57" s="49"/>
      <c r="AE57" s="90"/>
      <c r="AF57" s="90"/>
      <c r="AG57" s="90"/>
      <c r="AH57" s="90"/>
      <c r="AI57" s="49"/>
      <c r="AJ57" s="175"/>
      <c r="AK57" s="90"/>
      <c r="AL57" s="90"/>
      <c r="AM57" s="90"/>
      <c r="AN57" s="48"/>
      <c r="AO57" s="27"/>
      <c r="AP57" s="28"/>
      <c r="AY57" s="78"/>
      <c r="AZ57" s="78"/>
      <c r="BF57" s="580"/>
      <c r="BG57" s="580"/>
      <c r="BH57" s="531"/>
      <c r="BI57" s="531"/>
    </row>
    <row r="58" spans="1:61" ht="11.1" customHeight="1">
      <c r="D58" s="49"/>
      <c r="Q58" s="46"/>
      <c r="R58" s="46"/>
      <c r="S58" s="46"/>
      <c r="T58" s="46"/>
      <c r="X58" s="30"/>
      <c r="Y58" s="30"/>
      <c r="AA58" s="30"/>
      <c r="AD58" s="49"/>
      <c r="AH58" s="30"/>
      <c r="AI58" s="49"/>
      <c r="AJ58" s="175"/>
      <c r="AM58" s="30"/>
      <c r="AN58" s="48"/>
      <c r="AO58" s="27"/>
      <c r="AP58" s="28"/>
      <c r="AY58" s="78"/>
      <c r="AZ58" s="78"/>
      <c r="BF58" s="538"/>
      <c r="BG58" s="538"/>
      <c r="BH58" s="510"/>
      <c r="BI58" s="510"/>
    </row>
    <row r="59" spans="1:61" ht="11.1" customHeight="1">
      <c r="B59" s="52"/>
      <c r="D59" s="49"/>
      <c r="AO59" s="27"/>
      <c r="BH59" s="510"/>
      <c r="BI59" s="510"/>
    </row>
    <row r="60" spans="1:61" ht="11.1" customHeight="1">
      <c r="G60" s="288"/>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K60"/>
  <sheetViews>
    <sheetView zoomScaleNormal="100" workbookViewId="0">
      <pane xSplit="1" ySplit="14" topLeftCell="B15" activePane="bottomRight" state="frozen"/>
      <selection activeCell="C53" sqref="C53"/>
      <selection pane="topRight" activeCell="C53" sqref="C53"/>
      <selection pane="bottomLeft" activeCell="C53" sqref="C53"/>
      <selection pane="bottomRight" activeCell="A15" sqref="A15:XFD15"/>
    </sheetView>
  </sheetViews>
  <sheetFormatPr defaultColWidth="9.33203125" defaultRowHeight="11.1" customHeight="1"/>
  <cols>
    <col min="1" max="1" width="4.6640625" style="30" customWidth="1"/>
    <col min="2" max="2" width="7" style="30" customWidth="1"/>
    <col min="3" max="3" width="6.33203125" style="49" customWidth="1"/>
    <col min="4" max="4" width="6.33203125" style="30" customWidth="1"/>
    <col min="5" max="5" width="7" style="49" customWidth="1"/>
    <col min="6" max="6" width="7.33203125" style="30" customWidth="1"/>
    <col min="7" max="7" width="6.83203125" style="30" customWidth="1"/>
    <col min="8" max="8" width="5.6640625" style="142" customWidth="1"/>
    <col min="9" max="11" width="6.33203125" style="30" customWidth="1"/>
    <col min="12" max="12" width="6.83203125" style="30" customWidth="1"/>
    <col min="13" max="13" width="5.5" style="46" customWidth="1"/>
    <col min="14" max="14" width="4.5" style="46" customWidth="1"/>
    <col min="15" max="15" width="5.5" style="46" customWidth="1"/>
    <col min="16" max="16" width="4.83203125" style="52" customWidth="1"/>
    <col min="17" max="20" width="4.33203125" style="30" customWidth="1"/>
    <col min="21" max="21" width="5.1640625" style="52" customWidth="1"/>
    <col min="22" max="23" width="5.5" style="30" customWidth="1"/>
    <col min="24" max="27" width="6.33203125" style="49" customWidth="1"/>
    <col min="28" max="28" width="5.5" style="46" customWidth="1"/>
    <col min="29" max="29" width="6" style="46" customWidth="1"/>
    <col min="30" max="33" width="5.5" style="30" customWidth="1"/>
    <col min="34" max="34" width="6.33203125" style="49" customWidth="1"/>
    <col min="35" max="35" width="5.5" style="30" customWidth="1"/>
    <col min="36" max="36" width="6.33203125" style="200" customWidth="1"/>
    <col min="37" max="37" width="6.33203125" style="30" customWidth="1"/>
    <col min="38" max="38" width="6.83203125" style="30" customWidth="1"/>
    <col min="39" max="39" width="6.83203125" style="52" customWidth="1"/>
    <col min="40" max="40" width="5.5" style="30" customWidth="1"/>
    <col min="41" max="41" width="6.33203125" style="23" customWidth="1"/>
    <col min="42" max="42" width="5.5" style="46" customWidth="1"/>
    <col min="43" max="44" width="6.33203125" style="30" customWidth="1"/>
    <col min="45" max="45" width="5.5" style="30" customWidth="1"/>
    <col min="46" max="46" width="5.33203125" style="30" customWidth="1"/>
    <col min="47" max="47" width="5.83203125" style="30" customWidth="1"/>
    <col min="48" max="48" width="6.33203125" style="30" customWidth="1"/>
    <col min="49" max="49" width="5.33203125" style="142" customWidth="1"/>
    <col min="50" max="50" width="3.83203125" style="78" customWidth="1"/>
    <col min="51" max="52" width="3.83203125" style="48" customWidth="1"/>
    <col min="53" max="53" width="5.83203125" style="200" customWidth="1"/>
    <col min="54" max="56" width="9.33203125" style="30"/>
    <col min="57" max="57" width="9.33203125" style="510" hidden="1" customWidth="1"/>
    <col min="58" max="59" width="7" style="498" hidden="1" customWidth="1"/>
    <col min="60" max="61" width="6.33203125" style="508" hidden="1" customWidth="1"/>
    <col min="62" max="63" width="9.33203125" style="30"/>
    <col min="64" max="16384" width="9.33203125" style="2"/>
  </cols>
  <sheetData>
    <row r="1" spans="1:63" ht="14.1" customHeight="1">
      <c r="A1" s="90"/>
      <c r="B1" s="90"/>
      <c r="D1" s="90"/>
      <c r="F1" s="90"/>
      <c r="G1" s="90"/>
      <c r="H1" s="91"/>
      <c r="I1" s="90"/>
      <c r="J1" s="90"/>
      <c r="K1" s="276" t="s">
        <v>53</v>
      </c>
      <c r="L1" s="90"/>
      <c r="M1" s="90"/>
      <c r="N1" s="90"/>
      <c r="O1" s="90"/>
      <c r="Q1" s="90"/>
      <c r="R1" s="90"/>
      <c r="S1" s="90"/>
      <c r="T1" s="90"/>
      <c r="V1" s="90"/>
      <c r="W1" s="90"/>
      <c r="AD1" s="90"/>
      <c r="AE1" s="90"/>
      <c r="AF1" s="90"/>
      <c r="AG1" s="90"/>
      <c r="AI1" s="90"/>
      <c r="AJ1" s="141"/>
      <c r="AK1" s="90"/>
      <c r="AL1" s="90"/>
      <c r="BF1" s="563"/>
      <c r="BG1" s="563"/>
    </row>
    <row r="2" spans="1:63" ht="14.1" customHeight="1">
      <c r="A2" s="141" t="s">
        <v>0</v>
      </c>
      <c r="B2" s="90"/>
      <c r="D2" s="277">
        <v>1.9835</v>
      </c>
      <c r="F2" s="90"/>
      <c r="G2" s="90"/>
      <c r="H2" s="91"/>
      <c r="I2" s="90"/>
      <c r="J2" s="90"/>
      <c r="K2" s="844" t="s">
        <v>186</v>
      </c>
      <c r="L2" s="844"/>
      <c r="M2" s="844"/>
      <c r="N2" s="844"/>
      <c r="O2" s="844"/>
      <c r="P2" s="844"/>
      <c r="Q2" s="844"/>
      <c r="R2" s="844"/>
      <c r="S2" s="844"/>
      <c r="T2" s="844"/>
      <c r="U2" s="844"/>
      <c r="V2" s="844"/>
      <c r="W2" s="278"/>
      <c r="X2" s="279"/>
      <c r="Y2" s="279"/>
      <c r="Z2" s="279"/>
      <c r="AA2" s="279"/>
      <c r="AB2" s="316"/>
      <c r="AC2" s="316"/>
      <c r="AD2" s="278"/>
      <c r="AE2" s="90"/>
      <c r="AF2" s="90"/>
      <c r="AG2" s="90"/>
      <c r="AI2" s="90"/>
      <c r="AJ2" s="141"/>
      <c r="AK2" s="90"/>
      <c r="AL2" s="90"/>
      <c r="BF2" s="563"/>
      <c r="BG2" s="563"/>
    </row>
    <row r="3" spans="1:63" ht="14.1" customHeight="1" thickBot="1">
      <c r="A3" s="280"/>
      <c r="B3" s="740"/>
      <c r="C3" s="741"/>
      <c r="D3" s="742"/>
      <c r="E3" s="741"/>
      <c r="F3" s="740"/>
      <c r="G3" s="716"/>
      <c r="H3" s="720"/>
      <c r="I3" s="740"/>
      <c r="J3" s="740"/>
      <c r="K3" s="740"/>
      <c r="L3" s="740"/>
      <c r="M3" s="716"/>
      <c r="N3" s="716"/>
      <c r="O3" s="716"/>
      <c r="P3" s="753"/>
      <c r="Q3" s="716"/>
      <c r="R3" s="716"/>
      <c r="S3" s="716"/>
      <c r="T3" s="716"/>
      <c r="U3" s="747"/>
      <c r="V3" s="716"/>
      <c r="W3" s="716"/>
      <c r="X3" s="741"/>
      <c r="Y3" s="741"/>
      <c r="Z3" s="741"/>
      <c r="AA3" s="741"/>
      <c r="AB3" s="756"/>
      <c r="AC3" s="756"/>
      <c r="AD3" s="740"/>
      <c r="AE3" s="740"/>
      <c r="AF3" s="740"/>
      <c r="AG3" s="740"/>
      <c r="AH3" s="713"/>
      <c r="AI3" s="740"/>
      <c r="AJ3" s="758"/>
      <c r="AK3" s="740"/>
      <c r="AL3" s="740"/>
      <c r="AM3" s="747"/>
      <c r="AN3" s="784"/>
      <c r="AO3" s="755"/>
      <c r="AP3" s="756"/>
      <c r="AQ3" s="784"/>
      <c r="AR3" s="784"/>
      <c r="AS3" s="778"/>
      <c r="AT3" s="778"/>
      <c r="AU3" s="727"/>
      <c r="AV3" s="778"/>
      <c r="AW3" s="779"/>
      <c r="AX3" s="780"/>
      <c r="AY3" s="781"/>
      <c r="AZ3" s="782"/>
      <c r="BA3" s="783"/>
      <c r="BB3" s="733"/>
      <c r="BC3" s="733"/>
      <c r="BF3" s="564"/>
      <c r="BG3" s="564"/>
      <c r="BH3" s="565"/>
      <c r="BI3" s="565"/>
    </row>
    <row r="4" spans="1:63" s="60" customFormat="1" ht="14.1" customHeight="1" thickTop="1" thickBot="1">
      <c r="A4" s="147"/>
      <c r="B4" s="148"/>
      <c r="C4" s="149"/>
      <c r="D4" s="22" t="s">
        <v>47</v>
      </c>
      <c r="E4" s="149"/>
      <c r="F4" s="147"/>
      <c r="G4" s="150"/>
      <c r="H4" s="150"/>
      <c r="I4" s="427" t="s">
        <v>124</v>
      </c>
      <c r="J4" s="150"/>
      <c r="K4" s="150"/>
      <c r="L4" s="426"/>
      <c r="M4" s="150"/>
      <c r="N4" s="150"/>
      <c r="O4" s="150"/>
      <c r="P4" s="153"/>
      <c r="Q4" s="150"/>
      <c r="R4" s="150"/>
      <c r="S4" s="150"/>
      <c r="T4" s="150"/>
      <c r="U4" s="153"/>
      <c r="V4" s="150"/>
      <c r="W4" s="150"/>
      <c r="X4" s="146" t="s">
        <v>122</v>
      </c>
      <c r="Y4" s="146"/>
      <c r="Z4" s="146"/>
      <c r="AA4" s="146"/>
      <c r="AB4" s="151"/>
      <c r="AC4" s="151"/>
      <c r="AD4" s="152"/>
      <c r="AE4" s="150"/>
      <c r="AF4" s="150"/>
      <c r="AG4" s="150"/>
      <c r="AH4" s="149"/>
      <c r="AI4" s="150"/>
      <c r="AJ4" s="258"/>
      <c r="AK4" s="150"/>
      <c r="AL4" s="150"/>
      <c r="AM4" s="153"/>
      <c r="AN4" s="348"/>
      <c r="AO4" s="582"/>
      <c r="AP4" s="27"/>
      <c r="AQ4" s="209" t="s">
        <v>55</v>
      </c>
      <c r="AR4" s="227"/>
      <c r="AS4" s="157"/>
      <c r="AT4" s="158"/>
      <c r="AU4" s="259"/>
      <c r="AV4" s="259"/>
      <c r="AW4" s="154"/>
      <c r="AX4" s="18" t="s">
        <v>48</v>
      </c>
      <c r="AY4" s="156"/>
      <c r="AZ4" s="155"/>
      <c r="BA4" s="386"/>
      <c r="BB4" s="35"/>
      <c r="BC4" s="450"/>
      <c r="BE4" s="566"/>
      <c r="BF4" s="566"/>
      <c r="BG4" s="566"/>
      <c r="BH4" s="567"/>
      <c r="BI4" s="567"/>
    </row>
    <row r="5" spans="1:63" customFormat="1" ht="12.95" customHeight="1">
      <c r="A5" s="8" t="s">
        <v>1</v>
      </c>
      <c r="B5" s="165" t="s">
        <v>2</v>
      </c>
      <c r="C5" s="13" t="s">
        <v>2</v>
      </c>
      <c r="D5" s="8" t="s">
        <v>3</v>
      </c>
      <c r="E5" s="13" t="s">
        <v>4</v>
      </c>
      <c r="F5" s="166" t="s">
        <v>5</v>
      </c>
      <c r="G5" s="623" t="s">
        <v>6</v>
      </c>
      <c r="H5" s="8" t="s">
        <v>7</v>
      </c>
      <c r="I5" s="8" t="s">
        <v>63</v>
      </c>
      <c r="J5" s="8" t="s">
        <v>8</v>
      </c>
      <c r="K5" s="8" t="s">
        <v>9</v>
      </c>
      <c r="L5" s="294" t="s">
        <v>8</v>
      </c>
      <c r="M5" s="425" t="s">
        <v>10</v>
      </c>
      <c r="N5" s="167"/>
      <c r="O5" s="167"/>
      <c r="P5" s="252"/>
      <c r="Q5" s="167"/>
      <c r="R5" s="167"/>
      <c r="S5" s="167"/>
      <c r="T5" s="167"/>
      <c r="U5" s="248"/>
      <c r="V5" s="8" t="s">
        <v>11</v>
      </c>
      <c r="W5" s="8" t="s">
        <v>12</v>
      </c>
      <c r="X5" s="8" t="s">
        <v>9</v>
      </c>
      <c r="Y5" s="8" t="s">
        <v>9</v>
      </c>
      <c r="Z5" s="12" t="s">
        <v>13</v>
      </c>
      <c r="AA5" s="8" t="s">
        <v>13</v>
      </c>
      <c r="AB5" s="12" t="s">
        <v>13</v>
      </c>
      <c r="AC5" s="12" t="s">
        <v>82</v>
      </c>
      <c r="AD5" s="14" t="s">
        <v>13</v>
      </c>
      <c r="AE5" s="8" t="s">
        <v>14</v>
      </c>
      <c r="AF5" s="215" t="s">
        <v>77</v>
      </c>
      <c r="AG5" s="213"/>
      <c r="AH5" s="8" t="s">
        <v>15</v>
      </c>
      <c r="AI5" s="13" t="s">
        <v>61</v>
      </c>
      <c r="AJ5" s="13" t="s">
        <v>88</v>
      </c>
      <c r="AK5" s="8" t="s">
        <v>63</v>
      </c>
      <c r="AL5" s="8" t="s">
        <v>8</v>
      </c>
      <c r="AM5" s="8" t="s">
        <v>9</v>
      </c>
      <c r="AN5" s="349" t="s">
        <v>52</v>
      </c>
      <c r="AO5" s="624" t="s">
        <v>159</v>
      </c>
      <c r="AP5" s="14" t="s">
        <v>13</v>
      </c>
      <c r="AQ5" s="12" t="s">
        <v>49</v>
      </c>
      <c r="AR5" s="36" t="s">
        <v>49</v>
      </c>
      <c r="AS5" s="14" t="s">
        <v>96</v>
      </c>
      <c r="AT5" s="35" t="s">
        <v>56</v>
      </c>
      <c r="AU5" s="35" t="s">
        <v>79</v>
      </c>
      <c r="AV5" s="37" t="s">
        <v>134</v>
      </c>
      <c r="AW5" s="677" t="s">
        <v>16</v>
      </c>
      <c r="AX5" s="12" t="s">
        <v>17</v>
      </c>
      <c r="AY5" s="12" t="s">
        <v>18</v>
      </c>
      <c r="AZ5" s="169"/>
      <c r="BA5" s="387" t="s">
        <v>9</v>
      </c>
      <c r="BB5" s="35" t="s">
        <v>128</v>
      </c>
      <c r="BC5" s="547" t="s">
        <v>128</v>
      </c>
      <c r="BD5" s="60"/>
      <c r="BE5" s="510"/>
      <c r="BF5" s="568" t="s">
        <v>2</v>
      </c>
      <c r="BG5" s="568"/>
      <c r="BH5" s="569" t="s">
        <v>15</v>
      </c>
      <c r="BI5" s="569" t="s">
        <v>15</v>
      </c>
      <c r="BJ5" s="60"/>
      <c r="BK5" s="60"/>
    </row>
    <row r="6" spans="1:63" customFormat="1" ht="12.95" customHeight="1">
      <c r="A6" s="170" t="s">
        <v>135</v>
      </c>
      <c r="B6" s="165" t="s">
        <v>19</v>
      </c>
      <c r="C6" s="13"/>
      <c r="D6" s="8" t="s">
        <v>20</v>
      </c>
      <c r="E6" s="13" t="s">
        <v>21</v>
      </c>
      <c r="F6" s="166" t="s">
        <v>22</v>
      </c>
      <c r="G6" s="8" t="s">
        <v>23</v>
      </c>
      <c r="H6" s="8" t="s">
        <v>64</v>
      </c>
      <c r="I6" s="8" t="s">
        <v>24</v>
      </c>
      <c r="J6" s="8" t="s">
        <v>24</v>
      </c>
      <c r="K6" s="8" t="s">
        <v>24</v>
      </c>
      <c r="L6" s="294" t="s">
        <v>25</v>
      </c>
      <c r="M6" s="8" t="s">
        <v>26</v>
      </c>
      <c r="N6" s="623" t="s">
        <v>65</v>
      </c>
      <c r="O6" s="8" t="s">
        <v>67</v>
      </c>
      <c r="P6" s="36" t="s">
        <v>84</v>
      </c>
      <c r="Q6" s="8" t="s">
        <v>57</v>
      </c>
      <c r="R6" s="8" t="s">
        <v>118</v>
      </c>
      <c r="S6" s="8"/>
      <c r="T6" s="8" t="s">
        <v>67</v>
      </c>
      <c r="U6" s="244" t="s">
        <v>87</v>
      </c>
      <c r="V6" s="8" t="s">
        <v>27</v>
      </c>
      <c r="W6" s="8" t="s">
        <v>42</v>
      </c>
      <c r="X6" s="8" t="s">
        <v>13</v>
      </c>
      <c r="Y6" s="8" t="s">
        <v>13</v>
      </c>
      <c r="Z6" s="12" t="s">
        <v>28</v>
      </c>
      <c r="AA6" s="8" t="s">
        <v>28</v>
      </c>
      <c r="AB6" s="12" t="s">
        <v>92</v>
      </c>
      <c r="AC6" s="12" t="s">
        <v>83</v>
      </c>
      <c r="AD6" s="14" t="s">
        <v>86</v>
      </c>
      <c r="AE6" s="8" t="s">
        <v>29</v>
      </c>
      <c r="AF6" s="171" t="s">
        <v>76</v>
      </c>
      <c r="AG6" s="294" t="s">
        <v>58</v>
      </c>
      <c r="AH6" s="8" t="s">
        <v>69</v>
      </c>
      <c r="AI6" s="13" t="s">
        <v>62</v>
      </c>
      <c r="AJ6" s="13"/>
      <c r="AK6" s="8" t="s">
        <v>70</v>
      </c>
      <c r="AL6" s="8" t="s">
        <v>70</v>
      </c>
      <c r="AM6" s="8" t="s">
        <v>70</v>
      </c>
      <c r="AN6" s="349" t="s">
        <v>110</v>
      </c>
      <c r="AO6" s="624" t="s">
        <v>110</v>
      </c>
      <c r="AP6" s="14" t="s">
        <v>71</v>
      </c>
      <c r="AQ6" s="12" t="s">
        <v>51</v>
      </c>
      <c r="AR6" s="36" t="s">
        <v>51</v>
      </c>
      <c r="AS6" s="14" t="s">
        <v>94</v>
      </c>
      <c r="AT6" s="35" t="s">
        <v>54</v>
      </c>
      <c r="AU6" s="35" t="s">
        <v>80</v>
      </c>
      <c r="AV6" s="37" t="s">
        <v>133</v>
      </c>
      <c r="AW6" s="172"/>
      <c r="AX6" s="12" t="s">
        <v>30</v>
      </c>
      <c r="AY6" s="12" t="s">
        <v>30</v>
      </c>
      <c r="AZ6" s="169"/>
      <c r="BA6" s="387" t="s">
        <v>99</v>
      </c>
      <c r="BB6" s="35" t="s">
        <v>130</v>
      </c>
      <c r="BC6" s="547" t="s">
        <v>129</v>
      </c>
      <c r="BD6" s="60"/>
      <c r="BE6" s="510"/>
      <c r="BF6" s="568" t="s">
        <v>19</v>
      </c>
      <c r="BG6" s="568"/>
      <c r="BH6" s="569" t="s">
        <v>69</v>
      </c>
      <c r="BI6" s="569" t="s">
        <v>69</v>
      </c>
      <c r="BJ6" s="60"/>
      <c r="BK6" s="60"/>
    </row>
    <row r="7" spans="1:63" customFormat="1" ht="12.95" customHeight="1">
      <c r="A7" s="8"/>
      <c r="B7" s="165"/>
      <c r="C7" s="13"/>
      <c r="D7" s="8"/>
      <c r="E7" s="13"/>
      <c r="F7" s="166"/>
      <c r="G7" s="8"/>
      <c r="H7" s="8"/>
      <c r="I7" s="8"/>
      <c r="J7" s="8"/>
      <c r="K7" s="8"/>
      <c r="L7" s="294"/>
      <c r="M7" s="8"/>
      <c r="N7" s="8" t="s">
        <v>66</v>
      </c>
      <c r="O7" s="8" t="s">
        <v>68</v>
      </c>
      <c r="P7" s="36"/>
      <c r="Q7" s="8" t="s">
        <v>119</v>
      </c>
      <c r="R7" s="8" t="s">
        <v>119</v>
      </c>
      <c r="S7" s="8" t="s">
        <v>58</v>
      </c>
      <c r="T7" s="8" t="s">
        <v>58</v>
      </c>
      <c r="U7" s="244" t="s">
        <v>120</v>
      </c>
      <c r="V7" s="8"/>
      <c r="W7" s="8"/>
      <c r="X7" s="13" t="s">
        <v>108</v>
      </c>
      <c r="Y7" s="13" t="s">
        <v>90</v>
      </c>
      <c r="Z7" s="12" t="s">
        <v>115</v>
      </c>
      <c r="AA7" s="8" t="s">
        <v>111</v>
      </c>
      <c r="AB7" s="12" t="s">
        <v>93</v>
      </c>
      <c r="AC7" s="12"/>
      <c r="AD7" s="14"/>
      <c r="AE7" s="294"/>
      <c r="AF7" s="295">
        <v>1.7</v>
      </c>
      <c r="AG7" s="295">
        <v>1.3</v>
      </c>
      <c r="AH7" s="171"/>
      <c r="AI7" s="62"/>
      <c r="AJ7" s="13"/>
      <c r="AK7" s="8"/>
      <c r="AL7" s="8"/>
      <c r="AM7" s="8"/>
      <c r="AN7" s="349"/>
      <c r="AO7" s="624" t="s">
        <v>147</v>
      </c>
      <c r="AP7" s="14"/>
      <c r="AQ7" s="12" t="s">
        <v>45</v>
      </c>
      <c r="AR7" s="36" t="s">
        <v>72</v>
      </c>
      <c r="AS7" s="14" t="s">
        <v>95</v>
      </c>
      <c r="AT7" s="35" t="s">
        <v>59</v>
      </c>
      <c r="AU7" s="35" t="s">
        <v>81</v>
      </c>
      <c r="AV7" s="37" t="s">
        <v>108</v>
      </c>
      <c r="AW7" s="172"/>
      <c r="AX7" s="12"/>
      <c r="AY7" s="12"/>
      <c r="AZ7" s="169"/>
      <c r="BA7" s="387" t="s">
        <v>97</v>
      </c>
      <c r="BB7" s="35"/>
      <c r="BC7" s="547"/>
      <c r="BD7" s="60"/>
      <c r="BE7" s="510"/>
      <c r="BF7" s="568" t="s">
        <v>142</v>
      </c>
      <c r="BG7" s="568"/>
      <c r="BH7" s="570" t="s">
        <v>153</v>
      </c>
      <c r="BI7" s="570" t="s">
        <v>154</v>
      </c>
      <c r="BJ7" s="60"/>
      <c r="BK7" s="60"/>
    </row>
    <row r="8" spans="1:63" customFormat="1" ht="12.95" customHeight="1">
      <c r="A8" s="8"/>
      <c r="B8" s="165"/>
      <c r="C8" s="13"/>
      <c r="D8" s="8"/>
      <c r="E8" s="13"/>
      <c r="F8" s="166"/>
      <c r="G8" s="8"/>
      <c r="H8" s="8"/>
      <c r="I8" s="8"/>
      <c r="J8" s="8"/>
      <c r="K8" s="8"/>
      <c r="L8" s="294"/>
      <c r="M8" s="8"/>
      <c r="N8" s="8"/>
      <c r="O8" s="8"/>
      <c r="P8" s="36"/>
      <c r="Q8" s="8" t="s">
        <v>58</v>
      </c>
      <c r="R8" s="8" t="s">
        <v>58</v>
      </c>
      <c r="S8" s="8"/>
      <c r="T8" s="8"/>
      <c r="U8" s="244"/>
      <c r="V8" s="8"/>
      <c r="W8" s="8"/>
      <c r="X8" s="13" t="s">
        <v>109</v>
      </c>
      <c r="Y8" s="13" t="s">
        <v>108</v>
      </c>
      <c r="Z8" s="12"/>
      <c r="AA8" s="13" t="s">
        <v>114</v>
      </c>
      <c r="AB8" s="12" t="s">
        <v>113</v>
      </c>
      <c r="AC8" s="12"/>
      <c r="AD8" s="14"/>
      <c r="AE8" s="294"/>
      <c r="AF8" s="295"/>
      <c r="AG8" s="295"/>
      <c r="AH8" s="171"/>
      <c r="AI8" s="62"/>
      <c r="AJ8" s="13"/>
      <c r="AK8" s="8"/>
      <c r="AL8" s="8"/>
      <c r="AM8" s="8"/>
      <c r="AN8" s="349"/>
      <c r="AO8" s="624" t="s">
        <v>165</v>
      </c>
      <c r="AP8" s="14"/>
      <c r="AQ8" s="12"/>
      <c r="AR8" s="36"/>
      <c r="AS8" s="14"/>
      <c r="AT8" s="35"/>
      <c r="AU8" s="35"/>
      <c r="AV8" s="37"/>
      <c r="AW8" s="172"/>
      <c r="AX8" s="12"/>
      <c r="AY8" s="12"/>
      <c r="AZ8" s="169"/>
      <c r="BA8" s="387"/>
      <c r="BB8" s="35"/>
      <c r="BC8" s="547"/>
      <c r="BD8" s="60"/>
      <c r="BE8" s="510"/>
      <c r="BF8" s="568"/>
      <c r="BG8" s="568"/>
      <c r="BH8" s="570" t="s">
        <v>155</v>
      </c>
      <c r="BI8" s="570" t="s">
        <v>153</v>
      </c>
      <c r="BJ8" s="60"/>
      <c r="BK8" s="60"/>
    </row>
    <row r="9" spans="1:63" customFormat="1" ht="12.95" customHeight="1">
      <c r="A9" s="8"/>
      <c r="B9" s="165"/>
      <c r="C9" s="13"/>
      <c r="D9" s="8"/>
      <c r="E9" s="13"/>
      <c r="F9" s="166"/>
      <c r="G9" s="8"/>
      <c r="H9" s="8"/>
      <c r="I9" s="8"/>
      <c r="J9" s="8"/>
      <c r="K9" s="8"/>
      <c r="L9" s="294"/>
      <c r="M9" s="8"/>
      <c r="N9" s="8"/>
      <c r="O9" s="8"/>
      <c r="P9" s="36"/>
      <c r="Q9" s="8"/>
      <c r="R9" s="413">
        <v>4.2</v>
      </c>
      <c r="S9" s="8"/>
      <c r="T9" s="8"/>
      <c r="U9" s="244"/>
      <c r="V9" s="8"/>
      <c r="W9" s="8"/>
      <c r="X9" s="13"/>
      <c r="Y9" s="13" t="s">
        <v>109</v>
      </c>
      <c r="Z9" s="12"/>
      <c r="AA9" s="13" t="s">
        <v>109</v>
      </c>
      <c r="AB9" s="12" t="s">
        <v>112</v>
      </c>
      <c r="AC9" s="12"/>
      <c r="AD9" s="14"/>
      <c r="AE9" s="294"/>
      <c r="AF9" s="295"/>
      <c r="AG9" s="295"/>
      <c r="AH9" s="171"/>
      <c r="AI9" s="62"/>
      <c r="AJ9" s="13"/>
      <c r="AK9" s="8"/>
      <c r="AL9" s="8"/>
      <c r="AM9" s="8"/>
      <c r="AN9" s="349"/>
      <c r="AO9" s="624"/>
      <c r="AP9" s="14"/>
      <c r="AQ9" s="12"/>
      <c r="AR9" s="36"/>
      <c r="AS9" s="14"/>
      <c r="AT9" s="35"/>
      <c r="AU9" s="35"/>
      <c r="AV9" s="37"/>
      <c r="AW9" s="172"/>
      <c r="AX9" s="12"/>
      <c r="AY9" s="12"/>
      <c r="AZ9" s="169"/>
      <c r="BA9" s="387"/>
      <c r="BB9" s="35"/>
      <c r="BC9" s="547" t="s">
        <v>141</v>
      </c>
      <c r="BD9" s="60"/>
      <c r="BE9" s="510"/>
      <c r="BF9" s="568"/>
      <c r="BG9" s="568"/>
      <c r="BH9" s="570" t="s">
        <v>156</v>
      </c>
      <c r="BI9" s="570"/>
      <c r="BJ9" s="60"/>
      <c r="BK9" s="60"/>
    </row>
    <row r="10" spans="1:63" customFormat="1" ht="12.95" customHeight="1">
      <c r="A10" s="8"/>
      <c r="B10" s="165"/>
      <c r="C10" s="13" t="s">
        <v>91</v>
      </c>
      <c r="D10" s="8"/>
      <c r="E10" s="13" t="s">
        <v>50</v>
      </c>
      <c r="F10" s="166"/>
      <c r="G10" s="8" t="s">
        <v>22</v>
      </c>
      <c r="H10" s="8" t="s">
        <v>22</v>
      </c>
      <c r="I10" s="8" t="s">
        <v>22</v>
      </c>
      <c r="J10" s="8" t="s">
        <v>22</v>
      </c>
      <c r="K10" s="8" t="s">
        <v>22</v>
      </c>
      <c r="L10" s="294" t="s">
        <v>22</v>
      </c>
      <c r="M10" s="8" t="s">
        <v>22</v>
      </c>
      <c r="N10" s="8" t="s">
        <v>22</v>
      </c>
      <c r="O10" s="8" t="s">
        <v>22</v>
      </c>
      <c r="P10" s="8" t="s">
        <v>22</v>
      </c>
      <c r="Q10" s="8" t="s">
        <v>22</v>
      </c>
      <c r="R10" s="8" t="s">
        <v>22</v>
      </c>
      <c r="S10" s="8" t="s">
        <v>22</v>
      </c>
      <c r="T10" s="8" t="s">
        <v>22</v>
      </c>
      <c r="U10" s="294" t="s">
        <v>22</v>
      </c>
      <c r="V10" s="8" t="s">
        <v>22</v>
      </c>
      <c r="W10" s="8" t="s">
        <v>22</v>
      </c>
      <c r="X10" s="13">
        <v>153400</v>
      </c>
      <c r="Y10" s="13">
        <v>150400</v>
      </c>
      <c r="Z10" s="8"/>
      <c r="AA10" s="13"/>
      <c r="AB10" s="13">
        <v>72000</v>
      </c>
      <c r="AC10" s="8" t="s">
        <v>22</v>
      </c>
      <c r="AD10" s="8" t="s">
        <v>22</v>
      </c>
      <c r="AE10" s="294" t="s">
        <v>22</v>
      </c>
      <c r="AF10" s="8" t="s">
        <v>22</v>
      </c>
      <c r="AG10" s="8" t="s">
        <v>22</v>
      </c>
      <c r="AH10" s="171" t="s">
        <v>22</v>
      </c>
      <c r="AI10" s="8" t="s">
        <v>22</v>
      </c>
      <c r="AJ10" s="8" t="s">
        <v>22</v>
      </c>
      <c r="AK10" s="8" t="s">
        <v>22</v>
      </c>
      <c r="AL10" s="8" t="s">
        <v>22</v>
      </c>
      <c r="AM10" s="166" t="s">
        <v>22</v>
      </c>
      <c r="AN10" s="14" t="s">
        <v>22</v>
      </c>
      <c r="AO10" s="619" t="s">
        <v>22</v>
      </c>
      <c r="AP10" s="14" t="s">
        <v>22</v>
      </c>
      <c r="AQ10" s="14" t="s">
        <v>22</v>
      </c>
      <c r="AR10" s="36" t="s">
        <v>73</v>
      </c>
      <c r="AS10" s="14" t="s">
        <v>22</v>
      </c>
      <c r="AT10" s="14" t="s">
        <v>22</v>
      </c>
      <c r="AU10" s="14" t="s">
        <v>22</v>
      </c>
      <c r="AV10" s="14" t="s">
        <v>22</v>
      </c>
      <c r="AW10" s="172"/>
      <c r="AX10" s="12"/>
      <c r="AY10" s="12"/>
      <c r="AZ10" s="169"/>
      <c r="BA10" s="387" t="s">
        <v>98</v>
      </c>
      <c r="BB10" s="35" t="s">
        <v>22</v>
      </c>
      <c r="BC10" s="547" t="s">
        <v>50</v>
      </c>
      <c r="BD10" s="60"/>
      <c r="BE10" s="510"/>
      <c r="BF10" s="568"/>
      <c r="BG10" s="568"/>
      <c r="BH10" s="570" t="s">
        <v>22</v>
      </c>
      <c r="BI10" s="570" t="s">
        <v>22</v>
      </c>
      <c r="BJ10" s="60"/>
      <c r="BK10" s="60"/>
    </row>
    <row r="11" spans="1:63" customFormat="1" ht="12.95" customHeight="1">
      <c r="A11" s="8"/>
      <c r="B11" s="165"/>
      <c r="C11" s="13"/>
      <c r="D11" s="8"/>
      <c r="E11" s="13"/>
      <c r="F11" s="166"/>
      <c r="G11" s="8"/>
      <c r="H11" s="8"/>
      <c r="I11" s="8"/>
      <c r="J11" s="8"/>
      <c r="K11" s="8"/>
      <c r="L11" s="294"/>
      <c r="M11" s="8"/>
      <c r="N11" s="227">
        <v>1.03</v>
      </c>
      <c r="O11" s="227">
        <v>1.05</v>
      </c>
      <c r="P11" s="227">
        <v>1.02</v>
      </c>
      <c r="Q11" s="322">
        <v>1.02</v>
      </c>
      <c r="R11" s="65">
        <v>1.04</v>
      </c>
      <c r="S11" s="8"/>
      <c r="T11" s="322">
        <v>1.04</v>
      </c>
      <c r="U11" s="244"/>
      <c r="V11" s="8"/>
      <c r="W11" s="8"/>
      <c r="X11" s="8" t="s">
        <v>22</v>
      </c>
      <c r="Y11" s="8" t="s">
        <v>22</v>
      </c>
      <c r="Z11" s="8" t="s">
        <v>22</v>
      </c>
      <c r="AA11" s="13" t="s">
        <v>22</v>
      </c>
      <c r="AB11" s="26" t="s">
        <v>89</v>
      </c>
      <c r="AC11" s="12"/>
      <c r="AD11" s="12"/>
      <c r="AE11" s="344"/>
      <c r="AF11" s="295"/>
      <c r="AG11" s="295"/>
      <c r="AH11" s="171"/>
      <c r="AI11" s="62"/>
      <c r="AJ11" s="5"/>
      <c r="AK11" s="8"/>
      <c r="AL11" s="8"/>
      <c r="AM11" s="8"/>
      <c r="AN11" s="349"/>
      <c r="AO11" s="624"/>
      <c r="AP11" s="14"/>
      <c r="AQ11" s="12"/>
      <c r="AR11" s="36"/>
      <c r="AS11" s="36"/>
      <c r="AT11" s="173"/>
      <c r="AU11" s="173"/>
      <c r="AV11" s="173"/>
      <c r="AW11" s="172"/>
      <c r="AX11" s="12"/>
      <c r="AY11" s="12"/>
      <c r="AZ11" s="169"/>
      <c r="BA11" s="387" t="s">
        <v>22</v>
      </c>
      <c r="BB11" s="35"/>
      <c r="BC11" s="547"/>
      <c r="BD11" s="60"/>
      <c r="BE11" s="510"/>
      <c r="BF11" s="568"/>
      <c r="BG11" s="568"/>
      <c r="BH11" s="570"/>
      <c r="BI11" s="570"/>
      <c r="BJ11" s="60"/>
      <c r="BK11" s="60"/>
    </row>
    <row r="12" spans="1:63" ht="12.95" customHeight="1">
      <c r="A12" s="141" t="s">
        <v>31</v>
      </c>
      <c r="B12" s="98"/>
      <c r="C12" s="55"/>
      <c r="D12" s="55"/>
      <c r="E12" s="55"/>
      <c r="F12" s="99"/>
      <c r="G12" s="55"/>
      <c r="H12" s="45"/>
      <c r="I12" s="55"/>
      <c r="J12" s="55"/>
      <c r="K12" s="55"/>
      <c r="L12" s="55"/>
      <c r="M12" s="100"/>
      <c r="N12" s="55"/>
      <c r="O12" s="55"/>
      <c r="P12" s="39"/>
      <c r="Q12" s="55"/>
      <c r="R12" s="55"/>
      <c r="S12" s="55"/>
      <c r="T12" s="55"/>
      <c r="U12" s="126"/>
      <c r="V12" s="55"/>
      <c r="W12" s="55"/>
      <c r="X12" s="55"/>
      <c r="Y12" s="55"/>
      <c r="Z12" s="55"/>
      <c r="AA12" s="55"/>
      <c r="AB12" s="42"/>
      <c r="AC12" s="42"/>
      <c r="AD12" s="55"/>
      <c r="AE12" s="55"/>
      <c r="AF12" s="100"/>
      <c r="AG12" s="101"/>
      <c r="AH12" s="55"/>
      <c r="AI12" s="55"/>
      <c r="AJ12" s="128"/>
      <c r="AK12" s="55"/>
      <c r="AL12" s="55"/>
      <c r="AM12" s="55"/>
      <c r="AN12" s="134"/>
      <c r="AO12" s="617"/>
      <c r="AP12" s="42"/>
      <c r="AQ12" s="56"/>
      <c r="AV12" s="407"/>
      <c r="AW12" s="143"/>
      <c r="AX12" s="45"/>
      <c r="AY12" s="45"/>
      <c r="AZ12" s="45"/>
      <c r="BA12" s="388"/>
      <c r="BB12" s="56"/>
      <c r="BC12" s="444"/>
      <c r="BF12" s="489"/>
      <c r="BG12" s="489"/>
      <c r="BH12" s="505"/>
      <c r="BI12" s="505"/>
    </row>
    <row r="13" spans="1:63" s="3" customFormat="1" ht="12.95" customHeight="1">
      <c r="A13" s="175" t="s">
        <v>32</v>
      </c>
      <c r="B13" s="104">
        <f>DEC!B45</f>
        <v>6901.44</v>
      </c>
      <c r="C13" s="246">
        <f>DEC!C45</f>
        <v>288924</v>
      </c>
      <c r="D13" s="55">
        <f>DEC!D54</f>
        <v>-2768</v>
      </c>
      <c r="E13" s="55">
        <f>DEC!E54</f>
        <v>136924</v>
      </c>
      <c r="F13" s="99">
        <f>DEC!F53</f>
        <v>-1395.5129821023447</v>
      </c>
      <c r="G13" s="55">
        <f>DEC!G53</f>
        <v>2175</v>
      </c>
      <c r="H13" s="246">
        <f>DEC!H53</f>
        <v>0</v>
      </c>
      <c r="I13" s="55">
        <f>DEC!I53</f>
        <v>2175</v>
      </c>
      <c r="J13" s="246">
        <f>DEC!J53</f>
        <v>924.82816738089241</v>
      </c>
      <c r="K13" s="55">
        <f>DEC!K53</f>
        <v>3099.8281673808924</v>
      </c>
      <c r="L13" s="121">
        <f>DEC!L53</f>
        <v>306.82701789765582</v>
      </c>
      <c r="M13" s="55">
        <f>DEC!M53</f>
        <v>204.34000000000003</v>
      </c>
      <c r="N13" s="246">
        <f>DEC!N53</f>
        <v>0</v>
      </c>
      <c r="O13" s="55">
        <f>DEC!O53</f>
        <v>0</v>
      </c>
      <c r="P13" s="246">
        <f>DEC!P53</f>
        <v>0</v>
      </c>
      <c r="Q13" s="55">
        <f>DEC!Q53</f>
        <v>100.91510576014235</v>
      </c>
      <c r="R13" s="246">
        <f>DEC!R53</f>
        <v>0</v>
      </c>
      <c r="S13" s="55">
        <f>DEC!S53</f>
        <v>98.098690559999994</v>
      </c>
      <c r="T13" s="55">
        <f>DEC!T53</f>
        <v>33.74964528000001</v>
      </c>
      <c r="U13" s="121">
        <f>DEC!U53</f>
        <v>-28.42344160014235</v>
      </c>
      <c r="V13" s="55">
        <f>DEC!V53</f>
        <v>1242</v>
      </c>
      <c r="W13" s="246">
        <f>DEC!W53</f>
        <v>0</v>
      </c>
      <c r="X13" s="55">
        <f>DEC!X53</f>
        <v>1242</v>
      </c>
      <c r="Y13" s="246">
        <f>DEC!Y53</f>
        <v>1242</v>
      </c>
      <c r="Z13" s="55"/>
      <c r="AA13" s="55"/>
      <c r="AB13" s="42"/>
      <c r="AC13" s="406">
        <f>DEC!AC53</f>
        <v>0</v>
      </c>
      <c r="AD13" s="55"/>
      <c r="AE13" s="55"/>
      <c r="AF13" s="100"/>
      <c r="AG13" s="101"/>
      <c r="AH13" s="246">
        <f>DEC!AH53</f>
        <v>2431</v>
      </c>
      <c r="AI13" s="246">
        <f>DEC!AI53</f>
        <v>4025.1578774893114</v>
      </c>
      <c r="AJ13" s="55"/>
      <c r="AK13" s="246">
        <f>DEC!AK53</f>
        <v>3877.34</v>
      </c>
      <c r="AL13" s="246">
        <f>DEC!AL53</f>
        <v>618.00114948323653</v>
      </c>
      <c r="AM13" s="246">
        <f>DEC!AM53</f>
        <v>4495.3411494832362</v>
      </c>
      <c r="AN13" s="134">
        <f>DEC!AN53</f>
        <v>1242</v>
      </c>
      <c r="AO13" s="617">
        <f>DEC!AO53</f>
        <v>832.08489423985782</v>
      </c>
      <c r="AP13" s="406">
        <f>DEC!AP53</f>
        <v>0</v>
      </c>
      <c r="AQ13" s="55"/>
      <c r="AR13" s="49"/>
      <c r="AS13" s="49"/>
      <c r="AT13" s="49"/>
      <c r="AU13" s="49"/>
      <c r="AV13" s="77"/>
      <c r="AW13" s="362">
        <f>DEC!AW53</f>
        <v>3.16</v>
      </c>
      <c r="AX13" s="45"/>
      <c r="AY13" s="45"/>
      <c r="AZ13" s="45"/>
      <c r="BA13" s="408">
        <f>DEC!BA53</f>
        <v>204.34000000000003</v>
      </c>
      <c r="BB13" s="55">
        <f>DEC!BB53</f>
        <v>65.039000000000001</v>
      </c>
      <c r="BC13" s="548"/>
      <c r="BD13" s="49"/>
      <c r="BE13" s="508"/>
      <c r="BF13" s="559"/>
      <c r="BG13" s="559"/>
      <c r="BH13" s="490">
        <f>NOV!BJ46</f>
        <v>0</v>
      </c>
      <c r="BI13" s="490">
        <f>NOV!BK46</f>
        <v>0</v>
      </c>
      <c r="BJ13" s="49"/>
      <c r="BK13" s="49"/>
    </row>
    <row r="14" spans="1:63" ht="3" customHeight="1">
      <c r="A14" s="54"/>
      <c r="B14" s="105"/>
      <c r="C14" s="57"/>
      <c r="D14" s="59"/>
      <c r="E14" s="57"/>
      <c r="F14" s="106"/>
      <c r="G14" s="59"/>
      <c r="H14" s="107"/>
      <c r="I14" s="59"/>
      <c r="J14" s="59"/>
      <c r="K14" s="59"/>
      <c r="L14" s="59"/>
      <c r="M14" s="108"/>
      <c r="N14" s="59"/>
      <c r="O14" s="59"/>
      <c r="P14" s="40"/>
      <c r="Q14" s="59"/>
      <c r="R14" s="59"/>
      <c r="S14" s="59"/>
      <c r="T14" s="59"/>
      <c r="U14" s="130"/>
      <c r="V14" s="59"/>
      <c r="W14" s="59"/>
      <c r="X14" s="59"/>
      <c r="Y14" s="59"/>
      <c r="Z14" s="59"/>
      <c r="AA14" s="59"/>
      <c r="AB14" s="41"/>
      <c r="AC14" s="41"/>
      <c r="AD14" s="57"/>
      <c r="AE14" s="59"/>
      <c r="AF14" s="108"/>
      <c r="AG14" s="109"/>
      <c r="AH14" s="59"/>
      <c r="AI14" s="57"/>
      <c r="AJ14" s="57"/>
      <c r="AK14" s="59"/>
      <c r="AL14" s="59"/>
      <c r="AM14" s="59"/>
      <c r="AN14" s="137"/>
      <c r="AO14" s="185"/>
      <c r="AP14" s="41"/>
      <c r="AQ14" s="44"/>
      <c r="AR14" s="88"/>
      <c r="AS14" s="88"/>
      <c r="AT14" s="88"/>
      <c r="AU14" s="88"/>
      <c r="AV14" s="111"/>
      <c r="AW14" s="58"/>
      <c r="AX14" s="44"/>
      <c r="AY14" s="44"/>
      <c r="AZ14" s="44"/>
      <c r="BA14" s="44"/>
      <c r="BB14" s="44"/>
      <c r="BC14" s="44"/>
      <c r="BE14" s="572"/>
      <c r="BF14" s="572"/>
      <c r="BG14" s="572"/>
      <c r="BH14" s="573"/>
      <c r="BI14" s="573"/>
    </row>
    <row r="15" spans="1:63" ht="12.95" customHeight="1">
      <c r="A15" s="48">
        <v>1</v>
      </c>
      <c r="B15" s="679">
        <v>6901.43</v>
      </c>
      <c r="C15" s="483">
        <f>IF(B15="",C13,VLOOKUP(TRUNC(B15,1),VLOOKUP!$A$3:$K$2834,RIGHT(TEXT(B15,"0000.00"),1)+2,FALSE))</f>
        <v>288887</v>
      </c>
      <c r="D15" s="45">
        <f>C15-C13</f>
        <v>-37</v>
      </c>
      <c r="E15" s="55">
        <f t="shared" ref="E15:E45" si="0">C15-152000</f>
        <v>136887</v>
      </c>
      <c r="F15" s="112">
        <f t="shared" ref="F15:F45" si="1">D15/$D$2</f>
        <v>-18.653894630703302</v>
      </c>
      <c r="G15" s="627">
        <v>25.3</v>
      </c>
      <c r="H15" s="113">
        <v>0</v>
      </c>
      <c r="I15" s="47">
        <f>G15+H15</f>
        <v>25.3</v>
      </c>
      <c r="J15" s="42">
        <f>IF(L15&gt;0,L15,0)</f>
        <v>0.74610536929669991</v>
      </c>
      <c r="K15" s="47">
        <f>I15+J15</f>
        <v>26.046105369296701</v>
      </c>
      <c r="L15" s="47">
        <f>IF(G15="",0,F15-(I15-AK15))</f>
        <v>0.74610536929669991</v>
      </c>
      <c r="M15" s="114">
        <v>3.7</v>
      </c>
      <c r="N15" s="627">
        <v>0</v>
      </c>
      <c r="O15" s="47">
        <f>0*1.05</f>
        <v>0</v>
      </c>
      <c r="P15" s="39">
        <v>0</v>
      </c>
      <c r="Q15" s="73">
        <f>876000/325851/1.9835*1.02</f>
        <v>1.382461402764007</v>
      </c>
      <c r="R15" s="73">
        <v>0</v>
      </c>
      <c r="S15" s="73">
        <f>IF(((2.4*1.04)-T15)&gt;=4.2,4.2,(2.4*1.04)-T15)</f>
        <v>1.8334576</v>
      </c>
      <c r="T15" s="73">
        <f>(0.601*1.06)*1.04</f>
        <v>0.66254239999999998</v>
      </c>
      <c r="U15" s="243">
        <f t="shared" ref="U15:U45" si="2">M15-(Q15+R15+S15+T15)</f>
        <v>-0.17846140276400702</v>
      </c>
      <c r="V15" s="47">
        <v>0</v>
      </c>
      <c r="W15" s="47">
        <v>0</v>
      </c>
      <c r="X15" s="47">
        <f>MAX(0,M15-N15-P15-O15-Q15-R15-S15-T15-U15+V15+W15-AU15+AS15)</f>
        <v>0</v>
      </c>
      <c r="Y15" s="47">
        <f t="shared" ref="Y15:Y45" si="3">X15-AP15</f>
        <v>0</v>
      </c>
      <c r="Z15" s="47"/>
      <c r="AA15" s="47"/>
      <c r="AB15" s="42"/>
      <c r="AC15" s="42"/>
      <c r="AD15" s="55"/>
      <c r="AE15" s="47"/>
      <c r="AF15" s="114"/>
      <c r="AG15" s="212"/>
      <c r="AH15" s="47">
        <v>41</v>
      </c>
      <c r="AI15" s="55">
        <f>AI13-AH15</f>
        <v>3984.1578774893114</v>
      </c>
      <c r="AJ15" s="55"/>
      <c r="AK15" s="74">
        <f>N15+O15+P15+Q15+R15+S15+T15+U15+X15+AE15+AH15</f>
        <v>44.7</v>
      </c>
      <c r="AL15" s="47">
        <f t="shared" ref="AL15:AL45" si="4">IF(L15&lt;0,L15*-1,0)</f>
        <v>0</v>
      </c>
      <c r="AM15" s="47">
        <f t="shared" ref="AM15:AM45" si="5">AK15+AL15</f>
        <v>44.7</v>
      </c>
      <c r="AN15" s="203"/>
      <c r="AO15" s="618">
        <f t="shared" ref="AO15:AO45" si="6">IF(G15="","",IF(I15&gt;=795,795-X15,I15-Q15-R15-X15-AF15)-AJ15)</f>
        <v>23.917538597235993</v>
      </c>
      <c r="AP15" s="42"/>
      <c r="AQ15" s="56"/>
      <c r="AV15" s="407"/>
      <c r="AW15" s="676">
        <v>0.01</v>
      </c>
      <c r="AX15" s="639">
        <v>33</v>
      </c>
      <c r="AY15" s="639">
        <v>9</v>
      </c>
      <c r="AZ15" s="45"/>
      <c r="BA15" s="385">
        <f t="shared" ref="BA15:BA45" si="7">SUM(N15,P15:U15)</f>
        <v>3.7</v>
      </c>
      <c r="BB15" s="30">
        <v>1.63</v>
      </c>
      <c r="BC15" s="407">
        <v>15972</v>
      </c>
      <c r="BE15" s="574">
        <v>1</v>
      </c>
      <c r="BF15" s="559">
        <v>6901.44</v>
      </c>
      <c r="BG15" s="581">
        <f>B15-BF15</f>
        <v>-9.999999999308784E-3</v>
      </c>
      <c r="BH15" s="576">
        <v>27.91562500000002</v>
      </c>
      <c r="BI15" s="576">
        <f t="shared" ref="BI15:BI45" si="8">AH15-BH15</f>
        <v>13.08437499999998</v>
      </c>
    </row>
    <row r="16" spans="1:63" ht="12.95" customHeight="1">
      <c r="A16" s="48">
        <f t="shared" ref="A16:A43" si="9">A15+1</f>
        <v>2</v>
      </c>
      <c r="B16" s="679">
        <v>6901.43</v>
      </c>
      <c r="C16" s="483">
        <f>IF(B16="",C15,VLOOKUP(TRUNC(B16,1),VLOOKUP!$A$3:$K$2834,RIGHT(TEXT(B16,"0000.00"),1)+2,FALSE))</f>
        <v>288887</v>
      </c>
      <c r="D16" s="45">
        <f t="shared" ref="D16:D45" si="10">C16-C15</f>
        <v>0</v>
      </c>
      <c r="E16" s="55">
        <f t="shared" si="0"/>
        <v>136887</v>
      </c>
      <c r="F16" s="112">
        <f t="shared" si="1"/>
        <v>0</v>
      </c>
      <c r="G16" s="47">
        <v>29.1</v>
      </c>
      <c r="H16" s="113">
        <v>0</v>
      </c>
      <c r="I16" s="47">
        <f t="shared" ref="I16:I45" si="11">G16+H16</f>
        <v>29.1</v>
      </c>
      <c r="J16" s="42">
        <f t="shared" ref="J16:J45" si="12">IF(L16&gt;0,L16,0)</f>
        <v>15.399999999999999</v>
      </c>
      <c r="K16" s="47">
        <f t="shared" ref="K16:K45" si="13">I16+J16</f>
        <v>44.5</v>
      </c>
      <c r="L16" s="47">
        <f t="shared" ref="L16:L45" si="14">IF(G16="",0,F16-(I16-AK16))</f>
        <v>15.399999999999999</v>
      </c>
      <c r="M16" s="114">
        <v>3.5</v>
      </c>
      <c r="N16" s="47">
        <v>0</v>
      </c>
      <c r="O16" s="47">
        <f t="shared" ref="O16:O45" si="15">0*1.05</f>
        <v>0</v>
      </c>
      <c r="P16" s="39">
        <v>0</v>
      </c>
      <c r="Q16" s="73">
        <f>1082600/325851/1.9835*1.02</f>
        <v>1.7085076651053812</v>
      </c>
      <c r="R16" s="73">
        <v>0</v>
      </c>
      <c r="S16" s="73">
        <f>IF(((2.4*1.04)-T16)&gt;=4.2,4.2,(2.4*1.04)-T16)</f>
        <v>1.8334576</v>
      </c>
      <c r="T16" s="73">
        <f>(0.601*1.06)*1.04</f>
        <v>0.66254239999999998</v>
      </c>
      <c r="U16" s="243">
        <f t="shared" si="2"/>
        <v>-0.70450766510538188</v>
      </c>
      <c r="V16" s="47">
        <v>0</v>
      </c>
      <c r="W16" s="47">
        <v>0</v>
      </c>
      <c r="X16" s="47">
        <f t="shared" ref="X16:X45" si="16">MAX(0,M16-N16-P16-O16-Q16-R16-S16-T16-U16+V16+W16-AU16+AS16)</f>
        <v>6.6613381477509392E-16</v>
      </c>
      <c r="Y16" s="47">
        <f t="shared" si="3"/>
        <v>6.6613381477509392E-16</v>
      </c>
      <c r="Z16" s="47"/>
      <c r="AA16" s="47"/>
      <c r="AB16" s="42"/>
      <c r="AC16" s="42"/>
      <c r="AD16" s="55"/>
      <c r="AE16" s="47"/>
      <c r="AF16" s="114"/>
      <c r="AG16" s="212"/>
      <c r="AH16" s="47">
        <v>41</v>
      </c>
      <c r="AI16" s="55">
        <f t="shared" ref="AI16:AI45" si="17">AI15-AH16</f>
        <v>3943.1578774893114</v>
      </c>
      <c r="AJ16" s="55"/>
      <c r="AK16" s="74">
        <f t="shared" ref="AK16:AK45" si="18">N16+O16+P16+Q16+R16+S16+T16+U16+X16+AE16+AH16</f>
        <v>44.5</v>
      </c>
      <c r="AL16" s="47">
        <f t="shared" si="4"/>
        <v>0</v>
      </c>
      <c r="AM16" s="47">
        <f t="shared" si="5"/>
        <v>44.5</v>
      </c>
      <c r="AN16" s="203"/>
      <c r="AO16" s="42">
        <f t="shared" si="6"/>
        <v>27.391492334894622</v>
      </c>
      <c r="AP16" s="42"/>
      <c r="AQ16" s="56"/>
      <c r="AV16" s="407"/>
      <c r="AW16" s="676">
        <v>0</v>
      </c>
      <c r="AX16" s="639">
        <v>37</v>
      </c>
      <c r="AY16" s="639">
        <v>15</v>
      </c>
      <c r="AZ16" s="103"/>
      <c r="BA16" s="385">
        <f t="shared" si="7"/>
        <v>3.5</v>
      </c>
      <c r="BB16" s="30">
        <v>1.63</v>
      </c>
      <c r="BC16" s="407">
        <v>15981</v>
      </c>
      <c r="BE16" s="574">
        <f t="shared" ref="BE16:BE45" si="19">BE15+1</f>
        <v>2</v>
      </c>
      <c r="BF16" s="559">
        <v>6901.44</v>
      </c>
      <c r="BG16" s="581">
        <f t="shared" ref="BG16:BG45" si="20">B16-BF16</f>
        <v>-9.999999999308784E-3</v>
      </c>
      <c r="BH16" s="576">
        <v>27.852083333333354</v>
      </c>
      <c r="BI16" s="576">
        <f t="shared" si="8"/>
        <v>13.147916666666646</v>
      </c>
    </row>
    <row r="17" spans="1:61" ht="12.95" customHeight="1">
      <c r="A17" s="48">
        <f t="shared" si="9"/>
        <v>3</v>
      </c>
      <c r="B17" s="679">
        <v>6901.42</v>
      </c>
      <c r="C17" s="483">
        <f>IF(B17="",C16,VLOOKUP(TRUNC(B17,1),VLOOKUP!$A$3:$K$2834,RIGHT(TEXT(B17,"0000.00"),1)+2,FALSE))</f>
        <v>288850</v>
      </c>
      <c r="D17" s="45">
        <f t="shared" si="10"/>
        <v>-37</v>
      </c>
      <c r="E17" s="55">
        <f t="shared" si="0"/>
        <v>136850</v>
      </c>
      <c r="F17" s="112">
        <f t="shared" si="1"/>
        <v>-18.653894630703302</v>
      </c>
      <c r="G17" s="47">
        <v>30.6</v>
      </c>
      <c r="H17" s="113">
        <v>0</v>
      </c>
      <c r="I17" s="47">
        <f t="shared" si="11"/>
        <v>30.6</v>
      </c>
      <c r="J17" s="42">
        <f t="shared" si="12"/>
        <v>0</v>
      </c>
      <c r="K17" s="47">
        <f t="shared" si="13"/>
        <v>30.6</v>
      </c>
      <c r="L17" s="47">
        <f t="shared" si="14"/>
        <v>-5.0538946307033008</v>
      </c>
      <c r="M17" s="114">
        <v>3.2</v>
      </c>
      <c r="N17" s="47">
        <v>0</v>
      </c>
      <c r="O17" s="47">
        <f t="shared" si="15"/>
        <v>0</v>
      </c>
      <c r="P17" s="39">
        <v>0</v>
      </c>
      <c r="Q17" s="73">
        <f>978400/325851/1.9835*1.02</f>
        <v>1.5440641968770599</v>
      </c>
      <c r="R17" s="73">
        <v>0</v>
      </c>
      <c r="S17" s="73">
        <f>IF(((2.5*1.04)-T17)&gt;=4.2,4.2,(2.5*1.04)-T17)</f>
        <v>2.0968646400000002</v>
      </c>
      <c r="T17" s="73">
        <f>(0.4564*1.06)*1.04</f>
        <v>0.50313536000000003</v>
      </c>
      <c r="U17" s="243">
        <f t="shared" si="2"/>
        <v>-0.94406419687705956</v>
      </c>
      <c r="V17" s="47">
        <v>0</v>
      </c>
      <c r="W17" s="47">
        <v>0</v>
      </c>
      <c r="X17" s="47">
        <f t="shared" si="16"/>
        <v>0</v>
      </c>
      <c r="Y17" s="47">
        <f t="shared" si="3"/>
        <v>0</v>
      </c>
      <c r="Z17" s="47"/>
      <c r="AA17" s="47"/>
      <c r="AB17" s="42"/>
      <c r="AC17" s="42"/>
      <c r="AD17" s="55"/>
      <c r="AE17" s="47"/>
      <c r="AF17" s="114"/>
      <c r="AG17" s="212"/>
      <c r="AH17" s="47">
        <v>41</v>
      </c>
      <c r="AI17" s="55">
        <f t="shared" si="17"/>
        <v>3902.1578774893114</v>
      </c>
      <c r="AJ17" s="55"/>
      <c r="AK17" s="74">
        <f t="shared" si="18"/>
        <v>44.2</v>
      </c>
      <c r="AL17" s="47">
        <f t="shared" si="4"/>
        <v>5.0538946307033008</v>
      </c>
      <c r="AM17" s="47">
        <f t="shared" si="5"/>
        <v>49.2538946307033</v>
      </c>
      <c r="AN17" s="203"/>
      <c r="AO17" s="42">
        <f t="shared" si="6"/>
        <v>29.055935803122942</v>
      </c>
      <c r="AP17" s="42"/>
      <c r="AQ17" s="56"/>
      <c r="AV17" s="407"/>
      <c r="AW17" s="676">
        <v>0</v>
      </c>
      <c r="AX17" s="639">
        <v>41</v>
      </c>
      <c r="AY17" s="639">
        <v>14</v>
      </c>
      <c r="AZ17" s="103"/>
      <c r="BA17" s="385">
        <f t="shared" si="7"/>
        <v>3.2</v>
      </c>
      <c r="BB17" s="30">
        <v>1.63</v>
      </c>
      <c r="BC17" s="407">
        <v>15980</v>
      </c>
      <c r="BE17" s="574">
        <f t="shared" si="19"/>
        <v>3</v>
      </c>
      <c r="BF17" s="559">
        <v>6901.42</v>
      </c>
      <c r="BG17" s="581">
        <f t="shared" si="20"/>
        <v>0</v>
      </c>
      <c r="BH17" s="576">
        <v>27.803125000000023</v>
      </c>
      <c r="BI17" s="576">
        <f t="shared" si="8"/>
        <v>13.196874999999977</v>
      </c>
    </row>
    <row r="18" spans="1:61" ht="12.95" customHeight="1">
      <c r="A18" s="48">
        <f t="shared" si="9"/>
        <v>4</v>
      </c>
      <c r="B18" s="679">
        <v>6901.41</v>
      </c>
      <c r="C18" s="483">
        <f>IF(B18="",C17,VLOOKUP(TRUNC(B18,1),VLOOKUP!$A$3:$K$2834,RIGHT(TEXT(B18,"0000.00"),1)+2,FALSE))</f>
        <v>288812</v>
      </c>
      <c r="D18" s="45">
        <f t="shared" si="10"/>
        <v>-38</v>
      </c>
      <c r="E18" s="55">
        <f t="shared" si="0"/>
        <v>136812</v>
      </c>
      <c r="F18" s="112">
        <f t="shared" si="1"/>
        <v>-19.158053945046635</v>
      </c>
      <c r="G18" s="47">
        <v>27.9</v>
      </c>
      <c r="H18" s="113">
        <v>0</v>
      </c>
      <c r="I18" s="47">
        <f t="shared" si="11"/>
        <v>27.9</v>
      </c>
      <c r="J18" s="42">
        <f t="shared" si="12"/>
        <v>0</v>
      </c>
      <c r="K18" s="47">
        <f t="shared" si="13"/>
        <v>27.9</v>
      </c>
      <c r="L18" s="47">
        <f t="shared" si="14"/>
        <v>-1.6580539450466354</v>
      </c>
      <c r="M18" s="114">
        <v>4.4000000000000004</v>
      </c>
      <c r="N18" s="47">
        <v>0</v>
      </c>
      <c r="O18" s="47">
        <f t="shared" si="15"/>
        <v>0</v>
      </c>
      <c r="P18" s="39">
        <v>0</v>
      </c>
      <c r="Q18" s="73">
        <f>1027000/325851/1.9835*1.02</f>
        <v>1.6207623979893095</v>
      </c>
      <c r="R18" s="73">
        <v>0</v>
      </c>
      <c r="S18" s="73">
        <f>IF(((2.4*1.04)-T18)&gt;=4.2,4.2,(2.4*1.04)-T18)</f>
        <v>1.9928646400000001</v>
      </c>
      <c r="T18" s="73">
        <f t="shared" ref="T18:T23" si="21">(0.4564*1.06)*1.04</f>
        <v>0.50313536000000003</v>
      </c>
      <c r="U18" s="243">
        <f t="shared" si="2"/>
        <v>0.28323760201069081</v>
      </c>
      <c r="V18" s="47">
        <v>0</v>
      </c>
      <c r="W18" s="47">
        <v>0</v>
      </c>
      <c r="X18" s="47">
        <f t="shared" si="16"/>
        <v>0</v>
      </c>
      <c r="Y18" s="47">
        <f t="shared" si="3"/>
        <v>0</v>
      </c>
      <c r="Z18" s="47"/>
      <c r="AA18" s="47"/>
      <c r="AB18" s="42"/>
      <c r="AC18" s="42"/>
      <c r="AD18" s="55"/>
      <c r="AE18" s="47"/>
      <c r="AF18" s="114"/>
      <c r="AG18" s="212"/>
      <c r="AH18" s="47">
        <v>41</v>
      </c>
      <c r="AI18" s="55">
        <f t="shared" si="17"/>
        <v>3861.1578774893114</v>
      </c>
      <c r="AJ18" s="55"/>
      <c r="AK18" s="74">
        <f t="shared" si="18"/>
        <v>45.4</v>
      </c>
      <c r="AL18" s="47">
        <f t="shared" si="4"/>
        <v>1.6580539450466354</v>
      </c>
      <c r="AM18" s="47">
        <f t="shared" si="5"/>
        <v>47.058053945046638</v>
      </c>
      <c r="AN18" s="203"/>
      <c r="AO18" s="42">
        <f t="shared" si="6"/>
        <v>26.279237602010689</v>
      </c>
      <c r="AP18" s="42"/>
      <c r="AQ18" s="56"/>
      <c r="AV18" s="407"/>
      <c r="AW18" s="676">
        <v>0.08</v>
      </c>
      <c r="AX18" s="639">
        <v>45</v>
      </c>
      <c r="AY18" s="639">
        <v>14</v>
      </c>
      <c r="AZ18" s="103"/>
      <c r="BA18" s="385">
        <f t="shared" si="7"/>
        <v>4.4000000000000004</v>
      </c>
      <c r="BB18" s="30">
        <v>1.63</v>
      </c>
      <c r="BC18" s="407">
        <v>15979</v>
      </c>
      <c r="BE18" s="574">
        <f t="shared" si="19"/>
        <v>4</v>
      </c>
      <c r="BF18" s="559">
        <v>6901.42</v>
      </c>
      <c r="BG18" s="581">
        <f t="shared" si="20"/>
        <v>-1.0000000000218279E-2</v>
      </c>
      <c r="BH18" s="576">
        <v>27.859375000000018</v>
      </c>
      <c r="BI18" s="576">
        <f t="shared" si="8"/>
        <v>13.140624999999982</v>
      </c>
    </row>
    <row r="19" spans="1:61" ht="12.95" customHeight="1">
      <c r="A19" s="48">
        <f t="shared" si="9"/>
        <v>5</v>
      </c>
      <c r="B19" s="679">
        <v>6901.4</v>
      </c>
      <c r="C19" s="483">
        <f>IF(B19="",C18,VLOOKUP(TRUNC(B19,1),VLOOKUP!$A$3:$K$2834,RIGHT(TEXT(B19,"0000.00"),1)+2,FALSE))</f>
        <v>288775</v>
      </c>
      <c r="D19" s="45">
        <f t="shared" si="10"/>
        <v>-37</v>
      </c>
      <c r="E19" s="55">
        <f t="shared" si="0"/>
        <v>136775</v>
      </c>
      <c r="F19" s="112">
        <f t="shared" si="1"/>
        <v>-18.653894630703302</v>
      </c>
      <c r="G19" s="47">
        <v>26.2</v>
      </c>
      <c r="H19" s="113">
        <v>0</v>
      </c>
      <c r="I19" s="47">
        <f t="shared" si="11"/>
        <v>26.2</v>
      </c>
      <c r="J19" s="42">
        <f t="shared" si="12"/>
        <v>0</v>
      </c>
      <c r="K19" s="47">
        <f t="shared" si="13"/>
        <v>26.2</v>
      </c>
      <c r="L19" s="47">
        <f t="shared" si="14"/>
        <v>-5.3894630703304358E-2</v>
      </c>
      <c r="M19" s="114">
        <v>3.8</v>
      </c>
      <c r="N19" s="47">
        <v>0</v>
      </c>
      <c r="O19" s="47">
        <f t="shared" si="15"/>
        <v>0</v>
      </c>
      <c r="P19" s="39">
        <v>0</v>
      </c>
      <c r="Q19" s="73">
        <f>1214000/325851/1.9835*1.02</f>
        <v>1.9158768755199824</v>
      </c>
      <c r="R19" s="73">
        <v>0</v>
      </c>
      <c r="S19" s="73">
        <f>IF(((2.5*1.04)-T19)&gt;=4.2,4.2,(2.5*1.04)-T19)</f>
        <v>2.0968646400000002</v>
      </c>
      <c r="T19" s="73">
        <f t="shared" si="21"/>
        <v>0.50313536000000003</v>
      </c>
      <c r="U19" s="243">
        <f t="shared" si="2"/>
        <v>-0.71587687551998247</v>
      </c>
      <c r="V19" s="47">
        <v>0</v>
      </c>
      <c r="W19" s="47">
        <v>0</v>
      </c>
      <c r="X19" s="47">
        <f t="shared" si="16"/>
        <v>0</v>
      </c>
      <c r="Y19" s="47">
        <f t="shared" si="3"/>
        <v>0</v>
      </c>
      <c r="Z19" s="47"/>
      <c r="AA19" s="47"/>
      <c r="AB19" s="42"/>
      <c r="AC19" s="42"/>
      <c r="AD19" s="55"/>
      <c r="AE19" s="47"/>
      <c r="AF19" s="114"/>
      <c r="AG19" s="212"/>
      <c r="AH19" s="47">
        <v>41</v>
      </c>
      <c r="AI19" s="55">
        <f t="shared" si="17"/>
        <v>3820.1578774893114</v>
      </c>
      <c r="AJ19" s="55"/>
      <c r="AK19" s="74">
        <f t="shared" si="18"/>
        <v>44.8</v>
      </c>
      <c r="AL19" s="47">
        <f t="shared" si="4"/>
        <v>5.3894630703304358E-2</v>
      </c>
      <c r="AM19" s="47">
        <f t="shared" si="5"/>
        <v>44.853894630703302</v>
      </c>
      <c r="AN19" s="203"/>
      <c r="AO19" s="42">
        <f t="shared" si="6"/>
        <v>24.284123124480018</v>
      </c>
      <c r="AP19" s="42"/>
      <c r="AQ19" s="56"/>
      <c r="AV19" s="407"/>
      <c r="AW19" s="676">
        <v>0.02</v>
      </c>
      <c r="AX19" s="639">
        <v>49</v>
      </c>
      <c r="AY19" s="639">
        <v>18</v>
      </c>
      <c r="AZ19" s="103"/>
      <c r="BA19" s="385">
        <f t="shared" si="7"/>
        <v>3.8</v>
      </c>
      <c r="BB19" s="30">
        <v>1.63</v>
      </c>
      <c r="BC19" s="407">
        <v>15978</v>
      </c>
      <c r="BE19" s="574">
        <f t="shared" si="19"/>
        <v>5</v>
      </c>
      <c r="BF19" s="559">
        <v>6901.42</v>
      </c>
      <c r="BG19" s="581">
        <f t="shared" si="20"/>
        <v>-2.0000000000436557E-2</v>
      </c>
      <c r="BH19" s="576">
        <v>27.871875000000017</v>
      </c>
      <c r="BI19" s="576">
        <f t="shared" si="8"/>
        <v>13.128124999999983</v>
      </c>
    </row>
    <row r="20" spans="1:61" ht="12.95" customHeight="1">
      <c r="A20" s="48">
        <f t="shared" si="9"/>
        <v>6</v>
      </c>
      <c r="B20" s="679">
        <v>6901.39</v>
      </c>
      <c r="C20" s="483">
        <f>IF(B20="",C19,VLOOKUP(TRUNC(B20,1),VLOOKUP!$A$3:$K$2834,RIGHT(TEXT(B20,"0000.00"),1)+2,FALSE))</f>
        <v>288738</v>
      </c>
      <c r="D20" s="45">
        <f t="shared" si="10"/>
        <v>-37</v>
      </c>
      <c r="E20" s="55">
        <f t="shared" si="0"/>
        <v>136738</v>
      </c>
      <c r="F20" s="112">
        <f t="shared" si="1"/>
        <v>-18.653894630703302</v>
      </c>
      <c r="G20" s="627">
        <v>31.6</v>
      </c>
      <c r="H20" s="113">
        <v>0</v>
      </c>
      <c r="I20" s="47">
        <f t="shared" si="11"/>
        <v>31.6</v>
      </c>
      <c r="J20" s="42">
        <f t="shared" si="12"/>
        <v>0</v>
      </c>
      <c r="K20" s="47">
        <f t="shared" si="13"/>
        <v>31.6</v>
      </c>
      <c r="L20" s="47">
        <f t="shared" si="14"/>
        <v>-5.8538946307033051</v>
      </c>
      <c r="M20" s="114">
        <v>3.4</v>
      </c>
      <c r="N20" s="47">
        <v>0</v>
      </c>
      <c r="O20" s="47">
        <f t="shared" si="15"/>
        <v>0</v>
      </c>
      <c r="P20" s="39">
        <v>0</v>
      </c>
      <c r="Q20" s="73">
        <f>1226700/325851/1.9835*1.02</f>
        <v>1.9359194095554879</v>
      </c>
      <c r="R20" s="73">
        <v>0</v>
      </c>
      <c r="S20" s="73">
        <f>IF(((2.1*1.04)-T20)&gt;=4.2,4.2,(2.1*1.04)-T20)</f>
        <v>1.6808646400000002</v>
      </c>
      <c r="T20" s="73">
        <f t="shared" si="21"/>
        <v>0.50313536000000003</v>
      </c>
      <c r="U20" s="243">
        <f t="shared" si="2"/>
        <v>-0.71991940955548861</v>
      </c>
      <c r="V20" s="47">
        <v>0</v>
      </c>
      <c r="W20" s="47">
        <v>0</v>
      </c>
      <c r="X20" s="47">
        <f t="shared" si="16"/>
        <v>3.3306690738754696E-16</v>
      </c>
      <c r="Y20" s="47">
        <f t="shared" si="3"/>
        <v>3.3306690738754696E-16</v>
      </c>
      <c r="Z20" s="47"/>
      <c r="AA20" s="47"/>
      <c r="AB20" s="42"/>
      <c r="AC20" s="42"/>
      <c r="AD20" s="55"/>
      <c r="AE20" s="47"/>
      <c r="AF20" s="114"/>
      <c r="AG20" s="212"/>
      <c r="AH20" s="47">
        <v>41</v>
      </c>
      <c r="AI20" s="55">
        <f t="shared" si="17"/>
        <v>3779.1578774893114</v>
      </c>
      <c r="AJ20" s="55"/>
      <c r="AK20" s="74">
        <f t="shared" si="18"/>
        <v>44.4</v>
      </c>
      <c r="AL20" s="47">
        <f t="shared" si="4"/>
        <v>5.8538946307033051</v>
      </c>
      <c r="AM20" s="47">
        <f t="shared" si="5"/>
        <v>50.2538946307033</v>
      </c>
      <c r="AN20" s="203"/>
      <c r="AO20" s="42">
        <f t="shared" si="6"/>
        <v>29.664080590444513</v>
      </c>
      <c r="AP20" s="42"/>
      <c r="AQ20" s="56"/>
      <c r="AV20" s="407"/>
      <c r="AW20" s="676">
        <v>0.01</v>
      </c>
      <c r="AX20" s="639">
        <v>41</v>
      </c>
      <c r="AY20" s="639">
        <v>15</v>
      </c>
      <c r="AZ20" s="103"/>
      <c r="BA20" s="385">
        <f t="shared" si="7"/>
        <v>3.4</v>
      </c>
      <c r="BB20" s="30">
        <v>1.63</v>
      </c>
      <c r="BC20" s="407">
        <v>15978</v>
      </c>
      <c r="BE20" s="574">
        <f t="shared" si="19"/>
        <v>6</v>
      </c>
      <c r="BF20" s="559">
        <v>6901.39</v>
      </c>
      <c r="BG20" s="581">
        <f t="shared" si="20"/>
        <v>0</v>
      </c>
      <c r="BH20" s="576">
        <v>27.83750000000002</v>
      </c>
      <c r="BI20" s="576">
        <f t="shared" si="8"/>
        <v>13.16249999999998</v>
      </c>
    </row>
    <row r="21" spans="1:61" ht="12.95" customHeight="1">
      <c r="A21" s="48">
        <f>A20+1</f>
        <v>7</v>
      </c>
      <c r="B21" s="679">
        <v>6901.39</v>
      </c>
      <c r="C21" s="483">
        <f>IF(B21="",C20,VLOOKUP(TRUNC(B21,1),VLOOKUP!$A$3:$K$2834,RIGHT(TEXT(B21,"0000.00"),1)+2,FALSE))</f>
        <v>288738</v>
      </c>
      <c r="D21" s="45">
        <f t="shared" si="10"/>
        <v>0</v>
      </c>
      <c r="E21" s="55">
        <f t="shared" si="0"/>
        <v>136738</v>
      </c>
      <c r="F21" s="112">
        <f t="shared" si="1"/>
        <v>0</v>
      </c>
      <c r="G21" s="627">
        <v>36.299999999999997</v>
      </c>
      <c r="H21" s="113">
        <v>0</v>
      </c>
      <c r="I21" s="47">
        <f t="shared" si="11"/>
        <v>36.299999999999997</v>
      </c>
      <c r="J21" s="42">
        <f t="shared" si="12"/>
        <v>8.1000000000000014</v>
      </c>
      <c r="K21" s="47">
        <f t="shared" si="13"/>
        <v>44.4</v>
      </c>
      <c r="L21" s="47">
        <f t="shared" si="14"/>
        <v>8.1000000000000014</v>
      </c>
      <c r="M21" s="114">
        <v>3.4</v>
      </c>
      <c r="N21" s="47">
        <v>0</v>
      </c>
      <c r="O21" s="47">
        <f t="shared" si="15"/>
        <v>0</v>
      </c>
      <c r="P21" s="39">
        <v>0</v>
      </c>
      <c r="Q21" s="73">
        <f>988800/325851/1.9835*1.02</f>
        <v>1.5604769806541667</v>
      </c>
      <c r="R21" s="73">
        <v>0</v>
      </c>
      <c r="S21" s="73">
        <f>IF(((2.7*1.04)-T21)&gt;=4.2,4.2,(2.7*1.04)-T21)</f>
        <v>2.3048646400000004</v>
      </c>
      <c r="T21" s="73">
        <f t="shared" si="21"/>
        <v>0.50313536000000003</v>
      </c>
      <c r="U21" s="243">
        <f t="shared" si="2"/>
        <v>-0.9684769806541671</v>
      </c>
      <c r="V21" s="47">
        <v>0</v>
      </c>
      <c r="W21" s="47">
        <v>0</v>
      </c>
      <c r="X21" s="47">
        <f t="shared" si="16"/>
        <v>0</v>
      </c>
      <c r="Y21" s="47">
        <f t="shared" si="3"/>
        <v>0</v>
      </c>
      <c r="Z21" s="47"/>
      <c r="AA21" s="47"/>
      <c r="AB21" s="42"/>
      <c r="AC21" s="42"/>
      <c r="AD21" s="55"/>
      <c r="AE21" s="47"/>
      <c r="AF21" s="114"/>
      <c r="AG21" s="212"/>
      <c r="AH21" s="47">
        <v>41</v>
      </c>
      <c r="AI21" s="55">
        <f t="shared" si="17"/>
        <v>3738.1578774893114</v>
      </c>
      <c r="AJ21" s="55"/>
      <c r="AK21" s="74">
        <f t="shared" si="18"/>
        <v>44.4</v>
      </c>
      <c r="AL21" s="47">
        <f t="shared" si="4"/>
        <v>0</v>
      </c>
      <c r="AM21" s="47">
        <f t="shared" si="5"/>
        <v>44.4</v>
      </c>
      <c r="AN21" s="203"/>
      <c r="AO21" s="42">
        <f t="shared" si="6"/>
        <v>34.739523019345832</v>
      </c>
      <c r="AP21" s="42"/>
      <c r="AQ21" s="56"/>
      <c r="AV21" s="407"/>
      <c r="AW21" s="676">
        <v>0</v>
      </c>
      <c r="AX21" s="639">
        <v>46</v>
      </c>
      <c r="AY21" s="639">
        <v>16</v>
      </c>
      <c r="AZ21" s="103"/>
      <c r="BA21" s="385">
        <f t="shared" si="7"/>
        <v>3.4</v>
      </c>
      <c r="BB21" s="30">
        <v>1.63</v>
      </c>
      <c r="BC21" s="407">
        <v>15978</v>
      </c>
      <c r="BE21" s="574">
        <f t="shared" si="19"/>
        <v>7</v>
      </c>
      <c r="BF21" s="559">
        <v>6901.39</v>
      </c>
      <c r="BG21" s="581">
        <f t="shared" si="20"/>
        <v>0</v>
      </c>
      <c r="BH21" s="576">
        <v>27.928125000000019</v>
      </c>
      <c r="BI21" s="576">
        <f t="shared" si="8"/>
        <v>13.071874999999981</v>
      </c>
    </row>
    <row r="22" spans="1:61" ht="12.95" customHeight="1">
      <c r="A22" s="48">
        <f t="shared" si="9"/>
        <v>8</v>
      </c>
      <c r="B22" s="679">
        <v>6901.38</v>
      </c>
      <c r="C22" s="483">
        <f>IF(B22="",C21,VLOOKUP(TRUNC(B22,1),VLOOKUP!$A$3:$K$2834,RIGHT(TEXT(B22,"0000.00"),1)+2,FALSE))</f>
        <v>288700</v>
      </c>
      <c r="D22" s="45">
        <f t="shared" si="10"/>
        <v>-38</v>
      </c>
      <c r="E22" s="55">
        <f t="shared" si="0"/>
        <v>136700</v>
      </c>
      <c r="F22" s="112">
        <f t="shared" si="1"/>
        <v>-19.158053945046635</v>
      </c>
      <c r="G22" s="680">
        <v>40.5</v>
      </c>
      <c r="H22" s="113">
        <v>0</v>
      </c>
      <c r="I22" s="47">
        <f t="shared" si="11"/>
        <v>40.5</v>
      </c>
      <c r="J22" s="42">
        <f t="shared" si="12"/>
        <v>0</v>
      </c>
      <c r="K22" s="47">
        <f t="shared" si="13"/>
        <v>40.5</v>
      </c>
      <c r="L22" s="47">
        <f t="shared" si="14"/>
        <v>-14.758053945046637</v>
      </c>
      <c r="M22" s="114">
        <v>3.9</v>
      </c>
      <c r="N22" s="47">
        <v>0</v>
      </c>
      <c r="O22" s="47">
        <f t="shared" si="15"/>
        <v>0</v>
      </c>
      <c r="P22" s="39">
        <v>0</v>
      </c>
      <c r="Q22" s="73">
        <f>1000900/325851/1.9835*1.02</f>
        <v>1.5795726233179161</v>
      </c>
      <c r="R22" s="73">
        <v>0</v>
      </c>
      <c r="S22" s="73">
        <f>IF(((2.2*1.04)-T22)&gt;=4.2,4.2,(2.2*1.04)-T22)</f>
        <v>1.7848646400000003</v>
      </c>
      <c r="T22" s="73">
        <f t="shared" si="21"/>
        <v>0.50313536000000003</v>
      </c>
      <c r="U22" s="243">
        <f t="shared" si="2"/>
        <v>3.2427376682083509E-2</v>
      </c>
      <c r="V22" s="47">
        <v>0</v>
      </c>
      <c r="W22" s="47">
        <v>0</v>
      </c>
      <c r="X22" s="47">
        <f t="shared" si="16"/>
        <v>0</v>
      </c>
      <c r="Y22" s="47">
        <f t="shared" si="3"/>
        <v>0</v>
      </c>
      <c r="Z22" s="47"/>
      <c r="AA22" s="47"/>
      <c r="AB22" s="42"/>
      <c r="AC22" s="42"/>
      <c r="AD22" s="55"/>
      <c r="AE22" s="47"/>
      <c r="AF22" s="114"/>
      <c r="AG22" s="212"/>
      <c r="AH22" s="47">
        <v>41</v>
      </c>
      <c r="AI22" s="55">
        <f t="shared" si="17"/>
        <v>3697.1578774893114</v>
      </c>
      <c r="AJ22" s="55"/>
      <c r="AK22" s="74">
        <f t="shared" si="18"/>
        <v>44.9</v>
      </c>
      <c r="AL22" s="47">
        <f t="shared" si="4"/>
        <v>14.758053945046637</v>
      </c>
      <c r="AM22" s="47">
        <f t="shared" si="5"/>
        <v>59.658053945046632</v>
      </c>
      <c r="AN22" s="203"/>
      <c r="AO22" s="42">
        <f t="shared" si="6"/>
        <v>38.920427376682085</v>
      </c>
      <c r="AP22" s="42"/>
      <c r="AQ22" s="56"/>
      <c r="AV22" s="407"/>
      <c r="AW22" s="676">
        <v>0</v>
      </c>
      <c r="AX22" s="616">
        <v>48</v>
      </c>
      <c r="AY22" s="639">
        <v>18</v>
      </c>
      <c r="AZ22" s="103"/>
      <c r="BA22" s="385">
        <f t="shared" si="7"/>
        <v>3.9</v>
      </c>
      <c r="BB22" s="30">
        <v>1.63</v>
      </c>
      <c r="BC22" s="407">
        <v>15994</v>
      </c>
      <c r="BE22" s="574">
        <f t="shared" si="19"/>
        <v>8</v>
      </c>
      <c r="BF22" s="559">
        <v>6901.38</v>
      </c>
      <c r="BG22" s="581">
        <f t="shared" si="20"/>
        <v>0</v>
      </c>
      <c r="BH22" s="576">
        <v>27.794791666666683</v>
      </c>
      <c r="BI22" s="576">
        <f t="shared" si="8"/>
        <v>13.205208333333317</v>
      </c>
    </row>
    <row r="23" spans="1:61" ht="12.95" customHeight="1">
      <c r="A23" s="48">
        <f t="shared" si="9"/>
        <v>9</v>
      </c>
      <c r="B23" s="679">
        <v>6901.38</v>
      </c>
      <c r="C23" s="483">
        <f>IF(B23="",C22,VLOOKUP(TRUNC(B23,1),VLOOKUP!$A$3:$K$2834,RIGHT(TEXT(B23,"0000.00"),1)+2,FALSE))</f>
        <v>288700</v>
      </c>
      <c r="D23" s="45">
        <f t="shared" si="10"/>
        <v>0</v>
      </c>
      <c r="E23" s="55">
        <f t="shared" si="0"/>
        <v>136700</v>
      </c>
      <c r="F23" s="112">
        <f t="shared" si="1"/>
        <v>0</v>
      </c>
      <c r="G23" s="627">
        <v>43.2</v>
      </c>
      <c r="H23" s="113">
        <v>0</v>
      </c>
      <c r="I23" s="47">
        <f t="shared" si="11"/>
        <v>43.2</v>
      </c>
      <c r="J23" s="42">
        <f t="shared" si="12"/>
        <v>1.8999999999999986</v>
      </c>
      <c r="K23" s="47">
        <f t="shared" si="13"/>
        <v>45.1</v>
      </c>
      <c r="L23" s="47">
        <f t="shared" si="14"/>
        <v>1.8999999999999986</v>
      </c>
      <c r="M23" s="114">
        <v>4.0999999999999996</v>
      </c>
      <c r="N23" s="47">
        <v>0</v>
      </c>
      <c r="O23" s="47">
        <f t="shared" si="15"/>
        <v>0</v>
      </c>
      <c r="P23" s="39">
        <v>0</v>
      </c>
      <c r="Q23" s="73">
        <f>1034100/325851/1.9835*1.02</f>
        <v>1.6319672792217577</v>
      </c>
      <c r="R23" s="73">
        <v>0</v>
      </c>
      <c r="S23" s="73">
        <f>IF(((2.5*1.04)-T23)&gt;=4.2,4.2,(2.5*1.04)-T23)</f>
        <v>2.0968646400000002</v>
      </c>
      <c r="T23" s="73">
        <f t="shared" si="21"/>
        <v>0.50313536000000003</v>
      </c>
      <c r="U23" s="243">
        <f t="shared" si="2"/>
        <v>-0.1319672792217581</v>
      </c>
      <c r="V23" s="47">
        <v>0</v>
      </c>
      <c r="W23" s="47">
        <v>0</v>
      </c>
      <c r="X23" s="47">
        <f t="shared" si="16"/>
        <v>0</v>
      </c>
      <c r="Y23" s="47">
        <f t="shared" si="3"/>
        <v>0</v>
      </c>
      <c r="Z23" s="47"/>
      <c r="AA23" s="47"/>
      <c r="AB23" s="42"/>
      <c r="AC23" s="42"/>
      <c r="AD23" s="55"/>
      <c r="AE23" s="47"/>
      <c r="AF23" s="114"/>
      <c r="AG23" s="212"/>
      <c r="AH23" s="47">
        <v>41</v>
      </c>
      <c r="AI23" s="55">
        <f t="shared" si="17"/>
        <v>3656.1578774893114</v>
      </c>
      <c r="AJ23" s="55"/>
      <c r="AK23" s="74">
        <f t="shared" si="18"/>
        <v>45.1</v>
      </c>
      <c r="AL23" s="47">
        <f t="shared" si="4"/>
        <v>0</v>
      </c>
      <c r="AM23" s="47">
        <f t="shared" si="5"/>
        <v>45.1</v>
      </c>
      <c r="AN23" s="203"/>
      <c r="AO23" s="42">
        <f t="shared" si="6"/>
        <v>41.568032720778248</v>
      </c>
      <c r="AP23" s="42"/>
      <c r="AQ23" s="56"/>
      <c r="AV23" s="407"/>
      <c r="AW23" s="676">
        <v>0</v>
      </c>
      <c r="AX23" s="616">
        <v>39</v>
      </c>
      <c r="AY23" s="639">
        <v>17</v>
      </c>
      <c r="AZ23" s="103"/>
      <c r="BA23" s="385">
        <f t="shared" si="7"/>
        <v>4.0999999999999996</v>
      </c>
      <c r="BB23" s="30">
        <v>1.63</v>
      </c>
      <c r="BC23" s="407">
        <v>15998</v>
      </c>
      <c r="BE23" s="574">
        <f t="shared" si="19"/>
        <v>9</v>
      </c>
      <c r="BF23" s="559">
        <v>6901.38</v>
      </c>
      <c r="BG23" s="581">
        <f t="shared" si="20"/>
        <v>0</v>
      </c>
      <c r="BH23" s="576">
        <v>27.781250000000014</v>
      </c>
      <c r="BI23" s="576">
        <f t="shared" si="8"/>
        <v>13.218749999999986</v>
      </c>
    </row>
    <row r="24" spans="1:61" ht="12.75" customHeight="1">
      <c r="A24" s="48">
        <f t="shared" si="9"/>
        <v>10</v>
      </c>
      <c r="B24" s="679">
        <v>6901.37</v>
      </c>
      <c r="C24" s="483">
        <f>IF(B24="",C23,VLOOKUP(TRUNC(B24,1),VLOOKUP!$A$3:$K$2834,RIGHT(TEXT(B24,"0000.00"),1)+2,FALSE))</f>
        <v>288663</v>
      </c>
      <c r="D24" s="45">
        <f t="shared" si="10"/>
        <v>-37</v>
      </c>
      <c r="E24" s="55">
        <f t="shared" si="0"/>
        <v>136663</v>
      </c>
      <c r="F24" s="112">
        <f t="shared" si="1"/>
        <v>-18.653894630703302</v>
      </c>
      <c r="G24" s="627">
        <v>40.200000000000003</v>
      </c>
      <c r="H24" s="113">
        <v>0</v>
      </c>
      <c r="I24" s="47">
        <f t="shared" si="11"/>
        <v>40.200000000000003</v>
      </c>
      <c r="J24" s="42">
        <f t="shared" si="12"/>
        <v>0</v>
      </c>
      <c r="K24" s="47">
        <f t="shared" si="13"/>
        <v>40.200000000000003</v>
      </c>
      <c r="L24" s="47">
        <f t="shared" si="14"/>
        <v>-13.753894630703304</v>
      </c>
      <c r="M24" s="114">
        <v>4.0999999999999996</v>
      </c>
      <c r="N24" s="47">
        <v>0</v>
      </c>
      <c r="O24" s="47">
        <f t="shared" si="15"/>
        <v>0</v>
      </c>
      <c r="P24" s="39">
        <v>0</v>
      </c>
      <c r="Q24" s="73">
        <f>917500/325851/1.9835*1.02</f>
        <v>1.4479547226438085</v>
      </c>
      <c r="R24" s="73">
        <v>0</v>
      </c>
      <c r="S24" s="73">
        <f>IF(((2.4*1.04)-T24)&gt;=4.2,4.2,(2.4*1.04)-T24)</f>
        <v>1.8068897599999998</v>
      </c>
      <c r="T24" s="73">
        <f>(0.6251*1.06)*1.04</f>
        <v>0.6891102400000001</v>
      </c>
      <c r="U24" s="243">
        <f t="shared" si="2"/>
        <v>0.15604527735619111</v>
      </c>
      <c r="V24" s="47">
        <v>0</v>
      </c>
      <c r="W24" s="47">
        <v>0</v>
      </c>
      <c r="X24" s="47">
        <f t="shared" si="16"/>
        <v>1.1102230246251565E-16</v>
      </c>
      <c r="Y24" s="47">
        <f t="shared" si="3"/>
        <v>1.1102230246251565E-16</v>
      </c>
      <c r="Z24" s="47"/>
      <c r="AA24" s="47"/>
      <c r="AB24" s="42"/>
      <c r="AC24" s="42"/>
      <c r="AD24" s="55"/>
      <c r="AE24" s="47"/>
      <c r="AF24" s="114"/>
      <c r="AG24" s="212"/>
      <c r="AH24" s="47">
        <v>41</v>
      </c>
      <c r="AI24" s="55">
        <f t="shared" si="17"/>
        <v>3615.1578774893114</v>
      </c>
      <c r="AJ24" s="55"/>
      <c r="AK24" s="74">
        <f t="shared" si="18"/>
        <v>45.1</v>
      </c>
      <c r="AL24" s="47">
        <f t="shared" si="4"/>
        <v>13.753894630703304</v>
      </c>
      <c r="AM24" s="47">
        <f t="shared" si="5"/>
        <v>58.853894630703309</v>
      </c>
      <c r="AN24" s="203"/>
      <c r="AO24" s="42">
        <f t="shared" si="6"/>
        <v>38.752045277356196</v>
      </c>
      <c r="AP24" s="42"/>
      <c r="AQ24" s="56"/>
      <c r="AV24" s="407"/>
      <c r="AW24" s="676">
        <v>3.5000000000000003E-2</v>
      </c>
      <c r="AX24" s="616">
        <v>33</v>
      </c>
      <c r="AY24" s="639">
        <v>6</v>
      </c>
      <c r="AZ24" s="103"/>
      <c r="BA24" s="385">
        <f t="shared" si="7"/>
        <v>4.0999999999999996</v>
      </c>
      <c r="BB24" s="30">
        <v>1.63</v>
      </c>
      <c r="BC24" s="407">
        <v>15992</v>
      </c>
      <c r="BE24" s="574">
        <f t="shared" si="19"/>
        <v>10</v>
      </c>
      <c r="BF24" s="559">
        <v>6901.36</v>
      </c>
      <c r="BG24" s="581">
        <f t="shared" si="20"/>
        <v>1.0000000000218279E-2</v>
      </c>
      <c r="BH24" s="576">
        <v>27.936458333333348</v>
      </c>
      <c r="BI24" s="576">
        <f t="shared" si="8"/>
        <v>13.063541666666652</v>
      </c>
    </row>
    <row r="25" spans="1:61" ht="12.95" customHeight="1">
      <c r="A25" s="48">
        <f t="shared" si="9"/>
        <v>11</v>
      </c>
      <c r="B25" s="679">
        <v>6901.36</v>
      </c>
      <c r="C25" s="483">
        <f>IF(B25="",C24,VLOOKUP(TRUNC(B25,1),VLOOKUP!$A$3:$K$2834,RIGHT(TEXT(B25,"0000.00"),1)+2,FALSE))</f>
        <v>288626</v>
      </c>
      <c r="D25" s="45">
        <f t="shared" si="10"/>
        <v>-37</v>
      </c>
      <c r="E25" s="55">
        <f t="shared" si="0"/>
        <v>136626</v>
      </c>
      <c r="F25" s="112">
        <f t="shared" si="1"/>
        <v>-18.653894630703302</v>
      </c>
      <c r="G25" s="627">
        <v>35.799999999999997</v>
      </c>
      <c r="H25" s="113">
        <v>0</v>
      </c>
      <c r="I25" s="47">
        <f t="shared" si="11"/>
        <v>35.799999999999997</v>
      </c>
      <c r="J25" s="42">
        <f t="shared" si="12"/>
        <v>0</v>
      </c>
      <c r="K25" s="47">
        <f t="shared" si="13"/>
        <v>35.799999999999997</v>
      </c>
      <c r="L25" s="47">
        <f t="shared" si="14"/>
        <v>-9.9538946307032994</v>
      </c>
      <c r="M25" s="114">
        <v>3.5</v>
      </c>
      <c r="N25" s="47">
        <v>0</v>
      </c>
      <c r="O25" s="47">
        <f t="shared" si="15"/>
        <v>0</v>
      </c>
      <c r="P25" s="39">
        <v>0</v>
      </c>
      <c r="Q25" s="73">
        <f>1141300/325851/1.9835*1.02</f>
        <v>1.8011452043088598</v>
      </c>
      <c r="R25" s="73">
        <v>0</v>
      </c>
      <c r="S25" s="73">
        <f>IF(((2.4*1.04)-T25)&gt;=4.2,4.2,(2.4*1.04)-T25)</f>
        <v>1.8068897599999998</v>
      </c>
      <c r="T25" s="73">
        <f t="shared" ref="T25:T30" si="22">(0.6251*1.06)*1.04</f>
        <v>0.6891102400000001</v>
      </c>
      <c r="U25" s="243">
        <f t="shared" si="2"/>
        <v>-0.79714520430885916</v>
      </c>
      <c r="V25" s="47">
        <v>0</v>
      </c>
      <c r="W25" s="47">
        <v>0</v>
      </c>
      <c r="X25" s="47">
        <f t="shared" si="16"/>
        <v>0</v>
      </c>
      <c r="Y25" s="47">
        <f t="shared" si="3"/>
        <v>0</v>
      </c>
      <c r="Z25" s="47"/>
      <c r="AA25" s="47"/>
      <c r="AB25" s="42"/>
      <c r="AC25" s="42"/>
      <c r="AD25" s="55"/>
      <c r="AE25" s="47"/>
      <c r="AF25" s="114"/>
      <c r="AG25" s="212"/>
      <c r="AH25" s="47">
        <v>41</v>
      </c>
      <c r="AI25" s="55">
        <f t="shared" si="17"/>
        <v>3574.1578774893114</v>
      </c>
      <c r="AJ25" s="55"/>
      <c r="AK25" s="74">
        <f t="shared" si="18"/>
        <v>44.5</v>
      </c>
      <c r="AL25" s="47">
        <f t="shared" si="4"/>
        <v>9.9538946307032994</v>
      </c>
      <c r="AM25" s="47">
        <f t="shared" si="5"/>
        <v>54.453894630703303</v>
      </c>
      <c r="AN25" s="203"/>
      <c r="AO25" s="42">
        <f t="shared" si="6"/>
        <v>33.998854795691138</v>
      </c>
      <c r="AP25" s="42"/>
      <c r="AQ25" s="56"/>
      <c r="AV25" s="407"/>
      <c r="AW25" s="676">
        <v>0.04</v>
      </c>
      <c r="AX25" s="616">
        <v>40</v>
      </c>
      <c r="AY25" s="639">
        <v>6</v>
      </c>
      <c r="AZ25" s="103"/>
      <c r="BA25" s="385">
        <f t="shared" si="7"/>
        <v>3.5</v>
      </c>
      <c r="BB25" s="30">
        <v>1.63</v>
      </c>
      <c r="BC25" s="407">
        <v>15984</v>
      </c>
      <c r="BE25" s="574">
        <f t="shared" si="19"/>
        <v>11</v>
      </c>
      <c r="BF25" s="559">
        <v>6901.36</v>
      </c>
      <c r="BG25" s="581">
        <f t="shared" si="20"/>
        <v>0</v>
      </c>
      <c r="BH25" s="576">
        <v>27.831250000000015</v>
      </c>
      <c r="BI25" s="576">
        <f t="shared" si="8"/>
        <v>13.168749999999985</v>
      </c>
    </row>
    <row r="26" spans="1:61" ht="12.95" customHeight="1">
      <c r="A26" s="48">
        <f t="shared" si="9"/>
        <v>12</v>
      </c>
      <c r="B26" s="679">
        <v>6901.36</v>
      </c>
      <c r="C26" s="483">
        <f>IF(B26="",C25,VLOOKUP(TRUNC(B26,1),VLOOKUP!$A$3:$K$2834,RIGHT(TEXT(B26,"0000.00"),1)+2,FALSE))</f>
        <v>288626</v>
      </c>
      <c r="D26" s="45">
        <f t="shared" si="10"/>
        <v>0</v>
      </c>
      <c r="E26" s="55">
        <f t="shared" si="0"/>
        <v>136626</v>
      </c>
      <c r="F26" s="112">
        <f t="shared" si="1"/>
        <v>0</v>
      </c>
      <c r="G26" s="627">
        <v>35.9</v>
      </c>
      <c r="H26" s="113">
        <v>0</v>
      </c>
      <c r="I26" s="47">
        <f t="shared" si="11"/>
        <v>35.9</v>
      </c>
      <c r="J26" s="42">
        <f t="shared" si="12"/>
        <v>8.5</v>
      </c>
      <c r="K26" s="47">
        <f t="shared" si="13"/>
        <v>44.4</v>
      </c>
      <c r="L26" s="47">
        <f t="shared" si="14"/>
        <v>8.5</v>
      </c>
      <c r="M26" s="114">
        <v>3.4</v>
      </c>
      <c r="N26" s="47">
        <v>0</v>
      </c>
      <c r="O26" s="47">
        <f t="shared" si="15"/>
        <v>0</v>
      </c>
      <c r="P26" s="39">
        <v>0</v>
      </c>
      <c r="Q26" s="73">
        <f>1158100/325851/1.9835*1.02</f>
        <v>1.8276581627180326</v>
      </c>
      <c r="R26" s="73">
        <v>0</v>
      </c>
      <c r="S26" s="73">
        <f>IF(((2.4*1.04)-T26)&gt;=4.2,4.2,(2.4*1.04)-T26)</f>
        <v>1.8068897599999998</v>
      </c>
      <c r="T26" s="73">
        <f t="shared" si="22"/>
        <v>0.6891102400000001</v>
      </c>
      <c r="U26" s="243">
        <f t="shared" si="2"/>
        <v>-0.92365816271803203</v>
      </c>
      <c r="V26" s="47">
        <v>0</v>
      </c>
      <c r="W26" s="47">
        <v>0</v>
      </c>
      <c r="X26" s="47">
        <f t="shared" si="16"/>
        <v>0</v>
      </c>
      <c r="Y26" s="47">
        <f t="shared" si="3"/>
        <v>0</v>
      </c>
      <c r="Z26" s="47"/>
      <c r="AA26" s="47"/>
      <c r="AB26" s="42"/>
      <c r="AC26" s="42"/>
      <c r="AD26" s="55"/>
      <c r="AE26" s="47"/>
      <c r="AF26" s="114"/>
      <c r="AG26" s="212"/>
      <c r="AH26" s="47">
        <v>41</v>
      </c>
      <c r="AI26" s="55">
        <f t="shared" si="17"/>
        <v>3533.1578774893114</v>
      </c>
      <c r="AJ26" s="55"/>
      <c r="AK26" s="74">
        <f t="shared" si="18"/>
        <v>44.4</v>
      </c>
      <c r="AL26" s="47">
        <f t="shared" si="4"/>
        <v>0</v>
      </c>
      <c r="AM26" s="47">
        <f t="shared" si="5"/>
        <v>44.4</v>
      </c>
      <c r="AN26" s="203"/>
      <c r="AO26" s="42">
        <f t="shared" si="6"/>
        <v>34.072341837281968</v>
      </c>
      <c r="AP26" s="42"/>
      <c r="AQ26" s="56"/>
      <c r="AV26" s="407"/>
      <c r="AW26" s="676">
        <v>0.02</v>
      </c>
      <c r="AX26" s="616">
        <v>37</v>
      </c>
      <c r="AY26" s="639">
        <v>13</v>
      </c>
      <c r="AZ26" s="103"/>
      <c r="BA26" s="385">
        <f t="shared" si="7"/>
        <v>3.4</v>
      </c>
      <c r="BB26" s="30">
        <v>1.63</v>
      </c>
      <c r="BC26" s="407">
        <v>15988</v>
      </c>
      <c r="BE26" s="574">
        <f t="shared" si="19"/>
        <v>12</v>
      </c>
      <c r="BF26" s="559">
        <v>6901.36</v>
      </c>
      <c r="BG26" s="581">
        <f t="shared" si="20"/>
        <v>0</v>
      </c>
      <c r="BH26" s="576">
        <v>27.878125000000022</v>
      </c>
      <c r="BI26" s="576">
        <f t="shared" si="8"/>
        <v>13.121874999999978</v>
      </c>
    </row>
    <row r="27" spans="1:61" ht="12.95" customHeight="1">
      <c r="A27" s="48">
        <f t="shared" si="9"/>
        <v>13</v>
      </c>
      <c r="B27" s="104">
        <v>6901.35</v>
      </c>
      <c r="C27" s="483">
        <f>IF(B27="",C26,VLOOKUP(TRUNC(B27,1),VLOOKUP!$A$3:$K$2834,RIGHT(TEXT(B27,"0000.00"),1)+2,FALSE))</f>
        <v>288588</v>
      </c>
      <c r="D27" s="45">
        <f t="shared" si="10"/>
        <v>-38</v>
      </c>
      <c r="E27" s="55">
        <f t="shared" si="0"/>
        <v>136588</v>
      </c>
      <c r="F27" s="112">
        <f t="shared" si="1"/>
        <v>-19.158053945046635</v>
      </c>
      <c r="G27" s="47">
        <v>39.4</v>
      </c>
      <c r="H27" s="113">
        <v>0</v>
      </c>
      <c r="I27" s="47">
        <f t="shared" si="11"/>
        <v>39.4</v>
      </c>
      <c r="J27" s="42">
        <f t="shared" si="12"/>
        <v>0</v>
      </c>
      <c r="K27" s="47">
        <f t="shared" si="13"/>
        <v>39.4</v>
      </c>
      <c r="L27" s="47">
        <f t="shared" si="14"/>
        <v>-13.958053945046633</v>
      </c>
      <c r="M27" s="114">
        <v>3.6</v>
      </c>
      <c r="N27" s="47">
        <v>0</v>
      </c>
      <c r="O27" s="47">
        <f t="shared" si="15"/>
        <v>0</v>
      </c>
      <c r="P27" s="39">
        <v>0</v>
      </c>
      <c r="Q27" s="73">
        <f>1084300/325851/1.9835*1.02</f>
        <v>1.7111905239920238</v>
      </c>
      <c r="R27" s="73">
        <v>0</v>
      </c>
      <c r="S27" s="73">
        <f>IF(((2.4*1.04)-T27)&gt;=4.2,4.2,(2.4*1.04)-T27)</f>
        <v>1.8068897599999998</v>
      </c>
      <c r="T27" s="73">
        <f t="shared" si="22"/>
        <v>0.6891102400000001</v>
      </c>
      <c r="U27" s="243">
        <f t="shared" si="2"/>
        <v>-0.60719052399202367</v>
      </c>
      <c r="V27" s="47">
        <v>0</v>
      </c>
      <c r="W27" s="47">
        <v>0</v>
      </c>
      <c r="X27" s="47">
        <f t="shared" si="16"/>
        <v>1.1102230246251565E-16</v>
      </c>
      <c r="Y27" s="47">
        <f t="shared" si="3"/>
        <v>1.1102230246251565E-16</v>
      </c>
      <c r="Z27" s="47"/>
      <c r="AA27" s="47"/>
      <c r="AB27" s="42"/>
      <c r="AC27" s="42"/>
      <c r="AD27" s="55"/>
      <c r="AE27" s="47"/>
      <c r="AF27" s="114"/>
      <c r="AG27" s="212"/>
      <c r="AH27" s="47">
        <v>41</v>
      </c>
      <c r="AI27" s="55">
        <f t="shared" si="17"/>
        <v>3492.1578774893114</v>
      </c>
      <c r="AJ27" s="55"/>
      <c r="AK27" s="74">
        <f t="shared" si="18"/>
        <v>44.6</v>
      </c>
      <c r="AL27" s="47">
        <f t="shared" si="4"/>
        <v>13.958053945046633</v>
      </c>
      <c r="AM27" s="47">
        <f t="shared" si="5"/>
        <v>58.558053945046638</v>
      </c>
      <c r="AN27" s="203"/>
      <c r="AO27" s="42">
        <f t="shared" si="6"/>
        <v>37.688809476007975</v>
      </c>
      <c r="AP27" s="42"/>
      <c r="AQ27" s="56"/>
      <c r="AV27" s="407"/>
      <c r="AW27" s="143">
        <v>0.02</v>
      </c>
      <c r="AX27" s="55">
        <v>42</v>
      </c>
      <c r="AY27" s="45">
        <v>23</v>
      </c>
      <c r="AZ27" s="103"/>
      <c r="BA27" s="385">
        <f t="shared" si="7"/>
        <v>3.6</v>
      </c>
      <c r="BB27" s="30">
        <v>1.63</v>
      </c>
      <c r="BC27" s="407">
        <v>15991</v>
      </c>
      <c r="BE27" s="574">
        <f t="shared" si="19"/>
        <v>13</v>
      </c>
      <c r="BF27" s="559">
        <v>6901.35</v>
      </c>
      <c r="BG27" s="581">
        <f t="shared" si="20"/>
        <v>0</v>
      </c>
      <c r="BH27" s="576">
        <v>27.726041666666685</v>
      </c>
      <c r="BI27" s="576">
        <f t="shared" si="8"/>
        <v>13.273958333333315</v>
      </c>
    </row>
    <row r="28" spans="1:61" ht="12.95" customHeight="1">
      <c r="A28" s="48">
        <f t="shared" si="9"/>
        <v>14</v>
      </c>
      <c r="B28" s="104">
        <v>6901.34</v>
      </c>
      <c r="C28" s="483">
        <f>IF(B28="",C27,VLOOKUP(TRUNC(B28,1),VLOOKUP!$A$3:$K$2834,RIGHT(TEXT(B28,"0000.00"),1)+2,FALSE))</f>
        <v>288551</v>
      </c>
      <c r="D28" s="45">
        <f t="shared" si="10"/>
        <v>-37</v>
      </c>
      <c r="E28" s="55">
        <f t="shared" si="0"/>
        <v>136551</v>
      </c>
      <c r="F28" s="112">
        <f t="shared" si="1"/>
        <v>-18.653894630703302</v>
      </c>
      <c r="G28" s="47">
        <v>38.1</v>
      </c>
      <c r="H28" s="113">
        <v>0</v>
      </c>
      <c r="I28" s="47">
        <f t="shared" si="11"/>
        <v>38.1</v>
      </c>
      <c r="J28" s="42">
        <f t="shared" si="12"/>
        <v>0</v>
      </c>
      <c r="K28" s="47">
        <f t="shared" si="13"/>
        <v>38.1</v>
      </c>
      <c r="L28" s="47">
        <f t="shared" si="14"/>
        <v>-11.953894630703306</v>
      </c>
      <c r="M28" s="114">
        <v>3.8</v>
      </c>
      <c r="N28" s="47">
        <v>0</v>
      </c>
      <c r="O28" s="47">
        <f t="shared" si="15"/>
        <v>0</v>
      </c>
      <c r="P28" s="39">
        <v>0</v>
      </c>
      <c r="Q28" s="73">
        <f>1000500/325851/1.9835*1.02</f>
        <v>1.5789413624034121</v>
      </c>
      <c r="R28" s="73">
        <v>0</v>
      </c>
      <c r="S28" s="73">
        <f>IF(((2.5*1.04)-T28)&gt;=4.2,4.2,(2.5*1.04)-T28)</f>
        <v>1.9108897599999999</v>
      </c>
      <c r="T28" s="73">
        <f t="shared" si="22"/>
        <v>0.6891102400000001</v>
      </c>
      <c r="U28" s="243">
        <f t="shared" si="2"/>
        <v>-0.37894136240341236</v>
      </c>
      <c r="V28" s="47">
        <v>0</v>
      </c>
      <c r="W28" s="47">
        <v>0</v>
      </c>
      <c r="X28" s="47">
        <f t="shared" si="16"/>
        <v>1.1102230246251565E-16</v>
      </c>
      <c r="Y28" s="47">
        <f t="shared" si="3"/>
        <v>1.1102230246251565E-16</v>
      </c>
      <c r="Z28" s="47"/>
      <c r="AA28" s="47"/>
      <c r="AB28" s="42"/>
      <c r="AC28" s="42"/>
      <c r="AD28" s="55"/>
      <c r="AE28" s="47"/>
      <c r="AF28" s="114"/>
      <c r="AG28" s="212"/>
      <c r="AH28" s="47">
        <v>41</v>
      </c>
      <c r="AI28" s="55">
        <f t="shared" si="17"/>
        <v>3451.1578774893114</v>
      </c>
      <c r="AJ28" s="55"/>
      <c r="AK28" s="74">
        <f t="shared" si="18"/>
        <v>44.8</v>
      </c>
      <c r="AL28" s="47">
        <f t="shared" si="4"/>
        <v>11.953894630703306</v>
      </c>
      <c r="AM28" s="47">
        <f t="shared" si="5"/>
        <v>56.7538946307033</v>
      </c>
      <c r="AN28" s="203"/>
      <c r="AO28" s="42">
        <f t="shared" si="6"/>
        <v>36.521058637596589</v>
      </c>
      <c r="AP28" s="42"/>
      <c r="AQ28" s="56"/>
      <c r="AV28" s="407"/>
      <c r="AW28" s="143">
        <v>0</v>
      </c>
      <c r="AX28" s="55">
        <v>52</v>
      </c>
      <c r="AY28" s="45">
        <v>20</v>
      </c>
      <c r="AZ28" s="103"/>
      <c r="BA28" s="385">
        <f t="shared" si="7"/>
        <v>3.8</v>
      </c>
      <c r="BB28" s="30">
        <v>1.63</v>
      </c>
      <c r="BC28" s="407">
        <v>15991</v>
      </c>
      <c r="BE28" s="574">
        <f t="shared" si="19"/>
        <v>14</v>
      </c>
      <c r="BF28" s="559">
        <v>6901.35</v>
      </c>
      <c r="BG28" s="581">
        <f t="shared" si="20"/>
        <v>-1.0000000000218279E-2</v>
      </c>
      <c r="BH28" s="576">
        <v>27.789583333333354</v>
      </c>
      <c r="BI28" s="576">
        <f t="shared" si="8"/>
        <v>13.210416666666646</v>
      </c>
    </row>
    <row r="29" spans="1:61" ht="12.95" customHeight="1">
      <c r="A29" s="48">
        <f t="shared" si="9"/>
        <v>15</v>
      </c>
      <c r="B29" s="104">
        <v>6901.34</v>
      </c>
      <c r="C29" s="483">
        <f>IF(B29="",C28,VLOOKUP(TRUNC(B29,1),VLOOKUP!$A$3:$K$2834,RIGHT(TEXT(B29,"0000.00"),1)+2,FALSE))</f>
        <v>288551</v>
      </c>
      <c r="D29" s="45">
        <f t="shared" si="10"/>
        <v>0</v>
      </c>
      <c r="E29" s="55">
        <f t="shared" si="0"/>
        <v>136551</v>
      </c>
      <c r="F29" s="112">
        <f t="shared" si="1"/>
        <v>0</v>
      </c>
      <c r="G29" s="47">
        <v>34.4</v>
      </c>
      <c r="H29" s="113">
        <v>0</v>
      </c>
      <c r="I29" s="47">
        <f t="shared" si="11"/>
        <v>34.4</v>
      </c>
      <c r="J29" s="42">
        <f t="shared" si="12"/>
        <v>10.5</v>
      </c>
      <c r="K29" s="47">
        <f t="shared" si="13"/>
        <v>44.9</v>
      </c>
      <c r="L29" s="47">
        <f t="shared" si="14"/>
        <v>10.5</v>
      </c>
      <c r="M29" s="114">
        <v>3.9</v>
      </c>
      <c r="N29" s="47">
        <v>0</v>
      </c>
      <c r="O29" s="47">
        <f t="shared" si="15"/>
        <v>0</v>
      </c>
      <c r="P29" s="39">
        <v>0</v>
      </c>
      <c r="Q29" s="73">
        <f>1191400/325851/1.9835*1.02</f>
        <v>1.8802106338504998</v>
      </c>
      <c r="R29" s="73">
        <v>0</v>
      </c>
      <c r="S29" s="73">
        <f>IF(((2.3*1.04)-T29)&gt;=4.2,4.2,(2.3*1.04)-T29)</f>
        <v>1.7028897599999997</v>
      </c>
      <c r="T29" s="73">
        <f t="shared" si="22"/>
        <v>0.6891102400000001</v>
      </c>
      <c r="U29" s="243">
        <f t="shared" si="2"/>
        <v>-0.37221063385049957</v>
      </c>
      <c r="V29" s="47">
        <v>0</v>
      </c>
      <c r="W29" s="47">
        <v>0</v>
      </c>
      <c r="X29" s="47">
        <f t="shared" si="16"/>
        <v>1.1102230246251565E-16</v>
      </c>
      <c r="Y29" s="47">
        <f t="shared" si="3"/>
        <v>1.1102230246251565E-16</v>
      </c>
      <c r="Z29" s="47"/>
      <c r="AA29" s="47"/>
      <c r="AB29" s="42"/>
      <c r="AC29" s="42"/>
      <c r="AD29" s="55"/>
      <c r="AE29" s="47"/>
      <c r="AF29" s="114"/>
      <c r="AG29" s="212"/>
      <c r="AH29" s="47">
        <v>41</v>
      </c>
      <c r="AI29" s="55">
        <f t="shared" si="17"/>
        <v>3410.1578774893114</v>
      </c>
      <c r="AJ29" s="55"/>
      <c r="AK29" s="74">
        <f t="shared" si="18"/>
        <v>44.9</v>
      </c>
      <c r="AL29" s="47">
        <f t="shared" si="4"/>
        <v>0</v>
      </c>
      <c r="AM29" s="47">
        <f t="shared" si="5"/>
        <v>44.9</v>
      </c>
      <c r="AN29" s="203"/>
      <c r="AO29" s="42">
        <f t="shared" si="6"/>
        <v>32.519789366149496</v>
      </c>
      <c r="AP29" s="42"/>
      <c r="AQ29" s="56"/>
      <c r="AV29" s="407"/>
      <c r="AW29" s="143">
        <v>0</v>
      </c>
      <c r="AX29" s="55">
        <v>52</v>
      </c>
      <c r="AY29" s="45">
        <v>20</v>
      </c>
      <c r="AZ29" s="103"/>
      <c r="BA29" s="385">
        <f t="shared" si="7"/>
        <v>3.9</v>
      </c>
      <c r="BB29" s="30">
        <v>1.63</v>
      </c>
      <c r="BC29" s="407">
        <v>15991</v>
      </c>
      <c r="BE29" s="574">
        <f t="shared" si="19"/>
        <v>15</v>
      </c>
      <c r="BF29" s="559">
        <v>6901.35</v>
      </c>
      <c r="BG29" s="581">
        <f t="shared" si="20"/>
        <v>-1.0000000000218279E-2</v>
      </c>
      <c r="BH29" s="576">
        <v>27.801041666666681</v>
      </c>
      <c r="BI29" s="576">
        <f t="shared" si="8"/>
        <v>13.198958333333319</v>
      </c>
    </row>
    <row r="30" spans="1:61" ht="12.95" customHeight="1">
      <c r="A30" s="48">
        <f t="shared" si="9"/>
        <v>16</v>
      </c>
      <c r="B30" s="104">
        <v>6901.34</v>
      </c>
      <c r="C30" s="483">
        <f>IF(B30="",C29,VLOOKUP(TRUNC(B30,1),VLOOKUP!$A$3:$K$2834,RIGHT(TEXT(B30,"0000.00"),1)+2,FALSE))</f>
        <v>288551</v>
      </c>
      <c r="D30" s="45">
        <f t="shared" si="10"/>
        <v>0</v>
      </c>
      <c r="E30" s="55">
        <f t="shared" si="0"/>
        <v>136551</v>
      </c>
      <c r="F30" s="112">
        <f t="shared" si="1"/>
        <v>0</v>
      </c>
      <c r="G30" s="47">
        <v>34.700000000000003</v>
      </c>
      <c r="H30" s="113">
        <v>0</v>
      </c>
      <c r="I30" s="47">
        <f t="shared" si="11"/>
        <v>34.700000000000003</v>
      </c>
      <c r="J30" s="42">
        <f t="shared" si="12"/>
        <v>10.099999999999994</v>
      </c>
      <c r="K30" s="47">
        <f t="shared" si="13"/>
        <v>44.8</v>
      </c>
      <c r="L30" s="47">
        <f t="shared" si="14"/>
        <v>10.099999999999994</v>
      </c>
      <c r="M30" s="114">
        <v>3.8</v>
      </c>
      <c r="N30" s="47">
        <v>0</v>
      </c>
      <c r="O30" s="47">
        <f t="shared" si="15"/>
        <v>0</v>
      </c>
      <c r="P30" s="39">
        <v>0</v>
      </c>
      <c r="Q30" s="73">
        <f>1033500/325851/1.9835*1.02</f>
        <v>1.6310203878500014</v>
      </c>
      <c r="R30" s="73">
        <v>0</v>
      </c>
      <c r="S30" s="73">
        <f>IF(((2.4*1.04)-T30)&gt;=4.2,4.2,(2.4*1.04)-T30)</f>
        <v>1.8068897599999998</v>
      </c>
      <c r="T30" s="73">
        <f t="shared" si="22"/>
        <v>0.6891102400000001</v>
      </c>
      <c r="U30" s="243">
        <f t="shared" si="2"/>
        <v>-0.32702038785000109</v>
      </c>
      <c r="V30" s="47">
        <v>0</v>
      </c>
      <c r="W30" s="47">
        <v>0</v>
      </c>
      <c r="X30" s="47">
        <f t="shared" si="16"/>
        <v>0</v>
      </c>
      <c r="Y30" s="47">
        <f t="shared" si="3"/>
        <v>0</v>
      </c>
      <c r="Z30" s="47"/>
      <c r="AA30" s="47"/>
      <c r="AB30" s="42"/>
      <c r="AC30" s="42"/>
      <c r="AD30" s="55"/>
      <c r="AE30" s="47"/>
      <c r="AF30" s="114"/>
      <c r="AG30" s="212"/>
      <c r="AH30" s="47">
        <v>41</v>
      </c>
      <c r="AI30" s="55">
        <f t="shared" si="17"/>
        <v>3369.1578774893114</v>
      </c>
      <c r="AJ30" s="55"/>
      <c r="AK30" s="74">
        <f t="shared" si="18"/>
        <v>44.8</v>
      </c>
      <c r="AL30" s="47">
        <f t="shared" si="4"/>
        <v>0</v>
      </c>
      <c r="AM30" s="47">
        <f t="shared" si="5"/>
        <v>44.8</v>
      </c>
      <c r="AN30" s="203"/>
      <c r="AO30" s="42">
        <f t="shared" si="6"/>
        <v>33.068979612150002</v>
      </c>
      <c r="AP30" s="42"/>
      <c r="AQ30" s="56"/>
      <c r="AV30" s="407"/>
      <c r="AW30" s="143">
        <v>0</v>
      </c>
      <c r="AX30" s="55">
        <v>48</v>
      </c>
      <c r="AY30" s="45">
        <v>25</v>
      </c>
      <c r="AZ30" s="103"/>
      <c r="BA30" s="385">
        <f t="shared" si="7"/>
        <v>3.8</v>
      </c>
      <c r="BB30" s="30">
        <v>1.63</v>
      </c>
      <c r="BC30" s="407">
        <v>15991</v>
      </c>
      <c r="BE30" s="574">
        <f t="shared" si="19"/>
        <v>16</v>
      </c>
      <c r="BF30" s="559">
        <v>6901.34</v>
      </c>
      <c r="BG30" s="581">
        <f t="shared" si="20"/>
        <v>0</v>
      </c>
      <c r="BH30" s="576">
        <v>27.692708333333353</v>
      </c>
      <c r="BI30" s="576">
        <f t="shared" si="8"/>
        <v>13.307291666666647</v>
      </c>
    </row>
    <row r="31" spans="1:61" ht="12.95" customHeight="1">
      <c r="A31" s="48">
        <f t="shared" si="9"/>
        <v>17</v>
      </c>
      <c r="B31" s="104">
        <v>6901.32</v>
      </c>
      <c r="C31" s="483">
        <f>IF(B31="",C30,VLOOKUP(TRUNC(B31,1),VLOOKUP!$A$3:$K$2834,RIGHT(TEXT(B31,"0000.00"),1)+2,FALSE))</f>
        <v>288476</v>
      </c>
      <c r="D31" s="45">
        <f t="shared" si="10"/>
        <v>-75</v>
      </c>
      <c r="E31" s="55">
        <f t="shared" si="0"/>
        <v>136476</v>
      </c>
      <c r="F31" s="112">
        <f t="shared" si="1"/>
        <v>-37.811948575749938</v>
      </c>
      <c r="G31" s="47">
        <v>37.200000000000003</v>
      </c>
      <c r="H31" s="113">
        <v>0</v>
      </c>
      <c r="I31" s="47">
        <f>G31+H31</f>
        <v>37.200000000000003</v>
      </c>
      <c r="J31" s="42">
        <f t="shared" si="12"/>
        <v>0</v>
      </c>
      <c r="K31" s="47">
        <f t="shared" si="13"/>
        <v>37.200000000000003</v>
      </c>
      <c r="L31" s="47">
        <f t="shared" si="14"/>
        <v>-30.311948575749938</v>
      </c>
      <c r="M31" s="114">
        <v>3.7</v>
      </c>
      <c r="N31" s="47">
        <v>0</v>
      </c>
      <c r="O31" s="47">
        <f t="shared" si="15"/>
        <v>0</v>
      </c>
      <c r="P31" s="39">
        <v>0</v>
      </c>
      <c r="Q31" s="73">
        <f>1003800/325851/1.9835*1.02</f>
        <v>1.5841492649480711</v>
      </c>
      <c r="R31" s="73">
        <v>0</v>
      </c>
      <c r="S31" s="73">
        <f>IF(((2.5*1.04)-T31)&gt;=4.2,4.2,(2.5*1.04)-T31)</f>
        <v>1.94881232</v>
      </c>
      <c r="T31" s="73">
        <f>(0.5907*1.06)*1.04</f>
        <v>0.65118768000000016</v>
      </c>
      <c r="U31" s="243">
        <f t="shared" si="2"/>
        <v>-0.48414926494807098</v>
      </c>
      <c r="V31" s="47">
        <v>0</v>
      </c>
      <c r="W31" s="47">
        <v>0</v>
      </c>
      <c r="X31" s="47">
        <f t="shared" si="16"/>
        <v>0</v>
      </c>
      <c r="Y31" s="47">
        <f t="shared" si="3"/>
        <v>0</v>
      </c>
      <c r="Z31" s="47"/>
      <c r="AA31" s="47"/>
      <c r="AB31" s="42"/>
      <c r="AC31" s="42"/>
      <c r="AD31" s="55"/>
      <c r="AE31" s="47"/>
      <c r="AF31" s="114"/>
      <c r="AG31" s="212"/>
      <c r="AH31" s="47">
        <v>41</v>
      </c>
      <c r="AI31" s="55">
        <f t="shared" si="17"/>
        <v>3328.1578774893114</v>
      </c>
      <c r="AJ31" s="55"/>
      <c r="AK31" s="74">
        <f t="shared" si="18"/>
        <v>44.7</v>
      </c>
      <c r="AL31" s="47">
        <f t="shared" si="4"/>
        <v>30.311948575749938</v>
      </c>
      <c r="AM31" s="47">
        <f t="shared" si="5"/>
        <v>75.01194857574994</v>
      </c>
      <c r="AN31" s="203"/>
      <c r="AO31" s="42">
        <f t="shared" si="6"/>
        <v>35.615850735051929</v>
      </c>
      <c r="AP31" s="42"/>
      <c r="AQ31" s="56"/>
      <c r="AV31" s="407"/>
      <c r="AW31" s="143">
        <v>0.02</v>
      </c>
      <c r="AX31" s="55">
        <v>39</v>
      </c>
      <c r="AY31" s="45">
        <v>15</v>
      </c>
      <c r="AZ31" s="103"/>
      <c r="BA31" s="385">
        <f t="shared" si="7"/>
        <v>3.7</v>
      </c>
      <c r="BB31" s="30">
        <v>1.63</v>
      </c>
      <c r="BC31" s="407">
        <v>15994</v>
      </c>
      <c r="BE31" s="574">
        <f t="shared" si="19"/>
        <v>17</v>
      </c>
      <c r="BF31" s="559">
        <v>6901.32</v>
      </c>
      <c r="BG31" s="581">
        <f t="shared" si="20"/>
        <v>0</v>
      </c>
      <c r="BH31" s="576">
        <v>27.767708333333349</v>
      </c>
      <c r="BI31" s="576">
        <f t="shared" si="8"/>
        <v>13.232291666666651</v>
      </c>
    </row>
    <row r="32" spans="1:61" ht="12.95" customHeight="1">
      <c r="A32" s="48">
        <f t="shared" si="9"/>
        <v>18</v>
      </c>
      <c r="B32" s="104">
        <v>6901.32</v>
      </c>
      <c r="C32" s="483">
        <f>IF(B32="",C31,VLOOKUP(TRUNC(B32,1),VLOOKUP!$A$3:$K$2834,RIGHT(TEXT(B32,"0000.00"),1)+2,FALSE))</f>
        <v>288476</v>
      </c>
      <c r="D32" s="45">
        <f t="shared" si="10"/>
        <v>0</v>
      </c>
      <c r="E32" s="55">
        <f t="shared" si="0"/>
        <v>136476</v>
      </c>
      <c r="F32" s="112">
        <f t="shared" si="1"/>
        <v>0</v>
      </c>
      <c r="G32" s="47">
        <v>36.5</v>
      </c>
      <c r="H32" s="113">
        <v>0</v>
      </c>
      <c r="I32" s="47">
        <f>G32+H32</f>
        <v>36.5</v>
      </c>
      <c r="J32" s="42">
        <f t="shared" si="12"/>
        <v>8.2000000000000028</v>
      </c>
      <c r="K32" s="47">
        <f t="shared" si="13"/>
        <v>44.7</v>
      </c>
      <c r="L32" s="47">
        <f t="shared" si="14"/>
        <v>8.2000000000000028</v>
      </c>
      <c r="M32" s="114">
        <v>3.7</v>
      </c>
      <c r="N32" s="47">
        <v>0</v>
      </c>
      <c r="O32" s="47">
        <f t="shared" si="15"/>
        <v>0</v>
      </c>
      <c r="P32" s="39">
        <v>0</v>
      </c>
      <c r="Q32" s="73">
        <f>982200/325851/1.9835*1.02</f>
        <v>1.550061175564849</v>
      </c>
      <c r="R32" s="73">
        <v>0</v>
      </c>
      <c r="S32" s="73">
        <f>IF(((2*1.04)-T32)&gt;=4.2,4.2,(2*1.04)-T32)</f>
        <v>1.42881232</v>
      </c>
      <c r="T32" s="73">
        <f t="shared" ref="T32:T37" si="23">(0.5907*1.06)*1.04</f>
        <v>0.65118768000000016</v>
      </c>
      <c r="U32" s="243">
        <f t="shared" si="2"/>
        <v>6.9938824435151314E-2</v>
      </c>
      <c r="V32" s="47">
        <v>0</v>
      </c>
      <c r="W32" s="47">
        <v>0</v>
      </c>
      <c r="X32" s="47">
        <f t="shared" si="16"/>
        <v>0</v>
      </c>
      <c r="Y32" s="47">
        <f t="shared" si="3"/>
        <v>0</v>
      </c>
      <c r="Z32" s="47"/>
      <c r="AA32" s="47"/>
      <c r="AB32" s="42"/>
      <c r="AC32" s="42"/>
      <c r="AD32" s="55"/>
      <c r="AE32" s="47"/>
      <c r="AF32" s="114"/>
      <c r="AG32" s="212"/>
      <c r="AH32" s="47">
        <v>41</v>
      </c>
      <c r="AI32" s="55">
        <f t="shared" si="17"/>
        <v>3287.1578774893114</v>
      </c>
      <c r="AJ32" s="55"/>
      <c r="AK32" s="74">
        <f t="shared" si="18"/>
        <v>44.7</v>
      </c>
      <c r="AL32" s="47">
        <f t="shared" si="4"/>
        <v>0</v>
      </c>
      <c r="AM32" s="47">
        <f t="shared" si="5"/>
        <v>44.7</v>
      </c>
      <c r="AN32" s="203"/>
      <c r="AO32" s="42">
        <f t="shared" si="6"/>
        <v>34.949938824435151</v>
      </c>
      <c r="AP32" s="42"/>
      <c r="AQ32" s="56"/>
      <c r="AV32" s="407"/>
      <c r="AW32" s="143">
        <v>0</v>
      </c>
      <c r="AX32" s="55">
        <v>40</v>
      </c>
      <c r="AY32" s="45">
        <v>13</v>
      </c>
      <c r="AZ32" s="103"/>
      <c r="BA32" s="385">
        <f t="shared" si="7"/>
        <v>3.7</v>
      </c>
      <c r="BB32" s="30">
        <v>1.63</v>
      </c>
      <c r="BC32" s="407">
        <v>15998</v>
      </c>
      <c r="BE32" s="574">
        <f t="shared" si="19"/>
        <v>18</v>
      </c>
      <c r="BF32" s="559">
        <v>6901.32</v>
      </c>
      <c r="BG32" s="581">
        <f t="shared" si="20"/>
        <v>0</v>
      </c>
      <c r="BH32" s="576">
        <v>27.855208333333355</v>
      </c>
      <c r="BI32" s="576">
        <f t="shared" si="8"/>
        <v>13.144791666666645</v>
      </c>
    </row>
    <row r="33" spans="1:61" ht="12.95" customHeight="1">
      <c r="A33" s="48">
        <f t="shared" si="9"/>
        <v>19</v>
      </c>
      <c r="B33" s="104">
        <v>6901.31</v>
      </c>
      <c r="C33" s="483">
        <f>IF(B33="",C32,VLOOKUP(TRUNC(B33,1),VLOOKUP!$A$3:$K$2834,RIGHT(TEXT(B33,"0000.00"),1)+2,FALSE))</f>
        <v>288439</v>
      </c>
      <c r="D33" s="45">
        <f t="shared" si="10"/>
        <v>-37</v>
      </c>
      <c r="E33" s="55">
        <f t="shared" si="0"/>
        <v>136439</v>
      </c>
      <c r="F33" s="112">
        <f t="shared" si="1"/>
        <v>-18.653894630703302</v>
      </c>
      <c r="G33" s="47">
        <v>35.799999999999997</v>
      </c>
      <c r="H33" s="113">
        <v>0</v>
      </c>
      <c r="I33" s="47">
        <f t="shared" si="11"/>
        <v>35.799999999999997</v>
      </c>
      <c r="J33" s="42">
        <f t="shared" si="12"/>
        <v>0</v>
      </c>
      <c r="K33" s="47">
        <f t="shared" si="13"/>
        <v>35.799999999999997</v>
      </c>
      <c r="L33" s="47">
        <f t="shared" si="14"/>
        <v>-10.153894630703302</v>
      </c>
      <c r="M33" s="114">
        <v>3.3</v>
      </c>
      <c r="N33" s="47">
        <v>0</v>
      </c>
      <c r="O33" s="47">
        <f t="shared" si="15"/>
        <v>0</v>
      </c>
      <c r="P33" s="39">
        <v>0</v>
      </c>
      <c r="Q33" s="73">
        <f>1410200/325851/1.9835*1.02</f>
        <v>2.2255103540842494</v>
      </c>
      <c r="R33" s="73">
        <v>0</v>
      </c>
      <c r="S33" s="73">
        <f>IF(((1.9*1.04)-T33)&gt;=4.2,4.2,(1.9*1.04)-T33)</f>
        <v>1.3248123199999999</v>
      </c>
      <c r="T33" s="73">
        <f t="shared" si="23"/>
        <v>0.65118768000000016</v>
      </c>
      <c r="U33" s="243">
        <f t="shared" si="2"/>
        <v>-0.90151035408424995</v>
      </c>
      <c r="V33" s="47">
        <v>0</v>
      </c>
      <c r="W33" s="47">
        <v>0</v>
      </c>
      <c r="X33" s="47">
        <f t="shared" si="16"/>
        <v>3.3306690738754696E-16</v>
      </c>
      <c r="Y33" s="47">
        <f t="shared" si="3"/>
        <v>3.3306690738754696E-16</v>
      </c>
      <c r="Z33" s="47"/>
      <c r="AA33" s="47"/>
      <c r="AB33" s="42"/>
      <c r="AC33" s="42"/>
      <c r="AD33" s="55"/>
      <c r="AE33" s="47"/>
      <c r="AF33" s="114"/>
      <c r="AG33" s="212"/>
      <c r="AH33" s="47">
        <v>41</v>
      </c>
      <c r="AI33" s="55">
        <f t="shared" si="17"/>
        <v>3246.1578774893114</v>
      </c>
      <c r="AJ33" s="55"/>
      <c r="AK33" s="74">
        <f t="shared" si="18"/>
        <v>44.3</v>
      </c>
      <c r="AL33" s="47">
        <f t="shared" si="4"/>
        <v>10.153894630703302</v>
      </c>
      <c r="AM33" s="47">
        <f t="shared" si="5"/>
        <v>54.453894630703303</v>
      </c>
      <c r="AN33" s="203"/>
      <c r="AO33" s="42">
        <f t="shared" si="6"/>
        <v>33.574489645915747</v>
      </c>
      <c r="AP33" s="42"/>
      <c r="AQ33" s="56"/>
      <c r="AV33" s="407"/>
      <c r="AW33" s="143">
        <v>0</v>
      </c>
      <c r="AX33" s="55">
        <v>45</v>
      </c>
      <c r="AY33" s="45">
        <v>16</v>
      </c>
      <c r="AZ33" s="103"/>
      <c r="BA33" s="385">
        <f t="shared" si="7"/>
        <v>3.3</v>
      </c>
      <c r="BB33" s="30">
        <v>1.63</v>
      </c>
      <c r="BC33" s="407">
        <v>16000</v>
      </c>
      <c r="BE33" s="574">
        <f t="shared" si="19"/>
        <v>19</v>
      </c>
      <c r="BF33" s="559">
        <v>6901.33</v>
      </c>
      <c r="BG33" s="581">
        <f t="shared" si="20"/>
        <v>-1.9999999999527063E-2</v>
      </c>
      <c r="BH33" s="576">
        <v>27.858333333333352</v>
      </c>
      <c r="BI33" s="576">
        <f t="shared" si="8"/>
        <v>13.141666666666648</v>
      </c>
    </row>
    <row r="34" spans="1:61" ht="12.95" customHeight="1">
      <c r="A34" s="48">
        <f t="shared" si="9"/>
        <v>20</v>
      </c>
      <c r="B34" s="104">
        <v>6901.31</v>
      </c>
      <c r="C34" s="483">
        <f>IF(B34="",C33,VLOOKUP(TRUNC(B34,1),VLOOKUP!$A$3:$K$2834,RIGHT(TEXT(B34,"0000.00"),1)+2,FALSE))</f>
        <v>288439</v>
      </c>
      <c r="D34" s="45">
        <f t="shared" si="10"/>
        <v>0</v>
      </c>
      <c r="E34" s="55">
        <f t="shared" si="0"/>
        <v>136439</v>
      </c>
      <c r="F34" s="112">
        <f t="shared" si="1"/>
        <v>0</v>
      </c>
      <c r="G34" s="47">
        <v>35.700000000000003</v>
      </c>
      <c r="H34" s="113">
        <v>0</v>
      </c>
      <c r="I34" s="47">
        <f t="shared" si="11"/>
        <v>35.700000000000003</v>
      </c>
      <c r="J34" s="42">
        <f t="shared" si="12"/>
        <v>8.6999999999999957</v>
      </c>
      <c r="K34" s="47">
        <f t="shared" si="13"/>
        <v>44.4</v>
      </c>
      <c r="L34" s="47">
        <f t="shared" si="14"/>
        <v>8.6999999999999957</v>
      </c>
      <c r="M34" s="114">
        <v>3.4</v>
      </c>
      <c r="N34" s="47">
        <v>0</v>
      </c>
      <c r="O34" s="47">
        <f t="shared" si="15"/>
        <v>0</v>
      </c>
      <c r="P34" s="39">
        <v>0</v>
      </c>
      <c r="Q34" s="73">
        <f>1342200/325851/1.9835*1.02</f>
        <v>2.1181959986185501</v>
      </c>
      <c r="R34" s="73">
        <v>0</v>
      </c>
      <c r="S34" s="73">
        <f>IF(((1.9*1.04)-T34)&gt;=4.2,4.2,(1.9*1.04)-T34)</f>
        <v>1.3248123199999999</v>
      </c>
      <c r="T34" s="73">
        <f t="shared" si="23"/>
        <v>0.65118768000000016</v>
      </c>
      <c r="U34" s="243">
        <f t="shared" si="2"/>
        <v>-0.69419599861855064</v>
      </c>
      <c r="V34" s="47">
        <v>0</v>
      </c>
      <c r="W34" s="47">
        <v>0</v>
      </c>
      <c r="X34" s="47">
        <f t="shared" si="16"/>
        <v>3.3306690738754696E-16</v>
      </c>
      <c r="Y34" s="47">
        <f t="shared" si="3"/>
        <v>3.3306690738754696E-16</v>
      </c>
      <c r="Z34" s="47"/>
      <c r="AA34" s="47"/>
      <c r="AB34" s="42"/>
      <c r="AC34" s="42"/>
      <c r="AD34" s="55"/>
      <c r="AE34" s="47"/>
      <c r="AF34" s="114"/>
      <c r="AG34" s="212"/>
      <c r="AH34" s="47">
        <v>41</v>
      </c>
      <c r="AI34" s="55">
        <f t="shared" si="17"/>
        <v>3205.1578774893114</v>
      </c>
      <c r="AJ34" s="55"/>
      <c r="AK34" s="74">
        <f t="shared" si="18"/>
        <v>44.4</v>
      </c>
      <c r="AL34" s="47">
        <f t="shared" si="4"/>
        <v>0</v>
      </c>
      <c r="AM34" s="47">
        <f t="shared" si="5"/>
        <v>44.4</v>
      </c>
      <c r="AN34" s="203"/>
      <c r="AO34" s="42">
        <f t="shared" si="6"/>
        <v>33.58180400138145</v>
      </c>
      <c r="AP34" s="42"/>
      <c r="AQ34" s="56"/>
      <c r="AV34" s="407"/>
      <c r="AW34" s="143">
        <v>0</v>
      </c>
      <c r="AX34" s="55">
        <v>49</v>
      </c>
      <c r="AY34" s="45">
        <v>20</v>
      </c>
      <c r="AZ34" s="103"/>
      <c r="BA34" s="385">
        <f t="shared" si="7"/>
        <v>3.4</v>
      </c>
      <c r="BB34" s="30">
        <v>1.63</v>
      </c>
      <c r="BC34" s="407">
        <v>15998</v>
      </c>
      <c r="BE34" s="574">
        <f t="shared" si="19"/>
        <v>20</v>
      </c>
      <c r="BF34" s="559">
        <v>6901.32</v>
      </c>
      <c r="BG34" s="581">
        <f t="shared" si="20"/>
        <v>-9.999999999308784E-3</v>
      </c>
      <c r="BH34" s="576">
        <v>27.834375000000023</v>
      </c>
      <c r="BI34" s="576">
        <f t="shared" si="8"/>
        <v>13.165624999999977</v>
      </c>
    </row>
    <row r="35" spans="1:61" ht="12.95" customHeight="1">
      <c r="A35" s="48">
        <f t="shared" si="9"/>
        <v>21</v>
      </c>
      <c r="B35" s="104">
        <v>6901.34</v>
      </c>
      <c r="C35" s="483">
        <f>IF(B35="",C34,VLOOKUP(TRUNC(B35,1),VLOOKUP!$A$3:$K$2834,RIGHT(TEXT(B35,"0000.00"),1)+2,FALSE))</f>
        <v>288551</v>
      </c>
      <c r="D35" s="45">
        <f t="shared" si="10"/>
        <v>112</v>
      </c>
      <c r="E35" s="55">
        <f t="shared" si="0"/>
        <v>136551</v>
      </c>
      <c r="F35" s="112">
        <f t="shared" si="1"/>
        <v>56.465843206453236</v>
      </c>
      <c r="G35" s="47">
        <v>38.700000000000003</v>
      </c>
      <c r="H35" s="113">
        <v>0</v>
      </c>
      <c r="I35" s="47">
        <f t="shared" si="11"/>
        <v>38.700000000000003</v>
      </c>
      <c r="J35" s="42">
        <f t="shared" si="12"/>
        <v>62.165843206453232</v>
      </c>
      <c r="K35" s="47">
        <f t="shared" si="13"/>
        <v>100.86584320645323</v>
      </c>
      <c r="L35" s="47">
        <f t="shared" si="14"/>
        <v>62.165843206453232</v>
      </c>
      <c r="M35" s="114">
        <v>3.4</v>
      </c>
      <c r="N35" s="47">
        <v>0</v>
      </c>
      <c r="O35" s="47">
        <f t="shared" si="15"/>
        <v>0</v>
      </c>
      <c r="P35" s="39">
        <v>0</v>
      </c>
      <c r="Q35" s="73">
        <f>1120100/325851/1.9835*1.02</f>
        <v>1.7676883758401418</v>
      </c>
      <c r="R35" s="73">
        <v>0</v>
      </c>
      <c r="S35" s="73">
        <f>IF(((1.9*1.04)-T35)&gt;=4.2,4.2,(1.9*1.04)-T35)</f>
        <v>1.3248123199999999</v>
      </c>
      <c r="T35" s="73">
        <f t="shared" si="23"/>
        <v>0.65118768000000016</v>
      </c>
      <c r="U35" s="243">
        <f t="shared" si="2"/>
        <v>-0.34368837584014189</v>
      </c>
      <c r="V35" s="47">
        <v>0</v>
      </c>
      <c r="W35" s="47">
        <v>0</v>
      </c>
      <c r="X35" s="47">
        <f t="shared" si="16"/>
        <v>0</v>
      </c>
      <c r="Y35" s="47">
        <f t="shared" si="3"/>
        <v>0</v>
      </c>
      <c r="Z35" s="47"/>
      <c r="AA35" s="47"/>
      <c r="AB35" s="42"/>
      <c r="AC35" s="42"/>
      <c r="AD35" s="55"/>
      <c r="AE35" s="47"/>
      <c r="AF35" s="114"/>
      <c r="AG35" s="212"/>
      <c r="AH35" s="47">
        <v>41</v>
      </c>
      <c r="AI35" s="55">
        <f t="shared" si="17"/>
        <v>3164.1578774893114</v>
      </c>
      <c r="AJ35" s="55"/>
      <c r="AK35" s="74">
        <f t="shared" si="18"/>
        <v>44.4</v>
      </c>
      <c r="AL35" s="47">
        <f t="shared" si="4"/>
        <v>0</v>
      </c>
      <c r="AM35" s="47">
        <f t="shared" si="5"/>
        <v>44.4</v>
      </c>
      <c r="AN35" s="203"/>
      <c r="AO35" s="42">
        <f t="shared" si="6"/>
        <v>36.932311624159858</v>
      </c>
      <c r="AP35" s="42"/>
      <c r="AQ35" s="56"/>
      <c r="AV35" s="407"/>
      <c r="AW35" s="676">
        <v>0.38</v>
      </c>
      <c r="AX35" s="55">
        <v>45</v>
      </c>
      <c r="AY35" s="45">
        <v>31</v>
      </c>
      <c r="AZ35" s="103"/>
      <c r="BA35" s="385">
        <f t="shared" si="7"/>
        <v>3.4</v>
      </c>
      <c r="BB35" s="30">
        <v>1.63</v>
      </c>
      <c r="BC35" s="407">
        <v>16003</v>
      </c>
      <c r="BE35" s="574">
        <f t="shared" si="19"/>
        <v>21</v>
      </c>
      <c r="BF35" s="559">
        <v>6901.34</v>
      </c>
      <c r="BG35" s="581">
        <f t="shared" si="20"/>
        <v>0</v>
      </c>
      <c r="BH35" s="576">
        <v>27.716666666666686</v>
      </c>
      <c r="BI35" s="576">
        <f t="shared" si="8"/>
        <v>13.283333333333314</v>
      </c>
    </row>
    <row r="36" spans="1:61" ht="12.95" customHeight="1">
      <c r="A36" s="48">
        <f t="shared" si="9"/>
        <v>22</v>
      </c>
      <c r="B36" s="104">
        <v>6901.34</v>
      </c>
      <c r="C36" s="483">
        <f>IF(B36="",C35,VLOOKUP(TRUNC(B36,1),VLOOKUP!$A$3:$K$2834,RIGHT(TEXT(B36,"0000.00"),1)+2,FALSE))</f>
        <v>288551</v>
      </c>
      <c r="D36" s="45">
        <f t="shared" si="10"/>
        <v>0</v>
      </c>
      <c r="E36" s="55">
        <f t="shared" si="0"/>
        <v>136551</v>
      </c>
      <c r="F36" s="112">
        <f t="shared" si="1"/>
        <v>0</v>
      </c>
      <c r="G36" s="47">
        <v>42.9</v>
      </c>
      <c r="H36" s="113">
        <v>0</v>
      </c>
      <c r="I36" s="47">
        <f t="shared" si="11"/>
        <v>42.9</v>
      </c>
      <c r="J36" s="42">
        <f t="shared" si="12"/>
        <v>1.5</v>
      </c>
      <c r="K36" s="47">
        <f t="shared" si="13"/>
        <v>44.4</v>
      </c>
      <c r="L36" s="47">
        <f t="shared" si="14"/>
        <v>1.5</v>
      </c>
      <c r="M36" s="114">
        <v>3.4</v>
      </c>
      <c r="N36" s="47">
        <v>0</v>
      </c>
      <c r="O36" s="47">
        <f t="shared" si="15"/>
        <v>0</v>
      </c>
      <c r="P36" s="39">
        <v>0</v>
      </c>
      <c r="Q36" s="73">
        <f>1099500/325851/1.9835*1.02</f>
        <v>1.7351784387431799</v>
      </c>
      <c r="R36" s="73">
        <v>0</v>
      </c>
      <c r="S36" s="73">
        <f>IF(((1.9*1.04)-T36)&gt;=4.2,4.2,(1.9*1.04)-T36)</f>
        <v>1.3248123199999999</v>
      </c>
      <c r="T36" s="73">
        <f t="shared" si="23"/>
        <v>0.65118768000000016</v>
      </c>
      <c r="U36" s="243">
        <f t="shared" si="2"/>
        <v>-0.31117843874317996</v>
      </c>
      <c r="V36" s="47">
        <v>0</v>
      </c>
      <c r="W36" s="47">
        <v>0</v>
      </c>
      <c r="X36" s="47">
        <f t="shared" si="16"/>
        <v>0</v>
      </c>
      <c r="Y36" s="47">
        <f t="shared" si="3"/>
        <v>0</v>
      </c>
      <c r="Z36" s="47"/>
      <c r="AA36" s="47"/>
      <c r="AB36" s="42"/>
      <c r="AC36" s="42"/>
      <c r="AD36" s="55"/>
      <c r="AE36" s="47"/>
      <c r="AF36" s="114"/>
      <c r="AG36" s="212"/>
      <c r="AH36" s="47">
        <v>41</v>
      </c>
      <c r="AI36" s="55">
        <f t="shared" si="17"/>
        <v>3123.1578774893114</v>
      </c>
      <c r="AJ36" s="55"/>
      <c r="AK36" s="74">
        <f t="shared" si="18"/>
        <v>44.4</v>
      </c>
      <c r="AL36" s="47">
        <f t="shared" si="4"/>
        <v>0</v>
      </c>
      <c r="AM36" s="47">
        <f t="shared" si="5"/>
        <v>44.4</v>
      </c>
      <c r="AN36" s="203"/>
      <c r="AO36" s="42">
        <f t="shared" si="6"/>
        <v>41.164821561256815</v>
      </c>
      <c r="AP36" s="42"/>
      <c r="AQ36" s="56"/>
      <c r="AV36" s="407"/>
      <c r="AW36" s="676">
        <v>0.02</v>
      </c>
      <c r="AX36" s="55">
        <v>45</v>
      </c>
      <c r="AY36" s="45">
        <v>27</v>
      </c>
      <c r="AZ36" s="103"/>
      <c r="BA36" s="385">
        <f t="shared" si="7"/>
        <v>3.4</v>
      </c>
      <c r="BB36" s="30">
        <v>1.63</v>
      </c>
      <c r="BC36" s="407">
        <v>16015</v>
      </c>
      <c r="BE36" s="574">
        <f t="shared" si="19"/>
        <v>22</v>
      </c>
      <c r="BF36" s="559">
        <v>6901.34</v>
      </c>
      <c r="BG36" s="581">
        <f t="shared" si="20"/>
        <v>0</v>
      </c>
      <c r="BH36" s="576">
        <v>27.764583333333348</v>
      </c>
      <c r="BI36" s="576">
        <f t="shared" si="8"/>
        <v>13.235416666666652</v>
      </c>
    </row>
    <row r="37" spans="1:61" ht="12.95" customHeight="1">
      <c r="A37" s="48">
        <f t="shared" si="9"/>
        <v>23</v>
      </c>
      <c r="B37" s="104">
        <v>6901.33</v>
      </c>
      <c r="C37" s="483">
        <f>IF(B37="",C36,VLOOKUP(TRUNC(B37,1),VLOOKUP!$A$3:$K$2834,RIGHT(TEXT(B37,"0000.00"),1)+2,FALSE))</f>
        <v>288514</v>
      </c>
      <c r="D37" s="45">
        <f t="shared" si="10"/>
        <v>-37</v>
      </c>
      <c r="E37" s="55">
        <f t="shared" si="0"/>
        <v>136514</v>
      </c>
      <c r="F37" s="112">
        <f t="shared" si="1"/>
        <v>-18.653894630703302</v>
      </c>
      <c r="G37" s="47">
        <v>41.3</v>
      </c>
      <c r="H37" s="113">
        <v>0</v>
      </c>
      <c r="I37" s="47">
        <f t="shared" si="11"/>
        <v>41.3</v>
      </c>
      <c r="J37" s="42">
        <f t="shared" si="12"/>
        <v>0</v>
      </c>
      <c r="K37" s="47">
        <f t="shared" si="13"/>
        <v>41.3</v>
      </c>
      <c r="L37" s="47">
        <f t="shared" si="14"/>
        <v>-15.653894630703302</v>
      </c>
      <c r="M37" s="114">
        <v>3.3</v>
      </c>
      <c r="N37" s="47">
        <v>0</v>
      </c>
      <c r="O37" s="47">
        <f t="shared" si="15"/>
        <v>0</v>
      </c>
      <c r="P37" s="39">
        <v>0</v>
      </c>
      <c r="Q37" s="73">
        <f>1067300/325851/1.9835*1.02</f>
        <v>1.684361935125599</v>
      </c>
      <c r="R37" s="73">
        <v>0</v>
      </c>
      <c r="S37" s="73">
        <f>IF(((1.9*1.04)-T37)&gt;=4.2,4.2,(1.9*1.04)-T37)</f>
        <v>1.3248123199999999</v>
      </c>
      <c r="T37" s="73">
        <f t="shared" si="23"/>
        <v>0.65118768000000016</v>
      </c>
      <c r="U37" s="243">
        <f t="shared" si="2"/>
        <v>-0.36036193512559889</v>
      </c>
      <c r="V37" s="47">
        <v>0</v>
      </c>
      <c r="W37" s="47">
        <v>0</v>
      </c>
      <c r="X37" s="47">
        <f t="shared" si="16"/>
        <v>0</v>
      </c>
      <c r="Y37" s="47">
        <f t="shared" si="3"/>
        <v>0</v>
      </c>
      <c r="Z37" s="47"/>
      <c r="AA37" s="47"/>
      <c r="AB37" s="42"/>
      <c r="AC37" s="42"/>
      <c r="AD37" s="55"/>
      <c r="AE37" s="47"/>
      <c r="AF37" s="114"/>
      <c r="AG37" s="212"/>
      <c r="AH37" s="47">
        <v>41</v>
      </c>
      <c r="AI37" s="55">
        <f t="shared" si="17"/>
        <v>3082.1578774893114</v>
      </c>
      <c r="AJ37" s="55"/>
      <c r="AK37" s="74">
        <f t="shared" si="18"/>
        <v>44.3</v>
      </c>
      <c r="AL37" s="47">
        <f t="shared" si="4"/>
        <v>15.653894630703302</v>
      </c>
      <c r="AM37" s="47">
        <f t="shared" si="5"/>
        <v>59.953894630703303</v>
      </c>
      <c r="AN37" s="203"/>
      <c r="AO37" s="42">
        <f t="shared" si="6"/>
        <v>39.615638064874396</v>
      </c>
      <c r="AP37" s="42"/>
      <c r="AQ37" s="56"/>
      <c r="AV37" s="407"/>
      <c r="AW37" s="143">
        <v>0</v>
      </c>
      <c r="AX37" s="55">
        <v>48</v>
      </c>
      <c r="AY37" s="56">
        <v>28</v>
      </c>
      <c r="AZ37" s="115"/>
      <c r="BA37" s="385">
        <f t="shared" si="7"/>
        <v>3.3</v>
      </c>
      <c r="BB37" s="30">
        <v>1.63</v>
      </c>
      <c r="BC37" s="407">
        <v>16017</v>
      </c>
      <c r="BE37" s="574">
        <f t="shared" si="19"/>
        <v>23</v>
      </c>
      <c r="BF37" s="559">
        <v>6901.34</v>
      </c>
      <c r="BG37" s="581">
        <f t="shared" si="20"/>
        <v>-1.0000000000218279E-2</v>
      </c>
      <c r="BH37" s="576">
        <v>27.907291666666691</v>
      </c>
      <c r="BI37" s="576">
        <f t="shared" si="8"/>
        <v>13.092708333333309</v>
      </c>
    </row>
    <row r="38" spans="1:61" ht="12.95" customHeight="1">
      <c r="A38" s="48">
        <f t="shared" si="9"/>
        <v>24</v>
      </c>
      <c r="B38" s="104">
        <v>6901.33</v>
      </c>
      <c r="C38" s="483">
        <f>IF(B38="",C37,VLOOKUP(TRUNC(B38,1),VLOOKUP!$A$3:$K$2834,RIGHT(TEXT(B38,"0000.00"),1)+2,FALSE))</f>
        <v>288514</v>
      </c>
      <c r="D38" s="45">
        <f t="shared" si="10"/>
        <v>0</v>
      </c>
      <c r="E38" s="55">
        <f t="shared" si="0"/>
        <v>136514</v>
      </c>
      <c r="F38" s="112">
        <f t="shared" si="1"/>
        <v>0</v>
      </c>
      <c r="G38" s="47">
        <v>38.4</v>
      </c>
      <c r="H38" s="113">
        <v>0</v>
      </c>
      <c r="I38" s="47">
        <f t="shared" si="11"/>
        <v>38.4</v>
      </c>
      <c r="J38" s="42">
        <f t="shared" si="12"/>
        <v>5.1000000000000014</v>
      </c>
      <c r="K38" s="47">
        <f t="shared" si="13"/>
        <v>43.5</v>
      </c>
      <c r="L38" s="47">
        <f t="shared" si="14"/>
        <v>5.1000000000000014</v>
      </c>
      <c r="M38" s="114">
        <v>2.5</v>
      </c>
      <c r="N38" s="47">
        <v>0</v>
      </c>
      <c r="O38" s="47">
        <f t="shared" si="15"/>
        <v>0</v>
      </c>
      <c r="P38" s="39">
        <v>0</v>
      </c>
      <c r="Q38" s="73">
        <f>1023200/325851/1.9835*1.02</f>
        <v>1.6147654193015206</v>
      </c>
      <c r="R38" s="73">
        <v>0</v>
      </c>
      <c r="S38" s="73">
        <f>IF(((2*1.04)-T38)&gt;=4.2,4.2,(2*1.04)-T38)</f>
        <v>1.47489264</v>
      </c>
      <c r="T38" s="73">
        <f>(0.5489*1.06)*1.04</f>
        <v>0.60510736000000009</v>
      </c>
      <c r="U38" s="243">
        <f t="shared" si="2"/>
        <v>-1.1947654193015209</v>
      </c>
      <c r="V38" s="47">
        <v>0</v>
      </c>
      <c r="W38" s="47">
        <v>0</v>
      </c>
      <c r="X38" s="47">
        <f t="shared" si="16"/>
        <v>2.2204460492503131E-16</v>
      </c>
      <c r="Y38" s="47">
        <f t="shared" si="3"/>
        <v>2.2204460492503131E-16</v>
      </c>
      <c r="Z38" s="47"/>
      <c r="AA38" s="47"/>
      <c r="AB38" s="42"/>
      <c r="AC38" s="42"/>
      <c r="AD38" s="55"/>
      <c r="AE38" s="47"/>
      <c r="AF38" s="114"/>
      <c r="AG38" s="212"/>
      <c r="AH38" s="47">
        <v>41</v>
      </c>
      <c r="AI38" s="55">
        <f t="shared" si="17"/>
        <v>3041.1578774893114</v>
      </c>
      <c r="AJ38" s="55"/>
      <c r="AK38" s="74">
        <f t="shared" si="18"/>
        <v>43.5</v>
      </c>
      <c r="AL38" s="47">
        <f t="shared" si="4"/>
        <v>0</v>
      </c>
      <c r="AM38" s="47">
        <f t="shared" si="5"/>
        <v>43.5</v>
      </c>
      <c r="AN38" s="203"/>
      <c r="AO38" s="42">
        <f t="shared" si="6"/>
        <v>36.785234580698479</v>
      </c>
      <c r="AP38" s="42"/>
      <c r="AQ38" s="56"/>
      <c r="AV38" s="407"/>
      <c r="AW38" s="143">
        <v>0</v>
      </c>
      <c r="AX38" s="55">
        <v>48</v>
      </c>
      <c r="AY38" s="56">
        <v>28</v>
      </c>
      <c r="AZ38" s="115"/>
      <c r="BA38" s="385">
        <f t="shared" si="7"/>
        <v>2.5</v>
      </c>
      <c r="BB38" s="30">
        <v>1.63</v>
      </c>
      <c r="BC38" s="407">
        <v>16015</v>
      </c>
      <c r="BE38" s="574">
        <f t="shared" si="19"/>
        <v>24</v>
      </c>
      <c r="BF38" s="559">
        <v>6901.34</v>
      </c>
      <c r="BG38" s="581">
        <f t="shared" si="20"/>
        <v>-1.0000000000218279E-2</v>
      </c>
      <c r="BH38" s="576">
        <v>27.872916666666683</v>
      </c>
      <c r="BI38" s="576">
        <f t="shared" si="8"/>
        <v>13.127083333333317</v>
      </c>
    </row>
    <row r="39" spans="1:61" ht="12.95" customHeight="1">
      <c r="A39" s="48">
        <f t="shared" si="9"/>
        <v>25</v>
      </c>
      <c r="B39" s="104">
        <v>6901.32</v>
      </c>
      <c r="C39" s="483">
        <f>IF(B39="",C38,VLOOKUP(TRUNC(B39,1),VLOOKUP!$A$3:$K$2834,RIGHT(TEXT(B39,"0000.00"),1)+2,FALSE))</f>
        <v>288476</v>
      </c>
      <c r="D39" s="45">
        <f t="shared" si="10"/>
        <v>-38</v>
      </c>
      <c r="E39" s="55">
        <f t="shared" si="0"/>
        <v>136476</v>
      </c>
      <c r="F39" s="112">
        <f t="shared" si="1"/>
        <v>-19.158053945046635</v>
      </c>
      <c r="G39" s="47">
        <v>35.5</v>
      </c>
      <c r="H39" s="113">
        <v>0</v>
      </c>
      <c r="I39" s="47">
        <f t="shared" si="11"/>
        <v>35.5</v>
      </c>
      <c r="J39" s="42">
        <f t="shared" si="12"/>
        <v>0</v>
      </c>
      <c r="K39" s="47">
        <f t="shared" si="13"/>
        <v>35.5</v>
      </c>
      <c r="L39" s="47">
        <f t="shared" si="14"/>
        <v>-9.9580539450466325</v>
      </c>
      <c r="M39" s="114">
        <v>3.7</v>
      </c>
      <c r="N39" s="47">
        <v>0</v>
      </c>
      <c r="O39" s="47">
        <f t="shared" si="15"/>
        <v>0</v>
      </c>
      <c r="P39" s="39">
        <v>0</v>
      </c>
      <c r="Q39" s="73">
        <f>1125100/325851/1.9835*1.02</f>
        <v>1.7755791372714433</v>
      </c>
      <c r="R39" s="73">
        <v>0</v>
      </c>
      <c r="S39" s="73">
        <f>IF(((1.9*1.04)-T39)&gt;=4.2,4.2,(1.9*1.04)-T39)</f>
        <v>1.3708926399999999</v>
      </c>
      <c r="T39" s="73">
        <f t="shared" ref="T39:T44" si="24">(0.5489*1.06)*1.04</f>
        <v>0.60510736000000009</v>
      </c>
      <c r="U39" s="243">
        <f t="shared" si="2"/>
        <v>-5.1579137271443365E-2</v>
      </c>
      <c r="V39" s="47">
        <v>0</v>
      </c>
      <c r="W39" s="47">
        <v>0</v>
      </c>
      <c r="X39" s="47">
        <f t="shared" si="16"/>
        <v>2.2204460492503131E-16</v>
      </c>
      <c r="Y39" s="47">
        <f t="shared" si="3"/>
        <v>2.2204460492503131E-16</v>
      </c>
      <c r="Z39" s="47"/>
      <c r="AA39" s="47"/>
      <c r="AB39" s="42"/>
      <c r="AC39" s="42"/>
      <c r="AD39" s="55"/>
      <c r="AE39" s="47"/>
      <c r="AF39" s="114"/>
      <c r="AG39" s="212"/>
      <c r="AH39" s="47">
        <v>41</v>
      </c>
      <c r="AI39" s="55">
        <f t="shared" si="17"/>
        <v>3000.1578774893114</v>
      </c>
      <c r="AJ39" s="55"/>
      <c r="AK39" s="74">
        <f t="shared" si="18"/>
        <v>44.7</v>
      </c>
      <c r="AL39" s="47">
        <f t="shared" si="4"/>
        <v>9.9580539450466325</v>
      </c>
      <c r="AM39" s="47">
        <f t="shared" si="5"/>
        <v>54.658053945046632</v>
      </c>
      <c r="AN39" s="203"/>
      <c r="AO39" s="42">
        <f t="shared" si="6"/>
        <v>33.724420862728557</v>
      </c>
      <c r="AP39" s="42"/>
      <c r="AQ39" s="56"/>
      <c r="AV39" s="407"/>
      <c r="AW39" s="143">
        <v>0</v>
      </c>
      <c r="AX39" s="55">
        <v>49</v>
      </c>
      <c r="AY39" s="56">
        <v>21</v>
      </c>
      <c r="AZ39" s="115"/>
      <c r="BA39" s="385">
        <f t="shared" si="7"/>
        <v>3.7</v>
      </c>
      <c r="BB39" s="30">
        <v>1.63</v>
      </c>
      <c r="BC39" s="407">
        <v>16016</v>
      </c>
      <c r="BE39" s="574">
        <f t="shared" si="19"/>
        <v>25</v>
      </c>
      <c r="BF39" s="559">
        <v>6901.33</v>
      </c>
      <c r="BG39" s="581">
        <f t="shared" si="20"/>
        <v>-1.0000000000218279E-2</v>
      </c>
      <c r="BH39" s="576">
        <v>27.770833333333353</v>
      </c>
      <c r="BI39" s="576">
        <f t="shared" si="8"/>
        <v>13.229166666666647</v>
      </c>
    </row>
    <row r="40" spans="1:61" ht="12.95" customHeight="1">
      <c r="A40" s="48">
        <f t="shared" si="9"/>
        <v>26</v>
      </c>
      <c r="B40" s="104">
        <v>6901.32</v>
      </c>
      <c r="C40" s="483">
        <f>IF(B40="",C39,VLOOKUP(TRUNC(B40,1),VLOOKUP!$A$3:$K$2834,RIGHT(TEXT(B40,"0000.00"),1)+2,FALSE))</f>
        <v>288476</v>
      </c>
      <c r="D40" s="45">
        <f t="shared" si="10"/>
        <v>0</v>
      </c>
      <c r="E40" s="55">
        <f t="shared" si="0"/>
        <v>136476</v>
      </c>
      <c r="F40" s="112">
        <f t="shared" si="1"/>
        <v>0</v>
      </c>
      <c r="G40" s="47">
        <v>35.6</v>
      </c>
      <c r="H40" s="113">
        <v>0</v>
      </c>
      <c r="I40" s="47">
        <f t="shared" si="11"/>
        <v>35.6</v>
      </c>
      <c r="J40" s="42">
        <f t="shared" si="12"/>
        <v>9.1000000000000014</v>
      </c>
      <c r="K40" s="47">
        <f t="shared" si="13"/>
        <v>44.7</v>
      </c>
      <c r="L40" s="47">
        <f t="shared" si="14"/>
        <v>9.1000000000000014</v>
      </c>
      <c r="M40" s="114">
        <v>3.7</v>
      </c>
      <c r="N40" s="47">
        <v>0</v>
      </c>
      <c r="O40" s="47">
        <f t="shared" si="15"/>
        <v>0</v>
      </c>
      <c r="P40" s="39">
        <v>0</v>
      </c>
      <c r="Q40" s="73">
        <f>1324200/325851/1.9835*1.02</f>
        <v>2.0897892574658656</v>
      </c>
      <c r="R40" s="73">
        <v>0</v>
      </c>
      <c r="S40" s="73">
        <f>IF(((1.9*1.04)-T40)&gt;=4.2,4.2,(1.9*1.04)-T40)</f>
        <v>1.3708926399999999</v>
      </c>
      <c r="T40" s="73">
        <f t="shared" si="24"/>
        <v>0.60510736000000009</v>
      </c>
      <c r="U40" s="243">
        <f t="shared" si="2"/>
        <v>-0.36578925746586499</v>
      </c>
      <c r="V40" s="47">
        <v>0</v>
      </c>
      <c r="W40" s="47">
        <v>0</v>
      </c>
      <c r="X40" s="47">
        <f t="shared" si="16"/>
        <v>0</v>
      </c>
      <c r="Y40" s="47">
        <f t="shared" si="3"/>
        <v>0</v>
      </c>
      <c r="Z40" s="47"/>
      <c r="AA40" s="47"/>
      <c r="AB40" s="42"/>
      <c r="AC40" s="42"/>
      <c r="AD40" s="55"/>
      <c r="AE40" s="47"/>
      <c r="AF40" s="114"/>
      <c r="AG40" s="212"/>
      <c r="AH40" s="47">
        <v>41</v>
      </c>
      <c r="AI40" s="55">
        <f t="shared" si="17"/>
        <v>2959.1578774893114</v>
      </c>
      <c r="AJ40" s="55"/>
      <c r="AK40" s="74">
        <f t="shared" si="18"/>
        <v>44.7</v>
      </c>
      <c r="AL40" s="47">
        <f t="shared" si="4"/>
        <v>0</v>
      </c>
      <c r="AM40" s="47">
        <f t="shared" si="5"/>
        <v>44.7</v>
      </c>
      <c r="AN40" s="203"/>
      <c r="AO40" s="42">
        <f t="shared" si="6"/>
        <v>33.510210742534134</v>
      </c>
      <c r="AP40" s="42"/>
      <c r="AQ40" s="56"/>
      <c r="AW40" s="102">
        <v>0</v>
      </c>
      <c r="AX40" s="55">
        <v>50</v>
      </c>
      <c r="AY40" s="45">
        <v>22</v>
      </c>
      <c r="AZ40" s="103"/>
      <c r="BA40" s="385">
        <f t="shared" si="7"/>
        <v>3.7</v>
      </c>
      <c r="BB40" s="30">
        <v>1.63</v>
      </c>
      <c r="BC40" s="407">
        <v>16016</v>
      </c>
      <c r="BE40" s="574">
        <f t="shared" si="19"/>
        <v>26</v>
      </c>
      <c r="BF40" s="559">
        <v>6901.32</v>
      </c>
      <c r="BG40" s="581">
        <f t="shared" si="20"/>
        <v>0</v>
      </c>
      <c r="BH40" s="576">
        <v>27.838541666666686</v>
      </c>
      <c r="BI40" s="576">
        <f t="shared" si="8"/>
        <v>13.161458333333314</v>
      </c>
    </row>
    <row r="41" spans="1:61" ht="12.95" customHeight="1">
      <c r="A41" s="48">
        <f t="shared" si="9"/>
        <v>27</v>
      </c>
      <c r="B41" s="104">
        <v>6901.32</v>
      </c>
      <c r="C41" s="483">
        <f>IF(B41="",C40,VLOOKUP(TRUNC(B41,1),VLOOKUP!$A$3:$K$2834,RIGHT(TEXT(B41,"0000.00"),1)+2,FALSE))</f>
        <v>288476</v>
      </c>
      <c r="D41" s="45">
        <f t="shared" si="10"/>
        <v>0</v>
      </c>
      <c r="E41" s="55">
        <f t="shared" si="0"/>
        <v>136476</v>
      </c>
      <c r="F41" s="112">
        <f t="shared" si="1"/>
        <v>0</v>
      </c>
      <c r="G41" s="47">
        <v>38.799999999999997</v>
      </c>
      <c r="H41" s="113">
        <v>0</v>
      </c>
      <c r="I41" s="47">
        <f t="shared" si="11"/>
        <v>38.799999999999997</v>
      </c>
      <c r="J41" s="42">
        <f t="shared" si="12"/>
        <v>5.4000000000000057</v>
      </c>
      <c r="K41" s="47">
        <f t="shared" si="13"/>
        <v>44.2</v>
      </c>
      <c r="L41" s="47">
        <f t="shared" si="14"/>
        <v>5.4000000000000057</v>
      </c>
      <c r="M41" s="114">
        <v>3.2</v>
      </c>
      <c r="N41" s="47">
        <v>0</v>
      </c>
      <c r="O41" s="47">
        <f t="shared" si="15"/>
        <v>0</v>
      </c>
      <c r="P41" s="39">
        <v>0</v>
      </c>
      <c r="Q41" s="73">
        <f>1185600/325851/1.9835*1.02</f>
        <v>1.8710573505901902</v>
      </c>
      <c r="R41" s="73">
        <v>0</v>
      </c>
      <c r="S41" s="73">
        <f>IF(((2*1.04)-T41)&gt;=4.2,4.2,(2*1.04)-T41)</f>
        <v>1.47489264</v>
      </c>
      <c r="T41" s="73">
        <f t="shared" si="24"/>
        <v>0.60510736000000009</v>
      </c>
      <c r="U41" s="243">
        <f t="shared" si="2"/>
        <v>-0.75105735059019008</v>
      </c>
      <c r="V41" s="47">
        <v>0</v>
      </c>
      <c r="W41" s="47">
        <v>0</v>
      </c>
      <c r="X41" s="47">
        <f t="shared" si="16"/>
        <v>0</v>
      </c>
      <c r="Y41" s="47">
        <f t="shared" si="3"/>
        <v>0</v>
      </c>
      <c r="Z41" s="47"/>
      <c r="AA41" s="47"/>
      <c r="AB41" s="42"/>
      <c r="AC41" s="42"/>
      <c r="AD41" s="55"/>
      <c r="AE41" s="47"/>
      <c r="AF41" s="114"/>
      <c r="AG41" s="212"/>
      <c r="AH41" s="47">
        <v>41</v>
      </c>
      <c r="AI41" s="55">
        <f t="shared" si="17"/>
        <v>2918.1578774893114</v>
      </c>
      <c r="AJ41" s="55"/>
      <c r="AK41" s="74">
        <f t="shared" si="18"/>
        <v>44.2</v>
      </c>
      <c r="AL41" s="47">
        <f t="shared" si="4"/>
        <v>0</v>
      </c>
      <c r="AM41" s="47">
        <f t="shared" si="5"/>
        <v>44.2</v>
      </c>
      <c r="AN41" s="203"/>
      <c r="AO41" s="42">
        <f t="shared" si="6"/>
        <v>36.928942649409805</v>
      </c>
      <c r="AP41" s="42"/>
      <c r="AQ41" s="56"/>
      <c r="AW41" s="102">
        <v>0</v>
      </c>
      <c r="AX41" s="55">
        <v>50</v>
      </c>
      <c r="AY41" s="45">
        <v>22</v>
      </c>
      <c r="AZ41" s="103"/>
      <c r="BA41" s="385">
        <f t="shared" si="7"/>
        <v>3.2</v>
      </c>
      <c r="BB41" s="30">
        <v>1.63</v>
      </c>
      <c r="BC41" s="407">
        <v>16022</v>
      </c>
      <c r="BE41" s="574">
        <f t="shared" si="19"/>
        <v>27</v>
      </c>
      <c r="BF41" s="559">
        <v>6901.32</v>
      </c>
      <c r="BG41" s="581">
        <f t="shared" si="20"/>
        <v>0</v>
      </c>
      <c r="BH41" s="576">
        <v>27.702083333333352</v>
      </c>
      <c r="BI41" s="576">
        <f t="shared" si="8"/>
        <v>13.297916666666648</v>
      </c>
    </row>
    <row r="42" spans="1:61" ht="12.95" customHeight="1">
      <c r="A42" s="48">
        <f t="shared" si="9"/>
        <v>28</v>
      </c>
      <c r="B42" s="104">
        <v>6901.32</v>
      </c>
      <c r="C42" s="483">
        <f>IF(B42="",C41,VLOOKUP(TRUNC(B42,1),VLOOKUP!$A$3:$K$2834,RIGHT(TEXT(B42,"0000.00"),1)+2,FALSE))</f>
        <v>288476</v>
      </c>
      <c r="D42" s="45">
        <f t="shared" si="10"/>
        <v>0</v>
      </c>
      <c r="E42" s="55">
        <f t="shared" si="0"/>
        <v>136476</v>
      </c>
      <c r="F42" s="112">
        <f t="shared" si="1"/>
        <v>0</v>
      </c>
      <c r="G42" s="47">
        <v>41.6</v>
      </c>
      <c r="H42" s="113">
        <v>0</v>
      </c>
      <c r="I42" s="47">
        <f t="shared" si="11"/>
        <v>41.6</v>
      </c>
      <c r="J42" s="42">
        <f t="shared" si="12"/>
        <v>2.5</v>
      </c>
      <c r="K42" s="47">
        <f t="shared" si="13"/>
        <v>44.1</v>
      </c>
      <c r="L42" s="47">
        <f t="shared" si="14"/>
        <v>2.5</v>
      </c>
      <c r="M42" s="114">
        <v>3.1</v>
      </c>
      <c r="N42" s="47">
        <v>0</v>
      </c>
      <c r="O42" s="47">
        <f t="shared" si="15"/>
        <v>0</v>
      </c>
      <c r="P42" s="39">
        <v>0</v>
      </c>
      <c r="Q42" s="73">
        <f>1064200/325851/1.9835*1.02</f>
        <v>1.679469663038192</v>
      </c>
      <c r="R42" s="73">
        <v>0</v>
      </c>
      <c r="S42" s="73">
        <f>IF(((1.9*1.04)-T42)&gt;=4.2,4.2,(1.9*1.04)-T42)</f>
        <v>1.3708926399999999</v>
      </c>
      <c r="T42" s="73">
        <f t="shared" si="24"/>
        <v>0.60510736000000009</v>
      </c>
      <c r="U42" s="243">
        <f t="shared" si="2"/>
        <v>-0.55546966303819145</v>
      </c>
      <c r="V42" s="47">
        <v>0</v>
      </c>
      <c r="W42" s="47">
        <v>0</v>
      </c>
      <c r="X42" s="47">
        <f t="shared" si="16"/>
        <v>0</v>
      </c>
      <c r="Y42" s="47">
        <f t="shared" si="3"/>
        <v>0</v>
      </c>
      <c r="Z42" s="47"/>
      <c r="AA42" s="47"/>
      <c r="AB42" s="42"/>
      <c r="AC42" s="42"/>
      <c r="AD42" s="55"/>
      <c r="AE42" s="47"/>
      <c r="AF42" s="114"/>
      <c r="AG42" s="212"/>
      <c r="AH42" s="47">
        <v>41</v>
      </c>
      <c r="AI42" s="55">
        <f t="shared" si="17"/>
        <v>2877.1578774893114</v>
      </c>
      <c r="AJ42" s="55"/>
      <c r="AK42" s="74">
        <f t="shared" si="18"/>
        <v>44.1</v>
      </c>
      <c r="AL42" s="47">
        <f t="shared" si="4"/>
        <v>0</v>
      </c>
      <c r="AM42" s="47">
        <f t="shared" si="5"/>
        <v>44.1</v>
      </c>
      <c r="AN42" s="203"/>
      <c r="AO42" s="42">
        <f t="shared" si="6"/>
        <v>39.920530336961811</v>
      </c>
      <c r="AP42" s="42"/>
      <c r="AQ42" s="56"/>
      <c r="AW42" s="102">
        <v>0</v>
      </c>
      <c r="AX42" s="55">
        <v>42</v>
      </c>
      <c r="AY42" s="45">
        <v>20</v>
      </c>
      <c r="AZ42" s="103"/>
      <c r="BA42" s="385">
        <f t="shared" si="7"/>
        <v>3.1</v>
      </c>
      <c r="BB42" s="30">
        <v>1.63</v>
      </c>
      <c r="BC42" s="407">
        <v>16030</v>
      </c>
      <c r="BE42" s="574">
        <f t="shared" si="19"/>
        <v>28</v>
      </c>
      <c r="BF42" s="559">
        <v>6901.32</v>
      </c>
      <c r="BG42" s="581">
        <f t="shared" si="20"/>
        <v>0</v>
      </c>
      <c r="BH42" s="576">
        <v>27.904166666666686</v>
      </c>
      <c r="BI42" s="576">
        <f t="shared" si="8"/>
        <v>13.095833333333314</v>
      </c>
    </row>
    <row r="43" spans="1:61" ht="12.95" customHeight="1">
      <c r="A43" s="48">
        <f t="shared" si="9"/>
        <v>29</v>
      </c>
      <c r="B43" s="104">
        <v>6901.32</v>
      </c>
      <c r="C43" s="483">
        <f>IF(B43="",C42,VLOOKUP(TRUNC(B43,1),VLOOKUP!$A$3:$K$2834,RIGHT(TEXT(B43,"0000.00"),1)+2,FALSE))</f>
        <v>288476</v>
      </c>
      <c r="D43" s="45">
        <f t="shared" si="10"/>
        <v>0</v>
      </c>
      <c r="E43" s="55">
        <f t="shared" si="0"/>
        <v>136476</v>
      </c>
      <c r="F43" s="112">
        <f t="shared" si="1"/>
        <v>0</v>
      </c>
      <c r="G43" s="47">
        <v>42</v>
      </c>
      <c r="H43" s="113">
        <v>0</v>
      </c>
      <c r="I43" s="47">
        <f t="shared" si="11"/>
        <v>42</v>
      </c>
      <c r="J43" s="42">
        <f t="shared" si="12"/>
        <v>2.3999999999999986</v>
      </c>
      <c r="K43" s="47">
        <f t="shared" si="13"/>
        <v>44.4</v>
      </c>
      <c r="L43" s="47">
        <f t="shared" si="14"/>
        <v>2.3999999999999986</v>
      </c>
      <c r="M43" s="114">
        <v>3.4</v>
      </c>
      <c r="N43" s="47">
        <v>0</v>
      </c>
      <c r="O43" s="47">
        <f t="shared" si="15"/>
        <v>0</v>
      </c>
      <c r="P43" s="39">
        <v>0</v>
      </c>
      <c r="Q43" s="73">
        <f>1295300/325851/1.9835*1.02</f>
        <v>2.0441806563929434</v>
      </c>
      <c r="R43" s="73">
        <v>0</v>
      </c>
      <c r="S43" s="73">
        <f>IF(((1.9*1.04)-T43)&gt;=4.2,4.2,(1.9*1.04)-T43)</f>
        <v>1.3708926399999999</v>
      </c>
      <c r="T43" s="73">
        <f t="shared" si="24"/>
        <v>0.60510736000000009</v>
      </c>
      <c r="U43" s="243">
        <f t="shared" si="2"/>
        <v>-0.62018065639294351</v>
      </c>
      <c r="V43" s="47">
        <v>0</v>
      </c>
      <c r="W43" s="47">
        <v>0</v>
      </c>
      <c r="X43" s="47">
        <f t="shared" si="16"/>
        <v>0</v>
      </c>
      <c r="Y43" s="47">
        <f t="shared" si="3"/>
        <v>0</v>
      </c>
      <c r="Z43" s="47"/>
      <c r="AA43" s="47"/>
      <c r="AB43" s="42"/>
      <c r="AC43" s="42"/>
      <c r="AD43" s="55"/>
      <c r="AE43" s="47"/>
      <c r="AF43" s="114"/>
      <c r="AG43" s="212"/>
      <c r="AH43" s="47">
        <v>41</v>
      </c>
      <c r="AI43" s="55">
        <f t="shared" si="17"/>
        <v>2836.1578774893114</v>
      </c>
      <c r="AJ43" s="55"/>
      <c r="AK43" s="74">
        <f t="shared" si="18"/>
        <v>44.4</v>
      </c>
      <c r="AL43" s="47">
        <f t="shared" si="4"/>
        <v>0</v>
      </c>
      <c r="AM43" s="47">
        <f t="shared" si="5"/>
        <v>44.4</v>
      </c>
      <c r="AN43" s="203"/>
      <c r="AO43" s="42">
        <f t="shared" si="6"/>
        <v>39.955819343607054</v>
      </c>
      <c r="AP43" s="42"/>
      <c r="AQ43" s="56"/>
      <c r="AW43" s="102">
        <v>0</v>
      </c>
      <c r="AX43" s="55">
        <v>43</v>
      </c>
      <c r="AY43" s="45">
        <v>23</v>
      </c>
      <c r="AZ43" s="103"/>
      <c r="BA43" s="385">
        <f t="shared" si="7"/>
        <v>3.4</v>
      </c>
      <c r="BB43" s="30">
        <v>1.63</v>
      </c>
      <c r="BC43" s="407">
        <v>16031</v>
      </c>
      <c r="BE43" s="574">
        <f t="shared" si="19"/>
        <v>29</v>
      </c>
      <c r="BF43" s="559">
        <v>6901.32</v>
      </c>
      <c r="BG43" s="581">
        <f t="shared" si="20"/>
        <v>0</v>
      </c>
      <c r="BH43" s="576">
        <v>27.689583333333349</v>
      </c>
      <c r="BI43" s="576">
        <f t="shared" si="8"/>
        <v>13.310416666666651</v>
      </c>
    </row>
    <row r="44" spans="1:61" ht="12.95" customHeight="1">
      <c r="A44" s="48">
        <v>30</v>
      </c>
      <c r="B44" s="104">
        <v>6901.29</v>
      </c>
      <c r="C44" s="483">
        <f>IF(B44="",C43,VLOOKUP(TRUNC(B44,1),VLOOKUP!$A$3:$K$2834,RIGHT(TEXT(B44,"0000.00"),1)+2,FALSE))</f>
        <v>288364</v>
      </c>
      <c r="D44" s="45">
        <f t="shared" si="10"/>
        <v>-112</v>
      </c>
      <c r="E44" s="55">
        <f t="shared" si="0"/>
        <v>136364</v>
      </c>
      <c r="F44" s="112">
        <f t="shared" si="1"/>
        <v>-56.465843206453236</v>
      </c>
      <c r="G44" s="47">
        <v>37.5</v>
      </c>
      <c r="H44" s="113">
        <v>0</v>
      </c>
      <c r="I44" s="47">
        <f t="shared" si="11"/>
        <v>37.5</v>
      </c>
      <c r="J44" s="42">
        <f t="shared" si="12"/>
        <v>0</v>
      </c>
      <c r="K44" s="47">
        <f t="shared" si="13"/>
        <v>37.5</v>
      </c>
      <c r="L44" s="47">
        <f t="shared" si="14"/>
        <v>-49.565843206453238</v>
      </c>
      <c r="M44" s="114">
        <v>3.4</v>
      </c>
      <c r="N44" s="47">
        <v>0</v>
      </c>
      <c r="O44" s="47">
        <f t="shared" si="15"/>
        <v>0</v>
      </c>
      <c r="P44" s="39">
        <v>0</v>
      </c>
      <c r="Q44" s="73">
        <f>1066100/325851/1.9835*1.02</f>
        <v>1.6824681523820866</v>
      </c>
      <c r="R44" s="73">
        <v>0</v>
      </c>
      <c r="S44" s="73">
        <f>IF(((1.9*1.04)-T44)&gt;=4.2,4.2,(1.9*1.04)-T44)</f>
        <v>1.3708926399999999</v>
      </c>
      <c r="T44" s="73">
        <f t="shared" si="24"/>
        <v>0.60510736000000009</v>
      </c>
      <c r="U44" s="243">
        <f t="shared" si="2"/>
        <v>-0.25846815238208665</v>
      </c>
      <c r="V44" s="47">
        <v>0</v>
      </c>
      <c r="W44" s="47">
        <v>0</v>
      </c>
      <c r="X44" s="47">
        <f t="shared" si="16"/>
        <v>0</v>
      </c>
      <c r="Y44" s="47">
        <f t="shared" si="3"/>
        <v>0</v>
      </c>
      <c r="Z44" s="47"/>
      <c r="AA44" s="47"/>
      <c r="AB44" s="42"/>
      <c r="AC44" s="42"/>
      <c r="AD44" s="55"/>
      <c r="AE44" s="47"/>
      <c r="AF44" s="114"/>
      <c r="AG44" s="212"/>
      <c r="AH44" s="47">
        <v>41</v>
      </c>
      <c r="AI44" s="55">
        <f t="shared" si="17"/>
        <v>2795.1578774893114</v>
      </c>
      <c r="AJ44" s="55"/>
      <c r="AK44" s="74">
        <f t="shared" si="18"/>
        <v>44.4</v>
      </c>
      <c r="AL44" s="47">
        <f t="shared" si="4"/>
        <v>49.565843206453238</v>
      </c>
      <c r="AM44" s="47">
        <f t="shared" si="5"/>
        <v>93.965843206453229</v>
      </c>
      <c r="AN44" s="203"/>
      <c r="AO44" s="42">
        <f t="shared" si="6"/>
        <v>35.817531847617914</v>
      </c>
      <c r="AP44" s="42"/>
      <c r="AQ44" s="56"/>
      <c r="AW44" s="102">
        <v>0</v>
      </c>
      <c r="AX44" s="55">
        <v>42</v>
      </c>
      <c r="AY44" s="45">
        <v>17</v>
      </c>
      <c r="AZ44" s="103"/>
      <c r="BA44" s="385">
        <f t="shared" si="7"/>
        <v>3.4</v>
      </c>
      <c r="BB44" s="30">
        <v>1.63</v>
      </c>
      <c r="BC44" s="407">
        <v>16031</v>
      </c>
      <c r="BE44" s="574">
        <v>30</v>
      </c>
      <c r="BF44" s="559">
        <v>6901.31</v>
      </c>
      <c r="BG44" s="581">
        <f t="shared" si="20"/>
        <v>-2.0000000000436557E-2</v>
      </c>
      <c r="BH44" s="576">
        <v>27.854166666666686</v>
      </c>
      <c r="BI44" s="576">
        <f t="shared" si="8"/>
        <v>13.145833333333314</v>
      </c>
    </row>
    <row r="45" spans="1:61" ht="12.95" customHeight="1">
      <c r="A45" s="48">
        <v>31</v>
      </c>
      <c r="B45" s="104">
        <v>6901.28</v>
      </c>
      <c r="C45" s="483">
        <f>IF(B45="",C44,VLOOKUP(TRUNC(B45,1),VLOOKUP!$A$3:$K$2834,RIGHT(TEXT(B45,"0000.00"),1)+2,FALSE))</f>
        <v>288327</v>
      </c>
      <c r="D45" s="45">
        <f t="shared" si="10"/>
        <v>-37</v>
      </c>
      <c r="E45" s="55">
        <f t="shared" si="0"/>
        <v>136327</v>
      </c>
      <c r="F45" s="112">
        <f t="shared" si="1"/>
        <v>-18.653894630703302</v>
      </c>
      <c r="G45" s="47">
        <v>30.6</v>
      </c>
      <c r="H45" s="113">
        <v>0</v>
      </c>
      <c r="I45" s="47">
        <f t="shared" si="11"/>
        <v>30.6</v>
      </c>
      <c r="J45" s="42">
        <f t="shared" si="12"/>
        <v>0</v>
      </c>
      <c r="K45" s="47">
        <f t="shared" si="13"/>
        <v>30.6</v>
      </c>
      <c r="L45" s="47">
        <f t="shared" si="14"/>
        <v>-4.8538946307033051</v>
      </c>
      <c r="M45" s="114">
        <v>3.4</v>
      </c>
      <c r="N45" s="47">
        <v>0</v>
      </c>
      <c r="O45" s="47">
        <f t="shared" si="15"/>
        <v>0</v>
      </c>
      <c r="P45" s="39">
        <v>0</v>
      </c>
      <c r="Q45" s="73">
        <f>1053100/325851/1.9835*1.02</f>
        <v>1.6619521726607029</v>
      </c>
      <c r="R45" s="73">
        <v>0</v>
      </c>
      <c r="S45" s="73">
        <f>IF(((2*1.04)-T45)&gt;=4.2,4.2,(2*1.04)-T45)</f>
        <v>1.5304536</v>
      </c>
      <c r="T45" s="73">
        <f>(0.4985*1.06)*1.04</f>
        <v>0.5495464000000001</v>
      </c>
      <c r="U45" s="243">
        <f t="shared" si="2"/>
        <v>-0.3419521726607031</v>
      </c>
      <c r="V45" s="47">
        <v>0</v>
      </c>
      <c r="W45" s="47">
        <v>0</v>
      </c>
      <c r="X45" s="47">
        <f t="shared" si="16"/>
        <v>0</v>
      </c>
      <c r="Y45" s="47">
        <f t="shared" si="3"/>
        <v>0</v>
      </c>
      <c r="Z45" s="47"/>
      <c r="AA45" s="47"/>
      <c r="AB45" s="42"/>
      <c r="AC45" s="42"/>
      <c r="AD45" s="55"/>
      <c r="AE45" s="47"/>
      <c r="AF45" s="114"/>
      <c r="AG45" s="212"/>
      <c r="AH45" s="47">
        <v>41</v>
      </c>
      <c r="AI45" s="55">
        <f t="shared" si="17"/>
        <v>2754.1578774893114</v>
      </c>
      <c r="AJ45" s="55"/>
      <c r="AK45" s="74">
        <f t="shared" si="18"/>
        <v>44.4</v>
      </c>
      <c r="AL45" s="47">
        <f t="shared" si="4"/>
        <v>4.8538946307033051</v>
      </c>
      <c r="AM45" s="112">
        <f t="shared" si="5"/>
        <v>49.2538946307033</v>
      </c>
      <c r="AN45" s="203"/>
      <c r="AO45" s="42">
        <f t="shared" si="6"/>
        <v>28.938047827339297</v>
      </c>
      <c r="AP45" s="42"/>
      <c r="AQ45" s="56"/>
      <c r="AW45" s="102">
        <v>0</v>
      </c>
      <c r="AX45" s="55">
        <v>47</v>
      </c>
      <c r="AY45" s="45">
        <v>23</v>
      </c>
      <c r="AZ45" s="103"/>
      <c r="BA45" s="385">
        <f t="shared" si="7"/>
        <v>3.4</v>
      </c>
      <c r="BB45" s="30">
        <v>1.63</v>
      </c>
      <c r="BC45" s="407">
        <v>16030</v>
      </c>
      <c r="BE45" s="574">
        <f t="shared" si="19"/>
        <v>31</v>
      </c>
      <c r="BF45" s="559">
        <v>6901.3</v>
      </c>
      <c r="BG45" s="581">
        <f t="shared" si="20"/>
        <v>-2.0000000000436557E-2</v>
      </c>
      <c r="BH45" s="576">
        <v>27.780208333333352</v>
      </c>
      <c r="BI45" s="576">
        <f t="shared" si="8"/>
        <v>13.219791666666648</v>
      </c>
    </row>
    <row r="46" spans="1:61" ht="3" customHeight="1">
      <c r="A46" s="54"/>
      <c r="B46" s="116"/>
      <c r="C46" s="57"/>
      <c r="D46" s="59"/>
      <c r="E46" s="57"/>
      <c r="F46" s="106"/>
      <c r="G46" s="59"/>
      <c r="H46" s="107"/>
      <c r="I46" s="59"/>
      <c r="J46" s="59"/>
      <c r="K46" s="59"/>
      <c r="L46" s="59"/>
      <c r="M46" s="59"/>
      <c r="N46" s="59"/>
      <c r="O46" s="59"/>
      <c r="P46" s="40"/>
      <c r="Q46" s="59"/>
      <c r="R46" s="59"/>
      <c r="S46" s="59"/>
      <c r="T46" s="59"/>
      <c r="U46" s="130"/>
      <c r="V46" s="59"/>
      <c r="W46" s="59"/>
      <c r="X46" s="59">
        <f>M46-N46-O46-Q46-R46-S46+V46+W46</f>
        <v>0</v>
      </c>
      <c r="Y46" s="59">
        <f>N46-O46-P46-R46-S46-U46+W46+X46</f>
        <v>0</v>
      </c>
      <c r="Z46" s="59"/>
      <c r="AA46" s="59"/>
      <c r="AB46" s="41"/>
      <c r="AC46" s="41"/>
      <c r="AD46" s="57"/>
      <c r="AE46" s="59"/>
      <c r="AF46" s="108"/>
      <c r="AG46" s="109"/>
      <c r="AH46" s="59"/>
      <c r="AI46" s="59"/>
      <c r="AJ46" s="59"/>
      <c r="AK46" s="59">
        <f>N46+O46+Q46+R46+S46+X46+AE46+AH46</f>
        <v>0</v>
      </c>
      <c r="AL46" s="59"/>
      <c r="AM46" s="106"/>
      <c r="AN46" s="44"/>
      <c r="AO46" s="185"/>
      <c r="AP46" s="41"/>
      <c r="AQ46" s="44"/>
      <c r="AR46" s="88"/>
      <c r="AS46" s="88"/>
      <c r="AT46" s="88"/>
      <c r="AU46" s="88"/>
      <c r="AV46" s="44"/>
      <c r="AW46" s="110"/>
      <c r="AX46" s="44"/>
      <c r="AY46" s="44" t="s">
        <v>46</v>
      </c>
      <c r="AZ46" s="44" t="s">
        <v>46</v>
      </c>
      <c r="BA46" s="44" t="s">
        <v>46</v>
      </c>
      <c r="BB46" s="44"/>
      <c r="BC46" s="44"/>
      <c r="BE46" s="572"/>
      <c r="BF46" s="497"/>
      <c r="BG46" s="497"/>
      <c r="BH46" s="573"/>
      <c r="BI46" s="573"/>
    </row>
    <row r="47" spans="1:61" ht="12.95" customHeight="1">
      <c r="A47" s="90" t="s">
        <v>33</v>
      </c>
      <c r="B47" s="98"/>
      <c r="C47" s="55"/>
      <c r="D47" s="55"/>
      <c r="E47" s="55"/>
      <c r="F47" s="99">
        <f t="shared" ref="F47:L47" si="25">SUM(F15:F45)</f>
        <v>-300.98311066296947</v>
      </c>
      <c r="G47" s="55">
        <f t="shared" si="25"/>
        <v>1117.3</v>
      </c>
      <c r="H47" s="55">
        <f t="shared" si="25"/>
        <v>0</v>
      </c>
      <c r="I47" s="55">
        <f t="shared" si="25"/>
        <v>1117.3</v>
      </c>
      <c r="J47" s="55">
        <f t="shared" si="25"/>
        <v>160.31194857574991</v>
      </c>
      <c r="K47" s="55">
        <f t="shared" si="25"/>
        <v>1277.6119485757499</v>
      </c>
      <c r="L47" s="55">
        <f t="shared" si="25"/>
        <v>-37.183110662969511</v>
      </c>
      <c r="M47" s="100">
        <f>SUM(M15:M45)</f>
        <v>110.10000000000002</v>
      </c>
      <c r="N47" s="55">
        <f>SUM(N15:N45)</f>
        <v>0</v>
      </c>
      <c r="O47" s="55">
        <f>SUM(O15:O45)</f>
        <v>0</v>
      </c>
      <c r="P47" s="39"/>
      <c r="Q47" s="55">
        <f t="shared" ref="Q47:Y47" si="26">SUM(Q15:Q45)</f>
        <v>53.842137180799305</v>
      </c>
      <c r="R47" s="55">
        <f t="shared" si="26"/>
        <v>0</v>
      </c>
      <c r="S47" s="55">
        <f t="shared" si="26"/>
        <v>51.705584320000007</v>
      </c>
      <c r="T47" s="55">
        <f>SUM(T15:T45)</f>
        <v>19.014415680000003</v>
      </c>
      <c r="U47" s="420">
        <f t="shared" si="26"/>
        <v>-14.46213718079929</v>
      </c>
      <c r="V47" s="55">
        <f t="shared" si="26"/>
        <v>0</v>
      </c>
      <c r="W47" s="55">
        <f t="shared" si="26"/>
        <v>0</v>
      </c>
      <c r="X47" s="55">
        <f t="shared" si="26"/>
        <v>2.55351295663786E-15</v>
      </c>
      <c r="Y47" s="55">
        <f t="shared" si="26"/>
        <v>2.55351295663786E-15</v>
      </c>
      <c r="Z47" s="55"/>
      <c r="AA47" s="55"/>
      <c r="AB47" s="42"/>
      <c r="AC47" s="55">
        <f>SUM(AC15:AC45)</f>
        <v>0</v>
      </c>
      <c r="AD47" s="55"/>
      <c r="AE47" s="55"/>
      <c r="AF47" s="100"/>
      <c r="AG47" s="101"/>
      <c r="AH47" s="55">
        <f>SUM(AH15:AH45)</f>
        <v>1271</v>
      </c>
      <c r="AI47" s="55"/>
      <c r="AJ47" s="62">
        <f t="shared" ref="AJ47:AP47" si="27">SUM(AJ15:AJ45)</f>
        <v>0</v>
      </c>
      <c r="AK47" s="55">
        <f t="shared" si="27"/>
        <v>1381.1000000000001</v>
      </c>
      <c r="AL47" s="55">
        <f t="shared" si="27"/>
        <v>197.49505923871945</v>
      </c>
      <c r="AM47" s="99">
        <f t="shared" si="27"/>
        <v>1578.5950592387196</v>
      </c>
      <c r="AN47" s="42">
        <f t="shared" si="27"/>
        <v>0</v>
      </c>
      <c r="AO47" s="43">
        <f>SUM(AO15:AO45)</f>
        <v>1063.4578628192005</v>
      </c>
      <c r="AP47" s="42">
        <f t="shared" si="27"/>
        <v>0</v>
      </c>
      <c r="AQ47" s="56"/>
      <c r="AW47" s="102">
        <f>SUM(AW15:AW45)</f>
        <v>0.65500000000000003</v>
      </c>
      <c r="AX47" s="45">
        <f>AVERAGE(AX15:AX45)</f>
        <v>44.032258064516128</v>
      </c>
      <c r="AY47" s="45">
        <f>AVERAGE(AY15:AY45)</f>
        <v>18.548387096774192</v>
      </c>
      <c r="AZ47" s="103" t="s">
        <v>41</v>
      </c>
      <c r="BA47" s="375">
        <f>SUM(BA15:BA45)</f>
        <v>110.10000000000002</v>
      </c>
      <c r="BB47" s="30">
        <f>SUM(BB15:BB45)</f>
        <v>50.530000000000015</v>
      </c>
      <c r="BC47" s="407"/>
      <c r="BF47" s="489"/>
      <c r="BG47" s="489"/>
      <c r="BH47" s="505">
        <f>SUM(BH15:BH45)</f>
        <v>862.41562500000055</v>
      </c>
      <c r="BI47" s="505">
        <f>SUM(BI15:BI45)</f>
        <v>408.58437499999934</v>
      </c>
    </row>
    <row r="48" spans="1:61" ht="12.95" customHeight="1">
      <c r="A48" s="90" t="s">
        <v>34</v>
      </c>
      <c r="B48" s="98"/>
      <c r="C48" s="55"/>
      <c r="D48" s="55">
        <f>SUM(D15:D45)</f>
        <v>-597</v>
      </c>
      <c r="E48" s="55"/>
      <c r="F48" s="99">
        <f t="shared" ref="F48:O48" si="28">F47*$D$2</f>
        <v>-597</v>
      </c>
      <c r="G48" s="55">
        <f t="shared" si="28"/>
        <v>2216.16455</v>
      </c>
      <c r="H48" s="55">
        <f t="shared" si="28"/>
        <v>0</v>
      </c>
      <c r="I48" s="55">
        <f t="shared" si="28"/>
        <v>2216.16455</v>
      </c>
      <c r="J48" s="55">
        <f t="shared" si="28"/>
        <v>317.97874999999993</v>
      </c>
      <c r="K48" s="55">
        <f t="shared" si="28"/>
        <v>2534.1433000000002</v>
      </c>
      <c r="L48" s="55">
        <f t="shared" si="28"/>
        <v>-73.752700000000033</v>
      </c>
      <c r="M48" s="100">
        <f t="shared" si="28"/>
        <v>218.38335000000004</v>
      </c>
      <c r="N48" s="55">
        <f t="shared" si="28"/>
        <v>0</v>
      </c>
      <c r="O48" s="55">
        <f t="shared" si="28"/>
        <v>0</v>
      </c>
      <c r="P48" s="39"/>
      <c r="Q48" s="55">
        <f t="shared" ref="Q48:Y48" si="29">Q47*$D$2</f>
        <v>106.79587909811542</v>
      </c>
      <c r="R48" s="55">
        <f t="shared" si="29"/>
        <v>0</v>
      </c>
      <c r="S48" s="55">
        <f t="shared" si="29"/>
        <v>102.55802649872001</v>
      </c>
      <c r="T48" s="55">
        <f t="shared" si="29"/>
        <v>37.715093501280009</v>
      </c>
      <c r="U48" s="420">
        <f t="shared" si="29"/>
        <v>-28.685649098115395</v>
      </c>
      <c r="V48" s="55">
        <f t="shared" si="29"/>
        <v>0</v>
      </c>
      <c r="W48" s="55">
        <f t="shared" si="29"/>
        <v>0</v>
      </c>
      <c r="X48" s="55">
        <f t="shared" si="29"/>
        <v>5.0648929494911954E-15</v>
      </c>
      <c r="Y48" s="55">
        <f t="shared" si="29"/>
        <v>5.0648929494911954E-15</v>
      </c>
      <c r="Z48" s="55"/>
      <c r="AA48" s="55"/>
      <c r="AB48" s="42"/>
      <c r="AC48" s="55">
        <f>AC47*$D$2</f>
        <v>0</v>
      </c>
      <c r="AD48" s="55"/>
      <c r="AE48" s="55"/>
      <c r="AF48" s="100"/>
      <c r="AG48" s="101"/>
      <c r="AH48" s="55">
        <f>AH47*$D$2</f>
        <v>2521.0284999999999</v>
      </c>
      <c r="AI48" s="55"/>
      <c r="AJ48" s="62">
        <f t="shared" ref="AJ48:AP48" si="30">AJ47*$D$2</f>
        <v>0</v>
      </c>
      <c r="AK48" s="55">
        <f t="shared" si="30"/>
        <v>2739.4118500000004</v>
      </c>
      <c r="AL48" s="55">
        <f t="shared" si="30"/>
        <v>391.73145000000005</v>
      </c>
      <c r="AM48" s="99">
        <f t="shared" si="30"/>
        <v>3131.1433000000006</v>
      </c>
      <c r="AN48" s="42">
        <f t="shared" si="30"/>
        <v>0</v>
      </c>
      <c r="AO48" s="43">
        <f t="shared" si="30"/>
        <v>2109.3686709018843</v>
      </c>
      <c r="AP48" s="42">
        <f t="shared" si="30"/>
        <v>0</v>
      </c>
      <c r="AQ48" s="56"/>
      <c r="AW48" s="102"/>
      <c r="AX48" s="45">
        <f>MAX(AX15:AX45)</f>
        <v>52</v>
      </c>
      <c r="AY48" s="45">
        <f>MAX(AY15:AY45)</f>
        <v>31</v>
      </c>
      <c r="AZ48" s="103" t="s">
        <v>35</v>
      </c>
      <c r="BA48" s="375">
        <f>BA47*$D$2</f>
        <v>218.38335000000004</v>
      </c>
      <c r="BB48" s="30">
        <f>BB47*D2</f>
        <v>100.22625500000004</v>
      </c>
      <c r="BC48" s="407"/>
      <c r="BF48" s="489"/>
      <c r="BG48" s="489"/>
      <c r="BH48" s="505">
        <f>BH47*$D$2</f>
        <v>1710.601392187501</v>
      </c>
      <c r="BI48" s="505">
        <f>BI47*$D$2</f>
        <v>810.42710781249866</v>
      </c>
    </row>
    <row r="49" spans="1:61" ht="3" customHeight="1">
      <c r="A49" s="54"/>
      <c r="B49" s="116"/>
      <c r="C49" s="57"/>
      <c r="D49" s="57"/>
      <c r="E49" s="57"/>
      <c r="F49" s="117"/>
      <c r="G49" s="57"/>
      <c r="H49" s="57"/>
      <c r="I49" s="57"/>
      <c r="J49" s="57"/>
      <c r="K49" s="57"/>
      <c r="L49" s="57"/>
      <c r="M49" s="118"/>
      <c r="N49" s="57"/>
      <c r="O49" s="57"/>
      <c r="P49" s="40"/>
      <c r="Q49" s="57"/>
      <c r="R49" s="57"/>
      <c r="S49" s="57"/>
      <c r="T49" s="57"/>
      <c r="U49" s="132"/>
      <c r="V49" s="57"/>
      <c r="W49" s="57"/>
      <c r="X49" s="57"/>
      <c r="Y49" s="57"/>
      <c r="Z49" s="57"/>
      <c r="AA49" s="57"/>
      <c r="AB49" s="41"/>
      <c r="AC49" s="57"/>
      <c r="AD49" s="57"/>
      <c r="AE49" s="57"/>
      <c r="AF49" s="118"/>
      <c r="AG49" s="119"/>
      <c r="AH49" s="57"/>
      <c r="AI49" s="59"/>
      <c r="AJ49" s="69"/>
      <c r="AK49" s="57"/>
      <c r="AL49" s="57"/>
      <c r="AM49" s="117"/>
      <c r="AN49" s="41"/>
      <c r="AO49" s="185"/>
      <c r="AP49" s="41"/>
      <c r="AQ49" s="57"/>
      <c r="AR49" s="51"/>
      <c r="AS49" s="51"/>
      <c r="AT49" s="88"/>
      <c r="AU49" s="88"/>
      <c r="AV49" s="44"/>
      <c r="AW49" s="120"/>
      <c r="AX49" s="57"/>
      <c r="AY49" s="57"/>
      <c r="AZ49" s="57"/>
      <c r="BA49" s="57"/>
      <c r="BB49" s="57"/>
      <c r="BC49" s="57"/>
      <c r="BE49" s="572"/>
      <c r="BF49" s="497"/>
      <c r="BG49" s="497"/>
      <c r="BH49" s="506"/>
      <c r="BI49" s="506"/>
    </row>
    <row r="50" spans="1:61" ht="12.95" customHeight="1">
      <c r="A50" s="90" t="s">
        <v>36</v>
      </c>
      <c r="B50" s="98"/>
      <c r="C50" s="55"/>
      <c r="D50" s="55"/>
      <c r="E50" s="55"/>
      <c r="F50" s="99"/>
      <c r="G50" s="55"/>
      <c r="H50" s="55"/>
      <c r="I50" s="55"/>
      <c r="J50" s="55"/>
      <c r="K50" s="55"/>
      <c r="L50" s="55"/>
      <c r="M50" s="100"/>
      <c r="N50" s="55"/>
      <c r="O50" s="55"/>
      <c r="P50" s="39"/>
      <c r="Q50" s="55"/>
      <c r="R50" s="55"/>
      <c r="S50" s="55"/>
      <c r="T50" s="55"/>
      <c r="U50" s="420"/>
      <c r="V50" s="55"/>
      <c r="W50" s="55"/>
      <c r="X50" s="55"/>
      <c r="Y50" s="55"/>
      <c r="Z50" s="55"/>
      <c r="AA50" s="55"/>
      <c r="AB50" s="42"/>
      <c r="AC50" s="55"/>
      <c r="AD50" s="55"/>
      <c r="AE50" s="55"/>
      <c r="AF50" s="100"/>
      <c r="AG50" s="101"/>
      <c r="AH50" s="55"/>
      <c r="AI50" s="55"/>
      <c r="AJ50" s="62"/>
      <c r="AK50" s="55"/>
      <c r="AL50" s="55"/>
      <c r="AM50" s="99"/>
      <c r="AN50" s="42"/>
      <c r="AO50" s="180"/>
      <c r="AP50" s="42"/>
      <c r="AQ50" s="56"/>
      <c r="AW50" s="102"/>
      <c r="AX50" s="45">
        <f>MIN(AX15:AX45)</f>
        <v>33</v>
      </c>
      <c r="AY50" s="45">
        <f>MIN(AY15:AY45)</f>
        <v>6</v>
      </c>
      <c r="AZ50" s="103" t="s">
        <v>37</v>
      </c>
      <c r="BA50" s="375"/>
      <c r="BC50" s="407"/>
      <c r="BF50" s="489"/>
      <c r="BG50" s="489"/>
      <c r="BH50" s="505"/>
      <c r="BI50" s="505"/>
    </row>
    <row r="51" spans="1:61" ht="12.95" customHeight="1">
      <c r="A51" s="90" t="s">
        <v>38</v>
      </c>
      <c r="B51" s="98"/>
      <c r="C51" s="55"/>
      <c r="D51" s="55"/>
      <c r="E51" s="55"/>
      <c r="F51" s="99"/>
      <c r="G51" s="55"/>
      <c r="H51" s="55"/>
      <c r="I51" s="55"/>
      <c r="J51" s="55"/>
      <c r="K51" s="55"/>
      <c r="L51" s="55"/>
      <c r="M51" s="100"/>
      <c r="N51" s="55"/>
      <c r="O51" s="55"/>
      <c r="P51" s="39"/>
      <c r="Q51" s="55"/>
      <c r="R51" s="55"/>
      <c r="S51" s="55"/>
      <c r="T51" s="55"/>
      <c r="U51" s="420"/>
      <c r="V51" s="55"/>
      <c r="W51" s="55"/>
      <c r="X51" s="55"/>
      <c r="Y51" s="55"/>
      <c r="Z51" s="55"/>
      <c r="AA51" s="55"/>
      <c r="AB51" s="42"/>
      <c r="AC51" s="55"/>
      <c r="AD51" s="55"/>
      <c r="AE51" s="55"/>
      <c r="AF51" s="100"/>
      <c r="AG51" s="101"/>
      <c r="AH51" s="55"/>
      <c r="AI51" s="55"/>
      <c r="AJ51" s="62"/>
      <c r="AK51" s="55"/>
      <c r="AL51" s="55"/>
      <c r="AM51" s="99"/>
      <c r="AN51" s="42"/>
      <c r="AO51" s="180"/>
      <c r="AP51" s="42"/>
      <c r="AQ51" s="56"/>
      <c r="AW51" s="102"/>
      <c r="AX51" s="45"/>
      <c r="AY51" s="45"/>
      <c r="AZ51" s="103"/>
      <c r="BA51" s="375"/>
      <c r="BC51" s="407"/>
      <c r="BF51" s="489"/>
      <c r="BG51" s="489"/>
      <c r="BH51" s="505"/>
      <c r="BI51" s="505"/>
    </row>
    <row r="52" spans="1:61" ht="3" customHeight="1">
      <c r="A52" s="54"/>
      <c r="B52" s="116"/>
      <c r="C52" s="57"/>
      <c r="D52" s="57"/>
      <c r="E52" s="57"/>
      <c r="F52" s="117"/>
      <c r="G52" s="57"/>
      <c r="H52" s="44"/>
      <c r="I52" s="57"/>
      <c r="J52" s="57"/>
      <c r="K52" s="57"/>
      <c r="L52" s="57"/>
      <c r="M52" s="118"/>
      <c r="N52" s="57"/>
      <c r="O52" s="57"/>
      <c r="P52" s="40"/>
      <c r="Q52" s="57"/>
      <c r="R52" s="57"/>
      <c r="S52" s="57"/>
      <c r="T52" s="57"/>
      <c r="U52" s="132"/>
      <c r="V52" s="57"/>
      <c r="W52" s="57"/>
      <c r="X52" s="57"/>
      <c r="Y52" s="57"/>
      <c r="Z52" s="57"/>
      <c r="AA52" s="57"/>
      <c r="AB52" s="41"/>
      <c r="AC52" s="57"/>
      <c r="AD52" s="57"/>
      <c r="AE52" s="57"/>
      <c r="AF52" s="118"/>
      <c r="AG52" s="119"/>
      <c r="AH52" s="57"/>
      <c r="AI52" s="57"/>
      <c r="AJ52" s="69"/>
      <c r="AK52" s="57"/>
      <c r="AL52" s="57"/>
      <c r="AM52" s="117"/>
      <c r="AN52" s="41"/>
      <c r="AO52" s="185"/>
      <c r="AP52" s="41"/>
      <c r="AQ52" s="58"/>
      <c r="AR52" s="53"/>
      <c r="AS52" s="53"/>
      <c r="AT52" s="88"/>
      <c r="AU52" s="88"/>
      <c r="AV52" s="44"/>
      <c r="AW52" s="110"/>
      <c r="AX52" s="58"/>
      <c r="AY52" s="58"/>
      <c r="AZ52" s="58"/>
      <c r="BA52" s="58"/>
      <c r="BB52" s="58"/>
      <c r="BC52" s="58"/>
      <c r="BE52" s="572"/>
      <c r="BF52" s="497"/>
      <c r="BG52" s="497"/>
      <c r="BH52" s="506"/>
      <c r="BI52" s="506"/>
    </row>
    <row r="53" spans="1:61" ht="12.95" customHeight="1">
      <c r="A53" s="90" t="s">
        <v>39</v>
      </c>
      <c r="B53" s="98"/>
      <c r="C53" s="55"/>
      <c r="D53" s="55"/>
      <c r="E53" s="55"/>
      <c r="F53" s="99">
        <f t="shared" ref="F53:N53" si="31">F13+F47</f>
        <v>-1696.4960927653142</v>
      </c>
      <c r="G53" s="55">
        <f t="shared" si="31"/>
        <v>3292.3</v>
      </c>
      <c r="H53" s="45">
        <f t="shared" si="31"/>
        <v>0</v>
      </c>
      <c r="I53" s="55">
        <f t="shared" si="31"/>
        <v>3292.3</v>
      </c>
      <c r="J53" s="55">
        <f t="shared" si="31"/>
        <v>1085.1401159566424</v>
      </c>
      <c r="K53" s="55">
        <f t="shared" si="31"/>
        <v>4377.4401159566423</v>
      </c>
      <c r="L53" s="55">
        <f t="shared" si="31"/>
        <v>269.64390723468631</v>
      </c>
      <c r="M53" s="100">
        <f t="shared" si="31"/>
        <v>314.44000000000005</v>
      </c>
      <c r="N53" s="55">
        <f t="shared" si="31"/>
        <v>0</v>
      </c>
      <c r="O53" s="55">
        <v>0</v>
      </c>
      <c r="P53" s="39"/>
      <c r="Q53" s="55">
        <f t="shared" ref="Q53:Y53" si="32">Q13+Q47</f>
        <v>154.75724294094167</v>
      </c>
      <c r="R53" s="55">
        <f t="shared" si="32"/>
        <v>0</v>
      </c>
      <c r="S53" s="55">
        <f t="shared" si="32"/>
        <v>149.80427488000001</v>
      </c>
      <c r="T53" s="55">
        <f>T13+T47</f>
        <v>52.764060960000009</v>
      </c>
      <c r="U53" s="420">
        <f t="shared" si="32"/>
        <v>-42.885578780941643</v>
      </c>
      <c r="V53" s="55">
        <f t="shared" si="32"/>
        <v>1242</v>
      </c>
      <c r="W53" s="55">
        <f t="shared" si="32"/>
        <v>0</v>
      </c>
      <c r="X53" s="55">
        <f t="shared" si="32"/>
        <v>1242</v>
      </c>
      <c r="Y53" s="55">
        <f t="shared" si="32"/>
        <v>1242</v>
      </c>
      <c r="Z53" s="55"/>
      <c r="AA53" s="55"/>
      <c r="AB53" s="42"/>
      <c r="AC53" s="47">
        <f>AC13+AC47</f>
        <v>0</v>
      </c>
      <c r="AD53" s="55"/>
      <c r="AE53" s="55"/>
      <c r="AF53" s="100"/>
      <c r="AG53" s="101"/>
      <c r="AH53" s="55">
        <f>AH13+AH47</f>
        <v>3702</v>
      </c>
      <c r="AI53" s="55">
        <f>AI45</f>
        <v>2754.1578774893114</v>
      </c>
      <c r="AJ53" s="62">
        <f>AJ14+AJ47</f>
        <v>0</v>
      </c>
      <c r="AK53" s="55">
        <f>AK13+AK47</f>
        <v>5258.4400000000005</v>
      </c>
      <c r="AL53" s="55">
        <f>AL13+AL47</f>
        <v>815.49620872195601</v>
      </c>
      <c r="AM53" s="99">
        <f>AM13+AM47</f>
        <v>6073.9362087219561</v>
      </c>
      <c r="AN53" s="42">
        <f>AN13+AN47</f>
        <v>1242</v>
      </c>
      <c r="AO53" s="43">
        <f t="shared" ref="AO53" si="33">AO13+AO47</f>
        <v>1895.5427570590582</v>
      </c>
      <c r="AP53" s="42">
        <f>AP13+AP47</f>
        <v>0</v>
      </c>
      <c r="AQ53" s="56"/>
      <c r="AW53" s="102">
        <f>AW13+AW47</f>
        <v>3.8150000000000004</v>
      </c>
      <c r="AX53" s="45"/>
      <c r="AY53" s="45"/>
      <c r="AZ53" s="103"/>
      <c r="BA53" s="375">
        <f>BA13+BA47</f>
        <v>314.44000000000005</v>
      </c>
      <c r="BB53" s="49">
        <f>BB47+BB13</f>
        <v>115.56900000000002</v>
      </c>
      <c r="BC53" s="407"/>
      <c r="BF53" s="489"/>
      <c r="BG53" s="489"/>
      <c r="BH53" s="505">
        <f>BH13+BH47</f>
        <v>862.41562500000055</v>
      </c>
      <c r="BI53" s="505">
        <f>BI13+BI47</f>
        <v>408.58437499999934</v>
      </c>
    </row>
    <row r="54" spans="1:61" ht="12.95" customHeight="1">
      <c r="A54" s="90" t="s">
        <v>40</v>
      </c>
      <c r="B54" s="98"/>
      <c r="C54" s="55"/>
      <c r="D54" s="55">
        <f>D13+D48</f>
        <v>-3365</v>
      </c>
      <c r="E54" s="55">
        <f>E45</f>
        <v>136327</v>
      </c>
      <c r="F54" s="99">
        <f t="shared" ref="F54:O54" si="34">F53*$D$2</f>
        <v>-3365.0000000000009</v>
      </c>
      <c r="G54" s="55">
        <f t="shared" si="34"/>
        <v>6530.2770500000006</v>
      </c>
      <c r="H54" s="45">
        <f t="shared" si="34"/>
        <v>0</v>
      </c>
      <c r="I54" s="55">
        <f t="shared" si="34"/>
        <v>6530.2770500000006</v>
      </c>
      <c r="J54" s="55">
        <f t="shared" si="34"/>
        <v>2152.3754200000003</v>
      </c>
      <c r="K54" s="55">
        <f t="shared" si="34"/>
        <v>8682.6524700000009</v>
      </c>
      <c r="L54" s="55">
        <f t="shared" si="34"/>
        <v>534.83869000000027</v>
      </c>
      <c r="M54" s="100">
        <f t="shared" si="34"/>
        <v>623.6917400000001</v>
      </c>
      <c r="N54" s="55">
        <f t="shared" si="34"/>
        <v>0</v>
      </c>
      <c r="O54" s="55">
        <f t="shared" si="34"/>
        <v>0</v>
      </c>
      <c r="P54" s="39"/>
      <c r="Q54" s="55">
        <f t="shared" ref="Q54:Y54" si="35">Q53*$D$2</f>
        <v>306.96099137335779</v>
      </c>
      <c r="R54" s="55">
        <f t="shared" si="35"/>
        <v>0</v>
      </c>
      <c r="S54" s="246">
        <f t="shared" si="35"/>
        <v>297.13677922447999</v>
      </c>
      <c r="T54" s="246">
        <f t="shared" si="35"/>
        <v>104.65751491416002</v>
      </c>
      <c r="U54" s="421">
        <f t="shared" si="35"/>
        <v>-85.063545511997745</v>
      </c>
      <c r="V54" s="55">
        <f t="shared" si="35"/>
        <v>2463.5070000000001</v>
      </c>
      <c r="W54" s="55">
        <f t="shared" si="35"/>
        <v>0</v>
      </c>
      <c r="X54" s="55">
        <f t="shared" si="35"/>
        <v>2463.5070000000001</v>
      </c>
      <c r="Y54" s="55">
        <f t="shared" si="35"/>
        <v>2463.5070000000001</v>
      </c>
      <c r="Z54" s="55"/>
      <c r="AA54" s="55"/>
      <c r="AB54" s="42"/>
      <c r="AC54" s="55">
        <f>AC53*$D$2</f>
        <v>0</v>
      </c>
      <c r="AD54" s="55"/>
      <c r="AE54" s="55"/>
      <c r="AF54" s="211"/>
      <c r="AG54" s="121"/>
      <c r="AH54" s="55">
        <f t="shared" ref="AH54:AM54" si="36">AH53*$D$2</f>
        <v>7342.9170000000004</v>
      </c>
      <c r="AI54" s="55">
        <f t="shared" si="36"/>
        <v>5462.8721500000493</v>
      </c>
      <c r="AJ54" s="62">
        <f t="shared" si="36"/>
        <v>0</v>
      </c>
      <c r="AK54" s="55">
        <f t="shared" si="36"/>
        <v>10430.115740000001</v>
      </c>
      <c r="AL54" s="55">
        <f t="shared" si="36"/>
        <v>1617.5367299999998</v>
      </c>
      <c r="AM54" s="437">
        <f t="shared" si="36"/>
        <v>12047.652470000001</v>
      </c>
      <c r="AN54" s="42">
        <f>AN53*$D$2</f>
        <v>2463.5070000000001</v>
      </c>
      <c r="AO54" s="43">
        <f>AO53*$D$2</f>
        <v>3759.8090586266421</v>
      </c>
      <c r="AP54" s="42">
        <f>AP53*$D$2</f>
        <v>0</v>
      </c>
      <c r="AQ54" s="56"/>
      <c r="AW54" s="102"/>
      <c r="AX54" s="45"/>
      <c r="AY54" s="45"/>
      <c r="AZ54" s="103"/>
      <c r="BA54" s="376">
        <f>BA53*$D$2</f>
        <v>623.6917400000001</v>
      </c>
      <c r="BB54" s="30">
        <f>BB53*D2</f>
        <v>229.23111150000003</v>
      </c>
      <c r="BC54" s="407"/>
      <c r="BF54" s="489"/>
      <c r="BG54" s="489"/>
      <c r="BH54" s="505">
        <f>BH53*$D$2</f>
        <v>1710.601392187501</v>
      </c>
      <c r="BI54" s="505">
        <f>BI53*$D$2</f>
        <v>810.42710781249866</v>
      </c>
    </row>
    <row r="55" spans="1:61" ht="3" customHeight="1">
      <c r="A55" s="54"/>
      <c r="B55" s="116"/>
      <c r="C55" s="57"/>
      <c r="D55" s="59"/>
      <c r="E55" s="57"/>
      <c r="F55" s="106"/>
      <c r="G55" s="59"/>
      <c r="H55" s="107"/>
      <c r="I55" s="59"/>
      <c r="J55" s="59"/>
      <c r="K55" s="59"/>
      <c r="L55" s="59"/>
      <c r="M55" s="108"/>
      <c r="N55" s="59"/>
      <c r="O55" s="59"/>
      <c r="P55" s="40"/>
      <c r="Q55" s="59"/>
      <c r="R55" s="59"/>
      <c r="S55" s="59"/>
      <c r="T55" s="59"/>
      <c r="U55" s="130"/>
      <c r="V55" s="59"/>
      <c r="W55" s="59"/>
      <c r="X55" s="59"/>
      <c r="Y55" s="59"/>
      <c r="Z55" s="59"/>
      <c r="AA55" s="59"/>
      <c r="AB55" s="41"/>
      <c r="AC55" s="41"/>
      <c r="AD55" s="57"/>
      <c r="AE55" s="59"/>
      <c r="AF55" s="108"/>
      <c r="AG55" s="109"/>
      <c r="AH55" s="59"/>
      <c r="AI55" s="57"/>
      <c r="AJ55" s="57"/>
      <c r="AK55" s="59"/>
      <c r="AL55" s="59"/>
      <c r="AM55" s="59"/>
      <c r="AN55" s="116"/>
      <c r="AO55" s="185"/>
      <c r="AP55" s="41"/>
      <c r="AQ55" s="59"/>
      <c r="AR55" s="54"/>
      <c r="AS55" s="54"/>
      <c r="AT55" s="88"/>
      <c r="AU55" s="88"/>
      <c r="AV55" s="44"/>
      <c r="AW55" s="116"/>
      <c r="AX55" s="59"/>
      <c r="AY55" s="59"/>
      <c r="AZ55" s="59"/>
      <c r="BA55" s="59"/>
      <c r="BB55" s="59"/>
      <c r="BC55" s="59"/>
      <c r="BE55" s="572"/>
      <c r="BF55" s="578"/>
      <c r="BG55" s="578"/>
      <c r="BH55" s="579"/>
      <c r="BI55" s="579"/>
    </row>
    <row r="56" spans="1:61" ht="11.1" customHeight="1">
      <c r="A56" s="90"/>
      <c r="B56" s="286"/>
      <c r="D56" s="90"/>
      <c r="F56" s="90"/>
      <c r="G56" s="90"/>
      <c r="I56" s="90"/>
      <c r="J56" s="90"/>
      <c r="K56" s="90"/>
      <c r="L56" s="90"/>
      <c r="M56" s="90"/>
      <c r="N56" s="90"/>
      <c r="O56" s="90"/>
      <c r="Q56" s="90"/>
      <c r="R56" s="90"/>
      <c r="S56" s="90"/>
      <c r="T56" s="90"/>
      <c r="V56" s="90"/>
      <c r="W56" s="90"/>
      <c r="X56" s="90"/>
      <c r="Y56" s="90"/>
      <c r="Z56" s="90"/>
      <c r="AA56" s="90"/>
      <c r="AD56" s="49"/>
      <c r="AE56" s="90"/>
      <c r="AF56" s="90"/>
      <c r="AG56" s="90"/>
      <c r="AH56" s="90"/>
      <c r="AI56" s="49"/>
      <c r="AJ56" s="175"/>
      <c r="AK56" s="90"/>
      <c r="AL56" s="90"/>
      <c r="AM56" s="90"/>
      <c r="AN56" s="48"/>
      <c r="AO56" s="27"/>
      <c r="AP56" s="28"/>
      <c r="AY56" s="78"/>
      <c r="AZ56" s="78"/>
      <c r="BH56" s="531"/>
      <c r="BI56" s="531"/>
    </row>
    <row r="57" spans="1:61" ht="11.1" customHeight="1">
      <c r="A57" s="90"/>
      <c r="B57" s="284"/>
      <c r="F57" s="90"/>
      <c r="G57" s="90"/>
      <c r="I57" s="91"/>
      <c r="J57" s="90"/>
      <c r="K57" s="287"/>
      <c r="L57" s="90"/>
      <c r="M57" s="90"/>
      <c r="N57" s="90"/>
      <c r="O57" s="90"/>
      <c r="Q57" s="90"/>
      <c r="R57" s="90"/>
      <c r="S57" s="90"/>
      <c r="T57" s="90"/>
      <c r="V57" s="90"/>
      <c r="W57" s="90"/>
      <c r="X57" s="90"/>
      <c r="Y57" s="90"/>
      <c r="Z57" s="90"/>
      <c r="AA57" s="90"/>
      <c r="AD57" s="49"/>
      <c r="AE57" s="90"/>
      <c r="AF57" s="90"/>
      <c r="AG57" s="90"/>
      <c r="AH57" s="90"/>
      <c r="AI57" s="49"/>
      <c r="AJ57" s="175"/>
      <c r="AK57" s="90"/>
      <c r="AL57" s="90"/>
      <c r="AM57" s="90"/>
      <c r="AN57" s="48"/>
      <c r="AO57" s="27"/>
      <c r="AP57" s="28"/>
      <c r="AY57" s="78"/>
      <c r="AZ57" s="78"/>
      <c r="BF57" s="580"/>
      <c r="BG57" s="580"/>
      <c r="BH57" s="531"/>
      <c r="BI57" s="531"/>
    </row>
    <row r="58" spans="1:61" ht="11.1" customHeight="1">
      <c r="D58" s="49"/>
      <c r="Q58" s="46"/>
      <c r="R58" s="46"/>
      <c r="S58" s="46"/>
      <c r="T58" s="46"/>
      <c r="X58" s="30"/>
      <c r="Y58" s="30"/>
      <c r="Z58" s="30"/>
      <c r="AA58" s="30"/>
      <c r="AD58" s="49"/>
      <c r="AH58" s="30"/>
      <c r="AI58" s="49"/>
      <c r="AJ58" s="175"/>
      <c r="AM58" s="30"/>
      <c r="AN58" s="48"/>
      <c r="AO58" s="27"/>
      <c r="AP58" s="28"/>
      <c r="AY58" s="78"/>
      <c r="AZ58" s="78"/>
      <c r="BF58" s="538"/>
      <c r="BG58" s="538"/>
      <c r="BH58" s="510"/>
      <c r="BI58" s="510"/>
    </row>
    <row r="59" spans="1:61" ht="11.1" customHeight="1">
      <c r="B59" s="52"/>
      <c r="D59" s="49"/>
      <c r="AO59" s="27"/>
      <c r="BH59" s="510"/>
      <c r="BI59" s="510"/>
    </row>
    <row r="60" spans="1:61" ht="11.1" customHeight="1">
      <c r="G60" s="288"/>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I59"/>
  <sheetViews>
    <sheetView zoomScaleNormal="100" workbookViewId="0">
      <pane xSplit="1" ySplit="14" topLeftCell="B15" activePane="bottomRight" state="frozen"/>
      <selection pane="topRight" activeCell="B1" sqref="B1"/>
      <selection pane="bottomLeft" activeCell="A10" sqref="A10"/>
      <selection pane="bottomRight" activeCell="A15" sqref="A15:XFD15"/>
    </sheetView>
  </sheetViews>
  <sheetFormatPr defaultColWidth="9.33203125" defaultRowHeight="11.1" customHeight="1"/>
  <cols>
    <col min="1" max="1" width="4.6640625" style="30" customWidth="1"/>
    <col min="2" max="2" width="7" style="30" customWidth="1"/>
    <col min="3" max="3" width="6.33203125" style="49" customWidth="1"/>
    <col min="4" max="4" width="6.33203125" style="30" customWidth="1"/>
    <col min="5" max="5" width="7" style="49" customWidth="1"/>
    <col min="6" max="6" width="7.33203125" style="30" customWidth="1"/>
    <col min="7" max="7" width="6.83203125" style="30" customWidth="1"/>
    <col min="8" max="8" width="5.6640625" style="122" customWidth="1"/>
    <col min="9" max="11" width="6.33203125" style="30" customWidth="1"/>
    <col min="12" max="12" width="6.83203125" style="30" customWidth="1"/>
    <col min="13" max="13" width="5.5" style="46" customWidth="1"/>
    <col min="14" max="14" width="4.5" style="46" customWidth="1"/>
    <col min="15" max="15" width="5.5" style="46" customWidth="1"/>
    <col min="16" max="16" width="4.83203125" style="52" customWidth="1"/>
    <col min="17" max="18" width="4.33203125" style="46" customWidth="1"/>
    <col min="19" max="20" width="4.33203125" style="52" customWidth="1"/>
    <col min="21" max="21" width="5.1640625" style="52" customWidth="1"/>
    <col min="22" max="23" width="5.5" style="30" customWidth="1"/>
    <col min="24" max="27" width="6.33203125" style="49" customWidth="1"/>
    <col min="28" max="28" width="5.5" style="30" customWidth="1"/>
    <col min="29" max="29" width="6" style="46" customWidth="1"/>
    <col min="30" max="33" width="5.5" style="30" customWidth="1"/>
    <col min="34" max="34" width="6.33203125" style="49" customWidth="1"/>
    <col min="35" max="35" width="5.5" style="30" customWidth="1"/>
    <col min="36" max="36" width="6.33203125" style="200" customWidth="1"/>
    <col min="37" max="37" width="6.33203125" style="30" customWidth="1"/>
    <col min="38" max="38" width="6.83203125" style="30" customWidth="1"/>
    <col min="39" max="39" width="6.83203125" style="52" customWidth="1"/>
    <col min="40" max="40" width="5.5" style="78" customWidth="1"/>
    <col min="41" max="41" width="6.33203125" style="23" customWidth="1"/>
    <col min="42" max="42" width="5.33203125" style="78" customWidth="1"/>
    <col min="43" max="43" width="6.33203125" style="30" customWidth="1"/>
    <col min="44" max="44" width="6.33203125" style="81" customWidth="1"/>
    <col min="45" max="45" width="5.5" style="81" customWidth="1"/>
    <col min="46" max="46" width="5.33203125" style="37" customWidth="1"/>
    <col min="47" max="47" width="5.83203125" style="200" customWidth="1"/>
    <col min="48" max="48" width="6.1640625" style="30" bestFit="1" customWidth="1"/>
    <col min="49" max="49" width="5.33203125" style="142" customWidth="1"/>
    <col min="50" max="50" width="3.83203125" style="78" customWidth="1"/>
    <col min="51" max="51" width="3.83203125" style="48" customWidth="1"/>
    <col min="52" max="52" width="3.83203125" style="2" customWidth="1"/>
    <col min="53" max="53" width="6.5" style="390" bestFit="1" customWidth="1"/>
    <col min="54" max="55" width="9.33203125" style="30"/>
    <col min="56" max="56" width="9.33203125" style="2"/>
    <col min="57" max="57" width="9.33203125" style="562" hidden="1" customWidth="1"/>
    <col min="58" max="58" width="7" style="498" hidden="1" customWidth="1"/>
    <col min="59" max="59" width="8.1640625" style="498" hidden="1" customWidth="1"/>
    <col min="60" max="61" width="6.33203125" style="508" hidden="1" customWidth="1"/>
    <col min="62" max="16384" width="9.33203125" style="2"/>
  </cols>
  <sheetData>
    <row r="1" spans="1:61" ht="14.1" customHeight="1">
      <c r="A1" s="90" t="s">
        <v>46</v>
      </c>
      <c r="B1" s="90"/>
      <c r="D1" s="90"/>
      <c r="F1" s="90"/>
      <c r="G1" s="90"/>
      <c r="I1" s="90"/>
      <c r="J1" s="90"/>
      <c r="K1" s="276" t="s">
        <v>53</v>
      </c>
      <c r="L1" s="90"/>
      <c r="M1" s="90"/>
      <c r="N1" s="90"/>
      <c r="O1" s="90"/>
      <c r="Q1" s="90"/>
      <c r="R1" s="90"/>
      <c r="V1" s="90"/>
      <c r="W1" s="90"/>
      <c r="AB1" s="90"/>
      <c r="AD1" s="90"/>
      <c r="AE1" s="90"/>
      <c r="AF1" s="90"/>
      <c r="AG1" s="90"/>
      <c r="AI1" s="90"/>
      <c r="AJ1" s="141"/>
      <c r="AK1" s="90"/>
      <c r="AL1" s="90"/>
      <c r="AN1" s="269"/>
      <c r="AP1" s="269"/>
      <c r="AQ1" s="141"/>
      <c r="BF1" s="563"/>
      <c r="BG1" s="563"/>
    </row>
    <row r="2" spans="1:61" ht="14.1" customHeight="1">
      <c r="A2" s="141" t="s">
        <v>0</v>
      </c>
      <c r="B2" s="90"/>
      <c r="D2" s="277">
        <v>1.9835</v>
      </c>
      <c r="F2" s="90"/>
      <c r="G2" s="90"/>
      <c r="I2" s="90"/>
      <c r="J2" s="90"/>
      <c r="K2" s="844" t="s">
        <v>185</v>
      </c>
      <c r="L2" s="844"/>
      <c r="M2" s="844"/>
      <c r="N2" s="844"/>
      <c r="O2" s="844"/>
      <c r="P2" s="844"/>
      <c r="Q2" s="844"/>
      <c r="R2" s="844"/>
      <c r="S2" s="844"/>
      <c r="T2" s="844"/>
      <c r="U2" s="844"/>
      <c r="V2" s="844"/>
      <c r="W2" s="278"/>
      <c r="X2" s="279"/>
      <c r="Y2" s="279"/>
      <c r="Z2" s="279"/>
      <c r="AA2" s="279"/>
      <c r="AB2" s="278"/>
      <c r="AC2" s="316"/>
      <c r="AD2" s="278"/>
      <c r="AE2" s="90"/>
      <c r="AF2" s="90"/>
      <c r="AG2" s="90"/>
      <c r="AI2" s="90"/>
      <c r="AJ2" s="141"/>
      <c r="AK2" s="90"/>
      <c r="AL2" s="90"/>
      <c r="AN2" s="269"/>
      <c r="AP2" s="269"/>
      <c r="AQ2" s="141"/>
      <c r="BF2" s="563"/>
      <c r="BG2" s="563"/>
    </row>
    <row r="3" spans="1:61" ht="14.1" customHeight="1" thickBot="1">
      <c r="A3" s="280"/>
      <c r="B3" s="740"/>
      <c r="C3" s="741"/>
      <c r="D3" s="742"/>
      <c r="E3" s="741"/>
      <c r="F3" s="740"/>
      <c r="G3" s="716"/>
      <c r="H3" s="721"/>
      <c r="I3" s="740"/>
      <c r="J3" s="740"/>
      <c r="K3" s="740"/>
      <c r="L3" s="740"/>
      <c r="M3" s="716"/>
      <c r="N3" s="716"/>
      <c r="O3" s="716"/>
      <c r="P3" s="753"/>
      <c r="Q3" s="716"/>
      <c r="R3" s="716"/>
      <c r="S3" s="753"/>
      <c r="T3" s="753"/>
      <c r="U3" s="747"/>
      <c r="V3" s="716"/>
      <c r="W3" s="716"/>
      <c r="X3" s="741"/>
      <c r="Y3" s="741"/>
      <c r="Z3" s="741"/>
      <c r="AA3" s="741"/>
      <c r="AB3" s="740"/>
      <c r="AC3" s="756"/>
      <c r="AD3" s="740"/>
      <c r="AE3" s="740"/>
      <c r="AF3" s="740"/>
      <c r="AG3" s="740"/>
      <c r="AH3" s="713"/>
      <c r="AI3" s="740"/>
      <c r="AJ3" s="758"/>
      <c r="AK3" s="740"/>
      <c r="AL3" s="740"/>
      <c r="AM3" s="747"/>
      <c r="AN3" s="785"/>
      <c r="AO3" s="755"/>
      <c r="AP3" s="785"/>
      <c r="AQ3" s="758"/>
      <c r="AR3" s="786"/>
      <c r="AS3" s="787"/>
      <c r="AT3" s="788"/>
      <c r="AU3" s="726"/>
      <c r="AV3" s="778"/>
      <c r="AW3" s="779"/>
      <c r="AX3" s="780"/>
      <c r="AY3" s="781"/>
      <c r="AZ3" s="789"/>
      <c r="BA3" s="790"/>
      <c r="BB3" s="733"/>
      <c r="BC3" s="733"/>
      <c r="BF3" s="564"/>
      <c r="BG3" s="564"/>
      <c r="BH3" s="565"/>
      <c r="BI3" s="565"/>
    </row>
    <row r="4" spans="1:61" s="60" customFormat="1" ht="14.1" customHeight="1" thickTop="1" thickBot="1">
      <c r="A4" s="147"/>
      <c r="B4" s="148"/>
      <c r="C4" s="149"/>
      <c r="D4" s="22" t="s">
        <v>47</v>
      </c>
      <c r="E4" s="149"/>
      <c r="F4" s="147"/>
      <c r="G4" s="150"/>
      <c r="H4" s="150"/>
      <c r="I4" s="427" t="s">
        <v>124</v>
      </c>
      <c r="J4" s="150"/>
      <c r="K4" s="150"/>
      <c r="L4" s="426"/>
      <c r="M4" s="150"/>
      <c r="N4" s="150"/>
      <c r="O4" s="150"/>
      <c r="P4" s="153"/>
      <c r="Q4" s="150"/>
      <c r="R4" s="150"/>
      <c r="S4" s="150"/>
      <c r="T4" s="150"/>
      <c r="U4" s="153"/>
      <c r="V4" s="150"/>
      <c r="W4" s="150"/>
      <c r="X4" s="146" t="s">
        <v>125</v>
      </c>
      <c r="Y4" s="146"/>
      <c r="Z4" s="146"/>
      <c r="AA4" s="146"/>
      <c r="AB4" s="151"/>
      <c r="AC4" s="152"/>
      <c r="AD4" s="152"/>
      <c r="AE4" s="150"/>
      <c r="AF4" s="150"/>
      <c r="AG4" s="150"/>
      <c r="AH4" s="149"/>
      <c r="AI4" s="150"/>
      <c r="AJ4" s="258"/>
      <c r="AK4" s="150"/>
      <c r="AL4" s="150"/>
      <c r="AM4" s="153"/>
      <c r="AN4" s="348"/>
      <c r="AO4" s="582"/>
      <c r="AP4" s="27"/>
      <c r="AQ4" s="209" t="s">
        <v>55</v>
      </c>
      <c r="AR4" s="227"/>
      <c r="AS4" s="157"/>
      <c r="AT4" s="158"/>
      <c r="AU4" s="259"/>
      <c r="AV4" s="259"/>
      <c r="AW4" s="154"/>
      <c r="AX4" s="18" t="s">
        <v>48</v>
      </c>
      <c r="AY4" s="156"/>
      <c r="AZ4" s="381"/>
      <c r="BA4" s="372"/>
      <c r="BB4" s="35"/>
      <c r="BC4" s="450"/>
      <c r="BE4" s="566"/>
      <c r="BF4" s="566"/>
      <c r="BG4" s="566"/>
      <c r="BH4" s="567"/>
      <c r="BI4" s="567"/>
    </row>
    <row r="5" spans="1:61" customFormat="1" ht="12.95" customHeight="1">
      <c r="A5" s="8" t="s">
        <v>1</v>
      </c>
      <c r="B5" s="165" t="s">
        <v>2</v>
      </c>
      <c r="C5" s="13" t="s">
        <v>2</v>
      </c>
      <c r="D5" s="8" t="s">
        <v>3</v>
      </c>
      <c r="E5" s="13" t="s">
        <v>4</v>
      </c>
      <c r="F5" s="166" t="s">
        <v>5</v>
      </c>
      <c r="G5" s="8" t="s">
        <v>6</v>
      </c>
      <c r="H5" s="8" t="s">
        <v>7</v>
      </c>
      <c r="I5" s="8" t="s">
        <v>63</v>
      </c>
      <c r="J5" s="8" t="s">
        <v>8</v>
      </c>
      <c r="K5" s="8" t="s">
        <v>9</v>
      </c>
      <c r="L5" s="294" t="s">
        <v>8</v>
      </c>
      <c r="M5" s="425" t="s">
        <v>10</v>
      </c>
      <c r="N5" s="167"/>
      <c r="O5" s="167"/>
      <c r="P5" s="252"/>
      <c r="Q5" s="167"/>
      <c r="R5" s="167"/>
      <c r="S5" s="167"/>
      <c r="T5" s="167"/>
      <c r="U5" s="248"/>
      <c r="V5" s="623" t="s">
        <v>11</v>
      </c>
      <c r="W5" s="8" t="s">
        <v>12</v>
      </c>
      <c r="X5" s="8" t="s">
        <v>9</v>
      </c>
      <c r="Y5" s="8" t="s">
        <v>9</v>
      </c>
      <c r="Z5" s="12" t="s">
        <v>13</v>
      </c>
      <c r="AA5" s="8" t="s">
        <v>13</v>
      </c>
      <c r="AB5" s="12" t="s">
        <v>13</v>
      </c>
      <c r="AC5" s="14" t="s">
        <v>82</v>
      </c>
      <c r="AD5" s="14" t="s">
        <v>13</v>
      </c>
      <c r="AE5" s="8" t="s">
        <v>14</v>
      </c>
      <c r="AF5" s="583" t="s">
        <v>166</v>
      </c>
      <c r="AG5" s="213"/>
      <c r="AH5" s="8" t="s">
        <v>15</v>
      </c>
      <c r="AI5" s="13" t="s">
        <v>61</v>
      </c>
      <c r="AJ5" s="13" t="s">
        <v>88</v>
      </c>
      <c r="AK5" s="8" t="s">
        <v>63</v>
      </c>
      <c r="AL5" s="8" t="s">
        <v>8</v>
      </c>
      <c r="AM5" s="8" t="s">
        <v>9</v>
      </c>
      <c r="AN5" s="675" t="s">
        <v>52</v>
      </c>
      <c r="AO5" s="624" t="s">
        <v>159</v>
      </c>
      <c r="AP5" s="14" t="s">
        <v>13</v>
      </c>
      <c r="AQ5" s="12" t="s">
        <v>49</v>
      </c>
      <c r="AR5" s="36" t="s">
        <v>49</v>
      </c>
      <c r="AS5" s="14" t="s">
        <v>96</v>
      </c>
      <c r="AT5" s="35" t="s">
        <v>56</v>
      </c>
      <c r="AU5" s="35" t="s">
        <v>79</v>
      </c>
      <c r="AV5" s="37" t="s">
        <v>134</v>
      </c>
      <c r="AW5" s="168" t="s">
        <v>16</v>
      </c>
      <c r="AX5" s="12" t="s">
        <v>17</v>
      </c>
      <c r="AY5" s="12" t="s">
        <v>18</v>
      </c>
      <c r="AZ5" s="377"/>
      <c r="BA5" s="389" t="s">
        <v>9</v>
      </c>
      <c r="BB5" s="35" t="s">
        <v>128</v>
      </c>
      <c r="BC5" s="547" t="s">
        <v>128</v>
      </c>
      <c r="BE5" s="562"/>
      <c r="BF5" s="568" t="s">
        <v>2</v>
      </c>
      <c r="BG5" s="568"/>
      <c r="BH5" s="569" t="s">
        <v>15</v>
      </c>
      <c r="BI5" s="569" t="s">
        <v>15</v>
      </c>
    </row>
    <row r="6" spans="1:61" customFormat="1" ht="12.95" customHeight="1">
      <c r="A6" s="170" t="s">
        <v>106</v>
      </c>
      <c r="B6" s="165" t="s">
        <v>19</v>
      </c>
      <c r="C6" s="13"/>
      <c r="D6" s="8" t="s">
        <v>20</v>
      </c>
      <c r="E6" s="13" t="s">
        <v>21</v>
      </c>
      <c r="F6" s="166" t="s">
        <v>22</v>
      </c>
      <c r="G6" s="8" t="s">
        <v>23</v>
      </c>
      <c r="H6" s="8" t="s">
        <v>64</v>
      </c>
      <c r="I6" s="8" t="s">
        <v>24</v>
      </c>
      <c r="J6" s="8" t="s">
        <v>24</v>
      </c>
      <c r="K6" s="8" t="s">
        <v>24</v>
      </c>
      <c r="L6" s="294" t="s">
        <v>25</v>
      </c>
      <c r="M6" s="8" t="s">
        <v>26</v>
      </c>
      <c r="N6" s="623" t="s">
        <v>65</v>
      </c>
      <c r="O6" s="8" t="s">
        <v>67</v>
      </c>
      <c r="P6" s="36" t="s">
        <v>84</v>
      </c>
      <c r="Q6" s="8" t="s">
        <v>57</v>
      </c>
      <c r="R6" s="8" t="s">
        <v>118</v>
      </c>
      <c r="S6" s="8"/>
      <c r="T6" s="8" t="s">
        <v>67</v>
      </c>
      <c r="U6" s="244" t="s">
        <v>87</v>
      </c>
      <c r="V6" s="8" t="s">
        <v>27</v>
      </c>
      <c r="W6" s="8" t="s">
        <v>42</v>
      </c>
      <c r="X6" s="8" t="s">
        <v>13</v>
      </c>
      <c r="Y6" s="8" t="s">
        <v>13</v>
      </c>
      <c r="Z6" s="12" t="s">
        <v>28</v>
      </c>
      <c r="AA6" s="8" t="s">
        <v>28</v>
      </c>
      <c r="AB6" s="12" t="s">
        <v>92</v>
      </c>
      <c r="AC6" s="14" t="s">
        <v>83</v>
      </c>
      <c r="AD6" s="14" t="s">
        <v>86</v>
      </c>
      <c r="AE6" s="8" t="s">
        <v>29</v>
      </c>
      <c r="AF6" s="171" t="s">
        <v>76</v>
      </c>
      <c r="AG6" s="294" t="s">
        <v>58</v>
      </c>
      <c r="AH6" s="8" t="s">
        <v>69</v>
      </c>
      <c r="AI6" s="13" t="s">
        <v>62</v>
      </c>
      <c r="AJ6" s="13"/>
      <c r="AK6" s="8" t="s">
        <v>70</v>
      </c>
      <c r="AL6" s="8" t="s">
        <v>70</v>
      </c>
      <c r="AM6" s="8" t="s">
        <v>70</v>
      </c>
      <c r="AN6" s="349" t="s">
        <v>110</v>
      </c>
      <c r="AO6" s="13" t="s">
        <v>110</v>
      </c>
      <c r="AP6" s="14" t="s">
        <v>71</v>
      </c>
      <c r="AQ6" s="12" t="s">
        <v>51</v>
      </c>
      <c r="AR6" s="36" t="s">
        <v>51</v>
      </c>
      <c r="AS6" s="14" t="s">
        <v>94</v>
      </c>
      <c r="AT6" s="35" t="s">
        <v>54</v>
      </c>
      <c r="AU6" s="35" t="s">
        <v>80</v>
      </c>
      <c r="AV6" s="37" t="s">
        <v>133</v>
      </c>
      <c r="AW6" s="172"/>
      <c r="AX6" s="12" t="s">
        <v>30</v>
      </c>
      <c r="AY6" s="12" t="s">
        <v>30</v>
      </c>
      <c r="AZ6" s="377"/>
      <c r="BA6" s="389" t="s">
        <v>99</v>
      </c>
      <c r="BB6" s="35" t="s">
        <v>130</v>
      </c>
      <c r="BC6" s="547" t="s">
        <v>129</v>
      </c>
      <c r="BE6" s="562"/>
      <c r="BF6" s="568" t="s">
        <v>19</v>
      </c>
      <c r="BG6" s="568"/>
      <c r="BH6" s="569" t="s">
        <v>69</v>
      </c>
      <c r="BI6" s="569" t="s">
        <v>69</v>
      </c>
    </row>
    <row r="7" spans="1:61" customFormat="1" ht="12.95" customHeight="1">
      <c r="A7" s="8"/>
      <c r="B7" s="165"/>
      <c r="C7" s="13"/>
      <c r="D7" s="8"/>
      <c r="E7" s="13"/>
      <c r="F7" s="166"/>
      <c r="G7" s="8"/>
      <c r="H7" s="8"/>
      <c r="I7" s="8"/>
      <c r="J7" s="8"/>
      <c r="K7" s="8"/>
      <c r="L7" s="294"/>
      <c r="M7" s="8"/>
      <c r="N7" s="8" t="s">
        <v>66</v>
      </c>
      <c r="O7" s="8" t="s">
        <v>68</v>
      </c>
      <c r="P7" s="36"/>
      <c r="Q7" s="8" t="s">
        <v>119</v>
      </c>
      <c r="R7" s="8" t="s">
        <v>119</v>
      </c>
      <c r="S7" s="8" t="s">
        <v>58</v>
      </c>
      <c r="T7" s="8" t="s">
        <v>58</v>
      </c>
      <c r="U7" s="244" t="s">
        <v>120</v>
      </c>
      <c r="V7" s="8"/>
      <c r="W7" s="8"/>
      <c r="X7" s="13" t="s">
        <v>108</v>
      </c>
      <c r="Y7" s="13" t="s">
        <v>90</v>
      </c>
      <c r="Z7" s="12" t="s">
        <v>115</v>
      </c>
      <c r="AA7" s="8" t="s">
        <v>111</v>
      </c>
      <c r="AB7" s="12" t="s">
        <v>93</v>
      </c>
      <c r="AC7" s="14"/>
      <c r="AD7" s="14"/>
      <c r="AE7" s="294"/>
      <c r="AF7" s="295">
        <v>1.7</v>
      </c>
      <c r="AG7" s="295">
        <v>1.3</v>
      </c>
      <c r="AH7" s="171"/>
      <c r="AI7" s="62"/>
      <c r="AJ7" s="13"/>
      <c r="AK7" s="8"/>
      <c r="AL7" s="8"/>
      <c r="AM7" s="8"/>
      <c r="AN7" s="349"/>
      <c r="AO7" s="13" t="s">
        <v>147</v>
      </c>
      <c r="AP7" s="14"/>
      <c r="AQ7" s="12" t="s">
        <v>45</v>
      </c>
      <c r="AR7" s="36" t="s">
        <v>72</v>
      </c>
      <c r="AS7" s="14" t="s">
        <v>95</v>
      </c>
      <c r="AT7" s="35" t="s">
        <v>59</v>
      </c>
      <c r="AU7" s="35" t="s">
        <v>81</v>
      </c>
      <c r="AV7" s="37" t="s">
        <v>108</v>
      </c>
      <c r="AW7" s="172"/>
      <c r="AX7" s="12"/>
      <c r="AY7" s="12"/>
      <c r="AZ7" s="377"/>
      <c r="BA7" s="389" t="s">
        <v>97</v>
      </c>
      <c r="BB7" s="35"/>
      <c r="BC7" s="547"/>
      <c r="BE7" s="562"/>
      <c r="BF7" s="568" t="s">
        <v>142</v>
      </c>
      <c r="BG7" s="568"/>
      <c r="BH7" s="570" t="s">
        <v>153</v>
      </c>
      <c r="BI7" s="570" t="s">
        <v>154</v>
      </c>
    </row>
    <row r="8" spans="1:61" customFormat="1" ht="12.95" customHeight="1">
      <c r="A8" s="8"/>
      <c r="B8" s="165"/>
      <c r="C8" s="13"/>
      <c r="D8" s="8"/>
      <c r="E8" s="13"/>
      <c r="F8" s="166"/>
      <c r="G8" s="8"/>
      <c r="H8" s="8"/>
      <c r="I8" s="8"/>
      <c r="J8" s="8"/>
      <c r="K8" s="8"/>
      <c r="L8" s="294"/>
      <c r="M8" s="8"/>
      <c r="N8" s="8"/>
      <c r="O8" s="8"/>
      <c r="P8" s="36"/>
      <c r="Q8" s="8" t="s">
        <v>58</v>
      </c>
      <c r="R8" s="8" t="s">
        <v>58</v>
      </c>
      <c r="S8" s="8"/>
      <c r="T8" s="8"/>
      <c r="U8" s="244"/>
      <c r="V8" s="8"/>
      <c r="W8" s="8"/>
      <c r="X8" s="13" t="s">
        <v>109</v>
      </c>
      <c r="Y8" s="13" t="s">
        <v>108</v>
      </c>
      <c r="Z8" s="12"/>
      <c r="AA8" s="13" t="s">
        <v>114</v>
      </c>
      <c r="AB8" s="12" t="s">
        <v>113</v>
      </c>
      <c r="AC8" s="14"/>
      <c r="AD8" s="14"/>
      <c r="AE8" s="294"/>
      <c r="AF8" s="295"/>
      <c r="AG8" s="295"/>
      <c r="AH8" s="171"/>
      <c r="AI8" s="62"/>
      <c r="AJ8" s="13"/>
      <c r="AK8" s="8"/>
      <c r="AL8" s="8"/>
      <c r="AM8" s="8"/>
      <c r="AN8" s="349"/>
      <c r="AO8" s="13" t="s">
        <v>165</v>
      </c>
      <c r="AP8" s="14"/>
      <c r="AQ8" s="12"/>
      <c r="AR8" s="36"/>
      <c r="AS8" s="14"/>
      <c r="AT8" s="35"/>
      <c r="AU8" s="35"/>
      <c r="AV8" s="37"/>
      <c r="AW8" s="172"/>
      <c r="AX8" s="12"/>
      <c r="AY8" s="12"/>
      <c r="AZ8" s="377"/>
      <c r="BA8" s="389"/>
      <c r="BB8" s="35"/>
      <c r="BC8" s="547"/>
      <c r="BE8" s="562"/>
      <c r="BF8" s="568"/>
      <c r="BG8" s="568"/>
      <c r="BH8" s="570" t="s">
        <v>155</v>
      </c>
      <c r="BI8" s="570" t="s">
        <v>153</v>
      </c>
    </row>
    <row r="9" spans="1:61" customFormat="1" ht="12.95" customHeight="1">
      <c r="A9" s="8"/>
      <c r="B9" s="165"/>
      <c r="C9" s="13"/>
      <c r="D9" s="8"/>
      <c r="E9" s="13"/>
      <c r="F9" s="166"/>
      <c r="G9" s="8"/>
      <c r="H9" s="8"/>
      <c r="I9" s="8"/>
      <c r="J9" s="8"/>
      <c r="K9" s="8"/>
      <c r="L9" s="294"/>
      <c r="M9" s="8"/>
      <c r="N9" s="8"/>
      <c r="O9" s="8"/>
      <c r="P9" s="36"/>
      <c r="Q9" s="8"/>
      <c r="R9" s="413">
        <v>4.2</v>
      </c>
      <c r="S9" s="8"/>
      <c r="T9" s="8"/>
      <c r="U9" s="244"/>
      <c r="V9" s="8"/>
      <c r="W9" s="8"/>
      <c r="X9" s="13"/>
      <c r="Y9" s="13" t="s">
        <v>109</v>
      </c>
      <c r="Z9" s="12"/>
      <c r="AA9" s="13" t="s">
        <v>109</v>
      </c>
      <c r="AB9" s="12" t="s">
        <v>112</v>
      </c>
      <c r="AC9" s="14"/>
      <c r="AD9" s="14"/>
      <c r="AE9" s="294"/>
      <c r="AF9" s="295"/>
      <c r="AG9" s="295"/>
      <c r="AH9" s="171"/>
      <c r="AI9" s="62"/>
      <c r="AJ9" s="13"/>
      <c r="AK9" s="8"/>
      <c r="AL9" s="8"/>
      <c r="AM9" s="8"/>
      <c r="AN9" s="349"/>
      <c r="AO9" s="13"/>
      <c r="AP9" s="14"/>
      <c r="AQ9" s="12"/>
      <c r="AR9" s="36"/>
      <c r="AS9" s="14"/>
      <c r="AT9" s="35"/>
      <c r="AU9" s="35"/>
      <c r="AV9" s="37"/>
      <c r="AW9" s="172"/>
      <c r="AX9" s="12"/>
      <c r="AY9" s="12"/>
      <c r="AZ9" s="377"/>
      <c r="BA9" s="389"/>
      <c r="BB9" s="35"/>
      <c r="BC9" s="547" t="s">
        <v>141</v>
      </c>
      <c r="BE9" s="562"/>
      <c r="BF9" s="568"/>
      <c r="BG9" s="568"/>
      <c r="BH9" s="570" t="s">
        <v>156</v>
      </c>
      <c r="BI9" s="570"/>
    </row>
    <row r="10" spans="1:61" customFormat="1" ht="12.95" customHeight="1">
      <c r="A10" s="8"/>
      <c r="B10" s="165"/>
      <c r="C10" s="13" t="s">
        <v>91</v>
      </c>
      <c r="D10" s="8"/>
      <c r="E10" s="13" t="s">
        <v>50</v>
      </c>
      <c r="F10" s="166"/>
      <c r="G10" s="8" t="s">
        <v>22</v>
      </c>
      <c r="H10" s="8" t="s">
        <v>22</v>
      </c>
      <c r="I10" s="8" t="s">
        <v>22</v>
      </c>
      <c r="J10" s="8" t="s">
        <v>22</v>
      </c>
      <c r="K10" s="8" t="s">
        <v>22</v>
      </c>
      <c r="L10" s="294" t="s">
        <v>22</v>
      </c>
      <c r="M10" s="8" t="s">
        <v>22</v>
      </c>
      <c r="N10" s="8" t="s">
        <v>22</v>
      </c>
      <c r="O10" s="8" t="s">
        <v>22</v>
      </c>
      <c r="P10" s="8" t="s">
        <v>22</v>
      </c>
      <c r="Q10" s="8" t="s">
        <v>22</v>
      </c>
      <c r="R10" s="8" t="s">
        <v>22</v>
      </c>
      <c r="S10" s="8" t="s">
        <v>22</v>
      </c>
      <c r="T10" s="8" t="s">
        <v>22</v>
      </c>
      <c r="U10" s="294" t="s">
        <v>22</v>
      </c>
      <c r="V10" s="8" t="s">
        <v>22</v>
      </c>
      <c r="W10" s="8" t="s">
        <v>22</v>
      </c>
      <c r="X10" s="13">
        <v>153400</v>
      </c>
      <c r="Y10" s="13">
        <v>150400</v>
      </c>
      <c r="Z10" s="8"/>
      <c r="AA10" s="13"/>
      <c r="AB10" s="13">
        <v>72000</v>
      </c>
      <c r="AC10" s="14" t="s">
        <v>22</v>
      </c>
      <c r="AD10" s="8" t="s">
        <v>22</v>
      </c>
      <c r="AE10" s="294" t="s">
        <v>22</v>
      </c>
      <c r="AF10" s="8" t="s">
        <v>22</v>
      </c>
      <c r="AG10" s="8" t="s">
        <v>22</v>
      </c>
      <c r="AH10" s="171" t="s">
        <v>22</v>
      </c>
      <c r="AI10" s="8" t="s">
        <v>22</v>
      </c>
      <c r="AJ10" s="8" t="s">
        <v>22</v>
      </c>
      <c r="AK10" s="8" t="s">
        <v>22</v>
      </c>
      <c r="AL10" s="8" t="s">
        <v>22</v>
      </c>
      <c r="AM10" s="166" t="s">
        <v>22</v>
      </c>
      <c r="AN10" s="14" t="s">
        <v>22</v>
      </c>
      <c r="AO10" s="14" t="s">
        <v>22</v>
      </c>
      <c r="AP10" s="14" t="s">
        <v>22</v>
      </c>
      <c r="AQ10" s="14" t="s">
        <v>22</v>
      </c>
      <c r="AR10" s="36" t="s">
        <v>73</v>
      </c>
      <c r="AS10" s="14" t="s">
        <v>22</v>
      </c>
      <c r="AT10" s="14" t="s">
        <v>22</v>
      </c>
      <c r="AU10" s="14" t="s">
        <v>22</v>
      </c>
      <c r="AV10" s="14" t="s">
        <v>22</v>
      </c>
      <c r="AW10" s="172"/>
      <c r="AX10" s="12"/>
      <c r="AY10" s="12"/>
      <c r="AZ10" s="377"/>
      <c r="BA10" s="389" t="s">
        <v>98</v>
      </c>
      <c r="BB10" s="35" t="s">
        <v>22</v>
      </c>
      <c r="BC10" s="547" t="s">
        <v>50</v>
      </c>
      <c r="BE10" s="562"/>
      <c r="BF10" s="568"/>
      <c r="BG10" s="568"/>
      <c r="BH10" s="570" t="s">
        <v>22</v>
      </c>
      <c r="BI10" s="570" t="s">
        <v>22</v>
      </c>
    </row>
    <row r="11" spans="1:61" customFormat="1" ht="12.95" customHeight="1">
      <c r="A11" s="8"/>
      <c r="B11" s="165"/>
      <c r="C11" s="13"/>
      <c r="D11" s="8"/>
      <c r="E11" s="13"/>
      <c r="F11" s="166"/>
      <c r="G11" s="8"/>
      <c r="H11" s="8"/>
      <c r="I11" s="8"/>
      <c r="J11" s="8"/>
      <c r="K11" s="8"/>
      <c r="L11" s="294"/>
      <c r="M11" s="8"/>
      <c r="N11" s="227">
        <v>1.03</v>
      </c>
      <c r="O11" s="227">
        <v>1.05</v>
      </c>
      <c r="P11" s="227">
        <v>1.02</v>
      </c>
      <c r="Q11" s="322">
        <v>1.02</v>
      </c>
      <c r="R11" s="65">
        <v>1.04</v>
      </c>
      <c r="S11" s="8"/>
      <c r="T11" s="322">
        <v>1.04</v>
      </c>
      <c r="U11" s="244"/>
      <c r="V11" s="8"/>
      <c r="W11" s="8"/>
      <c r="X11" s="8" t="s">
        <v>22</v>
      </c>
      <c r="Y11" s="8" t="s">
        <v>22</v>
      </c>
      <c r="Z11" s="8" t="s">
        <v>22</v>
      </c>
      <c r="AA11" s="13" t="s">
        <v>22</v>
      </c>
      <c r="AB11" s="26" t="s">
        <v>89</v>
      </c>
      <c r="AC11" s="14"/>
      <c r="AD11" s="12"/>
      <c r="AE11" s="344"/>
      <c r="AF11" s="295"/>
      <c r="AG11" s="295"/>
      <c r="AH11" s="171"/>
      <c r="AI11" s="62"/>
      <c r="AJ11" s="5"/>
      <c r="AK11" s="8"/>
      <c r="AL11" s="8"/>
      <c r="AM11" s="8"/>
      <c r="AN11" s="349"/>
      <c r="AO11" s="13"/>
      <c r="AP11" s="14"/>
      <c r="AQ11" s="12"/>
      <c r="AR11" s="36"/>
      <c r="AS11" s="36"/>
      <c r="AT11" s="173"/>
      <c r="AU11" s="173"/>
      <c r="AV11" s="173"/>
      <c r="AW11" s="172"/>
      <c r="AX11" s="12"/>
      <c r="AY11" s="12"/>
      <c r="AZ11" s="377"/>
      <c r="BA11" s="389" t="s">
        <v>22</v>
      </c>
      <c r="BB11" s="35"/>
      <c r="BC11" s="547"/>
      <c r="BE11" s="562"/>
      <c r="BF11" s="568"/>
      <c r="BG11" s="568"/>
      <c r="BH11" s="570"/>
      <c r="BI11" s="570"/>
    </row>
    <row r="12" spans="1:61" ht="12.95" customHeight="1">
      <c r="A12" s="141" t="s">
        <v>31</v>
      </c>
      <c r="B12" s="98"/>
      <c r="C12" s="55"/>
      <c r="D12" s="55"/>
      <c r="E12" s="55"/>
      <c r="F12" s="99"/>
      <c r="G12" s="55"/>
      <c r="H12" s="125"/>
      <c r="I12" s="55"/>
      <c r="J12" s="55"/>
      <c r="K12" s="55"/>
      <c r="L12" s="55"/>
      <c r="M12" s="100"/>
      <c r="N12" s="55"/>
      <c r="O12" s="55"/>
      <c r="P12" s="39"/>
      <c r="Q12" s="55"/>
      <c r="R12" s="55"/>
      <c r="S12" s="39"/>
      <c r="T12" s="39"/>
      <c r="U12" s="126"/>
      <c r="V12" s="55"/>
      <c r="W12" s="55"/>
      <c r="X12" s="55"/>
      <c r="Y12" s="55"/>
      <c r="Z12" s="55"/>
      <c r="AA12" s="55"/>
      <c r="AB12" s="55"/>
      <c r="AC12" s="42"/>
      <c r="AD12" s="55"/>
      <c r="AE12" s="55"/>
      <c r="AF12" s="100"/>
      <c r="AG12" s="101"/>
      <c r="AH12" s="55"/>
      <c r="AI12" s="55"/>
      <c r="AJ12" s="128"/>
      <c r="AK12" s="55"/>
      <c r="AL12" s="55"/>
      <c r="AM12" s="55"/>
      <c r="AN12" s="134"/>
      <c r="AO12" s="180"/>
      <c r="AP12" s="45"/>
      <c r="AQ12" s="47"/>
      <c r="AR12" s="56"/>
      <c r="AS12" s="56"/>
      <c r="AT12" s="127"/>
      <c r="AV12" s="407"/>
      <c r="AW12" s="143"/>
      <c r="AX12" s="45"/>
      <c r="AY12" s="45"/>
      <c r="AZ12" s="378"/>
      <c r="BA12" s="391"/>
      <c r="BB12" s="37"/>
      <c r="BC12" s="444"/>
      <c r="BF12" s="489"/>
      <c r="BG12" s="489"/>
      <c r="BH12" s="505"/>
      <c r="BI12" s="505"/>
    </row>
    <row r="13" spans="1:61" s="3" customFormat="1" ht="12.95" customHeight="1">
      <c r="A13" s="49" t="s">
        <v>32</v>
      </c>
      <c r="B13" s="342">
        <f>JAN!B45</f>
        <v>6901.28</v>
      </c>
      <c r="C13" s="55">
        <f>JAN!C45</f>
        <v>288327</v>
      </c>
      <c r="D13" s="55">
        <f>JAN!D54</f>
        <v>-3365</v>
      </c>
      <c r="E13" s="55">
        <f>JAN!E54</f>
        <v>136327</v>
      </c>
      <c r="F13" s="99">
        <f>JAN!F53</f>
        <v>-1696.4960927653142</v>
      </c>
      <c r="G13" s="55">
        <f>JAN!G53</f>
        <v>3292.3</v>
      </c>
      <c r="H13" s="246">
        <f>JAN!H53</f>
        <v>0</v>
      </c>
      <c r="I13" s="55">
        <f>JAN!I53</f>
        <v>3292.3</v>
      </c>
      <c r="J13" s="246">
        <f>JAN!J53</f>
        <v>1085.1401159566424</v>
      </c>
      <c r="K13" s="55">
        <f>JAN!K53</f>
        <v>4377.4401159566423</v>
      </c>
      <c r="L13" s="121">
        <f>JAN!L53</f>
        <v>269.64390723468631</v>
      </c>
      <c r="M13" s="55">
        <f>JAN!M53</f>
        <v>314.44000000000005</v>
      </c>
      <c r="N13" s="246">
        <f>JAN!N53</f>
        <v>0</v>
      </c>
      <c r="O13" s="55">
        <f>JAN!O53</f>
        <v>0</v>
      </c>
      <c r="P13" s="55">
        <f>JAN!P53</f>
        <v>0</v>
      </c>
      <c r="Q13" s="55">
        <f>JAN!Q53</f>
        <v>154.75724294094167</v>
      </c>
      <c r="R13" s="246">
        <f>JAN!R53</f>
        <v>0</v>
      </c>
      <c r="S13" s="55">
        <f>JAN!S53</f>
        <v>149.80427488000001</v>
      </c>
      <c r="T13" s="55">
        <f>JAN!T53</f>
        <v>52.764060960000009</v>
      </c>
      <c r="U13" s="121">
        <f>JAN!U53</f>
        <v>-42.885578780941643</v>
      </c>
      <c r="V13" s="55">
        <f>JAN!V53</f>
        <v>1242</v>
      </c>
      <c r="W13" s="246">
        <f>JAN!W53</f>
        <v>0</v>
      </c>
      <c r="X13" s="55">
        <f>JAN!X53</f>
        <v>1242</v>
      </c>
      <c r="Y13" s="246">
        <f>JAN!Y53</f>
        <v>1242</v>
      </c>
      <c r="Z13" s="55"/>
      <c r="AA13" s="55"/>
      <c r="AB13" s="55"/>
      <c r="AC13" s="406">
        <f>JAN!AC53</f>
        <v>0</v>
      </c>
      <c r="AD13" s="55"/>
      <c r="AE13" s="55"/>
      <c r="AF13" s="100"/>
      <c r="AG13" s="101"/>
      <c r="AH13" s="246">
        <f>JAN!AH53</f>
        <v>3702</v>
      </c>
      <c r="AI13" s="246">
        <f>JAN!AI53</f>
        <v>2754.1578774893114</v>
      </c>
      <c r="AJ13" s="246">
        <f>JAN!AJ53</f>
        <v>0</v>
      </c>
      <c r="AK13" s="246">
        <f>JAN!AK53</f>
        <v>5258.4400000000005</v>
      </c>
      <c r="AL13" s="246">
        <f>JAN!AL53</f>
        <v>815.49620872195601</v>
      </c>
      <c r="AM13" s="246">
        <f>JAN!AM53</f>
        <v>6073.9362087219561</v>
      </c>
      <c r="AN13" s="134">
        <f>JAN!AN53</f>
        <v>1242</v>
      </c>
      <c r="AO13" s="180">
        <f>JAN!AO53</f>
        <v>1895.5427570590582</v>
      </c>
      <c r="AP13" s="406">
        <f>JAN!AP53</f>
        <v>0</v>
      </c>
      <c r="AQ13" s="55"/>
      <c r="AR13" s="47"/>
      <c r="AS13" s="47"/>
      <c r="AT13" s="55"/>
      <c r="AU13" s="49"/>
      <c r="AV13" s="77"/>
      <c r="AW13" s="362">
        <f>JAN!AW53</f>
        <v>3.8150000000000004</v>
      </c>
      <c r="AX13" s="45"/>
      <c r="AY13" s="45"/>
      <c r="AZ13" s="379"/>
      <c r="BA13" s="408">
        <f>JAN!BA53</f>
        <v>314.44000000000005</v>
      </c>
      <c r="BB13" s="55">
        <f>JAN!BB53</f>
        <v>115.56900000000002</v>
      </c>
      <c r="BC13" s="548"/>
      <c r="BE13" s="571"/>
      <c r="BF13" s="559"/>
      <c r="BG13" s="559"/>
      <c r="BH13" s="490">
        <f>NOV!BJ46</f>
        <v>0</v>
      </c>
      <c r="BI13" s="490">
        <f>NOV!BK46</f>
        <v>0</v>
      </c>
    </row>
    <row r="14" spans="1:61" ht="3" customHeight="1">
      <c r="A14" s="54"/>
      <c r="B14" s="105"/>
      <c r="C14" s="57"/>
      <c r="D14" s="59"/>
      <c r="E14" s="57"/>
      <c r="F14" s="106"/>
      <c r="G14" s="59"/>
      <c r="H14" s="59"/>
      <c r="I14" s="59"/>
      <c r="J14" s="59"/>
      <c r="K14" s="59"/>
      <c r="L14" s="59"/>
      <c r="M14" s="108"/>
      <c r="N14" s="59"/>
      <c r="O14" s="59"/>
      <c r="P14" s="40"/>
      <c r="Q14" s="59"/>
      <c r="R14" s="59"/>
      <c r="S14" s="40"/>
      <c r="T14" s="40"/>
      <c r="U14" s="130"/>
      <c r="V14" s="59"/>
      <c r="W14" s="59"/>
      <c r="X14" s="59"/>
      <c r="Y14" s="59"/>
      <c r="Z14" s="59"/>
      <c r="AA14" s="59"/>
      <c r="AB14" s="57"/>
      <c r="AC14" s="41"/>
      <c r="AD14" s="57"/>
      <c r="AE14" s="59"/>
      <c r="AF14" s="108"/>
      <c r="AG14" s="109"/>
      <c r="AH14" s="59"/>
      <c r="AI14" s="57"/>
      <c r="AJ14" s="254"/>
      <c r="AK14" s="59"/>
      <c r="AL14" s="59"/>
      <c r="AM14" s="59"/>
      <c r="AN14" s="137"/>
      <c r="AO14" s="185"/>
      <c r="AP14" s="44"/>
      <c r="AQ14" s="44"/>
      <c r="AR14" s="44"/>
      <c r="AS14" s="44"/>
      <c r="AT14" s="44"/>
      <c r="AU14" s="256"/>
      <c r="AV14" s="382"/>
      <c r="AW14" s="58"/>
      <c r="AX14" s="44"/>
      <c r="AY14" s="44"/>
      <c r="AZ14" s="382"/>
      <c r="BA14" s="382"/>
      <c r="BB14" s="58"/>
      <c r="BC14" s="59"/>
      <c r="BE14" s="572"/>
      <c r="BF14" s="572"/>
      <c r="BG14" s="572"/>
      <c r="BH14" s="573"/>
      <c r="BI14" s="573"/>
    </row>
    <row r="15" spans="1:61" ht="12.75" customHeight="1">
      <c r="A15" s="48">
        <v>1</v>
      </c>
      <c r="B15" s="104">
        <v>6901.28</v>
      </c>
      <c r="C15" s="483">
        <f>IF(B15="",C13,VLOOKUP(TRUNC(B15,1),VLOOKUP!$A$3:$K$2834,RIGHT(TEXT(B15,"0000.00"),1)+2,FALSE))</f>
        <v>288327</v>
      </c>
      <c r="D15" s="45">
        <f>C15-C13</f>
        <v>0</v>
      </c>
      <c r="E15" s="55">
        <f t="shared" ref="E15:E41" si="0">C15-152000</f>
        <v>136327</v>
      </c>
      <c r="F15" s="112">
        <f t="shared" ref="F15:F41" si="1">D15/$D$2</f>
        <v>0</v>
      </c>
      <c r="G15" s="627">
        <v>37.9</v>
      </c>
      <c r="H15" s="125">
        <v>0</v>
      </c>
      <c r="I15" s="47">
        <f t="shared" ref="I15:I41" si="2">G15+H15</f>
        <v>37.9</v>
      </c>
      <c r="J15" s="42">
        <f t="shared" ref="J15:J41" si="3">IF(L15&gt;0,L15,0)</f>
        <v>6.5</v>
      </c>
      <c r="K15" s="47">
        <f t="shared" ref="K15:K41" si="4">I15+J15</f>
        <v>44.4</v>
      </c>
      <c r="L15" s="47">
        <f>IF(G15="",0,F15-(I15-AK15))</f>
        <v>6.5</v>
      </c>
      <c r="M15" s="114">
        <v>3.4</v>
      </c>
      <c r="N15" s="627">
        <v>0</v>
      </c>
      <c r="O15" s="47">
        <f>0*1.05</f>
        <v>0</v>
      </c>
      <c r="P15" s="39">
        <v>0</v>
      </c>
      <c r="Q15" s="284">
        <f>1033200/325851/1.9835*1.02</f>
        <v>1.6305469421641234</v>
      </c>
      <c r="R15" s="73">
        <v>0</v>
      </c>
      <c r="S15" s="65">
        <f>IF(((2*1.04)-T15)&gt;=4.2,4.2,(2*1.04)-T15)</f>
        <v>1.4688294399999999</v>
      </c>
      <c r="T15" s="73">
        <f>(0.5544*1.06)*1.04</f>
        <v>0.61117056000000014</v>
      </c>
      <c r="U15" s="243">
        <f>M15-(Q15+R15+S15+T15)</f>
        <v>-0.3105469421641236</v>
      </c>
      <c r="V15" s="47">
        <v>0</v>
      </c>
      <c r="W15" s="47">
        <v>0</v>
      </c>
      <c r="X15" s="47">
        <f>MAX(0,M15-N15-O15-P15-Q15-R15-S15-T15-U15+V15+W15)</f>
        <v>0</v>
      </c>
      <c r="Y15" s="47">
        <f t="shared" ref="Y15:Y41" si="5">X15-AP15</f>
        <v>0</v>
      </c>
      <c r="Z15" s="47"/>
      <c r="AA15" s="47"/>
      <c r="AB15" s="55"/>
      <c r="AC15" s="42"/>
      <c r="AD15" s="55"/>
      <c r="AE15" s="47"/>
      <c r="AF15" s="114"/>
      <c r="AG15" s="212"/>
      <c r="AH15" s="47">
        <v>41</v>
      </c>
      <c r="AI15" s="55">
        <f>AI13-AH15</f>
        <v>2713.1578774893114</v>
      </c>
      <c r="AJ15" s="128"/>
      <c r="AK15" s="74">
        <f>N15+O15+P15+Q15+R15+S15+T15+U15+X15+AE15+AH15</f>
        <v>44.4</v>
      </c>
      <c r="AL15" s="47">
        <f t="shared" ref="AL15:AL41" si="6">IF(L15&lt;0,L15*-1,0)</f>
        <v>0</v>
      </c>
      <c r="AM15" s="47">
        <f>AK15+AL15</f>
        <v>44.4</v>
      </c>
      <c r="AN15" s="203"/>
      <c r="AO15" s="618">
        <f t="shared" ref="AO15:AO16" si="7">IF(G15="","",IF(I15&gt;=795,795-X15,I15-Q15-R15-X15-AF15)-AJ15)</f>
        <v>36.269453057835875</v>
      </c>
      <c r="AP15" s="45"/>
      <c r="AQ15" s="56"/>
      <c r="AR15" s="55"/>
      <c r="AS15" s="55"/>
      <c r="AT15" s="127"/>
      <c r="AV15" s="407"/>
      <c r="AW15" s="143">
        <v>0</v>
      </c>
      <c r="AX15" s="45">
        <v>52</v>
      </c>
      <c r="AY15" s="45">
        <v>21</v>
      </c>
      <c r="AZ15" s="378"/>
      <c r="BA15" s="385">
        <f t="shared" ref="BA15:BA41" si="8">SUM(N15,P15:U15)</f>
        <v>3.4</v>
      </c>
      <c r="BB15" s="30">
        <v>1.72</v>
      </c>
      <c r="BC15" s="407">
        <v>16029</v>
      </c>
      <c r="BE15" s="574">
        <v>1</v>
      </c>
      <c r="BF15" s="559">
        <v>6901.29</v>
      </c>
      <c r="BG15" s="575">
        <f>B15-BF15</f>
        <v>-1.0000000000218279E-2</v>
      </c>
      <c r="BH15" s="576">
        <v>27.528125000000017</v>
      </c>
      <c r="BI15" s="576">
        <f t="shared" ref="BI15:BI43" si="9">AH15-BH15</f>
        <v>13.471874999999983</v>
      </c>
    </row>
    <row r="16" spans="1:61" ht="12.95" customHeight="1">
      <c r="A16" s="48">
        <f t="shared" ref="A16:A41" si="10">A15+1</f>
        <v>2</v>
      </c>
      <c r="B16" s="104">
        <v>6901.26</v>
      </c>
      <c r="C16" s="483">
        <f>IF(B16="",C15,VLOOKUP(TRUNC(B16,1),VLOOKUP!$A$3:$K$2834,RIGHT(TEXT(B16,"0000.00"),1)+2,FALSE))</f>
        <v>288252</v>
      </c>
      <c r="D16" s="45">
        <f t="shared" ref="D16:D41" si="11">C16-C15</f>
        <v>-75</v>
      </c>
      <c r="E16" s="55">
        <f t="shared" si="0"/>
        <v>136252</v>
      </c>
      <c r="F16" s="112">
        <f t="shared" si="1"/>
        <v>-37.811948575749938</v>
      </c>
      <c r="G16" s="47">
        <v>45.4</v>
      </c>
      <c r="H16" s="125">
        <v>0</v>
      </c>
      <c r="I16" s="47">
        <f t="shared" si="2"/>
        <v>45.4</v>
      </c>
      <c r="J16" s="42">
        <f t="shared" si="3"/>
        <v>0</v>
      </c>
      <c r="K16" s="47">
        <f t="shared" si="4"/>
        <v>45.4</v>
      </c>
      <c r="L16" s="47">
        <f t="shared" ref="L16:L43" si="12">IF(G16="",0,F16-(I16-AK16))</f>
        <v>-38.811948575749938</v>
      </c>
      <c r="M16" s="114">
        <v>3.4</v>
      </c>
      <c r="N16" s="47">
        <v>0</v>
      </c>
      <c r="O16" s="47">
        <f t="shared" ref="O16:O43" si="13">0*1.05</f>
        <v>0</v>
      </c>
      <c r="P16" s="39">
        <v>0</v>
      </c>
      <c r="Q16" s="284">
        <f>1246300/325851/1.9835*1.02</f>
        <v>1.9668511943661893</v>
      </c>
      <c r="R16" s="73">
        <v>0</v>
      </c>
      <c r="S16" s="65">
        <f>IF(((1.9*1.04)-T16)&gt;=4.2,4.2,(1.9*1.04)-T16)</f>
        <v>1.3648294399999998</v>
      </c>
      <c r="T16" s="73">
        <f t="shared" ref="T16:T20" si="14">(0.5544*1.06)*1.04</f>
        <v>0.61117056000000014</v>
      </c>
      <c r="U16" s="243">
        <f t="shared" ref="U16:U41" si="15">M16-(Q16+R16+S16+T16)</f>
        <v>-0.54285119436618956</v>
      </c>
      <c r="V16" s="47">
        <v>0</v>
      </c>
      <c r="W16" s="47">
        <v>0</v>
      </c>
      <c r="X16" s="47">
        <f t="shared" ref="X16:X43" si="16">MAX(0,M16-N16-O16-P16-Q16-R16-S16-T16-U16+V16+W16)</f>
        <v>2.2204460492503131E-16</v>
      </c>
      <c r="Y16" s="47">
        <f t="shared" si="5"/>
        <v>2.2204460492503131E-16</v>
      </c>
      <c r="Z16" s="47"/>
      <c r="AA16" s="47"/>
      <c r="AB16" s="55"/>
      <c r="AC16" s="42"/>
      <c r="AD16" s="55"/>
      <c r="AE16" s="47"/>
      <c r="AF16" s="114"/>
      <c r="AG16" s="212"/>
      <c r="AH16" s="47">
        <v>41</v>
      </c>
      <c r="AI16" s="55">
        <f>AI15-AH16</f>
        <v>2672.1578774893114</v>
      </c>
      <c r="AJ16" s="128"/>
      <c r="AK16" s="74">
        <f t="shared" ref="AK16:AK41" si="17">N16+O16+P16+Q16+R16+S16+T16+U16+X16+AE16+AH16</f>
        <v>44.4</v>
      </c>
      <c r="AL16" s="47">
        <f t="shared" si="6"/>
        <v>38.811948575749938</v>
      </c>
      <c r="AM16" s="47">
        <f t="shared" ref="AM16:AM41" si="18">AK16+AL16</f>
        <v>83.211948575749943</v>
      </c>
      <c r="AN16" s="203"/>
      <c r="AO16" s="42">
        <f t="shared" si="7"/>
        <v>43.433148805633806</v>
      </c>
      <c r="AP16" s="45"/>
      <c r="AQ16" s="56"/>
      <c r="AR16" s="55"/>
      <c r="AS16" s="55"/>
      <c r="AT16" s="127"/>
      <c r="AV16" s="407"/>
      <c r="AW16" s="143">
        <v>0</v>
      </c>
      <c r="AX16" s="45">
        <v>58</v>
      </c>
      <c r="AY16" s="45">
        <v>21</v>
      </c>
      <c r="AZ16" s="378"/>
      <c r="BA16" s="385">
        <f t="shared" si="8"/>
        <v>3.4</v>
      </c>
      <c r="BB16" s="30">
        <v>1.95</v>
      </c>
      <c r="BC16" s="407">
        <v>16029</v>
      </c>
      <c r="BE16" s="574">
        <f t="shared" ref="BE16:BE41" si="19">BE15+1</f>
        <v>2</v>
      </c>
      <c r="BF16" s="559">
        <v>6901.27</v>
      </c>
      <c r="BG16" s="575">
        <f t="shared" ref="BG16:BG43" si="20">B16-BF16</f>
        <v>-1.0000000000218279E-2</v>
      </c>
      <c r="BH16" s="576">
        <v>27.509375000000016</v>
      </c>
      <c r="BI16" s="576">
        <f t="shared" si="9"/>
        <v>13.490624999999984</v>
      </c>
    </row>
    <row r="17" spans="1:61" ht="12.95" customHeight="1">
      <c r="A17" s="48">
        <f t="shared" si="10"/>
        <v>3</v>
      </c>
      <c r="B17" s="104">
        <v>6901.27</v>
      </c>
      <c r="C17" s="483">
        <f>IF(B17="",C16,VLOOKUP(TRUNC(B17,1),VLOOKUP!$A$3:$K$2834,RIGHT(TEXT(B17,"0000.00"),1)+2,FALSE))</f>
        <v>288290</v>
      </c>
      <c r="D17" s="45">
        <f t="shared" si="11"/>
        <v>38</v>
      </c>
      <c r="E17" s="55">
        <f t="shared" si="0"/>
        <v>136290</v>
      </c>
      <c r="F17" s="112">
        <f t="shared" si="1"/>
        <v>19.158053945046635</v>
      </c>
      <c r="G17" s="47">
        <v>45.1</v>
      </c>
      <c r="H17" s="125">
        <v>0</v>
      </c>
      <c r="I17" s="47">
        <f t="shared" si="2"/>
        <v>45.1</v>
      </c>
      <c r="J17" s="42">
        <f t="shared" si="3"/>
        <v>17.458053945046633</v>
      </c>
      <c r="K17" s="47">
        <f t="shared" si="4"/>
        <v>62.558053945046638</v>
      </c>
      <c r="L17" s="47">
        <f t="shared" si="12"/>
        <v>17.458053945046633</v>
      </c>
      <c r="M17" s="114">
        <v>3.4</v>
      </c>
      <c r="N17" s="47">
        <v>0</v>
      </c>
      <c r="O17" s="47">
        <f t="shared" si="13"/>
        <v>0</v>
      </c>
      <c r="P17" s="39">
        <v>0</v>
      </c>
      <c r="Q17" s="284">
        <f>1140500/325851/1.9835*1.02</f>
        <v>1.7998826824798517</v>
      </c>
      <c r="R17" s="73">
        <v>0</v>
      </c>
      <c r="S17" s="65">
        <f>IF(((1.9*1.04)-T17)&gt;=4.2,4.2,(1.9*1.04)-T17)</f>
        <v>1.3648294399999998</v>
      </c>
      <c r="T17" s="73">
        <f t="shared" si="14"/>
        <v>0.61117056000000014</v>
      </c>
      <c r="U17" s="243">
        <f t="shared" si="15"/>
        <v>-0.37588268247985201</v>
      </c>
      <c r="V17" s="47">
        <v>0</v>
      </c>
      <c r="W17" s="47">
        <v>0</v>
      </c>
      <c r="X17" s="47">
        <f t="shared" si="16"/>
        <v>2.2204460492503131E-16</v>
      </c>
      <c r="Y17" s="47">
        <f t="shared" si="5"/>
        <v>2.2204460492503131E-16</v>
      </c>
      <c r="Z17" s="47"/>
      <c r="AA17" s="47"/>
      <c r="AB17" s="55"/>
      <c r="AC17" s="42"/>
      <c r="AD17" s="55"/>
      <c r="AE17" s="47"/>
      <c r="AF17" s="114"/>
      <c r="AG17" s="212"/>
      <c r="AH17" s="47">
        <v>40</v>
      </c>
      <c r="AI17" s="55">
        <f t="shared" ref="AI17:AI43" si="21">AI16-AH17</f>
        <v>2632.1578774893114</v>
      </c>
      <c r="AJ17" s="128"/>
      <c r="AK17" s="74">
        <f t="shared" si="17"/>
        <v>43.4</v>
      </c>
      <c r="AL17" s="47">
        <f t="shared" si="6"/>
        <v>0</v>
      </c>
      <c r="AM17" s="47">
        <f t="shared" si="18"/>
        <v>43.4</v>
      </c>
      <c r="AN17" s="203"/>
      <c r="AO17" s="42">
        <f>IF(G17="","",IF(I17&gt;=795,795-X17,I17-Q17-R17-X17-AF17)-AJ17)</f>
        <v>43.300117317520147</v>
      </c>
      <c r="AP17" s="45"/>
      <c r="AQ17" s="56"/>
      <c r="AR17" s="55"/>
      <c r="AS17" s="55"/>
      <c r="AT17" s="127"/>
      <c r="AV17" s="407"/>
      <c r="AW17" s="143">
        <v>0</v>
      </c>
      <c r="AX17" s="45">
        <v>45</v>
      </c>
      <c r="AY17" s="45">
        <v>11</v>
      </c>
      <c r="AZ17" s="378"/>
      <c r="BA17" s="385">
        <f t="shared" si="8"/>
        <v>3.4</v>
      </c>
      <c r="BB17" s="30">
        <v>1.95</v>
      </c>
      <c r="BC17" s="407">
        <v>16030</v>
      </c>
      <c r="BE17" s="574">
        <f t="shared" si="19"/>
        <v>3</v>
      </c>
      <c r="BF17" s="559">
        <v>6801.28</v>
      </c>
      <c r="BG17" s="575">
        <f t="shared" si="20"/>
        <v>99.990000000000691</v>
      </c>
      <c r="BH17" s="576">
        <v>17.305154639175246</v>
      </c>
      <c r="BI17" s="576">
        <f t="shared" si="9"/>
        <v>22.694845360824754</v>
      </c>
    </row>
    <row r="18" spans="1:61" ht="12.95" customHeight="1">
      <c r="A18" s="401">
        <f t="shared" si="10"/>
        <v>4</v>
      </c>
      <c r="B18" s="82">
        <v>6901.26</v>
      </c>
      <c r="C18" s="483">
        <f>IF(B18="",C17,VLOOKUP(TRUNC(B18,1),VLOOKUP!$A$3:$K$2834,RIGHT(TEXT(B18,"0000.00"),1)+2,FALSE))</f>
        <v>288252</v>
      </c>
      <c r="D18" s="45">
        <f t="shared" si="11"/>
        <v>-38</v>
      </c>
      <c r="E18" s="55">
        <f t="shared" si="0"/>
        <v>136252</v>
      </c>
      <c r="F18" s="112">
        <f t="shared" si="1"/>
        <v>-19.158053945046635</v>
      </c>
      <c r="G18" s="47">
        <v>38.799999999999997</v>
      </c>
      <c r="H18" s="125">
        <v>0</v>
      </c>
      <c r="I18" s="47">
        <f t="shared" si="2"/>
        <v>38.799999999999997</v>
      </c>
      <c r="J18" s="42">
        <f t="shared" si="3"/>
        <v>0</v>
      </c>
      <c r="K18" s="47">
        <f t="shared" si="4"/>
        <v>38.799999999999997</v>
      </c>
      <c r="L18" s="47">
        <f t="shared" si="12"/>
        <v>-14.558053945046634</v>
      </c>
      <c r="M18" s="114">
        <v>3.4</v>
      </c>
      <c r="N18" s="47">
        <v>0</v>
      </c>
      <c r="O18" s="47">
        <f t="shared" si="13"/>
        <v>0</v>
      </c>
      <c r="P18" s="39">
        <v>0</v>
      </c>
      <c r="Q18" s="284">
        <f>1107000/325851/1.9835*1.02</f>
        <v>1.7470145808901321</v>
      </c>
      <c r="R18" s="73">
        <v>0</v>
      </c>
      <c r="S18" s="65">
        <f>IF(((1.9*1.04)-T18)&gt;=4.2,4.2,(1.9*1.04)-T18)</f>
        <v>1.3648294399999998</v>
      </c>
      <c r="T18" s="73">
        <f t="shared" si="14"/>
        <v>0.61117056000000014</v>
      </c>
      <c r="U18" s="243">
        <f t="shared" si="15"/>
        <v>-0.32301458089013213</v>
      </c>
      <c r="V18" s="47">
        <v>0</v>
      </c>
      <c r="W18" s="47">
        <v>0</v>
      </c>
      <c r="X18" s="47">
        <f t="shared" si="16"/>
        <v>0</v>
      </c>
      <c r="Y18" s="47">
        <f t="shared" si="5"/>
        <v>0</v>
      </c>
      <c r="Z18" s="47"/>
      <c r="AA18" s="47"/>
      <c r="AB18" s="55"/>
      <c r="AC18" s="42"/>
      <c r="AD18" s="55"/>
      <c r="AE18" s="47"/>
      <c r="AF18" s="114"/>
      <c r="AG18" s="212"/>
      <c r="AH18" s="47">
        <v>40</v>
      </c>
      <c r="AI18" s="55">
        <f t="shared" si="21"/>
        <v>2592.1578774893114</v>
      </c>
      <c r="AJ18" s="128"/>
      <c r="AK18" s="74">
        <f t="shared" si="17"/>
        <v>43.4</v>
      </c>
      <c r="AL18" s="47">
        <f t="shared" si="6"/>
        <v>14.558053945046634</v>
      </c>
      <c r="AM18" s="47">
        <f t="shared" si="18"/>
        <v>57.958053945046629</v>
      </c>
      <c r="AN18" s="203"/>
      <c r="AO18" s="42">
        <f t="shared" ref="AO18:AO43" si="22">IF(G18="","",IF(I18&gt;=795,795-X18,I18-Q18-R18-X18-AF18)-AJ18)</f>
        <v>37.052985419109866</v>
      </c>
      <c r="AP18" s="45"/>
      <c r="AQ18" s="56"/>
      <c r="AR18" s="55"/>
      <c r="AS18" s="55"/>
      <c r="AT18" s="127"/>
      <c r="AV18" s="407"/>
      <c r="AW18" s="143">
        <v>0</v>
      </c>
      <c r="AX18" s="45">
        <v>28</v>
      </c>
      <c r="AY18" s="45">
        <v>5</v>
      </c>
      <c r="AZ18" s="378"/>
      <c r="BA18" s="385">
        <f t="shared" si="8"/>
        <v>3.4</v>
      </c>
      <c r="BB18" s="30">
        <v>1.95</v>
      </c>
      <c r="BC18" s="407">
        <v>16038</v>
      </c>
      <c r="BE18" s="574">
        <f t="shared" si="19"/>
        <v>4</v>
      </c>
      <c r="BF18" s="559">
        <v>6901.26</v>
      </c>
      <c r="BG18" s="575">
        <f t="shared" si="20"/>
        <v>0</v>
      </c>
      <c r="BH18" s="576">
        <v>36.513541666666704</v>
      </c>
      <c r="BI18" s="576">
        <f t="shared" si="9"/>
        <v>3.4864583333332959</v>
      </c>
    </row>
    <row r="19" spans="1:61" ht="12.95" customHeight="1">
      <c r="A19" s="401">
        <f t="shared" si="10"/>
        <v>5</v>
      </c>
      <c r="B19" s="82">
        <v>6901.24</v>
      </c>
      <c r="C19" s="483">
        <f>IF(B19="",C18,VLOOKUP(TRUNC(B19,1),VLOOKUP!$A$3:$K$2834,RIGHT(TEXT(B19,"0000.00"),1)+2,FALSE))</f>
        <v>288178</v>
      </c>
      <c r="D19" s="45">
        <f t="shared" si="11"/>
        <v>-74</v>
      </c>
      <c r="E19" s="55">
        <f t="shared" si="0"/>
        <v>136178</v>
      </c>
      <c r="F19" s="112">
        <f t="shared" si="1"/>
        <v>-37.307789261406604</v>
      </c>
      <c r="G19" s="47">
        <v>31.7</v>
      </c>
      <c r="H19" s="125">
        <v>0</v>
      </c>
      <c r="I19" s="47">
        <f t="shared" si="2"/>
        <v>31.7</v>
      </c>
      <c r="J19" s="42">
        <f t="shared" si="3"/>
        <v>0</v>
      </c>
      <c r="K19" s="47">
        <f t="shared" si="4"/>
        <v>31.7</v>
      </c>
      <c r="L19" s="47">
        <f t="shared" si="12"/>
        <v>-26.607789261406605</v>
      </c>
      <c r="M19" s="114">
        <v>3.4</v>
      </c>
      <c r="N19" s="47">
        <v>0</v>
      </c>
      <c r="O19" s="47">
        <f t="shared" si="13"/>
        <v>0</v>
      </c>
      <c r="P19" s="39">
        <v>0</v>
      </c>
      <c r="Q19" s="284">
        <f>1095400/325851/1.9835*1.02</f>
        <v>1.7287080143695128</v>
      </c>
      <c r="R19" s="73">
        <v>0</v>
      </c>
      <c r="S19" s="65">
        <f>IF(((1.9*1.04)-T19)&gt;=4.2,4.2,(1.9*1.04)-T19)</f>
        <v>1.3648294399999998</v>
      </c>
      <c r="T19" s="73">
        <f t="shared" si="14"/>
        <v>0.61117056000000014</v>
      </c>
      <c r="U19" s="243">
        <f t="shared" si="15"/>
        <v>-0.30470801436951289</v>
      </c>
      <c r="V19" s="47">
        <v>0</v>
      </c>
      <c r="W19" s="47">
        <v>0</v>
      </c>
      <c r="X19" s="47">
        <f t="shared" si="16"/>
        <v>0</v>
      </c>
      <c r="Y19" s="47">
        <f t="shared" si="5"/>
        <v>0</v>
      </c>
      <c r="Z19" s="47"/>
      <c r="AA19" s="47"/>
      <c r="AB19" s="55"/>
      <c r="AC19" s="42"/>
      <c r="AD19" s="55"/>
      <c r="AE19" s="47"/>
      <c r="AF19" s="114"/>
      <c r="AG19" s="212"/>
      <c r="AH19" s="47">
        <v>39</v>
      </c>
      <c r="AI19" s="55">
        <f t="shared" si="21"/>
        <v>2553.1578774893114</v>
      </c>
      <c r="AJ19" s="128"/>
      <c r="AK19" s="74">
        <f t="shared" si="17"/>
        <v>42.4</v>
      </c>
      <c r="AL19" s="47">
        <f t="shared" si="6"/>
        <v>26.607789261406605</v>
      </c>
      <c r="AM19" s="47">
        <f t="shared" si="18"/>
        <v>69.0077892614066</v>
      </c>
      <c r="AN19" s="203"/>
      <c r="AO19" s="42">
        <f t="shared" si="22"/>
        <v>29.971291985630486</v>
      </c>
      <c r="AP19" s="45"/>
      <c r="AQ19" s="56"/>
      <c r="AR19" s="55"/>
      <c r="AS19" s="55"/>
      <c r="AT19" s="127"/>
      <c r="AV19" s="407"/>
      <c r="AW19" s="143">
        <v>0</v>
      </c>
      <c r="AX19" s="45">
        <v>28</v>
      </c>
      <c r="AY19" s="45">
        <v>2</v>
      </c>
      <c r="AZ19" s="378"/>
      <c r="BA19" s="385">
        <f t="shared" si="8"/>
        <v>3.4</v>
      </c>
      <c r="BB19" s="30">
        <v>1.95</v>
      </c>
      <c r="BC19" s="407">
        <v>16038</v>
      </c>
      <c r="BE19" s="574">
        <f t="shared" si="19"/>
        <v>5</v>
      </c>
      <c r="BF19" s="559">
        <v>6901.25</v>
      </c>
      <c r="BG19" s="575">
        <f t="shared" si="20"/>
        <v>-1.0000000000218279E-2</v>
      </c>
      <c r="BH19" s="576">
        <v>6.4479166666666785</v>
      </c>
      <c r="BI19" s="576">
        <f t="shared" si="9"/>
        <v>32.552083333333321</v>
      </c>
    </row>
    <row r="20" spans="1:61" ht="12.95" customHeight="1">
      <c r="A20" s="48">
        <f t="shared" si="10"/>
        <v>6</v>
      </c>
      <c r="B20" s="104">
        <v>6901.24</v>
      </c>
      <c r="C20" s="483">
        <f>IF(B20="",C19,VLOOKUP(TRUNC(B20,1),VLOOKUP!$A$3:$K$2834,RIGHT(TEXT(B20,"0000.00"),1)+2,FALSE))</f>
        <v>288178</v>
      </c>
      <c r="D20" s="45">
        <f t="shared" si="11"/>
        <v>0</v>
      </c>
      <c r="E20" s="55">
        <f t="shared" si="0"/>
        <v>136178</v>
      </c>
      <c r="F20" s="112">
        <f t="shared" si="1"/>
        <v>0</v>
      </c>
      <c r="G20" s="47">
        <v>27.5</v>
      </c>
      <c r="H20" s="125">
        <v>0</v>
      </c>
      <c r="I20" s="47">
        <f t="shared" si="2"/>
        <v>27.5</v>
      </c>
      <c r="J20" s="42">
        <f t="shared" si="3"/>
        <v>14.5</v>
      </c>
      <c r="K20" s="47">
        <f t="shared" si="4"/>
        <v>42</v>
      </c>
      <c r="L20" s="47">
        <f t="shared" si="12"/>
        <v>14.5</v>
      </c>
      <c r="M20" s="114">
        <v>3</v>
      </c>
      <c r="N20" s="47">
        <v>0</v>
      </c>
      <c r="O20" s="47">
        <f t="shared" si="13"/>
        <v>0</v>
      </c>
      <c r="P20" s="39">
        <v>0</v>
      </c>
      <c r="Q20" s="284">
        <f>1152900/325851/1.9835*1.02</f>
        <v>1.8194517708294791</v>
      </c>
      <c r="R20" s="73">
        <v>0</v>
      </c>
      <c r="S20" s="65">
        <f t="shared" ref="S20:S27" si="23">IF(((2.1*1.04)-T20)&gt;=4.2,4.2,(2.1*1.04)-T20)</f>
        <v>1.57282944</v>
      </c>
      <c r="T20" s="73">
        <f t="shared" si="14"/>
        <v>0.61117056000000014</v>
      </c>
      <c r="U20" s="243">
        <f t="shared" si="15"/>
        <v>-1.0034517708294786</v>
      </c>
      <c r="V20" s="47">
        <v>0</v>
      </c>
      <c r="W20" s="47">
        <v>0</v>
      </c>
      <c r="X20" s="47">
        <f t="shared" si="16"/>
        <v>0</v>
      </c>
      <c r="Y20" s="47">
        <f t="shared" si="5"/>
        <v>0</v>
      </c>
      <c r="Z20" s="47"/>
      <c r="AA20" s="47"/>
      <c r="AB20" s="55"/>
      <c r="AC20" s="42"/>
      <c r="AD20" s="55"/>
      <c r="AE20" s="47"/>
      <c r="AF20" s="114"/>
      <c r="AG20" s="212"/>
      <c r="AH20" s="47">
        <v>39</v>
      </c>
      <c r="AI20" s="55">
        <f t="shared" si="21"/>
        <v>2514.1578774893114</v>
      </c>
      <c r="AJ20" s="128"/>
      <c r="AK20" s="74">
        <f t="shared" si="17"/>
        <v>42</v>
      </c>
      <c r="AL20" s="47">
        <f t="shared" si="6"/>
        <v>0</v>
      </c>
      <c r="AM20" s="47">
        <f t="shared" si="18"/>
        <v>42</v>
      </c>
      <c r="AN20" s="203"/>
      <c r="AO20" s="42">
        <f t="shared" si="22"/>
        <v>25.680548229170522</v>
      </c>
      <c r="AP20" s="45"/>
      <c r="AQ20" s="47"/>
      <c r="AR20" s="55"/>
      <c r="AS20" s="55"/>
      <c r="AT20" s="127"/>
      <c r="AV20" s="407"/>
      <c r="AW20" s="143">
        <v>0</v>
      </c>
      <c r="AX20" s="45">
        <v>41</v>
      </c>
      <c r="AY20" s="45">
        <v>11</v>
      </c>
      <c r="AZ20" s="378"/>
      <c r="BA20" s="385">
        <f t="shared" si="8"/>
        <v>3</v>
      </c>
      <c r="BB20" s="681"/>
      <c r="BC20" s="682"/>
      <c r="BE20" s="574">
        <f t="shared" si="19"/>
        <v>6</v>
      </c>
      <c r="BF20" s="559">
        <v>6901.25</v>
      </c>
      <c r="BG20" s="575">
        <f t="shared" si="20"/>
        <v>-1.0000000000218279E-2</v>
      </c>
      <c r="BH20" s="576">
        <v>-19.791666666666668</v>
      </c>
      <c r="BI20" s="576">
        <f t="shared" si="9"/>
        <v>58.791666666666671</v>
      </c>
    </row>
    <row r="21" spans="1:61" ht="12.95" customHeight="1">
      <c r="A21" s="48">
        <f t="shared" si="10"/>
        <v>7</v>
      </c>
      <c r="B21" s="104">
        <v>6901.23</v>
      </c>
      <c r="C21" s="483">
        <f>IF(B21="",C20,VLOOKUP(TRUNC(B21,1),VLOOKUP!$A$3:$K$2834,RIGHT(TEXT(B21,"0000.00"),1)+2,FALSE))</f>
        <v>288140</v>
      </c>
      <c r="D21" s="45">
        <f t="shared" si="11"/>
        <v>-38</v>
      </c>
      <c r="E21" s="55">
        <f t="shared" si="0"/>
        <v>136140</v>
      </c>
      <c r="F21" s="112">
        <f t="shared" si="1"/>
        <v>-19.158053945046635</v>
      </c>
      <c r="G21" s="47">
        <v>28.6</v>
      </c>
      <c r="H21" s="125">
        <v>0</v>
      </c>
      <c r="I21" s="47">
        <f t="shared" si="2"/>
        <v>28.6</v>
      </c>
      <c r="J21" s="42">
        <f t="shared" si="3"/>
        <v>0</v>
      </c>
      <c r="K21" s="47">
        <f t="shared" si="4"/>
        <v>28.6</v>
      </c>
      <c r="L21" s="47">
        <f t="shared" si="12"/>
        <v>-5.2580539450466368</v>
      </c>
      <c r="M21" s="114">
        <v>3.5</v>
      </c>
      <c r="N21" s="47">
        <v>0</v>
      </c>
      <c r="O21" s="47">
        <f t="shared" si="13"/>
        <v>0</v>
      </c>
      <c r="P21" s="39">
        <v>0</v>
      </c>
      <c r="Q21" s="284">
        <f>1007800/325851/1.9835*1.02</f>
        <v>1.590461874093112</v>
      </c>
      <c r="R21" s="73">
        <v>0</v>
      </c>
      <c r="S21" s="65">
        <f t="shared" si="23"/>
        <v>1.6341228800000001</v>
      </c>
      <c r="T21" s="73">
        <f>(0.4988*1.06)*1.04</f>
        <v>0.54987712000000011</v>
      </c>
      <c r="U21" s="243">
        <f t="shared" si="15"/>
        <v>-0.27446187409311218</v>
      </c>
      <c r="V21" s="47">
        <v>0</v>
      </c>
      <c r="W21" s="47">
        <v>0</v>
      </c>
      <c r="X21" s="47">
        <f t="shared" si="16"/>
        <v>0</v>
      </c>
      <c r="Y21" s="47">
        <f t="shared" si="5"/>
        <v>0</v>
      </c>
      <c r="Z21" s="47"/>
      <c r="AA21" s="47"/>
      <c r="AB21" s="55"/>
      <c r="AC21" s="42"/>
      <c r="AD21" s="55"/>
      <c r="AE21" s="47"/>
      <c r="AF21" s="114"/>
      <c r="AG21" s="212"/>
      <c r="AH21" s="47">
        <v>39</v>
      </c>
      <c r="AI21" s="55">
        <f t="shared" si="21"/>
        <v>2475.1578774893114</v>
      </c>
      <c r="AJ21" s="128"/>
      <c r="AK21" s="74">
        <f t="shared" si="17"/>
        <v>42.5</v>
      </c>
      <c r="AL21" s="47">
        <f t="shared" si="6"/>
        <v>5.2580539450466368</v>
      </c>
      <c r="AM21" s="47">
        <f t="shared" si="18"/>
        <v>47.75805394504664</v>
      </c>
      <c r="AN21" s="203"/>
      <c r="AO21" s="42">
        <f t="shared" si="22"/>
        <v>27.009538125906889</v>
      </c>
      <c r="AP21" s="45"/>
      <c r="AQ21" s="47"/>
      <c r="AR21" s="55"/>
      <c r="AS21" s="55"/>
      <c r="AT21" s="127"/>
      <c r="AV21" s="407"/>
      <c r="AW21" s="143">
        <v>0</v>
      </c>
      <c r="AX21" s="45">
        <v>51</v>
      </c>
      <c r="AY21" s="45">
        <v>21</v>
      </c>
      <c r="AZ21" s="378"/>
      <c r="BA21" s="385">
        <f t="shared" si="8"/>
        <v>3.5</v>
      </c>
      <c r="BB21" s="681"/>
      <c r="BC21" s="682"/>
      <c r="BE21" s="574">
        <f t="shared" si="19"/>
        <v>7</v>
      </c>
      <c r="BF21" s="559">
        <v>6901.24</v>
      </c>
      <c r="BG21" s="575">
        <f t="shared" si="20"/>
        <v>-1.0000000000218279E-2</v>
      </c>
      <c r="BH21" s="576">
        <v>-20</v>
      </c>
      <c r="BI21" s="576">
        <f t="shared" si="9"/>
        <v>59</v>
      </c>
    </row>
    <row r="22" spans="1:61" ht="12.95" customHeight="1">
      <c r="A22" s="48">
        <f t="shared" si="10"/>
        <v>8</v>
      </c>
      <c r="B22" s="104">
        <v>6901.23</v>
      </c>
      <c r="C22" s="483">
        <f>IF(B22="",C21,VLOOKUP(TRUNC(B22,1),VLOOKUP!$A$3:$K$2834,RIGHT(TEXT(B22,"0000.00"),1)+2,FALSE))</f>
        <v>288140</v>
      </c>
      <c r="D22" s="45">
        <f t="shared" si="11"/>
        <v>0</v>
      </c>
      <c r="E22" s="55">
        <f t="shared" si="0"/>
        <v>136140</v>
      </c>
      <c r="F22" s="112">
        <f t="shared" si="1"/>
        <v>0</v>
      </c>
      <c r="G22" s="47">
        <v>38.200000000000003</v>
      </c>
      <c r="H22" s="125">
        <v>0</v>
      </c>
      <c r="I22" s="47">
        <f t="shared" si="2"/>
        <v>38.200000000000003</v>
      </c>
      <c r="J22" s="42">
        <f t="shared" si="3"/>
        <v>4.5999999999999943</v>
      </c>
      <c r="K22" s="47">
        <f t="shared" si="4"/>
        <v>42.8</v>
      </c>
      <c r="L22" s="47">
        <f t="shared" si="12"/>
        <v>4.5999999999999943</v>
      </c>
      <c r="M22" s="114">
        <v>3.8</v>
      </c>
      <c r="N22" s="47">
        <v>0</v>
      </c>
      <c r="O22" s="47">
        <f t="shared" si="13"/>
        <v>0</v>
      </c>
      <c r="P22" s="39">
        <v>0</v>
      </c>
      <c r="Q22" s="284">
        <f>1078800/325851/1.9835*1.02</f>
        <v>1.7025106864175921</v>
      </c>
      <c r="R22" s="73">
        <v>0</v>
      </c>
      <c r="S22" s="65">
        <f t="shared" si="23"/>
        <v>1.6341228800000001</v>
      </c>
      <c r="T22" s="73">
        <f t="shared" ref="T22:T27" si="24">(0.4988*1.06)*1.04</f>
        <v>0.54987712000000011</v>
      </c>
      <c r="U22" s="243">
        <f t="shared" si="15"/>
        <v>-8.6510686417592186E-2</v>
      </c>
      <c r="V22" s="47">
        <v>0</v>
      </c>
      <c r="W22" s="47">
        <v>0</v>
      </c>
      <c r="X22" s="47">
        <f t="shared" si="16"/>
        <v>0</v>
      </c>
      <c r="Y22" s="47">
        <f t="shared" si="5"/>
        <v>0</v>
      </c>
      <c r="Z22" s="47"/>
      <c r="AA22" s="47"/>
      <c r="AB22" s="55"/>
      <c r="AC22" s="42"/>
      <c r="AD22" s="55"/>
      <c r="AE22" s="47"/>
      <c r="AF22" s="114"/>
      <c r="AG22" s="212"/>
      <c r="AH22" s="47">
        <v>39</v>
      </c>
      <c r="AI22" s="55">
        <f t="shared" si="21"/>
        <v>2436.1578774893114</v>
      </c>
      <c r="AJ22" s="128"/>
      <c r="AK22" s="74">
        <f t="shared" si="17"/>
        <v>42.8</v>
      </c>
      <c r="AL22" s="47">
        <f t="shared" si="6"/>
        <v>0</v>
      </c>
      <c r="AM22" s="47">
        <f t="shared" si="18"/>
        <v>42.8</v>
      </c>
      <c r="AN22" s="203"/>
      <c r="AO22" s="42">
        <f t="shared" si="22"/>
        <v>36.497489313582413</v>
      </c>
      <c r="AP22" s="45"/>
      <c r="AQ22" s="47"/>
      <c r="AR22" s="55"/>
      <c r="AS22" s="55"/>
      <c r="AT22" s="127"/>
      <c r="AV22" s="407"/>
      <c r="AW22" s="143">
        <v>0</v>
      </c>
      <c r="AX22" s="45">
        <v>56</v>
      </c>
      <c r="AY22" s="45">
        <v>24</v>
      </c>
      <c r="AZ22" s="378"/>
      <c r="BA22" s="385">
        <f t="shared" si="8"/>
        <v>3.8</v>
      </c>
      <c r="BB22" s="681"/>
      <c r="BC22" s="682"/>
      <c r="BE22" s="574">
        <f t="shared" si="19"/>
        <v>8</v>
      </c>
      <c r="BF22" s="559">
        <v>6901.23</v>
      </c>
      <c r="BG22" s="575">
        <f t="shared" si="20"/>
        <v>0</v>
      </c>
      <c r="BH22" s="576">
        <v>-20</v>
      </c>
      <c r="BI22" s="576">
        <f t="shared" si="9"/>
        <v>59</v>
      </c>
    </row>
    <row r="23" spans="1:61" ht="12.95" customHeight="1">
      <c r="A23" s="48">
        <f t="shared" si="10"/>
        <v>9</v>
      </c>
      <c r="B23" s="104">
        <v>6901.23</v>
      </c>
      <c r="C23" s="483">
        <f>IF(B23="",C22,VLOOKUP(TRUNC(B23,1),VLOOKUP!$A$3:$K$2834,RIGHT(TEXT(B23,"0000.00"),1)+2,FALSE))</f>
        <v>288140</v>
      </c>
      <c r="D23" s="45">
        <f t="shared" si="11"/>
        <v>0</v>
      </c>
      <c r="E23" s="55">
        <f t="shared" si="0"/>
        <v>136140</v>
      </c>
      <c r="F23" s="112">
        <f t="shared" si="1"/>
        <v>0</v>
      </c>
      <c r="G23" s="47">
        <v>45.6</v>
      </c>
      <c r="H23" s="125">
        <v>0</v>
      </c>
      <c r="I23" s="47">
        <f t="shared" si="2"/>
        <v>45.6</v>
      </c>
      <c r="J23" s="42">
        <f t="shared" si="3"/>
        <v>0</v>
      </c>
      <c r="K23" s="47">
        <f t="shared" si="4"/>
        <v>45.6</v>
      </c>
      <c r="L23" s="47">
        <f t="shared" si="12"/>
        <v>-3.5</v>
      </c>
      <c r="M23" s="114">
        <v>3.1</v>
      </c>
      <c r="N23" s="47">
        <v>0</v>
      </c>
      <c r="O23" s="47">
        <f t="shared" si="13"/>
        <v>0</v>
      </c>
      <c r="P23" s="39">
        <v>0</v>
      </c>
      <c r="Q23" s="284">
        <f>1161100/325851/1.9835*1.02</f>
        <v>1.8323926195768132</v>
      </c>
      <c r="R23" s="73">
        <v>0</v>
      </c>
      <c r="S23" s="65">
        <f t="shared" si="23"/>
        <v>1.6341228800000001</v>
      </c>
      <c r="T23" s="73">
        <f t="shared" si="24"/>
        <v>0.54987712000000011</v>
      </c>
      <c r="U23" s="243">
        <f t="shared" si="15"/>
        <v>-0.91639261957681262</v>
      </c>
      <c r="V23" s="47">
        <v>0</v>
      </c>
      <c r="W23" s="47">
        <v>0</v>
      </c>
      <c r="X23" s="47">
        <f t="shared" si="16"/>
        <v>0</v>
      </c>
      <c r="Y23" s="47">
        <f t="shared" si="5"/>
        <v>0</v>
      </c>
      <c r="Z23" s="47"/>
      <c r="AA23" s="47"/>
      <c r="AB23" s="55"/>
      <c r="AC23" s="42"/>
      <c r="AD23" s="55"/>
      <c r="AE23" s="47"/>
      <c r="AF23" s="114"/>
      <c r="AG23" s="212"/>
      <c r="AH23" s="47">
        <v>39</v>
      </c>
      <c r="AI23" s="55">
        <f t="shared" si="21"/>
        <v>2397.1578774893114</v>
      </c>
      <c r="AJ23" s="128"/>
      <c r="AK23" s="74">
        <f t="shared" si="17"/>
        <v>42.1</v>
      </c>
      <c r="AL23" s="47">
        <f t="shared" si="6"/>
        <v>3.5</v>
      </c>
      <c r="AM23" s="47">
        <f t="shared" si="18"/>
        <v>45.6</v>
      </c>
      <c r="AN23" s="203"/>
      <c r="AO23" s="42">
        <f t="shared" si="22"/>
        <v>43.767607380423186</v>
      </c>
      <c r="AP23" s="45"/>
      <c r="AQ23" s="47"/>
      <c r="AR23" s="55"/>
      <c r="AS23" s="55"/>
      <c r="AT23" s="127"/>
      <c r="AV23" s="407"/>
      <c r="AW23" s="143">
        <v>0</v>
      </c>
      <c r="AX23" s="56">
        <v>52</v>
      </c>
      <c r="AY23" s="45">
        <v>23</v>
      </c>
      <c r="AZ23" s="378"/>
      <c r="BA23" s="385">
        <f t="shared" si="8"/>
        <v>3.1</v>
      </c>
      <c r="BB23" s="681"/>
      <c r="BC23" s="682"/>
      <c r="BE23" s="574">
        <f t="shared" si="19"/>
        <v>9</v>
      </c>
      <c r="BF23" s="559">
        <v>6901.24</v>
      </c>
      <c r="BG23" s="575">
        <f t="shared" si="20"/>
        <v>-1.0000000000218279E-2</v>
      </c>
      <c r="BH23" s="576">
        <v>-20</v>
      </c>
      <c r="BI23" s="576">
        <f t="shared" si="9"/>
        <v>59</v>
      </c>
    </row>
    <row r="24" spans="1:61" ht="12.95" customHeight="1">
      <c r="A24" s="48">
        <f t="shared" si="10"/>
        <v>10</v>
      </c>
      <c r="B24" s="104">
        <v>6901.23</v>
      </c>
      <c r="C24" s="483">
        <f>IF(B24="",C23,VLOOKUP(TRUNC(B24,1),VLOOKUP!$A$3:$K$2834,RIGHT(TEXT(B24,"0000.00"),1)+2,FALSE))</f>
        <v>288140</v>
      </c>
      <c r="D24" s="45">
        <f t="shared" si="11"/>
        <v>0</v>
      </c>
      <c r="E24" s="55">
        <f t="shared" si="0"/>
        <v>136140</v>
      </c>
      <c r="F24" s="112">
        <f t="shared" si="1"/>
        <v>0</v>
      </c>
      <c r="G24" s="47">
        <v>43.9</v>
      </c>
      <c r="H24" s="125">
        <v>0</v>
      </c>
      <c r="I24" s="47">
        <f t="shared" si="2"/>
        <v>43.9</v>
      </c>
      <c r="J24" s="42">
        <f t="shared" si="3"/>
        <v>15.600000000000001</v>
      </c>
      <c r="K24" s="47">
        <f t="shared" si="4"/>
        <v>59.5</v>
      </c>
      <c r="L24" s="47">
        <f t="shared" si="12"/>
        <v>15.600000000000001</v>
      </c>
      <c r="M24" s="114">
        <v>3.5</v>
      </c>
      <c r="N24" s="47">
        <v>0</v>
      </c>
      <c r="O24" s="47">
        <f t="shared" si="13"/>
        <v>0</v>
      </c>
      <c r="P24" s="39">
        <v>0</v>
      </c>
      <c r="Q24" s="284">
        <f>1021000/325851/1.9835*1.02</f>
        <v>1.6112934842717479</v>
      </c>
      <c r="R24" s="73">
        <v>0</v>
      </c>
      <c r="S24" s="65">
        <f t="shared" si="23"/>
        <v>1.6341228800000001</v>
      </c>
      <c r="T24" s="73">
        <f t="shared" si="24"/>
        <v>0.54987712000000011</v>
      </c>
      <c r="U24" s="243">
        <f t="shared" si="15"/>
        <v>-0.29529348427174806</v>
      </c>
      <c r="V24" s="47">
        <v>18</v>
      </c>
      <c r="W24" s="47">
        <v>0</v>
      </c>
      <c r="X24" s="47">
        <f t="shared" si="16"/>
        <v>18</v>
      </c>
      <c r="Y24" s="47">
        <f t="shared" si="5"/>
        <v>18</v>
      </c>
      <c r="Z24" s="47"/>
      <c r="AA24" s="47"/>
      <c r="AB24" s="55"/>
      <c r="AC24" s="42"/>
      <c r="AD24" s="55"/>
      <c r="AE24" s="47"/>
      <c r="AF24" s="114"/>
      <c r="AG24" s="212"/>
      <c r="AH24" s="47">
        <v>38</v>
      </c>
      <c r="AI24" s="55">
        <f t="shared" si="21"/>
        <v>2359.1578774893114</v>
      </c>
      <c r="AJ24" s="128"/>
      <c r="AK24" s="74">
        <f t="shared" si="17"/>
        <v>59.5</v>
      </c>
      <c r="AL24" s="47">
        <f t="shared" si="6"/>
        <v>0</v>
      </c>
      <c r="AM24" s="47">
        <f t="shared" si="18"/>
        <v>59.5</v>
      </c>
      <c r="AN24" s="203">
        <f t="shared" ref="AN24:AN27" si="25">V24</f>
        <v>18</v>
      </c>
      <c r="AO24" s="42">
        <f t="shared" si="22"/>
        <v>24.288706515728251</v>
      </c>
      <c r="AP24" s="45"/>
      <c r="AQ24" s="47"/>
      <c r="AR24" s="55"/>
      <c r="AS24" s="55"/>
      <c r="AT24" s="127"/>
      <c r="AV24" s="407"/>
      <c r="AW24" s="143">
        <v>0</v>
      </c>
      <c r="AX24" s="45">
        <v>48</v>
      </c>
      <c r="AY24" s="45">
        <v>28</v>
      </c>
      <c r="AZ24" s="378"/>
      <c r="BA24" s="385">
        <f t="shared" si="8"/>
        <v>3.5</v>
      </c>
      <c r="BB24" s="681"/>
      <c r="BC24" s="682"/>
      <c r="BE24" s="574">
        <f t="shared" si="19"/>
        <v>10</v>
      </c>
      <c r="BF24" s="559">
        <v>6901.23</v>
      </c>
      <c r="BG24" s="575">
        <f t="shared" si="20"/>
        <v>0</v>
      </c>
      <c r="BH24" s="576">
        <v>0.40624999999998962</v>
      </c>
      <c r="BI24" s="576">
        <f t="shared" si="9"/>
        <v>37.593750000000007</v>
      </c>
    </row>
    <row r="25" spans="1:61" ht="12.95" customHeight="1">
      <c r="A25" s="48">
        <f t="shared" si="10"/>
        <v>11</v>
      </c>
      <c r="B25" s="104">
        <v>6901.18</v>
      </c>
      <c r="C25" s="483">
        <f>IF(B25="",C24,VLOOKUP(TRUNC(B25,1),VLOOKUP!$A$3:$K$2834,RIGHT(TEXT(B25,"0000.00"),1)+2,FALSE))</f>
        <v>287954</v>
      </c>
      <c r="D25" s="45">
        <f t="shared" si="11"/>
        <v>-186</v>
      </c>
      <c r="E25" s="55">
        <f t="shared" si="0"/>
        <v>135954</v>
      </c>
      <c r="F25" s="112">
        <f t="shared" si="1"/>
        <v>-93.773632467859841</v>
      </c>
      <c r="G25" s="47">
        <v>40.5</v>
      </c>
      <c r="H25" s="125">
        <v>0</v>
      </c>
      <c r="I25" s="47">
        <f t="shared" si="2"/>
        <v>40.5</v>
      </c>
      <c r="J25" s="42">
        <f t="shared" si="3"/>
        <v>0</v>
      </c>
      <c r="K25" s="47">
        <f t="shared" si="4"/>
        <v>40.5</v>
      </c>
      <c r="L25" s="47">
        <f t="shared" si="12"/>
        <v>-39.373632467859835</v>
      </c>
      <c r="M25" s="114">
        <v>3.9</v>
      </c>
      <c r="N25" s="47">
        <v>0</v>
      </c>
      <c r="O25" s="47">
        <f t="shared" si="13"/>
        <v>0</v>
      </c>
      <c r="P25" s="39">
        <v>0</v>
      </c>
      <c r="Q25" s="284">
        <f>1037200/325851/1.9835*1.02</f>
        <v>1.6368595513091646</v>
      </c>
      <c r="R25" s="73">
        <v>0</v>
      </c>
      <c r="S25" s="65">
        <f t="shared" si="23"/>
        <v>1.6341228800000001</v>
      </c>
      <c r="T25" s="73">
        <f t="shared" si="24"/>
        <v>0.54987712000000011</v>
      </c>
      <c r="U25" s="243">
        <f t="shared" si="15"/>
        <v>7.9140448690835363E-2</v>
      </c>
      <c r="V25" s="47">
        <v>51</v>
      </c>
      <c r="W25" s="47">
        <v>0</v>
      </c>
      <c r="X25" s="47">
        <f t="shared" si="16"/>
        <v>51</v>
      </c>
      <c r="Y25" s="47">
        <f t="shared" si="5"/>
        <v>51</v>
      </c>
      <c r="Z25" s="47"/>
      <c r="AA25" s="47"/>
      <c r="AB25" s="55"/>
      <c r="AC25" s="42"/>
      <c r="AD25" s="55"/>
      <c r="AE25" s="47"/>
      <c r="AF25" s="114"/>
      <c r="AG25" s="212"/>
      <c r="AH25" s="47">
        <v>40</v>
      </c>
      <c r="AI25" s="55">
        <f t="shared" si="21"/>
        <v>2319.1578774893114</v>
      </c>
      <c r="AJ25" s="128"/>
      <c r="AK25" s="74">
        <f t="shared" si="17"/>
        <v>94.9</v>
      </c>
      <c r="AL25" s="47">
        <f t="shared" si="6"/>
        <v>39.373632467859835</v>
      </c>
      <c r="AM25" s="47">
        <f t="shared" si="18"/>
        <v>134.27363246785984</v>
      </c>
      <c r="AN25" s="203">
        <f t="shared" si="25"/>
        <v>51</v>
      </c>
      <c r="AO25" s="42">
        <f t="shared" si="22"/>
        <v>-12.136859551309165</v>
      </c>
      <c r="AP25" s="45"/>
      <c r="AQ25" s="47"/>
      <c r="AR25" s="55"/>
      <c r="AS25" s="55"/>
      <c r="AT25" s="127"/>
      <c r="AV25" s="407"/>
      <c r="AW25" s="143">
        <v>0</v>
      </c>
      <c r="AX25" s="45">
        <v>39</v>
      </c>
      <c r="AY25" s="45">
        <v>21</v>
      </c>
      <c r="AZ25" s="378"/>
      <c r="BA25" s="385">
        <f t="shared" si="8"/>
        <v>3.9</v>
      </c>
      <c r="BB25" s="30">
        <v>2.21</v>
      </c>
      <c r="BC25" s="407">
        <v>16040</v>
      </c>
      <c r="BE25" s="574">
        <f t="shared" si="19"/>
        <v>11</v>
      </c>
      <c r="BF25" s="559">
        <v>6901.19</v>
      </c>
      <c r="BG25" s="575">
        <f t="shared" si="20"/>
        <v>-9.999999999308784E-3</v>
      </c>
      <c r="BH25" s="576">
        <v>27.827083333333377</v>
      </c>
      <c r="BI25" s="576">
        <f t="shared" si="9"/>
        <v>12.172916666666623</v>
      </c>
    </row>
    <row r="26" spans="1:61" ht="12.95" customHeight="1">
      <c r="A26" s="48">
        <f t="shared" si="10"/>
        <v>12</v>
      </c>
      <c r="B26" s="104">
        <v>6901.13</v>
      </c>
      <c r="C26" s="483">
        <f>IF(B26="",C25,VLOOKUP(TRUNC(B26,1),VLOOKUP!$A$3:$K$2834,RIGHT(TEXT(B26,"0000.00"),1)+2,FALSE))</f>
        <v>287767</v>
      </c>
      <c r="D26" s="45">
        <f t="shared" si="11"/>
        <v>-187</v>
      </c>
      <c r="E26" s="55">
        <f t="shared" si="0"/>
        <v>135767</v>
      </c>
      <c r="F26" s="112">
        <f t="shared" si="1"/>
        <v>-94.277791782203181</v>
      </c>
      <c r="G26" s="47">
        <v>33.1</v>
      </c>
      <c r="H26" s="125">
        <v>0</v>
      </c>
      <c r="I26" s="47">
        <f t="shared" si="2"/>
        <v>33.1</v>
      </c>
      <c r="J26" s="42">
        <f t="shared" si="3"/>
        <v>0</v>
      </c>
      <c r="K26" s="47">
        <f t="shared" si="4"/>
        <v>33.1</v>
      </c>
      <c r="L26" s="47">
        <f t="shared" si="12"/>
        <v>-34.977791782203177</v>
      </c>
      <c r="M26" s="114">
        <v>3.4</v>
      </c>
      <c r="N26" s="47">
        <v>0</v>
      </c>
      <c r="O26" s="47">
        <f t="shared" si="13"/>
        <v>0</v>
      </c>
      <c r="P26" s="39">
        <v>0</v>
      </c>
      <c r="Q26" s="284">
        <f>1001700/325851/1.9835*1.02</f>
        <v>1.5808351451469245</v>
      </c>
      <c r="R26" s="73">
        <v>0</v>
      </c>
      <c r="S26" s="65">
        <f t="shared" si="23"/>
        <v>1.6341228800000001</v>
      </c>
      <c r="T26" s="73">
        <f t="shared" si="24"/>
        <v>0.54987712000000011</v>
      </c>
      <c r="U26" s="243">
        <f t="shared" si="15"/>
        <v>-0.36483514514692494</v>
      </c>
      <c r="V26" s="47">
        <v>50</v>
      </c>
      <c r="W26" s="47">
        <v>0</v>
      </c>
      <c r="X26" s="47">
        <f t="shared" si="16"/>
        <v>50</v>
      </c>
      <c r="Y26" s="47">
        <f t="shared" si="5"/>
        <v>50</v>
      </c>
      <c r="Z26" s="47"/>
      <c r="AA26" s="47"/>
      <c r="AB26" s="55"/>
      <c r="AC26" s="42"/>
      <c r="AD26" s="55"/>
      <c r="AE26" s="47"/>
      <c r="AF26" s="114"/>
      <c r="AG26" s="212"/>
      <c r="AH26" s="47">
        <v>39</v>
      </c>
      <c r="AI26" s="55">
        <f t="shared" si="21"/>
        <v>2280.1578774893114</v>
      </c>
      <c r="AJ26" s="128"/>
      <c r="AK26" s="74">
        <f t="shared" si="17"/>
        <v>92.4</v>
      </c>
      <c r="AL26" s="47">
        <f t="shared" si="6"/>
        <v>34.977791782203177</v>
      </c>
      <c r="AM26" s="47">
        <f t="shared" si="18"/>
        <v>127.37779178220319</v>
      </c>
      <c r="AN26" s="203">
        <f t="shared" si="25"/>
        <v>50</v>
      </c>
      <c r="AO26" s="42">
        <f t="shared" si="22"/>
        <v>-18.480835145146923</v>
      </c>
      <c r="AP26" s="45"/>
      <c r="AQ26" s="47"/>
      <c r="AR26" s="55"/>
      <c r="AS26" s="55"/>
      <c r="AT26" s="127"/>
      <c r="AV26" s="407"/>
      <c r="AW26" s="143">
        <v>0</v>
      </c>
      <c r="AX26" s="45">
        <v>41</v>
      </c>
      <c r="AY26" s="45">
        <v>15</v>
      </c>
      <c r="AZ26" s="378"/>
      <c r="BA26" s="385">
        <f t="shared" si="8"/>
        <v>3.4</v>
      </c>
      <c r="BB26" s="30">
        <v>2.21</v>
      </c>
      <c r="BC26" s="407">
        <v>16040</v>
      </c>
      <c r="BE26" s="574">
        <f t="shared" si="19"/>
        <v>12</v>
      </c>
      <c r="BF26" s="559">
        <v>6901.13</v>
      </c>
      <c r="BG26" s="575">
        <f t="shared" si="20"/>
        <v>0</v>
      </c>
      <c r="BH26" s="576">
        <v>27.40612244897963</v>
      </c>
      <c r="BI26" s="576">
        <f t="shared" si="9"/>
        <v>11.59387755102037</v>
      </c>
    </row>
    <row r="27" spans="1:61" ht="12.95" customHeight="1">
      <c r="A27" s="48">
        <f t="shared" si="10"/>
        <v>13</v>
      </c>
      <c r="B27" s="104">
        <v>6901.09</v>
      </c>
      <c r="C27" s="483">
        <f>IF(B27="",C26,VLOOKUP(TRUNC(B27,1),VLOOKUP!$A$3:$K$2834,RIGHT(TEXT(B27,"0000.00"),1)+2,FALSE))</f>
        <v>287618</v>
      </c>
      <c r="D27" s="45">
        <f t="shared" si="11"/>
        <v>-149</v>
      </c>
      <c r="E27" s="55">
        <f t="shared" si="0"/>
        <v>135618</v>
      </c>
      <c r="F27" s="112">
        <f t="shared" si="1"/>
        <v>-75.119737837156535</v>
      </c>
      <c r="G27" s="47">
        <v>30.2</v>
      </c>
      <c r="H27" s="125">
        <v>0</v>
      </c>
      <c r="I27" s="47">
        <f t="shared" si="2"/>
        <v>30.2</v>
      </c>
      <c r="J27" s="42">
        <f t="shared" si="3"/>
        <v>0</v>
      </c>
      <c r="K27" s="47">
        <f t="shared" si="4"/>
        <v>30.2</v>
      </c>
      <c r="L27" s="47">
        <f t="shared" si="12"/>
        <v>-8.4197378371565321</v>
      </c>
      <c r="M27" s="114">
        <v>2.9</v>
      </c>
      <c r="N27" s="47">
        <v>0</v>
      </c>
      <c r="O27" s="47">
        <f t="shared" si="13"/>
        <v>0</v>
      </c>
      <c r="P27" s="39">
        <v>0</v>
      </c>
      <c r="Q27" s="284">
        <f>1028200/325851/1.9835*1.02</f>
        <v>1.6226561807328219</v>
      </c>
      <c r="R27" s="73">
        <v>0</v>
      </c>
      <c r="S27" s="65">
        <f t="shared" si="23"/>
        <v>1.6341228800000001</v>
      </c>
      <c r="T27" s="73">
        <f t="shared" si="24"/>
        <v>0.54987712000000011</v>
      </c>
      <c r="U27" s="243">
        <f t="shared" si="15"/>
        <v>-0.90665618073282239</v>
      </c>
      <c r="V27" s="47">
        <v>55</v>
      </c>
      <c r="W27" s="47">
        <v>0</v>
      </c>
      <c r="X27" s="47">
        <f t="shared" si="16"/>
        <v>55</v>
      </c>
      <c r="Y27" s="47">
        <f t="shared" si="5"/>
        <v>55</v>
      </c>
      <c r="Z27" s="47"/>
      <c r="AA27" s="47"/>
      <c r="AB27" s="55"/>
      <c r="AC27" s="42"/>
      <c r="AD27" s="55"/>
      <c r="AE27" s="47"/>
      <c r="AF27" s="114"/>
      <c r="AG27" s="212"/>
      <c r="AH27" s="47">
        <v>39</v>
      </c>
      <c r="AI27" s="55">
        <f t="shared" si="21"/>
        <v>2241.1578774893114</v>
      </c>
      <c r="AJ27" s="128"/>
      <c r="AK27" s="74">
        <f t="shared" si="17"/>
        <v>96.9</v>
      </c>
      <c r="AL27" s="47">
        <f t="shared" si="6"/>
        <v>8.4197378371565321</v>
      </c>
      <c r="AM27" s="47">
        <f t="shared" si="18"/>
        <v>105.31973783715654</v>
      </c>
      <c r="AN27" s="203">
        <f t="shared" si="25"/>
        <v>55</v>
      </c>
      <c r="AO27" s="42">
        <f>IF(G27="","",IF(I27&gt;=795,795-X27,I27-Q27-R27-X27-AF27)-AJ27)</f>
        <v>-26.422656180732822</v>
      </c>
      <c r="AP27" s="45"/>
      <c r="AQ27" s="47"/>
      <c r="AR27" s="55"/>
      <c r="AS27" s="55"/>
      <c r="AT27" s="127"/>
      <c r="AV27" s="407"/>
      <c r="AW27" s="143">
        <v>0</v>
      </c>
      <c r="AX27" s="45">
        <v>44</v>
      </c>
      <c r="AY27" s="45">
        <v>17</v>
      </c>
      <c r="AZ27" s="378"/>
      <c r="BA27" s="385">
        <f t="shared" si="8"/>
        <v>2.9</v>
      </c>
      <c r="BB27" s="30">
        <v>2.21</v>
      </c>
      <c r="BC27" s="407">
        <v>16039</v>
      </c>
      <c r="BE27" s="574">
        <f t="shared" si="19"/>
        <v>13</v>
      </c>
      <c r="BF27" s="559">
        <v>6901.09</v>
      </c>
      <c r="BG27" s="575">
        <f t="shared" si="20"/>
        <v>0</v>
      </c>
      <c r="BH27" s="576">
        <v>27.900000000000048</v>
      </c>
      <c r="BI27" s="576">
        <f t="shared" si="9"/>
        <v>11.099999999999952</v>
      </c>
    </row>
    <row r="28" spans="1:61" ht="12.95" customHeight="1">
      <c r="A28" s="48">
        <f t="shared" si="10"/>
        <v>14</v>
      </c>
      <c r="B28" s="104">
        <v>6901.08</v>
      </c>
      <c r="C28" s="483">
        <f>IF(B28="",C27,VLOOKUP(TRUNC(B28,1),VLOOKUP!$A$3:$K$2834,RIGHT(TEXT(B28,"0000.00"),1)+2,FALSE))</f>
        <v>287581</v>
      </c>
      <c r="D28" s="45">
        <f t="shared" si="11"/>
        <v>-37</v>
      </c>
      <c r="E28" s="55">
        <f t="shared" si="0"/>
        <v>135581</v>
      </c>
      <c r="F28" s="112">
        <f t="shared" si="1"/>
        <v>-18.653894630703302</v>
      </c>
      <c r="G28" s="47">
        <v>35.9</v>
      </c>
      <c r="H28" s="125">
        <v>0</v>
      </c>
      <c r="I28" s="47">
        <f t="shared" si="2"/>
        <v>35.9</v>
      </c>
      <c r="J28" s="42">
        <f t="shared" si="3"/>
        <v>0</v>
      </c>
      <c r="K28" s="47">
        <f t="shared" si="4"/>
        <v>35.9</v>
      </c>
      <c r="L28" s="47">
        <f t="shared" si="12"/>
        <v>-11.853894630703298</v>
      </c>
      <c r="M28" s="114">
        <v>3.7</v>
      </c>
      <c r="N28" s="47">
        <v>0</v>
      </c>
      <c r="O28" s="47">
        <f t="shared" si="13"/>
        <v>0</v>
      </c>
      <c r="P28" s="39">
        <v>0</v>
      </c>
      <c r="Q28" s="284">
        <f>967900/325851/1.9835*1.02</f>
        <v>1.5274935978713269</v>
      </c>
      <c r="R28" s="73">
        <v>0</v>
      </c>
      <c r="S28" s="65">
        <f>IF(((2.2*1.04)-T28)&gt;=4.2,4.2,(2.2*1.04)-T28)</f>
        <v>1.6684512000000002</v>
      </c>
      <c r="T28" s="73">
        <f>(0.562*1.06)*1.04</f>
        <v>0.61954880000000012</v>
      </c>
      <c r="U28" s="243">
        <f t="shared" si="15"/>
        <v>-0.11549359787132696</v>
      </c>
      <c r="V28" s="47">
        <v>0</v>
      </c>
      <c r="W28" s="47">
        <v>0</v>
      </c>
      <c r="X28" s="47">
        <f t="shared" si="16"/>
        <v>0</v>
      </c>
      <c r="Y28" s="47">
        <f t="shared" si="5"/>
        <v>0</v>
      </c>
      <c r="Z28" s="47"/>
      <c r="AA28" s="47"/>
      <c r="AB28" s="55"/>
      <c r="AC28" s="42"/>
      <c r="AD28" s="55"/>
      <c r="AE28" s="47"/>
      <c r="AF28" s="114"/>
      <c r="AG28" s="212"/>
      <c r="AH28" s="47">
        <v>39</v>
      </c>
      <c r="AI28" s="55">
        <f t="shared" si="21"/>
        <v>2202.1578774893114</v>
      </c>
      <c r="AJ28" s="128"/>
      <c r="AK28" s="74">
        <f t="shared" si="17"/>
        <v>42.7</v>
      </c>
      <c r="AL28" s="47">
        <f t="shared" si="6"/>
        <v>11.853894630703298</v>
      </c>
      <c r="AM28" s="47">
        <f t="shared" si="18"/>
        <v>54.553894630703297</v>
      </c>
      <c r="AN28" s="203"/>
      <c r="AO28" s="42">
        <f t="shared" si="22"/>
        <v>34.372506402128671</v>
      </c>
      <c r="AP28" s="45"/>
      <c r="AQ28" s="47"/>
      <c r="AR28" s="55"/>
      <c r="AS28" s="55"/>
      <c r="AT28" s="127"/>
      <c r="AV28" s="407"/>
      <c r="AW28" s="143">
        <v>0</v>
      </c>
      <c r="AX28" s="56">
        <v>54</v>
      </c>
      <c r="AY28" s="45">
        <v>21</v>
      </c>
      <c r="AZ28" s="378"/>
      <c r="BA28" s="385">
        <f t="shared" si="8"/>
        <v>3.7</v>
      </c>
      <c r="BB28" s="30">
        <v>2.21</v>
      </c>
      <c r="BC28" s="407">
        <v>16040</v>
      </c>
      <c r="BE28" s="574">
        <f t="shared" si="19"/>
        <v>14</v>
      </c>
      <c r="BF28" s="559">
        <v>6901.09</v>
      </c>
      <c r="BG28" s="575">
        <f t="shared" si="20"/>
        <v>-1.0000000000218279E-2</v>
      </c>
      <c r="BH28" s="576">
        <v>27.668750000000049</v>
      </c>
      <c r="BI28" s="576">
        <f t="shared" si="9"/>
        <v>11.331249999999951</v>
      </c>
    </row>
    <row r="29" spans="1:61" ht="12.95" customHeight="1">
      <c r="A29" s="48">
        <f t="shared" si="10"/>
        <v>15</v>
      </c>
      <c r="B29" s="104">
        <v>6901.08</v>
      </c>
      <c r="C29" s="483">
        <f>IF(B29="",C28,VLOOKUP(TRUNC(B29,1),VLOOKUP!$A$3:$K$2834,RIGHT(TEXT(B29,"0000.00"),1)+2,FALSE))</f>
        <v>287581</v>
      </c>
      <c r="D29" s="45">
        <f t="shared" si="11"/>
        <v>0</v>
      </c>
      <c r="E29" s="55">
        <f t="shared" si="0"/>
        <v>135581</v>
      </c>
      <c r="F29" s="112">
        <f t="shared" si="1"/>
        <v>0</v>
      </c>
      <c r="G29" s="47">
        <v>40.4</v>
      </c>
      <c r="H29" s="125">
        <v>0</v>
      </c>
      <c r="I29" s="47">
        <f t="shared" si="2"/>
        <v>40.4</v>
      </c>
      <c r="J29" s="42">
        <f t="shared" si="3"/>
        <v>2.3000000000000043</v>
      </c>
      <c r="K29" s="47">
        <f t="shared" si="4"/>
        <v>42.7</v>
      </c>
      <c r="L29" s="47">
        <f t="shared" si="12"/>
        <v>2.3000000000000043</v>
      </c>
      <c r="M29" s="114">
        <v>3.7</v>
      </c>
      <c r="N29" s="47">
        <v>0</v>
      </c>
      <c r="O29" s="47">
        <f t="shared" si="13"/>
        <v>0</v>
      </c>
      <c r="P29" s="39">
        <v>0</v>
      </c>
      <c r="Q29" s="284">
        <f>1124000/325851/1.9835*1.02</f>
        <v>1.7738431697565569</v>
      </c>
      <c r="R29" s="73">
        <v>0</v>
      </c>
      <c r="S29" s="65">
        <f>IF(((2.2*1.04)-T29)&gt;=4.2,4.2,(2.2*1.04)-T29)</f>
        <v>1.6684512000000002</v>
      </c>
      <c r="T29" s="73">
        <f t="shared" ref="T29:T33" si="26">(0.562*1.06)*1.04</f>
        <v>0.61954880000000012</v>
      </c>
      <c r="U29" s="243">
        <f t="shared" si="15"/>
        <v>-0.36184316975655761</v>
      </c>
      <c r="V29" s="47">
        <v>0</v>
      </c>
      <c r="W29" s="47">
        <v>0</v>
      </c>
      <c r="X29" s="47">
        <f t="shared" si="16"/>
        <v>5.5511151231257827E-16</v>
      </c>
      <c r="Y29" s="47">
        <f t="shared" si="5"/>
        <v>5.5511151231257827E-16</v>
      </c>
      <c r="Z29" s="47"/>
      <c r="AA29" s="47"/>
      <c r="AB29" s="55"/>
      <c r="AC29" s="42"/>
      <c r="AD29" s="55"/>
      <c r="AE29" s="47"/>
      <c r="AF29" s="114"/>
      <c r="AG29" s="212"/>
      <c r="AH29" s="47">
        <v>39</v>
      </c>
      <c r="AI29" s="55">
        <f t="shared" si="21"/>
        <v>2163.1578774893114</v>
      </c>
      <c r="AJ29" s="128"/>
      <c r="AK29" s="74">
        <f t="shared" si="17"/>
        <v>42.7</v>
      </c>
      <c r="AL29" s="47">
        <f t="shared" si="6"/>
        <v>0</v>
      </c>
      <c r="AM29" s="47">
        <f t="shared" si="18"/>
        <v>42.7</v>
      </c>
      <c r="AN29" s="203"/>
      <c r="AO29" s="42">
        <f t="shared" si="22"/>
        <v>38.626156830243438</v>
      </c>
      <c r="AP29" s="45"/>
      <c r="AQ29" s="47"/>
      <c r="AR29" s="55"/>
      <c r="AS29" s="55"/>
      <c r="AT29" s="127"/>
      <c r="AV29" s="407"/>
      <c r="AW29" s="143">
        <v>0</v>
      </c>
      <c r="AX29" s="56">
        <v>52</v>
      </c>
      <c r="AY29" s="45">
        <v>22</v>
      </c>
      <c r="AZ29" s="378"/>
      <c r="BA29" s="385">
        <f t="shared" si="8"/>
        <v>3.7</v>
      </c>
      <c r="BB29" s="30">
        <v>2.21</v>
      </c>
      <c r="BC29" s="407">
        <v>16039</v>
      </c>
      <c r="BE29" s="574">
        <f t="shared" si="19"/>
        <v>15</v>
      </c>
      <c r="BF29" s="559">
        <v>6901.09</v>
      </c>
      <c r="BG29" s="575">
        <f t="shared" si="20"/>
        <v>-1.0000000000218279E-2</v>
      </c>
      <c r="BH29" s="576">
        <v>27.737500000000043</v>
      </c>
      <c r="BI29" s="576">
        <f t="shared" si="9"/>
        <v>11.262499999999957</v>
      </c>
    </row>
    <row r="30" spans="1:61" ht="12.95" customHeight="1">
      <c r="A30" s="48">
        <f t="shared" si="10"/>
        <v>16</v>
      </c>
      <c r="B30" s="104">
        <v>6901.06</v>
      </c>
      <c r="C30" s="483">
        <f>IF(B30="",C29,VLOOKUP(TRUNC(B30,1),VLOOKUP!$A$3:$K$2834,RIGHT(TEXT(B30,"0000.00"),1)+2,FALSE))</f>
        <v>287506</v>
      </c>
      <c r="D30" s="45">
        <f t="shared" si="11"/>
        <v>-75</v>
      </c>
      <c r="E30" s="55">
        <f t="shared" si="0"/>
        <v>135506</v>
      </c>
      <c r="F30" s="112">
        <f t="shared" si="1"/>
        <v>-37.811948575749938</v>
      </c>
      <c r="G30" s="47">
        <v>39.700000000000003</v>
      </c>
      <c r="H30" s="125">
        <v>0</v>
      </c>
      <c r="I30" s="47">
        <f t="shared" si="2"/>
        <v>39.700000000000003</v>
      </c>
      <c r="J30" s="42">
        <f t="shared" si="3"/>
        <v>0</v>
      </c>
      <c r="K30" s="47">
        <f t="shared" si="4"/>
        <v>39.700000000000003</v>
      </c>
      <c r="L30" s="47">
        <f t="shared" si="12"/>
        <v>-35.211948575749943</v>
      </c>
      <c r="M30" s="114">
        <v>3.3</v>
      </c>
      <c r="N30" s="47">
        <v>0</v>
      </c>
      <c r="O30" s="47">
        <f t="shared" si="13"/>
        <v>0</v>
      </c>
      <c r="P30" s="39">
        <v>0</v>
      </c>
      <c r="Q30" s="284">
        <f>1046300/325851/1.9835*1.02</f>
        <v>1.651220737114133</v>
      </c>
      <c r="R30" s="73">
        <v>0</v>
      </c>
      <c r="S30" s="65">
        <f>IF(((2.1*1.04)-T30)&gt;=4.2,4.2,(2.1*1.04)-T30)</f>
        <v>1.5644512000000002</v>
      </c>
      <c r="T30" s="73">
        <f t="shared" si="26"/>
        <v>0.61954880000000012</v>
      </c>
      <c r="U30" s="243">
        <f t="shared" si="15"/>
        <v>-0.53522073711413354</v>
      </c>
      <c r="V30" s="47">
        <v>0</v>
      </c>
      <c r="W30" s="47">
        <v>0</v>
      </c>
      <c r="X30" s="47">
        <f t="shared" si="16"/>
        <v>1.1102230246251565E-16</v>
      </c>
      <c r="Y30" s="47">
        <f t="shared" si="5"/>
        <v>1.1102230246251565E-16</v>
      </c>
      <c r="Z30" s="47"/>
      <c r="AA30" s="47"/>
      <c r="AB30" s="55"/>
      <c r="AC30" s="42"/>
      <c r="AD30" s="55"/>
      <c r="AE30" s="47"/>
      <c r="AF30" s="114"/>
      <c r="AG30" s="212"/>
      <c r="AH30" s="47">
        <v>39</v>
      </c>
      <c r="AI30" s="55">
        <f t="shared" si="21"/>
        <v>2124.1578774893114</v>
      </c>
      <c r="AJ30" s="128"/>
      <c r="AK30" s="74">
        <f t="shared" si="17"/>
        <v>42.3</v>
      </c>
      <c r="AL30" s="47">
        <f t="shared" si="6"/>
        <v>35.211948575749943</v>
      </c>
      <c r="AM30" s="47">
        <f t="shared" si="18"/>
        <v>77.51194857574994</v>
      </c>
      <c r="AN30" s="203"/>
      <c r="AO30" s="42">
        <f t="shared" si="22"/>
        <v>38.048779262885873</v>
      </c>
      <c r="AP30" s="45"/>
      <c r="AQ30" s="47"/>
      <c r="AR30" s="55"/>
      <c r="AS30" s="55"/>
      <c r="AT30" s="127"/>
      <c r="AW30" s="102">
        <v>0</v>
      </c>
      <c r="AX30" s="56">
        <v>53</v>
      </c>
      <c r="AY30" s="45">
        <v>27</v>
      </c>
      <c r="AZ30" s="378"/>
      <c r="BA30" s="385">
        <f t="shared" si="8"/>
        <v>3.3</v>
      </c>
      <c r="BB30" s="30">
        <v>2.36</v>
      </c>
      <c r="BC30" s="407">
        <v>16038</v>
      </c>
      <c r="BE30" s="574">
        <f t="shared" si="19"/>
        <v>16</v>
      </c>
      <c r="BF30" s="559">
        <v>6901.09</v>
      </c>
      <c r="BG30" s="575">
        <f t="shared" si="20"/>
        <v>-2.9999999999745341E-2</v>
      </c>
      <c r="BH30" s="576">
        <v>27.722916666666716</v>
      </c>
      <c r="BI30" s="576">
        <f t="shared" si="9"/>
        <v>11.277083333333284</v>
      </c>
    </row>
    <row r="31" spans="1:61" ht="12.95" customHeight="1">
      <c r="A31" s="48">
        <f t="shared" si="10"/>
        <v>17</v>
      </c>
      <c r="B31" s="104">
        <v>6901.07</v>
      </c>
      <c r="C31" s="483">
        <f>IF(B31="",C30,VLOOKUP(TRUNC(B31,1),VLOOKUP!$A$3:$K$2834,RIGHT(TEXT(B31,"0000.00"),1)+2,FALSE))</f>
        <v>287543</v>
      </c>
      <c r="D31" s="45">
        <f t="shared" si="11"/>
        <v>37</v>
      </c>
      <c r="E31" s="55">
        <f t="shared" si="0"/>
        <v>135543</v>
      </c>
      <c r="F31" s="112">
        <f t="shared" si="1"/>
        <v>18.653894630703302</v>
      </c>
      <c r="G31" s="47">
        <v>38.5</v>
      </c>
      <c r="H31" s="125">
        <v>0</v>
      </c>
      <c r="I31" s="47">
        <f t="shared" si="2"/>
        <v>38.5</v>
      </c>
      <c r="J31" s="42">
        <f t="shared" si="3"/>
        <v>22.553894630703301</v>
      </c>
      <c r="K31" s="47">
        <f t="shared" si="4"/>
        <v>61.053894630703297</v>
      </c>
      <c r="L31" s="47">
        <f t="shared" si="12"/>
        <v>22.553894630703301</v>
      </c>
      <c r="M31" s="114">
        <v>3.4</v>
      </c>
      <c r="N31" s="47">
        <v>0</v>
      </c>
      <c r="O31" s="47">
        <f t="shared" si="13"/>
        <v>0</v>
      </c>
      <c r="P31" s="39">
        <v>0</v>
      </c>
      <c r="Q31" s="284">
        <f>1072200/325851/1.9835*1.02</f>
        <v>1.6920948813282743</v>
      </c>
      <c r="R31" s="73">
        <v>0</v>
      </c>
      <c r="S31" s="65">
        <f>IF(((1.9*1.04)-T31)&gt;=4.2,4.2,(1.9*1.04)-T31)</f>
        <v>1.3564512</v>
      </c>
      <c r="T31" s="73">
        <f t="shared" si="26"/>
        <v>0.61954880000000012</v>
      </c>
      <c r="U31" s="243">
        <f t="shared" si="15"/>
        <v>-0.26809488132827441</v>
      </c>
      <c r="V31" s="47">
        <v>0</v>
      </c>
      <c r="W31" s="47">
        <v>0</v>
      </c>
      <c r="X31" s="47">
        <f t="shared" si="16"/>
        <v>0</v>
      </c>
      <c r="Y31" s="47">
        <f t="shared" si="5"/>
        <v>0</v>
      </c>
      <c r="Z31" s="47"/>
      <c r="AA31" s="47"/>
      <c r="AB31" s="55"/>
      <c r="AC31" s="42"/>
      <c r="AD31" s="55"/>
      <c r="AE31" s="47"/>
      <c r="AF31" s="114"/>
      <c r="AG31" s="212"/>
      <c r="AH31" s="47">
        <v>39</v>
      </c>
      <c r="AI31" s="55">
        <f t="shared" si="21"/>
        <v>2085.1578774893114</v>
      </c>
      <c r="AJ31" s="128"/>
      <c r="AK31" s="74">
        <f t="shared" si="17"/>
        <v>42.4</v>
      </c>
      <c r="AL31" s="47">
        <f t="shared" si="6"/>
        <v>0</v>
      </c>
      <c r="AM31" s="47">
        <f t="shared" si="18"/>
        <v>42.4</v>
      </c>
      <c r="AN31" s="203"/>
      <c r="AO31" s="42">
        <f t="shared" si="22"/>
        <v>36.807905118671727</v>
      </c>
      <c r="AP31" s="45"/>
      <c r="AQ31" s="47"/>
      <c r="AR31" s="55"/>
      <c r="AS31" s="55"/>
      <c r="AT31" s="127"/>
      <c r="AW31" s="102">
        <v>0</v>
      </c>
      <c r="AX31" s="56">
        <v>50</v>
      </c>
      <c r="AY31" s="45">
        <v>26</v>
      </c>
      <c r="AZ31" s="378"/>
      <c r="BA31" s="385">
        <f t="shared" si="8"/>
        <v>3.4</v>
      </c>
      <c r="BB31" s="30">
        <v>2.77</v>
      </c>
      <c r="BC31" s="407">
        <v>16037</v>
      </c>
      <c r="BE31" s="574">
        <f t="shared" si="19"/>
        <v>17</v>
      </c>
      <c r="BF31" s="559">
        <v>6901.08</v>
      </c>
      <c r="BG31" s="575">
        <f t="shared" si="20"/>
        <v>-1.0000000000218279E-2</v>
      </c>
      <c r="BH31" s="576">
        <v>26.567000000000043</v>
      </c>
      <c r="BI31" s="576">
        <f t="shared" si="9"/>
        <v>12.432999999999957</v>
      </c>
    </row>
    <row r="32" spans="1:61" ht="12.95" customHeight="1">
      <c r="A32" s="48">
        <f t="shared" si="10"/>
        <v>18</v>
      </c>
      <c r="B32" s="104">
        <v>6901.08</v>
      </c>
      <c r="C32" s="483">
        <f>IF(B32="",C31,VLOOKUP(TRUNC(B32,1),VLOOKUP!$A$3:$K$2834,RIGHT(TEXT(B32,"0000.00"),1)+2,FALSE))</f>
        <v>287581</v>
      </c>
      <c r="D32" s="45">
        <f t="shared" si="11"/>
        <v>38</v>
      </c>
      <c r="E32" s="55">
        <f t="shared" si="0"/>
        <v>135581</v>
      </c>
      <c r="F32" s="112">
        <f t="shared" si="1"/>
        <v>19.158053945046635</v>
      </c>
      <c r="G32" s="47">
        <v>38.9</v>
      </c>
      <c r="H32" s="125">
        <v>0</v>
      </c>
      <c r="I32" s="47">
        <f t="shared" si="2"/>
        <v>38.9</v>
      </c>
      <c r="J32" s="42">
        <f t="shared" si="3"/>
        <v>22.658053945046635</v>
      </c>
      <c r="K32" s="47">
        <f t="shared" si="4"/>
        <v>61.558053945046638</v>
      </c>
      <c r="L32" s="47">
        <f t="shared" si="12"/>
        <v>22.658053945046635</v>
      </c>
      <c r="M32" s="114">
        <v>3.4</v>
      </c>
      <c r="N32" s="47">
        <v>0</v>
      </c>
      <c r="O32" s="47">
        <f t="shared" si="13"/>
        <v>0</v>
      </c>
      <c r="P32" s="39">
        <v>0</v>
      </c>
      <c r="Q32" s="284">
        <f>967800/325851/1.9835*1.02</f>
        <v>1.5273357826427008</v>
      </c>
      <c r="R32" s="73">
        <v>0</v>
      </c>
      <c r="S32" s="65">
        <f>IF(((1.9*1.04)-T32)&gt;=4.2,4.2,(1.9*1.04)-T32)</f>
        <v>1.3564512</v>
      </c>
      <c r="T32" s="73">
        <f t="shared" si="26"/>
        <v>0.61954880000000012</v>
      </c>
      <c r="U32" s="243">
        <f t="shared" si="15"/>
        <v>-0.10333578264270082</v>
      </c>
      <c r="V32" s="47">
        <v>0</v>
      </c>
      <c r="W32" s="47">
        <v>0</v>
      </c>
      <c r="X32" s="47">
        <f t="shared" si="16"/>
        <v>0</v>
      </c>
      <c r="Y32" s="47">
        <f t="shared" si="5"/>
        <v>0</v>
      </c>
      <c r="Z32" s="47"/>
      <c r="AA32" s="47"/>
      <c r="AB32" s="55"/>
      <c r="AC32" s="42"/>
      <c r="AD32" s="55"/>
      <c r="AE32" s="47"/>
      <c r="AF32" s="114"/>
      <c r="AG32" s="212"/>
      <c r="AH32" s="47">
        <v>39</v>
      </c>
      <c r="AI32" s="55">
        <f t="shared" si="21"/>
        <v>2046.1578774893114</v>
      </c>
      <c r="AJ32" s="128"/>
      <c r="AK32" s="74">
        <f t="shared" si="17"/>
        <v>42.4</v>
      </c>
      <c r="AL32" s="47">
        <f t="shared" si="6"/>
        <v>0</v>
      </c>
      <c r="AM32" s="47">
        <f t="shared" si="18"/>
        <v>42.4</v>
      </c>
      <c r="AN32" s="203"/>
      <c r="AO32" s="42">
        <f t="shared" si="22"/>
        <v>37.372664217357297</v>
      </c>
      <c r="AP32" s="45"/>
      <c r="AQ32" s="47"/>
      <c r="AR32" s="55"/>
      <c r="AS32" s="55"/>
      <c r="AT32" s="127"/>
      <c r="AW32" s="102">
        <v>0</v>
      </c>
      <c r="AX32" s="56">
        <v>47</v>
      </c>
      <c r="AY32" s="45">
        <v>25</v>
      </c>
      <c r="AZ32" s="378"/>
      <c r="BA32" s="385">
        <f t="shared" si="8"/>
        <v>3.4</v>
      </c>
      <c r="BB32" s="30">
        <v>2.77</v>
      </c>
      <c r="BC32" s="407">
        <v>16039</v>
      </c>
      <c r="BE32" s="574">
        <f t="shared" si="19"/>
        <v>18</v>
      </c>
      <c r="BF32" s="559">
        <v>6901.08</v>
      </c>
      <c r="BG32" s="575">
        <f t="shared" si="20"/>
        <v>0</v>
      </c>
      <c r="BH32" s="576">
        <v>27.70208333333338</v>
      </c>
      <c r="BI32" s="576">
        <f t="shared" si="9"/>
        <v>11.29791666666662</v>
      </c>
    </row>
    <row r="33" spans="1:61" ht="12.95" customHeight="1">
      <c r="A33" s="48">
        <f t="shared" si="10"/>
        <v>19</v>
      </c>
      <c r="B33" s="104">
        <v>6901.07</v>
      </c>
      <c r="C33" s="483">
        <f>IF(B33="",C32,VLOOKUP(TRUNC(B33,1),VLOOKUP!$A$3:$K$2834,RIGHT(TEXT(B33,"0000.00"),1)+2,FALSE))</f>
        <v>287543</v>
      </c>
      <c r="D33" s="45">
        <f t="shared" si="11"/>
        <v>-38</v>
      </c>
      <c r="E33" s="55">
        <f t="shared" si="0"/>
        <v>135543</v>
      </c>
      <c r="F33" s="112">
        <f t="shared" si="1"/>
        <v>-19.158053945046635</v>
      </c>
      <c r="G33" s="47">
        <v>39.799999999999997</v>
      </c>
      <c r="H33" s="125">
        <v>0</v>
      </c>
      <c r="I33" s="47">
        <f t="shared" si="2"/>
        <v>39.799999999999997</v>
      </c>
      <c r="J33" s="42">
        <f t="shared" si="3"/>
        <v>0</v>
      </c>
      <c r="K33" s="47">
        <f t="shared" si="4"/>
        <v>39.799999999999997</v>
      </c>
      <c r="L33" s="47">
        <f t="shared" si="12"/>
        <v>-16.558053945046634</v>
      </c>
      <c r="M33" s="114">
        <v>3.4</v>
      </c>
      <c r="N33" s="47">
        <v>0</v>
      </c>
      <c r="O33" s="47">
        <f t="shared" si="13"/>
        <v>0</v>
      </c>
      <c r="P33" s="39">
        <v>0</v>
      </c>
      <c r="Q33" s="284">
        <f>885500/325851/1.9835*1.02</f>
        <v>1.3974538494834796</v>
      </c>
      <c r="R33" s="73">
        <v>0</v>
      </c>
      <c r="S33" s="65">
        <f>IF(((1.9*1.04)-T33)&gt;=4.2,4.2,(1.9*1.04)-T33)</f>
        <v>1.3564512</v>
      </c>
      <c r="T33" s="73">
        <f t="shared" si="26"/>
        <v>0.61954880000000012</v>
      </c>
      <c r="U33" s="243">
        <f t="shared" si="15"/>
        <v>2.6546150516520317E-2</v>
      </c>
      <c r="V33" s="47">
        <v>0</v>
      </c>
      <c r="W33" s="47">
        <v>0</v>
      </c>
      <c r="X33" s="47">
        <f t="shared" si="16"/>
        <v>0</v>
      </c>
      <c r="Y33" s="47">
        <f t="shared" si="5"/>
        <v>0</v>
      </c>
      <c r="Z33" s="47"/>
      <c r="AA33" s="47"/>
      <c r="AB33" s="55"/>
      <c r="AC33" s="42"/>
      <c r="AD33" s="55"/>
      <c r="AE33" s="47"/>
      <c r="AF33" s="114"/>
      <c r="AG33" s="212"/>
      <c r="AH33" s="47">
        <v>39</v>
      </c>
      <c r="AI33" s="55">
        <f t="shared" si="21"/>
        <v>2007.1578774893114</v>
      </c>
      <c r="AJ33" s="128"/>
      <c r="AK33" s="74">
        <f t="shared" si="17"/>
        <v>42.4</v>
      </c>
      <c r="AL33" s="47">
        <f t="shared" si="6"/>
        <v>16.558053945046634</v>
      </c>
      <c r="AM33" s="47">
        <f t="shared" si="18"/>
        <v>58.958053945046629</v>
      </c>
      <c r="AN33" s="203"/>
      <c r="AO33" s="42">
        <f t="shared" si="22"/>
        <v>38.402546150516514</v>
      </c>
      <c r="AP33" s="45"/>
      <c r="AQ33" s="47"/>
      <c r="AR33" s="55"/>
      <c r="AS33" s="55"/>
      <c r="AT33" s="127"/>
      <c r="AW33" s="102">
        <v>0</v>
      </c>
      <c r="AX33" s="56">
        <v>51</v>
      </c>
      <c r="AY33" s="45">
        <v>28</v>
      </c>
      <c r="AZ33" s="378"/>
      <c r="BA33" s="385">
        <f t="shared" si="8"/>
        <v>3.4</v>
      </c>
      <c r="BB33" s="30">
        <v>2.82</v>
      </c>
      <c r="BC33" s="407">
        <v>16038</v>
      </c>
      <c r="BE33" s="574">
        <f t="shared" si="19"/>
        <v>19</v>
      </c>
      <c r="BF33" s="559">
        <v>6901.08</v>
      </c>
      <c r="BG33" s="575">
        <f t="shared" si="20"/>
        <v>-1.0000000000218279E-2</v>
      </c>
      <c r="BH33" s="576">
        <v>27.712500000000045</v>
      </c>
      <c r="BI33" s="576">
        <f t="shared" si="9"/>
        <v>11.287499999999955</v>
      </c>
    </row>
    <row r="34" spans="1:61" ht="12.95" customHeight="1">
      <c r="A34" s="48">
        <f t="shared" si="10"/>
        <v>20</v>
      </c>
      <c r="B34" s="104">
        <v>6901.06</v>
      </c>
      <c r="C34" s="483">
        <f>IF(B34="",C33,VLOOKUP(TRUNC(B34,1),VLOOKUP!$A$3:$K$2834,RIGHT(TEXT(B34,"0000.00"),1)+2,FALSE))</f>
        <v>287506</v>
      </c>
      <c r="D34" s="45">
        <f t="shared" si="11"/>
        <v>-37</v>
      </c>
      <c r="E34" s="55">
        <f t="shared" si="0"/>
        <v>135506</v>
      </c>
      <c r="F34" s="112">
        <f t="shared" si="1"/>
        <v>-18.653894630703302</v>
      </c>
      <c r="G34" s="47">
        <v>39.4</v>
      </c>
      <c r="H34" s="125">
        <v>0</v>
      </c>
      <c r="I34" s="47">
        <f t="shared" si="2"/>
        <v>39.4</v>
      </c>
      <c r="J34" s="42">
        <f t="shared" si="3"/>
        <v>0</v>
      </c>
      <c r="K34" s="47">
        <f t="shared" si="4"/>
        <v>39.4</v>
      </c>
      <c r="L34" s="47">
        <f t="shared" si="12"/>
        <v>-15.653894630703302</v>
      </c>
      <c r="M34" s="114">
        <v>3.4</v>
      </c>
      <c r="N34" s="47">
        <v>0</v>
      </c>
      <c r="O34" s="47">
        <f t="shared" si="13"/>
        <v>0</v>
      </c>
      <c r="P34" s="39">
        <v>0</v>
      </c>
      <c r="Q34" s="284">
        <f>1022000/325851/1.9835*1.02</f>
        <v>1.6128716365580082</v>
      </c>
      <c r="R34" s="73">
        <v>0</v>
      </c>
      <c r="S34" s="65">
        <f>IF(((1.7*1.04)-T34)&gt;=4.2,4.2,(1.7*1.04)-T34)</f>
        <v>1.1484511999999998</v>
      </c>
      <c r="T34" s="73">
        <f>(0.562*1.06)*1.04</f>
        <v>0.61954880000000012</v>
      </c>
      <c r="U34" s="243">
        <f t="shared" si="15"/>
        <v>1.9128363441991869E-2</v>
      </c>
      <c r="V34" s="47">
        <v>0</v>
      </c>
      <c r="W34" s="47">
        <v>0</v>
      </c>
      <c r="X34" s="47">
        <f t="shared" si="16"/>
        <v>0</v>
      </c>
      <c r="Y34" s="47">
        <f t="shared" si="5"/>
        <v>0</v>
      </c>
      <c r="Z34" s="47"/>
      <c r="AA34" s="47"/>
      <c r="AB34" s="55"/>
      <c r="AC34" s="42"/>
      <c r="AD34" s="55"/>
      <c r="AE34" s="47"/>
      <c r="AF34" s="114"/>
      <c r="AG34" s="212"/>
      <c r="AH34" s="47">
        <v>39</v>
      </c>
      <c r="AI34" s="55">
        <f t="shared" si="21"/>
        <v>1968.1578774893114</v>
      </c>
      <c r="AJ34" s="128"/>
      <c r="AK34" s="74">
        <f t="shared" si="17"/>
        <v>42.4</v>
      </c>
      <c r="AL34" s="47">
        <f t="shared" si="6"/>
        <v>15.653894630703302</v>
      </c>
      <c r="AM34" s="47">
        <f t="shared" si="18"/>
        <v>58.053894630703297</v>
      </c>
      <c r="AN34" s="203"/>
      <c r="AO34" s="42">
        <f t="shared" si="22"/>
        <v>37.787128363441994</v>
      </c>
      <c r="AP34" s="45"/>
      <c r="AQ34" s="47"/>
      <c r="AR34" s="55"/>
      <c r="AS34" s="55"/>
      <c r="AT34" s="127"/>
      <c r="AW34" s="102">
        <v>0</v>
      </c>
      <c r="AX34" s="56">
        <v>52</v>
      </c>
      <c r="AY34" s="45">
        <v>17</v>
      </c>
      <c r="AZ34" s="378"/>
      <c r="BA34" s="385">
        <f t="shared" si="8"/>
        <v>3.4</v>
      </c>
      <c r="BB34" s="30">
        <v>2.83</v>
      </c>
      <c r="BC34" s="407">
        <v>16039</v>
      </c>
      <c r="BE34" s="574">
        <f t="shared" si="19"/>
        <v>20</v>
      </c>
      <c r="BF34" s="559">
        <v>6901.06</v>
      </c>
      <c r="BG34" s="575">
        <f t="shared" si="20"/>
        <v>0</v>
      </c>
      <c r="BH34" s="576">
        <v>27.712500000000045</v>
      </c>
      <c r="BI34" s="576">
        <f t="shared" si="9"/>
        <v>11.287499999999955</v>
      </c>
    </row>
    <row r="35" spans="1:61" ht="12.95" customHeight="1">
      <c r="A35" s="48">
        <f t="shared" si="10"/>
        <v>21</v>
      </c>
      <c r="B35" s="104">
        <v>6901.06</v>
      </c>
      <c r="C35" s="483">
        <f>IF(B35="",C34,VLOOKUP(TRUNC(B35,1),VLOOKUP!$A$3:$K$2834,RIGHT(TEXT(B35,"0000.00"),1)+2,FALSE))</f>
        <v>287506</v>
      </c>
      <c r="D35" s="45">
        <f t="shared" si="11"/>
        <v>0</v>
      </c>
      <c r="E35" s="55">
        <f t="shared" si="0"/>
        <v>135506</v>
      </c>
      <c r="F35" s="112">
        <f t="shared" si="1"/>
        <v>0</v>
      </c>
      <c r="G35" s="47">
        <v>39.700000000000003</v>
      </c>
      <c r="H35" s="125">
        <v>0</v>
      </c>
      <c r="I35" s="47">
        <f t="shared" si="2"/>
        <v>39.700000000000003</v>
      </c>
      <c r="J35" s="42">
        <f t="shared" si="3"/>
        <v>2.6999999999999957</v>
      </c>
      <c r="K35" s="47">
        <f t="shared" si="4"/>
        <v>42.4</v>
      </c>
      <c r="L35" s="47">
        <f t="shared" si="12"/>
        <v>2.6999999999999957</v>
      </c>
      <c r="M35" s="114">
        <v>3.4</v>
      </c>
      <c r="N35" s="47">
        <v>0</v>
      </c>
      <c r="O35" s="47">
        <f t="shared" si="13"/>
        <v>0</v>
      </c>
      <c r="P35" s="39">
        <v>0</v>
      </c>
      <c r="Q35" s="284">
        <f>1005200/325851/1.9835*1.02</f>
        <v>1.5863586781488355</v>
      </c>
      <c r="R35" s="73">
        <v>0</v>
      </c>
      <c r="S35" s="65">
        <f>IF(((2*1.04)-T35)&gt;=4.2,4.2,(2*1.04)-T35)</f>
        <v>1.5163428800000001</v>
      </c>
      <c r="T35" s="73">
        <f>(0.5113*1.06)*1.04</f>
        <v>0.56365712000000001</v>
      </c>
      <c r="U35" s="243">
        <f t="shared" si="15"/>
        <v>-0.26635867814883563</v>
      </c>
      <c r="V35" s="47">
        <v>0</v>
      </c>
      <c r="W35" s="47">
        <v>0</v>
      </c>
      <c r="X35" s="47">
        <f t="shared" si="16"/>
        <v>0</v>
      </c>
      <c r="Y35" s="47">
        <f t="shared" si="5"/>
        <v>0</v>
      </c>
      <c r="Z35" s="47"/>
      <c r="AA35" s="47"/>
      <c r="AB35" s="55"/>
      <c r="AC35" s="42"/>
      <c r="AD35" s="55"/>
      <c r="AE35" s="47"/>
      <c r="AF35" s="114"/>
      <c r="AG35" s="212"/>
      <c r="AH35" s="47">
        <v>39</v>
      </c>
      <c r="AI35" s="55">
        <f t="shared" si="21"/>
        <v>1929.1578774893114</v>
      </c>
      <c r="AJ35" s="128"/>
      <c r="AK35" s="74">
        <f t="shared" si="17"/>
        <v>42.4</v>
      </c>
      <c r="AL35" s="47">
        <f t="shared" si="6"/>
        <v>0</v>
      </c>
      <c r="AM35" s="47">
        <f t="shared" si="18"/>
        <v>42.4</v>
      </c>
      <c r="AN35" s="203"/>
      <c r="AO35" s="42">
        <f t="shared" si="22"/>
        <v>38.113641321851169</v>
      </c>
      <c r="AP35" s="45"/>
      <c r="AQ35" s="47"/>
      <c r="AR35" s="55"/>
      <c r="AS35" s="55"/>
      <c r="AT35" s="127"/>
      <c r="AW35" s="102">
        <v>0</v>
      </c>
      <c r="AX35" s="45">
        <v>58</v>
      </c>
      <c r="AY35" s="45">
        <v>25</v>
      </c>
      <c r="AZ35" s="378"/>
      <c r="BA35" s="385">
        <f t="shared" si="8"/>
        <v>3.4</v>
      </c>
      <c r="BB35" s="30">
        <v>3.07</v>
      </c>
      <c r="BC35" s="407">
        <v>16039</v>
      </c>
      <c r="BE35" s="574">
        <f t="shared" si="19"/>
        <v>21</v>
      </c>
      <c r="BF35" s="559">
        <v>6901.07</v>
      </c>
      <c r="BG35" s="575">
        <f t="shared" si="20"/>
        <v>-9.999999999308784E-3</v>
      </c>
      <c r="BH35" s="576">
        <v>27.845833333333374</v>
      </c>
      <c r="BI35" s="576">
        <f t="shared" si="9"/>
        <v>11.154166666666626</v>
      </c>
    </row>
    <row r="36" spans="1:61" ht="12.95" customHeight="1">
      <c r="A36" s="48">
        <f t="shared" si="10"/>
        <v>22</v>
      </c>
      <c r="B36" s="104">
        <v>6901.07</v>
      </c>
      <c r="C36" s="483">
        <f>IF(B36="",C35,VLOOKUP(TRUNC(B36,1),VLOOKUP!$A$3:$K$2834,RIGHT(TEXT(B36,"0000.00"),1)+2,FALSE))</f>
        <v>287543</v>
      </c>
      <c r="D36" s="45">
        <f t="shared" si="11"/>
        <v>37</v>
      </c>
      <c r="E36" s="55">
        <f t="shared" si="0"/>
        <v>135543</v>
      </c>
      <c r="F36" s="112">
        <f t="shared" si="1"/>
        <v>18.653894630703302</v>
      </c>
      <c r="G36" s="47">
        <v>45.5</v>
      </c>
      <c r="H36" s="125">
        <v>0</v>
      </c>
      <c r="I36" s="47">
        <f t="shared" si="2"/>
        <v>45.5</v>
      </c>
      <c r="J36" s="42">
        <f t="shared" si="3"/>
        <v>15.553894630703301</v>
      </c>
      <c r="K36" s="47">
        <f t="shared" si="4"/>
        <v>61.053894630703297</v>
      </c>
      <c r="L36" s="47">
        <f t="shared" si="12"/>
        <v>15.553894630703301</v>
      </c>
      <c r="M36" s="114">
        <v>3.4</v>
      </c>
      <c r="N36" s="47">
        <v>0</v>
      </c>
      <c r="O36" s="47">
        <f t="shared" si="13"/>
        <v>0</v>
      </c>
      <c r="P36" s="39">
        <v>0</v>
      </c>
      <c r="Q36" s="284">
        <f>896400/325851/1.9835*1.02</f>
        <v>1.4146557094037169</v>
      </c>
      <c r="R36" s="73">
        <v>0</v>
      </c>
      <c r="S36" s="65">
        <f>IF(((2*1.04)-T36)&gt;=4.2,4.2,(2*1.04)-T36)</f>
        <v>1.5163428800000001</v>
      </c>
      <c r="T36" s="73">
        <f t="shared" ref="T36:T41" si="27">(0.5113*1.06)*1.04</f>
        <v>0.56365712000000001</v>
      </c>
      <c r="U36" s="243">
        <f t="shared" si="15"/>
        <v>-9.4655709403717037E-2</v>
      </c>
      <c r="V36" s="47">
        <v>0</v>
      </c>
      <c r="W36" s="47">
        <v>0</v>
      </c>
      <c r="X36" s="47">
        <f t="shared" si="16"/>
        <v>0</v>
      </c>
      <c r="Y36" s="47">
        <f t="shared" si="5"/>
        <v>0</v>
      </c>
      <c r="Z36" s="47"/>
      <c r="AA36" s="47"/>
      <c r="AB36" s="55"/>
      <c r="AC36" s="42"/>
      <c r="AD36" s="55"/>
      <c r="AE36" s="47"/>
      <c r="AF36" s="114"/>
      <c r="AG36" s="212"/>
      <c r="AH36" s="47">
        <v>39</v>
      </c>
      <c r="AI36" s="55">
        <f t="shared" si="21"/>
        <v>1890.1578774893114</v>
      </c>
      <c r="AJ36" s="128"/>
      <c r="AK36" s="74">
        <f t="shared" si="17"/>
        <v>42.4</v>
      </c>
      <c r="AL36" s="47">
        <f t="shared" si="6"/>
        <v>0</v>
      </c>
      <c r="AM36" s="47">
        <f t="shared" si="18"/>
        <v>42.4</v>
      </c>
      <c r="AN36" s="203"/>
      <c r="AO36" s="42">
        <f t="shared" si="22"/>
        <v>44.085344290596282</v>
      </c>
      <c r="AP36" s="45"/>
      <c r="AQ36" s="47"/>
      <c r="AR36" s="55"/>
      <c r="AS36" s="55"/>
      <c r="AT36" s="127"/>
      <c r="AW36" s="102">
        <v>0.16</v>
      </c>
      <c r="AX36" s="45">
        <v>56</v>
      </c>
      <c r="AY36" s="45">
        <v>33</v>
      </c>
      <c r="AZ36" s="378"/>
      <c r="BA36" s="385">
        <f t="shared" si="8"/>
        <v>3.4</v>
      </c>
      <c r="BB36" s="30">
        <v>3.2</v>
      </c>
      <c r="BC36" s="407">
        <v>16039</v>
      </c>
      <c r="BE36" s="574">
        <f t="shared" si="19"/>
        <v>22</v>
      </c>
      <c r="BF36" s="559">
        <v>6901.07</v>
      </c>
      <c r="BG36" s="575">
        <f t="shared" si="20"/>
        <v>0</v>
      </c>
      <c r="BH36" s="576">
        <v>27.759375000000045</v>
      </c>
      <c r="BI36" s="576">
        <f t="shared" si="9"/>
        <v>11.240624999999955</v>
      </c>
    </row>
    <row r="37" spans="1:61" ht="12.95" customHeight="1">
      <c r="A37" s="48">
        <f t="shared" si="10"/>
        <v>23</v>
      </c>
      <c r="B37" s="104">
        <v>6901.1</v>
      </c>
      <c r="C37" s="483">
        <f>IF(B37="",C36,VLOOKUP(TRUNC(B37,1),VLOOKUP!$A$3:$K$2834,RIGHT(TEXT(B37,"0000.00"),1)+2,FALSE))</f>
        <v>287655</v>
      </c>
      <c r="D37" s="45">
        <f t="shared" si="11"/>
        <v>112</v>
      </c>
      <c r="E37" s="55">
        <f t="shared" si="0"/>
        <v>135655</v>
      </c>
      <c r="F37" s="112">
        <f t="shared" si="1"/>
        <v>56.465843206453236</v>
      </c>
      <c r="G37" s="47">
        <v>50.5</v>
      </c>
      <c r="H37" s="125">
        <v>0</v>
      </c>
      <c r="I37" s="47">
        <f t="shared" si="2"/>
        <v>50.5</v>
      </c>
      <c r="J37" s="42">
        <f t="shared" si="3"/>
        <v>48.365843206453235</v>
      </c>
      <c r="K37" s="47">
        <f t="shared" si="4"/>
        <v>98.865843206453235</v>
      </c>
      <c r="L37" s="47">
        <f t="shared" si="12"/>
        <v>48.365843206453235</v>
      </c>
      <c r="M37" s="114">
        <v>3.4</v>
      </c>
      <c r="N37" s="47">
        <v>0</v>
      </c>
      <c r="O37" s="47">
        <f t="shared" si="13"/>
        <v>0</v>
      </c>
      <c r="P37" s="39">
        <v>0</v>
      </c>
      <c r="Q37" s="284">
        <f>1093100/325851/1.9835*1.02</f>
        <v>1.7250782641111142</v>
      </c>
      <c r="R37" s="73">
        <v>0</v>
      </c>
      <c r="S37" s="65">
        <f t="shared" ref="S37:S42" si="28">IF(((1.9*1.04)-T37)&gt;=4.2,4.2,(1.9*1.04)-T37)</f>
        <v>1.41234288</v>
      </c>
      <c r="T37" s="73">
        <f t="shared" si="27"/>
        <v>0.56365712000000001</v>
      </c>
      <c r="U37" s="243">
        <f t="shared" si="15"/>
        <v>-0.30107826411111427</v>
      </c>
      <c r="V37" s="47">
        <v>0</v>
      </c>
      <c r="W37" s="47">
        <v>0</v>
      </c>
      <c r="X37" s="47">
        <f t="shared" si="16"/>
        <v>0</v>
      </c>
      <c r="Y37" s="47">
        <f t="shared" si="5"/>
        <v>0</v>
      </c>
      <c r="Z37" s="47"/>
      <c r="AA37" s="47"/>
      <c r="AB37" s="55"/>
      <c r="AC37" s="42"/>
      <c r="AD37" s="55"/>
      <c r="AE37" s="47"/>
      <c r="AF37" s="114"/>
      <c r="AG37" s="212"/>
      <c r="AH37" s="47">
        <v>39</v>
      </c>
      <c r="AI37" s="55">
        <f t="shared" si="21"/>
        <v>1851.1578774893114</v>
      </c>
      <c r="AJ37" s="128"/>
      <c r="AK37" s="74">
        <f t="shared" si="17"/>
        <v>42.4</v>
      </c>
      <c r="AL37" s="47">
        <f t="shared" si="6"/>
        <v>0</v>
      </c>
      <c r="AM37" s="47">
        <f t="shared" si="18"/>
        <v>42.4</v>
      </c>
      <c r="AN37" s="203"/>
      <c r="AO37" s="42">
        <f t="shared" si="22"/>
        <v>48.774921735888888</v>
      </c>
      <c r="AP37" s="45"/>
      <c r="AQ37" s="47"/>
      <c r="AR37" s="55"/>
      <c r="AS37" s="55"/>
      <c r="AT37" s="127"/>
      <c r="AW37" s="102">
        <v>0.26</v>
      </c>
      <c r="AX37" s="45">
        <v>45</v>
      </c>
      <c r="AY37" s="56">
        <v>28</v>
      </c>
      <c r="AZ37" s="378"/>
      <c r="BA37" s="385">
        <f t="shared" si="8"/>
        <v>3.4</v>
      </c>
      <c r="BB37" s="30">
        <v>3.35</v>
      </c>
      <c r="BC37" s="407">
        <v>16048</v>
      </c>
      <c r="BE37" s="574">
        <f t="shared" si="19"/>
        <v>23</v>
      </c>
      <c r="BF37" s="559">
        <v>6901.12</v>
      </c>
      <c r="BG37" s="575">
        <f t="shared" si="20"/>
        <v>-1.9999999999527063E-2</v>
      </c>
      <c r="BH37" s="576">
        <v>27.63958333333338</v>
      </c>
      <c r="BI37" s="576">
        <f t="shared" si="9"/>
        <v>11.36041666666662</v>
      </c>
    </row>
    <row r="38" spans="1:61" ht="12.95" customHeight="1">
      <c r="A38" s="48">
        <f t="shared" si="10"/>
        <v>24</v>
      </c>
      <c r="B38" s="104">
        <v>6901.08</v>
      </c>
      <c r="C38" s="483">
        <f>IF(B38="",C37,VLOOKUP(TRUNC(B38,1),VLOOKUP!$A$3:$K$2834,RIGHT(TEXT(B38,"0000.00"),1)+2,FALSE))</f>
        <v>287581</v>
      </c>
      <c r="D38" s="45">
        <f>C38-C37</f>
        <v>-74</v>
      </c>
      <c r="E38" s="55">
        <f t="shared" si="0"/>
        <v>135581</v>
      </c>
      <c r="F38" s="112">
        <f t="shared" si="1"/>
        <v>-37.307789261406604</v>
      </c>
      <c r="G38" s="47">
        <v>46.1</v>
      </c>
      <c r="H38" s="125">
        <v>0</v>
      </c>
      <c r="I38" s="47">
        <f t="shared" si="2"/>
        <v>46.1</v>
      </c>
      <c r="J38" s="42">
        <f t="shared" si="3"/>
        <v>0</v>
      </c>
      <c r="K38" s="47">
        <f t="shared" si="4"/>
        <v>46.1</v>
      </c>
      <c r="L38" s="47">
        <f t="shared" si="12"/>
        <v>-41.007789261406607</v>
      </c>
      <c r="M38" s="114">
        <v>3.4</v>
      </c>
      <c r="N38" s="47">
        <v>0</v>
      </c>
      <c r="O38" s="47">
        <f t="shared" si="13"/>
        <v>0</v>
      </c>
      <c r="P38" s="39">
        <v>0</v>
      </c>
      <c r="Q38" s="284">
        <f>1145300/325851/1.9835*1.02</f>
        <v>1.807457813453901</v>
      </c>
      <c r="R38" s="73">
        <v>0</v>
      </c>
      <c r="S38" s="65">
        <f t="shared" si="28"/>
        <v>1.41234288</v>
      </c>
      <c r="T38" s="73">
        <f t="shared" si="27"/>
        <v>0.56365712000000001</v>
      </c>
      <c r="U38" s="243">
        <f t="shared" si="15"/>
        <v>-0.38345781345390106</v>
      </c>
      <c r="V38" s="47">
        <v>0</v>
      </c>
      <c r="W38" s="47">
        <v>0</v>
      </c>
      <c r="X38" s="47">
        <f t="shared" si="16"/>
        <v>0</v>
      </c>
      <c r="Y38" s="47">
        <f t="shared" si="5"/>
        <v>0</v>
      </c>
      <c r="Z38" s="47"/>
      <c r="AA38" s="47"/>
      <c r="AB38" s="55"/>
      <c r="AC38" s="42"/>
      <c r="AD38" s="55"/>
      <c r="AE38" s="47"/>
      <c r="AF38" s="114"/>
      <c r="AG38" s="212"/>
      <c r="AH38" s="47">
        <v>39</v>
      </c>
      <c r="AI38" s="55">
        <f t="shared" si="21"/>
        <v>1812.1578774893114</v>
      </c>
      <c r="AJ38" s="128"/>
      <c r="AK38" s="74">
        <f t="shared" si="17"/>
        <v>42.4</v>
      </c>
      <c r="AL38" s="47">
        <f t="shared" si="6"/>
        <v>41.007789261406607</v>
      </c>
      <c r="AM38" s="47">
        <f t="shared" si="18"/>
        <v>83.407789261406606</v>
      </c>
      <c r="AN38" s="203"/>
      <c r="AO38" s="42">
        <f t="shared" si="22"/>
        <v>44.2925421865461</v>
      </c>
      <c r="AP38" s="45"/>
      <c r="AQ38" s="47"/>
      <c r="AR38" s="55"/>
      <c r="AS38" s="55"/>
      <c r="AT38" s="127"/>
      <c r="AW38" s="102">
        <v>0</v>
      </c>
      <c r="AX38" s="45">
        <v>43</v>
      </c>
      <c r="AY38" s="56">
        <v>23</v>
      </c>
      <c r="AZ38" s="378"/>
      <c r="BA38" s="385">
        <f t="shared" si="8"/>
        <v>3.4</v>
      </c>
      <c r="BB38" s="30">
        <v>3.13</v>
      </c>
      <c r="BC38" s="407">
        <v>16051</v>
      </c>
      <c r="BE38" s="574">
        <f t="shared" si="19"/>
        <v>24</v>
      </c>
      <c r="BF38" s="559">
        <v>6901.11</v>
      </c>
      <c r="BG38" s="575">
        <f t="shared" si="20"/>
        <v>-2.9999999999745341E-2</v>
      </c>
      <c r="BH38" s="576">
        <v>27.87395833333338</v>
      </c>
      <c r="BI38" s="576">
        <f t="shared" si="9"/>
        <v>11.12604166666662</v>
      </c>
    </row>
    <row r="39" spans="1:61" ht="12.95" customHeight="1">
      <c r="A39" s="48">
        <f t="shared" si="10"/>
        <v>25</v>
      </c>
      <c r="B39" s="104">
        <v>6901.06</v>
      </c>
      <c r="C39" s="483">
        <f>IF(B39="",C38,VLOOKUP(TRUNC(B39,1),VLOOKUP!$A$3:$K$2834,RIGHT(TEXT(B39,"0000.00"),1)+2,FALSE))</f>
        <v>287506</v>
      </c>
      <c r="D39" s="45">
        <f t="shared" si="11"/>
        <v>-75</v>
      </c>
      <c r="E39" s="55">
        <f t="shared" si="0"/>
        <v>135506</v>
      </c>
      <c r="F39" s="112">
        <f t="shared" si="1"/>
        <v>-37.811948575749938</v>
      </c>
      <c r="G39" s="47">
        <v>40.200000000000003</v>
      </c>
      <c r="H39" s="125">
        <v>0</v>
      </c>
      <c r="I39" s="47">
        <f t="shared" si="2"/>
        <v>40.200000000000003</v>
      </c>
      <c r="J39" s="42">
        <f t="shared" si="3"/>
        <v>0</v>
      </c>
      <c r="K39" s="47">
        <f t="shared" si="4"/>
        <v>40.200000000000003</v>
      </c>
      <c r="L39" s="47">
        <f t="shared" si="12"/>
        <v>-5.6119485757499348</v>
      </c>
      <c r="M39" s="114">
        <v>3.4</v>
      </c>
      <c r="N39" s="47">
        <v>0</v>
      </c>
      <c r="O39" s="47">
        <f t="shared" si="13"/>
        <v>0</v>
      </c>
      <c r="P39" s="39">
        <v>0</v>
      </c>
      <c r="Q39" s="284">
        <f>834200/325851/1.9835*1.02</f>
        <v>1.3164946371983273</v>
      </c>
      <c r="R39" s="73">
        <v>0</v>
      </c>
      <c r="S39" s="65">
        <f t="shared" si="28"/>
        <v>1.41234288</v>
      </c>
      <c r="T39" s="73">
        <f t="shared" si="27"/>
        <v>0.56365712000000001</v>
      </c>
      <c r="U39" s="243">
        <f t="shared" si="15"/>
        <v>0.10750536280167244</v>
      </c>
      <c r="V39" s="47">
        <v>30</v>
      </c>
      <c r="W39" s="47">
        <v>0</v>
      </c>
      <c r="X39" s="47">
        <f t="shared" si="16"/>
        <v>30</v>
      </c>
      <c r="Y39" s="47">
        <f t="shared" si="5"/>
        <v>30</v>
      </c>
      <c r="Z39" s="47"/>
      <c r="AA39" s="47"/>
      <c r="AB39" s="55"/>
      <c r="AC39" s="42"/>
      <c r="AD39" s="55"/>
      <c r="AE39" s="47"/>
      <c r="AF39" s="114"/>
      <c r="AG39" s="212"/>
      <c r="AH39" s="47">
        <v>39</v>
      </c>
      <c r="AI39" s="55">
        <f t="shared" si="21"/>
        <v>1773.1578774893114</v>
      </c>
      <c r="AJ39" s="128"/>
      <c r="AK39" s="74">
        <f t="shared" si="17"/>
        <v>72.400000000000006</v>
      </c>
      <c r="AL39" s="47">
        <f t="shared" si="6"/>
        <v>5.6119485757499348</v>
      </c>
      <c r="AM39" s="47">
        <f t="shared" si="18"/>
        <v>78.01194857574994</v>
      </c>
      <c r="AN39" s="203">
        <f>V39</f>
        <v>30</v>
      </c>
      <c r="AO39" s="42">
        <f t="shared" si="22"/>
        <v>8.883505362801678</v>
      </c>
      <c r="AP39" s="45"/>
      <c r="AQ39" s="47"/>
      <c r="AR39" s="55"/>
      <c r="AS39" s="55"/>
      <c r="AT39" s="127"/>
      <c r="AW39" s="102">
        <v>0</v>
      </c>
      <c r="AX39" s="45">
        <v>35</v>
      </c>
      <c r="AY39" s="56">
        <v>17</v>
      </c>
      <c r="AZ39" s="378"/>
      <c r="BA39" s="385">
        <f t="shared" si="8"/>
        <v>3.4</v>
      </c>
      <c r="BB39" s="30">
        <v>3.07</v>
      </c>
      <c r="BC39" s="407">
        <v>16052</v>
      </c>
      <c r="BE39" s="574">
        <f t="shared" si="19"/>
        <v>25</v>
      </c>
      <c r="BF39" s="559">
        <v>6901.08</v>
      </c>
      <c r="BG39" s="575">
        <f t="shared" si="20"/>
        <v>-1.9999999999527063E-2</v>
      </c>
      <c r="BH39" s="576">
        <v>27.950000000000042</v>
      </c>
      <c r="BI39" s="576">
        <f t="shared" si="9"/>
        <v>11.049999999999958</v>
      </c>
    </row>
    <row r="40" spans="1:61" ht="12.95" customHeight="1">
      <c r="A40" s="48">
        <f t="shared" si="10"/>
        <v>26</v>
      </c>
      <c r="B40" s="104">
        <v>6901</v>
      </c>
      <c r="C40" s="483">
        <f>IF(B40="",C39,VLOOKUP(TRUNC(B40,1),VLOOKUP!$A$3:$K$2834,RIGHT(TEXT(B40,"0000.00"),1)+2,FALSE))</f>
        <v>287282</v>
      </c>
      <c r="D40" s="45">
        <f t="shared" si="11"/>
        <v>-224</v>
      </c>
      <c r="E40" s="55">
        <f t="shared" si="0"/>
        <v>135282</v>
      </c>
      <c r="F40" s="112">
        <f t="shared" si="1"/>
        <v>-112.93168641290647</v>
      </c>
      <c r="G40" s="47">
        <v>41.2</v>
      </c>
      <c r="H40" s="125">
        <v>0</v>
      </c>
      <c r="I40" s="47">
        <f t="shared" si="2"/>
        <v>41.2</v>
      </c>
      <c r="J40" s="42">
        <f t="shared" si="3"/>
        <v>0</v>
      </c>
      <c r="K40" s="47">
        <f t="shared" si="4"/>
        <v>41.2</v>
      </c>
      <c r="L40" s="47">
        <f t="shared" si="12"/>
        <v>-31.73168641290647</v>
      </c>
      <c r="M40" s="114">
        <v>3.4</v>
      </c>
      <c r="N40" s="47">
        <v>0</v>
      </c>
      <c r="O40" s="47">
        <f t="shared" si="13"/>
        <v>0</v>
      </c>
      <c r="P40" s="39">
        <v>0</v>
      </c>
      <c r="Q40" s="284">
        <f>989700/325851/1.9835*1.02</f>
        <v>1.561897317711801</v>
      </c>
      <c r="R40" s="73">
        <v>0</v>
      </c>
      <c r="S40" s="65">
        <f t="shared" si="28"/>
        <v>1.41234288</v>
      </c>
      <c r="T40" s="73">
        <f t="shared" si="27"/>
        <v>0.56365712000000001</v>
      </c>
      <c r="U40" s="243">
        <f t="shared" si="15"/>
        <v>-0.13789731771180103</v>
      </c>
      <c r="V40" s="47">
        <v>80</v>
      </c>
      <c r="W40" s="47">
        <v>0</v>
      </c>
      <c r="X40" s="47">
        <f t="shared" si="16"/>
        <v>80</v>
      </c>
      <c r="Y40" s="47">
        <f t="shared" si="5"/>
        <v>80</v>
      </c>
      <c r="Z40" s="47"/>
      <c r="AA40" s="47"/>
      <c r="AB40" s="55"/>
      <c r="AC40" s="42"/>
      <c r="AD40" s="55"/>
      <c r="AE40" s="47"/>
      <c r="AF40" s="114"/>
      <c r="AG40" s="212"/>
      <c r="AH40" s="47">
        <v>39</v>
      </c>
      <c r="AI40" s="55">
        <f t="shared" si="21"/>
        <v>1734.1578774893114</v>
      </c>
      <c r="AJ40" s="128"/>
      <c r="AK40" s="74">
        <f t="shared" si="17"/>
        <v>122.4</v>
      </c>
      <c r="AL40" s="47">
        <f t="shared" si="6"/>
        <v>31.73168641290647</v>
      </c>
      <c r="AM40" s="47">
        <f t="shared" si="18"/>
        <v>154.13168641290648</v>
      </c>
      <c r="AN40" s="203">
        <f t="shared" ref="AN40:AN43" si="29">V40</f>
        <v>80</v>
      </c>
      <c r="AO40" s="42">
        <f t="shared" si="22"/>
        <v>-40.361897317711801</v>
      </c>
      <c r="AP40" s="45"/>
      <c r="AQ40" s="47"/>
      <c r="AR40" s="55"/>
      <c r="AS40" s="55"/>
      <c r="AT40" s="127"/>
      <c r="AW40" s="102">
        <v>0</v>
      </c>
      <c r="AX40" s="45">
        <v>48</v>
      </c>
      <c r="AY40" s="45">
        <v>11</v>
      </c>
      <c r="AZ40" s="378"/>
      <c r="BA40" s="385">
        <f t="shared" si="8"/>
        <v>3.4</v>
      </c>
      <c r="BB40" s="30">
        <v>3.07</v>
      </c>
      <c r="BC40" s="407">
        <v>16051</v>
      </c>
      <c r="BE40" s="574">
        <f t="shared" si="19"/>
        <v>26</v>
      </c>
      <c r="BF40" s="559">
        <v>6901.01</v>
      </c>
      <c r="BG40" s="575">
        <f t="shared" si="20"/>
        <v>-1.0000000000218279E-2</v>
      </c>
      <c r="BH40" s="576">
        <v>27.8385416666667</v>
      </c>
      <c r="BI40" s="576">
        <f t="shared" si="9"/>
        <v>11.1614583333333</v>
      </c>
    </row>
    <row r="41" spans="1:61" ht="12.95" customHeight="1">
      <c r="A41" s="48">
        <f t="shared" si="10"/>
        <v>27</v>
      </c>
      <c r="B41" s="104">
        <v>6900.86</v>
      </c>
      <c r="C41" s="483">
        <f>IF(B41="",C40,VLOOKUP(TRUNC(B41,1),VLOOKUP!$A$3:$K$2834,RIGHT(TEXT(B41,"0000.00"),1)+2,FALSE))</f>
        <v>286764</v>
      </c>
      <c r="D41" s="45">
        <f t="shared" si="11"/>
        <v>-518</v>
      </c>
      <c r="E41" s="55">
        <f t="shared" si="0"/>
        <v>134764</v>
      </c>
      <c r="F41" s="112">
        <f t="shared" si="1"/>
        <v>-261.15452482984625</v>
      </c>
      <c r="G41" s="47">
        <v>48.1</v>
      </c>
      <c r="H41" s="125">
        <v>0</v>
      </c>
      <c r="I41" s="47">
        <f t="shared" si="2"/>
        <v>48.1</v>
      </c>
      <c r="J41" s="42">
        <f t="shared" si="3"/>
        <v>0</v>
      </c>
      <c r="K41" s="47">
        <f t="shared" si="4"/>
        <v>48.1</v>
      </c>
      <c r="L41" s="47">
        <f t="shared" si="12"/>
        <v>-165.85452482984624</v>
      </c>
      <c r="M41" s="114">
        <v>3.4</v>
      </c>
      <c r="N41" s="47">
        <v>0</v>
      </c>
      <c r="O41" s="47">
        <f t="shared" si="13"/>
        <v>0</v>
      </c>
      <c r="P41" s="39">
        <v>0</v>
      </c>
      <c r="Q41" s="284">
        <f>1148500/325851/1.9835*1.02</f>
        <v>1.8125079007699338</v>
      </c>
      <c r="R41" s="73">
        <v>0</v>
      </c>
      <c r="S41" s="65">
        <f t="shared" si="28"/>
        <v>1.41234288</v>
      </c>
      <c r="T41" s="73">
        <f t="shared" si="27"/>
        <v>0.56365712000000001</v>
      </c>
      <c r="U41" s="243">
        <f t="shared" si="15"/>
        <v>-0.38850790076993436</v>
      </c>
      <c r="V41" s="47">
        <v>101</v>
      </c>
      <c r="W41" s="47">
        <v>0</v>
      </c>
      <c r="X41" s="47">
        <f t="shared" si="16"/>
        <v>101</v>
      </c>
      <c r="Y41" s="47">
        <f t="shared" si="5"/>
        <v>101</v>
      </c>
      <c r="Z41" s="47"/>
      <c r="AA41" s="47"/>
      <c r="AB41" s="55"/>
      <c r="AC41" s="42"/>
      <c r="AD41" s="55"/>
      <c r="AE41" s="47"/>
      <c r="AF41" s="114"/>
      <c r="AG41" s="212"/>
      <c r="AH41" s="47">
        <v>39</v>
      </c>
      <c r="AI41" s="55">
        <f t="shared" si="21"/>
        <v>1695.1578774893114</v>
      </c>
      <c r="AJ41" s="128"/>
      <c r="AK41" s="74">
        <f t="shared" si="17"/>
        <v>143.4</v>
      </c>
      <c r="AL41" s="47">
        <f t="shared" si="6"/>
        <v>165.85452482984624</v>
      </c>
      <c r="AM41" s="47">
        <f t="shared" si="18"/>
        <v>309.25452482984622</v>
      </c>
      <c r="AN41" s="203">
        <f t="shared" si="29"/>
        <v>101</v>
      </c>
      <c r="AO41" s="42">
        <f t="shared" si="22"/>
        <v>-54.712507900769936</v>
      </c>
      <c r="AP41" s="45"/>
      <c r="AQ41" s="47"/>
      <c r="AR41" s="55"/>
      <c r="AS41" s="55"/>
      <c r="AT41" s="127"/>
      <c r="AW41" s="102">
        <v>0</v>
      </c>
      <c r="AX41" s="45">
        <v>53</v>
      </c>
      <c r="AY41" s="45">
        <v>21</v>
      </c>
      <c r="AZ41" s="378"/>
      <c r="BA41" s="385">
        <f t="shared" si="8"/>
        <v>3.4</v>
      </c>
      <c r="BB41" s="30">
        <v>3.07</v>
      </c>
      <c r="BC41" s="407">
        <v>16052</v>
      </c>
      <c r="BE41" s="574">
        <f t="shared" si="19"/>
        <v>27</v>
      </c>
      <c r="BF41" s="559">
        <v>6900.96</v>
      </c>
      <c r="BG41" s="575">
        <f t="shared" si="20"/>
        <v>-0.1000000000003638</v>
      </c>
      <c r="BH41" s="576">
        <v>27.827083333333373</v>
      </c>
      <c r="BI41" s="576">
        <f t="shared" si="9"/>
        <v>11.172916666666627</v>
      </c>
    </row>
    <row r="42" spans="1:61" ht="12.95" customHeight="1">
      <c r="A42" s="48">
        <v>28</v>
      </c>
      <c r="B42" s="104">
        <v>6900.81</v>
      </c>
      <c r="C42" s="483">
        <f>IF(B42="",C40,VLOOKUP(TRUNC(B42,1),VLOOKUP!$A$3:$K$2834,RIGHT(TEXT(B42,"0000.00"),1)+2,FALSE))</f>
        <v>286579</v>
      </c>
      <c r="D42" s="45">
        <f>C42-C40</f>
        <v>-703</v>
      </c>
      <c r="E42" s="55">
        <f>C42-152000</f>
        <v>134579</v>
      </c>
      <c r="F42" s="112">
        <f>D42/$D$2</f>
        <v>-354.42399798336271</v>
      </c>
      <c r="G42" s="47">
        <v>58.1</v>
      </c>
      <c r="H42" s="125">
        <v>0</v>
      </c>
      <c r="I42" s="47">
        <f>G42+H42</f>
        <v>58.1</v>
      </c>
      <c r="J42" s="42">
        <f>IF(L42&gt;0,L42,0)</f>
        <v>0</v>
      </c>
      <c r="K42" s="47">
        <f>I42+J42</f>
        <v>58.1</v>
      </c>
      <c r="L42" s="47">
        <f t="shared" ref="L42" si="30">IF(G42="",0,F42-(I42-AK42))</f>
        <v>-269.1239979833627</v>
      </c>
      <c r="M42" s="114">
        <v>3.4</v>
      </c>
      <c r="N42" s="47">
        <v>0</v>
      </c>
      <c r="O42" s="47">
        <f t="shared" si="13"/>
        <v>0</v>
      </c>
      <c r="P42" s="39">
        <v>0</v>
      </c>
      <c r="Q42" s="284">
        <f>885200/325851/1.9835*1.02</f>
        <v>1.3969804037976017</v>
      </c>
      <c r="R42" s="73">
        <v>0</v>
      </c>
      <c r="S42" s="65">
        <f t="shared" si="28"/>
        <v>1.4031929600000002</v>
      </c>
      <c r="T42" s="73">
        <f>(0.5196*1.06)*1.04</f>
        <v>0.57280703999999993</v>
      </c>
      <c r="U42" s="243">
        <f>M42-(Q42+R42+S42+T42)</f>
        <v>2.7019596202398244E-2</v>
      </c>
      <c r="V42" s="47">
        <v>101</v>
      </c>
      <c r="W42" s="47">
        <v>0</v>
      </c>
      <c r="X42" s="47">
        <f t="shared" ref="X42" si="31">MAX(0,M42-N42-O42-P42-Q42-R42-S42-T42-U42+V42+W42)</f>
        <v>101</v>
      </c>
      <c r="Y42" s="47">
        <f>X42-AP42</f>
        <v>101</v>
      </c>
      <c r="Z42" s="47"/>
      <c r="AA42" s="47"/>
      <c r="AB42" s="55"/>
      <c r="AC42" s="42"/>
      <c r="AD42" s="55"/>
      <c r="AE42" s="47"/>
      <c r="AF42" s="114"/>
      <c r="AG42" s="212"/>
      <c r="AH42" s="47">
        <v>39</v>
      </c>
      <c r="AI42" s="55">
        <f t="shared" si="21"/>
        <v>1656.1578774893114</v>
      </c>
      <c r="AJ42" s="128"/>
      <c r="AK42" s="74">
        <f>N42+O42+P42+Q42+R42+S42+T42+U42+X42+AE42+AH42</f>
        <v>143.4</v>
      </c>
      <c r="AL42" s="47">
        <f>IF(L42&lt;0,L42*-1,0)</f>
        <v>269.1239979833627</v>
      </c>
      <c r="AM42" s="47">
        <f>AK42+AL42</f>
        <v>412.52399798336273</v>
      </c>
      <c r="AN42" s="203">
        <f t="shared" si="29"/>
        <v>101</v>
      </c>
      <c r="AO42" s="42">
        <f t="shared" ref="AO42" si="32">IF(G42="","",IF(I42&gt;=795,795-X42,I42-Q42-R42-X42-AF42)-AJ42)</f>
        <v>-44.296980403797598</v>
      </c>
      <c r="AP42" s="45"/>
      <c r="AQ42" s="47"/>
      <c r="AR42" s="55"/>
      <c r="AS42" s="55"/>
      <c r="AT42" s="127"/>
      <c r="AW42" s="102">
        <v>0</v>
      </c>
      <c r="AX42" s="45">
        <v>57</v>
      </c>
      <c r="AY42" s="45">
        <v>25</v>
      </c>
      <c r="AZ42" s="378"/>
      <c r="BA42" s="385">
        <f>SUM(N42,P42:U42)</f>
        <v>3.4</v>
      </c>
      <c r="BB42" s="30">
        <v>3.07</v>
      </c>
      <c r="BC42" s="407">
        <v>16051</v>
      </c>
      <c r="BE42" s="574">
        <f>BE40+1</f>
        <v>27</v>
      </c>
      <c r="BF42" s="559">
        <v>6900.9</v>
      </c>
      <c r="BG42" s="575">
        <f t="shared" ref="BG42" si="33">B42-BF42</f>
        <v>-8.9999999999236024E-2</v>
      </c>
      <c r="BH42" s="576">
        <v>27.867708333333368</v>
      </c>
      <c r="BI42" s="576">
        <f t="shared" ref="BI42" si="34">AH42-BH42</f>
        <v>11.132291666666632</v>
      </c>
    </row>
    <row r="43" spans="1:61" ht="12.95" customHeight="1">
      <c r="A43" s="48">
        <v>29</v>
      </c>
      <c r="B43" s="104">
        <v>6900.76</v>
      </c>
      <c r="C43" s="483">
        <f>IF(B43="",C41,VLOOKUP(TRUNC(B43,1),VLOOKUP!$A$3:$K$2834,RIGHT(TEXT(B43,"0000.00"),1)+2,FALSE))</f>
        <v>286393</v>
      </c>
      <c r="D43" s="45">
        <f>C43-C41</f>
        <v>-371</v>
      </c>
      <c r="E43" s="55">
        <f>C43-152000</f>
        <v>134393</v>
      </c>
      <c r="F43" s="112">
        <f>D43/$D$2</f>
        <v>-187.04310562137636</v>
      </c>
      <c r="G43" s="47">
        <v>59.3</v>
      </c>
      <c r="H43" s="125">
        <v>0</v>
      </c>
      <c r="I43" s="47">
        <f>G43+H43</f>
        <v>59.3</v>
      </c>
      <c r="J43" s="42">
        <f>IF(L43&gt;0,L43,0)</f>
        <v>0</v>
      </c>
      <c r="K43" s="47">
        <f>I43+J43</f>
        <v>59.3</v>
      </c>
      <c r="L43" s="47">
        <f t="shared" si="12"/>
        <v>-102.94310562137635</v>
      </c>
      <c r="M43" s="114">
        <v>3.4</v>
      </c>
      <c r="N43" s="47">
        <v>0</v>
      </c>
      <c r="O43" s="47">
        <f t="shared" si="13"/>
        <v>0</v>
      </c>
      <c r="P43" s="39">
        <v>0</v>
      </c>
      <c r="Q43" s="284">
        <f>1010300/325851/1.9835*1.02</f>
        <v>1.5944072548087629</v>
      </c>
      <c r="R43" s="73">
        <v>0</v>
      </c>
      <c r="S43" s="65">
        <f>IF(((2*1.04)-T43)&gt;=4.2,4.2,(2*1.04)-T43)</f>
        <v>1.5071929600000002</v>
      </c>
      <c r="T43" s="73">
        <f>(0.5196*1.06)*1.04</f>
        <v>0.57280703999999993</v>
      </c>
      <c r="U43" s="243">
        <f>M43-(Q43+R43+S43+T43)</f>
        <v>-0.27440725480876305</v>
      </c>
      <c r="V43" s="47">
        <v>101</v>
      </c>
      <c r="W43" s="47">
        <v>0</v>
      </c>
      <c r="X43" s="47">
        <f t="shared" si="16"/>
        <v>101</v>
      </c>
      <c r="Y43" s="47">
        <f>X43-AP43</f>
        <v>101</v>
      </c>
      <c r="Z43" s="47"/>
      <c r="AA43" s="47"/>
      <c r="AB43" s="55"/>
      <c r="AC43" s="42"/>
      <c r="AD43" s="55"/>
      <c r="AE43" s="47"/>
      <c r="AF43" s="114"/>
      <c r="AG43" s="212"/>
      <c r="AH43" s="47">
        <v>39</v>
      </c>
      <c r="AI43" s="55">
        <f t="shared" si="21"/>
        <v>1617.1578774893114</v>
      </c>
      <c r="AJ43" s="128"/>
      <c r="AK43" s="74">
        <f>N43+O43+P43+Q43+R43+S43+T43+U43+X43+AE43+AH43</f>
        <v>143.4</v>
      </c>
      <c r="AL43" s="47">
        <f>IF(L43&lt;0,L43*-1,0)</f>
        <v>102.94310562137635</v>
      </c>
      <c r="AM43" s="47">
        <f>AK43+AL43</f>
        <v>246.34310562137637</v>
      </c>
      <c r="AN43" s="203">
        <f t="shared" si="29"/>
        <v>101</v>
      </c>
      <c r="AO43" s="42">
        <f t="shared" si="22"/>
        <v>-43.294407254808768</v>
      </c>
      <c r="AP43" s="45"/>
      <c r="AQ43" s="47"/>
      <c r="AR43" s="55"/>
      <c r="AS43" s="55"/>
      <c r="AT43" s="127"/>
      <c r="AW43" s="102">
        <v>0</v>
      </c>
      <c r="AX43" s="45">
        <v>57</v>
      </c>
      <c r="AY43" s="45">
        <v>26</v>
      </c>
      <c r="AZ43" s="378"/>
      <c r="BA43" s="385">
        <f>SUM(N43,P43:U43)</f>
        <v>3.4</v>
      </c>
      <c r="BB43" s="30">
        <v>3.07</v>
      </c>
      <c r="BC43" s="407">
        <v>16050</v>
      </c>
      <c r="BE43" s="574">
        <f>BE41+1</f>
        <v>28</v>
      </c>
      <c r="BF43" s="559">
        <v>6900.84</v>
      </c>
      <c r="BG43" s="575">
        <f t="shared" si="20"/>
        <v>-7.999999999992724E-2</v>
      </c>
      <c r="BH43" s="576">
        <v>27.816666666666706</v>
      </c>
      <c r="BI43" s="576">
        <f t="shared" si="9"/>
        <v>11.183333333333294</v>
      </c>
    </row>
    <row r="44" spans="1:61" ht="3" customHeight="1">
      <c r="A44" s="176"/>
      <c r="B44" s="116"/>
      <c r="C44" s="57"/>
      <c r="D44" s="57"/>
      <c r="E44" s="57"/>
      <c r="F44" s="117"/>
      <c r="G44" s="57"/>
      <c r="H44" s="44"/>
      <c r="I44" s="57"/>
      <c r="J44" s="57"/>
      <c r="K44" s="57"/>
      <c r="L44" s="57"/>
      <c r="M44" s="118"/>
      <c r="N44" s="57"/>
      <c r="O44" s="57"/>
      <c r="P44" s="40"/>
      <c r="Q44" s="57"/>
      <c r="R44" s="57"/>
      <c r="S44" s="44"/>
      <c r="T44" s="44"/>
      <c r="U44" s="130"/>
      <c r="V44" s="57">
        <v>100</v>
      </c>
      <c r="W44" s="57">
        <v>0</v>
      </c>
      <c r="X44" s="57"/>
      <c r="Y44" s="57"/>
      <c r="Z44" s="57"/>
      <c r="AA44" s="57"/>
      <c r="AB44" s="57"/>
      <c r="AC44" s="41"/>
      <c r="AD44" s="57"/>
      <c r="AE44" s="57"/>
      <c r="AF44" s="118"/>
      <c r="AG44" s="119"/>
      <c r="AH44" s="57"/>
      <c r="AI44" s="59"/>
      <c r="AJ44" s="255"/>
      <c r="AK44" s="57"/>
      <c r="AL44" s="57"/>
      <c r="AM44" s="117"/>
      <c r="AN44" s="44"/>
      <c r="AO44" s="185"/>
      <c r="AP44" s="44"/>
      <c r="AQ44" s="57"/>
      <c r="AR44" s="57"/>
      <c r="AS44" s="57"/>
      <c r="AT44" s="44"/>
      <c r="AU44" s="256"/>
      <c r="AV44" s="256"/>
      <c r="AW44" s="120"/>
      <c r="AX44" s="57"/>
      <c r="AY44" s="57"/>
      <c r="AZ44" s="57"/>
      <c r="BA44" s="57"/>
      <c r="BB44" s="57"/>
      <c r="BC44" s="57"/>
      <c r="BE44" s="572"/>
      <c r="BF44" s="497"/>
      <c r="BG44" s="497"/>
      <c r="BH44" s="573"/>
      <c r="BI44" s="573"/>
    </row>
    <row r="45" spans="1:61" ht="12.95" customHeight="1">
      <c r="A45" s="90" t="s">
        <v>33</v>
      </c>
      <c r="B45" s="134"/>
      <c r="C45" s="45"/>
      <c r="D45" s="45"/>
      <c r="E45" s="45"/>
      <c r="F45" s="103">
        <f t="shared" ref="F45:Y45" si="35">SUM(F15:F43)</f>
        <v>-1329.4681119233676</v>
      </c>
      <c r="G45" s="45">
        <f t="shared" si="35"/>
        <v>1187.8</v>
      </c>
      <c r="H45" s="45">
        <f t="shared" si="35"/>
        <v>0</v>
      </c>
      <c r="I45" s="45">
        <f t="shared" si="35"/>
        <v>1187.8</v>
      </c>
      <c r="J45" s="45">
        <f t="shared" si="35"/>
        <v>172.78974035795309</v>
      </c>
      <c r="K45" s="45">
        <f t="shared" si="35"/>
        <v>1360.5897403579529</v>
      </c>
      <c r="L45" s="45">
        <f t="shared" si="35"/>
        <v>-694.26811192336777</v>
      </c>
      <c r="M45" s="217">
        <f t="shared" si="35"/>
        <v>99.000000000000057</v>
      </c>
      <c r="N45" s="45">
        <f t="shared" si="35"/>
        <v>0</v>
      </c>
      <c r="O45" s="45">
        <f t="shared" si="35"/>
        <v>0</v>
      </c>
      <c r="P45" s="45">
        <f t="shared" si="35"/>
        <v>0</v>
      </c>
      <c r="Q45" s="45">
        <f t="shared" si="35"/>
        <v>47.667616360805937</v>
      </c>
      <c r="R45" s="45">
        <f t="shared" si="35"/>
        <v>0</v>
      </c>
      <c r="S45" s="45">
        <f t="shared" si="35"/>
        <v>43.063781279999972</v>
      </c>
      <c r="T45" s="45">
        <f t="shared" si="35"/>
        <v>16.944218720000006</v>
      </c>
      <c r="U45" s="436">
        <f t="shared" si="35"/>
        <v>-8.6756163608059413</v>
      </c>
      <c r="V45" s="45">
        <f t="shared" si="35"/>
        <v>587</v>
      </c>
      <c r="W45" s="45">
        <f t="shared" si="35"/>
        <v>0</v>
      </c>
      <c r="X45" s="45">
        <f t="shared" si="35"/>
        <v>587</v>
      </c>
      <c r="Y45" s="45">
        <f t="shared" si="35"/>
        <v>587</v>
      </c>
      <c r="Z45" s="45"/>
      <c r="AA45" s="45"/>
      <c r="AB45" s="45"/>
      <c r="AC45" s="42">
        <f>SUM(AC15:AC43)</f>
        <v>0</v>
      </c>
      <c r="AD45" s="45"/>
      <c r="AE45" s="45">
        <v>0</v>
      </c>
      <c r="AF45" s="114"/>
      <c r="AG45" s="212"/>
      <c r="AH45" s="45">
        <f>SUM(AH15:AH43)</f>
        <v>1137</v>
      </c>
      <c r="AI45" s="45"/>
      <c r="AJ45" s="45">
        <f t="shared" ref="AJ45:AP45" si="36">SUM(AJ15:AJ43)</f>
        <v>0</v>
      </c>
      <c r="AK45" s="45">
        <f t="shared" si="36"/>
        <v>1823.0000000000009</v>
      </c>
      <c r="AL45" s="45">
        <f t="shared" si="36"/>
        <v>867.05785228132095</v>
      </c>
      <c r="AM45" s="103">
        <f t="shared" si="36"/>
        <v>2690.0578522813216</v>
      </c>
      <c r="AN45" s="45">
        <f t="shared" si="36"/>
        <v>587</v>
      </c>
      <c r="AO45" s="43">
        <f>SUM(AO15:AO43)</f>
        <v>553.1323836391939</v>
      </c>
      <c r="AP45" s="45">
        <f t="shared" si="36"/>
        <v>0</v>
      </c>
      <c r="AQ45" s="47"/>
      <c r="AR45" s="47"/>
      <c r="AS45" s="47"/>
      <c r="AT45" s="127"/>
      <c r="AW45" s="102">
        <f>SUM(AW15:AW43)</f>
        <v>0.42000000000000004</v>
      </c>
      <c r="AX45" s="45">
        <f>AVERAGE(AX15:AX43)</f>
        <v>48.068965517241381</v>
      </c>
      <c r="AY45" s="45">
        <f>AVERAGE(AY15:AY43)</f>
        <v>20.517241379310345</v>
      </c>
      <c r="AZ45" s="383" t="s">
        <v>43</v>
      </c>
      <c r="BA45" s="392">
        <f>SUM(BA15:BA43)</f>
        <v>99.000000000000057</v>
      </c>
      <c r="BB45" s="30">
        <f>SUM(BB15:BB43)</f>
        <v>62.220000000000013</v>
      </c>
      <c r="BC45" s="407"/>
      <c r="BF45" s="489"/>
      <c r="BG45" s="489"/>
      <c r="BH45" s="505">
        <f>SUM(BH15:BH43)</f>
        <v>562.29390208815573</v>
      </c>
      <c r="BI45" s="505">
        <f>SUM(BI15:BI43)</f>
        <v>574.70609791184427</v>
      </c>
    </row>
    <row r="46" spans="1:61" ht="12.95" customHeight="1">
      <c r="A46" s="90" t="s">
        <v>34</v>
      </c>
      <c r="B46" s="134"/>
      <c r="C46" s="45"/>
      <c r="D46" s="45">
        <f>SUM(D15:D43)</f>
        <v>-2637</v>
      </c>
      <c r="E46" s="45"/>
      <c r="F46" s="103">
        <f t="shared" ref="F46:Y46" si="37">F45*$D$2</f>
        <v>-2636.9999999999995</v>
      </c>
      <c r="G46" s="45">
        <f t="shared" si="37"/>
        <v>2356.0012999999999</v>
      </c>
      <c r="H46" s="45">
        <f t="shared" si="37"/>
        <v>0</v>
      </c>
      <c r="I46" s="45">
        <f t="shared" si="37"/>
        <v>2356.0012999999999</v>
      </c>
      <c r="J46" s="45">
        <f t="shared" si="37"/>
        <v>342.72844999999995</v>
      </c>
      <c r="K46" s="45">
        <f t="shared" si="37"/>
        <v>2698.7297499999995</v>
      </c>
      <c r="L46" s="45">
        <f t="shared" si="37"/>
        <v>-1377.0808</v>
      </c>
      <c r="M46" s="135">
        <f t="shared" si="37"/>
        <v>196.36650000000012</v>
      </c>
      <c r="N46" s="45">
        <f t="shared" si="37"/>
        <v>0</v>
      </c>
      <c r="O46" s="45">
        <f t="shared" si="37"/>
        <v>0</v>
      </c>
      <c r="P46" s="39"/>
      <c r="Q46" s="45">
        <f t="shared" si="37"/>
        <v>94.548717051658585</v>
      </c>
      <c r="R46" s="45">
        <f t="shared" si="37"/>
        <v>0</v>
      </c>
      <c r="S46" s="45">
        <f t="shared" si="37"/>
        <v>85.417010168879941</v>
      </c>
      <c r="T46" s="45">
        <f t="shared" si="37"/>
        <v>33.608857831120012</v>
      </c>
      <c r="U46" s="341">
        <f t="shared" si="37"/>
        <v>-17.208085051658585</v>
      </c>
      <c r="V46" s="45">
        <f t="shared" si="37"/>
        <v>1164.3145</v>
      </c>
      <c r="W46" s="45">
        <f t="shared" si="37"/>
        <v>0</v>
      </c>
      <c r="X46" s="45">
        <f t="shared" si="37"/>
        <v>1164.3145</v>
      </c>
      <c r="Y46" s="45">
        <f t="shared" si="37"/>
        <v>1164.3145</v>
      </c>
      <c r="Z46" s="45"/>
      <c r="AA46" s="45"/>
      <c r="AB46" s="45"/>
      <c r="AC46" s="42">
        <f>AC45*$D$2</f>
        <v>0</v>
      </c>
      <c r="AD46" s="45"/>
      <c r="AE46" s="45"/>
      <c r="AF46" s="114"/>
      <c r="AG46" s="212"/>
      <c r="AH46" s="45">
        <f>AH45*$D$2</f>
        <v>2255.2395000000001</v>
      </c>
      <c r="AI46" s="45"/>
      <c r="AJ46" s="45">
        <f t="shared" ref="AJ46:AP46" si="38">AJ45*$D$2</f>
        <v>0</v>
      </c>
      <c r="AK46" s="45">
        <f t="shared" si="38"/>
        <v>3615.920500000002</v>
      </c>
      <c r="AL46" s="45">
        <f t="shared" si="38"/>
        <v>1719.8092500000002</v>
      </c>
      <c r="AM46" s="103">
        <f t="shared" si="38"/>
        <v>5335.7297500000013</v>
      </c>
      <c r="AN46" s="45">
        <f t="shared" si="38"/>
        <v>1164.3145</v>
      </c>
      <c r="AO46" s="43">
        <f t="shared" ref="AO46" si="39">AO45*$D$2</f>
        <v>1097.1380829483412</v>
      </c>
      <c r="AP46" s="45">
        <f t="shared" si="38"/>
        <v>0</v>
      </c>
      <c r="AQ46" s="47"/>
      <c r="AR46" s="47"/>
      <c r="AS46" s="47"/>
      <c r="AT46" s="127"/>
      <c r="AW46" s="102"/>
      <c r="AX46" s="45">
        <f>MAX(AX15:AX43)</f>
        <v>58</v>
      </c>
      <c r="AY46" s="45">
        <f>MAX(AY15:AY43)</f>
        <v>33</v>
      </c>
      <c r="AZ46" s="103" t="s">
        <v>35</v>
      </c>
      <c r="BA46" s="392">
        <f>BA45*$D$2</f>
        <v>196.36650000000012</v>
      </c>
      <c r="BB46" s="30">
        <f>BB45*D2</f>
        <v>123.41337000000003</v>
      </c>
      <c r="BC46" s="407"/>
      <c r="BF46" s="489"/>
      <c r="BG46" s="489"/>
      <c r="BH46" s="505">
        <f>BH45*$D$2</f>
        <v>1115.3099547918569</v>
      </c>
      <c r="BI46" s="505">
        <f>BI45*$D$2</f>
        <v>1139.9295452081431</v>
      </c>
    </row>
    <row r="47" spans="1:61" ht="3" customHeight="1">
      <c r="A47" s="54"/>
      <c r="B47" s="116"/>
      <c r="C47" s="57"/>
      <c r="D47" s="57"/>
      <c r="E47" s="57"/>
      <c r="F47" s="117"/>
      <c r="G47" s="57"/>
      <c r="H47" s="44"/>
      <c r="I47" s="57"/>
      <c r="J47" s="57"/>
      <c r="K47" s="57"/>
      <c r="L47" s="57"/>
      <c r="M47" s="118"/>
      <c r="N47" s="57"/>
      <c r="O47" s="57"/>
      <c r="P47" s="40"/>
      <c r="Q47" s="57"/>
      <c r="R47" s="57"/>
      <c r="S47" s="44"/>
      <c r="T47" s="44"/>
      <c r="U47" s="130"/>
      <c r="V47" s="57"/>
      <c r="W47" s="57"/>
      <c r="X47" s="57"/>
      <c r="Y47" s="57"/>
      <c r="Z47" s="57"/>
      <c r="AA47" s="57"/>
      <c r="AB47" s="57"/>
      <c r="AC47" s="41"/>
      <c r="AD47" s="57"/>
      <c r="AE47" s="57"/>
      <c r="AF47" s="118"/>
      <c r="AG47" s="119"/>
      <c r="AH47" s="57"/>
      <c r="AI47" s="59"/>
      <c r="AJ47" s="57"/>
      <c r="AK47" s="57"/>
      <c r="AL47" s="57"/>
      <c r="AM47" s="117"/>
      <c r="AN47" s="44"/>
      <c r="AO47" s="185"/>
      <c r="AP47" s="44"/>
      <c r="AQ47" s="57"/>
      <c r="AR47" s="57"/>
      <c r="AS47" s="57"/>
      <c r="AT47" s="44"/>
      <c r="AU47" s="256"/>
      <c r="AV47" s="256"/>
      <c r="AW47" s="120"/>
      <c r="AX47" s="57"/>
      <c r="AY47" s="57"/>
      <c r="AZ47" s="57"/>
      <c r="BA47" s="57"/>
      <c r="BB47" s="57"/>
      <c r="BC47" s="57"/>
      <c r="BE47" s="572"/>
      <c r="BF47" s="497"/>
      <c r="BG47" s="497"/>
      <c r="BH47" s="506"/>
      <c r="BI47" s="506"/>
    </row>
    <row r="48" spans="1:61" ht="12.95" customHeight="1">
      <c r="A48" s="90" t="s">
        <v>36</v>
      </c>
      <c r="B48" s="134"/>
      <c r="C48" s="45"/>
      <c r="D48" s="45"/>
      <c r="E48" s="45"/>
      <c r="F48" s="103"/>
      <c r="G48" s="45"/>
      <c r="H48" s="45"/>
      <c r="I48" s="45"/>
      <c r="J48" s="45"/>
      <c r="K48" s="45"/>
      <c r="L48" s="45"/>
      <c r="M48" s="135"/>
      <c r="N48" s="45"/>
      <c r="O48" s="45"/>
      <c r="P48" s="39"/>
      <c r="Q48" s="45"/>
      <c r="R48" s="45"/>
      <c r="S48" s="45"/>
      <c r="T48" s="45"/>
      <c r="U48" s="126"/>
      <c r="V48" s="45"/>
      <c r="W48" s="45"/>
      <c r="X48" s="45"/>
      <c r="Y48" s="45"/>
      <c r="Z48" s="45"/>
      <c r="AA48" s="45"/>
      <c r="AB48" s="45"/>
      <c r="AC48" s="42"/>
      <c r="AD48" s="45"/>
      <c r="AE48" s="45"/>
      <c r="AF48" s="114"/>
      <c r="AG48" s="212"/>
      <c r="AH48" s="45"/>
      <c r="AI48" s="45"/>
      <c r="AJ48" s="45"/>
      <c r="AK48" s="45"/>
      <c r="AL48" s="45"/>
      <c r="AM48" s="103"/>
      <c r="AN48" s="45"/>
      <c r="AO48" s="180"/>
      <c r="AP48" s="45"/>
      <c r="AQ48" s="45"/>
      <c r="AR48" s="45"/>
      <c r="AS48" s="45"/>
      <c r="AT48" s="136"/>
      <c r="AW48" s="134"/>
      <c r="AX48" s="45">
        <f>MIN(AX15:AX43)</f>
        <v>28</v>
      </c>
      <c r="AY48" s="45">
        <f>MIN(AY15:AY43)</f>
        <v>2</v>
      </c>
      <c r="AZ48" s="103" t="s">
        <v>37</v>
      </c>
      <c r="BA48" s="392"/>
      <c r="BC48" s="407"/>
      <c r="BF48" s="489"/>
      <c r="BG48" s="489"/>
      <c r="BH48" s="505"/>
      <c r="BI48" s="505"/>
    </row>
    <row r="49" spans="1:61" ht="12.95" customHeight="1">
      <c r="A49" s="90" t="s">
        <v>38</v>
      </c>
      <c r="B49" s="134"/>
      <c r="C49" s="45"/>
      <c r="D49" s="45"/>
      <c r="E49" s="45"/>
      <c r="F49" s="103"/>
      <c r="G49" s="45"/>
      <c r="H49" s="45"/>
      <c r="I49" s="45"/>
      <c r="J49" s="45"/>
      <c r="K49" s="45"/>
      <c r="L49" s="45"/>
      <c r="M49" s="135"/>
      <c r="N49" s="45"/>
      <c r="O49" s="45"/>
      <c r="P49" s="39"/>
      <c r="Q49" s="45"/>
      <c r="R49" s="45"/>
      <c r="S49" s="45"/>
      <c r="T49" s="45"/>
      <c r="U49" s="126"/>
      <c r="V49" s="45"/>
      <c r="W49" s="45"/>
      <c r="X49" s="45"/>
      <c r="Y49" s="45"/>
      <c r="Z49" s="45"/>
      <c r="AA49" s="45"/>
      <c r="AB49" s="45"/>
      <c r="AC49" s="42"/>
      <c r="AD49" s="45"/>
      <c r="AE49" s="45"/>
      <c r="AF49" s="114"/>
      <c r="AG49" s="212"/>
      <c r="AH49" s="45"/>
      <c r="AI49" s="45"/>
      <c r="AJ49" s="45"/>
      <c r="AK49" s="45"/>
      <c r="AL49" s="45"/>
      <c r="AM49" s="103"/>
      <c r="AN49" s="45"/>
      <c r="AO49" s="180"/>
      <c r="AP49" s="45"/>
      <c r="AQ49" s="45"/>
      <c r="AR49" s="45"/>
      <c r="AS49" s="45"/>
      <c r="AT49" s="136"/>
      <c r="AW49" s="134"/>
      <c r="AX49" s="45"/>
      <c r="AY49" s="45"/>
      <c r="AZ49" s="378"/>
      <c r="BA49" s="392"/>
      <c r="BC49" s="407"/>
      <c r="BF49" s="489"/>
      <c r="BG49" s="489"/>
      <c r="BH49" s="505"/>
      <c r="BI49" s="505"/>
    </row>
    <row r="50" spans="1:61" ht="3" customHeight="1">
      <c r="A50" s="54"/>
      <c r="B50" s="137"/>
      <c r="C50" s="44"/>
      <c r="D50" s="44"/>
      <c r="E50" s="44"/>
      <c r="F50" s="111"/>
      <c r="G50" s="44"/>
      <c r="H50" s="44"/>
      <c r="I50" s="44"/>
      <c r="J50" s="44"/>
      <c r="K50" s="44"/>
      <c r="L50" s="44"/>
      <c r="M50" s="138"/>
      <c r="N50" s="44"/>
      <c r="O50" s="44"/>
      <c r="P50" s="40"/>
      <c r="Q50" s="44"/>
      <c r="R50" s="44"/>
      <c r="S50" s="44"/>
      <c r="T50" s="44"/>
      <c r="U50" s="130"/>
      <c r="V50" s="44"/>
      <c r="W50" s="44"/>
      <c r="X50" s="44"/>
      <c r="Y50" s="44"/>
      <c r="Z50" s="44"/>
      <c r="AA50" s="44"/>
      <c r="AB50" s="44"/>
      <c r="AC50" s="41"/>
      <c r="AD50" s="44"/>
      <c r="AE50" s="44"/>
      <c r="AF50" s="138"/>
      <c r="AG50" s="132"/>
      <c r="AH50" s="44"/>
      <c r="AI50" s="44"/>
      <c r="AJ50" s="44"/>
      <c r="AK50" s="44"/>
      <c r="AL50" s="44"/>
      <c r="AM50" s="111"/>
      <c r="AN50" s="44"/>
      <c r="AO50" s="185"/>
      <c r="AP50" s="44"/>
      <c r="AQ50" s="44"/>
      <c r="AR50" s="44"/>
      <c r="AS50" s="44"/>
      <c r="AT50" s="44"/>
      <c r="AU50" s="256"/>
      <c r="AV50" s="256"/>
      <c r="AW50" s="137"/>
      <c r="AX50" s="44"/>
      <c r="AY50" s="44"/>
      <c r="AZ50" s="44"/>
      <c r="BA50" s="44"/>
      <c r="BB50" s="58"/>
      <c r="BC50" s="44"/>
      <c r="BE50" s="572"/>
      <c r="BF50" s="497"/>
      <c r="BG50" s="497"/>
      <c r="BH50" s="506"/>
      <c r="BI50" s="506"/>
    </row>
    <row r="51" spans="1:61" ht="12.95" customHeight="1">
      <c r="A51" s="90" t="s">
        <v>39</v>
      </c>
      <c r="B51" s="134"/>
      <c r="C51" s="45"/>
      <c r="D51" s="45"/>
      <c r="E51" s="45"/>
      <c r="F51" s="103">
        <f t="shared" ref="F51:Y51" si="40">F13+F45</f>
        <v>-3025.964204688682</v>
      </c>
      <c r="G51" s="45">
        <f t="shared" si="40"/>
        <v>4480.1000000000004</v>
      </c>
      <c r="H51" s="45">
        <f t="shared" si="40"/>
        <v>0</v>
      </c>
      <c r="I51" s="45">
        <f t="shared" si="40"/>
        <v>4480.1000000000004</v>
      </c>
      <c r="J51" s="45">
        <f t="shared" si="40"/>
        <v>1257.9298563145956</v>
      </c>
      <c r="K51" s="45">
        <f t="shared" si="40"/>
        <v>5738.0298563145952</v>
      </c>
      <c r="L51" s="45">
        <f t="shared" si="40"/>
        <v>-424.62420468868146</v>
      </c>
      <c r="M51" s="135">
        <f t="shared" si="40"/>
        <v>413.44000000000011</v>
      </c>
      <c r="N51" s="45">
        <f t="shared" si="40"/>
        <v>0</v>
      </c>
      <c r="O51" s="45">
        <f t="shared" si="40"/>
        <v>0</v>
      </c>
      <c r="P51" s="45">
        <f t="shared" si="40"/>
        <v>0</v>
      </c>
      <c r="Q51" s="45">
        <f t="shared" si="40"/>
        <v>202.4248593017476</v>
      </c>
      <c r="R51" s="45">
        <f t="shared" si="40"/>
        <v>0</v>
      </c>
      <c r="S51" s="45">
        <f t="shared" si="40"/>
        <v>192.86805615999998</v>
      </c>
      <c r="T51" s="45">
        <f t="shared" si="40"/>
        <v>69.708279680000018</v>
      </c>
      <c r="U51" s="341">
        <f t="shared" si="40"/>
        <v>-51.561195141747582</v>
      </c>
      <c r="V51" s="45">
        <f t="shared" si="40"/>
        <v>1829</v>
      </c>
      <c r="W51" s="45">
        <f t="shared" si="40"/>
        <v>0</v>
      </c>
      <c r="X51" s="45">
        <f t="shared" si="40"/>
        <v>1829</v>
      </c>
      <c r="Y51" s="45">
        <f t="shared" si="40"/>
        <v>1829</v>
      </c>
      <c r="Z51" s="45"/>
      <c r="AA51" s="45"/>
      <c r="AB51" s="45"/>
      <c r="AC51" s="42">
        <f>AC13+AC45</f>
        <v>0</v>
      </c>
      <c r="AD51" s="45"/>
      <c r="AE51" s="45"/>
      <c r="AF51" s="114"/>
      <c r="AG51" s="212"/>
      <c r="AH51" s="45">
        <f>AH13+AH45</f>
        <v>4839</v>
      </c>
      <c r="AI51" s="45">
        <f>AI43</f>
        <v>1617.1578774893114</v>
      </c>
      <c r="AJ51" s="45">
        <f t="shared" ref="AJ51:AP51" si="41">AJ13+AJ45</f>
        <v>0</v>
      </c>
      <c r="AK51" s="45">
        <f t="shared" si="41"/>
        <v>7081.4400000000014</v>
      </c>
      <c r="AL51" s="45">
        <f t="shared" si="41"/>
        <v>1682.554061003277</v>
      </c>
      <c r="AM51" s="103">
        <f t="shared" si="41"/>
        <v>8763.9940610032772</v>
      </c>
      <c r="AN51" s="45">
        <f t="shared" si="41"/>
        <v>1829</v>
      </c>
      <c r="AO51" s="43">
        <f>AO13+AO45</f>
        <v>2448.6751406982521</v>
      </c>
      <c r="AP51" s="45">
        <f t="shared" si="41"/>
        <v>0</v>
      </c>
      <c r="AQ51" s="45"/>
      <c r="AR51" s="45"/>
      <c r="AS51" s="45"/>
      <c r="AT51" s="136"/>
      <c r="AW51" s="202">
        <f>AW13+AW45</f>
        <v>4.2350000000000003</v>
      </c>
      <c r="AX51" s="45"/>
      <c r="AY51" s="45"/>
      <c r="AZ51" s="378"/>
      <c r="BA51" s="392">
        <f>BA13+BA45</f>
        <v>413.44000000000011</v>
      </c>
      <c r="BB51" s="49">
        <f>BB45+BB13</f>
        <v>177.78900000000004</v>
      </c>
      <c r="BC51" s="407"/>
      <c r="BF51" s="489"/>
      <c r="BG51" s="489"/>
      <c r="BH51" s="505">
        <f>BH13+BH45</f>
        <v>562.29390208815573</v>
      </c>
      <c r="BI51" s="505">
        <f>BI13+BI45</f>
        <v>574.70609791184427</v>
      </c>
    </row>
    <row r="52" spans="1:61" ht="12.95" customHeight="1">
      <c r="A52" s="90" t="s">
        <v>40</v>
      </c>
      <c r="B52" s="134"/>
      <c r="C52" s="45"/>
      <c r="D52" s="45">
        <f>D13+D46</f>
        <v>-6002</v>
      </c>
      <c r="E52" s="55">
        <f>E43</f>
        <v>134393</v>
      </c>
      <c r="F52" s="103">
        <f t="shared" ref="F52:AH52" si="42">F51*$D$2</f>
        <v>-6002.0000000000009</v>
      </c>
      <c r="G52" s="45">
        <f t="shared" si="42"/>
        <v>8886.2783500000005</v>
      </c>
      <c r="H52" s="45">
        <f t="shared" si="42"/>
        <v>0</v>
      </c>
      <c r="I52" s="45">
        <f t="shared" si="42"/>
        <v>8886.2783500000005</v>
      </c>
      <c r="J52" s="45">
        <f t="shared" si="42"/>
        <v>2495.1038700000004</v>
      </c>
      <c r="K52" s="45">
        <f t="shared" si="42"/>
        <v>11381.38222</v>
      </c>
      <c r="L52" s="45">
        <f t="shared" si="42"/>
        <v>-842.24210999999968</v>
      </c>
      <c r="M52" s="135">
        <f t="shared" si="42"/>
        <v>820.05824000000018</v>
      </c>
      <c r="N52" s="45">
        <f t="shared" si="42"/>
        <v>0</v>
      </c>
      <c r="O52" s="45">
        <f t="shared" si="42"/>
        <v>0</v>
      </c>
      <c r="P52" s="45">
        <f t="shared" si="42"/>
        <v>0</v>
      </c>
      <c r="Q52" s="45">
        <f t="shared" si="42"/>
        <v>401.50970842501636</v>
      </c>
      <c r="R52" s="45">
        <f t="shared" si="42"/>
        <v>0</v>
      </c>
      <c r="S52" s="45">
        <f t="shared" si="42"/>
        <v>382.55378939335998</v>
      </c>
      <c r="T52" s="45">
        <f t="shared" si="42"/>
        <v>138.26637274528005</v>
      </c>
      <c r="U52" s="341">
        <f t="shared" si="42"/>
        <v>-102.27163056365633</v>
      </c>
      <c r="V52" s="45">
        <f t="shared" si="42"/>
        <v>3627.8215</v>
      </c>
      <c r="W52" s="45">
        <f t="shared" si="42"/>
        <v>0</v>
      </c>
      <c r="X52" s="45">
        <f t="shared" si="42"/>
        <v>3627.8215</v>
      </c>
      <c r="Y52" s="45">
        <f t="shared" si="42"/>
        <v>3627.8215</v>
      </c>
      <c r="Z52" s="45"/>
      <c r="AA52" s="45"/>
      <c r="AB52" s="45"/>
      <c r="AC52" s="42">
        <f t="shared" si="42"/>
        <v>0</v>
      </c>
      <c r="AD52" s="45"/>
      <c r="AE52" s="45"/>
      <c r="AF52" s="114"/>
      <c r="AG52" s="212"/>
      <c r="AH52" s="45">
        <f t="shared" si="42"/>
        <v>9598.156500000001</v>
      </c>
      <c r="AI52" s="45">
        <f t="shared" ref="AI52:AP52" si="43">AI51*$D$2</f>
        <v>3207.6326500000491</v>
      </c>
      <c r="AJ52" s="45">
        <f t="shared" si="43"/>
        <v>0</v>
      </c>
      <c r="AK52" s="45">
        <f t="shared" si="43"/>
        <v>14046.036240000003</v>
      </c>
      <c r="AL52" s="45">
        <f t="shared" si="43"/>
        <v>3337.3459800000001</v>
      </c>
      <c r="AM52" s="438">
        <f t="shared" si="43"/>
        <v>17383.38222</v>
      </c>
      <c r="AN52" s="45">
        <f t="shared" si="43"/>
        <v>3627.8215</v>
      </c>
      <c r="AO52" s="43">
        <f>AO51*$D$2</f>
        <v>4856.9471415749831</v>
      </c>
      <c r="AP52" s="45">
        <f t="shared" si="43"/>
        <v>0</v>
      </c>
      <c r="AQ52" s="45"/>
      <c r="AR52" s="45"/>
      <c r="AS52" s="45"/>
      <c r="AT52" s="136"/>
      <c r="AU52" s="441"/>
      <c r="AW52" s="134"/>
      <c r="AX52" s="45"/>
      <c r="AY52" s="45"/>
      <c r="AZ52" s="378"/>
      <c r="BA52" s="392">
        <f>BA51*$D$2</f>
        <v>820.05824000000018</v>
      </c>
      <c r="BB52" s="30">
        <f>BB51*D2</f>
        <v>352.6444815000001</v>
      </c>
      <c r="BC52" s="407"/>
      <c r="BF52" s="489"/>
      <c r="BG52" s="489"/>
      <c r="BH52" s="505">
        <f>BH51*$D$2</f>
        <v>1115.3099547918569</v>
      </c>
      <c r="BI52" s="505">
        <f>BI51*$D$2</f>
        <v>1139.9295452081431</v>
      </c>
    </row>
    <row r="53" spans="1:61" ht="3" customHeight="1">
      <c r="A53" s="54"/>
      <c r="B53" s="116"/>
      <c r="C53" s="57"/>
      <c r="D53" s="59"/>
      <c r="E53" s="57"/>
      <c r="F53" s="106"/>
      <c r="G53" s="59"/>
      <c r="H53" s="129"/>
      <c r="I53" s="59"/>
      <c r="J53" s="59"/>
      <c r="K53" s="59"/>
      <c r="L53" s="59"/>
      <c r="M53" s="108"/>
      <c r="N53" s="59"/>
      <c r="O53" s="59"/>
      <c r="P53" s="40"/>
      <c r="Q53" s="59"/>
      <c r="R53" s="59"/>
      <c r="S53" s="40"/>
      <c r="T53" s="40"/>
      <c r="U53" s="130"/>
      <c r="V53" s="59"/>
      <c r="W53" s="59"/>
      <c r="X53" s="59"/>
      <c r="Y53" s="59"/>
      <c r="Z53" s="59"/>
      <c r="AA53" s="59"/>
      <c r="AB53" s="57"/>
      <c r="AC53" s="41"/>
      <c r="AD53" s="57"/>
      <c r="AE53" s="59"/>
      <c r="AF53" s="108"/>
      <c r="AG53" s="109"/>
      <c r="AH53" s="59"/>
      <c r="AI53" s="57"/>
      <c r="AJ53" s="254"/>
      <c r="AK53" s="59"/>
      <c r="AL53" s="59"/>
      <c r="AM53" s="59"/>
      <c r="AN53" s="137"/>
      <c r="AO53" s="185"/>
      <c r="AP53" s="44"/>
      <c r="AQ53" s="59"/>
      <c r="AR53" s="59"/>
      <c r="AS53" s="59"/>
      <c r="AT53" s="44"/>
      <c r="AU53" s="256"/>
      <c r="AV53" s="256"/>
      <c r="AW53" s="116"/>
      <c r="AX53" s="59"/>
      <c r="AY53" s="59"/>
      <c r="AZ53" s="59"/>
      <c r="BA53" s="59"/>
      <c r="BB53" s="59"/>
      <c r="BC53" s="59"/>
      <c r="BE53" s="572"/>
      <c r="BF53" s="578"/>
      <c r="BG53" s="578"/>
      <c r="BH53" s="579"/>
      <c r="BI53" s="579"/>
    </row>
    <row r="54" spans="1:61" ht="11.1" customHeight="1">
      <c r="A54" s="90"/>
      <c r="B54" s="286"/>
      <c r="D54" s="90"/>
      <c r="F54" s="90"/>
      <c r="G54" s="90"/>
      <c r="I54" s="90"/>
      <c r="J54" s="90"/>
      <c r="K54" s="90"/>
      <c r="L54" s="90"/>
      <c r="M54" s="90"/>
      <c r="N54" s="90"/>
      <c r="O54" s="90"/>
      <c r="Q54" s="90"/>
      <c r="R54" s="90"/>
      <c r="V54" s="90"/>
      <c r="W54" s="90"/>
      <c r="X54" s="90"/>
      <c r="Y54" s="90"/>
      <c r="Z54" s="90"/>
      <c r="AA54" s="90"/>
      <c r="AB54" s="49"/>
      <c r="AD54" s="49"/>
      <c r="AE54" s="90"/>
      <c r="AF54" s="90"/>
      <c r="AG54" s="90"/>
      <c r="AH54" s="90"/>
      <c r="AI54" s="49"/>
      <c r="AJ54" s="175"/>
      <c r="AK54" s="90"/>
      <c r="AL54" s="90"/>
      <c r="AM54" s="90"/>
      <c r="AO54" s="27"/>
      <c r="AQ54" s="141"/>
      <c r="AR54" s="7"/>
      <c r="AS54" s="7"/>
      <c r="BH54" s="531"/>
      <c r="BI54" s="531"/>
    </row>
    <row r="55" spans="1:61" ht="11.1" customHeight="1">
      <c r="A55" s="90"/>
      <c r="B55" s="284"/>
      <c r="F55" s="90"/>
      <c r="G55" s="90"/>
      <c r="H55" s="318"/>
      <c r="I55" s="49"/>
      <c r="J55" s="90"/>
      <c r="K55" s="287"/>
      <c r="L55" s="90"/>
      <c r="M55" s="90"/>
      <c r="N55" s="90"/>
      <c r="O55" s="90"/>
      <c r="Q55" s="90"/>
      <c r="R55" s="90"/>
      <c r="V55" s="90"/>
      <c r="W55" s="90"/>
      <c r="X55" s="90"/>
      <c r="Y55" s="90"/>
      <c r="Z55" s="90"/>
      <c r="AA55" s="90"/>
      <c r="AB55" s="49"/>
      <c r="AD55" s="49"/>
      <c r="AE55" s="90"/>
      <c r="AF55" s="90"/>
      <c r="AG55" s="90"/>
      <c r="AH55" s="90"/>
      <c r="AI55" s="49"/>
      <c r="AJ55" s="175"/>
      <c r="AK55" s="90"/>
      <c r="AL55" s="90"/>
      <c r="AM55" s="90"/>
      <c r="AN55" s="48"/>
      <c r="AO55" s="27"/>
      <c r="AP55" s="48"/>
      <c r="AQ55" s="141"/>
      <c r="AR55" s="7"/>
      <c r="AS55" s="7"/>
      <c r="AY55" s="78"/>
      <c r="BF55" s="580"/>
      <c r="BG55" s="580"/>
      <c r="BH55" s="531"/>
      <c r="BI55" s="531"/>
    </row>
    <row r="56" spans="1:61" ht="11.1" customHeight="1">
      <c r="D56" s="49"/>
      <c r="I56" s="49"/>
      <c r="X56" s="30"/>
      <c r="Y56" s="30"/>
      <c r="Z56" s="30"/>
      <c r="AA56" s="30"/>
      <c r="AB56" s="49"/>
      <c r="AD56" s="49"/>
      <c r="AH56" s="30"/>
      <c r="AI56" s="49"/>
      <c r="AJ56" s="175"/>
      <c r="AM56" s="30"/>
      <c r="AN56" s="48"/>
      <c r="AO56" s="27"/>
      <c r="AP56" s="48"/>
      <c r="AQ56" s="200"/>
      <c r="AR56" s="37"/>
      <c r="AS56" s="37"/>
      <c r="AY56" s="78"/>
      <c r="BF56" s="538"/>
      <c r="BG56" s="538"/>
      <c r="BH56" s="510"/>
      <c r="BI56" s="510"/>
    </row>
    <row r="57" spans="1:61" ht="11.1" customHeight="1">
      <c r="B57" s="52"/>
      <c r="D57" s="49"/>
      <c r="I57" s="49"/>
      <c r="X57" s="30"/>
      <c r="Y57" s="30"/>
      <c r="Z57" s="30"/>
      <c r="AA57" s="30"/>
      <c r="AB57" s="49"/>
      <c r="AD57" s="49"/>
      <c r="AH57" s="30"/>
      <c r="AI57" s="49"/>
      <c r="AJ57" s="175"/>
      <c r="AM57" s="30"/>
      <c r="AN57" s="48"/>
      <c r="AO57" s="27"/>
      <c r="AP57" s="48"/>
      <c r="AQ57" s="200"/>
      <c r="AR57" s="37"/>
      <c r="AS57" s="37"/>
      <c r="AY57" s="78"/>
      <c r="BH57" s="510"/>
      <c r="BI57" s="510"/>
    </row>
    <row r="58" spans="1:61" ht="11.1" customHeight="1">
      <c r="G58" s="288"/>
      <c r="X58" s="30"/>
      <c r="Y58" s="30"/>
      <c r="Z58" s="30"/>
      <c r="AA58" s="30"/>
      <c r="AB58" s="49"/>
      <c r="AD58" s="49"/>
      <c r="AH58" s="30"/>
      <c r="AI58" s="49"/>
      <c r="AJ58" s="175"/>
      <c r="AM58" s="30"/>
      <c r="AN58" s="48"/>
      <c r="AP58" s="48"/>
      <c r="AQ58" s="200"/>
      <c r="AR58" s="37"/>
      <c r="AS58" s="37"/>
      <c r="AY58" s="78"/>
    </row>
    <row r="59" spans="1:61" ht="11.1" customHeight="1">
      <c r="X59" s="30"/>
      <c r="Y59" s="30"/>
      <c r="Z59" s="30"/>
      <c r="AA59" s="30"/>
      <c r="AB59" s="49"/>
      <c r="AD59" s="49"/>
      <c r="AH59" s="30"/>
      <c r="AI59" s="49"/>
      <c r="AJ59" s="175"/>
      <c r="AM59" s="30"/>
      <c r="AN59" s="48"/>
      <c r="AP59" s="48"/>
      <c r="AY59" s="78"/>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I60"/>
  <sheetViews>
    <sheetView zoomScaleNormal="100" workbookViewId="0">
      <pane xSplit="1" ySplit="14" topLeftCell="B15" activePane="bottomRight" state="frozen"/>
      <selection pane="topRight" activeCell="B1" sqref="B1"/>
      <selection pane="bottomLeft" activeCell="A13" sqref="A13"/>
      <selection pane="bottomRight" activeCell="A15" sqref="A15:XFD15"/>
    </sheetView>
  </sheetViews>
  <sheetFormatPr defaultColWidth="9.33203125" defaultRowHeight="11.1" customHeight="1"/>
  <cols>
    <col min="1" max="1" width="4.6640625" style="30" customWidth="1"/>
    <col min="2" max="2" width="7" style="30" customWidth="1"/>
    <col min="3" max="3" width="6.33203125" style="49" customWidth="1"/>
    <col min="4" max="4" width="6.33203125" style="30" customWidth="1"/>
    <col min="5" max="5" width="7" style="49" customWidth="1"/>
    <col min="6" max="6" width="7.33203125" style="30" customWidth="1"/>
    <col min="7" max="7" width="6.83203125" style="30" customWidth="1"/>
    <col min="8" max="8" width="5.6640625" style="142" customWidth="1"/>
    <col min="9" max="11" width="6.33203125" style="30" customWidth="1"/>
    <col min="12" max="12" width="6.83203125" style="30" customWidth="1"/>
    <col min="13" max="13" width="5.5" style="46" customWidth="1"/>
    <col min="14" max="14" width="4.5" style="46" customWidth="1"/>
    <col min="15" max="15" width="5.5" style="46" customWidth="1"/>
    <col min="16" max="16" width="4.83203125" style="52" customWidth="1"/>
    <col min="17" max="18" width="4.33203125" style="46" customWidth="1"/>
    <col min="19" max="20" width="4.33203125" style="30" customWidth="1"/>
    <col min="21" max="21" width="5.1640625" style="33" customWidth="1"/>
    <col min="22" max="23" width="5.5" style="30" customWidth="1"/>
    <col min="24" max="27" width="6.33203125" style="49" customWidth="1"/>
    <col min="28" max="28" width="5.5" style="30" customWidth="1"/>
    <col min="29" max="29" width="5.83203125" style="46" customWidth="1"/>
    <col min="30" max="33" width="5.5" style="30" customWidth="1"/>
    <col min="34" max="34" width="6.33203125" style="49" customWidth="1"/>
    <col min="35" max="35" width="5.5" style="30" customWidth="1"/>
    <col min="36" max="36" width="6.33203125" style="263" customWidth="1"/>
    <col min="37" max="37" width="6.33203125" style="30" customWidth="1"/>
    <col min="38" max="38" width="6.83203125" style="30" customWidth="1"/>
    <col min="39" max="39" width="6.83203125" style="52" customWidth="1"/>
    <col min="40" max="40" width="5.5" style="78" customWidth="1"/>
    <col min="41" max="41" width="6.33203125" style="23" customWidth="1"/>
    <col min="42" max="42" width="5.5" style="46" customWidth="1"/>
    <col min="43" max="44" width="6.33203125" style="30" customWidth="1"/>
    <col min="45" max="45" width="5.5" style="30" customWidth="1"/>
    <col min="46" max="46" width="5.33203125" style="30" customWidth="1"/>
    <col min="47" max="47" width="5.83203125" style="81" customWidth="1"/>
    <col min="48" max="48" width="6" style="200" customWidth="1"/>
    <col min="49" max="49" width="5.33203125" style="142" customWidth="1"/>
    <col min="50" max="50" width="3.83203125" style="78" customWidth="1"/>
    <col min="51" max="51" width="3.83203125" style="48" customWidth="1"/>
    <col min="52" max="52" width="3.83203125" style="30" customWidth="1"/>
    <col min="53" max="53" width="6.83203125" style="30" customWidth="1"/>
    <col min="54" max="55" width="9.33203125" style="30"/>
    <col min="56" max="56" width="9.33203125" style="2"/>
    <col min="57" max="57" width="9.33203125" style="562" hidden="1" customWidth="1"/>
    <col min="58" max="59" width="7" style="498" hidden="1" customWidth="1"/>
    <col min="60" max="61" width="6.33203125" style="508" hidden="1" customWidth="1"/>
    <col min="62" max="16384" width="9.33203125" style="2"/>
  </cols>
  <sheetData>
    <row r="1" spans="1:61" ht="14.1" customHeight="1">
      <c r="A1" s="90"/>
      <c r="B1" s="90"/>
      <c r="D1" s="90"/>
      <c r="F1" s="90"/>
      <c r="G1" s="90"/>
      <c r="I1" s="90"/>
      <c r="J1" s="90"/>
      <c r="K1" s="276" t="s">
        <v>53</v>
      </c>
      <c r="L1" s="90"/>
      <c r="M1" s="90"/>
      <c r="N1" s="90"/>
      <c r="O1" s="90"/>
      <c r="Q1" s="90"/>
      <c r="R1" s="90"/>
      <c r="S1" s="90"/>
      <c r="T1" s="90"/>
      <c r="V1" s="90"/>
      <c r="W1" s="90"/>
      <c r="AB1" s="90"/>
      <c r="AD1" s="90"/>
      <c r="AE1" s="90"/>
      <c r="AF1" s="90"/>
      <c r="AG1" s="90"/>
      <c r="AI1" s="90"/>
      <c r="AK1" s="90"/>
      <c r="AL1" s="90"/>
      <c r="AN1" s="269"/>
      <c r="AP1" s="263"/>
      <c r="AQ1" s="141"/>
      <c r="BF1" s="563"/>
      <c r="BG1" s="563"/>
    </row>
    <row r="2" spans="1:61" ht="14.1" customHeight="1">
      <c r="A2" s="141" t="s">
        <v>0</v>
      </c>
      <c r="B2" s="90"/>
      <c r="D2" s="277">
        <v>1.9835</v>
      </c>
      <c r="F2" s="90"/>
      <c r="G2" s="90"/>
      <c r="I2" s="90"/>
      <c r="J2" s="90"/>
      <c r="K2" s="844" t="s">
        <v>184</v>
      </c>
      <c r="L2" s="844"/>
      <c r="M2" s="844"/>
      <c r="N2" s="844"/>
      <c r="O2" s="844"/>
      <c r="P2" s="844"/>
      <c r="Q2" s="844"/>
      <c r="R2" s="844"/>
      <c r="S2" s="844"/>
      <c r="T2" s="844"/>
      <c r="U2" s="844"/>
      <c r="V2" s="844"/>
      <c r="W2" s="278"/>
      <c r="X2" s="279"/>
      <c r="Y2" s="279"/>
      <c r="Z2" s="279"/>
      <c r="AA2" s="279"/>
      <c r="AB2" s="278"/>
      <c r="AC2" s="316"/>
      <c r="AD2" s="278"/>
      <c r="AE2" s="90"/>
      <c r="AF2" s="90"/>
      <c r="AG2" s="90"/>
      <c r="AI2" s="90"/>
      <c r="AK2" s="90"/>
      <c r="AL2" s="90"/>
      <c r="AN2" s="269"/>
      <c r="AP2" s="263"/>
      <c r="AQ2" s="141"/>
      <c r="BF2" s="563"/>
      <c r="BG2" s="563"/>
    </row>
    <row r="3" spans="1:61" ht="14.1" customHeight="1" thickBot="1">
      <c r="A3" s="280"/>
      <c r="B3" s="740"/>
      <c r="C3" s="741"/>
      <c r="D3" s="742"/>
      <c r="E3" s="741"/>
      <c r="F3" s="740"/>
      <c r="G3" s="716"/>
      <c r="H3" s="723"/>
      <c r="I3" s="740"/>
      <c r="J3" s="740"/>
      <c r="K3" s="740"/>
      <c r="L3" s="740"/>
      <c r="M3" s="716"/>
      <c r="N3" s="716"/>
      <c r="O3" s="716"/>
      <c r="P3" s="753"/>
      <c r="Q3" s="716"/>
      <c r="R3" s="716"/>
      <c r="S3" s="716"/>
      <c r="T3" s="716"/>
      <c r="U3" s="750"/>
      <c r="V3" s="716"/>
      <c r="W3" s="716"/>
      <c r="X3" s="741"/>
      <c r="Y3" s="741"/>
      <c r="Z3" s="741"/>
      <c r="AA3" s="741"/>
      <c r="AB3" s="740"/>
      <c r="AC3" s="756"/>
      <c r="AD3" s="740"/>
      <c r="AE3" s="740"/>
      <c r="AF3" s="740"/>
      <c r="AG3" s="740"/>
      <c r="AH3" s="713"/>
      <c r="AI3" s="740"/>
      <c r="AJ3" s="759"/>
      <c r="AK3" s="740"/>
      <c r="AL3" s="740"/>
      <c r="AM3" s="747"/>
      <c r="AN3" s="785"/>
      <c r="AO3" s="755"/>
      <c r="AP3" s="759"/>
      <c r="AQ3" s="758"/>
      <c r="AR3" s="784"/>
      <c r="AS3" s="778"/>
      <c r="AT3" s="778"/>
      <c r="AU3" s="730"/>
      <c r="AV3" s="783"/>
      <c r="AW3" s="779"/>
      <c r="AX3" s="780"/>
      <c r="AY3" s="781"/>
      <c r="AZ3" s="778"/>
      <c r="BA3" s="778"/>
      <c r="BB3" s="733"/>
      <c r="BC3" s="733"/>
      <c r="BF3" s="564"/>
      <c r="BG3" s="564"/>
      <c r="BH3" s="565"/>
      <c r="BI3" s="565"/>
    </row>
    <row r="4" spans="1:61" s="60" customFormat="1" ht="14.1" customHeight="1" thickTop="1" thickBot="1">
      <c r="A4" s="147"/>
      <c r="B4" s="148"/>
      <c r="C4" s="149"/>
      <c r="D4" s="22" t="s">
        <v>47</v>
      </c>
      <c r="E4" s="149"/>
      <c r="F4" s="147"/>
      <c r="G4" s="150"/>
      <c r="H4" s="150"/>
      <c r="I4" s="427" t="s">
        <v>124</v>
      </c>
      <c r="J4" s="150"/>
      <c r="K4" s="150"/>
      <c r="L4" s="426"/>
      <c r="M4" s="150"/>
      <c r="N4" s="150"/>
      <c r="O4" s="150"/>
      <c r="P4" s="153"/>
      <c r="Q4" s="150"/>
      <c r="R4" s="150"/>
      <c r="S4" s="150"/>
      <c r="T4" s="150"/>
      <c r="U4" s="153"/>
      <c r="V4" s="150"/>
      <c r="W4" s="150"/>
      <c r="X4" s="146" t="s">
        <v>125</v>
      </c>
      <c r="Y4" s="146"/>
      <c r="Z4" s="146"/>
      <c r="AA4" s="146"/>
      <c r="AB4" s="151"/>
      <c r="AC4" s="152"/>
      <c r="AD4" s="152"/>
      <c r="AE4" s="150"/>
      <c r="AF4" s="150"/>
      <c r="AG4" s="150"/>
      <c r="AH4" s="149"/>
      <c r="AI4" s="150"/>
      <c r="AJ4" s="258"/>
      <c r="AK4" s="150"/>
      <c r="AL4" s="150"/>
      <c r="AM4" s="153"/>
      <c r="AN4" s="348"/>
      <c r="AO4" s="582"/>
      <c r="AP4" s="27"/>
      <c r="AQ4" s="209" t="s">
        <v>55</v>
      </c>
      <c r="AR4" s="227"/>
      <c r="AS4" s="157"/>
      <c r="AT4" s="158"/>
      <c r="AU4" s="259"/>
      <c r="AV4" s="259"/>
      <c r="AW4" s="154"/>
      <c r="AX4" s="18" t="s">
        <v>48</v>
      </c>
      <c r="AY4" s="156"/>
      <c r="AZ4" s="381"/>
      <c r="BA4" s="371"/>
      <c r="BB4" s="35"/>
      <c r="BC4" s="450"/>
      <c r="BE4" s="566"/>
      <c r="BF4" s="566"/>
      <c r="BG4" s="566"/>
      <c r="BH4" s="567"/>
      <c r="BI4" s="567"/>
    </row>
    <row r="5" spans="1:61" customFormat="1" ht="12.95" customHeight="1">
      <c r="A5" s="8" t="s">
        <v>1</v>
      </c>
      <c r="B5" s="165" t="s">
        <v>2</v>
      </c>
      <c r="C5" s="13" t="s">
        <v>2</v>
      </c>
      <c r="D5" s="8" t="s">
        <v>3</v>
      </c>
      <c r="E5" s="13" t="s">
        <v>4</v>
      </c>
      <c r="F5" s="166" t="s">
        <v>5</v>
      </c>
      <c r="G5" s="623" t="s">
        <v>6</v>
      </c>
      <c r="H5" s="623" t="s">
        <v>7</v>
      </c>
      <c r="I5" s="8" t="s">
        <v>63</v>
      </c>
      <c r="J5" s="8" t="s">
        <v>8</v>
      </c>
      <c r="K5" s="8" t="s">
        <v>9</v>
      </c>
      <c r="L5" s="294" t="s">
        <v>8</v>
      </c>
      <c r="M5" s="425" t="s">
        <v>10</v>
      </c>
      <c r="N5" s="167"/>
      <c r="O5" s="167"/>
      <c r="P5" s="252"/>
      <c r="Q5" s="167"/>
      <c r="R5" s="167"/>
      <c r="S5" s="167"/>
      <c r="T5" s="167"/>
      <c r="U5" s="248"/>
      <c r="V5" s="623" t="s">
        <v>11</v>
      </c>
      <c r="W5" s="8" t="s">
        <v>12</v>
      </c>
      <c r="X5" s="623" t="s">
        <v>9</v>
      </c>
      <c r="Y5" s="8" t="s">
        <v>9</v>
      </c>
      <c r="Z5" s="12" t="s">
        <v>13</v>
      </c>
      <c r="AA5" s="8" t="s">
        <v>13</v>
      </c>
      <c r="AB5" s="12" t="s">
        <v>13</v>
      </c>
      <c r="AC5" s="14" t="s">
        <v>82</v>
      </c>
      <c r="AD5" s="14" t="s">
        <v>13</v>
      </c>
      <c r="AE5" s="8" t="s">
        <v>14</v>
      </c>
      <c r="AF5" s="215" t="s">
        <v>77</v>
      </c>
      <c r="AG5" s="213"/>
      <c r="AH5" s="8" t="s">
        <v>15</v>
      </c>
      <c r="AI5" s="13" t="s">
        <v>61</v>
      </c>
      <c r="AJ5" s="13" t="s">
        <v>88</v>
      </c>
      <c r="AK5" s="8" t="s">
        <v>63</v>
      </c>
      <c r="AL5" s="8" t="s">
        <v>8</v>
      </c>
      <c r="AM5" s="8" t="s">
        <v>9</v>
      </c>
      <c r="AN5" s="675" t="s">
        <v>52</v>
      </c>
      <c r="AO5" s="624" t="s">
        <v>159</v>
      </c>
      <c r="AP5" s="14" t="s">
        <v>13</v>
      </c>
      <c r="AQ5" s="12" t="s">
        <v>49</v>
      </c>
      <c r="AR5" s="36" t="s">
        <v>49</v>
      </c>
      <c r="AS5" s="14" t="s">
        <v>96</v>
      </c>
      <c r="AT5" s="35" t="s">
        <v>56</v>
      </c>
      <c r="AU5" s="35" t="s">
        <v>79</v>
      </c>
      <c r="AV5" s="37" t="s">
        <v>134</v>
      </c>
      <c r="AW5" s="168" t="s">
        <v>16</v>
      </c>
      <c r="AX5" s="12" t="s">
        <v>17</v>
      </c>
      <c r="AY5" s="12" t="s">
        <v>18</v>
      </c>
      <c r="AZ5" s="445"/>
      <c r="BA5" s="384" t="s">
        <v>9</v>
      </c>
      <c r="BB5" s="35" t="s">
        <v>128</v>
      </c>
      <c r="BC5" s="547" t="s">
        <v>128</v>
      </c>
      <c r="BE5" s="562"/>
      <c r="BF5" s="568" t="s">
        <v>2</v>
      </c>
      <c r="BG5" s="568"/>
      <c r="BH5" s="569" t="s">
        <v>15</v>
      </c>
      <c r="BI5" s="569" t="s">
        <v>15</v>
      </c>
    </row>
    <row r="6" spans="1:61" customFormat="1" ht="12.95" customHeight="1">
      <c r="A6" s="170" t="s">
        <v>107</v>
      </c>
      <c r="B6" s="165" t="s">
        <v>19</v>
      </c>
      <c r="C6" s="13"/>
      <c r="D6" s="8" t="s">
        <v>20</v>
      </c>
      <c r="E6" s="13" t="s">
        <v>21</v>
      </c>
      <c r="F6" s="166" t="s">
        <v>22</v>
      </c>
      <c r="G6" s="8" t="s">
        <v>23</v>
      </c>
      <c r="H6" s="8" t="s">
        <v>64</v>
      </c>
      <c r="I6" s="8" t="s">
        <v>24</v>
      </c>
      <c r="J6" s="8" t="s">
        <v>24</v>
      </c>
      <c r="K6" s="8" t="s">
        <v>24</v>
      </c>
      <c r="L6" s="294" t="s">
        <v>25</v>
      </c>
      <c r="M6" s="8" t="s">
        <v>26</v>
      </c>
      <c r="N6" s="623" t="s">
        <v>65</v>
      </c>
      <c r="O6" s="623" t="s">
        <v>67</v>
      </c>
      <c r="P6" s="36" t="s">
        <v>84</v>
      </c>
      <c r="Q6" s="8" t="s">
        <v>57</v>
      </c>
      <c r="R6" s="8" t="s">
        <v>118</v>
      </c>
      <c r="S6" s="8"/>
      <c r="T6" s="8" t="s">
        <v>67</v>
      </c>
      <c r="U6" s="244" t="s">
        <v>87</v>
      </c>
      <c r="V6" s="8" t="s">
        <v>27</v>
      </c>
      <c r="W6" s="8" t="s">
        <v>42</v>
      </c>
      <c r="X6" s="8" t="s">
        <v>13</v>
      </c>
      <c r="Y6" s="8" t="s">
        <v>13</v>
      </c>
      <c r="Z6" s="12" t="s">
        <v>28</v>
      </c>
      <c r="AA6" s="8" t="s">
        <v>28</v>
      </c>
      <c r="AB6" s="12" t="s">
        <v>92</v>
      </c>
      <c r="AC6" s="14" t="s">
        <v>83</v>
      </c>
      <c r="AD6" s="14" t="s">
        <v>86</v>
      </c>
      <c r="AE6" s="8" t="s">
        <v>29</v>
      </c>
      <c r="AF6" s="171" t="s">
        <v>76</v>
      </c>
      <c r="AG6" s="294" t="s">
        <v>58</v>
      </c>
      <c r="AH6" s="8" t="s">
        <v>69</v>
      </c>
      <c r="AI6" s="13" t="s">
        <v>62</v>
      </c>
      <c r="AJ6" s="13"/>
      <c r="AK6" s="8" t="s">
        <v>70</v>
      </c>
      <c r="AL6" s="8" t="s">
        <v>70</v>
      </c>
      <c r="AM6" s="8" t="s">
        <v>70</v>
      </c>
      <c r="AN6" s="349" t="s">
        <v>110</v>
      </c>
      <c r="AO6" s="13" t="s">
        <v>110</v>
      </c>
      <c r="AP6" s="14" t="s">
        <v>71</v>
      </c>
      <c r="AQ6" s="12" t="s">
        <v>51</v>
      </c>
      <c r="AR6" s="36" t="s">
        <v>51</v>
      </c>
      <c r="AS6" s="14" t="s">
        <v>94</v>
      </c>
      <c r="AT6" s="35" t="s">
        <v>54</v>
      </c>
      <c r="AU6" s="35" t="s">
        <v>80</v>
      </c>
      <c r="AV6" s="37" t="s">
        <v>133</v>
      </c>
      <c r="AW6" s="172"/>
      <c r="AX6" s="12" t="s">
        <v>30</v>
      </c>
      <c r="AY6" s="12" t="s">
        <v>30</v>
      </c>
      <c r="AZ6" s="445"/>
      <c r="BA6" s="384" t="s">
        <v>99</v>
      </c>
      <c r="BB6" s="35" t="s">
        <v>130</v>
      </c>
      <c r="BC6" s="547" t="s">
        <v>129</v>
      </c>
      <c r="BE6" s="562"/>
      <c r="BF6" s="568" t="s">
        <v>19</v>
      </c>
      <c r="BG6" s="568"/>
      <c r="BH6" s="569" t="s">
        <v>69</v>
      </c>
      <c r="BI6" s="569" t="s">
        <v>69</v>
      </c>
    </row>
    <row r="7" spans="1:61" customFormat="1" ht="12.95" customHeight="1">
      <c r="A7" s="8"/>
      <c r="B7" s="165"/>
      <c r="C7" s="13"/>
      <c r="D7" s="8"/>
      <c r="E7" s="13"/>
      <c r="F7" s="166"/>
      <c r="G7" s="8"/>
      <c r="H7" s="8"/>
      <c r="I7" s="8"/>
      <c r="J7" s="8"/>
      <c r="K7" s="8"/>
      <c r="L7" s="294"/>
      <c r="M7" s="8"/>
      <c r="N7" s="8" t="s">
        <v>66</v>
      </c>
      <c r="O7" s="8" t="s">
        <v>68</v>
      </c>
      <c r="P7" s="36"/>
      <c r="Q7" s="8" t="s">
        <v>119</v>
      </c>
      <c r="R7" s="8" t="s">
        <v>119</v>
      </c>
      <c r="S7" s="8" t="s">
        <v>58</v>
      </c>
      <c r="T7" s="8" t="s">
        <v>58</v>
      </c>
      <c r="U7" s="244" t="s">
        <v>120</v>
      </c>
      <c r="V7" s="8"/>
      <c r="W7" s="8"/>
      <c r="X7" s="13" t="s">
        <v>108</v>
      </c>
      <c r="Y7" s="13" t="s">
        <v>90</v>
      </c>
      <c r="Z7" s="12" t="s">
        <v>115</v>
      </c>
      <c r="AA7" s="8" t="s">
        <v>111</v>
      </c>
      <c r="AB7" s="12" t="s">
        <v>93</v>
      </c>
      <c r="AC7" s="14"/>
      <c r="AD7" s="14"/>
      <c r="AE7" s="294"/>
      <c r="AF7" s="295">
        <v>1.7</v>
      </c>
      <c r="AG7" s="295">
        <v>1.3</v>
      </c>
      <c r="AH7" s="171"/>
      <c r="AI7" s="62"/>
      <c r="AJ7" s="13"/>
      <c r="AK7" s="8"/>
      <c r="AL7" s="8"/>
      <c r="AM7" s="8"/>
      <c r="AN7" s="349"/>
      <c r="AO7" s="13" t="s">
        <v>147</v>
      </c>
      <c r="AP7" s="14"/>
      <c r="AQ7" s="12" t="s">
        <v>45</v>
      </c>
      <c r="AR7" s="36" t="s">
        <v>72</v>
      </c>
      <c r="AS7" s="14" t="s">
        <v>95</v>
      </c>
      <c r="AT7" s="35" t="s">
        <v>59</v>
      </c>
      <c r="AU7" s="35" t="s">
        <v>81</v>
      </c>
      <c r="AV7" s="37" t="s">
        <v>108</v>
      </c>
      <c r="AW7" s="349"/>
      <c r="AX7" s="12"/>
      <c r="AY7" s="12"/>
      <c r="AZ7" s="445"/>
      <c r="BA7" s="384" t="s">
        <v>97</v>
      </c>
      <c r="BB7" s="35"/>
      <c r="BC7" s="547"/>
      <c r="BE7" s="562"/>
      <c r="BF7" s="568" t="s">
        <v>142</v>
      </c>
      <c r="BG7" s="568"/>
      <c r="BH7" s="570" t="s">
        <v>153</v>
      </c>
      <c r="BI7" s="570" t="s">
        <v>154</v>
      </c>
    </row>
    <row r="8" spans="1:61" customFormat="1" ht="12.95" customHeight="1">
      <c r="A8" s="8"/>
      <c r="B8" s="165"/>
      <c r="C8" s="13"/>
      <c r="D8" s="8"/>
      <c r="E8" s="13"/>
      <c r="F8" s="166"/>
      <c r="G8" s="8"/>
      <c r="H8" s="8"/>
      <c r="I8" s="8"/>
      <c r="J8" s="8"/>
      <c r="K8" s="8"/>
      <c r="L8" s="294"/>
      <c r="M8" s="8"/>
      <c r="N8" s="8"/>
      <c r="O8" s="551"/>
      <c r="P8" s="36"/>
      <c r="Q8" s="8" t="s">
        <v>58</v>
      </c>
      <c r="R8" s="8" t="s">
        <v>58</v>
      </c>
      <c r="S8" s="8"/>
      <c r="T8" s="8"/>
      <c r="U8" s="244"/>
      <c r="V8" s="8"/>
      <c r="W8" s="8"/>
      <c r="X8" s="13" t="s">
        <v>109</v>
      </c>
      <c r="Y8" s="13" t="s">
        <v>108</v>
      </c>
      <c r="Z8" s="12"/>
      <c r="AA8" s="13" t="s">
        <v>114</v>
      </c>
      <c r="AB8" s="12" t="s">
        <v>113</v>
      </c>
      <c r="AC8" s="14"/>
      <c r="AD8" s="14"/>
      <c r="AE8" s="294"/>
      <c r="AF8" s="295"/>
      <c r="AG8" s="295"/>
      <c r="AH8" s="171"/>
      <c r="AI8" s="62"/>
      <c r="AJ8" s="13"/>
      <c r="AK8" s="8"/>
      <c r="AL8" s="8"/>
      <c r="AM8" s="8"/>
      <c r="AN8" s="349"/>
      <c r="AO8" s="13" t="s">
        <v>165</v>
      </c>
      <c r="AP8" s="14"/>
      <c r="AQ8" s="12"/>
      <c r="AR8" s="36"/>
      <c r="AS8" s="14"/>
      <c r="AT8" s="35"/>
      <c r="AU8" s="35"/>
      <c r="AV8" s="37"/>
      <c r="AW8" s="172"/>
      <c r="AX8" s="12"/>
      <c r="AY8" s="12"/>
      <c r="AZ8" s="445"/>
      <c r="BA8" s="384"/>
      <c r="BB8" s="35"/>
      <c r="BC8" s="547"/>
      <c r="BE8" s="562"/>
      <c r="BF8" s="568"/>
      <c r="BG8" s="568"/>
      <c r="BH8" s="570" t="s">
        <v>155</v>
      </c>
      <c r="BI8" s="570" t="s">
        <v>153</v>
      </c>
    </row>
    <row r="9" spans="1:61" customFormat="1" ht="12.95" customHeight="1">
      <c r="A9" s="8"/>
      <c r="B9" s="165"/>
      <c r="C9" s="13"/>
      <c r="D9" s="8"/>
      <c r="E9" s="13"/>
      <c r="F9" s="166"/>
      <c r="G9" s="8"/>
      <c r="H9" s="8"/>
      <c r="I9" s="8"/>
      <c r="J9" s="8"/>
      <c r="K9" s="8"/>
      <c r="L9" s="294"/>
      <c r="M9" s="8"/>
      <c r="N9" s="8"/>
      <c r="O9" s="8"/>
      <c r="P9" s="36"/>
      <c r="Q9" s="8"/>
      <c r="R9" s="413">
        <v>4.2</v>
      </c>
      <c r="S9" s="8"/>
      <c r="T9" s="8"/>
      <c r="U9" s="244"/>
      <c r="V9" s="8"/>
      <c r="W9" s="8"/>
      <c r="X9" s="13"/>
      <c r="Y9" s="13" t="s">
        <v>109</v>
      </c>
      <c r="Z9" s="12"/>
      <c r="AA9" s="13" t="s">
        <v>109</v>
      </c>
      <c r="AB9" s="12" t="s">
        <v>112</v>
      </c>
      <c r="AC9" s="14"/>
      <c r="AD9" s="14"/>
      <c r="AE9" s="294"/>
      <c r="AF9" s="295"/>
      <c r="AG9" s="295"/>
      <c r="AH9" s="171"/>
      <c r="AI9" s="62"/>
      <c r="AJ9" s="13"/>
      <c r="AK9" s="8"/>
      <c r="AL9" s="8"/>
      <c r="AM9" s="8"/>
      <c r="AN9" s="349"/>
      <c r="AO9" s="13"/>
      <c r="AP9" s="14"/>
      <c r="AQ9" s="12"/>
      <c r="AR9" s="36"/>
      <c r="AS9" s="14"/>
      <c r="AT9" s="35"/>
      <c r="AU9" s="35"/>
      <c r="AV9" s="37"/>
      <c r="AW9" s="172"/>
      <c r="AX9" s="12"/>
      <c r="AY9" s="12"/>
      <c r="AZ9" s="445"/>
      <c r="BA9" s="384"/>
      <c r="BB9" s="35"/>
      <c r="BC9" s="547" t="s">
        <v>141</v>
      </c>
      <c r="BE9" s="562"/>
      <c r="BF9" s="568"/>
      <c r="BG9" s="568"/>
      <c r="BH9" s="570" t="s">
        <v>156</v>
      </c>
      <c r="BI9" s="570"/>
    </row>
    <row r="10" spans="1:61" customFormat="1" ht="12.95" customHeight="1">
      <c r="A10" s="8"/>
      <c r="B10" s="165"/>
      <c r="C10" s="13" t="s">
        <v>91</v>
      </c>
      <c r="D10" s="8"/>
      <c r="E10" s="13" t="s">
        <v>50</v>
      </c>
      <c r="F10" s="166"/>
      <c r="G10" s="8" t="s">
        <v>22</v>
      </c>
      <c r="H10" s="8" t="s">
        <v>22</v>
      </c>
      <c r="I10" s="8" t="s">
        <v>22</v>
      </c>
      <c r="J10" s="8" t="s">
        <v>22</v>
      </c>
      <c r="K10" s="8" t="s">
        <v>22</v>
      </c>
      <c r="L10" s="294" t="s">
        <v>22</v>
      </c>
      <c r="M10" s="8" t="s">
        <v>22</v>
      </c>
      <c r="N10" s="8" t="s">
        <v>22</v>
      </c>
      <c r="O10" s="8" t="s">
        <v>22</v>
      </c>
      <c r="P10" s="8" t="s">
        <v>22</v>
      </c>
      <c r="Q10" s="8" t="s">
        <v>22</v>
      </c>
      <c r="R10" s="8" t="s">
        <v>22</v>
      </c>
      <c r="S10" s="8" t="s">
        <v>22</v>
      </c>
      <c r="T10" s="8" t="s">
        <v>22</v>
      </c>
      <c r="U10" s="294" t="s">
        <v>22</v>
      </c>
      <c r="V10" s="8" t="s">
        <v>22</v>
      </c>
      <c r="W10" s="8" t="s">
        <v>22</v>
      </c>
      <c r="X10" s="13">
        <v>153400</v>
      </c>
      <c r="Y10" s="13">
        <v>150400</v>
      </c>
      <c r="Z10" s="8"/>
      <c r="AA10" s="13"/>
      <c r="AB10" s="13">
        <v>72000</v>
      </c>
      <c r="AC10" s="14" t="s">
        <v>22</v>
      </c>
      <c r="AD10" s="8" t="s">
        <v>22</v>
      </c>
      <c r="AE10" s="294" t="s">
        <v>22</v>
      </c>
      <c r="AF10" s="8" t="s">
        <v>22</v>
      </c>
      <c r="AG10" s="8" t="s">
        <v>22</v>
      </c>
      <c r="AH10" s="171" t="s">
        <v>22</v>
      </c>
      <c r="AI10" s="8" t="s">
        <v>22</v>
      </c>
      <c r="AJ10" s="8" t="s">
        <v>22</v>
      </c>
      <c r="AK10" s="8" t="s">
        <v>22</v>
      </c>
      <c r="AL10" s="8" t="s">
        <v>22</v>
      </c>
      <c r="AM10" s="8" t="s">
        <v>22</v>
      </c>
      <c r="AN10" s="349" t="s">
        <v>22</v>
      </c>
      <c r="AO10" s="14" t="s">
        <v>22</v>
      </c>
      <c r="AP10" s="14" t="s">
        <v>22</v>
      </c>
      <c r="AQ10" s="14" t="s">
        <v>22</v>
      </c>
      <c r="AR10" s="36" t="s">
        <v>73</v>
      </c>
      <c r="AS10" s="14" t="s">
        <v>22</v>
      </c>
      <c r="AT10" s="14" t="s">
        <v>22</v>
      </c>
      <c r="AU10" s="14" t="s">
        <v>22</v>
      </c>
      <c r="AV10" s="14" t="s">
        <v>22</v>
      </c>
      <c r="AW10" s="172"/>
      <c r="AX10" s="12"/>
      <c r="AY10" s="12"/>
      <c r="AZ10" s="445"/>
      <c r="BA10" s="384" t="s">
        <v>98</v>
      </c>
      <c r="BB10" s="35" t="s">
        <v>22</v>
      </c>
      <c r="BC10" s="547" t="s">
        <v>50</v>
      </c>
      <c r="BE10" s="562"/>
      <c r="BF10" s="568"/>
      <c r="BG10" s="568"/>
      <c r="BH10" s="570" t="s">
        <v>22</v>
      </c>
      <c r="BI10" s="570" t="s">
        <v>22</v>
      </c>
    </row>
    <row r="11" spans="1:61" customFormat="1" ht="12.95" customHeight="1">
      <c r="A11" s="8"/>
      <c r="B11" s="165"/>
      <c r="C11" s="13"/>
      <c r="D11" s="8"/>
      <c r="E11" s="13"/>
      <c r="F11" s="166"/>
      <c r="G11" s="8"/>
      <c r="H11" s="8"/>
      <c r="I11" s="8"/>
      <c r="J11" s="8"/>
      <c r="K11" s="8"/>
      <c r="L11" s="294"/>
      <c r="M11" s="8"/>
      <c r="N11" s="227">
        <v>1.03</v>
      </c>
      <c r="O11" s="227">
        <v>1.05</v>
      </c>
      <c r="P11" s="227">
        <v>1.02</v>
      </c>
      <c r="Q11" s="322">
        <v>1.02</v>
      </c>
      <c r="R11" s="65">
        <v>1.04</v>
      </c>
      <c r="S11" s="8"/>
      <c r="T11" s="322">
        <v>1.04</v>
      </c>
      <c r="U11" s="244"/>
      <c r="V11" s="8"/>
      <c r="W11" s="8"/>
      <c r="X11" s="8" t="s">
        <v>22</v>
      </c>
      <c r="Y11" s="8" t="s">
        <v>22</v>
      </c>
      <c r="Z11" s="8" t="s">
        <v>22</v>
      </c>
      <c r="AA11" s="13" t="s">
        <v>22</v>
      </c>
      <c r="AB11" s="26" t="s">
        <v>89</v>
      </c>
      <c r="AC11" s="14"/>
      <c r="AD11" s="12"/>
      <c r="AE11" s="344"/>
      <c r="AF11" s="295"/>
      <c r="AG11" s="295"/>
      <c r="AH11" s="171"/>
      <c r="AI11" s="62"/>
      <c r="AJ11" s="5"/>
      <c r="AK11" s="8"/>
      <c r="AL11" s="8"/>
      <c r="AM11" s="8"/>
      <c r="AN11" s="349"/>
      <c r="AO11" s="13"/>
      <c r="AP11" s="14"/>
      <c r="AQ11" s="12"/>
      <c r="AR11" s="36"/>
      <c r="AS11" s="36"/>
      <c r="AT11" s="173"/>
      <c r="AU11" s="173"/>
      <c r="AV11" s="173"/>
      <c r="AW11" s="172"/>
      <c r="AX11" s="12"/>
      <c r="AY11" s="12"/>
      <c r="AZ11" s="445"/>
      <c r="BA11" s="384" t="s">
        <v>22</v>
      </c>
      <c r="BB11" s="35"/>
      <c r="BC11" s="547"/>
      <c r="BE11" s="562"/>
      <c r="BF11" s="568"/>
      <c r="BG11" s="568"/>
      <c r="BH11" s="570"/>
      <c r="BI11" s="570"/>
    </row>
    <row r="12" spans="1:61" ht="12.95" customHeight="1">
      <c r="A12" s="141" t="s">
        <v>31</v>
      </c>
      <c r="B12" s="98"/>
      <c r="C12" s="55"/>
      <c r="D12" s="55"/>
      <c r="E12" s="55"/>
      <c r="F12" s="99"/>
      <c r="G12" s="55"/>
      <c r="H12" s="143"/>
      <c r="I12" s="55"/>
      <c r="J12" s="55"/>
      <c r="K12" s="55"/>
      <c r="L12" s="55"/>
      <c r="M12" s="100"/>
      <c r="N12" s="55"/>
      <c r="O12" s="55"/>
      <c r="P12" s="39"/>
      <c r="Q12" s="55"/>
      <c r="R12" s="55"/>
      <c r="S12" s="55"/>
      <c r="T12" s="55"/>
      <c r="U12" s="241"/>
      <c r="V12" s="55"/>
      <c r="W12" s="55"/>
      <c r="X12" s="55"/>
      <c r="Y12" s="55"/>
      <c r="Z12" s="55"/>
      <c r="AA12" s="55"/>
      <c r="AB12" s="55"/>
      <c r="AC12" s="42"/>
      <c r="AD12" s="55"/>
      <c r="AE12" s="55"/>
      <c r="AF12" s="100"/>
      <c r="AG12" s="101"/>
      <c r="AH12" s="55"/>
      <c r="AI12" s="55">
        <f>AI13*D2</f>
        <v>3207.6326500000491</v>
      </c>
      <c r="AJ12" s="337"/>
      <c r="AK12" s="55"/>
      <c r="AL12" s="55"/>
      <c r="AM12" s="55"/>
      <c r="AN12" s="134"/>
      <c r="AO12" s="180"/>
      <c r="AP12" s="42"/>
      <c r="AQ12" s="47"/>
      <c r="AR12" s="56"/>
      <c r="AS12" s="56"/>
      <c r="AT12" s="56"/>
      <c r="AW12" s="102"/>
      <c r="AX12" s="45"/>
      <c r="AY12" s="45"/>
      <c r="AZ12" s="407"/>
      <c r="BA12" s="549"/>
      <c r="BB12" s="37"/>
      <c r="BC12" s="444"/>
      <c r="BF12" s="489"/>
      <c r="BG12" s="489"/>
      <c r="BH12" s="505"/>
      <c r="BI12" s="505"/>
    </row>
    <row r="13" spans="1:61" s="3" customFormat="1" ht="12.95" customHeight="1">
      <c r="A13" s="175" t="s">
        <v>32</v>
      </c>
      <c r="B13" s="342">
        <f>FEB!B43</f>
        <v>6900.76</v>
      </c>
      <c r="C13" s="55">
        <f>FEB!C43</f>
        <v>286393</v>
      </c>
      <c r="D13" s="55">
        <f>FEB!D52</f>
        <v>-6002</v>
      </c>
      <c r="E13" s="55">
        <f>FEB!E52</f>
        <v>134393</v>
      </c>
      <c r="F13" s="99">
        <f>FEB!F51</f>
        <v>-3025.964204688682</v>
      </c>
      <c r="G13" s="55">
        <f>FEB!G51</f>
        <v>4480.1000000000004</v>
      </c>
      <c r="H13" s="133">
        <f>FEB!H51</f>
        <v>0</v>
      </c>
      <c r="I13" s="55">
        <f>FEB!I51</f>
        <v>4480.1000000000004</v>
      </c>
      <c r="J13" s="55">
        <f>FEB!J51</f>
        <v>1257.9298563145956</v>
      </c>
      <c r="K13" s="55">
        <f>FEB!K51</f>
        <v>5738.0298563145952</v>
      </c>
      <c r="L13" s="55">
        <f>FEB!L51</f>
        <v>-424.62420468868146</v>
      </c>
      <c r="M13" s="100">
        <f>FEB!M51</f>
        <v>413.44000000000011</v>
      </c>
      <c r="N13" s="55">
        <f>FEB!N51</f>
        <v>0</v>
      </c>
      <c r="O13" s="55">
        <f>FEB!O51</f>
        <v>0</v>
      </c>
      <c r="P13" s="55">
        <f>FEB!P51</f>
        <v>0</v>
      </c>
      <c r="Q13" s="55">
        <f>FEB!Q51</f>
        <v>202.4248593017476</v>
      </c>
      <c r="R13" s="55">
        <f>FEB!R51</f>
        <v>0</v>
      </c>
      <c r="S13" s="55">
        <f>FEB!S51</f>
        <v>192.86805615999998</v>
      </c>
      <c r="T13" s="55">
        <f>FEB!T51</f>
        <v>69.708279680000018</v>
      </c>
      <c r="U13" s="341">
        <f>FEB!U51</f>
        <v>-51.561195141747582</v>
      </c>
      <c r="V13" s="55">
        <f>FEB!V51</f>
        <v>1829</v>
      </c>
      <c r="W13" s="55">
        <f>FEB!W51</f>
        <v>0</v>
      </c>
      <c r="X13" s="55">
        <f>FEB!X51</f>
        <v>1829</v>
      </c>
      <c r="Y13" s="55">
        <f>FEB!Y51</f>
        <v>1829</v>
      </c>
      <c r="Z13" s="55"/>
      <c r="AA13" s="55"/>
      <c r="AB13" s="55"/>
      <c r="AC13" s="42">
        <f>FEB!AC51</f>
        <v>0</v>
      </c>
      <c r="AD13" s="55"/>
      <c r="AE13" s="55"/>
      <c r="AF13" s="100"/>
      <c r="AG13" s="101"/>
      <c r="AH13" s="211">
        <f>FEB!AH51</f>
        <v>4839</v>
      </c>
      <c r="AI13" s="55">
        <f>FEB!AI51</f>
        <v>1617.1578774893114</v>
      </c>
      <c r="AJ13" s="42">
        <f>FEB!AJ51</f>
        <v>0</v>
      </c>
      <c r="AK13" s="55">
        <f>FEB!AK51</f>
        <v>7081.4400000000014</v>
      </c>
      <c r="AL13" s="55">
        <f>FEB!AL51</f>
        <v>1682.554061003277</v>
      </c>
      <c r="AM13" s="55">
        <f>FEB!AM51</f>
        <v>8763.9940610032772</v>
      </c>
      <c r="AN13" s="134">
        <f>FEB!AN51</f>
        <v>1829</v>
      </c>
      <c r="AO13" s="43">
        <f>FEB!AO51</f>
        <v>2448.6751406982521</v>
      </c>
      <c r="AP13" s="42">
        <f>FEB!AP51</f>
        <v>0</v>
      </c>
      <c r="AQ13" s="55"/>
      <c r="AR13" s="47"/>
      <c r="AS13" s="47"/>
      <c r="AT13" s="55"/>
      <c r="AU13" s="26"/>
      <c r="AV13" s="49"/>
      <c r="AW13" s="102">
        <f>FEB!AW51</f>
        <v>4.2350000000000003</v>
      </c>
      <c r="AX13" s="45"/>
      <c r="AY13" s="45"/>
      <c r="AZ13" s="77"/>
      <c r="BA13" s="376">
        <f>FEB!BA51</f>
        <v>413.44000000000011</v>
      </c>
      <c r="BB13" s="55">
        <f>FEB!BB51</f>
        <v>177.78900000000004</v>
      </c>
      <c r="BC13" s="548"/>
      <c r="BE13" s="571"/>
      <c r="BF13" s="559"/>
      <c r="BG13" s="559"/>
      <c r="BH13" s="490">
        <f>NOV!BJ46</f>
        <v>0</v>
      </c>
      <c r="BI13" s="490">
        <f>NOV!BK46</f>
        <v>0</v>
      </c>
    </row>
    <row r="14" spans="1:61" ht="3" customHeight="1">
      <c r="A14" s="54"/>
      <c r="B14" s="105"/>
      <c r="C14" s="57"/>
      <c r="D14" s="59"/>
      <c r="E14" s="57"/>
      <c r="F14" s="106"/>
      <c r="G14" s="58"/>
      <c r="H14" s="58"/>
      <c r="I14" s="59"/>
      <c r="J14" s="59"/>
      <c r="K14" s="59"/>
      <c r="L14" s="59"/>
      <c r="M14" s="108"/>
      <c r="N14" s="59"/>
      <c r="O14" s="59"/>
      <c r="P14" s="40"/>
      <c r="Q14" s="59"/>
      <c r="R14" s="59"/>
      <c r="S14" s="59"/>
      <c r="T14" s="59"/>
      <c r="U14" s="242"/>
      <c r="V14" s="59"/>
      <c r="W14" s="59"/>
      <c r="X14" s="59"/>
      <c r="Y14" s="59"/>
      <c r="Z14" s="59"/>
      <c r="AA14" s="59"/>
      <c r="AB14" s="57"/>
      <c r="AC14" s="41"/>
      <c r="AD14" s="57"/>
      <c r="AE14" s="59"/>
      <c r="AF14" s="108"/>
      <c r="AG14" s="109"/>
      <c r="AH14" s="59"/>
      <c r="AI14" s="57"/>
      <c r="AJ14" s="41"/>
      <c r="AK14" s="59"/>
      <c r="AL14" s="59"/>
      <c r="AM14" s="59"/>
      <c r="AN14" s="110"/>
      <c r="AO14" s="185"/>
      <c r="AP14" s="41"/>
      <c r="AQ14" s="44"/>
      <c r="AR14" s="44"/>
      <c r="AS14" s="44"/>
      <c r="AT14" s="44"/>
      <c r="AU14" s="50"/>
      <c r="AV14" s="50"/>
      <c r="AW14" s="110"/>
      <c r="AX14" s="44"/>
      <c r="AY14" s="44"/>
      <c r="AZ14" s="44"/>
      <c r="BA14" s="44"/>
      <c r="BB14" s="44"/>
      <c r="BC14" s="44"/>
      <c r="BE14" s="572" t="s">
        <v>60</v>
      </c>
      <c r="BF14" s="572" t="s">
        <v>60</v>
      </c>
      <c r="BG14" s="572"/>
      <c r="BH14" s="573"/>
      <c r="BI14" s="573"/>
    </row>
    <row r="15" spans="1:61" ht="12.95" customHeight="1">
      <c r="A15" s="48">
        <v>1</v>
      </c>
      <c r="B15" s="104">
        <v>6900.7</v>
      </c>
      <c r="C15" s="483">
        <f>IF(B15="",C13,VLOOKUP(TRUNC(B15,1),VLOOKUP!$A$3:$K$2834,RIGHT(TEXT(B15,"0000.00"),1)+2,FALSE))</f>
        <v>286171</v>
      </c>
      <c r="D15" s="45">
        <f>C15-C13</f>
        <v>-222</v>
      </c>
      <c r="E15" s="55">
        <f t="shared" ref="E15:E40" si="0">C15-152000</f>
        <v>134171</v>
      </c>
      <c r="F15" s="112">
        <f t="shared" ref="F15:F45" si="1">D15/$D$2</f>
        <v>-111.92336778421981</v>
      </c>
      <c r="G15" s="627">
        <v>57.5</v>
      </c>
      <c r="H15" s="125">
        <v>0</v>
      </c>
      <c r="I15" s="47">
        <f t="shared" ref="I15:I45" si="2">G15+H15</f>
        <v>57.5</v>
      </c>
      <c r="J15" s="42">
        <f t="shared" ref="J15:J45" si="3">IF(L15&gt;0,L15,0)</f>
        <v>0</v>
      </c>
      <c r="K15" s="47">
        <f>I15+J15</f>
        <v>57.5</v>
      </c>
      <c r="L15" s="47">
        <f>IF(G15="",0,F15-(I15-AK15))</f>
        <v>-27.023367784219801</v>
      </c>
      <c r="M15" s="114">
        <v>3.4</v>
      </c>
      <c r="N15" s="627">
        <v>0</v>
      </c>
      <c r="O15" s="47">
        <f t="shared" ref="O15:O36" si="4">0*1.05</f>
        <v>0</v>
      </c>
      <c r="P15" s="39">
        <v>0</v>
      </c>
      <c r="Q15" s="144">
        <f>1153500/325851/1.9835*1.02</f>
        <v>1.8203986622012351</v>
      </c>
      <c r="R15" s="73">
        <v>0</v>
      </c>
      <c r="S15" s="73">
        <f>IF(((1.9*1.04)-T15)&gt;=4.2,4.2,(1.9*1.04)-T15)</f>
        <v>1.4165320000000001</v>
      </c>
      <c r="T15" s="73">
        <f>(0.5075*1.06)*1.04</f>
        <v>0.55946799999999997</v>
      </c>
      <c r="U15" s="243">
        <f>M15-(Q15+R15+S15+T15)</f>
        <v>-0.39639866220123521</v>
      </c>
      <c r="V15" s="47">
        <v>100</v>
      </c>
      <c r="W15" s="47">
        <v>0</v>
      </c>
      <c r="X15" s="47">
        <f>IF(B15="",0,M15-N15-O15-P15-Q15-R15-S15-T15-U15+V15+W15-AU15+AS15)</f>
        <v>100</v>
      </c>
      <c r="Y15" s="47">
        <f>IF(B15="",0,X15-AP15)</f>
        <v>100</v>
      </c>
      <c r="Z15" s="47"/>
      <c r="AA15" s="47"/>
      <c r="AB15" s="55"/>
      <c r="AC15" s="42"/>
      <c r="AD15" s="55"/>
      <c r="AE15" s="47"/>
      <c r="AF15" s="114"/>
      <c r="AG15" s="212"/>
      <c r="AH15" s="47">
        <v>39</v>
      </c>
      <c r="AI15" s="55">
        <f>AI13-AH15</f>
        <v>1578.1578774893114</v>
      </c>
      <c r="AJ15" s="42"/>
      <c r="AK15" s="74">
        <f>N15+O15+P15+Q15+R15+S15+T15+U15+X15+AE15+AH15</f>
        <v>142.4</v>
      </c>
      <c r="AL15" s="47">
        <f t="shared" ref="AL15:AL45" si="5">IF(L15&lt;0,L15*-1,0)</f>
        <v>27.023367784219801</v>
      </c>
      <c r="AM15" s="47">
        <f t="shared" ref="AM15:AM45" si="6">AK15+AL15</f>
        <v>169.42336778421981</v>
      </c>
      <c r="AN15" s="674">
        <f>V15</f>
        <v>100</v>
      </c>
      <c r="AO15" s="618">
        <f t="shared" ref="AO15:AO43" si="7">IF(G15="","",IF(I15&gt;=795,795-X15,I15-Q15-R15-X15-AF15)-AJ15)</f>
        <v>-44.320398662201235</v>
      </c>
      <c r="AP15" s="42"/>
      <c r="AQ15" s="56"/>
      <c r="AR15" s="55"/>
      <c r="AS15" s="55"/>
      <c r="AT15" s="56"/>
      <c r="AV15" s="30"/>
      <c r="AW15" s="102">
        <v>0</v>
      </c>
      <c r="AX15" s="45">
        <v>56</v>
      </c>
      <c r="AY15" s="45">
        <v>28</v>
      </c>
      <c r="AZ15" s="407"/>
      <c r="BA15" s="385">
        <f t="shared" ref="BA15:BA45" si="8">SUM(N15,P15:U15)</f>
        <v>3.4</v>
      </c>
      <c r="BB15" s="681">
        <v>3.31</v>
      </c>
      <c r="BC15" s="682">
        <v>16051</v>
      </c>
      <c r="BE15" s="574">
        <v>1</v>
      </c>
      <c r="BF15" s="559">
        <v>6900.79</v>
      </c>
      <c r="BG15" s="575">
        <f>B15-BF15</f>
        <v>-9.0000000000145519E-2</v>
      </c>
      <c r="BH15" s="576">
        <v>27.704166666666708</v>
      </c>
      <c r="BI15" s="576">
        <f t="shared" ref="BI15:BI22" si="9">AH15-BH15</f>
        <v>11.295833333333292</v>
      </c>
    </row>
    <row r="16" spans="1:61" ht="12.95" customHeight="1">
      <c r="A16" s="48">
        <f t="shared" ref="A16:A43" si="10">A15+1</f>
        <v>2</v>
      </c>
      <c r="B16" s="104">
        <v>6900.65</v>
      </c>
      <c r="C16" s="483">
        <f>IF(B16="",C15,VLOOKUP(TRUNC(B16,1),VLOOKUP!$A$3:$K$2834,RIGHT(TEXT(B16,"0000.00"),1)+2,FALSE))</f>
        <v>285986</v>
      </c>
      <c r="D16" s="45">
        <f t="shared" ref="D16:D40" si="11">C16-C15</f>
        <v>-185</v>
      </c>
      <c r="E16" s="55">
        <f t="shared" si="0"/>
        <v>133986</v>
      </c>
      <c r="F16" s="112">
        <f t="shared" si="1"/>
        <v>-93.269473153516515</v>
      </c>
      <c r="G16" s="47">
        <v>56</v>
      </c>
      <c r="H16" s="125">
        <v>0</v>
      </c>
      <c r="I16" s="47">
        <f t="shared" si="2"/>
        <v>56</v>
      </c>
      <c r="J16" s="42">
        <f t="shared" si="3"/>
        <v>2.130526846483491</v>
      </c>
      <c r="K16" s="47">
        <f t="shared" ref="K16:K45" si="12">I16+J16</f>
        <v>58.130526846483491</v>
      </c>
      <c r="L16" s="47">
        <f t="shared" ref="L16:L45" si="13">IF(G16="",0,F16-(I16-AK16))</f>
        <v>2.130526846483491</v>
      </c>
      <c r="M16" s="114">
        <v>3.4</v>
      </c>
      <c r="N16" s="47">
        <v>0</v>
      </c>
      <c r="O16" s="47">
        <f t="shared" si="4"/>
        <v>0</v>
      </c>
      <c r="P16" s="39">
        <v>0</v>
      </c>
      <c r="Q16" s="144">
        <f>1075800/325851/1.9835*1.02</f>
        <v>1.6977762295588115</v>
      </c>
      <c r="R16" s="73">
        <v>0</v>
      </c>
      <c r="S16" s="73">
        <f>IF(((1.9*1.04)-T16)&gt;=4.2,4.2,(1.9*1.04)-T16)</f>
        <v>1.4165320000000001</v>
      </c>
      <c r="T16" s="73">
        <f t="shared" ref="T16:T19" si="14">(0.5075*1.06)*1.04</f>
        <v>0.55946799999999997</v>
      </c>
      <c r="U16" s="243">
        <f t="shared" ref="U16:U36" si="15">M16-(Q16+R16+S16+T16)</f>
        <v>-0.27377622955881131</v>
      </c>
      <c r="V16" s="47">
        <v>101</v>
      </c>
      <c r="W16" s="47">
        <v>0</v>
      </c>
      <c r="X16" s="47">
        <f t="shared" ref="X16:X45" si="16">IF(B16="",0,M16-N16-O16-P16-Q16-R16-S16-T16-U16+V16+W16-AU16+AS16)</f>
        <v>101</v>
      </c>
      <c r="Y16" s="47">
        <f t="shared" ref="Y16:Y45" si="17">IF(B16="",0,X16-AP16)</f>
        <v>101</v>
      </c>
      <c r="Z16" s="47"/>
      <c r="AA16" s="47"/>
      <c r="AB16" s="55"/>
      <c r="AC16" s="42"/>
      <c r="AD16" s="55"/>
      <c r="AE16" s="47"/>
      <c r="AF16" s="114"/>
      <c r="AG16" s="212"/>
      <c r="AH16" s="47">
        <v>47</v>
      </c>
      <c r="AI16" s="55">
        <f>AI15-AH16</f>
        <v>1531.1578774893114</v>
      </c>
      <c r="AJ16" s="42"/>
      <c r="AK16" s="74">
        <f t="shared" ref="AK16:AK45" si="18">N16+O16+P16+Q16+R16+S16+T16+U16+X16+AE16+AH16</f>
        <v>151.4</v>
      </c>
      <c r="AL16" s="47">
        <f t="shared" si="5"/>
        <v>0</v>
      </c>
      <c r="AM16" s="47">
        <f t="shared" si="6"/>
        <v>151.4</v>
      </c>
      <c r="AN16" s="674">
        <f t="shared" ref="AN16:AN43" si="19">V16</f>
        <v>101</v>
      </c>
      <c r="AO16" s="618">
        <f t="shared" si="7"/>
        <v>-46.697776229558812</v>
      </c>
      <c r="AP16" s="42"/>
      <c r="AQ16" s="56"/>
      <c r="AR16" s="55"/>
      <c r="AS16" s="55"/>
      <c r="AT16" s="56"/>
      <c r="AV16" s="30"/>
      <c r="AW16" s="102">
        <v>0</v>
      </c>
      <c r="AX16" s="45">
        <v>52</v>
      </c>
      <c r="AY16" s="45">
        <v>26</v>
      </c>
      <c r="AZ16" s="407"/>
      <c r="BA16" s="385">
        <f t="shared" si="8"/>
        <v>3.4</v>
      </c>
      <c r="BB16" s="30">
        <v>3.72</v>
      </c>
      <c r="BC16" s="407">
        <v>16066</v>
      </c>
      <c r="BE16" s="574">
        <f t="shared" ref="BE16:BE45" si="20">BE15+1</f>
        <v>2</v>
      </c>
      <c r="BF16" s="559">
        <v>6900.73</v>
      </c>
      <c r="BG16" s="575">
        <f t="shared" ref="BG16:BG45" si="21">B16-BF16</f>
        <v>-7.999999999992724E-2</v>
      </c>
      <c r="BH16" s="576">
        <v>40.757291666666603</v>
      </c>
      <c r="BI16" s="576">
        <f t="shared" si="9"/>
        <v>6.2427083333333968</v>
      </c>
    </row>
    <row r="17" spans="1:61" ht="12.95" customHeight="1">
      <c r="A17" s="48">
        <f t="shared" si="10"/>
        <v>3</v>
      </c>
      <c r="B17" s="104">
        <v>6900.55</v>
      </c>
      <c r="C17" s="483">
        <f>IF(B17="",C16,VLOOKUP(TRUNC(B17,1),VLOOKUP!$A$3:$K$2834,RIGHT(TEXT(B17,"0000.00"),1)+2,FALSE))</f>
        <v>285616</v>
      </c>
      <c r="D17" s="45">
        <f t="shared" si="11"/>
        <v>-370</v>
      </c>
      <c r="E17" s="55">
        <f t="shared" si="0"/>
        <v>133616</v>
      </c>
      <c r="F17" s="112">
        <f t="shared" si="1"/>
        <v>-186.53894630703303</v>
      </c>
      <c r="G17" s="47">
        <v>54.5</v>
      </c>
      <c r="H17" s="125">
        <v>0</v>
      </c>
      <c r="I17" s="47">
        <f t="shared" si="2"/>
        <v>54.5</v>
      </c>
      <c r="J17" s="42">
        <f t="shared" si="3"/>
        <v>0</v>
      </c>
      <c r="K17" s="47">
        <f t="shared" si="12"/>
        <v>54.5</v>
      </c>
      <c r="L17" s="47">
        <f t="shared" si="13"/>
        <v>-90.038946307033029</v>
      </c>
      <c r="M17" s="114">
        <v>2</v>
      </c>
      <c r="N17" s="47">
        <v>0</v>
      </c>
      <c r="O17" s="47">
        <f t="shared" si="4"/>
        <v>0</v>
      </c>
      <c r="P17" s="39">
        <v>0</v>
      </c>
      <c r="Q17" s="144">
        <f>1014100/325851/1.9835*1.02</f>
        <v>1.600404233496552</v>
      </c>
      <c r="R17" s="73">
        <v>0</v>
      </c>
      <c r="S17" s="73">
        <f>IF(((2*1.04)-T17)&gt;=4.2,4.2,(2*1.04)-T17)</f>
        <v>1.5205320000000002</v>
      </c>
      <c r="T17" s="73">
        <f t="shared" si="14"/>
        <v>0.55946799999999997</v>
      </c>
      <c r="U17" s="243">
        <f t="shared" si="15"/>
        <v>-1.6804042334965521</v>
      </c>
      <c r="V17" s="47">
        <v>100</v>
      </c>
      <c r="W17" s="47">
        <v>0</v>
      </c>
      <c r="X17" s="47">
        <f t="shared" si="16"/>
        <v>100</v>
      </c>
      <c r="Y17" s="47">
        <f t="shared" si="17"/>
        <v>100</v>
      </c>
      <c r="Z17" s="47"/>
      <c r="AA17" s="47"/>
      <c r="AB17" s="55"/>
      <c r="AC17" s="42"/>
      <c r="AD17" s="55"/>
      <c r="AE17" s="47"/>
      <c r="AF17" s="114"/>
      <c r="AG17" s="212"/>
      <c r="AH17" s="47">
        <v>49</v>
      </c>
      <c r="AI17" s="55">
        <f t="shared" ref="AI17:AI45" si="22">AI16-AH17</f>
        <v>1482.1578774893114</v>
      </c>
      <c r="AJ17" s="42"/>
      <c r="AK17" s="74">
        <f t="shared" si="18"/>
        <v>151</v>
      </c>
      <c r="AL17" s="47">
        <f t="shared" si="5"/>
        <v>90.038946307033029</v>
      </c>
      <c r="AM17" s="47">
        <f t="shared" si="6"/>
        <v>241.03894630703303</v>
      </c>
      <c r="AN17" s="674">
        <f t="shared" si="19"/>
        <v>100</v>
      </c>
      <c r="AO17" s="618">
        <f t="shared" si="7"/>
        <v>-47.100404233496555</v>
      </c>
      <c r="AP17" s="42"/>
      <c r="AQ17" s="56"/>
      <c r="AR17" s="55"/>
      <c r="AS17" s="55"/>
      <c r="AT17" s="56"/>
      <c r="AV17" s="30"/>
      <c r="AW17" s="102">
        <v>0</v>
      </c>
      <c r="AX17" s="45">
        <v>58</v>
      </c>
      <c r="AY17" s="45">
        <v>26</v>
      </c>
      <c r="AZ17" s="407"/>
      <c r="BA17" s="385">
        <f t="shared" si="8"/>
        <v>2</v>
      </c>
      <c r="BB17" s="30">
        <v>3.79</v>
      </c>
      <c r="BC17" s="407">
        <v>16068</v>
      </c>
      <c r="BE17" s="574">
        <f t="shared" si="20"/>
        <v>3</v>
      </c>
      <c r="BF17" s="559">
        <v>6900.57</v>
      </c>
      <c r="BG17" s="575">
        <f t="shared" si="21"/>
        <v>-1.9999999999527063E-2</v>
      </c>
      <c r="BH17" s="576">
        <v>49.859374999999915</v>
      </c>
      <c r="BI17" s="576">
        <f t="shared" si="9"/>
        <v>-0.85937499999991473</v>
      </c>
    </row>
    <row r="18" spans="1:61" ht="12.95" customHeight="1">
      <c r="A18" s="48">
        <f t="shared" si="10"/>
        <v>4</v>
      </c>
      <c r="B18" s="104">
        <v>6900.52</v>
      </c>
      <c r="C18" s="483">
        <f>IF(B18="",C17,VLOOKUP(TRUNC(B18,1),VLOOKUP!$A$3:$K$2834,RIGHT(TEXT(B18,"0000.00"),1)+2,FALSE))</f>
        <v>285505</v>
      </c>
      <c r="D18" s="45">
        <f t="shared" si="11"/>
        <v>-111</v>
      </c>
      <c r="E18" s="55">
        <f t="shared" si="0"/>
        <v>133505</v>
      </c>
      <c r="F18" s="112">
        <f t="shared" si="1"/>
        <v>-55.961683892109903</v>
      </c>
      <c r="G18" s="47">
        <v>53.3</v>
      </c>
      <c r="H18" s="125">
        <v>0</v>
      </c>
      <c r="I18" s="47">
        <f t="shared" si="2"/>
        <v>53.3</v>
      </c>
      <c r="J18" s="42">
        <f t="shared" si="3"/>
        <v>44.638316107890105</v>
      </c>
      <c r="K18" s="47">
        <f t="shared" si="12"/>
        <v>97.938316107890103</v>
      </c>
      <c r="L18" s="47">
        <f t="shared" si="13"/>
        <v>44.638316107890105</v>
      </c>
      <c r="M18" s="114">
        <v>3.9</v>
      </c>
      <c r="N18" s="47">
        <v>0</v>
      </c>
      <c r="O18" s="47">
        <f t="shared" si="4"/>
        <v>0</v>
      </c>
      <c r="P18" s="39">
        <v>0</v>
      </c>
      <c r="Q18" s="144">
        <f>1078500/325851/1.9835*1.02</f>
        <v>1.7020372407317141</v>
      </c>
      <c r="R18" s="73">
        <v>0</v>
      </c>
      <c r="S18" s="73">
        <f>IF(((1.9*1.04)-T18)&gt;=4.2,4.2,(1.9*1.04)-T18)</f>
        <v>1.4165320000000001</v>
      </c>
      <c r="T18" s="73">
        <f t="shared" si="14"/>
        <v>0.55946799999999997</v>
      </c>
      <c r="U18" s="243">
        <f t="shared" si="15"/>
        <v>0.22196275926828557</v>
      </c>
      <c r="V18" s="47">
        <v>101</v>
      </c>
      <c r="W18" s="47">
        <v>0</v>
      </c>
      <c r="X18" s="47">
        <f t="shared" si="16"/>
        <v>101</v>
      </c>
      <c r="Y18" s="47">
        <f t="shared" si="17"/>
        <v>101</v>
      </c>
      <c r="Z18" s="47"/>
      <c r="AA18" s="47"/>
      <c r="AB18" s="55"/>
      <c r="AC18" s="42"/>
      <c r="AD18" s="55"/>
      <c r="AE18" s="47"/>
      <c r="AF18" s="114"/>
      <c r="AG18" s="212"/>
      <c r="AH18" s="47">
        <v>49</v>
      </c>
      <c r="AI18" s="55">
        <f t="shared" si="22"/>
        <v>1433.1578774893114</v>
      </c>
      <c r="AJ18" s="42"/>
      <c r="AK18" s="74">
        <f t="shared" si="18"/>
        <v>153.9</v>
      </c>
      <c r="AL18" s="47">
        <f t="shared" si="5"/>
        <v>0</v>
      </c>
      <c r="AM18" s="47">
        <f t="shared" si="6"/>
        <v>153.9</v>
      </c>
      <c r="AN18" s="674">
        <f t="shared" si="19"/>
        <v>101</v>
      </c>
      <c r="AO18" s="618">
        <f t="shared" si="7"/>
        <v>-49.402037240731715</v>
      </c>
      <c r="AP18" s="42"/>
      <c r="AQ18" s="56"/>
      <c r="AR18" s="55"/>
      <c r="AS18" s="55"/>
      <c r="AT18" s="56"/>
      <c r="AV18" s="30"/>
      <c r="AW18" s="102">
        <v>0</v>
      </c>
      <c r="AX18" s="45">
        <v>61</v>
      </c>
      <c r="AY18" s="45">
        <v>29</v>
      </c>
      <c r="AZ18" s="407"/>
      <c r="BA18" s="385">
        <f t="shared" si="8"/>
        <v>3.9</v>
      </c>
      <c r="BB18" s="30">
        <v>3.8</v>
      </c>
      <c r="BC18" s="407">
        <v>16066</v>
      </c>
      <c r="BE18" s="574">
        <f t="shared" si="20"/>
        <v>4</v>
      </c>
      <c r="BF18" s="559">
        <v>6900.51</v>
      </c>
      <c r="BG18" s="575">
        <f t="shared" si="21"/>
        <v>1.0000000000218279E-2</v>
      </c>
      <c r="BH18" s="576">
        <v>49.82499999999991</v>
      </c>
      <c r="BI18" s="576">
        <f t="shared" si="9"/>
        <v>-0.82499999999991047</v>
      </c>
    </row>
    <row r="19" spans="1:61" ht="12.95" customHeight="1">
      <c r="A19" s="48">
        <f t="shared" si="10"/>
        <v>5</v>
      </c>
      <c r="B19" s="104">
        <v>6900.46</v>
      </c>
      <c r="C19" s="483">
        <f>IF(B19="",C18,VLOOKUP(TRUNC(B19,1),VLOOKUP!$A$3:$K$2834,RIGHT(TEXT(B19,"0000.00"),1)+2,FALSE))</f>
        <v>285283</v>
      </c>
      <c r="D19" s="45">
        <f t="shared" si="11"/>
        <v>-222</v>
      </c>
      <c r="E19" s="55">
        <f t="shared" si="0"/>
        <v>133283</v>
      </c>
      <c r="F19" s="112">
        <f t="shared" si="1"/>
        <v>-111.92336778421981</v>
      </c>
      <c r="G19" s="47">
        <v>53</v>
      </c>
      <c r="H19" s="125">
        <v>0</v>
      </c>
      <c r="I19" s="47">
        <f t="shared" si="2"/>
        <v>53</v>
      </c>
      <c r="J19" s="42">
        <f t="shared" si="3"/>
        <v>0</v>
      </c>
      <c r="K19" s="47">
        <f t="shared" si="12"/>
        <v>53</v>
      </c>
      <c r="L19" s="47">
        <f t="shared" si="13"/>
        <v>-11.523367784219801</v>
      </c>
      <c r="M19" s="114">
        <v>3.4</v>
      </c>
      <c r="N19" s="47">
        <v>0</v>
      </c>
      <c r="O19" s="47">
        <f t="shared" si="4"/>
        <v>0</v>
      </c>
      <c r="P19" s="39">
        <v>0</v>
      </c>
      <c r="Q19" s="144">
        <f>1046200/325851/1.9835*1.02</f>
        <v>1.6510629218855069</v>
      </c>
      <c r="R19" s="73">
        <v>0</v>
      </c>
      <c r="S19" s="73">
        <f>IF(((2*1.04)-T19)&gt;=4.2,4.2,(2*1.04)-T19)</f>
        <v>1.5205320000000002</v>
      </c>
      <c r="T19" s="73">
        <f t="shared" si="14"/>
        <v>0.55946799999999997</v>
      </c>
      <c r="U19" s="243">
        <f t="shared" si="15"/>
        <v>-0.33106292188550723</v>
      </c>
      <c r="V19" s="47">
        <v>101</v>
      </c>
      <c r="W19" s="47">
        <v>0</v>
      </c>
      <c r="X19" s="47">
        <f t="shared" si="16"/>
        <v>101</v>
      </c>
      <c r="Y19" s="47">
        <f t="shared" si="17"/>
        <v>101</v>
      </c>
      <c r="Z19" s="47"/>
      <c r="AA19" s="47"/>
      <c r="AB19" s="55"/>
      <c r="AC19" s="42"/>
      <c r="AD19" s="55"/>
      <c r="AE19" s="47"/>
      <c r="AF19" s="114"/>
      <c r="AG19" s="212"/>
      <c r="AH19" s="47">
        <v>49</v>
      </c>
      <c r="AI19" s="55">
        <f t="shared" si="22"/>
        <v>1384.1578774893114</v>
      </c>
      <c r="AJ19" s="42"/>
      <c r="AK19" s="74">
        <f t="shared" si="18"/>
        <v>153.4</v>
      </c>
      <c r="AL19" s="47">
        <f t="shared" si="5"/>
        <v>11.523367784219801</v>
      </c>
      <c r="AM19" s="47">
        <f t="shared" si="6"/>
        <v>164.92336778421981</v>
      </c>
      <c r="AN19" s="674">
        <f t="shared" si="19"/>
        <v>101</v>
      </c>
      <c r="AO19" s="618">
        <f t="shared" si="7"/>
        <v>-49.651062921885504</v>
      </c>
      <c r="AP19" s="42"/>
      <c r="AQ19" s="56"/>
      <c r="AR19" s="55"/>
      <c r="AS19" s="55"/>
      <c r="AT19" s="56"/>
      <c r="AV19" s="30"/>
      <c r="AW19" s="102">
        <v>0</v>
      </c>
      <c r="AX19" s="78">
        <v>64</v>
      </c>
      <c r="AY19" s="45">
        <v>28</v>
      </c>
      <c r="AZ19" s="407"/>
      <c r="BA19" s="385">
        <f t="shared" si="8"/>
        <v>3.4</v>
      </c>
      <c r="BB19" s="30">
        <v>4.03</v>
      </c>
      <c r="BC19" s="407">
        <v>16066</v>
      </c>
      <c r="BE19" s="574">
        <f t="shared" si="20"/>
        <v>5</v>
      </c>
      <c r="BF19" s="559">
        <v>6900.45</v>
      </c>
      <c r="BG19" s="575">
        <f t="shared" si="21"/>
        <v>1.0000000000218279E-2</v>
      </c>
      <c r="BH19" s="576">
        <v>49.797916666666573</v>
      </c>
      <c r="BI19" s="576">
        <f t="shared" si="9"/>
        <v>-0.79791666666657335</v>
      </c>
    </row>
    <row r="20" spans="1:61" ht="12.95" customHeight="1">
      <c r="A20" s="48">
        <f t="shared" si="10"/>
        <v>6</v>
      </c>
      <c r="B20" s="104">
        <v>6900.38</v>
      </c>
      <c r="C20" s="483">
        <f>IF(B20="",C19,VLOOKUP(TRUNC(B20,1),VLOOKUP!$A$3:$K$2834,RIGHT(TEXT(B20,"0000.00"),1)+2,FALSE))</f>
        <v>284987</v>
      </c>
      <c r="D20" s="45">
        <f t="shared" si="11"/>
        <v>-296</v>
      </c>
      <c r="E20" s="55">
        <f t="shared" si="0"/>
        <v>132987</v>
      </c>
      <c r="F20" s="112">
        <f t="shared" si="1"/>
        <v>-149.23115704562642</v>
      </c>
      <c r="G20" s="47">
        <v>55.4</v>
      </c>
      <c r="H20" s="683">
        <v>0</v>
      </c>
      <c r="I20" s="47">
        <f t="shared" si="2"/>
        <v>55.4</v>
      </c>
      <c r="J20" s="42">
        <f t="shared" si="3"/>
        <v>0</v>
      </c>
      <c r="K20" s="47">
        <f t="shared" si="12"/>
        <v>55.4</v>
      </c>
      <c r="L20" s="47">
        <f t="shared" si="13"/>
        <v>-52.831157045626412</v>
      </c>
      <c r="M20" s="114">
        <v>2.8</v>
      </c>
      <c r="N20" s="47">
        <v>0</v>
      </c>
      <c r="O20" s="47">
        <f t="shared" si="4"/>
        <v>0</v>
      </c>
      <c r="P20" s="39">
        <v>0</v>
      </c>
      <c r="Q20" s="144">
        <f>992600/325851/1.9835*1.02</f>
        <v>1.5664739593419557</v>
      </c>
      <c r="R20" s="73">
        <v>0</v>
      </c>
      <c r="S20" s="73">
        <f>IF(((2*1.04)-T20)&gt;=4.2,4.2,(2*1.04)-T20)</f>
        <v>1.5064212800000001</v>
      </c>
      <c r="T20" s="73">
        <f>(0.5203*1.06)*1.04</f>
        <v>0.5735787200000001</v>
      </c>
      <c r="U20" s="243">
        <f t="shared" si="15"/>
        <v>-0.84647395934195613</v>
      </c>
      <c r="V20" s="47">
        <v>100</v>
      </c>
      <c r="W20" s="47">
        <v>0</v>
      </c>
      <c r="X20" s="47">
        <f t="shared" si="16"/>
        <v>100</v>
      </c>
      <c r="Y20" s="47">
        <f t="shared" si="17"/>
        <v>100</v>
      </c>
      <c r="Z20" s="47"/>
      <c r="AA20" s="47"/>
      <c r="AB20" s="55"/>
      <c r="AC20" s="42"/>
      <c r="AD20" s="55"/>
      <c r="AE20" s="47"/>
      <c r="AF20" s="114"/>
      <c r="AG20" s="212"/>
      <c r="AH20" s="47">
        <v>49</v>
      </c>
      <c r="AI20" s="55">
        <f t="shared" si="22"/>
        <v>1335.1578774893114</v>
      </c>
      <c r="AJ20" s="42"/>
      <c r="AK20" s="74">
        <f>N20+O20+P20+Q20+R20+S20+T20+U20+X20+AE20+AH20</f>
        <v>151.80000000000001</v>
      </c>
      <c r="AL20" s="47">
        <f t="shared" si="5"/>
        <v>52.831157045626412</v>
      </c>
      <c r="AM20" s="47">
        <f>AK20+AL20</f>
        <v>204.63115704562642</v>
      </c>
      <c r="AN20" s="674">
        <f t="shared" si="19"/>
        <v>100</v>
      </c>
      <c r="AO20" s="618">
        <f t="shared" si="7"/>
        <v>-46.166473959341957</v>
      </c>
      <c r="AP20" s="42"/>
      <c r="AQ20" s="47"/>
      <c r="AR20" s="55"/>
      <c r="AS20" s="55"/>
      <c r="AT20" s="56"/>
      <c r="AV20" s="30"/>
      <c r="AW20" s="102">
        <v>0</v>
      </c>
      <c r="AX20" s="45">
        <v>62</v>
      </c>
      <c r="AY20" s="45">
        <v>32</v>
      </c>
      <c r="AZ20" s="407"/>
      <c r="BA20" s="385">
        <f t="shared" si="8"/>
        <v>2.8</v>
      </c>
      <c r="BB20" s="30">
        <v>4.03</v>
      </c>
      <c r="BC20" s="407">
        <v>16066</v>
      </c>
      <c r="BE20" s="574">
        <f t="shared" si="20"/>
        <v>6</v>
      </c>
      <c r="BF20" s="559">
        <v>6900.38</v>
      </c>
      <c r="BG20" s="575">
        <f t="shared" si="21"/>
        <v>0</v>
      </c>
      <c r="BH20" s="576">
        <v>49.768749999999919</v>
      </c>
      <c r="BI20" s="576">
        <f t="shared" si="9"/>
        <v>-0.768749999999919</v>
      </c>
    </row>
    <row r="21" spans="1:61" ht="12.95" customHeight="1">
      <c r="A21" s="48">
        <f t="shared" si="10"/>
        <v>7</v>
      </c>
      <c r="B21" s="104">
        <v>6900.34</v>
      </c>
      <c r="C21" s="483">
        <f>IF(B21="",C20,VLOOKUP(TRUNC(B21,1),VLOOKUP!$A$3:$K$2834,RIGHT(TEXT(B21,"0000.00"),1)+2,FALSE))</f>
        <v>284839</v>
      </c>
      <c r="D21" s="45">
        <f t="shared" si="11"/>
        <v>-148</v>
      </c>
      <c r="E21" s="55">
        <f t="shared" si="0"/>
        <v>132839</v>
      </c>
      <c r="F21" s="112">
        <f t="shared" si="1"/>
        <v>-74.615578522813209</v>
      </c>
      <c r="G21" s="47">
        <v>61.6</v>
      </c>
      <c r="H21" s="125">
        <v>0</v>
      </c>
      <c r="I21" s="47">
        <f t="shared" si="2"/>
        <v>61.6</v>
      </c>
      <c r="J21" s="42">
        <f t="shared" si="3"/>
        <v>16.684421477186802</v>
      </c>
      <c r="K21" s="47">
        <f t="shared" si="12"/>
        <v>78.284421477186811</v>
      </c>
      <c r="L21" s="47">
        <f t="shared" si="13"/>
        <v>16.684421477186802</v>
      </c>
      <c r="M21" s="114">
        <v>3.9</v>
      </c>
      <c r="N21" s="47">
        <v>0</v>
      </c>
      <c r="O21" s="47">
        <f t="shared" si="4"/>
        <v>0</v>
      </c>
      <c r="P21" s="39">
        <v>0</v>
      </c>
      <c r="Q21" s="144">
        <f>1162800/325851/1.9835*1.02</f>
        <v>1.8350754784634558</v>
      </c>
      <c r="R21" s="73">
        <v>0</v>
      </c>
      <c r="S21" s="73">
        <f>IF(((1.9*1.04)-T21)&gt;=4.2,4.2,(1.9*1.04)-T21)</f>
        <v>1.40242128</v>
      </c>
      <c r="T21" s="73">
        <f t="shared" ref="T21:T26" si="23">(0.5203*1.06)*1.04</f>
        <v>0.5735787200000001</v>
      </c>
      <c r="U21" s="243">
        <f t="shared" si="15"/>
        <v>8.8924521536544177E-2</v>
      </c>
      <c r="V21" s="47">
        <v>100</v>
      </c>
      <c r="W21" s="47">
        <v>0</v>
      </c>
      <c r="X21" s="47">
        <f t="shared" si="16"/>
        <v>100</v>
      </c>
      <c r="Y21" s="47">
        <f t="shared" si="17"/>
        <v>100</v>
      </c>
      <c r="Z21" s="47"/>
      <c r="AA21" s="47"/>
      <c r="AB21" s="55"/>
      <c r="AC21" s="42"/>
      <c r="AD21" s="55"/>
      <c r="AE21" s="47"/>
      <c r="AF21" s="114"/>
      <c r="AG21" s="212"/>
      <c r="AH21" s="47">
        <v>49</v>
      </c>
      <c r="AI21" s="55">
        <f t="shared" si="22"/>
        <v>1286.1578774893114</v>
      </c>
      <c r="AJ21" s="42"/>
      <c r="AK21" s="74">
        <f t="shared" si="18"/>
        <v>152.9</v>
      </c>
      <c r="AL21" s="47">
        <f t="shared" si="5"/>
        <v>0</v>
      </c>
      <c r="AM21" s="47">
        <f t="shared" si="6"/>
        <v>152.9</v>
      </c>
      <c r="AN21" s="674">
        <f t="shared" si="19"/>
        <v>100</v>
      </c>
      <c r="AO21" s="618">
        <f t="shared" si="7"/>
        <v>-40.235075478463457</v>
      </c>
      <c r="AP21" s="42"/>
      <c r="AQ21" s="47"/>
      <c r="AR21" s="55"/>
      <c r="AS21" s="55"/>
      <c r="AT21" s="56"/>
      <c r="AV21" s="30"/>
      <c r="AW21" s="102">
        <v>0</v>
      </c>
      <c r="AX21" s="45">
        <v>65</v>
      </c>
      <c r="AY21" s="45">
        <v>33</v>
      </c>
      <c r="AZ21" s="407"/>
      <c r="BA21" s="385">
        <f t="shared" si="8"/>
        <v>3.9</v>
      </c>
      <c r="BB21" s="30">
        <v>4.03</v>
      </c>
      <c r="BC21" s="407">
        <v>16067</v>
      </c>
      <c r="BE21" s="574">
        <f t="shared" si="20"/>
        <v>7</v>
      </c>
      <c r="BF21" s="559">
        <v>6900.34</v>
      </c>
      <c r="BG21" s="575">
        <f t="shared" si="21"/>
        <v>0</v>
      </c>
      <c r="BH21" s="576">
        <v>49.789583333333248</v>
      </c>
      <c r="BI21" s="576">
        <f t="shared" si="9"/>
        <v>-0.78958333333324759</v>
      </c>
    </row>
    <row r="22" spans="1:61" ht="12.95" customHeight="1">
      <c r="A22" s="48">
        <f t="shared" si="10"/>
        <v>8</v>
      </c>
      <c r="B22" s="104">
        <v>6900.3</v>
      </c>
      <c r="C22" s="483">
        <f>IF(B22="",C21,VLOOKUP(TRUNC(B22,1),VLOOKUP!$A$3:$K$2834,RIGHT(TEXT(B22,"0000.00"),1)+2,FALSE))</f>
        <v>284690</v>
      </c>
      <c r="D22" s="45">
        <f t="shared" si="11"/>
        <v>-149</v>
      </c>
      <c r="E22" s="55">
        <f t="shared" si="0"/>
        <v>132690</v>
      </c>
      <c r="F22" s="112">
        <f>D22/$D$2</f>
        <v>-75.119737837156535</v>
      </c>
      <c r="G22" s="47">
        <v>72.400000000000006</v>
      </c>
      <c r="H22" s="125">
        <v>0</v>
      </c>
      <c r="I22" s="47">
        <f t="shared" si="2"/>
        <v>72.400000000000006</v>
      </c>
      <c r="J22" s="42">
        <f t="shared" si="3"/>
        <v>5.180262162843448</v>
      </c>
      <c r="K22" s="47">
        <f t="shared" si="12"/>
        <v>77.580262162843454</v>
      </c>
      <c r="L22" s="47">
        <f t="shared" si="13"/>
        <v>5.180262162843448</v>
      </c>
      <c r="M22" s="114">
        <v>3.7</v>
      </c>
      <c r="N22" s="47">
        <v>0</v>
      </c>
      <c r="O22" s="47">
        <f t="shared" si="4"/>
        <v>0</v>
      </c>
      <c r="P22" s="39">
        <v>0</v>
      </c>
      <c r="Q22" s="144">
        <f>1043600/325851/1.9835*1.02</f>
        <v>1.6469597259412303</v>
      </c>
      <c r="R22" s="73">
        <v>0</v>
      </c>
      <c r="S22" s="73">
        <f>IF(((1.9*1.04)-T22)&gt;=4.2,4.2,(1.9*1.04)-T22)</f>
        <v>1.40242128</v>
      </c>
      <c r="T22" s="73">
        <f t="shared" si="23"/>
        <v>0.5735787200000001</v>
      </c>
      <c r="U22" s="243">
        <f t="shared" si="15"/>
        <v>7.704027405877012E-2</v>
      </c>
      <c r="V22" s="47">
        <v>100</v>
      </c>
      <c r="W22" s="47">
        <v>0</v>
      </c>
      <c r="X22" s="47">
        <f t="shared" si="16"/>
        <v>100</v>
      </c>
      <c r="Y22" s="47">
        <f t="shared" si="17"/>
        <v>100</v>
      </c>
      <c r="Z22" s="47"/>
      <c r="AA22" s="47"/>
      <c r="AB22" s="55"/>
      <c r="AC22" s="42"/>
      <c r="AD22" s="55"/>
      <c r="AE22" s="47"/>
      <c r="AF22" s="114"/>
      <c r="AG22" s="212"/>
      <c r="AH22" s="47">
        <v>49</v>
      </c>
      <c r="AI22" s="55">
        <f t="shared" si="22"/>
        <v>1237.1578774893114</v>
      </c>
      <c r="AJ22" s="42"/>
      <c r="AK22" s="74">
        <f t="shared" si="18"/>
        <v>152.69999999999999</v>
      </c>
      <c r="AL22" s="47">
        <f t="shared" si="5"/>
        <v>0</v>
      </c>
      <c r="AM22" s="47">
        <f t="shared" si="6"/>
        <v>152.69999999999999</v>
      </c>
      <c r="AN22" s="674">
        <f t="shared" si="19"/>
        <v>100</v>
      </c>
      <c r="AO22" s="618">
        <f t="shared" si="7"/>
        <v>-29.246959725941224</v>
      </c>
      <c r="AP22" s="42"/>
      <c r="AQ22" s="47"/>
      <c r="AR22" s="55"/>
      <c r="AS22" s="55"/>
      <c r="AT22" s="56"/>
      <c r="AV22" s="30"/>
      <c r="AW22" s="102">
        <v>0</v>
      </c>
      <c r="AX22" s="45">
        <v>58</v>
      </c>
      <c r="AY22" s="45">
        <v>36</v>
      </c>
      <c r="AZ22" s="407"/>
      <c r="BA22" s="385">
        <f t="shared" si="8"/>
        <v>3.7</v>
      </c>
      <c r="BB22" s="30">
        <v>3.51</v>
      </c>
      <c r="BC22" s="407">
        <v>16069</v>
      </c>
      <c r="BE22" s="574">
        <f t="shared" si="20"/>
        <v>8</v>
      </c>
      <c r="BF22" s="559">
        <v>6900.3</v>
      </c>
      <c r="BG22" s="575">
        <f t="shared" si="21"/>
        <v>0</v>
      </c>
      <c r="BH22" s="576">
        <v>49.851086956521655</v>
      </c>
      <c r="BI22" s="576">
        <f t="shared" si="9"/>
        <v>-0.85108695652165522</v>
      </c>
    </row>
    <row r="23" spans="1:61" ht="12.95" customHeight="1">
      <c r="A23" s="48">
        <f t="shared" si="10"/>
        <v>9</v>
      </c>
      <c r="B23" s="104">
        <v>6900.25</v>
      </c>
      <c r="C23" s="483">
        <f>IF(B23="",C22,VLOOKUP(TRUNC(B23,1),VLOOKUP!$A$3:$K$2834,RIGHT(TEXT(B23,"0000.00"),1)+2,FALSE))</f>
        <v>284505</v>
      </c>
      <c r="D23" s="45">
        <f t="shared" si="11"/>
        <v>-185</v>
      </c>
      <c r="E23" s="55">
        <f t="shared" si="0"/>
        <v>132505</v>
      </c>
      <c r="F23" s="112">
        <f t="shared" si="1"/>
        <v>-93.269473153516515</v>
      </c>
      <c r="G23" s="47">
        <v>72.5</v>
      </c>
      <c r="H23" s="125">
        <v>2.86</v>
      </c>
      <c r="I23" s="47">
        <f t="shared" si="2"/>
        <v>75.36</v>
      </c>
      <c r="J23" s="42">
        <f t="shared" si="3"/>
        <v>0</v>
      </c>
      <c r="K23" s="47">
        <f t="shared" si="12"/>
        <v>75.36</v>
      </c>
      <c r="L23" s="47">
        <f t="shared" si="13"/>
        <v>-16.229473153516508</v>
      </c>
      <c r="M23" s="114">
        <v>3.4</v>
      </c>
      <c r="N23" s="47">
        <v>0</v>
      </c>
      <c r="O23" s="47">
        <f t="shared" si="4"/>
        <v>0</v>
      </c>
      <c r="P23" s="39">
        <v>0</v>
      </c>
      <c r="Q23" s="144">
        <f>1121700/325851/1.9835*1.02</f>
        <v>1.7702134194981582</v>
      </c>
      <c r="R23" s="73">
        <v>0</v>
      </c>
      <c r="S23" s="73">
        <f>IF(((2*1.04)-T23)&gt;=4.2,4.2,(2*1.04)-T23)</f>
        <v>1.5064212800000001</v>
      </c>
      <c r="T23" s="73">
        <f t="shared" si="23"/>
        <v>0.5735787200000001</v>
      </c>
      <c r="U23" s="243">
        <f t="shared" si="15"/>
        <v>-0.45021341949815863</v>
      </c>
      <c r="V23" s="47">
        <v>100</v>
      </c>
      <c r="W23" s="47">
        <v>0</v>
      </c>
      <c r="X23" s="47">
        <f t="shared" si="16"/>
        <v>100</v>
      </c>
      <c r="Y23" s="47">
        <f t="shared" si="17"/>
        <v>100</v>
      </c>
      <c r="Z23" s="47"/>
      <c r="AA23" s="47"/>
      <c r="AB23" s="55"/>
      <c r="AC23" s="42"/>
      <c r="AD23" s="55"/>
      <c r="AE23" s="47"/>
      <c r="AF23" s="114"/>
      <c r="AG23" s="212"/>
      <c r="AH23" s="47">
        <v>49</v>
      </c>
      <c r="AI23" s="55">
        <f t="shared" si="22"/>
        <v>1188.1578774893114</v>
      </c>
      <c r="AJ23" s="42"/>
      <c r="AK23" s="74">
        <f t="shared" si="18"/>
        <v>152.4</v>
      </c>
      <c r="AL23" s="47">
        <f t="shared" si="5"/>
        <v>16.229473153516508</v>
      </c>
      <c r="AM23" s="47">
        <f t="shared" si="6"/>
        <v>168.62947315351653</v>
      </c>
      <c r="AN23" s="674">
        <f t="shared" si="19"/>
        <v>100</v>
      </c>
      <c r="AO23" s="618">
        <f t="shared" si="7"/>
        <v>-26.410213419498163</v>
      </c>
      <c r="AP23" s="42"/>
      <c r="AQ23" s="47"/>
      <c r="AR23" s="55"/>
      <c r="AS23" s="55"/>
      <c r="AT23" s="56"/>
      <c r="AV23" s="30"/>
      <c r="AW23" s="102">
        <v>0.16</v>
      </c>
      <c r="AX23" s="56">
        <v>56</v>
      </c>
      <c r="AY23" s="45">
        <v>30</v>
      </c>
      <c r="AZ23" s="407"/>
      <c r="BA23" s="385">
        <f t="shared" si="8"/>
        <v>3.4</v>
      </c>
      <c r="BB23" s="30">
        <v>2.77</v>
      </c>
      <c r="BC23" s="407">
        <v>16070</v>
      </c>
      <c r="BE23" s="574">
        <f t="shared" si="20"/>
        <v>9</v>
      </c>
      <c r="BF23" s="559">
        <v>6900.26</v>
      </c>
      <c r="BG23" s="575">
        <f t="shared" si="21"/>
        <v>-1.0000000000218279E-2</v>
      </c>
      <c r="BH23" s="576">
        <v>49.765624999999915</v>
      </c>
      <c r="BI23" s="576">
        <f>MAX(0,AH23-BH23)</f>
        <v>0</v>
      </c>
    </row>
    <row r="24" spans="1:61" ht="12.95" customHeight="1">
      <c r="A24" s="48">
        <f t="shared" si="10"/>
        <v>10</v>
      </c>
      <c r="B24" s="104">
        <v>6900.22</v>
      </c>
      <c r="C24" s="483">
        <f>IF(B24="",C23,VLOOKUP(TRUNC(B24,1),VLOOKUP!$A$3:$K$2834,RIGHT(TEXT(B24,"0000.00"),1)+2,FALSE))</f>
        <v>284394</v>
      </c>
      <c r="D24" s="45">
        <f t="shared" si="11"/>
        <v>-111</v>
      </c>
      <c r="E24" s="55">
        <f t="shared" si="0"/>
        <v>132394</v>
      </c>
      <c r="F24" s="112">
        <f t="shared" si="1"/>
        <v>-55.961683892109903</v>
      </c>
      <c r="G24" s="47">
        <v>68.599999999999994</v>
      </c>
      <c r="H24" s="125">
        <v>2.72</v>
      </c>
      <c r="I24" s="47">
        <f t="shared" si="2"/>
        <v>71.319999999999993</v>
      </c>
      <c r="J24" s="42">
        <f t="shared" si="3"/>
        <v>24.518316107890115</v>
      </c>
      <c r="K24" s="47">
        <f t="shared" si="12"/>
        <v>95.838316107890108</v>
      </c>
      <c r="L24" s="47">
        <f t="shared" si="13"/>
        <v>24.518316107890115</v>
      </c>
      <c r="M24" s="114">
        <v>2.8</v>
      </c>
      <c r="N24" s="47">
        <v>0</v>
      </c>
      <c r="O24" s="47">
        <f t="shared" si="4"/>
        <v>0</v>
      </c>
      <c r="P24" s="39">
        <v>0</v>
      </c>
      <c r="Q24" s="144">
        <f>767300/325851/1.9835*1.02</f>
        <v>1.2109162492475145</v>
      </c>
      <c r="R24" s="73">
        <v>0</v>
      </c>
      <c r="S24" s="73">
        <f>IF(((2*1.04)-T24)&gt;=4.2,4.2,(2*1.04)-T24)</f>
        <v>1.5064212800000001</v>
      </c>
      <c r="T24" s="73">
        <f t="shared" si="23"/>
        <v>0.5735787200000001</v>
      </c>
      <c r="U24" s="243">
        <f t="shared" si="15"/>
        <v>-0.49091624924751498</v>
      </c>
      <c r="V24" s="47">
        <v>100</v>
      </c>
      <c r="W24" s="47">
        <v>0</v>
      </c>
      <c r="X24" s="47">
        <f t="shared" si="16"/>
        <v>100</v>
      </c>
      <c r="Y24" s="47">
        <f t="shared" si="17"/>
        <v>100</v>
      </c>
      <c r="Z24" s="47"/>
      <c r="AA24" s="47"/>
      <c r="AB24" s="55"/>
      <c r="AC24" s="42"/>
      <c r="AD24" s="55"/>
      <c r="AE24" s="47"/>
      <c r="AF24" s="114"/>
      <c r="AG24" s="212"/>
      <c r="AH24" s="47">
        <v>49</v>
      </c>
      <c r="AI24" s="55">
        <f t="shared" si="22"/>
        <v>1139.1578774893114</v>
      </c>
      <c r="AJ24" s="42"/>
      <c r="AK24" s="74">
        <f t="shared" si="18"/>
        <v>151.80000000000001</v>
      </c>
      <c r="AL24" s="47">
        <f t="shared" si="5"/>
        <v>0</v>
      </c>
      <c r="AM24" s="47">
        <f t="shared" si="6"/>
        <v>151.80000000000001</v>
      </c>
      <c r="AN24" s="674">
        <f t="shared" si="19"/>
        <v>100</v>
      </c>
      <c r="AO24" s="618">
        <f t="shared" si="7"/>
        <v>-29.890916249247525</v>
      </c>
      <c r="AP24" s="42"/>
      <c r="AQ24" s="47"/>
      <c r="AR24" s="55"/>
      <c r="AS24" s="55"/>
      <c r="AT24" s="56"/>
      <c r="AV24" s="30"/>
      <c r="AW24" s="102">
        <v>0.03</v>
      </c>
      <c r="AX24" s="45">
        <v>50</v>
      </c>
      <c r="AY24" s="45">
        <v>32</v>
      </c>
      <c r="AZ24" s="407"/>
      <c r="BA24" s="385">
        <f t="shared" si="8"/>
        <v>2.8</v>
      </c>
      <c r="BB24" s="30">
        <v>2.66</v>
      </c>
      <c r="BC24" s="407">
        <v>16072</v>
      </c>
      <c r="BE24" s="574">
        <f t="shared" si="20"/>
        <v>10</v>
      </c>
      <c r="BF24" s="559">
        <v>6900.21</v>
      </c>
      <c r="BG24" s="575">
        <f t="shared" si="21"/>
        <v>1.0000000000218279E-2</v>
      </c>
      <c r="BH24" s="576">
        <v>49.788541666666582</v>
      </c>
      <c r="BI24" s="576">
        <f>MAX(0,AH24-BH24)</f>
        <v>0</v>
      </c>
    </row>
    <row r="25" spans="1:61" ht="12.95" customHeight="1">
      <c r="A25" s="48">
        <f t="shared" si="10"/>
        <v>11</v>
      </c>
      <c r="B25" s="104">
        <v>6900.19</v>
      </c>
      <c r="C25" s="483">
        <f>IF(B25="",C24,VLOOKUP(TRUNC(B25,1),VLOOKUP!$A$3:$K$2834,RIGHT(TEXT(B25,"0000.00"),1)+2,FALSE))</f>
        <v>284283</v>
      </c>
      <c r="D25" s="45">
        <f t="shared" si="11"/>
        <v>-111</v>
      </c>
      <c r="E25" s="55">
        <f t="shared" si="0"/>
        <v>132283</v>
      </c>
      <c r="F25" s="112">
        <f t="shared" si="1"/>
        <v>-55.961683892109903</v>
      </c>
      <c r="G25" s="47">
        <v>69.400000000000006</v>
      </c>
      <c r="H25" s="125">
        <v>2.2999999999999998</v>
      </c>
      <c r="I25" s="47">
        <f t="shared" si="2"/>
        <v>71.7</v>
      </c>
      <c r="J25" s="42">
        <f>IF(L25&gt;0,L25,0)</f>
        <v>25.538316107890083</v>
      </c>
      <c r="K25" s="47">
        <f t="shared" si="12"/>
        <v>97.238316107890086</v>
      </c>
      <c r="L25" s="47">
        <f t="shared" si="13"/>
        <v>25.538316107890083</v>
      </c>
      <c r="M25" s="114">
        <v>4.2</v>
      </c>
      <c r="N25" s="47">
        <v>0</v>
      </c>
      <c r="O25" s="47">
        <f t="shared" si="4"/>
        <v>0</v>
      </c>
      <c r="P25" s="39">
        <v>0</v>
      </c>
      <c r="Q25" s="144">
        <f>1105600/325851/1.9835*1.02</f>
        <v>1.7448051676893677</v>
      </c>
      <c r="R25" s="73">
        <v>0</v>
      </c>
      <c r="S25" s="73">
        <f>IF(((1.9*1.04)-T25)&gt;=4.2,4.2,(1.9*1.04)-T25)</f>
        <v>1.40242128</v>
      </c>
      <c r="T25" s="73">
        <f t="shared" si="23"/>
        <v>0.5735787200000001</v>
      </c>
      <c r="U25" s="243">
        <f t="shared" si="15"/>
        <v>0.47919483231063253</v>
      </c>
      <c r="V25" s="47">
        <v>100</v>
      </c>
      <c r="W25" s="47">
        <v>0</v>
      </c>
      <c r="X25" s="47">
        <f t="shared" si="16"/>
        <v>100</v>
      </c>
      <c r="Y25" s="47">
        <f t="shared" si="17"/>
        <v>100</v>
      </c>
      <c r="Z25" s="47"/>
      <c r="AA25" s="47"/>
      <c r="AB25" s="55"/>
      <c r="AC25" s="42"/>
      <c r="AD25" s="55"/>
      <c r="AE25" s="47"/>
      <c r="AF25" s="114"/>
      <c r="AG25" s="212"/>
      <c r="AH25" s="47">
        <v>49</v>
      </c>
      <c r="AI25" s="55">
        <f t="shared" si="22"/>
        <v>1090.1578774893114</v>
      </c>
      <c r="AJ25" s="42"/>
      <c r="AK25" s="74">
        <f t="shared" si="18"/>
        <v>153.19999999999999</v>
      </c>
      <c r="AL25" s="47">
        <f t="shared" si="5"/>
        <v>0</v>
      </c>
      <c r="AM25" s="47">
        <f t="shared" si="6"/>
        <v>153.19999999999999</v>
      </c>
      <c r="AN25" s="674">
        <f t="shared" si="19"/>
        <v>100</v>
      </c>
      <c r="AO25" s="618">
        <f t="shared" si="7"/>
        <v>-30.044805167689361</v>
      </c>
      <c r="AP25" s="42"/>
      <c r="AQ25" s="47"/>
      <c r="AR25" s="55"/>
      <c r="AS25" s="55"/>
      <c r="AT25" s="56"/>
      <c r="AV25" s="30"/>
      <c r="AW25" s="102">
        <v>0.06</v>
      </c>
      <c r="AX25" s="45">
        <v>54</v>
      </c>
      <c r="AY25" s="45">
        <v>36</v>
      </c>
      <c r="AZ25" s="407"/>
      <c r="BA25" s="385">
        <f t="shared" si="8"/>
        <v>4.2</v>
      </c>
      <c r="BB25" s="30">
        <v>2.4900000000000002</v>
      </c>
      <c r="BC25" s="407">
        <v>16080</v>
      </c>
      <c r="BE25" s="574">
        <f t="shared" si="20"/>
        <v>11</v>
      </c>
      <c r="BF25" s="559">
        <v>6900.18</v>
      </c>
      <c r="BG25" s="575">
        <f t="shared" si="21"/>
        <v>9.999999999308784E-3</v>
      </c>
      <c r="BH25" s="576">
        <v>49.828124999999915</v>
      </c>
      <c r="BI25" s="576">
        <f>MAX(0,AH25-BH25)</f>
        <v>0</v>
      </c>
    </row>
    <row r="26" spans="1:61" ht="12.95" customHeight="1">
      <c r="A26" s="48">
        <f t="shared" si="10"/>
        <v>12</v>
      </c>
      <c r="B26" s="104">
        <v>6900.15</v>
      </c>
      <c r="C26" s="483">
        <f>IF(B26="",C25,VLOOKUP(TRUNC(B26,1),VLOOKUP!$A$3:$K$2834,RIGHT(TEXT(B26,"0000.00"),1)+2,FALSE))</f>
        <v>284135</v>
      </c>
      <c r="D26" s="45">
        <f t="shared" si="11"/>
        <v>-148</v>
      </c>
      <c r="E26" s="55">
        <f t="shared" si="0"/>
        <v>132135</v>
      </c>
      <c r="F26" s="112">
        <f t="shared" si="1"/>
        <v>-74.615578522813209</v>
      </c>
      <c r="G26" s="47">
        <v>73.7</v>
      </c>
      <c r="H26" s="125">
        <v>2.74</v>
      </c>
      <c r="I26" s="47">
        <f t="shared" si="2"/>
        <v>76.44</v>
      </c>
      <c r="J26" s="42">
        <f t="shared" si="3"/>
        <v>1.644421477186782</v>
      </c>
      <c r="K26" s="47">
        <f t="shared" si="12"/>
        <v>78.08442147718678</v>
      </c>
      <c r="L26" s="47">
        <f t="shared" si="13"/>
        <v>1.644421477186782</v>
      </c>
      <c r="M26" s="114">
        <v>3.7</v>
      </c>
      <c r="N26" s="47">
        <v>0</v>
      </c>
      <c r="O26" s="47">
        <f t="shared" si="4"/>
        <v>0</v>
      </c>
      <c r="P26" s="39">
        <v>0</v>
      </c>
      <c r="Q26" s="144">
        <f>961000/325851/1.9835*1.02</f>
        <v>1.516604347096131</v>
      </c>
      <c r="R26" s="73">
        <v>0</v>
      </c>
      <c r="S26" s="73">
        <f>IF(((2*1.04)-T26)&gt;=4.2,4.2,(2*1.04)-T26)</f>
        <v>1.5064212800000001</v>
      </c>
      <c r="T26" s="73">
        <f t="shared" si="23"/>
        <v>0.5735787200000001</v>
      </c>
      <c r="U26" s="243">
        <f t="shared" si="15"/>
        <v>0.1033956529038691</v>
      </c>
      <c r="V26" s="47">
        <v>100</v>
      </c>
      <c r="W26" s="47">
        <v>0</v>
      </c>
      <c r="X26" s="47">
        <f t="shared" si="16"/>
        <v>100</v>
      </c>
      <c r="Y26" s="47">
        <f t="shared" si="17"/>
        <v>100</v>
      </c>
      <c r="Z26" s="47"/>
      <c r="AA26" s="47"/>
      <c r="AB26" s="55"/>
      <c r="AC26" s="42"/>
      <c r="AD26" s="55"/>
      <c r="AE26" s="47"/>
      <c r="AF26" s="114"/>
      <c r="AG26" s="212"/>
      <c r="AH26" s="47">
        <v>49</v>
      </c>
      <c r="AI26" s="55">
        <f t="shared" si="22"/>
        <v>1041.1578774893114</v>
      </c>
      <c r="AJ26" s="42"/>
      <c r="AK26" s="74">
        <f>N26+O26+P26+Q26+R26+S26+T26+U26+X26+AE26+AH26</f>
        <v>152.69999999999999</v>
      </c>
      <c r="AL26" s="47">
        <f t="shared" si="5"/>
        <v>0</v>
      </c>
      <c r="AM26" s="47">
        <f t="shared" si="6"/>
        <v>152.69999999999999</v>
      </c>
      <c r="AN26" s="674">
        <f t="shared" si="19"/>
        <v>100</v>
      </c>
      <c r="AO26" s="618">
        <f t="shared" si="7"/>
        <v>-25.076604347096136</v>
      </c>
      <c r="AP26" s="42"/>
      <c r="AQ26" s="47"/>
      <c r="AR26" s="55"/>
      <c r="AS26" s="55"/>
      <c r="AT26" s="56"/>
      <c r="AV26" s="30"/>
      <c r="AW26" s="102">
        <v>0.31</v>
      </c>
      <c r="AX26" s="45">
        <v>59</v>
      </c>
      <c r="AY26" s="45">
        <v>34</v>
      </c>
      <c r="AZ26" s="407"/>
      <c r="BA26" s="385">
        <f t="shared" si="8"/>
        <v>3.7</v>
      </c>
      <c r="BB26" s="30">
        <v>2.4700000000000002</v>
      </c>
      <c r="BC26" s="407">
        <v>16091</v>
      </c>
      <c r="BE26" s="574">
        <f t="shared" si="20"/>
        <v>12</v>
      </c>
      <c r="BF26" s="559">
        <v>6900.13</v>
      </c>
      <c r="BG26" s="575">
        <f t="shared" si="21"/>
        <v>1.9999999999527063E-2</v>
      </c>
      <c r="BH26" s="576">
        <v>49.689583333333246</v>
      </c>
      <c r="BI26" s="576">
        <f>MAX(0,AH26-BH26)</f>
        <v>0</v>
      </c>
    </row>
    <row r="27" spans="1:61" ht="12.95" customHeight="1">
      <c r="A27" s="48">
        <f t="shared" si="10"/>
        <v>13</v>
      </c>
      <c r="B27" s="104">
        <v>6900.19</v>
      </c>
      <c r="C27" s="483">
        <f>IF(B27="",C26,VLOOKUP(TRUNC(B27,1),VLOOKUP!$A$3:$K$2834,RIGHT(TEXT(B27,"0000.00"),1)+2,FALSE))</f>
        <v>284283</v>
      </c>
      <c r="D27" s="45">
        <f t="shared" si="11"/>
        <v>148</v>
      </c>
      <c r="E27" s="55">
        <f t="shared" si="0"/>
        <v>132283</v>
      </c>
      <c r="F27" s="112">
        <f t="shared" si="1"/>
        <v>74.615578522813209</v>
      </c>
      <c r="G27" s="47">
        <v>88.5</v>
      </c>
      <c r="H27" s="125">
        <v>3.36</v>
      </c>
      <c r="I27" s="47">
        <f t="shared" si="2"/>
        <v>91.86</v>
      </c>
      <c r="J27" s="42">
        <f t="shared" si="3"/>
        <v>135.15557852281322</v>
      </c>
      <c r="K27" s="47">
        <f t="shared" si="12"/>
        <v>227.0155785228132</v>
      </c>
      <c r="L27" s="47">
        <f t="shared" si="13"/>
        <v>135.15557852281322</v>
      </c>
      <c r="M27" s="114">
        <v>3.4</v>
      </c>
      <c r="N27" s="47">
        <v>0</v>
      </c>
      <c r="O27" s="47">
        <f t="shared" si="4"/>
        <v>0</v>
      </c>
      <c r="P27" s="39">
        <v>0</v>
      </c>
      <c r="Q27" s="144">
        <f>961100/325851/1.9835*1.02</f>
        <v>1.5167621623247569</v>
      </c>
      <c r="R27" s="73">
        <v>0</v>
      </c>
      <c r="S27" s="73">
        <f>IF(((1.9*1.04)-T27)&gt;=4.2,4.2,(1.9*1.04)-T27)</f>
        <v>1.3597584</v>
      </c>
      <c r="T27" s="73">
        <f>(0.559*1.06)*1.04</f>
        <v>0.61624160000000006</v>
      </c>
      <c r="U27" s="243">
        <f t="shared" si="15"/>
        <v>-9.2762162324756758E-2</v>
      </c>
      <c r="V27" s="47">
        <v>100</v>
      </c>
      <c r="W27" s="47">
        <v>0</v>
      </c>
      <c r="X27" s="47">
        <f t="shared" si="16"/>
        <v>100</v>
      </c>
      <c r="Y27" s="47">
        <f t="shared" si="17"/>
        <v>100</v>
      </c>
      <c r="Z27" s="47"/>
      <c r="AA27" s="47"/>
      <c r="AB27" s="55"/>
      <c r="AC27" s="42"/>
      <c r="AD27" s="55"/>
      <c r="AE27" s="47"/>
      <c r="AF27" s="114"/>
      <c r="AG27" s="212"/>
      <c r="AH27" s="47">
        <v>49</v>
      </c>
      <c r="AI27" s="55">
        <f t="shared" si="22"/>
        <v>992.15787748931143</v>
      </c>
      <c r="AJ27" s="42"/>
      <c r="AK27" s="74">
        <f t="shared" si="18"/>
        <v>152.4</v>
      </c>
      <c r="AL27" s="47">
        <f t="shared" si="5"/>
        <v>0</v>
      </c>
      <c r="AM27" s="47">
        <f t="shared" si="6"/>
        <v>152.4</v>
      </c>
      <c r="AN27" s="674">
        <f t="shared" si="19"/>
        <v>100</v>
      </c>
      <c r="AO27" s="618">
        <f t="shared" si="7"/>
        <v>-9.6567621623247533</v>
      </c>
      <c r="AP27" s="42"/>
      <c r="AQ27" s="47"/>
      <c r="AR27" s="55"/>
      <c r="AS27" s="55"/>
      <c r="AT27" s="56"/>
      <c r="AV27" s="30"/>
      <c r="AW27" s="102">
        <v>0.46</v>
      </c>
      <c r="AX27" s="45">
        <v>51</v>
      </c>
      <c r="AY27" s="45">
        <v>34</v>
      </c>
      <c r="AZ27" s="407"/>
      <c r="BA27" s="385">
        <f t="shared" si="8"/>
        <v>3.4</v>
      </c>
      <c r="BB27" s="30">
        <v>2.2200000000000002</v>
      </c>
      <c r="BC27" s="407">
        <v>16113</v>
      </c>
      <c r="BE27" s="574">
        <f t="shared" si="20"/>
        <v>13</v>
      </c>
      <c r="BF27" s="559">
        <v>6900.17</v>
      </c>
      <c r="BG27" s="575">
        <f t="shared" si="21"/>
        <v>1.9999999999527063E-2</v>
      </c>
      <c r="BH27" s="576">
        <v>49.774999999999913</v>
      </c>
      <c r="BI27" s="576">
        <f t="shared" ref="BI27:BI45" si="24">AH27-BH27</f>
        <v>-0.77499999999991331</v>
      </c>
    </row>
    <row r="28" spans="1:61" ht="12.95" customHeight="1">
      <c r="A28" s="48">
        <f t="shared" si="10"/>
        <v>14</v>
      </c>
      <c r="B28" s="104">
        <v>6900.16</v>
      </c>
      <c r="C28" s="483">
        <f>IF(B28="",C27,VLOOKUP(TRUNC(B28,1),VLOOKUP!$A$3:$K$2834,RIGHT(TEXT(B28,"0000.00"),1)+2,FALSE))</f>
        <v>284172</v>
      </c>
      <c r="D28" s="45">
        <f t="shared" si="11"/>
        <v>-111</v>
      </c>
      <c r="E28" s="55">
        <f t="shared" si="0"/>
        <v>132172</v>
      </c>
      <c r="F28" s="112">
        <f t="shared" si="1"/>
        <v>-55.961683892109903</v>
      </c>
      <c r="G28" s="47">
        <v>86.3</v>
      </c>
      <c r="H28" s="125">
        <v>3.17</v>
      </c>
      <c r="I28" s="47">
        <f t="shared" si="2"/>
        <v>89.47</v>
      </c>
      <c r="J28" s="42">
        <f t="shared" si="3"/>
        <v>6.2683161078900866</v>
      </c>
      <c r="K28" s="47">
        <f t="shared" si="12"/>
        <v>95.738316107890086</v>
      </c>
      <c r="L28" s="47">
        <f t="shared" si="13"/>
        <v>6.2683161078900866</v>
      </c>
      <c r="M28" s="114">
        <v>2.7</v>
      </c>
      <c r="N28" s="47">
        <v>0</v>
      </c>
      <c r="O28" s="47">
        <f t="shared" si="4"/>
        <v>0</v>
      </c>
      <c r="P28" s="39">
        <v>0</v>
      </c>
      <c r="Q28" s="144">
        <f>974000/325851/1.9835*1.02</f>
        <v>1.5371203268175149</v>
      </c>
      <c r="R28" s="73">
        <v>0</v>
      </c>
      <c r="S28" s="73">
        <f>IF(((1.9*1.04)-T28)&gt;=4.2,4.2,(1.9*1.04)-T28)</f>
        <v>1.3597584</v>
      </c>
      <c r="T28" s="73">
        <f t="shared" ref="T28:T33" si="25">(0.559*1.06)*1.04</f>
        <v>0.61624160000000006</v>
      </c>
      <c r="U28" s="243">
        <f t="shared" si="15"/>
        <v>-0.81312032681751445</v>
      </c>
      <c r="V28" s="47">
        <v>100</v>
      </c>
      <c r="W28" s="47">
        <v>0</v>
      </c>
      <c r="X28" s="47">
        <f t="shared" si="16"/>
        <v>100</v>
      </c>
      <c r="Y28" s="47">
        <f t="shared" si="17"/>
        <v>100</v>
      </c>
      <c r="Z28" s="47"/>
      <c r="AA28" s="47"/>
      <c r="AB28" s="55"/>
      <c r="AC28" s="42"/>
      <c r="AD28" s="55"/>
      <c r="AE28" s="47"/>
      <c r="AF28" s="114"/>
      <c r="AG28" s="212"/>
      <c r="AH28" s="47">
        <v>49</v>
      </c>
      <c r="AI28" s="55">
        <f t="shared" si="22"/>
        <v>943.15787748931143</v>
      </c>
      <c r="AJ28" s="42"/>
      <c r="AK28" s="74">
        <f t="shared" si="18"/>
        <v>151.69999999999999</v>
      </c>
      <c r="AL28" s="47">
        <f t="shared" si="5"/>
        <v>0</v>
      </c>
      <c r="AM28" s="47">
        <f t="shared" si="6"/>
        <v>151.69999999999999</v>
      </c>
      <c r="AN28" s="674">
        <f t="shared" si="19"/>
        <v>100</v>
      </c>
      <c r="AO28" s="618">
        <f t="shared" si="7"/>
        <v>-12.067120326817516</v>
      </c>
      <c r="AP28" s="42"/>
      <c r="AQ28" s="47"/>
      <c r="AR28" s="55"/>
      <c r="AS28" s="55"/>
      <c r="AT28" s="56"/>
      <c r="AV28" s="30"/>
      <c r="AW28" s="102">
        <v>0</v>
      </c>
      <c r="AX28" s="56">
        <v>52</v>
      </c>
      <c r="AY28" s="45">
        <v>33</v>
      </c>
      <c r="AZ28" s="407"/>
      <c r="BA28" s="385">
        <f t="shared" si="8"/>
        <v>2.7</v>
      </c>
      <c r="BB28" s="30">
        <v>1.98</v>
      </c>
      <c r="BC28" s="407">
        <v>16136</v>
      </c>
      <c r="BE28" s="574">
        <f t="shared" si="20"/>
        <v>14</v>
      </c>
      <c r="BF28" s="559">
        <v>6900.14</v>
      </c>
      <c r="BG28" s="575">
        <f t="shared" si="21"/>
        <v>1.9999999999527063E-2</v>
      </c>
      <c r="BH28" s="576">
        <v>49.865624999999909</v>
      </c>
      <c r="BI28" s="576">
        <f t="shared" si="24"/>
        <v>-0.86562499999990905</v>
      </c>
    </row>
    <row r="29" spans="1:61" ht="12.95" customHeight="1">
      <c r="A29" s="48">
        <f t="shared" si="10"/>
        <v>15</v>
      </c>
      <c r="B29" s="104">
        <v>6900.11</v>
      </c>
      <c r="C29" s="483">
        <f>IF(B29="",C28,VLOOKUP(TRUNC(B29,1),VLOOKUP!$A$3:$K$2834,RIGHT(TEXT(B29,"0000.00"),1)+2,FALSE))</f>
        <v>283987</v>
      </c>
      <c r="D29" s="45">
        <f t="shared" si="11"/>
        <v>-185</v>
      </c>
      <c r="E29" s="55">
        <f t="shared" si="0"/>
        <v>131987</v>
      </c>
      <c r="F29" s="112">
        <f t="shared" si="1"/>
        <v>-93.269473153516515</v>
      </c>
      <c r="G29" s="47">
        <v>70.900000000000006</v>
      </c>
      <c r="H29" s="125">
        <v>2.59</v>
      </c>
      <c r="I29" s="47">
        <f t="shared" si="2"/>
        <v>73.490000000000009</v>
      </c>
      <c r="J29" s="42">
        <f t="shared" si="3"/>
        <v>0</v>
      </c>
      <c r="K29" s="47">
        <f>I29+J29</f>
        <v>73.490000000000009</v>
      </c>
      <c r="L29" s="47">
        <f t="shared" si="13"/>
        <v>-14.259473153516524</v>
      </c>
      <c r="M29" s="114">
        <v>3.5</v>
      </c>
      <c r="N29" s="47">
        <v>0</v>
      </c>
      <c r="O29" s="47">
        <f t="shared" si="4"/>
        <v>0</v>
      </c>
      <c r="P29" s="39">
        <v>0</v>
      </c>
      <c r="Q29" s="144">
        <f>1034300/325851/1.9835*1.02</f>
        <v>1.6322829096790097</v>
      </c>
      <c r="R29" s="73">
        <v>0</v>
      </c>
      <c r="S29" s="73">
        <f>IF(((1.9*1.04)-T29)&gt;=4.2,4.2,(1.9*1.04)-T29)</f>
        <v>1.3597584</v>
      </c>
      <c r="T29" s="73">
        <f t="shared" si="25"/>
        <v>0.61624160000000006</v>
      </c>
      <c r="U29" s="243">
        <f t="shared" si="15"/>
        <v>-0.10828290967900989</v>
      </c>
      <c r="V29" s="47">
        <v>100</v>
      </c>
      <c r="W29" s="47">
        <v>0</v>
      </c>
      <c r="X29" s="47">
        <f t="shared" si="16"/>
        <v>100</v>
      </c>
      <c r="Y29" s="47">
        <f t="shared" si="17"/>
        <v>100</v>
      </c>
      <c r="Z29" s="47"/>
      <c r="AA29" s="47"/>
      <c r="AB29" s="55"/>
      <c r="AC29" s="42"/>
      <c r="AD29" s="55"/>
      <c r="AE29" s="47"/>
      <c r="AF29" s="114"/>
      <c r="AG29" s="212"/>
      <c r="AH29" s="47">
        <v>49</v>
      </c>
      <c r="AI29" s="55">
        <f t="shared" si="22"/>
        <v>894.15787748931143</v>
      </c>
      <c r="AJ29" s="42"/>
      <c r="AK29" s="74">
        <f t="shared" si="18"/>
        <v>152.5</v>
      </c>
      <c r="AL29" s="47">
        <f t="shared" si="5"/>
        <v>14.259473153516524</v>
      </c>
      <c r="AM29" s="47">
        <f t="shared" si="6"/>
        <v>166.75947315351652</v>
      </c>
      <c r="AN29" s="674">
        <f t="shared" si="19"/>
        <v>100</v>
      </c>
      <c r="AO29" s="618">
        <f t="shared" si="7"/>
        <v>-28.142282909678997</v>
      </c>
      <c r="AP29" s="42"/>
      <c r="AQ29" s="47"/>
      <c r="AR29" s="55"/>
      <c r="AS29" s="55"/>
      <c r="AT29" s="56"/>
      <c r="AV29" s="30"/>
      <c r="AW29" s="102">
        <v>0</v>
      </c>
      <c r="AX29" s="56">
        <v>60</v>
      </c>
      <c r="AY29" s="45">
        <v>32</v>
      </c>
      <c r="AZ29" s="407"/>
      <c r="BA29" s="385">
        <f t="shared" si="8"/>
        <v>3.5</v>
      </c>
      <c r="BB29" s="30">
        <v>1.73</v>
      </c>
      <c r="BC29" s="407">
        <v>16141</v>
      </c>
      <c r="BE29" s="574">
        <f t="shared" si="20"/>
        <v>15</v>
      </c>
      <c r="BF29" s="559">
        <v>6900.09</v>
      </c>
      <c r="BG29" s="575">
        <f t="shared" si="21"/>
        <v>1.9999999999527063E-2</v>
      </c>
      <c r="BH29" s="576">
        <v>49.772631578947291</v>
      </c>
      <c r="BI29" s="576">
        <f t="shared" si="24"/>
        <v>-0.77263157894729062</v>
      </c>
    </row>
    <row r="30" spans="1:61" ht="12.95" customHeight="1">
      <c r="A30" s="48">
        <f t="shared" si="10"/>
        <v>16</v>
      </c>
      <c r="B30" s="104">
        <v>6900.04</v>
      </c>
      <c r="C30" s="483">
        <f>IF(B30="",C29,VLOOKUP(TRUNC(B30,1),VLOOKUP!$A$3:$K$2834,RIGHT(TEXT(B30,"0000.00"),1)+2,FALSE))</f>
        <v>283728</v>
      </c>
      <c r="D30" s="45">
        <f t="shared" si="11"/>
        <v>-259</v>
      </c>
      <c r="E30" s="55">
        <f t="shared" si="0"/>
        <v>131728</v>
      </c>
      <c r="F30" s="112">
        <f t="shared" si="1"/>
        <v>-130.57726241492313</v>
      </c>
      <c r="G30" s="47">
        <v>66.400000000000006</v>
      </c>
      <c r="H30" s="125">
        <v>2.34</v>
      </c>
      <c r="I30" s="47">
        <f t="shared" si="2"/>
        <v>68.740000000000009</v>
      </c>
      <c r="J30" s="42">
        <f t="shared" si="3"/>
        <v>0</v>
      </c>
      <c r="K30" s="47">
        <f t="shared" si="12"/>
        <v>68.740000000000009</v>
      </c>
      <c r="L30" s="47">
        <f t="shared" si="13"/>
        <v>-14.617262414923147</v>
      </c>
      <c r="M30" s="114">
        <v>3.7</v>
      </c>
      <c r="N30" s="47">
        <v>0</v>
      </c>
      <c r="O30" s="47">
        <f t="shared" si="4"/>
        <v>0</v>
      </c>
      <c r="P30" s="39">
        <v>0</v>
      </c>
      <c r="Q30" s="144">
        <f>1190500/325851/1.9835*1.02</f>
        <v>1.8787902967928658</v>
      </c>
      <c r="R30" s="73">
        <v>0</v>
      </c>
      <c r="S30" s="73">
        <f>IF(((1.9*1.04)-T30)&gt;=4.2,4.2,(1.9*1.04)-T30)</f>
        <v>1.3597584</v>
      </c>
      <c r="T30" s="73">
        <f t="shared" si="25"/>
        <v>0.61624160000000006</v>
      </c>
      <c r="U30" s="243">
        <f t="shared" si="15"/>
        <v>-0.1547902967928656</v>
      </c>
      <c r="V30" s="47">
        <v>131</v>
      </c>
      <c r="W30" s="47">
        <v>0</v>
      </c>
      <c r="X30" s="47">
        <f t="shared" si="16"/>
        <v>131</v>
      </c>
      <c r="Y30" s="47">
        <f t="shared" si="17"/>
        <v>131</v>
      </c>
      <c r="Z30" s="47"/>
      <c r="AA30" s="47"/>
      <c r="AB30" s="55"/>
      <c r="AC30" s="42"/>
      <c r="AD30" s="55"/>
      <c r="AE30" s="47"/>
      <c r="AF30" s="114"/>
      <c r="AG30" s="212"/>
      <c r="AH30" s="627">
        <v>50</v>
      </c>
      <c r="AI30" s="55">
        <f t="shared" si="22"/>
        <v>844.15787748931143</v>
      </c>
      <c r="AJ30" s="42"/>
      <c r="AK30" s="74">
        <f t="shared" si="18"/>
        <v>184.7</v>
      </c>
      <c r="AL30" s="47">
        <f t="shared" si="5"/>
        <v>14.617262414923147</v>
      </c>
      <c r="AM30" s="47">
        <f t="shared" si="6"/>
        <v>199.31726241492314</v>
      </c>
      <c r="AN30" s="674">
        <f t="shared" si="19"/>
        <v>131</v>
      </c>
      <c r="AO30" s="618">
        <f t="shared" si="7"/>
        <v>-64.138790296792862</v>
      </c>
      <c r="AP30" s="42"/>
      <c r="AQ30" s="47"/>
      <c r="AR30" s="66"/>
      <c r="AS30" s="66"/>
      <c r="AT30" s="56"/>
      <c r="AV30" s="30"/>
      <c r="AW30" s="102">
        <v>0</v>
      </c>
      <c r="AX30" s="56">
        <v>62</v>
      </c>
      <c r="AY30" s="45">
        <v>31</v>
      </c>
      <c r="AZ30" s="407"/>
      <c r="BA30" s="385">
        <f t="shared" si="8"/>
        <v>3.7</v>
      </c>
      <c r="BB30" s="30">
        <v>1.05</v>
      </c>
      <c r="BC30" s="407">
        <v>16143</v>
      </c>
      <c r="BE30" s="574">
        <f t="shared" si="20"/>
        <v>16</v>
      </c>
      <c r="BF30" s="559">
        <v>6900.03</v>
      </c>
      <c r="BG30" s="575">
        <f t="shared" si="21"/>
        <v>1.0000000000218279E-2</v>
      </c>
      <c r="BH30" s="576">
        <v>49.808333333333252</v>
      </c>
      <c r="BI30" s="576">
        <f t="shared" si="24"/>
        <v>0.19166666666674814</v>
      </c>
    </row>
    <row r="31" spans="1:61" ht="12.95" customHeight="1">
      <c r="A31" s="48">
        <v>17</v>
      </c>
      <c r="B31" s="104">
        <v>6899.97</v>
      </c>
      <c r="C31" s="483">
        <f>IF(B31="",C30,VLOOKUP(TRUNC(B31,1),VLOOKUP!$A$3:$K$2834,RIGHT(TEXT(B31,"0000.00"),1)+2,FALSE))</f>
        <v>283470</v>
      </c>
      <c r="D31" s="45">
        <f t="shared" si="11"/>
        <v>-258</v>
      </c>
      <c r="E31" s="55">
        <f t="shared" si="0"/>
        <v>131470</v>
      </c>
      <c r="F31" s="112">
        <f t="shared" si="1"/>
        <v>-130.07310310057977</v>
      </c>
      <c r="G31" s="47">
        <v>69.8</v>
      </c>
      <c r="H31" s="125">
        <v>2.12</v>
      </c>
      <c r="I31" s="47">
        <f t="shared" si="2"/>
        <v>71.92</v>
      </c>
      <c r="J31" s="42">
        <f t="shared" si="3"/>
        <v>1.706896899420201</v>
      </c>
      <c r="K31" s="47">
        <f t="shared" si="12"/>
        <v>73.626896899420203</v>
      </c>
      <c r="L31" s="47">
        <f t="shared" si="13"/>
        <v>1.706896899420201</v>
      </c>
      <c r="M31" s="114">
        <v>3.7</v>
      </c>
      <c r="N31" s="47">
        <v>0</v>
      </c>
      <c r="O31" s="47">
        <f t="shared" si="4"/>
        <v>0</v>
      </c>
      <c r="P31" s="39">
        <v>0</v>
      </c>
      <c r="Q31" s="144">
        <f>1111100/325851/1.9835*1.02</f>
        <v>1.7534850052637991</v>
      </c>
      <c r="R31" s="73">
        <v>0</v>
      </c>
      <c r="S31" s="73">
        <f>IF(((1.9*1.04)-T31)&gt;=4.2,4.2,(1.9*1.04)-T31)</f>
        <v>1.3597584</v>
      </c>
      <c r="T31" s="73">
        <f t="shared" si="25"/>
        <v>0.61624160000000006</v>
      </c>
      <c r="U31" s="243">
        <f t="shared" si="15"/>
        <v>-2.9485005263798936E-2</v>
      </c>
      <c r="V31" s="47">
        <v>150</v>
      </c>
      <c r="W31" s="47">
        <v>0</v>
      </c>
      <c r="X31" s="47">
        <f t="shared" si="16"/>
        <v>150</v>
      </c>
      <c r="Y31" s="47">
        <f t="shared" si="17"/>
        <v>150</v>
      </c>
      <c r="Z31" s="47"/>
      <c r="AA31" s="47"/>
      <c r="AB31" s="55"/>
      <c r="AC31" s="42"/>
      <c r="AD31" s="55"/>
      <c r="AE31" s="47"/>
      <c r="AF31" s="114"/>
      <c r="AG31" s="212"/>
      <c r="AH31" s="627">
        <v>50</v>
      </c>
      <c r="AI31" s="55">
        <f t="shared" si="22"/>
        <v>794.15787748931143</v>
      </c>
      <c r="AJ31" s="42"/>
      <c r="AK31" s="74">
        <f t="shared" si="18"/>
        <v>203.7</v>
      </c>
      <c r="AL31" s="47">
        <f t="shared" si="5"/>
        <v>0</v>
      </c>
      <c r="AM31" s="47">
        <f t="shared" si="6"/>
        <v>203.7</v>
      </c>
      <c r="AN31" s="674">
        <f t="shared" si="19"/>
        <v>150</v>
      </c>
      <c r="AO31" s="618">
        <f t="shared" si="7"/>
        <v>-79.833485005263796</v>
      </c>
      <c r="AP31" s="42"/>
      <c r="AQ31" s="47"/>
      <c r="AR31" s="55"/>
      <c r="AS31" s="55"/>
      <c r="AT31" s="56"/>
      <c r="AV31" s="30"/>
      <c r="AW31" s="102">
        <v>0</v>
      </c>
      <c r="AX31" s="56">
        <v>61</v>
      </c>
      <c r="AY31" s="45">
        <v>36</v>
      </c>
      <c r="AZ31" s="407"/>
      <c r="BA31" s="385">
        <f t="shared" si="8"/>
        <v>3.7</v>
      </c>
      <c r="BB31" s="30">
        <v>0.99399999999999999</v>
      </c>
      <c r="BC31" s="407">
        <v>16148</v>
      </c>
      <c r="BE31" s="574">
        <f t="shared" si="20"/>
        <v>17</v>
      </c>
      <c r="BF31" s="559">
        <v>6899.94</v>
      </c>
      <c r="BG31" s="575">
        <f t="shared" si="21"/>
        <v>3.0000000000654836E-2</v>
      </c>
      <c r="BH31" s="576">
        <v>49.862499999999926</v>
      </c>
      <c r="BI31" s="576">
        <f t="shared" si="24"/>
        <v>0.1375000000000739</v>
      </c>
    </row>
    <row r="32" spans="1:61" ht="12.95" customHeight="1">
      <c r="A32" s="48">
        <f t="shared" si="10"/>
        <v>18</v>
      </c>
      <c r="B32" s="104">
        <v>6899.92</v>
      </c>
      <c r="C32" s="483">
        <f>IF(B32="",C31,VLOOKUP(TRUNC(B32,1),VLOOKUP!$A$3:$K$2834,RIGHT(TEXT(B32,"0000.00"),1)+2,FALSE))</f>
        <v>283286</v>
      </c>
      <c r="D32" s="45">
        <f t="shared" si="11"/>
        <v>-184</v>
      </c>
      <c r="E32" s="55">
        <f t="shared" si="0"/>
        <v>131286</v>
      </c>
      <c r="F32" s="112">
        <f t="shared" si="1"/>
        <v>-92.765313839173174</v>
      </c>
      <c r="G32" s="47">
        <v>70.8</v>
      </c>
      <c r="H32" s="125">
        <v>1.9</v>
      </c>
      <c r="I32" s="47">
        <f t="shared" si="2"/>
        <v>72.7</v>
      </c>
      <c r="J32" s="42">
        <f t="shared" si="3"/>
        <v>37.934686160826814</v>
      </c>
      <c r="K32" s="47">
        <f t="shared" si="12"/>
        <v>110.63468616082682</v>
      </c>
      <c r="L32" s="47">
        <f t="shared" si="13"/>
        <v>37.934686160826814</v>
      </c>
      <c r="M32" s="114">
        <v>3.4</v>
      </c>
      <c r="N32" s="47">
        <v>0</v>
      </c>
      <c r="O32" s="47">
        <f t="shared" si="4"/>
        <v>0</v>
      </c>
      <c r="P32" s="39">
        <v>0</v>
      </c>
      <c r="Q32" s="144">
        <f>988800/325851/1.9835*1.02</f>
        <v>1.5604769806541667</v>
      </c>
      <c r="R32" s="73">
        <v>0</v>
      </c>
      <c r="S32" s="73">
        <f>IF(((2*1.04)-T32)&gt;=4.2,4.2,(2*1.04)-T32)</f>
        <v>1.4637584000000001</v>
      </c>
      <c r="T32" s="73">
        <f t="shared" si="25"/>
        <v>0.61624160000000006</v>
      </c>
      <c r="U32" s="243">
        <f t="shared" si="15"/>
        <v>-0.24047698065416689</v>
      </c>
      <c r="V32" s="47">
        <v>150</v>
      </c>
      <c r="W32" s="47">
        <v>0</v>
      </c>
      <c r="X32" s="47">
        <f t="shared" si="16"/>
        <v>150</v>
      </c>
      <c r="Y32" s="47">
        <f t="shared" si="17"/>
        <v>150</v>
      </c>
      <c r="Z32" s="47"/>
      <c r="AA32" s="47"/>
      <c r="AB32" s="55"/>
      <c r="AC32" s="42"/>
      <c r="AD32" s="55"/>
      <c r="AE32" s="47"/>
      <c r="AF32" s="114"/>
      <c r="AG32" s="212"/>
      <c r="AH32" s="627">
        <v>50</v>
      </c>
      <c r="AI32" s="55">
        <f t="shared" si="22"/>
        <v>744.15787748931143</v>
      </c>
      <c r="AJ32" s="42"/>
      <c r="AK32" s="74">
        <f t="shared" si="18"/>
        <v>203.4</v>
      </c>
      <c r="AL32" s="47">
        <f t="shared" si="5"/>
        <v>0</v>
      </c>
      <c r="AM32" s="47">
        <f t="shared" si="6"/>
        <v>203.4</v>
      </c>
      <c r="AN32" s="674">
        <f t="shared" si="19"/>
        <v>150</v>
      </c>
      <c r="AO32" s="618">
        <f t="shared" si="7"/>
        <v>-78.86047698065417</v>
      </c>
      <c r="AP32" s="42"/>
      <c r="AQ32" s="47"/>
      <c r="AR32" s="55"/>
      <c r="AS32" s="55"/>
      <c r="AT32" s="56"/>
      <c r="AV32" s="30"/>
      <c r="AW32" s="102">
        <v>0</v>
      </c>
      <c r="AX32" s="56">
        <v>55</v>
      </c>
      <c r="AY32" s="45">
        <v>33</v>
      </c>
      <c r="AZ32" s="407"/>
      <c r="BA32" s="385">
        <f t="shared" si="8"/>
        <v>3.4</v>
      </c>
      <c r="BB32" s="30">
        <v>1.02</v>
      </c>
      <c r="BC32" s="407">
        <v>16151</v>
      </c>
      <c r="BE32" s="574">
        <f t="shared" si="20"/>
        <v>18</v>
      </c>
      <c r="BF32" s="559">
        <v>6899.88</v>
      </c>
      <c r="BG32" s="575">
        <f t="shared" si="21"/>
        <v>3.999999999996362E-2</v>
      </c>
      <c r="BH32" s="576">
        <v>49.826041666666583</v>
      </c>
      <c r="BI32" s="576">
        <f>AH32-BH32</f>
        <v>0.1739583333334167</v>
      </c>
    </row>
    <row r="33" spans="1:61" ht="12.95" customHeight="1">
      <c r="A33" s="48">
        <f t="shared" si="10"/>
        <v>19</v>
      </c>
      <c r="B33" s="104">
        <v>6899.93</v>
      </c>
      <c r="C33" s="483">
        <f>IF(B33="",C32,VLOOKUP(TRUNC(B33,1),VLOOKUP!$A$3:$K$2834,RIGHT(TEXT(B33,"0000.00"),1)+2,FALSE))</f>
        <v>283323</v>
      </c>
      <c r="D33" s="45">
        <f t="shared" si="11"/>
        <v>37</v>
      </c>
      <c r="E33" s="55">
        <f t="shared" si="0"/>
        <v>131323</v>
      </c>
      <c r="F33" s="112">
        <f t="shared" si="1"/>
        <v>18.653894630703302</v>
      </c>
      <c r="G33" s="47">
        <v>78.8</v>
      </c>
      <c r="H33" s="125">
        <v>2.34</v>
      </c>
      <c r="I33" s="47">
        <f t="shared" si="2"/>
        <v>81.14</v>
      </c>
      <c r="J33" s="42">
        <f t="shared" si="3"/>
        <v>144.31389463070332</v>
      </c>
      <c r="K33" s="47">
        <f t="shared" si="12"/>
        <v>225.4538946307033</v>
      </c>
      <c r="L33" s="47">
        <f t="shared" si="13"/>
        <v>144.31389463070332</v>
      </c>
      <c r="M33" s="114">
        <v>5.8</v>
      </c>
      <c r="N33" s="47">
        <v>0</v>
      </c>
      <c r="O33" s="47">
        <f t="shared" si="4"/>
        <v>0</v>
      </c>
      <c r="P33" s="39">
        <v>0</v>
      </c>
      <c r="Q33" s="144">
        <f>960600/325851/1.9835*1.02</f>
        <v>1.515973086181627</v>
      </c>
      <c r="R33" s="73">
        <v>0</v>
      </c>
      <c r="S33" s="73">
        <f>IF(((1.9*1.04)-T33)&gt;=4.2,4.2,(1.9*1.04)-T33)</f>
        <v>1.3597584</v>
      </c>
      <c r="T33" s="73">
        <f t="shared" si="25"/>
        <v>0.61624160000000006</v>
      </c>
      <c r="U33" s="243">
        <f t="shared" si="15"/>
        <v>2.3080269138183729</v>
      </c>
      <c r="V33" s="47">
        <v>151</v>
      </c>
      <c r="W33" s="47">
        <v>0</v>
      </c>
      <c r="X33" s="47">
        <f t="shared" si="16"/>
        <v>151</v>
      </c>
      <c r="Y33" s="47">
        <f t="shared" si="17"/>
        <v>151</v>
      </c>
      <c r="Z33" s="47"/>
      <c r="AA33" s="47"/>
      <c r="AB33" s="55"/>
      <c r="AC33" s="42"/>
      <c r="AD33" s="55"/>
      <c r="AE33" s="47"/>
      <c r="AF33" s="114"/>
      <c r="AG33" s="212"/>
      <c r="AH33" s="627">
        <v>50</v>
      </c>
      <c r="AI33" s="55">
        <f t="shared" si="22"/>
        <v>694.15787748931143</v>
      </c>
      <c r="AJ33" s="42"/>
      <c r="AK33" s="74">
        <f t="shared" si="18"/>
        <v>206.8</v>
      </c>
      <c r="AL33" s="47">
        <f t="shared" si="5"/>
        <v>0</v>
      </c>
      <c r="AM33" s="47">
        <f t="shared" si="6"/>
        <v>206.8</v>
      </c>
      <c r="AN33" s="674">
        <f t="shared" si="19"/>
        <v>151</v>
      </c>
      <c r="AO33" s="618">
        <f t="shared" si="7"/>
        <v>-71.375973086181631</v>
      </c>
      <c r="AP33" s="42"/>
      <c r="AQ33" s="47"/>
      <c r="AR33" s="55"/>
      <c r="AS33" s="55"/>
      <c r="AT33" s="56"/>
      <c r="AV33" s="30"/>
      <c r="AW33" s="615">
        <v>0.62</v>
      </c>
      <c r="AX33" s="56">
        <v>44</v>
      </c>
      <c r="AY33" s="45">
        <v>28</v>
      </c>
      <c r="AZ33" s="407"/>
      <c r="BA33" s="385">
        <f t="shared" si="8"/>
        <v>5.8</v>
      </c>
      <c r="BB33" s="30">
        <v>0.97499999999999998</v>
      </c>
      <c r="BC33" s="407">
        <v>16189</v>
      </c>
      <c r="BE33" s="574">
        <f t="shared" si="20"/>
        <v>19</v>
      </c>
      <c r="BF33" s="559">
        <v>6899.89</v>
      </c>
      <c r="BG33" s="575">
        <f t="shared" si="21"/>
        <v>3.999999999996362E-2</v>
      </c>
      <c r="BH33" s="576">
        <v>49.75520833333325</v>
      </c>
      <c r="BI33" s="576">
        <f t="shared" si="24"/>
        <v>0.24479166666674956</v>
      </c>
    </row>
    <row r="34" spans="1:61" ht="12.95" customHeight="1">
      <c r="A34" s="48">
        <f t="shared" si="10"/>
        <v>20</v>
      </c>
      <c r="B34" s="104">
        <v>6899.86</v>
      </c>
      <c r="C34" s="483">
        <f>IF(B34="",C33,VLOOKUP(TRUNC(B34,1),VLOOKUP!$A$3:$K$2834,RIGHT(TEXT(B34,"0000.00"),1)+2,FALSE))</f>
        <v>283066</v>
      </c>
      <c r="D34" s="45">
        <f t="shared" si="11"/>
        <v>-257</v>
      </c>
      <c r="E34" s="55">
        <f t="shared" si="0"/>
        <v>131066</v>
      </c>
      <c r="F34" s="112">
        <f t="shared" si="1"/>
        <v>-129.56894378623645</v>
      </c>
      <c r="G34" s="47">
        <v>76.400000000000006</v>
      </c>
      <c r="H34" s="125">
        <v>2.1</v>
      </c>
      <c r="I34" s="47">
        <f t="shared" si="2"/>
        <v>78.5</v>
      </c>
      <c r="J34" s="42">
        <f t="shared" si="3"/>
        <v>0</v>
      </c>
      <c r="K34" s="47">
        <f t="shared" si="12"/>
        <v>78.5</v>
      </c>
      <c r="L34" s="47">
        <f t="shared" si="13"/>
        <v>-1.8689437862364571</v>
      </c>
      <c r="M34" s="114">
        <v>6.2</v>
      </c>
      <c r="N34" s="47">
        <v>0</v>
      </c>
      <c r="O34" s="47">
        <f t="shared" si="4"/>
        <v>0</v>
      </c>
      <c r="P34" s="39">
        <v>0</v>
      </c>
      <c r="Q34" s="144">
        <f>956900/325851/1.9835*1.02</f>
        <v>1.5101339227224639</v>
      </c>
      <c r="R34" s="73">
        <v>0</v>
      </c>
      <c r="S34" s="73">
        <f>IF(((1.9*1.04)-T34)&gt;=4.2,4.2,(1.9*1.04)-T34)</f>
        <v>1.4106892799999999</v>
      </c>
      <c r="T34" s="73">
        <f>(0.5128*1.06)*1.04</f>
        <v>0.56531072000000004</v>
      </c>
      <c r="U34" s="243">
        <f t="shared" si="15"/>
        <v>2.7138660772775358</v>
      </c>
      <c r="V34" s="47">
        <v>150</v>
      </c>
      <c r="W34" s="47">
        <v>0</v>
      </c>
      <c r="X34" s="47">
        <f t="shared" si="16"/>
        <v>150</v>
      </c>
      <c r="Y34" s="47">
        <f t="shared" si="17"/>
        <v>150</v>
      </c>
      <c r="Z34" s="47"/>
      <c r="AA34" s="47"/>
      <c r="AB34" s="55"/>
      <c r="AC34" s="42"/>
      <c r="AD34" s="55"/>
      <c r="AE34" s="47"/>
      <c r="AF34" s="114"/>
      <c r="AG34" s="212"/>
      <c r="AH34" s="627">
        <v>50</v>
      </c>
      <c r="AI34" s="55">
        <f t="shared" si="22"/>
        <v>644.15787748931143</v>
      </c>
      <c r="AJ34" s="42"/>
      <c r="AK34" s="74">
        <f t="shared" si="18"/>
        <v>206.2</v>
      </c>
      <c r="AL34" s="47">
        <f t="shared" si="5"/>
        <v>1.8689437862364571</v>
      </c>
      <c r="AM34" s="47">
        <f t="shared" si="6"/>
        <v>208.06894378623645</v>
      </c>
      <c r="AN34" s="674">
        <f t="shared" si="19"/>
        <v>150</v>
      </c>
      <c r="AO34" s="618">
        <f t="shared" si="7"/>
        <v>-73.01013392272246</v>
      </c>
      <c r="AP34" s="42"/>
      <c r="AQ34" s="47"/>
      <c r="AR34" s="55"/>
      <c r="AS34" s="55"/>
      <c r="AT34" s="56"/>
      <c r="AV34" s="30"/>
      <c r="AW34" s="615">
        <v>0.41</v>
      </c>
      <c r="AX34" s="56">
        <v>48</v>
      </c>
      <c r="AY34" s="45">
        <v>27</v>
      </c>
      <c r="AZ34" s="407"/>
      <c r="BA34" s="385">
        <f t="shared" si="8"/>
        <v>6.2</v>
      </c>
      <c r="BB34" s="30">
        <v>0.97499999999999998</v>
      </c>
      <c r="BC34" s="407">
        <v>16205</v>
      </c>
      <c r="BE34" s="574">
        <f t="shared" si="20"/>
        <v>20</v>
      </c>
      <c r="BF34" s="559">
        <v>6899.82</v>
      </c>
      <c r="BG34" s="575">
        <f t="shared" si="21"/>
        <v>3.999999999996362E-2</v>
      </c>
      <c r="BH34" s="576">
        <v>49.745833333333245</v>
      </c>
      <c r="BI34" s="576">
        <f t="shared" si="24"/>
        <v>0.25416666666675525</v>
      </c>
    </row>
    <row r="35" spans="1:61" ht="12.95" customHeight="1">
      <c r="A35" s="48">
        <f t="shared" si="10"/>
        <v>21</v>
      </c>
      <c r="B35" s="104">
        <v>6899.79</v>
      </c>
      <c r="C35" s="483">
        <f>IF(B35="",C34,VLOOKUP(TRUNC(B35,1),VLOOKUP!$A$3:$K$2834,RIGHT(TEXT(B35,"0000.00"),1)+2,FALSE))</f>
        <v>282808</v>
      </c>
      <c r="D35" s="45">
        <f t="shared" si="11"/>
        <v>-258</v>
      </c>
      <c r="E35" s="55">
        <f t="shared" si="0"/>
        <v>130808</v>
      </c>
      <c r="F35" s="112">
        <f t="shared" si="1"/>
        <v>-130.07310310057977</v>
      </c>
      <c r="G35" s="47">
        <v>69.400000000000006</v>
      </c>
      <c r="H35" s="125">
        <v>2.1</v>
      </c>
      <c r="I35" s="47">
        <f t="shared" si="2"/>
        <v>71.5</v>
      </c>
      <c r="J35" s="42">
        <f t="shared" si="3"/>
        <v>4.3268968994202339</v>
      </c>
      <c r="K35" s="47">
        <f t="shared" si="12"/>
        <v>75.826896899420234</v>
      </c>
      <c r="L35" s="47">
        <f t="shared" si="13"/>
        <v>4.3268968994202339</v>
      </c>
      <c r="M35" s="114">
        <v>5.9</v>
      </c>
      <c r="N35" s="47">
        <v>0</v>
      </c>
      <c r="O35" s="47">
        <f t="shared" si="4"/>
        <v>0</v>
      </c>
      <c r="P35" s="39">
        <v>0</v>
      </c>
      <c r="Q35" s="144">
        <f>1016100/325851/1.9835*1.02</f>
        <v>1.6035605380690725</v>
      </c>
      <c r="R35" s="73">
        <v>0</v>
      </c>
      <c r="S35" s="73">
        <f>IF(((1.9*1.04)-T35)&gt;=4.2,4.2,(1.9*1.04)-T35)</f>
        <v>1.4106892799999999</v>
      </c>
      <c r="T35" s="73">
        <f t="shared" ref="T35:T40" si="26">(0.5128*1.06)*1.04</f>
        <v>0.56531072000000004</v>
      </c>
      <c r="U35" s="243">
        <f t="shared" si="15"/>
        <v>2.3204394619309276</v>
      </c>
      <c r="V35" s="627">
        <v>150</v>
      </c>
      <c r="W35" s="47">
        <v>0</v>
      </c>
      <c r="X35" s="47">
        <f t="shared" si="16"/>
        <v>150</v>
      </c>
      <c r="Y35" s="47">
        <f t="shared" si="17"/>
        <v>150</v>
      </c>
      <c r="Z35" s="47"/>
      <c r="AA35" s="47"/>
      <c r="AB35" s="55"/>
      <c r="AC35" s="42"/>
      <c r="AD35" s="55"/>
      <c r="AE35" s="47"/>
      <c r="AF35" s="114"/>
      <c r="AG35" s="212"/>
      <c r="AH35" s="627">
        <v>50</v>
      </c>
      <c r="AI35" s="55">
        <f t="shared" si="22"/>
        <v>594.15787748931143</v>
      </c>
      <c r="AJ35" s="42"/>
      <c r="AK35" s="74">
        <f t="shared" si="18"/>
        <v>205.9</v>
      </c>
      <c r="AL35" s="47">
        <f t="shared" si="5"/>
        <v>0</v>
      </c>
      <c r="AM35" s="47">
        <f t="shared" si="6"/>
        <v>205.9</v>
      </c>
      <c r="AN35" s="674">
        <f t="shared" si="19"/>
        <v>150</v>
      </c>
      <c r="AO35" s="618">
        <f t="shared" si="7"/>
        <v>-80.103560538069075</v>
      </c>
      <c r="AP35" s="42"/>
      <c r="AQ35" s="47"/>
      <c r="AR35" s="55"/>
      <c r="AS35" s="55"/>
      <c r="AT35" s="56"/>
      <c r="AV35" s="30"/>
      <c r="AW35" s="615">
        <v>0.12</v>
      </c>
      <c r="AX35" s="45">
        <v>50</v>
      </c>
      <c r="AY35" s="45">
        <v>29</v>
      </c>
      <c r="AZ35" s="407"/>
      <c r="BA35" s="385">
        <f t="shared" si="8"/>
        <v>5.9</v>
      </c>
      <c r="BB35" s="30">
        <v>0.97499999999999998</v>
      </c>
      <c r="BC35" s="407">
        <v>16210</v>
      </c>
      <c r="BE35" s="574">
        <f t="shared" si="20"/>
        <v>21</v>
      </c>
      <c r="BF35" s="559">
        <v>6899.75</v>
      </c>
      <c r="BG35" s="575">
        <f t="shared" si="21"/>
        <v>3.999999999996362E-2</v>
      </c>
      <c r="BH35" s="576">
        <v>49.633333333333248</v>
      </c>
      <c r="BI35" s="576">
        <f t="shared" si="24"/>
        <v>0.36666666666675241</v>
      </c>
    </row>
    <row r="36" spans="1:61" ht="12.75" customHeight="1">
      <c r="A36" s="48">
        <f t="shared" si="10"/>
        <v>22</v>
      </c>
      <c r="B36" s="104">
        <v>6899.68</v>
      </c>
      <c r="C36" s="483">
        <f>IF(B36="",C35,VLOOKUP(TRUNC(B36,1),VLOOKUP!$A$3:$K$2834,RIGHT(TEXT(B36,"0000.00"),1)+2,FALSE))</f>
        <v>282404</v>
      </c>
      <c r="D36" s="45">
        <f t="shared" si="11"/>
        <v>-404</v>
      </c>
      <c r="E36" s="55">
        <f t="shared" si="0"/>
        <v>130404</v>
      </c>
      <c r="F36" s="112">
        <f t="shared" si="1"/>
        <v>-203.68036299470631</v>
      </c>
      <c r="G36" s="47">
        <v>64.8</v>
      </c>
      <c r="H36" s="125">
        <v>2.1800000000000002</v>
      </c>
      <c r="I36" s="47">
        <f t="shared" si="2"/>
        <v>66.98</v>
      </c>
      <c r="J36" s="42">
        <f>IF(L36&gt;0,L36,0)</f>
        <v>0</v>
      </c>
      <c r="K36" s="47">
        <f t="shared" si="12"/>
        <v>66.98</v>
      </c>
      <c r="L36" s="47">
        <f t="shared" si="13"/>
        <v>-65.460362994706344</v>
      </c>
      <c r="M36" s="114">
        <v>6.2</v>
      </c>
      <c r="N36" s="47">
        <v>0</v>
      </c>
      <c r="O36" s="47">
        <f t="shared" si="4"/>
        <v>0</v>
      </c>
      <c r="P36" s="39">
        <v>0</v>
      </c>
      <c r="Q36" s="144">
        <f>1046400/325851/1.9835*1.02</f>
        <v>1.6513785523427589</v>
      </c>
      <c r="R36" s="73">
        <v>0</v>
      </c>
      <c r="S36" s="73">
        <f>IF(((1.9*1.04)-T36)&gt;=4.2,4.2,(1.9*1.04)-T36)</f>
        <v>1.4106892799999999</v>
      </c>
      <c r="T36" s="73">
        <f t="shared" si="26"/>
        <v>0.56531072000000004</v>
      </c>
      <c r="U36" s="243">
        <f t="shared" si="15"/>
        <v>2.5726214476572409</v>
      </c>
      <c r="V36" s="47">
        <v>150</v>
      </c>
      <c r="W36" s="47">
        <v>0</v>
      </c>
      <c r="X36" s="47">
        <f t="shared" si="16"/>
        <v>150</v>
      </c>
      <c r="Y36" s="47">
        <f t="shared" si="17"/>
        <v>150</v>
      </c>
      <c r="Z36" s="47"/>
      <c r="AA36" s="47"/>
      <c r="AB36" s="55"/>
      <c r="AC36" s="42"/>
      <c r="AD36" s="55"/>
      <c r="AE36" s="47"/>
      <c r="AF36" s="114"/>
      <c r="AG36" s="212"/>
      <c r="AH36" s="627">
        <v>49</v>
      </c>
      <c r="AI36" s="55">
        <f t="shared" si="22"/>
        <v>545.15787748931143</v>
      </c>
      <c r="AJ36" s="42"/>
      <c r="AK36" s="74">
        <f t="shared" si="18"/>
        <v>205.2</v>
      </c>
      <c r="AL36" s="47">
        <f t="shared" si="5"/>
        <v>65.460362994706344</v>
      </c>
      <c r="AM36" s="47">
        <f t="shared" si="6"/>
        <v>270.66036299470636</v>
      </c>
      <c r="AN36" s="674">
        <f t="shared" si="19"/>
        <v>150</v>
      </c>
      <c r="AO36" s="618">
        <f t="shared" si="7"/>
        <v>-84.671378552342759</v>
      </c>
      <c r="AP36" s="42"/>
      <c r="AQ36" s="47"/>
      <c r="AR36" s="55"/>
      <c r="AS36" s="55"/>
      <c r="AT36" s="56"/>
      <c r="AV36" s="30"/>
      <c r="AW36" s="102">
        <v>0</v>
      </c>
      <c r="AX36" s="45">
        <v>52</v>
      </c>
      <c r="AY36" s="45">
        <v>31</v>
      </c>
      <c r="AZ36" s="407"/>
      <c r="BA36" s="385">
        <f t="shared" si="8"/>
        <v>6.2</v>
      </c>
      <c r="BB36" s="30">
        <v>0.97499999999999998</v>
      </c>
      <c r="BC36" s="407">
        <v>16216</v>
      </c>
      <c r="BE36" s="574">
        <f t="shared" si="20"/>
        <v>22</v>
      </c>
      <c r="BF36" s="559">
        <v>6899.67</v>
      </c>
      <c r="BG36" s="575">
        <f t="shared" si="21"/>
        <v>1.0000000000218279E-2</v>
      </c>
      <c r="BH36" s="576">
        <v>49.776041666666579</v>
      </c>
      <c r="BI36" s="576">
        <f t="shared" si="24"/>
        <v>-0.77604166666657903</v>
      </c>
    </row>
    <row r="37" spans="1:61" ht="12.95" customHeight="1">
      <c r="A37" s="48">
        <f t="shared" si="10"/>
        <v>23</v>
      </c>
      <c r="B37" s="104">
        <v>6899.64</v>
      </c>
      <c r="C37" s="483">
        <f>IF(B37="",C36,VLOOKUP(TRUNC(B37,1),VLOOKUP!$A$3:$K$2834,RIGHT(TEXT(B37,"0000.00"),1)+2,FALSE))</f>
        <v>282257</v>
      </c>
      <c r="D37" s="45">
        <f t="shared" si="11"/>
        <v>-147</v>
      </c>
      <c r="E37" s="55">
        <f t="shared" si="0"/>
        <v>130257</v>
      </c>
      <c r="F37" s="112">
        <f t="shared" si="1"/>
        <v>-74.111419208469869</v>
      </c>
      <c r="G37" s="47">
        <v>62.8</v>
      </c>
      <c r="H37" s="125">
        <v>2.2200000000000002</v>
      </c>
      <c r="I37" s="47">
        <f t="shared" si="2"/>
        <v>65.02</v>
      </c>
      <c r="J37" s="42">
        <f t="shared" si="3"/>
        <v>72.86858079153015</v>
      </c>
      <c r="K37" s="47">
        <f t="shared" si="12"/>
        <v>137.88858079153016</v>
      </c>
      <c r="L37" s="47">
        <f t="shared" si="13"/>
        <v>72.86858079153015</v>
      </c>
      <c r="M37" s="114">
        <v>13</v>
      </c>
      <c r="N37" s="47">
        <v>0</v>
      </c>
      <c r="O37" s="47">
        <f>2.8*1.05</f>
        <v>2.94</v>
      </c>
      <c r="P37" s="39">
        <v>0</v>
      </c>
      <c r="Q37" s="144">
        <f>948500/325851/1.9835*1.02</f>
        <v>1.4968774435178773</v>
      </c>
      <c r="R37" s="73">
        <v>0</v>
      </c>
      <c r="S37" s="73">
        <f>IF(((2*1.04)-T37)&gt;=4.2,4.2,(2*1.04)-T37)</f>
        <v>1.51468928</v>
      </c>
      <c r="T37" s="73">
        <f t="shared" si="26"/>
        <v>0.56531072000000004</v>
      </c>
      <c r="U37" s="243">
        <v>0</v>
      </c>
      <c r="V37" s="47">
        <v>150</v>
      </c>
      <c r="W37" s="47">
        <v>0</v>
      </c>
      <c r="X37" s="47">
        <f t="shared" si="16"/>
        <v>156.48312255648213</v>
      </c>
      <c r="Y37" s="47">
        <f t="shared" si="17"/>
        <v>156.48312255648213</v>
      </c>
      <c r="Z37" s="47"/>
      <c r="AA37" s="47"/>
      <c r="AB37" s="55"/>
      <c r="AC37" s="42"/>
      <c r="AD37" s="55"/>
      <c r="AE37" s="47"/>
      <c r="AF37" s="114"/>
      <c r="AG37" s="212"/>
      <c r="AH37" s="627">
        <v>49</v>
      </c>
      <c r="AI37" s="55">
        <f t="shared" si="22"/>
        <v>496.15787748931143</v>
      </c>
      <c r="AJ37" s="42"/>
      <c r="AK37" s="74">
        <f t="shared" si="18"/>
        <v>212</v>
      </c>
      <c r="AL37" s="47">
        <f t="shared" si="5"/>
        <v>0</v>
      </c>
      <c r="AM37" s="47">
        <f t="shared" si="6"/>
        <v>212</v>
      </c>
      <c r="AN37" s="674">
        <f t="shared" si="19"/>
        <v>150</v>
      </c>
      <c r="AO37" s="618">
        <f t="shared" si="7"/>
        <v>-92.960000000000008</v>
      </c>
      <c r="AP37" s="42"/>
      <c r="AQ37" s="47"/>
      <c r="AR37" s="55"/>
      <c r="AS37" s="55"/>
      <c r="AT37" s="56"/>
      <c r="AV37" s="30"/>
      <c r="AW37" s="102">
        <v>0.09</v>
      </c>
      <c r="AX37" s="45">
        <v>53</v>
      </c>
      <c r="AY37" s="56">
        <v>33</v>
      </c>
      <c r="AZ37" s="407"/>
      <c r="BA37" s="385">
        <f t="shared" si="8"/>
        <v>3.5768774435178772</v>
      </c>
      <c r="BB37" s="30">
        <v>0.97499999999999998</v>
      </c>
      <c r="BC37" s="407">
        <v>16221</v>
      </c>
      <c r="BE37" s="574">
        <f t="shared" si="20"/>
        <v>23</v>
      </c>
      <c r="BF37" s="559">
        <v>6899.6</v>
      </c>
      <c r="BG37" s="575">
        <f t="shared" si="21"/>
        <v>3.999999999996362E-2</v>
      </c>
      <c r="BH37" s="576">
        <v>16.515625000000053</v>
      </c>
      <c r="BI37" s="576">
        <f t="shared" si="24"/>
        <v>32.484374999999943</v>
      </c>
    </row>
    <row r="38" spans="1:61" ht="12.95" customHeight="1">
      <c r="A38" s="48">
        <f t="shared" si="10"/>
        <v>24</v>
      </c>
      <c r="B38" s="104">
        <v>6899.53</v>
      </c>
      <c r="C38" s="483">
        <f>IF(B38="",C37,VLOOKUP(TRUNC(B38,1),VLOOKUP!$A$3:$K$2834,RIGHT(TEXT(B38,"0000.00"),1)+2,FALSE))</f>
        <v>281853</v>
      </c>
      <c r="D38" s="45">
        <f t="shared" si="11"/>
        <v>-404</v>
      </c>
      <c r="E38" s="55">
        <f t="shared" si="0"/>
        <v>129853</v>
      </c>
      <c r="F38" s="112">
        <f t="shared" si="1"/>
        <v>-203.68036299470631</v>
      </c>
      <c r="G38" s="47">
        <v>64.099999999999994</v>
      </c>
      <c r="H38" s="125">
        <v>2.5099999999999998</v>
      </c>
      <c r="I38" s="47">
        <f t="shared" si="2"/>
        <v>66.61</v>
      </c>
      <c r="J38" s="42">
        <f t="shared" si="3"/>
        <v>0</v>
      </c>
      <c r="K38" s="47">
        <f t="shared" si="12"/>
        <v>66.61</v>
      </c>
      <c r="L38" s="47">
        <f t="shared" si="13"/>
        <v>-59.290362994706328</v>
      </c>
      <c r="M38" s="114">
        <v>12</v>
      </c>
      <c r="N38" s="47">
        <v>0</v>
      </c>
      <c r="O38" s="47">
        <f>8.8*1.05</f>
        <v>9.240000000000002</v>
      </c>
      <c r="P38" s="39">
        <v>0</v>
      </c>
      <c r="Q38" s="144">
        <f>1115100/325851/1.9835*1.02</f>
        <v>1.7597976144088403</v>
      </c>
      <c r="R38" s="73">
        <v>0</v>
      </c>
      <c r="S38" s="73">
        <f>IF(((1.9*1.04)-T38)&gt;=4.2,4.2,(1.9*1.04)-T38)</f>
        <v>1.4106892799999999</v>
      </c>
      <c r="T38" s="73">
        <f t="shared" si="26"/>
        <v>0.56531072000000004</v>
      </c>
      <c r="U38" s="243">
        <v>0</v>
      </c>
      <c r="V38" s="47">
        <v>150</v>
      </c>
      <c r="W38" s="47">
        <v>0</v>
      </c>
      <c r="X38" s="47">
        <f t="shared" si="16"/>
        <v>149.02420238559117</v>
      </c>
      <c r="Y38" s="47">
        <f t="shared" si="17"/>
        <v>149.02420238559117</v>
      </c>
      <c r="Z38" s="47"/>
      <c r="AA38" s="47"/>
      <c r="AB38" s="55"/>
      <c r="AC38" s="42"/>
      <c r="AD38" s="55"/>
      <c r="AE38" s="47"/>
      <c r="AF38" s="114"/>
      <c r="AG38" s="212"/>
      <c r="AH38" s="627">
        <v>49</v>
      </c>
      <c r="AI38" s="55">
        <f t="shared" si="22"/>
        <v>447.15787748931143</v>
      </c>
      <c r="AJ38" s="42"/>
      <c r="AK38" s="74">
        <f t="shared" si="18"/>
        <v>211</v>
      </c>
      <c r="AL38" s="47">
        <f t="shared" si="5"/>
        <v>59.290362994706328</v>
      </c>
      <c r="AM38" s="47">
        <f t="shared" si="6"/>
        <v>270.29036299470636</v>
      </c>
      <c r="AN38" s="674">
        <f t="shared" si="19"/>
        <v>150</v>
      </c>
      <c r="AO38" s="618">
        <f t="shared" si="7"/>
        <v>-84.174000000000007</v>
      </c>
      <c r="AP38" s="42"/>
      <c r="AQ38" s="47"/>
      <c r="AR38" s="55"/>
      <c r="AS38" s="55"/>
      <c r="AT38" s="56"/>
      <c r="AV38" s="30"/>
      <c r="AW38" s="102">
        <v>0.01</v>
      </c>
      <c r="AX38" s="45">
        <v>55</v>
      </c>
      <c r="AY38" s="56">
        <v>30</v>
      </c>
      <c r="AZ38" s="407"/>
      <c r="BA38" s="385">
        <f t="shared" si="8"/>
        <v>3.7357976144088401</v>
      </c>
      <c r="BB38" s="30">
        <v>0.97499999999999998</v>
      </c>
      <c r="BC38" s="407">
        <v>16227</v>
      </c>
      <c r="BE38" s="574">
        <f t="shared" si="20"/>
        <v>24</v>
      </c>
      <c r="BF38" s="559">
        <v>6899.52</v>
      </c>
      <c r="BG38" s="575">
        <f t="shared" si="21"/>
        <v>9.999999999308784E-3</v>
      </c>
      <c r="BH38" s="576">
        <v>3.693684210526313</v>
      </c>
      <c r="BI38" s="576">
        <f t="shared" si="24"/>
        <v>45.306315789473686</v>
      </c>
    </row>
    <row r="39" spans="1:61" ht="12.95" customHeight="1">
      <c r="A39" s="48">
        <f t="shared" si="10"/>
        <v>25</v>
      </c>
      <c r="B39" s="104">
        <v>6899.47</v>
      </c>
      <c r="C39" s="483">
        <f>IF(B39="",C38,VLOOKUP(TRUNC(B39,1),VLOOKUP!$A$3:$K$2834,RIGHT(TEXT(B39,"0000.00"),1)+2,FALSE))</f>
        <v>281633</v>
      </c>
      <c r="D39" s="45">
        <f t="shared" si="11"/>
        <v>-220</v>
      </c>
      <c r="E39" s="55">
        <f t="shared" si="0"/>
        <v>129633</v>
      </c>
      <c r="F39" s="112">
        <f t="shared" si="1"/>
        <v>-110.91504915553314</v>
      </c>
      <c r="G39" s="47">
        <v>71.599999999999994</v>
      </c>
      <c r="H39" s="125">
        <v>2</v>
      </c>
      <c r="I39" s="47">
        <f t="shared" si="2"/>
        <v>73.599999999999994</v>
      </c>
      <c r="J39" s="42">
        <f t="shared" si="3"/>
        <v>0</v>
      </c>
      <c r="K39" s="47">
        <f t="shared" si="12"/>
        <v>73.599999999999994</v>
      </c>
      <c r="L39" s="47">
        <f t="shared" si="13"/>
        <v>-2.7150491555331513</v>
      </c>
      <c r="M39" s="114">
        <v>28</v>
      </c>
      <c r="N39" s="47">
        <v>0</v>
      </c>
      <c r="O39" s="47">
        <f>2.9*1.05</f>
        <v>3.0449999999999999</v>
      </c>
      <c r="P39" s="39">
        <v>0</v>
      </c>
      <c r="Q39" s="144">
        <f>1126900/325851/1.9835*1.02</f>
        <v>1.7784198113867118</v>
      </c>
      <c r="R39" s="73">
        <v>0</v>
      </c>
      <c r="S39" s="73">
        <f>IF(((1.9*1.04)-T39)&gt;=4.2,4.2,(1.9*1.04)-T39)</f>
        <v>1.4106892799999999</v>
      </c>
      <c r="T39" s="73">
        <f t="shared" si="26"/>
        <v>0.56531072000000004</v>
      </c>
      <c r="U39" s="243">
        <v>0</v>
      </c>
      <c r="V39" s="47">
        <v>104</v>
      </c>
      <c r="W39" s="47">
        <v>0.8</v>
      </c>
      <c r="X39" s="47">
        <f>IF(B39="",0,M39-N39-O39-P39-Q39-R39-S39-T39-U39+V39+W39-AU39+AS39)</f>
        <v>126.00058018861328</v>
      </c>
      <c r="Y39" s="47">
        <f>IF(B39="",0,X39-AP39)</f>
        <v>88.875220569700019</v>
      </c>
      <c r="Z39" s="47"/>
      <c r="AA39" s="47"/>
      <c r="AB39" s="55"/>
      <c r="AC39" s="42"/>
      <c r="AD39" s="55"/>
      <c r="AE39" s="47"/>
      <c r="AF39" s="114"/>
      <c r="AG39" s="212"/>
      <c r="AH39" s="627">
        <v>49</v>
      </c>
      <c r="AI39" s="55">
        <f t="shared" si="22"/>
        <v>398.15787748931143</v>
      </c>
      <c r="AJ39" s="42"/>
      <c r="AK39" s="74">
        <f t="shared" si="18"/>
        <v>181.79999999999998</v>
      </c>
      <c r="AL39" s="47">
        <f t="shared" si="5"/>
        <v>2.7150491555331513</v>
      </c>
      <c r="AM39" s="47">
        <f t="shared" si="6"/>
        <v>184.51504915553312</v>
      </c>
      <c r="AN39" s="674">
        <f>V39-(30/1.9835)</f>
        <v>88.875220569700019</v>
      </c>
      <c r="AO39" s="618">
        <f>IF(G39="","",IF(I39&gt;=795,795-X39,I39-Q39-R39-Y39-AF39)-AJ39)</f>
        <v>-17.053640381086737</v>
      </c>
      <c r="AP39" s="42">
        <f>X39-AN39</f>
        <v>37.125359618913265</v>
      </c>
      <c r="AQ39" s="47"/>
      <c r="AR39" s="55"/>
      <c r="AS39" s="55"/>
      <c r="AT39" s="56"/>
      <c r="AV39" s="30"/>
      <c r="AW39" s="102">
        <v>0</v>
      </c>
      <c r="AX39" s="45">
        <v>59</v>
      </c>
      <c r="AY39" s="56">
        <v>33</v>
      </c>
      <c r="AZ39" s="407"/>
      <c r="BA39" s="385">
        <f t="shared" si="8"/>
        <v>3.754419811386712</v>
      </c>
      <c r="BB39" s="30">
        <v>0.97499999999999998</v>
      </c>
      <c r="BC39" s="407">
        <v>16230</v>
      </c>
      <c r="BE39" s="574">
        <f t="shared" si="20"/>
        <v>25</v>
      </c>
      <c r="BF39" s="559">
        <v>6899.44</v>
      </c>
      <c r="BG39" s="575">
        <f t="shared" si="21"/>
        <v>3.0000000000654836E-2</v>
      </c>
      <c r="BH39" s="576">
        <v>49.742708333333248</v>
      </c>
      <c r="BI39" s="576">
        <f t="shared" si="24"/>
        <v>-0.74270833333324759</v>
      </c>
    </row>
    <row r="40" spans="1:61" ht="12.95" customHeight="1">
      <c r="A40" s="48">
        <f t="shared" si="10"/>
        <v>26</v>
      </c>
      <c r="B40" s="104">
        <v>6899.42</v>
      </c>
      <c r="C40" s="483">
        <f>IF(B40="",C39,VLOOKUP(TRUNC(B40,1),VLOOKUP!$A$3:$K$2834,RIGHT(TEXT(B40,"0000.00"),1)+2,FALSE))</f>
        <v>281449</v>
      </c>
      <c r="D40" s="45">
        <f t="shared" si="11"/>
        <v>-184</v>
      </c>
      <c r="E40" s="55">
        <f t="shared" si="0"/>
        <v>129449</v>
      </c>
      <c r="F40" s="112">
        <f t="shared" si="1"/>
        <v>-92.765313839173174</v>
      </c>
      <c r="G40" s="47">
        <v>74.900000000000006</v>
      </c>
      <c r="H40" s="125">
        <v>1.44</v>
      </c>
      <c r="I40" s="47">
        <f t="shared" si="2"/>
        <v>76.34</v>
      </c>
      <c r="J40" s="42">
        <f t="shared" si="3"/>
        <v>0</v>
      </c>
      <c r="K40" s="47">
        <f t="shared" si="12"/>
        <v>76.34</v>
      </c>
      <c r="L40" s="47">
        <f t="shared" si="13"/>
        <v>-6.6053138391731778</v>
      </c>
      <c r="M40" s="114">
        <v>33</v>
      </c>
      <c r="N40" s="47">
        <v>0</v>
      </c>
      <c r="O40" s="627">
        <f>0.01*1.05</f>
        <v>1.0500000000000001E-2</v>
      </c>
      <c r="P40" s="39">
        <v>0</v>
      </c>
      <c r="Q40" s="144">
        <f>966000/325851/1.9835*1.02</f>
        <v>1.5244951085274325</v>
      </c>
      <c r="R40" s="73">
        <v>0</v>
      </c>
      <c r="S40" s="73">
        <f>IF(((2*1.04)-T40)&gt;=4.2,4.2,(2*1.04)-T40)</f>
        <v>1.51468928</v>
      </c>
      <c r="T40" s="73">
        <f t="shared" si="26"/>
        <v>0.56531072000000004</v>
      </c>
      <c r="U40" s="243">
        <v>0</v>
      </c>
      <c r="V40" s="47">
        <v>75</v>
      </c>
      <c r="W40" s="47">
        <v>5.5</v>
      </c>
      <c r="X40" s="627">
        <f t="shared" si="16"/>
        <v>109.88500489147256</v>
      </c>
      <c r="Y40" s="47">
        <f t="shared" si="17"/>
        <v>109.88500489147256</v>
      </c>
      <c r="Z40" s="47"/>
      <c r="AA40" s="47"/>
      <c r="AB40" s="55"/>
      <c r="AC40" s="42"/>
      <c r="AD40" s="55"/>
      <c r="AE40" s="47"/>
      <c r="AF40" s="114"/>
      <c r="AG40" s="212"/>
      <c r="AH40" s="627">
        <v>49</v>
      </c>
      <c r="AI40" s="55">
        <f t="shared" si="22"/>
        <v>349.15787748931143</v>
      </c>
      <c r="AJ40" s="42"/>
      <c r="AK40" s="74">
        <f t="shared" si="18"/>
        <v>162.5</v>
      </c>
      <c r="AL40" s="47">
        <f t="shared" si="5"/>
        <v>6.6053138391731778</v>
      </c>
      <c r="AM40" s="47">
        <f t="shared" si="6"/>
        <v>169.10531383917316</v>
      </c>
      <c r="AN40" s="674">
        <f t="shared" si="19"/>
        <v>75</v>
      </c>
      <c r="AO40" s="618">
        <f t="shared" si="7"/>
        <v>-35.069499999999991</v>
      </c>
      <c r="AP40" s="42"/>
      <c r="AQ40" s="47"/>
      <c r="AR40" s="55"/>
      <c r="AS40" s="55"/>
      <c r="AT40" s="56"/>
      <c r="AV40" s="30"/>
      <c r="AW40" s="102">
        <v>0</v>
      </c>
      <c r="AX40" s="45">
        <v>62</v>
      </c>
      <c r="AY40" s="45">
        <v>40</v>
      </c>
      <c r="AZ40" s="407"/>
      <c r="BA40" s="385">
        <f t="shared" si="8"/>
        <v>3.6044951085274324</v>
      </c>
      <c r="BB40" s="30">
        <v>0.98</v>
      </c>
      <c r="BC40" s="407">
        <v>16228</v>
      </c>
      <c r="BE40" s="574">
        <f t="shared" si="20"/>
        <v>26</v>
      </c>
      <c r="BF40" s="559">
        <v>6899.38</v>
      </c>
      <c r="BG40" s="575">
        <f t="shared" si="21"/>
        <v>3.999999999996362E-2</v>
      </c>
      <c r="BH40" s="576">
        <v>49.777894736842022</v>
      </c>
      <c r="BI40" s="576">
        <f t="shared" si="24"/>
        <v>-0.77789473684202193</v>
      </c>
    </row>
    <row r="41" spans="1:61" ht="12.95" customHeight="1">
      <c r="A41" s="48">
        <f t="shared" si="10"/>
        <v>27</v>
      </c>
      <c r="B41" s="104">
        <v>6899.4</v>
      </c>
      <c r="C41" s="483">
        <f>IF(B41="",C40,VLOOKUP(TRUNC(B41,1),VLOOKUP!$A$3:$K$2834,RIGHT(TEXT(B41,"0000.00"),1)+2,FALSE))</f>
        <v>281376</v>
      </c>
      <c r="D41" s="45">
        <f>C41-C40</f>
        <v>-73</v>
      </c>
      <c r="E41" s="55">
        <f>C41-152000</f>
        <v>129376</v>
      </c>
      <c r="F41" s="112">
        <f t="shared" si="1"/>
        <v>-36.803629947063271</v>
      </c>
      <c r="G41" s="47">
        <v>79.8</v>
      </c>
      <c r="H41" s="125">
        <v>1.31</v>
      </c>
      <c r="I41" s="47">
        <f t="shared" si="2"/>
        <v>81.11</v>
      </c>
      <c r="J41" s="42">
        <f t="shared" si="3"/>
        <v>49.086370052936729</v>
      </c>
      <c r="K41" s="47">
        <f t="shared" si="12"/>
        <v>130.19637005293674</v>
      </c>
      <c r="L41" s="47">
        <f t="shared" si="13"/>
        <v>49.086370052936729</v>
      </c>
      <c r="M41" s="114">
        <v>46</v>
      </c>
      <c r="N41" s="47">
        <v>0</v>
      </c>
      <c r="O41" s="47">
        <f>0*1.05</f>
        <v>0</v>
      </c>
      <c r="P41" s="39">
        <v>0</v>
      </c>
      <c r="Q41" s="144">
        <f>968700/325851/1.9835*1.02</f>
        <v>1.5287561197003352</v>
      </c>
      <c r="R41" s="73">
        <v>0</v>
      </c>
      <c r="S41" s="73">
        <f>IF(((2*1.04)-T41)&gt;=4.2,4.2,(2*1.04)-T41)</f>
        <v>1.5188784000000002</v>
      </c>
      <c r="T41" s="73">
        <f>(0.509*1.06)*1.04</f>
        <v>0.5611216</v>
      </c>
      <c r="U41" s="243">
        <v>0</v>
      </c>
      <c r="V41" s="47">
        <v>70</v>
      </c>
      <c r="W41" s="47">
        <v>0</v>
      </c>
      <c r="X41" s="47">
        <f t="shared" si="16"/>
        <v>112.39124388029967</v>
      </c>
      <c r="Y41" s="47">
        <f>IF(B41="",0,X41-AP41)</f>
        <v>112.39124388029967</v>
      </c>
      <c r="Z41" s="47"/>
      <c r="AA41" s="47"/>
      <c r="AB41" s="55"/>
      <c r="AC41" s="42"/>
      <c r="AD41" s="55"/>
      <c r="AE41" s="47"/>
      <c r="AF41" s="114"/>
      <c r="AG41" s="212"/>
      <c r="AH41" s="627">
        <v>51</v>
      </c>
      <c r="AI41" s="55">
        <f t="shared" si="22"/>
        <v>298.15787748931143</v>
      </c>
      <c r="AJ41" s="42"/>
      <c r="AK41" s="74">
        <f t="shared" si="18"/>
        <v>167</v>
      </c>
      <c r="AL41" s="47">
        <f t="shared" si="5"/>
        <v>0</v>
      </c>
      <c r="AM41" s="47">
        <f t="shared" si="6"/>
        <v>167</v>
      </c>
      <c r="AN41" s="674">
        <f t="shared" si="19"/>
        <v>70</v>
      </c>
      <c r="AO41" s="618">
        <f t="shared" si="7"/>
        <v>-32.81</v>
      </c>
      <c r="AP41" s="42"/>
      <c r="AQ41" s="47"/>
      <c r="AR41" s="55"/>
      <c r="AS41" s="55"/>
      <c r="AT41" s="144"/>
      <c r="AV41" s="30"/>
      <c r="AW41" s="102">
        <v>0</v>
      </c>
      <c r="AX41" s="45">
        <v>45</v>
      </c>
      <c r="AY41" s="45">
        <v>25</v>
      </c>
      <c r="AZ41" s="407"/>
      <c r="BA41" s="385">
        <f t="shared" si="8"/>
        <v>3.6087561197003355</v>
      </c>
      <c r="BB41" s="30">
        <v>0.97499999999999998</v>
      </c>
      <c r="BC41" s="407">
        <v>16234</v>
      </c>
      <c r="BE41" s="574">
        <f t="shared" si="20"/>
        <v>27</v>
      </c>
      <c r="BF41" s="559">
        <v>6899.35</v>
      </c>
      <c r="BG41" s="575">
        <f t="shared" si="21"/>
        <v>4.9999999999272404E-2</v>
      </c>
      <c r="BH41" s="576">
        <v>49.643749999999926</v>
      </c>
      <c r="BI41" s="576">
        <f t="shared" si="24"/>
        <v>1.3562500000000739</v>
      </c>
    </row>
    <row r="42" spans="1:61" ht="12.95" customHeight="1">
      <c r="A42" s="48">
        <f t="shared" si="10"/>
        <v>28</v>
      </c>
      <c r="B42" s="104">
        <v>6899.34</v>
      </c>
      <c r="C42" s="483">
        <f>IF(B42="",C41,VLOOKUP(TRUNC(B42,1),VLOOKUP!$A$3:$K$2834,RIGHT(TEXT(B42,"0000.00"),1)+2,FALSE))</f>
        <v>281155</v>
      </c>
      <c r="D42" s="45">
        <f>C42-C41</f>
        <v>-221</v>
      </c>
      <c r="E42" s="55">
        <f>C42-152000</f>
        <v>129155</v>
      </c>
      <c r="F42" s="112">
        <f t="shared" si="1"/>
        <v>-111.41920846987648</v>
      </c>
      <c r="G42" s="47">
        <v>77.8</v>
      </c>
      <c r="H42" s="125">
        <v>1.19</v>
      </c>
      <c r="I42" s="47">
        <f t="shared" si="2"/>
        <v>78.989999999999995</v>
      </c>
      <c r="J42" s="42">
        <f t="shared" si="3"/>
        <v>0</v>
      </c>
      <c r="K42" s="47">
        <f t="shared" si="12"/>
        <v>78.989999999999995</v>
      </c>
      <c r="L42" s="47">
        <f t="shared" si="13"/>
        <v>-24.409208469876475</v>
      </c>
      <c r="M42" s="114">
        <v>45</v>
      </c>
      <c r="N42" s="47">
        <v>0</v>
      </c>
      <c r="O42" s="47">
        <f>0.56*1.05</f>
        <v>0.58800000000000008</v>
      </c>
      <c r="P42" s="39">
        <v>0</v>
      </c>
      <c r="Q42" s="144">
        <f>1088000/325851/1.9835*1.02</f>
        <v>1.7170296874511868</v>
      </c>
      <c r="R42" s="73">
        <v>0</v>
      </c>
      <c r="S42" s="73">
        <f>IF(((1.9*1.04)-T42)&gt;=4.2,4.2,(1.9*1.04)-T42)</f>
        <v>1.4148784000000001</v>
      </c>
      <c r="T42" s="73">
        <f t="shared" ref="T42:T45" si="27">(0.509*1.06)*1.04</f>
        <v>0.5611216</v>
      </c>
      <c r="U42" s="243">
        <v>0</v>
      </c>
      <c r="V42" s="47">
        <v>70</v>
      </c>
      <c r="W42" s="47">
        <v>0</v>
      </c>
      <c r="X42" s="47">
        <f t="shared" si="16"/>
        <v>110.71897031254881</v>
      </c>
      <c r="Y42" s="47">
        <f t="shared" si="17"/>
        <v>110.71897031254881</v>
      </c>
      <c r="Z42" s="47"/>
      <c r="AA42" s="47"/>
      <c r="AB42" s="55"/>
      <c r="AC42" s="42"/>
      <c r="AD42" s="55"/>
      <c r="AE42" s="47"/>
      <c r="AF42" s="114"/>
      <c r="AG42" s="212"/>
      <c r="AH42" s="627">
        <v>51</v>
      </c>
      <c r="AI42" s="55">
        <f t="shared" si="22"/>
        <v>247.15787748931143</v>
      </c>
      <c r="AJ42" s="42"/>
      <c r="AK42" s="74">
        <f t="shared" si="18"/>
        <v>166</v>
      </c>
      <c r="AL42" s="47">
        <f t="shared" si="5"/>
        <v>24.409208469876475</v>
      </c>
      <c r="AM42" s="47">
        <f t="shared" si="6"/>
        <v>190.40920846987649</v>
      </c>
      <c r="AN42" s="674">
        <f t="shared" si="19"/>
        <v>70</v>
      </c>
      <c r="AO42" s="618">
        <f t="shared" si="7"/>
        <v>-33.445999999999998</v>
      </c>
      <c r="AP42" s="42"/>
      <c r="AQ42" s="47"/>
      <c r="AR42" s="55"/>
      <c r="AS42" s="55"/>
      <c r="AT42" s="144"/>
      <c r="AV42" s="30"/>
      <c r="AW42" s="102">
        <v>0.02</v>
      </c>
      <c r="AX42" s="45">
        <v>46</v>
      </c>
      <c r="AY42" s="45">
        <v>15</v>
      </c>
      <c r="AZ42" s="407"/>
      <c r="BA42" s="385">
        <f t="shared" si="8"/>
        <v>3.6930296874511868</v>
      </c>
      <c r="BB42" s="30">
        <v>0.97499999999999998</v>
      </c>
      <c r="BC42" s="407">
        <v>16251</v>
      </c>
      <c r="BE42" s="574">
        <f t="shared" si="20"/>
        <v>28</v>
      </c>
      <c r="BF42" s="559">
        <v>6899.3</v>
      </c>
      <c r="BG42" s="575">
        <f t="shared" si="21"/>
        <v>3.999999999996362E-2</v>
      </c>
      <c r="BH42" s="576">
        <v>49.636458333333252</v>
      </c>
      <c r="BI42" s="576">
        <f t="shared" si="24"/>
        <v>1.3635416666667481</v>
      </c>
    </row>
    <row r="43" spans="1:61" ht="12.95" customHeight="1">
      <c r="A43" s="48">
        <f t="shared" si="10"/>
        <v>29</v>
      </c>
      <c r="B43" s="104">
        <v>6899.26</v>
      </c>
      <c r="C43" s="483">
        <f>IF(B43="",C42,VLOOKUP(TRUNC(B43,1),VLOOKUP!$A$3:$K$2834,RIGHT(TEXT(B43,"0000.00"),1)+2,FALSE))</f>
        <v>280861</v>
      </c>
      <c r="D43" s="45">
        <f>C43-C42</f>
        <v>-294</v>
      </c>
      <c r="E43" s="55">
        <f>C43-152000</f>
        <v>128861</v>
      </c>
      <c r="F43" s="112">
        <f t="shared" si="1"/>
        <v>-148.22283841693974</v>
      </c>
      <c r="G43" s="47">
        <v>69.3</v>
      </c>
      <c r="H43" s="125">
        <v>0.96299999999999997</v>
      </c>
      <c r="I43" s="47">
        <f t="shared" si="2"/>
        <v>70.262999999999991</v>
      </c>
      <c r="J43" s="42">
        <f t="shared" si="3"/>
        <v>0</v>
      </c>
      <c r="K43" s="47">
        <f t="shared" si="12"/>
        <v>70.262999999999991</v>
      </c>
      <c r="L43" s="47">
        <f t="shared" si="13"/>
        <v>-64.28583841693974</v>
      </c>
      <c r="M43" s="114">
        <v>31</v>
      </c>
      <c r="N43" s="47">
        <v>0</v>
      </c>
      <c r="O43" s="47">
        <f>21*1.05</f>
        <v>22.05</v>
      </c>
      <c r="P43" s="39">
        <v>0</v>
      </c>
      <c r="Q43" s="144">
        <f>1158700/325851/1.9835*1.02</f>
        <v>1.8286050540897887</v>
      </c>
      <c r="R43" s="73">
        <v>0</v>
      </c>
      <c r="S43" s="73">
        <f>IF(((1.9*1.04)-T43)&gt;=4.2,4.2,(1.9*1.04)-T43)</f>
        <v>1.4148784000000001</v>
      </c>
      <c r="T43" s="73">
        <f t="shared" si="27"/>
        <v>0.5611216</v>
      </c>
      <c r="U43" s="243">
        <v>0</v>
      </c>
      <c r="V43" s="47">
        <v>70</v>
      </c>
      <c r="W43" s="47">
        <v>2.2000000000000002</v>
      </c>
      <c r="X43" s="47">
        <f t="shared" si="16"/>
        <v>77.345394945910215</v>
      </c>
      <c r="Y43" s="47">
        <f>IF(B43="",0,X43-AP43)</f>
        <v>77.345394945910215</v>
      </c>
      <c r="Z43" s="47"/>
      <c r="AA43" s="47"/>
      <c r="AB43" s="55"/>
      <c r="AC43" s="42"/>
      <c r="AD43" s="55"/>
      <c r="AE43" s="47"/>
      <c r="AF43" s="114"/>
      <c r="AG43" s="212"/>
      <c r="AH43" s="627">
        <v>51</v>
      </c>
      <c r="AI43" s="55">
        <f t="shared" si="22"/>
        <v>196.15787748931143</v>
      </c>
      <c r="AJ43" s="42"/>
      <c r="AK43" s="74">
        <f t="shared" si="18"/>
        <v>154.19999999999999</v>
      </c>
      <c r="AL43" s="47">
        <f t="shared" si="5"/>
        <v>64.28583841693974</v>
      </c>
      <c r="AM43" s="47">
        <f t="shared" si="6"/>
        <v>218.48583841693971</v>
      </c>
      <c r="AN43" s="674">
        <f t="shared" si="19"/>
        <v>70</v>
      </c>
      <c r="AO43" s="618">
        <f t="shared" si="7"/>
        <v>-8.9110000000000156</v>
      </c>
      <c r="AP43" s="42"/>
      <c r="AQ43" s="47"/>
      <c r="AR43" s="55"/>
      <c r="AS43" s="55"/>
      <c r="AT43" s="144"/>
      <c r="AV43" s="30"/>
      <c r="AW43" s="102">
        <v>0</v>
      </c>
      <c r="AX43" s="56">
        <v>53</v>
      </c>
      <c r="AY43" s="45">
        <v>28</v>
      </c>
      <c r="AZ43" s="407"/>
      <c r="BA43" s="385">
        <f t="shared" si="8"/>
        <v>3.8046050540897887</v>
      </c>
      <c r="BB43" s="30">
        <v>0.93400000000000005</v>
      </c>
      <c r="BC43" s="407">
        <v>16255</v>
      </c>
      <c r="BE43" s="574">
        <f t="shared" si="20"/>
        <v>29</v>
      </c>
      <c r="BF43" s="559">
        <v>6899.24</v>
      </c>
      <c r="BG43" s="575">
        <f t="shared" si="21"/>
        <v>2.0000000000436557E-2</v>
      </c>
      <c r="BH43" s="576">
        <v>49.628124999999919</v>
      </c>
      <c r="BI43" s="576">
        <f t="shared" si="24"/>
        <v>1.371875000000081</v>
      </c>
    </row>
    <row r="44" spans="1:61" ht="12.95" customHeight="1">
      <c r="A44" s="48">
        <v>30</v>
      </c>
      <c r="B44" s="104">
        <v>6899.23</v>
      </c>
      <c r="C44" s="483">
        <f>IF(B44="",C43,VLOOKUP(TRUNC(B44,1),VLOOKUP!$A$3:$K$2834,RIGHT(TEXT(B44,"0000.00"),1)+2,FALSE))</f>
        <v>280751</v>
      </c>
      <c r="D44" s="45">
        <f>C44-C43</f>
        <v>-110</v>
      </c>
      <c r="E44" s="55">
        <f>C44-152000</f>
        <v>128751</v>
      </c>
      <c r="F44" s="112">
        <f t="shared" si="1"/>
        <v>-55.45752457776657</v>
      </c>
      <c r="G44" s="47">
        <v>72.7</v>
      </c>
      <c r="H44" s="125">
        <v>0.92400000000000004</v>
      </c>
      <c r="I44" s="47">
        <f t="shared" si="2"/>
        <v>73.624000000000009</v>
      </c>
      <c r="J44" s="42">
        <f t="shared" si="3"/>
        <v>43.918475422233421</v>
      </c>
      <c r="K44" s="47">
        <f t="shared" si="12"/>
        <v>117.54247542223342</v>
      </c>
      <c r="L44" s="47">
        <f t="shared" si="13"/>
        <v>43.918475422233421</v>
      </c>
      <c r="M44" s="114">
        <v>37</v>
      </c>
      <c r="N44" s="47">
        <v>0</v>
      </c>
      <c r="O44" s="47">
        <f>8.7*1.05</f>
        <v>9.1349999999999998</v>
      </c>
      <c r="P44" s="39">
        <v>0</v>
      </c>
      <c r="Q44" s="144">
        <f>1046100/325851/1.9835*1.02</f>
        <v>1.6509051066568809</v>
      </c>
      <c r="R44" s="73">
        <v>0</v>
      </c>
      <c r="S44" s="73">
        <f>IF(((1.9*1.04)-T44)&gt;=4.2,4.2,(1.9*1.04)-T44)</f>
        <v>1.4148784000000001</v>
      </c>
      <c r="T44" s="73">
        <f t="shared" si="27"/>
        <v>0.5611216</v>
      </c>
      <c r="U44" s="243">
        <v>0</v>
      </c>
      <c r="V44" s="47">
        <v>70</v>
      </c>
      <c r="W44" s="47">
        <v>14</v>
      </c>
      <c r="X44" s="47">
        <f t="shared" si="16"/>
        <v>108.23809489334312</v>
      </c>
      <c r="Y44" s="47">
        <f t="shared" si="17"/>
        <v>48.825308797580036</v>
      </c>
      <c r="Z44" s="47"/>
      <c r="AA44" s="47"/>
      <c r="AB44" s="55"/>
      <c r="AC44" s="42"/>
      <c r="AD44" s="55"/>
      <c r="AE44" s="47"/>
      <c r="AF44" s="114"/>
      <c r="AG44" s="212"/>
      <c r="AH44" s="627">
        <v>52</v>
      </c>
      <c r="AI44" s="55">
        <f t="shared" si="22"/>
        <v>144.15787748931143</v>
      </c>
      <c r="AJ44" s="42"/>
      <c r="AK44" s="74">
        <f t="shared" si="18"/>
        <v>173</v>
      </c>
      <c r="AL44" s="47">
        <f t="shared" si="5"/>
        <v>0</v>
      </c>
      <c r="AM44" s="47">
        <f t="shared" si="6"/>
        <v>173</v>
      </c>
      <c r="AN44" s="674">
        <f>V44-(42/1.9835)</f>
        <v>48.825308797580036</v>
      </c>
      <c r="AO44" s="618">
        <f>IF(G44="","",IF(I44&gt;=795,795-X44,I44-Q44-R44-X44-AF44)-AJ44)</f>
        <v>-36.264999999999986</v>
      </c>
      <c r="AP44" s="42">
        <f>X44-AN44</f>
        <v>59.412786095763082</v>
      </c>
      <c r="AQ44" s="47"/>
      <c r="AR44" s="55"/>
      <c r="AS44" s="55"/>
      <c r="AT44" s="39"/>
      <c r="AV44" s="30"/>
      <c r="AW44" s="102">
        <v>0.12</v>
      </c>
      <c r="AX44" s="56">
        <v>55</v>
      </c>
      <c r="AY44" s="45">
        <v>31</v>
      </c>
      <c r="AZ44" s="407"/>
      <c r="BA44" s="385">
        <f t="shared" si="8"/>
        <v>3.6269051066568809</v>
      </c>
      <c r="BB44" s="30">
        <v>0.86499999999999999</v>
      </c>
      <c r="BC44" s="407">
        <v>16269</v>
      </c>
      <c r="BE44" s="574">
        <f t="shared" si="20"/>
        <v>30</v>
      </c>
      <c r="BF44" s="559">
        <v>6899.19</v>
      </c>
      <c r="BG44" s="575">
        <f t="shared" si="21"/>
        <v>3.999999999996362E-2</v>
      </c>
      <c r="BH44" s="576">
        <v>49.651041666666593</v>
      </c>
      <c r="BI44" s="576">
        <f t="shared" si="24"/>
        <v>2.3489583333334068</v>
      </c>
    </row>
    <row r="45" spans="1:61" ht="12.95" customHeight="1">
      <c r="A45" s="48">
        <v>31</v>
      </c>
      <c r="B45" s="104">
        <v>6899.15</v>
      </c>
      <c r="C45" s="483">
        <f>IF(B45="",C44,VLOOKUP(TRUNC(B45,1),VLOOKUP!$A$3:$K$2834,RIGHT(TEXT(B45,"0000.00"),1)+2,FALSE))</f>
        <v>280457</v>
      </c>
      <c r="D45" s="45">
        <f>C45-C44</f>
        <v>-294</v>
      </c>
      <c r="E45" s="55">
        <f>C45-152000</f>
        <v>128457</v>
      </c>
      <c r="F45" s="112">
        <f t="shared" si="1"/>
        <v>-148.22283841693974</v>
      </c>
      <c r="G45" s="47">
        <v>66.7</v>
      </c>
      <c r="H45" s="125">
        <v>0.873</v>
      </c>
      <c r="I45" s="47">
        <f t="shared" si="2"/>
        <v>67.573000000000008</v>
      </c>
      <c r="J45" s="42">
        <f t="shared" si="3"/>
        <v>0</v>
      </c>
      <c r="K45" s="47">
        <f t="shared" si="12"/>
        <v>67.573000000000008</v>
      </c>
      <c r="L45" s="47">
        <f t="shared" si="13"/>
        <v>-46.795838416939745</v>
      </c>
      <c r="M45" s="114">
        <v>37</v>
      </c>
      <c r="N45" s="47">
        <v>0</v>
      </c>
      <c r="O45" s="47">
        <f>4.6*1.05</f>
        <v>4.83</v>
      </c>
      <c r="P45" s="39">
        <v>0</v>
      </c>
      <c r="Q45" s="144">
        <f>1087700/325851/1.9835*1.02</f>
        <v>1.7165562417653086</v>
      </c>
      <c r="R45" s="73">
        <v>0</v>
      </c>
      <c r="S45" s="73">
        <f>IF(((1.9*1.04)-T45)&gt;=4.2,4.2,(1.9*1.04)-T45)</f>
        <v>1.4148784000000001</v>
      </c>
      <c r="T45" s="73">
        <f t="shared" si="27"/>
        <v>0.5611216</v>
      </c>
      <c r="U45" s="243">
        <v>0</v>
      </c>
      <c r="V45" s="47">
        <v>69</v>
      </c>
      <c r="W45" s="47">
        <v>11</v>
      </c>
      <c r="X45" s="47">
        <f t="shared" si="16"/>
        <v>108.4774437582347</v>
      </c>
      <c r="Y45" s="47">
        <f t="shared" si="17"/>
        <v>56.900176455760018</v>
      </c>
      <c r="Z45" s="47"/>
      <c r="AA45" s="47"/>
      <c r="AB45" s="55"/>
      <c r="AC45" s="42"/>
      <c r="AD45" s="55"/>
      <c r="AE45" s="47"/>
      <c r="AF45" s="114"/>
      <c r="AG45" s="212"/>
      <c r="AH45" s="627">
        <v>52</v>
      </c>
      <c r="AI45" s="55">
        <f t="shared" si="22"/>
        <v>92.157877489311431</v>
      </c>
      <c r="AJ45" s="42"/>
      <c r="AK45" s="74">
        <f t="shared" si="18"/>
        <v>169</v>
      </c>
      <c r="AL45" s="47">
        <f t="shared" si="5"/>
        <v>46.795838416939745</v>
      </c>
      <c r="AM45" s="112">
        <f t="shared" si="6"/>
        <v>215.79583841693974</v>
      </c>
      <c r="AN45" s="674">
        <f>V45-(24/1.9835)</f>
        <v>56.900176455760018</v>
      </c>
      <c r="AO45" s="618">
        <f>IF(G45="","",IF(I45&gt;=795,795-X45,I45-Q45-R45-X45-AF45)-AJ45)</f>
        <v>-42.620999999999995</v>
      </c>
      <c r="AP45" s="42">
        <f>X45-AN45</f>
        <v>51.577267302474681</v>
      </c>
      <c r="AQ45" s="47"/>
      <c r="AR45" s="47"/>
      <c r="AS45" s="47"/>
      <c r="AT45" s="56"/>
      <c r="AV45" s="30"/>
      <c r="AW45" s="102">
        <v>0</v>
      </c>
      <c r="AX45" s="56">
        <v>63</v>
      </c>
      <c r="AY45" s="45">
        <v>29</v>
      </c>
      <c r="AZ45" s="407"/>
      <c r="BA45" s="385">
        <f t="shared" si="8"/>
        <v>3.6925562417653088</v>
      </c>
      <c r="BB45" s="30">
        <v>0.86899999999999999</v>
      </c>
      <c r="BC45" s="407">
        <v>16275</v>
      </c>
      <c r="BE45" s="574">
        <f t="shared" si="20"/>
        <v>31</v>
      </c>
      <c r="BF45" s="559">
        <v>6899.13</v>
      </c>
      <c r="BG45" s="575">
        <f t="shared" si="21"/>
        <v>1.9999999999527063E-2</v>
      </c>
      <c r="BH45" s="576">
        <v>49.642708333333246</v>
      </c>
      <c r="BI45" s="576">
        <f t="shared" si="24"/>
        <v>2.3572916666667538</v>
      </c>
    </row>
    <row r="46" spans="1:61" ht="3" customHeight="1">
      <c r="A46" s="54"/>
      <c r="B46" s="116"/>
      <c r="C46" s="57"/>
      <c r="D46" s="59"/>
      <c r="E46" s="57"/>
      <c r="F46" s="106"/>
      <c r="G46" s="59">
        <v>68.400000000000006</v>
      </c>
      <c r="H46" s="58">
        <v>2.41</v>
      </c>
      <c r="I46" s="59"/>
      <c r="J46" s="59"/>
      <c r="K46" s="59"/>
      <c r="L46" s="59"/>
      <c r="M46" s="108">
        <v>20.100000000000001</v>
      </c>
      <c r="N46" s="59"/>
      <c r="O46" s="59"/>
      <c r="P46" s="40"/>
      <c r="Q46" s="59"/>
      <c r="R46" s="59"/>
      <c r="S46" s="59"/>
      <c r="T46" s="59"/>
      <c r="U46" s="242"/>
      <c r="V46" s="59">
        <v>71.099999999999994</v>
      </c>
      <c r="W46" s="59">
        <v>0</v>
      </c>
      <c r="X46" s="59"/>
      <c r="Y46" s="59"/>
      <c r="Z46" s="59"/>
      <c r="AA46" s="59"/>
      <c r="AB46" s="57"/>
      <c r="AC46" s="41"/>
      <c r="AD46" s="57"/>
      <c r="AE46" s="59"/>
      <c r="AF46" s="108"/>
      <c r="AG46" s="109"/>
      <c r="AH46" s="59">
        <v>66.8</v>
      </c>
      <c r="AI46" s="59"/>
      <c r="AJ46" s="41"/>
      <c r="AK46" s="59"/>
      <c r="AL46" s="59"/>
      <c r="AM46" s="106"/>
      <c r="AN46" s="44"/>
      <c r="AO46" s="185"/>
      <c r="AP46" s="41"/>
      <c r="AQ46" s="44"/>
      <c r="AR46" s="44"/>
      <c r="AS46" s="44"/>
      <c r="AT46" s="44"/>
      <c r="AU46" s="50"/>
      <c r="AV46" s="50"/>
      <c r="AW46" s="110"/>
      <c r="AX46" s="44"/>
      <c r="AY46" s="44"/>
      <c r="AZ46" s="44"/>
      <c r="BA46" s="44"/>
      <c r="BB46" s="44"/>
      <c r="BC46" s="44">
        <v>12480</v>
      </c>
      <c r="BE46" s="572" t="s">
        <v>60</v>
      </c>
      <c r="BF46" s="497"/>
      <c r="BG46" s="497"/>
      <c r="BH46" s="573"/>
      <c r="BI46" s="573"/>
    </row>
    <row r="47" spans="1:61" ht="12.95" customHeight="1">
      <c r="A47" s="90" t="s">
        <v>33</v>
      </c>
      <c r="B47" s="98"/>
      <c r="C47" s="55"/>
      <c r="D47" s="55"/>
      <c r="E47" s="55"/>
      <c r="F47" s="99">
        <f t="shared" ref="F47:X47" si="28">SUM(F15:F45)</f>
        <v>-2992.6896899420217</v>
      </c>
      <c r="G47" s="55">
        <f>SUM(G15:G45)</f>
        <v>2129.6999999999994</v>
      </c>
      <c r="H47" s="133">
        <f t="shared" si="28"/>
        <v>48.249999999999993</v>
      </c>
      <c r="I47" s="55">
        <f t="shared" si="28"/>
        <v>2177.9499999999998</v>
      </c>
      <c r="J47" s="55">
        <f>SUM(J15:J45)</f>
        <v>615.91427577514503</v>
      </c>
      <c r="K47" s="55">
        <f t="shared" si="28"/>
        <v>2793.8642757751454</v>
      </c>
      <c r="L47" s="55">
        <f t="shared" si="28"/>
        <v>117.96031005797835</v>
      </c>
      <c r="M47" s="100">
        <f t="shared" si="28"/>
        <v>367.1</v>
      </c>
      <c r="N47" s="55">
        <f>SUM(N15:N45)</f>
        <v>0</v>
      </c>
      <c r="O47" s="55">
        <f t="shared" si="28"/>
        <v>51.838500000000003</v>
      </c>
      <c r="P47" s="39"/>
      <c r="Q47" s="55">
        <f t="shared" si="28"/>
        <v>50.924133603504025</v>
      </c>
      <c r="R47" s="55">
        <f t="shared" si="28"/>
        <v>0</v>
      </c>
      <c r="S47" s="55">
        <f t="shared" si="28"/>
        <v>44.407134719999995</v>
      </c>
      <c r="T47" s="55">
        <f>SUM(T15:T45)</f>
        <v>17.888865280000001</v>
      </c>
      <c r="U47" s="341">
        <f>SUM(U15:U45)</f>
        <v>4.9773085840003297</v>
      </c>
      <c r="V47" s="55">
        <f t="shared" si="28"/>
        <v>3363</v>
      </c>
      <c r="W47" s="55">
        <f t="shared" si="28"/>
        <v>33.5</v>
      </c>
      <c r="X47" s="55">
        <f t="shared" si="28"/>
        <v>3593.5640578124953</v>
      </c>
      <c r="Y47" s="55">
        <f>SUM(Y15:Y45)</f>
        <v>3445.4486447953445</v>
      </c>
      <c r="Z47" s="55"/>
      <c r="AA47" s="55"/>
      <c r="AB47" s="55"/>
      <c r="AC47" s="42">
        <f>SUM(AC15:AC45)</f>
        <v>0</v>
      </c>
      <c r="AD47" s="55"/>
      <c r="AE47" s="42">
        <f>SUM(AE15:AE45)</f>
        <v>0</v>
      </c>
      <c r="AF47" s="100"/>
      <c r="AG47" s="101"/>
      <c r="AH47" s="55">
        <f>SUM(AH15:AH45)</f>
        <v>1525</v>
      </c>
      <c r="AI47" s="55"/>
      <c r="AJ47" s="42">
        <f t="shared" ref="AJ47:AN47" si="29">SUM(AJ15:AJ45)</f>
        <v>0</v>
      </c>
      <c r="AK47" s="55">
        <f t="shared" si="29"/>
        <v>5288.6</v>
      </c>
      <c r="AL47" s="55">
        <f t="shared" si="29"/>
        <v>497.95396571716662</v>
      </c>
      <c r="AM47" s="99">
        <f t="shared" si="29"/>
        <v>5786.5539657171685</v>
      </c>
      <c r="AN47" s="42">
        <f t="shared" si="29"/>
        <v>3314.6007058230402</v>
      </c>
      <c r="AO47" s="43">
        <f>SUM(AO15:AO45)-(0/1.9835)</f>
        <v>-1429.4128317970867</v>
      </c>
      <c r="AP47" s="42">
        <f>SUM(AP15:AP45)</f>
        <v>148.11541301715101</v>
      </c>
      <c r="AQ47" s="47"/>
      <c r="AR47" s="47"/>
      <c r="AS47" s="47"/>
      <c r="AT47" s="56"/>
      <c r="AU47" s="26" t="s">
        <v>46</v>
      </c>
      <c r="AV47" s="30"/>
      <c r="AW47" s="102">
        <f>SUM(AW15:AW45)</f>
        <v>2.41</v>
      </c>
      <c r="AX47" s="45">
        <f>AVERAGE(AX15:AX45)</f>
        <v>55.516129032258064</v>
      </c>
      <c r="AY47" s="45">
        <f>AVERAGE(AY15:AY45)</f>
        <v>30.580645161290324</v>
      </c>
      <c r="AZ47" s="103" t="s">
        <v>43</v>
      </c>
      <c r="BA47" s="393">
        <f>SUM(BA15:BA45)</f>
        <v>118.19744218750436</v>
      </c>
      <c r="BB47" s="30">
        <f>SUM(BB15:BB45)</f>
        <v>62.027000000000008</v>
      </c>
      <c r="BC47" s="407"/>
      <c r="BF47" s="489"/>
      <c r="BG47" s="489"/>
      <c r="BH47" s="505">
        <f>SUM(BH15:BH45)</f>
        <v>1432.1775891495017</v>
      </c>
      <c r="BI47" s="505">
        <f>SUM(BI15:BI45)</f>
        <v>95.894285850497681</v>
      </c>
    </row>
    <row r="48" spans="1:61" ht="12.95" customHeight="1">
      <c r="A48" s="90" t="s">
        <v>34</v>
      </c>
      <c r="B48" s="98"/>
      <c r="C48" s="55"/>
      <c r="D48" s="55">
        <f>SUM(D15:D45)</f>
        <v>-5936</v>
      </c>
      <c r="E48" s="55"/>
      <c r="F48" s="99">
        <f t="shared" ref="F48:X48" si="30">F47*$D$2</f>
        <v>-5936</v>
      </c>
      <c r="G48" s="55">
        <f t="shared" si="30"/>
        <v>4224.2599499999988</v>
      </c>
      <c r="H48" s="133">
        <f t="shared" si="30"/>
        <v>95.703874999999982</v>
      </c>
      <c r="I48" s="55">
        <f t="shared" si="30"/>
        <v>4319.9638249999998</v>
      </c>
      <c r="J48" s="55">
        <f t="shared" si="30"/>
        <v>1221.6659660000003</v>
      </c>
      <c r="K48" s="55">
        <f t="shared" si="30"/>
        <v>5541.6297910000012</v>
      </c>
      <c r="L48" s="55">
        <f t="shared" si="30"/>
        <v>233.97427500000006</v>
      </c>
      <c r="M48" s="100">
        <f t="shared" si="30"/>
        <v>728.14285000000007</v>
      </c>
      <c r="N48" s="55">
        <f t="shared" si="30"/>
        <v>0</v>
      </c>
      <c r="O48" s="55">
        <f t="shared" si="30"/>
        <v>102.82166475000001</v>
      </c>
      <c r="P48" s="39"/>
      <c r="Q48" s="55">
        <f t="shared" si="30"/>
        <v>101.00801900255024</v>
      </c>
      <c r="R48" s="55">
        <f t="shared" si="30"/>
        <v>0</v>
      </c>
      <c r="S48" s="55">
        <f t="shared" si="30"/>
        <v>88.081551717119993</v>
      </c>
      <c r="T48" s="55">
        <f t="shared" si="30"/>
        <v>35.482564282880006</v>
      </c>
      <c r="U48" s="341">
        <f t="shared" si="30"/>
        <v>9.8724915763646539</v>
      </c>
      <c r="V48" s="55">
        <f t="shared" si="30"/>
        <v>6670.5105000000003</v>
      </c>
      <c r="W48" s="55">
        <f t="shared" si="30"/>
        <v>66.447249999999997</v>
      </c>
      <c r="X48" s="55">
        <f t="shared" si="30"/>
        <v>7127.8343086710847</v>
      </c>
      <c r="Y48" s="55">
        <f>Y47*$D$2</f>
        <v>6834.0473869515663</v>
      </c>
      <c r="Z48" s="55"/>
      <c r="AA48" s="55"/>
      <c r="AB48" s="55"/>
      <c r="AC48" s="42">
        <f>AC47*$D$2</f>
        <v>0</v>
      </c>
      <c r="AD48" s="55"/>
      <c r="AE48" s="42">
        <f>AE47*$D$2</f>
        <v>0</v>
      </c>
      <c r="AF48" s="100"/>
      <c r="AG48" s="101"/>
      <c r="AH48" s="55">
        <f>AH47*$D$2</f>
        <v>3024.8375000000001</v>
      </c>
      <c r="AI48" s="55"/>
      <c r="AJ48" s="42">
        <f t="shared" ref="AJ48:AP48" si="31">AJ47*$D$2</f>
        <v>0</v>
      </c>
      <c r="AK48" s="55">
        <f t="shared" si="31"/>
        <v>10489.938100000001</v>
      </c>
      <c r="AL48" s="55">
        <f t="shared" si="31"/>
        <v>987.69169099999999</v>
      </c>
      <c r="AM48" s="99">
        <f t="shared" si="31"/>
        <v>11477.629791000003</v>
      </c>
      <c r="AN48" s="42">
        <f t="shared" si="31"/>
        <v>6574.5105000000003</v>
      </c>
      <c r="AO48" s="43">
        <f t="shared" ref="AO48" si="32">AO47*$D$2</f>
        <v>-2835.2403518695214</v>
      </c>
      <c r="AP48" s="42">
        <f t="shared" si="31"/>
        <v>293.78692171951906</v>
      </c>
      <c r="AQ48" s="47"/>
      <c r="AR48" s="47"/>
      <c r="AS48" s="47"/>
      <c r="AT48" s="56"/>
      <c r="AU48" s="26"/>
      <c r="AV48" s="30"/>
      <c r="AW48" s="102"/>
      <c r="AX48" s="45">
        <f>MAX(AX15:AX45)</f>
        <v>65</v>
      </c>
      <c r="AY48" s="45">
        <f>MAX(AY15:AY45)</f>
        <v>40</v>
      </c>
      <c r="AZ48" s="103" t="s">
        <v>35</v>
      </c>
      <c r="BA48" s="393">
        <f>BA47*$D$2</f>
        <v>234.44462657891492</v>
      </c>
      <c r="BB48" s="30">
        <f>BB47*D2</f>
        <v>123.03055450000002</v>
      </c>
      <c r="BC48" s="407"/>
      <c r="BF48" s="489"/>
      <c r="BG48" s="489"/>
      <c r="BH48" s="505">
        <f>BH47*$D$2</f>
        <v>2840.7242480780369</v>
      </c>
      <c r="BI48" s="505">
        <f>BI47*$D$2</f>
        <v>190.20631598446215</v>
      </c>
    </row>
    <row r="49" spans="1:61" ht="3" customHeight="1">
      <c r="A49" s="54"/>
      <c r="B49" s="116"/>
      <c r="C49" s="57"/>
      <c r="D49" s="57"/>
      <c r="E49" s="57"/>
      <c r="F49" s="117"/>
      <c r="G49" s="57"/>
      <c r="H49" s="145"/>
      <c r="I49" s="57"/>
      <c r="J49" s="57"/>
      <c r="K49" s="57"/>
      <c r="L49" s="57"/>
      <c r="M49" s="118"/>
      <c r="N49" s="57"/>
      <c r="O49" s="57"/>
      <c r="P49" s="40"/>
      <c r="Q49" s="57"/>
      <c r="R49" s="57"/>
      <c r="S49" s="57"/>
      <c r="T49" s="57"/>
      <c r="U49" s="422"/>
      <c r="V49" s="57"/>
      <c r="W49" s="57"/>
      <c r="X49" s="57"/>
      <c r="Y49" s="57"/>
      <c r="Z49" s="57"/>
      <c r="AA49" s="57"/>
      <c r="AB49" s="57"/>
      <c r="AC49" s="41"/>
      <c r="AD49" s="57"/>
      <c r="AE49" s="57"/>
      <c r="AF49" s="118"/>
      <c r="AG49" s="119"/>
      <c r="AH49" s="57"/>
      <c r="AI49" s="59"/>
      <c r="AJ49" s="41"/>
      <c r="AK49" s="57"/>
      <c r="AL49" s="57"/>
      <c r="AM49" s="117"/>
      <c r="AN49" s="41"/>
      <c r="AO49" s="185"/>
      <c r="AP49" s="41"/>
      <c r="AQ49" s="57"/>
      <c r="AR49" s="57"/>
      <c r="AS49" s="57"/>
      <c r="AT49" s="57"/>
      <c r="AU49" s="97"/>
      <c r="AV49" s="50"/>
      <c r="AW49" s="120"/>
      <c r="AX49" s="57"/>
      <c r="AY49" s="57"/>
      <c r="AZ49" s="57"/>
      <c r="BA49" s="57"/>
      <c r="BB49" s="57"/>
      <c r="BC49" s="57"/>
      <c r="BE49" s="572" t="s">
        <v>60</v>
      </c>
      <c r="BF49" s="497"/>
      <c r="BG49" s="497"/>
      <c r="BH49" s="506"/>
      <c r="BI49" s="506"/>
    </row>
    <row r="50" spans="1:61" ht="12.95" customHeight="1">
      <c r="A50" s="90" t="s">
        <v>36</v>
      </c>
      <c r="B50" s="98"/>
      <c r="C50" s="55"/>
      <c r="D50" s="55"/>
      <c r="E50" s="55"/>
      <c r="F50" s="99"/>
      <c r="G50" s="55"/>
      <c r="H50" s="133"/>
      <c r="I50" s="55"/>
      <c r="J50" s="55"/>
      <c r="K50" s="55"/>
      <c r="L50" s="55"/>
      <c r="M50" s="100"/>
      <c r="N50" s="55"/>
      <c r="O50" s="55">
        <f>O47</f>
        <v>51.838500000000003</v>
      </c>
      <c r="P50" s="39"/>
      <c r="Q50" s="55"/>
      <c r="R50" s="55"/>
      <c r="S50" s="55"/>
      <c r="T50" s="55"/>
      <c r="U50" s="423"/>
      <c r="V50" s="55"/>
      <c r="W50" s="55"/>
      <c r="X50" s="55"/>
      <c r="Y50" s="55"/>
      <c r="Z50" s="55"/>
      <c r="AA50" s="55"/>
      <c r="AB50" s="55"/>
      <c r="AC50" s="42"/>
      <c r="AD50" s="55"/>
      <c r="AE50" s="55"/>
      <c r="AF50" s="100"/>
      <c r="AG50" s="101"/>
      <c r="AH50" s="55"/>
      <c r="AI50" s="55"/>
      <c r="AJ50" s="42"/>
      <c r="AK50" s="55"/>
      <c r="AL50" s="55"/>
      <c r="AM50" s="99"/>
      <c r="AN50" s="42"/>
      <c r="AO50" s="180"/>
      <c r="AP50" s="42"/>
      <c r="AQ50" s="47"/>
      <c r="AR50" s="47"/>
      <c r="AS50" s="47"/>
      <c r="AT50" s="56"/>
      <c r="AU50" s="26"/>
      <c r="AV50" s="30"/>
      <c r="AW50" s="102"/>
      <c r="AX50" s="45">
        <f>MIN(AX15:AX45)</f>
        <v>44</v>
      </c>
      <c r="AY50" s="45">
        <f>MIN(AY15:AY45)</f>
        <v>15</v>
      </c>
      <c r="AZ50" s="103" t="s">
        <v>37</v>
      </c>
      <c r="BA50" s="393"/>
      <c r="BC50" s="407"/>
      <c r="BF50" s="489"/>
      <c r="BG50" s="489"/>
      <c r="BH50" s="505"/>
      <c r="BI50" s="505"/>
    </row>
    <row r="51" spans="1:61" ht="12.95" customHeight="1">
      <c r="A51" s="90" t="s">
        <v>38</v>
      </c>
      <c r="B51" s="98"/>
      <c r="C51" s="55"/>
      <c r="D51" s="55"/>
      <c r="E51" s="55"/>
      <c r="F51" s="99"/>
      <c r="G51" s="55"/>
      <c r="H51" s="133"/>
      <c r="I51" s="55"/>
      <c r="J51" s="55"/>
      <c r="K51" s="55"/>
      <c r="L51" s="55"/>
      <c r="M51" s="100"/>
      <c r="N51" s="55"/>
      <c r="O51" s="55">
        <f>O50*D2</f>
        <v>102.82166475000001</v>
      </c>
      <c r="P51" s="39"/>
      <c r="Q51" s="55"/>
      <c r="R51" s="55"/>
      <c r="S51" s="55"/>
      <c r="T51" s="55"/>
      <c r="U51" s="423"/>
      <c r="V51" s="55"/>
      <c r="W51" s="55"/>
      <c r="X51" s="55"/>
      <c r="Y51" s="55"/>
      <c r="Z51" s="55"/>
      <c r="AA51" s="55"/>
      <c r="AB51" s="55"/>
      <c r="AC51" s="42"/>
      <c r="AD51" s="55"/>
      <c r="AE51" s="55"/>
      <c r="AF51" s="100"/>
      <c r="AG51" s="101"/>
      <c r="AH51" s="55"/>
      <c r="AI51" s="55"/>
      <c r="AJ51" s="42"/>
      <c r="AK51" s="55"/>
      <c r="AL51" s="55"/>
      <c r="AM51" s="99"/>
      <c r="AN51" s="42"/>
      <c r="AO51" s="180"/>
      <c r="AP51" s="42"/>
      <c r="AQ51" s="47"/>
      <c r="AR51" s="47"/>
      <c r="AS51" s="47"/>
      <c r="AT51" s="56"/>
      <c r="AU51" s="26"/>
      <c r="AV51" s="30"/>
      <c r="AW51" s="102"/>
      <c r="AX51" s="45"/>
      <c r="AY51" s="45"/>
      <c r="AZ51" s="407"/>
      <c r="BA51" s="393"/>
      <c r="BC51" s="407"/>
      <c r="BF51" s="489"/>
      <c r="BG51" s="489"/>
      <c r="BH51" s="505"/>
      <c r="BI51" s="505"/>
    </row>
    <row r="52" spans="1:61" ht="3" customHeight="1">
      <c r="A52" s="54"/>
      <c r="B52" s="116"/>
      <c r="C52" s="57"/>
      <c r="D52" s="57"/>
      <c r="E52" s="57"/>
      <c r="F52" s="117"/>
      <c r="G52" s="57"/>
      <c r="H52" s="145"/>
      <c r="I52" s="57"/>
      <c r="J52" s="57"/>
      <c r="K52" s="57"/>
      <c r="L52" s="57"/>
      <c r="M52" s="118"/>
      <c r="N52" s="57"/>
      <c r="O52" s="57"/>
      <c r="P52" s="40"/>
      <c r="Q52" s="57"/>
      <c r="R52" s="57"/>
      <c r="S52" s="57"/>
      <c r="T52" s="57"/>
      <c r="U52" s="422"/>
      <c r="V52" s="57"/>
      <c r="W52" s="57"/>
      <c r="X52" s="57"/>
      <c r="Y52" s="57"/>
      <c r="Z52" s="57"/>
      <c r="AA52" s="57"/>
      <c r="AB52" s="57"/>
      <c r="AC52" s="41"/>
      <c r="AD52" s="57"/>
      <c r="AE52" s="57"/>
      <c r="AF52" s="118"/>
      <c r="AG52" s="119"/>
      <c r="AH52" s="57"/>
      <c r="AI52" s="57"/>
      <c r="AJ52" s="41"/>
      <c r="AK52" s="57"/>
      <c r="AL52" s="57"/>
      <c r="AM52" s="117"/>
      <c r="AN52" s="41"/>
      <c r="AO52" s="185"/>
      <c r="AP52" s="41"/>
      <c r="AQ52" s="58"/>
      <c r="AR52" s="58"/>
      <c r="AS52" s="58"/>
      <c r="AT52" s="58"/>
      <c r="AU52" s="97"/>
      <c r="AV52" s="50"/>
      <c r="AW52" s="110"/>
      <c r="AX52" s="58"/>
      <c r="AY52" s="58"/>
      <c r="AZ52" s="58"/>
      <c r="BA52" s="58"/>
      <c r="BB52" s="58"/>
      <c r="BC52" s="44"/>
      <c r="BE52" s="572" t="s">
        <v>60</v>
      </c>
      <c r="BF52" s="497"/>
      <c r="BG52" s="497"/>
      <c r="BH52" s="506"/>
      <c r="BI52" s="506"/>
    </row>
    <row r="53" spans="1:61" ht="12.95" customHeight="1">
      <c r="A53" s="90" t="s">
        <v>39</v>
      </c>
      <c r="B53" s="98"/>
      <c r="C53" s="55"/>
      <c r="D53" s="55"/>
      <c r="E53" s="55"/>
      <c r="F53" s="99">
        <f t="shared" ref="F53:X53" si="33">F13+F47</f>
        <v>-6018.6538946307037</v>
      </c>
      <c r="G53" s="55">
        <f t="shared" si="33"/>
        <v>6609.7999999999993</v>
      </c>
      <c r="H53" s="133">
        <f t="shared" si="33"/>
        <v>48.249999999999993</v>
      </c>
      <c r="I53" s="55">
        <f t="shared" si="33"/>
        <v>6658.05</v>
      </c>
      <c r="J53" s="55">
        <f t="shared" si="33"/>
        <v>1873.8441320897405</v>
      </c>
      <c r="K53" s="55">
        <f t="shared" si="33"/>
        <v>8531.8941320897411</v>
      </c>
      <c r="L53" s="55">
        <f t="shared" si="33"/>
        <v>-306.66389463070311</v>
      </c>
      <c r="M53" s="100">
        <f t="shared" si="33"/>
        <v>780.54000000000019</v>
      </c>
      <c r="N53" s="55">
        <f>N13+N47</f>
        <v>0</v>
      </c>
      <c r="O53" s="55">
        <f t="shared" si="33"/>
        <v>51.838500000000003</v>
      </c>
      <c r="P53" s="39"/>
      <c r="Q53" s="55">
        <f t="shared" si="33"/>
        <v>253.34899290525163</v>
      </c>
      <c r="R53" s="55">
        <f t="shared" si="33"/>
        <v>0</v>
      </c>
      <c r="S53" s="55">
        <f t="shared" si="33"/>
        <v>237.27519087999997</v>
      </c>
      <c r="T53" s="55">
        <f>T13+T47</f>
        <v>87.597144960000023</v>
      </c>
      <c r="U53" s="341">
        <f>U13+U47</f>
        <v>-46.583886557747249</v>
      </c>
      <c r="V53" s="55">
        <f t="shared" si="33"/>
        <v>5192</v>
      </c>
      <c r="W53" s="55">
        <f t="shared" si="33"/>
        <v>33.5</v>
      </c>
      <c r="X53" s="55">
        <f t="shared" si="33"/>
        <v>5422.5640578124949</v>
      </c>
      <c r="Y53" s="55">
        <f>Y13+Y47</f>
        <v>5274.4486447953441</v>
      </c>
      <c r="Z53" s="55"/>
      <c r="AA53" s="55"/>
      <c r="AB53" s="55"/>
      <c r="AC53" s="42">
        <f>AC13+AC47</f>
        <v>0</v>
      </c>
      <c r="AD53" s="55"/>
      <c r="AE53" s="55">
        <f>AE47+AE13</f>
        <v>0</v>
      </c>
      <c r="AF53" s="100"/>
      <c r="AG53" s="101"/>
      <c r="AH53" s="55">
        <f>AH13+AH47</f>
        <v>6364</v>
      </c>
      <c r="AI53" s="55">
        <f>AI45</f>
        <v>92.157877489311431</v>
      </c>
      <c r="AJ53" s="42">
        <f t="shared" ref="AJ53:AP53" si="34">AJ13+AJ47</f>
        <v>0</v>
      </c>
      <c r="AK53" s="55">
        <f t="shared" si="34"/>
        <v>12370.04</v>
      </c>
      <c r="AL53" s="55">
        <f t="shared" si="34"/>
        <v>2180.5080267204435</v>
      </c>
      <c r="AM53" s="99">
        <f t="shared" si="34"/>
        <v>14550.548026720446</v>
      </c>
      <c r="AN53" s="42">
        <f>AN13+AN47</f>
        <v>5143.6007058230407</v>
      </c>
      <c r="AO53" s="43">
        <f>AO13+AO47</f>
        <v>1019.2623089011654</v>
      </c>
      <c r="AP53" s="42">
        <f t="shared" si="34"/>
        <v>148.11541301715101</v>
      </c>
      <c r="AQ53" s="47"/>
      <c r="AR53" s="47"/>
      <c r="AS53" s="47"/>
      <c r="AT53" s="56"/>
      <c r="AU53" s="26"/>
      <c r="AV53" s="30"/>
      <c r="AW53" s="102">
        <f>AW13+AW47</f>
        <v>6.6450000000000005</v>
      </c>
      <c r="AX53" s="45"/>
      <c r="AY53" s="45"/>
      <c r="AZ53" s="407"/>
      <c r="BA53" s="393">
        <f>BA13+BA47</f>
        <v>531.63744218750446</v>
      </c>
      <c r="BB53" s="49">
        <f>BB47+BB13</f>
        <v>239.81600000000006</v>
      </c>
      <c r="BC53" s="407"/>
      <c r="BF53" s="489"/>
      <c r="BG53" s="489"/>
      <c r="BH53" s="505">
        <f>BH13+BH47</f>
        <v>1432.1775891495017</v>
      </c>
      <c r="BI53" s="505">
        <f>BI13+BI47</f>
        <v>95.894285850497681</v>
      </c>
    </row>
    <row r="54" spans="1:61" ht="12.95" customHeight="1">
      <c r="A54" s="90" t="s">
        <v>40</v>
      </c>
      <c r="B54" s="98"/>
      <c r="C54" s="55"/>
      <c r="D54" s="55">
        <f>D13+D48</f>
        <v>-11938</v>
      </c>
      <c r="E54" s="55">
        <f>E45</f>
        <v>128457</v>
      </c>
      <c r="F54" s="99">
        <f t="shared" ref="F54:AH54" si="35">F53*$D$2</f>
        <v>-11938.000000000002</v>
      </c>
      <c r="G54" s="55">
        <f t="shared" si="35"/>
        <v>13110.538299999998</v>
      </c>
      <c r="H54" s="133">
        <f t="shared" si="35"/>
        <v>95.703874999999982</v>
      </c>
      <c r="I54" s="55">
        <f t="shared" si="35"/>
        <v>13206.242175000001</v>
      </c>
      <c r="J54" s="55">
        <f t="shared" si="35"/>
        <v>3716.7698360000004</v>
      </c>
      <c r="K54" s="55">
        <f t="shared" si="35"/>
        <v>16923.012011000003</v>
      </c>
      <c r="L54" s="55">
        <f t="shared" si="35"/>
        <v>-608.26783499999965</v>
      </c>
      <c r="M54" s="100">
        <f t="shared" si="35"/>
        <v>1548.2010900000005</v>
      </c>
      <c r="N54" s="55">
        <f t="shared" si="35"/>
        <v>0</v>
      </c>
      <c r="O54" s="55">
        <f t="shared" si="35"/>
        <v>102.82166475000001</v>
      </c>
      <c r="P54" s="39"/>
      <c r="Q54" s="55">
        <f>Q53*$D$2</f>
        <v>502.51772742756663</v>
      </c>
      <c r="R54" s="55">
        <f>R53*$D$2</f>
        <v>0</v>
      </c>
      <c r="S54" s="55">
        <f t="shared" si="35"/>
        <v>470.63534111047994</v>
      </c>
      <c r="T54" s="55">
        <f t="shared" si="35"/>
        <v>173.74893702816004</v>
      </c>
      <c r="U54" s="341">
        <f t="shared" si="35"/>
        <v>-92.399138987291664</v>
      </c>
      <c r="V54" s="55">
        <f t="shared" si="35"/>
        <v>10298.332</v>
      </c>
      <c r="W54" s="55">
        <f t="shared" si="35"/>
        <v>66.447249999999997</v>
      </c>
      <c r="X54" s="55">
        <f t="shared" si="35"/>
        <v>10755.655808671083</v>
      </c>
      <c r="Y54" s="55">
        <f t="shared" si="35"/>
        <v>10461.868886951564</v>
      </c>
      <c r="Z54" s="55"/>
      <c r="AA54" s="55"/>
      <c r="AB54" s="55"/>
      <c r="AC54" s="42">
        <f t="shared" si="35"/>
        <v>0</v>
      </c>
      <c r="AD54" s="55"/>
      <c r="AE54" s="42">
        <f>AE53*$D$2</f>
        <v>0</v>
      </c>
      <c r="AF54" s="211"/>
      <c r="AG54" s="121"/>
      <c r="AH54" s="55">
        <f t="shared" si="35"/>
        <v>12622.994000000001</v>
      </c>
      <c r="AI54" s="55">
        <f t="shared" ref="AI54:AP54" si="36">AI53*$D$2</f>
        <v>182.79515000004923</v>
      </c>
      <c r="AJ54" s="42">
        <f t="shared" si="36"/>
        <v>0</v>
      </c>
      <c r="AK54" s="55">
        <f t="shared" si="36"/>
        <v>24535.974340000001</v>
      </c>
      <c r="AL54" s="55">
        <f t="shared" si="36"/>
        <v>4325.037671</v>
      </c>
      <c r="AM54" s="437">
        <f t="shared" si="36"/>
        <v>28861.012011000006</v>
      </c>
      <c r="AN54" s="45">
        <f t="shared" si="36"/>
        <v>10202.332000000002</v>
      </c>
      <c r="AO54" s="43">
        <f>AO53*$D$2</f>
        <v>2021.7067897054617</v>
      </c>
      <c r="AP54" s="42">
        <f t="shared" si="36"/>
        <v>293.78692171951906</v>
      </c>
      <c r="AQ54" s="47"/>
      <c r="AR54" s="47"/>
      <c r="AS54" s="47"/>
      <c r="AT54" s="56"/>
      <c r="AU54" s="26"/>
      <c r="AV54" s="30"/>
      <c r="AW54" s="102"/>
      <c r="AX54" s="45"/>
      <c r="AY54" s="45"/>
      <c r="AZ54" s="407"/>
      <c r="BA54" s="393">
        <f>BA53*$D$2</f>
        <v>1054.502866578915</v>
      </c>
      <c r="BB54" s="30">
        <f>BB53*D2</f>
        <v>475.67503600000015</v>
      </c>
      <c r="BC54" s="407"/>
      <c r="BF54" s="489"/>
      <c r="BG54" s="489"/>
      <c r="BH54" s="505">
        <f>BH53*$D$2</f>
        <v>2840.7242480780369</v>
      </c>
      <c r="BI54" s="505">
        <f>BI53*$D$2</f>
        <v>190.20631598446215</v>
      </c>
    </row>
    <row r="55" spans="1:61" ht="3" customHeight="1">
      <c r="A55" s="54"/>
      <c r="B55" s="116"/>
      <c r="C55" s="57"/>
      <c r="D55" s="59"/>
      <c r="E55" s="57"/>
      <c r="F55" s="106"/>
      <c r="G55" s="59"/>
      <c r="H55" s="58"/>
      <c r="I55" s="59"/>
      <c r="J55" s="59"/>
      <c r="K55" s="59"/>
      <c r="L55" s="59"/>
      <c r="M55" s="108"/>
      <c r="N55" s="59"/>
      <c r="O55" s="59"/>
      <c r="P55" s="40"/>
      <c r="Q55" s="59"/>
      <c r="R55" s="59"/>
      <c r="S55" s="59"/>
      <c r="T55" s="59"/>
      <c r="U55" s="242"/>
      <c r="V55" s="59"/>
      <c r="W55" s="59"/>
      <c r="X55" s="59"/>
      <c r="Y55" s="59"/>
      <c r="Z55" s="59"/>
      <c r="AA55" s="59"/>
      <c r="AB55" s="57"/>
      <c r="AC55" s="41"/>
      <c r="AD55" s="57"/>
      <c r="AE55" s="59"/>
      <c r="AF55" s="108"/>
      <c r="AG55" s="109"/>
      <c r="AH55" s="59"/>
      <c r="AI55" s="57"/>
      <c r="AJ55" s="41"/>
      <c r="AK55" s="59"/>
      <c r="AL55" s="59"/>
      <c r="AM55" s="59"/>
      <c r="AN55" s="137"/>
      <c r="AO55" s="185"/>
      <c r="AP55" s="41"/>
      <c r="AQ55" s="59"/>
      <c r="AR55" s="59"/>
      <c r="AS55" s="59"/>
      <c r="AT55" s="59"/>
      <c r="AU55" s="221"/>
      <c r="AV55" s="50"/>
      <c r="AW55" s="116"/>
      <c r="AX55" s="59"/>
      <c r="AY55" s="59"/>
      <c r="AZ55" s="59"/>
      <c r="BA55" s="59"/>
      <c r="BB55" s="59"/>
      <c r="BC55" s="59"/>
      <c r="BE55" s="572" t="s">
        <v>60</v>
      </c>
      <c r="BF55" s="578"/>
      <c r="BG55" s="578"/>
      <c r="BH55" s="579"/>
      <c r="BI55" s="579"/>
    </row>
    <row r="56" spans="1:61" ht="11.1" customHeight="1">
      <c r="A56" s="90"/>
      <c r="B56" s="286"/>
      <c r="D56" s="90"/>
      <c r="F56" s="90"/>
      <c r="G56" s="90"/>
      <c r="I56" s="90"/>
      <c r="J56" s="90"/>
      <c r="K56" s="90"/>
      <c r="L56" s="90"/>
      <c r="M56" s="90"/>
      <c r="N56" s="90"/>
      <c r="O56" s="90"/>
      <c r="Q56" s="90"/>
      <c r="R56" s="90"/>
      <c r="S56" s="90"/>
      <c r="T56" s="90"/>
      <c r="V56" s="90"/>
      <c r="W56" s="90"/>
      <c r="X56" s="90"/>
      <c r="Y56" s="90"/>
      <c r="Z56" s="90"/>
      <c r="AA56" s="90"/>
      <c r="AB56" s="49"/>
      <c r="AD56" s="49"/>
      <c r="AE56" s="90"/>
      <c r="AF56" s="90"/>
      <c r="AG56" s="90"/>
      <c r="AH56" s="90"/>
      <c r="AI56" s="49"/>
      <c r="AK56" s="90"/>
      <c r="AL56" s="90"/>
      <c r="AM56" s="90"/>
      <c r="AN56" s="48"/>
      <c r="AO56" s="27"/>
      <c r="AP56" s="28"/>
      <c r="AQ56" s="141"/>
      <c r="AR56" s="141"/>
      <c r="AS56" s="141"/>
      <c r="AY56" s="78"/>
      <c r="BH56" s="531"/>
      <c r="BI56" s="531"/>
    </row>
    <row r="57" spans="1:61" ht="11.1" customHeight="1">
      <c r="A57" s="90"/>
      <c r="B57" s="284"/>
      <c r="F57" s="90"/>
      <c r="G57" s="90"/>
      <c r="I57" s="91"/>
      <c r="J57" s="90"/>
      <c r="K57" s="287"/>
      <c r="L57" s="90"/>
      <c r="M57" s="90"/>
      <c r="N57" s="90"/>
      <c r="O57" s="90"/>
      <c r="Q57" s="90"/>
      <c r="R57" s="90"/>
      <c r="S57" s="90"/>
      <c r="T57" s="90"/>
      <c r="V57" s="90"/>
      <c r="W57" s="90"/>
      <c r="X57" s="90"/>
      <c r="Y57" s="90"/>
      <c r="Z57" s="90"/>
      <c r="AA57" s="90"/>
      <c r="AB57" s="49"/>
      <c r="AD57" s="49"/>
      <c r="AE57" s="90"/>
      <c r="AF57" s="90"/>
      <c r="AG57" s="90"/>
      <c r="AH57" s="90"/>
      <c r="AI57" s="49"/>
      <c r="AK57" s="90"/>
      <c r="AL57" s="90"/>
      <c r="AM57" s="90"/>
      <c r="AN57" s="48"/>
      <c r="AO57" s="253"/>
      <c r="AP57" s="28"/>
      <c r="AQ57" s="141"/>
      <c r="AR57" s="141"/>
      <c r="AS57" s="141"/>
      <c r="AY57" s="78"/>
      <c r="BF57" s="580"/>
      <c r="BG57" s="580"/>
      <c r="BH57" s="531"/>
      <c r="BI57" s="531"/>
    </row>
    <row r="58" spans="1:61" ht="11.1" customHeight="1">
      <c r="D58" s="49"/>
      <c r="S58" s="46"/>
      <c r="T58" s="46"/>
      <c r="X58" s="30"/>
      <c r="Y58" s="30"/>
      <c r="Z58" s="30"/>
      <c r="AA58" s="30"/>
      <c r="AB58" s="49"/>
      <c r="AD58" s="49"/>
      <c r="AH58" s="30"/>
      <c r="AI58" s="49"/>
      <c r="AM58" s="30"/>
      <c r="AN58" s="48"/>
      <c r="AO58" s="253"/>
      <c r="AP58" s="28"/>
      <c r="AQ58" s="200"/>
      <c r="AR58" s="200"/>
      <c r="AS58" s="200"/>
      <c r="AY58" s="78"/>
      <c r="BF58" s="538"/>
      <c r="BG58" s="538"/>
      <c r="BH58" s="510"/>
      <c r="BI58" s="510"/>
    </row>
    <row r="59" spans="1:61" ht="11.1" customHeight="1">
      <c r="B59" s="52"/>
      <c r="D59" s="49"/>
      <c r="AN59" s="269"/>
      <c r="AO59" s="253"/>
      <c r="AP59" s="263"/>
      <c r="AQ59" s="200"/>
      <c r="BH59" s="510"/>
      <c r="BI59" s="510"/>
    </row>
    <row r="60" spans="1:61" ht="11.1" customHeight="1">
      <c r="G60" s="288"/>
      <c r="AN60" s="269"/>
      <c r="AP60" s="263"/>
      <c r="AQ60" s="200"/>
    </row>
  </sheetData>
  <mergeCells count="1">
    <mergeCell ref="K2:V2"/>
  </mergeCells>
  <phoneticPr fontId="3" type="noConversion"/>
  <printOptions horizontalCentered="1" verticalCentered="1" headings="1" gridLines="1" gridLinesSet="0"/>
  <pageMargins left="0.1" right="0.1" top="0.25" bottom="0" header="0.5" footer="0.5"/>
  <pageSetup paperSize="3" scale="81" orientation="landscape" cellComments="atEnd"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S61"/>
  <sheetViews>
    <sheetView tabSelected="1" zoomScaleNormal="100" workbookViewId="0">
      <pane xSplit="1" ySplit="14" topLeftCell="B15" activePane="bottomRight" state="frozen"/>
      <selection pane="topRight" activeCell="B1" sqref="B1"/>
      <selection pane="bottomLeft" activeCell="A12" sqref="A12"/>
      <selection pane="bottomRight" activeCell="Z41" sqref="Z41:AC41"/>
    </sheetView>
  </sheetViews>
  <sheetFormatPr defaultRowHeight="11.1" customHeight="1"/>
  <cols>
    <col min="1" max="1" width="4.6640625" style="60" customWidth="1"/>
    <col min="2" max="2" width="7" style="60" customWidth="1"/>
    <col min="3" max="3" width="6.33203125" style="31" customWidth="1"/>
    <col min="4" max="4" width="6.33203125" style="60" customWidth="1"/>
    <col min="5" max="5" width="7" style="31" customWidth="1"/>
    <col min="6" max="6" width="7.33203125" style="60" customWidth="1"/>
    <col min="7" max="7" width="6.83203125" style="60" customWidth="1"/>
    <col min="8" max="8" width="5.6640625" style="23" customWidth="1"/>
    <col min="9" max="11" width="6.33203125" style="60" customWidth="1"/>
    <col min="12" max="12" width="6.83203125" style="60" customWidth="1"/>
    <col min="13" max="13" width="5.5" style="23" customWidth="1"/>
    <col min="14" max="14" width="4.5" style="23" customWidth="1"/>
    <col min="15" max="15" width="5.5" style="23" customWidth="1"/>
    <col min="16" max="16" width="4.83203125" style="38" customWidth="1"/>
    <col min="17" max="18" width="4.33203125" style="23" customWidth="1"/>
    <col min="19" max="20" width="4.33203125" style="60" customWidth="1"/>
    <col min="21" max="21" width="5.1640625" style="38" customWidth="1"/>
    <col min="22" max="23" width="5.5" style="60" customWidth="1"/>
    <col min="24" max="25" width="6.33203125" style="31" customWidth="1"/>
    <col min="26" max="26" width="5.5" style="60" customWidth="1"/>
    <col min="27" max="27" width="6.33203125" style="31" customWidth="1"/>
    <col min="28" max="28" width="5.5" style="30" customWidth="1"/>
    <col min="29" max="29" width="5.83203125" style="60" customWidth="1"/>
    <col min="30" max="33" width="5.5" style="60" customWidth="1"/>
    <col min="34" max="34" width="6.33203125" style="31" customWidth="1"/>
    <col min="35" max="35" width="5.5" style="60" customWidth="1"/>
    <col min="36" max="36" width="6.33203125" style="261" customWidth="1"/>
    <col min="37" max="37" width="6.33203125" style="60" customWidth="1"/>
    <col min="38" max="38" width="6.83203125" style="60" customWidth="1"/>
    <col min="39" max="39" width="6.83203125" style="38" customWidth="1"/>
    <col min="40" max="40" width="6.33203125" style="60" customWidth="1"/>
    <col min="41" max="41" width="6.33203125" style="23" customWidth="1"/>
    <col min="42" max="43" width="6.33203125" style="585" hidden="1" customWidth="1"/>
    <col min="44" max="44" width="6.33203125" style="510" hidden="1" customWidth="1"/>
    <col min="45" max="45" width="7.5" style="510" hidden="1" customWidth="1"/>
    <col min="46" max="46" width="5.5" style="60" customWidth="1"/>
    <col min="47" max="47" width="6.33203125" style="60" customWidth="1"/>
    <col min="48" max="49" width="6.33203125" style="498" hidden="1" customWidth="1"/>
    <col min="50" max="50" width="7.1640625" style="498" hidden="1" customWidth="1"/>
    <col min="51" max="51" width="6.33203125" style="498" hidden="1" customWidth="1"/>
    <col min="52" max="52" width="6.33203125" style="33" customWidth="1"/>
    <col min="53" max="53" width="5.5" style="28" customWidth="1"/>
    <col min="54" max="54" width="5.33203125" style="227" customWidth="1"/>
    <col min="55" max="55" width="6.33203125" style="60" customWidth="1"/>
    <col min="56" max="56" width="5.83203125" style="23" customWidth="1"/>
    <col min="57" max="57" width="5.33203125" style="289" customWidth="1"/>
    <col min="58" max="58" width="3.83203125" style="290" customWidth="1"/>
    <col min="59" max="59" width="3.83203125" style="253" customWidth="1"/>
    <col min="60" max="60" width="3.83203125" customWidth="1"/>
    <col min="61" max="61" width="5.5" style="2" customWidth="1"/>
    <col min="64" max="65" width="10.1640625" style="2" customWidth="1"/>
    <col min="67" max="67" width="9.33203125" style="562" hidden="1" customWidth="1"/>
    <col min="68" max="69" width="7" style="498" hidden="1" customWidth="1"/>
    <col min="70" max="71" width="6.33203125" style="508" hidden="1" customWidth="1"/>
  </cols>
  <sheetData>
    <row r="1" spans="1:71" ht="14.1" customHeight="1">
      <c r="A1" s="61" t="s">
        <v>46</v>
      </c>
      <c r="B1" s="61"/>
      <c r="D1" s="61"/>
      <c r="F1" s="61"/>
      <c r="G1" s="61"/>
      <c r="I1" s="61"/>
      <c r="J1" s="61"/>
      <c r="K1" s="291" t="s">
        <v>53</v>
      </c>
      <c r="L1" s="291"/>
      <c r="M1" s="291"/>
      <c r="N1" s="291"/>
      <c r="O1" s="291"/>
      <c r="P1" s="291"/>
      <c r="Q1" s="291"/>
      <c r="R1" s="291"/>
      <c r="S1" s="291"/>
      <c r="T1" s="291"/>
      <c r="U1" s="291"/>
      <c r="V1" s="291"/>
      <c r="W1" s="61"/>
      <c r="Z1" s="61"/>
      <c r="AB1" s="90"/>
      <c r="AC1" s="61"/>
      <c r="AD1" s="61"/>
      <c r="AE1" s="61"/>
      <c r="AF1" s="61"/>
      <c r="AG1" s="61"/>
      <c r="AI1" s="61"/>
      <c r="AK1" s="61"/>
      <c r="AL1" s="61"/>
      <c r="AN1" s="174"/>
      <c r="AR1" s="501"/>
      <c r="AS1" s="501"/>
      <c r="AT1" s="174"/>
      <c r="AU1" s="174"/>
      <c r="AV1" s="484"/>
      <c r="AW1" s="484"/>
      <c r="AX1" s="484"/>
      <c r="AY1" s="484"/>
      <c r="BP1" s="563"/>
      <c r="BQ1" s="563"/>
    </row>
    <row r="2" spans="1:71" ht="14.1" customHeight="1">
      <c r="A2" s="174" t="s">
        <v>0</v>
      </c>
      <c r="B2" s="61"/>
      <c r="D2" s="292">
        <v>1.9835</v>
      </c>
      <c r="F2" s="61"/>
      <c r="G2" s="61"/>
      <c r="I2" s="61"/>
      <c r="J2" s="61"/>
      <c r="K2" s="847" t="s">
        <v>183</v>
      </c>
      <c r="L2" s="847"/>
      <c r="M2" s="847"/>
      <c r="N2" s="847"/>
      <c r="O2" s="847"/>
      <c r="P2" s="847"/>
      <c r="Q2" s="847"/>
      <c r="R2" s="847"/>
      <c r="S2" s="847"/>
      <c r="T2" s="847"/>
      <c r="U2" s="847"/>
      <c r="V2" s="847"/>
      <c r="W2" s="319"/>
      <c r="X2" s="320"/>
      <c r="Y2" s="320"/>
      <c r="Z2" s="319"/>
      <c r="AA2" s="320"/>
      <c r="AB2" s="278"/>
      <c r="AC2" s="319"/>
      <c r="AD2" s="319"/>
      <c r="AE2" s="319"/>
      <c r="AF2" s="319"/>
      <c r="AG2" s="319"/>
      <c r="AH2" s="320"/>
      <c r="AI2" s="61"/>
      <c r="AK2" s="61"/>
      <c r="AL2" s="61"/>
      <c r="AN2" s="174"/>
      <c r="AR2" s="501"/>
      <c r="AS2" s="501"/>
      <c r="AT2" s="174"/>
      <c r="AU2" s="174"/>
      <c r="AV2" s="484"/>
      <c r="AW2" s="484"/>
      <c r="AX2" s="484"/>
      <c r="AY2" s="484"/>
      <c r="BP2" s="563"/>
      <c r="BQ2" s="563"/>
    </row>
    <row r="3" spans="1:71" ht="14.1" customHeight="1" thickBot="1">
      <c r="A3" s="293"/>
      <c r="B3" s="737"/>
      <c r="C3" s="738"/>
      <c r="D3" s="739"/>
      <c r="E3" s="738"/>
      <c r="F3" s="737"/>
      <c r="G3" s="715"/>
      <c r="H3" s="718"/>
      <c r="I3" s="737"/>
      <c r="J3" s="737"/>
      <c r="K3" s="737"/>
      <c r="L3" s="737"/>
      <c r="M3" s="715"/>
      <c r="N3" s="715"/>
      <c r="O3" s="718"/>
      <c r="P3" s="752"/>
      <c r="Q3" s="718"/>
      <c r="R3" s="718"/>
      <c r="S3" s="715"/>
      <c r="T3" s="715"/>
      <c r="U3" s="748"/>
      <c r="V3" s="715"/>
      <c r="W3" s="715"/>
      <c r="X3" s="738"/>
      <c r="Y3" s="738"/>
      <c r="Z3" s="737"/>
      <c r="AA3" s="767"/>
      <c r="AB3" s="743"/>
      <c r="AC3" s="737"/>
      <c r="AD3" s="737"/>
      <c r="AE3" s="715"/>
      <c r="AF3" s="737"/>
      <c r="AG3" s="737"/>
      <c r="AH3" s="712"/>
      <c r="AI3" s="737"/>
      <c r="AJ3" s="757"/>
      <c r="AK3" s="737"/>
      <c r="AL3" s="737"/>
      <c r="AM3" s="748"/>
      <c r="AN3" s="761"/>
      <c r="AO3" s="755"/>
      <c r="AP3" s="586"/>
      <c r="AQ3" s="586"/>
      <c r="AR3" s="502"/>
      <c r="AS3" s="502"/>
      <c r="AT3" s="761"/>
      <c r="AU3" s="791"/>
      <c r="AV3" s="758"/>
      <c r="AW3" s="758"/>
      <c r="AX3" s="758"/>
      <c r="AY3" s="758"/>
      <c r="AZ3" s="750"/>
      <c r="BA3" s="792"/>
      <c r="BB3" s="793"/>
      <c r="BC3" s="725"/>
      <c r="BD3" s="764"/>
      <c r="BE3" s="776"/>
      <c r="BF3" s="769"/>
      <c r="BG3" s="777"/>
      <c r="BH3" s="766"/>
      <c r="BI3" s="789"/>
      <c r="BJ3" s="736"/>
      <c r="BK3" s="736"/>
      <c r="BL3" s="789"/>
      <c r="BM3" s="789"/>
      <c r="BP3" s="564"/>
      <c r="BQ3" s="564"/>
      <c r="BR3" s="565"/>
      <c r="BS3" s="565"/>
    </row>
    <row r="4" spans="1:71" s="30" customFormat="1" ht="14.1" customHeight="1" thickTop="1" thickBot="1">
      <c r="A4" s="147"/>
      <c r="B4" s="148"/>
      <c r="C4" s="149"/>
      <c r="D4" s="22" t="s">
        <v>47</v>
      </c>
      <c r="E4" s="149"/>
      <c r="F4" s="147"/>
      <c r="G4" s="150"/>
      <c r="H4" s="150"/>
      <c r="I4" s="427" t="s">
        <v>121</v>
      </c>
      <c r="J4" s="150"/>
      <c r="K4" s="150"/>
      <c r="L4" s="426"/>
      <c r="M4" s="150"/>
      <c r="N4" s="150"/>
      <c r="O4" s="150"/>
      <c r="P4" s="153"/>
      <c r="Q4" s="150"/>
      <c r="R4" s="150"/>
      <c r="S4" s="150"/>
      <c r="T4" s="150"/>
      <c r="U4" s="153"/>
      <c r="V4" s="150"/>
      <c r="W4" s="150"/>
      <c r="X4" s="146" t="s">
        <v>122</v>
      </c>
      <c r="Y4" s="146"/>
      <c r="Z4" s="151"/>
      <c r="AA4" s="146"/>
      <c r="AB4" s="151"/>
      <c r="AC4" s="151"/>
      <c r="AD4" s="152"/>
      <c r="AE4" s="150"/>
      <c r="AF4" s="150"/>
      <c r="AG4" s="150"/>
      <c r="AH4" s="149"/>
      <c r="AI4" s="150"/>
      <c r="AJ4" s="338"/>
      <c r="AK4" s="150"/>
      <c r="AL4" s="150"/>
      <c r="AM4" s="153"/>
      <c r="AN4" s="348"/>
      <c r="AO4" s="582"/>
      <c r="AP4" s="503"/>
      <c r="AQ4" s="503"/>
      <c r="AR4" s="503"/>
      <c r="AS4" s="503"/>
      <c r="AT4" s="27"/>
      <c r="AU4" s="209" t="s">
        <v>55</v>
      </c>
      <c r="AV4" s="486"/>
      <c r="AW4" s="486"/>
      <c r="AX4" s="486"/>
      <c r="AY4" s="486"/>
      <c r="AZ4" s="227"/>
      <c r="BA4" s="227"/>
      <c r="BB4" s="158"/>
      <c r="BC4" s="259"/>
      <c r="BD4" s="259"/>
      <c r="BE4" s="154"/>
      <c r="BF4" s="18" t="s">
        <v>48</v>
      </c>
      <c r="BG4" s="156"/>
      <c r="BH4" s="381"/>
      <c r="BI4" s="371"/>
      <c r="BJ4" s="35"/>
      <c r="BK4" s="450"/>
      <c r="BL4" s="601"/>
      <c r="BM4" s="381"/>
      <c r="BO4" s="566"/>
      <c r="BP4" s="566"/>
      <c r="BQ4" s="566"/>
      <c r="BR4" s="567"/>
      <c r="BS4" s="567"/>
    </row>
    <row r="5" spans="1:71" s="2" customFormat="1" ht="12.95" customHeight="1">
      <c r="A5" s="8" t="s">
        <v>1</v>
      </c>
      <c r="B5" s="165" t="s">
        <v>2</v>
      </c>
      <c r="C5" s="13" t="s">
        <v>2</v>
      </c>
      <c r="D5" s="8" t="s">
        <v>3</v>
      </c>
      <c r="E5" s="13" t="s">
        <v>4</v>
      </c>
      <c r="F5" s="166" t="s">
        <v>5</v>
      </c>
      <c r="G5" s="623" t="s">
        <v>6</v>
      </c>
      <c r="H5" s="8" t="s">
        <v>7</v>
      </c>
      <c r="I5" s="8" t="s">
        <v>63</v>
      </c>
      <c r="J5" s="8" t="s">
        <v>8</v>
      </c>
      <c r="K5" s="8" t="s">
        <v>9</v>
      </c>
      <c r="L5" s="294" t="s">
        <v>8</v>
      </c>
      <c r="M5" s="425" t="s">
        <v>10</v>
      </c>
      <c r="N5" s="167"/>
      <c r="O5" s="167"/>
      <c r="P5" s="252"/>
      <c r="Q5" s="167"/>
      <c r="R5" s="167"/>
      <c r="S5" s="167"/>
      <c r="T5" s="167"/>
      <c r="U5" s="248"/>
      <c r="V5" s="623" t="s">
        <v>11</v>
      </c>
      <c r="W5" s="8" t="s">
        <v>12</v>
      </c>
      <c r="X5" s="8" t="s">
        <v>9</v>
      </c>
      <c r="Y5" s="8" t="s">
        <v>9</v>
      </c>
      <c r="Z5" s="12" t="s">
        <v>13</v>
      </c>
      <c r="AA5" s="8" t="s">
        <v>13</v>
      </c>
      <c r="AB5" s="12" t="s">
        <v>13</v>
      </c>
      <c r="AC5" s="12" t="s">
        <v>82</v>
      </c>
      <c r="AD5" s="14" t="s">
        <v>13</v>
      </c>
      <c r="AE5" s="623" t="s">
        <v>14</v>
      </c>
      <c r="AF5" s="845" t="s">
        <v>127</v>
      </c>
      <c r="AG5" s="846"/>
      <c r="AH5" s="8" t="s">
        <v>15</v>
      </c>
      <c r="AI5" s="13" t="s">
        <v>61</v>
      </c>
      <c r="AJ5" s="14" t="s">
        <v>88</v>
      </c>
      <c r="AK5" s="8" t="s">
        <v>63</v>
      </c>
      <c r="AL5" s="8" t="s">
        <v>8</v>
      </c>
      <c r="AM5" s="8" t="s">
        <v>9</v>
      </c>
      <c r="AN5" s="675" t="s">
        <v>159</v>
      </c>
      <c r="AO5" s="624" t="s">
        <v>159</v>
      </c>
      <c r="AP5" s="504" t="s">
        <v>159</v>
      </c>
      <c r="AQ5" s="504"/>
      <c r="AR5" s="504" t="s">
        <v>159</v>
      </c>
      <c r="AS5" s="504" t="s">
        <v>52</v>
      </c>
      <c r="AT5" s="14" t="s">
        <v>13</v>
      </c>
      <c r="AU5" s="12" t="s">
        <v>49</v>
      </c>
      <c r="AV5" s="487" t="s">
        <v>146</v>
      </c>
      <c r="AW5" s="487" t="s">
        <v>148</v>
      </c>
      <c r="AX5" s="487" t="s">
        <v>148</v>
      </c>
      <c r="AY5" s="487" t="s">
        <v>148</v>
      </c>
      <c r="AZ5" s="36" t="s">
        <v>49</v>
      </c>
      <c r="BA5" s="14" t="s">
        <v>96</v>
      </c>
      <c r="BB5" s="35" t="s">
        <v>56</v>
      </c>
      <c r="BC5" s="35" t="s">
        <v>79</v>
      </c>
      <c r="BD5" s="37" t="s">
        <v>134</v>
      </c>
      <c r="BE5" s="168" t="s">
        <v>16</v>
      </c>
      <c r="BF5" s="12" t="s">
        <v>17</v>
      </c>
      <c r="BG5" s="12" t="s">
        <v>18</v>
      </c>
      <c r="BH5" s="377"/>
      <c r="BI5" s="389" t="s">
        <v>9</v>
      </c>
      <c r="BJ5" s="451" t="s">
        <v>128</v>
      </c>
      <c r="BK5" s="452" t="s">
        <v>128</v>
      </c>
      <c r="BL5" s="602" t="s">
        <v>174</v>
      </c>
      <c r="BM5" s="599" t="s">
        <v>167</v>
      </c>
      <c r="BO5" s="562"/>
      <c r="BP5" s="568" t="s">
        <v>2</v>
      </c>
      <c r="BQ5" s="568"/>
      <c r="BR5" s="569" t="s">
        <v>15</v>
      </c>
      <c r="BS5" s="569" t="s">
        <v>15</v>
      </c>
    </row>
    <row r="6" spans="1:71" s="2" customFormat="1" ht="12.95" customHeight="1">
      <c r="A6" s="170" t="s">
        <v>75</v>
      </c>
      <c r="B6" s="165" t="s">
        <v>19</v>
      </c>
      <c r="C6" s="13"/>
      <c r="D6" s="8" t="s">
        <v>20</v>
      </c>
      <c r="E6" s="13" t="s">
        <v>21</v>
      </c>
      <c r="F6" s="166" t="s">
        <v>22</v>
      </c>
      <c r="G6" s="8" t="s">
        <v>23</v>
      </c>
      <c r="H6" s="8" t="s">
        <v>64</v>
      </c>
      <c r="I6" s="8" t="s">
        <v>24</v>
      </c>
      <c r="J6" s="8" t="s">
        <v>24</v>
      </c>
      <c r="K6" s="8" t="s">
        <v>24</v>
      </c>
      <c r="L6" s="8" t="s">
        <v>25</v>
      </c>
      <c r="M6" s="171" t="s">
        <v>26</v>
      </c>
      <c r="N6" s="8" t="s">
        <v>65</v>
      </c>
      <c r="O6" s="623" t="s">
        <v>67</v>
      </c>
      <c r="P6" s="36" t="s">
        <v>84</v>
      </c>
      <c r="Q6" s="8" t="s">
        <v>57</v>
      </c>
      <c r="R6" s="8" t="s">
        <v>118</v>
      </c>
      <c r="S6" s="8"/>
      <c r="T6" s="8" t="s">
        <v>67</v>
      </c>
      <c r="U6" s="244" t="s">
        <v>87</v>
      </c>
      <c r="V6" s="8" t="s">
        <v>27</v>
      </c>
      <c r="W6" s="8" t="s">
        <v>42</v>
      </c>
      <c r="X6" s="8" t="s">
        <v>13</v>
      </c>
      <c r="Y6" s="8" t="s">
        <v>13</v>
      </c>
      <c r="Z6" s="12" t="s">
        <v>28</v>
      </c>
      <c r="AA6" s="8" t="s">
        <v>28</v>
      </c>
      <c r="AB6" s="12" t="s">
        <v>92</v>
      </c>
      <c r="AC6" s="12" t="s">
        <v>83</v>
      </c>
      <c r="AD6" s="14" t="s">
        <v>86</v>
      </c>
      <c r="AE6" s="8" t="s">
        <v>29</v>
      </c>
      <c r="AF6" s="171" t="s">
        <v>76</v>
      </c>
      <c r="AG6" s="294" t="s">
        <v>58</v>
      </c>
      <c r="AH6" s="8" t="s">
        <v>69</v>
      </c>
      <c r="AI6" s="13" t="s">
        <v>62</v>
      </c>
      <c r="AJ6" s="14"/>
      <c r="AK6" s="8" t="s">
        <v>70</v>
      </c>
      <c r="AL6" s="8" t="s">
        <v>70</v>
      </c>
      <c r="AM6" s="8" t="s">
        <v>70</v>
      </c>
      <c r="AN6" s="675" t="s">
        <v>110</v>
      </c>
      <c r="AO6" s="13" t="s">
        <v>110</v>
      </c>
      <c r="AP6" s="504" t="s">
        <v>170</v>
      </c>
      <c r="AQ6" s="504"/>
      <c r="AR6" s="504" t="s">
        <v>70</v>
      </c>
      <c r="AS6" s="504" t="s">
        <v>158</v>
      </c>
      <c r="AT6" s="14" t="s">
        <v>71</v>
      </c>
      <c r="AU6" s="12" t="s">
        <v>51</v>
      </c>
      <c r="AV6" s="487" t="s">
        <v>72</v>
      </c>
      <c r="AW6" s="487" t="s">
        <v>72</v>
      </c>
      <c r="AX6" s="487" t="s">
        <v>150</v>
      </c>
      <c r="AY6" s="487" t="s">
        <v>72</v>
      </c>
      <c r="AZ6" s="36" t="s">
        <v>51</v>
      </c>
      <c r="BA6" s="14" t="s">
        <v>94</v>
      </c>
      <c r="BB6" s="35" t="s">
        <v>54</v>
      </c>
      <c r="BC6" s="35" t="s">
        <v>80</v>
      </c>
      <c r="BD6" s="37" t="s">
        <v>133</v>
      </c>
      <c r="BE6" s="172"/>
      <c r="BF6" s="12" t="s">
        <v>30</v>
      </c>
      <c r="BG6" s="12" t="s">
        <v>30</v>
      </c>
      <c r="BH6" s="377"/>
      <c r="BI6" s="552" t="s">
        <v>99</v>
      </c>
      <c r="BJ6" s="451" t="s">
        <v>130</v>
      </c>
      <c r="BK6" s="452" t="s">
        <v>129</v>
      </c>
      <c r="BL6" s="606" t="s">
        <v>175</v>
      </c>
      <c r="BM6" s="599" t="s">
        <v>168</v>
      </c>
      <c r="BO6" s="562"/>
      <c r="BP6" s="568" t="s">
        <v>19</v>
      </c>
      <c r="BQ6" s="568"/>
      <c r="BR6" s="569" t="s">
        <v>69</v>
      </c>
      <c r="BS6" s="569" t="s">
        <v>69</v>
      </c>
    </row>
    <row r="7" spans="1:71" s="2" customFormat="1" ht="12.95" customHeight="1">
      <c r="A7" s="8"/>
      <c r="B7" s="165"/>
      <c r="C7" s="13"/>
      <c r="D7" s="8"/>
      <c r="E7" s="13"/>
      <c r="F7" s="166"/>
      <c r="G7" s="8"/>
      <c r="H7" s="8"/>
      <c r="I7" s="8"/>
      <c r="J7" s="8"/>
      <c r="K7" s="8"/>
      <c r="L7" s="294"/>
      <c r="M7" s="8"/>
      <c r="N7" s="8" t="s">
        <v>66</v>
      </c>
      <c r="O7" s="8" t="s">
        <v>68</v>
      </c>
      <c r="P7" s="36"/>
      <c r="Q7" s="8" t="s">
        <v>119</v>
      </c>
      <c r="R7" s="8" t="s">
        <v>119</v>
      </c>
      <c r="S7" s="8" t="s">
        <v>58</v>
      </c>
      <c r="T7" s="8" t="s">
        <v>58</v>
      </c>
      <c r="U7" s="244" t="s">
        <v>120</v>
      </c>
      <c r="V7" s="8"/>
      <c r="W7" s="8"/>
      <c r="X7" s="13" t="s">
        <v>108</v>
      </c>
      <c r="Y7" s="13" t="s">
        <v>90</v>
      </c>
      <c r="Z7" s="12" t="s">
        <v>115</v>
      </c>
      <c r="AA7" s="553" t="s">
        <v>111</v>
      </c>
      <c r="AB7" s="12" t="s">
        <v>93</v>
      </c>
      <c r="AC7" s="12">
        <v>3400</v>
      </c>
      <c r="AD7" s="14"/>
      <c r="AE7" s="294"/>
      <c r="AF7" s="295">
        <v>1.7</v>
      </c>
      <c r="AG7" s="295">
        <v>1.3</v>
      </c>
      <c r="AH7" s="171"/>
      <c r="AI7" s="609">
        <v>27779.932699024892</v>
      </c>
      <c r="AJ7" s="14"/>
      <c r="AK7" s="8"/>
      <c r="AL7" s="8"/>
      <c r="AM7" s="8"/>
      <c r="AN7" s="675"/>
      <c r="AO7" s="13" t="s">
        <v>147</v>
      </c>
      <c r="AP7" s="504" t="s">
        <v>110</v>
      </c>
      <c r="AQ7" s="504"/>
      <c r="AR7" s="504" t="s">
        <v>189</v>
      </c>
      <c r="AS7" s="504" t="s">
        <v>110</v>
      </c>
      <c r="AT7" s="14"/>
      <c r="AU7" s="37" t="s">
        <v>169</v>
      </c>
      <c r="AV7" s="487"/>
      <c r="AW7" s="487"/>
      <c r="AX7" s="487" t="s">
        <v>151</v>
      </c>
      <c r="AY7" s="487" t="s">
        <v>149</v>
      </c>
      <c r="AZ7" s="36" t="s">
        <v>72</v>
      </c>
      <c r="BA7" s="14" t="s">
        <v>95</v>
      </c>
      <c r="BB7" s="35" t="s">
        <v>59</v>
      </c>
      <c r="BC7" s="35" t="s">
        <v>81</v>
      </c>
      <c r="BD7" s="37" t="s">
        <v>108</v>
      </c>
      <c r="BE7" s="172"/>
      <c r="BF7" s="12"/>
      <c r="BG7" s="12"/>
      <c r="BH7" s="377"/>
      <c r="BI7" s="389" t="s">
        <v>97</v>
      </c>
      <c r="BJ7" s="451"/>
      <c r="BK7" s="452"/>
      <c r="BL7" s="602" t="s">
        <v>176</v>
      </c>
      <c r="BM7" s="599" t="s">
        <v>172</v>
      </c>
      <c r="BO7" s="562"/>
      <c r="BP7" s="568" t="s">
        <v>142</v>
      </c>
      <c r="BQ7" s="568"/>
      <c r="BR7" s="570" t="s">
        <v>153</v>
      </c>
      <c r="BS7" s="570" t="s">
        <v>154</v>
      </c>
    </row>
    <row r="8" spans="1:71" s="2" customFormat="1" ht="12.95" customHeight="1">
      <c r="A8" s="8"/>
      <c r="B8" s="165"/>
      <c r="C8" s="13"/>
      <c r="D8" s="8"/>
      <c r="E8" s="13"/>
      <c r="F8" s="166"/>
      <c r="G8" s="8"/>
      <c r="H8" s="8"/>
      <c r="I8" s="8"/>
      <c r="J8" s="8"/>
      <c r="K8" s="8"/>
      <c r="L8" s="294"/>
      <c r="M8" s="8"/>
      <c r="N8" s="8"/>
      <c r="O8" s="8"/>
      <c r="P8" s="36"/>
      <c r="Q8" s="8" t="s">
        <v>58</v>
      </c>
      <c r="R8" s="8" t="s">
        <v>58</v>
      </c>
      <c r="S8" s="8"/>
      <c r="T8" s="8"/>
      <c r="U8" s="244"/>
      <c r="V8" s="8"/>
      <c r="W8" s="8"/>
      <c r="X8" s="13" t="s">
        <v>109</v>
      </c>
      <c r="Y8" s="13" t="s">
        <v>108</v>
      </c>
      <c r="Z8" s="12"/>
      <c r="AA8" s="13" t="s">
        <v>114</v>
      </c>
      <c r="AB8" s="12" t="s">
        <v>113</v>
      </c>
      <c r="AC8" s="12">
        <f>AC7/$D$2</f>
        <v>1714.1416687673304</v>
      </c>
      <c r="AD8" s="14"/>
      <c r="AE8" s="294"/>
      <c r="AF8" s="295"/>
      <c r="AG8" s="295"/>
      <c r="AH8" s="171"/>
      <c r="AI8" s="62">
        <f>AI7/D2</f>
        <v>14005.511822044311</v>
      </c>
      <c r="AJ8" s="14"/>
      <c r="AK8" s="8"/>
      <c r="AL8" s="8"/>
      <c r="AM8" s="8"/>
      <c r="AN8" s="675"/>
      <c r="AO8" s="13" t="s">
        <v>165</v>
      </c>
      <c r="AP8" s="504" t="s">
        <v>171</v>
      </c>
      <c r="AQ8" s="504"/>
      <c r="AR8" s="504" t="s">
        <v>110</v>
      </c>
      <c r="AS8" s="504"/>
      <c r="AT8" s="14"/>
      <c r="AU8" s="12" t="s">
        <v>45</v>
      </c>
      <c r="AV8" s="487"/>
      <c r="AW8" s="487"/>
      <c r="AX8" s="487"/>
      <c r="AY8" s="487"/>
      <c r="AZ8" s="36"/>
      <c r="BA8" s="14"/>
      <c r="BB8" s="35"/>
      <c r="BC8" s="35"/>
      <c r="BD8" s="37"/>
      <c r="BE8" s="172"/>
      <c r="BF8" s="12"/>
      <c r="BG8" s="12"/>
      <c r="BH8" s="377"/>
      <c r="BI8" s="389"/>
      <c r="BJ8" s="451"/>
      <c r="BK8" s="452"/>
      <c r="BL8" s="603" t="s">
        <v>168</v>
      </c>
      <c r="BM8" s="600" t="s">
        <v>173</v>
      </c>
      <c r="BO8" s="562"/>
      <c r="BP8" s="568"/>
      <c r="BQ8" s="568"/>
      <c r="BR8" s="570" t="s">
        <v>155</v>
      </c>
      <c r="BS8" s="570" t="s">
        <v>153</v>
      </c>
    </row>
    <row r="9" spans="1:71" s="2" customFormat="1" ht="12.95" customHeight="1">
      <c r="A9" s="8"/>
      <c r="B9" s="165"/>
      <c r="C9" s="13"/>
      <c r="D9" s="8"/>
      <c r="E9" s="13"/>
      <c r="F9" s="166"/>
      <c r="G9" s="8"/>
      <c r="H9" s="8"/>
      <c r="I9" s="8"/>
      <c r="J9" s="8"/>
      <c r="K9" s="8"/>
      <c r="L9" s="294"/>
      <c r="M9" s="8"/>
      <c r="N9" s="8"/>
      <c r="O9" s="8"/>
      <c r="P9" s="36"/>
      <c r="Q9" s="8"/>
      <c r="R9" s="413">
        <v>4.2</v>
      </c>
      <c r="S9" s="8"/>
      <c r="T9" s="8"/>
      <c r="U9" s="244"/>
      <c r="V9" s="8"/>
      <c r="W9" s="8"/>
      <c r="X9" s="13"/>
      <c r="Y9" s="13" t="s">
        <v>109</v>
      </c>
      <c r="Z9" s="12"/>
      <c r="AA9" s="13" t="s">
        <v>109</v>
      </c>
      <c r="AB9" s="12" t="s">
        <v>112</v>
      </c>
      <c r="AC9" s="12">
        <f>(AC7-SUM(AZ20:AZ41))/1.9835</f>
        <v>1705.4522574097405</v>
      </c>
      <c r="AD9" s="14"/>
      <c r="AE9" s="294"/>
      <c r="AF9" s="295"/>
      <c r="AG9" s="295"/>
      <c r="AH9" s="171"/>
      <c r="AI9" s="62"/>
      <c r="AJ9" s="14"/>
      <c r="AK9" s="8"/>
      <c r="AL9" s="8"/>
      <c r="AM9" s="8"/>
      <c r="AN9" s="675"/>
      <c r="AO9" s="13"/>
      <c r="AP9" s="504">
        <v>1494</v>
      </c>
      <c r="AQ9" s="504"/>
      <c r="AR9" s="504"/>
      <c r="AS9" s="504">
        <v>1635</v>
      </c>
      <c r="AT9" s="14"/>
      <c r="AU9" s="12"/>
      <c r="AV9" s="487"/>
      <c r="AW9" s="487"/>
      <c r="AX9" s="487"/>
      <c r="AY9" s="487"/>
      <c r="AZ9" s="36"/>
      <c r="BA9" s="14"/>
      <c r="BB9" s="35"/>
      <c r="BC9" s="35"/>
      <c r="BD9" s="37"/>
      <c r="BE9" s="172"/>
      <c r="BF9" s="12"/>
      <c r="BG9" s="12"/>
      <c r="BH9" s="377"/>
      <c r="BI9" s="389"/>
      <c r="BJ9" s="451"/>
      <c r="BK9" s="452" t="s">
        <v>141</v>
      </c>
      <c r="BL9" s="603"/>
      <c r="BM9" s="600"/>
      <c r="BO9" s="562"/>
      <c r="BP9" s="568"/>
      <c r="BQ9" s="568"/>
      <c r="BR9" s="570" t="s">
        <v>156</v>
      </c>
      <c r="BS9" s="570"/>
    </row>
    <row r="10" spans="1:71" s="2" customFormat="1" ht="12.95" customHeight="1">
      <c r="A10" s="8"/>
      <c r="B10" s="165"/>
      <c r="C10" s="13" t="s">
        <v>91</v>
      </c>
      <c r="D10" s="8"/>
      <c r="E10" s="13" t="s">
        <v>50</v>
      </c>
      <c r="F10" s="166"/>
      <c r="G10" s="8" t="s">
        <v>22</v>
      </c>
      <c r="H10" s="8" t="s">
        <v>22</v>
      </c>
      <c r="I10" s="8" t="s">
        <v>22</v>
      </c>
      <c r="J10" s="8" t="s">
        <v>22</v>
      </c>
      <c r="K10" s="8" t="s">
        <v>22</v>
      </c>
      <c r="L10" s="294" t="s">
        <v>22</v>
      </c>
      <c r="M10" s="8" t="s">
        <v>22</v>
      </c>
      <c r="N10" s="8" t="s">
        <v>22</v>
      </c>
      <c r="O10" s="8" t="s">
        <v>22</v>
      </c>
      <c r="P10" s="8" t="s">
        <v>22</v>
      </c>
      <c r="Q10" s="8" t="s">
        <v>22</v>
      </c>
      <c r="R10" s="8" t="s">
        <v>22</v>
      </c>
      <c r="S10" s="8" t="s">
        <v>22</v>
      </c>
      <c r="T10" s="8" t="s">
        <v>22</v>
      </c>
      <c r="U10" s="294" t="s">
        <v>22</v>
      </c>
      <c r="V10" s="8" t="s">
        <v>22</v>
      </c>
      <c r="W10" s="8" t="s">
        <v>22</v>
      </c>
      <c r="X10" s="13">
        <v>153400</v>
      </c>
      <c r="Y10" s="13">
        <v>150400</v>
      </c>
      <c r="Z10" s="8" t="s">
        <v>22</v>
      </c>
      <c r="AA10" s="13"/>
      <c r="AB10" s="13">
        <v>72000</v>
      </c>
      <c r="AC10" s="8" t="s">
        <v>22</v>
      </c>
      <c r="AD10" s="8" t="s">
        <v>22</v>
      </c>
      <c r="AE10" s="294" t="s">
        <v>22</v>
      </c>
      <c r="AF10" s="8" t="s">
        <v>22</v>
      </c>
      <c r="AG10" s="8" t="s">
        <v>22</v>
      </c>
      <c r="AH10" s="171" t="s">
        <v>22</v>
      </c>
      <c r="AI10" s="8" t="s">
        <v>22</v>
      </c>
      <c r="AJ10" s="14" t="s">
        <v>22</v>
      </c>
      <c r="AK10" s="8" t="s">
        <v>22</v>
      </c>
      <c r="AL10" s="8" t="s">
        <v>22</v>
      </c>
      <c r="AM10" s="8" t="s">
        <v>22</v>
      </c>
      <c r="AN10" s="675" t="s">
        <v>22</v>
      </c>
      <c r="AO10" s="14" t="s">
        <v>22</v>
      </c>
      <c r="AP10" s="488" t="s">
        <v>22</v>
      </c>
      <c r="AQ10" s="488"/>
      <c r="AR10" s="504" t="s">
        <v>22</v>
      </c>
      <c r="AS10" s="511" t="s">
        <v>157</v>
      </c>
      <c r="AT10" s="14" t="s">
        <v>22</v>
      </c>
      <c r="AU10" s="14" t="s">
        <v>22</v>
      </c>
      <c r="AV10" s="488" t="s">
        <v>147</v>
      </c>
      <c r="AW10" s="488" t="s">
        <v>147</v>
      </c>
      <c r="AX10" s="488" t="s">
        <v>152</v>
      </c>
      <c r="AY10" s="487" t="s">
        <v>73</v>
      </c>
      <c r="AZ10" s="36" t="s">
        <v>73</v>
      </c>
      <c r="BA10" s="14" t="s">
        <v>22</v>
      </c>
      <c r="BB10" s="14" t="s">
        <v>22</v>
      </c>
      <c r="BC10" s="14" t="s">
        <v>22</v>
      </c>
      <c r="BD10" s="14" t="s">
        <v>22</v>
      </c>
      <c r="BE10" s="172"/>
      <c r="BF10" s="12"/>
      <c r="BG10" s="12"/>
      <c r="BH10" s="377"/>
      <c r="BI10" s="389" t="s">
        <v>98</v>
      </c>
      <c r="BJ10" s="451" t="s">
        <v>22</v>
      </c>
      <c r="BK10" s="452" t="s">
        <v>50</v>
      </c>
      <c r="BL10" s="603" t="s">
        <v>22</v>
      </c>
      <c r="BM10" s="600" t="s">
        <v>22</v>
      </c>
      <c r="BO10" s="562"/>
      <c r="BP10" s="568"/>
      <c r="BQ10" s="568"/>
      <c r="BR10" s="570" t="s">
        <v>22</v>
      </c>
      <c r="BS10" s="570" t="s">
        <v>22</v>
      </c>
    </row>
    <row r="11" spans="1:71" s="2" customFormat="1" ht="12.95" customHeight="1">
      <c r="A11" s="166"/>
      <c r="B11" s="165"/>
      <c r="C11" s="13"/>
      <c r="D11" s="8"/>
      <c r="E11" s="13"/>
      <c r="F11" s="166"/>
      <c r="G11" s="8"/>
      <c r="H11" s="8"/>
      <c r="I11" s="8"/>
      <c r="J11" s="8"/>
      <c r="K11" s="8"/>
      <c r="L11" s="294"/>
      <c r="M11" s="8"/>
      <c r="N11" s="227">
        <v>1.03</v>
      </c>
      <c r="O11" s="227">
        <v>1.05</v>
      </c>
      <c r="P11" s="227">
        <v>1.02</v>
      </c>
      <c r="Q11" s="322">
        <v>1.02</v>
      </c>
      <c r="R11" s="65">
        <v>1.04</v>
      </c>
      <c r="S11" s="8"/>
      <c r="T11" s="322">
        <v>1.04</v>
      </c>
      <c r="U11" s="244"/>
      <c r="V11" s="8"/>
      <c r="W11" s="8"/>
      <c r="X11" s="8" t="s">
        <v>22</v>
      </c>
      <c r="Y11" s="8" t="s">
        <v>22</v>
      </c>
      <c r="Z11" s="8" t="s">
        <v>22</v>
      </c>
      <c r="AA11" s="13" t="s">
        <v>22</v>
      </c>
      <c r="AB11" s="26" t="s">
        <v>89</v>
      </c>
      <c r="AC11" s="12"/>
      <c r="AD11" s="12"/>
      <c r="AE11" s="344"/>
      <c r="AF11" s="295"/>
      <c r="AG11" s="295"/>
      <c r="AH11" s="171"/>
      <c r="AI11" s="62"/>
      <c r="AJ11" s="442"/>
      <c r="AK11" s="8"/>
      <c r="AL11" s="8"/>
      <c r="AM11" s="8"/>
      <c r="AN11" s="675"/>
      <c r="AO11" s="13"/>
      <c r="AP11" s="488">
        <f>AP9/1.9835</f>
        <v>753.21401562893868</v>
      </c>
      <c r="AQ11" s="504"/>
      <c r="AR11" s="504"/>
      <c r="AS11" s="504"/>
      <c r="AT11" s="14"/>
      <c r="AU11" s="12"/>
      <c r="AV11" s="487"/>
      <c r="AW11" s="487"/>
      <c r="AX11" s="487"/>
      <c r="AY11" s="487"/>
      <c r="AZ11" s="36"/>
      <c r="BA11" s="36"/>
      <c r="BB11" s="173"/>
      <c r="BC11" s="173"/>
      <c r="BD11" s="173"/>
      <c r="BE11" s="172"/>
      <c r="BF11" s="12"/>
      <c r="BG11" s="12"/>
      <c r="BH11" s="377"/>
      <c r="BI11" s="389" t="s">
        <v>22</v>
      </c>
      <c r="BJ11" s="451"/>
      <c r="BK11" s="452"/>
      <c r="BL11" s="603"/>
      <c r="BM11" s="600"/>
      <c r="BO11" s="562"/>
      <c r="BP11" s="568"/>
      <c r="BQ11" s="568"/>
      <c r="BR11" s="570"/>
      <c r="BS11" s="570"/>
    </row>
    <row r="12" spans="1:71" ht="12.95" customHeight="1">
      <c r="A12" s="595" t="s">
        <v>31</v>
      </c>
      <c r="B12" s="177"/>
      <c r="C12" s="62"/>
      <c r="D12" s="62"/>
      <c r="E12" s="62"/>
      <c r="F12" s="178"/>
      <c r="G12" s="62"/>
      <c r="H12" s="74"/>
      <c r="I12" s="62"/>
      <c r="J12" s="62"/>
      <c r="K12" s="62"/>
      <c r="L12" s="62"/>
      <c r="M12" s="179"/>
      <c r="N12" s="62"/>
      <c r="O12" s="62">
        <f>MAR!O50</f>
        <v>51.838500000000003</v>
      </c>
      <c r="P12" s="65"/>
      <c r="Q12" s="62"/>
      <c r="R12" s="62"/>
      <c r="S12" s="62"/>
      <c r="T12" s="62"/>
      <c r="U12" s="131"/>
      <c r="V12" s="62"/>
      <c r="W12" s="62"/>
      <c r="X12" s="62"/>
      <c r="Y12" s="62"/>
      <c r="Z12" s="43"/>
      <c r="AA12" s="62"/>
      <c r="AB12" s="43"/>
      <c r="AC12" s="43"/>
      <c r="AD12" s="180"/>
      <c r="AE12" s="63"/>
      <c r="AF12" s="62"/>
      <c r="AG12" s="62"/>
      <c r="AH12" s="179"/>
      <c r="AI12" s="62"/>
      <c r="AJ12" s="442"/>
      <c r="AK12" s="62"/>
      <c r="AL12" s="62"/>
      <c r="AM12" s="62"/>
      <c r="AN12" s="684"/>
      <c r="AO12" s="180"/>
      <c r="AP12" s="587"/>
      <c r="AQ12" s="587"/>
      <c r="AR12" s="505"/>
      <c r="AS12" s="505"/>
      <c r="AT12" s="180"/>
      <c r="AU12" s="43"/>
      <c r="AV12" s="489"/>
      <c r="AW12" s="489"/>
      <c r="AX12" s="489"/>
      <c r="AY12" s="489"/>
      <c r="AZ12" s="65"/>
      <c r="BA12" s="65"/>
      <c r="BB12" s="66"/>
      <c r="BC12" s="173"/>
      <c r="BD12" s="173"/>
      <c r="BE12" s="64"/>
      <c r="BF12" s="43"/>
      <c r="BG12" s="43"/>
      <c r="BH12" s="377"/>
      <c r="BI12" s="380"/>
      <c r="BJ12" s="453"/>
      <c r="BK12" s="454"/>
      <c r="BL12" s="604"/>
      <c r="BM12" s="378"/>
      <c r="BP12" s="489"/>
      <c r="BQ12" s="489"/>
      <c r="BR12" s="505"/>
      <c r="BS12" s="505"/>
    </row>
    <row r="13" spans="1:71" s="1" customFormat="1" ht="12.95" customHeight="1">
      <c r="A13" s="596" t="s">
        <v>32</v>
      </c>
      <c r="B13" s="181">
        <f>MAR!B45</f>
        <v>6899.15</v>
      </c>
      <c r="C13" s="62">
        <f>MAR!C45</f>
        <v>280457</v>
      </c>
      <c r="D13" s="62">
        <f>MAR!D54</f>
        <v>-11938</v>
      </c>
      <c r="E13" s="62">
        <f>MAR!E54</f>
        <v>128457</v>
      </c>
      <c r="F13" s="178">
        <f>MAR!F53</f>
        <v>-6018.6538946307037</v>
      </c>
      <c r="G13" s="62">
        <f>MAR!G53</f>
        <v>6609.7999999999993</v>
      </c>
      <c r="H13" s="62">
        <f>MAR!H53</f>
        <v>48.249999999999993</v>
      </c>
      <c r="I13" s="62">
        <f>MAR!I53</f>
        <v>6658.05</v>
      </c>
      <c r="J13" s="62">
        <f>MAR!J53</f>
        <v>1873.8441320897405</v>
      </c>
      <c r="K13" s="62">
        <f>MAR!K53</f>
        <v>8531.8941320897411</v>
      </c>
      <c r="L13" s="62">
        <f>MAR!L53</f>
        <v>-306.66389463070311</v>
      </c>
      <c r="M13" s="179">
        <f>MAR!M53</f>
        <v>780.54000000000019</v>
      </c>
      <c r="N13" s="62">
        <f>MAR!N53</f>
        <v>0</v>
      </c>
      <c r="O13" s="62">
        <f>MAR!O53</f>
        <v>51.838500000000003</v>
      </c>
      <c r="P13" s="65"/>
      <c r="Q13" s="62">
        <f>MAR!Q53</f>
        <v>253.34899290525163</v>
      </c>
      <c r="R13" s="62">
        <f>MAR!R53</f>
        <v>0</v>
      </c>
      <c r="S13" s="62">
        <f>MAR!S53</f>
        <v>237.27519087999997</v>
      </c>
      <c r="T13" s="62">
        <f>MAR!T53</f>
        <v>87.597144960000023</v>
      </c>
      <c r="U13" s="218">
        <f>MAR!U53</f>
        <v>-46.583886557747249</v>
      </c>
      <c r="V13" s="62">
        <f>MAR!V53</f>
        <v>5192</v>
      </c>
      <c r="W13" s="62">
        <f>MAR!W53</f>
        <v>33.5</v>
      </c>
      <c r="X13" s="62">
        <f>MAR!X53</f>
        <v>5422.5640578124949</v>
      </c>
      <c r="Y13" s="62">
        <f>MAR!Y53</f>
        <v>5274.4486447953441</v>
      </c>
      <c r="Z13" s="43">
        <v>0</v>
      </c>
      <c r="AA13" s="62"/>
      <c r="AB13" s="43">
        <v>0</v>
      </c>
      <c r="AC13" s="62">
        <f>MAR!AC53</f>
        <v>0</v>
      </c>
      <c r="AD13" s="180"/>
      <c r="AE13" s="345">
        <f>MAR!AE53</f>
        <v>0</v>
      </c>
      <c r="AF13" s="62">
        <f>MAR!AF53</f>
        <v>0</v>
      </c>
      <c r="AG13" s="62">
        <f>MAR!AG53</f>
        <v>0</v>
      </c>
      <c r="AH13" s="346">
        <f>MAR!AH53</f>
        <v>6364</v>
      </c>
      <c r="AI13" s="62">
        <f>AI8</f>
        <v>14005.511822044311</v>
      </c>
      <c r="AJ13" s="180">
        <f>MAR!AJ53</f>
        <v>0</v>
      </c>
      <c r="AK13" s="62">
        <f>MAR!AK53</f>
        <v>12370.04</v>
      </c>
      <c r="AL13" s="62">
        <f>MAR!AL53</f>
        <v>2180.5080267204435</v>
      </c>
      <c r="AM13" s="62">
        <f>MAR!AM53</f>
        <v>14550.548026720446</v>
      </c>
      <c r="AN13" s="684">
        <f>MAR!AN53</f>
        <v>5143.6007058230407</v>
      </c>
      <c r="AO13" s="43">
        <f>MAR!AO53</f>
        <v>1019.2623089011654</v>
      </c>
      <c r="AP13" s="494">
        <f>AO13+AP11</f>
        <v>1772.4763245301042</v>
      </c>
      <c r="AQ13" s="494"/>
      <c r="AR13" s="505"/>
      <c r="AS13" s="505"/>
      <c r="AT13" s="180">
        <f>MAR!AP53</f>
        <v>148.11541301715101</v>
      </c>
      <c r="AU13" s="43"/>
      <c r="AV13" s="490"/>
      <c r="AW13" s="490"/>
      <c r="AX13" s="490"/>
      <c r="AY13" s="490"/>
      <c r="AZ13" s="65"/>
      <c r="BA13" s="65"/>
      <c r="BB13" s="62"/>
      <c r="BC13" s="31"/>
      <c r="BD13" s="31"/>
      <c r="BE13" s="64">
        <f>MAR!AW53</f>
        <v>6.6450000000000005</v>
      </c>
      <c r="BF13" s="43"/>
      <c r="BG13" s="43"/>
      <c r="BH13" s="394"/>
      <c r="BI13" s="590">
        <f>MAR!BA53</f>
        <v>531.63744218750446</v>
      </c>
      <c r="BJ13" s="456">
        <f>MAR!BB53</f>
        <v>239.81600000000006</v>
      </c>
      <c r="BK13" s="99">
        <v>361</v>
      </c>
      <c r="BL13" s="526"/>
      <c r="BM13" s="590"/>
      <c r="BO13" s="571"/>
      <c r="BP13" s="559"/>
      <c r="BQ13" s="559"/>
      <c r="BR13" s="490">
        <f>NOV!BJ46</f>
        <v>0</v>
      </c>
      <c r="BS13" s="490">
        <f>NOV!BK46</f>
        <v>0</v>
      </c>
    </row>
    <row r="14" spans="1:71" ht="3" customHeight="1">
      <c r="A14" s="300"/>
      <c r="B14" s="182"/>
      <c r="C14" s="69"/>
      <c r="D14" s="67"/>
      <c r="E14" s="69"/>
      <c r="F14" s="183"/>
      <c r="G14" s="67"/>
      <c r="H14" s="67"/>
      <c r="I14" s="67"/>
      <c r="J14" s="67"/>
      <c r="K14" s="67"/>
      <c r="L14" s="67"/>
      <c r="M14" s="184"/>
      <c r="N14" s="67"/>
      <c r="O14" s="67"/>
      <c r="P14" s="72"/>
      <c r="Q14" s="67"/>
      <c r="R14" s="67"/>
      <c r="S14" s="67"/>
      <c r="T14" s="67"/>
      <c r="U14" s="249"/>
      <c r="V14" s="67"/>
      <c r="W14" s="67"/>
      <c r="X14" s="67"/>
      <c r="Y14" s="67"/>
      <c r="Z14" s="71"/>
      <c r="AA14" s="67"/>
      <c r="AB14" s="71"/>
      <c r="AC14" s="185"/>
      <c r="AD14" s="185"/>
      <c r="AE14" s="67"/>
      <c r="AF14" s="184"/>
      <c r="AG14" s="68"/>
      <c r="AH14" s="67"/>
      <c r="AI14" s="69"/>
      <c r="AJ14" s="185"/>
      <c r="AK14" s="67"/>
      <c r="AL14" s="67"/>
      <c r="AM14" s="72"/>
      <c r="AN14" s="70"/>
      <c r="AO14" s="185"/>
      <c r="AP14" s="588"/>
      <c r="AQ14" s="588"/>
      <c r="AR14" s="506"/>
      <c r="AS14" s="506"/>
      <c r="AT14" s="185"/>
      <c r="AU14" s="71"/>
      <c r="AV14" s="491"/>
      <c r="AW14" s="491"/>
      <c r="AX14" s="491"/>
      <c r="AY14" s="491"/>
      <c r="AZ14" s="72"/>
      <c r="BA14" s="72"/>
      <c r="BB14" s="72"/>
      <c r="BC14" s="72"/>
      <c r="BD14" s="72"/>
      <c r="BE14" s="70"/>
      <c r="BF14" s="71"/>
      <c r="BG14" s="71"/>
      <c r="BH14" s="592"/>
      <c r="BI14" s="593"/>
      <c r="BJ14" s="71"/>
      <c r="BK14" s="592"/>
      <c r="BL14" s="545"/>
      <c r="BM14" s="592"/>
      <c r="BO14" s="572"/>
      <c r="BP14" s="572"/>
      <c r="BQ14" s="572"/>
      <c r="BR14" s="573"/>
      <c r="BS14" s="573"/>
    </row>
    <row r="15" spans="1:71" ht="12.95" customHeight="1">
      <c r="A15" s="253">
        <v>1</v>
      </c>
      <c r="B15" s="584">
        <v>6899.11</v>
      </c>
      <c r="C15" s="483">
        <f>IF(B15="",C13,VLOOKUP(TRUNC(B15,1),VLOOKUP!$A$3:$K$2834,RIGHT(TEXT(B15,"0000.00"),1)+2,FALSE))</f>
        <v>280310</v>
      </c>
      <c r="D15" s="43">
        <f>C15-C13</f>
        <v>-147</v>
      </c>
      <c r="E15" s="62">
        <f t="shared" ref="E15:E44" si="0">C15-152000</f>
        <v>128310</v>
      </c>
      <c r="F15" s="186">
        <f t="shared" ref="F15:F44" si="1">D15/$D$2</f>
        <v>-74.111419208469869</v>
      </c>
      <c r="G15" s="621">
        <v>68.599999999999994</v>
      </c>
      <c r="H15" s="74">
        <v>0.80800000000000005</v>
      </c>
      <c r="I15" s="74">
        <f>G15+H15</f>
        <v>69.408000000000001</v>
      </c>
      <c r="J15" s="187">
        <f>IF(L15&gt;0,L15,0)</f>
        <v>10.48058079153013</v>
      </c>
      <c r="K15" s="74">
        <f>I15+J15</f>
        <v>79.888580791530131</v>
      </c>
      <c r="L15" s="74">
        <f t="shared" ref="L15:L44" si="2">IF(G15="",0,F15-(I15-AK15))</f>
        <v>10.48058079153013</v>
      </c>
      <c r="M15" s="188">
        <v>34</v>
      </c>
      <c r="N15" s="39">
        <v>0</v>
      </c>
      <c r="O15" s="74">
        <f>2.2*1.05</f>
        <v>2.3100000000000005</v>
      </c>
      <c r="P15" s="65">
        <v>0</v>
      </c>
      <c r="Q15" s="144">
        <f>1292600/325851/1.9835*1.02</f>
        <v>2.0399196452200403</v>
      </c>
      <c r="R15" s="73">
        <f t="shared" ref="R15:R20" si="3">IF(((1.9*1.04)-T15)&gt;=4.2,4.2,(1.9*1.04)-T15)</f>
        <v>1.4546750399999999</v>
      </c>
      <c r="S15" s="73">
        <f t="shared" ref="S15:S20" si="4">IF(((1.9*1.04)-T15)&gt;=4.2,((1.9*1.04)-T15)-4.2,0)</f>
        <v>0</v>
      </c>
      <c r="T15" s="73">
        <f>(0.4729*1.06)*1.04</f>
        <v>0.52132496000000006</v>
      </c>
      <c r="U15" s="131">
        <v>0</v>
      </c>
      <c r="V15" s="74">
        <v>69</v>
      </c>
      <c r="W15" s="74">
        <v>10</v>
      </c>
      <c r="X15" s="47">
        <f t="shared" ref="X15:X44" si="5">IF(B15="",0,M15-N15-O15-P15-Q15-R15-S15-T15-U15+V15+W15-BC15+BA15)</f>
        <v>106.67408035477996</v>
      </c>
      <c r="Y15" s="47">
        <f t="shared" ref="Y15:Y44" si="6">IF(B15="",0,X15-AT15)</f>
        <v>56.900176455760018</v>
      </c>
      <c r="Z15" s="55">
        <v>0</v>
      </c>
      <c r="AA15" s="55">
        <f>MAX(0,IF((IF(I15&gt;=795,795-X15,I15-Q15-R15-X15-AF15))&lt;=AJ15,(IF(I15&gt;=795,795-X15,I15-Q15-R15-X15-AF15)),AJ15))</f>
        <v>0</v>
      </c>
      <c r="AB15" s="616">
        <f>IF(B15="",0,AB13+(Y15-AN15)*1.9835)</f>
        <v>0</v>
      </c>
      <c r="AC15" s="62">
        <v>0</v>
      </c>
      <c r="AD15" s="180"/>
      <c r="AE15" s="74">
        <v>0</v>
      </c>
      <c r="AF15" s="188">
        <v>1.7</v>
      </c>
      <c r="AG15" s="210">
        <v>1.3</v>
      </c>
      <c r="AH15" s="74">
        <v>41</v>
      </c>
      <c r="AI15" s="62">
        <f>AI13-AH15</f>
        <v>13964.511822044311</v>
      </c>
      <c r="AJ15" s="180"/>
      <c r="AK15" s="74">
        <f t="shared" ref="AK15:AK44" si="7">N15+O15+P15+Q15+R15+S15+T15+U15+X15+AE15+AH15+BC15-BA15</f>
        <v>154</v>
      </c>
      <c r="AL15" s="74">
        <f t="shared" ref="AL15:AL44" si="8">IF(L15&lt;0,L15*-1,0)</f>
        <v>0</v>
      </c>
      <c r="AM15" s="74">
        <f t="shared" ref="AM15:AM44" si="9">AK15+AL15</f>
        <v>154</v>
      </c>
      <c r="AN15" s="685">
        <f>IF(B15="","",V15-(24/1.9835))</f>
        <v>56.900176455760018</v>
      </c>
      <c r="AO15" s="618">
        <f>IF(G15="","",IF(I15&gt;=795,795-X15,I15-Q15-R15-X15-AF15)-AJ15)</f>
        <v>-42.460675039999998</v>
      </c>
      <c r="AP15" s="558">
        <f>AP13+AO15</f>
        <v>1730.0156494901041</v>
      </c>
      <c r="AQ15" s="558"/>
      <c r="AR15" s="489"/>
      <c r="AS15" s="489"/>
      <c r="AT15" s="180">
        <f>X15-AN15</f>
        <v>49.773903899019942</v>
      </c>
      <c r="AU15" s="629">
        <f t="shared" ref="AU15:AU17" si="10">IF(G15="",0,IF(I15&gt;=(795+Q15+R15+AF15),795-X15,I15-Q15-R15-X15-AF15)-AJ15)</f>
        <v>-42.460675039999998</v>
      </c>
      <c r="AV15" s="492">
        <v>0.22</v>
      </c>
      <c r="AW15" s="493">
        <f>AV15*0.7</f>
        <v>0.154</v>
      </c>
      <c r="AX15" s="494">
        <f>IF(AV15="",0,VLOOKUP(ROUNDDOWN(TEXT(B15,"0000"),-1),VLOOKUP!$M$3:$W$32,RIGHT(TEXT(B15,"0000"),1)+2,FALSE))</f>
        <v>3660</v>
      </c>
      <c r="AY15" s="494">
        <f>AW15/12*AX15</f>
        <v>46.97</v>
      </c>
      <c r="AZ15" s="610">
        <f t="shared" ref="AZ15:AZ44" si="11">IF(AV15="","",AY15*(Z15*1.9835+AC15*1.9835)/E15)</f>
        <v>0</v>
      </c>
      <c r="BA15" s="65"/>
      <c r="BB15" s="66"/>
      <c r="BC15" s="61"/>
      <c r="BD15" s="60"/>
      <c r="BE15" s="64">
        <v>0</v>
      </c>
      <c r="BF15" s="43">
        <v>65</v>
      </c>
      <c r="BG15" s="43">
        <v>35</v>
      </c>
      <c r="BH15" s="377"/>
      <c r="BI15" s="385">
        <f t="shared" ref="BI15:BI44" si="12">SUM(N15,P15:U15)</f>
        <v>4.0159196452200403</v>
      </c>
      <c r="BJ15" s="60">
        <v>0.88400000000000001</v>
      </c>
      <c r="BK15" s="524">
        <v>16281</v>
      </c>
      <c r="BL15" s="296">
        <f t="shared" ref="BL15:BL44" si="13">IF(G15="",0,IF(I15&lt;(795+Q15+R15+AF15+AG15),0,I15-(795+Q15+R15+AF15+AG15)))</f>
        <v>0</v>
      </c>
      <c r="BM15" s="591">
        <f t="shared" ref="BM15:BM44" si="14">MIN(BL15,SUM(O15,AE15))</f>
        <v>0</v>
      </c>
      <c r="BO15" s="574">
        <v>1</v>
      </c>
      <c r="BP15" s="559">
        <v>6899.05</v>
      </c>
      <c r="BQ15" s="575">
        <f t="shared" ref="BQ15:BQ44" si="15">B15-BP15</f>
        <v>5.9999999999490683E-2</v>
      </c>
      <c r="BR15" s="597">
        <v>35.796875000000071</v>
      </c>
      <c r="BS15" s="576">
        <f t="shared" ref="BS15:BS22" si="16">AH15-BR15</f>
        <v>5.2031249999999289</v>
      </c>
    </row>
    <row r="16" spans="1:71" ht="12.95" customHeight="1">
      <c r="A16" s="253">
        <f t="shared" ref="A16:A43" si="17">A15+1</f>
        <v>2</v>
      </c>
      <c r="B16" s="181">
        <v>6899.06</v>
      </c>
      <c r="C16" s="483">
        <f>IF(B16="",C15,VLOOKUP(TRUNC(B16,1),VLOOKUP!$A$3:$K$2834,RIGHT(TEXT(B16,"0000.00"),1)+2,FALSE))</f>
        <v>280127</v>
      </c>
      <c r="D16" s="43">
        <f t="shared" ref="D16:D44" si="18">C16-C15</f>
        <v>-183</v>
      </c>
      <c r="E16" s="62">
        <f t="shared" si="0"/>
        <v>128127</v>
      </c>
      <c r="F16" s="186">
        <f t="shared" si="1"/>
        <v>-92.261154524829848</v>
      </c>
      <c r="G16" s="74">
        <v>81</v>
      </c>
      <c r="H16" s="74">
        <v>0.74399999999999999</v>
      </c>
      <c r="I16" s="74">
        <f t="shared" ref="I16:I43" si="19">G16+H16</f>
        <v>81.744</v>
      </c>
      <c r="J16" s="187">
        <f t="shared" ref="J16:J43" si="20">IF(L16&gt;0,L16,0)</f>
        <v>0</v>
      </c>
      <c r="K16" s="74">
        <f t="shared" ref="K16:K43" si="21">I16+J16</f>
        <v>81.744</v>
      </c>
      <c r="L16" s="74">
        <f t="shared" si="2"/>
        <v>-29.56515452482985</v>
      </c>
      <c r="M16" s="188">
        <v>32</v>
      </c>
      <c r="N16" s="39">
        <v>0</v>
      </c>
      <c r="O16" s="74">
        <f>2.6*1.05</f>
        <v>2.7300000000000004</v>
      </c>
      <c r="P16" s="65">
        <v>0</v>
      </c>
      <c r="Q16" s="144">
        <f>1074900/325851/1.9835*1.02</f>
        <v>1.696355892501177</v>
      </c>
      <c r="R16" s="73">
        <f t="shared" si="3"/>
        <v>1.4546750399999999</v>
      </c>
      <c r="S16" s="73">
        <f t="shared" si="4"/>
        <v>0</v>
      </c>
      <c r="T16" s="73">
        <f>(0.4729*1.06)*1.04</f>
        <v>0.52132496000000006</v>
      </c>
      <c r="U16" s="131">
        <v>0</v>
      </c>
      <c r="V16" s="74">
        <v>69</v>
      </c>
      <c r="W16" s="74">
        <v>7.9</v>
      </c>
      <c r="X16" s="47">
        <f t="shared" si="5"/>
        <v>102.49764410749883</v>
      </c>
      <c r="Y16" s="47">
        <f>IF(B16="",0,X16-AT16)</f>
        <v>56.900176455760018</v>
      </c>
      <c r="Z16" s="55">
        <v>0</v>
      </c>
      <c r="AA16" s="55">
        <f>MAX(0,IF((IF(I16&gt;=795,795-X16,I16-Q16-R16-X16-AF16))&lt;=AJ16,(IF(I16&gt;=795,795-X16,I16-Q16-R16-X16-AF16)),AJ16))</f>
        <v>0</v>
      </c>
      <c r="AB16" s="616">
        <f t="shared" ref="AB16:AB40" si="22">IF(B16="",0,AB15+(Y16-AN16)*1.9835)</f>
        <v>0</v>
      </c>
      <c r="AC16" s="55">
        <v>0</v>
      </c>
      <c r="AD16" s="180"/>
      <c r="AE16" s="74">
        <v>0.54</v>
      </c>
      <c r="AF16" s="188">
        <v>1.7</v>
      </c>
      <c r="AG16" s="210">
        <v>1.3</v>
      </c>
      <c r="AH16" s="74">
        <v>35</v>
      </c>
      <c r="AI16" s="62">
        <f>AI15-AH16</f>
        <v>13929.511822044311</v>
      </c>
      <c r="AJ16" s="180"/>
      <c r="AK16" s="74">
        <f t="shared" si="7"/>
        <v>144.44</v>
      </c>
      <c r="AL16" s="74">
        <f t="shared" si="8"/>
        <v>29.56515452482985</v>
      </c>
      <c r="AM16" s="74">
        <f t="shared" si="9"/>
        <v>174.00515452482983</v>
      </c>
      <c r="AN16" s="685">
        <f>IF(B16="","",V16-(24/1.9835))</f>
        <v>56.900176455760018</v>
      </c>
      <c r="AO16" s="618">
        <f t="shared" ref="AO16:AO17" si="23">IF(G16="","",IF(I16&gt;=795,795-X16,I16-Q16-R16-X16-AF16)-AJ16)</f>
        <v>-25.60467504</v>
      </c>
      <c r="AP16" s="558">
        <f>AP15+AO16</f>
        <v>1704.410974450104</v>
      </c>
      <c r="AQ16" s="558"/>
      <c r="AR16" s="489"/>
      <c r="AS16" s="489"/>
      <c r="AT16" s="180">
        <f>X16-AN16</f>
        <v>45.59746765173881</v>
      </c>
      <c r="AU16" s="629">
        <f t="shared" si="10"/>
        <v>-25.60467504</v>
      </c>
      <c r="AV16" s="492">
        <v>0.17</v>
      </c>
      <c r="AW16" s="493">
        <f t="shared" ref="AW16:AW26" si="24">AV16*0.7</f>
        <v>0.11899999999999999</v>
      </c>
      <c r="AX16" s="494">
        <f>IF(AV16="",0,VLOOKUP(ROUNDDOWN(TEXT(B16,"0000"),-1),VLOOKUP!$M$3:$W$32,RIGHT(TEXT(B16,"0000"),1)+2,FALSE))</f>
        <v>3660</v>
      </c>
      <c r="AY16" s="494">
        <f>AW16/12*AX16</f>
        <v>36.294999999999995</v>
      </c>
      <c r="AZ16" s="610">
        <f t="shared" si="11"/>
        <v>0</v>
      </c>
      <c r="BA16" s="65"/>
      <c r="BB16" s="66"/>
      <c r="BC16" s="61"/>
      <c r="BD16" s="60"/>
      <c r="BE16" s="64">
        <v>0</v>
      </c>
      <c r="BF16" s="43">
        <v>61</v>
      </c>
      <c r="BG16" s="43">
        <v>34</v>
      </c>
      <c r="BH16" s="377"/>
      <c r="BI16" s="385">
        <f t="shared" si="12"/>
        <v>3.6723558925011774</v>
      </c>
      <c r="BJ16" s="60">
        <v>0.88400000000000001</v>
      </c>
      <c r="BK16" s="524">
        <v>16290</v>
      </c>
      <c r="BL16" s="296">
        <f t="shared" si="13"/>
        <v>0</v>
      </c>
      <c r="BM16" s="591">
        <f t="shared" si="14"/>
        <v>0</v>
      </c>
      <c r="BO16" s="574">
        <f t="shared" ref="BO16:BO44" si="25">BO15+1</f>
        <v>2</v>
      </c>
      <c r="BP16" s="559">
        <v>6899.04</v>
      </c>
      <c r="BQ16" s="575">
        <f t="shared" si="15"/>
        <v>2.0000000000436557E-2</v>
      </c>
      <c r="BR16" s="597">
        <v>27.597916666666709</v>
      </c>
      <c r="BS16" s="576">
        <f t="shared" si="16"/>
        <v>7.4020833333332909</v>
      </c>
    </row>
    <row r="17" spans="1:71" ht="12.95" customHeight="1">
      <c r="A17" s="253">
        <f>A16+1</f>
        <v>3</v>
      </c>
      <c r="B17" s="181">
        <v>6899.02</v>
      </c>
      <c r="C17" s="483">
        <f>IF(B17="",C16,VLOOKUP(TRUNC(B17,1),VLOOKUP!$A$3:$K$2834,RIGHT(TEXT(B17,"0000.00"),1)+2,FALSE))</f>
        <v>279980</v>
      </c>
      <c r="D17" s="43">
        <f t="shared" si="18"/>
        <v>-147</v>
      </c>
      <c r="E17" s="62">
        <f t="shared" si="0"/>
        <v>127980</v>
      </c>
      <c r="F17" s="186">
        <f t="shared" si="1"/>
        <v>-74.111419208469869</v>
      </c>
      <c r="G17" s="74">
        <v>86.5</v>
      </c>
      <c r="H17" s="74">
        <v>0.60199999999999998</v>
      </c>
      <c r="I17" s="74">
        <f t="shared" si="19"/>
        <v>87.102000000000004</v>
      </c>
      <c r="J17" s="187">
        <f t="shared" si="20"/>
        <v>0</v>
      </c>
      <c r="K17" s="74">
        <f t="shared" si="21"/>
        <v>87.102000000000004</v>
      </c>
      <c r="L17" s="74">
        <f t="shared" si="2"/>
        <v>-25.113419208469878</v>
      </c>
      <c r="M17" s="188">
        <v>14</v>
      </c>
      <c r="N17" s="39">
        <v>0</v>
      </c>
      <c r="O17" s="74">
        <f>5.4*1.05</f>
        <v>5.6700000000000008</v>
      </c>
      <c r="P17" s="65">
        <v>0</v>
      </c>
      <c r="Q17" s="144">
        <f>1184900/325851/1.9835*1.02</f>
        <v>1.8699526439898082</v>
      </c>
      <c r="R17" s="73">
        <f t="shared" si="3"/>
        <v>1.33153696</v>
      </c>
      <c r="S17" s="73">
        <f t="shared" si="4"/>
        <v>0</v>
      </c>
      <c r="T17" s="73">
        <f>(0.5846*1.06)*1.04</f>
        <v>0.64446303999999999</v>
      </c>
      <c r="U17" s="131">
        <v>0</v>
      </c>
      <c r="V17" s="621">
        <v>85</v>
      </c>
      <c r="W17" s="74">
        <v>2.1</v>
      </c>
      <c r="X17" s="47">
        <f t="shared" si="5"/>
        <v>91.584047356010188</v>
      </c>
      <c r="Y17" s="47">
        <f t="shared" si="6"/>
        <v>85</v>
      </c>
      <c r="Z17" s="55">
        <v>0</v>
      </c>
      <c r="AA17" s="55">
        <f>MAX(0,IF((IF(I17&gt;=795,795-X17,I17-Q17-R17-X17-AF17))&lt;=AJ17,(IF(I17&gt;=795,795-X17,I17-Q17-R17-X17-AF17)),AJ17))</f>
        <v>0</v>
      </c>
      <c r="AB17" s="616">
        <f t="shared" si="22"/>
        <v>0</v>
      </c>
      <c r="AC17" s="55">
        <v>0</v>
      </c>
      <c r="AD17" s="43"/>
      <c r="AE17" s="74">
        <v>0</v>
      </c>
      <c r="AF17" s="188">
        <v>1.7</v>
      </c>
      <c r="AG17" s="210">
        <v>1.3</v>
      </c>
      <c r="AH17" s="74">
        <v>35</v>
      </c>
      <c r="AI17" s="62">
        <f t="shared" ref="AI17:AI42" si="26">AI16-AH17</f>
        <v>13894.511822044311</v>
      </c>
      <c r="AJ17" s="180"/>
      <c r="AK17" s="74">
        <f t="shared" si="7"/>
        <v>136.1</v>
      </c>
      <c r="AL17" s="74">
        <f t="shared" si="8"/>
        <v>25.113419208469878</v>
      </c>
      <c r="AM17" s="74">
        <f t="shared" si="9"/>
        <v>161.21341920846987</v>
      </c>
      <c r="AN17" s="685">
        <f>IF(B17="","",V17)</f>
        <v>85</v>
      </c>
      <c r="AO17" s="618">
        <f t="shared" si="23"/>
        <v>-9.3835369599999829</v>
      </c>
      <c r="AP17" s="558">
        <f t="shared" ref="AP17:AP19" si="27">AP16+AO17</f>
        <v>1695.0274374901041</v>
      </c>
      <c r="AQ17" s="558"/>
      <c r="AR17" s="489"/>
      <c r="AS17" s="489"/>
      <c r="AT17" s="180">
        <f t="shared" ref="AT17" si="28">X17-AN17</f>
        <v>6.5840473560101884</v>
      </c>
      <c r="AU17" s="629">
        <f t="shared" si="10"/>
        <v>-9.3835369599999829</v>
      </c>
      <c r="AV17" s="492">
        <v>0.14000000000000001</v>
      </c>
      <c r="AW17" s="493">
        <f t="shared" si="24"/>
        <v>9.8000000000000004E-2</v>
      </c>
      <c r="AX17" s="494">
        <f>IF(AV17="",0,VLOOKUP(ROUNDDOWN(TEXT(B17,"0000"),-1),VLOOKUP!$M$3:$W$32,RIGHT(TEXT(B17,"0000"),1)+2,FALSE))</f>
        <v>3660</v>
      </c>
      <c r="AY17" s="494">
        <f t="shared" ref="AY17:AY43" si="29">AW17/12*AX17</f>
        <v>29.890000000000004</v>
      </c>
      <c r="AZ17" s="610">
        <f t="shared" si="11"/>
        <v>0</v>
      </c>
      <c r="BA17" s="65"/>
      <c r="BB17" s="66"/>
      <c r="BC17" s="61"/>
      <c r="BD17" s="60"/>
      <c r="BE17" s="64">
        <v>0</v>
      </c>
      <c r="BF17" s="43">
        <v>56</v>
      </c>
      <c r="BG17" s="43">
        <v>38</v>
      </c>
      <c r="BH17" s="377"/>
      <c r="BI17" s="385">
        <f t="shared" si="12"/>
        <v>3.8459526439898077</v>
      </c>
      <c r="BJ17" s="60">
        <v>0.91400000000000003</v>
      </c>
      <c r="BK17" s="524">
        <v>16303</v>
      </c>
      <c r="BL17" s="296">
        <f t="shared" si="13"/>
        <v>0</v>
      </c>
      <c r="BM17" s="591">
        <f t="shared" si="14"/>
        <v>0</v>
      </c>
      <c r="BO17" s="574">
        <f t="shared" si="25"/>
        <v>3</v>
      </c>
      <c r="BP17" s="559">
        <v>6899</v>
      </c>
      <c r="BQ17" s="575">
        <f t="shared" si="15"/>
        <v>2.0000000000436557E-2</v>
      </c>
      <c r="BR17" s="597">
        <v>27.548958333333371</v>
      </c>
      <c r="BS17" s="576">
        <f t="shared" si="16"/>
        <v>7.4510416666666295</v>
      </c>
    </row>
    <row r="18" spans="1:71" ht="12.95" customHeight="1">
      <c r="A18" s="253">
        <f t="shared" si="17"/>
        <v>4</v>
      </c>
      <c r="B18" s="181">
        <v>6898.99</v>
      </c>
      <c r="C18" s="483">
        <f>IF(B18="",C17,VLOOKUP(TRUNC(B18,1),VLOOKUP!$A$3:$K$2834,RIGHT(TEXT(B18,"0000.00"),1)+2,FALSE))</f>
        <v>279870</v>
      </c>
      <c r="D18" s="43">
        <f t="shared" si="18"/>
        <v>-110</v>
      </c>
      <c r="E18" s="62">
        <f t="shared" si="0"/>
        <v>127870</v>
      </c>
      <c r="F18" s="186">
        <f t="shared" si="1"/>
        <v>-55.45752457776657</v>
      </c>
      <c r="G18" s="74">
        <v>85</v>
      </c>
      <c r="H18" s="74">
        <v>0.60299999999999998</v>
      </c>
      <c r="I18" s="74">
        <f t="shared" si="19"/>
        <v>85.602999999999994</v>
      </c>
      <c r="J18" s="187">
        <f t="shared" si="20"/>
        <v>2.4394754222334356</v>
      </c>
      <c r="K18" s="74">
        <f t="shared" si="21"/>
        <v>88.042475422233423</v>
      </c>
      <c r="L18" s="74">
        <f t="shared" si="2"/>
        <v>2.4394754222334356</v>
      </c>
      <c r="M18" s="188">
        <v>7.5</v>
      </c>
      <c r="N18" s="39">
        <v>0</v>
      </c>
      <c r="O18" s="74">
        <f>2.4*1.05</f>
        <v>2.52</v>
      </c>
      <c r="P18" s="65">
        <v>0</v>
      </c>
      <c r="Q18" s="144">
        <f>1060900/325851/1.9835*1.02</f>
        <v>1.674261760493533</v>
      </c>
      <c r="R18" s="73">
        <f t="shared" si="3"/>
        <v>1.33153696</v>
      </c>
      <c r="S18" s="73">
        <f t="shared" si="4"/>
        <v>0</v>
      </c>
      <c r="T18" s="73">
        <f t="shared" ref="T18:T23" si="30">(0.5846*1.06)*1.04</f>
        <v>0.64446303999999999</v>
      </c>
      <c r="U18" s="131">
        <v>0</v>
      </c>
      <c r="V18" s="74">
        <v>101</v>
      </c>
      <c r="W18" s="74">
        <v>0</v>
      </c>
      <c r="X18" s="47">
        <f t="shared" si="5"/>
        <v>102.32973823950647</v>
      </c>
      <c r="Y18" s="47">
        <f t="shared" si="6"/>
        <v>102.32973823950647</v>
      </c>
      <c r="Z18" s="55">
        <v>0</v>
      </c>
      <c r="AA18" s="55">
        <f t="shared" ref="AA18:AA20" si="31">MAX(0,IF((IF(I18&gt;=795,795-X18,I18-Q18-R18-X18-AF18))&lt;=AJ18,(IF(I18&gt;=795,795-X18,I18-Q18-R18-X18-AF18)),AJ18))</f>
        <v>0</v>
      </c>
      <c r="AB18" s="616">
        <f t="shared" si="22"/>
        <v>8.6673757980610926</v>
      </c>
      <c r="AC18" s="55">
        <v>0</v>
      </c>
      <c r="AD18" s="43"/>
      <c r="AE18" s="74">
        <v>0</v>
      </c>
      <c r="AF18" s="188">
        <v>1.7</v>
      </c>
      <c r="AG18" s="210">
        <v>1.3</v>
      </c>
      <c r="AH18" s="74">
        <v>35</v>
      </c>
      <c r="AI18" s="62">
        <f t="shared" si="26"/>
        <v>13859.511822044311</v>
      </c>
      <c r="AJ18" s="180"/>
      <c r="AK18" s="74">
        <f t="shared" si="7"/>
        <v>143.5</v>
      </c>
      <c r="AL18" s="74">
        <f t="shared" si="8"/>
        <v>0</v>
      </c>
      <c r="AM18" s="74">
        <f t="shared" si="9"/>
        <v>143.5</v>
      </c>
      <c r="AN18" s="685">
        <f>IF(B18="","",V18-AR18)</f>
        <v>97.96</v>
      </c>
      <c r="AO18" s="618">
        <f>IF(G18="","",IF(I18&gt;=795,795-X18,I18-Q18-R18-X18-AF18)-AJ18)</f>
        <v>-21.432536960000004</v>
      </c>
      <c r="AP18" s="558">
        <f t="shared" si="27"/>
        <v>1673.594900530104</v>
      </c>
      <c r="AQ18" s="558"/>
      <c r="AR18" s="489">
        <v>3.04</v>
      </c>
      <c r="AS18" s="489"/>
      <c r="AT18" s="180"/>
      <c r="AU18" s="629">
        <f>IF(G18="",0,IF(I18&gt;=(795+Q18+R18+AF18),795-X18,I18-Q18-R18-X18-AF18)-AJ18)</f>
        <v>-21.432536960000004</v>
      </c>
      <c r="AV18" s="492">
        <v>0.21</v>
      </c>
      <c r="AW18" s="493">
        <f t="shared" si="24"/>
        <v>0.14699999999999999</v>
      </c>
      <c r="AX18" s="494">
        <f>IF(AV18="",0,VLOOKUP(ROUNDDOWN(TEXT(B18,"0000"),-1),VLOOKUP!$M$3:$W$32,RIGHT(TEXT(B18,"0000"),1)+2,FALSE))</f>
        <v>3660</v>
      </c>
      <c r="AY18" s="494">
        <f t="shared" si="29"/>
        <v>44.834999999999994</v>
      </c>
      <c r="AZ18" s="610">
        <f t="shared" si="11"/>
        <v>0</v>
      </c>
      <c r="BA18" s="65"/>
      <c r="BB18" s="66"/>
      <c r="BC18" s="61"/>
      <c r="BD18" s="60"/>
      <c r="BE18" s="64">
        <v>0</v>
      </c>
      <c r="BF18" s="43">
        <v>63</v>
      </c>
      <c r="BG18" s="43">
        <v>37</v>
      </c>
      <c r="BH18" s="377"/>
      <c r="BI18" s="385">
        <f t="shared" si="12"/>
        <v>3.6502617604935326</v>
      </c>
      <c r="BJ18" s="60">
        <v>0.96299999999999997</v>
      </c>
      <c r="BK18" s="524">
        <v>16315</v>
      </c>
      <c r="BL18" s="296">
        <f t="shared" si="13"/>
        <v>0</v>
      </c>
      <c r="BM18" s="591">
        <f t="shared" si="14"/>
        <v>0</v>
      </c>
      <c r="BO18" s="574">
        <f t="shared" si="25"/>
        <v>4</v>
      </c>
      <c r="BP18" s="559">
        <v>6898.96</v>
      </c>
      <c r="BQ18" s="575">
        <f t="shared" si="15"/>
        <v>2.9999999999745341E-2</v>
      </c>
      <c r="BR18" s="597">
        <v>27.571875000000048</v>
      </c>
      <c r="BS18" s="576">
        <f t="shared" si="16"/>
        <v>7.4281249999999517</v>
      </c>
    </row>
    <row r="19" spans="1:71" ht="12.95" customHeight="1">
      <c r="A19" s="253">
        <f t="shared" si="17"/>
        <v>5</v>
      </c>
      <c r="B19" s="104">
        <v>6898.95</v>
      </c>
      <c r="C19" s="483">
        <f>IF(B19="",C18,VLOOKUP(TRUNC(B19,1),VLOOKUP!$A$3:$K$2834,RIGHT(TEXT(B19,"0000.00"),1)+2,FALSE))</f>
        <v>279724</v>
      </c>
      <c r="D19" s="43">
        <f t="shared" si="18"/>
        <v>-146</v>
      </c>
      <c r="E19" s="62">
        <f t="shared" si="0"/>
        <v>127724</v>
      </c>
      <c r="F19" s="186">
        <f t="shared" si="1"/>
        <v>-73.607259894126543</v>
      </c>
      <c r="G19" s="74">
        <v>90.9</v>
      </c>
      <c r="H19" s="74">
        <v>0.53</v>
      </c>
      <c r="I19" s="74">
        <f t="shared" si="19"/>
        <v>91.43</v>
      </c>
      <c r="J19" s="187">
        <f t="shared" si="20"/>
        <v>0</v>
      </c>
      <c r="K19" s="74">
        <f t="shared" si="21"/>
        <v>91.43</v>
      </c>
      <c r="L19" s="74">
        <f t="shared" si="2"/>
        <v>-21.337259894126561</v>
      </c>
      <c r="M19" s="188">
        <v>7.7</v>
      </c>
      <c r="N19" s="39">
        <v>0</v>
      </c>
      <c r="O19" s="74">
        <f>2.3*1.05</f>
        <v>2.415</v>
      </c>
      <c r="P19" s="65">
        <v>0</v>
      </c>
      <c r="Q19" s="144">
        <f>1336900/325851/1.9835*1.02</f>
        <v>2.1098317915013709</v>
      </c>
      <c r="R19" s="73">
        <f t="shared" si="3"/>
        <v>1.33153696</v>
      </c>
      <c r="S19" s="73">
        <f t="shared" si="4"/>
        <v>0</v>
      </c>
      <c r="T19" s="73">
        <f t="shared" si="30"/>
        <v>0.64446303999999999</v>
      </c>
      <c r="U19" s="131">
        <v>0</v>
      </c>
      <c r="V19" s="74">
        <v>101</v>
      </c>
      <c r="W19" s="74">
        <v>0</v>
      </c>
      <c r="X19" s="47">
        <f t="shared" si="5"/>
        <v>102.19916820849863</v>
      </c>
      <c r="Y19" s="47">
        <f t="shared" si="6"/>
        <v>102.19916820849863</v>
      </c>
      <c r="Z19" s="55">
        <v>0</v>
      </c>
      <c r="AA19" s="55">
        <f t="shared" si="31"/>
        <v>0</v>
      </c>
      <c r="AB19" s="616">
        <f t="shared" si="22"/>
        <v>17.155105939618132</v>
      </c>
      <c r="AC19" s="55">
        <v>0</v>
      </c>
      <c r="AD19" s="43"/>
      <c r="AE19" s="74">
        <v>0</v>
      </c>
      <c r="AF19" s="188">
        <v>1.7</v>
      </c>
      <c r="AG19" s="210">
        <v>1.3</v>
      </c>
      <c r="AH19" s="74">
        <v>35</v>
      </c>
      <c r="AI19" s="62">
        <f t="shared" si="26"/>
        <v>13824.511822044311</v>
      </c>
      <c r="AJ19" s="180"/>
      <c r="AK19" s="74">
        <f t="shared" si="7"/>
        <v>143.69999999999999</v>
      </c>
      <c r="AL19" s="74">
        <f t="shared" si="8"/>
        <v>21.337259894126561</v>
      </c>
      <c r="AM19" s="74">
        <f t="shared" si="9"/>
        <v>165.03725989412655</v>
      </c>
      <c r="AN19" s="685">
        <f>IF(B19="","",V19-AR19)</f>
        <v>97.92</v>
      </c>
      <c r="AO19" s="618">
        <f>IF(G19="","",IF(I19&gt;=795,795-X19,I19-Q19-R19-X19-AF19)-AJ19)</f>
        <v>-15.910536959999984</v>
      </c>
      <c r="AP19" s="558">
        <f t="shared" si="27"/>
        <v>1657.6843635701041</v>
      </c>
      <c r="AQ19" s="558"/>
      <c r="AR19" s="489">
        <v>3.08</v>
      </c>
      <c r="AS19" s="489"/>
      <c r="AT19" s="180"/>
      <c r="AU19" s="629">
        <f>IF(G19="",0,IF(I19&gt;=(795+Q19+R19+AF19),795-X19,I19-Q19-R19-X19-AF19)-AJ19)</f>
        <v>-15.910536959999984</v>
      </c>
      <c r="AV19" s="492">
        <v>0.24</v>
      </c>
      <c r="AW19" s="493">
        <f t="shared" si="24"/>
        <v>0.16799999999999998</v>
      </c>
      <c r="AX19" s="494">
        <f>IF(AV19="",0,VLOOKUP(ROUNDDOWN(TEXT(B19,"0000"),-1),VLOOKUP!$M$3:$W$32,RIGHT(TEXT(B19,"0000"),1)+2,FALSE))</f>
        <v>3660</v>
      </c>
      <c r="AY19" s="494">
        <f t="shared" si="29"/>
        <v>51.239999999999995</v>
      </c>
      <c r="AZ19" s="610">
        <f t="shared" si="11"/>
        <v>0</v>
      </c>
      <c r="BA19" s="65"/>
      <c r="BB19" s="66"/>
      <c r="BC19" s="61"/>
      <c r="BD19" s="60"/>
      <c r="BE19" s="64">
        <v>0</v>
      </c>
      <c r="BF19" s="43">
        <v>65</v>
      </c>
      <c r="BG19" s="43">
        <v>36</v>
      </c>
      <c r="BH19" s="377"/>
      <c r="BI19" s="385">
        <f t="shared" si="12"/>
        <v>4.0858317915013709</v>
      </c>
      <c r="BJ19" s="60">
        <v>0.97299999999999998</v>
      </c>
      <c r="BK19" s="524">
        <v>16329</v>
      </c>
      <c r="BL19" s="296">
        <f t="shared" si="13"/>
        <v>0</v>
      </c>
      <c r="BM19" s="591">
        <f t="shared" si="14"/>
        <v>0</v>
      </c>
      <c r="BO19" s="574">
        <f t="shared" si="25"/>
        <v>5</v>
      </c>
      <c r="BP19" s="577">
        <v>6898.9</v>
      </c>
      <c r="BQ19" s="575">
        <f t="shared" si="15"/>
        <v>5.0000000000181899E-2</v>
      </c>
      <c r="BR19" s="597">
        <v>27.531250000000046</v>
      </c>
      <c r="BS19" s="576">
        <f t="shared" si="16"/>
        <v>7.4687499999999538</v>
      </c>
    </row>
    <row r="20" spans="1:71" ht="12.95" customHeight="1">
      <c r="A20" s="253">
        <f t="shared" si="17"/>
        <v>6</v>
      </c>
      <c r="B20" s="104">
        <v>6898.9</v>
      </c>
      <c r="C20" s="483">
        <f>IF(B20="",C19,VLOOKUP(TRUNC(B20,1),VLOOKUP!$A$3:$K$2834,RIGHT(TEXT(B20,"0000.00"),1)+2,FALSE))</f>
        <v>279542</v>
      </c>
      <c r="D20" s="43">
        <f t="shared" si="18"/>
        <v>-182</v>
      </c>
      <c r="E20" s="62">
        <f t="shared" si="0"/>
        <v>127542</v>
      </c>
      <c r="F20" s="186">
        <f t="shared" si="1"/>
        <v>-91.756995210486508</v>
      </c>
      <c r="G20" s="74">
        <v>100</v>
      </c>
      <c r="H20" s="74">
        <v>0.38300000000000001</v>
      </c>
      <c r="I20" s="74">
        <f t="shared" si="19"/>
        <v>100.383</v>
      </c>
      <c r="J20" s="187">
        <f t="shared" si="20"/>
        <v>0</v>
      </c>
      <c r="K20" s="74">
        <f t="shared" si="21"/>
        <v>100.383</v>
      </c>
      <c r="L20" s="74">
        <f t="shared" si="2"/>
        <v>-28.139995210486504</v>
      </c>
      <c r="M20" s="188">
        <v>28</v>
      </c>
      <c r="N20" s="39">
        <v>0</v>
      </c>
      <c r="O20" s="74">
        <f>19*1.05</f>
        <v>19.95</v>
      </c>
      <c r="P20" s="65">
        <v>0</v>
      </c>
      <c r="Q20" s="144">
        <f>1179400/325851/1.9835*1.02</f>
        <v>1.8612728064153765</v>
      </c>
      <c r="R20" s="73">
        <f t="shared" si="3"/>
        <v>1.33153696</v>
      </c>
      <c r="S20" s="73">
        <f t="shared" si="4"/>
        <v>0</v>
      </c>
      <c r="T20" s="73">
        <f t="shared" si="30"/>
        <v>0.64446303999999999</v>
      </c>
      <c r="U20" s="131">
        <v>0</v>
      </c>
      <c r="V20" s="74">
        <v>101</v>
      </c>
      <c r="W20" s="74">
        <v>0</v>
      </c>
      <c r="X20" s="47">
        <f>IF(B20="",0,M20-N20-O20-P20-Q20-R20-S20-T20-U20+V20+W20-BC20+BA20)</f>
        <v>105.21272719358463</v>
      </c>
      <c r="Y20" s="47">
        <f t="shared" si="6"/>
        <v>105.21272719358463</v>
      </c>
      <c r="Z20" s="55">
        <v>0</v>
      </c>
      <c r="AA20" s="55">
        <f t="shared" si="31"/>
        <v>0</v>
      </c>
      <c r="AB20" s="616">
        <f>IF(B20="",0,AB19+(Y20-AN20)*1.9835)</f>
        <v>31.540890328093251</v>
      </c>
      <c r="AC20" s="55">
        <f>AC19+AU20</f>
        <v>88.237463039999994</v>
      </c>
      <c r="AD20" s="180"/>
      <c r="AE20" s="74">
        <v>0</v>
      </c>
      <c r="AF20" s="188">
        <v>1.7</v>
      </c>
      <c r="AG20" s="210">
        <v>1.3</v>
      </c>
      <c r="AH20" s="74">
        <v>35</v>
      </c>
      <c r="AI20" s="62">
        <f t="shared" si="26"/>
        <v>13789.511822044311</v>
      </c>
      <c r="AJ20" s="180"/>
      <c r="AK20" s="74">
        <f t="shared" si="7"/>
        <v>164</v>
      </c>
      <c r="AL20" s="74">
        <f t="shared" si="8"/>
        <v>28.139995210486504</v>
      </c>
      <c r="AM20" s="74">
        <f t="shared" si="9"/>
        <v>192.13999521048652</v>
      </c>
      <c r="AN20" s="685">
        <f t="shared" ref="AN20:AN35" si="32">IF(B20="","",V20-AR20)</f>
        <v>97.96</v>
      </c>
      <c r="AO20" s="618">
        <f>IF(G20="","",-AN20)</f>
        <v>-97.96</v>
      </c>
      <c r="AP20" s="558">
        <f>AP19+AO20</f>
        <v>1559.7243635701041</v>
      </c>
      <c r="AQ20" s="558"/>
      <c r="AR20" s="489">
        <v>3.04</v>
      </c>
      <c r="AS20" s="489"/>
      <c r="AT20" s="180"/>
      <c r="AU20" s="629">
        <f t="shared" ref="AU20:AU24" si="33">IF(G20="",0,IF(I20&gt;=(795+Q20+R20+AF20),795-(X20-AN20),I20-Q20-R20-AF20-(X20-AN20))-AJ20)</f>
        <v>88.237463039999994</v>
      </c>
      <c r="AV20" s="492">
        <v>0.38</v>
      </c>
      <c r="AW20" s="493">
        <f t="shared" si="24"/>
        <v>0.26599999999999996</v>
      </c>
      <c r="AX20" s="494">
        <f>IF(AV20="",0,VLOOKUP(ROUNDDOWN(TEXT(B20,"0000"),-1),VLOOKUP!$M$3:$W$32,RIGHT(TEXT(B20,"0000"),1)+2,FALSE))</f>
        <v>3660</v>
      </c>
      <c r="AY20" s="494">
        <f t="shared" si="29"/>
        <v>81.13</v>
      </c>
      <c r="AZ20" s="610">
        <f>IF(AV20="","",AY20*(Z20*1.9835+AC20*1.9835)/E20)</f>
        <v>0.11133032345548302</v>
      </c>
      <c r="BA20" s="65"/>
      <c r="BB20" s="66"/>
      <c r="BC20" s="61"/>
      <c r="BD20" s="60"/>
      <c r="BE20" s="64">
        <v>0</v>
      </c>
      <c r="BF20" s="43">
        <v>67</v>
      </c>
      <c r="BG20" s="43">
        <v>35</v>
      </c>
      <c r="BH20" s="377"/>
      <c r="BI20" s="385">
        <f t="shared" si="12"/>
        <v>3.8372728064153767</v>
      </c>
      <c r="BJ20" s="60">
        <v>0.97299999999999998</v>
      </c>
      <c r="BK20" s="524">
        <v>16351</v>
      </c>
      <c r="BL20" s="296">
        <f t="shared" si="13"/>
        <v>0</v>
      </c>
      <c r="BM20" s="591">
        <f t="shared" si="14"/>
        <v>0</v>
      </c>
      <c r="BO20" s="574">
        <f t="shared" si="25"/>
        <v>6</v>
      </c>
      <c r="BP20" s="577">
        <v>6898.86</v>
      </c>
      <c r="BQ20" s="575">
        <f t="shared" si="15"/>
        <v>3.999999999996362E-2</v>
      </c>
      <c r="BR20" s="597">
        <v>27.713541666666718</v>
      </c>
      <c r="BS20" s="576">
        <f t="shared" si="16"/>
        <v>7.2864583333332824</v>
      </c>
    </row>
    <row r="21" spans="1:71" ht="12.95" customHeight="1">
      <c r="A21" s="253">
        <f t="shared" si="17"/>
        <v>7</v>
      </c>
      <c r="B21" s="104">
        <v>6898.83</v>
      </c>
      <c r="C21" s="483">
        <f>IF(B21="",C20,VLOOKUP(TRUNC(B21,1),VLOOKUP!$A$3:$K$2834,RIGHT(TEXT(B21,"0000.00"),1)+2,FALSE))</f>
        <v>279287</v>
      </c>
      <c r="D21" s="43">
        <f t="shared" si="18"/>
        <v>-255</v>
      </c>
      <c r="E21" s="62">
        <f t="shared" si="0"/>
        <v>127287</v>
      </c>
      <c r="F21" s="186">
        <f t="shared" si="1"/>
        <v>-128.56062515754979</v>
      </c>
      <c r="G21" s="74">
        <v>115</v>
      </c>
      <c r="H21" s="74">
        <v>0.33</v>
      </c>
      <c r="I21" s="74">
        <f t="shared" si="19"/>
        <v>115.33</v>
      </c>
      <c r="J21" s="187">
        <f t="shared" si="20"/>
        <v>0</v>
      </c>
      <c r="K21" s="74">
        <f t="shared" si="21"/>
        <v>115.33</v>
      </c>
      <c r="L21" s="74">
        <f t="shared" si="2"/>
        <v>-1.8906251575497919</v>
      </c>
      <c r="M21" s="188">
        <v>48</v>
      </c>
      <c r="N21" s="39">
        <v>0</v>
      </c>
      <c r="O21" s="621">
        <f>35*1.05</f>
        <v>36.75</v>
      </c>
      <c r="P21" s="65">
        <v>0</v>
      </c>
      <c r="Q21" s="144">
        <f>1388800/325851/1.9835*1.02</f>
        <v>2.1917378951582793</v>
      </c>
      <c r="R21" s="73">
        <f>IF(((2*1.04)-T21)&gt;=4.2,4.2,(2*1.04)-T21)</f>
        <v>1.4355369600000001</v>
      </c>
      <c r="S21" s="73">
        <f>IF(((2*1.04)-T21)&gt;=4.2,((2*1.04)-T21)-4.2,0)</f>
        <v>0</v>
      </c>
      <c r="T21" s="73">
        <f t="shared" si="30"/>
        <v>0.64446303999999999</v>
      </c>
      <c r="U21" s="131">
        <v>0</v>
      </c>
      <c r="V21" s="74">
        <v>159</v>
      </c>
      <c r="W21" s="74">
        <v>0</v>
      </c>
      <c r="X21" s="47">
        <f t="shared" si="5"/>
        <v>165.97826210484172</v>
      </c>
      <c r="Y21" s="47">
        <f t="shared" si="6"/>
        <v>165.97826210484172</v>
      </c>
      <c r="Z21" s="55">
        <v>0</v>
      </c>
      <c r="AA21" s="55">
        <f t="shared" ref="AA21:AA44" si="34">IF(AU21&gt;=0,0,-AU21)</f>
        <v>0</v>
      </c>
      <c r="AB21" s="616">
        <f t="shared" si="22"/>
        <v>51.53112321304679</v>
      </c>
      <c r="AC21" s="55">
        <f>IF(AZ20="",AC20+AU21,AC20+AU21-(AZ20/$D$2))</f>
        <v>188.10579786046105</v>
      </c>
      <c r="AD21" s="180"/>
      <c r="AE21" s="74">
        <v>0</v>
      </c>
      <c r="AF21" s="188">
        <v>1.7</v>
      </c>
      <c r="AG21" s="210">
        <v>1.3</v>
      </c>
      <c r="AH21" s="74">
        <v>35</v>
      </c>
      <c r="AI21" s="62">
        <f t="shared" si="26"/>
        <v>13754.511822044311</v>
      </c>
      <c r="AJ21" s="180"/>
      <c r="AK21" s="74">
        <f t="shared" si="7"/>
        <v>242</v>
      </c>
      <c r="AL21" s="74">
        <f t="shared" si="8"/>
        <v>1.8906251575497919</v>
      </c>
      <c r="AM21" s="74">
        <f t="shared" si="9"/>
        <v>243.89062515754978</v>
      </c>
      <c r="AN21" s="685">
        <f t="shared" si="32"/>
        <v>155.9</v>
      </c>
      <c r="AO21" s="618">
        <f>IF(G21="","",-AN21)</f>
        <v>-155.9</v>
      </c>
      <c r="AP21" s="558">
        <f>AP20+AO21</f>
        <v>1403.824363570104</v>
      </c>
      <c r="AQ21" s="558"/>
      <c r="AR21" s="489">
        <v>3.1</v>
      </c>
      <c r="AS21" s="489"/>
      <c r="AT21" s="180"/>
      <c r="AU21" s="629">
        <f t="shared" si="33"/>
        <v>99.924463040000006</v>
      </c>
      <c r="AV21" s="492">
        <v>0.2</v>
      </c>
      <c r="AW21" s="493">
        <f t="shared" si="24"/>
        <v>0.13999999999999999</v>
      </c>
      <c r="AX21" s="494">
        <f>IF(AV21="",0,VLOOKUP(ROUNDDOWN(TEXT(B21,"0000"),-1),VLOOKUP!$M$3:$W$32,RIGHT(TEXT(B21,"0000"),1)+2,FALSE))</f>
        <v>3660</v>
      </c>
      <c r="AY21" s="494">
        <f t="shared" si="29"/>
        <v>42.699999999999996</v>
      </c>
      <c r="AZ21" s="39">
        <f>IF(AV21="","",AY21*(Z21*1.9835+AC21*1.9835)/E21)</f>
        <v>0.12516364748482395</v>
      </c>
      <c r="BA21" s="65"/>
      <c r="BB21" s="66"/>
      <c r="BC21" s="61"/>
      <c r="BD21" s="60"/>
      <c r="BE21" s="64">
        <v>0</v>
      </c>
      <c r="BF21" s="43">
        <v>65</v>
      </c>
      <c r="BG21" s="43">
        <v>31</v>
      </c>
      <c r="BH21" s="377"/>
      <c r="BI21" s="385">
        <f t="shared" si="12"/>
        <v>4.271737895158279</v>
      </c>
      <c r="BJ21" s="60">
        <v>0.97499999999999998</v>
      </c>
      <c r="BK21" s="524">
        <v>16376</v>
      </c>
      <c r="BL21" s="296">
        <f t="shared" si="13"/>
        <v>0</v>
      </c>
      <c r="BM21" s="591">
        <f t="shared" si="14"/>
        <v>0</v>
      </c>
      <c r="BO21" s="574">
        <f t="shared" si="25"/>
        <v>7</v>
      </c>
      <c r="BP21" s="559">
        <v>6898.8</v>
      </c>
      <c r="BQ21" s="575">
        <f t="shared" si="15"/>
        <v>2.9999999999745341E-2</v>
      </c>
      <c r="BR21" s="597">
        <v>27.55416666666672</v>
      </c>
      <c r="BS21" s="576">
        <f t="shared" si="16"/>
        <v>7.4458333333332796</v>
      </c>
    </row>
    <row r="22" spans="1:71" ht="12.95" customHeight="1">
      <c r="A22" s="253">
        <f t="shared" si="17"/>
        <v>8</v>
      </c>
      <c r="B22" s="104">
        <v>6898.71</v>
      </c>
      <c r="C22" s="483">
        <f>IF(B22="",C21,VLOOKUP(TRUNC(B22,1),VLOOKUP!$A$3:$K$2834,RIGHT(TEXT(B22,"0000.00"),1)+2,FALSE))</f>
        <v>278849</v>
      </c>
      <c r="D22" s="43">
        <f t="shared" si="18"/>
        <v>-438</v>
      </c>
      <c r="E22" s="62">
        <f t="shared" si="0"/>
        <v>126849</v>
      </c>
      <c r="F22" s="186">
        <f t="shared" si="1"/>
        <v>-220.82177968237963</v>
      </c>
      <c r="G22" s="74">
        <v>130</v>
      </c>
      <c r="H22" s="74">
        <v>0.60799999999999998</v>
      </c>
      <c r="I22" s="74">
        <f t="shared" si="19"/>
        <v>130.608</v>
      </c>
      <c r="J22" s="187">
        <f t="shared" si="20"/>
        <v>0</v>
      </c>
      <c r="K22" s="74">
        <f t="shared" si="21"/>
        <v>130.608</v>
      </c>
      <c r="L22" s="74">
        <f t="shared" si="2"/>
        <v>-31.029779682379655</v>
      </c>
      <c r="M22" s="188">
        <v>76</v>
      </c>
      <c r="N22" s="39">
        <v>0</v>
      </c>
      <c r="O22" s="74">
        <f>45*1.05</f>
        <v>47.25</v>
      </c>
      <c r="P22" s="65">
        <v>0</v>
      </c>
      <c r="Q22" s="144">
        <f>1403300/325851/1.9835*1.02</f>
        <v>2.2146211033090535</v>
      </c>
      <c r="R22" s="73">
        <f>IF(((1.9*1.04)-T22)&gt;=4.2,4.2,(1.9*1.04)-T22)</f>
        <v>1.33153696</v>
      </c>
      <c r="S22" s="73">
        <f>IF(((1.9*1.04)-T22)&gt;=4.2,((1.9*1.04)-T22)-4.2,0)</f>
        <v>0</v>
      </c>
      <c r="T22" s="73">
        <f t="shared" si="30"/>
        <v>0.64446303999999999</v>
      </c>
      <c r="U22" s="131">
        <v>0</v>
      </c>
      <c r="V22" s="74">
        <v>200</v>
      </c>
      <c r="W22" s="74">
        <v>0</v>
      </c>
      <c r="X22" s="47">
        <f t="shared" si="5"/>
        <v>224.55937889669093</v>
      </c>
      <c r="Y22" s="47">
        <f t="shared" si="6"/>
        <v>224.55937889669093</v>
      </c>
      <c r="Z22" s="55">
        <v>0</v>
      </c>
      <c r="AA22" s="55">
        <f t="shared" si="34"/>
        <v>0</v>
      </c>
      <c r="AB22" s="616">
        <f t="shared" si="22"/>
        <v>106.59185125463323</v>
      </c>
      <c r="AC22" s="55">
        <f>IF(AZ21="",AC21+AU22,AC21+AU22-(AZ21/$D$2))</f>
        <v>285.64515848176444</v>
      </c>
      <c r="AD22" s="180"/>
      <c r="AE22" s="74">
        <v>9.4</v>
      </c>
      <c r="AF22" s="188">
        <v>1.7</v>
      </c>
      <c r="AG22" s="210">
        <v>1.3</v>
      </c>
      <c r="AH22" s="74">
        <v>35</v>
      </c>
      <c r="AI22" s="62">
        <f t="shared" si="26"/>
        <v>13719.511822044311</v>
      </c>
      <c r="AJ22" s="180"/>
      <c r="AK22" s="74">
        <f t="shared" si="7"/>
        <v>320.39999999999998</v>
      </c>
      <c r="AL22" s="74">
        <f t="shared" si="8"/>
        <v>31.029779682379655</v>
      </c>
      <c r="AM22" s="74">
        <f t="shared" si="9"/>
        <v>351.4297796823796</v>
      </c>
      <c r="AN22" s="685">
        <f t="shared" si="32"/>
        <v>196.8</v>
      </c>
      <c r="AO22" s="618">
        <f t="shared" ref="AO22:AO24" si="35">IF(G22="","",-AN22)</f>
        <v>-196.8</v>
      </c>
      <c r="AP22" s="558">
        <f>AP21+AO22</f>
        <v>1207.024363570104</v>
      </c>
      <c r="AQ22" s="558"/>
      <c r="AR22" s="489">
        <v>3.2</v>
      </c>
      <c r="AS22" s="489"/>
      <c r="AT22" s="180"/>
      <c r="AU22" s="629">
        <f t="shared" si="33"/>
        <v>97.602463040000046</v>
      </c>
      <c r="AV22" s="492">
        <v>0.24</v>
      </c>
      <c r="AW22" s="493">
        <f t="shared" si="24"/>
        <v>0.16799999999999998</v>
      </c>
      <c r="AX22" s="494">
        <f>IF(AV22="",0,VLOOKUP(ROUNDDOWN(TEXT(B22,"0000"),-1),VLOOKUP!$M$3:$W$32,RIGHT(TEXT(B22,"0000"),1)+2,FALSE))</f>
        <v>3660</v>
      </c>
      <c r="AY22" s="494">
        <f>(AW22/12)*AX22</f>
        <v>51.239999999999995</v>
      </c>
      <c r="AZ22" s="39">
        <f t="shared" si="11"/>
        <v>0.22886592945566164</v>
      </c>
      <c r="BA22" s="65"/>
      <c r="BB22" s="66"/>
      <c r="BC22" s="61"/>
      <c r="BD22" s="60"/>
      <c r="BE22" s="64">
        <v>0</v>
      </c>
      <c r="BF22" s="43">
        <v>70</v>
      </c>
      <c r="BG22" s="43">
        <v>32</v>
      </c>
      <c r="BH22" s="377"/>
      <c r="BI22" s="385">
        <f t="shared" si="12"/>
        <v>4.190621103309053</v>
      </c>
      <c r="BJ22" s="60">
        <v>0.97499999999999998</v>
      </c>
      <c r="BK22" s="524">
        <v>16409</v>
      </c>
      <c r="BL22" s="296">
        <f t="shared" si="13"/>
        <v>0</v>
      </c>
      <c r="BM22" s="591">
        <f t="shared" si="14"/>
        <v>0</v>
      </c>
      <c r="BO22" s="574">
        <f t="shared" si="25"/>
        <v>8</v>
      </c>
      <c r="BP22" s="559">
        <v>6898.68</v>
      </c>
      <c r="BQ22" s="575">
        <f t="shared" si="15"/>
        <v>2.9999999999745341E-2</v>
      </c>
      <c r="BR22" s="597">
        <v>27.610416666666719</v>
      </c>
      <c r="BS22" s="576">
        <f t="shared" si="16"/>
        <v>7.389583333333281</v>
      </c>
    </row>
    <row r="23" spans="1:71" ht="12.95" customHeight="1">
      <c r="A23" s="253">
        <f t="shared" si="17"/>
        <v>9</v>
      </c>
      <c r="B23" s="181">
        <v>6898.6</v>
      </c>
      <c r="C23" s="483">
        <f>IF(B23="",C22,VLOOKUP(TRUNC(B23,1),VLOOKUP!$A$3:$K$2834,RIGHT(TEXT(B23,"0000.00"),1)+2,FALSE))</f>
        <v>278448</v>
      </c>
      <c r="D23" s="43">
        <f t="shared" si="18"/>
        <v>-401</v>
      </c>
      <c r="E23" s="62">
        <f t="shared" si="0"/>
        <v>126448</v>
      </c>
      <c r="F23" s="186">
        <f t="shared" si="1"/>
        <v>-202.16788505167634</v>
      </c>
      <c r="G23" s="74">
        <v>154</v>
      </c>
      <c r="H23" s="74">
        <v>1.33</v>
      </c>
      <c r="I23" s="74">
        <f t="shared" si="19"/>
        <v>155.33000000000001</v>
      </c>
      <c r="J23" s="187">
        <f t="shared" si="20"/>
        <v>0</v>
      </c>
      <c r="K23" s="74">
        <f t="shared" si="21"/>
        <v>155.33000000000001</v>
      </c>
      <c r="L23" s="74">
        <f t="shared" si="2"/>
        <v>-27.497885051676349</v>
      </c>
      <c r="M23" s="188">
        <v>83</v>
      </c>
      <c r="N23" s="39">
        <v>0</v>
      </c>
      <c r="O23" s="74">
        <f>66*1.05</f>
        <v>69.3</v>
      </c>
      <c r="P23" s="65">
        <v>0</v>
      </c>
      <c r="Q23" s="144">
        <f>1217200/325851/1.9835*1.02</f>
        <v>1.9209269628360153</v>
      </c>
      <c r="R23" s="73">
        <f>IF(((1.9*1.04)-T23)&gt;=4.2,4.2,(1.9*1.04)-T23)</f>
        <v>1.33153696</v>
      </c>
      <c r="S23" s="73">
        <f>IF(((1.9*1.04)-T23)&gt;=4.2,((1.9*1.04)-T23)-4.2,0)</f>
        <v>0</v>
      </c>
      <c r="T23" s="73">
        <f t="shared" si="30"/>
        <v>0.64446303999999999</v>
      </c>
      <c r="U23" s="131">
        <v>0</v>
      </c>
      <c r="V23" s="74">
        <v>198</v>
      </c>
      <c r="W23" s="74">
        <v>0</v>
      </c>
      <c r="X23" s="47">
        <f t="shared" si="5"/>
        <v>207.80307303716398</v>
      </c>
      <c r="Y23" s="47">
        <f t="shared" si="6"/>
        <v>207.80307303716398</v>
      </c>
      <c r="Z23" s="55">
        <v>0</v>
      </c>
      <c r="AA23" s="55">
        <f t="shared" si="34"/>
        <v>0</v>
      </c>
      <c r="AB23" s="616">
        <f t="shared" si="22"/>
        <v>132.26443662384796</v>
      </c>
      <c r="AC23" s="55">
        <f t="shared" ref="AC23:AC26" si="36">IF(AZ22="",AC22+AU23,AC22+AU23-(AZ22/$D$2))</f>
        <v>422.96423663169355</v>
      </c>
      <c r="AD23" s="180"/>
      <c r="AE23" s="74">
        <v>15</v>
      </c>
      <c r="AF23" s="188">
        <v>1.7</v>
      </c>
      <c r="AG23" s="210">
        <v>1.3</v>
      </c>
      <c r="AH23" s="74">
        <v>34</v>
      </c>
      <c r="AI23" s="62">
        <f t="shared" si="26"/>
        <v>13685.511822044311</v>
      </c>
      <c r="AJ23" s="180"/>
      <c r="AK23" s="74">
        <f t="shared" si="7"/>
        <v>330</v>
      </c>
      <c r="AL23" s="74">
        <f t="shared" si="8"/>
        <v>27.497885051676349</v>
      </c>
      <c r="AM23" s="74">
        <f t="shared" si="9"/>
        <v>357.49788505167635</v>
      </c>
      <c r="AN23" s="685">
        <f t="shared" si="32"/>
        <v>194.86</v>
      </c>
      <c r="AO23" s="618">
        <f t="shared" si="35"/>
        <v>-194.86</v>
      </c>
      <c r="AP23" s="558">
        <f t="shared" ref="AP23" si="37">AP22+AO23</f>
        <v>1012.164363570104</v>
      </c>
      <c r="AQ23" s="558"/>
      <c r="AR23" s="489">
        <v>3.14</v>
      </c>
      <c r="AS23" s="489"/>
      <c r="AT23" s="180"/>
      <c r="AU23" s="629">
        <f t="shared" si="33"/>
        <v>137.43446304000005</v>
      </c>
      <c r="AV23" s="492">
        <v>0.15</v>
      </c>
      <c r="AW23" s="493">
        <f t="shared" si="24"/>
        <v>0.105</v>
      </c>
      <c r="AX23" s="494">
        <f>IF(AV23="",0,VLOOKUP(ROUNDDOWN(TEXT(B23,"0000"),-1),VLOOKUP!$M$3:$W$32,RIGHT(TEXT(B23,"0000"),1)+2,FALSE))</f>
        <v>3660</v>
      </c>
      <c r="AY23" s="494">
        <f t="shared" si="29"/>
        <v>32.024999999999999</v>
      </c>
      <c r="AZ23" s="39">
        <f t="shared" si="11"/>
        <v>0.21247753832856847</v>
      </c>
      <c r="BA23" s="65"/>
      <c r="BB23" s="66"/>
      <c r="BC23" s="61"/>
      <c r="BD23" s="60"/>
      <c r="BE23" s="64">
        <v>0.02</v>
      </c>
      <c r="BF23" s="66">
        <v>64</v>
      </c>
      <c r="BG23" s="43">
        <v>36</v>
      </c>
      <c r="BH23" s="377"/>
      <c r="BI23" s="385">
        <f t="shared" si="12"/>
        <v>3.896926962836015</v>
      </c>
      <c r="BJ23" s="60">
        <v>0.97499999999999998</v>
      </c>
      <c r="BK23" s="524">
        <v>16448</v>
      </c>
      <c r="BL23" s="296">
        <f t="shared" si="13"/>
        <v>0</v>
      </c>
      <c r="BM23" s="591">
        <f t="shared" si="14"/>
        <v>0</v>
      </c>
      <c r="BO23" s="574">
        <f t="shared" si="25"/>
        <v>9</v>
      </c>
      <c r="BP23" s="559">
        <v>6898.59</v>
      </c>
      <c r="BQ23" s="575">
        <f t="shared" si="15"/>
        <v>1.0000000000218279E-2</v>
      </c>
      <c r="BR23" s="597">
        <v>25.514583333333373</v>
      </c>
      <c r="BS23" s="576">
        <f>MAX(0,AH23-BR23)</f>
        <v>8.4854166666666266</v>
      </c>
    </row>
    <row r="24" spans="1:71" ht="12.95" customHeight="1">
      <c r="A24" s="253">
        <f t="shared" si="17"/>
        <v>10</v>
      </c>
      <c r="B24" s="181">
        <v>6898.49</v>
      </c>
      <c r="C24" s="483">
        <f>IF(B24="",C23,VLOOKUP(TRUNC(B24,1),VLOOKUP!$A$3:$K$2834,RIGHT(TEXT(B24,"0000.00"),1)+2,FALSE))</f>
        <v>278047</v>
      </c>
      <c r="D24" s="43">
        <f t="shared" si="18"/>
        <v>-401</v>
      </c>
      <c r="E24" s="62">
        <f t="shared" si="0"/>
        <v>126047</v>
      </c>
      <c r="F24" s="186">
        <f t="shared" si="1"/>
        <v>-202.16788505167634</v>
      </c>
      <c r="G24" s="74">
        <v>173</v>
      </c>
      <c r="H24" s="74">
        <v>1.65</v>
      </c>
      <c r="I24" s="74">
        <f t="shared" si="19"/>
        <v>174.65</v>
      </c>
      <c r="J24" s="187">
        <f t="shared" si="20"/>
        <v>0</v>
      </c>
      <c r="K24" s="74">
        <f t="shared" si="21"/>
        <v>174.65</v>
      </c>
      <c r="L24" s="74">
        <f t="shared" si="2"/>
        <v>-54.417885051676365</v>
      </c>
      <c r="M24" s="188">
        <v>84</v>
      </c>
      <c r="N24" s="39">
        <v>0</v>
      </c>
      <c r="O24" s="74">
        <f>69*1.05</f>
        <v>72.45</v>
      </c>
      <c r="P24" s="65">
        <v>0</v>
      </c>
      <c r="Q24" s="144">
        <f>1234700/325851/1.9835*1.02</f>
        <v>1.9485446278455703</v>
      </c>
      <c r="R24" s="73">
        <f>IF(((2.1*1.04)-T24)&gt;=4.2,4.2,(2.1*1.04)-T24)</f>
        <v>1.5462616000000002</v>
      </c>
      <c r="S24" s="73">
        <f>IF(((2.1*1.04)-T24)&gt;=4.2,((2.1*1.04)-T24)-4.2,0)</f>
        <v>0</v>
      </c>
      <c r="T24" s="73">
        <f>(0.5785*1.06)*1.04</f>
        <v>0.63773840000000004</v>
      </c>
      <c r="U24" s="131">
        <v>0</v>
      </c>
      <c r="V24" s="74">
        <v>198</v>
      </c>
      <c r="W24" s="74">
        <v>0</v>
      </c>
      <c r="X24" s="47">
        <f t="shared" si="5"/>
        <v>205.41745537215442</v>
      </c>
      <c r="Y24" s="47">
        <f t="shared" si="6"/>
        <v>205.41745537215442</v>
      </c>
      <c r="Z24" s="55">
        <v>0</v>
      </c>
      <c r="AA24" s="55">
        <f t="shared" si="34"/>
        <v>0</v>
      </c>
      <c r="AB24" s="616">
        <f t="shared" si="22"/>
        <v>153.10597435451626</v>
      </c>
      <c r="AC24" s="55">
        <f t="shared" si="36"/>
        <v>581.80485250165646</v>
      </c>
      <c r="AD24" s="180"/>
      <c r="AE24" s="74">
        <v>5.4</v>
      </c>
      <c r="AF24" s="188">
        <v>1.7</v>
      </c>
      <c r="AG24" s="210">
        <v>1.3</v>
      </c>
      <c r="AH24" s="74">
        <v>35</v>
      </c>
      <c r="AI24" s="62">
        <f t="shared" si="26"/>
        <v>13650.511822044311</v>
      </c>
      <c r="AJ24" s="180"/>
      <c r="AK24" s="74">
        <f t="shared" si="7"/>
        <v>322.39999999999998</v>
      </c>
      <c r="AL24" s="74">
        <f t="shared" si="8"/>
        <v>54.417885051676365</v>
      </c>
      <c r="AM24" s="74">
        <f t="shared" si="9"/>
        <v>376.81788505167634</v>
      </c>
      <c r="AN24" s="685">
        <f t="shared" si="32"/>
        <v>194.91</v>
      </c>
      <c r="AO24" s="618">
        <f t="shared" si="35"/>
        <v>-194.91</v>
      </c>
      <c r="AP24" s="558">
        <f>AP23+AO24</f>
        <v>817.25436357010403</v>
      </c>
      <c r="AQ24" s="558"/>
      <c r="AR24" s="489">
        <v>3.09</v>
      </c>
      <c r="AS24" s="489"/>
      <c r="AT24" s="180"/>
      <c r="AU24" s="629">
        <f t="shared" si="33"/>
        <v>158.94773840000002</v>
      </c>
      <c r="AV24" s="492">
        <v>0.22</v>
      </c>
      <c r="AW24" s="493">
        <f t="shared" si="24"/>
        <v>0.154</v>
      </c>
      <c r="AX24" s="494">
        <f>IF(AV24="",0,VLOOKUP(ROUNDDOWN(TEXT(B24,"0000"),-1),VLOOKUP!$M$3:$W$32,RIGHT(TEXT(B24,"0000"),1)+2,FALSE))</f>
        <v>3632</v>
      </c>
      <c r="AY24" s="494">
        <f t="shared" si="29"/>
        <v>46.610666666666667</v>
      </c>
      <c r="AZ24" s="39">
        <f t="shared" si="11"/>
        <v>0.42673900958583061</v>
      </c>
      <c r="BA24" s="65"/>
      <c r="BB24" s="66"/>
      <c r="BC24" s="61"/>
      <c r="BD24" s="60"/>
      <c r="BE24" s="607">
        <v>0</v>
      </c>
      <c r="BF24" s="43">
        <v>64</v>
      </c>
      <c r="BG24" s="43">
        <v>32</v>
      </c>
      <c r="BH24" s="377"/>
      <c r="BI24" s="385">
        <f t="shared" si="12"/>
        <v>4.1325446278455704</v>
      </c>
      <c r="BJ24" s="60">
        <v>1</v>
      </c>
      <c r="BK24" s="524">
        <v>16496</v>
      </c>
      <c r="BL24" s="296">
        <f t="shared" si="13"/>
        <v>0</v>
      </c>
      <c r="BM24" s="591">
        <f t="shared" si="14"/>
        <v>0</v>
      </c>
      <c r="BO24" s="574">
        <f t="shared" si="25"/>
        <v>10</v>
      </c>
      <c r="BP24" s="559">
        <v>6898.49</v>
      </c>
      <c r="BQ24" s="575">
        <f t="shared" si="15"/>
        <v>0</v>
      </c>
      <c r="BR24" s="597">
        <v>27.441666666666716</v>
      </c>
      <c r="BS24" s="576">
        <f>MAX(0,AH24-BR24)</f>
        <v>7.5583333333332838</v>
      </c>
    </row>
    <row r="25" spans="1:71" ht="12.95" customHeight="1">
      <c r="A25" s="253">
        <f t="shared" si="17"/>
        <v>11</v>
      </c>
      <c r="B25" s="181">
        <v>6898.45</v>
      </c>
      <c r="C25" s="483">
        <f>IF(B25="",C24,VLOOKUP(TRUNC(B25,1),VLOOKUP!$A$3:$K$2834,RIGHT(TEXT(B25,"0000.00"),1)+2,FALSE))</f>
        <v>277901</v>
      </c>
      <c r="D25" s="43">
        <f t="shared" si="18"/>
        <v>-146</v>
      </c>
      <c r="E25" s="62">
        <f t="shared" si="0"/>
        <v>125901</v>
      </c>
      <c r="F25" s="186">
        <f t="shared" si="1"/>
        <v>-73.607259894126543</v>
      </c>
      <c r="G25" s="74">
        <v>182</v>
      </c>
      <c r="H25" s="74">
        <v>1.73</v>
      </c>
      <c r="I25" s="74">
        <f t="shared" si="19"/>
        <v>183.73</v>
      </c>
      <c r="J25" s="187">
        <f t="shared" si="20"/>
        <v>0</v>
      </c>
      <c r="K25" s="74">
        <f t="shared" si="21"/>
        <v>183.73</v>
      </c>
      <c r="L25" s="74">
        <f t="shared" si="2"/>
        <v>-4.237259894126538</v>
      </c>
      <c r="M25" s="188">
        <v>97</v>
      </c>
      <c r="N25" s="39">
        <v>0</v>
      </c>
      <c r="O25" s="74">
        <f>74*1.05</f>
        <v>77.7</v>
      </c>
      <c r="P25" s="65">
        <v>0</v>
      </c>
      <c r="Q25" s="144">
        <f>1437800/325851/1.9835*1.02</f>
        <v>2.2690673571850333</v>
      </c>
      <c r="R25" s="73">
        <f>IF(((2.1*1.04)-T25)&gt;=4.2,4.2,(2.1*1.04)-T25)</f>
        <v>1.5462616000000002</v>
      </c>
      <c r="S25" s="73">
        <f>IF(((2.1*1.04)-T25)&gt;=4.2,((2.1*1.04)-T25)-4.2,0)</f>
        <v>0</v>
      </c>
      <c r="T25" s="73">
        <f t="shared" ref="T25:T31" si="38">(0.5785*1.06)*1.04</f>
        <v>0.63773840000000004</v>
      </c>
      <c r="U25" s="131">
        <v>0</v>
      </c>
      <c r="V25" s="74">
        <v>114</v>
      </c>
      <c r="W25" s="74">
        <v>0</v>
      </c>
      <c r="X25" s="47">
        <f t="shared" si="5"/>
        <v>128.84693264281498</v>
      </c>
      <c r="Y25" s="47">
        <f t="shared" si="6"/>
        <v>128.84693264281498</v>
      </c>
      <c r="Z25" s="55">
        <v>0</v>
      </c>
      <c r="AA25" s="55">
        <f t="shared" si="34"/>
        <v>0</v>
      </c>
      <c r="AB25" s="616">
        <f>IF(B25="",0,AB24+(Y25-AN25)*1.9835)</f>
        <v>188.26734525153975</v>
      </c>
      <c r="AC25" s="55">
        <f>IF(AZ24="",AC24+AU25,AC24+AU25-(AZ24/$D$2))</f>
        <v>692.07744645518017</v>
      </c>
      <c r="AD25" s="180"/>
      <c r="AE25" s="74">
        <v>7.1</v>
      </c>
      <c r="AF25" s="188">
        <v>1.7</v>
      </c>
      <c r="AG25" s="210">
        <v>1.3</v>
      </c>
      <c r="AH25" s="74">
        <v>35</v>
      </c>
      <c r="AI25" s="62">
        <f t="shared" si="26"/>
        <v>13615.511822044311</v>
      </c>
      <c r="AJ25" s="180"/>
      <c r="AK25" s="74">
        <f t="shared" si="7"/>
        <v>253.1</v>
      </c>
      <c r="AL25" s="74">
        <f t="shared" si="8"/>
        <v>4.237259894126538</v>
      </c>
      <c r="AM25" s="74">
        <f t="shared" si="9"/>
        <v>257.33725989412653</v>
      </c>
      <c r="AN25" s="685">
        <f>IF(B25="","",V25-AR25)</f>
        <v>111.12</v>
      </c>
      <c r="AO25" s="618">
        <f>IF(G25="","",-AN25)+50</f>
        <v>-61.120000000000005</v>
      </c>
      <c r="AP25" s="558">
        <f>AP24-AN25</f>
        <v>706.13436357010403</v>
      </c>
      <c r="AQ25" s="558"/>
      <c r="AR25" s="489">
        <v>2.88</v>
      </c>
      <c r="AS25" s="489"/>
      <c r="AT25" s="180"/>
      <c r="AU25" s="629">
        <f>IF(G25="",0,IF(I25&gt;=(795+Q25+R25+AF25),795-(X25-AN25),I25-Q25-R25-AF25-(X25-AN25))-AJ25)-50</f>
        <v>110.48773839999998</v>
      </c>
      <c r="AV25" s="492">
        <v>0.2</v>
      </c>
      <c r="AW25" s="493">
        <f t="shared" si="24"/>
        <v>0.13999999999999999</v>
      </c>
      <c r="AX25" s="494">
        <f>IF(AV25="",0,VLOOKUP(ROUNDDOWN(TEXT(B25,"0000"),-1),VLOOKUP!$M$3:$W$32,RIGHT(TEXT(B25,"0000"),1)+2,FALSE))</f>
        <v>3632</v>
      </c>
      <c r="AY25" s="494">
        <f t="shared" si="29"/>
        <v>42.373333333333328</v>
      </c>
      <c r="AZ25" s="39">
        <f t="shared" si="11"/>
        <v>0.46200891013408468</v>
      </c>
      <c r="BA25" s="65"/>
      <c r="BB25" s="66"/>
      <c r="BC25" s="61"/>
      <c r="BD25" s="60"/>
      <c r="BE25" s="64">
        <v>0</v>
      </c>
      <c r="BF25" s="43">
        <v>64</v>
      </c>
      <c r="BG25" s="43">
        <v>30</v>
      </c>
      <c r="BH25" s="377"/>
      <c r="BI25" s="385">
        <f t="shared" si="12"/>
        <v>4.4530673571850334</v>
      </c>
      <c r="BJ25" s="60">
        <v>0.97499999999999998</v>
      </c>
      <c r="BK25" s="524">
        <v>16538</v>
      </c>
      <c r="BL25" s="296">
        <f t="shared" si="13"/>
        <v>0</v>
      </c>
      <c r="BM25" s="591">
        <f t="shared" si="14"/>
        <v>0</v>
      </c>
      <c r="BO25" s="574">
        <f t="shared" si="25"/>
        <v>11</v>
      </c>
      <c r="BP25" s="559">
        <v>6898.44</v>
      </c>
      <c r="BQ25" s="575">
        <f t="shared" si="15"/>
        <v>1.0000000000218279E-2</v>
      </c>
      <c r="BR25" s="597">
        <v>27.409375000000043</v>
      </c>
      <c r="BS25" s="576">
        <f>MAX(0,AH25-BR25)</f>
        <v>7.5906249999999567</v>
      </c>
    </row>
    <row r="26" spans="1:71" ht="12.95" customHeight="1">
      <c r="A26" s="253">
        <f t="shared" si="17"/>
        <v>12</v>
      </c>
      <c r="B26" s="181">
        <v>6898.42</v>
      </c>
      <c r="C26" s="483">
        <f>IF(B26="",C25,VLOOKUP(TRUNC(B26,1),VLOOKUP!$A$3:$K$2834,RIGHT(TEXT(B26,"0000.00"),1)+2,FALSE))</f>
        <v>277792</v>
      </c>
      <c r="D26" s="43">
        <f t="shared" si="18"/>
        <v>-109</v>
      </c>
      <c r="E26" s="62">
        <f t="shared" si="0"/>
        <v>125792</v>
      </c>
      <c r="F26" s="186">
        <f t="shared" si="1"/>
        <v>-54.953365263423244</v>
      </c>
      <c r="G26" s="74">
        <v>197</v>
      </c>
      <c r="H26" s="74">
        <v>1.71</v>
      </c>
      <c r="I26" s="74">
        <f t="shared" si="19"/>
        <v>198.71</v>
      </c>
      <c r="J26" s="187">
        <f t="shared" si="20"/>
        <v>0</v>
      </c>
      <c r="K26" s="74">
        <f t="shared" si="21"/>
        <v>198.71</v>
      </c>
      <c r="L26" s="74">
        <f t="shared" si="2"/>
        <v>-53.663365263423252</v>
      </c>
      <c r="M26" s="188">
        <v>98</v>
      </c>
      <c r="N26" s="39">
        <v>0</v>
      </c>
      <c r="O26" s="74">
        <f>87*1.05</f>
        <v>91.350000000000009</v>
      </c>
      <c r="P26" s="65">
        <v>0</v>
      </c>
      <c r="Q26" s="144">
        <f>1209300/325851/1.9835*1.02</f>
        <v>1.9084595597745591</v>
      </c>
      <c r="R26" s="73">
        <f>IF(((2.6*1.04)-T26)&gt;=4.2,4.2,(2.6*1.04)-T26)</f>
        <v>2.0662616000000003</v>
      </c>
      <c r="S26" s="73">
        <f>IF(((2.6*1.04)-T26)&gt;=4.2,((2.6*1.04)-T26)-4.2,0)</f>
        <v>0</v>
      </c>
      <c r="T26" s="73">
        <f t="shared" si="38"/>
        <v>0.63773840000000004</v>
      </c>
      <c r="U26" s="131">
        <v>0</v>
      </c>
      <c r="V26" s="74">
        <v>50</v>
      </c>
      <c r="W26" s="74">
        <v>0</v>
      </c>
      <c r="X26" s="47">
        <f>IF(B26="",0,M26-N26-O26-P26-Q26-R26-S26-T26-U26+V26+W26-BC26+BA26)</f>
        <v>52.037540440225435</v>
      </c>
      <c r="Y26" s="47">
        <f t="shared" si="6"/>
        <v>52.037540440225435</v>
      </c>
      <c r="Z26" s="55">
        <v>0</v>
      </c>
      <c r="AA26" s="55">
        <f t="shared" si="34"/>
        <v>0</v>
      </c>
      <c r="AB26" s="616">
        <f t="shared" si="22"/>
        <v>195.8592717147269</v>
      </c>
      <c r="AC26" s="55">
        <f t="shared" si="36"/>
        <v>832.84225875982645</v>
      </c>
      <c r="AD26" s="180"/>
      <c r="AE26" s="74">
        <v>17</v>
      </c>
      <c r="AF26" s="188">
        <v>1.7</v>
      </c>
      <c r="AG26" s="210">
        <v>1.3</v>
      </c>
      <c r="AH26" s="74">
        <v>35</v>
      </c>
      <c r="AI26" s="62">
        <f t="shared" si="26"/>
        <v>13580.511822044311</v>
      </c>
      <c r="AJ26" s="180"/>
      <c r="AK26" s="74">
        <f t="shared" si="7"/>
        <v>200</v>
      </c>
      <c r="AL26" s="74">
        <f t="shared" si="8"/>
        <v>53.663365263423252</v>
      </c>
      <c r="AM26" s="74">
        <f t="shared" si="9"/>
        <v>253.66336526342326</v>
      </c>
      <c r="AN26" s="685">
        <f>IF(B26="","",V26-AR26)</f>
        <v>48.21</v>
      </c>
      <c r="AO26" s="618">
        <v>0</v>
      </c>
      <c r="AP26" s="558">
        <f>AP25-AN26</f>
        <v>657.92436357010399</v>
      </c>
      <c r="AQ26" s="558"/>
      <c r="AR26" s="489">
        <v>1.79</v>
      </c>
      <c r="AS26" s="489"/>
      <c r="AT26" s="180"/>
      <c r="AU26" s="629">
        <f>IF(G26="",0,IF(I26&gt;=(795+Q26+R26+AF26),795-(X26),I26-Q26-R26-AF26-(X26))-AJ26)</f>
        <v>140.99773840000003</v>
      </c>
      <c r="AV26" s="492">
        <v>0.26</v>
      </c>
      <c r="AW26" s="493">
        <f t="shared" si="24"/>
        <v>0.182</v>
      </c>
      <c r="AX26" s="494">
        <f>IF(AV26="",0,VLOOKUP(ROUNDDOWN(TEXT(B26,"0000"),-1),VLOOKUP!$M$3:$W$32,RIGHT(TEXT(B26,"0000"),1)+2,FALSE))</f>
        <v>3632</v>
      </c>
      <c r="AY26" s="494">
        <f t="shared" si="29"/>
        <v>55.085333333333331</v>
      </c>
      <c r="AZ26" s="39">
        <f>IF(AV26="","",AY26*(Z26*1.9835+AC26*1.9835)/E26)</f>
        <v>0.72339902286327995</v>
      </c>
      <c r="BA26" s="65"/>
      <c r="BB26" s="66"/>
      <c r="BC26" s="61"/>
      <c r="BD26" s="60"/>
      <c r="BE26" s="64">
        <v>0</v>
      </c>
      <c r="BF26" s="43">
        <v>58</v>
      </c>
      <c r="BG26" s="43">
        <v>36</v>
      </c>
      <c r="BH26" s="377"/>
      <c r="BI26" s="385">
        <f t="shared" si="12"/>
        <v>4.6124595597745595</v>
      </c>
      <c r="BJ26" s="60">
        <v>0.97199999999999998</v>
      </c>
      <c r="BK26" s="524">
        <v>16578</v>
      </c>
      <c r="BL26" s="296">
        <f t="shared" si="13"/>
        <v>0</v>
      </c>
      <c r="BM26" s="591">
        <f t="shared" si="14"/>
        <v>0</v>
      </c>
      <c r="BO26" s="574">
        <f t="shared" si="25"/>
        <v>12</v>
      </c>
      <c r="BP26" s="559">
        <v>6898.43</v>
      </c>
      <c r="BQ26" s="575">
        <f t="shared" si="15"/>
        <v>-1.0000000000218279E-2</v>
      </c>
      <c r="BR26" s="597">
        <v>27.401041666666714</v>
      </c>
      <c r="BS26" s="576">
        <f>MAX(0,AH26-BR26)</f>
        <v>7.598958333333286</v>
      </c>
    </row>
    <row r="27" spans="1:71" ht="12.95" customHeight="1">
      <c r="A27" s="253">
        <f t="shared" si="17"/>
        <v>13</v>
      </c>
      <c r="B27" s="181">
        <v>6898.43</v>
      </c>
      <c r="C27" s="483">
        <f>IF(B27="",C26,VLOOKUP(TRUNC(B27,1),VLOOKUP!$A$3:$K$2834,RIGHT(TEXT(B27,"0000.00"),1)+2,FALSE))</f>
        <v>277828</v>
      </c>
      <c r="D27" s="43">
        <f t="shared" si="18"/>
        <v>36</v>
      </c>
      <c r="E27" s="62">
        <f t="shared" si="0"/>
        <v>125828</v>
      </c>
      <c r="F27" s="186">
        <f t="shared" si="1"/>
        <v>18.149735316359969</v>
      </c>
      <c r="G27" s="74">
        <v>175</v>
      </c>
      <c r="H27" s="74">
        <v>1.62</v>
      </c>
      <c r="I27" s="74">
        <f t="shared" si="19"/>
        <v>176.62</v>
      </c>
      <c r="J27" s="187">
        <f t="shared" si="20"/>
        <v>3.5297353163599645</v>
      </c>
      <c r="K27" s="74">
        <f t="shared" si="21"/>
        <v>180.14973531635997</v>
      </c>
      <c r="L27" s="74">
        <f t="shared" si="2"/>
        <v>3.5297353163599645</v>
      </c>
      <c r="M27" s="188">
        <v>70</v>
      </c>
      <c r="N27" s="39">
        <v>0</v>
      </c>
      <c r="O27" s="74">
        <f>64*1.05</f>
        <v>67.2</v>
      </c>
      <c r="P27" s="65">
        <v>0</v>
      </c>
      <c r="Q27" s="144">
        <f>1137800/325851/1.9835*1.02</f>
        <v>1.7956216713069488</v>
      </c>
      <c r="R27" s="73">
        <f>IF(((2.4*1.04)-T27)&gt;=4.2,4.2,(2.4*1.04)-T27)</f>
        <v>1.8582616000000001</v>
      </c>
      <c r="S27" s="73">
        <f>IF(((2.4*1.04)-T27)&gt;=4.2,((2.4*1.04)-T27)-4.2,0)</f>
        <v>0</v>
      </c>
      <c r="T27" s="73">
        <f t="shared" si="38"/>
        <v>0.63773840000000004</v>
      </c>
      <c r="U27" s="131">
        <v>0</v>
      </c>
      <c r="V27" s="74">
        <v>50</v>
      </c>
      <c r="W27" s="74">
        <v>0</v>
      </c>
      <c r="X27" s="47">
        <f t="shared" si="5"/>
        <v>48.508378328693048</v>
      </c>
      <c r="Y27" s="47">
        <f t="shared" si="6"/>
        <v>48.508378328693048</v>
      </c>
      <c r="Z27" s="55">
        <v>0</v>
      </c>
      <c r="AA27" s="55">
        <f t="shared" si="34"/>
        <v>0</v>
      </c>
      <c r="AB27" s="616">
        <f t="shared" si="22"/>
        <v>195.99490012968957</v>
      </c>
      <c r="AC27" s="55">
        <f>IF(AZ26="",AC26+AU27,AC26+AU27-(AZ26/$D$2))</f>
        <v>955.23528880446304</v>
      </c>
      <c r="AD27" s="180"/>
      <c r="AE27" s="74">
        <v>7</v>
      </c>
      <c r="AF27" s="188">
        <v>1.7</v>
      </c>
      <c r="AG27" s="210">
        <v>1.3</v>
      </c>
      <c r="AH27" s="74">
        <v>35</v>
      </c>
      <c r="AI27" s="62">
        <f t="shared" si="26"/>
        <v>13545.511822044311</v>
      </c>
      <c r="AJ27" s="180"/>
      <c r="AK27" s="74">
        <f t="shared" si="7"/>
        <v>162</v>
      </c>
      <c r="AL27" s="74">
        <f t="shared" si="8"/>
        <v>0</v>
      </c>
      <c r="AM27" s="74">
        <f t="shared" si="9"/>
        <v>162</v>
      </c>
      <c r="AN27" s="685">
        <f t="shared" si="32"/>
        <v>48.44</v>
      </c>
      <c r="AO27" s="618"/>
      <c r="AP27" s="558">
        <f>((19075-18213.5)/1.9835)-AN27</f>
        <v>385.89324930678094</v>
      </c>
      <c r="AQ27" s="558"/>
      <c r="AR27" s="489">
        <v>1.56</v>
      </c>
      <c r="AS27" s="489"/>
      <c r="AT27" s="180"/>
      <c r="AU27" s="629">
        <f>IF(G27="",0,IF(I27&gt;=(795+Q27+R27+AF27),795-(X27),I27-Q27-R27-AF27-(X27))-AJ27)</f>
        <v>122.75773840000002</v>
      </c>
      <c r="AV27" s="492">
        <v>0.33</v>
      </c>
      <c r="AW27" s="493">
        <f>AV27*0.7</f>
        <v>0.23099999999999998</v>
      </c>
      <c r="AX27" s="494">
        <f>IF(AV27="",0,VLOOKUP(ROUNDDOWN(TEXT(B27,"0000"),-1),VLOOKUP!$M$3:$W$32,RIGHT(TEXT(B27,"0000"),1)+2,FALSE))</f>
        <v>3632</v>
      </c>
      <c r="AY27" s="494">
        <f>AW27/12*AX27</f>
        <v>69.915999999999997</v>
      </c>
      <c r="AZ27" s="39">
        <f>IF(AV27="","",AY27*(Z27*1.9835+AC27*1.9835)/E27)</f>
        <v>1.0527902223801284</v>
      </c>
      <c r="BA27" s="65"/>
      <c r="BB27" s="66"/>
      <c r="BC27" s="61"/>
      <c r="BD27" s="60"/>
      <c r="BE27" s="64">
        <v>0</v>
      </c>
      <c r="BF27" s="43">
        <v>51</v>
      </c>
      <c r="BG27" s="43">
        <v>26</v>
      </c>
      <c r="BH27" s="377"/>
      <c r="BI27" s="385">
        <f t="shared" si="12"/>
        <v>4.2916216713069488</v>
      </c>
      <c r="BJ27" s="60">
        <v>0.97199999999999998</v>
      </c>
      <c r="BK27" s="524">
        <v>16605</v>
      </c>
      <c r="BL27" s="296">
        <f t="shared" si="13"/>
        <v>0</v>
      </c>
      <c r="BM27" s="591">
        <f t="shared" si="14"/>
        <v>0</v>
      </c>
      <c r="BO27" s="574">
        <f t="shared" si="25"/>
        <v>13</v>
      </c>
      <c r="BP27" s="559">
        <v>6898.41</v>
      </c>
      <c r="BQ27" s="575">
        <f t="shared" si="15"/>
        <v>2.0000000000436557E-2</v>
      </c>
      <c r="BR27" s="597">
        <v>27.174226804123759</v>
      </c>
      <c r="BS27" s="576">
        <f t="shared" ref="BS27:BS44" si="39">AH27-BR27</f>
        <v>7.8257731958762413</v>
      </c>
    </row>
    <row r="28" spans="1:71" ht="12.95" customHeight="1">
      <c r="A28" s="253">
        <f t="shared" si="17"/>
        <v>14</v>
      </c>
      <c r="B28" s="181">
        <v>6898.43</v>
      </c>
      <c r="C28" s="483">
        <f>IF(B28="",C27,VLOOKUP(TRUNC(B28,1),VLOOKUP!$A$3:$K$2834,RIGHT(TEXT(B28,"0000.00"),1)+2,FALSE))</f>
        <v>277828</v>
      </c>
      <c r="D28" s="43">
        <f t="shared" si="18"/>
        <v>0</v>
      </c>
      <c r="E28" s="62">
        <f t="shared" si="0"/>
        <v>125828</v>
      </c>
      <c r="F28" s="186">
        <f t="shared" si="1"/>
        <v>0</v>
      </c>
      <c r="G28" s="74">
        <v>143</v>
      </c>
      <c r="H28" s="74">
        <v>1.37</v>
      </c>
      <c r="I28" s="74">
        <f t="shared" si="19"/>
        <v>144.37</v>
      </c>
      <c r="J28" s="187">
        <f t="shared" si="20"/>
        <v>0</v>
      </c>
      <c r="K28" s="74">
        <f t="shared" si="21"/>
        <v>144.37</v>
      </c>
      <c r="L28" s="74">
        <f t="shared" si="2"/>
        <v>-22.370000000000005</v>
      </c>
      <c r="M28" s="188">
        <v>22</v>
      </c>
      <c r="N28" s="39">
        <v>0</v>
      </c>
      <c r="O28" s="74">
        <f>6*1.05</f>
        <v>6.3000000000000007</v>
      </c>
      <c r="P28" s="65">
        <v>0</v>
      </c>
      <c r="Q28" s="144">
        <f>1265900/325851/1.9835*1.02</f>
        <v>1.9977829791768908</v>
      </c>
      <c r="R28" s="73">
        <f>IF(((2.4*1.04)-T28)&gt;=4.2,4.2,(2.4*1.04)-T28)</f>
        <v>1.8582616000000001</v>
      </c>
      <c r="S28" s="73">
        <f>IF(((2.4*1.04)-T28)&gt;=4.2,((2.4*1.04)-T28)-4.2,0)</f>
        <v>0</v>
      </c>
      <c r="T28" s="73">
        <f t="shared" si="38"/>
        <v>0.63773840000000004</v>
      </c>
      <c r="U28" s="131">
        <v>0</v>
      </c>
      <c r="V28" s="74">
        <v>50</v>
      </c>
      <c r="W28" s="74">
        <v>0</v>
      </c>
      <c r="X28" s="47">
        <f t="shared" si="5"/>
        <v>61.206217020823104</v>
      </c>
      <c r="Y28" s="47">
        <f t="shared" si="6"/>
        <v>61.206217020823104</v>
      </c>
      <c r="Z28" s="55">
        <v>0</v>
      </c>
      <c r="AA28" s="55">
        <f t="shared" si="34"/>
        <v>0</v>
      </c>
      <c r="AB28" s="616">
        <f t="shared" si="22"/>
        <v>220.9794965904922</v>
      </c>
      <c r="AC28" s="55">
        <f t="shared" ref="AC28:AC39" si="40">IF(AZ27="",AC27+AU28,AC27+AU28-(AZ27/$D$2))</f>
        <v>1032.3122532078007</v>
      </c>
      <c r="AD28" s="180"/>
      <c r="AE28" s="74">
        <v>15</v>
      </c>
      <c r="AF28" s="188">
        <v>1.7</v>
      </c>
      <c r="AG28" s="210">
        <v>1.3</v>
      </c>
      <c r="AH28" s="74">
        <v>35</v>
      </c>
      <c r="AI28" s="62">
        <f t="shared" si="26"/>
        <v>13510.511822044311</v>
      </c>
      <c r="AJ28" s="180"/>
      <c r="AK28" s="74">
        <f t="shared" si="7"/>
        <v>122</v>
      </c>
      <c r="AL28" s="74">
        <f t="shared" si="8"/>
        <v>22.370000000000005</v>
      </c>
      <c r="AM28" s="74">
        <f t="shared" si="9"/>
        <v>144.37</v>
      </c>
      <c r="AN28" s="685">
        <f t="shared" si="32"/>
        <v>48.61</v>
      </c>
      <c r="AO28" s="618"/>
      <c r="AP28" s="558">
        <f>AP27-AN28</f>
        <v>337.28324930678093</v>
      </c>
      <c r="AQ28" s="558"/>
      <c r="AR28" s="489">
        <v>1.39</v>
      </c>
      <c r="AS28" s="489"/>
      <c r="AT28" s="180"/>
      <c r="AU28" s="629">
        <f>IF(G28="",0,IF(I28&gt;=(795+Q28+R28+AF28),795-(X28),I28-Q28-R28-AF28-(X28))-AJ28)</f>
        <v>77.607738400000031</v>
      </c>
      <c r="AV28" s="492">
        <v>0.15</v>
      </c>
      <c r="AW28" s="493">
        <f t="shared" ref="AW28:AW44" si="41">AV28*0.7</f>
        <v>0.105</v>
      </c>
      <c r="AX28" s="494">
        <f>IF(AV28="",0,VLOOKUP(ROUNDDOWN(TEXT(B28,"0000"),-1),VLOOKUP!$M$3:$W$32,RIGHT(TEXT(B28,"0000"),1)+2,FALSE))</f>
        <v>3632</v>
      </c>
      <c r="AY28" s="494">
        <f t="shared" si="29"/>
        <v>31.779999999999998</v>
      </c>
      <c r="AZ28" s="39">
        <f t="shared" si="11"/>
        <v>0.51715399781982729</v>
      </c>
      <c r="BA28" s="65"/>
      <c r="BB28" s="66"/>
      <c r="BC28" s="61"/>
      <c r="BD28" s="60"/>
      <c r="BE28" s="64">
        <v>0</v>
      </c>
      <c r="BF28" s="66">
        <v>48</v>
      </c>
      <c r="BG28" s="43">
        <v>21</v>
      </c>
      <c r="BH28" s="377"/>
      <c r="BI28" s="385">
        <f t="shared" si="12"/>
        <v>4.4937829791768911</v>
      </c>
      <c r="BJ28" s="60">
        <v>0.94599999999999995</v>
      </c>
      <c r="BK28" s="524">
        <v>16619</v>
      </c>
      <c r="BL28" s="296">
        <f t="shared" si="13"/>
        <v>0</v>
      </c>
      <c r="BM28" s="591">
        <f t="shared" si="14"/>
        <v>0</v>
      </c>
      <c r="BO28" s="574">
        <f t="shared" si="25"/>
        <v>14</v>
      </c>
      <c r="BP28" s="559">
        <v>6898.39</v>
      </c>
      <c r="BQ28" s="575">
        <f t="shared" si="15"/>
        <v>3.999999999996362E-2</v>
      </c>
      <c r="BR28" s="597">
        <v>27.152577319587678</v>
      </c>
      <c r="BS28" s="576">
        <f t="shared" si="39"/>
        <v>7.8474226804123219</v>
      </c>
    </row>
    <row r="29" spans="1:71" ht="12.95" customHeight="1">
      <c r="A29" s="253">
        <f t="shared" si="17"/>
        <v>15</v>
      </c>
      <c r="B29" s="181">
        <v>6898.39</v>
      </c>
      <c r="C29" s="483">
        <f>IF(B29="",C28,VLOOKUP(TRUNC(B29,1),VLOOKUP!$A$3:$K$2834,RIGHT(TEXT(B29,"0000.00"),1)+2,FALSE))</f>
        <v>277683</v>
      </c>
      <c r="D29" s="43">
        <f t="shared" si="18"/>
        <v>-145</v>
      </c>
      <c r="E29" s="62">
        <f t="shared" si="0"/>
        <v>125683</v>
      </c>
      <c r="F29" s="186">
        <f t="shared" si="1"/>
        <v>-73.103100579783217</v>
      </c>
      <c r="G29" s="74">
        <v>129</v>
      </c>
      <c r="H29" s="74">
        <v>1.1499999999999999</v>
      </c>
      <c r="I29" s="74">
        <f t="shared" si="19"/>
        <v>130.15</v>
      </c>
      <c r="J29" s="187">
        <f t="shared" si="20"/>
        <v>0</v>
      </c>
      <c r="K29" s="74">
        <f t="shared" si="21"/>
        <v>130.15</v>
      </c>
      <c r="L29" s="74">
        <f t="shared" si="2"/>
        <v>-41.253100579783222</v>
      </c>
      <c r="M29" s="188">
        <v>61</v>
      </c>
      <c r="N29" s="39">
        <v>0</v>
      </c>
      <c r="O29" s="74">
        <f>23*1.05</f>
        <v>24.150000000000002</v>
      </c>
      <c r="P29" s="65">
        <v>0</v>
      </c>
      <c r="Q29" s="144">
        <f>1323200/325851/1.9835*1.02</f>
        <v>2.0882111051796053</v>
      </c>
      <c r="R29" s="73">
        <f>IF(((3.1*1.04)-T29)&gt;=4.2,4.2,(3.1*1.04)-T29)</f>
        <v>2.5862616000000003</v>
      </c>
      <c r="S29" s="73">
        <f>IF(((3.1*1.04)-T29)&gt;=4.2,((3.1*1.04)-T29)-4.2,0)</f>
        <v>0</v>
      </c>
      <c r="T29" s="73">
        <f t="shared" si="38"/>
        <v>0.63773840000000004</v>
      </c>
      <c r="U29" s="131">
        <v>0</v>
      </c>
      <c r="V29" s="74">
        <v>50</v>
      </c>
      <c r="W29" s="74">
        <v>0</v>
      </c>
      <c r="X29" s="47">
        <f t="shared" si="5"/>
        <v>81.537788894820395</v>
      </c>
      <c r="Y29" s="47">
        <f t="shared" si="6"/>
        <v>81.537788894820395</v>
      </c>
      <c r="Z29" s="55">
        <v>0</v>
      </c>
      <c r="AA29" s="55">
        <f t="shared" si="34"/>
        <v>0</v>
      </c>
      <c r="AB29" s="616">
        <f t="shared" si="22"/>
        <v>286.56945586336849</v>
      </c>
      <c r="AC29" s="55">
        <f t="shared" si="40"/>
        <v>1074.2892636028498</v>
      </c>
      <c r="AD29" s="180"/>
      <c r="AE29" s="74">
        <v>16</v>
      </c>
      <c r="AF29" s="188">
        <v>1.7</v>
      </c>
      <c r="AG29" s="210">
        <v>1.3</v>
      </c>
      <c r="AH29" s="74">
        <v>35</v>
      </c>
      <c r="AI29" s="62">
        <f t="shared" si="26"/>
        <v>13475.511822044311</v>
      </c>
      <c r="AJ29" s="180"/>
      <c r="AK29" s="74">
        <f t="shared" si="7"/>
        <v>162</v>
      </c>
      <c r="AL29" s="74">
        <f t="shared" si="8"/>
        <v>41.253100579783222</v>
      </c>
      <c r="AM29" s="74">
        <f t="shared" si="9"/>
        <v>203.25310057978322</v>
      </c>
      <c r="AN29" s="685">
        <f t="shared" si="32"/>
        <v>48.47</v>
      </c>
      <c r="AO29" s="618"/>
      <c r="AP29" s="558">
        <f>AP28-AN29</f>
        <v>288.8132493067809</v>
      </c>
      <c r="AQ29" s="558"/>
      <c r="AR29" s="489">
        <v>1.53</v>
      </c>
      <c r="AS29" s="489"/>
      <c r="AT29" s="180"/>
      <c r="AU29" s="629">
        <f>IF(G29="",0,IF(I29&gt;=(795+Q29+R29+AF29),795-(X29),I29-Q29-R29-AF29-(X29))-AJ29)</f>
        <v>42.237738400000012</v>
      </c>
      <c r="AV29" s="492">
        <v>0.17</v>
      </c>
      <c r="AW29" s="493">
        <f t="shared" si="41"/>
        <v>0.11899999999999999</v>
      </c>
      <c r="AX29" s="494">
        <f>IF(AV29="",0,VLOOKUP(ROUNDDOWN(TEXT(B29,"0000"),-1),VLOOKUP!$M$3:$W$32,RIGHT(TEXT(B29,"0000"),1)+2,FALSE))</f>
        <v>3632</v>
      </c>
      <c r="AY29" s="494">
        <f t="shared" si="29"/>
        <v>36.017333333333326</v>
      </c>
      <c r="AZ29" s="39">
        <f t="shared" si="11"/>
        <v>0.61064450990110508</v>
      </c>
      <c r="BA29" s="65"/>
      <c r="BB29" s="66"/>
      <c r="BC29" s="61"/>
      <c r="BD29" s="60"/>
      <c r="BE29" s="64">
        <v>0</v>
      </c>
      <c r="BF29" s="66">
        <v>58</v>
      </c>
      <c r="BG29" s="43">
        <v>21</v>
      </c>
      <c r="BH29" s="377"/>
      <c r="BI29" s="385">
        <f t="shared" si="12"/>
        <v>5.312211105179605</v>
      </c>
      <c r="BJ29" s="60">
        <v>0.97499999999999998</v>
      </c>
      <c r="BK29" s="524">
        <v>16632</v>
      </c>
      <c r="BL29" s="296">
        <f t="shared" si="13"/>
        <v>0</v>
      </c>
      <c r="BM29" s="591">
        <f t="shared" si="14"/>
        <v>0</v>
      </c>
      <c r="BO29" s="574">
        <f t="shared" si="25"/>
        <v>15</v>
      </c>
      <c r="BP29" s="559">
        <v>6898.36</v>
      </c>
      <c r="BQ29" s="575">
        <f t="shared" si="15"/>
        <v>3.0000000000654836E-2</v>
      </c>
      <c r="BR29" s="597">
        <v>27.282291666666712</v>
      </c>
      <c r="BS29" s="576">
        <f t="shared" si="39"/>
        <v>7.7177083333332881</v>
      </c>
    </row>
    <row r="30" spans="1:71" ht="12.95" customHeight="1">
      <c r="A30" s="253">
        <f t="shared" si="17"/>
        <v>16</v>
      </c>
      <c r="B30" s="181">
        <v>6898.31</v>
      </c>
      <c r="C30" s="483">
        <f>IF(B30="",C29,VLOOKUP(TRUNC(B30,1),VLOOKUP!$A$3:$K$2834,RIGHT(TEXT(B30,"0000.00"),1)+2,FALSE))</f>
        <v>277391</v>
      </c>
      <c r="D30" s="43">
        <f t="shared" si="18"/>
        <v>-292</v>
      </c>
      <c r="E30" s="62">
        <f t="shared" si="0"/>
        <v>125391</v>
      </c>
      <c r="F30" s="186">
        <f t="shared" si="1"/>
        <v>-147.21451978825309</v>
      </c>
      <c r="G30" s="74">
        <v>135</v>
      </c>
      <c r="H30" s="74">
        <v>1.05</v>
      </c>
      <c r="I30" s="74">
        <f t="shared" si="19"/>
        <v>136.05000000000001</v>
      </c>
      <c r="J30" s="187">
        <f t="shared" si="20"/>
        <v>0</v>
      </c>
      <c r="K30" s="74">
        <f t="shared" si="21"/>
        <v>136.05000000000001</v>
      </c>
      <c r="L30" s="74">
        <f t="shared" si="2"/>
        <v>-72.264519788253097</v>
      </c>
      <c r="M30" s="188">
        <v>106</v>
      </c>
      <c r="N30" s="39">
        <v>0</v>
      </c>
      <c r="O30" s="74">
        <f>74*1.05</f>
        <v>77.7</v>
      </c>
      <c r="P30" s="65">
        <v>0</v>
      </c>
      <c r="Q30" s="144">
        <f>1180700/325851/1.9835*1.02</f>
        <v>1.863324404387515</v>
      </c>
      <c r="R30" s="73">
        <f>IF(((2.8*1.04)-T30)&gt;=4.2,4.2,(2.8*1.04)-T30)</f>
        <v>2.2742616</v>
      </c>
      <c r="S30" s="73">
        <f>IF(((2.8*1.04)-T30)&gt;=4.2,((2.8*1.04)-T30)-4.2,0)</f>
        <v>0</v>
      </c>
      <c r="T30" s="73">
        <f t="shared" si="38"/>
        <v>0.63773840000000004</v>
      </c>
      <c r="U30" s="131">
        <v>0</v>
      </c>
      <c r="V30" s="74">
        <v>50</v>
      </c>
      <c r="W30" s="74">
        <v>0</v>
      </c>
      <c r="X30" s="47">
        <f t="shared" si="5"/>
        <v>73.524675595612479</v>
      </c>
      <c r="Y30" s="47">
        <f t="shared" si="6"/>
        <v>73.524675595612479</v>
      </c>
      <c r="Z30" s="55">
        <v>0</v>
      </c>
      <c r="AA30" s="55">
        <f t="shared" si="34"/>
        <v>0</v>
      </c>
      <c r="AB30" s="616">
        <f t="shared" si="22"/>
        <v>336.36457990726581</v>
      </c>
      <c r="AC30" s="55">
        <f t="shared" si="40"/>
        <v>1130.6691398854305</v>
      </c>
      <c r="AD30" s="180"/>
      <c r="AE30" s="74">
        <v>20</v>
      </c>
      <c r="AF30" s="188">
        <v>1.7</v>
      </c>
      <c r="AG30" s="210">
        <v>1.3</v>
      </c>
      <c r="AH30" s="74">
        <v>35</v>
      </c>
      <c r="AI30" s="62">
        <f t="shared" si="26"/>
        <v>13440.511822044311</v>
      </c>
      <c r="AJ30" s="180"/>
      <c r="AK30" s="74">
        <f t="shared" si="7"/>
        <v>211</v>
      </c>
      <c r="AL30" s="74">
        <f t="shared" si="8"/>
        <v>72.264519788253097</v>
      </c>
      <c r="AM30" s="74">
        <f t="shared" si="9"/>
        <v>283.2645197882531</v>
      </c>
      <c r="AN30" s="685">
        <f t="shared" si="32"/>
        <v>48.42</v>
      </c>
      <c r="AO30" s="618"/>
      <c r="AP30" s="558">
        <f t="shared" ref="AP30:AP36" si="42">AP29-AN30</f>
        <v>240.39324930678089</v>
      </c>
      <c r="AQ30" s="558"/>
      <c r="AR30" s="489">
        <v>1.58</v>
      </c>
      <c r="AS30" s="489"/>
      <c r="AT30" s="180"/>
      <c r="AU30" s="629">
        <f t="shared" ref="AU30:AU44" si="43">IF(G30="",0,IF(I30&gt;=(795+Q30+R30+AF30),795-(X30),I30-Q30-R30-AF30-(X30))-AJ30)</f>
        <v>56.687738400000029</v>
      </c>
      <c r="AV30" s="492">
        <v>0.24</v>
      </c>
      <c r="AW30" s="493">
        <f t="shared" si="41"/>
        <v>0.16799999999999998</v>
      </c>
      <c r="AX30" s="494">
        <f>IF(AV30="",0,VLOOKUP(ROUNDDOWN(TEXT(B30,"0000"),-1),VLOOKUP!$M$3:$W$32,RIGHT(TEXT(B30,"0000"),1)+2,FALSE))</f>
        <v>3632</v>
      </c>
      <c r="AY30" s="494">
        <f t="shared" si="29"/>
        <v>50.847999999999992</v>
      </c>
      <c r="AZ30" s="39">
        <f t="shared" si="11"/>
        <v>0.90944251570509815</v>
      </c>
      <c r="BA30" s="65"/>
      <c r="BB30" s="66"/>
      <c r="BC30" s="61"/>
      <c r="BD30" s="60"/>
      <c r="BE30" s="64">
        <v>0</v>
      </c>
      <c r="BF30" s="66">
        <v>63</v>
      </c>
      <c r="BG30" s="43">
        <v>31</v>
      </c>
      <c r="BH30" s="377"/>
      <c r="BI30" s="385">
        <f t="shared" si="12"/>
        <v>4.7753244043875149</v>
      </c>
      <c r="BJ30" s="60">
        <v>0.82599999999999996</v>
      </c>
      <c r="BK30" s="524">
        <v>16646</v>
      </c>
      <c r="BL30" s="296">
        <f t="shared" si="13"/>
        <v>0</v>
      </c>
      <c r="BM30" s="591">
        <f t="shared" si="14"/>
        <v>0</v>
      </c>
      <c r="BO30" s="574">
        <f t="shared" si="25"/>
        <v>16</v>
      </c>
      <c r="BP30" s="559">
        <v>6898.32</v>
      </c>
      <c r="BQ30" s="575">
        <f t="shared" si="15"/>
        <v>-9.999999999308784E-3</v>
      </c>
      <c r="BR30" s="597">
        <v>27.477083333333379</v>
      </c>
      <c r="BS30" s="576">
        <f t="shared" si="39"/>
        <v>7.522916666666621</v>
      </c>
    </row>
    <row r="31" spans="1:71" ht="12.95" customHeight="1">
      <c r="A31" s="253">
        <f t="shared" si="17"/>
        <v>17</v>
      </c>
      <c r="B31" s="181">
        <v>6898.26</v>
      </c>
      <c r="C31" s="483">
        <f>IF(B31="",C30,VLOOKUP(TRUNC(B31,1),VLOOKUP!$A$3:$K$2834,RIGHT(TEXT(B31,"0000.00"),1)+2,FALSE))</f>
        <v>277209</v>
      </c>
      <c r="D31" s="43">
        <f t="shared" si="18"/>
        <v>-182</v>
      </c>
      <c r="E31" s="62">
        <f t="shared" si="0"/>
        <v>125209</v>
      </c>
      <c r="F31" s="186">
        <f t="shared" si="1"/>
        <v>-91.756995210486508</v>
      </c>
      <c r="G31" s="74">
        <v>124</v>
      </c>
      <c r="H31" s="74">
        <v>0.91900000000000004</v>
      </c>
      <c r="I31" s="74">
        <f t="shared" si="19"/>
        <v>124.919</v>
      </c>
      <c r="J31" s="187">
        <f t="shared" si="20"/>
        <v>0</v>
      </c>
      <c r="K31" s="74">
        <f t="shared" si="21"/>
        <v>124.919</v>
      </c>
      <c r="L31" s="74">
        <f t="shared" si="2"/>
        <v>-7.59952104865107E-2</v>
      </c>
      <c r="M31" s="188">
        <v>125</v>
      </c>
      <c r="N31" s="39">
        <v>0</v>
      </c>
      <c r="O31" s="74">
        <f>88*1.05</f>
        <v>92.4</v>
      </c>
      <c r="P31" s="65">
        <v>0</v>
      </c>
      <c r="Q31" s="144">
        <f>1370300/325851/1.9835*1.02</f>
        <v>2.1625420778624642</v>
      </c>
      <c r="R31" s="73">
        <f>IF(((2.9*1.04)-T31)&gt;=4.2,4.2,(2.9*1.04)-T31)</f>
        <v>2.3782616000000001</v>
      </c>
      <c r="S31" s="73">
        <f>IF(((2.9*1.04)-T31)&gt;=4.2,((2.9*1.04)-T31)-4.2,0)</f>
        <v>0</v>
      </c>
      <c r="T31" s="73">
        <f t="shared" si="38"/>
        <v>0.63773840000000004</v>
      </c>
      <c r="U31" s="131">
        <v>0</v>
      </c>
      <c r="V31" s="74">
        <v>50</v>
      </c>
      <c r="W31" s="74">
        <v>0</v>
      </c>
      <c r="X31" s="47">
        <f t="shared" si="5"/>
        <v>77.421457922137535</v>
      </c>
      <c r="Y31" s="47">
        <f t="shared" si="6"/>
        <v>77.421457922137535</v>
      </c>
      <c r="Z31" s="55">
        <v>0</v>
      </c>
      <c r="AA31" s="55">
        <f t="shared" si="34"/>
        <v>0</v>
      </c>
      <c r="AB31" s="616">
        <f t="shared" si="22"/>
        <v>396.54686169582561</v>
      </c>
      <c r="AC31" s="55">
        <f t="shared" si="40"/>
        <v>1171.4673743702779</v>
      </c>
      <c r="AD31" s="180"/>
      <c r="AE31" s="74">
        <v>6.6</v>
      </c>
      <c r="AF31" s="188">
        <v>1.7</v>
      </c>
      <c r="AG31" s="210">
        <v>1.3</v>
      </c>
      <c r="AH31" s="74">
        <v>35</v>
      </c>
      <c r="AI31" s="62">
        <f t="shared" si="26"/>
        <v>13405.511822044311</v>
      </c>
      <c r="AJ31" s="180"/>
      <c r="AK31" s="74">
        <f t="shared" si="7"/>
        <v>216.6</v>
      </c>
      <c r="AL31" s="74">
        <f t="shared" si="8"/>
        <v>7.59952104865107E-2</v>
      </c>
      <c r="AM31" s="74">
        <f t="shared" si="9"/>
        <v>216.67599521048652</v>
      </c>
      <c r="AN31" s="685">
        <f t="shared" si="32"/>
        <v>47.08</v>
      </c>
      <c r="AO31" s="618"/>
      <c r="AP31" s="558">
        <f t="shared" si="42"/>
        <v>193.3132493067809</v>
      </c>
      <c r="AQ31" s="558"/>
      <c r="AR31" s="489">
        <v>2.92</v>
      </c>
      <c r="AS31" s="489"/>
      <c r="AT31" s="180"/>
      <c r="AU31" s="629">
        <f t="shared" si="43"/>
        <v>41.256738399999989</v>
      </c>
      <c r="AV31" s="492">
        <v>0.14000000000000001</v>
      </c>
      <c r="AW31" s="493">
        <f t="shared" si="41"/>
        <v>9.8000000000000004E-2</v>
      </c>
      <c r="AX31" s="494">
        <f>IF(AV31="",0,VLOOKUP(ROUNDDOWN(TEXT(B31,"0000"),-1),VLOOKUP!$M$3:$W$32,RIGHT(TEXT(B31,"0000"),1)+2,FALSE))</f>
        <v>3632</v>
      </c>
      <c r="AY31" s="494">
        <f t="shared" si="29"/>
        <v>29.661333333333335</v>
      </c>
      <c r="AZ31" s="39">
        <f t="shared" si="11"/>
        <v>0.55044955530367545</v>
      </c>
      <c r="BA31" s="65"/>
      <c r="BB31" s="66"/>
      <c r="BC31" s="61"/>
      <c r="BD31" s="60"/>
      <c r="BE31" s="64">
        <v>0</v>
      </c>
      <c r="BF31" s="66">
        <v>63</v>
      </c>
      <c r="BG31" s="43">
        <v>32</v>
      </c>
      <c r="BH31" s="377"/>
      <c r="BI31" s="385">
        <f t="shared" si="12"/>
        <v>5.1785420778624642</v>
      </c>
      <c r="BJ31" s="60">
        <v>0.85499999999999998</v>
      </c>
      <c r="BK31" s="524">
        <v>16662</v>
      </c>
      <c r="BL31" s="296">
        <f t="shared" si="13"/>
        <v>0</v>
      </c>
      <c r="BM31" s="591">
        <f t="shared" si="14"/>
        <v>0</v>
      </c>
      <c r="BO31" s="574">
        <f t="shared" si="25"/>
        <v>17</v>
      </c>
      <c r="BP31" s="559">
        <v>6898.26</v>
      </c>
      <c r="BQ31" s="575">
        <f t="shared" si="15"/>
        <v>0</v>
      </c>
      <c r="BR31" s="597">
        <v>27.56145833333338</v>
      </c>
      <c r="BS31" s="576">
        <f t="shared" si="39"/>
        <v>7.4385416666666195</v>
      </c>
    </row>
    <row r="32" spans="1:71" ht="12.95" customHeight="1">
      <c r="A32" s="253">
        <f t="shared" si="17"/>
        <v>18</v>
      </c>
      <c r="B32" s="181">
        <v>6898.17</v>
      </c>
      <c r="C32" s="483">
        <f>IF(B32="",C31,VLOOKUP(TRUNC(B32,1),VLOOKUP!$A$3:$K$2834,RIGHT(TEXT(B32,"0000.00"),1)+2,FALSE))</f>
        <v>276880</v>
      </c>
      <c r="D32" s="43">
        <f t="shared" si="18"/>
        <v>-329</v>
      </c>
      <c r="E32" s="62">
        <f t="shared" si="0"/>
        <v>124880</v>
      </c>
      <c r="F32" s="186">
        <f t="shared" si="1"/>
        <v>-165.86841441895638</v>
      </c>
      <c r="G32" s="74">
        <v>138</v>
      </c>
      <c r="H32" s="74">
        <v>0.83799999999999997</v>
      </c>
      <c r="I32" s="74">
        <f t="shared" si="19"/>
        <v>138.83799999999999</v>
      </c>
      <c r="J32" s="187">
        <f t="shared" si="20"/>
        <v>0</v>
      </c>
      <c r="K32" s="74">
        <f t="shared" si="21"/>
        <v>138.83799999999999</v>
      </c>
      <c r="L32" s="74">
        <f t="shared" si="2"/>
        <v>-42.706414418956371</v>
      </c>
      <c r="M32" s="188">
        <v>162</v>
      </c>
      <c r="N32" s="39">
        <v>0</v>
      </c>
      <c r="O32" s="74">
        <f>89*1.05</f>
        <v>93.45</v>
      </c>
      <c r="P32" s="65">
        <v>0</v>
      </c>
      <c r="Q32" s="144">
        <f>1206000/325851/1.9835*1.02</f>
        <v>1.9032516572299001</v>
      </c>
      <c r="R32" s="73">
        <f>IF(((2.9*1.04)-T32)&gt;=4.2,4.2,(2.9*1.04)-T32)</f>
        <v>2.1069609599999999</v>
      </c>
      <c r="S32" s="73">
        <f>IF(((2.9*1.04)-T32)&gt;=4.2,((2.9*1.04)-T32)-4.2,0)</f>
        <v>0</v>
      </c>
      <c r="T32" s="73">
        <f>(0.8246*1.06)*1.04</f>
        <v>0.90903904000000013</v>
      </c>
      <c r="U32" s="131">
        <v>0</v>
      </c>
      <c r="V32" s="74">
        <v>50</v>
      </c>
      <c r="W32" s="74">
        <v>0</v>
      </c>
      <c r="X32" s="47">
        <f t="shared" si="5"/>
        <v>113.63074834277009</v>
      </c>
      <c r="Y32" s="47">
        <f t="shared" si="6"/>
        <v>113.63074834277009</v>
      </c>
      <c r="Z32" s="55">
        <v>0</v>
      </c>
      <c r="AA32" s="55">
        <f t="shared" si="34"/>
        <v>0</v>
      </c>
      <c r="AB32" s="616">
        <f t="shared" si="22"/>
        <v>544.31909603371014</v>
      </c>
      <c r="AC32" s="55">
        <f t="shared" si="40"/>
        <v>1190.6868991398953</v>
      </c>
      <c r="AD32" s="180"/>
      <c r="AE32" s="74">
        <v>15</v>
      </c>
      <c r="AF32" s="188">
        <v>1.7</v>
      </c>
      <c r="AG32" s="210">
        <v>1.3</v>
      </c>
      <c r="AH32" s="74">
        <v>35</v>
      </c>
      <c r="AI32" s="62">
        <f t="shared" si="26"/>
        <v>13370.511822044311</v>
      </c>
      <c r="AJ32" s="180"/>
      <c r="AK32" s="74">
        <f t="shared" si="7"/>
        <v>262</v>
      </c>
      <c r="AL32" s="74">
        <f t="shared" si="8"/>
        <v>42.706414418956371</v>
      </c>
      <c r="AM32" s="74">
        <f t="shared" si="9"/>
        <v>304.70641441895634</v>
      </c>
      <c r="AN32" s="685">
        <f t="shared" si="32"/>
        <v>39.130000000000003</v>
      </c>
      <c r="AO32" s="618"/>
      <c r="AP32" s="558">
        <f t="shared" si="42"/>
        <v>154.18324930678091</v>
      </c>
      <c r="AQ32" s="558"/>
      <c r="AR32" s="489">
        <v>10.87</v>
      </c>
      <c r="AS32" s="489"/>
      <c r="AT32" s="180"/>
      <c r="AU32" s="629">
        <f t="shared" si="43"/>
        <v>19.497039040000004</v>
      </c>
      <c r="AV32" s="492">
        <v>0.23</v>
      </c>
      <c r="AW32" s="493">
        <f t="shared" si="41"/>
        <v>0.161</v>
      </c>
      <c r="AX32" s="494">
        <f>IF(AV32="",0,VLOOKUP(ROUNDDOWN(TEXT(B32,"0000"),-1),VLOOKUP!$M$3:$W$32,RIGHT(TEXT(B32,"0000"),1)+2,FALSE))</f>
        <v>3632</v>
      </c>
      <c r="AY32" s="494">
        <f t="shared" si="29"/>
        <v>48.729333333333336</v>
      </c>
      <c r="AZ32" s="39">
        <f t="shared" si="11"/>
        <v>0.92156794408535392</v>
      </c>
      <c r="BA32" s="65"/>
      <c r="BB32" s="66"/>
      <c r="BC32" s="61"/>
      <c r="BD32" s="60"/>
      <c r="BE32" s="64">
        <v>0</v>
      </c>
      <c r="BF32" s="66">
        <v>62</v>
      </c>
      <c r="BG32" s="43">
        <v>36</v>
      </c>
      <c r="BH32" s="377"/>
      <c r="BI32" s="385">
        <f t="shared" si="12"/>
        <v>4.9192516572298999</v>
      </c>
      <c r="BJ32" s="60">
        <v>0.98199999999999998</v>
      </c>
      <c r="BK32" s="524">
        <v>16679</v>
      </c>
      <c r="BL32" s="296">
        <f t="shared" si="13"/>
        <v>0</v>
      </c>
      <c r="BM32" s="591">
        <f t="shared" si="14"/>
        <v>0</v>
      </c>
      <c r="BO32" s="574">
        <f t="shared" si="25"/>
        <v>18</v>
      </c>
      <c r="BP32" s="559">
        <v>6898.16</v>
      </c>
      <c r="BQ32" s="575">
        <f t="shared" si="15"/>
        <v>1.0000000000218279E-2</v>
      </c>
      <c r="BR32" s="597">
        <v>27.448958333333369</v>
      </c>
      <c r="BS32" s="576">
        <f t="shared" si="39"/>
        <v>7.5510416666666309</v>
      </c>
    </row>
    <row r="33" spans="1:71" ht="12.95" customHeight="1">
      <c r="A33" s="253">
        <f t="shared" si="17"/>
        <v>19</v>
      </c>
      <c r="B33" s="181">
        <v>6898.12</v>
      </c>
      <c r="C33" s="483">
        <f>IF(B33="",C32,VLOOKUP(TRUNC(B33,1),VLOOKUP!$A$3:$K$2834,RIGHT(TEXT(B33,"0000.00"),1)+2,FALSE))</f>
        <v>276698</v>
      </c>
      <c r="D33" s="43">
        <f t="shared" si="18"/>
        <v>-182</v>
      </c>
      <c r="E33" s="62">
        <f t="shared" si="0"/>
        <v>124698</v>
      </c>
      <c r="F33" s="186">
        <f t="shared" si="1"/>
        <v>-91.756995210486508</v>
      </c>
      <c r="G33" s="74">
        <v>150</v>
      </c>
      <c r="H33" s="74">
        <v>0.78900000000000003</v>
      </c>
      <c r="I33" s="74">
        <f t="shared" si="19"/>
        <v>150.78899999999999</v>
      </c>
      <c r="J33" s="187">
        <f t="shared" si="20"/>
        <v>0</v>
      </c>
      <c r="K33" s="74">
        <f t="shared" si="21"/>
        <v>150.78899999999999</v>
      </c>
      <c r="L33" s="74">
        <f t="shared" si="2"/>
        <v>-0.12599521048650786</v>
      </c>
      <c r="M33" s="188">
        <v>144</v>
      </c>
      <c r="N33" s="39">
        <v>0</v>
      </c>
      <c r="O33" s="74">
        <f>88*1.05</f>
        <v>92.4</v>
      </c>
      <c r="P33" s="65">
        <v>0</v>
      </c>
      <c r="Q33" s="144">
        <f>1437800/325851/1.9835*1.02</f>
        <v>2.2690673571850333</v>
      </c>
      <c r="R33" s="73">
        <f>IF(((2.8*1.04)-T33)&gt;=4.2,4.2,(2.8*1.04)-T33)</f>
        <v>2.0029609599999998</v>
      </c>
      <c r="S33" s="73">
        <f>IF(((2.8*1.04)-T33)&gt;=4.2,((2.8*1.04)-T33)-4.2,0)</f>
        <v>0</v>
      </c>
      <c r="T33" s="73">
        <f t="shared" ref="T33:T37" si="44">(0.8246*1.06)*1.04</f>
        <v>0.90903904000000013</v>
      </c>
      <c r="U33" s="131">
        <v>0</v>
      </c>
      <c r="V33" s="74">
        <v>50</v>
      </c>
      <c r="W33" s="74">
        <v>0.42</v>
      </c>
      <c r="X33" s="47">
        <f t="shared" si="5"/>
        <v>96.838932642814953</v>
      </c>
      <c r="Y33" s="47">
        <f t="shared" si="6"/>
        <v>96.838932642814953</v>
      </c>
      <c r="Z33" s="55">
        <v>0</v>
      </c>
      <c r="AA33" s="55">
        <f t="shared" si="34"/>
        <v>0</v>
      </c>
      <c r="AB33" s="616">
        <f t="shared" si="22"/>
        <v>663.18813393073356</v>
      </c>
      <c r="AC33" s="55">
        <f t="shared" si="40"/>
        <v>1238.2003211170845</v>
      </c>
      <c r="AD33" s="180"/>
      <c r="AE33" s="74">
        <v>13</v>
      </c>
      <c r="AF33" s="188">
        <v>1.7</v>
      </c>
      <c r="AG33" s="210">
        <v>1.3</v>
      </c>
      <c r="AH33" s="74">
        <v>35</v>
      </c>
      <c r="AI33" s="62">
        <f t="shared" si="26"/>
        <v>13335.511822044311</v>
      </c>
      <c r="AJ33" s="180"/>
      <c r="AK33" s="74">
        <f t="shared" si="7"/>
        <v>242.42</v>
      </c>
      <c r="AL33" s="74">
        <f t="shared" si="8"/>
        <v>0.12599521048650786</v>
      </c>
      <c r="AM33" s="74">
        <f t="shared" si="9"/>
        <v>242.5459952104865</v>
      </c>
      <c r="AN33" s="685">
        <f t="shared" si="32"/>
        <v>36.909999999999997</v>
      </c>
      <c r="AO33" s="618"/>
      <c r="AP33" s="558">
        <f t="shared" si="42"/>
        <v>117.27324930678091</v>
      </c>
      <c r="AQ33" s="558"/>
      <c r="AR33" s="489">
        <v>13.09</v>
      </c>
      <c r="AS33" s="489"/>
      <c r="AT33" s="180"/>
      <c r="AU33" s="629">
        <f>IF(G33="",0,IF(I33&gt;=(795+Q33+R33+AF33),795-(X33),I33-Q33-R33-AF33-(X33))-AJ33)</f>
        <v>47.978039040000013</v>
      </c>
      <c r="AV33" s="492">
        <v>0.11</v>
      </c>
      <c r="AW33" s="493">
        <f t="shared" si="41"/>
        <v>7.6999999999999999E-2</v>
      </c>
      <c r="AX33" s="494">
        <f>IF(AV33="",0,VLOOKUP(ROUNDDOWN(TEXT(B33,"0000"),-1),VLOOKUP!$M$3:$W$32,RIGHT(TEXT(B33,"0000"),1)+2,FALSE))</f>
        <v>3632</v>
      </c>
      <c r="AY33" s="494">
        <f t="shared" si="29"/>
        <v>23.305333333333333</v>
      </c>
      <c r="AZ33" s="39">
        <f t="shared" si="11"/>
        <v>0.45900661886370542</v>
      </c>
      <c r="BA33" s="65"/>
      <c r="BB33" s="66"/>
      <c r="BC33" s="61"/>
      <c r="BD33" s="60"/>
      <c r="BE33" s="64">
        <v>7.0000000000000007E-2</v>
      </c>
      <c r="BF33" s="66">
        <v>61</v>
      </c>
      <c r="BG33" s="43">
        <v>33</v>
      </c>
      <c r="BH33" s="377"/>
      <c r="BI33" s="385">
        <f t="shared" si="12"/>
        <v>5.1810673571850323</v>
      </c>
      <c r="BJ33" s="60">
        <v>1.04</v>
      </c>
      <c r="BK33" s="524">
        <v>16703</v>
      </c>
      <c r="BL33" s="296">
        <f t="shared" si="13"/>
        <v>0</v>
      </c>
      <c r="BM33" s="591">
        <f t="shared" si="14"/>
        <v>0</v>
      </c>
      <c r="BO33" s="574">
        <f t="shared" si="25"/>
        <v>19</v>
      </c>
      <c r="BP33" s="559">
        <v>6898.11</v>
      </c>
      <c r="BQ33" s="575">
        <f t="shared" si="15"/>
        <v>1.0000000000218279E-2</v>
      </c>
      <c r="BR33" s="597">
        <v>27.505208333333385</v>
      </c>
      <c r="BS33" s="576">
        <f t="shared" si="39"/>
        <v>7.4947916666666146</v>
      </c>
    </row>
    <row r="34" spans="1:71" ht="12.95" customHeight="1">
      <c r="A34" s="253">
        <f t="shared" si="17"/>
        <v>20</v>
      </c>
      <c r="B34" s="181">
        <v>6898.07</v>
      </c>
      <c r="C34" s="483">
        <f>IF(B34="",C33,VLOOKUP(TRUNC(B34,1),VLOOKUP!$A$3:$K$2834,RIGHT(TEXT(B34,"0000.00"),1)+2,FALSE))</f>
        <v>276516</v>
      </c>
      <c r="D34" s="43">
        <f t="shared" si="18"/>
        <v>-182</v>
      </c>
      <c r="E34" s="62">
        <f t="shared" si="0"/>
        <v>124516</v>
      </c>
      <c r="F34" s="186">
        <f>D34/$D$2</f>
        <v>-91.756995210486508</v>
      </c>
      <c r="G34" s="74">
        <v>150</v>
      </c>
      <c r="H34" s="74">
        <v>0.85799999999999998</v>
      </c>
      <c r="I34" s="74">
        <f t="shared" si="19"/>
        <v>150.858</v>
      </c>
      <c r="J34" s="187">
        <f>IF(L34&gt;0,L34,0)</f>
        <v>0</v>
      </c>
      <c r="K34" s="74">
        <f>I34+J34</f>
        <v>150.858</v>
      </c>
      <c r="L34" s="74">
        <f t="shared" si="2"/>
        <v>-22.814995210486501</v>
      </c>
      <c r="M34" s="188">
        <v>133</v>
      </c>
      <c r="N34" s="39">
        <v>0</v>
      </c>
      <c r="O34" s="74">
        <f>73*1.05</f>
        <v>76.650000000000006</v>
      </c>
      <c r="P34" s="65">
        <v>0</v>
      </c>
      <c r="Q34" s="144">
        <f>1394700/325851/1.9835*1.02</f>
        <v>2.2010489936472153</v>
      </c>
      <c r="R34" s="73">
        <f>IF(((2.9*1.04)-T34)&gt;=4.2,4.2,(2.9*1.04)-T34)</f>
        <v>2.1069609599999999</v>
      </c>
      <c r="S34" s="73">
        <f>IF(((2.9*1.04)-T34)&gt;=4.2,((2.9*1.04)-T34)-4.2,0)</f>
        <v>0</v>
      </c>
      <c r="T34" s="73">
        <f t="shared" si="44"/>
        <v>0.90903904000000013</v>
      </c>
      <c r="U34" s="131">
        <v>0</v>
      </c>
      <c r="V34" s="74">
        <v>50</v>
      </c>
      <c r="W34" s="74">
        <v>1.8</v>
      </c>
      <c r="X34" s="47">
        <f t="shared" si="5"/>
        <v>102.93295100635278</v>
      </c>
      <c r="Y34" s="47">
        <f t="shared" si="6"/>
        <v>102.93295100635278</v>
      </c>
      <c r="Z34" s="55">
        <v>0</v>
      </c>
      <c r="AA34" s="55">
        <f t="shared" si="34"/>
        <v>0</v>
      </c>
      <c r="AB34" s="616">
        <f t="shared" si="22"/>
        <v>798.07198725183434</v>
      </c>
      <c r="AC34" s="55">
        <f t="shared" si="40"/>
        <v>1279.8859476948392</v>
      </c>
      <c r="AD34" s="180"/>
      <c r="AE34" s="74">
        <v>0</v>
      </c>
      <c r="AF34" s="188">
        <v>1.7</v>
      </c>
      <c r="AG34" s="210">
        <v>1.3</v>
      </c>
      <c r="AH34" s="74">
        <v>35</v>
      </c>
      <c r="AI34" s="62">
        <f t="shared" si="26"/>
        <v>13300.511822044311</v>
      </c>
      <c r="AJ34" s="180"/>
      <c r="AK34" s="74">
        <f t="shared" si="7"/>
        <v>219.8</v>
      </c>
      <c r="AL34" s="74">
        <f t="shared" si="8"/>
        <v>22.814995210486501</v>
      </c>
      <c r="AM34" s="74">
        <f t="shared" si="9"/>
        <v>242.61499521048651</v>
      </c>
      <c r="AN34" s="685">
        <f t="shared" si="32"/>
        <v>34.93</v>
      </c>
      <c r="AO34" s="618"/>
      <c r="AP34" s="558">
        <f t="shared" si="42"/>
        <v>82.343249306780905</v>
      </c>
      <c r="AQ34" s="558"/>
      <c r="AR34" s="489">
        <v>15.07</v>
      </c>
      <c r="AS34" s="489"/>
      <c r="AT34" s="180"/>
      <c r="AU34" s="629">
        <f t="shared" si="43"/>
        <v>41.917039040000006</v>
      </c>
      <c r="AV34" s="492">
        <v>0.22</v>
      </c>
      <c r="AW34" s="493">
        <f t="shared" si="41"/>
        <v>0.154</v>
      </c>
      <c r="AX34" s="494">
        <f>IF(AV34="",0,VLOOKUP(ROUNDDOWN(TEXT(B34,"0000"),-1),VLOOKUP!$M$3:$W$32,RIGHT(TEXT(B34,"0000"),1)+2,FALSE))</f>
        <v>3632</v>
      </c>
      <c r="AY34" s="494">
        <f t="shared" si="29"/>
        <v>46.610666666666667</v>
      </c>
      <c r="AZ34" s="39">
        <f t="shared" si="11"/>
        <v>0.9503063461209843</v>
      </c>
      <c r="BA34" s="65"/>
      <c r="BB34" s="66"/>
      <c r="BC34" s="61"/>
      <c r="BD34" s="60"/>
      <c r="BE34" s="64">
        <v>0</v>
      </c>
      <c r="BF34" s="66">
        <v>63</v>
      </c>
      <c r="BG34" s="43">
        <v>33</v>
      </c>
      <c r="BH34" s="377"/>
      <c r="BI34" s="385">
        <f t="shared" si="12"/>
        <v>5.2170489936472144</v>
      </c>
      <c r="BJ34" s="60">
        <v>1.1299999999999999</v>
      </c>
      <c r="BK34" s="524">
        <v>16728</v>
      </c>
      <c r="BL34" s="296">
        <f t="shared" si="13"/>
        <v>0</v>
      </c>
      <c r="BM34" s="591">
        <f t="shared" si="14"/>
        <v>0</v>
      </c>
      <c r="BO34" s="574">
        <f t="shared" si="25"/>
        <v>20</v>
      </c>
      <c r="BP34" s="559">
        <v>6898.06</v>
      </c>
      <c r="BQ34" s="575">
        <f t="shared" si="15"/>
        <v>9.999999999308784E-3</v>
      </c>
      <c r="BR34" s="597">
        <v>27.486458333333385</v>
      </c>
      <c r="BS34" s="576">
        <f t="shared" si="39"/>
        <v>7.5135416666666153</v>
      </c>
    </row>
    <row r="35" spans="1:71" ht="12.95" customHeight="1">
      <c r="A35" s="253">
        <f t="shared" si="17"/>
        <v>21</v>
      </c>
      <c r="B35" s="181">
        <v>6897.99</v>
      </c>
      <c r="C35" s="483">
        <f>IF(B35="",C34,VLOOKUP(TRUNC(B35,1),VLOOKUP!$A$3:$K$2834,RIGHT(TEXT(B35,"0000.00"),1)+2,FALSE))</f>
        <v>276225</v>
      </c>
      <c r="D35" s="43">
        <f t="shared" si="18"/>
        <v>-291</v>
      </c>
      <c r="E35" s="62">
        <f t="shared" si="0"/>
        <v>124225</v>
      </c>
      <c r="F35" s="186">
        <f t="shared" si="1"/>
        <v>-146.71036047390976</v>
      </c>
      <c r="G35" s="74">
        <v>155</v>
      </c>
      <c r="H35" s="74">
        <v>0.93300000000000005</v>
      </c>
      <c r="I35" s="74">
        <f t="shared" si="19"/>
        <v>155.93299999999999</v>
      </c>
      <c r="J35" s="187">
        <f t="shared" si="20"/>
        <v>0</v>
      </c>
      <c r="K35" s="74">
        <f t="shared" si="21"/>
        <v>155.93299999999999</v>
      </c>
      <c r="L35" s="74">
        <f t="shared" si="2"/>
        <v>-23.643360473909752</v>
      </c>
      <c r="M35" s="188">
        <v>162</v>
      </c>
      <c r="N35" s="39">
        <v>0</v>
      </c>
      <c r="O35" s="74">
        <f>88*1.05</f>
        <v>92.4</v>
      </c>
      <c r="P35" s="65">
        <v>0</v>
      </c>
      <c r="Q35" s="144">
        <f>1187200/325851/1.9835*1.02</f>
        <v>1.8735823942482068</v>
      </c>
      <c r="R35" s="73">
        <f>IF(((2.9*1.04)-T35)&gt;=4.2,4.2,(2.9*1.04)-T35)</f>
        <v>2.1069609599999999</v>
      </c>
      <c r="S35" s="73">
        <f>IF(((2.9*1.04)-T35)&gt;=4.2,((2.9*1.04)-T35)-4.2,0)</f>
        <v>0</v>
      </c>
      <c r="T35" s="73">
        <f t="shared" si="44"/>
        <v>0.90903904000000013</v>
      </c>
      <c r="U35" s="131">
        <v>0</v>
      </c>
      <c r="V35" s="74">
        <v>64</v>
      </c>
      <c r="W35" s="74">
        <v>2.2999999999999998</v>
      </c>
      <c r="X35" s="47">
        <f t="shared" si="5"/>
        <v>131.0104176057518</v>
      </c>
      <c r="Y35" s="47">
        <f t="shared" si="6"/>
        <v>131.0104176057518</v>
      </c>
      <c r="Z35" s="55">
        <v>0</v>
      </c>
      <c r="AA35" s="55">
        <f t="shared" si="34"/>
        <v>0</v>
      </c>
      <c r="AB35" s="616">
        <f t="shared" si="22"/>
        <v>959.17268557284308</v>
      </c>
      <c r="AC35" s="55">
        <f t="shared" si="40"/>
        <v>1298.6488809389627</v>
      </c>
      <c r="AD35" s="180"/>
      <c r="AE35" s="74">
        <v>6.7</v>
      </c>
      <c r="AF35" s="188">
        <v>1.7</v>
      </c>
      <c r="AG35" s="210">
        <v>1.3</v>
      </c>
      <c r="AH35" s="74">
        <v>44</v>
      </c>
      <c r="AI35" s="62">
        <f t="shared" si="26"/>
        <v>13256.511822044311</v>
      </c>
      <c r="AJ35" s="180"/>
      <c r="AK35" s="74">
        <f t="shared" si="7"/>
        <v>279</v>
      </c>
      <c r="AL35" s="74">
        <f t="shared" si="8"/>
        <v>23.643360473909752</v>
      </c>
      <c r="AM35" s="74">
        <f t="shared" si="9"/>
        <v>302.64336047390975</v>
      </c>
      <c r="AN35" s="685">
        <f t="shared" si="32"/>
        <v>49.79</v>
      </c>
      <c r="AO35" s="618"/>
      <c r="AP35" s="558">
        <f t="shared" si="42"/>
        <v>32.553249306780906</v>
      </c>
      <c r="AQ35" s="558"/>
      <c r="AR35" s="489">
        <v>14.21</v>
      </c>
      <c r="AS35" s="489"/>
      <c r="AT35" s="180"/>
      <c r="AU35" s="629">
        <f t="shared" si="43"/>
        <v>19.24203903999998</v>
      </c>
      <c r="AV35" s="492">
        <v>0</v>
      </c>
      <c r="AW35" s="493">
        <f t="shared" si="41"/>
        <v>0</v>
      </c>
      <c r="AX35" s="494">
        <f>IF(AV35="",0,VLOOKUP(ROUNDDOWN(TEXT(B35,"0000"),-1),VLOOKUP!$M$3:$W$32,RIGHT(TEXT(B35,"0000"),1)+2,FALSE))</f>
        <v>3632</v>
      </c>
      <c r="AY35" s="494">
        <f t="shared" si="29"/>
        <v>0</v>
      </c>
      <c r="AZ35" s="39">
        <f t="shared" si="11"/>
        <v>0</v>
      </c>
      <c r="BA35" s="65"/>
      <c r="BB35" s="66"/>
      <c r="BC35" s="61"/>
      <c r="BD35" s="60"/>
      <c r="BE35" s="64">
        <v>0.16</v>
      </c>
      <c r="BF35" s="43">
        <v>60</v>
      </c>
      <c r="BG35" s="43">
        <v>36</v>
      </c>
      <c r="BH35" s="377"/>
      <c r="BI35" s="385">
        <f t="shared" si="12"/>
        <v>4.8895823942482064</v>
      </c>
      <c r="BJ35" s="60">
        <v>1.18</v>
      </c>
      <c r="BK35" s="524">
        <v>16764</v>
      </c>
      <c r="BL35" s="296">
        <f t="shared" si="13"/>
        <v>0</v>
      </c>
      <c r="BM35" s="591">
        <f t="shared" si="14"/>
        <v>0</v>
      </c>
      <c r="BO35" s="574">
        <f t="shared" si="25"/>
        <v>21</v>
      </c>
      <c r="BP35" s="559">
        <v>6897.99</v>
      </c>
      <c r="BQ35" s="575">
        <f t="shared" si="15"/>
        <v>0</v>
      </c>
      <c r="BR35" s="597">
        <v>43.157291666666616</v>
      </c>
      <c r="BS35" s="576">
        <f t="shared" si="39"/>
        <v>0.84270833333338402</v>
      </c>
    </row>
    <row r="36" spans="1:71" ht="12.95" customHeight="1">
      <c r="A36" s="253">
        <f t="shared" si="17"/>
        <v>22</v>
      </c>
      <c r="B36" s="181">
        <v>6897.91</v>
      </c>
      <c r="C36" s="483">
        <f>IF(B36="",C35,VLOOKUP(TRUNC(B36,1),VLOOKUP!$A$3:$K$2834,RIGHT(TEXT(B36,"0000.00"),1)+2,FALSE))</f>
        <v>275935</v>
      </c>
      <c r="D36" s="43">
        <f t="shared" si="18"/>
        <v>-290</v>
      </c>
      <c r="E36" s="62">
        <f t="shared" si="0"/>
        <v>123935</v>
      </c>
      <c r="F36" s="186">
        <f t="shared" si="1"/>
        <v>-146.20620115956643</v>
      </c>
      <c r="G36" s="74">
        <v>162</v>
      </c>
      <c r="H36" s="74">
        <v>0.89800000000000002</v>
      </c>
      <c r="I36" s="74">
        <f t="shared" si="19"/>
        <v>162.898</v>
      </c>
      <c r="J36" s="187">
        <f t="shared" si="20"/>
        <v>0</v>
      </c>
      <c r="K36" s="74">
        <f t="shared" si="21"/>
        <v>162.898</v>
      </c>
      <c r="L36" s="74">
        <f t="shared" si="2"/>
        <v>-11.204201159566452</v>
      </c>
      <c r="M36" s="188">
        <v>182</v>
      </c>
      <c r="N36" s="39">
        <v>0</v>
      </c>
      <c r="O36" s="74">
        <f>84*1.05</f>
        <v>88.2</v>
      </c>
      <c r="P36" s="65">
        <v>0</v>
      </c>
      <c r="Q36" s="144">
        <f>1246000/325851/1.9835*1.02</f>
        <v>1.9663777486803113</v>
      </c>
      <c r="R36" s="73">
        <f>IF(((2.9*1.04)-T36)&gt;=4.2,4.2,(2.9*1.04)-T36)</f>
        <v>2.1069609599999999</v>
      </c>
      <c r="S36" s="73">
        <f>IF(((2.9*1.04)-T36)&gt;=4.2,((2.9*1.04)-T36)-4.2,0)</f>
        <v>0</v>
      </c>
      <c r="T36" s="73">
        <f t="shared" si="44"/>
        <v>0.90903904000000013</v>
      </c>
      <c r="U36" s="131">
        <v>0</v>
      </c>
      <c r="V36" s="74">
        <v>50</v>
      </c>
      <c r="W36" s="74">
        <v>2.9</v>
      </c>
      <c r="X36" s="47">
        <f t="shared" si="5"/>
        <v>141.71762225131968</v>
      </c>
      <c r="Y36" s="47">
        <f t="shared" si="6"/>
        <v>141.71762225131968</v>
      </c>
      <c r="Z36" s="55">
        <v>0</v>
      </c>
      <c r="AA36" s="55">
        <f t="shared" si="34"/>
        <v>0</v>
      </c>
      <c r="AB36" s="616">
        <f t="shared" si="22"/>
        <v>1181.2207943083356</v>
      </c>
      <c r="AC36" s="55">
        <f t="shared" si="40"/>
        <v>1314.0559199789627</v>
      </c>
      <c r="AD36" s="180"/>
      <c r="AE36" s="74">
        <v>14</v>
      </c>
      <c r="AF36" s="188">
        <v>1.7</v>
      </c>
      <c r="AG36" s="210">
        <v>1.3</v>
      </c>
      <c r="AH36" s="74">
        <v>49</v>
      </c>
      <c r="AI36" s="62">
        <f t="shared" si="26"/>
        <v>13207.511822044311</v>
      </c>
      <c r="AJ36" s="180"/>
      <c r="AK36" s="74">
        <f t="shared" si="7"/>
        <v>297.89999999999998</v>
      </c>
      <c r="AL36" s="74">
        <f t="shared" si="8"/>
        <v>11.204201159566452</v>
      </c>
      <c r="AM36" s="74">
        <f t="shared" si="9"/>
        <v>309.1042011595664</v>
      </c>
      <c r="AN36" s="685">
        <f>IF(B36="","",V36-AR36)</f>
        <v>29.77</v>
      </c>
      <c r="AO36" s="618"/>
      <c r="AP36" s="558">
        <f t="shared" si="42"/>
        <v>2.7832493067809061</v>
      </c>
      <c r="AQ36" s="558"/>
      <c r="AR36" s="489">
        <v>20.23</v>
      </c>
      <c r="AS36" s="489"/>
      <c r="AT36" s="180"/>
      <c r="AU36" s="629">
        <f>IF(G36="",0,IF(I36&gt;=(795+Q36+R36+AF36),795-(X36),I36-Q36-R36-AF36-(X36))-AJ36)</f>
        <v>15.407039040000001</v>
      </c>
      <c r="AV36" s="492">
        <v>0.23</v>
      </c>
      <c r="AW36" s="493">
        <f t="shared" si="41"/>
        <v>0.161</v>
      </c>
      <c r="AX36" s="494">
        <f>IF(AV36="",0,VLOOKUP(ROUNDDOWN(TEXT(B36,"0000"),-1),VLOOKUP!$M$3:$W$32,RIGHT(TEXT(B36,"0000"),1)+2,FALSE))</f>
        <v>3632</v>
      </c>
      <c r="AY36" s="494">
        <f t="shared" si="29"/>
        <v>48.729333333333336</v>
      </c>
      <c r="AZ36" s="39">
        <f t="shared" si="11"/>
        <v>1.0248081030300187</v>
      </c>
      <c r="BA36" s="65"/>
      <c r="BB36" s="66"/>
      <c r="BC36" s="61"/>
      <c r="BD36" s="60"/>
      <c r="BE36" s="64">
        <v>0</v>
      </c>
      <c r="BF36" s="43">
        <v>66</v>
      </c>
      <c r="BG36" s="43">
        <v>33</v>
      </c>
      <c r="BH36" s="377"/>
      <c r="BI36" s="385">
        <f t="shared" si="12"/>
        <v>4.982377748680312</v>
      </c>
      <c r="BJ36" s="60">
        <v>1.23</v>
      </c>
      <c r="BK36" s="524">
        <v>16813</v>
      </c>
      <c r="BL36" s="296">
        <f t="shared" si="13"/>
        <v>0</v>
      </c>
      <c r="BM36" s="591">
        <f t="shared" si="14"/>
        <v>0</v>
      </c>
      <c r="BO36" s="574">
        <f t="shared" si="25"/>
        <v>22</v>
      </c>
      <c r="BP36" s="559">
        <v>6897.9</v>
      </c>
      <c r="BQ36" s="575">
        <f t="shared" si="15"/>
        <v>1.0000000000218279E-2</v>
      </c>
      <c r="BR36" s="597">
        <v>49.648958333333319</v>
      </c>
      <c r="BS36" s="576">
        <f t="shared" si="39"/>
        <v>-0.64895833333331865</v>
      </c>
    </row>
    <row r="37" spans="1:71" ht="12.95" customHeight="1">
      <c r="A37" s="253">
        <f t="shared" si="17"/>
        <v>23</v>
      </c>
      <c r="B37" s="181">
        <v>6897.84</v>
      </c>
      <c r="C37" s="483">
        <f>IF(B37="",C36,VLOOKUP(TRUNC(B37,1),VLOOKUP!$A$3:$K$2834,RIGHT(TEXT(B37,"0000.00"),1)+2,FALSE))</f>
        <v>275682</v>
      </c>
      <c r="D37" s="43">
        <f t="shared" si="18"/>
        <v>-253</v>
      </c>
      <c r="E37" s="62">
        <f t="shared" si="0"/>
        <v>123682</v>
      </c>
      <c r="F37" s="186">
        <f t="shared" si="1"/>
        <v>-127.55230652886311</v>
      </c>
      <c r="G37" s="74">
        <v>172</v>
      </c>
      <c r="H37" s="74">
        <v>0.84599999999999997</v>
      </c>
      <c r="I37" s="74">
        <f t="shared" si="19"/>
        <v>172.846</v>
      </c>
      <c r="J37" s="187">
        <f t="shared" si="20"/>
        <v>0</v>
      </c>
      <c r="K37" s="74">
        <f t="shared" si="21"/>
        <v>172.846</v>
      </c>
      <c r="L37" s="74">
        <f t="shared" si="2"/>
        <v>-27.598306528863105</v>
      </c>
      <c r="M37" s="188">
        <v>186</v>
      </c>
      <c r="N37" s="39">
        <v>0</v>
      </c>
      <c r="O37" s="74">
        <f>80*1.05</f>
        <v>84</v>
      </c>
      <c r="P37" s="65">
        <v>0</v>
      </c>
      <c r="Q37" s="144">
        <f>1425300/325851/1.9835*1.02</f>
        <v>2.2493404536067798</v>
      </c>
      <c r="R37" s="73">
        <f>IF(((2.3*1.04)-T37)&gt;=4.2,4.2,(2.3*1.04)-T37)</f>
        <v>1.4829609599999998</v>
      </c>
      <c r="S37" s="73">
        <f>IF(((2.3*1.04)-T37)&gt;=4.2,((2.3*1.04)-T37)-4.2,0)</f>
        <v>0</v>
      </c>
      <c r="T37" s="73">
        <f t="shared" si="44"/>
        <v>0.90903904000000013</v>
      </c>
      <c r="U37" s="131">
        <v>0</v>
      </c>
      <c r="V37" s="74">
        <v>20</v>
      </c>
      <c r="W37" s="74">
        <v>2.8</v>
      </c>
      <c r="X37" s="47">
        <f t="shared" si="5"/>
        <v>120.15865954639322</v>
      </c>
      <c r="Y37" s="47">
        <f t="shared" si="6"/>
        <v>120.15865954639322</v>
      </c>
      <c r="Z37" s="55">
        <v>0</v>
      </c>
      <c r="AA37" s="55">
        <f t="shared" si="34"/>
        <v>0</v>
      </c>
      <c r="AB37" s="616">
        <f t="shared" si="22"/>
        <v>1419.5554955186067</v>
      </c>
      <c r="AC37" s="55">
        <f t="shared" si="40"/>
        <v>1360.7942924684055</v>
      </c>
      <c r="AD37" s="180"/>
      <c r="AE37" s="74">
        <v>13</v>
      </c>
      <c r="AF37" s="188">
        <v>1.7</v>
      </c>
      <c r="AG37" s="210">
        <v>1.3</v>
      </c>
      <c r="AH37" s="74">
        <v>51</v>
      </c>
      <c r="AI37" s="62">
        <f t="shared" si="26"/>
        <v>13156.511822044311</v>
      </c>
      <c r="AJ37" s="180"/>
      <c r="AK37" s="74">
        <f t="shared" si="7"/>
        <v>272.8</v>
      </c>
      <c r="AL37" s="74">
        <f t="shared" si="8"/>
        <v>27.598306528863105</v>
      </c>
      <c r="AM37" s="74">
        <f t="shared" si="9"/>
        <v>300.39830652886315</v>
      </c>
      <c r="AN37" s="685">
        <f>IF(B37="","",V37-MIN(V37,AR37))</f>
        <v>0</v>
      </c>
      <c r="AO37" s="618"/>
      <c r="AP37" s="558">
        <v>0</v>
      </c>
      <c r="AQ37" s="558"/>
      <c r="AR37" s="489">
        <v>20.440000000000001</v>
      </c>
      <c r="AS37" s="489"/>
      <c r="AT37" s="180"/>
      <c r="AU37" s="629">
        <f>IF(G37="",0,IF(I37&gt;=(795+Q37+R37+AF37),795-(X37),I37-Q37-R37-AF37-(X37))-AJ37)</f>
        <v>47.255039040000028</v>
      </c>
      <c r="AV37" s="492">
        <v>0.33</v>
      </c>
      <c r="AW37" s="493">
        <f t="shared" si="41"/>
        <v>0.23099999999999998</v>
      </c>
      <c r="AX37" s="494">
        <f>IF(AV37="",0,VLOOKUP(ROUNDDOWN(TEXT(B37,"0000"),-1),VLOOKUP!$M$3:$W$32,RIGHT(TEXT(B37,"0000"),1)+2,FALSE))</f>
        <v>3632</v>
      </c>
      <c r="AY37" s="494">
        <f t="shared" si="29"/>
        <v>69.915999999999997</v>
      </c>
      <c r="AZ37" s="39">
        <f t="shared" si="11"/>
        <v>1.5257899787966758</v>
      </c>
      <c r="BA37" s="65"/>
      <c r="BB37" s="66"/>
      <c r="BC37" s="61"/>
      <c r="BD37" s="60"/>
      <c r="BE37" s="64">
        <v>0</v>
      </c>
      <c r="BF37" s="43">
        <v>70</v>
      </c>
      <c r="BG37" s="66">
        <v>34</v>
      </c>
      <c r="BH37" s="377"/>
      <c r="BI37" s="385">
        <f t="shared" si="12"/>
        <v>4.6413404536067802</v>
      </c>
      <c r="BJ37" s="60">
        <v>1.27</v>
      </c>
      <c r="BK37" s="445">
        <v>16846</v>
      </c>
      <c r="BL37" s="296">
        <f t="shared" si="13"/>
        <v>0</v>
      </c>
      <c r="BM37" s="591">
        <f t="shared" si="14"/>
        <v>0</v>
      </c>
      <c r="BO37" s="574">
        <f t="shared" si="25"/>
        <v>23</v>
      </c>
      <c r="BP37" s="559">
        <v>6897.84</v>
      </c>
      <c r="BQ37" s="575">
        <f t="shared" si="15"/>
        <v>0</v>
      </c>
      <c r="BR37" s="597">
        <v>49.635416666666636</v>
      </c>
      <c r="BS37" s="576">
        <f t="shared" si="39"/>
        <v>1.3645833333333641</v>
      </c>
    </row>
    <row r="38" spans="1:71" ht="12.95" customHeight="1">
      <c r="A38" s="253">
        <f t="shared" si="17"/>
        <v>24</v>
      </c>
      <c r="B38" s="181">
        <v>6897.79</v>
      </c>
      <c r="C38" s="483">
        <f>IF(B38="",C37,VLOOKUP(TRUNC(B38,1),VLOOKUP!$A$3:$K$2834,RIGHT(TEXT(B38,"0000.00"),1)+2,FALSE))</f>
        <v>275501</v>
      </c>
      <c r="D38" s="43">
        <f>C38-C37</f>
        <v>-181</v>
      </c>
      <c r="E38" s="62">
        <f t="shared" si="0"/>
        <v>123501</v>
      </c>
      <c r="F38" s="186">
        <f>D38/$D$2</f>
        <v>-91.252835896143182</v>
      </c>
      <c r="G38" s="74">
        <v>180</v>
      </c>
      <c r="H38" s="74">
        <v>0.90100000000000002</v>
      </c>
      <c r="I38" s="74">
        <f t="shared" si="19"/>
        <v>180.90100000000001</v>
      </c>
      <c r="J38" s="187">
        <f>IF(L38&gt;0,L38,0)</f>
        <v>0</v>
      </c>
      <c r="K38" s="74">
        <f t="shared" si="21"/>
        <v>180.90100000000001</v>
      </c>
      <c r="L38" s="74">
        <f t="shared" si="2"/>
        <v>-8.953835896143147</v>
      </c>
      <c r="M38" s="188">
        <v>197</v>
      </c>
      <c r="N38" s="39">
        <v>0</v>
      </c>
      <c r="O38" s="74">
        <f>92*1.05</f>
        <v>96.600000000000009</v>
      </c>
      <c r="P38" s="65">
        <v>0</v>
      </c>
      <c r="Q38" s="144">
        <f>1467500/325851/1.9835*1.02</f>
        <v>2.315938480086964</v>
      </c>
      <c r="R38" s="73">
        <f>IF(((3*1.04)-T38)&gt;=4.2,4.2,(3*1.04)-T38)</f>
        <v>2.2137169600000002</v>
      </c>
      <c r="S38" s="73">
        <f>IF(((3*1.04)-T38)&gt;=4.2,((3*1.04)-T38)-4.2,0)</f>
        <v>0</v>
      </c>
      <c r="T38" s="73">
        <f>(0.8221*1.06)*1.04</f>
        <v>0.90628304000000015</v>
      </c>
      <c r="U38" s="131">
        <v>0</v>
      </c>
      <c r="V38" s="74">
        <v>0</v>
      </c>
      <c r="W38" s="74">
        <v>5.9</v>
      </c>
      <c r="X38" s="47">
        <f t="shared" si="5"/>
        <v>100.86406151991302</v>
      </c>
      <c r="Y38" s="47">
        <f t="shared" si="6"/>
        <v>100.86406151991302</v>
      </c>
      <c r="Z38" s="55">
        <v>0</v>
      </c>
      <c r="AA38" s="55">
        <f t="shared" si="34"/>
        <v>0</v>
      </c>
      <c r="AB38" s="616">
        <f t="shared" si="22"/>
        <v>1619.6193615433542</v>
      </c>
      <c r="AC38" s="55">
        <f t="shared" si="40"/>
        <v>1433.8323342788635</v>
      </c>
      <c r="AD38" s="180"/>
      <c r="AE38" s="74">
        <v>9.3000000000000007</v>
      </c>
      <c r="AF38" s="188">
        <v>1.7</v>
      </c>
      <c r="AG38" s="210">
        <v>1.3</v>
      </c>
      <c r="AH38" s="74">
        <v>51</v>
      </c>
      <c r="AI38" s="62">
        <f t="shared" si="26"/>
        <v>13105.511822044311</v>
      </c>
      <c r="AJ38" s="180"/>
      <c r="AK38" s="74">
        <f t="shared" si="7"/>
        <v>263.20000000000005</v>
      </c>
      <c r="AL38" s="74">
        <f t="shared" si="8"/>
        <v>8.953835896143147</v>
      </c>
      <c r="AM38" s="74">
        <f t="shared" si="9"/>
        <v>272.15383589614316</v>
      </c>
      <c r="AN38" s="685"/>
      <c r="AO38" s="618"/>
      <c r="AP38" s="558"/>
      <c r="AQ38" s="558"/>
      <c r="AR38" s="489"/>
      <c r="AS38" s="489"/>
      <c r="AT38" s="180"/>
      <c r="AU38" s="629">
        <f t="shared" si="43"/>
        <v>73.80728304000003</v>
      </c>
      <c r="AV38" s="492">
        <v>0.26</v>
      </c>
      <c r="AW38" s="493">
        <f t="shared" si="41"/>
        <v>0.182</v>
      </c>
      <c r="AX38" s="494">
        <f>IF(AV38="",0,VLOOKUP(ROUNDDOWN(TEXT(B38,"0000"),-1),VLOOKUP!$M$3:$W$32,RIGHT(TEXT(B38,"0000"),1)+2,FALSE))</f>
        <v>3632</v>
      </c>
      <c r="AY38" s="494">
        <f>AW38/12*AX38</f>
        <v>55.085333333333331</v>
      </c>
      <c r="AZ38" s="39">
        <f t="shared" si="11"/>
        <v>1.2685163883405035</v>
      </c>
      <c r="BA38" s="65"/>
      <c r="BB38" s="66"/>
      <c r="BC38" s="61"/>
      <c r="BD38" s="60"/>
      <c r="BE38" s="64">
        <v>0</v>
      </c>
      <c r="BF38" s="43">
        <v>65</v>
      </c>
      <c r="BG38" s="66">
        <v>35</v>
      </c>
      <c r="BH38" s="377"/>
      <c r="BI38" s="385">
        <f t="shared" si="12"/>
        <v>5.4359384800869641</v>
      </c>
      <c r="BJ38" s="60">
        <v>1.05</v>
      </c>
      <c r="BK38" s="445">
        <v>16877</v>
      </c>
      <c r="BL38" s="296">
        <f t="shared" si="13"/>
        <v>0</v>
      </c>
      <c r="BM38" s="591">
        <f t="shared" si="14"/>
        <v>0</v>
      </c>
      <c r="BO38" s="574">
        <f t="shared" si="25"/>
        <v>24</v>
      </c>
      <c r="BP38" s="559">
        <v>6897.77</v>
      </c>
      <c r="BQ38" s="575">
        <f t="shared" si="15"/>
        <v>1.9999999999527063E-2</v>
      </c>
      <c r="BR38" s="597">
        <v>49.54270833333333</v>
      </c>
      <c r="BS38" s="576">
        <f t="shared" si="39"/>
        <v>1.45729166666667</v>
      </c>
    </row>
    <row r="39" spans="1:71" ht="12.95" customHeight="1">
      <c r="A39" s="253">
        <f t="shared" si="17"/>
        <v>25</v>
      </c>
      <c r="B39" s="181">
        <v>6897.72</v>
      </c>
      <c r="C39" s="483">
        <f>IF(B39="",C38,VLOOKUP(TRUNC(B39,1),VLOOKUP!$A$3:$K$2834,RIGHT(TEXT(B39,"0000.00"),1)+2,FALSE))</f>
        <v>275248</v>
      </c>
      <c r="D39" s="43">
        <f t="shared" si="18"/>
        <v>-253</v>
      </c>
      <c r="E39" s="62">
        <f t="shared" si="0"/>
        <v>123248</v>
      </c>
      <c r="F39" s="186">
        <f t="shared" si="1"/>
        <v>-127.55230652886311</v>
      </c>
      <c r="G39" s="74">
        <v>214</v>
      </c>
      <c r="H39" s="74">
        <v>0.89500000000000002</v>
      </c>
      <c r="I39" s="74">
        <f t="shared" si="19"/>
        <v>214.89500000000001</v>
      </c>
      <c r="J39" s="187">
        <f t="shared" si="20"/>
        <v>0</v>
      </c>
      <c r="K39" s="74">
        <f t="shared" si="21"/>
        <v>214.89500000000001</v>
      </c>
      <c r="L39" s="74">
        <f t="shared" si="2"/>
        <v>-42.747306528863135</v>
      </c>
      <c r="M39" s="188">
        <v>211</v>
      </c>
      <c r="N39" s="39">
        <v>0</v>
      </c>
      <c r="O39" s="74">
        <f>92*1.05</f>
        <v>96.600000000000009</v>
      </c>
      <c r="P39" s="65">
        <v>0</v>
      </c>
      <c r="Q39" s="144">
        <f>1699600/325851/1.9835*1.02</f>
        <v>2.6822276257279754</v>
      </c>
      <c r="R39" s="73">
        <f>IF(((4.1*1.04)-T39)&gt;=4.2,4.2,(4.1*1.04)-T39)</f>
        <v>3.3577169599999994</v>
      </c>
      <c r="S39" s="73">
        <f>IF(((4.1*1.04)-T39)&gt;=4.2,((4.1*1.04)-T39)-4.2,0)</f>
        <v>0</v>
      </c>
      <c r="T39" s="73">
        <f t="shared" ref="T39:T44" si="45">(0.8221*1.06)*1.04</f>
        <v>0.90628304000000015</v>
      </c>
      <c r="U39" s="131">
        <v>0</v>
      </c>
      <c r="V39" s="74">
        <v>22</v>
      </c>
      <c r="W39" s="74">
        <v>9</v>
      </c>
      <c r="X39" s="47">
        <f t="shared" si="5"/>
        <v>138.45377237427201</v>
      </c>
      <c r="Y39" s="47">
        <f t="shared" si="6"/>
        <v>138.45377237427201</v>
      </c>
      <c r="Z39" s="55">
        <v>0</v>
      </c>
      <c r="AA39" s="55">
        <f t="shared" si="34"/>
        <v>0</v>
      </c>
      <c r="AB39" s="616">
        <f t="shared" si="22"/>
        <v>1894.2424190477227</v>
      </c>
      <c r="AC39" s="55">
        <f t="shared" si="40"/>
        <v>1501.8940829662847</v>
      </c>
      <c r="AD39" s="180"/>
      <c r="AE39" s="74">
        <v>6.7</v>
      </c>
      <c r="AF39" s="188">
        <v>1.7</v>
      </c>
      <c r="AG39" s="210">
        <v>1.3</v>
      </c>
      <c r="AH39" s="74">
        <v>51</v>
      </c>
      <c r="AI39" s="62">
        <f t="shared" si="26"/>
        <v>13054.511822044311</v>
      </c>
      <c r="AJ39" s="180"/>
      <c r="AK39" s="74">
        <f t="shared" si="7"/>
        <v>299.7</v>
      </c>
      <c r="AL39" s="74">
        <f t="shared" si="8"/>
        <v>42.747306528863135</v>
      </c>
      <c r="AM39" s="74">
        <f t="shared" si="9"/>
        <v>342.44730652886312</v>
      </c>
      <c r="AN39" s="685"/>
      <c r="AO39" s="618"/>
      <c r="AP39" s="558"/>
      <c r="AQ39" s="558"/>
      <c r="AR39" s="489"/>
      <c r="AS39" s="489"/>
      <c r="AT39" s="180"/>
      <c r="AU39" s="629">
        <f t="shared" si="43"/>
        <v>68.70128304000005</v>
      </c>
      <c r="AV39" s="492">
        <v>0.28000000000000003</v>
      </c>
      <c r="AW39" s="493">
        <f t="shared" si="41"/>
        <v>0.19600000000000001</v>
      </c>
      <c r="AX39" s="494">
        <f>IF(AV39="",0,VLOOKUP(ROUNDDOWN(TEXT(B39,"0000"),-1),VLOOKUP!$M$3:$W$32,RIGHT(TEXT(B39,"0000"),1)+2,FALSE))</f>
        <v>3632</v>
      </c>
      <c r="AY39" s="494">
        <f t="shared" si="29"/>
        <v>59.32266666666667</v>
      </c>
      <c r="AZ39" s="39">
        <f t="shared" si="11"/>
        <v>1.4338783114616909</v>
      </c>
      <c r="BA39" s="65"/>
      <c r="BB39" s="66"/>
      <c r="BC39" s="61"/>
      <c r="BD39" s="60"/>
      <c r="BE39" s="64">
        <v>0</v>
      </c>
      <c r="BF39" s="43">
        <v>71</v>
      </c>
      <c r="BG39" s="66">
        <v>34</v>
      </c>
      <c r="BH39" s="377"/>
      <c r="BI39" s="385">
        <f t="shared" si="12"/>
        <v>6.9462276257279747</v>
      </c>
      <c r="BJ39" s="60">
        <v>0.97199999999999998</v>
      </c>
      <c r="BK39" s="445">
        <v>16912</v>
      </c>
      <c r="BL39" s="296">
        <f t="shared" si="13"/>
        <v>0</v>
      </c>
      <c r="BM39" s="591">
        <f t="shared" si="14"/>
        <v>0</v>
      </c>
      <c r="BO39" s="574">
        <f t="shared" si="25"/>
        <v>25</v>
      </c>
      <c r="BP39" s="559">
        <v>6897.71</v>
      </c>
      <c r="BQ39" s="575">
        <f t="shared" si="15"/>
        <v>1.0000000000218279E-2</v>
      </c>
      <c r="BR39" s="597">
        <v>49.638541666666661</v>
      </c>
      <c r="BS39" s="576">
        <f t="shared" si="39"/>
        <v>1.3614583333333385</v>
      </c>
    </row>
    <row r="40" spans="1:71" ht="12.95" customHeight="1">
      <c r="A40" s="253">
        <f t="shared" si="17"/>
        <v>26</v>
      </c>
      <c r="B40" s="181">
        <v>6897.7</v>
      </c>
      <c r="C40" s="483">
        <f>IF(B40="",C39,VLOOKUP(TRUNC(B40,1),VLOOKUP!$A$3:$K$2834,RIGHT(TEXT(B40,"0000.00"),1)+2,FALSE))</f>
        <v>275175</v>
      </c>
      <c r="D40" s="43">
        <f t="shared" si="18"/>
        <v>-73</v>
      </c>
      <c r="E40" s="62">
        <f t="shared" si="0"/>
        <v>123175</v>
      </c>
      <c r="F40" s="186">
        <f t="shared" si="1"/>
        <v>-36.803629947063271</v>
      </c>
      <c r="G40" s="74">
        <v>274</v>
      </c>
      <c r="H40" s="74">
        <v>1.9</v>
      </c>
      <c r="I40" s="74">
        <f t="shared" si="19"/>
        <v>275.89999999999998</v>
      </c>
      <c r="J40" s="187">
        <f t="shared" si="20"/>
        <v>0.89637005293677419</v>
      </c>
      <c r="K40" s="74">
        <f t="shared" si="21"/>
        <v>276.79637005293677</v>
      </c>
      <c r="L40" s="74">
        <f t="shared" si="2"/>
        <v>0.89637005293677419</v>
      </c>
      <c r="M40" s="188">
        <v>217</v>
      </c>
      <c r="N40" s="39">
        <v>0</v>
      </c>
      <c r="O40" s="23">
        <f>89*1.05</f>
        <v>93.45</v>
      </c>
      <c r="P40" s="65">
        <v>0</v>
      </c>
      <c r="Q40" s="144">
        <f>1789800/325851/1.9835*1.02</f>
        <v>2.8245769619486523</v>
      </c>
      <c r="R40" s="73">
        <f>IF(((4*1.04)-T40)&gt;=4.2,4.2,(4*1.04)-T40)</f>
        <v>3.2537169600000002</v>
      </c>
      <c r="S40" s="73">
        <f>IF(((4*1.04)-T40)&gt;=4.2,((4*1.04)-T40)-4.2,0)</f>
        <v>0</v>
      </c>
      <c r="T40" s="73">
        <f t="shared" si="45"/>
        <v>0.90628304000000015</v>
      </c>
      <c r="U40" s="131">
        <v>0</v>
      </c>
      <c r="V40" s="74">
        <v>37</v>
      </c>
      <c r="W40" s="74">
        <v>9.6</v>
      </c>
      <c r="X40" s="47">
        <f t="shared" si="5"/>
        <v>163.16542303805133</v>
      </c>
      <c r="Y40" s="47">
        <f t="shared" si="6"/>
        <v>163.16542303805133</v>
      </c>
      <c r="Z40" s="55">
        <v>0</v>
      </c>
      <c r="AA40" s="55">
        <f t="shared" si="34"/>
        <v>0</v>
      </c>
      <c r="AB40" s="616">
        <f t="shared" si="22"/>
        <v>2217.8810356436975</v>
      </c>
      <c r="AC40" s="55">
        <f>IF(AZ39="",AC39+AU40,AC39+AU40-(AZ39/$D$2))</f>
        <v>1606.1274628999265</v>
      </c>
      <c r="AD40" s="180"/>
      <c r="AE40" s="74">
        <v>0</v>
      </c>
      <c r="AF40" s="188">
        <v>1.7</v>
      </c>
      <c r="AG40" s="210">
        <v>1.3</v>
      </c>
      <c r="AH40" s="74">
        <v>50</v>
      </c>
      <c r="AI40" s="62">
        <f t="shared" si="26"/>
        <v>13004.511822044311</v>
      </c>
      <c r="AJ40" s="180"/>
      <c r="AK40" s="74">
        <f t="shared" si="7"/>
        <v>313.60000000000002</v>
      </c>
      <c r="AL40" s="74">
        <f t="shared" si="8"/>
        <v>0</v>
      </c>
      <c r="AM40" s="74">
        <f t="shared" si="9"/>
        <v>313.60000000000002</v>
      </c>
      <c r="AN40" s="685"/>
      <c r="AO40" s="618"/>
      <c r="AP40" s="558"/>
      <c r="AQ40" s="558"/>
      <c r="AR40" s="489"/>
      <c r="AS40" s="489"/>
      <c r="AT40" s="180"/>
      <c r="AU40" s="629">
        <f>IF(G40="",0,IF(I40&gt;=(795+Q40+R40+AF40),795-(X40),I40-Q40-R40-AF40-(X40))-AJ40)</f>
        <v>104.95628303999999</v>
      </c>
      <c r="AV40" s="492">
        <v>0.36</v>
      </c>
      <c r="AW40" s="493">
        <f t="shared" si="41"/>
        <v>0.252</v>
      </c>
      <c r="AX40" s="494">
        <f>IF(AV40="",0,VLOOKUP(ROUNDDOWN(TEXT(B40,"0000"),-1),VLOOKUP!$M$3:$W$32,RIGHT(TEXT(B40,"0000"),1)+2,FALSE))</f>
        <v>3632</v>
      </c>
      <c r="AY40" s="494">
        <f t="shared" si="29"/>
        <v>76.272000000000006</v>
      </c>
      <c r="AZ40" s="39">
        <f t="shared" si="11"/>
        <v>1.9726715288173446</v>
      </c>
      <c r="BA40" s="65"/>
      <c r="BB40" s="66"/>
      <c r="BC40" s="23"/>
      <c r="BD40" s="60"/>
      <c r="BE40" s="64">
        <v>0</v>
      </c>
      <c r="BF40" s="43">
        <v>75</v>
      </c>
      <c r="BG40" s="43">
        <v>41</v>
      </c>
      <c r="BH40" s="377"/>
      <c r="BI40" s="385">
        <f t="shared" si="12"/>
        <v>6.9845769619486529</v>
      </c>
      <c r="BJ40" s="60">
        <v>0.93300000000000005</v>
      </c>
      <c r="BK40" s="445">
        <v>16960</v>
      </c>
      <c r="BL40" s="296">
        <f t="shared" si="13"/>
        <v>0</v>
      </c>
      <c r="BM40" s="591">
        <f t="shared" si="14"/>
        <v>0</v>
      </c>
      <c r="BO40" s="574">
        <f t="shared" si="25"/>
        <v>26</v>
      </c>
      <c r="BP40" s="559">
        <v>6897.67</v>
      </c>
      <c r="BQ40" s="575">
        <f t="shared" si="15"/>
        <v>2.9999999999745341E-2</v>
      </c>
      <c r="BR40" s="597">
        <v>49.710416666666639</v>
      </c>
      <c r="BS40" s="576">
        <f t="shared" si="39"/>
        <v>0.28958333333336128</v>
      </c>
    </row>
    <row r="41" spans="1:71" s="657" customFormat="1" ht="12.95" customHeight="1">
      <c r="A41" s="612">
        <f t="shared" si="17"/>
        <v>27</v>
      </c>
      <c r="B41" s="632">
        <v>6897.69</v>
      </c>
      <c r="C41" s="633">
        <f>IF(B41="",C40,VLOOKUP(TRUNC(B41,1),VLOOKUP!$A$3:$K$2834,RIGHT(TEXT(B41,"0000.00"),1)+2,FALSE))</f>
        <v>275139</v>
      </c>
      <c r="D41" s="629">
        <f t="shared" si="18"/>
        <v>-36</v>
      </c>
      <c r="E41" s="609">
        <f t="shared" si="0"/>
        <v>123139</v>
      </c>
      <c r="F41" s="634">
        <f t="shared" si="1"/>
        <v>-18.149735316359969</v>
      </c>
      <c r="G41" s="621">
        <v>353</v>
      </c>
      <c r="H41" s="621">
        <v>7.97</v>
      </c>
      <c r="I41" s="621">
        <f t="shared" si="19"/>
        <v>360.97</v>
      </c>
      <c r="J41" s="608">
        <f t="shared" si="20"/>
        <v>0</v>
      </c>
      <c r="K41" s="621">
        <f t="shared" si="21"/>
        <v>360.97</v>
      </c>
      <c r="L41" s="621">
        <f t="shared" si="2"/>
        <v>-38.119735316359993</v>
      </c>
      <c r="M41" s="628">
        <v>234</v>
      </c>
      <c r="N41" s="610">
        <v>0</v>
      </c>
      <c r="O41" s="621">
        <f>87*1.05</f>
        <v>91.350000000000009</v>
      </c>
      <c r="P41" s="648">
        <v>0</v>
      </c>
      <c r="Q41" s="635">
        <f>1808500/325851/1.9835*1.02</f>
        <v>2.8540884097017196</v>
      </c>
      <c r="R41" s="636">
        <f>IF(((4.1*1.04)-T41)&gt;=4.2,4.2,(4.1*1.04)-T41)</f>
        <v>3.3577169599999994</v>
      </c>
      <c r="S41" s="636">
        <f>IF(((4.1*1.04)-T41)&gt;=4.2,((4.1*1.04)-T41)-4.2,0)</f>
        <v>0</v>
      </c>
      <c r="T41" s="636">
        <f t="shared" si="45"/>
        <v>0.90628304000000015</v>
      </c>
      <c r="U41" s="637">
        <v>0</v>
      </c>
      <c r="V41" s="621">
        <v>40</v>
      </c>
      <c r="W41" s="621">
        <v>16</v>
      </c>
      <c r="X41" s="627">
        <f t="shared" si="5"/>
        <v>191.53191159029825</v>
      </c>
      <c r="Y41" s="627">
        <f>IF(B41="",0,X41-AT41)</f>
        <v>191.53191159029825</v>
      </c>
      <c r="Z41" s="616">
        <f>Z40+(AU41-(AC41-AC40+(AZ40/1.9835)))</f>
        <v>62.000000000000057</v>
      </c>
      <c r="AA41" s="616">
        <f>IF(AU41&gt;=0,0,-AU41)</f>
        <v>0</v>
      </c>
      <c r="AB41" s="616">
        <f>IF(B41="",0,AB40+((Y41-AN41)+(AU41-(AC41-AC40+(AZ40/1.9835))))*1.9835)</f>
        <v>2720.7615822830539</v>
      </c>
      <c r="AC41" s="616">
        <f>IF(AZ40="",AC40+AU41,AC40+AU41-(AZ40/$D$2))-62</f>
        <v>1704.6592052145334</v>
      </c>
      <c r="AD41" s="617"/>
      <c r="AE41" s="621">
        <v>0</v>
      </c>
      <c r="AF41" s="628">
        <v>1.7</v>
      </c>
      <c r="AG41" s="638">
        <v>1.3</v>
      </c>
      <c r="AH41" s="621">
        <v>51</v>
      </c>
      <c r="AI41" s="609">
        <f t="shared" si="26"/>
        <v>12953.511822044311</v>
      </c>
      <c r="AJ41" s="617"/>
      <c r="AK41" s="621">
        <f t="shared" si="7"/>
        <v>341</v>
      </c>
      <c r="AL41" s="621">
        <f t="shared" si="8"/>
        <v>38.119735316359993</v>
      </c>
      <c r="AM41" s="621">
        <f t="shared" si="9"/>
        <v>379.11973531635999</v>
      </c>
      <c r="AN41" s="685"/>
      <c r="AO41" s="618"/>
      <c r="AP41" s="618"/>
      <c r="AQ41" s="618"/>
      <c r="AR41" s="627"/>
      <c r="AS41" s="627"/>
      <c r="AT41" s="617"/>
      <c r="AU41" s="629">
        <f>IF(G41="",0,IF(I41&gt;=(795+Q41+R41+AF41),795-(X41),I41-Q41-R41-AF41-(X41))-AJ41)</f>
        <v>161.52628304000007</v>
      </c>
      <c r="AV41" s="687">
        <v>0.28999999999999998</v>
      </c>
      <c r="AW41" s="688">
        <f t="shared" si="41"/>
        <v>0.20299999999999999</v>
      </c>
      <c r="AX41" s="629">
        <f>IF(AV41="",0,VLOOKUP(ROUNDDOWN(TEXT(B41,"0000"),-1),VLOOKUP!$M$3:$W$32,RIGHT(TEXT(B41,"0000"),1)+2,FALSE))</f>
        <v>3632</v>
      </c>
      <c r="AY41" s="629">
        <f t="shared" si="29"/>
        <v>61.441333333333333</v>
      </c>
      <c r="AZ41" s="610">
        <f t="shared" si="11"/>
        <v>1.7484370258455484</v>
      </c>
      <c r="BA41" s="648"/>
      <c r="BB41" s="689"/>
      <c r="BC41" s="656"/>
      <c r="BD41" s="690"/>
      <c r="BE41" s="607">
        <v>0</v>
      </c>
      <c r="BF41" s="629">
        <v>78</v>
      </c>
      <c r="BG41" s="629">
        <v>45</v>
      </c>
      <c r="BH41" s="641"/>
      <c r="BI41" s="642">
        <f t="shared" si="12"/>
        <v>7.118088409701719</v>
      </c>
      <c r="BJ41" s="690">
        <v>0.97299999999999998</v>
      </c>
      <c r="BK41" s="631">
        <v>17021</v>
      </c>
      <c r="BL41" s="643">
        <f t="shared" si="13"/>
        <v>0</v>
      </c>
      <c r="BM41" s="644">
        <f t="shared" si="14"/>
        <v>0</v>
      </c>
      <c r="BO41" s="612">
        <f t="shared" si="25"/>
        <v>27</v>
      </c>
      <c r="BP41" s="635">
        <v>6897.66</v>
      </c>
      <c r="BQ41" s="692">
        <f t="shared" si="15"/>
        <v>2.9999999999745341E-2</v>
      </c>
      <c r="BR41" s="636">
        <v>49.672916666666623</v>
      </c>
      <c r="BS41" s="621">
        <f t="shared" si="39"/>
        <v>1.3270833333333769</v>
      </c>
    </row>
    <row r="42" spans="1:71" s="657" customFormat="1" ht="12.95" customHeight="1">
      <c r="A42" s="612">
        <f t="shared" si="17"/>
        <v>28</v>
      </c>
      <c r="B42" s="632">
        <v>6897.72</v>
      </c>
      <c r="C42" s="633">
        <f>IF(B42="",C41,VLOOKUP(TRUNC(B42,1),VLOOKUP!$A$3:$K$2834,RIGHT(TEXT(B42,"0000.00"),1)+2,FALSE))</f>
        <v>275248</v>
      </c>
      <c r="D42" s="629">
        <f t="shared" si="18"/>
        <v>109</v>
      </c>
      <c r="E42" s="609">
        <f t="shared" si="0"/>
        <v>123248</v>
      </c>
      <c r="F42" s="634">
        <f t="shared" si="1"/>
        <v>54.953365263423244</v>
      </c>
      <c r="G42" s="621">
        <v>473</v>
      </c>
      <c r="H42" s="621">
        <v>16.5</v>
      </c>
      <c r="I42" s="621">
        <f t="shared" si="19"/>
        <v>489.5</v>
      </c>
      <c r="J42" s="608">
        <f t="shared" si="20"/>
        <v>0</v>
      </c>
      <c r="K42" s="621">
        <f t="shared" si="21"/>
        <v>489.5</v>
      </c>
      <c r="L42" s="621">
        <f t="shared" si="2"/>
        <v>-41.546634736576756</v>
      </c>
      <c r="M42" s="628">
        <v>250</v>
      </c>
      <c r="N42" s="610">
        <v>0</v>
      </c>
      <c r="O42" s="621">
        <f>98*1.05</f>
        <v>102.9</v>
      </c>
      <c r="P42" s="648">
        <v>0</v>
      </c>
      <c r="Q42" s="635">
        <f>1673100/325851/1.9835*1.02</f>
        <v>2.6404065901420779</v>
      </c>
      <c r="R42" s="636">
        <f>IF(((3.4*1.04)-T42)&gt;=4.2,4.2,(3.4*1.04)-T42)</f>
        <v>2.6297169599999997</v>
      </c>
      <c r="S42" s="636">
        <f>IF(((3.4*1.04)-T42)&gt;=4.2,((3.4*1.04)-T42)-4.2,0)</f>
        <v>0</v>
      </c>
      <c r="T42" s="636">
        <f t="shared" si="45"/>
        <v>0.90628304000000015</v>
      </c>
      <c r="U42" s="637">
        <v>0</v>
      </c>
      <c r="V42" s="621">
        <v>53</v>
      </c>
      <c r="W42" s="621">
        <v>18</v>
      </c>
      <c r="X42" s="627">
        <f>IF(B42="",0,M42-N42-O42-P42-Q42-R42-S42-T42-U42+V42+W42-BC42+BA42)</f>
        <v>211.92359340985792</v>
      </c>
      <c r="Y42" s="627">
        <f>IF(B42="",0,X42-AT42)</f>
        <v>211.92359340985792</v>
      </c>
      <c r="Z42" s="55">
        <f>Z41+(AU42)</f>
        <v>332.60628304000005</v>
      </c>
      <c r="AA42" s="616">
        <f t="shared" si="34"/>
        <v>0</v>
      </c>
      <c r="AB42" s="55">
        <f>IF(B42="",0,AB41+((Y42-AN42)+AU42)*1.9835)</f>
        <v>3677.8595922213472</v>
      </c>
      <c r="AC42" s="55">
        <f t="shared" ref="AC42:AC44" si="46">IF(AZ41="",AC41,AC41-(AZ41/$D$2))</f>
        <v>1703.7777144024105</v>
      </c>
      <c r="AD42" s="617"/>
      <c r="AE42" s="621">
        <v>21</v>
      </c>
      <c r="AF42" s="628">
        <v>1.7</v>
      </c>
      <c r="AG42" s="638">
        <v>1.3</v>
      </c>
      <c r="AH42" s="621">
        <v>51</v>
      </c>
      <c r="AI42" s="609">
        <f t="shared" si="26"/>
        <v>12902.511822044311</v>
      </c>
      <c r="AJ42" s="617"/>
      <c r="AK42" s="621">
        <f t="shared" si="7"/>
        <v>393</v>
      </c>
      <c r="AL42" s="621">
        <f t="shared" si="8"/>
        <v>41.546634736576756</v>
      </c>
      <c r="AM42" s="621">
        <f t="shared" si="9"/>
        <v>434.54663473657678</v>
      </c>
      <c r="AN42" s="685"/>
      <c r="AO42" s="618"/>
      <c r="AP42" s="618"/>
      <c r="AQ42" s="618"/>
      <c r="AR42" s="627"/>
      <c r="AS42" s="627"/>
      <c r="AT42" s="617"/>
      <c r="AU42" s="629">
        <f>IF(G42="",0,IF(I42&gt;=(795+Q42+R42+AF42),795-(X42),I42-Q42-R42-AF42-(X42))-AJ42)</f>
        <v>270.60628303999999</v>
      </c>
      <c r="AV42" s="687">
        <v>0.36</v>
      </c>
      <c r="AW42" s="688">
        <f t="shared" si="41"/>
        <v>0.252</v>
      </c>
      <c r="AX42" s="629">
        <f>IF(AV42="",0,VLOOKUP(ROUNDDOWN(TEXT(B42,"0000"),-1),VLOOKUP!$M$3:$W$32,RIGHT(TEXT(B42,"0000"),1)+2,FALSE))</f>
        <v>3632</v>
      </c>
      <c r="AY42" s="629">
        <f t="shared" si="29"/>
        <v>76.272000000000006</v>
      </c>
      <c r="AZ42" s="610">
        <f t="shared" si="11"/>
        <v>2.4996380929644442</v>
      </c>
      <c r="BA42" s="648"/>
      <c r="BB42" s="689"/>
      <c r="BC42" s="656"/>
      <c r="BD42" s="690"/>
      <c r="BE42" s="607">
        <v>0</v>
      </c>
      <c r="BF42" s="629">
        <v>77</v>
      </c>
      <c r="BG42" s="629">
        <v>42</v>
      </c>
      <c r="BH42" s="641"/>
      <c r="BI42" s="642">
        <f t="shared" si="12"/>
        <v>6.1764065901420775</v>
      </c>
      <c r="BJ42" s="690">
        <v>0.98499999999999999</v>
      </c>
      <c r="BK42" s="631">
        <v>17093</v>
      </c>
      <c r="BL42" s="643">
        <f t="shared" si="13"/>
        <v>0</v>
      </c>
      <c r="BM42" s="644">
        <f t="shared" si="14"/>
        <v>0</v>
      </c>
      <c r="BO42" s="612">
        <f t="shared" si="25"/>
        <v>28</v>
      </c>
      <c r="BP42" s="635">
        <v>6897.68</v>
      </c>
      <c r="BQ42" s="692">
        <f t="shared" si="15"/>
        <v>3.999999999996362E-2</v>
      </c>
      <c r="BR42" s="636">
        <v>49.118749999999942</v>
      </c>
      <c r="BS42" s="621">
        <f t="shared" si="39"/>
        <v>1.8812500000000583</v>
      </c>
    </row>
    <row r="43" spans="1:71" ht="12.95" customHeight="1">
      <c r="A43" s="253">
        <f t="shared" si="17"/>
        <v>29</v>
      </c>
      <c r="B43" s="181">
        <v>6897.8</v>
      </c>
      <c r="C43" s="483">
        <f>IF(B43="",C42,VLOOKUP(TRUNC(B43,1),VLOOKUP!$A$3:$K$2834,RIGHT(TEXT(B43,"0000.00"),1)+2,FALSE))</f>
        <v>275537</v>
      </c>
      <c r="D43" s="43">
        <f t="shared" si="18"/>
        <v>289</v>
      </c>
      <c r="E43" s="62">
        <f t="shared" si="0"/>
        <v>123537</v>
      </c>
      <c r="F43" s="186">
        <f t="shared" si="1"/>
        <v>145.70204184522308</v>
      </c>
      <c r="G43" s="74">
        <v>613</v>
      </c>
      <c r="H43" s="74">
        <v>23.7</v>
      </c>
      <c r="I43" s="74">
        <f t="shared" si="19"/>
        <v>636.70000000000005</v>
      </c>
      <c r="J43" s="187">
        <f t="shared" si="20"/>
        <v>0</v>
      </c>
      <c r="K43" s="74">
        <f t="shared" si="21"/>
        <v>636.70000000000005</v>
      </c>
      <c r="L43" s="74">
        <f t="shared" si="2"/>
        <v>-33.997958154777024</v>
      </c>
      <c r="M43" s="188">
        <v>269</v>
      </c>
      <c r="N43" s="39">
        <v>0</v>
      </c>
      <c r="O43" s="74">
        <f>88*1.05</f>
        <v>92.4</v>
      </c>
      <c r="P43" s="65">
        <v>0</v>
      </c>
      <c r="Q43" s="144">
        <f>1984500/325851/1.9835*1.02</f>
        <v>3.1318432120835293</v>
      </c>
      <c r="R43" s="73">
        <f>IF(((4.9*1.04)-T43)&gt;=4.2,4.2,(4.9*1.04)-T43)</f>
        <v>4.189716960000001</v>
      </c>
      <c r="S43" s="73">
        <f>IF(((4.9*1.04)-T43)&gt;=4.2,((4.9*1.04)-T43)-4.2,0)</f>
        <v>0</v>
      </c>
      <c r="T43" s="73">
        <f t="shared" si="45"/>
        <v>0.90628304000000015</v>
      </c>
      <c r="U43" s="131">
        <v>0</v>
      </c>
      <c r="V43" s="74">
        <v>62</v>
      </c>
      <c r="W43" s="74">
        <v>31</v>
      </c>
      <c r="X43" s="47">
        <f t="shared" si="5"/>
        <v>261.37215678791642</v>
      </c>
      <c r="Y43" s="47">
        <f t="shared" si="6"/>
        <v>261.37215678791642</v>
      </c>
      <c r="Z43" s="55">
        <f>Z42+(AU43)</f>
        <v>698.91256608000003</v>
      </c>
      <c r="AA43" s="55">
        <f t="shared" si="34"/>
        <v>0</v>
      </c>
      <c r="AB43" s="55">
        <f>IF(B43="",0,AB42+((Y43-AN43)+AU43)*1.9835)</f>
        <v>4922.8597776200195</v>
      </c>
      <c r="AC43" s="55">
        <f t="shared" si="46"/>
        <v>1702.5174985753551</v>
      </c>
      <c r="AD43" s="180"/>
      <c r="AE43" s="621">
        <v>44</v>
      </c>
      <c r="AF43" s="188">
        <v>1.7</v>
      </c>
      <c r="AG43" s="210">
        <v>1.3</v>
      </c>
      <c r="AH43" s="74">
        <v>51</v>
      </c>
      <c r="AI43" s="62">
        <f>AI42-AH43</f>
        <v>12851.511822044311</v>
      </c>
      <c r="AJ43" s="180"/>
      <c r="AK43" s="74">
        <f t="shared" si="7"/>
        <v>456.99999999999994</v>
      </c>
      <c r="AL43" s="74">
        <f t="shared" si="8"/>
        <v>33.997958154777024</v>
      </c>
      <c r="AM43" s="74">
        <f t="shared" si="9"/>
        <v>490.99795815477694</v>
      </c>
      <c r="AN43" s="685"/>
      <c r="AO43" s="618"/>
      <c r="AP43" s="558"/>
      <c r="AQ43" s="558"/>
      <c r="AR43" s="489"/>
      <c r="AS43" s="489"/>
      <c r="AT43" s="180"/>
      <c r="AU43" s="629">
        <f t="shared" si="43"/>
        <v>366.30628304000004</v>
      </c>
      <c r="AV43" s="492">
        <v>0.26</v>
      </c>
      <c r="AW43" s="493">
        <f t="shared" si="41"/>
        <v>0.182</v>
      </c>
      <c r="AX43" s="494">
        <f>IF(AV43="",0,VLOOKUP(ROUNDDOWN(TEXT(B43,"0000"),-1),VLOOKUP!$M$3:$W$32,RIGHT(TEXT(B43,"0000"),1)+2,FALSE))</f>
        <v>3632</v>
      </c>
      <c r="AY43" s="494">
        <f t="shared" si="29"/>
        <v>55.085333333333331</v>
      </c>
      <c r="AZ43" s="39">
        <f t="shared" si="11"/>
        <v>2.1239343045342784</v>
      </c>
      <c r="BA43" s="65"/>
      <c r="BB43" s="66"/>
      <c r="BC43" s="61"/>
      <c r="BD43" s="60"/>
      <c r="BE43" s="64">
        <v>0</v>
      </c>
      <c r="BF43" s="66">
        <v>81</v>
      </c>
      <c r="BG43" s="43">
        <v>39</v>
      </c>
      <c r="BH43" s="377"/>
      <c r="BI43" s="385">
        <f t="shared" si="12"/>
        <v>8.2278432120835312</v>
      </c>
      <c r="BJ43" s="60">
        <v>0.97499999999999998</v>
      </c>
      <c r="BK43" s="445">
        <v>17173</v>
      </c>
      <c r="BL43" s="296">
        <f t="shared" si="13"/>
        <v>0</v>
      </c>
      <c r="BM43" s="591">
        <f t="shared" si="14"/>
        <v>0</v>
      </c>
      <c r="BO43" s="574">
        <f t="shared" si="25"/>
        <v>29</v>
      </c>
      <c r="BP43" s="559">
        <v>6897.77</v>
      </c>
      <c r="BQ43" s="575">
        <f t="shared" si="15"/>
        <v>2.9999999999745341E-2</v>
      </c>
      <c r="BR43" s="597">
        <v>49.55416666666661</v>
      </c>
      <c r="BS43" s="576">
        <f t="shared" si="39"/>
        <v>1.4458333333333897</v>
      </c>
    </row>
    <row r="44" spans="1:71" s="657" customFormat="1" ht="12.95" customHeight="1">
      <c r="A44" s="612">
        <v>30</v>
      </c>
      <c r="B44" s="632">
        <v>6897.94</v>
      </c>
      <c r="C44" s="633">
        <f>IF(B44="",C43,VLOOKUP(TRUNC(B44,1),VLOOKUP!$A$3:$K$2834,RIGHT(TEXT(B44,"0000.00"),1)+2,FALSE))</f>
        <v>276044</v>
      </c>
      <c r="D44" s="629">
        <f t="shared" si="18"/>
        <v>507</v>
      </c>
      <c r="E44" s="609">
        <f t="shared" si="0"/>
        <v>124044</v>
      </c>
      <c r="F44" s="634">
        <f t="shared" si="1"/>
        <v>255.60877237206958</v>
      </c>
      <c r="G44" s="621">
        <v>785</v>
      </c>
      <c r="H44" s="621">
        <v>8.75</v>
      </c>
      <c r="I44" s="621">
        <f>G44+H44</f>
        <v>793.75</v>
      </c>
      <c r="J44" s="608">
        <f>IF(L44&gt;0,L44,0)</f>
        <v>0</v>
      </c>
      <c r="K44" s="621">
        <f>I44+J44</f>
        <v>793.75</v>
      </c>
      <c r="L44" s="621">
        <f t="shared" si="2"/>
        <v>-22.141227627930419</v>
      </c>
      <c r="M44" s="628">
        <v>291</v>
      </c>
      <c r="N44" s="610">
        <v>0</v>
      </c>
      <c r="O44" s="621">
        <f>93*1.05</f>
        <v>97.65</v>
      </c>
      <c r="P44" s="648">
        <v>0</v>
      </c>
      <c r="Q44" s="635">
        <f>1835000/325851/1.9835*1.02</f>
        <v>2.8959094452876171</v>
      </c>
      <c r="R44" s="636">
        <f>IF(((4.8*1.04)-T44)&gt;=4.2,4.2,(4.8*1.04)-T44)</f>
        <v>4.0857169600000001</v>
      </c>
      <c r="S44" s="636">
        <f>IF(((4.8*1.04)-T44)&gt;=4.2,((4.8*1.04)-T44)-4.2,0)</f>
        <v>0</v>
      </c>
      <c r="T44" s="73">
        <f t="shared" si="45"/>
        <v>0.90628304000000015</v>
      </c>
      <c r="U44" s="637">
        <v>0</v>
      </c>
      <c r="V44" s="621">
        <v>66</v>
      </c>
      <c r="W44" s="621">
        <v>40</v>
      </c>
      <c r="X44" s="627">
        <f t="shared" si="5"/>
        <v>291.46209055471235</v>
      </c>
      <c r="Y44" s="627">
        <f t="shared" si="6"/>
        <v>291.46209055471235</v>
      </c>
      <c r="Z44" s="616">
        <f>Z43+(AU44)</f>
        <v>1192.5188491199999</v>
      </c>
      <c r="AA44" s="616">
        <f t="shared" si="34"/>
        <v>0</v>
      </c>
      <c r="AB44" s="616">
        <f>IF(B44="",0,AB43+((Y44-AN44)+AU44)*1.9835)</f>
        <v>6480.0428966451309</v>
      </c>
      <c r="AC44" s="616">
        <f t="shared" si="46"/>
        <v>1701.4466973126709</v>
      </c>
      <c r="AD44" s="617"/>
      <c r="AE44" s="621">
        <v>68</v>
      </c>
      <c r="AF44" s="628">
        <v>1.7</v>
      </c>
      <c r="AG44" s="638">
        <v>1.3</v>
      </c>
      <c r="AH44" s="621">
        <v>51</v>
      </c>
      <c r="AI44" s="609">
        <f>AI43-AH44</f>
        <v>12800.511822044311</v>
      </c>
      <c r="AJ44" s="617"/>
      <c r="AK44" s="621">
        <f t="shared" si="7"/>
        <v>516</v>
      </c>
      <c r="AL44" s="621">
        <f t="shared" si="8"/>
        <v>22.141227627930419</v>
      </c>
      <c r="AM44" s="634">
        <f t="shared" si="9"/>
        <v>538.14122762793045</v>
      </c>
      <c r="AN44" s="685"/>
      <c r="AO44" s="618"/>
      <c r="AP44" s="618"/>
      <c r="AQ44" s="618"/>
      <c r="AR44" s="627"/>
      <c r="AS44" s="627"/>
      <c r="AT44" s="617"/>
      <c r="AU44" s="629">
        <f t="shared" si="43"/>
        <v>493.60628303999994</v>
      </c>
      <c r="AV44" s="687">
        <v>0.32</v>
      </c>
      <c r="AW44" s="688">
        <f t="shared" si="41"/>
        <v>0.22399999999999998</v>
      </c>
      <c r="AX44" s="629">
        <f>IF(AV44="",0,VLOOKUP(ROUNDDOWN(TEXT(B44,"0000"),-1),VLOOKUP!$M$3:$W$32,RIGHT(TEXT(B44,"0000"),1)+2,FALSE))</f>
        <v>3632</v>
      </c>
      <c r="AY44" s="629">
        <f>AW44/12*AX44</f>
        <v>67.797333333333327</v>
      </c>
      <c r="AZ44" s="610">
        <f t="shared" si="11"/>
        <v>3.1373459553952281</v>
      </c>
      <c r="BA44" s="648"/>
      <c r="BB44" s="689"/>
      <c r="BC44" s="656"/>
      <c r="BD44" s="690"/>
      <c r="BE44" s="607">
        <v>0</v>
      </c>
      <c r="BF44" s="689">
        <v>81</v>
      </c>
      <c r="BG44" s="629">
        <v>45</v>
      </c>
      <c r="BH44" s="641"/>
      <c r="BI44" s="644">
        <f t="shared" si="12"/>
        <v>7.8879094452876171</v>
      </c>
      <c r="BJ44" s="690">
        <v>0.80700000000000005</v>
      </c>
      <c r="BK44" s="631">
        <v>17268</v>
      </c>
      <c r="BL44" s="691">
        <f t="shared" si="13"/>
        <v>0</v>
      </c>
      <c r="BM44" s="644">
        <f t="shared" si="14"/>
        <v>0</v>
      </c>
      <c r="BO44" s="612">
        <f t="shared" si="25"/>
        <v>30</v>
      </c>
      <c r="BP44" s="635">
        <v>6897.89</v>
      </c>
      <c r="BQ44" s="692">
        <f t="shared" si="15"/>
        <v>4.9999999999272404E-2</v>
      </c>
      <c r="BR44" s="636">
        <v>49.723958333333279</v>
      </c>
      <c r="BS44" s="621">
        <f t="shared" si="39"/>
        <v>1.2760416666667211</v>
      </c>
    </row>
    <row r="45" spans="1:71" ht="3" customHeight="1">
      <c r="A45" s="275"/>
      <c r="B45" s="189"/>
      <c r="C45" s="69"/>
      <c r="D45" s="67"/>
      <c r="E45" s="69"/>
      <c r="F45" s="183"/>
      <c r="G45" s="67"/>
      <c r="H45" s="67"/>
      <c r="I45" s="67"/>
      <c r="J45" s="67"/>
      <c r="K45" s="67"/>
      <c r="L45" s="67"/>
      <c r="M45" s="184"/>
      <c r="N45" s="67"/>
      <c r="O45" s="67"/>
      <c r="P45" s="72"/>
      <c r="Q45" s="72"/>
      <c r="R45" s="72"/>
      <c r="S45" s="72"/>
      <c r="T45" s="72"/>
      <c r="U45" s="249"/>
      <c r="V45" s="67"/>
      <c r="W45" s="67"/>
      <c r="X45" s="67"/>
      <c r="Y45" s="67"/>
      <c r="Z45" s="71"/>
      <c r="AA45" s="67"/>
      <c r="AB45" s="71"/>
      <c r="AC45" s="71"/>
      <c r="AD45" s="185"/>
      <c r="AE45" s="67"/>
      <c r="AF45" s="184"/>
      <c r="AG45" s="68"/>
      <c r="AH45" s="67"/>
      <c r="AI45" s="67"/>
      <c r="AJ45" s="185"/>
      <c r="AK45" s="67"/>
      <c r="AL45" s="67"/>
      <c r="AM45" s="183"/>
      <c r="AN45" s="69"/>
      <c r="AO45" s="185"/>
      <c r="AP45" s="588"/>
      <c r="AQ45" s="588"/>
      <c r="AR45" s="506"/>
      <c r="AS45" s="506"/>
      <c r="AT45" s="185"/>
      <c r="AU45" s="71"/>
      <c r="AV45" s="491"/>
      <c r="AW45" s="491"/>
      <c r="AX45" s="491"/>
      <c r="AY45" s="491"/>
      <c r="AZ45" s="72"/>
      <c r="BA45" s="72"/>
      <c r="BB45" s="72"/>
      <c r="BC45" s="72"/>
      <c r="BD45" s="72"/>
      <c r="BE45" s="70"/>
      <c r="BF45" s="71"/>
      <c r="BG45" s="71"/>
      <c r="BH45" s="592"/>
      <c r="BI45" s="592"/>
      <c r="BJ45" s="71"/>
      <c r="BK45" s="592"/>
      <c r="BL45" s="71"/>
      <c r="BM45" s="592"/>
      <c r="BO45" s="497"/>
      <c r="BP45" s="497"/>
      <c r="BQ45" s="497"/>
      <c r="BR45" s="573"/>
      <c r="BS45" s="573"/>
    </row>
    <row r="46" spans="1:71" ht="12.95" customHeight="1">
      <c r="A46" s="61" t="s">
        <v>33</v>
      </c>
      <c r="B46" s="177"/>
      <c r="C46" s="62"/>
      <c r="D46" s="62"/>
      <c r="E46" s="62"/>
      <c r="F46" s="178">
        <f t="shared" ref="F46:Y46" si="47">SUM(F15:F44)</f>
        <v>-2224.8550541971263</v>
      </c>
      <c r="G46" s="62">
        <f t="shared" si="47"/>
        <v>5988</v>
      </c>
      <c r="H46" s="62">
        <f t="shared" si="47"/>
        <v>82.915000000000006</v>
      </c>
      <c r="I46" s="62">
        <f t="shared" si="47"/>
        <v>6070.915</v>
      </c>
      <c r="J46" s="62">
        <f t="shared" si="47"/>
        <v>17.346161583060304</v>
      </c>
      <c r="K46" s="62">
        <f t="shared" si="47"/>
        <v>6088.2611615830601</v>
      </c>
      <c r="L46" s="62">
        <f t="shared" si="47"/>
        <v>-711.11005419712637</v>
      </c>
      <c r="M46" s="179">
        <f t="shared" si="47"/>
        <v>3631.2</v>
      </c>
      <c r="N46" s="62">
        <f t="shared" si="47"/>
        <v>0</v>
      </c>
      <c r="O46" s="62">
        <f t="shared" si="47"/>
        <v>1896.1950000000002</v>
      </c>
      <c r="P46" s="65">
        <f t="shared" si="47"/>
        <v>0</v>
      </c>
      <c r="Q46" s="62">
        <f t="shared" si="47"/>
        <v>65.420093613719231</v>
      </c>
      <c r="R46" s="62">
        <f t="shared" si="47"/>
        <v>63.449986079999988</v>
      </c>
      <c r="S46" s="62">
        <f t="shared" si="47"/>
        <v>0</v>
      </c>
      <c r="T46" s="62">
        <f t="shared" si="47"/>
        <v>22.454013920000008</v>
      </c>
      <c r="U46" s="131">
        <f t="shared" si="47"/>
        <v>0</v>
      </c>
      <c r="V46" s="62">
        <f t="shared" si="47"/>
        <v>2259</v>
      </c>
      <c r="W46" s="62">
        <f t="shared" si="47"/>
        <v>159.72</v>
      </c>
      <c r="X46" s="62">
        <f t="shared" si="47"/>
        <v>4002.40090638628</v>
      </c>
      <c r="Y46" s="62">
        <f t="shared" si="47"/>
        <v>3900.4454874795115</v>
      </c>
      <c r="Z46" s="343"/>
      <c r="AA46" s="62"/>
      <c r="AB46" s="43"/>
      <c r="AC46" s="43">
        <f>AC44</f>
        <v>1701.4466973126709</v>
      </c>
      <c r="AD46" s="180"/>
      <c r="AE46" s="62">
        <f>SUM(AE15:AE44)</f>
        <v>329.74</v>
      </c>
      <c r="AF46" s="179">
        <f>SUM(AF15:AF44)</f>
        <v>51.000000000000021</v>
      </c>
      <c r="AG46" s="63">
        <f>SUM(AG15:AG44)</f>
        <v>38.999999999999993</v>
      </c>
      <c r="AH46" s="62">
        <f>SUM(AH15:AH44)</f>
        <v>1205</v>
      </c>
      <c r="AI46" s="62"/>
      <c r="AJ46" s="180">
        <f t="shared" ref="AJ46:AT46" si="48">SUM(AJ15:AJ44)</f>
        <v>0</v>
      </c>
      <c r="AK46" s="62">
        <f t="shared" si="48"/>
        <v>7584.66</v>
      </c>
      <c r="AL46" s="62">
        <f t="shared" si="48"/>
        <v>728.45621578018665</v>
      </c>
      <c r="AM46" s="178">
        <f t="shared" si="48"/>
        <v>8313.1162157801846</v>
      </c>
      <c r="AN46" s="62">
        <f>SUM(AN15:AN44)</f>
        <v>1825.9903529115204</v>
      </c>
      <c r="AO46" s="43">
        <f>SUM(AO15:AO44)</f>
        <v>-1016.3419609599999</v>
      </c>
      <c r="AP46" s="494">
        <f>SUM(AP15:AP44)</f>
        <v>17659.616363589059</v>
      </c>
      <c r="AQ46" s="494"/>
      <c r="AR46" s="505">
        <f t="shared" ref="AR46" si="49">SUM(AR15:AR44)</f>
        <v>129.25000000000003</v>
      </c>
      <c r="AS46" s="505"/>
      <c r="AT46" s="180">
        <f t="shared" si="48"/>
        <v>101.95541890676894</v>
      </c>
      <c r="AU46" s="43"/>
      <c r="AV46" s="489"/>
      <c r="AW46" s="489"/>
      <c r="AX46" s="489"/>
      <c r="AY46" s="489"/>
      <c r="BA46" s="65"/>
      <c r="BB46" s="66"/>
      <c r="BC46" s="62">
        <f>SUM(BC15:BC44)</f>
        <v>0</v>
      </c>
      <c r="BD46" s="60"/>
      <c r="BE46" s="64">
        <f>SUM(BE15:BE44)</f>
        <v>0.25</v>
      </c>
      <c r="BF46" s="43">
        <f>AVERAGE(BF15:BF44)</f>
        <v>65.166666666666671</v>
      </c>
      <c r="BG46" s="43">
        <f>AVERAGE(BG15:BG44)</f>
        <v>34.299999999999997</v>
      </c>
      <c r="BH46" s="178" t="s">
        <v>44</v>
      </c>
      <c r="BI46" s="178">
        <f>SUM(BI15:BI44)</f>
        <v>151.32409361371921</v>
      </c>
      <c r="BJ46">
        <f>SUM(BJ15:BJ44)</f>
        <v>29.563999999999997</v>
      </c>
      <c r="BK46" s="377"/>
      <c r="BL46" s="605">
        <f>SUM(BL15:BL44)</f>
        <v>0</v>
      </c>
      <c r="BM46" s="178">
        <f>SUM(BM15:BM44)</f>
        <v>0</v>
      </c>
      <c r="BP46" s="489"/>
      <c r="BQ46" s="489"/>
      <c r="BR46" s="505">
        <f>SUM(BR15:BR44)</f>
        <v>1045.1830541237123</v>
      </c>
      <c r="BS46" s="505">
        <f>SUM(BS15:BS44)</f>
        <v>159.81694587628797</v>
      </c>
    </row>
    <row r="47" spans="1:71" ht="12.95" customHeight="1">
      <c r="A47" s="61" t="s">
        <v>34</v>
      </c>
      <c r="B47" s="177"/>
      <c r="C47" s="62"/>
      <c r="D47" s="62">
        <f>SUM(D15:D44)</f>
        <v>-4413</v>
      </c>
      <c r="E47" s="62"/>
      <c r="F47" s="178">
        <f t="shared" ref="F47:U47" si="50">F46*$D$2</f>
        <v>-4413</v>
      </c>
      <c r="G47" s="62">
        <f t="shared" si="50"/>
        <v>11877.198</v>
      </c>
      <c r="H47" s="62">
        <f t="shared" si="50"/>
        <v>164.46190250000001</v>
      </c>
      <c r="I47" s="62">
        <f t="shared" si="50"/>
        <v>12041.6599025</v>
      </c>
      <c r="J47" s="62">
        <f t="shared" si="50"/>
        <v>34.406111500000115</v>
      </c>
      <c r="K47" s="62">
        <f t="shared" si="50"/>
        <v>12076.066014</v>
      </c>
      <c r="L47" s="62">
        <f t="shared" si="50"/>
        <v>-1410.4867925000001</v>
      </c>
      <c r="M47" s="179">
        <f t="shared" si="50"/>
        <v>7202.4852000000001</v>
      </c>
      <c r="N47" s="62">
        <f t="shared" si="50"/>
        <v>0</v>
      </c>
      <c r="O47" s="62">
        <f t="shared" si="50"/>
        <v>3761.1027825000006</v>
      </c>
      <c r="P47" s="65">
        <f t="shared" si="50"/>
        <v>0</v>
      </c>
      <c r="Q47" s="62">
        <f>Q46*$D$2</f>
        <v>129.76075568281209</v>
      </c>
      <c r="R47" s="62">
        <f>R46*$D$2</f>
        <v>125.85304738967997</v>
      </c>
      <c r="S47" s="62">
        <f t="shared" si="50"/>
        <v>0</v>
      </c>
      <c r="T47" s="62">
        <f>T46*$D$2</f>
        <v>44.537536610320018</v>
      </c>
      <c r="U47" s="131">
        <f t="shared" si="50"/>
        <v>0</v>
      </c>
      <c r="V47" s="62">
        <f>V46*$D$2</f>
        <v>4480.7264999999998</v>
      </c>
      <c r="W47" s="62">
        <f>W46*$D$2</f>
        <v>316.80462</v>
      </c>
      <c r="X47" s="62">
        <f>X46*$D$2</f>
        <v>7938.7621978171865</v>
      </c>
      <c r="Y47" s="62">
        <f>Y46*$D$2</f>
        <v>7736.5336244156115</v>
      </c>
      <c r="Z47" s="43"/>
      <c r="AA47" s="62"/>
      <c r="AB47" s="43"/>
      <c r="AC47" s="43">
        <f>AC46*$D$2</f>
        <v>3374.8195241196827</v>
      </c>
      <c r="AD47" s="180"/>
      <c r="AE47" s="62">
        <f>AE46*$D$2</f>
        <v>654.03929000000005</v>
      </c>
      <c r="AF47" s="179">
        <f>AF46*$D$2</f>
        <v>101.15850000000005</v>
      </c>
      <c r="AG47" s="63">
        <f>AG46*$D$2</f>
        <v>77.356499999999983</v>
      </c>
      <c r="AH47" s="62">
        <f>AH46*$D$2</f>
        <v>2390.1174999999998</v>
      </c>
      <c r="AI47" s="62"/>
      <c r="AJ47" s="180">
        <f t="shared" ref="AJ47:AT47" si="51">AJ46*$D$2</f>
        <v>0</v>
      </c>
      <c r="AK47" s="62">
        <f t="shared" si="51"/>
        <v>15044.17311</v>
      </c>
      <c r="AL47" s="62">
        <f t="shared" si="51"/>
        <v>1444.8929040000003</v>
      </c>
      <c r="AM47" s="178">
        <f t="shared" si="51"/>
        <v>16489.066013999996</v>
      </c>
      <c r="AN47" s="62">
        <f>AN46*D2</f>
        <v>3621.851865000001</v>
      </c>
      <c r="AO47" s="43">
        <f t="shared" ref="AO47:AP47" si="52">AO46*$D$2</f>
        <v>-2015.9142795641599</v>
      </c>
      <c r="AP47" s="494">
        <f t="shared" si="52"/>
        <v>35027.849057178901</v>
      </c>
      <c r="AQ47" s="494"/>
      <c r="AR47" s="505">
        <f>AR46*D2</f>
        <v>256.36737500000004</v>
      </c>
      <c r="AS47" s="505"/>
      <c r="AT47" s="180">
        <f t="shared" si="51"/>
        <v>202.2285734015762</v>
      </c>
      <c r="AU47" s="43"/>
      <c r="AV47" s="489">
        <f>SUM(AV15:AV44)</f>
        <v>6.910000000000001</v>
      </c>
      <c r="AW47" s="489"/>
      <c r="AX47" s="489"/>
      <c r="AY47" s="489">
        <f>SUM(AY15:AY44)</f>
        <v>1467.183666666667</v>
      </c>
      <c r="AZ47" s="65">
        <f>SUM(AZ15:AZ44)</f>
        <v>24.996365780673337</v>
      </c>
      <c r="BA47" s="65"/>
      <c r="BB47" s="66"/>
      <c r="BC47" s="62">
        <f>BC46*$D$2</f>
        <v>0</v>
      </c>
      <c r="BD47" s="60"/>
      <c r="BE47" s="64"/>
      <c r="BF47" s="43">
        <f>MAX(BF15:BF44)</f>
        <v>81</v>
      </c>
      <c r="BG47" s="43">
        <f>MAX(BG15:BG44)</f>
        <v>45</v>
      </c>
      <c r="BH47" s="178" t="s">
        <v>35</v>
      </c>
      <c r="BI47" s="178">
        <f>BI46*$D$2</f>
        <v>300.15133968281208</v>
      </c>
      <c r="BJ47">
        <f>BJ46*D2</f>
        <v>58.640193999999994</v>
      </c>
      <c r="BK47" s="377"/>
      <c r="BL47" s="605">
        <f>BL46*$D$2</f>
        <v>0</v>
      </c>
      <c r="BM47" s="178">
        <f>BM46*$D$2</f>
        <v>0</v>
      </c>
      <c r="BP47" s="489"/>
      <c r="BQ47" s="489"/>
      <c r="BR47" s="505">
        <f>BR46*$D$2</f>
        <v>2073.1205878543833</v>
      </c>
      <c r="BS47" s="505">
        <f>BS46*$D$2</f>
        <v>316.99691214561722</v>
      </c>
    </row>
    <row r="48" spans="1:71" ht="3" customHeight="1">
      <c r="A48" s="275"/>
      <c r="B48" s="189"/>
      <c r="C48" s="69"/>
      <c r="D48" s="69"/>
      <c r="E48" s="69"/>
      <c r="F48" s="190"/>
      <c r="G48" s="69"/>
      <c r="H48" s="67"/>
      <c r="I48" s="69"/>
      <c r="J48" s="69"/>
      <c r="K48" s="69"/>
      <c r="L48" s="69"/>
      <c r="M48" s="191"/>
      <c r="N48" s="69"/>
      <c r="O48" s="69"/>
      <c r="P48" s="72"/>
      <c r="Q48" s="69"/>
      <c r="R48" s="69"/>
      <c r="S48" s="69"/>
      <c r="T48" s="69"/>
      <c r="U48" s="249"/>
      <c r="V48" s="69"/>
      <c r="W48" s="69"/>
      <c r="X48" s="69"/>
      <c r="Y48" s="69"/>
      <c r="Z48" s="71"/>
      <c r="AA48" s="69"/>
      <c r="AB48" s="71"/>
      <c r="AC48" s="71"/>
      <c r="AD48" s="185"/>
      <c r="AE48" s="69"/>
      <c r="AF48" s="191"/>
      <c r="AG48" s="75"/>
      <c r="AH48" s="69"/>
      <c r="AI48" s="67"/>
      <c r="AJ48" s="185"/>
      <c r="AK48" s="69"/>
      <c r="AL48" s="69"/>
      <c r="AM48" s="190"/>
      <c r="AN48" s="69"/>
      <c r="AO48" s="185"/>
      <c r="AP48" s="588"/>
      <c r="AQ48" s="588"/>
      <c r="AR48" s="506"/>
      <c r="AS48" s="506"/>
      <c r="AT48" s="185"/>
      <c r="AU48" s="71"/>
      <c r="AV48" s="495"/>
      <c r="AW48" s="495"/>
      <c r="AX48" s="495"/>
      <c r="AY48" s="495"/>
      <c r="AZ48" s="72"/>
      <c r="BA48" s="72"/>
      <c r="BB48" s="72"/>
      <c r="BC48" s="69"/>
      <c r="BD48" s="72"/>
      <c r="BE48" s="192"/>
      <c r="BF48" s="69"/>
      <c r="BG48" s="69"/>
      <c r="BH48" s="190"/>
      <c r="BI48" s="190"/>
      <c r="BJ48" s="69"/>
      <c r="BK48" s="190"/>
      <c r="BL48" s="69"/>
      <c r="BM48" s="190"/>
      <c r="BO48" s="497"/>
      <c r="BP48" s="497"/>
      <c r="BQ48" s="497"/>
      <c r="BR48" s="506"/>
      <c r="BS48" s="506"/>
    </row>
    <row r="49" spans="1:71" ht="12.95" customHeight="1">
      <c r="A49" s="61" t="s">
        <v>36</v>
      </c>
      <c r="B49" s="177"/>
      <c r="C49" s="62"/>
      <c r="D49" s="62"/>
      <c r="E49" s="62"/>
      <c r="F49" s="178">
        <f t="shared" ref="F49:N49" si="53">F46</f>
        <v>-2224.8550541971263</v>
      </c>
      <c r="G49" s="62">
        <f t="shared" si="53"/>
        <v>5988</v>
      </c>
      <c r="H49" s="62">
        <f t="shared" si="53"/>
        <v>82.915000000000006</v>
      </c>
      <c r="I49" s="62">
        <f t="shared" si="53"/>
        <v>6070.915</v>
      </c>
      <c r="J49" s="62">
        <f t="shared" si="53"/>
        <v>17.346161583060304</v>
      </c>
      <c r="K49" s="62">
        <f t="shared" si="53"/>
        <v>6088.2611615830601</v>
      </c>
      <c r="L49" s="62">
        <f t="shared" si="53"/>
        <v>-711.11005419712637</v>
      </c>
      <c r="M49" s="179">
        <f t="shared" si="53"/>
        <v>3631.2</v>
      </c>
      <c r="N49" s="62">
        <f t="shared" si="53"/>
        <v>0</v>
      </c>
      <c r="O49" s="62">
        <f>O12+O46</f>
        <v>1948.0335000000002</v>
      </c>
      <c r="P49" s="65">
        <f>P12+P46</f>
        <v>0</v>
      </c>
      <c r="Q49" s="62"/>
      <c r="R49" s="62"/>
      <c r="S49" s="62"/>
      <c r="T49" s="62"/>
      <c r="U49" s="131"/>
      <c r="V49" s="62">
        <f>V46</f>
        <v>2259</v>
      </c>
      <c r="W49" s="62">
        <f>W46</f>
        <v>159.72</v>
      </c>
      <c r="X49" s="62">
        <f>X12+X46</f>
        <v>4002.40090638628</v>
      </c>
      <c r="Y49" s="62">
        <f>Y12+Y46</f>
        <v>3900.4454874795115</v>
      </c>
      <c r="Z49" s="62">
        <f>Z13+Z44</f>
        <v>1192.5188491199999</v>
      </c>
      <c r="AA49" s="62"/>
      <c r="AB49" s="43"/>
      <c r="AC49" s="43">
        <f>AC46</f>
        <v>1701.4466973126709</v>
      </c>
      <c r="AD49" s="180"/>
      <c r="AE49" s="62">
        <f>AE46+AE13</f>
        <v>329.74</v>
      </c>
      <c r="AF49" s="179">
        <f>AF46</f>
        <v>51.000000000000021</v>
      </c>
      <c r="AG49" s="63">
        <f>AG46</f>
        <v>38.999999999999993</v>
      </c>
      <c r="AH49" s="62">
        <f>AH46</f>
        <v>1205</v>
      </c>
      <c r="AI49" s="62"/>
      <c r="AJ49" s="180">
        <f>AJ46</f>
        <v>0</v>
      </c>
      <c r="AK49" s="62">
        <f>AK46</f>
        <v>7584.66</v>
      </c>
      <c r="AL49" s="62">
        <f>AL46</f>
        <v>728.45621578018665</v>
      </c>
      <c r="AM49" s="178">
        <f>AM46</f>
        <v>8313.1162157801846</v>
      </c>
      <c r="AN49" s="62">
        <f>AN46</f>
        <v>1825.9903529115204</v>
      </c>
      <c r="AO49" s="180"/>
      <c r="AP49" s="587"/>
      <c r="AQ49" s="587"/>
      <c r="AR49" s="505"/>
      <c r="AS49" s="505"/>
      <c r="AT49" s="180"/>
      <c r="AU49" s="43"/>
      <c r="AV49" s="489"/>
      <c r="AW49" s="489"/>
      <c r="AX49" s="489"/>
      <c r="AY49" s="489"/>
      <c r="AZ49" s="65"/>
      <c r="BA49" s="65"/>
      <c r="BB49" s="66"/>
      <c r="BC49" s="62">
        <f>BC46</f>
        <v>0</v>
      </c>
      <c r="BD49" s="60"/>
      <c r="BE49" s="64"/>
      <c r="BF49" s="43">
        <f>MIN(BF15:BF44)</f>
        <v>48</v>
      </c>
      <c r="BG49" s="43">
        <f>MIN(BG15:BG44)</f>
        <v>21</v>
      </c>
      <c r="BH49" s="178" t="s">
        <v>37</v>
      </c>
      <c r="BI49" s="178">
        <f>BI46</f>
        <v>151.32409361371921</v>
      </c>
      <c r="BJ49" s="62">
        <f>BJ12+BJ46</f>
        <v>29.563999999999997</v>
      </c>
      <c r="BK49" s="377"/>
      <c r="BL49" s="605">
        <f>BL46+BL12</f>
        <v>0</v>
      </c>
      <c r="BM49" s="178">
        <f>BM46</f>
        <v>0</v>
      </c>
      <c r="BP49" s="489"/>
      <c r="BQ49" s="489"/>
      <c r="BR49" s="505"/>
      <c r="BS49" s="505"/>
    </row>
    <row r="50" spans="1:71" ht="12.95" customHeight="1">
      <c r="A50" s="61" t="s">
        <v>38</v>
      </c>
      <c r="B50" s="177"/>
      <c r="C50" s="62"/>
      <c r="D50" s="62"/>
      <c r="E50" s="62"/>
      <c r="F50" s="178">
        <f t="shared" ref="F50:P50" si="54">F49*$D$2</f>
        <v>-4413</v>
      </c>
      <c r="G50" s="62">
        <f t="shared" si="54"/>
        <v>11877.198</v>
      </c>
      <c r="H50" s="62">
        <f t="shared" si="54"/>
        <v>164.46190250000001</v>
      </c>
      <c r="I50" s="62">
        <f t="shared" si="54"/>
        <v>12041.6599025</v>
      </c>
      <c r="J50" s="62">
        <f t="shared" si="54"/>
        <v>34.406111500000115</v>
      </c>
      <c r="K50" s="62">
        <f t="shared" si="54"/>
        <v>12076.066014</v>
      </c>
      <c r="L50" s="62">
        <f t="shared" si="54"/>
        <v>-1410.4867925000001</v>
      </c>
      <c r="M50" s="179">
        <f t="shared" si="54"/>
        <v>7202.4852000000001</v>
      </c>
      <c r="N50" s="62">
        <f t="shared" si="54"/>
        <v>0</v>
      </c>
      <c r="O50" s="62">
        <f t="shared" si="54"/>
        <v>3863.9244472500004</v>
      </c>
      <c r="P50" s="65">
        <f t="shared" si="54"/>
        <v>0</v>
      </c>
      <c r="Q50" s="62"/>
      <c r="R50" s="62"/>
      <c r="S50" s="62"/>
      <c r="T50" s="62"/>
      <c r="U50" s="131"/>
      <c r="V50" s="62">
        <f>V49*$D$2</f>
        <v>4480.7264999999998</v>
      </c>
      <c r="W50" s="62">
        <f>W49*$D$2</f>
        <v>316.80462</v>
      </c>
      <c r="X50" s="62">
        <f>X49*$D$2</f>
        <v>7938.7621978171865</v>
      </c>
      <c r="Y50" s="62">
        <f>Y49*$D$2</f>
        <v>7736.5336244156115</v>
      </c>
      <c r="Z50" s="62">
        <f>Z49*$D$2</f>
        <v>2365.36113722952</v>
      </c>
      <c r="AA50" s="62"/>
      <c r="AB50" s="43"/>
      <c r="AC50" s="43">
        <f>AC49*$D$2</f>
        <v>3374.8195241196827</v>
      </c>
      <c r="AD50" s="180"/>
      <c r="AE50" s="62">
        <f>AE49*$D$2</f>
        <v>654.03929000000005</v>
      </c>
      <c r="AF50" s="179">
        <f>AF49*$D$2</f>
        <v>101.15850000000005</v>
      </c>
      <c r="AG50" s="63">
        <f>AG49*$D$2</f>
        <v>77.356499999999983</v>
      </c>
      <c r="AH50" s="62">
        <f>AH49*$D$2</f>
        <v>2390.1174999999998</v>
      </c>
      <c r="AI50" s="62"/>
      <c r="AJ50" s="180">
        <f>AJ49*$D$2</f>
        <v>0</v>
      </c>
      <c r="AK50" s="62">
        <f>AK49*$D$2</f>
        <v>15044.17311</v>
      </c>
      <c r="AL50" s="62">
        <f>AL49*$D$2</f>
        <v>1444.8929040000003</v>
      </c>
      <c r="AM50" s="178">
        <f>AM49*$D$2</f>
        <v>16489.066013999996</v>
      </c>
      <c r="AN50" s="62">
        <f>AN49*$D$2</f>
        <v>3621.851865000001</v>
      </c>
      <c r="AO50" s="180"/>
      <c r="AP50" s="587"/>
      <c r="AQ50" s="587"/>
      <c r="AR50" s="505"/>
      <c r="AS50" s="505"/>
      <c r="AT50" s="180"/>
      <c r="AU50" s="43"/>
      <c r="AV50" s="489">
        <f>AV47</f>
        <v>6.910000000000001</v>
      </c>
      <c r="AW50" s="489"/>
      <c r="AX50" s="489"/>
      <c r="AY50" s="489">
        <f>AY47</f>
        <v>1467.183666666667</v>
      </c>
      <c r="AZ50" s="65">
        <f>AZ47</f>
        <v>24.996365780673337</v>
      </c>
      <c r="BA50" s="65"/>
      <c r="BB50" s="66"/>
      <c r="BC50" s="62">
        <f>BC49*$D$2</f>
        <v>0</v>
      </c>
      <c r="BD50" s="60"/>
      <c r="BE50" s="64"/>
      <c r="BF50" s="43"/>
      <c r="BG50" s="43"/>
      <c r="BH50" s="377"/>
      <c r="BI50" s="178">
        <f>BI49*$D$2</f>
        <v>300.15133968281208</v>
      </c>
      <c r="BJ50" s="62">
        <f>BJ49*$D$2</f>
        <v>58.640193999999994</v>
      </c>
      <c r="BK50" s="377"/>
      <c r="BL50" s="605">
        <f>BL49*$D$2</f>
        <v>0</v>
      </c>
      <c r="BM50" s="178">
        <f>BM49*$D$2</f>
        <v>0</v>
      </c>
      <c r="BP50" s="489"/>
      <c r="BQ50" s="489"/>
      <c r="BR50" s="505"/>
      <c r="BS50" s="505"/>
    </row>
    <row r="51" spans="1:71" ht="3" customHeight="1">
      <c r="A51" s="275"/>
      <c r="B51" s="189"/>
      <c r="C51" s="69"/>
      <c r="D51" s="69"/>
      <c r="E51" s="69"/>
      <c r="F51" s="190"/>
      <c r="G51" s="69"/>
      <c r="H51" s="67"/>
      <c r="I51" s="69"/>
      <c r="J51" s="69"/>
      <c r="K51" s="69"/>
      <c r="L51" s="69"/>
      <c r="M51" s="191"/>
      <c r="N51" s="69"/>
      <c r="O51" s="69"/>
      <c r="P51" s="72"/>
      <c r="Q51" s="69"/>
      <c r="R51" s="69"/>
      <c r="S51" s="69"/>
      <c r="T51" s="69"/>
      <c r="U51" s="249"/>
      <c r="V51" s="69"/>
      <c r="W51" s="69"/>
      <c r="X51" s="69"/>
      <c r="Y51" s="69"/>
      <c r="Z51" s="71"/>
      <c r="AA51" s="69"/>
      <c r="AB51" s="71"/>
      <c r="AC51" s="71"/>
      <c r="AD51" s="185"/>
      <c r="AE51" s="69"/>
      <c r="AF51" s="191"/>
      <c r="AG51" s="75"/>
      <c r="AH51" s="69"/>
      <c r="AI51" s="69"/>
      <c r="AJ51" s="185"/>
      <c r="AK51" s="69"/>
      <c r="AL51" s="69"/>
      <c r="AM51" s="190"/>
      <c r="AN51" s="69"/>
      <c r="AO51" s="185"/>
      <c r="AP51" s="588"/>
      <c r="AQ51" s="588"/>
      <c r="AR51" s="506"/>
      <c r="AS51" s="506"/>
      <c r="AT51" s="185"/>
      <c r="AU51" s="71"/>
      <c r="AV51" s="496"/>
      <c r="AW51" s="496"/>
      <c r="AX51" s="496"/>
      <c r="AY51" s="496"/>
      <c r="AZ51" s="72"/>
      <c r="BA51" s="72"/>
      <c r="BB51" s="72"/>
      <c r="BC51" s="72"/>
      <c r="BD51" s="72"/>
      <c r="BE51" s="70"/>
      <c r="BF51" s="193"/>
      <c r="BG51" s="193"/>
      <c r="BH51" s="594"/>
      <c r="BI51" s="594"/>
      <c r="BJ51" s="193"/>
      <c r="BK51" s="594"/>
      <c r="BL51" s="193"/>
      <c r="BM51" s="594"/>
      <c r="BO51" s="497"/>
      <c r="BP51" s="497"/>
      <c r="BQ51" s="497"/>
      <c r="BR51" s="506"/>
      <c r="BS51" s="506"/>
    </row>
    <row r="52" spans="1:71" ht="12.95" customHeight="1">
      <c r="A52" s="61" t="s">
        <v>39</v>
      </c>
      <c r="B52" s="177"/>
      <c r="C52" s="62"/>
      <c r="D52" s="62"/>
      <c r="E52" s="62"/>
      <c r="F52" s="178">
        <f t="shared" ref="F52:O52" si="55">F13+F46</f>
        <v>-8243.50894882783</v>
      </c>
      <c r="G52" s="62">
        <f t="shared" si="55"/>
        <v>12597.8</v>
      </c>
      <c r="H52" s="62">
        <f t="shared" si="55"/>
        <v>131.16499999999999</v>
      </c>
      <c r="I52" s="62">
        <f t="shared" si="55"/>
        <v>12728.965</v>
      </c>
      <c r="J52" s="62">
        <f t="shared" si="55"/>
        <v>1891.1902936728009</v>
      </c>
      <c r="K52" s="62">
        <f t="shared" si="55"/>
        <v>14620.1552936728</v>
      </c>
      <c r="L52" s="62">
        <f t="shared" si="55"/>
        <v>-1017.7739488278295</v>
      </c>
      <c r="M52" s="179">
        <f t="shared" si="55"/>
        <v>4411.74</v>
      </c>
      <c r="N52" s="62">
        <f t="shared" si="55"/>
        <v>0</v>
      </c>
      <c r="O52" s="62">
        <f t="shared" si="55"/>
        <v>1948.0335000000002</v>
      </c>
      <c r="P52" s="65"/>
      <c r="Q52" s="62">
        <f t="shared" ref="Q52:Y52" si="56">Q13+Q46</f>
        <v>318.76908651897088</v>
      </c>
      <c r="R52" s="62">
        <f t="shared" si="56"/>
        <v>63.449986079999988</v>
      </c>
      <c r="S52" s="62">
        <f t="shared" si="56"/>
        <v>237.27519087999997</v>
      </c>
      <c r="T52" s="62">
        <f t="shared" si="56"/>
        <v>110.05115888000003</v>
      </c>
      <c r="U52" s="218">
        <f t="shared" si="56"/>
        <v>-46.583886557747249</v>
      </c>
      <c r="V52" s="62">
        <f t="shared" si="56"/>
        <v>7451</v>
      </c>
      <c r="W52" s="62">
        <f t="shared" si="56"/>
        <v>193.22</v>
      </c>
      <c r="X52" s="62">
        <f t="shared" si="56"/>
        <v>9424.9649641987744</v>
      </c>
      <c r="Y52" s="62">
        <f t="shared" si="56"/>
        <v>9174.894132274856</v>
      </c>
      <c r="Z52" s="43"/>
      <c r="AA52" s="62"/>
      <c r="AB52" s="43"/>
      <c r="AC52" s="43">
        <f>AC46+AC13</f>
        <v>1701.4466973126709</v>
      </c>
      <c r="AD52" s="180"/>
      <c r="AE52" s="62">
        <f>AE13+AE49</f>
        <v>329.74</v>
      </c>
      <c r="AF52" s="179">
        <f>AF13+AF46</f>
        <v>51.000000000000021</v>
      </c>
      <c r="AG52" s="63">
        <f>AG13+AG46</f>
        <v>38.999999999999993</v>
      </c>
      <c r="AH52" s="62">
        <f>AH13+AH46</f>
        <v>7569</v>
      </c>
      <c r="AI52" s="62">
        <f>AI44</f>
        <v>12800.511822044311</v>
      </c>
      <c r="AJ52" s="180">
        <f t="shared" ref="AJ52:AT52" si="57">AJ13+AJ46</f>
        <v>0</v>
      </c>
      <c r="AK52" s="62">
        <f t="shared" si="57"/>
        <v>19954.7</v>
      </c>
      <c r="AL52" s="62">
        <f t="shared" si="57"/>
        <v>2908.96424250063</v>
      </c>
      <c r="AM52" s="178">
        <f t="shared" si="57"/>
        <v>22863.664242500628</v>
      </c>
      <c r="AN52" s="62">
        <f t="shared" si="57"/>
        <v>6969.5910587345606</v>
      </c>
      <c r="AO52" s="43">
        <f>AO13+AO46</f>
        <v>2.9203479411654598</v>
      </c>
      <c r="AP52" s="494">
        <f>AP46+AP13</f>
        <v>19432.092688119163</v>
      </c>
      <c r="AQ52" s="494"/>
      <c r="AR52" s="505"/>
      <c r="AS52" s="505"/>
      <c r="AT52" s="180">
        <f t="shared" si="57"/>
        <v>250.07083192391997</v>
      </c>
      <c r="AU52" s="43"/>
      <c r="AV52" s="489"/>
      <c r="AW52" s="489"/>
      <c r="AX52" s="489"/>
      <c r="AY52" s="489"/>
      <c r="AZ52" s="65"/>
      <c r="BA52" s="65"/>
      <c r="BB52" s="66"/>
      <c r="BD52" s="60"/>
      <c r="BE52" s="64">
        <f>BE13+BE46</f>
        <v>6.8950000000000005</v>
      </c>
      <c r="BF52" s="43"/>
      <c r="BG52" s="43"/>
      <c r="BH52" s="377"/>
      <c r="BI52" s="178">
        <f>BI13+BI46</f>
        <v>682.9615358012237</v>
      </c>
      <c r="BJ52" s="1">
        <f>BJ46+BJ13</f>
        <v>269.38000000000005</v>
      </c>
      <c r="BK52" s="377"/>
      <c r="BL52" s="605">
        <f>BL13+BL46</f>
        <v>0</v>
      </c>
      <c r="BM52" s="178">
        <f>BM13+BM46</f>
        <v>0</v>
      </c>
      <c r="BP52" s="489"/>
      <c r="BQ52" s="489"/>
      <c r="BR52" s="505">
        <f>BR13+BR46</f>
        <v>1045.1830541237123</v>
      </c>
      <c r="BS52" s="505">
        <f>BS13+BS46</f>
        <v>159.81694587628797</v>
      </c>
    </row>
    <row r="53" spans="1:71" ht="12.95" customHeight="1">
      <c r="A53" s="61" t="s">
        <v>40</v>
      </c>
      <c r="B53" s="409"/>
      <c r="C53" s="410"/>
      <c r="D53" s="410">
        <f>D13+D47</f>
        <v>-16351</v>
      </c>
      <c r="E53" s="410">
        <f>E44</f>
        <v>124044</v>
      </c>
      <c r="F53" s="411">
        <f t="shared" ref="F53:AM53" si="58">F52*$D$2</f>
        <v>-16351.000000000002</v>
      </c>
      <c r="G53" s="62">
        <f t="shared" si="58"/>
        <v>24987.7363</v>
      </c>
      <c r="H53" s="62">
        <f t="shared" si="58"/>
        <v>260.16577749999999</v>
      </c>
      <c r="I53" s="62">
        <f t="shared" si="58"/>
        <v>25247.902077499999</v>
      </c>
      <c r="J53" s="62">
        <f t="shared" si="58"/>
        <v>3751.1759475000008</v>
      </c>
      <c r="K53" s="62">
        <f t="shared" si="58"/>
        <v>28999.078024999999</v>
      </c>
      <c r="L53" s="62">
        <f t="shared" si="58"/>
        <v>-2018.7546274999997</v>
      </c>
      <c r="M53" s="179">
        <f t="shared" si="58"/>
        <v>8750.6862899999996</v>
      </c>
      <c r="N53" s="62">
        <f t="shared" si="58"/>
        <v>0</v>
      </c>
      <c r="O53" s="62">
        <f t="shared" si="58"/>
        <v>3863.9244472500004</v>
      </c>
      <c r="P53" s="65"/>
      <c r="Q53" s="62">
        <f>Q52*$D$2</f>
        <v>632.27848311037872</v>
      </c>
      <c r="R53" s="62">
        <f>R52*$D$2</f>
        <v>125.85304738967997</v>
      </c>
      <c r="S53" s="62">
        <f t="shared" si="58"/>
        <v>470.63534111047994</v>
      </c>
      <c r="T53" s="62">
        <f t="shared" si="58"/>
        <v>218.28647363848006</v>
      </c>
      <c r="U53" s="218">
        <f t="shared" si="58"/>
        <v>-92.399138987291664</v>
      </c>
      <c r="V53" s="62">
        <f t="shared" si="58"/>
        <v>14779.058500000001</v>
      </c>
      <c r="W53" s="62">
        <f t="shared" si="58"/>
        <v>383.25187</v>
      </c>
      <c r="X53" s="62">
        <f t="shared" si="58"/>
        <v>18694.418006488271</v>
      </c>
      <c r="Y53" s="62">
        <f t="shared" si="58"/>
        <v>18198.402511367178</v>
      </c>
      <c r="Z53" s="43"/>
      <c r="AA53" s="62"/>
      <c r="AB53" s="43"/>
      <c r="AC53" s="43">
        <f>AC52*$D$2</f>
        <v>3374.8195241196827</v>
      </c>
      <c r="AD53" s="180"/>
      <c r="AE53" s="62">
        <f>AE52*$D$2</f>
        <v>654.03929000000005</v>
      </c>
      <c r="AF53" s="346">
        <f>AF52*$D$2</f>
        <v>101.15850000000005</v>
      </c>
      <c r="AG53" s="345">
        <f>AG52*$D$2</f>
        <v>77.356499999999983</v>
      </c>
      <c r="AH53" s="62">
        <f t="shared" si="58"/>
        <v>15013.111500000001</v>
      </c>
      <c r="AI53" s="62">
        <f t="shared" si="58"/>
        <v>25389.815199024892</v>
      </c>
      <c r="AJ53" s="180">
        <f t="shared" si="58"/>
        <v>0</v>
      </c>
      <c r="AK53" s="62">
        <f t="shared" si="58"/>
        <v>39580.147450000004</v>
      </c>
      <c r="AL53" s="62">
        <f t="shared" si="58"/>
        <v>5769.9305749999994</v>
      </c>
      <c r="AM53" s="411">
        <f t="shared" si="58"/>
        <v>45350.078024999995</v>
      </c>
      <c r="AN53" s="62">
        <f>AN52*D2</f>
        <v>13824.183865000001</v>
      </c>
      <c r="AO53" s="43">
        <f>AO52*$D$2</f>
        <v>5.7925101413016895</v>
      </c>
      <c r="AP53" s="494">
        <f>AP52*$D$2+12454</f>
        <v>50997.555846884359</v>
      </c>
      <c r="AQ53" s="494"/>
      <c r="AR53" s="505"/>
      <c r="AS53" s="505"/>
      <c r="AT53" s="180">
        <f>AT52*$D$2</f>
        <v>496.01549512109528</v>
      </c>
      <c r="AU53" s="43"/>
      <c r="AV53" s="489"/>
      <c r="AW53" s="489"/>
      <c r="AX53" s="489"/>
      <c r="AY53" s="489"/>
      <c r="AZ53" s="65">
        <f>AZ47</f>
        <v>24.996365780673337</v>
      </c>
      <c r="BA53" s="65"/>
      <c r="BB53" s="66"/>
      <c r="BD53" s="60"/>
      <c r="BE53" s="64"/>
      <c r="BF53" s="43"/>
      <c r="BG53" s="43"/>
      <c r="BH53" s="377"/>
      <c r="BI53" s="411">
        <f>BI52*$D$2</f>
        <v>1354.6542062617273</v>
      </c>
      <c r="BJ53">
        <f>BJ52*D2</f>
        <v>534.31523000000016</v>
      </c>
      <c r="BK53" s="377"/>
      <c r="BL53" s="410">
        <f>BL52*$D$2</f>
        <v>0</v>
      </c>
      <c r="BM53" s="411">
        <f>BM52*$D$2</f>
        <v>0</v>
      </c>
      <c r="BP53" s="489"/>
      <c r="BQ53" s="489"/>
      <c r="BR53" s="505">
        <f>BR52*$D$2</f>
        <v>2073.1205878543833</v>
      </c>
      <c r="BS53" s="505">
        <f>BS52*$D$2</f>
        <v>316.99691214561722</v>
      </c>
    </row>
    <row r="54" spans="1:71" ht="3" customHeight="1">
      <c r="A54" s="275"/>
      <c r="B54" s="305"/>
      <c r="C54" s="299"/>
      <c r="D54" s="275"/>
      <c r="E54" s="299"/>
      <c r="F54" s="300"/>
      <c r="G54" s="275"/>
      <c r="H54" s="275"/>
      <c r="I54" s="275"/>
      <c r="J54" s="275"/>
      <c r="K54" s="275"/>
      <c r="L54" s="275"/>
      <c r="M54" s="302"/>
      <c r="N54" s="275"/>
      <c r="O54" s="275"/>
      <c r="P54" s="303"/>
      <c r="Q54" s="275"/>
      <c r="R54" s="275"/>
      <c r="S54" s="275"/>
      <c r="T54" s="275"/>
      <c r="U54" s="321"/>
      <c r="V54" s="275"/>
      <c r="W54" s="275"/>
      <c r="X54" s="275"/>
      <c r="Y54" s="275"/>
      <c r="Z54" s="307"/>
      <c r="AA54" s="275"/>
      <c r="AB54" s="307"/>
      <c r="AC54" s="71"/>
      <c r="AD54" s="309"/>
      <c r="AE54" s="275"/>
      <c r="AF54" s="302"/>
      <c r="AG54" s="308"/>
      <c r="AH54" s="275"/>
      <c r="AI54" s="299"/>
      <c r="AJ54" s="443"/>
      <c r="AK54" s="275"/>
      <c r="AL54" s="275"/>
      <c r="AM54" s="275"/>
      <c r="AN54" s="357"/>
      <c r="AO54" s="185"/>
      <c r="AP54" s="588"/>
      <c r="AQ54" s="588"/>
      <c r="AR54" s="507"/>
      <c r="AS54" s="507"/>
      <c r="AT54" s="309"/>
      <c r="AU54" s="307"/>
      <c r="AV54" s="497"/>
      <c r="AW54" s="497"/>
      <c r="AX54" s="497"/>
      <c r="AY54" s="497"/>
      <c r="AZ54" s="72"/>
      <c r="BA54" s="303"/>
      <c r="BB54" s="303"/>
      <c r="BC54" s="262"/>
      <c r="BD54" s="260"/>
      <c r="BE54" s="305"/>
      <c r="BF54" s="275"/>
      <c r="BG54" s="275"/>
      <c r="BH54" s="300"/>
      <c r="BI54" s="300"/>
      <c r="BJ54" s="275"/>
      <c r="BK54" s="300"/>
      <c r="BL54" s="275"/>
      <c r="BM54" s="300"/>
      <c r="BO54" s="497"/>
      <c r="BP54" s="578"/>
      <c r="BQ54" s="578"/>
      <c r="BR54" s="579"/>
      <c r="BS54" s="579"/>
    </row>
    <row r="55" spans="1:71" ht="14.1" customHeight="1">
      <c r="A55" s="312"/>
      <c r="B55" s="313"/>
      <c r="D55" s="61"/>
      <c r="F55" s="61"/>
      <c r="G55" s="61"/>
      <c r="H55" s="61"/>
      <c r="I55" s="61"/>
      <c r="J55" s="61"/>
      <c r="K55" s="61"/>
      <c r="L55" s="61"/>
      <c r="M55" s="61"/>
      <c r="N55" s="61"/>
      <c r="O55" s="61"/>
      <c r="Q55" s="61"/>
      <c r="R55" s="61"/>
      <c r="S55" s="61"/>
      <c r="T55" s="61"/>
      <c r="V55" s="61"/>
      <c r="W55" s="61"/>
      <c r="X55" s="61"/>
      <c r="Y55" s="61"/>
      <c r="Z55" s="290"/>
      <c r="AA55" s="61"/>
      <c r="AB55" s="290"/>
      <c r="AC55" s="290"/>
      <c r="AD55" s="23"/>
      <c r="AE55" s="61"/>
      <c r="AF55" s="61"/>
      <c r="AG55" s="61"/>
      <c r="AH55" s="61"/>
      <c r="AI55" s="31"/>
      <c r="AK55" s="61"/>
      <c r="AL55" s="61"/>
      <c r="AM55" s="60"/>
      <c r="AN55" s="31"/>
      <c r="AO55" s="27"/>
      <c r="AP55" s="589"/>
      <c r="AQ55" s="589"/>
      <c r="AR55" s="508"/>
      <c r="AS55" s="508"/>
      <c r="AT55" s="23"/>
      <c r="AU55" s="201"/>
      <c r="AV55" s="484"/>
      <c r="AW55" s="484"/>
      <c r="AX55" s="484"/>
      <c r="AY55" s="484"/>
      <c r="AZ55" s="36"/>
      <c r="BA55" s="36"/>
      <c r="BB55" s="60"/>
      <c r="BC55" s="173"/>
      <c r="BD55" s="173"/>
      <c r="BG55" s="290"/>
      <c r="BI55"/>
      <c r="BL55" s="598"/>
      <c r="BM55"/>
      <c r="BR55" s="531"/>
      <c r="BS55" s="531"/>
    </row>
    <row r="56" spans="1:71" ht="11.1" customHeight="1">
      <c r="A56" s="61"/>
      <c r="B56" s="314"/>
      <c r="F56" s="61"/>
      <c r="G56" s="61"/>
      <c r="H56" s="61"/>
      <c r="I56" s="164"/>
      <c r="J56" s="61"/>
      <c r="K56" s="287"/>
      <c r="L56" s="61"/>
      <c r="M56" s="61"/>
      <c r="N56" s="61"/>
      <c r="O56" s="61"/>
      <c r="Q56" s="61"/>
      <c r="R56" s="61"/>
      <c r="S56" s="61"/>
      <c r="T56" s="61"/>
      <c r="V56" s="61"/>
      <c r="W56" s="61"/>
      <c r="X56" s="61"/>
      <c r="Y56" s="61"/>
      <c r="Z56" s="290"/>
      <c r="AA56" s="61"/>
      <c r="AB56" s="290"/>
      <c r="AC56" s="290"/>
      <c r="AD56" s="23"/>
      <c r="AE56" s="61"/>
      <c r="AF56" s="61"/>
      <c r="AG56" s="61"/>
      <c r="AH56" s="61"/>
      <c r="AI56" s="31"/>
      <c r="AK56" s="61"/>
      <c r="AL56" s="61"/>
      <c r="AM56" s="61"/>
      <c r="AN56" s="31"/>
      <c r="AO56" s="253"/>
      <c r="AP56" s="574"/>
      <c r="AQ56" s="574"/>
      <c r="AR56" s="508"/>
      <c r="AS56" s="508"/>
      <c r="AT56" s="23"/>
      <c r="AU56" s="201"/>
      <c r="AV56" s="484"/>
      <c r="AW56" s="484"/>
      <c r="AX56" s="484"/>
      <c r="AY56" s="484"/>
      <c r="AZ56" s="36"/>
      <c r="BA56" s="36"/>
      <c r="BB56" s="60"/>
      <c r="BC56" s="173"/>
      <c r="BD56" s="173"/>
      <c r="BG56" s="290"/>
      <c r="BP56" s="580"/>
      <c r="BQ56" s="580"/>
      <c r="BR56" s="531"/>
      <c r="BS56" s="531"/>
    </row>
    <row r="57" spans="1:71" ht="11.1" customHeight="1">
      <c r="D57" s="31"/>
      <c r="H57" s="61"/>
      <c r="S57" s="23"/>
      <c r="T57" s="23"/>
      <c r="X57" s="60"/>
      <c r="Y57" s="60"/>
      <c r="Z57" s="290"/>
      <c r="AA57" s="60"/>
      <c r="AB57" s="290"/>
      <c r="AC57" s="290"/>
      <c r="AD57" s="23"/>
      <c r="AH57" s="60"/>
      <c r="AI57" s="31"/>
      <c r="AM57" s="60"/>
      <c r="AN57" s="31"/>
      <c r="AO57" s="253"/>
      <c r="AP57" s="574"/>
      <c r="AQ57" s="574"/>
      <c r="AR57" s="508"/>
      <c r="AS57" s="508"/>
      <c r="AT57" s="23"/>
      <c r="AU57" s="201"/>
      <c r="AZ57" s="36"/>
      <c r="BA57" s="36"/>
      <c r="BB57" s="60"/>
      <c r="BC57" s="173"/>
      <c r="BD57" s="173"/>
      <c r="BG57" s="290"/>
      <c r="BP57" s="538"/>
      <c r="BQ57" s="538"/>
      <c r="BR57" s="510"/>
      <c r="BS57" s="510"/>
    </row>
    <row r="58" spans="1:71" ht="11.1" customHeight="1">
      <c r="B58" s="30"/>
      <c r="C58" s="49"/>
      <c r="D58" s="49"/>
      <c r="E58" s="10"/>
      <c r="H58" s="46"/>
      <c r="K58" s="6"/>
      <c r="L58" s="46"/>
      <c r="O58" s="46"/>
      <c r="P58" s="52"/>
      <c r="Q58" s="46"/>
      <c r="R58" s="46"/>
      <c r="Z58" s="78"/>
      <c r="AC58" s="78"/>
      <c r="AD58" s="78"/>
      <c r="AE58" s="49"/>
      <c r="AF58" s="49"/>
      <c r="AG58" s="49"/>
      <c r="AI58" s="49"/>
      <c r="AJ58" s="263"/>
      <c r="AN58" s="173"/>
      <c r="AO58" s="253"/>
      <c r="AP58" s="574"/>
      <c r="AQ58" s="574"/>
      <c r="AR58" s="509"/>
      <c r="AS58" s="509"/>
      <c r="AT58" s="173"/>
      <c r="AU58" s="173"/>
      <c r="AV58" s="499"/>
      <c r="AW58" s="499"/>
      <c r="AX58" s="499"/>
      <c r="AY58" s="499"/>
      <c r="BR58" s="510"/>
      <c r="BS58" s="510"/>
    </row>
    <row r="59" spans="1:71" ht="11.1" customHeight="1">
      <c r="B59" s="52"/>
      <c r="C59" s="49"/>
      <c r="D59" s="49"/>
      <c r="E59" s="10"/>
      <c r="F59" s="11"/>
      <c r="G59" s="30"/>
      <c r="K59" s="287"/>
      <c r="V59" s="61"/>
      <c r="Z59" s="31"/>
      <c r="AC59" s="31"/>
      <c r="AD59" s="31"/>
      <c r="AN59" s="173"/>
      <c r="AR59" s="509"/>
      <c r="AS59" s="509"/>
      <c r="AT59" s="173"/>
      <c r="AU59" s="173"/>
      <c r="AV59" s="500"/>
      <c r="AW59" s="500"/>
      <c r="AX59" s="500"/>
      <c r="AY59" s="500"/>
    </row>
    <row r="60" spans="1:71" ht="11.1" customHeight="1">
      <c r="V60" s="62"/>
    </row>
    <row r="61" spans="1:71" ht="11.1" customHeight="1">
      <c r="B61" s="313"/>
    </row>
  </sheetData>
  <mergeCells count="2">
    <mergeCell ref="AF5:AG5"/>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BP60"/>
  <sheetViews>
    <sheetView zoomScaleNormal="100" workbookViewId="0">
      <pane xSplit="1" ySplit="14" topLeftCell="B15" activePane="bottomRight" state="frozen"/>
      <selection pane="topRight" activeCell="B1" sqref="B1"/>
      <selection pane="bottomLeft" activeCell="A12" sqref="A12"/>
      <selection pane="bottomRight" activeCell="A15" sqref="A15:XFD15"/>
    </sheetView>
  </sheetViews>
  <sheetFormatPr defaultColWidth="9.33203125" defaultRowHeight="11.1" customHeight="1"/>
  <cols>
    <col min="1" max="1" width="4.6640625" style="30" customWidth="1"/>
    <col min="2" max="2" width="7" style="30" customWidth="1"/>
    <col min="3" max="3" width="6.33203125" style="49" customWidth="1"/>
    <col min="4" max="4" width="6.33203125" style="30" customWidth="1"/>
    <col min="5" max="5" width="7" style="49" customWidth="1"/>
    <col min="6" max="6" width="7.33203125" style="30" customWidth="1"/>
    <col min="7" max="7" width="6.83203125" style="30" customWidth="1"/>
    <col min="8" max="8" width="5.6640625" style="46" customWidth="1"/>
    <col min="9" max="11" width="6.33203125" style="30" customWidth="1"/>
    <col min="12" max="12" width="6.83203125" style="30" customWidth="1"/>
    <col min="13" max="13" width="5.5" style="46" customWidth="1"/>
    <col min="14" max="14" width="4.5" style="52" customWidth="1"/>
    <col min="15" max="15" width="5.5" style="46" customWidth="1"/>
    <col min="16" max="16" width="5.5" style="52" customWidth="1"/>
    <col min="17" max="18" width="4.33203125" style="46" customWidth="1"/>
    <col min="19" max="19" width="4.83203125" style="284" customWidth="1"/>
    <col min="20" max="20" width="4.33203125" style="284" customWidth="1"/>
    <col min="21" max="21" width="5.1640625" style="52" customWidth="1"/>
    <col min="22" max="23" width="5.5" style="30" customWidth="1"/>
    <col min="24" max="25" width="6.33203125" style="49" customWidth="1"/>
    <col min="26" max="26" width="5.5" style="30" customWidth="1"/>
    <col min="27" max="27" width="6.33203125" style="49" customWidth="1"/>
    <col min="28" max="28" width="5.5" style="30" customWidth="1"/>
    <col min="29" max="29" width="5.83203125" style="30" customWidth="1"/>
    <col min="30" max="30" width="6.1640625" style="30" bestFit="1" customWidth="1"/>
    <col min="31" max="33" width="5.5" style="30" customWidth="1"/>
    <col min="34" max="34" width="6.33203125" style="78" customWidth="1"/>
    <col min="35" max="35" width="5.5" style="30" customWidth="1"/>
    <col min="36" max="36" width="7.5" style="263" bestFit="1" customWidth="1"/>
    <col min="37" max="37" width="6.33203125" style="30" customWidth="1"/>
    <col min="38" max="38" width="6.83203125" style="30" customWidth="1"/>
    <col min="39" max="39" width="6.83203125" style="52" customWidth="1"/>
    <col min="40" max="40" width="5.5" style="49" customWidth="1"/>
    <col min="41" max="41" width="6.33203125" style="510" hidden="1" customWidth="1"/>
    <col min="42" max="42" width="7.5" style="510" hidden="1" customWidth="1"/>
    <col min="43" max="43" width="5.5" style="30" customWidth="1"/>
    <col min="44" max="44" width="6" style="30" customWidth="1"/>
    <col min="45" max="45" width="5" style="498" hidden="1" customWidth="1"/>
    <col min="46" max="46" width="6.33203125" style="498" hidden="1" customWidth="1"/>
    <col min="47" max="47" width="7.1640625" style="498" hidden="1" customWidth="1"/>
    <col min="48" max="48" width="6.33203125" style="498" hidden="1" customWidth="1"/>
    <col min="49" max="49" width="6.33203125" style="33" customWidth="1"/>
    <col min="50" max="50" width="5.5" style="28" customWidth="1"/>
    <col min="51" max="51" width="5.5" style="30" customWidth="1"/>
    <col min="52" max="52" width="5.83203125" style="263" customWidth="1"/>
    <col min="53" max="53" width="6.1640625" style="200" customWidth="1"/>
    <col min="54" max="54" width="5.33203125" style="142" customWidth="1"/>
    <col min="55" max="55" width="3.5" style="78" customWidth="1"/>
    <col min="56" max="56" width="3.83203125" style="48" customWidth="1"/>
    <col min="57" max="57" width="3.83203125" style="30" customWidth="1"/>
    <col min="58" max="58" width="6.5" style="30" bestFit="1" customWidth="1"/>
    <col min="59" max="60" width="9.33203125" style="2"/>
    <col min="61" max="62" width="10.1640625" style="2" customWidth="1"/>
    <col min="63" max="63" width="9.5" style="2" customWidth="1"/>
    <col min="64" max="64" width="9.33203125" style="562" hidden="1" customWidth="1"/>
    <col min="65" max="66" width="7" style="498" hidden="1" customWidth="1"/>
    <col min="67" max="68" width="6.33203125" style="508" hidden="1" customWidth="1"/>
    <col min="69" max="16384" width="9.33203125" style="2"/>
  </cols>
  <sheetData>
    <row r="1" spans="1:68" ht="14.1" customHeight="1">
      <c r="A1" s="90"/>
      <c r="B1" s="90"/>
      <c r="D1" s="90"/>
      <c r="F1" s="90"/>
      <c r="G1" s="90"/>
      <c r="I1" s="90"/>
      <c r="J1" s="90"/>
      <c r="K1" s="347" t="s">
        <v>53</v>
      </c>
      <c r="L1" s="90"/>
      <c r="M1" s="90"/>
      <c r="O1" s="90"/>
      <c r="Q1" s="90"/>
      <c r="R1" s="90"/>
      <c r="V1" s="90"/>
      <c r="W1" s="90"/>
      <c r="Z1" s="90"/>
      <c r="AB1" s="90"/>
      <c r="AC1" s="90"/>
      <c r="AD1" s="90"/>
      <c r="AE1" s="90"/>
      <c r="AF1" s="90"/>
      <c r="AG1" s="90"/>
      <c r="AI1" s="90"/>
      <c r="AK1" s="90"/>
      <c r="AL1" s="90"/>
      <c r="AN1" s="175"/>
      <c r="AO1" s="501"/>
      <c r="AP1" s="501"/>
      <c r="AQ1" s="141"/>
      <c r="AR1" s="141"/>
      <c r="AS1" s="484"/>
      <c r="AT1" s="484"/>
      <c r="AU1" s="484"/>
      <c r="AV1" s="484"/>
      <c r="BM1" s="563"/>
      <c r="BN1" s="563"/>
    </row>
    <row r="2" spans="1:68" ht="14.1" customHeight="1">
      <c r="A2" s="141" t="s">
        <v>0</v>
      </c>
      <c r="B2" s="90"/>
      <c r="D2" s="277">
        <v>1.9835</v>
      </c>
      <c r="F2" s="90"/>
      <c r="G2" s="90"/>
      <c r="I2" s="90"/>
      <c r="J2" s="90"/>
      <c r="K2" s="844" t="s">
        <v>182</v>
      </c>
      <c r="L2" s="844"/>
      <c r="M2" s="844"/>
      <c r="N2" s="844"/>
      <c r="O2" s="844"/>
      <c r="P2" s="844"/>
      <c r="Q2" s="844"/>
      <c r="R2" s="844"/>
      <c r="S2" s="844"/>
      <c r="T2" s="844"/>
      <c r="U2" s="844"/>
      <c r="V2" s="844"/>
      <c r="W2" s="278"/>
      <c r="X2" s="279"/>
      <c r="Y2" s="279"/>
      <c r="Z2" s="278"/>
      <c r="AA2" s="279"/>
      <c r="AB2" s="278"/>
      <c r="AC2" s="278"/>
      <c r="AD2" s="278"/>
      <c r="AE2" s="90"/>
      <c r="AF2" s="90"/>
      <c r="AG2" s="90"/>
      <c r="AI2" s="90"/>
      <c r="AK2" s="90"/>
      <c r="AL2" s="90"/>
      <c r="AN2" s="175"/>
      <c r="AO2" s="501"/>
      <c r="AP2" s="501"/>
      <c r="AQ2" s="141"/>
      <c r="AR2" s="141"/>
      <c r="AS2" s="484"/>
      <c r="AT2" s="484"/>
      <c r="AU2" s="484"/>
      <c r="AV2" s="484"/>
      <c r="BM2" s="563"/>
      <c r="BN2" s="563"/>
    </row>
    <row r="3" spans="1:68" ht="14.1" customHeight="1" thickBot="1">
      <c r="A3" s="90"/>
      <c r="B3" s="743"/>
      <c r="C3" s="744"/>
      <c r="D3" s="745"/>
      <c r="E3" s="744"/>
      <c r="F3" s="743"/>
      <c r="G3" s="717"/>
      <c r="H3" s="724"/>
      <c r="I3" s="743"/>
      <c r="J3" s="743"/>
      <c r="K3" s="743"/>
      <c r="L3" s="743"/>
      <c r="M3" s="717"/>
      <c r="N3" s="746"/>
      <c r="O3" s="717"/>
      <c r="P3" s="746"/>
      <c r="Q3" s="717"/>
      <c r="R3" s="717"/>
      <c r="S3" s="754"/>
      <c r="T3" s="754"/>
      <c r="U3" s="749"/>
      <c r="V3" s="717"/>
      <c r="W3" s="717"/>
      <c r="X3" s="744"/>
      <c r="Y3" s="744"/>
      <c r="Z3" s="743"/>
      <c r="AA3" s="744"/>
      <c r="AB3" s="743"/>
      <c r="AC3" s="743"/>
      <c r="AD3" s="743"/>
      <c r="AE3" s="717"/>
      <c r="AF3" s="743"/>
      <c r="AG3" s="743"/>
      <c r="AH3" s="714"/>
      <c r="AI3" s="743"/>
      <c r="AJ3" s="760"/>
      <c r="AK3" s="743"/>
      <c r="AL3" s="743"/>
      <c r="AM3" s="749"/>
      <c r="AN3" s="768"/>
      <c r="AO3" s="502"/>
      <c r="AP3" s="502"/>
      <c r="AQ3" s="758"/>
      <c r="AR3" s="758"/>
      <c r="AS3" s="758"/>
      <c r="AT3" s="758"/>
      <c r="AU3" s="758"/>
      <c r="AV3" s="758"/>
      <c r="AW3" s="796"/>
      <c r="AX3" s="797"/>
      <c r="AY3" s="778"/>
      <c r="AZ3" s="728"/>
      <c r="BA3" s="783"/>
      <c r="BB3" s="794"/>
      <c r="BC3" s="795"/>
      <c r="BD3" s="782"/>
      <c r="BE3" s="778"/>
      <c r="BF3" s="778"/>
      <c r="BG3" s="731"/>
      <c r="BH3" s="731"/>
      <c r="BI3" s="789"/>
      <c r="BJ3" s="789"/>
      <c r="BM3" s="564"/>
      <c r="BN3" s="564"/>
      <c r="BO3" s="565"/>
      <c r="BP3" s="565"/>
    </row>
    <row r="4" spans="1:68" s="30" customFormat="1" ht="14.1" customHeight="1" thickTop="1" thickBot="1">
      <c r="A4" s="228"/>
      <c r="B4" s="159"/>
      <c r="C4" s="160"/>
      <c r="D4" s="20" t="s">
        <v>47</v>
      </c>
      <c r="E4" s="160"/>
      <c r="F4" s="228"/>
      <c r="G4" s="159"/>
      <c r="H4" s="229"/>
      <c r="I4" s="231" t="s">
        <v>124</v>
      </c>
      <c r="J4" s="228"/>
      <c r="K4" s="228"/>
      <c r="L4" s="428"/>
      <c r="M4" s="228"/>
      <c r="N4" s="230"/>
      <c r="O4" s="228"/>
      <c r="P4" s="230"/>
      <c r="Q4" s="228"/>
      <c r="R4" s="228"/>
      <c r="S4" s="360"/>
      <c r="T4" s="360"/>
      <c r="U4" s="230"/>
      <c r="V4" s="231"/>
      <c r="W4" s="228"/>
      <c r="X4" s="231" t="s">
        <v>122</v>
      </c>
      <c r="Y4" s="160"/>
      <c r="Z4" s="228"/>
      <c r="AA4" s="160"/>
      <c r="AB4" s="228"/>
      <c r="AC4" s="228"/>
      <c r="AD4" s="228"/>
      <c r="AE4" s="228"/>
      <c r="AF4" s="228"/>
      <c r="AG4" s="228"/>
      <c r="AH4" s="232"/>
      <c r="AI4" s="228"/>
      <c r="AJ4" s="264"/>
      <c r="AK4" s="228"/>
      <c r="AL4" s="228"/>
      <c r="AM4" s="230"/>
      <c r="AN4" s="348"/>
      <c r="AO4" s="503"/>
      <c r="AP4" s="503"/>
      <c r="AQ4" s="253"/>
      <c r="AR4" s="19" t="s">
        <v>55</v>
      </c>
      <c r="AS4" s="486"/>
      <c r="AT4" s="486"/>
      <c r="AU4" s="486"/>
      <c r="AV4" s="486"/>
      <c r="AW4" s="157"/>
      <c r="AX4" s="359"/>
      <c r="AY4" s="158"/>
      <c r="AZ4" s="264"/>
      <c r="BA4" s="264"/>
      <c r="BB4" s="162"/>
      <c r="BC4" s="16" t="s">
        <v>48</v>
      </c>
      <c r="BD4" s="395"/>
      <c r="BE4" s="396"/>
      <c r="BF4" s="397"/>
      <c r="BG4" s="35"/>
      <c r="BH4" s="450"/>
      <c r="BI4" s="601"/>
      <c r="BJ4" s="381"/>
      <c r="BL4" s="566"/>
      <c r="BM4" s="566"/>
      <c r="BN4" s="566"/>
      <c r="BO4" s="567"/>
      <c r="BP4" s="567"/>
    </row>
    <row r="5" spans="1:68" ht="12.95" customHeight="1">
      <c r="A5" s="7" t="s">
        <v>1</v>
      </c>
      <c r="B5" s="194" t="s">
        <v>2</v>
      </c>
      <c r="C5" s="4" t="s">
        <v>2</v>
      </c>
      <c r="D5" s="7" t="s">
        <v>3</v>
      </c>
      <c r="E5" s="4" t="s">
        <v>4</v>
      </c>
      <c r="F5" s="7" t="s">
        <v>5</v>
      </c>
      <c r="G5" s="620" t="s">
        <v>6</v>
      </c>
      <c r="H5" s="21" t="s">
        <v>7</v>
      </c>
      <c r="I5" s="7" t="s">
        <v>63</v>
      </c>
      <c r="J5" s="7" t="s">
        <v>8</v>
      </c>
      <c r="K5" s="7" t="s">
        <v>9</v>
      </c>
      <c r="L5" s="7" t="s">
        <v>8</v>
      </c>
      <c r="M5" s="17" t="s">
        <v>10</v>
      </c>
      <c r="N5" s="233"/>
      <c r="O5" s="195"/>
      <c r="P5" s="233"/>
      <c r="Q5" s="195"/>
      <c r="R5" s="195"/>
      <c r="S5" s="361"/>
      <c r="T5" s="361"/>
      <c r="U5" s="250"/>
      <c r="V5" s="7" t="s">
        <v>11</v>
      </c>
      <c r="W5" s="7" t="s">
        <v>12</v>
      </c>
      <c r="X5" s="8" t="s">
        <v>9</v>
      </c>
      <c r="Y5" s="8" t="s">
        <v>9</v>
      </c>
      <c r="Z5" s="12" t="s">
        <v>13</v>
      </c>
      <c r="AA5" s="8" t="s">
        <v>13</v>
      </c>
      <c r="AB5" s="12" t="s">
        <v>13</v>
      </c>
      <c r="AC5" s="4" t="s">
        <v>82</v>
      </c>
      <c r="AD5" s="4" t="s">
        <v>13</v>
      </c>
      <c r="AE5" s="7" t="s">
        <v>14</v>
      </c>
      <c r="AF5" s="216" t="s">
        <v>78</v>
      </c>
      <c r="AG5" s="214"/>
      <c r="AH5" s="686" t="s">
        <v>15</v>
      </c>
      <c r="AI5" s="4" t="s">
        <v>74</v>
      </c>
      <c r="AJ5" s="652" t="s">
        <v>88</v>
      </c>
      <c r="AK5" s="7" t="s">
        <v>63</v>
      </c>
      <c r="AL5" s="7" t="s">
        <v>8</v>
      </c>
      <c r="AM5" s="7" t="s">
        <v>9</v>
      </c>
      <c r="AN5" s="349" t="s">
        <v>52</v>
      </c>
      <c r="AO5" s="504" t="s">
        <v>159</v>
      </c>
      <c r="AP5" s="504" t="s">
        <v>52</v>
      </c>
      <c r="AQ5" s="12" t="s">
        <v>13</v>
      </c>
      <c r="AR5" s="36" t="s">
        <v>49</v>
      </c>
      <c r="AS5" s="487" t="s">
        <v>146</v>
      </c>
      <c r="AT5" s="487" t="s">
        <v>148</v>
      </c>
      <c r="AU5" s="487" t="s">
        <v>148</v>
      </c>
      <c r="AV5" s="487" t="s">
        <v>148</v>
      </c>
      <c r="AW5" s="611" t="s">
        <v>49</v>
      </c>
      <c r="AX5" s="14" t="s">
        <v>96</v>
      </c>
      <c r="AY5" s="613" t="s">
        <v>56</v>
      </c>
      <c r="AZ5" s="21" t="s">
        <v>79</v>
      </c>
      <c r="BA5" s="37" t="s">
        <v>134</v>
      </c>
      <c r="BB5" s="139" t="s">
        <v>16</v>
      </c>
      <c r="BC5" s="15" t="s">
        <v>17</v>
      </c>
      <c r="BD5" s="15" t="s">
        <v>18</v>
      </c>
      <c r="BE5" s="407"/>
      <c r="BF5" s="384" t="s">
        <v>9</v>
      </c>
      <c r="BG5" s="451" t="s">
        <v>128</v>
      </c>
      <c r="BH5" s="452" t="s">
        <v>128</v>
      </c>
      <c r="BI5" s="602" t="s">
        <v>174</v>
      </c>
      <c r="BJ5" s="599" t="s">
        <v>167</v>
      </c>
      <c r="BM5" s="568" t="s">
        <v>2</v>
      </c>
      <c r="BN5" s="568"/>
      <c r="BO5" s="569" t="s">
        <v>15</v>
      </c>
      <c r="BP5" s="569" t="s">
        <v>15</v>
      </c>
    </row>
    <row r="6" spans="1:68" ht="12.95" customHeight="1">
      <c r="A6" s="196" t="s">
        <v>85</v>
      </c>
      <c r="B6" s="194" t="s">
        <v>19</v>
      </c>
      <c r="C6" s="4"/>
      <c r="D6" s="7" t="s">
        <v>20</v>
      </c>
      <c r="E6" s="4" t="s">
        <v>21</v>
      </c>
      <c r="F6" s="7" t="s">
        <v>22</v>
      </c>
      <c r="G6" s="194" t="s">
        <v>23</v>
      </c>
      <c r="H6" s="21" t="s">
        <v>64</v>
      </c>
      <c r="I6" s="7" t="s">
        <v>24</v>
      </c>
      <c r="J6" s="7" t="s">
        <v>24</v>
      </c>
      <c r="K6" s="7" t="s">
        <v>24</v>
      </c>
      <c r="L6" s="7" t="s">
        <v>25</v>
      </c>
      <c r="M6" s="197" t="s">
        <v>26</v>
      </c>
      <c r="N6" s="622" t="s">
        <v>65</v>
      </c>
      <c r="O6" s="7" t="s">
        <v>67</v>
      </c>
      <c r="P6" s="220" t="s">
        <v>190</v>
      </c>
      <c r="Q6" s="8" t="s">
        <v>57</v>
      </c>
      <c r="R6" s="8" t="s">
        <v>118</v>
      </c>
      <c r="S6" s="8"/>
      <c r="T6" s="8" t="s">
        <v>67</v>
      </c>
      <c r="U6" s="32" t="s">
        <v>87</v>
      </c>
      <c r="V6" s="7" t="s">
        <v>27</v>
      </c>
      <c r="W6" s="7" t="s">
        <v>42</v>
      </c>
      <c r="X6" s="8" t="s">
        <v>13</v>
      </c>
      <c r="Y6" s="8" t="s">
        <v>13</v>
      </c>
      <c r="Z6" s="12" t="s">
        <v>28</v>
      </c>
      <c r="AA6" s="8" t="s">
        <v>28</v>
      </c>
      <c r="AB6" s="12" t="s">
        <v>92</v>
      </c>
      <c r="AC6" s="4" t="s">
        <v>83</v>
      </c>
      <c r="AD6" s="4" t="s">
        <v>86</v>
      </c>
      <c r="AE6" s="7" t="s">
        <v>29</v>
      </c>
      <c r="AF6" s="171" t="s">
        <v>76</v>
      </c>
      <c r="AG6" s="294" t="s">
        <v>58</v>
      </c>
      <c r="AH6" s="15" t="s">
        <v>69</v>
      </c>
      <c r="AI6" s="4" t="s">
        <v>62</v>
      </c>
      <c r="AJ6" s="21"/>
      <c r="AK6" s="7" t="s">
        <v>70</v>
      </c>
      <c r="AL6" s="7" t="s">
        <v>70</v>
      </c>
      <c r="AM6" s="7" t="s">
        <v>70</v>
      </c>
      <c r="AN6" s="349" t="s">
        <v>110</v>
      </c>
      <c r="AO6" s="504" t="s">
        <v>70</v>
      </c>
      <c r="AP6" s="504" t="s">
        <v>158</v>
      </c>
      <c r="AQ6" s="12" t="s">
        <v>71</v>
      </c>
      <c r="AR6" s="36" t="s">
        <v>51</v>
      </c>
      <c r="AS6" s="487" t="s">
        <v>72</v>
      </c>
      <c r="AT6" s="487" t="s">
        <v>72</v>
      </c>
      <c r="AU6" s="487" t="s">
        <v>150</v>
      </c>
      <c r="AV6" s="487" t="s">
        <v>72</v>
      </c>
      <c r="AW6" s="611" t="s">
        <v>51</v>
      </c>
      <c r="AX6" s="14" t="s">
        <v>94</v>
      </c>
      <c r="AY6" s="613" t="s">
        <v>54</v>
      </c>
      <c r="AZ6" s="21" t="s">
        <v>80</v>
      </c>
      <c r="BA6" s="37" t="s">
        <v>133</v>
      </c>
      <c r="BB6" s="140"/>
      <c r="BC6" s="15" t="s">
        <v>30</v>
      </c>
      <c r="BD6" s="15" t="s">
        <v>30</v>
      </c>
      <c r="BE6" s="407"/>
      <c r="BF6" s="384" t="s">
        <v>99</v>
      </c>
      <c r="BG6" s="451" t="s">
        <v>130</v>
      </c>
      <c r="BH6" s="452" t="s">
        <v>129</v>
      </c>
      <c r="BI6" s="606" t="s">
        <v>175</v>
      </c>
      <c r="BJ6" s="599" t="s">
        <v>168</v>
      </c>
      <c r="BM6" s="568" t="s">
        <v>19</v>
      </c>
      <c r="BN6" s="568"/>
      <c r="BO6" s="569" t="s">
        <v>69</v>
      </c>
      <c r="BP6" s="569" t="s">
        <v>69</v>
      </c>
    </row>
    <row r="7" spans="1:68" ht="12.95" customHeight="1">
      <c r="A7" s="7"/>
      <c r="B7" s="194"/>
      <c r="C7" s="4"/>
      <c r="D7" s="7"/>
      <c r="E7" s="4"/>
      <c r="F7" s="7"/>
      <c r="G7" s="194"/>
      <c r="H7" s="21"/>
      <c r="I7" s="7"/>
      <c r="J7" s="7"/>
      <c r="K7" s="7"/>
      <c r="L7" s="281"/>
      <c r="M7" s="7"/>
      <c r="N7" s="220" t="s">
        <v>66</v>
      </c>
      <c r="O7" s="7" t="s">
        <v>68</v>
      </c>
      <c r="P7" s="220"/>
      <c r="Q7" s="8" t="s">
        <v>119</v>
      </c>
      <c r="R7" s="8" t="s">
        <v>119</v>
      </c>
      <c r="S7" s="8" t="s">
        <v>58</v>
      </c>
      <c r="T7" s="8" t="s">
        <v>58</v>
      </c>
      <c r="U7" s="32" t="s">
        <v>120</v>
      </c>
      <c r="V7" s="7"/>
      <c r="W7" s="7"/>
      <c r="X7" s="13" t="s">
        <v>108</v>
      </c>
      <c r="Y7" s="13" t="s">
        <v>90</v>
      </c>
      <c r="Z7" s="12" t="s">
        <v>115</v>
      </c>
      <c r="AA7" s="553" t="s">
        <v>111</v>
      </c>
      <c r="AB7" s="12" t="s">
        <v>93</v>
      </c>
      <c r="AC7" s="4"/>
      <c r="AD7" s="4"/>
      <c r="AE7" s="281"/>
      <c r="AF7" s="430">
        <v>1.7</v>
      </c>
      <c r="AG7" s="431">
        <v>1.3</v>
      </c>
      <c r="AH7" s="15"/>
      <c r="AI7" s="609">
        <v>27779.932699024892</v>
      </c>
      <c r="AJ7" s="21"/>
      <c r="AK7" s="7"/>
      <c r="AL7" s="7"/>
      <c r="AM7" s="7"/>
      <c r="AN7" s="349"/>
      <c r="AO7" s="504"/>
      <c r="AP7" s="504" t="s">
        <v>110</v>
      </c>
      <c r="AQ7" s="12" t="s">
        <v>22</v>
      </c>
      <c r="AR7" s="36" t="s">
        <v>45</v>
      </c>
      <c r="AS7" s="487"/>
      <c r="AT7" s="487"/>
      <c r="AU7" s="487" t="s">
        <v>151</v>
      </c>
      <c r="AV7" s="487" t="s">
        <v>149</v>
      </c>
      <c r="AW7" s="611" t="s">
        <v>72</v>
      </c>
      <c r="AX7" s="14" t="s">
        <v>95</v>
      </c>
      <c r="AY7" s="613" t="s">
        <v>59</v>
      </c>
      <c r="AZ7" s="21" t="s">
        <v>81</v>
      </c>
      <c r="BA7" s="37" t="s">
        <v>108</v>
      </c>
      <c r="BB7" s="140"/>
      <c r="BC7" s="15"/>
      <c r="BD7" s="15"/>
      <c r="BE7" s="407"/>
      <c r="BF7" s="384" t="s">
        <v>97</v>
      </c>
      <c r="BG7" s="451"/>
      <c r="BH7" s="452"/>
      <c r="BI7" s="602" t="s">
        <v>176</v>
      </c>
      <c r="BJ7" s="599" t="s">
        <v>172</v>
      </c>
      <c r="BM7" s="568" t="s">
        <v>142</v>
      </c>
      <c r="BN7" s="568"/>
      <c r="BO7" s="570" t="s">
        <v>153</v>
      </c>
      <c r="BP7" s="570" t="s">
        <v>154</v>
      </c>
    </row>
    <row r="8" spans="1:68" ht="12.95" customHeight="1">
      <c r="A8" s="7"/>
      <c r="B8" s="194"/>
      <c r="C8" s="4"/>
      <c r="D8" s="7"/>
      <c r="E8" s="4"/>
      <c r="F8" s="7"/>
      <c r="G8" s="194"/>
      <c r="H8" s="21"/>
      <c r="I8" s="7"/>
      <c r="J8" s="7"/>
      <c r="K8" s="7"/>
      <c r="L8" s="281"/>
      <c r="M8" s="7"/>
      <c r="N8" s="8"/>
      <c r="O8" s="693">
        <v>24213.923416778209</v>
      </c>
      <c r="P8" s="220"/>
      <c r="Q8" s="8" t="s">
        <v>58</v>
      </c>
      <c r="R8" s="8" t="s">
        <v>58</v>
      </c>
      <c r="S8" s="8"/>
      <c r="T8" s="8"/>
      <c r="U8" s="32"/>
      <c r="V8" s="7"/>
      <c r="W8" s="7"/>
      <c r="X8" s="13" t="s">
        <v>109</v>
      </c>
      <c r="Y8" s="13" t="s">
        <v>108</v>
      </c>
      <c r="Z8" s="12"/>
      <c r="AA8" s="13" t="s">
        <v>114</v>
      </c>
      <c r="AB8" s="12" t="s">
        <v>113</v>
      </c>
      <c r="AC8" s="4"/>
      <c r="AD8" s="693">
        <v>17365.480657043157</v>
      </c>
      <c r="AE8" s="693">
        <v>55878.018085105388</v>
      </c>
      <c r="AF8" s="282"/>
      <c r="AG8" s="283"/>
      <c r="AH8" s="15"/>
      <c r="AI8" s="62">
        <f>AI7/D2</f>
        <v>14005.511822044311</v>
      </c>
      <c r="AJ8" s="21"/>
      <c r="AK8" s="7"/>
      <c r="AL8" s="7"/>
      <c r="AM8" s="7"/>
      <c r="AN8" s="349"/>
      <c r="AO8" s="504"/>
      <c r="AP8" s="504"/>
      <c r="AQ8" s="12"/>
      <c r="AR8" s="36"/>
      <c r="AS8" s="487"/>
      <c r="AT8" s="487"/>
      <c r="AU8" s="487"/>
      <c r="AV8" s="487"/>
      <c r="AW8" s="36"/>
      <c r="AX8" s="612">
        <v>5191.6441856943857</v>
      </c>
      <c r="AY8" s="694">
        <v>1685.1</v>
      </c>
      <c r="AZ8" s="710">
        <f>692.219224759251/2</f>
        <v>346.1096123796255</v>
      </c>
      <c r="BA8" s="37"/>
      <c r="BB8" s="140"/>
      <c r="BC8" s="15"/>
      <c r="BD8" s="15"/>
      <c r="BE8" s="407"/>
      <c r="BF8" s="384"/>
      <c r="BG8" s="451"/>
      <c r="BH8" s="452"/>
      <c r="BI8" s="603" t="s">
        <v>168</v>
      </c>
      <c r="BJ8" s="600" t="s">
        <v>173</v>
      </c>
      <c r="BM8" s="568"/>
      <c r="BN8" s="568"/>
      <c r="BO8" s="570" t="s">
        <v>155</v>
      </c>
      <c r="BP8" s="570" t="s">
        <v>153</v>
      </c>
    </row>
    <row r="9" spans="1:68" ht="12.95" customHeight="1">
      <c r="A9" s="7"/>
      <c r="B9" s="194"/>
      <c r="C9" s="4"/>
      <c r="D9" s="7"/>
      <c r="E9" s="4"/>
      <c r="F9" s="7"/>
      <c r="G9" s="194"/>
      <c r="H9" s="21"/>
      <c r="I9" s="7"/>
      <c r="J9" s="7"/>
      <c r="K9" s="7"/>
      <c r="L9" s="281"/>
      <c r="M9" s="7"/>
      <c r="N9" s="220"/>
      <c r="O9" s="7"/>
      <c r="P9" s="220"/>
      <c r="Q9" s="8"/>
      <c r="R9" s="413">
        <v>4.2</v>
      </c>
      <c r="S9" s="8"/>
      <c r="T9" s="8"/>
      <c r="U9" s="32"/>
      <c r="V9" s="7"/>
      <c r="W9" s="7"/>
      <c r="X9" s="13"/>
      <c r="Y9" s="13" t="s">
        <v>109</v>
      </c>
      <c r="Z9" s="12"/>
      <c r="AA9" s="13" t="s">
        <v>109</v>
      </c>
      <c r="AB9" s="12" t="s">
        <v>112</v>
      </c>
      <c r="AC9" s="4"/>
      <c r="AD9" s="4">
        <f>AD8/$D$2</f>
        <v>8754.9688212972815</v>
      </c>
      <c r="AE9" s="7"/>
      <c r="AF9" s="282"/>
      <c r="AG9" s="283"/>
      <c r="AH9" s="15"/>
      <c r="AI9" s="4"/>
      <c r="AJ9" s="21"/>
      <c r="AK9" s="7"/>
      <c r="AL9" s="7"/>
      <c r="AM9" s="7"/>
      <c r="AN9" s="349"/>
      <c r="AO9" s="504"/>
      <c r="AP9" s="504">
        <v>1750</v>
      </c>
      <c r="AQ9" s="12"/>
      <c r="AR9" s="36"/>
      <c r="AS9" s="487"/>
      <c r="AT9" s="487"/>
      <c r="AU9" s="487"/>
      <c r="AV9" s="487"/>
      <c r="AW9" s="36"/>
      <c r="AX9" s="14"/>
      <c r="AY9" s="35"/>
      <c r="AZ9" s="710">
        <f>AZ8/$D$2</f>
        <v>174.49438486494859</v>
      </c>
      <c r="BA9" s="37"/>
      <c r="BB9" s="140"/>
      <c r="BC9" s="15"/>
      <c r="BD9" s="15"/>
      <c r="BE9" s="407"/>
      <c r="BF9" s="384"/>
      <c r="BG9" s="451"/>
      <c r="BH9" s="452" t="s">
        <v>141</v>
      </c>
      <c r="BI9" s="603"/>
      <c r="BJ9" s="600"/>
      <c r="BM9" s="568"/>
      <c r="BN9" s="568"/>
      <c r="BO9" s="570" t="s">
        <v>156</v>
      </c>
      <c r="BP9" s="570"/>
    </row>
    <row r="10" spans="1:68" ht="12.95" customHeight="1">
      <c r="A10" s="7"/>
      <c r="B10" s="194"/>
      <c r="C10" s="4" t="s">
        <v>3</v>
      </c>
      <c r="D10" s="7"/>
      <c r="E10" s="4" t="s">
        <v>50</v>
      </c>
      <c r="F10" s="7"/>
      <c r="G10" s="194" t="s">
        <v>22</v>
      </c>
      <c r="H10" s="21" t="s">
        <v>22</v>
      </c>
      <c r="I10" s="21" t="s">
        <v>22</v>
      </c>
      <c r="J10" s="21" t="s">
        <v>22</v>
      </c>
      <c r="K10" s="21" t="s">
        <v>22</v>
      </c>
      <c r="L10" s="367" t="s">
        <v>22</v>
      </c>
      <c r="M10" s="21" t="s">
        <v>22</v>
      </c>
      <c r="N10" s="21" t="s">
        <v>22</v>
      </c>
      <c r="O10" s="21" t="s">
        <v>22</v>
      </c>
      <c r="P10" s="21" t="s">
        <v>22</v>
      </c>
      <c r="Q10" s="8" t="s">
        <v>22</v>
      </c>
      <c r="R10" s="8" t="s">
        <v>22</v>
      </c>
      <c r="S10" s="8" t="s">
        <v>22</v>
      </c>
      <c r="T10" s="8" t="s">
        <v>22</v>
      </c>
      <c r="U10" s="367" t="s">
        <v>22</v>
      </c>
      <c r="V10" s="21" t="s">
        <v>22</v>
      </c>
      <c r="W10" s="21" t="s">
        <v>22</v>
      </c>
      <c r="X10" s="13">
        <v>153400</v>
      </c>
      <c r="Y10" s="13">
        <v>150400</v>
      </c>
      <c r="Z10" s="8" t="s">
        <v>22</v>
      </c>
      <c r="AA10" s="13"/>
      <c r="AB10" s="13">
        <v>72000</v>
      </c>
      <c r="AC10" s="21" t="s">
        <v>22</v>
      </c>
      <c r="AD10" s="21" t="s">
        <v>22</v>
      </c>
      <c r="AE10" s="21" t="s">
        <v>22</v>
      </c>
      <c r="AF10" s="366" t="s">
        <v>22</v>
      </c>
      <c r="AG10" s="367" t="s">
        <v>22</v>
      </c>
      <c r="AH10" s="21" t="s">
        <v>22</v>
      </c>
      <c r="AI10" s="21" t="s">
        <v>22</v>
      </c>
      <c r="AJ10" s="21" t="s">
        <v>22</v>
      </c>
      <c r="AK10" s="21" t="s">
        <v>22</v>
      </c>
      <c r="AL10" s="21" t="s">
        <v>22</v>
      </c>
      <c r="AM10" s="448" t="s">
        <v>22</v>
      </c>
      <c r="AN10" s="12" t="s">
        <v>22</v>
      </c>
      <c r="AO10" s="504" t="s">
        <v>22</v>
      </c>
      <c r="AP10" s="511" t="s">
        <v>157</v>
      </c>
      <c r="AQ10" s="12" t="s">
        <v>22</v>
      </c>
      <c r="AR10" s="12" t="s">
        <v>22</v>
      </c>
      <c r="AS10" s="488" t="s">
        <v>147</v>
      </c>
      <c r="AT10" s="488" t="s">
        <v>147</v>
      </c>
      <c r="AU10" s="488" t="s">
        <v>152</v>
      </c>
      <c r="AV10" s="487" t="s">
        <v>73</v>
      </c>
      <c r="AW10" s="36" t="s">
        <v>73</v>
      </c>
      <c r="AX10" s="14" t="s">
        <v>22</v>
      </c>
      <c r="AY10" s="12" t="s">
        <v>22</v>
      </c>
      <c r="AZ10" s="14" t="s">
        <v>22</v>
      </c>
      <c r="BA10" s="12" t="s">
        <v>22</v>
      </c>
      <c r="BB10" s="140"/>
      <c r="BC10" s="15"/>
      <c r="BD10" s="15"/>
      <c r="BE10" s="407"/>
      <c r="BF10" s="384" t="s">
        <v>98</v>
      </c>
      <c r="BG10" s="451" t="s">
        <v>22</v>
      </c>
      <c r="BH10" s="452" t="s">
        <v>50</v>
      </c>
      <c r="BI10" s="603" t="s">
        <v>22</v>
      </c>
      <c r="BJ10" s="600" t="s">
        <v>22</v>
      </c>
      <c r="BM10" s="568"/>
      <c r="BN10" s="568"/>
      <c r="BO10" s="570" t="s">
        <v>22</v>
      </c>
      <c r="BP10" s="570" t="s">
        <v>22</v>
      </c>
    </row>
    <row r="11" spans="1:68" ht="12.95" customHeight="1">
      <c r="A11" s="7"/>
      <c r="B11" s="194"/>
      <c r="C11" s="4"/>
      <c r="D11" s="7"/>
      <c r="E11" s="4"/>
      <c r="F11" s="7"/>
      <c r="G11" s="194"/>
      <c r="H11" s="21"/>
      <c r="I11" s="7"/>
      <c r="J11" s="7"/>
      <c r="K11" s="7"/>
      <c r="L11" s="7"/>
      <c r="M11" s="197"/>
      <c r="N11" s="220">
        <v>1.03</v>
      </c>
      <c r="O11" s="219">
        <v>1.05</v>
      </c>
      <c r="P11" s="220">
        <v>1.02</v>
      </c>
      <c r="Q11" s="322">
        <v>1.02</v>
      </c>
      <c r="R11" s="65">
        <v>1.04</v>
      </c>
      <c r="S11" s="8"/>
      <c r="T11" s="322">
        <v>1.04</v>
      </c>
      <c r="U11" s="32"/>
      <c r="V11" s="7"/>
      <c r="W11" s="7"/>
      <c r="X11" s="8" t="s">
        <v>22</v>
      </c>
      <c r="Y11" s="8" t="s">
        <v>22</v>
      </c>
      <c r="Z11" s="8" t="s">
        <v>22</v>
      </c>
      <c r="AA11" s="13" t="s">
        <v>22</v>
      </c>
      <c r="AB11" s="26" t="s">
        <v>89</v>
      </c>
      <c r="AC11" s="4"/>
      <c r="AD11" s="4"/>
      <c r="AE11" s="7"/>
      <c r="AF11" s="282"/>
      <c r="AG11" s="283"/>
      <c r="AH11" s="15"/>
      <c r="AI11" s="4"/>
      <c r="AJ11" s="21"/>
      <c r="AK11" s="7"/>
      <c r="AL11" s="7"/>
      <c r="AM11" s="7"/>
      <c r="AN11" s="349"/>
      <c r="AO11" s="504"/>
      <c r="AP11" s="504"/>
      <c r="AQ11" s="12"/>
      <c r="AR11" s="36"/>
      <c r="AS11" s="487"/>
      <c r="AT11" s="487"/>
      <c r="AU11" s="487"/>
      <c r="AV11" s="487"/>
      <c r="AW11" s="36"/>
      <c r="AX11" s="14"/>
      <c r="AY11" s="173"/>
      <c r="BB11" s="140"/>
      <c r="BC11" s="15"/>
      <c r="BD11" s="15"/>
      <c r="BE11" s="407"/>
      <c r="BF11" s="384" t="s">
        <v>22</v>
      </c>
      <c r="BG11" s="451"/>
      <c r="BH11" s="452"/>
      <c r="BI11" s="603"/>
      <c r="BJ11" s="600"/>
      <c r="BM11" s="568"/>
      <c r="BN11" s="568"/>
      <c r="BO11" s="570"/>
      <c r="BP11" s="570"/>
    </row>
    <row r="12" spans="1:68" ht="12.95" customHeight="1">
      <c r="A12" s="141" t="s">
        <v>31</v>
      </c>
      <c r="B12" s="98"/>
      <c r="C12" s="55"/>
      <c r="D12" s="55"/>
      <c r="E12" s="55"/>
      <c r="F12" s="55">
        <f>APR!F49</f>
        <v>-2224.8550541971263</v>
      </c>
      <c r="G12" s="234">
        <f>APR!G49</f>
        <v>5988</v>
      </c>
      <c r="H12" s="42">
        <f>APR!H49</f>
        <v>82.915000000000006</v>
      </c>
      <c r="I12" s="55">
        <f>APR!I49</f>
        <v>6070.915</v>
      </c>
      <c r="J12" s="55">
        <f>APR!J49</f>
        <v>17.346161583060304</v>
      </c>
      <c r="K12" s="55">
        <f>APR!K49</f>
        <v>6088.2611615830601</v>
      </c>
      <c r="L12" s="55">
        <f>APR!L49</f>
        <v>-711.11005419712637</v>
      </c>
      <c r="M12" s="100">
        <f>APR!M49</f>
        <v>3631.2</v>
      </c>
      <c r="N12" s="42">
        <f>APR!N49</f>
        <v>0</v>
      </c>
      <c r="O12" s="55">
        <f>APR!O49</f>
        <v>1948.0335000000002</v>
      </c>
      <c r="P12" s="39">
        <f>APR!P49</f>
        <v>0</v>
      </c>
      <c r="Q12" s="55"/>
      <c r="R12" s="55"/>
      <c r="S12" s="144"/>
      <c r="T12" s="144"/>
      <c r="U12" s="126"/>
      <c r="V12" s="55">
        <f>APR!V49</f>
        <v>2259</v>
      </c>
      <c r="W12" s="55">
        <f>APR!W49</f>
        <v>159.72</v>
      </c>
      <c r="X12" s="55">
        <f>APR!X49</f>
        <v>4002.40090638628</v>
      </c>
      <c r="Y12" s="55">
        <f>APR!Y49</f>
        <v>3900.4454874795115</v>
      </c>
      <c r="Z12" s="55">
        <f>APR!Z44</f>
        <v>1192.5188491199999</v>
      </c>
      <c r="AA12" s="55"/>
      <c r="AB12" s="55">
        <f>APR!AB44</f>
        <v>6480.0428966451309</v>
      </c>
      <c r="AC12" s="55">
        <f>APR!AC49</f>
        <v>1701.4466973126709</v>
      </c>
      <c r="AD12" s="45">
        <f>AD8/D2</f>
        <v>8754.9688212972815</v>
      </c>
      <c r="AE12" s="55">
        <f>APR!AE49</f>
        <v>329.74</v>
      </c>
      <c r="AF12" s="100">
        <f>APR!AF49</f>
        <v>51.000000000000021</v>
      </c>
      <c r="AG12" s="101">
        <f>APR!AG49</f>
        <v>38.999999999999993</v>
      </c>
      <c r="AH12" s="45">
        <f>APR!AH49</f>
        <v>1205</v>
      </c>
      <c r="AI12" s="55"/>
      <c r="AJ12" s="42">
        <f>APR!AJ49</f>
        <v>0</v>
      </c>
      <c r="AK12" s="55">
        <f>APR!AK49</f>
        <v>7584.66</v>
      </c>
      <c r="AL12" s="55">
        <f>APR!AL49</f>
        <v>728.45621578018665</v>
      </c>
      <c r="AM12" s="55">
        <f>APR!AM49</f>
        <v>8313.1162157801846</v>
      </c>
      <c r="AN12" s="234">
        <f>APR!AN49</f>
        <v>1825.9903529115204</v>
      </c>
      <c r="AO12" s="505"/>
      <c r="AP12" s="505"/>
      <c r="AQ12" s="45"/>
      <c r="AR12" s="47"/>
      <c r="AS12" s="489"/>
      <c r="AT12" s="489"/>
      <c r="AU12" s="489"/>
      <c r="AV12" s="489"/>
      <c r="AW12" s="39">
        <f>APR!AZ50</f>
        <v>24.996365780673337</v>
      </c>
      <c r="AX12" s="42"/>
      <c r="AY12" s="55">
        <f>APR!BB49</f>
        <v>0</v>
      </c>
      <c r="AZ12" s="42">
        <f>APR!BC49</f>
        <v>0</v>
      </c>
      <c r="BB12" s="102"/>
      <c r="BC12" s="45"/>
      <c r="BD12" s="45"/>
      <c r="BE12" s="407"/>
      <c r="BF12" s="400">
        <f>APR!BI49</f>
        <v>151.32409361371921</v>
      </c>
      <c r="BG12" s="56">
        <f>APR!BJ49</f>
        <v>29.563999999999997</v>
      </c>
      <c r="BH12" s="454"/>
      <c r="BI12" s="695">
        <f>APR!BL49</f>
        <v>0</v>
      </c>
      <c r="BJ12" s="379">
        <f>APR!BM49</f>
        <v>0</v>
      </c>
      <c r="BM12" s="489"/>
      <c r="BN12" s="489"/>
      <c r="BO12" s="505"/>
      <c r="BP12" s="505"/>
    </row>
    <row r="13" spans="1:68" s="3" customFormat="1" ht="12.95" customHeight="1">
      <c r="A13" s="175" t="s">
        <v>32</v>
      </c>
      <c r="B13" s="104">
        <f>APR!B44</f>
        <v>6897.94</v>
      </c>
      <c r="C13" s="55">
        <f>APR!C44</f>
        <v>276044</v>
      </c>
      <c r="D13" s="55">
        <f>APR!D53</f>
        <v>-16351</v>
      </c>
      <c r="E13" s="55">
        <f>APR!E53</f>
        <v>124044</v>
      </c>
      <c r="F13" s="55">
        <f>APR!F52</f>
        <v>-8243.50894882783</v>
      </c>
      <c r="G13" s="234">
        <f>APR!G52</f>
        <v>12597.8</v>
      </c>
      <c r="H13" s="42">
        <f>APR!H52</f>
        <v>131.16499999999999</v>
      </c>
      <c r="I13" s="55">
        <f>APR!I52</f>
        <v>12728.965</v>
      </c>
      <c r="J13" s="55">
        <f>APR!J52</f>
        <v>1891.1902936728009</v>
      </c>
      <c r="K13" s="55">
        <f>APR!K52</f>
        <v>14620.1552936728</v>
      </c>
      <c r="L13" s="55">
        <f>APR!L52</f>
        <v>-1017.7739488278295</v>
      </c>
      <c r="M13" s="100">
        <f>APR!M52</f>
        <v>4411.74</v>
      </c>
      <c r="N13" s="42">
        <f>APR!N52</f>
        <v>0</v>
      </c>
      <c r="O13" s="55">
        <f>APR!O52</f>
        <v>1948.0335000000002</v>
      </c>
      <c r="P13" s="39"/>
      <c r="Q13" s="55">
        <f>APR!Q52</f>
        <v>318.76908651897088</v>
      </c>
      <c r="R13" s="55">
        <f>APR!R52</f>
        <v>63.449986079999988</v>
      </c>
      <c r="S13" s="246">
        <f>APR!S52</f>
        <v>237.27519087999997</v>
      </c>
      <c r="T13" s="246">
        <f>APR!T52</f>
        <v>110.05115888000003</v>
      </c>
      <c r="U13" s="403">
        <f>APR!U52</f>
        <v>-46.583886557747249</v>
      </c>
      <c r="V13" s="55">
        <f>APR!V52</f>
        <v>7451</v>
      </c>
      <c r="W13" s="55">
        <f>APR!W52</f>
        <v>193.22</v>
      </c>
      <c r="X13" s="55">
        <f>APR!X52</f>
        <v>9424.9649641987744</v>
      </c>
      <c r="Y13" s="62">
        <f>APR!Y52</f>
        <v>9174.894132274856</v>
      </c>
      <c r="Z13" s="55"/>
      <c r="AA13" s="62"/>
      <c r="AB13" s="55"/>
      <c r="AC13" s="55"/>
      <c r="AD13" s="55"/>
      <c r="AE13" s="55"/>
      <c r="AF13" s="100">
        <f>AF12</f>
        <v>51.000000000000021</v>
      </c>
      <c r="AG13" s="101">
        <f>AG12</f>
        <v>38.999999999999993</v>
      </c>
      <c r="AH13" s="45">
        <f>APR!AH52</f>
        <v>7569</v>
      </c>
      <c r="AI13" s="55">
        <f>APR!AI52</f>
        <v>12800.511822044311</v>
      </c>
      <c r="AJ13" s="42">
        <f>APR!AJ52</f>
        <v>0</v>
      </c>
      <c r="AK13" s="55">
        <f>APR!AK52</f>
        <v>19954.7</v>
      </c>
      <c r="AL13" s="55">
        <f>APR!AL52</f>
        <v>2908.96424250063</v>
      </c>
      <c r="AM13" s="55">
        <f>APR!AM52</f>
        <v>22863.664242500628</v>
      </c>
      <c r="AN13" s="235">
        <f>APR!AN52</f>
        <v>6969.5910587345606</v>
      </c>
      <c r="AO13" s="505">
        <f>APR!AR46</f>
        <v>129.25000000000003</v>
      </c>
      <c r="AP13" s="505">
        <f>APR!AS44</f>
        <v>0</v>
      </c>
      <c r="AQ13" s="133">
        <f>APR!AT52</f>
        <v>250.07083192391997</v>
      </c>
      <c r="AR13" s="55"/>
      <c r="AS13" s="489">
        <f>APR!AV50</f>
        <v>6.910000000000001</v>
      </c>
      <c r="AT13" s="490"/>
      <c r="AU13" s="490"/>
      <c r="AV13" s="490">
        <f>APR!AY50</f>
        <v>1467.183666666667</v>
      </c>
      <c r="AW13" s="39">
        <f>APR!AZ44</f>
        <v>3.1373459553952281</v>
      </c>
      <c r="AX13" s="42"/>
      <c r="AY13" s="55">
        <f>APR!BB52</f>
        <v>0</v>
      </c>
      <c r="AZ13" s="42"/>
      <c r="BA13" s="49"/>
      <c r="BB13" s="102">
        <f>APR!BE52</f>
        <v>6.8950000000000005</v>
      </c>
      <c r="BC13" s="45"/>
      <c r="BD13" s="45"/>
      <c r="BE13" s="77"/>
      <c r="BF13" s="398">
        <f>APR!BI52</f>
        <v>682.9615358012237</v>
      </c>
      <c r="BG13" s="55">
        <f>APR!BJ52</f>
        <v>269.38000000000005</v>
      </c>
      <c r="BH13" s="455"/>
      <c r="BI13" s="526">
        <f>APR!BL52</f>
        <v>0</v>
      </c>
      <c r="BJ13" s="590">
        <f>APR!BM52</f>
        <v>0</v>
      </c>
      <c r="BL13" s="571"/>
      <c r="BM13" s="559"/>
      <c r="BN13" s="559"/>
      <c r="BO13" s="490">
        <f>NOV!BH46</f>
        <v>735.86686290322587</v>
      </c>
      <c r="BP13" s="490">
        <f>NOV!BI46</f>
        <v>448.13313709677413</v>
      </c>
    </row>
    <row r="14" spans="1:68" ht="2.25" customHeight="1">
      <c r="A14" s="54"/>
      <c r="B14" s="105"/>
      <c r="C14" s="57"/>
      <c r="D14" s="59"/>
      <c r="E14" s="57"/>
      <c r="F14" s="59"/>
      <c r="G14" s="116"/>
      <c r="H14" s="41"/>
      <c r="I14" s="59"/>
      <c r="J14" s="59"/>
      <c r="K14" s="59"/>
      <c r="L14" s="59"/>
      <c r="M14" s="108"/>
      <c r="N14" s="40"/>
      <c r="O14" s="59"/>
      <c r="P14" s="40"/>
      <c r="Q14" s="59"/>
      <c r="R14" s="59"/>
      <c r="S14" s="363"/>
      <c r="T14" s="363"/>
      <c r="U14" s="130"/>
      <c r="V14" s="59"/>
      <c r="W14" s="59"/>
      <c r="X14" s="59"/>
      <c r="Y14" s="59"/>
      <c r="Z14" s="57"/>
      <c r="AA14" s="59"/>
      <c r="AB14" s="57"/>
      <c r="AC14" s="59"/>
      <c r="AD14" s="57"/>
      <c r="AE14" s="59"/>
      <c r="AF14" s="108"/>
      <c r="AG14" s="109"/>
      <c r="AH14" s="44"/>
      <c r="AI14" s="57"/>
      <c r="AJ14" s="41"/>
      <c r="AK14" s="59"/>
      <c r="AL14" s="59"/>
      <c r="AM14" s="59"/>
      <c r="AN14" s="120"/>
      <c r="AO14" s="506"/>
      <c r="AP14" s="506"/>
      <c r="AQ14" s="44"/>
      <c r="AR14" s="44"/>
      <c r="AS14" s="491"/>
      <c r="AT14" s="491"/>
      <c r="AU14" s="491"/>
      <c r="AV14" s="491"/>
      <c r="AW14" s="40"/>
      <c r="AX14" s="41"/>
      <c r="AY14" s="59"/>
      <c r="AZ14" s="57"/>
      <c r="BA14" s="41"/>
      <c r="BB14" s="110"/>
      <c r="BC14" s="44"/>
      <c r="BD14" s="44"/>
      <c r="BE14" s="44"/>
      <c r="BF14" s="44"/>
      <c r="BG14" s="44"/>
      <c r="BH14" s="44"/>
      <c r="BI14" s="545"/>
      <c r="BJ14" s="592"/>
      <c r="BL14" s="572"/>
      <c r="BM14" s="572"/>
      <c r="BN14" s="572"/>
      <c r="BO14" s="573"/>
      <c r="BP14" s="573"/>
    </row>
    <row r="15" spans="1:68" ht="12.95" customHeight="1">
      <c r="A15" s="48">
        <v>1</v>
      </c>
      <c r="B15" s="104">
        <v>6898.12</v>
      </c>
      <c r="C15" s="483">
        <f>IF(B15="",C13,VLOOKUP(TRUNC(B15,1),VLOOKUP!$A$3:$K$2834,RIGHT(TEXT(B15,"0000.00"),1)+2,FALSE))</f>
        <v>276698</v>
      </c>
      <c r="D15" s="45">
        <f>C15-C13</f>
        <v>654</v>
      </c>
      <c r="E15" s="55">
        <f t="shared" ref="E15:E45" si="0">C15-152000</f>
        <v>124698</v>
      </c>
      <c r="F15" s="47">
        <f t="shared" ref="F15:F45" si="1">D15/$D$2</f>
        <v>329.72019158053945</v>
      </c>
      <c r="G15" s="685">
        <v>902</v>
      </c>
      <c r="H15" s="42">
        <v>7.09</v>
      </c>
      <c r="I15" s="47">
        <f>G15+H15</f>
        <v>909.09</v>
      </c>
      <c r="J15" s="42">
        <f>IF(L15&gt;0,L15,0)</f>
        <v>0</v>
      </c>
      <c r="K15" s="47">
        <f>I15+J15</f>
        <v>909.09</v>
      </c>
      <c r="L15" s="47">
        <f>IF(G15="",0,F15-(I15-AK15))</f>
        <v>-32.369808419460583</v>
      </c>
      <c r="M15" s="114">
        <v>304</v>
      </c>
      <c r="N15" s="610">
        <v>0.5</v>
      </c>
      <c r="O15" s="47">
        <f>111*1.05</f>
        <v>116.55000000000001</v>
      </c>
      <c r="P15" s="39">
        <v>0</v>
      </c>
      <c r="Q15" s="144">
        <f>2082900/325851/1.9835*1.02</f>
        <v>3.2871333970515413</v>
      </c>
      <c r="R15" s="73">
        <f>IF(((4.8*1.04)-T15)&gt;=4.2,4.2,(4.8*1.04)-T15)</f>
        <v>3.9674294400000001</v>
      </c>
      <c r="S15" s="73">
        <f>IF(((4.8*1.04)-T15)&gt;=4.2,((4.8*1.04)-T15)-4.2,0)</f>
        <v>0</v>
      </c>
      <c r="T15" s="73">
        <f>(0.9294*1.06)*1.04</f>
        <v>1.0245705600000001</v>
      </c>
      <c r="U15" s="131">
        <v>0</v>
      </c>
      <c r="V15" s="47">
        <v>86</v>
      </c>
      <c r="W15" s="47">
        <v>43</v>
      </c>
      <c r="X15" s="47">
        <f>IF(B15="",0,M15-N15-O15-P15-Q15-R15-S15-T15-U15+V15+W15-MAX(AN15-AO15,0)-AZ15+AX15)</f>
        <v>307.67086660294842</v>
      </c>
      <c r="Y15" s="47">
        <f>IF(B15="",0,X15-AQ15)</f>
        <v>307.67086660294842</v>
      </c>
      <c r="Z15" s="616">
        <f>Z12+AR15</f>
        <v>1679.8479825170516</v>
      </c>
      <c r="AA15" s="616">
        <f t="shared" ref="AA15:AA28" si="2">MAX(0,IF((IF(I15&gt;=(795+Q15+R15+AF15),795-X15,I15-Q15-R15-X15-AF15))&lt;=AJ15,(IF(I15&gt;=(795+Q15+R15+AF15),AJ15-(795-X15),I15-Q15-R15-X15-AF15)),AJ15))</f>
        <v>0</v>
      </c>
      <c r="AB15" s="616">
        <f>AB12+(((Y15-AN15)+AR15)*1.9835)</f>
        <v>8056.9253966451306</v>
      </c>
      <c r="AC15" s="55">
        <f>AC12-(AW13/$D$2)</f>
        <v>1699.8649751269411</v>
      </c>
      <c r="AD15" s="55">
        <f>AD12</f>
        <v>8754.9688212972815</v>
      </c>
      <c r="AE15" s="47">
        <v>63</v>
      </c>
      <c r="AF15" s="114">
        <v>1.7</v>
      </c>
      <c r="AG15" s="212">
        <v>1.3</v>
      </c>
      <c r="AH15" s="42">
        <v>51</v>
      </c>
      <c r="AI15" s="55">
        <f>AI13-AH15</f>
        <v>12749.511822044311</v>
      </c>
      <c r="AJ15" s="180"/>
      <c r="AK15" s="74">
        <f t="shared" ref="AK15:AK37" si="3">N15+O15+P15+Q15+R15+S15+T15+U15+X15+AE15+AH15+AZ15-AX15</f>
        <v>547</v>
      </c>
      <c r="AL15" s="47">
        <f t="shared" ref="AL15:AL45" si="4">IF(L15&lt;0,L15*-1,0)</f>
        <v>32.369808419460583</v>
      </c>
      <c r="AM15" s="47">
        <f t="shared" ref="AM15:AM44" si="5">AK15+AL15</f>
        <v>579.36980841946058</v>
      </c>
      <c r="AN15" s="234"/>
      <c r="AO15" s="489"/>
      <c r="AP15" s="489"/>
      <c r="AQ15" s="45"/>
      <c r="AR15" s="43">
        <f>IF(G15="",0,IF(I15&gt;=(795+Q15+R15+AF15),795-X15,I15-Q15-R15-X15-AF15)-AJ15)</f>
        <v>487.32913339705158</v>
      </c>
      <c r="AS15" s="492">
        <v>0.37</v>
      </c>
      <c r="AT15" s="493">
        <f>AS15*0.7</f>
        <v>0.25900000000000001</v>
      </c>
      <c r="AU15" s="494">
        <f>IF(AT15=0,0,VLOOKUP(ROUNDDOWN(TEXT(B15,"0000"),-1),VLOOKUP!$M$3:$W$32,RIGHT(TEXT(B15,"0000"),1)+2,FALSE))</f>
        <v>3632</v>
      </c>
      <c r="AV15" s="494">
        <f>AT15/12*AU15</f>
        <v>78.390666666666661</v>
      </c>
      <c r="AW15" s="610">
        <f>AV15*(IF(Z15&gt;JUN!$Z$44,JUN!$Z$44,MAY!Z15)*1.9835+AC15*1.9835)/E15</f>
        <v>4.2142169688139015</v>
      </c>
      <c r="AX15" s="42"/>
      <c r="AY15" s="187"/>
      <c r="AZ15" s="46"/>
      <c r="BA15" s="30"/>
      <c r="BB15" s="102">
        <v>0</v>
      </c>
      <c r="BC15" s="45">
        <v>83</v>
      </c>
      <c r="BD15" s="45">
        <v>44</v>
      </c>
      <c r="BE15" s="407"/>
      <c r="BF15" s="385">
        <f t="shared" ref="BF15:BF45" si="6">SUM(N15,P15:U15)</f>
        <v>8.7791333970515417</v>
      </c>
      <c r="BG15" s="323">
        <v>0.91700000000000004</v>
      </c>
      <c r="BH15" s="407">
        <v>17364</v>
      </c>
      <c r="BI15" s="296">
        <f>IF(G15="",0,IF(I15&lt;(795+Q15+R15+AF15+AG15),0,I15-(795+Q15+R15+AF15+AG15)))</f>
        <v>103.83543716294844</v>
      </c>
      <c r="BJ15" s="591">
        <f>MIN(505,BI15,SUM(O15,AE15))</f>
        <v>103.83543716294844</v>
      </c>
      <c r="BL15" s="574">
        <v>1</v>
      </c>
      <c r="BM15" s="559">
        <v>6898.04</v>
      </c>
      <c r="BN15" s="575">
        <f t="shared" ref="BN15:BN45" si="7">B15-BM15</f>
        <v>7.999999999992724E-2</v>
      </c>
      <c r="BO15" s="576">
        <v>49.677083333333258</v>
      </c>
      <c r="BP15" s="576">
        <f>AH15-BO15</f>
        <v>1.3229166666667425</v>
      </c>
    </row>
    <row r="16" spans="1:68" ht="12.95" customHeight="1">
      <c r="A16" s="48">
        <f t="shared" ref="A16:A41" si="8">A15+1</f>
        <v>2</v>
      </c>
      <c r="B16" s="104">
        <v>6898.38</v>
      </c>
      <c r="C16" s="483">
        <f>IF(B16="",C15,VLOOKUP(TRUNC(B16,1),VLOOKUP!$A$3:$K$2834,RIGHT(TEXT(B16,"0000.00"),1)+2,FALSE))</f>
        <v>277646</v>
      </c>
      <c r="D16" s="45">
        <f t="shared" ref="D16:D45" si="9">C16-C15</f>
        <v>948</v>
      </c>
      <c r="E16" s="55">
        <f t="shared" si="0"/>
        <v>125646</v>
      </c>
      <c r="F16" s="47">
        <f t="shared" si="1"/>
        <v>477.94302999747919</v>
      </c>
      <c r="G16" s="98">
        <v>1110</v>
      </c>
      <c r="H16" s="42">
        <v>8.31</v>
      </c>
      <c r="I16" s="47">
        <f t="shared" ref="I16:I46" si="10">G16+H16</f>
        <v>1118.31</v>
      </c>
      <c r="J16" s="42">
        <f t="shared" ref="J16:J45" si="11">IF(L16&gt;0,L16,0)</f>
        <v>0</v>
      </c>
      <c r="K16" s="47">
        <f t="shared" ref="K16:K45" si="12">I16+J16</f>
        <v>1118.31</v>
      </c>
      <c r="L16" s="47">
        <f t="shared" ref="L16:L45" si="13">IF(G16="",0,F16-(I16-AK16))</f>
        <v>-81.366970002520759</v>
      </c>
      <c r="M16" s="114">
        <v>292</v>
      </c>
      <c r="N16" s="610">
        <v>0.5</v>
      </c>
      <c r="O16" s="47">
        <f>101*1.05</f>
        <v>106.05000000000001</v>
      </c>
      <c r="P16" s="39">
        <v>0</v>
      </c>
      <c r="Q16" s="144">
        <f>2040200/325851/1.9835*1.02</f>
        <v>3.2197462944282274</v>
      </c>
      <c r="R16" s="73">
        <f>IF(((5.4*1.04)-T16)&gt;=4.2,4.2,(5.4*1.04)-T16)</f>
        <v>4.2</v>
      </c>
      <c r="S16" s="73">
        <f>IF(((5.4*1.04)-T16)&gt;=4.2,((5.4*1.04)-T16)-4.2,0)</f>
        <v>0.39142944000000046</v>
      </c>
      <c r="T16" s="73">
        <f t="shared" ref="T16:T21" si="14">(0.9294*1.06)*1.04</f>
        <v>1.0245705600000001</v>
      </c>
      <c r="U16" s="131">
        <v>0</v>
      </c>
      <c r="V16" s="47">
        <v>96</v>
      </c>
      <c r="W16" s="47">
        <v>43</v>
      </c>
      <c r="X16" s="47">
        <f t="shared" ref="X16:X45" si="15">IF(B16="",0,M16-N16-O16-P16-Q16-R16-S16-T16-U16+V16+W16-MAX(AN16-AO16,0)-AZ16+AX16)</f>
        <v>315.61425370557174</v>
      </c>
      <c r="Y16" s="47">
        <f t="shared" ref="Y16:Y45" si="16">IF(B16="",0,X16-AQ16)</f>
        <v>315.61425370557174</v>
      </c>
      <c r="Z16" s="616">
        <f>Z15+AR16</f>
        <v>2159.23372881148</v>
      </c>
      <c r="AA16" s="616">
        <f t="shared" si="2"/>
        <v>0</v>
      </c>
      <c r="AB16" s="616">
        <f>AB15+(((Y16-AN16)+AR16)*1.9835)</f>
        <v>9633.8078966451303</v>
      </c>
      <c r="AC16" s="55">
        <f>IF(AW15="",AC15,AC15-(AW15/$D$2))</f>
        <v>1697.7403383894498</v>
      </c>
      <c r="AD16" s="55">
        <f>AD15</f>
        <v>8754.9688212972815</v>
      </c>
      <c r="AE16" s="47">
        <v>75</v>
      </c>
      <c r="AF16" s="114">
        <v>1.7</v>
      </c>
      <c r="AG16" s="212">
        <v>1.3</v>
      </c>
      <c r="AH16" s="42">
        <v>53</v>
      </c>
      <c r="AI16" s="55">
        <f>AI15-AH16</f>
        <v>12696.511822044311</v>
      </c>
      <c r="AJ16" s="180"/>
      <c r="AK16" s="74">
        <f t="shared" si="3"/>
        <v>559</v>
      </c>
      <c r="AL16" s="47">
        <f t="shared" si="4"/>
        <v>81.366970002520759</v>
      </c>
      <c r="AM16" s="47">
        <f t="shared" si="5"/>
        <v>640.3669700025207</v>
      </c>
      <c r="AN16" s="234"/>
      <c r="AO16" s="489"/>
      <c r="AP16" s="489"/>
      <c r="AQ16" s="45"/>
      <c r="AR16" s="43">
        <f t="shared" ref="AR16:AR44" si="17">IF(G16="",0,IF(I16&gt;=(795+Q16+R16+AF16),795-X16,I16-Q16-R16-X16-AF16)-AJ16)</f>
        <v>479.38574629442826</v>
      </c>
      <c r="AS16" s="492">
        <v>0.39</v>
      </c>
      <c r="AT16" s="493">
        <f t="shared" ref="AT16:AT45" si="18">AS16*0.7</f>
        <v>0.27299999999999996</v>
      </c>
      <c r="AU16" s="494">
        <f>IF(AT16=0,0,VLOOKUP(ROUNDDOWN(TEXT(B16,"0000"),-1),VLOOKUP!$M$3:$W$32,RIGHT(TEXT(B16,"0000"),1)+2,FALSE))</f>
        <v>3632</v>
      </c>
      <c r="AV16" s="494">
        <f>AT16/12*AU16</f>
        <v>82.627999999999986</v>
      </c>
      <c r="AW16" s="610">
        <f>AV16*(IF(Z16&gt;JUN!$Z$44,JUN!$Z$44,MAY!Z16)*1.9835+AC16*1.9835)/E16</f>
        <v>5.0310368381894337</v>
      </c>
      <c r="AX16" s="42"/>
      <c r="AY16" s="187"/>
      <c r="AZ16" s="46"/>
      <c r="BA16" s="30"/>
      <c r="BB16" s="102">
        <v>0</v>
      </c>
      <c r="BC16" s="45">
        <v>78</v>
      </c>
      <c r="BD16" s="45">
        <v>43</v>
      </c>
      <c r="BE16" s="407"/>
      <c r="BF16" s="385">
        <f t="shared" si="6"/>
        <v>9.3357462944282297</v>
      </c>
      <c r="BG16" s="323">
        <v>1.26</v>
      </c>
      <c r="BH16" s="407">
        <v>17460</v>
      </c>
      <c r="BI16" s="296">
        <f t="shared" ref="BI16:BI42" si="19">IF(G16="",0,IF(I16&lt;(795+Q16+R16+AF16+AG16),0,I16-(795+Q16+R16+AF16+AG16)))</f>
        <v>312.89025370557169</v>
      </c>
      <c r="BJ16" s="591">
        <f t="shared" ref="BJ16:BJ45" si="20">MIN(505,BI16,SUM(O16,AE16))</f>
        <v>181.05</v>
      </c>
      <c r="BL16" s="574">
        <f t="shared" ref="BL16:BL45" si="21">BL15+1</f>
        <v>2</v>
      </c>
      <c r="BM16" s="559">
        <v>6898.34</v>
      </c>
      <c r="BN16" s="575">
        <f t="shared" si="7"/>
        <v>3.999999999996362E-2</v>
      </c>
      <c r="BO16" s="576">
        <v>49.680208333333276</v>
      </c>
      <c r="BP16" s="576">
        <f t="shared" ref="BP16:BP45" si="22">AH16-BO16</f>
        <v>3.319791666666724</v>
      </c>
    </row>
    <row r="17" spans="1:68" ht="12.95" customHeight="1">
      <c r="A17" s="48">
        <f t="shared" si="8"/>
        <v>3</v>
      </c>
      <c r="B17" s="104">
        <v>6898.67</v>
      </c>
      <c r="C17" s="483">
        <f>IF(B17="",C16,VLOOKUP(TRUNC(B17,1),VLOOKUP!$A$3:$K$2834,RIGHT(TEXT(B17,"0000.00"),1)+2,FALSE))</f>
        <v>278703</v>
      </c>
      <c r="D17" s="45">
        <f t="shared" si="9"/>
        <v>1057</v>
      </c>
      <c r="E17" s="55">
        <f t="shared" si="0"/>
        <v>126703</v>
      </c>
      <c r="F17" s="47">
        <f t="shared" si="1"/>
        <v>532.89639526090241</v>
      </c>
      <c r="G17" s="98">
        <v>1130</v>
      </c>
      <c r="H17" s="42">
        <v>5.35</v>
      </c>
      <c r="I17" s="47">
        <f t="shared" si="10"/>
        <v>1135.3499999999999</v>
      </c>
      <c r="J17" s="42">
        <f t="shared" si="11"/>
        <v>0</v>
      </c>
      <c r="K17" s="47">
        <f t="shared" si="12"/>
        <v>1135.3499999999999</v>
      </c>
      <c r="L17" s="47">
        <f t="shared" si="13"/>
        <v>-29.4536047390975</v>
      </c>
      <c r="M17" s="114">
        <v>294</v>
      </c>
      <c r="N17" s="610">
        <v>0.5</v>
      </c>
      <c r="O17" s="47">
        <f>94*1.05</f>
        <v>98.7</v>
      </c>
      <c r="P17" s="39">
        <v>0</v>
      </c>
      <c r="Q17" s="144">
        <f>2238600/325851/1.9835*1.02</f>
        <v>3.5328517080222674</v>
      </c>
      <c r="R17" s="73">
        <f>IF(((5.9*1.04)-T17)&gt;=4.2,4.2,(5.9*1.04)-T17)</f>
        <v>4.2</v>
      </c>
      <c r="S17" s="73">
        <f>IF(((5.9*1.04)-T17)&gt;=4.2,((5.9*1.04)-T17)-4.2,0)</f>
        <v>0.91142944000000092</v>
      </c>
      <c r="T17" s="73">
        <f t="shared" si="14"/>
        <v>1.0245705600000001</v>
      </c>
      <c r="U17" s="131">
        <v>0</v>
      </c>
      <c r="V17" s="47">
        <v>100</v>
      </c>
      <c r="W17" s="47">
        <v>42</v>
      </c>
      <c r="X17" s="47">
        <f t="shared" si="15"/>
        <v>327.13114829197775</v>
      </c>
      <c r="Y17" s="47">
        <f t="shared" si="16"/>
        <v>327.13114829197775</v>
      </c>
      <c r="Z17" s="616">
        <f t="shared" ref="Z17:Z45" si="23">Z16+AR17</f>
        <v>2627.1025805195022</v>
      </c>
      <c r="AA17" s="616">
        <f t="shared" si="2"/>
        <v>0</v>
      </c>
      <c r="AB17" s="616">
        <f t="shared" ref="AB17:AB45" si="24">AB16+(((Y17-AN17)+AR17)*1.9835)</f>
        <v>11210.69039664513</v>
      </c>
      <c r="AC17" s="55">
        <f t="shared" ref="AC17:AC45" si="25">IF(AW16="",AC16,AC16-(AW16/$D$2))</f>
        <v>1695.2038943066721</v>
      </c>
      <c r="AD17" s="55">
        <f t="shared" ref="AD17:AD26" si="26">AD16</f>
        <v>8754.9688212972815</v>
      </c>
      <c r="AE17" s="47">
        <v>83</v>
      </c>
      <c r="AF17" s="114">
        <v>1.7</v>
      </c>
      <c r="AG17" s="212">
        <v>1.3</v>
      </c>
      <c r="AH17" s="42">
        <v>54</v>
      </c>
      <c r="AI17" s="55">
        <f t="shared" ref="AI17:AI27" si="27">AI16-AH17</f>
        <v>12642.511822044311</v>
      </c>
      <c r="AJ17" s="180"/>
      <c r="AK17" s="74">
        <f t="shared" si="3"/>
        <v>573</v>
      </c>
      <c r="AL17" s="47">
        <f t="shared" si="4"/>
        <v>29.4536047390975</v>
      </c>
      <c r="AM17" s="47">
        <f t="shared" si="5"/>
        <v>602.4536047390975</v>
      </c>
      <c r="AN17" s="234"/>
      <c r="AO17" s="489"/>
      <c r="AP17" s="489"/>
      <c r="AQ17" s="45"/>
      <c r="AR17" s="43">
        <f>IF(G17="",0,IF(I17&gt;=(795+Q17+R17+AF17),795-X17,I17-Q17-R17-X17-AF17)-AJ17)</f>
        <v>467.86885170802225</v>
      </c>
      <c r="AS17" s="492">
        <v>0.32</v>
      </c>
      <c r="AT17" s="493">
        <f t="shared" si="18"/>
        <v>0.22399999999999998</v>
      </c>
      <c r="AU17" s="494">
        <f>IF(AT17=0,0,VLOOKUP(ROUNDDOWN(TEXT(B17,"0000"),-1),VLOOKUP!$M$3:$W$32,RIGHT(TEXT(B17,"0000"),1)+2,FALSE))</f>
        <v>3660</v>
      </c>
      <c r="AV17" s="494">
        <f t="shared" ref="AV17:AV45" si="28">AT17/12*AU17</f>
        <v>68.319999999999993</v>
      </c>
      <c r="AW17" s="610">
        <f>AV17*(IF(Z17&gt;JUN!$Z$44,JUN!$Z$44,MAY!Z17)*1.9835+AC17*1.9835)/E17</f>
        <v>4.6228385048286658</v>
      </c>
      <c r="AX17" s="42"/>
      <c r="AY17" s="187"/>
      <c r="AZ17" s="46"/>
      <c r="BA17" s="30"/>
      <c r="BB17" s="102">
        <v>0</v>
      </c>
      <c r="BC17" s="45">
        <v>77</v>
      </c>
      <c r="BD17" s="45">
        <v>41</v>
      </c>
      <c r="BE17" s="407"/>
      <c r="BF17" s="385">
        <f t="shared" si="6"/>
        <v>10.168851708022268</v>
      </c>
      <c r="BG17" s="323">
        <v>1</v>
      </c>
      <c r="BH17" s="407">
        <v>17555</v>
      </c>
      <c r="BI17" s="296">
        <f t="shared" si="19"/>
        <v>329.61714829197763</v>
      </c>
      <c r="BJ17" s="591">
        <f t="shared" si="20"/>
        <v>181.7</v>
      </c>
      <c r="BL17" s="574">
        <f t="shared" si="21"/>
        <v>3</v>
      </c>
      <c r="BM17" s="559">
        <v>6898.61</v>
      </c>
      <c r="BN17" s="575">
        <f t="shared" si="7"/>
        <v>6.0000000000400178E-2</v>
      </c>
      <c r="BO17" s="576">
        <v>49.687499999999964</v>
      </c>
      <c r="BP17" s="576">
        <f t="shared" si="22"/>
        <v>4.3125000000000355</v>
      </c>
    </row>
    <row r="18" spans="1:68" ht="12.95" customHeight="1">
      <c r="A18" s="48">
        <f t="shared" si="8"/>
        <v>4</v>
      </c>
      <c r="B18" s="104">
        <v>6898.95</v>
      </c>
      <c r="C18" s="483">
        <f>IF(B18="",C17,VLOOKUP(TRUNC(B18,1),VLOOKUP!$A$3:$K$2834,RIGHT(TEXT(B18,"0000.00"),1)+2,FALSE))</f>
        <v>279724</v>
      </c>
      <c r="D18" s="45">
        <f t="shared" si="9"/>
        <v>1021</v>
      </c>
      <c r="E18" s="55">
        <f t="shared" si="0"/>
        <v>127724</v>
      </c>
      <c r="F18" s="47">
        <f t="shared" si="1"/>
        <v>514.74665994454244</v>
      </c>
      <c r="G18" s="98">
        <v>1190</v>
      </c>
      <c r="H18" s="42">
        <v>4.03</v>
      </c>
      <c r="I18" s="47">
        <f t="shared" si="10"/>
        <v>1194.03</v>
      </c>
      <c r="J18" s="42">
        <f t="shared" si="11"/>
        <v>0</v>
      </c>
      <c r="K18" s="47">
        <f t="shared" si="12"/>
        <v>1194.03</v>
      </c>
      <c r="L18" s="47">
        <f t="shared" si="13"/>
        <v>-59.283340055457529</v>
      </c>
      <c r="M18" s="114">
        <v>301</v>
      </c>
      <c r="N18" s="610">
        <v>0.5</v>
      </c>
      <c r="O18" s="47">
        <f>98*1.05</f>
        <v>102.9</v>
      </c>
      <c r="P18" s="39">
        <v>0</v>
      </c>
      <c r="Q18" s="144">
        <f>1935100/325851/1.9835*1.02</f>
        <v>3.0538824891422713</v>
      </c>
      <c r="R18" s="73">
        <f>IF(((5.7*1.04)-T18)&gt;=4.2,4.2,(5.7*1.04)-T18)</f>
        <v>4.2</v>
      </c>
      <c r="S18" s="73">
        <f>IF(((5.7*1.04)-T18)&gt;=4.2,((5.7*1.04)-T18)-4.2,0)</f>
        <v>0.70342944000000074</v>
      </c>
      <c r="T18" s="73">
        <f t="shared" si="14"/>
        <v>1.0245705600000001</v>
      </c>
      <c r="U18" s="131">
        <v>0</v>
      </c>
      <c r="V18" s="47">
        <v>106</v>
      </c>
      <c r="W18" s="47">
        <v>48</v>
      </c>
      <c r="X18" s="47">
        <f t="shared" si="15"/>
        <v>342.6181175108577</v>
      </c>
      <c r="Y18" s="47">
        <f t="shared" si="16"/>
        <v>342.6181175108577</v>
      </c>
      <c r="Z18" s="616">
        <f t="shared" si="23"/>
        <v>3079.4844630086445</v>
      </c>
      <c r="AA18" s="616">
        <f t="shared" si="2"/>
        <v>0</v>
      </c>
      <c r="AB18" s="616">
        <f t="shared" si="24"/>
        <v>12787.57289664513</v>
      </c>
      <c r="AC18" s="55">
        <f t="shared" si="25"/>
        <v>1692.8732472157576</v>
      </c>
      <c r="AD18" s="55">
        <f t="shared" si="26"/>
        <v>8754.9688212972815</v>
      </c>
      <c r="AE18" s="47">
        <v>115</v>
      </c>
      <c r="AF18" s="114">
        <v>1.7</v>
      </c>
      <c r="AG18" s="212">
        <v>1.3</v>
      </c>
      <c r="AH18" s="42">
        <v>50</v>
      </c>
      <c r="AI18" s="55">
        <f t="shared" si="27"/>
        <v>12592.511822044311</v>
      </c>
      <c r="AJ18" s="180"/>
      <c r="AK18" s="74">
        <f t="shared" si="3"/>
        <v>620</v>
      </c>
      <c r="AL18" s="47">
        <f t="shared" si="4"/>
        <v>59.283340055457529</v>
      </c>
      <c r="AM18" s="47">
        <f t="shared" si="5"/>
        <v>679.28334005545753</v>
      </c>
      <c r="AN18" s="234"/>
      <c r="AO18" s="489"/>
      <c r="AP18" s="489"/>
      <c r="AQ18" s="45"/>
      <c r="AR18" s="43">
        <f t="shared" si="17"/>
        <v>452.3818824891423</v>
      </c>
      <c r="AS18" s="492">
        <v>0.28999999999999998</v>
      </c>
      <c r="AT18" s="493">
        <f t="shared" si="18"/>
        <v>0.20299999999999999</v>
      </c>
      <c r="AU18" s="494">
        <f>IF(AT18=0,0,VLOOKUP(ROUNDDOWN(TEXT(B18,"0000"),-1),VLOOKUP!$M$3:$W$32,RIGHT(TEXT(B18,"0000"),1)+2,FALSE))</f>
        <v>3660</v>
      </c>
      <c r="AV18" s="494">
        <f t="shared" si="28"/>
        <v>61.914999999999999</v>
      </c>
      <c r="AW18" s="610">
        <f>AV18*(IF(Z18&gt;JUN!$Z$44,JUN!$Z$44,MAY!Z18)*1.9835+AC18*1.9835)/E18</f>
        <v>4.5886883166140802</v>
      </c>
      <c r="AX18" s="42"/>
      <c r="AY18" s="187"/>
      <c r="AZ18" s="46"/>
      <c r="BA18" s="30"/>
      <c r="BB18" s="102">
        <v>0</v>
      </c>
      <c r="BC18" s="45">
        <v>72</v>
      </c>
      <c r="BD18" s="45">
        <v>40</v>
      </c>
      <c r="BE18" s="407"/>
      <c r="BF18" s="385">
        <f t="shared" si="6"/>
        <v>9.4818824891422722</v>
      </c>
      <c r="BG18" s="323">
        <v>1.21</v>
      </c>
      <c r="BH18" s="407">
        <v>17646</v>
      </c>
      <c r="BI18" s="296">
        <f t="shared" si="19"/>
        <v>388.7761175108576</v>
      </c>
      <c r="BJ18" s="591">
        <f t="shared" si="20"/>
        <v>217.9</v>
      </c>
      <c r="BL18" s="574">
        <f t="shared" si="21"/>
        <v>4</v>
      </c>
      <c r="BM18" s="559">
        <v>6898.9</v>
      </c>
      <c r="BN18" s="575">
        <f t="shared" si="7"/>
        <v>5.0000000000181899E-2</v>
      </c>
      <c r="BO18" s="576">
        <v>49.763541666666661</v>
      </c>
      <c r="BP18" s="576">
        <f t="shared" si="22"/>
        <v>0.23645833333333854</v>
      </c>
    </row>
    <row r="19" spans="1:68" ht="12.95" customHeight="1">
      <c r="A19" s="48">
        <f t="shared" si="8"/>
        <v>5</v>
      </c>
      <c r="B19" s="104">
        <v>6899.18</v>
      </c>
      <c r="C19" s="483">
        <f>IF(B19="",C18,VLOOKUP(TRUNC(B19,1),VLOOKUP!$A$3:$K$2834,RIGHT(TEXT(B19,"0000.00"),1)+2,FALSE))</f>
        <v>280568</v>
      </c>
      <c r="D19" s="45">
        <f t="shared" si="9"/>
        <v>844</v>
      </c>
      <c r="E19" s="55">
        <f t="shared" si="0"/>
        <v>128568</v>
      </c>
      <c r="F19" s="47">
        <f t="shared" si="1"/>
        <v>425.51046130577259</v>
      </c>
      <c r="G19" s="98">
        <v>1130</v>
      </c>
      <c r="H19" s="42">
        <v>3.47</v>
      </c>
      <c r="I19" s="47">
        <f t="shared" si="10"/>
        <v>1133.47</v>
      </c>
      <c r="J19" s="42">
        <f t="shared" si="11"/>
        <v>0</v>
      </c>
      <c r="K19" s="47">
        <f t="shared" si="12"/>
        <v>1133.47</v>
      </c>
      <c r="L19" s="47">
        <f t="shared" si="13"/>
        <v>-50.959538694227433</v>
      </c>
      <c r="M19" s="114">
        <v>298</v>
      </c>
      <c r="N19" s="610">
        <v>0.5</v>
      </c>
      <c r="O19" s="47">
        <f>100*1.05</f>
        <v>105</v>
      </c>
      <c r="P19" s="39">
        <v>0</v>
      </c>
      <c r="Q19" s="144">
        <f>2020300/325851/1.9835*1.02</f>
        <v>3.1883410639316478</v>
      </c>
      <c r="R19" s="73">
        <f>IF(((5.7*1.04)-T19)&gt;=4.2,4.2,(5.7*1.04)-T19)</f>
        <v>4.2</v>
      </c>
      <c r="S19" s="73">
        <f>IF(((5.7*1.04)-T19)&gt;=4.2,((5.7*1.04)-T19)-4.2,0)</f>
        <v>0.70342944000000074</v>
      </c>
      <c r="T19" s="73">
        <f t="shared" si="14"/>
        <v>1.0245705600000001</v>
      </c>
      <c r="U19" s="131">
        <v>0</v>
      </c>
      <c r="V19" s="47">
        <v>114</v>
      </c>
      <c r="W19" s="47">
        <v>53</v>
      </c>
      <c r="X19" s="47">
        <f t="shared" si="15"/>
        <v>350.38365893606834</v>
      </c>
      <c r="Y19" s="47">
        <f t="shared" si="16"/>
        <v>350.38365893606834</v>
      </c>
      <c r="Z19" s="616">
        <f t="shared" si="23"/>
        <v>3524.100804072576</v>
      </c>
      <c r="AA19" s="616">
        <f t="shared" si="2"/>
        <v>0</v>
      </c>
      <c r="AB19" s="616">
        <f t="shared" si="24"/>
        <v>14364.455396645129</v>
      </c>
      <c r="AC19" s="55">
        <f t="shared" si="25"/>
        <v>1690.5598172603181</v>
      </c>
      <c r="AD19" s="55">
        <f t="shared" si="26"/>
        <v>8754.9688212972815</v>
      </c>
      <c r="AE19" s="47">
        <v>142</v>
      </c>
      <c r="AF19" s="114">
        <v>1.7</v>
      </c>
      <c r="AG19" s="212">
        <v>1.3</v>
      </c>
      <c r="AH19" s="42">
        <v>50</v>
      </c>
      <c r="AI19" s="55">
        <f t="shared" si="27"/>
        <v>12542.511822044311</v>
      </c>
      <c r="AJ19" s="180"/>
      <c r="AK19" s="74">
        <f t="shared" si="3"/>
        <v>657</v>
      </c>
      <c r="AL19" s="47">
        <f t="shared" si="4"/>
        <v>50.959538694227433</v>
      </c>
      <c r="AM19" s="47">
        <f t="shared" si="5"/>
        <v>707.95953869422738</v>
      </c>
      <c r="AN19" s="234"/>
      <c r="AO19" s="489"/>
      <c r="AP19" s="489"/>
      <c r="AQ19" s="45"/>
      <c r="AR19" s="43">
        <f>IF(G19="",0,IF(I19&gt;=(795+Q19+R19+AF19),795-X19,I19-Q19-R19-X19-AF19)-AJ19)</f>
        <v>444.61634106393166</v>
      </c>
      <c r="AS19" s="492">
        <v>0.31</v>
      </c>
      <c r="AT19" s="493">
        <f t="shared" si="18"/>
        <v>0.217</v>
      </c>
      <c r="AU19" s="494">
        <f>IF(AT19=0,0,VLOOKUP(ROUNDDOWN(TEXT(B19,"0000"),-1),VLOOKUP!$M$3:$W$32,RIGHT(TEXT(B19,"0000"),1)+2,FALSE))</f>
        <v>3660</v>
      </c>
      <c r="AV19" s="494">
        <f t="shared" si="28"/>
        <v>66.185000000000002</v>
      </c>
      <c r="AW19" s="610">
        <f>AV19*(IF(Z19&gt;JUN!$Z$44,JUN!$Z$44,MAY!Z19)*1.9835+AC19*1.9835)/E19</f>
        <v>5.324574880823044</v>
      </c>
      <c r="AX19" s="42"/>
      <c r="AY19" s="187"/>
      <c r="AZ19" s="46"/>
      <c r="BA19" s="30"/>
      <c r="BB19" s="102">
        <v>0</v>
      </c>
      <c r="BC19" s="45">
        <v>75</v>
      </c>
      <c r="BD19" s="45">
        <v>35</v>
      </c>
      <c r="BE19" s="407"/>
      <c r="BF19" s="385">
        <f t="shared" si="6"/>
        <v>9.6163410639316496</v>
      </c>
      <c r="BG19" s="323">
        <v>1.1399999999999999</v>
      </c>
      <c r="BH19" s="407">
        <v>17726</v>
      </c>
      <c r="BI19" s="296">
        <f t="shared" si="19"/>
        <v>328.08165893606838</v>
      </c>
      <c r="BJ19" s="591">
        <f t="shared" si="20"/>
        <v>247</v>
      </c>
      <c r="BL19" s="574">
        <f t="shared" si="21"/>
        <v>5</v>
      </c>
      <c r="BM19" s="498">
        <v>6899.13</v>
      </c>
      <c r="BN19" s="575">
        <f t="shared" si="7"/>
        <v>5.0000000000181899E-2</v>
      </c>
      <c r="BO19" s="576">
        <v>49.799999999999976</v>
      </c>
      <c r="BP19" s="576">
        <f t="shared" si="22"/>
        <v>0.20000000000002416</v>
      </c>
    </row>
    <row r="20" spans="1:68" ht="12.95" customHeight="1">
      <c r="A20" s="48">
        <f t="shared" si="8"/>
        <v>6</v>
      </c>
      <c r="B20" s="104">
        <v>6899.38</v>
      </c>
      <c r="C20" s="483">
        <f>IF(B20="",C19,VLOOKUP(TRUNC(B20,1),VLOOKUP!$A$3:$K$2834,RIGHT(TEXT(B20,"0000.00"),1)+2,FALSE))</f>
        <v>281302</v>
      </c>
      <c r="D20" s="45">
        <f t="shared" si="9"/>
        <v>734</v>
      </c>
      <c r="E20" s="55">
        <f t="shared" si="0"/>
        <v>129302</v>
      </c>
      <c r="F20" s="47">
        <f t="shared" si="1"/>
        <v>370.05293672800605</v>
      </c>
      <c r="G20" s="98">
        <v>1070</v>
      </c>
      <c r="H20" s="42">
        <v>3.01</v>
      </c>
      <c r="I20" s="47">
        <f t="shared" si="10"/>
        <v>1073.01</v>
      </c>
      <c r="J20" s="42">
        <f t="shared" si="11"/>
        <v>0</v>
      </c>
      <c r="K20" s="47">
        <f t="shared" si="12"/>
        <v>1073.01</v>
      </c>
      <c r="L20" s="47">
        <f t="shared" si="13"/>
        <v>-20.957063271993945</v>
      </c>
      <c r="M20" s="114">
        <v>308</v>
      </c>
      <c r="N20" s="610">
        <v>0.5</v>
      </c>
      <c r="O20" s="47">
        <f>108*1.05</f>
        <v>113.4</v>
      </c>
      <c r="P20" s="39">
        <v>0</v>
      </c>
      <c r="Q20" s="144">
        <f>2157900/325851/1.9835*1.02</f>
        <v>3.4054948185210625</v>
      </c>
      <c r="R20" s="73">
        <f>IF(((6.1*1.04)-T20)&gt;=4.2,4.2,(6.1*1.04)-T20)</f>
        <v>4.2</v>
      </c>
      <c r="S20" s="73">
        <f>IF(((6.1*1.04)-T20)&gt;=4.2,((6.1*1.04)-T20)-4.2,0)</f>
        <v>1.1194294399999993</v>
      </c>
      <c r="T20" s="73">
        <f t="shared" si="14"/>
        <v>1.0245705600000001</v>
      </c>
      <c r="U20" s="131">
        <v>0</v>
      </c>
      <c r="V20" s="47">
        <v>120</v>
      </c>
      <c r="W20" s="47">
        <v>58</v>
      </c>
      <c r="X20" s="47">
        <f t="shared" si="15"/>
        <v>362.35050518147898</v>
      </c>
      <c r="Y20" s="47">
        <f t="shared" si="16"/>
        <v>362.35050518147898</v>
      </c>
      <c r="Z20" s="616">
        <f t="shared" si="23"/>
        <v>3956.7502988910969</v>
      </c>
      <c r="AA20" s="616">
        <f t="shared" si="2"/>
        <v>0</v>
      </c>
      <c r="AB20" s="616">
        <f t="shared" si="24"/>
        <v>15941.337896645129</v>
      </c>
      <c r="AC20" s="55">
        <f t="shared" si="25"/>
        <v>1687.8753832392326</v>
      </c>
      <c r="AD20" s="55">
        <f t="shared" si="26"/>
        <v>8754.9688212972815</v>
      </c>
      <c r="AE20" s="47">
        <v>145</v>
      </c>
      <c r="AF20" s="114">
        <v>1.7</v>
      </c>
      <c r="AG20" s="212">
        <v>1.3</v>
      </c>
      <c r="AH20" s="42">
        <v>51</v>
      </c>
      <c r="AI20" s="55">
        <f t="shared" si="27"/>
        <v>12491.511822044311</v>
      </c>
      <c r="AJ20" s="180"/>
      <c r="AK20" s="74">
        <f t="shared" si="3"/>
        <v>682</v>
      </c>
      <c r="AL20" s="47">
        <f t="shared" si="4"/>
        <v>20.957063271993945</v>
      </c>
      <c r="AM20" s="47">
        <f t="shared" si="5"/>
        <v>702.957063271994</v>
      </c>
      <c r="AN20" s="234"/>
      <c r="AO20" s="489"/>
      <c r="AP20" s="489"/>
      <c r="AQ20" s="45"/>
      <c r="AR20" s="43">
        <f>IF(G20="",0,IF(I20&gt;=(795+Q20+R20+AF20),795-X20,I20-Q20-R20-X20-AF20)-AJ20)</f>
        <v>432.64949481852102</v>
      </c>
      <c r="AS20" s="492">
        <v>0.33</v>
      </c>
      <c r="AT20" s="493">
        <f t="shared" si="18"/>
        <v>0.23099999999999998</v>
      </c>
      <c r="AU20" s="494">
        <f>IF(AT20=0,0,VLOOKUP(ROUNDDOWN(TEXT(B20,"0000"),-1),VLOOKUP!$M$3:$W$32,RIGHT(TEXT(B20,"0000"),1)+2,FALSE))</f>
        <v>3660</v>
      </c>
      <c r="AV20" s="494">
        <f t="shared" si="28"/>
        <v>70.454999999999998</v>
      </c>
      <c r="AW20" s="610">
        <f>AV20*(IF(Z20&gt;JUN!$Z$44,JUN!$Z$44,MAY!Z20)*1.9835+AC20*1.9835)/E20</f>
        <v>6.1006193653525518</v>
      </c>
      <c r="AX20" s="42"/>
      <c r="AY20" s="187"/>
      <c r="AZ20" s="46"/>
      <c r="BA20" s="30"/>
      <c r="BB20" s="102">
        <v>0</v>
      </c>
      <c r="BC20" s="45">
        <v>81</v>
      </c>
      <c r="BD20" s="45">
        <v>43</v>
      </c>
      <c r="BE20" s="407"/>
      <c r="BF20" s="385">
        <f t="shared" si="6"/>
        <v>10.249494818521063</v>
      </c>
      <c r="BG20" s="323">
        <v>1.1200000000000001</v>
      </c>
      <c r="BH20" s="407">
        <v>17800</v>
      </c>
      <c r="BI20" s="296">
        <f t="shared" si="19"/>
        <v>267.40450518147884</v>
      </c>
      <c r="BJ20" s="591">
        <f t="shared" si="20"/>
        <v>258.39999999999998</v>
      </c>
      <c r="BL20" s="574">
        <f t="shared" si="21"/>
        <v>6</v>
      </c>
      <c r="BM20" s="498">
        <v>6899.32</v>
      </c>
      <c r="BN20" s="575">
        <f t="shared" si="7"/>
        <v>6.0000000000400178E-2</v>
      </c>
      <c r="BO20" s="576">
        <v>49.885416666666629</v>
      </c>
      <c r="BP20" s="576">
        <f t="shared" si="22"/>
        <v>1.1145833333333712</v>
      </c>
    </row>
    <row r="21" spans="1:68" ht="12.95" customHeight="1">
      <c r="A21" s="48">
        <f t="shared" si="8"/>
        <v>7</v>
      </c>
      <c r="B21" s="104">
        <v>6899.53</v>
      </c>
      <c r="C21" s="483">
        <f>IF(B21="",C20,VLOOKUP(TRUNC(B21,1),VLOOKUP!$A$3:$K$2834,RIGHT(TEXT(B21,"0000.00"),1)+2,FALSE))</f>
        <v>281853</v>
      </c>
      <c r="D21" s="45">
        <f t="shared" si="9"/>
        <v>551</v>
      </c>
      <c r="E21" s="55">
        <f t="shared" si="0"/>
        <v>129853</v>
      </c>
      <c r="F21" s="47">
        <f t="shared" si="1"/>
        <v>277.79178220317618</v>
      </c>
      <c r="G21" s="98">
        <v>1110</v>
      </c>
      <c r="H21" s="42">
        <v>2.6</v>
      </c>
      <c r="I21" s="47">
        <f t="shared" si="10"/>
        <v>1112.5999999999999</v>
      </c>
      <c r="J21" s="42">
        <f t="shared" si="11"/>
        <v>0</v>
      </c>
      <c r="K21" s="47">
        <f t="shared" si="12"/>
        <v>1112.5999999999999</v>
      </c>
      <c r="L21" s="47">
        <f t="shared" si="13"/>
        <v>-84.808217796823726</v>
      </c>
      <c r="M21" s="114">
        <v>318</v>
      </c>
      <c r="N21" s="610">
        <v>0.5</v>
      </c>
      <c r="O21" s="47">
        <f>105*1.05</f>
        <v>110.25</v>
      </c>
      <c r="P21" s="39">
        <v>0</v>
      </c>
      <c r="Q21" s="144">
        <f>1795100/325851/1.9835*1.02</f>
        <v>2.8329411690658324</v>
      </c>
      <c r="R21" s="73">
        <f>IF(((6.2*1.04)-T21)&gt;=4.2,4.2,(6.2*1.04)-T21)</f>
        <v>4.2</v>
      </c>
      <c r="S21" s="73">
        <f>IF(((6.2*1.04)-T21)&gt;=4.2,((6.2*1.04)-T21)-4.2,0)</f>
        <v>1.2234294400000003</v>
      </c>
      <c r="T21" s="73">
        <f t="shared" si="14"/>
        <v>1.0245705600000001</v>
      </c>
      <c r="U21" s="131">
        <v>0</v>
      </c>
      <c r="V21" s="47">
        <v>127</v>
      </c>
      <c r="W21" s="47">
        <v>62</v>
      </c>
      <c r="X21" s="47">
        <f t="shared" si="15"/>
        <v>386.96905883093416</v>
      </c>
      <c r="Y21" s="47">
        <f t="shared" si="16"/>
        <v>386.96905883093416</v>
      </c>
      <c r="Z21" s="616">
        <f t="shared" si="23"/>
        <v>4364.7812400601624</v>
      </c>
      <c r="AA21" s="616">
        <f t="shared" si="2"/>
        <v>0</v>
      </c>
      <c r="AB21" s="616">
        <f t="shared" si="24"/>
        <v>17518.220396645131</v>
      </c>
      <c r="AC21" s="55">
        <f t="shared" si="25"/>
        <v>1684.7996991629268</v>
      </c>
      <c r="AD21" s="55">
        <f t="shared" si="26"/>
        <v>8754.9688212972815</v>
      </c>
      <c r="AE21" s="47">
        <v>192</v>
      </c>
      <c r="AF21" s="114">
        <v>1.7</v>
      </c>
      <c r="AG21" s="212">
        <v>1.3</v>
      </c>
      <c r="AH21" s="42">
        <v>51</v>
      </c>
      <c r="AI21" s="55">
        <f t="shared" si="27"/>
        <v>12440.511822044311</v>
      </c>
      <c r="AJ21" s="180"/>
      <c r="AK21" s="74">
        <f t="shared" si="3"/>
        <v>750</v>
      </c>
      <c r="AL21" s="47">
        <f t="shared" si="4"/>
        <v>84.808217796823726</v>
      </c>
      <c r="AM21" s="47">
        <f t="shared" si="5"/>
        <v>834.80821779682378</v>
      </c>
      <c r="AN21" s="234"/>
      <c r="AO21" s="489"/>
      <c r="AP21" s="489"/>
      <c r="AQ21" s="45"/>
      <c r="AR21" s="43">
        <f t="shared" si="17"/>
        <v>408.03094116906584</v>
      </c>
      <c r="AS21" s="492">
        <v>0.41</v>
      </c>
      <c r="AT21" s="493">
        <f t="shared" si="18"/>
        <v>0.28699999999999998</v>
      </c>
      <c r="AU21" s="494">
        <f>IF(AT21=0,0,VLOOKUP(ROUNDDOWN(TEXT(B21,"0000"),-1),VLOOKUP!$M$3:$W$32,RIGHT(TEXT(B21,"0000"),1)+2,FALSE))</f>
        <v>3687</v>
      </c>
      <c r="AV21" s="494">
        <f t="shared" si="28"/>
        <v>88.180750000000003</v>
      </c>
      <c r="AW21" s="610">
        <f>AV21*(IF(Z21&gt;JUN!$Z$44,JUN!$Z$44,MAY!Z21)*1.9835+AC21*1.9835)/E21</f>
        <v>8.1485305319868431</v>
      </c>
      <c r="AX21" s="42"/>
      <c r="AY21" s="187"/>
      <c r="AZ21" s="46"/>
      <c r="BA21" s="30"/>
      <c r="BB21" s="102">
        <v>0</v>
      </c>
      <c r="BC21" s="45">
        <v>76</v>
      </c>
      <c r="BD21" s="45">
        <v>42</v>
      </c>
      <c r="BE21" s="407"/>
      <c r="BF21" s="385">
        <f t="shared" si="6"/>
        <v>9.7809411690658337</v>
      </c>
      <c r="BG21" s="323">
        <v>0.94</v>
      </c>
      <c r="BH21" s="407">
        <v>17884</v>
      </c>
      <c r="BI21" s="296">
        <f t="shared" si="19"/>
        <v>307.567058830934</v>
      </c>
      <c r="BJ21" s="591">
        <f t="shared" si="20"/>
        <v>302.25</v>
      </c>
      <c r="BL21" s="574">
        <f t="shared" si="21"/>
        <v>7</v>
      </c>
      <c r="BM21" s="559">
        <v>6899.49</v>
      </c>
      <c r="BN21" s="575">
        <f t="shared" si="7"/>
        <v>3.999999999996362E-2</v>
      </c>
      <c r="BO21" s="576">
        <v>49.868749999999977</v>
      </c>
      <c r="BP21" s="576">
        <f t="shared" si="22"/>
        <v>1.1312500000000227</v>
      </c>
    </row>
    <row r="22" spans="1:68" ht="12.95" customHeight="1">
      <c r="A22" s="48">
        <f t="shared" si="8"/>
        <v>8</v>
      </c>
      <c r="B22" s="104">
        <v>6899.68</v>
      </c>
      <c r="C22" s="483">
        <f>IF(B22="",C21,VLOOKUP(TRUNC(B22,1),VLOOKUP!$A$3:$K$2834,RIGHT(TEXT(B22,"0000.00"),1)+2,FALSE))</f>
        <v>282404</v>
      </c>
      <c r="D22" s="45">
        <f t="shared" si="9"/>
        <v>551</v>
      </c>
      <c r="E22" s="55">
        <f t="shared" si="0"/>
        <v>130404</v>
      </c>
      <c r="F22" s="47">
        <f t="shared" si="1"/>
        <v>277.79178220317618</v>
      </c>
      <c r="G22" s="98">
        <v>1080</v>
      </c>
      <c r="H22" s="42">
        <v>2.2200000000000002</v>
      </c>
      <c r="I22" s="47">
        <f t="shared" si="10"/>
        <v>1082.22</v>
      </c>
      <c r="J22" s="42">
        <f t="shared" si="11"/>
        <v>0</v>
      </c>
      <c r="K22" s="47">
        <f t="shared" si="12"/>
        <v>1082.22</v>
      </c>
      <c r="L22" s="47">
        <f t="shared" si="13"/>
        <v>-44.428217796823844</v>
      </c>
      <c r="M22" s="114">
        <v>313</v>
      </c>
      <c r="N22" s="610">
        <v>0.5</v>
      </c>
      <c r="O22" s="47">
        <f>112*1.05</f>
        <v>117.60000000000001</v>
      </c>
      <c r="P22" s="39">
        <v>0</v>
      </c>
      <c r="Q22" s="144">
        <f>2087800/325851/1.9835*1.02</f>
        <v>3.2948663432542165</v>
      </c>
      <c r="R22" s="73">
        <f>IF(((6.2*1.04)-T22)&gt;=4.2,4.2,(6.2*1.04)-T22)</f>
        <v>4.2</v>
      </c>
      <c r="S22" s="73">
        <f>IF(((6.2*1.04)-T22)&gt;=4.2,((6.2*1.04)-T22)-4.2,0)</f>
        <v>1.1163864000000006</v>
      </c>
      <c r="T22" s="73">
        <f>(1.0265*1.06)*1.04</f>
        <v>1.1316136000000001</v>
      </c>
      <c r="U22" s="131">
        <v>0</v>
      </c>
      <c r="V22" s="47">
        <v>130</v>
      </c>
      <c r="W22" s="47">
        <v>66</v>
      </c>
      <c r="X22" s="47">
        <f t="shared" si="15"/>
        <v>381.15713365674571</v>
      </c>
      <c r="Y22" s="47">
        <f t="shared" si="16"/>
        <v>381.15713365674571</v>
      </c>
      <c r="Z22" s="616">
        <f t="shared" si="23"/>
        <v>4778.6241064034166</v>
      </c>
      <c r="AA22" s="616">
        <f t="shared" si="2"/>
        <v>0</v>
      </c>
      <c r="AB22" s="616">
        <f t="shared" si="24"/>
        <v>19095.10289664513</v>
      </c>
      <c r="AC22" s="55">
        <f t="shared" si="25"/>
        <v>1680.6915415970145</v>
      </c>
      <c r="AD22" s="55">
        <f t="shared" si="26"/>
        <v>8754.9688212972815</v>
      </c>
      <c r="AE22" s="47">
        <v>200</v>
      </c>
      <c r="AF22" s="114">
        <v>1.7</v>
      </c>
      <c r="AG22" s="212">
        <v>1.3</v>
      </c>
      <c r="AH22" s="42">
        <v>51</v>
      </c>
      <c r="AI22" s="55">
        <f t="shared" si="27"/>
        <v>12389.511822044311</v>
      </c>
      <c r="AJ22" s="180"/>
      <c r="AK22" s="74">
        <f t="shared" si="3"/>
        <v>760</v>
      </c>
      <c r="AL22" s="47">
        <f t="shared" si="4"/>
        <v>44.428217796823844</v>
      </c>
      <c r="AM22" s="47">
        <f t="shared" si="5"/>
        <v>804.4282177968239</v>
      </c>
      <c r="AN22" s="234"/>
      <c r="AO22" s="489"/>
      <c r="AP22" s="489"/>
      <c r="AQ22" s="45"/>
      <c r="AR22" s="43">
        <f t="shared" si="17"/>
        <v>413.84286634325429</v>
      </c>
      <c r="AS22" s="492">
        <v>0.27</v>
      </c>
      <c r="AT22" s="493">
        <f t="shared" si="18"/>
        <v>0.189</v>
      </c>
      <c r="AU22" s="494">
        <f>IF(AT22=0,0,VLOOKUP(ROUNDDOWN(TEXT(B22,"0000"),-1),VLOOKUP!$M$3:$W$32,RIGHT(TEXT(B22,"0000"),1)+2,FALSE))</f>
        <v>3687</v>
      </c>
      <c r="AV22" s="494">
        <f t="shared" si="28"/>
        <v>58.070250000000001</v>
      </c>
      <c r="AW22" s="610">
        <f>AV22*(IF(Z22&gt;JUN!$Z$44,JUN!$Z$44,MAY!Z22)*1.9835+AC22*1.9835)/E22</f>
        <v>5.7053395354989664</v>
      </c>
      <c r="AX22" s="42"/>
      <c r="AY22" s="187"/>
      <c r="AZ22" s="46"/>
      <c r="BA22" s="30"/>
      <c r="BB22" s="102">
        <v>0</v>
      </c>
      <c r="BC22" s="45">
        <v>74</v>
      </c>
      <c r="BD22" s="45">
        <v>38</v>
      </c>
      <c r="BE22" s="407"/>
      <c r="BF22" s="385">
        <f t="shared" si="6"/>
        <v>10.242866343254216</v>
      </c>
      <c r="BG22" s="323">
        <v>0.84699999999999998</v>
      </c>
      <c r="BH22" s="407">
        <v>17963</v>
      </c>
      <c r="BI22" s="296">
        <f t="shared" si="19"/>
        <v>276.72513365674581</v>
      </c>
      <c r="BJ22" s="591">
        <f t="shared" si="20"/>
        <v>276.72513365674581</v>
      </c>
      <c r="BL22" s="574">
        <f t="shared" si="21"/>
        <v>8</v>
      </c>
      <c r="BM22" s="559">
        <v>6899.63</v>
      </c>
      <c r="BN22" s="575">
        <f t="shared" si="7"/>
        <v>5.0000000000181899E-2</v>
      </c>
      <c r="BO22" s="576">
        <v>49.846874999999983</v>
      </c>
      <c r="BP22" s="576">
        <f t="shared" si="22"/>
        <v>1.1531250000000171</v>
      </c>
    </row>
    <row r="23" spans="1:68" ht="12.95" customHeight="1">
      <c r="A23" s="48">
        <f t="shared" si="8"/>
        <v>9</v>
      </c>
      <c r="B23" s="104">
        <v>6899.78</v>
      </c>
      <c r="C23" s="483">
        <f>IF(B23="",C22,VLOOKUP(TRUNC(B23,1),VLOOKUP!$A$3:$K$2834,RIGHT(TEXT(B23,"0000.00"),1)+2,FALSE))</f>
        <v>282772</v>
      </c>
      <c r="D23" s="45">
        <f t="shared" si="9"/>
        <v>368</v>
      </c>
      <c r="E23" s="55">
        <f t="shared" si="0"/>
        <v>130772</v>
      </c>
      <c r="F23" s="47">
        <f t="shared" si="1"/>
        <v>185.53062767834635</v>
      </c>
      <c r="G23" s="98">
        <v>990</v>
      </c>
      <c r="H23" s="42">
        <v>2.0099999999999998</v>
      </c>
      <c r="I23" s="47">
        <f t="shared" si="10"/>
        <v>992.01</v>
      </c>
      <c r="J23" s="42">
        <f t="shared" si="11"/>
        <v>0</v>
      </c>
      <c r="K23" s="47">
        <f t="shared" si="12"/>
        <v>992.01</v>
      </c>
      <c r="L23" s="47">
        <f t="shared" si="13"/>
        <v>-26.479372321653642</v>
      </c>
      <c r="M23" s="114">
        <v>314</v>
      </c>
      <c r="N23" s="610">
        <v>0.5</v>
      </c>
      <c r="O23" s="47">
        <f>104*1.05</f>
        <v>109.2</v>
      </c>
      <c r="P23" s="39">
        <v>0</v>
      </c>
      <c r="Q23" s="144">
        <f>1963200/325851/1.9835*1.02</f>
        <v>3.0982285683861854</v>
      </c>
      <c r="R23" s="73">
        <f>IF(((6.2*1.04)-T23)&gt;=4.2,4.2,(6.2*1.04)-T23)</f>
        <v>4.2</v>
      </c>
      <c r="S23" s="73">
        <f>IF(((6.2*1.04)-T23)&gt;=4.2,((6.2*1.04)-T23)-4.2,0)</f>
        <v>1.1163864000000006</v>
      </c>
      <c r="T23" s="73">
        <f t="shared" ref="T23:T28" si="29">(1.0265*1.06)*1.04</f>
        <v>1.1316136000000001</v>
      </c>
      <c r="U23" s="131">
        <v>0</v>
      </c>
      <c r="V23" s="47">
        <v>133</v>
      </c>
      <c r="W23" s="47">
        <v>66</v>
      </c>
      <c r="X23" s="47">
        <f t="shared" si="15"/>
        <v>393.75377143161381</v>
      </c>
      <c r="Y23" s="47">
        <f t="shared" si="16"/>
        <v>393.75377143161381</v>
      </c>
      <c r="Z23" s="616">
        <f t="shared" si="23"/>
        <v>5179.8703349718025</v>
      </c>
      <c r="AA23" s="616">
        <f t="shared" si="2"/>
        <v>0</v>
      </c>
      <c r="AB23" s="616">
        <f t="shared" si="24"/>
        <v>20671.98539664513</v>
      </c>
      <c r="AC23" s="55">
        <f t="shared" si="25"/>
        <v>1677.8151415287014</v>
      </c>
      <c r="AD23" s="55">
        <f t="shared" si="26"/>
        <v>8754.9688212972815</v>
      </c>
      <c r="AE23" s="47">
        <v>216</v>
      </c>
      <c r="AF23" s="114">
        <v>1.7</v>
      </c>
      <c r="AG23" s="212">
        <v>1.3</v>
      </c>
      <c r="AH23" s="42">
        <v>51</v>
      </c>
      <c r="AI23" s="55">
        <f t="shared" si="27"/>
        <v>12338.511822044311</v>
      </c>
      <c r="AJ23" s="180"/>
      <c r="AK23" s="74">
        <f t="shared" si="3"/>
        <v>780</v>
      </c>
      <c r="AL23" s="47">
        <f t="shared" si="4"/>
        <v>26.479372321653642</v>
      </c>
      <c r="AM23" s="47">
        <f t="shared" si="5"/>
        <v>806.47937232165361</v>
      </c>
      <c r="AN23" s="234"/>
      <c r="AO23" s="489"/>
      <c r="AP23" s="489"/>
      <c r="AQ23" s="45"/>
      <c r="AR23" s="43">
        <f t="shared" si="17"/>
        <v>401.24622856838619</v>
      </c>
      <c r="AS23" s="492">
        <v>0.46</v>
      </c>
      <c r="AT23" s="493">
        <f t="shared" si="18"/>
        <v>0.32200000000000001</v>
      </c>
      <c r="AU23" s="494">
        <f>IF(AT23=0,0,VLOOKUP(ROUNDDOWN(TEXT(B23,"0000"),-1),VLOOKUP!$M$3:$W$32,RIGHT(TEXT(B23,"0000"),1)+2,FALSE))</f>
        <v>3687</v>
      </c>
      <c r="AV23" s="494">
        <f t="shared" si="28"/>
        <v>98.9345</v>
      </c>
      <c r="AW23" s="610">
        <f>AV23*(IF(Z23&gt;JUN!$Z$44,JUN!$Z$44,MAY!Z23)*1.9835+AC23*1.9835)/E23</f>
        <v>10.290648990360273</v>
      </c>
      <c r="AX23" s="42"/>
      <c r="AY23" s="187"/>
      <c r="AZ23" s="46"/>
      <c r="BA23" s="30"/>
      <c r="BB23" s="102">
        <v>0</v>
      </c>
      <c r="BC23" s="45">
        <v>76</v>
      </c>
      <c r="BD23" s="45">
        <v>40</v>
      </c>
      <c r="BE23" s="407"/>
      <c r="BF23" s="385">
        <f t="shared" si="6"/>
        <v>10.046228568386185</v>
      </c>
      <c r="BG23" s="323">
        <v>0.94299999999999995</v>
      </c>
      <c r="BH23" s="407">
        <v>18036</v>
      </c>
      <c r="BI23" s="296">
        <f t="shared" si="19"/>
        <v>186.71177143161378</v>
      </c>
      <c r="BJ23" s="591">
        <f t="shared" si="20"/>
        <v>186.71177143161378</v>
      </c>
      <c r="BL23" s="574">
        <f t="shared" si="21"/>
        <v>9</v>
      </c>
      <c r="BM23" s="559">
        <v>6899.74</v>
      </c>
      <c r="BN23" s="575">
        <f t="shared" si="7"/>
        <v>3.999999999996362E-2</v>
      </c>
      <c r="BO23" s="576">
        <v>49.942708333333293</v>
      </c>
      <c r="BP23" s="576">
        <f t="shared" si="22"/>
        <v>1.0572916666667069</v>
      </c>
    </row>
    <row r="24" spans="1:68" ht="12.95" customHeight="1">
      <c r="A24" s="48">
        <f t="shared" si="8"/>
        <v>10</v>
      </c>
      <c r="B24" s="104">
        <v>6899.86</v>
      </c>
      <c r="C24" s="483">
        <f>IF(B24="",C23,VLOOKUP(TRUNC(B24,1),VLOOKUP!$A$3:$K$2834,RIGHT(TEXT(B24,"0000.00"),1)+2,FALSE))</f>
        <v>283066</v>
      </c>
      <c r="D24" s="45">
        <f t="shared" si="9"/>
        <v>294</v>
      </c>
      <c r="E24" s="55">
        <f t="shared" si="0"/>
        <v>131066</v>
      </c>
      <c r="F24" s="47">
        <f t="shared" si="1"/>
        <v>148.22283841693974</v>
      </c>
      <c r="G24" s="98">
        <v>967</v>
      </c>
      <c r="H24" s="42">
        <v>1.82</v>
      </c>
      <c r="I24" s="47">
        <f t="shared" si="10"/>
        <v>968.82</v>
      </c>
      <c r="J24" s="42">
        <f t="shared" si="11"/>
        <v>0</v>
      </c>
      <c r="K24" s="47">
        <f t="shared" si="12"/>
        <v>968.82</v>
      </c>
      <c r="L24" s="47">
        <f t="shared" si="13"/>
        <v>-26.597161583060313</v>
      </c>
      <c r="M24" s="114">
        <v>319</v>
      </c>
      <c r="N24" s="610">
        <v>0.5</v>
      </c>
      <c r="O24" s="47">
        <f>106*1.05</f>
        <v>111.30000000000001</v>
      </c>
      <c r="P24" s="39">
        <v>0</v>
      </c>
      <c r="Q24" s="144">
        <f>2031300/325851/1.9835*1.02</f>
        <v>3.2057007390805108</v>
      </c>
      <c r="R24" s="73">
        <f>IF(((6.2*1.04)-T24)&gt;=4.2,4.2,(6.2*1.04)-T24)</f>
        <v>4.2</v>
      </c>
      <c r="S24" s="73">
        <f>IF(((6.2*1.04)-T24)&gt;=4.2,((6.2*1.04)-T24)-4.2,0)</f>
        <v>1.1163864000000006</v>
      </c>
      <c r="T24" s="73">
        <f t="shared" si="29"/>
        <v>1.1316136000000001</v>
      </c>
      <c r="U24" s="131">
        <v>0</v>
      </c>
      <c r="V24" s="47">
        <v>135</v>
      </c>
      <c r="W24" s="47">
        <v>65</v>
      </c>
      <c r="X24" s="47">
        <f t="shared" si="15"/>
        <v>397.54629926091945</v>
      </c>
      <c r="Y24" s="47">
        <f t="shared" si="16"/>
        <v>397.54629926091945</v>
      </c>
      <c r="Z24" s="616">
        <f t="shared" si="23"/>
        <v>5577.3240357108834</v>
      </c>
      <c r="AA24" s="616">
        <f t="shared" si="2"/>
        <v>0</v>
      </c>
      <c r="AB24" s="616">
        <f>AB23+(((Y24-AN24)+AR24)*1.9835)</f>
        <v>22248.86789664513</v>
      </c>
      <c r="AC24" s="55">
        <f t="shared" si="25"/>
        <v>1672.6270149895734</v>
      </c>
      <c r="AD24" s="55">
        <f t="shared" si="26"/>
        <v>8754.9688212972815</v>
      </c>
      <c r="AE24" s="47">
        <v>224</v>
      </c>
      <c r="AF24" s="114">
        <v>1.7</v>
      </c>
      <c r="AG24" s="212">
        <v>1.3</v>
      </c>
      <c r="AH24" s="42">
        <v>51</v>
      </c>
      <c r="AI24" s="55">
        <f t="shared" si="27"/>
        <v>12287.511822044311</v>
      </c>
      <c r="AJ24" s="180"/>
      <c r="AK24" s="74">
        <f t="shared" si="3"/>
        <v>794</v>
      </c>
      <c r="AL24" s="47">
        <f t="shared" si="4"/>
        <v>26.597161583060313</v>
      </c>
      <c r="AM24" s="47">
        <f t="shared" si="5"/>
        <v>820.59716158306037</v>
      </c>
      <c r="AN24" s="234"/>
      <c r="AO24" s="489"/>
      <c r="AP24" s="489"/>
      <c r="AQ24" s="45"/>
      <c r="AR24" s="43">
        <f>IF(G24="",0,IF(I24&gt;=(795+Q24+R24+AF24),795-X24,I24-Q24-R24-X24-AF24)-AJ24)</f>
        <v>397.45370073908055</v>
      </c>
      <c r="AS24" s="492">
        <v>0.38</v>
      </c>
      <c r="AT24" s="493">
        <f t="shared" si="18"/>
        <v>0.26599999999999996</v>
      </c>
      <c r="AU24" s="494">
        <f>IF(AT24=0,0,VLOOKUP(ROUNDDOWN(TEXT(B24,"0000"),-1),VLOOKUP!$M$3:$W$32,RIGHT(TEXT(B24,"0000"),1)+2,FALSE))</f>
        <v>3687</v>
      </c>
      <c r="AV24" s="494">
        <f t="shared" si="28"/>
        <v>81.728499999999997</v>
      </c>
      <c r="AW24" s="610">
        <f>AV24*(IF(Z24&gt;JUN!$Z$44,JUN!$Z$44,MAY!Z24)*1.9835+AC24*1.9835)/E24</f>
        <v>8.967074169433463</v>
      </c>
      <c r="AX24" s="42"/>
      <c r="AY24" s="187"/>
      <c r="AZ24" s="46"/>
      <c r="BA24" s="30"/>
      <c r="BB24" s="102">
        <v>0</v>
      </c>
      <c r="BC24" s="45">
        <v>81</v>
      </c>
      <c r="BD24" s="45">
        <v>43</v>
      </c>
      <c r="BE24" s="407"/>
      <c r="BF24" s="385">
        <f t="shared" si="6"/>
        <v>10.153700739080511</v>
      </c>
      <c r="BG24" s="323">
        <v>0.999</v>
      </c>
      <c r="BH24" s="407">
        <v>18105</v>
      </c>
      <c r="BI24" s="296">
        <f t="shared" si="19"/>
        <v>163.41429926091951</v>
      </c>
      <c r="BJ24" s="591">
        <f t="shared" si="20"/>
        <v>163.41429926091951</v>
      </c>
      <c r="BL24" s="574">
        <f t="shared" si="21"/>
        <v>10</v>
      </c>
      <c r="BM24" s="559">
        <v>6899.79</v>
      </c>
      <c r="BN24" s="575">
        <f t="shared" si="7"/>
        <v>6.9999999999708962E-2</v>
      </c>
      <c r="BO24" s="576">
        <v>49.937499999999936</v>
      </c>
      <c r="BP24" s="576">
        <f t="shared" si="22"/>
        <v>1.0625000000000639</v>
      </c>
    </row>
    <row r="25" spans="1:68" ht="12.95" customHeight="1">
      <c r="A25" s="48">
        <f t="shared" si="8"/>
        <v>11</v>
      </c>
      <c r="B25" s="104">
        <v>6899.95</v>
      </c>
      <c r="C25" s="483">
        <f>IF(B25="",C24,VLOOKUP(TRUNC(B25,1),VLOOKUP!$A$3:$K$2834,RIGHT(TEXT(B25,"0000.00"),1)+2,FALSE))</f>
        <v>283396</v>
      </c>
      <c r="D25" s="45">
        <f t="shared" si="9"/>
        <v>330</v>
      </c>
      <c r="E25" s="55">
        <f t="shared" si="0"/>
        <v>131396</v>
      </c>
      <c r="F25" s="47">
        <f t="shared" si="1"/>
        <v>166.37257373329973</v>
      </c>
      <c r="G25" s="98">
        <v>1010</v>
      </c>
      <c r="H25" s="42">
        <v>1.74</v>
      </c>
      <c r="I25" s="47">
        <f t="shared" si="10"/>
        <v>1011.74</v>
      </c>
      <c r="J25" s="42">
        <f t="shared" si="11"/>
        <v>0</v>
      </c>
      <c r="K25" s="47">
        <f t="shared" si="12"/>
        <v>1011.74</v>
      </c>
      <c r="L25" s="47">
        <f t="shared" si="13"/>
        <v>-59.367426266700278</v>
      </c>
      <c r="M25" s="114">
        <v>322</v>
      </c>
      <c r="N25" s="610">
        <v>0.5</v>
      </c>
      <c r="O25" s="47">
        <f>104*1.05</f>
        <v>109.2</v>
      </c>
      <c r="P25" s="39">
        <v>0</v>
      </c>
      <c r="Q25" s="144">
        <f>1381200/325851/1.9835*1.02</f>
        <v>2.1797439377827015</v>
      </c>
      <c r="R25" s="73">
        <f>IF(((5.2*1.04)-T25)&gt;=4.2,4.2,(5.2*1.04)-T25)</f>
        <v>4.2</v>
      </c>
      <c r="S25" s="73">
        <f>IF(((5.2*1.04)-T25)&gt;=4.2,((5.2*1.04)-T25)-4.2,0)</f>
        <v>7.6386399999999632E-2</v>
      </c>
      <c r="T25" s="73">
        <f t="shared" si="29"/>
        <v>1.1316136000000001</v>
      </c>
      <c r="U25" s="131">
        <v>0</v>
      </c>
      <c r="V25" s="47">
        <v>136</v>
      </c>
      <c r="W25" s="47">
        <v>67</v>
      </c>
      <c r="X25" s="47">
        <f t="shared" si="15"/>
        <v>407.71225606221731</v>
      </c>
      <c r="Y25" s="47">
        <f t="shared" si="16"/>
        <v>407.71225606221731</v>
      </c>
      <c r="Z25" s="616">
        <f t="shared" si="23"/>
        <v>5964.611779648666</v>
      </c>
      <c r="AA25" s="616">
        <f t="shared" si="2"/>
        <v>0</v>
      </c>
      <c r="AB25" s="616">
        <f t="shared" si="24"/>
        <v>23825.75039664513</v>
      </c>
      <c r="AC25" s="55">
        <f t="shared" si="25"/>
        <v>1668.106181024646</v>
      </c>
      <c r="AD25" s="55">
        <f t="shared" si="26"/>
        <v>8754.9688212972815</v>
      </c>
      <c r="AE25" s="47">
        <v>210</v>
      </c>
      <c r="AF25" s="114">
        <v>1.7</v>
      </c>
      <c r="AG25" s="212">
        <v>1.3</v>
      </c>
      <c r="AH25" s="42">
        <v>51</v>
      </c>
      <c r="AI25" s="55">
        <f t="shared" si="27"/>
        <v>12236.511822044311</v>
      </c>
      <c r="AJ25" s="180"/>
      <c r="AK25" s="74">
        <f t="shared" si="3"/>
        <v>786</v>
      </c>
      <c r="AL25" s="47">
        <f t="shared" si="4"/>
        <v>59.367426266700278</v>
      </c>
      <c r="AM25" s="47">
        <f t="shared" si="5"/>
        <v>845.36742626670025</v>
      </c>
      <c r="AN25" s="234"/>
      <c r="AO25" s="489"/>
      <c r="AP25" s="489"/>
      <c r="AQ25" s="45"/>
      <c r="AR25" s="43">
        <f t="shared" si="17"/>
        <v>387.28774393778269</v>
      </c>
      <c r="AS25" s="492">
        <v>0</v>
      </c>
      <c r="AT25" s="493">
        <f t="shared" si="18"/>
        <v>0</v>
      </c>
      <c r="AU25" s="494">
        <f>IF(AT25=0,0,VLOOKUP(ROUNDDOWN(TEXT(B25,"0000"),-1),VLOOKUP!$M$3:$W$32,RIGHT(TEXT(B25,"0000"),1)+2,FALSE))</f>
        <v>0</v>
      </c>
      <c r="AV25" s="494">
        <f t="shared" si="28"/>
        <v>0</v>
      </c>
      <c r="AW25" s="610">
        <f>AV25*(IF(Z25&gt;JUN!$Z$44,JUN!$Z$44,MAY!Z25)*1.9835+AC25*1.9835)/E25</f>
        <v>0</v>
      </c>
      <c r="AX25" s="42"/>
      <c r="AY25" s="187"/>
      <c r="AZ25" s="46"/>
      <c r="BA25" s="30"/>
      <c r="BB25" s="102">
        <v>0.17</v>
      </c>
      <c r="BC25" s="45">
        <v>73</v>
      </c>
      <c r="BD25" s="45">
        <v>47</v>
      </c>
      <c r="BE25" s="407"/>
      <c r="BF25" s="385">
        <f t="shared" si="6"/>
        <v>8.087743937782701</v>
      </c>
      <c r="BG25" s="323">
        <v>1.83</v>
      </c>
      <c r="BH25" s="407">
        <v>18430</v>
      </c>
      <c r="BI25" s="296">
        <f t="shared" si="19"/>
        <v>207.36025606221722</v>
      </c>
      <c r="BJ25" s="591">
        <f t="shared" si="20"/>
        <v>207.36025606221722</v>
      </c>
      <c r="BL25" s="574">
        <f t="shared" si="21"/>
        <v>11</v>
      </c>
      <c r="BM25" s="559">
        <v>6899.9</v>
      </c>
      <c r="BN25" s="575">
        <f t="shared" si="7"/>
        <v>5.0000000000181899E-2</v>
      </c>
      <c r="BO25" s="576">
        <v>49.914583333333326</v>
      </c>
      <c r="BP25" s="576">
        <f t="shared" si="22"/>
        <v>1.0854166666666742</v>
      </c>
    </row>
    <row r="26" spans="1:68" ht="12.95" customHeight="1">
      <c r="A26" s="48">
        <f t="shared" si="8"/>
        <v>12</v>
      </c>
      <c r="B26" s="104">
        <v>6900.09</v>
      </c>
      <c r="C26" s="483">
        <f>IF(B26="",C25,VLOOKUP(TRUNC(B26,1),VLOOKUP!$A$3:$K$2834,RIGHT(TEXT(B26,"0000.00"),1)+2,FALSE))</f>
        <v>283913</v>
      </c>
      <c r="D26" s="45">
        <f t="shared" si="9"/>
        <v>517</v>
      </c>
      <c r="E26" s="55">
        <f t="shared" si="0"/>
        <v>131913</v>
      </c>
      <c r="F26" s="47">
        <f t="shared" si="1"/>
        <v>260.65036551550287</v>
      </c>
      <c r="G26" s="98">
        <v>1080</v>
      </c>
      <c r="H26" s="42">
        <v>1.67</v>
      </c>
      <c r="I26" s="47">
        <f t="shared" si="10"/>
        <v>1081.67</v>
      </c>
      <c r="J26" s="42">
        <f t="shared" si="11"/>
        <v>0</v>
      </c>
      <c r="K26" s="47">
        <f t="shared" si="12"/>
        <v>1081.67</v>
      </c>
      <c r="L26" s="47">
        <f t="shared" si="13"/>
        <v>-25.019634484497317</v>
      </c>
      <c r="M26" s="114">
        <v>304</v>
      </c>
      <c r="N26" s="610">
        <v>0.5</v>
      </c>
      <c r="O26" s="47">
        <f>107*1.05</f>
        <v>112.35000000000001</v>
      </c>
      <c r="P26" s="39">
        <v>0</v>
      </c>
      <c r="Q26" s="144">
        <f>1602800/325851/1.9835*1.02</f>
        <v>2.5294624844179801</v>
      </c>
      <c r="R26" s="73">
        <f>IF(((5*1.04)-T26)&gt;=4.2,4.2,(5*1.04)-T26)</f>
        <v>4.0683863999999996</v>
      </c>
      <c r="S26" s="73">
        <f>IF(((5*1.04)-T26)&gt;=4.2,((5*1.04)-T26)-4.2,0)</f>
        <v>0</v>
      </c>
      <c r="T26" s="73">
        <f t="shared" si="29"/>
        <v>1.1316136000000001</v>
      </c>
      <c r="U26" s="131">
        <v>0</v>
      </c>
      <c r="V26" s="47">
        <v>129</v>
      </c>
      <c r="W26" s="47">
        <v>68</v>
      </c>
      <c r="X26" s="47">
        <f>IF(B26="",0,M26-N26-O26-P26-Q26-R26-S26-T26-U26+V26+W26-MAX(AN26-AO26,0)-AZ26+AX26)</f>
        <v>380.42053751558194</v>
      </c>
      <c r="Y26" s="47">
        <f>IF(B26="",0,X26-AQ26)</f>
        <v>380.42053751558194</v>
      </c>
      <c r="Z26" s="616">
        <f t="shared" si="23"/>
        <v>6379.1912421330844</v>
      </c>
      <c r="AA26" s="616">
        <f t="shared" si="2"/>
        <v>0</v>
      </c>
      <c r="AB26" s="616">
        <f t="shared" si="24"/>
        <v>25402.632896645129</v>
      </c>
      <c r="AC26" s="55">
        <f t="shared" si="25"/>
        <v>1668.106181024646</v>
      </c>
      <c r="AD26" s="55">
        <f t="shared" si="26"/>
        <v>8754.9688212972815</v>
      </c>
      <c r="AE26" s="47">
        <v>244</v>
      </c>
      <c r="AF26" s="114">
        <v>1.7</v>
      </c>
      <c r="AG26" s="212">
        <v>1.3</v>
      </c>
      <c r="AH26" s="42">
        <v>51</v>
      </c>
      <c r="AI26" s="55">
        <f t="shared" si="27"/>
        <v>12185.511822044311</v>
      </c>
      <c r="AJ26" s="180"/>
      <c r="AK26" s="74">
        <f t="shared" si="3"/>
        <v>795.99999999999989</v>
      </c>
      <c r="AL26" s="47">
        <f t="shared" si="4"/>
        <v>25.019634484497317</v>
      </c>
      <c r="AM26" s="47">
        <f t="shared" si="5"/>
        <v>821.01963448449715</v>
      </c>
      <c r="AN26" s="234"/>
      <c r="AO26" s="489"/>
      <c r="AP26" s="489"/>
      <c r="AQ26" s="45"/>
      <c r="AR26" s="43">
        <f t="shared" si="17"/>
        <v>414.57946248441806</v>
      </c>
      <c r="AS26" s="492">
        <v>0.28000000000000003</v>
      </c>
      <c r="AT26" s="493">
        <f t="shared" si="18"/>
        <v>0.19600000000000001</v>
      </c>
      <c r="AU26" s="494">
        <f>IF(AT26=0,0,VLOOKUP(ROUNDDOWN(TEXT(B26,"0000"),-1),VLOOKUP!$M$3:$W$32,RIGHT(TEXT(B26,"0000"),1)+2,FALSE))</f>
        <v>3687</v>
      </c>
      <c r="AV26" s="494">
        <f t="shared" si="28"/>
        <v>60.221000000000004</v>
      </c>
      <c r="AW26" s="610">
        <f>AV26*(IF(Z26&gt;JUN!$Z$44,JUN!$Z$44,MAY!Z26)*1.9835+AC26*1.9835)/E26</f>
        <v>7.2868968738561302</v>
      </c>
      <c r="AX26" s="42"/>
      <c r="AY26" s="187"/>
      <c r="AZ26" s="46"/>
      <c r="BA26" s="30"/>
      <c r="BB26" s="102">
        <v>0</v>
      </c>
      <c r="BC26" s="45">
        <v>77</v>
      </c>
      <c r="BD26" s="45">
        <v>45</v>
      </c>
      <c r="BE26" s="407"/>
      <c r="BF26" s="385">
        <f t="shared" si="6"/>
        <v>8.2294624844179793</v>
      </c>
      <c r="BG26" s="323">
        <v>1.65</v>
      </c>
      <c r="BH26" s="407">
        <v>18831</v>
      </c>
      <c r="BI26" s="296">
        <f t="shared" si="19"/>
        <v>277.07215111558207</v>
      </c>
      <c r="BJ26" s="591">
        <f t="shared" si="20"/>
        <v>277.07215111558207</v>
      </c>
      <c r="BL26" s="574">
        <f t="shared" si="21"/>
        <v>12</v>
      </c>
      <c r="BM26" s="559">
        <v>6900.02</v>
      </c>
      <c r="BN26" s="575">
        <f t="shared" si="7"/>
        <v>6.9999999999708962E-2</v>
      </c>
      <c r="BO26" s="576">
        <v>49.881249999999973</v>
      </c>
      <c r="BP26" s="576">
        <f t="shared" si="22"/>
        <v>1.118750000000027</v>
      </c>
    </row>
    <row r="27" spans="1:68" ht="12.95" customHeight="1">
      <c r="A27" s="48">
        <f t="shared" si="8"/>
        <v>13</v>
      </c>
      <c r="B27" s="104">
        <v>6900.19</v>
      </c>
      <c r="C27" s="483">
        <f>IF(B27="",C26,VLOOKUP(TRUNC(B27,1),VLOOKUP!$A$3:$K$2834,RIGHT(TEXT(B27,"0000.00"),1)+2,FALSE))</f>
        <v>284283</v>
      </c>
      <c r="D27" s="45">
        <f t="shared" si="9"/>
        <v>370</v>
      </c>
      <c r="E27" s="55">
        <f t="shared" si="0"/>
        <v>132283</v>
      </c>
      <c r="F27" s="47">
        <f t="shared" si="1"/>
        <v>186.53894630703303</v>
      </c>
      <c r="G27" s="98">
        <v>1040</v>
      </c>
      <c r="H27" s="42">
        <v>1.43</v>
      </c>
      <c r="I27" s="47">
        <f t="shared" si="10"/>
        <v>1041.43</v>
      </c>
      <c r="J27" s="42">
        <f t="shared" si="11"/>
        <v>0</v>
      </c>
      <c r="K27" s="47">
        <f t="shared" si="12"/>
        <v>1041.43</v>
      </c>
      <c r="L27" s="47">
        <f t="shared" si="13"/>
        <v>-64.891053692967034</v>
      </c>
      <c r="M27" s="114">
        <v>293</v>
      </c>
      <c r="N27" s="610">
        <v>0.5</v>
      </c>
      <c r="O27" s="47">
        <f>89*1.05</f>
        <v>93.45</v>
      </c>
      <c r="P27" s="39">
        <v>0</v>
      </c>
      <c r="Q27" s="144">
        <f>2103400/325851/1.9835*1.02</f>
        <v>3.3194855189198771</v>
      </c>
      <c r="R27" s="73">
        <f>IF(((4.4*1.04)-T27)&gt;=4.2,4.2,(4.4*1.04)-T27)</f>
        <v>3.4443864000000004</v>
      </c>
      <c r="S27" s="73">
        <f>IF(((4.4*1.04)-T27)&gt;=4.2,((4.4*1.04)-T27)-4.2,0)</f>
        <v>0</v>
      </c>
      <c r="T27" s="73">
        <f t="shared" si="29"/>
        <v>1.1316136000000001</v>
      </c>
      <c r="U27" s="131">
        <v>0</v>
      </c>
      <c r="V27" s="47">
        <v>124</v>
      </c>
      <c r="W27" s="47">
        <v>69</v>
      </c>
      <c r="X27" s="47">
        <f t="shared" si="15"/>
        <v>384.15451448108013</v>
      </c>
      <c r="Y27" s="47">
        <f t="shared" si="16"/>
        <v>384.15451448108013</v>
      </c>
      <c r="Z27" s="616">
        <f>Z26+AR27</f>
        <v>6790.0367276520046</v>
      </c>
      <c r="AA27" s="616">
        <f t="shared" si="2"/>
        <v>0</v>
      </c>
      <c r="AB27" s="616">
        <f t="shared" si="24"/>
        <v>26979.515396645129</v>
      </c>
      <c r="AC27" s="55">
        <f t="shared" si="25"/>
        <v>1664.4324240930321</v>
      </c>
      <c r="AD27" s="55">
        <f t="shared" ref="AD27" si="30">AD26</f>
        <v>8754.9688212972815</v>
      </c>
      <c r="AE27" s="47">
        <v>254</v>
      </c>
      <c r="AF27" s="114">
        <v>1.7</v>
      </c>
      <c r="AG27" s="212">
        <v>1.3</v>
      </c>
      <c r="AH27" s="42">
        <v>50</v>
      </c>
      <c r="AI27" s="55">
        <f t="shared" si="27"/>
        <v>12135.511822044311</v>
      </c>
      <c r="AJ27" s="617"/>
      <c r="AK27" s="74">
        <f t="shared" si="3"/>
        <v>790</v>
      </c>
      <c r="AL27" s="47">
        <f t="shared" si="4"/>
        <v>64.891053692967034</v>
      </c>
      <c r="AM27" s="47">
        <f t="shared" si="5"/>
        <v>854.89105369296703</v>
      </c>
      <c r="AN27" s="234"/>
      <c r="AO27" s="489"/>
      <c r="AP27" s="489"/>
      <c r="AQ27" s="45"/>
      <c r="AR27" s="43">
        <f t="shared" si="17"/>
        <v>410.84548551891987</v>
      </c>
      <c r="AS27" s="492">
        <v>0.28999999999999998</v>
      </c>
      <c r="AT27" s="493">
        <f t="shared" si="18"/>
        <v>0.20299999999999999</v>
      </c>
      <c r="AU27" s="494">
        <f>IF(AT27=0,0,VLOOKUP(ROUNDDOWN(TEXT(B27,"0000"),-1),VLOOKUP!$M$3:$W$32,RIGHT(TEXT(B27,"0000"),1)+2,FALSE))</f>
        <v>3687</v>
      </c>
      <c r="AV27" s="494">
        <f t="shared" si="28"/>
        <v>62.371749999999999</v>
      </c>
      <c r="AW27" s="610">
        <f>AV27*(IF(Z27&gt;JUN!$Z$44,JUN!$Z$44,MAY!Z27)*1.9835+AC27*1.9835)/E27</f>
        <v>7.9068307494651888</v>
      </c>
      <c r="AX27" s="42"/>
      <c r="AY27" s="187"/>
      <c r="AZ27" s="46"/>
      <c r="BA27" s="30"/>
      <c r="BB27" s="102">
        <v>0</v>
      </c>
      <c r="BC27" s="45">
        <v>74</v>
      </c>
      <c r="BD27" s="45">
        <v>43</v>
      </c>
      <c r="BE27" s="407"/>
      <c r="BF27" s="385">
        <f t="shared" si="6"/>
        <v>8.3954855189198767</v>
      </c>
      <c r="BG27" s="323">
        <v>1.82</v>
      </c>
      <c r="BH27" s="407">
        <v>18695</v>
      </c>
      <c r="BI27" s="296">
        <f t="shared" si="19"/>
        <v>236.66612808108016</v>
      </c>
      <c r="BJ27" s="591">
        <f t="shared" si="20"/>
        <v>236.66612808108016</v>
      </c>
      <c r="BL27" s="574">
        <f t="shared" si="21"/>
        <v>13</v>
      </c>
      <c r="BM27" s="559">
        <v>6900.15</v>
      </c>
      <c r="BN27" s="575">
        <f t="shared" si="7"/>
        <v>3.999999999996362E-2</v>
      </c>
      <c r="BO27" s="576">
        <v>49.87083333333333</v>
      </c>
      <c r="BP27" s="576">
        <f t="shared" si="22"/>
        <v>0.12916666666666998</v>
      </c>
    </row>
    <row r="28" spans="1:68" ht="12.95" customHeight="1">
      <c r="A28" s="48">
        <f t="shared" si="8"/>
        <v>14</v>
      </c>
      <c r="B28" s="104">
        <v>6900.24</v>
      </c>
      <c r="C28" s="483">
        <f>IF(B28="",C27,VLOOKUP(TRUNC(B28,1),VLOOKUP!$A$3:$K$2834,RIGHT(TEXT(B28,"0000.00"),1)+2,FALSE))</f>
        <v>284468</v>
      </c>
      <c r="D28" s="45">
        <f t="shared" si="9"/>
        <v>185</v>
      </c>
      <c r="E28" s="55">
        <f t="shared" si="0"/>
        <v>132468</v>
      </c>
      <c r="F28" s="47">
        <f t="shared" si="1"/>
        <v>93.269473153516515</v>
      </c>
      <c r="G28" s="98">
        <v>950</v>
      </c>
      <c r="H28" s="42">
        <v>1.36</v>
      </c>
      <c r="I28" s="47">
        <f t="shared" si="10"/>
        <v>951.36</v>
      </c>
      <c r="J28" s="42">
        <f t="shared" si="11"/>
        <v>0</v>
      </c>
      <c r="K28" s="47">
        <f t="shared" si="12"/>
        <v>951.36</v>
      </c>
      <c r="L28" s="47">
        <f t="shared" si="13"/>
        <v>-31.090526846483499</v>
      </c>
      <c r="M28" s="114">
        <v>318</v>
      </c>
      <c r="N28" s="610">
        <v>0.5</v>
      </c>
      <c r="O28" s="47">
        <f>94*1.05</f>
        <v>98.7</v>
      </c>
      <c r="P28" s="39">
        <v>0</v>
      </c>
      <c r="Q28" s="144">
        <f>2116200/325851/1.9835*1.02</f>
        <v>3.3396858681840089</v>
      </c>
      <c r="R28" s="73">
        <f>IF(((5.2*1.04)-T28)&gt;=4.2,4.2,(5.2*1.04)-T28)</f>
        <v>4.2</v>
      </c>
      <c r="S28" s="73">
        <f>IF(((5.2*1.04)-T28)&gt;=4.2,((5.2*1.04)-T28)-4.2,0)</f>
        <v>7.6386399999999632E-2</v>
      </c>
      <c r="T28" s="73">
        <f t="shared" si="29"/>
        <v>1.1316136000000001</v>
      </c>
      <c r="U28" s="131">
        <v>0</v>
      </c>
      <c r="V28" s="47">
        <v>139</v>
      </c>
      <c r="W28" s="47">
        <v>70</v>
      </c>
      <c r="X28" s="47">
        <f>IF(B28="",0,M28-N28-O28-P28-Q28-R28-S28-T28-U28+V28+W28-MAX(AN28-AO28,0)-AZ28+AX28)</f>
        <v>419.05231413181605</v>
      </c>
      <c r="Y28" s="47">
        <f t="shared" si="16"/>
        <v>419.05231413181605</v>
      </c>
      <c r="Z28" s="616">
        <f t="shared" si="23"/>
        <v>7165.9844135201884</v>
      </c>
      <c r="AA28" s="616">
        <f t="shared" si="2"/>
        <v>0</v>
      </c>
      <c r="AB28" s="616">
        <f t="shared" si="24"/>
        <v>28556.397896645129</v>
      </c>
      <c r="AC28" s="55">
        <f t="shared" si="25"/>
        <v>1660.4461217237529</v>
      </c>
      <c r="AD28" s="55">
        <f t="shared" ref="AD28" si="31">AD27</f>
        <v>8754.9688212972815</v>
      </c>
      <c r="AE28" s="47">
        <v>250</v>
      </c>
      <c r="AF28" s="114">
        <v>1.7</v>
      </c>
      <c r="AG28" s="212">
        <v>1.3</v>
      </c>
      <c r="AH28" s="618">
        <v>50</v>
      </c>
      <c r="AI28" s="55">
        <f>AI27-(AH28-AJ28)</f>
        <v>12085.511822044311</v>
      </c>
      <c r="AJ28" s="617"/>
      <c r="AK28" s="74">
        <f t="shared" si="3"/>
        <v>827</v>
      </c>
      <c r="AL28" s="47">
        <f t="shared" si="4"/>
        <v>31.090526846483499</v>
      </c>
      <c r="AM28" s="47">
        <f t="shared" si="5"/>
        <v>858.0905268464835</v>
      </c>
      <c r="AN28" s="234"/>
      <c r="AO28" s="489"/>
      <c r="AP28" s="489"/>
      <c r="AQ28" s="45"/>
      <c r="AR28" s="43">
        <f>IF(G28="",0,IF(I28&gt;=(795+Q28+R28+AF28),795-X28,I28-Q28-R28-X28-AF28)-AJ28)</f>
        <v>375.94768586818395</v>
      </c>
      <c r="AS28" s="492">
        <v>0.27</v>
      </c>
      <c r="AT28" s="493">
        <f>AS28*0.7</f>
        <v>0.189</v>
      </c>
      <c r="AU28" s="494">
        <f>IF(AT28=0,0,VLOOKUP(ROUNDDOWN(TEXT(B28,"0000"),-1),VLOOKUP!$M$3:$W$32,RIGHT(TEXT(B28,"0000"),1)+2,FALSE))</f>
        <v>3687</v>
      </c>
      <c r="AV28" s="494">
        <f>AT28/12*AU28</f>
        <v>58.070250000000001</v>
      </c>
      <c r="AW28" s="610">
        <f>AV28*(IF(Z28&gt;JUN!$Z$44,JUN!$Z$44,MAY!Z28)*1.9835+AC28*1.9835)/E28</f>
        <v>7.6746756244525196</v>
      </c>
      <c r="AX28" s="42"/>
      <c r="AY28" s="187"/>
      <c r="AZ28" s="46"/>
      <c r="BA28" s="30"/>
      <c r="BB28" s="102">
        <v>0</v>
      </c>
      <c r="BC28" s="45">
        <v>73</v>
      </c>
      <c r="BD28" s="45">
        <v>39</v>
      </c>
      <c r="BE28" s="407"/>
      <c r="BF28" s="385">
        <f t="shared" si="6"/>
        <v>9.2476858681840088</v>
      </c>
      <c r="BG28" s="323">
        <v>2.34</v>
      </c>
      <c r="BH28" s="407">
        <v>18458</v>
      </c>
      <c r="BI28" s="296">
        <f t="shared" si="19"/>
        <v>145.82031413181596</v>
      </c>
      <c r="BJ28" s="591">
        <f t="shared" si="20"/>
        <v>145.82031413181596</v>
      </c>
      <c r="BL28" s="574">
        <f t="shared" si="21"/>
        <v>14</v>
      </c>
      <c r="BM28" s="559">
        <v>6900.2</v>
      </c>
      <c r="BN28" s="575">
        <f t="shared" si="7"/>
        <v>3.999999999996362E-2</v>
      </c>
      <c r="BO28" s="576">
        <v>49.973958333333321</v>
      </c>
      <c r="BP28" s="576">
        <f t="shared" si="22"/>
        <v>2.6041666666678509E-2</v>
      </c>
    </row>
    <row r="29" spans="1:68" ht="12.95" customHeight="1">
      <c r="A29" s="48">
        <f t="shared" si="8"/>
        <v>15</v>
      </c>
      <c r="B29" s="104">
        <v>6900.27</v>
      </c>
      <c r="C29" s="483">
        <f>IF(B29="",C28,VLOOKUP(TRUNC(B29,1),VLOOKUP!$A$3:$K$2834,RIGHT(TEXT(B29,"0000.00"),1)+2,FALSE))</f>
        <v>284579</v>
      </c>
      <c r="D29" s="45">
        <f t="shared" si="9"/>
        <v>111</v>
      </c>
      <c r="E29" s="55">
        <f t="shared" si="0"/>
        <v>132579</v>
      </c>
      <c r="F29" s="47">
        <f t="shared" si="1"/>
        <v>55.961683892109903</v>
      </c>
      <c r="G29" s="98">
        <v>953</v>
      </c>
      <c r="H29" s="42">
        <v>1.18</v>
      </c>
      <c r="I29" s="47">
        <f t="shared" si="10"/>
        <v>954.18</v>
      </c>
      <c r="J29" s="42">
        <f t="shared" si="11"/>
        <v>0</v>
      </c>
      <c r="K29" s="47">
        <f t="shared" si="12"/>
        <v>954.18</v>
      </c>
      <c r="L29" s="47">
        <f t="shared" si="13"/>
        <v>-40.218316107890047</v>
      </c>
      <c r="M29" s="114">
        <v>322</v>
      </c>
      <c r="N29" s="610">
        <v>0.5</v>
      </c>
      <c r="O29" s="47">
        <f>96*1.05</f>
        <v>100.80000000000001</v>
      </c>
      <c r="P29" s="39">
        <v>0</v>
      </c>
      <c r="Q29" s="144">
        <f>2089900/325851/1.9835*1.02</f>
        <v>3.2981804630553633</v>
      </c>
      <c r="R29" s="73">
        <f>IF(((5.2*1.04)-T29)&gt;=4.2,4.2,(5.2*1.04)-T29)</f>
        <v>4.2</v>
      </c>
      <c r="S29" s="73">
        <f>IF(((5.2*1.04)-T29)&gt;=4.2,((5.2*1.04)-T29)-4.2,0)</f>
        <v>3.6920480000000033E-2</v>
      </c>
      <c r="T29" s="73">
        <f>(1.0623*1.06)*1.04</f>
        <v>1.1710795200000002</v>
      </c>
      <c r="U29" s="131">
        <v>0</v>
      </c>
      <c r="V29" s="47">
        <v>146</v>
      </c>
      <c r="W29" s="47">
        <v>71</v>
      </c>
      <c r="X29" s="47">
        <f t="shared" si="15"/>
        <v>428.99381953694467</v>
      </c>
      <c r="Y29" s="47">
        <f t="shared" si="16"/>
        <v>428.99381953694467</v>
      </c>
      <c r="Z29" s="616">
        <f t="shared" si="23"/>
        <v>7531.9905939832433</v>
      </c>
      <c r="AA29" s="616">
        <f t="shared" ref="AA29:AA39" si="32">MAX(0,IF((IF(I29&gt;=(795+Q29+R29+AF29),795-X29,I29-Q29-R29-X29-AF29))&lt;=AJ29,(IF(I29&gt;=(795+Q29+R29+AF29),AJ29-(795-X29),I29-Q29-R29-X29-AF29)),AJ29))</f>
        <v>0</v>
      </c>
      <c r="AB29" s="616">
        <f t="shared" si="24"/>
        <v>30133.280396645128</v>
      </c>
      <c r="AC29" s="55">
        <f t="shared" si="25"/>
        <v>1656.5768625231215</v>
      </c>
      <c r="AD29" s="55">
        <f t="shared" ref="AD29" si="33">AD28</f>
        <v>8754.9688212972815</v>
      </c>
      <c r="AE29" s="47">
        <v>269</v>
      </c>
      <c r="AF29" s="114">
        <v>1.7</v>
      </c>
      <c r="AG29" s="212">
        <v>1.3</v>
      </c>
      <c r="AH29" s="618">
        <v>50</v>
      </c>
      <c r="AI29" s="55">
        <f t="shared" ref="AI29:AI33" si="34">AI28-(AH29-AJ29)</f>
        <v>12035.511822044311</v>
      </c>
      <c r="AJ29" s="617"/>
      <c r="AK29" s="74">
        <f t="shared" si="3"/>
        <v>858</v>
      </c>
      <c r="AL29" s="47">
        <f t="shared" si="4"/>
        <v>40.218316107890047</v>
      </c>
      <c r="AM29" s="47">
        <f t="shared" si="5"/>
        <v>898.21831610789002</v>
      </c>
      <c r="AN29" s="234"/>
      <c r="AO29" s="489"/>
      <c r="AP29" s="489"/>
      <c r="AQ29" s="45"/>
      <c r="AR29" s="43">
        <f t="shared" si="17"/>
        <v>366.00618046305533</v>
      </c>
      <c r="AS29" s="492">
        <v>0.28999999999999998</v>
      </c>
      <c r="AT29" s="493">
        <f t="shared" si="18"/>
        <v>0.20299999999999999</v>
      </c>
      <c r="AU29" s="494">
        <f>IF(AT29=0,0,VLOOKUP(ROUNDDOWN(TEXT(B29,"0000"),-1),VLOOKUP!$M$3:$W$32,RIGHT(TEXT(B29,"0000"),1)+2,FALSE))</f>
        <v>3687</v>
      </c>
      <c r="AV29" s="494">
        <f t="shared" si="28"/>
        <v>62.371749999999999</v>
      </c>
      <c r="AW29" s="610">
        <f>AV29*(IF(Z29&gt;JUN!$Z$44,JUN!$Z$44,MAY!Z29)*1.9835+AC29*1.9835)/E29</f>
        <v>8.5741919797138948</v>
      </c>
      <c r="AX29" s="42"/>
      <c r="AY29" s="187"/>
      <c r="AZ29" s="46"/>
      <c r="BA29" s="30"/>
      <c r="BB29" s="102">
        <v>0</v>
      </c>
      <c r="BC29" s="45">
        <v>75</v>
      </c>
      <c r="BD29" s="45">
        <v>41</v>
      </c>
      <c r="BE29" s="407"/>
      <c r="BF29" s="385">
        <f t="shared" si="6"/>
        <v>9.2061804630553645</v>
      </c>
      <c r="BG29" s="323">
        <v>1.48</v>
      </c>
      <c r="BH29" s="407">
        <v>18520</v>
      </c>
      <c r="BI29" s="296">
        <f t="shared" si="19"/>
        <v>148.68181953694454</v>
      </c>
      <c r="BJ29" s="591">
        <f t="shared" si="20"/>
        <v>148.68181953694454</v>
      </c>
      <c r="BL29" s="574">
        <f t="shared" si="21"/>
        <v>15</v>
      </c>
      <c r="BM29" s="559">
        <v>6900.23</v>
      </c>
      <c r="BN29" s="575">
        <f t="shared" si="7"/>
        <v>4.0000000000873115E-2</v>
      </c>
      <c r="BO29" s="576">
        <v>50.002083333333303</v>
      </c>
      <c r="BP29" s="576">
        <f t="shared" si="22"/>
        <v>-2.0833333333030168E-3</v>
      </c>
    </row>
    <row r="30" spans="1:68" ht="15" customHeight="1">
      <c r="A30" s="48">
        <f t="shared" si="8"/>
        <v>16</v>
      </c>
      <c r="B30" s="104">
        <v>6900.3</v>
      </c>
      <c r="C30" s="483">
        <f>IF(B30="",C29,VLOOKUP(TRUNC(B30,1),VLOOKUP!$A$3:$K$2834,RIGHT(TEXT(B30,"0000.00"),1)+2,FALSE))</f>
        <v>284690</v>
      </c>
      <c r="D30" s="45">
        <f t="shared" si="9"/>
        <v>111</v>
      </c>
      <c r="E30" s="55">
        <f t="shared" si="0"/>
        <v>132690</v>
      </c>
      <c r="F30" s="47">
        <f t="shared" si="1"/>
        <v>55.961683892109903</v>
      </c>
      <c r="G30" s="98">
        <v>871</v>
      </c>
      <c r="H30" s="42">
        <v>0.97899999999999998</v>
      </c>
      <c r="I30" s="47">
        <f t="shared" si="10"/>
        <v>871.97900000000004</v>
      </c>
      <c r="J30" s="42">
        <f t="shared" si="11"/>
        <v>11.982683892109861</v>
      </c>
      <c r="K30" s="47">
        <f t="shared" si="12"/>
        <v>883.96168389210993</v>
      </c>
      <c r="L30" s="47">
        <f t="shared" si="13"/>
        <v>11.982683892109861</v>
      </c>
      <c r="M30" s="114">
        <v>320</v>
      </c>
      <c r="N30" s="610">
        <v>0.5</v>
      </c>
      <c r="O30" s="47">
        <f>84*1.05</f>
        <v>88.2</v>
      </c>
      <c r="P30" s="39">
        <v>0</v>
      </c>
      <c r="Q30" s="144">
        <f>2086300/325851/1.9835*1.02</f>
        <v>3.2924991148248264</v>
      </c>
      <c r="R30" s="73">
        <f>IF(((5.3*1.04)-T30)&gt;=4.2,4.2,(5.3*1.04)-T30)</f>
        <v>4.2</v>
      </c>
      <c r="S30" s="73">
        <f>IF(((5.3*1.04)-T30)&gt;=4.2,((5.3*1.04)-T30)-4.2,0)</f>
        <v>0.14092047999999924</v>
      </c>
      <c r="T30" s="73">
        <f t="shared" ref="T30:T35" si="35">(1.0623*1.06)*1.04</f>
        <v>1.1710795200000002</v>
      </c>
      <c r="U30" s="131">
        <v>0</v>
      </c>
      <c r="V30" s="47">
        <v>146</v>
      </c>
      <c r="W30" s="47">
        <v>70</v>
      </c>
      <c r="X30" s="47">
        <f t="shared" si="15"/>
        <v>438.49550088517515</v>
      </c>
      <c r="Y30" s="47">
        <f>IF(B30="",0,X30-AQ30)</f>
        <v>438.49550088517515</v>
      </c>
      <c r="Z30" s="616">
        <f t="shared" si="23"/>
        <v>7888.4950930980685</v>
      </c>
      <c r="AA30" s="616">
        <f t="shared" si="32"/>
        <v>0</v>
      </c>
      <c r="AB30" s="616">
        <f t="shared" si="24"/>
        <v>31710.162896645128</v>
      </c>
      <c r="AC30" s="55">
        <f t="shared" si="25"/>
        <v>1652.2541037735807</v>
      </c>
      <c r="AD30" s="55">
        <f t="shared" ref="AD30" si="36">AD29</f>
        <v>8754.9688212972815</v>
      </c>
      <c r="AE30" s="47">
        <v>242</v>
      </c>
      <c r="AF30" s="114">
        <v>1.7</v>
      </c>
      <c r="AG30" s="212">
        <v>1.3</v>
      </c>
      <c r="AH30" s="618">
        <v>50</v>
      </c>
      <c r="AI30" s="55">
        <f t="shared" si="34"/>
        <v>11985.511822044311</v>
      </c>
      <c r="AJ30" s="617"/>
      <c r="AK30" s="74">
        <f t="shared" si="3"/>
        <v>828</v>
      </c>
      <c r="AL30" s="47">
        <f t="shared" si="4"/>
        <v>0</v>
      </c>
      <c r="AM30" s="47">
        <f t="shared" si="5"/>
        <v>828</v>
      </c>
      <c r="AN30" s="234"/>
      <c r="AO30" s="489"/>
      <c r="AP30" s="489"/>
      <c r="AQ30" s="45"/>
      <c r="AR30" s="43">
        <f>IF(G30="",0,IF(I30&gt;=(795+Q30+R30+AF30),795-X30,I30-Q30-R30-X30-AF30)-AJ30)</f>
        <v>356.50449911482485</v>
      </c>
      <c r="AS30" s="492">
        <v>0.28999999999999998</v>
      </c>
      <c r="AT30" s="493">
        <f t="shared" si="18"/>
        <v>0.20299999999999999</v>
      </c>
      <c r="AU30" s="494">
        <f>IF(AT30=0,0,VLOOKUP(ROUNDDOWN(TEXT(B30,"0000"),-1),VLOOKUP!$M$3:$W$32,RIGHT(TEXT(B30,"0000"),1)+2,FALSE))</f>
        <v>3687</v>
      </c>
      <c r="AV30" s="494">
        <f t="shared" si="28"/>
        <v>62.371749999999999</v>
      </c>
      <c r="AW30" s="610">
        <f>AV30*(IF(Z30&gt;JUN!$Z$44,JUN!$Z$44,MAY!Z30)*1.9835+AC30*1.9835)/E30</f>
        <v>8.895378244393541</v>
      </c>
      <c r="AX30" s="42"/>
      <c r="AY30" s="187"/>
      <c r="AZ30" s="46"/>
      <c r="BA30" s="30"/>
      <c r="BB30" s="102">
        <v>0</v>
      </c>
      <c r="BC30" s="45">
        <v>78</v>
      </c>
      <c r="BD30" s="45">
        <v>40</v>
      </c>
      <c r="BE30" s="407"/>
      <c r="BF30" s="385">
        <f t="shared" si="6"/>
        <v>9.3044991148248251</v>
      </c>
      <c r="BG30" s="323">
        <v>1.41</v>
      </c>
      <c r="BH30" s="407">
        <v>18580</v>
      </c>
      <c r="BI30" s="296">
        <f t="shared" si="19"/>
        <v>66.486500885175133</v>
      </c>
      <c r="BJ30" s="591">
        <f t="shared" si="20"/>
        <v>66.486500885175133</v>
      </c>
      <c r="BL30" s="574">
        <f t="shared" si="21"/>
        <v>16</v>
      </c>
      <c r="BM30" s="559">
        <v>6900.23</v>
      </c>
      <c r="BN30" s="575">
        <f t="shared" si="7"/>
        <v>7.0000000000618456E-2</v>
      </c>
      <c r="BO30" s="576">
        <v>50.021874999999945</v>
      </c>
      <c r="BP30" s="576">
        <f t="shared" si="22"/>
        <v>-2.1874999999944578E-2</v>
      </c>
    </row>
    <row r="31" spans="1:68" ht="12.95" customHeight="1">
      <c r="A31" s="48">
        <f t="shared" si="8"/>
        <v>17</v>
      </c>
      <c r="B31" s="104">
        <v>6900.34</v>
      </c>
      <c r="C31" s="483">
        <f>IF(B31="",C30,VLOOKUP(TRUNC(B31,1),VLOOKUP!$A$3:$K$2834,RIGHT(TEXT(B31,"0000.00"),1)+2,FALSE))</f>
        <v>284839</v>
      </c>
      <c r="D31" s="45">
        <f t="shared" si="9"/>
        <v>149</v>
      </c>
      <c r="E31" s="55">
        <f t="shared" si="0"/>
        <v>132839</v>
      </c>
      <c r="F31" s="47">
        <f t="shared" si="1"/>
        <v>75.119737837156535</v>
      </c>
      <c r="G31" s="98">
        <v>911</v>
      </c>
      <c r="H31" s="42">
        <v>0.77400000000000002</v>
      </c>
      <c r="I31" s="47">
        <f t="shared" si="10"/>
        <v>911.774</v>
      </c>
      <c r="J31" s="42">
        <f t="shared" si="11"/>
        <v>0</v>
      </c>
      <c r="K31" s="47">
        <f t="shared" si="12"/>
        <v>911.774</v>
      </c>
      <c r="L31" s="47">
        <f t="shared" si="13"/>
        <v>-52.654262162843466</v>
      </c>
      <c r="M31" s="114">
        <v>307</v>
      </c>
      <c r="N31" s="610">
        <v>0.5</v>
      </c>
      <c r="O31" s="47">
        <f>83*1.05</f>
        <v>87.15</v>
      </c>
      <c r="P31" s="39">
        <v>0</v>
      </c>
      <c r="Q31" s="144">
        <f>2276500/325851/1.9835*1.02</f>
        <v>3.5926636796715314</v>
      </c>
      <c r="R31" s="73">
        <f>IF(((5.2*1.04)-T31)&gt;=4.2,4.2,(5.2*1.04)-T31)</f>
        <v>4.2</v>
      </c>
      <c r="S31" s="73">
        <f>IF(((5.2*1.04)-T31)&gt;=4.2,((5.2*1.04)-T31)-4.2,0)</f>
        <v>3.6920480000000033E-2</v>
      </c>
      <c r="T31" s="73">
        <f t="shared" si="35"/>
        <v>1.1710795200000002</v>
      </c>
      <c r="U31" s="131">
        <v>0</v>
      </c>
      <c r="V31" s="47">
        <v>147</v>
      </c>
      <c r="W31" s="47">
        <v>70</v>
      </c>
      <c r="X31" s="47">
        <f t="shared" si="15"/>
        <v>427.34933632032846</v>
      </c>
      <c r="Y31" s="47">
        <f t="shared" si="16"/>
        <v>427.34933632032846</v>
      </c>
      <c r="Z31" s="616">
        <f t="shared" si="23"/>
        <v>8256.1457567777397</v>
      </c>
      <c r="AA31" s="616">
        <f t="shared" si="32"/>
        <v>0</v>
      </c>
      <c r="AB31" s="616">
        <f t="shared" si="24"/>
        <v>33287.045396645131</v>
      </c>
      <c r="AC31" s="55">
        <f t="shared" si="25"/>
        <v>1647.7694159770626</v>
      </c>
      <c r="AD31" s="55">
        <f t="shared" ref="AD31" si="37">AD30</f>
        <v>8754.9688212972815</v>
      </c>
      <c r="AE31" s="47">
        <v>210</v>
      </c>
      <c r="AF31" s="114">
        <v>1.7</v>
      </c>
      <c r="AG31" s="212">
        <v>1.3</v>
      </c>
      <c r="AH31" s="618">
        <v>50</v>
      </c>
      <c r="AI31" s="55">
        <f t="shared" si="34"/>
        <v>11935.511822044311</v>
      </c>
      <c r="AJ31" s="617"/>
      <c r="AK31" s="74">
        <f t="shared" si="3"/>
        <v>784</v>
      </c>
      <c r="AL31" s="47">
        <f t="shared" si="4"/>
        <v>52.654262162843466</v>
      </c>
      <c r="AM31" s="47">
        <f t="shared" si="5"/>
        <v>836.65426216284345</v>
      </c>
      <c r="AN31" s="234"/>
      <c r="AO31" s="489"/>
      <c r="AP31" s="489"/>
      <c r="AQ31" s="45"/>
      <c r="AR31" s="43">
        <f t="shared" si="17"/>
        <v>367.65066367967154</v>
      </c>
      <c r="AS31" s="492">
        <v>0.39</v>
      </c>
      <c r="AT31" s="493">
        <f t="shared" si="18"/>
        <v>0.27299999999999996</v>
      </c>
      <c r="AU31" s="494">
        <f>IF(AT31=0,0,VLOOKUP(ROUNDDOWN(TEXT(B31,"0000"),-1),VLOOKUP!$M$3:$W$32,RIGHT(TEXT(B31,"0000"),1)+2,FALSE))</f>
        <v>3687</v>
      </c>
      <c r="AV31" s="494">
        <f t="shared" si="28"/>
        <v>83.879249999999985</v>
      </c>
      <c r="AW31" s="610">
        <f>AV31*(IF(Z31&gt;JUN!$Z$44,JUN!$Z$44,MAY!Z31)*1.9835+AC31*1.9835)/E31</f>
        <v>12.404179942578162</v>
      </c>
      <c r="AX31" s="42"/>
      <c r="AY31" s="187"/>
      <c r="AZ31" s="46"/>
      <c r="BA31" s="30"/>
      <c r="BB31" s="102">
        <v>0</v>
      </c>
      <c r="BC31" s="45">
        <v>84</v>
      </c>
      <c r="BD31" s="45">
        <v>46</v>
      </c>
      <c r="BE31" s="407"/>
      <c r="BF31" s="385">
        <f t="shared" si="6"/>
        <v>9.5006636796715291</v>
      </c>
      <c r="BG31" s="323">
        <v>1.54</v>
      </c>
      <c r="BH31" s="407">
        <v>18639</v>
      </c>
      <c r="BI31" s="296">
        <f t="shared" si="19"/>
        <v>105.98133632032841</v>
      </c>
      <c r="BJ31" s="591">
        <f t="shared" si="20"/>
        <v>105.98133632032841</v>
      </c>
      <c r="BL31" s="574">
        <f t="shared" si="21"/>
        <v>17</v>
      </c>
      <c r="BM31" s="559">
        <v>6900.28</v>
      </c>
      <c r="BN31" s="575">
        <f t="shared" si="7"/>
        <v>6.0000000000400178E-2</v>
      </c>
      <c r="BO31" s="576">
        <v>49.994791666666607</v>
      </c>
      <c r="BP31" s="576">
        <f t="shared" si="22"/>
        <v>5.2083333333925452E-3</v>
      </c>
    </row>
    <row r="32" spans="1:68" ht="12.95" customHeight="1">
      <c r="A32" s="48">
        <f t="shared" si="8"/>
        <v>18</v>
      </c>
      <c r="B32" s="104">
        <v>6900.46</v>
      </c>
      <c r="C32" s="483">
        <f>IF(B32="",C31,VLOOKUP(TRUNC(B32,1),VLOOKUP!$A$3:$K$2834,RIGHT(TEXT(B32,"0000.00"),1)+2,FALSE))</f>
        <v>285283</v>
      </c>
      <c r="D32" s="45">
        <f t="shared" si="9"/>
        <v>444</v>
      </c>
      <c r="E32" s="55">
        <f t="shared" si="0"/>
        <v>133283</v>
      </c>
      <c r="F32" s="47">
        <f t="shared" si="1"/>
        <v>223.84673556843961</v>
      </c>
      <c r="G32" s="98">
        <v>1080</v>
      </c>
      <c r="H32" s="42">
        <v>0.50900000000000001</v>
      </c>
      <c r="I32" s="47">
        <f t="shared" si="10"/>
        <v>1080.509</v>
      </c>
      <c r="J32" s="42">
        <f t="shared" si="11"/>
        <v>0</v>
      </c>
      <c r="K32" s="47">
        <f t="shared" si="12"/>
        <v>1080.509</v>
      </c>
      <c r="L32" s="47">
        <f t="shared" si="13"/>
        <v>-51.662264431560402</v>
      </c>
      <c r="M32" s="114">
        <v>309</v>
      </c>
      <c r="N32" s="610">
        <v>0.5</v>
      </c>
      <c r="O32" s="47">
        <f>78*1.05</f>
        <v>81.900000000000006</v>
      </c>
      <c r="P32" s="39">
        <v>0</v>
      </c>
      <c r="Q32" s="144">
        <f>2492900/325851/1.9835*1.02</f>
        <v>3.9341758344182569</v>
      </c>
      <c r="R32" s="73">
        <f>IF(((6.3*1.04)-T32)&gt;=4.2,4.2,(6.3*1.04)-T32)</f>
        <v>4.2</v>
      </c>
      <c r="S32" s="73">
        <f>IF(((6.3*1.04)-T32)&gt;=4.2,((6.3*1.04)-T32)-4.2,0)</f>
        <v>1.1809204799999993</v>
      </c>
      <c r="T32" s="73">
        <f t="shared" si="35"/>
        <v>1.1710795200000002</v>
      </c>
      <c r="U32" s="131">
        <v>0</v>
      </c>
      <c r="V32" s="47">
        <v>146</v>
      </c>
      <c r="W32" s="47">
        <v>69</v>
      </c>
      <c r="X32" s="47">
        <f t="shared" si="15"/>
        <v>431.11382416558172</v>
      </c>
      <c r="Y32" s="47">
        <f t="shared" si="16"/>
        <v>431.11382416558172</v>
      </c>
      <c r="Z32" s="616">
        <f t="shared" si="23"/>
        <v>8620.0319326121571</v>
      </c>
      <c r="AA32" s="616">
        <f t="shared" si="32"/>
        <v>0</v>
      </c>
      <c r="AB32" s="616">
        <f t="shared" si="24"/>
        <v>34863.927896645131</v>
      </c>
      <c r="AC32" s="55">
        <f>IF(AW31="",AC31,AC31-(AW31/$D$2))</f>
        <v>1641.515733122221</v>
      </c>
      <c r="AD32" s="55">
        <f t="shared" ref="AD32" si="38">AD31</f>
        <v>8754.9688212972815</v>
      </c>
      <c r="AE32" s="47">
        <v>231</v>
      </c>
      <c r="AF32" s="114">
        <v>1.7</v>
      </c>
      <c r="AG32" s="212">
        <v>1.3</v>
      </c>
      <c r="AH32" s="618">
        <v>50</v>
      </c>
      <c r="AI32" s="55">
        <f t="shared" si="34"/>
        <v>11885.511822044311</v>
      </c>
      <c r="AJ32" s="617"/>
      <c r="AK32" s="74">
        <f t="shared" si="3"/>
        <v>805</v>
      </c>
      <c r="AL32" s="47">
        <f t="shared" si="4"/>
        <v>51.662264431560402</v>
      </c>
      <c r="AM32" s="47">
        <f t="shared" si="5"/>
        <v>856.6622644315604</v>
      </c>
      <c r="AN32" s="234"/>
      <c r="AO32" s="489"/>
      <c r="AP32" s="489"/>
      <c r="AQ32" s="45"/>
      <c r="AR32" s="43">
        <f t="shared" si="17"/>
        <v>363.88617583441828</v>
      </c>
      <c r="AS32" s="492">
        <v>0.38</v>
      </c>
      <c r="AT32" s="493">
        <f t="shared" si="18"/>
        <v>0.26599999999999996</v>
      </c>
      <c r="AU32" s="494">
        <f>IF(AT32=0,0,VLOOKUP(ROUNDDOWN(TEXT(B32,"0000"),-1),VLOOKUP!$M$3:$W$32,RIGHT(TEXT(B32,"0000"),1)+2,FALSE))</f>
        <v>3687</v>
      </c>
      <c r="AV32" s="494">
        <f t="shared" si="28"/>
        <v>81.728499999999997</v>
      </c>
      <c r="AW32" s="610">
        <f>AV32*(IF(Z32&gt;JUN!$Z$44,JUN!$Z$44,MAY!Z32)*1.9835+AC32*1.9835)/E32</f>
        <v>12.48084070717467</v>
      </c>
      <c r="AX32" s="42"/>
      <c r="AY32" s="187"/>
      <c r="AZ32" s="46"/>
      <c r="BA32" s="30"/>
      <c r="BB32" s="102">
        <v>0</v>
      </c>
      <c r="BC32" s="45">
        <v>86</v>
      </c>
      <c r="BD32" s="45">
        <v>43</v>
      </c>
      <c r="BE32" s="407"/>
      <c r="BF32" s="385">
        <f t="shared" si="6"/>
        <v>10.986175834418258</v>
      </c>
      <c r="BG32" s="323">
        <v>1.78</v>
      </c>
      <c r="BH32" s="407">
        <v>18699</v>
      </c>
      <c r="BI32" s="296">
        <f t="shared" si="19"/>
        <v>274.37482416558169</v>
      </c>
      <c r="BJ32" s="591">
        <f t="shared" si="20"/>
        <v>274.37482416558169</v>
      </c>
      <c r="BL32" s="574">
        <f t="shared" si="21"/>
        <v>18</v>
      </c>
      <c r="BM32" s="559">
        <v>6900.38</v>
      </c>
      <c r="BN32" s="575">
        <f t="shared" si="7"/>
        <v>7.999999999992724E-2</v>
      </c>
      <c r="BO32" s="576">
        <v>49.940624999999926</v>
      </c>
      <c r="BP32" s="576">
        <f t="shared" si="22"/>
        <v>5.9375000000073896E-2</v>
      </c>
    </row>
    <row r="33" spans="1:68" ht="12.95" customHeight="1">
      <c r="A33" s="48">
        <f t="shared" si="8"/>
        <v>19</v>
      </c>
      <c r="B33" s="104">
        <v>6900.6</v>
      </c>
      <c r="C33" s="483">
        <f>IF(B33="",C32,VLOOKUP(TRUNC(B33,1),VLOOKUP!$A$3:$K$2834,RIGHT(TEXT(B33,"0000.00"),1)+2,FALSE))</f>
        <v>285801</v>
      </c>
      <c r="D33" s="45">
        <f t="shared" si="9"/>
        <v>518</v>
      </c>
      <c r="E33" s="55">
        <f t="shared" si="0"/>
        <v>133801</v>
      </c>
      <c r="F33" s="47">
        <f t="shared" si="1"/>
        <v>261.15452482984625</v>
      </c>
      <c r="G33" s="98">
        <v>1140</v>
      </c>
      <c r="H33" s="42">
        <v>0.34699999999999998</v>
      </c>
      <c r="I33" s="47">
        <f t="shared" si="10"/>
        <v>1140.347</v>
      </c>
      <c r="J33" s="42">
        <f t="shared" si="11"/>
        <v>0</v>
      </c>
      <c r="K33" s="47">
        <f t="shared" si="12"/>
        <v>1140.347</v>
      </c>
      <c r="L33" s="47">
        <f t="shared" si="13"/>
        <v>-73.192475170153728</v>
      </c>
      <c r="M33" s="114">
        <v>322</v>
      </c>
      <c r="N33" s="610">
        <v>0.5</v>
      </c>
      <c r="O33" s="47">
        <f>71*1.05</f>
        <v>74.55</v>
      </c>
      <c r="P33" s="39">
        <v>0</v>
      </c>
      <c r="Q33" s="144">
        <f>1491200/325851/1.9835*1.02</f>
        <v>2.3533406892713322</v>
      </c>
      <c r="R33" s="73">
        <f>IF(((5.9*1.04)-T33)&gt;=4.2,4.2,(5.9*1.04)-T33)</f>
        <v>4.2</v>
      </c>
      <c r="S33" s="73">
        <f>IF(((5.9*1.04)-T33)&gt;=4.2,((5.9*1.04)-T33)-4.2,0)</f>
        <v>0.76492048000000068</v>
      </c>
      <c r="T33" s="73">
        <f t="shared" si="35"/>
        <v>1.1710795200000002</v>
      </c>
      <c r="U33" s="131">
        <v>0</v>
      </c>
      <c r="V33" s="47">
        <v>143</v>
      </c>
      <c r="W33" s="47">
        <v>70</v>
      </c>
      <c r="X33" s="47">
        <f t="shared" si="15"/>
        <v>451.46065931072866</v>
      </c>
      <c r="Y33" s="47">
        <f t="shared" si="16"/>
        <v>451.46065931072866</v>
      </c>
      <c r="Z33" s="616">
        <f t="shared" si="23"/>
        <v>8963.5712733014279</v>
      </c>
      <c r="AA33" s="616">
        <f t="shared" si="32"/>
        <v>0</v>
      </c>
      <c r="AB33" s="616">
        <f t="shared" si="24"/>
        <v>36440.810396645131</v>
      </c>
      <c r="AC33" s="55">
        <f t="shared" si="25"/>
        <v>1635.2234010288635</v>
      </c>
      <c r="AD33" s="55">
        <f t="shared" ref="AD33" si="39">AD32</f>
        <v>8754.9688212972815</v>
      </c>
      <c r="AE33" s="47">
        <v>221</v>
      </c>
      <c r="AF33" s="114">
        <v>1.7</v>
      </c>
      <c r="AG33" s="212">
        <v>1.3</v>
      </c>
      <c r="AH33" s="618">
        <v>50</v>
      </c>
      <c r="AI33" s="55">
        <f t="shared" si="34"/>
        <v>11835.511822044311</v>
      </c>
      <c r="AJ33" s="617"/>
      <c r="AK33" s="74">
        <f t="shared" si="3"/>
        <v>806</v>
      </c>
      <c r="AL33" s="47">
        <f t="shared" si="4"/>
        <v>73.192475170153728</v>
      </c>
      <c r="AM33" s="47">
        <f t="shared" si="5"/>
        <v>879.19247517015378</v>
      </c>
      <c r="AN33" s="234"/>
      <c r="AO33" s="489"/>
      <c r="AP33" s="489"/>
      <c r="AQ33" s="45"/>
      <c r="AR33" s="43">
        <f>IF(G33="",0,IF(I33&gt;=(795+Q33+R33+AF33),795-X33,I33-Q33-R33-X33-AF33)-AJ33)</f>
        <v>343.53934068927134</v>
      </c>
      <c r="AS33" s="492">
        <v>0.4</v>
      </c>
      <c r="AT33" s="493">
        <f t="shared" si="18"/>
        <v>0.27999999999999997</v>
      </c>
      <c r="AU33" s="494">
        <f>IF(AT33=0,0,VLOOKUP(ROUNDDOWN(TEXT(B33,"0000"),-1),VLOOKUP!$M$3:$W$32,RIGHT(TEXT(B33,"0000"),1)+2,FALSE))</f>
        <v>3717</v>
      </c>
      <c r="AV33" s="494">
        <f t="shared" si="28"/>
        <v>86.72999999999999</v>
      </c>
      <c r="AW33" s="610">
        <f>AV33*(IF(Z33&gt;JUN!$Z$44,JUN!$Z$44,MAY!Z33)*1.9835+AC33*1.9835)/E33</f>
        <v>13.626950262588508</v>
      </c>
      <c r="AX33" s="42"/>
      <c r="AY33" s="187"/>
      <c r="AZ33" s="46"/>
      <c r="BA33" s="30"/>
      <c r="BB33" s="102">
        <v>0</v>
      </c>
      <c r="BC33" s="45">
        <v>84</v>
      </c>
      <c r="BD33" s="45">
        <v>45</v>
      </c>
      <c r="BE33" s="407"/>
      <c r="BF33" s="385">
        <f t="shared" si="6"/>
        <v>8.9893406892713337</v>
      </c>
      <c r="BG33" s="323">
        <v>1.78</v>
      </c>
      <c r="BH33" s="407">
        <v>18758</v>
      </c>
      <c r="BI33" s="296">
        <f t="shared" si="19"/>
        <v>335.79365931072857</v>
      </c>
      <c r="BJ33" s="591">
        <f t="shared" si="20"/>
        <v>295.55</v>
      </c>
      <c r="BL33" s="574">
        <f t="shared" si="21"/>
        <v>19</v>
      </c>
      <c r="BM33" s="559">
        <v>6900.51</v>
      </c>
      <c r="BN33" s="575">
        <f t="shared" si="7"/>
        <v>9.0000000000145519E-2</v>
      </c>
      <c r="BO33" s="576">
        <v>49.991666666666589</v>
      </c>
      <c r="BP33" s="576">
        <f t="shared" si="22"/>
        <v>8.3333333334110193E-3</v>
      </c>
    </row>
    <row r="34" spans="1:68" ht="12.95" customHeight="1">
      <c r="A34" s="48">
        <f t="shared" si="8"/>
        <v>20</v>
      </c>
      <c r="B34" s="104">
        <v>6900.71</v>
      </c>
      <c r="C34" s="483">
        <f>IF(B34="",C33,VLOOKUP(TRUNC(B34,1),VLOOKUP!$A$3:$K$2834,RIGHT(TEXT(B34,"0000.00"),1)+2,FALSE))</f>
        <v>286208</v>
      </c>
      <c r="D34" s="45">
        <f t="shared" si="9"/>
        <v>407</v>
      </c>
      <c r="E34" s="55">
        <f t="shared" si="0"/>
        <v>134208</v>
      </c>
      <c r="F34" s="47">
        <f t="shared" si="1"/>
        <v>205.19284093773632</v>
      </c>
      <c r="G34" s="98">
        <v>1100</v>
      </c>
      <c r="H34" s="42">
        <v>0.218</v>
      </c>
      <c r="I34" s="47">
        <f t="shared" si="10"/>
        <v>1100.2180000000001</v>
      </c>
      <c r="J34" s="42">
        <f t="shared" si="11"/>
        <v>0</v>
      </c>
      <c r="K34" s="47">
        <f t="shared" si="12"/>
        <v>1100.2180000000001</v>
      </c>
      <c r="L34" s="47">
        <f t="shared" si="13"/>
        <v>-105.02515906226375</v>
      </c>
      <c r="M34" s="114">
        <v>315</v>
      </c>
      <c r="N34" s="610">
        <v>0.5</v>
      </c>
      <c r="O34" s="47">
        <f>78*1.05</f>
        <v>81.900000000000006</v>
      </c>
      <c r="P34" s="39">
        <v>0</v>
      </c>
      <c r="Q34" s="144">
        <f>2151000/325851/1.9835*1.02</f>
        <v>3.3946055677458666</v>
      </c>
      <c r="R34" s="73">
        <f>IF(((4.8*1.04)-T34)&gt;=4.2,4.2,(4.8*1.04)-T34)</f>
        <v>3.8209204799999998</v>
      </c>
      <c r="S34" s="73">
        <f>IF(((4.8*1.04)-T34)&gt;=4.2,((4.8*1.04)-T34)-4.2,0)</f>
        <v>0</v>
      </c>
      <c r="T34" s="73">
        <f t="shared" si="35"/>
        <v>1.1710795200000002</v>
      </c>
      <c r="U34" s="131">
        <v>0</v>
      </c>
      <c r="V34" s="47">
        <v>145</v>
      </c>
      <c r="W34" s="47">
        <v>70</v>
      </c>
      <c r="X34" s="47">
        <f t="shared" si="15"/>
        <v>439.21339443225412</v>
      </c>
      <c r="Y34" s="47">
        <f t="shared" si="16"/>
        <v>439.21339443225412</v>
      </c>
      <c r="Z34" s="616">
        <f t="shared" si="23"/>
        <v>9319.3578788691739</v>
      </c>
      <c r="AA34" s="616">
        <f t="shared" si="32"/>
        <v>0</v>
      </c>
      <c r="AB34" s="616">
        <f t="shared" si="24"/>
        <v>38017.692896645131</v>
      </c>
      <c r="AC34" s="55">
        <f t="shared" si="25"/>
        <v>1628.3532471278861</v>
      </c>
      <c r="AD34" s="55">
        <f t="shared" ref="AD34" si="40">AD33</f>
        <v>8754.9688212972815</v>
      </c>
      <c r="AE34" s="47">
        <v>210</v>
      </c>
      <c r="AF34" s="114">
        <v>1.7</v>
      </c>
      <c r="AG34" s="212">
        <v>1.3</v>
      </c>
      <c r="AH34" s="618">
        <v>50</v>
      </c>
      <c r="AI34" s="55">
        <f>AI33-(AH34-AJ34)</f>
        <v>11785.511822044311</v>
      </c>
      <c r="AJ34" s="617"/>
      <c r="AK34" s="74">
        <f t="shared" si="3"/>
        <v>790</v>
      </c>
      <c r="AL34" s="47">
        <f t="shared" si="4"/>
        <v>105.02515906226375</v>
      </c>
      <c r="AM34" s="47">
        <f t="shared" si="5"/>
        <v>895.02515906226381</v>
      </c>
      <c r="AN34" s="234"/>
      <c r="AO34" s="489"/>
      <c r="AP34" s="489"/>
      <c r="AQ34" s="45"/>
      <c r="AR34" s="43">
        <f>IF(G34="",0,IF(I34&gt;=(795+Q34+R34+AF34),795-X34,I34-Q34-R34-X34-AF34)-AJ34)</f>
        <v>355.78660556774588</v>
      </c>
      <c r="AS34" s="492">
        <v>0.33</v>
      </c>
      <c r="AT34" s="493">
        <f t="shared" si="18"/>
        <v>0.23099999999999998</v>
      </c>
      <c r="AU34" s="494">
        <f>IF(AT34=0,0,VLOOKUP(ROUNDDOWN(TEXT(B34,"0000"),-1),VLOOKUP!$M$3:$W$32,RIGHT(TEXT(B34,"0000"),1)+2,FALSE))</f>
        <v>3717</v>
      </c>
      <c r="AV34" s="494">
        <f t="shared" si="28"/>
        <v>71.552250000000001</v>
      </c>
      <c r="AW34" s="610">
        <f>AV34*(IF(Z34&gt;JUN!$Z$44,JUN!$Z$44,MAY!Z34)*1.9835+AC34*1.9835)/E34</f>
        <v>11.577117059593295</v>
      </c>
      <c r="AX34" s="42"/>
      <c r="AY34" s="187"/>
      <c r="AZ34" s="46"/>
      <c r="BA34" s="30"/>
      <c r="BB34" s="102">
        <v>0</v>
      </c>
      <c r="BC34" s="45">
        <v>66</v>
      </c>
      <c r="BD34" s="45">
        <v>40</v>
      </c>
      <c r="BE34" s="407"/>
      <c r="BF34" s="385">
        <f t="shared" si="6"/>
        <v>8.8866055677458675</v>
      </c>
      <c r="BG34" s="323">
        <v>2.0299999999999998</v>
      </c>
      <c r="BH34" s="407">
        <v>18815</v>
      </c>
      <c r="BI34" s="296">
        <f t="shared" si="19"/>
        <v>295.00247395225415</v>
      </c>
      <c r="BJ34" s="591">
        <f t="shared" si="20"/>
        <v>291.89999999999998</v>
      </c>
      <c r="BL34" s="574">
        <f t="shared" si="21"/>
        <v>20</v>
      </c>
      <c r="BM34" s="559">
        <v>6900.66</v>
      </c>
      <c r="BN34" s="575">
        <f t="shared" si="7"/>
        <v>5.0000000000181899E-2</v>
      </c>
      <c r="BO34" s="576">
        <v>50.117708333333333</v>
      </c>
      <c r="BP34" s="576">
        <f t="shared" si="22"/>
        <v>-0.11770833333333286</v>
      </c>
    </row>
    <row r="35" spans="1:68" ht="12.95" customHeight="1">
      <c r="A35" s="48">
        <f t="shared" si="8"/>
        <v>21</v>
      </c>
      <c r="B35" s="104">
        <v>6900.77</v>
      </c>
      <c r="C35" s="483">
        <f>IF(B35="",C34,VLOOKUP(TRUNC(B35,1),VLOOKUP!$A$3:$K$2834,RIGHT(TEXT(B35,"0000.00"),1)+2,FALSE))</f>
        <v>286430</v>
      </c>
      <c r="D35" s="45">
        <f t="shared" si="9"/>
        <v>222</v>
      </c>
      <c r="E35" s="55">
        <f t="shared" si="0"/>
        <v>134430</v>
      </c>
      <c r="F35" s="47">
        <f t="shared" si="1"/>
        <v>111.92336778421981</v>
      </c>
      <c r="G35" s="98">
        <v>895</v>
      </c>
      <c r="H35" s="42">
        <v>0.13600000000000001</v>
      </c>
      <c r="I35" s="47">
        <f t="shared" si="10"/>
        <v>895.13599999999997</v>
      </c>
      <c r="J35" s="42">
        <f t="shared" si="11"/>
        <v>0</v>
      </c>
      <c r="K35" s="47">
        <f t="shared" si="12"/>
        <v>895.13599999999997</v>
      </c>
      <c r="L35" s="47">
        <f>IF(G35="",0,F35-(I35-AK35))</f>
        <v>-16.212632215780161</v>
      </c>
      <c r="M35" s="114">
        <v>287</v>
      </c>
      <c r="N35" s="610">
        <v>0.5</v>
      </c>
      <c r="O35" s="47">
        <f>61*1.05</f>
        <v>64.05</v>
      </c>
      <c r="P35" s="39">
        <v>0</v>
      </c>
      <c r="Q35" s="144">
        <f>1999200/325851/1.9835*1.02</f>
        <v>3.1550420506915557</v>
      </c>
      <c r="R35" s="73">
        <f>IF(((5.4*1.04)-T35)&gt;=4.2,4.2,(5.4*1.04)-T35)</f>
        <v>4.2</v>
      </c>
      <c r="S35" s="73">
        <f>IF(((5.4*1.04)-T35)&gt;=4.2,((5.4*1.04)-T35)-4.2,0)</f>
        <v>0.24492048000000022</v>
      </c>
      <c r="T35" s="73">
        <f t="shared" si="35"/>
        <v>1.1710795200000002</v>
      </c>
      <c r="U35" s="131">
        <v>0</v>
      </c>
      <c r="V35" s="47">
        <v>147</v>
      </c>
      <c r="W35" s="47">
        <v>70</v>
      </c>
      <c r="X35" s="47">
        <f t="shared" si="15"/>
        <v>430.67895794930848</v>
      </c>
      <c r="Y35" s="47">
        <f t="shared" si="16"/>
        <v>430.67895794930848</v>
      </c>
      <c r="Z35" s="616">
        <f t="shared" si="23"/>
        <v>9683.678920919865</v>
      </c>
      <c r="AA35" s="616">
        <f t="shared" si="32"/>
        <v>0</v>
      </c>
      <c r="AB35" s="616">
        <f t="shared" si="24"/>
        <v>39594.57539664513</v>
      </c>
      <c r="AC35" s="55">
        <f t="shared" si="25"/>
        <v>1622.5165357290491</v>
      </c>
      <c r="AD35" s="55">
        <f t="shared" ref="AD35" si="41">AD34</f>
        <v>8754.9688212972815</v>
      </c>
      <c r="AE35" s="47">
        <v>214</v>
      </c>
      <c r="AF35" s="114">
        <v>1.7</v>
      </c>
      <c r="AG35" s="212">
        <v>1.3</v>
      </c>
      <c r="AH35" s="618">
        <v>49</v>
      </c>
      <c r="AI35" s="55">
        <f t="shared" ref="AI35:AI45" si="42">AI34-(AH35-AJ35)</f>
        <v>11736.511822044311</v>
      </c>
      <c r="AJ35" s="617"/>
      <c r="AK35" s="74">
        <f t="shared" si="3"/>
        <v>767</v>
      </c>
      <c r="AL35" s="47">
        <f t="shared" si="4"/>
        <v>16.212632215780161</v>
      </c>
      <c r="AM35" s="47">
        <f t="shared" si="5"/>
        <v>783.2126322157801</v>
      </c>
      <c r="AN35" s="234"/>
      <c r="AO35" s="489"/>
      <c r="AP35" s="489"/>
      <c r="AQ35" s="45"/>
      <c r="AR35" s="43">
        <f t="shared" si="17"/>
        <v>364.32104205069152</v>
      </c>
      <c r="AS35" s="492">
        <v>0.24</v>
      </c>
      <c r="AT35" s="493">
        <f t="shared" si="18"/>
        <v>0.16799999999999998</v>
      </c>
      <c r="AU35" s="494">
        <f>IF(AT35=0,0,VLOOKUP(ROUNDDOWN(TEXT(B35,"0000"),-1),VLOOKUP!$M$3:$W$32,RIGHT(TEXT(B35,"0000"),1)+2,FALSE))</f>
        <v>3717</v>
      </c>
      <c r="AV35" s="494">
        <f t="shared" si="28"/>
        <v>52.037999999999997</v>
      </c>
      <c r="AW35" s="610">
        <f>AV35*(IF(Z35&gt;JUN!$Z$44,JUN!$Z$44,MAY!Z35)*1.9835+AC35*1.9835)/E35</f>
        <v>8.6810666790138828</v>
      </c>
      <c r="AX35" s="42"/>
      <c r="AY35" s="187"/>
      <c r="AZ35" s="46"/>
      <c r="BA35" s="30"/>
      <c r="BB35" s="102">
        <v>0</v>
      </c>
      <c r="BC35" s="45">
        <v>72</v>
      </c>
      <c r="BD35" s="45">
        <v>36</v>
      </c>
      <c r="BE35" s="407"/>
      <c r="BF35" s="385">
        <f t="shared" si="6"/>
        <v>9.2710420506915554</v>
      </c>
      <c r="BG35" s="323">
        <v>2.44</v>
      </c>
      <c r="BH35" s="407">
        <v>18869</v>
      </c>
      <c r="BI35" s="296">
        <f t="shared" si="19"/>
        <v>89.780957949308345</v>
      </c>
      <c r="BJ35" s="591">
        <f t="shared" si="20"/>
        <v>89.780957949308345</v>
      </c>
      <c r="BL35" s="574">
        <f t="shared" si="21"/>
        <v>21</v>
      </c>
      <c r="BM35" s="559">
        <v>6900.71</v>
      </c>
      <c r="BN35" s="575">
        <f t="shared" si="7"/>
        <v>6.0000000000400178E-2</v>
      </c>
      <c r="BO35" s="576">
        <v>48.078124999999915</v>
      </c>
      <c r="BP35" s="576">
        <f t="shared" si="22"/>
        <v>0.92187500000008527</v>
      </c>
    </row>
    <row r="36" spans="1:68" ht="12.95" customHeight="1">
      <c r="A36" s="48">
        <f t="shared" si="8"/>
        <v>22</v>
      </c>
      <c r="B36" s="104">
        <v>6900.73</v>
      </c>
      <c r="C36" s="483">
        <f>IF(B36="",C35,VLOOKUP(TRUNC(B36,1),VLOOKUP!$A$3:$K$2834,RIGHT(TEXT(B36,"0000.00"),1)+2,FALSE))</f>
        <v>286282</v>
      </c>
      <c r="D36" s="45">
        <f t="shared" si="9"/>
        <v>-148</v>
      </c>
      <c r="E36" s="55">
        <f t="shared" si="0"/>
        <v>134282</v>
      </c>
      <c r="F36" s="47">
        <f t="shared" si="1"/>
        <v>-74.615578522813209</v>
      </c>
      <c r="G36" s="98">
        <v>778</v>
      </c>
      <c r="H36" s="42">
        <v>4.4699999999999997E-2</v>
      </c>
      <c r="I36" s="47">
        <f t="shared" si="10"/>
        <v>778.04470000000003</v>
      </c>
      <c r="J36" s="42">
        <f t="shared" si="11"/>
        <v>0</v>
      </c>
      <c r="K36" s="47">
        <f t="shared" si="12"/>
        <v>778.04470000000003</v>
      </c>
      <c r="L36" s="627">
        <f t="shared" si="13"/>
        <v>-32.660278522813243</v>
      </c>
      <c r="M36" s="114">
        <v>296</v>
      </c>
      <c r="N36" s="610">
        <v>0.5</v>
      </c>
      <c r="O36" s="47">
        <f>70*1.05</f>
        <v>73.5</v>
      </c>
      <c r="P36" s="39">
        <v>0</v>
      </c>
      <c r="Q36" s="144">
        <f>2064100/325851/1.9835*1.02</f>
        <v>3.2574641340698482</v>
      </c>
      <c r="R36" s="73">
        <f>IF(((5.5*1.04)-T36)&gt;=4.2,4.2,(5.5*1.04)-T36)</f>
        <v>4.2</v>
      </c>
      <c r="S36" s="73">
        <f>IF(((5.5*1.04)-T36)&gt;=4.2,((5.5*1.04)-T36)-4.2,0)</f>
        <v>0.2789180800000004</v>
      </c>
      <c r="T36" s="73">
        <f>(1.1258*1.06)*1.04</f>
        <v>1.2410819200000001</v>
      </c>
      <c r="U36" s="131">
        <v>0</v>
      </c>
      <c r="V36" s="47">
        <v>150</v>
      </c>
      <c r="W36" s="47">
        <v>71</v>
      </c>
      <c r="X36" s="47">
        <f t="shared" si="15"/>
        <v>434.02253586593019</v>
      </c>
      <c r="Y36" s="47">
        <f t="shared" si="16"/>
        <v>434.02253586593019</v>
      </c>
      <c r="Z36" s="616">
        <f t="shared" si="23"/>
        <v>10018.543620919865</v>
      </c>
      <c r="AA36" s="616">
        <f t="shared" si="32"/>
        <v>0</v>
      </c>
      <c r="AB36" s="616">
        <f t="shared" si="24"/>
        <v>41119.663228985206</v>
      </c>
      <c r="AC36" s="55">
        <f t="shared" si="25"/>
        <v>1618.1398951043886</v>
      </c>
      <c r="AD36" s="55">
        <f t="shared" ref="AD36" si="43">AD35</f>
        <v>8754.9688212972815</v>
      </c>
      <c r="AE36" s="47">
        <v>253</v>
      </c>
      <c r="AF36" s="114">
        <v>1.7</v>
      </c>
      <c r="AG36" s="212">
        <v>1.3</v>
      </c>
      <c r="AH36" s="618">
        <v>50</v>
      </c>
      <c r="AI36" s="55">
        <f t="shared" si="42"/>
        <v>11686.511822044311</v>
      </c>
      <c r="AJ36" s="617"/>
      <c r="AK36" s="74">
        <f t="shared" si="3"/>
        <v>820</v>
      </c>
      <c r="AL36" s="47">
        <f t="shared" si="4"/>
        <v>32.660278522813243</v>
      </c>
      <c r="AM36" s="47">
        <f t="shared" si="5"/>
        <v>852.6602785228132</v>
      </c>
      <c r="AN36" s="234"/>
      <c r="AO36" s="489"/>
      <c r="AP36" s="489"/>
      <c r="AQ36" s="45"/>
      <c r="AR36" s="43">
        <f t="shared" si="17"/>
        <v>334.86469999999991</v>
      </c>
      <c r="AS36" s="492">
        <v>0.37</v>
      </c>
      <c r="AT36" s="493">
        <f t="shared" si="18"/>
        <v>0.25900000000000001</v>
      </c>
      <c r="AU36" s="494">
        <f>IF(AT36=0,0,VLOOKUP(ROUNDDOWN(TEXT(B36,"0000"),-1),VLOOKUP!$M$3:$W$32,RIGHT(TEXT(B36,"0000"),1)+2,FALSE))</f>
        <v>3717</v>
      </c>
      <c r="AV36" s="494">
        <f t="shared" si="28"/>
        <v>80.225250000000003</v>
      </c>
      <c r="AW36" s="610">
        <f>AV36*(IF(Z36&gt;JUN!$Z$44,JUN!$Z$44,MAY!Z36)*1.9835+AC36*1.9835)/E36</f>
        <v>13.78969643777889</v>
      </c>
      <c r="AX36" s="42"/>
      <c r="AY36" s="187"/>
      <c r="AZ36" s="46"/>
      <c r="BA36" s="30"/>
      <c r="BB36" s="102">
        <v>0</v>
      </c>
      <c r="BC36" s="45">
        <v>78</v>
      </c>
      <c r="BD36" s="45">
        <v>38</v>
      </c>
      <c r="BE36" s="407"/>
      <c r="BF36" s="385">
        <f t="shared" si="6"/>
        <v>9.477464134069848</v>
      </c>
      <c r="BG36" s="323">
        <v>1.94</v>
      </c>
      <c r="BH36" s="407">
        <v>18914</v>
      </c>
      <c r="BI36" s="296">
        <f t="shared" si="19"/>
        <v>0</v>
      </c>
      <c r="BJ36" s="591">
        <f t="shared" si="20"/>
        <v>0</v>
      </c>
      <c r="BL36" s="574">
        <f t="shared" si="21"/>
        <v>22</v>
      </c>
      <c r="BM36" s="559">
        <v>6900.66</v>
      </c>
      <c r="BN36" s="575">
        <f t="shared" si="7"/>
        <v>6.9999999999708962E-2</v>
      </c>
      <c r="BO36" s="576">
        <v>50.24687499999991</v>
      </c>
      <c r="BP36" s="576">
        <f t="shared" si="22"/>
        <v>-0.24687499999991047</v>
      </c>
    </row>
    <row r="37" spans="1:68" ht="12.95" customHeight="1">
      <c r="A37" s="48">
        <f t="shared" si="8"/>
        <v>23</v>
      </c>
      <c r="B37" s="104">
        <v>6900.64</v>
      </c>
      <c r="C37" s="483">
        <f>IF(B37="",C36,VLOOKUP(TRUNC(B37,1),VLOOKUP!$A$3:$K$2834,RIGHT(TEXT(B37,"0000.00"),1)+2,FALSE))</f>
        <v>285949</v>
      </c>
      <c r="D37" s="45">
        <f t="shared" si="9"/>
        <v>-333</v>
      </c>
      <c r="E37" s="55">
        <f t="shared" si="0"/>
        <v>133949</v>
      </c>
      <c r="F37" s="47">
        <f t="shared" si="1"/>
        <v>-167.88505167632971</v>
      </c>
      <c r="G37" s="98">
        <v>724</v>
      </c>
      <c r="H37" s="42">
        <v>0</v>
      </c>
      <c r="I37" s="47">
        <f t="shared" si="10"/>
        <v>724</v>
      </c>
      <c r="J37" s="42">
        <f t="shared" si="11"/>
        <v>0</v>
      </c>
      <c r="K37" s="47">
        <f t="shared" si="12"/>
        <v>724</v>
      </c>
      <c r="L37" s="627">
        <f>IF(G37="",0,F37-(I37-AK37))</f>
        <v>-51.885051676329709</v>
      </c>
      <c r="M37" s="114">
        <v>315</v>
      </c>
      <c r="N37" s="610">
        <v>0.5</v>
      </c>
      <c r="O37" s="47">
        <f>73*1.05</f>
        <v>76.650000000000006</v>
      </c>
      <c r="P37" s="39">
        <v>0</v>
      </c>
      <c r="Q37" s="144">
        <f>2027600/325851/1.9835*1.02</f>
        <v>3.1998615756213473</v>
      </c>
      <c r="R37" s="73">
        <f>IF(((6.2*1.04)-T37)&gt;=4.2,4.2,(6.2*1.04)-T37)</f>
        <v>4.2</v>
      </c>
      <c r="S37" s="73">
        <f>IF(((6.2*1.04)-T37)&gt;=4.2,((6.2*1.04)-T37)-4.2,0)</f>
        <v>1.0069180800000002</v>
      </c>
      <c r="T37" s="73">
        <f t="shared" ref="T37:T42" si="44">(1.1258*1.06)*1.04</f>
        <v>1.2410819200000001</v>
      </c>
      <c r="U37" s="131">
        <v>0</v>
      </c>
      <c r="V37" s="47">
        <v>151</v>
      </c>
      <c r="W37" s="47">
        <v>71</v>
      </c>
      <c r="X37" s="47">
        <f t="shared" si="15"/>
        <v>450.20213842437863</v>
      </c>
      <c r="Y37" s="47">
        <f t="shared" si="16"/>
        <v>450.20213842437863</v>
      </c>
      <c r="Z37" s="616">
        <f t="shared" si="23"/>
        <v>10283.241620919865</v>
      </c>
      <c r="AA37" s="616">
        <f t="shared" si="32"/>
        <v>0</v>
      </c>
      <c r="AB37" s="616">
        <f t="shared" si="24"/>
        <v>42537.667653549957</v>
      </c>
      <c r="AC37" s="55">
        <f t="shared" si="25"/>
        <v>1611.1876912033154</v>
      </c>
      <c r="AD37" s="55">
        <f t="shared" ref="AD37" si="45">AD36</f>
        <v>8754.9688212972815</v>
      </c>
      <c r="AE37" s="47">
        <v>253</v>
      </c>
      <c r="AF37" s="114">
        <v>1.7</v>
      </c>
      <c r="AG37" s="212">
        <v>1.3</v>
      </c>
      <c r="AH37" s="42">
        <v>50</v>
      </c>
      <c r="AI37" s="55">
        <f t="shared" si="42"/>
        <v>11636.511822044311</v>
      </c>
      <c r="AJ37" s="617"/>
      <c r="AK37" s="74">
        <f t="shared" si="3"/>
        <v>840</v>
      </c>
      <c r="AL37" s="47">
        <f t="shared" si="4"/>
        <v>51.885051676329709</v>
      </c>
      <c r="AM37" s="47">
        <f t="shared" si="5"/>
        <v>891.88505167632968</v>
      </c>
      <c r="AN37" s="234"/>
      <c r="AO37" s="489"/>
      <c r="AP37" s="489"/>
      <c r="AQ37" s="45"/>
      <c r="AR37" s="43">
        <f t="shared" si="17"/>
        <v>264.69800000000004</v>
      </c>
      <c r="AS37" s="492">
        <v>0.34</v>
      </c>
      <c r="AT37" s="493">
        <f t="shared" si="18"/>
        <v>0.23799999999999999</v>
      </c>
      <c r="AU37" s="494">
        <f>IF(AT37=0,0,VLOOKUP(ROUNDDOWN(TEXT(B37,"0000"),-1),VLOOKUP!$M$3:$W$32,RIGHT(TEXT(B37,"0000"),1)+2,FALSE))</f>
        <v>3717</v>
      </c>
      <c r="AV37" s="494">
        <f t="shared" si="28"/>
        <v>73.720499999999987</v>
      </c>
      <c r="AW37" s="610">
        <f>AV37*(IF(Z37&gt;JUN!$Z$44,JUN!$Z$44,MAY!Z37)*1.9835+AC37*1.9835)/E37</f>
        <v>12.984481467969387</v>
      </c>
      <c r="AX37" s="42"/>
      <c r="AY37" s="608"/>
      <c r="AZ37" s="46"/>
      <c r="BA37" s="30"/>
      <c r="BB37" s="102">
        <v>0</v>
      </c>
      <c r="BC37" s="45">
        <v>75</v>
      </c>
      <c r="BD37" s="45">
        <v>43</v>
      </c>
      <c r="BE37" s="407"/>
      <c r="BF37" s="385">
        <f t="shared" si="6"/>
        <v>10.147861575621349</v>
      </c>
      <c r="BG37" s="323">
        <v>1.27</v>
      </c>
      <c r="BH37" s="407">
        <v>18955</v>
      </c>
      <c r="BI37" s="296">
        <f t="shared" si="19"/>
        <v>0</v>
      </c>
      <c r="BJ37" s="591">
        <f t="shared" si="20"/>
        <v>0</v>
      </c>
      <c r="BL37" s="574">
        <f t="shared" si="21"/>
        <v>23</v>
      </c>
      <c r="BM37" s="559">
        <v>6900.59</v>
      </c>
      <c r="BN37" s="575">
        <f t="shared" si="7"/>
        <v>5.0000000000181899E-2</v>
      </c>
      <c r="BO37" s="576">
        <v>50.021874999999902</v>
      </c>
      <c r="BP37" s="576">
        <f t="shared" si="22"/>
        <v>-2.1874999999901945E-2</v>
      </c>
    </row>
    <row r="38" spans="1:68" ht="12.95" customHeight="1">
      <c r="A38" s="48">
        <f t="shared" si="8"/>
        <v>24</v>
      </c>
      <c r="B38" s="104">
        <v>6900.54</v>
      </c>
      <c r="C38" s="483">
        <f>IF(B38="",C37,VLOOKUP(TRUNC(B38,1),VLOOKUP!$A$3:$K$2834,RIGHT(TEXT(B38,"0000.00"),1)+2,FALSE))</f>
        <v>285579</v>
      </c>
      <c r="D38" s="45">
        <f t="shared" si="9"/>
        <v>-370</v>
      </c>
      <c r="E38" s="55">
        <f t="shared" si="0"/>
        <v>133579</v>
      </c>
      <c r="F38" s="47">
        <f t="shared" si="1"/>
        <v>-186.53894630703303</v>
      </c>
      <c r="G38" s="98">
        <v>658</v>
      </c>
      <c r="H38" s="42">
        <v>0</v>
      </c>
      <c r="I38" s="47">
        <f t="shared" si="10"/>
        <v>658</v>
      </c>
      <c r="J38" s="42">
        <f t="shared" si="11"/>
        <v>0</v>
      </c>
      <c r="K38" s="47">
        <f t="shared" si="12"/>
        <v>658</v>
      </c>
      <c r="L38" s="627">
        <f t="shared" si="13"/>
        <v>-43.538946307033029</v>
      </c>
      <c r="M38" s="114">
        <v>312</v>
      </c>
      <c r="N38" s="610">
        <v>0.5</v>
      </c>
      <c r="O38" s="47">
        <f>73*1.05</f>
        <v>76.650000000000006</v>
      </c>
      <c r="P38" s="39">
        <v>0</v>
      </c>
      <c r="Q38" s="144">
        <f>2066300/325851/1.9835*1.02</f>
        <v>3.2609360690996207</v>
      </c>
      <c r="R38" s="73">
        <f>IF(((6.5*1.04)-T38)&gt;=4.2,4.2,(6.5*1.04)-T38)</f>
        <v>4.2</v>
      </c>
      <c r="S38" s="73">
        <f>IF(((6.5*1.04)-T38)&gt;=4.2,((6.5*1.04)-T38)-4.2,0)</f>
        <v>1.3189180799999995</v>
      </c>
      <c r="T38" s="73">
        <f t="shared" si="44"/>
        <v>1.2410819200000001</v>
      </c>
      <c r="U38" s="131">
        <v>0</v>
      </c>
      <c r="V38" s="47">
        <v>147</v>
      </c>
      <c r="W38" s="47">
        <v>73</v>
      </c>
      <c r="X38" s="47">
        <f>IF(B38="",0,M38-N38-O38-P38-Q38-R38-S38-T38-U38+V38+W38-MAX(AN38-AO38,0)-AZ38+AX38)</f>
        <v>444.82906393090036</v>
      </c>
      <c r="Y38" s="47">
        <f t="shared" si="16"/>
        <v>444.82906393090036</v>
      </c>
      <c r="Z38" s="616">
        <f t="shared" si="23"/>
        <v>10487.251620919866</v>
      </c>
      <c r="AA38" s="616">
        <f t="shared" si="32"/>
        <v>0</v>
      </c>
      <c r="AB38" s="616">
        <f t="shared" si="24"/>
        <v>43824.639936856896</v>
      </c>
      <c r="AC38" s="55">
        <f t="shared" si="25"/>
        <v>1604.6414439293203</v>
      </c>
      <c r="AD38" s="55">
        <f>AD37</f>
        <v>8754.9688212972815</v>
      </c>
      <c r="AE38" s="47">
        <v>219</v>
      </c>
      <c r="AF38" s="114">
        <v>1.7</v>
      </c>
      <c r="AG38" s="212">
        <v>1.3</v>
      </c>
      <c r="AH38" s="42">
        <v>50</v>
      </c>
      <c r="AI38" s="55">
        <f t="shared" si="42"/>
        <v>11586.511822044311</v>
      </c>
      <c r="AJ38" s="617"/>
      <c r="AK38" s="74">
        <f>N38+O38+P38+Q38+R38+S38+T38+U38+X38+AE38+AH38+AZ38-AX38</f>
        <v>801</v>
      </c>
      <c r="AL38" s="47">
        <f t="shared" si="4"/>
        <v>43.538946307033029</v>
      </c>
      <c r="AM38" s="47">
        <f t="shared" si="5"/>
        <v>844.53894630703303</v>
      </c>
      <c r="AN38" s="234"/>
      <c r="AO38" s="489"/>
      <c r="AP38" s="489"/>
      <c r="AQ38" s="45"/>
      <c r="AR38" s="43">
        <f t="shared" si="17"/>
        <v>204.00999999999993</v>
      </c>
      <c r="AS38" s="492">
        <v>0.36</v>
      </c>
      <c r="AT38" s="493">
        <f t="shared" si="18"/>
        <v>0.252</v>
      </c>
      <c r="AU38" s="494">
        <f>IF(AT38=0,0,VLOOKUP(ROUNDDOWN(TEXT(B38,"0000"),-1),VLOOKUP!$M$3:$W$32,RIGHT(TEXT(B38,"0000"),1)+2,FALSE))</f>
        <v>3717</v>
      </c>
      <c r="AV38" s="494">
        <f t="shared" si="28"/>
        <v>78.057000000000002</v>
      </c>
      <c r="AW38" s="610">
        <f>AV38*(IF(Z38&gt;JUN!$Z$44,JUN!$Z$44,MAY!Z38)*1.9835+AC38*1.9835)/E38</f>
        <v>13.928836913643767</v>
      </c>
      <c r="AX38" s="42"/>
      <c r="AY38" s="187"/>
      <c r="AZ38" s="46"/>
      <c r="BA38" s="30"/>
      <c r="BB38" s="102">
        <v>0</v>
      </c>
      <c r="BC38" s="45">
        <v>68</v>
      </c>
      <c r="BD38" s="45">
        <v>36</v>
      </c>
      <c r="BE38" s="407"/>
      <c r="BF38" s="385">
        <f t="shared" si="6"/>
        <v>10.520936069099619</v>
      </c>
      <c r="BG38" s="323">
        <v>1.33</v>
      </c>
      <c r="BH38" s="407">
        <v>18993</v>
      </c>
      <c r="BI38" s="296">
        <f t="shared" si="19"/>
        <v>0</v>
      </c>
      <c r="BJ38" s="591">
        <f t="shared" si="20"/>
        <v>0</v>
      </c>
      <c r="BL38" s="574">
        <f t="shared" si="21"/>
        <v>24</v>
      </c>
      <c r="BM38" s="559">
        <v>6900.49</v>
      </c>
      <c r="BN38" s="575">
        <f t="shared" si="7"/>
        <v>5.0000000000181899E-2</v>
      </c>
      <c r="BO38" s="576">
        <v>50.057291666666579</v>
      </c>
      <c r="BP38" s="576">
        <f t="shared" si="22"/>
        <v>-5.7291666666579033E-2</v>
      </c>
    </row>
    <row r="39" spans="1:68" ht="12.95" customHeight="1">
      <c r="A39" s="48">
        <f t="shared" si="8"/>
        <v>25</v>
      </c>
      <c r="B39" s="104">
        <v>6900.42</v>
      </c>
      <c r="C39" s="483">
        <f>IF(B39="",C38,VLOOKUP(TRUNC(B39,1),VLOOKUP!$A$3:$K$2834,RIGHT(TEXT(B39,"0000.00"),1)+2,FALSE))</f>
        <v>285135</v>
      </c>
      <c r="D39" s="45">
        <f t="shared" si="9"/>
        <v>-444</v>
      </c>
      <c r="E39" s="55">
        <f t="shared" si="0"/>
        <v>133135</v>
      </c>
      <c r="F39" s="47">
        <f t="shared" si="1"/>
        <v>-223.84673556843961</v>
      </c>
      <c r="G39" s="98">
        <v>598</v>
      </c>
      <c r="H39" s="42">
        <v>0</v>
      </c>
      <c r="I39" s="47">
        <f t="shared" si="10"/>
        <v>598</v>
      </c>
      <c r="J39" s="42">
        <f t="shared" si="11"/>
        <v>0</v>
      </c>
      <c r="K39" s="47">
        <f t="shared" si="12"/>
        <v>598</v>
      </c>
      <c r="L39" s="627">
        <f t="shared" si="13"/>
        <v>-15.846735568439613</v>
      </c>
      <c r="M39" s="114">
        <v>306</v>
      </c>
      <c r="N39" s="610">
        <v>0.5</v>
      </c>
      <c r="O39" s="47">
        <f>76*1.05</f>
        <v>79.8</v>
      </c>
      <c r="P39" s="39">
        <v>0</v>
      </c>
      <c r="Q39" s="144">
        <f>2322800/325851/1.9835*1.02</f>
        <v>3.6657321305253832</v>
      </c>
      <c r="R39" s="73">
        <f>IF(((5.6*1.04)-T39)&gt;=4.2,4.2,(5.6*1.04)-T39)</f>
        <v>4.2</v>
      </c>
      <c r="S39" s="73">
        <f>IF(((5.6*1.04)-T39)&gt;=4.2,((5.6*1.04)-T39)-4.2,0)</f>
        <v>0.38291807999999961</v>
      </c>
      <c r="T39" s="73">
        <f t="shared" si="44"/>
        <v>1.2410819200000001</v>
      </c>
      <c r="U39" s="131">
        <v>0</v>
      </c>
      <c r="V39" s="47">
        <v>145</v>
      </c>
      <c r="W39" s="47">
        <v>74</v>
      </c>
      <c r="X39" s="47">
        <f t="shared" si="15"/>
        <v>435.21026786947459</v>
      </c>
      <c r="Y39" s="47">
        <f t="shared" si="16"/>
        <v>435.21026786947459</v>
      </c>
      <c r="Z39" s="616">
        <f t="shared" si="23"/>
        <v>10640.475620919866</v>
      </c>
      <c r="AA39" s="616">
        <f t="shared" si="32"/>
        <v>0</v>
      </c>
      <c r="AB39" s="616">
        <f t="shared" si="24"/>
        <v>44991.799307175999</v>
      </c>
      <c r="AC39" s="55">
        <f t="shared" si="25"/>
        <v>1597.6190910613375</v>
      </c>
      <c r="AD39" s="55">
        <f t="shared" ref="AD39" si="46">AD38</f>
        <v>8754.9688212972815</v>
      </c>
      <c r="AE39" s="47">
        <v>231</v>
      </c>
      <c r="AF39" s="114">
        <v>1.7</v>
      </c>
      <c r="AG39" s="212">
        <v>1.3</v>
      </c>
      <c r="AH39" s="42">
        <v>50</v>
      </c>
      <c r="AI39" s="55">
        <f t="shared" si="42"/>
        <v>11536.511822044311</v>
      </c>
      <c r="AJ39" s="617"/>
      <c r="AK39" s="74">
        <f t="shared" ref="AK39:AK45" si="47">N39+O39+P39+Q39+R39+S39+T39+U39+X39+AE39+AH39+AZ39-AX39</f>
        <v>806</v>
      </c>
      <c r="AL39" s="47">
        <f t="shared" si="4"/>
        <v>15.846735568439613</v>
      </c>
      <c r="AM39" s="47">
        <f t="shared" si="5"/>
        <v>821.84673556843961</v>
      </c>
      <c r="AN39" s="234"/>
      <c r="AO39" s="489"/>
      <c r="AP39" s="489"/>
      <c r="AQ39" s="45"/>
      <c r="AR39" s="43">
        <f t="shared" si="17"/>
        <v>153.22399999999999</v>
      </c>
      <c r="AS39" s="492">
        <v>0.3</v>
      </c>
      <c r="AT39" s="493">
        <f t="shared" si="18"/>
        <v>0.21</v>
      </c>
      <c r="AU39" s="494">
        <f>IF(AT39=0,0,VLOOKUP(ROUNDDOWN(TEXT(B39,"0000"),-1),VLOOKUP!$M$3:$W$32,RIGHT(TEXT(B39,"0000"),1)+2,FALSE))</f>
        <v>3687</v>
      </c>
      <c r="AV39" s="494">
        <f t="shared" si="28"/>
        <v>64.522499999999994</v>
      </c>
      <c r="AW39" s="610">
        <f>AV39*(IF(Z39&gt;JUN!$Z$44,JUN!$Z$44,MAY!Z39)*1.9835+AC39*1.9835)/E39</f>
        <v>11.54532797550813</v>
      </c>
      <c r="AX39" s="42"/>
      <c r="AY39" s="187"/>
      <c r="AZ39" s="46"/>
      <c r="BA39" s="30"/>
      <c r="BB39" s="102">
        <v>0</v>
      </c>
      <c r="BC39" s="45">
        <v>73</v>
      </c>
      <c r="BD39" s="45">
        <v>33</v>
      </c>
      <c r="BE39" s="407"/>
      <c r="BF39" s="385">
        <f t="shared" si="6"/>
        <v>9.9897321305253826</v>
      </c>
      <c r="BG39" s="323">
        <v>1.59</v>
      </c>
      <c r="BH39" s="407">
        <v>19022</v>
      </c>
      <c r="BI39" s="296">
        <f t="shared" si="19"/>
        <v>0</v>
      </c>
      <c r="BJ39" s="591">
        <f t="shared" si="20"/>
        <v>0</v>
      </c>
      <c r="BL39" s="574">
        <f t="shared" si="21"/>
        <v>25</v>
      </c>
      <c r="BM39" s="559">
        <v>6900.36</v>
      </c>
      <c r="BN39" s="575">
        <f t="shared" si="7"/>
        <v>6.0000000000400178E-2</v>
      </c>
      <c r="BO39" s="576">
        <v>50.112499999999926</v>
      </c>
      <c r="BP39" s="576">
        <f t="shared" si="22"/>
        <v>-0.1124999999999261</v>
      </c>
    </row>
    <row r="40" spans="1:68" ht="12.95" customHeight="1">
      <c r="A40" s="48">
        <f t="shared" si="8"/>
        <v>26</v>
      </c>
      <c r="B40" s="104">
        <v>6900.28</v>
      </c>
      <c r="C40" s="483">
        <f>IF(B40="",C39,VLOOKUP(TRUNC(B40,1),VLOOKUP!$A$3:$K$2834,RIGHT(TEXT(B40,"0000.00"),1)+2,FALSE))</f>
        <v>284616</v>
      </c>
      <c r="D40" s="45">
        <f t="shared" si="9"/>
        <v>-519</v>
      </c>
      <c r="E40" s="55">
        <f t="shared" si="0"/>
        <v>132616</v>
      </c>
      <c r="F40" s="47">
        <f t="shared" si="1"/>
        <v>-261.65868414418958</v>
      </c>
      <c r="G40" s="98">
        <v>565</v>
      </c>
      <c r="H40" s="42">
        <v>0</v>
      </c>
      <c r="I40" s="47">
        <f t="shared" si="10"/>
        <v>565</v>
      </c>
      <c r="J40" s="42">
        <f t="shared" si="11"/>
        <v>0</v>
      </c>
      <c r="K40" s="47">
        <f t="shared" si="12"/>
        <v>565</v>
      </c>
      <c r="L40" s="627">
        <f t="shared" si="13"/>
        <v>-0.65868414418957855</v>
      </c>
      <c r="M40" s="114">
        <v>282</v>
      </c>
      <c r="N40" s="610">
        <v>0.5</v>
      </c>
      <c r="O40" s="47">
        <f>57*1.05</f>
        <v>59.85</v>
      </c>
      <c r="P40" s="39">
        <v>0</v>
      </c>
      <c r="Q40" s="144">
        <f>2091300/325851/1.9835*1.02</f>
        <v>3.3003898762561277</v>
      </c>
      <c r="R40" s="73">
        <f>IF(((5.5*1.04)-T40)&gt;=4.2,4.2,(5.5*1.04)-T40)</f>
        <v>4.2</v>
      </c>
      <c r="S40" s="73">
        <f>IF(((5.5*1.04)-T40)&gt;=4.2,((5.5*1.04)-T40)-4.2,0)</f>
        <v>0.2789180800000004</v>
      </c>
      <c r="T40" s="73">
        <f t="shared" si="44"/>
        <v>1.2410819200000001</v>
      </c>
      <c r="U40" s="131">
        <v>0</v>
      </c>
      <c r="V40" s="47">
        <v>145</v>
      </c>
      <c r="W40" s="47">
        <v>74</v>
      </c>
      <c r="X40" s="47">
        <f t="shared" si="15"/>
        <v>431.62961012374387</v>
      </c>
      <c r="Y40" s="47">
        <f t="shared" si="16"/>
        <v>431.62961012374387</v>
      </c>
      <c r="Z40" s="616">
        <f t="shared" si="23"/>
        <v>10764.645620919866</v>
      </c>
      <c r="AA40" s="616">
        <f t="shared" ref="AA40:AA44" si="48">MAX(0,IF((IF(I40&gt;=(795+Q40+R40+AF40),795-X40,I40-Q40-R40-X40-AF40))&lt;=AJ40,(IF(I40&gt;=(795+Q40+R40+AF40),AJ40-(795-X40),I40-Q40-R40-X40-AF40)),AJ40))</f>
        <v>0</v>
      </c>
      <c r="AB40" s="616">
        <f t="shared" si="24"/>
        <v>46094.227833856443</v>
      </c>
      <c r="AC40" s="55">
        <f t="shared" si="25"/>
        <v>1591.7984064253365</v>
      </c>
      <c r="AD40" s="55">
        <f t="shared" ref="AD40" si="49">AD39</f>
        <v>8754.9688212972815</v>
      </c>
      <c r="AE40" s="47">
        <v>275</v>
      </c>
      <c r="AF40" s="114">
        <v>1.7</v>
      </c>
      <c r="AG40" s="212">
        <v>1.3</v>
      </c>
      <c r="AH40" s="42">
        <v>50</v>
      </c>
      <c r="AI40" s="55">
        <f t="shared" si="42"/>
        <v>11486.511822044311</v>
      </c>
      <c r="AJ40" s="617"/>
      <c r="AK40" s="74">
        <f t="shared" si="47"/>
        <v>826</v>
      </c>
      <c r="AL40" s="47">
        <f t="shared" si="4"/>
        <v>0.65868414418957855</v>
      </c>
      <c r="AM40" s="47">
        <f t="shared" si="5"/>
        <v>826.65868414418958</v>
      </c>
      <c r="AN40" s="234"/>
      <c r="AO40" s="489"/>
      <c r="AP40" s="489"/>
      <c r="AQ40" s="45"/>
      <c r="AR40" s="43">
        <f t="shared" si="17"/>
        <v>124.17</v>
      </c>
      <c r="AS40" s="492">
        <v>0.31</v>
      </c>
      <c r="AT40" s="493">
        <f t="shared" si="18"/>
        <v>0.217</v>
      </c>
      <c r="AU40" s="494">
        <f>IF(AT40=0,0,VLOOKUP(ROUNDDOWN(TEXT(B40,"0000"),-1),VLOOKUP!$M$3:$W$32,RIGHT(TEXT(B40,"0000"),1)+2,FALSE))</f>
        <v>3687</v>
      </c>
      <c r="AV40" s="494">
        <f t="shared" si="28"/>
        <v>66.673249999999996</v>
      </c>
      <c r="AW40" s="610">
        <f>AV40*(IF(Z40&gt;JUN!$Z$44,JUN!$Z$44,MAY!Z40)*1.9835+AC40*1.9835)/E40</f>
        <v>11.971057163651503</v>
      </c>
      <c r="AX40" s="42"/>
      <c r="AY40" s="187"/>
      <c r="AZ40" s="46"/>
      <c r="BA40" s="30"/>
      <c r="BB40" s="615">
        <v>0</v>
      </c>
      <c r="BC40" s="45">
        <v>74</v>
      </c>
      <c r="BD40" s="45">
        <v>41</v>
      </c>
      <c r="BE40" s="407"/>
      <c r="BF40" s="385">
        <f t="shared" si="6"/>
        <v>9.5203898762561288</v>
      </c>
      <c r="BG40" s="323">
        <v>1.81</v>
      </c>
      <c r="BH40" s="407">
        <v>19042</v>
      </c>
      <c r="BI40" s="296">
        <f t="shared" si="19"/>
        <v>0</v>
      </c>
      <c r="BJ40" s="591">
        <f t="shared" si="20"/>
        <v>0</v>
      </c>
      <c r="BL40" s="574">
        <f t="shared" si="21"/>
        <v>26</v>
      </c>
      <c r="BM40" s="559">
        <v>6900.2</v>
      </c>
      <c r="BN40" s="575">
        <f t="shared" si="7"/>
        <v>7.999999999992724E-2</v>
      </c>
      <c r="BO40" s="576">
        <v>50.0885416666666</v>
      </c>
      <c r="BP40" s="576">
        <f t="shared" si="22"/>
        <v>-8.8541666666600349E-2</v>
      </c>
    </row>
    <row r="41" spans="1:68" ht="12.95" customHeight="1">
      <c r="A41" s="48">
        <f t="shared" si="8"/>
        <v>27</v>
      </c>
      <c r="B41" s="104">
        <v>6900.13</v>
      </c>
      <c r="C41" s="483">
        <f>IF(B41="",C40,VLOOKUP(TRUNC(B41,1),VLOOKUP!$A$3:$K$2834,RIGHT(TEXT(B41,"0000.00"),1)+2,FALSE))</f>
        <v>284061</v>
      </c>
      <c r="D41" s="45">
        <f t="shared" si="9"/>
        <v>-555</v>
      </c>
      <c r="E41" s="55">
        <f t="shared" si="0"/>
        <v>132061</v>
      </c>
      <c r="F41" s="47">
        <f t="shared" si="1"/>
        <v>-279.80841946054954</v>
      </c>
      <c r="G41" s="98">
        <v>587</v>
      </c>
      <c r="H41" s="42">
        <v>0</v>
      </c>
      <c r="I41" s="47">
        <f t="shared" si="10"/>
        <v>587</v>
      </c>
      <c r="J41" s="42">
        <f t="shared" si="11"/>
        <v>0</v>
      </c>
      <c r="K41" s="47">
        <f t="shared" si="12"/>
        <v>587</v>
      </c>
      <c r="L41" s="627">
        <f t="shared" si="13"/>
        <v>-42.808419460549544</v>
      </c>
      <c r="M41" s="114">
        <v>287</v>
      </c>
      <c r="N41" s="610">
        <v>0.5</v>
      </c>
      <c r="O41" s="47">
        <f>60*1.05</f>
        <v>63</v>
      </c>
      <c r="P41" s="39">
        <v>0</v>
      </c>
      <c r="Q41" s="144">
        <f>2251200/325851/1.9835*1.02</f>
        <v>3.552736426829147</v>
      </c>
      <c r="R41" s="73">
        <f>IF(((5.5*1.04)-T41)&gt;=4.2,4.2,(5.5*1.04)-T41)</f>
        <v>4.2</v>
      </c>
      <c r="S41" s="73">
        <f>IF(((5.5*1.04)-T41)&gt;=4.2,((5.5*1.04)-T41)-4.2,0)</f>
        <v>0.2789180800000004</v>
      </c>
      <c r="T41" s="73">
        <f t="shared" si="44"/>
        <v>1.2410819200000001</v>
      </c>
      <c r="U41" s="131">
        <v>0</v>
      </c>
      <c r="V41" s="47">
        <v>149</v>
      </c>
      <c r="W41" s="47">
        <v>75</v>
      </c>
      <c r="X41" s="47">
        <f t="shared" si="15"/>
        <v>438.22726357317083</v>
      </c>
      <c r="Y41" s="47">
        <f t="shared" si="16"/>
        <v>438.22726357317083</v>
      </c>
      <c r="Z41" s="616">
        <f t="shared" si="23"/>
        <v>10903.965620919866</v>
      </c>
      <c r="AA41" s="616">
        <f t="shared" si="48"/>
        <v>0</v>
      </c>
      <c r="AB41" s="616">
        <f t="shared" si="24"/>
        <v>47239.792831153827</v>
      </c>
      <c r="AC41" s="55">
        <f t="shared" si="25"/>
        <v>1585.763086453745</v>
      </c>
      <c r="AD41" s="55">
        <f t="shared" ref="AD41" si="50">AD40</f>
        <v>8754.9688212972815</v>
      </c>
      <c r="AE41" s="47">
        <v>263</v>
      </c>
      <c r="AF41" s="114">
        <v>1.7</v>
      </c>
      <c r="AG41" s="212">
        <v>1.3</v>
      </c>
      <c r="AH41" s="42">
        <v>50</v>
      </c>
      <c r="AI41" s="55">
        <f t="shared" si="42"/>
        <v>11436.511822044311</v>
      </c>
      <c r="AJ41" s="617"/>
      <c r="AK41" s="74">
        <f t="shared" si="47"/>
        <v>824</v>
      </c>
      <c r="AL41" s="47">
        <f t="shared" si="4"/>
        <v>42.808419460549544</v>
      </c>
      <c r="AM41" s="47">
        <f t="shared" si="5"/>
        <v>866.80841946054954</v>
      </c>
      <c r="AN41" s="234"/>
      <c r="AO41" s="489"/>
      <c r="AP41" s="489"/>
      <c r="AQ41" s="45"/>
      <c r="AR41" s="43">
        <f>IF(G41="",0,IF(I41&gt;=(795+Q41+R41+AF41),795-X41,I41-Q41-R41-X41-AF41)-AJ41)</f>
        <v>139.32</v>
      </c>
      <c r="AS41" s="492">
        <v>0.41</v>
      </c>
      <c r="AT41" s="493">
        <f t="shared" si="18"/>
        <v>0.28699999999999998</v>
      </c>
      <c r="AU41" s="494">
        <f>IF(AT41=0,0,VLOOKUP(ROUNDDOWN(TEXT(B41,"0000"),-1),VLOOKUP!$M$3:$W$32,RIGHT(TEXT(B41,"0000"),1)+2,FALSE))</f>
        <v>3687</v>
      </c>
      <c r="AV41" s="494">
        <f t="shared" si="28"/>
        <v>88.180750000000003</v>
      </c>
      <c r="AW41" s="610">
        <f>AV41*(IF(Z41&gt;JUN!$Z$44,JUN!$Z$44,MAY!Z41)*1.9835+AC41*1.9835)/E41</f>
        <v>15.891233613361623</v>
      </c>
      <c r="AX41" s="42"/>
      <c r="AY41" s="187"/>
      <c r="AZ41" s="46"/>
      <c r="BA41" s="30"/>
      <c r="BB41" s="615">
        <v>0</v>
      </c>
      <c r="BC41" s="45">
        <v>87</v>
      </c>
      <c r="BD41" s="45">
        <v>50</v>
      </c>
      <c r="BE41" s="407"/>
      <c r="BF41" s="385">
        <f t="shared" si="6"/>
        <v>9.7727364268291481</v>
      </c>
      <c r="BG41" s="323">
        <v>1.96</v>
      </c>
      <c r="BH41" s="407">
        <v>19073</v>
      </c>
      <c r="BI41" s="296">
        <f t="shared" si="19"/>
        <v>0</v>
      </c>
      <c r="BJ41" s="591">
        <f t="shared" si="20"/>
        <v>0</v>
      </c>
      <c r="BL41" s="574">
        <f t="shared" si="21"/>
        <v>27</v>
      </c>
      <c r="BM41" s="559">
        <v>6900.06</v>
      </c>
      <c r="BN41" s="575">
        <f t="shared" si="7"/>
        <v>6.9999999999708962E-2</v>
      </c>
      <c r="BO41" s="576">
        <v>49.640206185566967</v>
      </c>
      <c r="BP41" s="576">
        <f t="shared" si="22"/>
        <v>0.35979381443303282</v>
      </c>
    </row>
    <row r="42" spans="1:68" ht="12.95" customHeight="1">
      <c r="A42" s="48">
        <v>28</v>
      </c>
      <c r="B42" s="104">
        <v>6900.04</v>
      </c>
      <c r="C42" s="483">
        <f>IF(B42="",C41,VLOOKUP(TRUNC(B42,1),VLOOKUP!$A$3:$K$2834,RIGHT(TEXT(B42,"0000.00"),1)+2,FALSE))</f>
        <v>283728</v>
      </c>
      <c r="D42" s="45">
        <f t="shared" si="9"/>
        <v>-333</v>
      </c>
      <c r="E42" s="55">
        <f t="shared" si="0"/>
        <v>131728</v>
      </c>
      <c r="F42" s="47">
        <f t="shared" si="1"/>
        <v>-167.88505167632971</v>
      </c>
      <c r="G42" s="98">
        <v>653</v>
      </c>
      <c r="H42" s="42">
        <v>0</v>
      </c>
      <c r="I42" s="47">
        <f t="shared" si="10"/>
        <v>653</v>
      </c>
      <c r="J42" s="42">
        <f>IF(L42&gt;0,L42,0)</f>
        <v>14.114948323670291</v>
      </c>
      <c r="K42" s="47">
        <f>I42+J42</f>
        <v>667.11494832367032</v>
      </c>
      <c r="L42" s="627">
        <f t="shared" si="13"/>
        <v>14.114948323670291</v>
      </c>
      <c r="M42" s="114">
        <v>308</v>
      </c>
      <c r="N42" s="610">
        <v>0.5</v>
      </c>
      <c r="O42" s="47">
        <f>74*1.05</f>
        <v>77.7</v>
      </c>
      <c r="P42" s="39">
        <v>0</v>
      </c>
      <c r="Q42" s="144">
        <f>1712500/325851/1.9835*1.02</f>
        <v>2.7025857902207329</v>
      </c>
      <c r="R42" s="73">
        <f>IF(((7.4*1.04)-T42)&gt;=4.2,4.2,(7.4*1.04)-T42)</f>
        <v>4.2</v>
      </c>
      <c r="S42" s="73">
        <f>IF(((7.4*1.04)-T42)&gt;=4.2,((7.4*1.04)-T42)-4.2,0)</f>
        <v>2.2549180800000004</v>
      </c>
      <c r="T42" s="73">
        <f t="shared" si="44"/>
        <v>1.2410819200000001</v>
      </c>
      <c r="U42" s="131">
        <v>0</v>
      </c>
      <c r="V42" s="47">
        <v>154</v>
      </c>
      <c r="W42" s="47">
        <v>75</v>
      </c>
      <c r="X42" s="47">
        <f t="shared" si="15"/>
        <v>448.40141420977932</v>
      </c>
      <c r="Y42" s="47">
        <f t="shared" si="16"/>
        <v>448.40141420977932</v>
      </c>
      <c r="Z42" s="616">
        <f t="shared" si="23"/>
        <v>11099.961620919865</v>
      </c>
      <c r="AA42" s="616">
        <f t="shared" si="48"/>
        <v>0</v>
      </c>
      <c r="AB42" s="616">
        <f t="shared" si="24"/>
        <v>48517.955102238928</v>
      </c>
      <c r="AC42" s="55">
        <f t="shared" si="25"/>
        <v>1577.751373011163</v>
      </c>
      <c r="AD42" s="55">
        <f t="shared" ref="AD42" si="51">AD41</f>
        <v>8754.9688212972815</v>
      </c>
      <c r="AE42" s="47">
        <v>247</v>
      </c>
      <c r="AF42" s="114">
        <v>1.7</v>
      </c>
      <c r="AG42" s="212">
        <v>1.3</v>
      </c>
      <c r="AH42" s="42">
        <v>51</v>
      </c>
      <c r="AI42" s="55">
        <f t="shared" si="42"/>
        <v>11385.511822044311</v>
      </c>
      <c r="AJ42" s="617"/>
      <c r="AK42" s="74">
        <f t="shared" si="47"/>
        <v>835</v>
      </c>
      <c r="AL42" s="47">
        <f t="shared" si="4"/>
        <v>0</v>
      </c>
      <c r="AM42" s="47">
        <f t="shared" si="5"/>
        <v>835</v>
      </c>
      <c r="AN42" s="234"/>
      <c r="AO42" s="489"/>
      <c r="AP42" s="489"/>
      <c r="AQ42" s="45"/>
      <c r="AR42" s="43">
        <f t="shared" si="17"/>
        <v>195.99599999999992</v>
      </c>
      <c r="AS42" s="492">
        <v>0.41</v>
      </c>
      <c r="AT42" s="493">
        <f t="shared" si="18"/>
        <v>0.28699999999999998</v>
      </c>
      <c r="AU42" s="494">
        <f>IF(AT42=0,0,VLOOKUP(ROUNDDOWN(TEXT(B42,"0000"),-1),VLOOKUP!$M$3:$W$32,RIGHT(TEXT(B42,"0000"),1)+2,FALSE))</f>
        <v>3687</v>
      </c>
      <c r="AV42" s="494">
        <f t="shared" si="28"/>
        <v>88.180750000000003</v>
      </c>
      <c r="AW42" s="610">
        <f>AV42*(IF(Z42&gt;JUN!$Z$44,JUN!$Z$44,MAY!Z42)*1.9835+AC42*1.9835)/E42</f>
        <v>15.920767804230671</v>
      </c>
      <c r="AX42" s="42"/>
      <c r="AY42" s="187"/>
      <c r="AZ42" s="46"/>
      <c r="BA42" s="30"/>
      <c r="BB42" s="102">
        <v>0</v>
      </c>
      <c r="BC42" s="45">
        <v>90</v>
      </c>
      <c r="BD42" s="45">
        <v>51</v>
      </c>
      <c r="BE42" s="407"/>
      <c r="BF42" s="385">
        <f t="shared" si="6"/>
        <v>10.898585790220732</v>
      </c>
      <c r="BG42" s="323">
        <v>1.39</v>
      </c>
      <c r="BH42" s="407">
        <v>19104</v>
      </c>
      <c r="BI42" s="296">
        <f t="shared" si="19"/>
        <v>0</v>
      </c>
      <c r="BJ42" s="591">
        <f t="shared" si="20"/>
        <v>0</v>
      </c>
      <c r="BL42" s="574">
        <f t="shared" si="21"/>
        <v>28</v>
      </c>
      <c r="BM42" s="559">
        <v>6899.94</v>
      </c>
      <c r="BN42" s="575">
        <f t="shared" si="7"/>
        <v>0.1000000000003638</v>
      </c>
      <c r="BO42" s="576">
        <v>46.404166666666697</v>
      </c>
      <c r="BP42" s="576">
        <f t="shared" si="22"/>
        <v>4.595833333333303</v>
      </c>
    </row>
    <row r="43" spans="1:68" ht="12.95" customHeight="1">
      <c r="A43" s="48">
        <v>29</v>
      </c>
      <c r="B43" s="104">
        <v>6899.95</v>
      </c>
      <c r="C43" s="483">
        <f>IF(B43="",C42,VLOOKUP(TRUNC(B43,1),VLOOKUP!$A$3:$K$2834,RIGHT(TEXT(B43,"0000.00"),1)+2,FALSE))</f>
        <v>283396</v>
      </c>
      <c r="D43" s="45">
        <f t="shared" si="9"/>
        <v>-332</v>
      </c>
      <c r="E43" s="55">
        <f t="shared" si="0"/>
        <v>131396</v>
      </c>
      <c r="F43" s="47">
        <f t="shared" si="1"/>
        <v>-167.38089236198638</v>
      </c>
      <c r="G43" s="98">
        <v>703</v>
      </c>
      <c r="H43" s="42">
        <v>0</v>
      </c>
      <c r="I43" s="47">
        <f t="shared" si="10"/>
        <v>703</v>
      </c>
      <c r="J43" s="42">
        <f t="shared" si="11"/>
        <v>0</v>
      </c>
      <c r="K43" s="47">
        <f t="shared" si="12"/>
        <v>703</v>
      </c>
      <c r="L43" s="627">
        <f t="shared" si="13"/>
        <v>-32.380892361986383</v>
      </c>
      <c r="M43" s="114">
        <v>298</v>
      </c>
      <c r="N43" s="610">
        <v>0.5</v>
      </c>
      <c r="O43" s="47">
        <f>68*1.05</f>
        <v>71.400000000000006</v>
      </c>
      <c r="P43" s="39">
        <v>0</v>
      </c>
      <c r="Q43" s="144">
        <f>2596000/325851/1.9835*1.02</f>
        <v>4.0968833351316922</v>
      </c>
      <c r="R43" s="73">
        <f>IF(((7.7*1.04)-T43)&gt;=4.2,4.2,(7.7*1.04)-T43)</f>
        <v>4.2</v>
      </c>
      <c r="S43" s="73">
        <f>IF(((7.7*1.04)-T43)&gt;=4.2,((7.7*1.04)-T43)-4.2,0)</f>
        <v>2.3857937600000003</v>
      </c>
      <c r="T43" s="73">
        <f>(1.2901*1.06)*1.04</f>
        <v>1.4222062400000002</v>
      </c>
      <c r="U43" s="131">
        <v>0</v>
      </c>
      <c r="V43" s="47">
        <v>158</v>
      </c>
      <c r="W43" s="47">
        <v>75</v>
      </c>
      <c r="X43" s="47">
        <f t="shared" si="15"/>
        <v>446.99511666486831</v>
      </c>
      <c r="Y43" s="47">
        <f t="shared" si="16"/>
        <v>446.99511666486831</v>
      </c>
      <c r="Z43" s="616">
        <f t="shared" si="23"/>
        <v>11345.969620919865</v>
      </c>
      <c r="AA43" s="616">
        <f t="shared" si="48"/>
        <v>0</v>
      </c>
      <c r="AB43" s="616">
        <f t="shared" si="24"/>
        <v>49892.526784143694</v>
      </c>
      <c r="AC43" s="55">
        <f t="shared" si="25"/>
        <v>1569.7247696311626</v>
      </c>
      <c r="AD43" s="55">
        <f t="shared" ref="AD43" si="52">AD42</f>
        <v>8754.9688212972815</v>
      </c>
      <c r="AE43" s="47">
        <v>256</v>
      </c>
      <c r="AF43" s="114">
        <v>1.7</v>
      </c>
      <c r="AG43" s="212">
        <v>1.3</v>
      </c>
      <c r="AH43" s="42">
        <v>51</v>
      </c>
      <c r="AI43" s="55">
        <f t="shared" si="42"/>
        <v>11334.511822044311</v>
      </c>
      <c r="AJ43" s="617"/>
      <c r="AK43" s="74">
        <f t="shared" si="47"/>
        <v>838</v>
      </c>
      <c r="AL43" s="47">
        <f t="shared" si="4"/>
        <v>32.380892361986383</v>
      </c>
      <c r="AM43" s="47">
        <f t="shared" si="5"/>
        <v>870.38089236198641</v>
      </c>
      <c r="AN43" s="234"/>
      <c r="AO43" s="489"/>
      <c r="AP43" s="489"/>
      <c r="AQ43" s="45"/>
      <c r="AR43" s="43">
        <f t="shared" si="17"/>
        <v>246.00799999999998</v>
      </c>
      <c r="AS43" s="492">
        <v>0.37</v>
      </c>
      <c r="AT43" s="493">
        <f t="shared" si="18"/>
        <v>0.25900000000000001</v>
      </c>
      <c r="AU43" s="494">
        <f>IF(AT43=0,0,VLOOKUP(ROUNDDOWN(TEXT(B43,"0000"),-1),VLOOKUP!$M$3:$W$32,RIGHT(TEXT(B43,"0000"),1)+2,FALSE))</f>
        <v>3687</v>
      </c>
      <c r="AV43" s="494">
        <f t="shared" si="28"/>
        <v>79.577749999999995</v>
      </c>
      <c r="AW43" s="610">
        <f>AV43*(IF(Z43&gt;JUN!$Z$44,JUN!$Z$44,MAY!Z43)*1.9835+AC43*1.9835)/E43</f>
        <v>14.394182629941469</v>
      </c>
      <c r="AX43" s="42"/>
      <c r="AY43" s="187"/>
      <c r="AZ43" s="46"/>
      <c r="BA43" s="30"/>
      <c r="BB43" s="102">
        <v>0</v>
      </c>
      <c r="BC43" s="45">
        <v>90</v>
      </c>
      <c r="BD43" s="45">
        <v>53</v>
      </c>
      <c r="BE43" s="407"/>
      <c r="BF43" s="385">
        <f t="shared" si="6"/>
        <v>12.604883335131692</v>
      </c>
      <c r="BG43" s="323">
        <v>1.56</v>
      </c>
      <c r="BH43" s="407">
        <v>19125</v>
      </c>
      <c r="BI43" s="296">
        <f t="shared" ref="BI43:BI45" si="53">IF(G43="",0,IF(I43&lt;(795+Q43+R43+AF43+AG43),0,I43-(795+Q43+R43+AF43+AG43)))</f>
        <v>0</v>
      </c>
      <c r="BJ43" s="591">
        <f t="shared" si="20"/>
        <v>0</v>
      </c>
      <c r="BL43" s="574">
        <f t="shared" si="21"/>
        <v>29</v>
      </c>
      <c r="BM43" s="559">
        <v>6899.85</v>
      </c>
      <c r="BN43" s="575">
        <f t="shared" si="7"/>
        <v>9.9999999999454303E-2</v>
      </c>
      <c r="BO43" s="576">
        <v>50.612500000000004</v>
      </c>
      <c r="BP43" s="576">
        <f t="shared" si="22"/>
        <v>0.38749999999999574</v>
      </c>
    </row>
    <row r="44" spans="1:68" ht="12.95" customHeight="1">
      <c r="A44" s="48">
        <v>30</v>
      </c>
      <c r="B44" s="104">
        <v>6899.89</v>
      </c>
      <c r="C44" s="483">
        <f>IF(B44="",C43,VLOOKUP(TRUNC(B44,1),VLOOKUP!$A$3:$K$2834,RIGHT(TEXT(B44,"0000.00"),1)+2,FALSE))</f>
        <v>283176</v>
      </c>
      <c r="D44" s="45">
        <f t="shared" si="9"/>
        <v>-220</v>
      </c>
      <c r="E44" s="55">
        <f t="shared" si="0"/>
        <v>131176</v>
      </c>
      <c r="F44" s="47">
        <f t="shared" si="1"/>
        <v>-110.91504915553314</v>
      </c>
      <c r="G44" s="98">
        <v>741</v>
      </c>
      <c r="H44" s="42">
        <v>0</v>
      </c>
      <c r="I44" s="47">
        <f t="shared" si="10"/>
        <v>741</v>
      </c>
      <c r="J44" s="42">
        <f t="shared" si="11"/>
        <v>0</v>
      </c>
      <c r="K44" s="47">
        <f t="shared" si="12"/>
        <v>741</v>
      </c>
      <c r="L44" s="627">
        <f t="shared" si="13"/>
        <v>-33.91504915553314</v>
      </c>
      <c r="M44" s="114">
        <v>294</v>
      </c>
      <c r="N44" s="610">
        <v>0.5</v>
      </c>
      <c r="O44" s="47">
        <f>67*1.05</f>
        <v>70.350000000000009</v>
      </c>
      <c r="P44" s="39">
        <v>0</v>
      </c>
      <c r="Q44" s="144">
        <f>2271200/325851/1.9835*1.02</f>
        <v>3.5842994725543522</v>
      </c>
      <c r="R44" s="73">
        <f>IF(((7.6*1.04)-T44)&gt;=4.2,4.2,(7.6*1.04)-T44)</f>
        <v>4.2</v>
      </c>
      <c r="S44" s="73">
        <f>IF(((7.6*1.04)-T44)&gt;=4.2,((7.6*1.04)-T44)-4.2,0)</f>
        <v>2.2817937599999993</v>
      </c>
      <c r="T44" s="73">
        <f t="shared" ref="T44:T45" si="54">(1.2901*1.06)*1.04</f>
        <v>1.4222062400000002</v>
      </c>
      <c r="U44" s="131">
        <v>0</v>
      </c>
      <c r="V44" s="47">
        <v>160</v>
      </c>
      <c r="W44" s="47">
        <v>75</v>
      </c>
      <c r="X44" s="47">
        <f t="shared" si="15"/>
        <v>446.66170052744565</v>
      </c>
      <c r="Y44" s="47">
        <f t="shared" si="16"/>
        <v>446.66170052744565</v>
      </c>
      <c r="Z44" s="616">
        <f t="shared" si="23"/>
        <v>11630.823620919864</v>
      </c>
      <c r="AA44" s="616">
        <f t="shared" si="48"/>
        <v>0</v>
      </c>
      <c r="AB44" s="616">
        <f t="shared" si="24"/>
        <v>51343.488176139886</v>
      </c>
      <c r="AC44" s="55">
        <f t="shared" si="25"/>
        <v>1562.4678083859187</v>
      </c>
      <c r="AD44" s="55">
        <f t="shared" ref="AD44" si="55">AD43</f>
        <v>8754.9688212972815</v>
      </c>
      <c r="AE44" s="47">
        <v>238</v>
      </c>
      <c r="AF44" s="114">
        <v>1.7</v>
      </c>
      <c r="AG44" s="212">
        <v>1.3</v>
      </c>
      <c r="AH44" s="42">
        <v>51</v>
      </c>
      <c r="AI44" s="55">
        <f t="shared" si="42"/>
        <v>11283.511822044311</v>
      </c>
      <c r="AJ44" s="617"/>
      <c r="AK44" s="74">
        <f t="shared" si="47"/>
        <v>818</v>
      </c>
      <c r="AL44" s="47">
        <f t="shared" si="4"/>
        <v>33.91504915553314</v>
      </c>
      <c r="AM44" s="47">
        <f t="shared" si="5"/>
        <v>851.9150491555331</v>
      </c>
      <c r="AN44" s="234"/>
      <c r="AO44" s="489"/>
      <c r="AP44" s="489"/>
      <c r="AQ44" s="45"/>
      <c r="AR44" s="43">
        <f t="shared" si="17"/>
        <v>284.85399999999998</v>
      </c>
      <c r="AS44" s="492">
        <v>0.36</v>
      </c>
      <c r="AT44" s="493">
        <f t="shared" si="18"/>
        <v>0.252</v>
      </c>
      <c r="AU44" s="494">
        <f>IF(AT44=0,0,VLOOKUP(ROUNDDOWN(TEXT(B44,"0000"),-1),VLOOKUP!$M$3:$W$32,RIGHT(TEXT(B44,"0000"),1)+2,FALSE))</f>
        <v>3687</v>
      </c>
      <c r="AV44" s="494">
        <f t="shared" si="28"/>
        <v>77.427000000000007</v>
      </c>
      <c r="AW44" s="610">
        <f>AV44*(IF(Z44&gt;JUN!$Z$44,JUN!$Z$44,MAY!Z44)*1.9835+AC44*1.9835)/E44</f>
        <v>14.020143003740868</v>
      </c>
      <c r="AX44" s="42"/>
      <c r="AY44" s="187"/>
      <c r="AZ44" s="46"/>
      <c r="BA44" s="30"/>
      <c r="BB44" s="102">
        <v>0</v>
      </c>
      <c r="BC44" s="45">
        <v>89</v>
      </c>
      <c r="BD44" s="45">
        <v>59</v>
      </c>
      <c r="BE44" s="407"/>
      <c r="BF44" s="385">
        <f t="shared" si="6"/>
        <v>11.988299472554351</v>
      </c>
      <c r="BG44" s="323">
        <v>1.1499999999999999</v>
      </c>
      <c r="BH44" s="407">
        <v>19160</v>
      </c>
      <c r="BI44" s="296">
        <f t="shared" si="53"/>
        <v>0</v>
      </c>
      <c r="BJ44" s="591">
        <f t="shared" si="20"/>
        <v>0</v>
      </c>
      <c r="BL44" s="574">
        <f t="shared" si="21"/>
        <v>30</v>
      </c>
      <c r="BM44" s="559">
        <v>6899.81</v>
      </c>
      <c r="BN44" s="575">
        <f t="shared" si="7"/>
        <v>7.999999999992724E-2</v>
      </c>
      <c r="BO44" s="576">
        <v>50.48125000000001</v>
      </c>
      <c r="BP44" s="576">
        <f t="shared" si="22"/>
        <v>0.51874999999999005</v>
      </c>
    </row>
    <row r="45" spans="1:68" ht="12.95" customHeight="1">
      <c r="A45" s="48">
        <v>31</v>
      </c>
      <c r="B45" s="104">
        <v>6899.92</v>
      </c>
      <c r="C45" s="483">
        <f>IF(B45="",C44,VLOOKUP(TRUNC(B45,1),VLOOKUP!$A$3:$K$2834,RIGHT(TEXT(B45,"0000.00"),1)+2,FALSE))</f>
        <v>283286</v>
      </c>
      <c r="D45" s="45">
        <f t="shared" si="9"/>
        <v>110</v>
      </c>
      <c r="E45" s="55">
        <f t="shared" si="0"/>
        <v>131286</v>
      </c>
      <c r="F45" s="47">
        <f t="shared" si="1"/>
        <v>55.45752457776657</v>
      </c>
      <c r="G45" s="98">
        <v>903</v>
      </c>
      <c r="H45" s="42">
        <v>0</v>
      </c>
      <c r="I45" s="47">
        <f t="shared" si="10"/>
        <v>903</v>
      </c>
      <c r="J45" s="42">
        <f t="shared" si="11"/>
        <v>0</v>
      </c>
      <c r="K45" s="47">
        <f t="shared" si="12"/>
        <v>903</v>
      </c>
      <c r="L45" s="627">
        <f t="shared" si="13"/>
        <v>-48.54247542223343</v>
      </c>
      <c r="M45" s="114">
        <v>310</v>
      </c>
      <c r="N45" s="610">
        <v>0.5</v>
      </c>
      <c r="O45" s="47">
        <f>86*1.05</f>
        <v>90.3</v>
      </c>
      <c r="P45" s="39">
        <v>0</v>
      </c>
      <c r="Q45" s="144">
        <f>2032100/325851/1.9835*1.02</f>
        <v>3.2069632609095193</v>
      </c>
      <c r="R45" s="73">
        <f>IF(((6.5*1.04)-T45)&gt;=4.2,4.2,(6.5*1.04)-T45)</f>
        <v>4.2</v>
      </c>
      <c r="S45" s="73">
        <f>IF(((6.5*1.04)-T45)&gt;=4.2,((6.5*1.04)-T45)-4.2,0)</f>
        <v>1.1377937599999992</v>
      </c>
      <c r="T45" s="73">
        <f t="shared" si="54"/>
        <v>1.4222062400000002</v>
      </c>
      <c r="U45" s="131">
        <v>0</v>
      </c>
      <c r="V45" s="47">
        <v>160</v>
      </c>
      <c r="W45" s="47">
        <v>75</v>
      </c>
      <c r="X45" s="47">
        <f t="shared" si="15"/>
        <v>444.23303673909049</v>
      </c>
      <c r="Y45" s="47">
        <f t="shared" si="16"/>
        <v>444.23303673909049</v>
      </c>
      <c r="Z45" s="616">
        <f t="shared" si="23"/>
        <v>11981.590584180773</v>
      </c>
      <c r="AA45" s="616">
        <f>MAX(0,IF((IF(I45&gt;=(795+Q45+R45+AF45),795-X45,I45-Q45-R45-X45-AF45))&lt;=AJ45,(IF(I45&gt;=(795+Q45+R45+AF45),AJ45-(795-X45),I45-Q45-R45-X45-AF45)),AJ45))</f>
        <v>0</v>
      </c>
      <c r="AB45" s="616">
        <f t="shared" si="24"/>
        <v>52920.370676139886</v>
      </c>
      <c r="AC45" s="55">
        <f t="shared" si="25"/>
        <v>1555.3994227021572</v>
      </c>
      <c r="AD45" s="55">
        <f t="shared" ref="AD45" si="56">AD44</f>
        <v>8754.9688212972815</v>
      </c>
      <c r="AE45" s="47">
        <v>203</v>
      </c>
      <c r="AF45" s="114">
        <v>1.7</v>
      </c>
      <c r="AG45" s="212">
        <v>1.3</v>
      </c>
      <c r="AH45" s="42">
        <v>51</v>
      </c>
      <c r="AI45" s="55">
        <f t="shared" si="42"/>
        <v>11232.511822044311</v>
      </c>
      <c r="AJ45" s="617"/>
      <c r="AK45" s="74">
        <f t="shared" si="47"/>
        <v>799</v>
      </c>
      <c r="AL45" s="47">
        <f t="shared" si="4"/>
        <v>48.54247542223343</v>
      </c>
      <c r="AM45" s="112">
        <f>AK45+AL45</f>
        <v>847.54247542223345</v>
      </c>
      <c r="AN45" s="234"/>
      <c r="AO45" s="489"/>
      <c r="AP45" s="489"/>
      <c r="AQ45" s="45"/>
      <c r="AR45" s="43">
        <f>IF(G45="",0,IF(I45&gt;=(795+Q45+R45+AF45),795-X45,I45-Q45-R45-X45-AF45)-AJ45)</f>
        <v>350.76696326090951</v>
      </c>
      <c r="AS45" s="492">
        <v>0.36</v>
      </c>
      <c r="AT45" s="493">
        <f t="shared" si="18"/>
        <v>0.252</v>
      </c>
      <c r="AU45" s="494">
        <f>IF(AT45=0,0,VLOOKUP(ROUNDDOWN(TEXT(B45,"0000"),-1),VLOOKUP!$M$3:$W$32,RIGHT(TEXT(B45,"0000"),1)+2,FALSE))</f>
        <v>3687</v>
      </c>
      <c r="AV45" s="494">
        <f t="shared" si="28"/>
        <v>77.427000000000007</v>
      </c>
      <c r="AW45" s="610">
        <f>AV45*(IF(Z45&gt;JUN!$Z$44,JUN!$Z$44,MAY!Z45)*1.9835+AC45*1.9835)/E45</f>
        <v>14.000127515853643</v>
      </c>
      <c r="AX45" s="42"/>
      <c r="AY45" s="187"/>
      <c r="AZ45" s="46"/>
      <c r="BA45" s="30"/>
      <c r="BB45" s="102">
        <v>0.05</v>
      </c>
      <c r="BC45" s="45">
        <v>87</v>
      </c>
      <c r="BD45" s="45">
        <v>56</v>
      </c>
      <c r="BE45" s="407"/>
      <c r="BF45" s="385">
        <f t="shared" si="6"/>
        <v>10.466963260909518</v>
      </c>
      <c r="BG45" s="323">
        <v>1.22</v>
      </c>
      <c r="BH45" s="407">
        <v>19197</v>
      </c>
      <c r="BI45" s="296">
        <f t="shared" si="53"/>
        <v>97.593036739090394</v>
      </c>
      <c r="BJ45" s="591">
        <f t="shared" si="20"/>
        <v>97.593036739090394</v>
      </c>
      <c r="BL45" s="574">
        <f t="shared" si="21"/>
        <v>31</v>
      </c>
      <c r="BM45" s="559">
        <v>6899.84</v>
      </c>
      <c r="BN45" s="575">
        <f t="shared" si="7"/>
        <v>7.999999999992724E-2</v>
      </c>
      <c r="BO45" s="576">
        <v>50.471578947368378</v>
      </c>
      <c r="BP45" s="576">
        <f t="shared" si="22"/>
        <v>0.52842105263162154</v>
      </c>
    </row>
    <row r="46" spans="1:68" ht="3" customHeight="1">
      <c r="A46" s="54"/>
      <c r="B46" s="116"/>
      <c r="C46" s="57"/>
      <c r="D46" s="59"/>
      <c r="E46" s="57"/>
      <c r="F46" s="59"/>
      <c r="G46" s="116"/>
      <c r="H46" s="41">
        <v>0.01</v>
      </c>
      <c r="I46" s="59">
        <f t="shared" si="10"/>
        <v>0.01</v>
      </c>
      <c r="J46" s="59"/>
      <c r="K46" s="59"/>
      <c r="L46" s="59"/>
      <c r="M46" s="108"/>
      <c r="N46" s="40"/>
      <c r="O46" s="59"/>
      <c r="P46" s="40"/>
      <c r="Q46" s="59"/>
      <c r="R46" s="59"/>
      <c r="S46" s="363"/>
      <c r="T46" s="363"/>
      <c r="U46" s="130"/>
      <c r="V46" s="59"/>
      <c r="W46" s="59"/>
      <c r="X46" s="59"/>
      <c r="Y46" s="59"/>
      <c r="Z46" s="57"/>
      <c r="AA46" s="59"/>
      <c r="AB46" s="57"/>
      <c r="AC46" s="59"/>
      <c r="AD46" s="57"/>
      <c r="AE46" s="59"/>
      <c r="AF46" s="116"/>
      <c r="AG46" s="106"/>
      <c r="AH46" s="44"/>
      <c r="AI46" s="59"/>
      <c r="AJ46" s="41"/>
      <c r="AK46" s="59"/>
      <c r="AL46" s="59"/>
      <c r="AM46" s="106"/>
      <c r="AN46" s="57"/>
      <c r="AO46" s="506"/>
      <c r="AP46" s="506"/>
      <c r="AQ46" s="44"/>
      <c r="AR46" s="44"/>
      <c r="AS46" s="491"/>
      <c r="AT46" s="491"/>
      <c r="AU46" s="491"/>
      <c r="AV46" s="491"/>
      <c r="AW46" s="40"/>
      <c r="AX46" s="41"/>
      <c r="AY46" s="59"/>
      <c r="AZ46" s="57"/>
      <c r="BA46" s="41"/>
      <c r="BB46" s="110"/>
      <c r="BC46" s="44"/>
      <c r="BD46" s="44"/>
      <c r="BE46" s="44"/>
      <c r="BF46" s="44"/>
      <c r="BG46" s="44"/>
      <c r="BH46" s="44"/>
      <c r="BI46" s="71"/>
      <c r="BJ46" s="592"/>
      <c r="BL46" s="572"/>
      <c r="BM46" s="497"/>
      <c r="BN46" s="497"/>
      <c r="BO46" s="573"/>
      <c r="BP46" s="573"/>
    </row>
    <row r="47" spans="1:68" ht="12.95" customHeight="1">
      <c r="A47" s="90" t="s">
        <v>33</v>
      </c>
      <c r="B47" s="98"/>
      <c r="C47" s="55"/>
      <c r="D47" s="55"/>
      <c r="E47" s="55"/>
      <c r="F47" s="55">
        <f t="shared" ref="F47:X47" si="57">SUM(F15:F45)</f>
        <v>3651.1217544744136</v>
      </c>
      <c r="G47" s="234">
        <f t="shared" si="57"/>
        <v>28619</v>
      </c>
      <c r="H47" s="42">
        <f>SUM(H15:H46)</f>
        <v>50.307700000000004</v>
      </c>
      <c r="I47" s="55">
        <f>SUM(I15:I46)</f>
        <v>28669.307700000001</v>
      </c>
      <c r="J47" s="55">
        <f t="shared" si="57"/>
        <v>26.097632215780152</v>
      </c>
      <c r="K47" s="55">
        <f t="shared" si="57"/>
        <v>28695.395332215779</v>
      </c>
      <c r="L47" s="55">
        <f t="shared" si="57"/>
        <v>-1252.1759455255863</v>
      </c>
      <c r="M47" s="100">
        <f t="shared" si="57"/>
        <v>9488</v>
      </c>
      <c r="N47" s="42">
        <f t="shared" si="57"/>
        <v>15.5</v>
      </c>
      <c r="O47" s="55">
        <f t="shared" si="57"/>
        <v>2822.4000000000005</v>
      </c>
      <c r="P47" s="39">
        <f t="shared" si="57"/>
        <v>0</v>
      </c>
      <c r="Q47" s="55">
        <f>SUM(Q15:Q45)</f>
        <v>100.33592387108482</v>
      </c>
      <c r="R47" s="55">
        <f>SUM(R15:R45)</f>
        <v>128.70112272000003</v>
      </c>
      <c r="S47" s="47">
        <f>SUM(S15:S45)</f>
        <v>22.565839360000005</v>
      </c>
      <c r="T47" s="47">
        <f>SUM(T15:T45)</f>
        <v>36.245037919999987</v>
      </c>
      <c r="U47" s="101">
        <f>SUM(U15:U45)</f>
        <v>0</v>
      </c>
      <c r="V47" s="55">
        <f t="shared" si="57"/>
        <v>4214</v>
      </c>
      <c r="W47" s="55">
        <f t="shared" si="57"/>
        <v>2048</v>
      </c>
      <c r="X47" s="55">
        <f t="shared" si="57"/>
        <v>12624.252076128912</v>
      </c>
      <c r="Y47" s="55">
        <f>SUM(Y15:Y45)</f>
        <v>12624.252076128912</v>
      </c>
      <c r="Z47" s="55"/>
      <c r="AA47" s="55">
        <f>SUM(AA15:AA45)</f>
        <v>0</v>
      </c>
      <c r="AB47" s="55"/>
      <c r="AC47" s="55">
        <f>AC45-AC12</f>
        <v>-146.0472746105138</v>
      </c>
      <c r="AD47" s="49">
        <f>AD15-AD45</f>
        <v>0</v>
      </c>
      <c r="AE47" s="55">
        <f>SUM(AE15:AE45)</f>
        <v>6448</v>
      </c>
      <c r="AF47" s="223">
        <f>SUM(AF15:AF45)</f>
        <v>52.700000000000024</v>
      </c>
      <c r="AG47" s="224">
        <f>SUM(AG15:AG45)</f>
        <v>40.29999999999999</v>
      </c>
      <c r="AH47" s="45">
        <f>SUM(AH15:AH45)</f>
        <v>1568</v>
      </c>
      <c r="AI47" s="55"/>
      <c r="AJ47" s="42">
        <f t="shared" ref="AJ47:AQ47" si="58">SUM(AJ15:AJ45)</f>
        <v>0</v>
      </c>
      <c r="AK47" s="55">
        <f t="shared" si="58"/>
        <v>23766</v>
      </c>
      <c r="AL47" s="55">
        <f t="shared" si="58"/>
        <v>1278.2735777413664</v>
      </c>
      <c r="AM47" s="99">
        <f t="shared" si="58"/>
        <v>25044.273577741365</v>
      </c>
      <c r="AN47" s="62">
        <f>SUM(AN15:AN45)</f>
        <v>0</v>
      </c>
      <c r="AO47" s="505">
        <f>SUM(AO15:AO45)</f>
        <v>0</v>
      </c>
      <c r="AP47" s="505"/>
      <c r="AQ47" s="55">
        <f t="shared" si="58"/>
        <v>0</v>
      </c>
      <c r="AR47" s="47"/>
      <c r="AS47" s="489"/>
      <c r="AT47" s="489"/>
      <c r="AU47" s="489"/>
      <c r="AV47" s="489"/>
      <c r="AW47" s="39"/>
      <c r="AX47" s="42">
        <f>SUM(AX15:AX45)</f>
        <v>0</v>
      </c>
      <c r="AY47" s="56">
        <f>SUM(AY15:AY45)</f>
        <v>0</v>
      </c>
      <c r="AZ47" s="42">
        <f>SUM(AZ15:AZ45)</f>
        <v>0</v>
      </c>
      <c r="BA47" s="30"/>
      <c r="BB47" s="102">
        <f>SUM(BB15:BB45)</f>
        <v>0.22000000000000003</v>
      </c>
      <c r="BC47" s="45">
        <f>AVERAGE(BC15:BC45)</f>
        <v>78.258064516129039</v>
      </c>
      <c r="BD47" s="45">
        <f>AVERAGE(BD15:BD45)</f>
        <v>43.032258064516128</v>
      </c>
      <c r="BE47" s="99" t="s">
        <v>44</v>
      </c>
      <c r="BF47" s="393">
        <f>SUM(BF15:BF45)</f>
        <v>303.34792387108484</v>
      </c>
      <c r="BG47">
        <f>SUM(BG15:BG45)</f>
        <v>45.696000000000012</v>
      </c>
      <c r="BH47" s="378"/>
      <c r="BI47" s="605">
        <f>SUM(BI15:BI45)</f>
        <v>4945.6368422192227</v>
      </c>
      <c r="BJ47" s="178">
        <f>SUM(BJ15:BJ45)</f>
        <v>4356.253966499351</v>
      </c>
      <c r="BM47" s="489"/>
      <c r="BN47" s="489"/>
      <c r="BO47" s="505">
        <f>SUM(BO15:BO45)</f>
        <v>1544.0138684662675</v>
      </c>
      <c r="BP47" s="505">
        <f>SUM(BP15:BP45)</f>
        <v>23.986131533732504</v>
      </c>
    </row>
    <row r="48" spans="1:68" ht="12.95" customHeight="1">
      <c r="A48" s="90" t="s">
        <v>34</v>
      </c>
      <c r="B48" s="98"/>
      <c r="C48" s="55"/>
      <c r="D48" s="55">
        <f>SUM(D15:D45)</f>
        <v>7242</v>
      </c>
      <c r="E48" s="55"/>
      <c r="F48" s="55">
        <f t="shared" ref="F48:AA48" si="59">F47*$D$2</f>
        <v>7241.9999999999991</v>
      </c>
      <c r="G48" s="234">
        <f t="shared" si="59"/>
        <v>56765.786500000002</v>
      </c>
      <c r="H48" s="42">
        <f t="shared" si="59"/>
        <v>99.785322950000008</v>
      </c>
      <c r="I48" s="55">
        <f t="shared" si="59"/>
        <v>56865.571822950005</v>
      </c>
      <c r="J48" s="55">
        <f t="shared" si="59"/>
        <v>51.76465349999993</v>
      </c>
      <c r="K48" s="55">
        <f t="shared" si="59"/>
        <v>56917.316641450001</v>
      </c>
      <c r="L48" s="55">
        <f t="shared" si="59"/>
        <v>-2483.6909879500004</v>
      </c>
      <c r="M48" s="100">
        <f t="shared" si="59"/>
        <v>18819.448</v>
      </c>
      <c r="N48" s="45">
        <f t="shared" si="59"/>
        <v>30.744250000000001</v>
      </c>
      <c r="O48" s="55">
        <f t="shared" si="59"/>
        <v>5598.2304000000013</v>
      </c>
      <c r="P48" s="39">
        <f t="shared" si="59"/>
        <v>0</v>
      </c>
      <c r="Q48" s="55">
        <f t="shared" si="59"/>
        <v>199.01630499829673</v>
      </c>
      <c r="R48" s="55">
        <f t="shared" si="59"/>
        <v>255.27867691512006</v>
      </c>
      <c r="S48" s="47">
        <f t="shared" si="59"/>
        <v>44.759342370560013</v>
      </c>
      <c r="T48" s="47">
        <f t="shared" si="59"/>
        <v>71.892032714319981</v>
      </c>
      <c r="U48" s="101">
        <f t="shared" si="59"/>
        <v>0</v>
      </c>
      <c r="V48" s="55">
        <f t="shared" si="59"/>
        <v>8358.469000000001</v>
      </c>
      <c r="W48" s="55">
        <f t="shared" si="59"/>
        <v>4062.2080000000001</v>
      </c>
      <c r="X48" s="55">
        <f t="shared" si="59"/>
        <v>25040.203993001698</v>
      </c>
      <c r="Y48" s="55">
        <f t="shared" si="59"/>
        <v>25040.203993001698</v>
      </c>
      <c r="Z48" s="55"/>
      <c r="AA48" s="55">
        <f t="shared" si="59"/>
        <v>0</v>
      </c>
      <c r="AB48" s="55"/>
      <c r="AC48" s="55">
        <f t="shared" ref="AC48:AH48" si="60">AC47*$D$2</f>
        <v>-289.68476918995412</v>
      </c>
      <c r="AD48" s="49">
        <f t="shared" si="60"/>
        <v>0</v>
      </c>
      <c r="AE48" s="55">
        <f t="shared" si="60"/>
        <v>12789.608</v>
      </c>
      <c r="AF48" s="100">
        <f t="shared" si="60"/>
        <v>104.53045000000004</v>
      </c>
      <c r="AG48" s="101">
        <f t="shared" si="60"/>
        <v>79.935049999999976</v>
      </c>
      <c r="AH48" s="45">
        <f t="shared" si="60"/>
        <v>3110.1280000000002</v>
      </c>
      <c r="AI48" s="55"/>
      <c r="AJ48" s="42">
        <f t="shared" ref="AJ48:AQ48" si="61">AJ47*$D$2</f>
        <v>0</v>
      </c>
      <c r="AK48" s="55">
        <f t="shared" si="61"/>
        <v>47139.861000000004</v>
      </c>
      <c r="AL48" s="55">
        <f t="shared" si="61"/>
        <v>2535.4556414500003</v>
      </c>
      <c r="AM48" s="99">
        <f t="shared" si="61"/>
        <v>49675.316641450001</v>
      </c>
      <c r="AN48" s="55">
        <f t="shared" si="61"/>
        <v>0</v>
      </c>
      <c r="AO48" s="490">
        <f>AO47*$D$2</f>
        <v>0</v>
      </c>
      <c r="AP48" s="505"/>
      <c r="AQ48" s="55">
        <f t="shared" si="61"/>
        <v>0</v>
      </c>
      <c r="AR48" s="47"/>
      <c r="AS48" s="489">
        <f>SUM(AS15:AS45)</f>
        <v>10.280000000000001</v>
      </c>
      <c r="AT48" s="489"/>
      <c r="AU48" s="489"/>
      <c r="AV48" s="489">
        <f>SUM(AV15:AV45)</f>
        <v>2210.1339166666667</v>
      </c>
      <c r="AW48" s="39">
        <f>SUM(AW15:AW45)</f>
        <v>300.54755075041101</v>
      </c>
      <c r="AX48" s="42">
        <f>AX47*$D$2</f>
        <v>0</v>
      </c>
      <c r="AY48" s="55">
        <f>AY47*$D$2</f>
        <v>0</v>
      </c>
      <c r="AZ48" s="42">
        <f>AZ47*$D$2</f>
        <v>0</v>
      </c>
      <c r="BA48" s="30"/>
      <c r="BB48" s="102"/>
      <c r="BC48" s="45">
        <f>MAX(BC15:BC45)</f>
        <v>90</v>
      </c>
      <c r="BD48" s="45">
        <f>MAX(BD15:BD45)</f>
        <v>59</v>
      </c>
      <c r="BE48" s="99" t="s">
        <v>35</v>
      </c>
      <c r="BF48" s="393">
        <f>BF47*$D$2</f>
        <v>601.69060699829686</v>
      </c>
      <c r="BG48">
        <f>BG47*D2</f>
        <v>90.638016000000022</v>
      </c>
      <c r="BH48" s="378"/>
      <c r="BI48" s="605">
        <f>BI47*$D$2</f>
        <v>9809.6706765418276</v>
      </c>
      <c r="BJ48" s="178">
        <f>BJ47*$D$2</f>
        <v>8640.6297425514622</v>
      </c>
      <c r="BM48" s="489"/>
      <c r="BN48" s="489"/>
      <c r="BO48" s="505">
        <f>BO47*$D$2</f>
        <v>3062.5515081028416</v>
      </c>
      <c r="BP48" s="505">
        <f>BP47*$D$2</f>
        <v>47.576491897158419</v>
      </c>
    </row>
    <row r="49" spans="1:68" ht="3" customHeight="1">
      <c r="A49" s="54"/>
      <c r="B49" s="116"/>
      <c r="C49" s="57"/>
      <c r="D49" s="57"/>
      <c r="E49" s="57"/>
      <c r="F49" s="57"/>
      <c r="G49" s="120"/>
      <c r="H49" s="41"/>
      <c r="I49" s="57"/>
      <c r="J49" s="57"/>
      <c r="K49" s="57"/>
      <c r="L49" s="57"/>
      <c r="M49" s="118"/>
      <c r="N49" s="40"/>
      <c r="O49" s="57"/>
      <c r="P49" s="40"/>
      <c r="Q49" s="57"/>
      <c r="R49" s="57"/>
      <c r="S49" s="363"/>
      <c r="T49" s="363"/>
      <c r="U49" s="119"/>
      <c r="V49" s="57"/>
      <c r="W49" s="57"/>
      <c r="X49" s="57"/>
      <c r="Y49" s="57"/>
      <c r="Z49" s="57"/>
      <c r="AA49" s="57"/>
      <c r="AB49" s="57"/>
      <c r="AC49" s="59"/>
      <c r="AD49" s="57"/>
      <c r="AE49" s="57"/>
      <c r="AF49" s="118"/>
      <c r="AG49" s="119"/>
      <c r="AH49" s="44"/>
      <c r="AI49" s="59"/>
      <c r="AJ49" s="41"/>
      <c r="AK49" s="57"/>
      <c r="AL49" s="57"/>
      <c r="AM49" s="117"/>
      <c r="AN49" s="57"/>
      <c r="AO49" s="506"/>
      <c r="AP49" s="506"/>
      <c r="AQ49" s="57"/>
      <c r="AR49" s="57"/>
      <c r="AS49" s="495"/>
      <c r="AT49" s="495"/>
      <c r="AU49" s="495"/>
      <c r="AV49" s="495"/>
      <c r="AW49" s="40"/>
      <c r="AX49" s="41"/>
      <c r="AY49" s="59"/>
      <c r="AZ49" s="57"/>
      <c r="BA49" s="41"/>
      <c r="BB49" s="57"/>
      <c r="BC49" s="57"/>
      <c r="BD49" s="57"/>
      <c r="BE49" s="57"/>
      <c r="BF49" s="57"/>
      <c r="BG49" s="69"/>
      <c r="BH49" s="57"/>
      <c r="BI49" s="69"/>
      <c r="BJ49" s="190"/>
      <c r="BL49" s="572"/>
      <c r="BM49" s="497"/>
      <c r="BN49" s="497"/>
      <c r="BO49" s="506"/>
      <c r="BP49" s="506"/>
    </row>
    <row r="50" spans="1:68" ht="12.95" customHeight="1">
      <c r="A50" s="90" t="s">
        <v>36</v>
      </c>
      <c r="B50" s="98"/>
      <c r="C50" s="55"/>
      <c r="D50" s="55"/>
      <c r="E50" s="55"/>
      <c r="F50" s="55">
        <f t="shared" ref="F50:P50" si="62">F12+F47</f>
        <v>1426.2667002772873</v>
      </c>
      <c r="G50" s="234">
        <f t="shared" si="62"/>
        <v>34607</v>
      </c>
      <c r="H50" s="42">
        <f t="shared" si="62"/>
        <v>133.2227</v>
      </c>
      <c r="I50" s="55">
        <f t="shared" si="62"/>
        <v>34740.222699999998</v>
      </c>
      <c r="J50" s="55">
        <f t="shared" si="62"/>
        <v>43.44379379884046</v>
      </c>
      <c r="K50" s="55">
        <f t="shared" si="62"/>
        <v>34783.656493798837</v>
      </c>
      <c r="L50" s="55">
        <f t="shared" si="62"/>
        <v>-1963.2859997227126</v>
      </c>
      <c r="M50" s="100">
        <f t="shared" si="62"/>
        <v>13119.2</v>
      </c>
      <c r="N50" s="45">
        <f t="shared" si="62"/>
        <v>15.5</v>
      </c>
      <c r="O50" s="55">
        <f t="shared" si="62"/>
        <v>4770.433500000001</v>
      </c>
      <c r="P50" s="39">
        <f t="shared" si="62"/>
        <v>0</v>
      </c>
      <c r="Q50" s="55"/>
      <c r="R50" s="55"/>
      <c r="S50" s="144"/>
      <c r="T50" s="144"/>
      <c r="U50" s="101"/>
      <c r="V50" s="55">
        <f>V12+V47</f>
        <v>6473</v>
      </c>
      <c r="W50" s="55">
        <f>W12+W47</f>
        <v>2207.7199999999998</v>
      </c>
      <c r="X50" s="55">
        <f>X12+X47</f>
        <v>16626.652982515192</v>
      </c>
      <c r="Y50" s="55">
        <f>Y12+Y47</f>
        <v>16524.697563608424</v>
      </c>
      <c r="Z50" s="62">
        <f>Z45</f>
        <v>11981.590584180773</v>
      </c>
      <c r="AA50" s="55">
        <f>AA12+AA47</f>
        <v>0</v>
      </c>
      <c r="AB50" s="55"/>
      <c r="AC50" s="55">
        <f>AC47+AC12</f>
        <v>1555.3994227021572</v>
      </c>
      <c r="AD50" s="55"/>
      <c r="AE50" s="55">
        <f>AE12+AE47</f>
        <v>6777.74</v>
      </c>
      <c r="AF50" s="100">
        <f>AF12+AF47</f>
        <v>103.70000000000005</v>
      </c>
      <c r="AG50" s="101">
        <f>AG12+AG47</f>
        <v>79.299999999999983</v>
      </c>
      <c r="AH50" s="55">
        <f>AH12+AH47</f>
        <v>2773</v>
      </c>
      <c r="AI50" s="55"/>
      <c r="AJ50" s="42">
        <f>AJ12+AJ47</f>
        <v>0</v>
      </c>
      <c r="AK50" s="55">
        <f>AK12+AK47</f>
        <v>31350.66</v>
      </c>
      <c r="AL50" s="55">
        <f>AL12+AL47</f>
        <v>2006.7297935215529</v>
      </c>
      <c r="AM50" s="99">
        <f>AM12+AM47</f>
        <v>33357.38979352155</v>
      </c>
      <c r="AN50" s="55">
        <f>AN47+AN12</f>
        <v>1825.9903529115204</v>
      </c>
      <c r="AO50" s="505"/>
      <c r="AP50" s="505"/>
      <c r="AQ50" s="45"/>
      <c r="AR50" s="47"/>
      <c r="AS50" s="489"/>
      <c r="AT50" s="489"/>
      <c r="AU50" s="489"/>
      <c r="AV50" s="489"/>
      <c r="AW50" s="39"/>
      <c r="AX50" s="42">
        <f>AX12+AX47</f>
        <v>0</v>
      </c>
      <c r="AY50" s="55">
        <f>AY12+AY47</f>
        <v>0</v>
      </c>
      <c r="AZ50" s="42">
        <f>AZ12+AZ47</f>
        <v>0</v>
      </c>
      <c r="BA50" s="30"/>
      <c r="BB50" s="102" t="s">
        <v>131</v>
      </c>
      <c r="BC50" s="45">
        <f>MIN(BC15:BC45)</f>
        <v>66</v>
      </c>
      <c r="BD50" s="45">
        <f>MIN(BD15:BD45)</f>
        <v>33</v>
      </c>
      <c r="BE50" s="99" t="s">
        <v>37</v>
      </c>
      <c r="BF50" s="393">
        <f>BF12+BF47</f>
        <v>454.67201748480409</v>
      </c>
      <c r="BG50" s="55">
        <f>BG12+BG47</f>
        <v>75.260000000000005</v>
      </c>
      <c r="BH50" s="378"/>
      <c r="BI50" s="605">
        <f>BI47+BI12</f>
        <v>4945.6368422192227</v>
      </c>
      <c r="BJ50" s="178">
        <f>BJ47+BJ12</f>
        <v>4356.253966499351</v>
      </c>
      <c r="BM50" s="489"/>
      <c r="BN50" s="489"/>
      <c r="BO50" s="505"/>
      <c r="BP50" s="505"/>
    </row>
    <row r="51" spans="1:68" ht="12.95" customHeight="1">
      <c r="A51" s="90" t="s">
        <v>38</v>
      </c>
      <c r="B51" s="98"/>
      <c r="C51" s="55"/>
      <c r="D51" s="55"/>
      <c r="E51" s="55"/>
      <c r="F51" s="55">
        <f t="shared" ref="F51:P51" si="63">F50*$D$2</f>
        <v>2828.9999999999995</v>
      </c>
      <c r="G51" s="234">
        <f t="shared" si="63"/>
        <v>68642.984500000006</v>
      </c>
      <c r="H51" s="45">
        <f t="shared" si="63"/>
        <v>264.24722545000003</v>
      </c>
      <c r="I51" s="55">
        <f t="shared" si="63"/>
        <v>68907.231725449994</v>
      </c>
      <c r="J51" s="55">
        <f t="shared" si="63"/>
        <v>86.17076500000006</v>
      </c>
      <c r="K51" s="55">
        <f t="shared" si="63"/>
        <v>68993.382655449997</v>
      </c>
      <c r="L51" s="55">
        <f t="shared" si="63"/>
        <v>-3894.1777804500007</v>
      </c>
      <c r="M51" s="100">
        <f t="shared" si="63"/>
        <v>26021.933200000003</v>
      </c>
      <c r="N51" s="45">
        <f t="shared" si="63"/>
        <v>30.744250000000001</v>
      </c>
      <c r="O51" s="55">
        <f t="shared" si="63"/>
        <v>9462.1548472500017</v>
      </c>
      <c r="P51" s="39">
        <f t="shared" si="63"/>
        <v>0</v>
      </c>
      <c r="Q51" s="55"/>
      <c r="R51" s="55"/>
      <c r="S51" s="144"/>
      <c r="T51" s="144"/>
      <c r="U51" s="101"/>
      <c r="V51" s="55">
        <f t="shared" ref="V51:AA51" si="64">V50*$D$2</f>
        <v>12839.1955</v>
      </c>
      <c r="W51" s="55">
        <f t="shared" si="64"/>
        <v>4379.0126199999995</v>
      </c>
      <c r="X51" s="55">
        <f t="shared" si="64"/>
        <v>32978.966190818886</v>
      </c>
      <c r="Y51" s="55">
        <f t="shared" si="64"/>
        <v>32776.737617417311</v>
      </c>
      <c r="Z51" s="62">
        <f t="shared" si="64"/>
        <v>23765.484923722564</v>
      </c>
      <c r="AA51" s="55">
        <f t="shared" si="64"/>
        <v>0</v>
      </c>
      <c r="AB51" s="55"/>
      <c r="AC51" s="55">
        <f>AC50*$D$2</f>
        <v>3085.1347549297288</v>
      </c>
      <c r="AD51" s="55"/>
      <c r="AE51" s="55">
        <f>AE50*$D$2</f>
        <v>13443.647289999999</v>
      </c>
      <c r="AF51" s="100">
        <f>AF50*$D$2</f>
        <v>205.68895000000009</v>
      </c>
      <c r="AG51" s="101">
        <f>AG50*$D$2</f>
        <v>157.29154999999997</v>
      </c>
      <c r="AH51" s="55">
        <f>AH50*$D$2</f>
        <v>5500.2455</v>
      </c>
      <c r="AI51" s="55"/>
      <c r="AJ51" s="42">
        <f>AJ50*$D$2</f>
        <v>0</v>
      </c>
      <c r="AK51" s="55">
        <f>AK50*$D$2</f>
        <v>62184.034110000001</v>
      </c>
      <c r="AL51" s="55">
        <f>AL50*$D$2</f>
        <v>3980.3485454500001</v>
      </c>
      <c r="AM51" s="99">
        <f>AM50*$D$2</f>
        <v>66164.382655449997</v>
      </c>
      <c r="AN51" s="55">
        <f t="shared" ref="AN51" si="65">AN50*$D$2</f>
        <v>3621.851865000001</v>
      </c>
      <c r="AO51" s="505"/>
      <c r="AP51" s="505"/>
      <c r="AQ51" s="45"/>
      <c r="AR51" s="47"/>
      <c r="AS51" s="489">
        <f>AS48+AS13</f>
        <v>17.190000000000001</v>
      </c>
      <c r="AT51" s="489"/>
      <c r="AU51" s="489"/>
      <c r="AV51" s="489">
        <f>AV13+AV48</f>
        <v>3677.3175833333335</v>
      </c>
      <c r="AW51" s="39">
        <f>AW12+AW48</f>
        <v>325.54391653108434</v>
      </c>
      <c r="AX51" s="42">
        <f>AX50*$D$2</f>
        <v>0</v>
      </c>
      <c r="AY51" s="55">
        <f>AY50*$D$2</f>
        <v>0</v>
      </c>
      <c r="AZ51" s="42">
        <f>AZ50*$D$2</f>
        <v>0</v>
      </c>
      <c r="BA51" s="30"/>
      <c r="BB51" s="102">
        <f>BB47</f>
        <v>0.22000000000000003</v>
      </c>
      <c r="BC51" s="45"/>
      <c r="BD51" s="45"/>
      <c r="BE51" s="407"/>
      <c r="BF51" s="393">
        <f>BF50*$D$2</f>
        <v>901.84194668110888</v>
      </c>
      <c r="BG51" s="55">
        <f>BG50*$D$2</f>
        <v>149.27821</v>
      </c>
      <c r="BH51" s="378"/>
      <c r="BI51" s="605">
        <f>BI50*$D$2</f>
        <v>9809.6706765418276</v>
      </c>
      <c r="BJ51" s="178">
        <f>BJ50*$D$2</f>
        <v>8640.6297425514622</v>
      </c>
      <c r="BM51" s="489"/>
      <c r="BN51" s="489"/>
      <c r="BO51" s="505"/>
      <c r="BP51" s="505"/>
    </row>
    <row r="52" spans="1:68" ht="3" customHeight="1">
      <c r="A52" s="54"/>
      <c r="B52" s="116"/>
      <c r="C52" s="57"/>
      <c r="D52" s="57"/>
      <c r="E52" s="57"/>
      <c r="F52" s="57"/>
      <c r="G52" s="120"/>
      <c r="H52" s="41"/>
      <c r="I52" s="57"/>
      <c r="J52" s="57"/>
      <c r="K52" s="57"/>
      <c r="L52" s="57"/>
      <c r="M52" s="118"/>
      <c r="N52" s="41"/>
      <c r="O52" s="57"/>
      <c r="P52" s="40"/>
      <c r="Q52" s="57"/>
      <c r="R52" s="57"/>
      <c r="S52" s="363"/>
      <c r="T52" s="363"/>
      <c r="U52" s="119"/>
      <c r="V52" s="57"/>
      <c r="W52" s="57"/>
      <c r="X52" s="57"/>
      <c r="Y52" s="57"/>
      <c r="Z52" s="57"/>
      <c r="AA52" s="57"/>
      <c r="AB52" s="57"/>
      <c r="AC52" s="59"/>
      <c r="AD52" s="57"/>
      <c r="AE52" s="57"/>
      <c r="AF52" s="118"/>
      <c r="AG52" s="119"/>
      <c r="AH52" s="44"/>
      <c r="AI52" s="57"/>
      <c r="AJ52" s="41"/>
      <c r="AK52" s="57"/>
      <c r="AL52" s="57"/>
      <c r="AM52" s="117"/>
      <c r="AN52" s="57"/>
      <c r="AO52" s="506"/>
      <c r="AP52" s="506"/>
      <c r="AQ52" s="58"/>
      <c r="AR52" s="58"/>
      <c r="AS52" s="496"/>
      <c r="AT52" s="496"/>
      <c r="AU52" s="496"/>
      <c r="AV52" s="496"/>
      <c r="AW52" s="40"/>
      <c r="AX52" s="41"/>
      <c r="AY52" s="59"/>
      <c r="AZ52" s="57"/>
      <c r="BA52" s="41"/>
      <c r="BB52" s="110"/>
      <c r="BC52" s="236"/>
      <c r="BD52" s="58"/>
      <c r="BE52" s="58"/>
      <c r="BF52" s="58"/>
      <c r="BG52" s="193"/>
      <c r="BH52" s="58"/>
      <c r="BI52" s="193"/>
      <c r="BJ52" s="594"/>
      <c r="BL52" s="572"/>
      <c r="BM52" s="497"/>
      <c r="BN52" s="497"/>
      <c r="BO52" s="506"/>
      <c r="BP52" s="506"/>
    </row>
    <row r="53" spans="1:68" ht="12.95" customHeight="1">
      <c r="A53" s="90" t="s">
        <v>39</v>
      </c>
      <c r="B53" s="98"/>
      <c r="C53" s="55"/>
      <c r="D53" s="55"/>
      <c r="E53" s="55"/>
      <c r="F53" s="55">
        <f t="shared" ref="F53:X53" si="66">F13+F47</f>
        <v>-4592.3871943534159</v>
      </c>
      <c r="G53" s="234">
        <f t="shared" si="66"/>
        <v>41216.800000000003</v>
      </c>
      <c r="H53" s="42">
        <f t="shared" si="66"/>
        <v>181.4727</v>
      </c>
      <c r="I53" s="55">
        <f t="shared" si="66"/>
        <v>41398.272700000001</v>
      </c>
      <c r="J53" s="55">
        <f t="shared" si="66"/>
        <v>1917.287925888581</v>
      </c>
      <c r="K53" s="55">
        <f t="shared" si="66"/>
        <v>43315.55062588858</v>
      </c>
      <c r="L53" s="55">
        <f t="shared" si="66"/>
        <v>-2269.9498943534159</v>
      </c>
      <c r="M53" s="100">
        <f t="shared" si="66"/>
        <v>13899.74</v>
      </c>
      <c r="N53" s="45">
        <f t="shared" si="66"/>
        <v>15.5</v>
      </c>
      <c r="O53" s="55">
        <f t="shared" si="66"/>
        <v>4770.433500000001</v>
      </c>
      <c r="P53" s="144">
        <f t="shared" si="66"/>
        <v>0</v>
      </c>
      <c r="Q53" s="55">
        <f t="shared" si="66"/>
        <v>419.10501039005567</v>
      </c>
      <c r="R53" s="55">
        <f t="shared" si="66"/>
        <v>192.15110880000003</v>
      </c>
      <c r="S53" s="47">
        <f t="shared" si="66"/>
        <v>259.84103023999995</v>
      </c>
      <c r="T53" s="55">
        <f>T13+T47</f>
        <v>146.29619680000002</v>
      </c>
      <c r="U53" s="101">
        <f>U13+U47</f>
        <v>-46.583886557747249</v>
      </c>
      <c r="V53" s="55">
        <f t="shared" si="66"/>
        <v>11665</v>
      </c>
      <c r="W53" s="55">
        <f t="shared" si="66"/>
        <v>2241.2199999999998</v>
      </c>
      <c r="X53" s="55">
        <f t="shared" si="66"/>
        <v>22049.217040327687</v>
      </c>
      <c r="Y53" s="55">
        <f>Y13+Y47</f>
        <v>21799.14620840377</v>
      </c>
      <c r="Z53" s="55"/>
      <c r="AA53" s="55"/>
      <c r="AB53" s="55"/>
      <c r="AC53" s="55"/>
      <c r="AD53" s="55"/>
      <c r="AE53" s="55"/>
      <c r="AF53" s="100">
        <f>AF13+AF47</f>
        <v>103.70000000000005</v>
      </c>
      <c r="AG53" s="101">
        <f>AG13+AG47</f>
        <v>79.299999999999983</v>
      </c>
      <c r="AH53" s="45">
        <f>AH13+AH47</f>
        <v>9137</v>
      </c>
      <c r="AI53" s="55">
        <f>AI45</f>
        <v>11232.511822044311</v>
      </c>
      <c r="AJ53" s="42">
        <f t="shared" ref="AJ53:AQ53" si="67">AJ13+AJ47</f>
        <v>0</v>
      </c>
      <c r="AK53" s="55">
        <f t="shared" si="67"/>
        <v>43720.7</v>
      </c>
      <c r="AL53" s="55">
        <f t="shared" si="67"/>
        <v>4187.2378202419968</v>
      </c>
      <c r="AM53" s="99">
        <f t="shared" si="67"/>
        <v>47907.93782024199</v>
      </c>
      <c r="AN53" s="55">
        <f t="shared" si="67"/>
        <v>6969.5910587345606</v>
      </c>
      <c r="AO53" s="505"/>
      <c r="AP53" s="505"/>
      <c r="AQ53" s="55">
        <f t="shared" si="67"/>
        <v>250.07083192391997</v>
      </c>
      <c r="AR53" s="47"/>
      <c r="AS53" s="489"/>
      <c r="AT53" s="489"/>
      <c r="AU53" s="489"/>
      <c r="AV53" s="489"/>
      <c r="AW53" s="39"/>
      <c r="AX53" s="42">
        <f>AX13+AX47</f>
        <v>0</v>
      </c>
      <c r="AY53" s="55">
        <f>AY13+AY47</f>
        <v>0</v>
      </c>
      <c r="AZ53" s="42"/>
      <c r="BA53" s="30"/>
      <c r="BB53" s="102">
        <f>BB13+BB47</f>
        <v>7.1150000000000002</v>
      </c>
      <c r="BC53" s="45"/>
      <c r="BD53" s="45"/>
      <c r="BE53" s="407"/>
      <c r="BF53" s="393">
        <f>BF13+BF47</f>
        <v>986.30945967230855</v>
      </c>
      <c r="BG53" s="1">
        <f>BG47+BG13</f>
        <v>315.07600000000008</v>
      </c>
      <c r="BH53" s="378"/>
      <c r="BI53" s="605">
        <f>BI13+BI47</f>
        <v>4945.6368422192227</v>
      </c>
      <c r="BJ53" s="178">
        <f>BJ13+BJ47</f>
        <v>4356.253966499351</v>
      </c>
      <c r="BM53" s="489"/>
      <c r="BN53" s="489"/>
      <c r="BO53" s="505">
        <f>BO13+BO47</f>
        <v>2279.8807313694933</v>
      </c>
      <c r="BP53" s="505">
        <f>BP13+BP47</f>
        <v>472.11926863050667</v>
      </c>
    </row>
    <row r="54" spans="1:68" ht="12.95" customHeight="1">
      <c r="A54" s="90" t="s">
        <v>40</v>
      </c>
      <c r="B54" s="98"/>
      <c r="C54" s="55"/>
      <c r="D54" s="55">
        <f>D13+D48</f>
        <v>-9109</v>
      </c>
      <c r="E54" s="55">
        <f>E45</f>
        <v>131286</v>
      </c>
      <c r="F54" s="55">
        <f t="shared" ref="F54:Y54" si="68">F53*$D$2</f>
        <v>-9109</v>
      </c>
      <c r="G54" s="234">
        <f t="shared" si="68"/>
        <v>81753.522800000006</v>
      </c>
      <c r="H54" s="45">
        <f t="shared" si="68"/>
        <v>359.95110045000001</v>
      </c>
      <c r="I54" s="55">
        <f t="shared" si="68"/>
        <v>82113.473900450001</v>
      </c>
      <c r="J54" s="55">
        <f t="shared" si="68"/>
        <v>3802.9406010000002</v>
      </c>
      <c r="K54" s="55">
        <f t="shared" si="68"/>
        <v>85916.394666449996</v>
      </c>
      <c r="L54" s="55">
        <f t="shared" si="68"/>
        <v>-4502.4456154500003</v>
      </c>
      <c r="M54" s="100">
        <f t="shared" si="68"/>
        <v>27570.134290000002</v>
      </c>
      <c r="N54" s="45">
        <f t="shared" si="68"/>
        <v>30.744250000000001</v>
      </c>
      <c r="O54" s="55">
        <f t="shared" si="68"/>
        <v>9462.1548472500017</v>
      </c>
      <c r="P54" s="144">
        <f t="shared" si="68"/>
        <v>0</v>
      </c>
      <c r="Q54" s="55">
        <f t="shared" si="68"/>
        <v>831.29478810867545</v>
      </c>
      <c r="R54" s="55">
        <f t="shared" si="68"/>
        <v>381.13172430480006</v>
      </c>
      <c r="S54" s="47">
        <f t="shared" si="68"/>
        <v>515.39468348103992</v>
      </c>
      <c r="T54" s="55">
        <f t="shared" si="68"/>
        <v>290.17850635280007</v>
      </c>
      <c r="U54" s="101">
        <f t="shared" si="68"/>
        <v>-92.399138987291664</v>
      </c>
      <c r="V54" s="55">
        <f t="shared" si="68"/>
        <v>23137.5275</v>
      </c>
      <c r="W54" s="55">
        <f t="shared" si="68"/>
        <v>4445.4598699999997</v>
      </c>
      <c r="X54" s="55">
        <f t="shared" si="68"/>
        <v>43734.621999489966</v>
      </c>
      <c r="Y54" s="55">
        <f t="shared" si="68"/>
        <v>43238.60650436888</v>
      </c>
      <c r="Z54" s="55"/>
      <c r="AA54" s="55"/>
      <c r="AB54" s="55"/>
      <c r="AC54" s="55"/>
      <c r="AD54" s="55"/>
      <c r="AE54" s="55"/>
      <c r="AF54" s="211">
        <f>AF53*$D$2</f>
        <v>205.68895000000009</v>
      </c>
      <c r="AG54" s="121">
        <f>AG53*$D$2</f>
        <v>157.29154999999997</v>
      </c>
      <c r="AH54" s="45">
        <f t="shared" ref="AH54:AN54" si="69">AH53*$D$2</f>
        <v>18123.2395</v>
      </c>
      <c r="AI54" s="55">
        <f t="shared" si="69"/>
        <v>22279.687199024891</v>
      </c>
      <c r="AJ54" s="42">
        <f t="shared" si="69"/>
        <v>0</v>
      </c>
      <c r="AK54" s="55">
        <f t="shared" si="69"/>
        <v>86720.008449999994</v>
      </c>
      <c r="AL54" s="55">
        <f t="shared" si="69"/>
        <v>8305.3862164500006</v>
      </c>
      <c r="AM54" s="437">
        <f t="shared" si="69"/>
        <v>95025.394666449996</v>
      </c>
      <c r="AN54" s="55">
        <f t="shared" si="69"/>
        <v>13824.183865000001</v>
      </c>
      <c r="AO54" s="505"/>
      <c r="AP54" s="505"/>
      <c r="AQ54" s="55">
        <f>AQ53*$D$2</f>
        <v>496.01549512109528</v>
      </c>
      <c r="AR54" s="47"/>
      <c r="AS54" s="489"/>
      <c r="AT54" s="489"/>
      <c r="AU54" s="489"/>
      <c r="AV54" s="489"/>
      <c r="AW54" s="39">
        <f>AW12+AW48</f>
        <v>325.54391653108434</v>
      </c>
      <c r="AX54" s="42">
        <f>AX53*$D$2</f>
        <v>0</v>
      </c>
      <c r="AY54" s="55">
        <f>AY53*$D$2</f>
        <v>0</v>
      </c>
      <c r="AZ54" s="42"/>
      <c r="BA54" s="30"/>
      <c r="BB54" s="102"/>
      <c r="BC54" s="45"/>
      <c r="BD54" s="45"/>
      <c r="BE54" s="407"/>
      <c r="BF54" s="393">
        <f>BF53*$D$2</f>
        <v>1956.344813260024</v>
      </c>
      <c r="BG54">
        <f>BG53*D2</f>
        <v>624.95324600000015</v>
      </c>
      <c r="BH54" s="378"/>
      <c r="BI54" s="410">
        <f>BI53*$D$2</f>
        <v>9809.6706765418276</v>
      </c>
      <c r="BJ54" s="411">
        <f>BJ53*$D$2</f>
        <v>8640.6297425514622</v>
      </c>
      <c r="BM54" s="489"/>
      <c r="BN54" s="489"/>
      <c r="BO54" s="505">
        <f>BO53*$D$2</f>
        <v>4522.14343067139</v>
      </c>
      <c r="BP54" s="505">
        <f>BP53*$D$2</f>
        <v>936.44856932861001</v>
      </c>
    </row>
    <row r="55" spans="1:68" ht="3" customHeight="1">
      <c r="A55" s="54"/>
      <c r="B55" s="116"/>
      <c r="C55" s="57"/>
      <c r="D55" s="59"/>
      <c r="E55" s="57"/>
      <c r="F55" s="237"/>
      <c r="G55" s="238"/>
      <c r="H55" s="239"/>
      <c r="I55" s="59"/>
      <c r="J55" s="59"/>
      <c r="K55" s="59"/>
      <c r="L55" s="59"/>
      <c r="M55" s="108"/>
      <c r="N55" s="40"/>
      <c r="O55" s="59"/>
      <c r="P55" s="40"/>
      <c r="Q55" s="59"/>
      <c r="R55" s="59"/>
      <c r="S55" s="363"/>
      <c r="T55" s="363"/>
      <c r="U55" s="130"/>
      <c r="V55" s="59"/>
      <c r="W55" s="59"/>
      <c r="X55" s="59"/>
      <c r="Y55" s="59"/>
      <c r="Z55" s="57"/>
      <c r="AA55" s="59"/>
      <c r="AB55" s="57"/>
      <c r="AC55" s="59"/>
      <c r="AD55" s="57"/>
      <c r="AE55" s="59"/>
      <c r="AF55" s="108"/>
      <c r="AG55" s="109"/>
      <c r="AH55" s="44"/>
      <c r="AI55" s="57"/>
      <c r="AJ55" s="41"/>
      <c r="AK55" s="59"/>
      <c r="AL55" s="59"/>
      <c r="AM55" s="59"/>
      <c r="AN55" s="120"/>
      <c r="AO55" s="507"/>
      <c r="AP55" s="507"/>
      <c r="AQ55" s="59"/>
      <c r="AR55" s="59"/>
      <c r="AS55" s="497"/>
      <c r="AT55" s="497"/>
      <c r="AU55" s="497"/>
      <c r="AV55" s="497"/>
      <c r="AW55" s="40"/>
      <c r="AX55" s="41"/>
      <c r="AY55" s="59"/>
      <c r="AZ55" s="57"/>
      <c r="BA55" s="41"/>
      <c r="BB55" s="59"/>
      <c r="BC55" s="59"/>
      <c r="BD55" s="59"/>
      <c r="BE55" s="59"/>
      <c r="BF55" s="59"/>
      <c r="BG55" s="59"/>
      <c r="BH55" s="59"/>
      <c r="BI55" s="275"/>
      <c r="BJ55" s="300"/>
      <c r="BL55" s="572"/>
      <c r="BM55" s="578"/>
      <c r="BN55" s="578"/>
      <c r="BO55" s="579"/>
      <c r="BP55" s="579"/>
    </row>
    <row r="56" spans="1:68" ht="11.1" customHeight="1">
      <c r="A56" s="324"/>
      <c r="B56" s="286"/>
      <c r="D56" s="90"/>
      <c r="F56" s="325"/>
      <c r="G56" s="325"/>
      <c r="H56" s="326"/>
      <c r="I56" s="90"/>
      <c r="J56" s="90"/>
      <c r="K56" s="90"/>
      <c r="L56" s="90"/>
      <c r="M56" s="90"/>
      <c r="O56" s="90"/>
      <c r="Q56" s="90"/>
      <c r="R56" s="90"/>
      <c r="V56" s="90"/>
      <c r="W56" s="90"/>
      <c r="X56" s="90"/>
      <c r="Y56" s="90"/>
      <c r="Z56" s="49"/>
      <c r="AA56" s="90"/>
      <c r="AB56" s="49"/>
      <c r="AC56" s="49"/>
      <c r="AD56" s="49"/>
      <c r="AE56" s="90"/>
      <c r="AF56" s="90"/>
      <c r="AG56" s="90"/>
      <c r="AI56" s="49"/>
      <c r="AK56" s="90"/>
      <c r="AL56" s="90"/>
      <c r="AM56" s="90"/>
      <c r="AN56" s="26"/>
      <c r="AO56" s="508"/>
      <c r="AP56" s="508"/>
      <c r="AQ56" s="48"/>
      <c r="AR56" s="141"/>
      <c r="AS56" s="484"/>
      <c r="AT56" s="484"/>
      <c r="AU56" s="484"/>
      <c r="AV56" s="484"/>
      <c r="AW56" s="220"/>
      <c r="AX56" s="21"/>
      <c r="BD56" s="78"/>
      <c r="BI56" s="598"/>
      <c r="BJ56"/>
      <c r="BO56" s="531"/>
      <c r="BP56" s="531"/>
    </row>
    <row r="57" spans="1:68" ht="11.1" customHeight="1">
      <c r="A57" s="90"/>
      <c r="B57" s="49"/>
      <c r="E57" s="10"/>
      <c r="F57" s="175"/>
      <c r="G57" s="200"/>
      <c r="I57" s="10"/>
      <c r="J57" s="90"/>
      <c r="K57" s="287"/>
      <c r="L57" s="90"/>
      <c r="M57" s="90"/>
      <c r="O57" s="60"/>
      <c r="P57" s="38"/>
      <c r="Q57" s="60"/>
      <c r="R57" s="60"/>
      <c r="V57" s="90"/>
      <c r="W57" s="49"/>
      <c r="X57" s="60"/>
      <c r="Y57" s="31">
        <f>(Y51-AN51)+Z51</f>
        <v>52920.370676139879</v>
      </c>
      <c r="Z57" s="49"/>
      <c r="AA57" s="60"/>
      <c r="AB57" s="49"/>
      <c r="AC57" s="49"/>
      <c r="AD57" s="49"/>
      <c r="AE57" s="49"/>
      <c r="AF57" s="49"/>
      <c r="AG57" s="49"/>
      <c r="AI57" s="49"/>
      <c r="AK57" s="90"/>
      <c r="AL57" s="90"/>
      <c r="AN57" s="175"/>
      <c r="AO57" s="508"/>
      <c r="AP57" s="508"/>
      <c r="AQ57" s="141"/>
      <c r="AR57" s="141"/>
      <c r="AS57" s="484"/>
      <c r="AT57" s="484"/>
      <c r="AU57" s="484"/>
      <c r="AV57" s="484"/>
      <c r="BM57" s="580"/>
      <c r="BN57" s="580"/>
      <c r="BO57" s="531"/>
      <c r="BP57" s="531"/>
    </row>
    <row r="58" spans="1:68" ht="11.1" customHeight="1">
      <c r="AO58" s="508"/>
      <c r="AP58" s="508"/>
      <c r="BM58" s="538"/>
      <c r="BN58" s="538"/>
      <c r="BO58" s="510"/>
      <c r="BP58" s="510"/>
    </row>
    <row r="59" spans="1:68" ht="11.1" customHeight="1">
      <c r="B59" s="52"/>
      <c r="D59" s="49"/>
      <c r="F59" s="11"/>
      <c r="AE59" s="49"/>
      <c r="AF59" s="49"/>
      <c r="AG59" s="49"/>
      <c r="AN59" s="175"/>
      <c r="AO59" s="509"/>
      <c r="AP59" s="509"/>
      <c r="AQ59" s="200"/>
      <c r="AR59" s="200"/>
      <c r="AS59" s="499"/>
      <c r="AT59" s="499"/>
      <c r="AU59" s="499"/>
      <c r="AV59" s="499"/>
      <c r="BO59" s="510"/>
      <c r="BP59" s="510"/>
    </row>
    <row r="60" spans="1:68" ht="11.1" customHeight="1">
      <c r="B60" s="60"/>
      <c r="D60" s="60"/>
      <c r="G60" s="327"/>
      <c r="H60" s="328"/>
      <c r="I60" s="24"/>
      <c r="AN60" s="175"/>
      <c r="AO60" s="509"/>
      <c r="AP60" s="509"/>
      <c r="AQ60" s="200"/>
      <c r="AR60" s="457"/>
      <c r="AS60" s="500"/>
      <c r="AT60" s="500"/>
      <c r="AU60" s="500"/>
      <c r="AV60" s="500"/>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Q61"/>
  <sheetViews>
    <sheetView zoomScaleNormal="100" workbookViewId="0">
      <pane xSplit="1" ySplit="14" topLeftCell="B15" activePane="bottomRight" state="frozen"/>
      <selection pane="topRight" activeCell="B1" sqref="B1"/>
      <selection pane="bottomLeft" activeCell="A12" sqref="A12"/>
      <selection pane="bottomRight" activeCell="A15" sqref="A15:XFD15"/>
    </sheetView>
  </sheetViews>
  <sheetFormatPr defaultRowHeight="11.1" customHeight="1"/>
  <cols>
    <col min="1" max="1" width="4.6640625" style="60" customWidth="1"/>
    <col min="2" max="2" width="7" style="60" customWidth="1"/>
    <col min="3" max="3" width="6.33203125" style="31" customWidth="1"/>
    <col min="4" max="4" width="7" style="60" customWidth="1"/>
    <col min="5" max="5" width="7" style="31" customWidth="1"/>
    <col min="6" max="6" width="7.33203125" style="60" customWidth="1"/>
    <col min="7" max="7" width="6.83203125" style="60" customWidth="1"/>
    <col min="8" max="8" width="5.6640625" style="23" customWidth="1"/>
    <col min="9" max="11" width="6.33203125" style="60" customWidth="1"/>
    <col min="12" max="12" width="6.83203125" style="60" customWidth="1"/>
    <col min="13" max="13" width="5.5" style="23" customWidth="1"/>
    <col min="14" max="14" width="4.5" style="23" customWidth="1"/>
    <col min="15" max="15" width="5.83203125" style="23" bestFit="1" customWidth="1"/>
    <col min="16" max="16" width="5.5" style="38" customWidth="1"/>
    <col min="17" max="18" width="4.33203125" style="23" customWidth="1"/>
    <col min="19" max="20" width="4.33203125" style="60" customWidth="1"/>
    <col min="21" max="21" width="5.1640625" style="38" customWidth="1"/>
    <col min="22" max="23" width="5.5" style="60" customWidth="1"/>
    <col min="24" max="25" width="6.33203125" style="31" customWidth="1"/>
    <col min="26" max="26" width="5.5" style="60" customWidth="1"/>
    <col min="27" max="27" width="6.33203125" style="31" customWidth="1"/>
    <col min="28" max="28" width="5.5" style="30" customWidth="1"/>
    <col min="29" max="29" width="5.83203125" style="60" customWidth="1"/>
    <col min="30" max="30" width="5.5" style="60" customWidth="1"/>
    <col min="31" max="31" width="5.83203125" style="60" bestFit="1" customWidth="1"/>
    <col min="32" max="32" width="5.5" style="60" customWidth="1"/>
    <col min="33" max="33" width="4.6640625" style="60" bestFit="1" customWidth="1"/>
    <col min="34" max="34" width="6.33203125" style="31" customWidth="1"/>
    <col min="35" max="35" width="5.5" style="60" customWidth="1"/>
    <col min="36" max="36" width="6.33203125" style="173" customWidth="1"/>
    <col min="37" max="37" width="6.33203125" style="60" customWidth="1"/>
    <col min="38" max="38" width="6.83203125" style="60" customWidth="1"/>
    <col min="39" max="39" width="6.83203125" style="38" customWidth="1"/>
    <col min="40" max="40" width="5.5" style="60" customWidth="1"/>
    <col min="41" max="41" width="6.33203125" style="510" hidden="1" customWidth="1"/>
    <col min="42" max="42" width="7.5" style="510" hidden="1" customWidth="1"/>
    <col min="43" max="43" width="5.5" style="60" customWidth="1"/>
    <col min="44" max="44" width="7.1640625" style="60" customWidth="1"/>
    <col min="45" max="46" width="6.33203125" style="498" hidden="1" customWidth="1"/>
    <col min="47" max="47" width="7.1640625" style="498" hidden="1" customWidth="1"/>
    <col min="48" max="48" width="6.33203125" style="498" hidden="1" customWidth="1"/>
    <col min="49" max="49" width="6.33203125" style="33" customWidth="1"/>
    <col min="50" max="50" width="5.5" style="28" customWidth="1"/>
    <col min="51" max="51" width="5.5" style="555" hidden="1" customWidth="1"/>
    <col min="52" max="52" width="5.5" style="27" customWidth="1"/>
    <col min="53" max="53" width="5.83203125" style="60" customWidth="1"/>
    <col min="54" max="54" width="6.1640625" style="23" bestFit="1" customWidth="1"/>
    <col min="55" max="55" width="5.33203125" style="289" customWidth="1"/>
    <col min="56" max="56" width="3.83203125" style="290" customWidth="1"/>
    <col min="57" max="57" width="3.83203125" style="253" customWidth="1"/>
    <col min="58" max="58" width="3.83203125" customWidth="1"/>
    <col min="59" max="59" width="6.33203125" customWidth="1"/>
    <col min="60" max="60" width="9.33203125" style="514"/>
    <col min="62" max="63" width="10.1640625" style="2" customWidth="1"/>
    <col min="65" max="65" width="9.33203125" style="562" hidden="1" customWidth="1"/>
    <col min="66" max="67" width="7" style="498" hidden="1" customWidth="1"/>
    <col min="68" max="69" width="6.33203125" style="508" hidden="1" customWidth="1"/>
  </cols>
  <sheetData>
    <row r="1" spans="1:69" ht="14.1" customHeight="1">
      <c r="A1" s="61" t="s">
        <v>46</v>
      </c>
      <c r="B1" s="61"/>
      <c r="D1" s="61"/>
      <c r="F1" s="61"/>
      <c r="G1" s="61"/>
      <c r="I1" s="61"/>
      <c r="J1" s="61"/>
      <c r="K1" s="291" t="s">
        <v>53</v>
      </c>
      <c r="L1" s="61"/>
      <c r="M1" s="61"/>
      <c r="N1" s="61"/>
      <c r="S1" s="61"/>
      <c r="T1" s="61"/>
      <c r="V1" s="61"/>
      <c r="W1" s="61"/>
      <c r="Z1" s="61"/>
      <c r="AB1" s="90"/>
      <c r="AC1" s="61"/>
      <c r="AD1" s="61"/>
      <c r="AE1" s="61"/>
      <c r="AF1" s="61"/>
      <c r="AG1" s="61"/>
      <c r="AI1" s="61"/>
      <c r="AJ1" s="174"/>
      <c r="AK1" s="61"/>
      <c r="AL1" s="61"/>
      <c r="AN1" s="174"/>
      <c r="AO1" s="501"/>
      <c r="AP1" s="501"/>
      <c r="AQ1" s="174"/>
      <c r="AR1" s="174"/>
      <c r="AS1" s="484"/>
      <c r="AT1" s="484"/>
      <c r="AU1" s="484"/>
      <c r="AV1" s="484"/>
      <c r="BN1" s="563"/>
      <c r="BO1" s="563"/>
    </row>
    <row r="2" spans="1:69" ht="14.1" customHeight="1">
      <c r="A2" s="174" t="s">
        <v>0</v>
      </c>
      <c r="B2" s="61"/>
      <c r="D2" s="292">
        <v>1.9835</v>
      </c>
      <c r="F2" s="61"/>
      <c r="G2" s="61"/>
      <c r="I2" s="61"/>
      <c r="J2" s="61"/>
      <c r="K2" s="843" t="s">
        <v>181</v>
      </c>
      <c r="L2" s="843"/>
      <c r="M2" s="843"/>
      <c r="N2" s="843"/>
      <c r="O2" s="843"/>
      <c r="P2" s="843"/>
      <c r="Q2" s="843"/>
      <c r="R2" s="843"/>
      <c r="S2" s="843"/>
      <c r="T2" s="843"/>
      <c r="U2" s="843"/>
      <c r="V2" s="843"/>
      <c r="W2" s="319"/>
      <c r="X2" s="320"/>
      <c r="Y2" s="320"/>
      <c r="Z2" s="319"/>
      <c r="AA2" s="320"/>
      <c r="AB2" s="278"/>
      <c r="AC2" s="319"/>
      <c r="AD2" s="319"/>
      <c r="AE2" s="319"/>
      <c r="AF2" s="319"/>
      <c r="AG2" s="319"/>
      <c r="AH2" s="320"/>
      <c r="AI2" s="61"/>
      <c r="AJ2" s="174"/>
      <c r="AK2" s="61"/>
      <c r="AL2" s="61"/>
      <c r="AN2" s="174"/>
      <c r="AO2" s="501"/>
      <c r="AP2" s="501"/>
      <c r="AQ2" s="174"/>
      <c r="AR2" s="174"/>
      <c r="AS2" s="484"/>
      <c r="AT2" s="484"/>
      <c r="AU2" s="484"/>
      <c r="AV2" s="484"/>
      <c r="BN2" s="563"/>
      <c r="BO2" s="563"/>
    </row>
    <row r="3" spans="1:69" ht="14.1" customHeight="1" thickBot="1">
      <c r="A3" s="293"/>
      <c r="B3" s="737"/>
      <c r="C3" s="738"/>
      <c r="D3" s="739"/>
      <c r="E3" s="738"/>
      <c r="F3" s="737"/>
      <c r="G3" s="715"/>
      <c r="H3" s="718"/>
      <c r="I3" s="737"/>
      <c r="J3" s="737"/>
      <c r="K3" s="737"/>
      <c r="L3" s="737"/>
      <c r="M3" s="715"/>
      <c r="N3" s="715"/>
      <c r="O3" s="718"/>
      <c r="P3" s="752"/>
      <c r="Q3" s="718"/>
      <c r="R3" s="718"/>
      <c r="S3" s="715"/>
      <c r="T3" s="715"/>
      <c r="U3" s="748"/>
      <c r="V3" s="715"/>
      <c r="W3" s="715"/>
      <c r="X3" s="738"/>
      <c r="Y3" s="738"/>
      <c r="Z3" s="737"/>
      <c r="AA3" s="767"/>
      <c r="AB3" s="743"/>
      <c r="AC3" s="737"/>
      <c r="AD3" s="737"/>
      <c r="AE3" s="715"/>
      <c r="AF3" s="737"/>
      <c r="AG3" s="737"/>
      <c r="AH3" s="712"/>
      <c r="AI3" s="737"/>
      <c r="AJ3" s="761"/>
      <c r="AK3" s="737"/>
      <c r="AL3" s="737"/>
      <c r="AM3" s="748"/>
      <c r="AN3" s="761"/>
      <c r="AO3" s="761"/>
      <c r="AP3" s="761"/>
      <c r="AQ3" s="761"/>
      <c r="AR3" s="761"/>
      <c r="AS3" s="758"/>
      <c r="AT3" s="758"/>
      <c r="AU3" s="758"/>
      <c r="AV3" s="758"/>
      <c r="AW3" s="796"/>
      <c r="AX3" s="797"/>
      <c r="AY3" s="797"/>
      <c r="AZ3" s="798"/>
      <c r="BA3" s="725"/>
      <c r="BB3" s="764"/>
      <c r="BC3" s="776"/>
      <c r="BD3" s="769"/>
      <c r="BE3" s="777"/>
      <c r="BF3" s="766"/>
      <c r="BG3" s="766"/>
      <c r="BH3" s="735"/>
      <c r="BI3" s="736"/>
      <c r="BJ3" s="789"/>
      <c r="BK3" s="789"/>
      <c r="BN3" s="564"/>
      <c r="BO3" s="564"/>
      <c r="BP3" s="565"/>
      <c r="BQ3" s="565"/>
    </row>
    <row r="4" spans="1:69" s="30" customFormat="1" ht="14.1" customHeight="1" thickTop="1" thickBot="1">
      <c r="A4" s="228"/>
      <c r="B4" s="159"/>
      <c r="C4" s="160"/>
      <c r="D4" s="20" t="s">
        <v>47</v>
      </c>
      <c r="E4" s="160"/>
      <c r="F4" s="228"/>
      <c r="G4" s="159"/>
      <c r="H4" s="229"/>
      <c r="I4" s="231" t="s">
        <v>124</v>
      </c>
      <c r="J4" s="228"/>
      <c r="K4" s="228"/>
      <c r="L4" s="428"/>
      <c r="M4" s="228"/>
      <c r="N4" s="230"/>
      <c r="O4" s="228"/>
      <c r="P4" s="230"/>
      <c r="Q4" s="228"/>
      <c r="R4" s="228"/>
      <c r="S4" s="228"/>
      <c r="T4" s="228"/>
      <c r="U4" s="230"/>
      <c r="V4" s="231"/>
      <c r="W4" s="228"/>
      <c r="X4" s="231" t="s">
        <v>122</v>
      </c>
      <c r="Y4" s="160"/>
      <c r="Z4" s="228"/>
      <c r="AA4" s="160"/>
      <c r="AB4" s="228"/>
      <c r="AC4" s="228"/>
      <c r="AD4" s="228"/>
      <c r="AE4" s="228"/>
      <c r="AF4" s="228"/>
      <c r="AG4" s="228"/>
      <c r="AH4" s="232"/>
      <c r="AI4" s="228"/>
      <c r="AJ4" s="515"/>
      <c r="AK4" s="228"/>
      <c r="AL4" s="228"/>
      <c r="AM4" s="230"/>
      <c r="AN4" s="516"/>
      <c r="AO4" s="503"/>
      <c r="AP4" s="503"/>
      <c r="AQ4" s="253"/>
      <c r="AR4" s="19" t="s">
        <v>55</v>
      </c>
      <c r="AS4" s="486"/>
      <c r="AT4" s="486"/>
      <c r="AU4" s="486"/>
      <c r="AV4" s="486"/>
      <c r="AW4" s="157"/>
      <c r="AX4" s="359"/>
      <c r="AY4" s="556"/>
      <c r="AZ4" s="152"/>
      <c r="BA4" s="264"/>
      <c r="BB4" s="264"/>
      <c r="BC4" s="162"/>
      <c r="BD4" s="16" t="s">
        <v>48</v>
      </c>
      <c r="BE4" s="395"/>
      <c r="BF4" s="396"/>
      <c r="BG4" s="397"/>
      <c r="BH4" s="52"/>
      <c r="BI4" s="396"/>
      <c r="BJ4" s="601"/>
      <c r="BK4" s="381"/>
      <c r="BM4" s="566"/>
      <c r="BN4" s="566"/>
      <c r="BO4" s="566"/>
      <c r="BP4" s="567"/>
      <c r="BQ4" s="567"/>
    </row>
    <row r="5" spans="1:69" s="2" customFormat="1" ht="12.95" customHeight="1">
      <c r="A5" s="7" t="s">
        <v>1</v>
      </c>
      <c r="B5" s="194" t="s">
        <v>2</v>
      </c>
      <c r="C5" s="4" t="s">
        <v>2</v>
      </c>
      <c r="D5" s="7" t="s">
        <v>3</v>
      </c>
      <c r="E5" s="4" t="s">
        <v>4</v>
      </c>
      <c r="F5" s="7" t="s">
        <v>5</v>
      </c>
      <c r="G5" s="620" t="s">
        <v>6</v>
      </c>
      <c r="H5" s="21" t="s">
        <v>7</v>
      </c>
      <c r="I5" s="7" t="s">
        <v>63</v>
      </c>
      <c r="J5" s="7" t="s">
        <v>8</v>
      </c>
      <c r="K5" s="7" t="s">
        <v>9</v>
      </c>
      <c r="L5" s="281" t="s">
        <v>8</v>
      </c>
      <c r="M5" s="429" t="s">
        <v>10</v>
      </c>
      <c r="N5" s="233"/>
      <c r="O5" s="195"/>
      <c r="P5" s="233"/>
      <c r="Q5" s="195"/>
      <c r="R5" s="195"/>
      <c r="S5" s="195"/>
      <c r="T5" s="195"/>
      <c r="U5" s="250"/>
      <c r="V5" s="7" t="s">
        <v>11</v>
      </c>
      <c r="W5" s="7" t="s">
        <v>12</v>
      </c>
      <c r="X5" s="623" t="s">
        <v>9</v>
      </c>
      <c r="Y5" s="8" t="s">
        <v>9</v>
      </c>
      <c r="Z5" s="625" t="s">
        <v>13</v>
      </c>
      <c r="AA5" s="8" t="s">
        <v>13</v>
      </c>
      <c r="AB5" s="12" t="s">
        <v>13</v>
      </c>
      <c r="AC5" s="626" t="s">
        <v>82</v>
      </c>
      <c r="AD5" s="4" t="s">
        <v>13</v>
      </c>
      <c r="AE5" s="7" t="s">
        <v>14</v>
      </c>
      <c r="AF5" s="848" t="s">
        <v>140</v>
      </c>
      <c r="AG5" s="849"/>
      <c r="AH5" s="15" t="s">
        <v>15</v>
      </c>
      <c r="AI5" s="4" t="s">
        <v>74</v>
      </c>
      <c r="AJ5" s="4" t="s">
        <v>88</v>
      </c>
      <c r="AK5" s="7" t="s">
        <v>63</v>
      </c>
      <c r="AL5" s="7" t="s">
        <v>8</v>
      </c>
      <c r="AM5" s="7" t="s">
        <v>9</v>
      </c>
      <c r="AN5" s="358" t="s">
        <v>52</v>
      </c>
      <c r="AO5" s="504" t="s">
        <v>159</v>
      </c>
      <c r="AP5" s="504" t="s">
        <v>52</v>
      </c>
      <c r="AQ5" s="12" t="s">
        <v>13</v>
      </c>
      <c r="AR5" s="611" t="s">
        <v>49</v>
      </c>
      <c r="AS5" s="487" t="s">
        <v>146</v>
      </c>
      <c r="AT5" s="487" t="s">
        <v>148</v>
      </c>
      <c r="AU5" s="487" t="s">
        <v>148</v>
      </c>
      <c r="AV5" s="487" t="s">
        <v>148</v>
      </c>
      <c r="AW5" s="36" t="s">
        <v>49</v>
      </c>
      <c r="AX5" s="619" t="s">
        <v>96</v>
      </c>
      <c r="AY5" s="550" t="s">
        <v>163</v>
      </c>
      <c r="AZ5" s="14" t="s">
        <v>56</v>
      </c>
      <c r="BA5" s="21" t="s">
        <v>79</v>
      </c>
      <c r="BB5" s="37" t="s">
        <v>134</v>
      </c>
      <c r="BC5" s="139" t="s">
        <v>16</v>
      </c>
      <c r="BD5" s="15" t="s">
        <v>17</v>
      </c>
      <c r="BE5" s="15" t="s">
        <v>18</v>
      </c>
      <c r="BF5" s="513"/>
      <c r="BG5" s="389" t="s">
        <v>9</v>
      </c>
      <c r="BH5" s="220" t="s">
        <v>128</v>
      </c>
      <c r="BI5" s="444" t="s">
        <v>128</v>
      </c>
      <c r="BJ5" s="602" t="s">
        <v>174</v>
      </c>
      <c r="BK5" s="599" t="s">
        <v>167</v>
      </c>
      <c r="BM5" s="562"/>
      <c r="BN5" s="568" t="s">
        <v>2</v>
      </c>
      <c r="BO5" s="568"/>
      <c r="BP5" s="569" t="s">
        <v>15</v>
      </c>
      <c r="BQ5" s="569" t="s">
        <v>15</v>
      </c>
    </row>
    <row r="6" spans="1:69" s="2" customFormat="1" ht="12.95" customHeight="1">
      <c r="A6" s="196" t="s">
        <v>100</v>
      </c>
      <c r="B6" s="194" t="s">
        <v>19</v>
      </c>
      <c r="C6" s="4"/>
      <c r="D6" s="7" t="s">
        <v>20</v>
      </c>
      <c r="E6" s="4" t="s">
        <v>21</v>
      </c>
      <c r="F6" s="7" t="s">
        <v>22</v>
      </c>
      <c r="G6" s="620" t="s">
        <v>23</v>
      </c>
      <c r="H6" s="21" t="s">
        <v>64</v>
      </c>
      <c r="I6" s="7" t="s">
        <v>24</v>
      </c>
      <c r="J6" s="7" t="s">
        <v>24</v>
      </c>
      <c r="K6" s="7" t="s">
        <v>24</v>
      </c>
      <c r="L6" s="281" t="s">
        <v>25</v>
      </c>
      <c r="M6" s="651" t="s">
        <v>26</v>
      </c>
      <c r="N6" s="622" t="s">
        <v>65</v>
      </c>
      <c r="O6" s="7" t="s">
        <v>67</v>
      </c>
      <c r="P6" s="220" t="s">
        <v>190</v>
      </c>
      <c r="Q6" s="8" t="s">
        <v>57</v>
      </c>
      <c r="R6" s="8" t="s">
        <v>118</v>
      </c>
      <c r="S6" s="8"/>
      <c r="T6" s="8" t="s">
        <v>67</v>
      </c>
      <c r="U6" s="32" t="s">
        <v>87</v>
      </c>
      <c r="V6" s="7" t="s">
        <v>27</v>
      </c>
      <c r="W6" s="7" t="s">
        <v>42</v>
      </c>
      <c r="X6" s="623" t="s">
        <v>13</v>
      </c>
      <c r="Y6" s="8" t="s">
        <v>13</v>
      </c>
      <c r="Z6" s="625" t="s">
        <v>28</v>
      </c>
      <c r="AA6" s="8" t="s">
        <v>28</v>
      </c>
      <c r="AB6" s="12" t="s">
        <v>92</v>
      </c>
      <c r="AC6" s="626" t="s">
        <v>83</v>
      </c>
      <c r="AD6" s="4" t="s">
        <v>86</v>
      </c>
      <c r="AE6" s="7" t="s">
        <v>29</v>
      </c>
      <c r="AF6" s="171" t="s">
        <v>76</v>
      </c>
      <c r="AG6" s="294" t="s">
        <v>58</v>
      </c>
      <c r="AH6" s="15" t="s">
        <v>69</v>
      </c>
      <c r="AI6" s="4" t="s">
        <v>62</v>
      </c>
      <c r="AJ6" s="4"/>
      <c r="AK6" s="7" t="s">
        <v>70</v>
      </c>
      <c r="AL6" s="7" t="s">
        <v>70</v>
      </c>
      <c r="AM6" s="7" t="s">
        <v>70</v>
      </c>
      <c r="AN6" s="358" t="s">
        <v>110</v>
      </c>
      <c r="AO6" s="504" t="s">
        <v>70</v>
      </c>
      <c r="AP6" s="504" t="s">
        <v>158</v>
      </c>
      <c r="AQ6" s="12" t="s">
        <v>71</v>
      </c>
      <c r="AR6" s="36" t="s">
        <v>51</v>
      </c>
      <c r="AS6" s="487" t="s">
        <v>72</v>
      </c>
      <c r="AT6" s="487" t="s">
        <v>72</v>
      </c>
      <c r="AU6" s="487" t="s">
        <v>150</v>
      </c>
      <c r="AV6" s="487" t="s">
        <v>72</v>
      </c>
      <c r="AW6" s="36" t="s">
        <v>51</v>
      </c>
      <c r="AX6" s="619" t="s">
        <v>94</v>
      </c>
      <c r="AY6" s="488">
        <v>100</v>
      </c>
      <c r="AZ6" s="14" t="s">
        <v>54</v>
      </c>
      <c r="BA6" s="21" t="s">
        <v>80</v>
      </c>
      <c r="BB6" s="37" t="s">
        <v>133</v>
      </c>
      <c r="BC6" s="140"/>
      <c r="BD6" s="15" t="s">
        <v>30</v>
      </c>
      <c r="BE6" s="15" t="s">
        <v>30</v>
      </c>
      <c r="BF6" s="513"/>
      <c r="BG6" s="389" t="s">
        <v>99</v>
      </c>
      <c r="BH6" s="220" t="s">
        <v>130</v>
      </c>
      <c r="BI6" s="444" t="s">
        <v>129</v>
      </c>
      <c r="BJ6" s="606" t="s">
        <v>175</v>
      </c>
      <c r="BK6" s="599" t="s">
        <v>168</v>
      </c>
      <c r="BM6" s="562"/>
      <c r="BN6" s="568" t="s">
        <v>19</v>
      </c>
      <c r="BO6" s="568"/>
      <c r="BP6" s="569" t="s">
        <v>69</v>
      </c>
      <c r="BQ6" s="569" t="s">
        <v>69</v>
      </c>
    </row>
    <row r="7" spans="1:69" s="2" customFormat="1" ht="12.95" customHeight="1">
      <c r="A7" s="7"/>
      <c r="B7" s="194"/>
      <c r="C7" s="4"/>
      <c r="D7" s="7"/>
      <c r="E7" s="4"/>
      <c r="F7" s="7"/>
      <c r="G7" s="194"/>
      <c r="H7" s="21"/>
      <c r="I7" s="7"/>
      <c r="J7" s="7"/>
      <c r="K7" s="7"/>
      <c r="L7" s="281"/>
      <c r="M7" s="7"/>
      <c r="N7" s="220" t="s">
        <v>66</v>
      </c>
      <c r="O7" s="7" t="s">
        <v>68</v>
      </c>
      <c r="P7" s="220"/>
      <c r="Q7" s="8" t="s">
        <v>119</v>
      </c>
      <c r="R7" s="8" t="s">
        <v>119</v>
      </c>
      <c r="S7" s="8" t="s">
        <v>58</v>
      </c>
      <c r="T7" s="8" t="s">
        <v>58</v>
      </c>
      <c r="U7" s="32" t="s">
        <v>120</v>
      </c>
      <c r="V7" s="7"/>
      <c r="W7" s="7"/>
      <c r="X7" s="624" t="s">
        <v>108</v>
      </c>
      <c r="Y7" s="13" t="s">
        <v>90</v>
      </c>
      <c r="Z7" s="625" t="s">
        <v>115</v>
      </c>
      <c r="AA7" s="8" t="s">
        <v>111</v>
      </c>
      <c r="AB7" s="12" t="s">
        <v>93</v>
      </c>
      <c r="AC7" s="4"/>
      <c r="AD7" s="4"/>
      <c r="AE7" s="281"/>
      <c r="AF7" s="430">
        <v>1.7</v>
      </c>
      <c r="AG7" s="431">
        <v>1.3</v>
      </c>
      <c r="AH7" s="15"/>
      <c r="AI7" s="609">
        <v>27779.932699024892</v>
      </c>
      <c r="AJ7" s="4"/>
      <c r="AK7" s="7"/>
      <c r="AL7" s="7"/>
      <c r="AM7" s="7"/>
      <c r="AN7" s="358"/>
      <c r="AO7" s="504"/>
      <c r="AP7" s="504" t="s">
        <v>110</v>
      </c>
      <c r="AQ7" s="12" t="s">
        <v>22</v>
      </c>
      <c r="AR7" s="36" t="s">
        <v>45</v>
      </c>
      <c r="AS7" s="487"/>
      <c r="AT7" s="487"/>
      <c r="AU7" s="487" t="s">
        <v>151</v>
      </c>
      <c r="AV7" s="487" t="s">
        <v>149</v>
      </c>
      <c r="AW7" s="36" t="s">
        <v>72</v>
      </c>
      <c r="AX7" s="619" t="s">
        <v>95</v>
      </c>
      <c r="AY7" s="550" t="s">
        <v>76</v>
      </c>
      <c r="AZ7" s="14" t="s">
        <v>59</v>
      </c>
      <c r="BA7" s="21" t="s">
        <v>81</v>
      </c>
      <c r="BB7" s="37" t="s">
        <v>108</v>
      </c>
      <c r="BC7" s="140"/>
      <c r="BD7" s="15"/>
      <c r="BE7" s="15"/>
      <c r="BF7" s="513"/>
      <c r="BG7" s="389" t="s">
        <v>97</v>
      </c>
      <c r="BH7" s="52"/>
      <c r="BI7" s="407"/>
      <c r="BJ7" s="602" t="s">
        <v>176</v>
      </c>
      <c r="BK7" s="599" t="s">
        <v>172</v>
      </c>
      <c r="BM7" s="562"/>
      <c r="BN7" s="568" t="s">
        <v>142</v>
      </c>
      <c r="BO7" s="568"/>
      <c r="BP7" s="570" t="s">
        <v>153</v>
      </c>
      <c r="BQ7" s="570" t="s">
        <v>154</v>
      </c>
    </row>
    <row r="8" spans="1:69" s="2" customFormat="1" ht="12.95" customHeight="1">
      <c r="A8" s="7"/>
      <c r="B8" s="194"/>
      <c r="C8" s="4"/>
      <c r="D8" s="7"/>
      <c r="E8" s="4"/>
      <c r="F8" s="7"/>
      <c r="G8" s="194"/>
      <c r="H8" s="21"/>
      <c r="I8" s="7"/>
      <c r="J8" s="7"/>
      <c r="K8" s="7"/>
      <c r="L8" s="281"/>
      <c r="M8" s="7"/>
      <c r="N8" s="8"/>
      <c r="O8" s="693">
        <v>24213.923416778209</v>
      </c>
      <c r="P8" s="220"/>
      <c r="Q8" s="8" t="s">
        <v>58</v>
      </c>
      <c r="R8" s="8" t="s">
        <v>58</v>
      </c>
      <c r="S8" s="8"/>
      <c r="T8" s="8"/>
      <c r="U8" s="32"/>
      <c r="V8" s="7"/>
      <c r="W8" s="7"/>
      <c r="X8" s="624" t="s">
        <v>109</v>
      </c>
      <c r="Y8" s="13" t="s">
        <v>108</v>
      </c>
      <c r="Z8" s="12"/>
      <c r="AA8" s="13" t="s">
        <v>114</v>
      </c>
      <c r="AB8" s="12" t="s">
        <v>113</v>
      </c>
      <c r="AC8" s="4"/>
      <c r="AD8" s="693">
        <v>17365.480657043157</v>
      </c>
      <c r="AE8" s="693">
        <v>55878.018085105388</v>
      </c>
      <c r="AF8" s="282"/>
      <c r="AG8" s="283"/>
      <c r="AH8" s="15"/>
      <c r="AI8" s="62">
        <f>AI7/D2</f>
        <v>14005.511822044311</v>
      </c>
      <c r="AJ8" s="4"/>
      <c r="AK8" s="7"/>
      <c r="AL8" s="7"/>
      <c r="AM8" s="7"/>
      <c r="AN8" s="358"/>
      <c r="AO8" s="504"/>
      <c r="AP8" s="504"/>
      <c r="AQ8" s="12"/>
      <c r="AR8" s="36"/>
      <c r="AS8" s="487"/>
      <c r="AT8" s="487"/>
      <c r="AU8" s="487"/>
      <c r="AV8" s="487"/>
      <c r="AW8" s="36"/>
      <c r="AX8" s="612">
        <v>5191.6441856943857</v>
      </c>
      <c r="AY8" s="488" t="s">
        <v>164</v>
      </c>
      <c r="AZ8" s="694">
        <v>1685.1</v>
      </c>
      <c r="BA8" s="710">
        <f>692.219224759251/2</f>
        <v>346.1096123796255</v>
      </c>
      <c r="BB8" s="37"/>
      <c r="BC8" s="140"/>
      <c r="BD8" s="15"/>
      <c r="BE8" s="15"/>
      <c r="BF8" s="513"/>
      <c r="BG8" s="389"/>
      <c r="BH8" s="52"/>
      <c r="BI8" s="407"/>
      <c r="BJ8" s="603" t="s">
        <v>168</v>
      </c>
      <c r="BK8" s="600" t="s">
        <v>173</v>
      </c>
      <c r="BM8" s="562"/>
      <c r="BN8" s="568"/>
      <c r="BO8" s="568"/>
      <c r="BP8" s="570" t="s">
        <v>155</v>
      </c>
      <c r="BQ8" s="570" t="s">
        <v>153</v>
      </c>
    </row>
    <row r="9" spans="1:69" s="2" customFormat="1" ht="12.95" customHeight="1">
      <c r="A9" s="7"/>
      <c r="B9" s="194"/>
      <c r="C9" s="4"/>
      <c r="D9" s="7"/>
      <c r="E9" s="4"/>
      <c r="F9" s="7"/>
      <c r="G9" s="194"/>
      <c r="H9" s="21"/>
      <c r="I9" s="7"/>
      <c r="J9" s="7"/>
      <c r="K9" s="7"/>
      <c r="L9" s="281"/>
      <c r="M9" s="7"/>
      <c r="N9" s="220"/>
      <c r="O9" s="4"/>
      <c r="P9" s="220"/>
      <c r="Q9" s="8"/>
      <c r="R9" s="413">
        <v>4.2</v>
      </c>
      <c r="S9" s="8"/>
      <c r="T9" s="8"/>
      <c r="U9" s="32"/>
      <c r="V9" s="7"/>
      <c r="W9" s="7"/>
      <c r="X9" s="13"/>
      <c r="Y9" s="13" t="s">
        <v>109</v>
      </c>
      <c r="Z9" s="12"/>
      <c r="AA9" s="554" t="s">
        <v>109</v>
      </c>
      <c r="AB9" s="12" t="s">
        <v>112</v>
      </c>
      <c r="AC9" s="4"/>
      <c r="AD9" s="4"/>
      <c r="AE9" s="7"/>
      <c r="AF9" s="282"/>
      <c r="AG9" s="283"/>
      <c r="AH9" s="15"/>
      <c r="AI9" s="4"/>
      <c r="AJ9" s="4"/>
      <c r="AK9" s="7"/>
      <c r="AL9" s="7"/>
      <c r="AM9" s="7"/>
      <c r="AN9" s="358"/>
      <c r="AO9" s="504"/>
      <c r="AP9" s="504">
        <v>1750</v>
      </c>
      <c r="AQ9" s="12"/>
      <c r="AR9" s="36"/>
      <c r="AS9" s="487"/>
      <c r="AT9" s="487"/>
      <c r="AU9" s="487"/>
      <c r="AV9" s="487"/>
      <c r="AW9" s="36"/>
      <c r="AX9" s="612">
        <f>AX8/$D$2</f>
        <v>2617.4157729742301</v>
      </c>
      <c r="AY9" s="488">
        <f>100*4.01*(40/48)</f>
        <v>334.16666666666669</v>
      </c>
      <c r="AZ9" s="35"/>
      <c r="BA9" s="614">
        <f>BA8/$D$2</f>
        <v>174.49438486494859</v>
      </c>
      <c r="BB9" s="37"/>
      <c r="BC9" s="140"/>
      <c r="BD9" s="15"/>
      <c r="BE9" s="15"/>
      <c r="BF9" s="513"/>
      <c r="BG9" s="389"/>
      <c r="BH9" s="52"/>
      <c r="BI9" s="452" t="s">
        <v>141</v>
      </c>
      <c r="BJ9" s="603"/>
      <c r="BK9" s="600"/>
      <c r="BM9" s="562"/>
      <c r="BN9" s="568"/>
      <c r="BO9" s="568"/>
      <c r="BP9" s="570" t="s">
        <v>156</v>
      </c>
      <c r="BQ9" s="570"/>
    </row>
    <row r="10" spans="1:69" s="2" customFormat="1" ht="12.95" customHeight="1">
      <c r="A10" s="7"/>
      <c r="B10" s="194"/>
      <c r="C10" s="4" t="s">
        <v>3</v>
      </c>
      <c r="D10" s="7"/>
      <c r="E10" s="4" t="s">
        <v>50</v>
      </c>
      <c r="F10" s="7"/>
      <c r="G10" s="194" t="s">
        <v>22</v>
      </c>
      <c r="H10" s="21" t="s">
        <v>22</v>
      </c>
      <c r="I10" s="21" t="s">
        <v>22</v>
      </c>
      <c r="J10" s="21" t="s">
        <v>22</v>
      </c>
      <c r="K10" s="21" t="s">
        <v>22</v>
      </c>
      <c r="L10" s="367" t="s">
        <v>22</v>
      </c>
      <c r="M10" s="21" t="s">
        <v>22</v>
      </c>
      <c r="N10" s="21" t="s">
        <v>22</v>
      </c>
      <c r="O10" s="21" t="s">
        <v>22</v>
      </c>
      <c r="P10" s="21" t="s">
        <v>22</v>
      </c>
      <c r="Q10" s="8" t="s">
        <v>22</v>
      </c>
      <c r="R10" s="8" t="s">
        <v>22</v>
      </c>
      <c r="S10" s="8" t="s">
        <v>22</v>
      </c>
      <c r="T10" s="8" t="s">
        <v>22</v>
      </c>
      <c r="U10" s="367" t="s">
        <v>22</v>
      </c>
      <c r="V10" s="21" t="s">
        <v>22</v>
      </c>
      <c r="W10" s="21" t="s">
        <v>22</v>
      </c>
      <c r="X10" s="13">
        <v>153400</v>
      </c>
      <c r="Y10" s="13">
        <v>150400</v>
      </c>
      <c r="Z10" s="8" t="s">
        <v>22</v>
      </c>
      <c r="AA10" s="13"/>
      <c r="AB10" s="13">
        <v>72000</v>
      </c>
      <c r="AC10" s="21" t="s">
        <v>22</v>
      </c>
      <c r="AD10" s="21" t="s">
        <v>22</v>
      </c>
      <c r="AE10" s="21" t="s">
        <v>22</v>
      </c>
      <c r="AF10" s="366" t="s">
        <v>22</v>
      </c>
      <c r="AG10" s="367" t="s">
        <v>22</v>
      </c>
      <c r="AH10" s="21" t="s">
        <v>22</v>
      </c>
      <c r="AI10" s="21" t="s">
        <v>22</v>
      </c>
      <c r="AJ10" s="21" t="s">
        <v>22</v>
      </c>
      <c r="AK10" s="21" t="s">
        <v>22</v>
      </c>
      <c r="AL10" s="21" t="s">
        <v>22</v>
      </c>
      <c r="AM10" s="21" t="s">
        <v>22</v>
      </c>
      <c r="AN10" s="358" t="s">
        <v>22</v>
      </c>
      <c r="AO10" s="504" t="s">
        <v>22</v>
      </c>
      <c r="AP10" s="511" t="s">
        <v>157</v>
      </c>
      <c r="AQ10" s="12" t="s">
        <v>22</v>
      </c>
      <c r="AR10" s="12" t="s">
        <v>22</v>
      </c>
      <c r="AS10" s="488" t="s">
        <v>147</v>
      </c>
      <c r="AT10" s="488" t="s">
        <v>147</v>
      </c>
      <c r="AU10" s="488" t="s">
        <v>152</v>
      </c>
      <c r="AV10" s="487" t="s">
        <v>73</v>
      </c>
      <c r="AW10" s="36" t="s">
        <v>73</v>
      </c>
      <c r="AX10" s="14" t="s">
        <v>22</v>
      </c>
      <c r="AY10" s="550" t="s">
        <v>22</v>
      </c>
      <c r="AZ10" s="14" t="s">
        <v>22</v>
      </c>
      <c r="BA10" s="12" t="s">
        <v>22</v>
      </c>
      <c r="BB10" s="12" t="s">
        <v>22</v>
      </c>
      <c r="BC10" s="140"/>
      <c r="BD10" s="15"/>
      <c r="BE10" s="15"/>
      <c r="BF10" s="378"/>
      <c r="BG10" s="389" t="s">
        <v>98</v>
      </c>
      <c r="BH10" s="220" t="s">
        <v>22</v>
      </c>
      <c r="BI10" s="444" t="s">
        <v>50</v>
      </c>
      <c r="BJ10" s="603" t="s">
        <v>22</v>
      </c>
      <c r="BK10" s="600" t="s">
        <v>22</v>
      </c>
      <c r="BM10" s="562"/>
      <c r="BN10" s="568"/>
      <c r="BO10" s="568"/>
      <c r="BP10" s="570" t="s">
        <v>22</v>
      </c>
      <c r="BQ10" s="570" t="s">
        <v>22</v>
      </c>
    </row>
    <row r="11" spans="1:69" s="2" customFormat="1" ht="12.95" customHeight="1">
      <c r="A11" s="7"/>
      <c r="B11" s="194"/>
      <c r="C11" s="4"/>
      <c r="D11" s="7"/>
      <c r="E11" s="4"/>
      <c r="F11" s="416"/>
      <c r="G11" s="7"/>
      <c r="H11" s="21"/>
      <c r="I11" s="7"/>
      <c r="J11" s="7"/>
      <c r="K11" s="7"/>
      <c r="L11" s="281"/>
      <c r="M11" s="7"/>
      <c r="N11" s="220">
        <v>1.03</v>
      </c>
      <c r="O11" s="219">
        <v>1.05</v>
      </c>
      <c r="P11" s="220">
        <v>1.02</v>
      </c>
      <c r="Q11" s="322">
        <v>1.02</v>
      </c>
      <c r="R11" s="65">
        <v>1.04</v>
      </c>
      <c r="S11" s="8"/>
      <c r="T11" s="322">
        <v>1.04</v>
      </c>
      <c r="U11" s="32"/>
      <c r="V11" s="7"/>
      <c r="W11" s="7"/>
      <c r="X11" s="8" t="s">
        <v>22</v>
      </c>
      <c r="Y11" s="8" t="s">
        <v>22</v>
      </c>
      <c r="Z11" s="8" t="s">
        <v>22</v>
      </c>
      <c r="AA11" s="13" t="s">
        <v>22</v>
      </c>
      <c r="AB11" s="26" t="s">
        <v>89</v>
      </c>
      <c r="AC11" s="4"/>
      <c r="AD11" s="4"/>
      <c r="AE11" s="7"/>
      <c r="AF11" s="282"/>
      <c r="AG11" s="283"/>
      <c r="AH11" s="15"/>
      <c r="AI11" s="4"/>
      <c r="AJ11" s="4"/>
      <c r="AK11" s="7"/>
      <c r="AL11" s="7"/>
      <c r="AM11" s="7"/>
      <c r="AN11" s="358"/>
      <c r="AO11" s="504"/>
      <c r="AP11" s="504"/>
      <c r="AQ11" s="12"/>
      <c r="AR11" s="36"/>
      <c r="AS11" s="487"/>
      <c r="AT11" s="487"/>
      <c r="AU11" s="487"/>
      <c r="AV11" s="487"/>
      <c r="AW11" s="36"/>
      <c r="AX11" s="14"/>
      <c r="AY11" s="550"/>
      <c r="AZ11" s="261"/>
      <c r="BA11" s="263"/>
      <c r="BB11" s="200"/>
      <c r="BC11" s="140"/>
      <c r="BD11" s="15"/>
      <c r="BE11" s="15"/>
      <c r="BF11" s="378"/>
      <c r="BG11" s="389" t="s">
        <v>22</v>
      </c>
      <c r="BH11" s="52"/>
      <c r="BI11" s="407"/>
      <c r="BJ11" s="603"/>
      <c r="BK11" s="600"/>
      <c r="BM11" s="562"/>
      <c r="BN11" s="568"/>
      <c r="BO11" s="568"/>
      <c r="BP11" s="570"/>
      <c r="BQ11" s="570"/>
    </row>
    <row r="12" spans="1:69" ht="12.95" customHeight="1">
      <c r="A12" s="61" t="s">
        <v>31</v>
      </c>
      <c r="B12" s="177"/>
      <c r="C12" s="62"/>
      <c r="D12" s="62"/>
      <c r="E12" s="62"/>
      <c r="F12" s="178">
        <f>MAY!F50</f>
        <v>1426.2667002772873</v>
      </c>
      <c r="G12" s="62">
        <f>MAY!G50</f>
        <v>34607</v>
      </c>
      <c r="H12" s="62">
        <f>MAY!H50</f>
        <v>133.2227</v>
      </c>
      <c r="I12" s="62">
        <f>MAY!I50</f>
        <v>34740.222699999998</v>
      </c>
      <c r="J12" s="62">
        <f>MAY!J50</f>
        <v>43.44379379884046</v>
      </c>
      <c r="K12" s="62">
        <f>MAY!K50</f>
        <v>34783.656493798837</v>
      </c>
      <c r="L12" s="63">
        <f>MAY!L50</f>
        <v>-1963.2859997227126</v>
      </c>
      <c r="M12" s="62">
        <f>MAY!M50</f>
        <v>13119.2</v>
      </c>
      <c r="N12" s="62">
        <f>MAY!N50</f>
        <v>15.5</v>
      </c>
      <c r="O12" s="62">
        <f>MAY!O50</f>
        <v>4770.433500000001</v>
      </c>
      <c r="P12" s="65">
        <f>MAY!P50</f>
        <v>0</v>
      </c>
      <c r="Q12" s="180"/>
      <c r="R12" s="180"/>
      <c r="S12" s="62"/>
      <c r="T12" s="62"/>
      <c r="U12" s="131"/>
      <c r="V12" s="62">
        <f>MAY!V50</f>
        <v>6473</v>
      </c>
      <c r="W12" s="62">
        <f>MAY!W50</f>
        <v>2207.7199999999998</v>
      </c>
      <c r="X12" s="62">
        <f>MAY!X50</f>
        <v>16626.652982515192</v>
      </c>
      <c r="Y12" s="62">
        <f>MAY!Y50</f>
        <v>16524.697563608424</v>
      </c>
      <c r="Z12" s="55">
        <f>MAY!Z45</f>
        <v>11981.590584180773</v>
      </c>
      <c r="AA12" s="55">
        <f>MAY!AA50</f>
        <v>0</v>
      </c>
      <c r="AB12" s="55">
        <f>MAY!AB45</f>
        <v>52920.370676139886</v>
      </c>
      <c r="AC12" s="55">
        <f>MAY!AC45</f>
        <v>1555.3994227021572</v>
      </c>
      <c r="AD12" s="62">
        <f>MAY!AD45</f>
        <v>8754.9688212972815</v>
      </c>
      <c r="AE12" s="62">
        <f>MAY!AE50</f>
        <v>6777.74</v>
      </c>
      <c r="AF12" s="179">
        <f>MAY!AF50</f>
        <v>103.70000000000005</v>
      </c>
      <c r="AG12" s="63">
        <f>MAY!AG50</f>
        <v>79.299999999999983</v>
      </c>
      <c r="AH12" s="62">
        <f>MAY!AH50</f>
        <v>2773</v>
      </c>
      <c r="AI12" s="62"/>
      <c r="AJ12" s="62">
        <f>MAY!AJ50</f>
        <v>0</v>
      </c>
      <c r="AK12" s="62">
        <f>MAY!AK50</f>
        <v>31350.66</v>
      </c>
      <c r="AL12" s="62">
        <f>MAY!AL50</f>
        <v>2006.7297935215529</v>
      </c>
      <c r="AM12" s="62">
        <f>MAY!AM50</f>
        <v>33357.38979352155</v>
      </c>
      <c r="AN12" s="517">
        <f>MAY!AN50</f>
        <v>1825.9903529115204</v>
      </c>
      <c r="AO12" s="505"/>
      <c r="AP12" s="505"/>
      <c r="AQ12" s="43"/>
      <c r="AR12" s="62"/>
      <c r="AS12" s="489"/>
      <c r="AT12" s="489"/>
      <c r="AU12" s="489"/>
      <c r="AV12" s="489"/>
      <c r="AW12" s="39">
        <f>MAY!AW51</f>
        <v>325.54391653108434</v>
      </c>
      <c r="AX12" s="43">
        <f>MAY!AX50</f>
        <v>0</v>
      </c>
      <c r="AY12" s="494"/>
      <c r="AZ12" s="180">
        <f>MAY!AY50</f>
        <v>0</v>
      </c>
      <c r="BA12" s="62">
        <f>MAY!AZ50</f>
        <v>0</v>
      </c>
      <c r="BB12" s="518"/>
      <c r="BC12" s="519"/>
      <c r="BD12" s="43"/>
      <c r="BE12" s="43"/>
      <c r="BF12" s="377"/>
      <c r="BG12" s="520">
        <f>MAY!BF50</f>
        <v>454.67201748480409</v>
      </c>
      <c r="BH12" s="38">
        <f>MAY!BG50</f>
        <v>75.260000000000005</v>
      </c>
      <c r="BI12" s="445"/>
      <c r="BJ12" s="696">
        <f>MAY!BI50</f>
        <v>4945.6368422192227</v>
      </c>
      <c r="BK12" s="77">
        <f>MAY!BJ50</f>
        <v>4356.253966499351</v>
      </c>
      <c r="BN12" s="489"/>
      <c r="BO12" s="489"/>
      <c r="BP12" s="505"/>
      <c r="BQ12" s="505"/>
    </row>
    <row r="13" spans="1:69" s="1" customFormat="1" ht="12.95" customHeight="1">
      <c r="A13" s="31" t="s">
        <v>32</v>
      </c>
      <c r="B13" s="73">
        <f>MAY!B45</f>
        <v>6899.92</v>
      </c>
      <c r="C13" s="62">
        <f>MAY!C45</f>
        <v>283286</v>
      </c>
      <c r="D13" s="62">
        <f>MAY!D54</f>
        <v>-9109</v>
      </c>
      <c r="E13" s="62">
        <f>MAY!E54</f>
        <v>131286</v>
      </c>
      <c r="F13" s="411">
        <f>MAY!F53</f>
        <v>-4592.3871943534159</v>
      </c>
      <c r="G13" s="62">
        <f>MAY!G53</f>
        <v>41216.800000000003</v>
      </c>
      <c r="H13" s="62">
        <f>MAY!H53</f>
        <v>181.4727</v>
      </c>
      <c r="I13" s="62">
        <f>MAY!I53</f>
        <v>41398.272700000001</v>
      </c>
      <c r="J13" s="62">
        <f>MAY!J53</f>
        <v>1917.287925888581</v>
      </c>
      <c r="K13" s="62">
        <f>MAY!K53</f>
        <v>43315.55062588858</v>
      </c>
      <c r="L13" s="345">
        <f>MAY!L53</f>
        <v>-2269.9498943534159</v>
      </c>
      <c r="M13" s="62">
        <f>MAY!M53</f>
        <v>13899.74</v>
      </c>
      <c r="N13" s="62">
        <f>MAY!N53</f>
        <v>15.5</v>
      </c>
      <c r="O13" s="62">
        <f>MAY!O53</f>
        <v>4770.433500000001</v>
      </c>
      <c r="P13" s="65"/>
      <c r="Q13" s="62">
        <f>MAY!Q53</f>
        <v>419.10501039005567</v>
      </c>
      <c r="R13" s="62">
        <f>MAY!R53</f>
        <v>192.15110880000003</v>
      </c>
      <c r="S13" s="62">
        <f>MAY!S53</f>
        <v>259.84103023999995</v>
      </c>
      <c r="T13" s="62">
        <f>MAY!T53</f>
        <v>146.29619680000002</v>
      </c>
      <c r="U13" s="521">
        <f>MAY!U53</f>
        <v>-46.583886557747249</v>
      </c>
      <c r="V13" s="62">
        <f>MAY!V53</f>
        <v>11665</v>
      </c>
      <c r="W13" s="62">
        <f>MAY!W53</f>
        <v>2241.2199999999998</v>
      </c>
      <c r="X13" s="62">
        <f>MAY!X53</f>
        <v>22049.217040327687</v>
      </c>
      <c r="Y13" s="62">
        <f>MAY!Y53</f>
        <v>21799.14620840377</v>
      </c>
      <c r="Z13" s="62"/>
      <c r="AA13" s="62"/>
      <c r="AB13" s="55"/>
      <c r="AC13" s="62"/>
      <c r="AD13" s="62"/>
      <c r="AE13" s="345"/>
      <c r="AF13" s="346">
        <f>AF12</f>
        <v>103.70000000000005</v>
      </c>
      <c r="AG13" s="345">
        <f>AG12</f>
        <v>79.299999999999983</v>
      </c>
      <c r="AH13" s="62">
        <f>MAY!AH53</f>
        <v>9137</v>
      </c>
      <c r="AI13" s="62">
        <f>MAY!AI53</f>
        <v>11232.511822044311</v>
      </c>
      <c r="AJ13" s="62">
        <f>MAY!AJ53</f>
        <v>0</v>
      </c>
      <c r="AK13" s="62">
        <f>MAY!AK53</f>
        <v>43720.7</v>
      </c>
      <c r="AL13" s="62">
        <f>MAY!AL53</f>
        <v>4187.2378202419968</v>
      </c>
      <c r="AM13" s="62">
        <f>MAY!AM53</f>
        <v>47907.93782024199</v>
      </c>
      <c r="AN13" s="356">
        <f>MAY!AN53</f>
        <v>6969.5910587345606</v>
      </c>
      <c r="AO13" s="505">
        <f>APR!AR46</f>
        <v>129.25000000000003</v>
      </c>
      <c r="AP13" s="505">
        <f>APR!AS44</f>
        <v>0</v>
      </c>
      <c r="AQ13" s="62">
        <f>MAY!AQ53</f>
        <v>250.07083192391997</v>
      </c>
      <c r="AR13" s="74"/>
      <c r="AS13" s="489">
        <f>MAY!AS51</f>
        <v>17.190000000000001</v>
      </c>
      <c r="AT13" s="490"/>
      <c r="AU13" s="490"/>
      <c r="AV13" s="490">
        <f>MAY!AV51</f>
        <v>3677.3175833333335</v>
      </c>
      <c r="AW13" s="39">
        <f>MAY!AW45</f>
        <v>14.000127515853643</v>
      </c>
      <c r="AX13" s="43">
        <f>MAY!AX53</f>
        <v>0</v>
      </c>
      <c r="AY13" s="494"/>
      <c r="AZ13" s="180">
        <f>MAY!AY53</f>
        <v>0</v>
      </c>
      <c r="BA13" s="62">
        <f>MAY!AZ53</f>
        <v>0</v>
      </c>
      <c r="BB13" s="522"/>
      <c r="BC13" s="73">
        <f>MAY!BB53</f>
        <v>7.1150000000000002</v>
      </c>
      <c r="BD13" s="43"/>
      <c r="BE13" s="43"/>
      <c r="BF13" s="394"/>
      <c r="BG13" s="523">
        <f>MAY!BF53</f>
        <v>986.30945967230855</v>
      </c>
      <c r="BH13" s="38">
        <f>MAY!BG53</f>
        <v>315.07600000000008</v>
      </c>
      <c r="BI13" s="297"/>
      <c r="BJ13" s="235">
        <f>MAY!BI53</f>
        <v>4945.6368422192227</v>
      </c>
      <c r="BK13" s="437">
        <f>MAY!BJ53</f>
        <v>4356.253966499351</v>
      </c>
      <c r="BM13" s="571"/>
      <c r="BN13" s="559"/>
      <c r="BO13" s="559"/>
      <c r="BP13" s="490">
        <f>NOV!BH46</f>
        <v>735.86686290322587</v>
      </c>
      <c r="BQ13" s="490">
        <f>NOV!BI46</f>
        <v>448.13313709677413</v>
      </c>
    </row>
    <row r="14" spans="1:69" ht="3" customHeight="1">
      <c r="A14" s="275"/>
      <c r="B14" s="182"/>
      <c r="C14" s="69"/>
      <c r="D14" s="67"/>
      <c r="E14" s="69"/>
      <c r="F14" s="183"/>
      <c r="G14" s="67"/>
      <c r="H14" s="185"/>
      <c r="I14" s="67"/>
      <c r="J14" s="67"/>
      <c r="K14" s="67"/>
      <c r="L14" s="67"/>
      <c r="M14" s="184"/>
      <c r="N14" s="67"/>
      <c r="O14" s="185"/>
      <c r="P14" s="72"/>
      <c r="Q14" s="185"/>
      <c r="R14" s="185"/>
      <c r="S14" s="67"/>
      <c r="T14" s="67"/>
      <c r="U14" s="249"/>
      <c r="V14" s="67"/>
      <c r="W14" s="67"/>
      <c r="X14" s="67"/>
      <c r="Y14" s="67"/>
      <c r="Z14" s="69"/>
      <c r="AA14" s="67"/>
      <c r="AB14" s="57"/>
      <c r="AC14" s="69"/>
      <c r="AD14" s="69"/>
      <c r="AE14" s="67"/>
      <c r="AF14" s="184"/>
      <c r="AG14" s="68"/>
      <c r="AH14" s="67"/>
      <c r="AI14" s="69"/>
      <c r="AJ14" s="69"/>
      <c r="AK14" s="67"/>
      <c r="AL14" s="67"/>
      <c r="AM14" s="67"/>
      <c r="AN14" s="545"/>
      <c r="AO14" s="506"/>
      <c r="AP14" s="506"/>
      <c r="AQ14" s="71"/>
      <c r="AR14" s="71"/>
      <c r="AS14" s="491"/>
      <c r="AT14" s="491"/>
      <c r="AU14" s="491"/>
      <c r="AV14" s="491"/>
      <c r="AW14" s="40"/>
      <c r="AX14" s="41"/>
      <c r="AY14" s="557"/>
      <c r="AZ14" s="41"/>
      <c r="BA14" s="44"/>
      <c r="BB14" s="41"/>
      <c r="BC14" s="70"/>
      <c r="BD14" s="71"/>
      <c r="BE14" s="71"/>
      <c r="BF14" s="190"/>
      <c r="BG14" s="546"/>
      <c r="BH14" s="72"/>
      <c r="BI14" s="546"/>
      <c r="BJ14" s="545"/>
      <c r="BK14" s="592"/>
      <c r="BM14" s="572"/>
      <c r="BN14" s="572"/>
      <c r="BO14" s="572"/>
      <c r="BP14" s="572"/>
      <c r="BQ14" s="573"/>
    </row>
    <row r="15" spans="1:69" ht="12.95" customHeight="1">
      <c r="A15" s="253">
        <v>1</v>
      </c>
      <c r="B15" s="181">
        <v>6899.97</v>
      </c>
      <c r="C15" s="483">
        <f>IF(B15="",C13,VLOOKUP(TRUNC(B15,1),VLOOKUP!$A$3:$K$2834,RIGHT(TEXT(B15,"0000.00"),1)+2,FALSE))</f>
        <v>283470</v>
      </c>
      <c r="D15" s="43">
        <f>C15-C13</f>
        <v>184</v>
      </c>
      <c r="E15" s="62">
        <f t="shared" ref="E15:E44" si="0">C15-152000</f>
        <v>131470</v>
      </c>
      <c r="F15" s="186">
        <f t="shared" ref="F15:F44" si="1">D15/$D$2</f>
        <v>92.765313839173174</v>
      </c>
      <c r="G15" s="621">
        <v>905</v>
      </c>
      <c r="H15" s="180">
        <v>0</v>
      </c>
      <c r="I15" s="74">
        <f t="shared" ref="I15:I39" si="2">G15+H15</f>
        <v>905</v>
      </c>
      <c r="J15" s="187">
        <f>IF(L15&gt;0,L15,0)</f>
        <v>0</v>
      </c>
      <c r="K15" s="74">
        <f t="shared" ref="K15:K44" si="3">I15+J15</f>
        <v>905</v>
      </c>
      <c r="L15" s="74">
        <f t="shared" ref="L15:L44" si="4">IF(G15="",0,F15-(I15-AK15))</f>
        <v>-15.234686160826826</v>
      </c>
      <c r="M15" s="628">
        <v>280</v>
      </c>
      <c r="N15" s="610">
        <v>0.5</v>
      </c>
      <c r="O15" s="42">
        <f>64*1.05</f>
        <v>67.2</v>
      </c>
      <c r="P15" s="39">
        <v>0</v>
      </c>
      <c r="Q15" s="144">
        <f>2049500/325851/1.9835*1.02</f>
        <v>3.234423110690448</v>
      </c>
      <c r="R15" s="73">
        <f>IF(((6.4*1.04)-T15)&gt;=4.2,4.2,(6.4*1.04)-T15)</f>
        <v>4.2</v>
      </c>
      <c r="S15" s="73">
        <f>IF(((6.4*1.04)-T15)&gt;=4.2,((6.4*1.04)-T15)-4.2,0)</f>
        <v>1.10809552</v>
      </c>
      <c r="T15" s="73">
        <f>(1.2227*1.06)*1.04</f>
        <v>1.3479044800000002</v>
      </c>
      <c r="U15" s="131">
        <v>0</v>
      </c>
      <c r="V15" s="74">
        <v>160</v>
      </c>
      <c r="W15" s="74">
        <v>75</v>
      </c>
      <c r="X15" s="627">
        <f t="shared" ref="X15:X26" si="5">IF(B15="",0,M15-N15-O15-P15-Q15-R15-S15-T15-U15+V15+W15-MAX(AN15-AO15,0)-BA15+AX15)</f>
        <v>450.59040886366751</v>
      </c>
      <c r="Y15" s="47">
        <f t="shared" ref="Y15:Y44" si="6">IF(B15="",0,X15-AQ15)</f>
        <v>450.59040886366751</v>
      </c>
      <c r="Z15" s="55">
        <f>Z12+AR15</f>
        <v>12326.000175317105</v>
      </c>
      <c r="AA15" s="616">
        <f t="shared" ref="AA15:AA35" si="7">IF(AR15&gt;=0,0,-IF(AR15&lt;=AJ15,AR15,AJ15-(795-Y15)))</f>
        <v>0</v>
      </c>
      <c r="AB15" s="616">
        <f>AB12+(((Y15-AN15)+AR15)*1.9835)</f>
        <v>54497.253176139886</v>
      </c>
      <c r="AC15" s="55">
        <f>IF(AW13="",AC12,AC12-(AW13/$D$2)+IF(AZ15="",0,AZ15))</f>
        <v>1548.3411280130451</v>
      </c>
      <c r="AD15" s="62">
        <f>AD12</f>
        <v>8754.9688212972815</v>
      </c>
      <c r="AE15" s="74">
        <v>232</v>
      </c>
      <c r="AF15" s="188">
        <v>1.7</v>
      </c>
      <c r="AG15" s="210">
        <v>1.3</v>
      </c>
      <c r="AH15" s="74">
        <v>50</v>
      </c>
      <c r="AI15" s="55">
        <f>AI13-(AH15-AJ15)</f>
        <v>11182.511822044311</v>
      </c>
      <c r="AJ15" s="74"/>
      <c r="AK15" s="74">
        <f t="shared" ref="AK15:AK42" si="8">N15+O15+P15+Q15+R15+S15+T15+U15+X15+AE15+AH15-AX15</f>
        <v>797</v>
      </c>
      <c r="AL15" s="74">
        <f t="shared" ref="AL15:AL44" si="9">IF(L15&lt;0,L15*-1,0)</f>
        <v>15.234686160826826</v>
      </c>
      <c r="AM15" s="512">
        <f>AK15+AL15</f>
        <v>812.23468616082687</v>
      </c>
      <c r="AN15" s="45"/>
      <c r="AO15" s="489"/>
      <c r="AP15" s="489"/>
      <c r="AQ15" s="43"/>
      <c r="AR15" s="43">
        <f>IF(G15="",0,IF(I15&gt;=(795+Q15+R15+AF15),795-X15,I15-Q15-R15-X15-AF15)-AJ15)</f>
        <v>344.40959113633249</v>
      </c>
      <c r="AS15" s="492">
        <v>0.31</v>
      </c>
      <c r="AT15" s="493">
        <f>AS15*0.7</f>
        <v>0.217</v>
      </c>
      <c r="AU15" s="494">
        <f>IF(AT15=0,0,VLOOKUP(ROUNDDOWN(TEXT(B15,"0000"),-1),VLOOKUP!$M$3:$W$32,RIGHT(TEXT(B15,"0000"),1)+2,FALSE))</f>
        <v>3687</v>
      </c>
      <c r="AV15" s="494">
        <f>AT15/12*AU15</f>
        <v>66.673249999999996</v>
      </c>
      <c r="AW15" s="39">
        <f>AV15*(IF(Z15&gt;$Z$44,$Z$44,Z15)*1.9835+AC15*1.9835)/E15</f>
        <v>12.031692770714258</v>
      </c>
      <c r="AX15" s="42">
        <v>13.180831974357917</v>
      </c>
      <c r="AY15" s="558"/>
      <c r="AZ15" s="180"/>
      <c r="BA15" s="314"/>
      <c r="BC15" s="64">
        <v>0</v>
      </c>
      <c r="BD15" s="43">
        <v>88</v>
      </c>
      <c r="BE15" s="43">
        <v>57</v>
      </c>
      <c r="BF15" s="377"/>
      <c r="BG15" s="385">
        <f>SUM(N16,P15:U15)</f>
        <v>10.390423110690449</v>
      </c>
      <c r="BH15" s="23">
        <v>1.22</v>
      </c>
      <c r="BI15" s="445">
        <v>19241</v>
      </c>
      <c r="BJ15" s="296">
        <f>IF(G15="",0,IF(I15&lt;(795+Q15+R15+AF15+AG15),0,I15-(795+Q15+R15+AF15+AG15)))</f>
        <v>99.565576889309455</v>
      </c>
      <c r="BK15" s="591">
        <f t="shared" ref="BK15:BK44" si="10">MIN(505,BJ15,SUM(O15,AE15))</f>
        <v>99.565576889309455</v>
      </c>
      <c r="BM15" s="574">
        <v>1</v>
      </c>
      <c r="BN15" s="559">
        <v>6899.89</v>
      </c>
      <c r="BO15" s="575">
        <f t="shared" ref="BO15:BO44" si="11">B15-BN15</f>
        <v>7.999999999992724E-2</v>
      </c>
      <c r="BP15" s="576">
        <v>50.58124999999999</v>
      </c>
      <c r="BQ15" s="576">
        <f t="shared" ref="BQ15:BQ44" si="12">AH15-BP15</f>
        <v>-0.58124999999999005</v>
      </c>
    </row>
    <row r="16" spans="1:69" ht="12.95" customHeight="1">
      <c r="A16" s="253">
        <f t="shared" ref="A16:A43" si="13">A15+1</f>
        <v>2</v>
      </c>
      <c r="B16" s="181">
        <v>6899.93</v>
      </c>
      <c r="C16" s="483">
        <f>IF(B16="",C15,VLOOKUP(TRUNC(B16,1),VLOOKUP!$A$3:$K$2834,RIGHT(TEXT(B16,"0000.00"),1)+2,FALSE))</f>
        <v>283323</v>
      </c>
      <c r="D16" s="43">
        <f t="shared" ref="D16:D44" si="14">C16-C15</f>
        <v>-147</v>
      </c>
      <c r="E16" s="62">
        <f t="shared" si="0"/>
        <v>131323</v>
      </c>
      <c r="F16" s="186">
        <f t="shared" si="1"/>
        <v>-74.111419208469869</v>
      </c>
      <c r="G16" s="74">
        <v>720</v>
      </c>
      <c r="H16" s="180">
        <v>0</v>
      </c>
      <c r="I16" s="74">
        <f t="shared" si="2"/>
        <v>720</v>
      </c>
      <c r="J16" s="187">
        <f>IF(L16&gt;0,L16,0)</f>
        <v>15.888580791530131</v>
      </c>
      <c r="K16" s="74">
        <f t="shared" si="3"/>
        <v>735.8885807915301</v>
      </c>
      <c r="L16" s="74">
        <f t="shared" si="4"/>
        <v>15.888580791530131</v>
      </c>
      <c r="M16" s="188">
        <v>270</v>
      </c>
      <c r="N16" s="610">
        <v>0.5</v>
      </c>
      <c r="O16" s="74">
        <f>67*1.05</f>
        <v>70.350000000000009</v>
      </c>
      <c r="P16" s="39">
        <v>0</v>
      </c>
      <c r="Q16" s="144">
        <f>2045800/325851/1.9835*1.02</f>
        <v>3.2285839472312845</v>
      </c>
      <c r="R16" s="73">
        <f>IF(((5.5*1.04)-T16)&gt;=4.2,4.2,(5.5*1.04)-T16)</f>
        <v>4.2</v>
      </c>
      <c r="S16" s="73">
        <f>IF(((5.5*1.04)-T16)&gt;=4.2,((5.5*1.04)-T16)-4.2,0)</f>
        <v>0.17209552000000006</v>
      </c>
      <c r="T16" s="73">
        <f t="shared" ref="T16:T18" si="15">(1.2227*1.06)*1.04</f>
        <v>1.3479044800000002</v>
      </c>
      <c r="U16" s="131">
        <v>0</v>
      </c>
      <c r="V16" s="74">
        <v>160</v>
      </c>
      <c r="W16" s="74">
        <v>75</v>
      </c>
      <c r="X16" s="627">
        <f t="shared" si="5"/>
        <v>438.38224802712665</v>
      </c>
      <c r="Y16" s="47">
        <f t="shared" si="6"/>
        <v>438.38224802712665</v>
      </c>
      <c r="Z16" s="55">
        <f t="shared" ref="Z16:Z43" si="16">Z15+AR16</f>
        <v>12598.489343342748</v>
      </c>
      <c r="AA16" s="616">
        <f t="shared" si="7"/>
        <v>0</v>
      </c>
      <c r="AB16" s="616">
        <f>AB15+(((Y16-AN16)+AR16)*1.9835)</f>
        <v>55907.266629880556</v>
      </c>
      <c r="AC16" s="55">
        <f>IF(AW15="",AC15,AC15-(AW15/$D$2)+IF(AZ16="",0,AZ16))</f>
        <v>1542.2752380353722</v>
      </c>
      <c r="AD16" s="62">
        <f t="shared" ref="AD16:AD18" si="17">AD15</f>
        <v>8754.9688212972815</v>
      </c>
      <c r="AE16" s="74">
        <v>255</v>
      </c>
      <c r="AF16" s="188">
        <v>1.7</v>
      </c>
      <c r="AG16" s="210">
        <v>1.3</v>
      </c>
      <c r="AH16" s="74">
        <v>50</v>
      </c>
      <c r="AI16" s="55">
        <f>AI15-(AH16-AJ16)</f>
        <v>11132.511822044311</v>
      </c>
      <c r="AJ16" s="74"/>
      <c r="AK16" s="74">
        <f t="shared" si="8"/>
        <v>810</v>
      </c>
      <c r="AL16" s="74">
        <f t="shared" si="9"/>
        <v>0</v>
      </c>
      <c r="AM16" s="186">
        <f t="shared" ref="AM16:AM44" si="18">AK16+AL16</f>
        <v>810</v>
      </c>
      <c r="AN16" s="45"/>
      <c r="AO16" s="489"/>
      <c r="AP16" s="489"/>
      <c r="AQ16" s="43"/>
      <c r="AR16" s="43">
        <f t="shared" ref="AR16:AR44" si="19">IF(G16="",0,IF(I16&gt;=(795+Q16+R16+AF16),795-X16,I16-Q16-R16-X16-AF16)-AJ16)</f>
        <v>272.48916802564202</v>
      </c>
      <c r="AS16" s="492">
        <v>0.36</v>
      </c>
      <c r="AT16" s="493">
        <f t="shared" ref="AT16:AT44" si="20">AS16*0.7</f>
        <v>0.252</v>
      </c>
      <c r="AU16" s="494">
        <f>IF(AT16=0,0,VLOOKUP(ROUNDDOWN(TEXT(B16,"0000"),-1),VLOOKUP!$M$3:$W$32,RIGHT(TEXT(B16,"0000"),1)+2,FALSE))</f>
        <v>3687</v>
      </c>
      <c r="AV16" s="494">
        <f>AT16/12*AU16</f>
        <v>77.427000000000007</v>
      </c>
      <c r="AW16" s="39">
        <f t="shared" ref="AW16:AW43" si="21">AV16*(IF(Z16&gt;$Z$44,$Z$44,Z16)*1.9835+AC16*1.9835)/E16</f>
        <v>13.980834852211975</v>
      </c>
      <c r="AX16" s="42">
        <v>13.180831974357917</v>
      </c>
      <c r="AY16" s="558"/>
      <c r="AZ16" s="180"/>
      <c r="BA16" s="314"/>
      <c r="BC16" s="64">
        <v>0</v>
      </c>
      <c r="BD16" s="43">
        <v>90</v>
      </c>
      <c r="BE16" s="43">
        <v>52</v>
      </c>
      <c r="BF16" s="377"/>
      <c r="BG16" s="385">
        <f>SUM(N17,P16:U16)</f>
        <v>9.4485839472312847</v>
      </c>
      <c r="BH16" s="23">
        <v>1.35</v>
      </c>
      <c r="BI16" s="445">
        <v>19274</v>
      </c>
      <c r="BJ16" s="296">
        <f t="shared" ref="BJ16:BJ44" si="22">IF(G16="",0,IF(I16&lt;(795+Q16+R16+AF16+AG16),0,I16-(795+Q16+R16+AF16+AG16)))</f>
        <v>0</v>
      </c>
      <c r="BK16" s="591">
        <f t="shared" si="10"/>
        <v>0</v>
      </c>
      <c r="BM16" s="574">
        <f t="shared" ref="BM16:BM44" si="23">BM15+1</f>
        <v>2</v>
      </c>
      <c r="BN16" s="559">
        <v>6899.8</v>
      </c>
      <c r="BO16" s="575">
        <f t="shared" si="11"/>
        <v>0.13000000000010914</v>
      </c>
      <c r="BP16" s="576">
        <v>50.557291666666686</v>
      </c>
      <c r="BQ16" s="576">
        <f t="shared" si="12"/>
        <v>-0.55729166666668561</v>
      </c>
    </row>
    <row r="17" spans="1:69" ht="12.95" customHeight="1">
      <c r="A17" s="253">
        <f t="shared" si="13"/>
        <v>3</v>
      </c>
      <c r="B17" s="181">
        <v>6899.81</v>
      </c>
      <c r="C17" s="483">
        <f>IF(B17="",C16,VLOOKUP(TRUNC(B17,1),VLOOKUP!$A$3:$K$2834,RIGHT(TEXT(B17,"0000.00"),1)+2,FALSE))</f>
        <v>282882</v>
      </c>
      <c r="D17" s="43">
        <f t="shared" si="14"/>
        <v>-441</v>
      </c>
      <c r="E17" s="62">
        <f t="shared" si="0"/>
        <v>130882</v>
      </c>
      <c r="F17" s="186">
        <f t="shared" si="1"/>
        <v>-222.33425762540963</v>
      </c>
      <c r="G17" s="74">
        <v>676</v>
      </c>
      <c r="H17" s="180">
        <v>0</v>
      </c>
      <c r="I17" s="74">
        <f t="shared" si="2"/>
        <v>676</v>
      </c>
      <c r="J17" s="187">
        <f t="shared" ref="J17:J44" si="24">IF(L17&gt;0,L17,0)</f>
        <v>0</v>
      </c>
      <c r="K17" s="74">
        <f t="shared" si="3"/>
        <v>676</v>
      </c>
      <c r="L17" s="74">
        <f t="shared" si="4"/>
        <v>-65.334257625409634</v>
      </c>
      <c r="M17" s="188">
        <v>323</v>
      </c>
      <c r="N17" s="610">
        <v>0.5</v>
      </c>
      <c r="O17" s="180">
        <f>85*1.05</f>
        <v>89.25</v>
      </c>
      <c r="P17" s="39">
        <v>0</v>
      </c>
      <c r="Q17" s="144">
        <f>2381400/325851/1.9835*1.02</f>
        <v>3.7582118545002356</v>
      </c>
      <c r="R17" s="73">
        <f>IF(((5.8*1.04)-T17)&gt;=4.2,4.2,(5.8*1.04)-T17)</f>
        <v>4.2</v>
      </c>
      <c r="S17" s="73">
        <f>IF(((5.8*1.04)-T17)&gt;=4.2,((5.8*1.04)-T17)-4.2,0)</f>
        <v>0.48409551999999945</v>
      </c>
      <c r="T17" s="73">
        <f t="shared" si="15"/>
        <v>1.3479044800000002</v>
      </c>
      <c r="U17" s="131">
        <v>0</v>
      </c>
      <c r="V17" s="74">
        <v>159</v>
      </c>
      <c r="W17" s="74">
        <v>76</v>
      </c>
      <c r="X17" s="627">
        <f t="shared" si="5"/>
        <v>471.64062011985766</v>
      </c>
      <c r="Y17" s="47">
        <f t="shared" si="6"/>
        <v>471.64062011985766</v>
      </c>
      <c r="Z17" s="55">
        <f t="shared" si="16"/>
        <v>12793.19051136839</v>
      </c>
      <c r="AA17" s="616">
        <f t="shared" si="7"/>
        <v>0</v>
      </c>
      <c r="AB17" s="616">
        <f t="shared" ref="AB17:AB44" si="25">AB16+(((Y17-AN17)+AR17)*1.9835)</f>
        <v>57228.955566667151</v>
      </c>
      <c r="AC17" s="55">
        <f t="shared" ref="AC17:AC44" si="26">IF(AW16="",AC16,AC16-(AW16/$D$2)+IF(AZ17="",0,AZ17))</f>
        <v>1535.2266699223337</v>
      </c>
      <c r="AD17" s="62">
        <f t="shared" si="17"/>
        <v>8754.9688212972815</v>
      </c>
      <c r="AE17" s="74">
        <v>225</v>
      </c>
      <c r="AF17" s="188">
        <v>1.7</v>
      </c>
      <c r="AG17" s="210">
        <v>1.3</v>
      </c>
      <c r="AH17" s="74">
        <v>50</v>
      </c>
      <c r="AI17" s="55">
        <f t="shared" ref="AI17:AI44" si="27">AI16-(AH17-AJ17)</f>
        <v>11082.511822044311</v>
      </c>
      <c r="AJ17" s="74"/>
      <c r="AK17" s="74">
        <f t="shared" si="8"/>
        <v>833</v>
      </c>
      <c r="AL17" s="74">
        <f t="shared" si="9"/>
        <v>65.334257625409634</v>
      </c>
      <c r="AM17" s="186">
        <f t="shared" si="18"/>
        <v>898.33425762540969</v>
      </c>
      <c r="AN17" s="45"/>
      <c r="AO17" s="489"/>
      <c r="AP17" s="489"/>
      <c r="AQ17" s="43"/>
      <c r="AR17" s="43">
        <f t="shared" si="19"/>
        <v>194.70116802564206</v>
      </c>
      <c r="AS17" s="492">
        <v>0.4</v>
      </c>
      <c r="AT17" s="493">
        <f t="shared" si="20"/>
        <v>0.27999999999999997</v>
      </c>
      <c r="AU17" s="494">
        <f>IF(AT17=0,0,VLOOKUP(ROUNDDOWN(TEXT(B17,"0000"),-1),VLOOKUP!$M$3:$W$32,RIGHT(TEXT(B17,"0000"),1)+2,FALSE))</f>
        <v>3687</v>
      </c>
      <c r="AV17" s="494">
        <f t="shared" ref="AV17:AV44" si="28">AT17/12*AU17</f>
        <v>86.029999999999987</v>
      </c>
      <c r="AW17" s="39">
        <f t="shared" si="21"/>
        <v>15.57741308283569</v>
      </c>
      <c r="AX17" s="42">
        <v>13.180831974357917</v>
      </c>
      <c r="AY17" s="558"/>
      <c r="AZ17" s="180"/>
      <c r="BA17" s="314"/>
      <c r="BB17"/>
      <c r="BC17" s="64">
        <v>0</v>
      </c>
      <c r="BD17" s="43">
        <v>91</v>
      </c>
      <c r="BE17" s="43">
        <v>52</v>
      </c>
      <c r="BF17" s="377"/>
      <c r="BG17" s="385">
        <f t="shared" ref="BG17:BG44" si="29">SUM(N17,P17:U17)</f>
        <v>10.290211854500235</v>
      </c>
      <c r="BH17" s="23">
        <v>1.46</v>
      </c>
      <c r="BI17" s="445">
        <v>19299</v>
      </c>
      <c r="BJ17" s="296">
        <f t="shared" si="22"/>
        <v>0</v>
      </c>
      <c r="BK17" s="591">
        <f t="shared" si="10"/>
        <v>0</v>
      </c>
      <c r="BM17" s="574">
        <f t="shared" si="23"/>
        <v>3</v>
      </c>
      <c r="BN17" s="559">
        <v>6899.71</v>
      </c>
      <c r="BO17" s="575">
        <f t="shared" si="11"/>
        <v>0.1000000000003638</v>
      </c>
      <c r="BP17" s="576">
        <v>50.542708333333344</v>
      </c>
      <c r="BQ17" s="576">
        <f t="shared" si="12"/>
        <v>-0.54270833333334423</v>
      </c>
    </row>
    <row r="18" spans="1:69" ht="12.95" customHeight="1">
      <c r="A18" s="253">
        <f t="shared" si="13"/>
        <v>4</v>
      </c>
      <c r="B18" s="181">
        <v>6899.66</v>
      </c>
      <c r="C18" s="483">
        <f>IF(B18="",C17,VLOOKUP(TRUNC(B18,1),VLOOKUP!$A$3:$K$2834,RIGHT(TEXT(B18,"0000.00"),1)+2,FALSE))</f>
        <v>282331</v>
      </c>
      <c r="D18" s="43">
        <f t="shared" si="14"/>
        <v>-551</v>
      </c>
      <c r="E18" s="62">
        <f t="shared" si="0"/>
        <v>130331</v>
      </c>
      <c r="F18" s="186">
        <f t="shared" si="1"/>
        <v>-277.79178220317618</v>
      </c>
      <c r="G18" s="74">
        <v>585</v>
      </c>
      <c r="H18" s="180">
        <v>0</v>
      </c>
      <c r="I18" s="74">
        <f t="shared" si="2"/>
        <v>585</v>
      </c>
      <c r="J18" s="187">
        <f t="shared" si="24"/>
        <v>0</v>
      </c>
      <c r="K18" s="74">
        <f t="shared" si="3"/>
        <v>585</v>
      </c>
      <c r="L18" s="74">
        <f t="shared" si="4"/>
        <v>-17.791782203176183</v>
      </c>
      <c r="M18" s="188">
        <v>325</v>
      </c>
      <c r="N18" s="610">
        <v>0.5</v>
      </c>
      <c r="O18" s="180">
        <f>94*1.05</f>
        <v>98.7</v>
      </c>
      <c r="P18" s="39">
        <v>0</v>
      </c>
      <c r="Q18" s="144">
        <f>2415200/325851/1.9835*1.02</f>
        <v>3.811553401775833</v>
      </c>
      <c r="R18" s="73">
        <f>IF(((5.9*1.04)-T18)&gt;=4.2,4.2,(5.9*1.04)-T18)</f>
        <v>4.2</v>
      </c>
      <c r="S18" s="73">
        <f>IF(((5.9*1.04)-T18)&gt;=4.2,((5.9*1.04)-T18)-4.2,0)</f>
        <v>0.58809552000000043</v>
      </c>
      <c r="T18" s="73">
        <f t="shared" si="15"/>
        <v>1.3479044800000002</v>
      </c>
      <c r="U18" s="131">
        <v>0</v>
      </c>
      <c r="V18" s="74">
        <v>158</v>
      </c>
      <c r="W18" s="74">
        <v>76</v>
      </c>
      <c r="X18" s="627">
        <f t="shared" si="5"/>
        <v>463.03327857258216</v>
      </c>
      <c r="Y18" s="47">
        <f t="shared" si="6"/>
        <v>463.03327857258216</v>
      </c>
      <c r="Z18" s="55">
        <f t="shared" si="16"/>
        <v>12905.445679394032</v>
      </c>
      <c r="AA18" s="616">
        <f t="shared" si="7"/>
        <v>0</v>
      </c>
      <c r="AB18" s="616">
        <f t="shared" si="25"/>
        <v>58370.040200494732</v>
      </c>
      <c r="AC18" s="55">
        <f t="shared" si="26"/>
        <v>1527.3731720232483</v>
      </c>
      <c r="AD18" s="62">
        <f t="shared" si="17"/>
        <v>8754.9688212972815</v>
      </c>
      <c r="AE18" s="74">
        <v>236</v>
      </c>
      <c r="AF18" s="188">
        <v>1.7</v>
      </c>
      <c r="AG18" s="210">
        <v>1.3</v>
      </c>
      <c r="AH18" s="74">
        <v>50</v>
      </c>
      <c r="AI18" s="55">
        <f t="shared" si="27"/>
        <v>11032.511822044311</v>
      </c>
      <c r="AJ18" s="74"/>
      <c r="AK18" s="74">
        <f t="shared" si="8"/>
        <v>845</v>
      </c>
      <c r="AL18" s="74">
        <f t="shared" si="9"/>
        <v>17.791782203176183</v>
      </c>
      <c r="AM18" s="186">
        <f t="shared" si="18"/>
        <v>862.79178220317613</v>
      </c>
      <c r="AN18" s="45"/>
      <c r="AO18" s="489"/>
      <c r="AP18" s="489"/>
      <c r="AQ18" s="43"/>
      <c r="AR18" s="43">
        <f t="shared" si="19"/>
        <v>112.25516802564191</v>
      </c>
      <c r="AS18" s="492">
        <v>0.39</v>
      </c>
      <c r="AT18" s="493">
        <f t="shared" si="20"/>
        <v>0.27299999999999996</v>
      </c>
      <c r="AU18" s="494">
        <f>IF(AT18=0,0,VLOOKUP(ROUNDDOWN(TEXT(B18,"0000"),-1),VLOOKUP!$M$3:$W$32,RIGHT(TEXT(B18,"0000"),1)+2,FALSE))</f>
        <v>3687</v>
      </c>
      <c r="AV18" s="494">
        <f t="shared" si="28"/>
        <v>83.879249999999985</v>
      </c>
      <c r="AW18" s="39">
        <f t="shared" si="21"/>
        <v>15.242162516236963</v>
      </c>
      <c r="AX18" s="42">
        <v>13.180831974357917</v>
      </c>
      <c r="AY18" s="558"/>
      <c r="AZ18" s="180"/>
      <c r="BA18" s="314"/>
      <c r="BC18" s="64">
        <v>0</v>
      </c>
      <c r="BD18" s="43">
        <v>91</v>
      </c>
      <c r="BE18" s="43">
        <v>54</v>
      </c>
      <c r="BF18" s="377"/>
      <c r="BG18" s="385">
        <f t="shared" si="29"/>
        <v>10.447553401775835</v>
      </c>
      <c r="BH18" s="23">
        <v>1.27</v>
      </c>
      <c r="BI18" s="445">
        <v>19321</v>
      </c>
      <c r="BJ18" s="296">
        <f t="shared" si="22"/>
        <v>0</v>
      </c>
      <c r="BK18" s="591">
        <f t="shared" si="10"/>
        <v>0</v>
      </c>
      <c r="BM18" s="574">
        <f t="shared" si="23"/>
        <v>4</v>
      </c>
      <c r="BN18" s="559">
        <v>6899.55</v>
      </c>
      <c r="BO18" s="575">
        <f t="shared" si="11"/>
        <v>0.10999999999967258</v>
      </c>
      <c r="BP18" s="576">
        <v>50.556250000000027</v>
      </c>
      <c r="BQ18" s="576">
        <f t="shared" si="12"/>
        <v>-0.556250000000027</v>
      </c>
    </row>
    <row r="19" spans="1:69" ht="12.95" customHeight="1">
      <c r="A19" s="253">
        <f t="shared" si="13"/>
        <v>5</v>
      </c>
      <c r="B19" s="181">
        <v>6899.54</v>
      </c>
      <c r="C19" s="483">
        <f>IF(B19="",C18,VLOOKUP(TRUNC(B19,1),VLOOKUP!$A$3:$K$2834,RIGHT(TEXT(B19,"0000.00"),1)+2,FALSE))</f>
        <v>281890</v>
      </c>
      <c r="D19" s="43">
        <f t="shared" si="14"/>
        <v>-441</v>
      </c>
      <c r="E19" s="62">
        <f t="shared" si="0"/>
        <v>129890</v>
      </c>
      <c r="F19" s="186">
        <f t="shared" si="1"/>
        <v>-222.33425762540963</v>
      </c>
      <c r="G19" s="74">
        <v>544</v>
      </c>
      <c r="H19" s="180">
        <v>0</v>
      </c>
      <c r="I19" s="74">
        <f t="shared" si="2"/>
        <v>544</v>
      </c>
      <c r="J19" s="187">
        <f>IF(L19&gt;0,L19,0)</f>
        <v>0</v>
      </c>
      <c r="K19" s="74">
        <f>I19+J19</f>
        <v>544</v>
      </c>
      <c r="L19" s="74">
        <f t="shared" si="4"/>
        <v>-4.3342576254096343</v>
      </c>
      <c r="M19" s="188">
        <v>282</v>
      </c>
      <c r="N19" s="610">
        <v>0.5</v>
      </c>
      <c r="O19" s="180">
        <f>76*1.05</f>
        <v>79.8</v>
      </c>
      <c r="P19" s="39">
        <v>0</v>
      </c>
      <c r="Q19" s="144">
        <f>1852100/325851/1.9835*1.02</f>
        <v>2.9228958493826682</v>
      </c>
      <c r="R19" s="73">
        <f>IF(((6.9*1.04)-T19)&gt;=4.2,4.2,(6.9*1.04)-T19)</f>
        <v>4.2</v>
      </c>
      <c r="S19" s="73">
        <f>IF(((6.9*1.04)-T19)&gt;=4.2,((6.9*1.04)-T19)-4.2,0)</f>
        <v>1.6168510400000011</v>
      </c>
      <c r="T19" s="73">
        <f>(1.2329*1.06)*1.04</f>
        <v>1.3591489600000002</v>
      </c>
      <c r="U19" s="131">
        <v>0</v>
      </c>
      <c r="V19" s="74">
        <v>157</v>
      </c>
      <c r="W19" s="74">
        <v>75</v>
      </c>
      <c r="X19" s="627">
        <f t="shared" si="5"/>
        <v>436.78193612497529</v>
      </c>
      <c r="Y19" s="47">
        <f t="shared" si="6"/>
        <v>436.78193612497529</v>
      </c>
      <c r="Z19" s="55">
        <f t="shared" si="16"/>
        <v>13003.840847419673</v>
      </c>
      <c r="AA19" s="616">
        <f t="shared" si="7"/>
        <v>0</v>
      </c>
      <c r="AB19" s="616">
        <f t="shared" si="25"/>
        <v>59431.563986577479</v>
      </c>
      <c r="AC19" s="55">
        <f t="shared" si="26"/>
        <v>1519.6886938199527</v>
      </c>
      <c r="AD19" s="62">
        <f>AD18</f>
        <v>8754.9688212972815</v>
      </c>
      <c r="AE19" s="74">
        <v>198</v>
      </c>
      <c r="AF19" s="188">
        <v>1.7</v>
      </c>
      <c r="AG19" s="210">
        <v>1.3</v>
      </c>
      <c r="AH19" s="74">
        <v>50</v>
      </c>
      <c r="AI19" s="55">
        <f t="shared" si="27"/>
        <v>10982.511822044311</v>
      </c>
      <c r="AJ19" s="74"/>
      <c r="AK19" s="74">
        <f t="shared" si="8"/>
        <v>762</v>
      </c>
      <c r="AL19" s="74">
        <f t="shared" si="9"/>
        <v>4.3342576254096343</v>
      </c>
      <c r="AM19" s="186">
        <f t="shared" si="18"/>
        <v>766.33425762540969</v>
      </c>
      <c r="AN19" s="45"/>
      <c r="AO19" s="489"/>
      <c r="AP19" s="489"/>
      <c r="AQ19" s="43"/>
      <c r="AR19" s="43">
        <f t="shared" si="19"/>
        <v>98.395168025641951</v>
      </c>
      <c r="AS19" s="492">
        <v>0.1</v>
      </c>
      <c r="AT19" s="493">
        <f t="shared" si="20"/>
        <v>6.9999999999999993E-2</v>
      </c>
      <c r="AU19" s="494">
        <f>IF(AT19=0,0,VLOOKUP(ROUNDDOWN(TEXT(B19,"0000"),-1),VLOOKUP!$M$3:$W$32,RIGHT(TEXT(B19,"0000"),1)+2,FALSE))</f>
        <v>3687</v>
      </c>
      <c r="AV19" s="494">
        <f t="shared" si="28"/>
        <v>21.507499999999997</v>
      </c>
      <c r="AW19" s="39">
        <f t="shared" si="21"/>
        <v>3.9189921684096403</v>
      </c>
      <c r="AX19" s="42">
        <v>13.180831974357917</v>
      </c>
      <c r="AY19" s="558"/>
      <c r="AZ19" s="180"/>
      <c r="BA19" s="314"/>
      <c r="BC19" s="64">
        <v>0.45</v>
      </c>
      <c r="BD19" s="43">
        <v>92</v>
      </c>
      <c r="BE19" s="43">
        <v>56</v>
      </c>
      <c r="BF19" s="377"/>
      <c r="BG19" s="385">
        <f t="shared" si="29"/>
        <v>10.59889584938267</v>
      </c>
      <c r="BH19" s="630">
        <v>1.67</v>
      </c>
      <c r="BI19" s="631">
        <v>19339</v>
      </c>
      <c r="BJ19" s="296">
        <f t="shared" si="22"/>
        <v>0</v>
      </c>
      <c r="BK19" s="591">
        <f t="shared" si="10"/>
        <v>0</v>
      </c>
      <c r="BM19" s="574">
        <f t="shared" si="23"/>
        <v>5</v>
      </c>
      <c r="BN19" s="498">
        <v>6899.47</v>
      </c>
      <c r="BO19" s="575">
        <f t="shared" si="11"/>
        <v>6.9999999999708962E-2</v>
      </c>
      <c r="BP19" s="576">
        <v>50.372916666666661</v>
      </c>
      <c r="BQ19" s="576">
        <f t="shared" si="12"/>
        <v>-0.37291666666666146</v>
      </c>
    </row>
    <row r="20" spans="1:69" ht="12.95" customHeight="1">
      <c r="A20" s="253">
        <f t="shared" si="13"/>
        <v>6</v>
      </c>
      <c r="B20" s="632">
        <v>6899.56</v>
      </c>
      <c r="C20" s="483">
        <f>IF(B20="",C19,VLOOKUP(TRUNC(B20,1),VLOOKUP!$A$3:$K$2834,RIGHT(TEXT(B20,"0000.00"),1)+2,FALSE))</f>
        <v>281964</v>
      </c>
      <c r="D20" s="43">
        <f t="shared" si="14"/>
        <v>74</v>
      </c>
      <c r="E20" s="62">
        <f t="shared" si="0"/>
        <v>129964</v>
      </c>
      <c r="F20" s="186">
        <f t="shared" si="1"/>
        <v>37.307789261406604</v>
      </c>
      <c r="G20" s="621">
        <v>661</v>
      </c>
      <c r="H20" s="617">
        <v>0</v>
      </c>
      <c r="I20" s="74">
        <f t="shared" si="2"/>
        <v>661</v>
      </c>
      <c r="J20" s="187">
        <f t="shared" si="24"/>
        <v>0</v>
      </c>
      <c r="K20" s="74">
        <f t="shared" si="3"/>
        <v>661</v>
      </c>
      <c r="L20" s="74">
        <f t="shared" si="4"/>
        <v>-29.692210738593396</v>
      </c>
      <c r="M20" s="628">
        <v>233</v>
      </c>
      <c r="N20" s="610">
        <v>0.5</v>
      </c>
      <c r="O20" s="617">
        <f>44*1.05</f>
        <v>46.2</v>
      </c>
      <c r="P20" s="610">
        <v>0</v>
      </c>
      <c r="Q20" s="144">
        <f>1433600/325851/1.9835*1.02</f>
        <v>2.2624391175827401</v>
      </c>
      <c r="R20" s="73">
        <f t="shared" ref="R20:R25" si="30">IF(((5.7*1.04)-T20)&gt;=4.2,4.2,(5.7*1.04)-T20)</f>
        <v>4.2</v>
      </c>
      <c r="S20" s="73">
        <f t="shared" ref="S20:S25" si="31">IF(((5.7*1.04)-T20)&gt;=4.2,((5.7*1.04)-T20)-4.2,0)</f>
        <v>0.36885104000000002</v>
      </c>
      <c r="T20" s="73">
        <f t="shared" ref="T20:T25" si="32">(1.2329*1.06)*1.04</f>
        <v>1.3591489600000002</v>
      </c>
      <c r="U20" s="131">
        <v>0</v>
      </c>
      <c r="V20" s="621">
        <v>158</v>
      </c>
      <c r="W20" s="621">
        <v>74</v>
      </c>
      <c r="X20" s="627">
        <f t="shared" si="5"/>
        <v>423.29039285677521</v>
      </c>
      <c r="Y20" s="47">
        <f t="shared" si="6"/>
        <v>423.29039285677521</v>
      </c>
      <c r="Z20" s="55">
        <f t="shared" si="16"/>
        <v>13233.388015445315</v>
      </c>
      <c r="AA20" s="616">
        <f t="shared" si="7"/>
        <v>0</v>
      </c>
      <c r="AB20" s="616">
        <f t="shared" si="25"/>
        <v>60726.467288587752</v>
      </c>
      <c r="AC20" s="55">
        <f t="shared" si="26"/>
        <v>1517.7128974154105</v>
      </c>
      <c r="AD20" s="62">
        <f t="shared" ref="AD20:AD43" si="33">AD19</f>
        <v>8754.9688212972815</v>
      </c>
      <c r="AE20" s="621">
        <v>79</v>
      </c>
      <c r="AF20" s="188">
        <v>1.7</v>
      </c>
      <c r="AG20" s="210">
        <v>1.3</v>
      </c>
      <c r="AH20" s="621">
        <v>50</v>
      </c>
      <c r="AI20" s="55">
        <f t="shared" si="27"/>
        <v>10932.511822044311</v>
      </c>
      <c r="AJ20" s="621"/>
      <c r="AK20" s="74">
        <f t="shared" si="8"/>
        <v>594</v>
      </c>
      <c r="AL20" s="74">
        <f t="shared" si="9"/>
        <v>29.692210738593396</v>
      </c>
      <c r="AM20" s="186">
        <f t="shared" si="18"/>
        <v>623.69221073859342</v>
      </c>
      <c r="AN20" s="45"/>
      <c r="AO20" s="489"/>
      <c r="AP20" s="489"/>
      <c r="AQ20" s="43"/>
      <c r="AR20" s="43">
        <f t="shared" si="19"/>
        <v>229.54716802564201</v>
      </c>
      <c r="AS20" s="492">
        <v>0</v>
      </c>
      <c r="AT20" s="493">
        <f t="shared" si="20"/>
        <v>0</v>
      </c>
      <c r="AU20" s="494">
        <f>IF(AT20=0,0,VLOOKUP(ROUNDDOWN(TEXT(B20,"0000"),-1),VLOOKUP!$M$3:$W$32,RIGHT(TEXT(B20,"0000"),1)+2,FALSE))</f>
        <v>0</v>
      </c>
      <c r="AV20" s="494">
        <f t="shared" si="28"/>
        <v>0</v>
      </c>
      <c r="AW20" s="39">
        <f t="shared" si="21"/>
        <v>0</v>
      </c>
      <c r="AX20" s="42">
        <v>13.180831974357917</v>
      </c>
      <c r="AY20" s="558"/>
      <c r="AZ20" s="180"/>
      <c r="BA20" s="314"/>
      <c r="BC20" s="607">
        <v>0.35</v>
      </c>
      <c r="BD20" s="629">
        <v>79</v>
      </c>
      <c r="BE20" s="629">
        <v>52</v>
      </c>
      <c r="BF20" s="377"/>
      <c r="BG20" s="385">
        <f t="shared" si="29"/>
        <v>8.6904391175827396</v>
      </c>
      <c r="BH20" s="630">
        <v>1.83</v>
      </c>
      <c r="BI20" s="631">
        <v>19371</v>
      </c>
      <c r="BJ20" s="296">
        <f t="shared" si="22"/>
        <v>0</v>
      </c>
      <c r="BK20" s="591">
        <f t="shared" si="10"/>
        <v>0</v>
      </c>
      <c r="BM20" s="574">
        <f t="shared" si="23"/>
        <v>6</v>
      </c>
      <c r="BN20" s="498">
        <v>6899.48</v>
      </c>
      <c r="BO20" s="575">
        <f t="shared" si="11"/>
        <v>8.0000000000836735E-2</v>
      </c>
      <c r="BP20" s="576">
        <v>50.359374999999922</v>
      </c>
      <c r="BQ20" s="576">
        <f t="shared" si="12"/>
        <v>-0.35937499999992184</v>
      </c>
    </row>
    <row r="21" spans="1:69" ht="12.95" customHeight="1">
      <c r="A21" s="253">
        <f t="shared" si="13"/>
        <v>7</v>
      </c>
      <c r="B21" s="632">
        <v>6899.57</v>
      </c>
      <c r="C21" s="483">
        <f>IF(B21="",C20,VLOOKUP(TRUNC(B21,1),VLOOKUP!$A$3:$K$2834,RIGHT(TEXT(B21,"0000.00"),1)+2,FALSE))</f>
        <v>282000</v>
      </c>
      <c r="D21" s="43">
        <f t="shared" si="14"/>
        <v>36</v>
      </c>
      <c r="E21" s="62">
        <f t="shared" si="0"/>
        <v>130000</v>
      </c>
      <c r="F21" s="186">
        <f t="shared" si="1"/>
        <v>18.149735316359969</v>
      </c>
      <c r="G21" s="621">
        <v>701</v>
      </c>
      <c r="H21" s="617">
        <v>0</v>
      </c>
      <c r="I21" s="74">
        <f t="shared" si="2"/>
        <v>701</v>
      </c>
      <c r="J21" s="187">
        <f t="shared" si="24"/>
        <v>0</v>
      </c>
      <c r="K21" s="74">
        <f t="shared" si="3"/>
        <v>701</v>
      </c>
      <c r="L21" s="74">
        <f t="shared" si="4"/>
        <v>-23.850264683640031</v>
      </c>
      <c r="M21" s="628">
        <v>254</v>
      </c>
      <c r="N21" s="610">
        <v>0.5</v>
      </c>
      <c r="O21" s="617">
        <f>59*1.05</f>
        <v>61.95</v>
      </c>
      <c r="P21" s="610">
        <v>0</v>
      </c>
      <c r="Q21" s="144">
        <f>1880400/325851/1.9835*1.02</f>
        <v>2.9675575590838341</v>
      </c>
      <c r="R21" s="73">
        <f t="shared" si="30"/>
        <v>4.2</v>
      </c>
      <c r="S21" s="73">
        <f t="shared" si="31"/>
        <v>0.36885104000000002</v>
      </c>
      <c r="T21" s="73">
        <f t="shared" si="32"/>
        <v>1.3591489600000002</v>
      </c>
      <c r="U21" s="131">
        <v>0</v>
      </c>
      <c r="V21" s="621">
        <v>156</v>
      </c>
      <c r="W21" s="621">
        <v>74</v>
      </c>
      <c r="X21" s="627">
        <f t="shared" si="5"/>
        <v>425.83527441527411</v>
      </c>
      <c r="Y21" s="47">
        <f t="shared" si="6"/>
        <v>425.83527441527411</v>
      </c>
      <c r="Z21" s="55">
        <f t="shared" si="16"/>
        <v>13499.685183470956</v>
      </c>
      <c r="AA21" s="616">
        <f t="shared" si="7"/>
        <v>0</v>
      </c>
      <c r="AB21" s="616">
        <f t="shared" si="25"/>
        <v>62099.311988169306</v>
      </c>
      <c r="AC21" s="55">
        <f t="shared" si="26"/>
        <v>1517.7128974154105</v>
      </c>
      <c r="AD21" s="62">
        <f t="shared" si="33"/>
        <v>8754.9688212972815</v>
      </c>
      <c r="AE21" s="621">
        <v>125</v>
      </c>
      <c r="AF21" s="188">
        <v>1.7</v>
      </c>
      <c r="AG21" s="210">
        <v>1.3</v>
      </c>
      <c r="AH21" s="621">
        <v>50</v>
      </c>
      <c r="AI21" s="55">
        <f t="shared" si="27"/>
        <v>10882.511822044311</v>
      </c>
      <c r="AJ21" s="621"/>
      <c r="AK21" s="74">
        <f t="shared" si="8"/>
        <v>659</v>
      </c>
      <c r="AL21" s="74">
        <f t="shared" si="9"/>
        <v>23.850264683640031</v>
      </c>
      <c r="AM21" s="186">
        <f t="shared" si="18"/>
        <v>682.85026468364003</v>
      </c>
      <c r="AN21" s="45"/>
      <c r="AO21" s="489"/>
      <c r="AP21" s="489"/>
      <c r="AQ21" s="43"/>
      <c r="AR21" s="43">
        <f t="shared" si="19"/>
        <v>266.29716802564201</v>
      </c>
      <c r="AS21" s="492">
        <v>0.38</v>
      </c>
      <c r="AT21" s="493">
        <f t="shared" si="20"/>
        <v>0.26599999999999996</v>
      </c>
      <c r="AU21" s="494">
        <f>IF(AT21=0,0,VLOOKUP(ROUNDDOWN(TEXT(B21,"0000"),-1),VLOOKUP!$M$3:$W$32,RIGHT(TEXT(B21,"0000"),1)+2,FALSE))</f>
        <v>3687</v>
      </c>
      <c r="AV21" s="494">
        <f t="shared" si="28"/>
        <v>81.728499999999997</v>
      </c>
      <c r="AW21" s="39">
        <f t="shared" si="21"/>
        <v>14.87710537781947</v>
      </c>
      <c r="AX21" s="42">
        <v>13.180831974357917</v>
      </c>
      <c r="AY21" s="558"/>
      <c r="AZ21" s="180"/>
      <c r="BA21" s="314"/>
      <c r="BC21" s="607">
        <v>0</v>
      </c>
      <c r="BD21" s="629">
        <v>80</v>
      </c>
      <c r="BE21" s="629">
        <v>51</v>
      </c>
      <c r="BF21" s="377"/>
      <c r="BG21" s="385">
        <f t="shared" si="29"/>
        <v>9.3955575590838354</v>
      </c>
      <c r="BH21" s="630">
        <v>1.78</v>
      </c>
      <c r="BI21" s="631">
        <v>19388</v>
      </c>
      <c r="BJ21" s="296">
        <f t="shared" si="22"/>
        <v>0</v>
      </c>
      <c r="BK21" s="591">
        <f t="shared" si="10"/>
        <v>0</v>
      </c>
      <c r="BM21" s="574">
        <f t="shared" si="23"/>
        <v>7</v>
      </c>
      <c r="BN21" s="559">
        <v>6899.49</v>
      </c>
      <c r="BO21" s="575">
        <f t="shared" si="11"/>
        <v>7.999999999992724E-2</v>
      </c>
      <c r="BP21" s="576">
        <v>50.391666666666573</v>
      </c>
      <c r="BQ21" s="576">
        <f t="shared" si="12"/>
        <v>-0.39166666666657335</v>
      </c>
    </row>
    <row r="22" spans="1:69" ht="12.95" customHeight="1">
      <c r="A22" s="253">
        <f t="shared" si="13"/>
        <v>8</v>
      </c>
      <c r="B22" s="632">
        <v>6899.44</v>
      </c>
      <c r="C22" s="483">
        <f>IF(B22="",C21,VLOOKUP(TRUNC(B22,1),VLOOKUP!$A$3:$K$2834,RIGHT(TEXT(B22,"0000.00"),1)+2,FALSE))</f>
        <v>281523</v>
      </c>
      <c r="D22" s="43">
        <f t="shared" si="14"/>
        <v>-477</v>
      </c>
      <c r="E22" s="62">
        <f t="shared" si="0"/>
        <v>129523</v>
      </c>
      <c r="F22" s="186">
        <f t="shared" si="1"/>
        <v>-240.4839929417696</v>
      </c>
      <c r="G22" s="621">
        <v>488</v>
      </c>
      <c r="H22" s="617">
        <v>0</v>
      </c>
      <c r="I22" s="74">
        <f t="shared" si="2"/>
        <v>488</v>
      </c>
      <c r="J22" s="187">
        <f t="shared" si="24"/>
        <v>0</v>
      </c>
      <c r="K22" s="74">
        <f t="shared" si="3"/>
        <v>488</v>
      </c>
      <c r="L22" s="74">
        <f t="shared" si="4"/>
        <v>-73.4839929417696</v>
      </c>
      <c r="M22" s="628">
        <v>256</v>
      </c>
      <c r="N22" s="610">
        <v>0.5</v>
      </c>
      <c r="O22" s="617">
        <f>46*1.05</f>
        <v>48.300000000000004</v>
      </c>
      <c r="P22" s="610">
        <v>0</v>
      </c>
      <c r="Q22" s="144">
        <f>1588000/325851/1.9835*1.02</f>
        <v>2.506105830581328</v>
      </c>
      <c r="R22" s="73">
        <f t="shared" si="30"/>
        <v>4.2</v>
      </c>
      <c r="S22" s="73">
        <f t="shared" si="31"/>
        <v>0.36885104000000002</v>
      </c>
      <c r="T22" s="73">
        <f t="shared" si="32"/>
        <v>1.3591489600000002</v>
      </c>
      <c r="U22" s="131">
        <v>0</v>
      </c>
      <c r="V22" s="621">
        <v>153</v>
      </c>
      <c r="W22" s="621">
        <v>74</v>
      </c>
      <c r="X22" s="627">
        <f t="shared" si="5"/>
        <v>438.94672614377657</v>
      </c>
      <c r="Y22" s="47">
        <f t="shared" si="6"/>
        <v>438.94672614377657</v>
      </c>
      <c r="Z22" s="55">
        <f t="shared" si="16"/>
        <v>13540.332351496598</v>
      </c>
      <c r="AA22" s="616">
        <f t="shared" si="7"/>
        <v>0</v>
      </c>
      <c r="AB22" s="616">
        <f>AB21+(((Y22-AN22)+AR22)*1.9835)</f>
        <v>63050.58647725435</v>
      </c>
      <c r="AC22" s="55">
        <f t="shared" si="26"/>
        <v>1510.2124661687155</v>
      </c>
      <c r="AD22" s="62">
        <f t="shared" si="33"/>
        <v>8754.9688212972815</v>
      </c>
      <c r="AE22" s="621">
        <v>122</v>
      </c>
      <c r="AF22" s="188">
        <v>1.7</v>
      </c>
      <c r="AG22" s="210">
        <v>1.3</v>
      </c>
      <c r="AH22" s="621">
        <v>50</v>
      </c>
      <c r="AI22" s="55">
        <f t="shared" si="27"/>
        <v>10832.511822044311</v>
      </c>
      <c r="AJ22" s="621"/>
      <c r="AK22" s="74">
        <f t="shared" si="8"/>
        <v>655</v>
      </c>
      <c r="AL22" s="74">
        <f t="shared" si="9"/>
        <v>73.4839929417696</v>
      </c>
      <c r="AM22" s="186">
        <f t="shared" si="18"/>
        <v>728.48399294176966</v>
      </c>
      <c r="AN22" s="45"/>
      <c r="AO22" s="489"/>
      <c r="AP22" s="489"/>
      <c r="AQ22" s="43"/>
      <c r="AR22" s="43">
        <f t="shared" si="19"/>
        <v>40.647168025642131</v>
      </c>
      <c r="AS22" s="492">
        <v>0.28999999999999998</v>
      </c>
      <c r="AT22" s="493">
        <f t="shared" si="20"/>
        <v>0.20299999999999999</v>
      </c>
      <c r="AU22" s="494">
        <f>IF(AT22=0,0,VLOOKUP(ROUNDDOWN(TEXT(B22,"0000"),-1),VLOOKUP!$M$3:$W$32,RIGHT(TEXT(B22,"0000"),1)+2,FALSE))</f>
        <v>3660</v>
      </c>
      <c r="AV22" s="494">
        <f t="shared" si="28"/>
        <v>61.914999999999999</v>
      </c>
      <c r="AW22" s="39">
        <f t="shared" si="21"/>
        <v>11.304832376907695</v>
      </c>
      <c r="AX22" s="42">
        <v>13.180831974357917</v>
      </c>
      <c r="AY22" s="558"/>
      <c r="AZ22" s="180"/>
      <c r="BA22" s="314"/>
      <c r="BC22" s="607">
        <v>0</v>
      </c>
      <c r="BD22" s="629">
        <v>72</v>
      </c>
      <c r="BE22" s="629">
        <v>35</v>
      </c>
      <c r="BF22" s="377"/>
      <c r="BG22" s="385">
        <f t="shared" si="29"/>
        <v>8.9341058305813288</v>
      </c>
      <c r="BH22" s="630">
        <v>1.81</v>
      </c>
      <c r="BI22" s="631">
        <v>19389</v>
      </c>
      <c r="BJ22" s="296">
        <f t="shared" si="22"/>
        <v>0</v>
      </c>
      <c r="BK22" s="591">
        <f t="shared" si="10"/>
        <v>0</v>
      </c>
      <c r="BM22" s="574">
        <f t="shared" si="23"/>
        <v>8</v>
      </c>
      <c r="BN22" s="559">
        <v>6899.37</v>
      </c>
      <c r="BO22" s="575">
        <f t="shared" si="11"/>
        <v>6.9999999999708962E-2</v>
      </c>
      <c r="BP22" s="576">
        <v>50.395833333333258</v>
      </c>
      <c r="BQ22" s="576">
        <f t="shared" si="12"/>
        <v>-0.39583333333325754</v>
      </c>
    </row>
    <row r="23" spans="1:69" ht="12.95" customHeight="1">
      <c r="A23" s="253">
        <f t="shared" si="13"/>
        <v>9</v>
      </c>
      <c r="B23" s="632">
        <v>6899.31</v>
      </c>
      <c r="C23" s="483">
        <f>IF(B23="",C22,VLOOKUP(TRUNC(B23,1),VLOOKUP!$A$3:$K$2834,RIGHT(TEXT(B23,"0000.00"),1)+2,FALSE))</f>
        <v>281045</v>
      </c>
      <c r="D23" s="43">
        <f t="shared" si="14"/>
        <v>-478</v>
      </c>
      <c r="E23" s="62">
        <f t="shared" si="0"/>
        <v>129045</v>
      </c>
      <c r="F23" s="186">
        <f t="shared" si="1"/>
        <v>-240.98815225611293</v>
      </c>
      <c r="G23" s="621">
        <v>403</v>
      </c>
      <c r="H23" s="617">
        <v>0</v>
      </c>
      <c r="I23" s="74">
        <f t="shared" si="2"/>
        <v>403</v>
      </c>
      <c r="J23" s="187">
        <f t="shared" si="24"/>
        <v>0</v>
      </c>
      <c r="K23" s="74">
        <f t="shared" si="3"/>
        <v>403</v>
      </c>
      <c r="L23" s="74">
        <f t="shared" si="4"/>
        <v>-43.988152256112926</v>
      </c>
      <c r="M23" s="628">
        <v>214</v>
      </c>
      <c r="N23" s="610">
        <v>0.5</v>
      </c>
      <c r="O23" s="617">
        <f>38*1.05</f>
        <v>39.9</v>
      </c>
      <c r="P23" s="610">
        <v>0</v>
      </c>
      <c r="Q23" s="144">
        <f>1786800/325851/1.9835*1.02</f>
        <v>2.8198425050898721</v>
      </c>
      <c r="R23" s="73">
        <f t="shared" si="30"/>
        <v>4.2</v>
      </c>
      <c r="S23" s="73">
        <f t="shared" si="31"/>
        <v>0.36885104000000002</v>
      </c>
      <c r="T23" s="73">
        <f t="shared" si="32"/>
        <v>1.3591489600000002</v>
      </c>
      <c r="U23" s="131">
        <v>0</v>
      </c>
      <c r="V23" s="621">
        <v>145</v>
      </c>
      <c r="W23" s="621">
        <v>73</v>
      </c>
      <c r="X23" s="627">
        <f t="shared" si="5"/>
        <v>396.03298946926805</v>
      </c>
      <c r="Y23" s="47">
        <f t="shared" si="6"/>
        <v>396.03298946926805</v>
      </c>
      <c r="Z23" s="55">
        <f t="shared" si="16"/>
        <v>13538.57951952224</v>
      </c>
      <c r="AA23" s="616">
        <f t="shared" si="7"/>
        <v>1.7528319743579004</v>
      </c>
      <c r="AB23" s="616">
        <f>AB22+(((Y23-AN23)+AR23)*1.9835)</f>
        <v>63832.641169645503</v>
      </c>
      <c r="AC23" s="55">
        <f t="shared" si="26"/>
        <v>1504.5130296288075</v>
      </c>
      <c r="AD23" s="62">
        <f t="shared" si="33"/>
        <v>8754.9688212972815</v>
      </c>
      <c r="AE23" s="621">
        <v>118</v>
      </c>
      <c r="AF23" s="188">
        <v>1.7</v>
      </c>
      <c r="AG23" s="210">
        <v>1.3</v>
      </c>
      <c r="AH23" s="621">
        <v>50</v>
      </c>
      <c r="AI23" s="55">
        <f t="shared" si="27"/>
        <v>10782.511822044311</v>
      </c>
      <c r="AJ23" s="621"/>
      <c r="AK23" s="74">
        <f t="shared" si="8"/>
        <v>600</v>
      </c>
      <c r="AL23" s="74">
        <f t="shared" si="9"/>
        <v>43.988152256112926</v>
      </c>
      <c r="AM23" s="186">
        <f t="shared" si="18"/>
        <v>643.98815225611293</v>
      </c>
      <c r="AN23" s="45"/>
      <c r="AO23" s="489"/>
      <c r="AP23" s="489"/>
      <c r="AQ23" s="43"/>
      <c r="AR23" s="43">
        <f t="shared" si="19"/>
        <v>-1.7528319743579004</v>
      </c>
      <c r="AS23" s="492">
        <v>0.28000000000000003</v>
      </c>
      <c r="AT23" s="493">
        <f t="shared" si="20"/>
        <v>0.19600000000000001</v>
      </c>
      <c r="AU23" s="494">
        <f>IF(AT23=0,0,VLOOKUP(ROUNDDOWN(TEXT(B23,"0000"),-1),VLOOKUP!$M$3:$W$32,RIGHT(TEXT(B23,"0000"),1)+2,FALSE))</f>
        <v>3660</v>
      </c>
      <c r="AV23" s="494">
        <f t="shared" si="28"/>
        <v>59.780000000000008</v>
      </c>
      <c r="AW23" s="39">
        <f t="shared" si="21"/>
        <v>10.950204279772169</v>
      </c>
      <c r="AX23" s="42">
        <v>13.180831974357917</v>
      </c>
      <c r="AY23" s="558"/>
      <c r="AZ23" s="180"/>
      <c r="BA23" s="314"/>
      <c r="BC23" s="607">
        <v>0</v>
      </c>
      <c r="BD23" s="629">
        <v>68</v>
      </c>
      <c r="BE23" s="629">
        <v>31</v>
      </c>
      <c r="BF23" s="377"/>
      <c r="BG23" s="385">
        <f t="shared" si="29"/>
        <v>9.2478425050898725</v>
      </c>
      <c r="BH23" s="630">
        <v>1.81</v>
      </c>
      <c r="BI23" s="631">
        <v>19401</v>
      </c>
      <c r="BJ23" s="296">
        <f t="shared" si="22"/>
        <v>0</v>
      </c>
      <c r="BK23" s="591">
        <f t="shared" si="10"/>
        <v>0</v>
      </c>
      <c r="BM23" s="574">
        <f t="shared" si="23"/>
        <v>9</v>
      </c>
      <c r="BN23" s="559">
        <v>6899.25</v>
      </c>
      <c r="BO23" s="575">
        <f t="shared" si="11"/>
        <v>6.0000000000400178E-2</v>
      </c>
      <c r="BP23" s="576">
        <v>50.424999999999919</v>
      </c>
      <c r="BQ23" s="576">
        <f t="shared" si="12"/>
        <v>-0.424999999999919</v>
      </c>
    </row>
    <row r="24" spans="1:69" ht="12.95" customHeight="1">
      <c r="A24" s="253">
        <f t="shared" si="13"/>
        <v>10</v>
      </c>
      <c r="B24" s="181">
        <v>6899.14</v>
      </c>
      <c r="C24" s="483">
        <f>IF(B24="",C23,VLOOKUP(TRUNC(B24,1),VLOOKUP!$A$3:$K$2834,RIGHT(TEXT(B24,"0000.00"),1)+2,FALSE))</f>
        <v>280421</v>
      </c>
      <c r="D24" s="43">
        <f t="shared" si="14"/>
        <v>-624</v>
      </c>
      <c r="E24" s="62">
        <f t="shared" si="0"/>
        <v>128421</v>
      </c>
      <c r="F24" s="186">
        <f t="shared" si="1"/>
        <v>-314.5954121502395</v>
      </c>
      <c r="G24" s="74">
        <v>355</v>
      </c>
      <c r="H24" s="180">
        <v>0</v>
      </c>
      <c r="I24" s="74">
        <f t="shared" si="2"/>
        <v>355</v>
      </c>
      <c r="J24" s="187">
        <f t="shared" si="24"/>
        <v>0</v>
      </c>
      <c r="K24" s="74">
        <f t="shared" si="3"/>
        <v>355</v>
      </c>
      <c r="L24" s="74">
        <f t="shared" si="4"/>
        <v>-11.595412150239497</v>
      </c>
      <c r="M24" s="188">
        <v>237</v>
      </c>
      <c r="N24" s="610">
        <v>0.5</v>
      </c>
      <c r="O24" s="180">
        <f>47*1.05</f>
        <v>49.35</v>
      </c>
      <c r="P24" s="610">
        <v>0</v>
      </c>
      <c r="Q24" s="144">
        <f>2341200/325851/1.9835*1.02</f>
        <v>3.6947701325925721</v>
      </c>
      <c r="R24" s="73">
        <f t="shared" si="30"/>
        <v>4.2</v>
      </c>
      <c r="S24" s="73">
        <f t="shared" si="31"/>
        <v>0.36885104000000002</v>
      </c>
      <c r="T24" s="73">
        <f t="shared" si="32"/>
        <v>1.3591489600000002</v>
      </c>
      <c r="U24" s="131">
        <v>0</v>
      </c>
      <c r="V24" s="74">
        <v>141</v>
      </c>
      <c r="W24" s="74">
        <v>71</v>
      </c>
      <c r="X24" s="627">
        <f t="shared" si="5"/>
        <v>402.70806184176536</v>
      </c>
      <c r="Y24" s="47">
        <f t="shared" si="6"/>
        <v>402.70806184176536</v>
      </c>
      <c r="Z24" s="55">
        <f t="shared" si="16"/>
        <v>13481.276687547883</v>
      </c>
      <c r="AA24" s="616">
        <f t="shared" si="7"/>
        <v>57.302831974357915</v>
      </c>
      <c r="AB24" s="616">
        <f t="shared" si="25"/>
        <v>64517.752443087506</v>
      </c>
      <c r="AC24" s="55">
        <f t="shared" si="26"/>
        <v>1498.9923821471982</v>
      </c>
      <c r="AD24" s="62">
        <f t="shared" si="33"/>
        <v>8754.9688212972815</v>
      </c>
      <c r="AE24" s="74">
        <v>159</v>
      </c>
      <c r="AF24" s="188">
        <v>1.7</v>
      </c>
      <c r="AG24" s="210">
        <v>1.3</v>
      </c>
      <c r="AH24" s="74">
        <v>50</v>
      </c>
      <c r="AI24" s="55">
        <f t="shared" si="27"/>
        <v>10732.511822044311</v>
      </c>
      <c r="AJ24" s="621"/>
      <c r="AK24" s="74">
        <f t="shared" si="8"/>
        <v>658</v>
      </c>
      <c r="AL24" s="74">
        <f t="shared" si="9"/>
        <v>11.595412150239497</v>
      </c>
      <c r="AM24" s="186">
        <f t="shared" si="18"/>
        <v>669.59541215023955</v>
      </c>
      <c r="AN24" s="45"/>
      <c r="AO24" s="489"/>
      <c r="AP24" s="489"/>
      <c r="AQ24" s="43"/>
      <c r="AR24" s="43">
        <f t="shared" si="19"/>
        <v>-57.302831974357915</v>
      </c>
      <c r="AS24" s="492">
        <v>0.2</v>
      </c>
      <c r="AT24" s="493">
        <f t="shared" si="20"/>
        <v>0.13999999999999999</v>
      </c>
      <c r="AU24" s="494">
        <f>IF(AT24=0,0,VLOOKUP(ROUNDDOWN(TEXT(B24,"0000"),-1),VLOOKUP!$M$3:$W$32,RIGHT(TEXT(B24,"0000"),1)+2,FALSE))</f>
        <v>3660</v>
      </c>
      <c r="AV24" s="494">
        <f t="shared" si="28"/>
        <v>42.699999999999996</v>
      </c>
      <c r="AW24" s="39">
        <f t="shared" si="21"/>
        <v>7.8559387153600522</v>
      </c>
      <c r="AX24" s="42">
        <v>13.180831974357917</v>
      </c>
      <c r="AY24" s="558"/>
      <c r="AZ24" s="180"/>
      <c r="BA24" s="314"/>
      <c r="BC24" s="64">
        <v>0</v>
      </c>
      <c r="BD24" s="43">
        <v>80</v>
      </c>
      <c r="BE24" s="43">
        <v>41</v>
      </c>
      <c r="BF24" s="377"/>
      <c r="BG24" s="385">
        <f t="shared" si="29"/>
        <v>10.122770132592573</v>
      </c>
      <c r="BH24" s="630">
        <v>2.04</v>
      </c>
      <c r="BI24" s="445">
        <v>19411</v>
      </c>
      <c r="BJ24" s="296">
        <f t="shared" si="22"/>
        <v>0</v>
      </c>
      <c r="BK24" s="591">
        <f t="shared" si="10"/>
        <v>0</v>
      </c>
      <c r="BM24" s="574">
        <f t="shared" si="23"/>
        <v>10</v>
      </c>
      <c r="BN24" s="559">
        <v>6899.07</v>
      </c>
      <c r="BO24" s="575">
        <f t="shared" si="11"/>
        <v>7.0000000000618456E-2</v>
      </c>
      <c r="BP24" s="576">
        <v>50.378124999999933</v>
      </c>
      <c r="BQ24" s="576">
        <f t="shared" si="12"/>
        <v>-0.37812499999993321</v>
      </c>
    </row>
    <row r="25" spans="1:69" ht="12.95" customHeight="1">
      <c r="A25" s="253">
        <f t="shared" si="13"/>
        <v>11</v>
      </c>
      <c r="B25" s="181">
        <v>6898.93</v>
      </c>
      <c r="C25" s="483">
        <f>IF(B25="",C24,VLOOKUP(TRUNC(B25,1),VLOOKUP!$A$3:$K$2834,RIGHT(TEXT(B25,"0000.00"),1)+2,FALSE))</f>
        <v>279651</v>
      </c>
      <c r="D25" s="43">
        <f t="shared" si="14"/>
        <v>-770</v>
      </c>
      <c r="E25" s="62">
        <f t="shared" si="0"/>
        <v>127651</v>
      </c>
      <c r="F25" s="186">
        <f t="shared" si="1"/>
        <v>-388.20267204436601</v>
      </c>
      <c r="G25" s="74">
        <v>304</v>
      </c>
      <c r="H25" s="180">
        <v>0</v>
      </c>
      <c r="I25" s="74">
        <f t="shared" si="2"/>
        <v>304</v>
      </c>
      <c r="J25" s="187">
        <f t="shared" si="24"/>
        <v>0</v>
      </c>
      <c r="K25" s="74">
        <f t="shared" si="3"/>
        <v>304</v>
      </c>
      <c r="L25" s="74">
        <f t="shared" si="4"/>
        <v>-8.2026720443660111</v>
      </c>
      <c r="M25" s="188">
        <v>287</v>
      </c>
      <c r="N25" s="610">
        <v>0.5</v>
      </c>
      <c r="O25" s="180">
        <f>71*1.05</f>
        <v>74.55</v>
      </c>
      <c r="P25" s="610">
        <v>0</v>
      </c>
      <c r="Q25" s="144">
        <f>1931900/325851/1.9835*1.02</f>
        <v>3.0488324018262385</v>
      </c>
      <c r="R25" s="73">
        <f t="shared" si="30"/>
        <v>4.2</v>
      </c>
      <c r="S25" s="73">
        <f t="shared" si="31"/>
        <v>0.36885104000000002</v>
      </c>
      <c r="T25" s="73">
        <f t="shared" si="32"/>
        <v>1.3591489600000002</v>
      </c>
      <c r="U25" s="131">
        <v>0</v>
      </c>
      <c r="V25" s="74">
        <v>123</v>
      </c>
      <c r="W25" s="74">
        <v>70</v>
      </c>
      <c r="X25" s="627">
        <f t="shared" si="5"/>
        <v>409.15399957253169</v>
      </c>
      <c r="Y25" s="47">
        <f t="shared" si="6"/>
        <v>409.15399957253169</v>
      </c>
      <c r="Z25" s="55">
        <f t="shared" si="16"/>
        <v>13367.173855573525</v>
      </c>
      <c r="AA25" s="616">
        <f t="shared" si="7"/>
        <v>114.10283197435793</v>
      </c>
      <c r="AB25" s="616">
        <f t="shared" si="25"/>
        <v>65102.986434018487</v>
      </c>
      <c r="AC25" s="55">
        <f t="shared" si="26"/>
        <v>1495.0317374709391</v>
      </c>
      <c r="AD25" s="62">
        <f t="shared" si="33"/>
        <v>8754.9688212972815</v>
      </c>
      <c r="AE25" s="74">
        <v>154</v>
      </c>
      <c r="AF25" s="188">
        <v>1.7</v>
      </c>
      <c r="AG25" s="210">
        <v>1.3</v>
      </c>
      <c r="AH25" s="74">
        <v>50</v>
      </c>
      <c r="AI25" s="55">
        <f t="shared" si="27"/>
        <v>10682.511822044311</v>
      </c>
      <c r="AJ25" s="621"/>
      <c r="AK25" s="74">
        <f t="shared" si="8"/>
        <v>684</v>
      </c>
      <c r="AL25" s="74">
        <f t="shared" si="9"/>
        <v>8.2026720443660111</v>
      </c>
      <c r="AM25" s="186">
        <f t="shared" si="18"/>
        <v>692.20267204436595</v>
      </c>
      <c r="AN25" s="45"/>
      <c r="AO25" s="489"/>
      <c r="AP25" s="489"/>
      <c r="AQ25" s="43"/>
      <c r="AR25" s="43">
        <f t="shared" si="19"/>
        <v>-114.10283197435793</v>
      </c>
      <c r="AS25" s="492">
        <v>0.3</v>
      </c>
      <c r="AT25" s="493">
        <f t="shared" si="20"/>
        <v>0.21</v>
      </c>
      <c r="AU25" s="494">
        <f>IF(AT25=0,0,VLOOKUP(ROUNDDOWN(TEXT(B25,"0000"),-1),VLOOKUP!$M$3:$W$32,RIGHT(TEXT(B25,"0000"),1)+2,FALSE))</f>
        <v>3660</v>
      </c>
      <c r="AV25" s="494">
        <f t="shared" si="28"/>
        <v>64.05</v>
      </c>
      <c r="AW25" s="39">
        <f t="shared" si="21"/>
        <v>11.851047667258079</v>
      </c>
      <c r="AX25" s="42">
        <v>13.180831974357917</v>
      </c>
      <c r="AY25" s="558"/>
      <c r="AZ25" s="180"/>
      <c r="BA25" s="314"/>
      <c r="BC25" s="64">
        <v>0</v>
      </c>
      <c r="BD25" s="43">
        <v>86</v>
      </c>
      <c r="BE25" s="43">
        <v>48</v>
      </c>
      <c r="BF25" s="377"/>
      <c r="BG25" s="385">
        <f t="shared" si="29"/>
        <v>9.476832401826238</v>
      </c>
      <c r="BH25" s="23">
        <v>2.2799999999999998</v>
      </c>
      <c r="BI25" s="445">
        <v>19418</v>
      </c>
      <c r="BJ25" s="296">
        <f t="shared" si="22"/>
        <v>0</v>
      </c>
      <c r="BK25" s="591">
        <f t="shared" si="10"/>
        <v>0</v>
      </c>
      <c r="BM25" s="574">
        <f t="shared" si="23"/>
        <v>11</v>
      </c>
      <c r="BN25" s="559">
        <v>6898.84</v>
      </c>
      <c r="BO25" s="575">
        <f t="shared" si="11"/>
        <v>9.0000000000145519E-2</v>
      </c>
      <c r="BP25" s="576">
        <v>50.37708333333331</v>
      </c>
      <c r="BQ25" s="576">
        <f t="shared" si="12"/>
        <v>-0.37708333333331012</v>
      </c>
    </row>
    <row r="26" spans="1:69" ht="12.95" customHeight="1">
      <c r="A26" s="253">
        <f t="shared" si="13"/>
        <v>12</v>
      </c>
      <c r="B26" s="181">
        <v>6898.72</v>
      </c>
      <c r="C26" s="483">
        <f>IF(B26="",C25,VLOOKUP(TRUNC(B26,1),VLOOKUP!$A$3:$K$2834,RIGHT(TEXT(B26,"0000.00"),1)+2,FALSE))</f>
        <v>278886</v>
      </c>
      <c r="D26" s="43">
        <f t="shared" si="14"/>
        <v>-765</v>
      </c>
      <c r="E26" s="62">
        <f t="shared" si="0"/>
        <v>126886</v>
      </c>
      <c r="F26" s="186">
        <f t="shared" si="1"/>
        <v>-385.68187547264932</v>
      </c>
      <c r="G26" s="74">
        <v>279</v>
      </c>
      <c r="H26" s="180">
        <v>0</v>
      </c>
      <c r="I26" s="74">
        <f t="shared" si="2"/>
        <v>279</v>
      </c>
      <c r="J26" s="187">
        <f t="shared" si="24"/>
        <v>0</v>
      </c>
      <c r="K26" s="74">
        <f t="shared" si="3"/>
        <v>279</v>
      </c>
      <c r="L26" s="74">
        <f t="shared" si="4"/>
        <v>-19.681875472649324</v>
      </c>
      <c r="M26" s="188">
        <v>250</v>
      </c>
      <c r="N26" s="610">
        <v>0.5</v>
      </c>
      <c r="O26" s="180">
        <f>68*1.05</f>
        <v>71.400000000000006</v>
      </c>
      <c r="P26" s="610">
        <v>0</v>
      </c>
      <c r="Q26" s="144">
        <f>2256400/325851/1.9835*1.02</f>
        <v>3.5609428187177001</v>
      </c>
      <c r="R26" s="73">
        <f>IF(((6.5*1.04)-T26)&gt;=4.2,4.2,(6.5*1.04)-T26)</f>
        <v>4.2</v>
      </c>
      <c r="S26" s="73">
        <f>IF(((6.5*1.04)-T26)&gt;=4.2,((6.5*1.04)-T26)-4.2,0)</f>
        <v>1.1205963199999998</v>
      </c>
      <c r="T26" s="73">
        <f>(1.3057*1.06)*1.04</f>
        <v>1.4394036800000003</v>
      </c>
      <c r="U26" s="131">
        <v>0</v>
      </c>
      <c r="V26" s="74">
        <v>111</v>
      </c>
      <c r="W26" s="74">
        <v>69</v>
      </c>
      <c r="X26" s="627">
        <f t="shared" si="5"/>
        <v>360.95988915564021</v>
      </c>
      <c r="Y26" s="47">
        <f t="shared" si="6"/>
        <v>360.95988915564021</v>
      </c>
      <c r="Z26" s="55">
        <f t="shared" si="16"/>
        <v>13275.753023599167</v>
      </c>
      <c r="AA26" s="616">
        <f t="shared" si="7"/>
        <v>91.42083197435791</v>
      </c>
      <c r="AB26" s="616">
        <f t="shared" si="25"/>
        <v>65637.617153937565</v>
      </c>
      <c r="AC26" s="55">
        <f t="shared" si="26"/>
        <v>1495.156921404764</v>
      </c>
      <c r="AD26" s="62">
        <f t="shared" si="33"/>
        <v>8754.9688212972815</v>
      </c>
      <c r="AE26" s="74">
        <v>165</v>
      </c>
      <c r="AF26" s="188">
        <v>1.7</v>
      </c>
      <c r="AG26" s="210">
        <v>1.3</v>
      </c>
      <c r="AH26" s="74">
        <v>50</v>
      </c>
      <c r="AI26" s="55">
        <f t="shared" si="27"/>
        <v>10632.511822044311</v>
      </c>
      <c r="AJ26" s="621"/>
      <c r="AK26" s="74">
        <f t="shared" si="8"/>
        <v>645</v>
      </c>
      <c r="AL26" s="74">
        <f t="shared" si="9"/>
        <v>19.681875472649324</v>
      </c>
      <c r="AM26" s="186">
        <f t="shared" si="18"/>
        <v>664.68187547264938</v>
      </c>
      <c r="AN26" s="45"/>
      <c r="AO26" s="489"/>
      <c r="AP26" s="489"/>
      <c r="AQ26" s="43"/>
      <c r="AR26" s="43">
        <f t="shared" si="19"/>
        <v>-91.42083197435791</v>
      </c>
      <c r="AS26" s="492">
        <v>0.3</v>
      </c>
      <c r="AT26" s="493">
        <f t="shared" si="20"/>
        <v>0.21</v>
      </c>
      <c r="AU26" s="494">
        <f>IF(AT26=0,0,VLOOKUP(ROUNDDOWN(TEXT(B26,"0000"),-1),VLOOKUP!$M$3:$W$32,RIGHT(TEXT(B26,"0000"),1)+2,FALSE))</f>
        <v>3660</v>
      </c>
      <c r="AV26" s="494">
        <f t="shared" si="28"/>
        <v>64.05</v>
      </c>
      <c r="AW26" s="39">
        <f t="shared" si="21"/>
        <v>11.922623374821281</v>
      </c>
      <c r="AX26" s="42">
        <v>13.180831974357917</v>
      </c>
      <c r="AY26" s="558"/>
      <c r="AZ26" s="180">
        <f>IF(BH26="","",BH26)</f>
        <v>6.1</v>
      </c>
      <c r="BA26" s="314"/>
      <c r="BC26" s="64">
        <v>0</v>
      </c>
      <c r="BD26" s="43">
        <v>91</v>
      </c>
      <c r="BE26" s="43">
        <v>54</v>
      </c>
      <c r="BF26" s="377"/>
      <c r="BG26" s="385">
        <f t="shared" si="29"/>
        <v>10.820942818717702</v>
      </c>
      <c r="BH26" s="23">
        <v>6.1</v>
      </c>
      <c r="BI26" s="445">
        <v>19416</v>
      </c>
      <c r="BJ26" s="296">
        <f t="shared" si="22"/>
        <v>0</v>
      </c>
      <c r="BK26" s="591">
        <f t="shared" si="10"/>
        <v>0</v>
      </c>
      <c r="BM26" s="574">
        <f t="shared" si="23"/>
        <v>12</v>
      </c>
      <c r="BN26" s="559">
        <v>6898.62</v>
      </c>
      <c r="BO26" s="575">
        <f t="shared" si="11"/>
        <v>0.1000000000003638</v>
      </c>
      <c r="BP26" s="576">
        <v>50.370833333333358</v>
      </c>
      <c r="BQ26" s="576">
        <f t="shared" si="12"/>
        <v>-0.37083333333335844</v>
      </c>
    </row>
    <row r="27" spans="1:69" ht="12.95" customHeight="1">
      <c r="A27" s="253">
        <f t="shared" si="13"/>
        <v>13</v>
      </c>
      <c r="B27" s="632">
        <v>6898.51</v>
      </c>
      <c r="C27" s="633">
        <f>IF(B27="",C26,VLOOKUP(TRUNC(B27,1),VLOOKUP!$A$3:$K$2834,RIGHT(TEXT(B27,"0000.00"),1)+2,FALSE))</f>
        <v>278120</v>
      </c>
      <c r="D27" s="629">
        <f t="shared" si="14"/>
        <v>-766</v>
      </c>
      <c r="E27" s="609">
        <f t="shared" si="0"/>
        <v>126120</v>
      </c>
      <c r="F27" s="634">
        <f t="shared" si="1"/>
        <v>-386.18603478699271</v>
      </c>
      <c r="G27" s="621">
        <v>277</v>
      </c>
      <c r="H27" s="617">
        <v>0</v>
      </c>
      <c r="I27" s="621">
        <f t="shared" si="2"/>
        <v>277</v>
      </c>
      <c r="J27" s="608">
        <f t="shared" si="24"/>
        <v>0</v>
      </c>
      <c r="K27" s="621">
        <f t="shared" si="3"/>
        <v>277</v>
      </c>
      <c r="L27" s="621">
        <f t="shared" si="4"/>
        <v>-24.186034786992707</v>
      </c>
      <c r="M27" s="628">
        <v>267</v>
      </c>
      <c r="N27" s="610">
        <v>0.5</v>
      </c>
      <c r="O27" s="617">
        <f>66*1.05</f>
        <v>69.3</v>
      </c>
      <c r="P27" s="610">
        <v>0</v>
      </c>
      <c r="Q27" s="635">
        <f>2007000/325851/1.9835*1.02</f>
        <v>3.1673516385243858</v>
      </c>
      <c r="R27" s="636">
        <f>IF(((6.6*1.04)-T27)&gt;=4.2,4.2,(6.6*1.04)-T27)</f>
        <v>4.2</v>
      </c>
      <c r="S27" s="636">
        <f>IF(((6.6*1.04)-T27)&gt;=4.2,((6.6*1.04)-T27)-4.2,0)</f>
        <v>1.224596319999999</v>
      </c>
      <c r="T27" s="73">
        <f t="shared" ref="T27:T32" si="34">(1.3057*1.06)*1.04</f>
        <v>1.4394036800000003</v>
      </c>
      <c r="U27" s="637">
        <v>0</v>
      </c>
      <c r="V27" s="621">
        <v>109</v>
      </c>
      <c r="W27" s="621">
        <v>68</v>
      </c>
      <c r="X27" s="627">
        <f>IF(B27="",0,M27-N27-O27-P27-Q27-R27-S27-T27-U27+V27+W27-MAX(AN27-AO27,0)-BA27+AX27)</f>
        <v>377.34948033583356</v>
      </c>
      <c r="Y27" s="47">
        <f t="shared" si="6"/>
        <v>377.34948033583356</v>
      </c>
      <c r="Z27" s="55">
        <f t="shared" si="16"/>
        <v>13166.336191624809</v>
      </c>
      <c r="AA27" s="616">
        <f t="shared" si="7"/>
        <v>109.41683197435795</v>
      </c>
      <c r="AB27" s="616">
        <f t="shared" si="25"/>
        <v>66169.061561962546</v>
      </c>
      <c r="AC27" s="55">
        <f t="shared" si="26"/>
        <v>1497.0120197789404</v>
      </c>
      <c r="AD27" s="62">
        <f t="shared" si="33"/>
        <v>8754.9688212972815</v>
      </c>
      <c r="AE27" s="621">
        <v>145</v>
      </c>
      <c r="AF27" s="188">
        <v>1.7</v>
      </c>
      <c r="AG27" s="210">
        <v>1.3</v>
      </c>
      <c r="AH27" s="621">
        <v>50</v>
      </c>
      <c r="AI27" s="55">
        <f t="shared" si="27"/>
        <v>10582.511822044311</v>
      </c>
      <c r="AJ27" s="621"/>
      <c r="AK27" s="74">
        <f t="shared" si="8"/>
        <v>639</v>
      </c>
      <c r="AL27" s="74">
        <f t="shared" si="9"/>
        <v>24.186034786992707</v>
      </c>
      <c r="AM27" s="186">
        <f t="shared" si="18"/>
        <v>663.18603478699265</v>
      </c>
      <c r="AN27" s="45"/>
      <c r="AO27" s="489"/>
      <c r="AP27" s="489"/>
      <c r="AQ27" s="43"/>
      <c r="AR27" s="43">
        <f t="shared" si="19"/>
        <v>-109.41683197435795</v>
      </c>
      <c r="AS27" s="492">
        <v>0.33</v>
      </c>
      <c r="AT27" s="493">
        <f t="shared" si="20"/>
        <v>0.23099999999999998</v>
      </c>
      <c r="AU27" s="494">
        <f>IF(AT27=0,0,VLOOKUP(ROUNDDOWN(TEXT(B27,"0000"),-1),VLOOKUP!$M$3:$W$32,RIGHT(TEXT(B27,"0000"),1)+2,FALSE))</f>
        <v>3660</v>
      </c>
      <c r="AV27" s="494">
        <f t="shared" si="28"/>
        <v>70.454999999999998</v>
      </c>
      <c r="AW27" s="39">
        <f t="shared" si="21"/>
        <v>13.196595574353491</v>
      </c>
      <c r="AX27" s="42">
        <v>13.180831974357917</v>
      </c>
      <c r="AY27" s="558"/>
      <c r="AZ27" s="180">
        <f>IF(BH27="","",7.866)</f>
        <v>7.8659999999999997</v>
      </c>
      <c r="BA27" s="314"/>
      <c r="BC27" s="64">
        <v>0</v>
      </c>
      <c r="BD27" s="629">
        <v>87</v>
      </c>
      <c r="BE27" s="629">
        <v>62</v>
      </c>
      <c r="BF27" s="377"/>
      <c r="BG27" s="385">
        <f t="shared" si="29"/>
        <v>10.531351638524386</v>
      </c>
      <c r="BH27" s="630">
        <v>8.4600000000000009</v>
      </c>
      <c r="BI27" s="631">
        <v>19401</v>
      </c>
      <c r="BJ27" s="296">
        <f t="shared" si="22"/>
        <v>0</v>
      </c>
      <c r="BK27" s="591">
        <f t="shared" si="10"/>
        <v>0</v>
      </c>
      <c r="BM27" s="574">
        <f t="shared" si="23"/>
        <v>13</v>
      </c>
      <c r="BN27" s="559">
        <v>6898.4</v>
      </c>
      <c r="BO27" s="575">
        <f t="shared" si="11"/>
        <v>0.11000000000058208</v>
      </c>
      <c r="BP27" s="576">
        <v>50.331249999999947</v>
      </c>
      <c r="BQ27" s="576">
        <f t="shared" si="12"/>
        <v>-0.33124999999994742</v>
      </c>
    </row>
    <row r="28" spans="1:69" ht="12.95" customHeight="1">
      <c r="A28" s="253">
        <f t="shared" si="13"/>
        <v>14</v>
      </c>
      <c r="B28" s="632">
        <v>6898.31</v>
      </c>
      <c r="C28" s="633">
        <f>IF(B28="",C27,VLOOKUP(TRUNC(B28,1),VLOOKUP!$A$3:$K$2834,RIGHT(TEXT(B28,"0000.00"),1)+2,FALSE))</f>
        <v>277391</v>
      </c>
      <c r="D28" s="629">
        <f t="shared" si="14"/>
        <v>-729</v>
      </c>
      <c r="E28" s="609">
        <f t="shared" si="0"/>
        <v>125391</v>
      </c>
      <c r="F28" s="634">
        <f t="shared" si="1"/>
        <v>-367.53214015628936</v>
      </c>
      <c r="G28" s="621">
        <v>294</v>
      </c>
      <c r="H28" s="617">
        <v>0</v>
      </c>
      <c r="I28" s="621">
        <f t="shared" si="2"/>
        <v>294</v>
      </c>
      <c r="J28" s="608">
        <f t="shared" si="24"/>
        <v>0</v>
      </c>
      <c r="K28" s="621">
        <f t="shared" si="3"/>
        <v>294</v>
      </c>
      <c r="L28" s="621">
        <f t="shared" si="4"/>
        <v>-52.532140156289358</v>
      </c>
      <c r="M28" s="628">
        <v>268</v>
      </c>
      <c r="N28" s="610">
        <v>0.5</v>
      </c>
      <c r="O28" s="617">
        <f>72*1.05</f>
        <v>75.600000000000009</v>
      </c>
      <c r="P28" s="610">
        <v>0</v>
      </c>
      <c r="Q28" s="635">
        <f>2419500/325851/1.9835*1.02</f>
        <v>3.8183394566067523</v>
      </c>
      <c r="R28" s="636">
        <f>IF(((6.5*1.04)-T28)&gt;=4.2,4.2,(6.5*1.04)-T28)</f>
        <v>4.2</v>
      </c>
      <c r="S28" s="636">
        <f>IF(((6.5*1.04)-T28)&gt;=4.2,((6.5*1.04)-T28)-4.2,0)</f>
        <v>1.1205963199999998</v>
      </c>
      <c r="T28" s="73">
        <f t="shared" si="34"/>
        <v>1.4394036800000003</v>
      </c>
      <c r="U28" s="637">
        <v>0</v>
      </c>
      <c r="V28" s="621">
        <v>107</v>
      </c>
      <c r="W28" s="621">
        <v>68</v>
      </c>
      <c r="X28" s="627">
        <f t="shared" ref="X28:X44" si="35">IF(B28="",0,M28-N28-O28-P28-Q28-R28-S28-T28-U28+V28+W28-MAX(AN28-AO28,0)-BA28+AX28)</f>
        <v>369.50249251775119</v>
      </c>
      <c r="Y28" s="47">
        <f t="shared" si="6"/>
        <v>369.50249251775119</v>
      </c>
      <c r="Z28" s="55">
        <f t="shared" si="16"/>
        <v>13081.11535965045</v>
      </c>
      <c r="AA28" s="616">
        <f t="shared" si="7"/>
        <v>85.220831974357921</v>
      </c>
      <c r="AB28" s="616">
        <f t="shared" si="25"/>
        <v>66732.934235650362</v>
      </c>
      <c r="AC28" s="55">
        <f t="shared" si="26"/>
        <v>1498.2248332025081</v>
      </c>
      <c r="AD28" s="62">
        <f t="shared" si="33"/>
        <v>8754.9688212972815</v>
      </c>
      <c r="AE28" s="621">
        <v>116</v>
      </c>
      <c r="AF28" s="188">
        <v>1.7</v>
      </c>
      <c r="AG28" s="210">
        <v>1.3</v>
      </c>
      <c r="AH28" s="621">
        <v>50</v>
      </c>
      <c r="AI28" s="55">
        <f t="shared" si="27"/>
        <v>10532.511822044311</v>
      </c>
      <c r="AJ28" s="621"/>
      <c r="AK28" s="74">
        <f t="shared" si="8"/>
        <v>609</v>
      </c>
      <c r="AL28" s="74">
        <f t="shared" si="9"/>
        <v>52.532140156289358</v>
      </c>
      <c r="AM28" s="186">
        <f t="shared" si="18"/>
        <v>661.53214015628942</v>
      </c>
      <c r="AN28" s="45"/>
      <c r="AO28" s="489"/>
      <c r="AP28" s="489"/>
      <c r="AQ28" s="43"/>
      <c r="AR28" s="43">
        <f t="shared" si="19"/>
        <v>-85.220831974357921</v>
      </c>
      <c r="AS28" s="492">
        <v>0.28999999999999998</v>
      </c>
      <c r="AT28" s="493">
        <f t="shared" si="20"/>
        <v>0.20299999999999999</v>
      </c>
      <c r="AU28" s="494">
        <f>IF(AT28=0,0,VLOOKUP(ROUNDDOWN(TEXT(B28,"0000"),-1),VLOOKUP!$M$3:$W$32,RIGHT(TEXT(B28,"0000"),1)+2,FALSE))</f>
        <v>3632</v>
      </c>
      <c r="AV28" s="494">
        <f t="shared" si="28"/>
        <v>61.441333333333333</v>
      </c>
      <c r="AW28" s="39">
        <f t="shared" si="21"/>
        <v>11.57637374716011</v>
      </c>
      <c r="AX28" s="42">
        <v>13.180831974357917</v>
      </c>
      <c r="AY28" s="558"/>
      <c r="AZ28" s="180">
        <f t="shared" ref="AZ28:AZ44" si="36">IF(BH28="","",7.866)</f>
        <v>7.8659999999999997</v>
      </c>
      <c r="BA28" s="314"/>
      <c r="BC28" s="64">
        <v>0</v>
      </c>
      <c r="BD28" s="629">
        <v>85</v>
      </c>
      <c r="BE28" s="629">
        <v>53</v>
      </c>
      <c r="BF28" s="377"/>
      <c r="BG28" s="385">
        <f t="shared" si="29"/>
        <v>11.078339456606754</v>
      </c>
      <c r="BH28" s="630">
        <v>8.2899999999999991</v>
      </c>
      <c r="BI28" s="631">
        <v>19382</v>
      </c>
      <c r="BJ28" s="296">
        <f t="shared" si="22"/>
        <v>0</v>
      </c>
      <c r="BK28" s="591">
        <f t="shared" si="10"/>
        <v>0</v>
      </c>
      <c r="BM28" s="574">
        <f t="shared" si="23"/>
        <v>14</v>
      </c>
      <c r="BN28" s="559">
        <v>6898.21</v>
      </c>
      <c r="BO28" s="575">
        <f t="shared" si="11"/>
        <v>0.1000000000003638</v>
      </c>
      <c r="BP28" s="576">
        <v>50.23020833333328</v>
      </c>
      <c r="BQ28" s="576">
        <f t="shared" si="12"/>
        <v>-0.23020833333328028</v>
      </c>
    </row>
    <row r="29" spans="1:69" ht="12.95" customHeight="1">
      <c r="A29" s="253">
        <f t="shared" si="13"/>
        <v>15</v>
      </c>
      <c r="B29" s="632">
        <v>6898.09</v>
      </c>
      <c r="C29" s="633">
        <f>IF(B29="",C28,VLOOKUP(TRUNC(B29,1),VLOOKUP!$A$3:$K$2834,RIGHT(TEXT(B29,"0000.00"),1)+2,FALSE))</f>
        <v>276589</v>
      </c>
      <c r="D29" s="629">
        <f t="shared" si="14"/>
        <v>-802</v>
      </c>
      <c r="E29" s="609">
        <f t="shared" si="0"/>
        <v>124589</v>
      </c>
      <c r="F29" s="634">
        <f t="shared" si="1"/>
        <v>-404.33577010335267</v>
      </c>
      <c r="G29" s="621">
        <v>273</v>
      </c>
      <c r="H29" s="617">
        <v>0</v>
      </c>
      <c r="I29" s="621">
        <f t="shared" si="2"/>
        <v>273</v>
      </c>
      <c r="J29" s="608">
        <f t="shared" si="24"/>
        <v>0</v>
      </c>
      <c r="K29" s="621">
        <f t="shared" si="3"/>
        <v>273</v>
      </c>
      <c r="L29" s="621">
        <f t="shared" si="4"/>
        <v>-27.335770103352672</v>
      </c>
      <c r="M29" s="628">
        <v>274</v>
      </c>
      <c r="N29" s="610">
        <v>0.5</v>
      </c>
      <c r="O29" s="617">
        <f>73*1.05</f>
        <v>76.650000000000006</v>
      </c>
      <c r="P29" s="610">
        <v>0</v>
      </c>
      <c r="Q29" s="635">
        <f>2431900/325851/1.9835*1.02</f>
        <v>3.8379085449563797</v>
      </c>
      <c r="R29" s="636">
        <f>IF(((6.5*1.04)-T29)&gt;=4.2,4.2,(6.5*1.04)-T29)</f>
        <v>4.2</v>
      </c>
      <c r="S29" s="636">
        <f>IF(((6.5*1.04)-T29)&gt;=4.2,((6.5*1.04)-T29)-4.2,0)</f>
        <v>1.1205963199999998</v>
      </c>
      <c r="T29" s="73">
        <f t="shared" si="34"/>
        <v>1.4394036800000003</v>
      </c>
      <c r="U29" s="637">
        <v>0</v>
      </c>
      <c r="V29" s="621">
        <v>104</v>
      </c>
      <c r="W29" s="621">
        <v>68</v>
      </c>
      <c r="X29" s="627">
        <f t="shared" si="35"/>
        <v>371.43292342940157</v>
      </c>
      <c r="Y29" s="47">
        <f t="shared" si="6"/>
        <v>371.43292342940157</v>
      </c>
      <c r="Z29" s="55">
        <f t="shared" si="16"/>
        <v>12972.944527676093</v>
      </c>
      <c r="AA29" s="616">
        <f t="shared" si="7"/>
        <v>108.17083197435797</v>
      </c>
      <c r="AB29" s="616">
        <f t="shared" si="25"/>
        <v>67255.11459405144</v>
      </c>
      <c r="AC29" s="55">
        <f t="shared" si="26"/>
        <v>1500.2544965515576</v>
      </c>
      <c r="AD29" s="62">
        <f t="shared" si="33"/>
        <v>8754.9688212972815</v>
      </c>
      <c r="AE29" s="621">
        <v>154</v>
      </c>
      <c r="AF29" s="188">
        <v>1.7</v>
      </c>
      <c r="AG29" s="210">
        <v>1.3</v>
      </c>
      <c r="AH29" s="621">
        <v>50</v>
      </c>
      <c r="AI29" s="55">
        <f t="shared" si="27"/>
        <v>10482.511822044311</v>
      </c>
      <c r="AJ29" s="621"/>
      <c r="AK29" s="74">
        <f t="shared" si="8"/>
        <v>650</v>
      </c>
      <c r="AL29" s="74">
        <f t="shared" si="9"/>
        <v>27.335770103352672</v>
      </c>
      <c r="AM29" s="186">
        <f t="shared" si="18"/>
        <v>677.33577010335262</v>
      </c>
      <c r="AN29" s="45"/>
      <c r="AO29" s="489"/>
      <c r="AP29" s="489"/>
      <c r="AQ29" s="43"/>
      <c r="AR29" s="43">
        <f t="shared" si="19"/>
        <v>-108.17083197435797</v>
      </c>
      <c r="AS29" s="492">
        <v>0.33</v>
      </c>
      <c r="AT29" s="493">
        <f t="shared" si="20"/>
        <v>0.23099999999999998</v>
      </c>
      <c r="AU29" s="494">
        <f>IF(AT29=0,0,VLOOKUP(ROUNDDOWN(TEXT(B29,"0000"),-1),VLOOKUP!$M$3:$W$32,RIGHT(TEXT(B29,"0000"),1)+2,FALSE))</f>
        <v>3632</v>
      </c>
      <c r="AV29" s="494">
        <f t="shared" si="28"/>
        <v>69.915999999999997</v>
      </c>
      <c r="AW29" s="39">
        <f t="shared" si="21"/>
        <v>13.260171665174067</v>
      </c>
      <c r="AX29" s="42">
        <v>13.180831974357917</v>
      </c>
      <c r="AY29" s="558"/>
      <c r="AZ29" s="180">
        <f t="shared" si="36"/>
        <v>7.8659999999999997</v>
      </c>
      <c r="BA29" s="314"/>
      <c r="BC29" s="607">
        <v>0</v>
      </c>
      <c r="BD29" s="629">
        <v>88</v>
      </c>
      <c r="BE29" s="629">
        <v>47</v>
      </c>
      <c r="BF29" s="377"/>
      <c r="BG29" s="385">
        <f t="shared" si="29"/>
        <v>11.097908544956381</v>
      </c>
      <c r="BH29" s="630">
        <v>8.1</v>
      </c>
      <c r="BI29" s="631">
        <v>19364</v>
      </c>
      <c r="BJ29" s="296">
        <f t="shared" si="22"/>
        <v>0</v>
      </c>
      <c r="BK29" s="591">
        <f t="shared" si="10"/>
        <v>0</v>
      </c>
      <c r="BM29" s="574">
        <f t="shared" si="23"/>
        <v>15</v>
      </c>
      <c r="BN29" s="559">
        <v>6897.98</v>
      </c>
      <c r="BO29" s="575">
        <f t="shared" si="11"/>
        <v>0.11000000000058208</v>
      </c>
      <c r="BP29" s="576">
        <v>49.694736842105243</v>
      </c>
      <c r="BQ29" s="576">
        <f t="shared" si="12"/>
        <v>0.30526315789475689</v>
      </c>
    </row>
    <row r="30" spans="1:69" ht="12.95" customHeight="1">
      <c r="A30" s="253">
        <f t="shared" si="13"/>
        <v>16</v>
      </c>
      <c r="B30" s="632">
        <v>6897.85</v>
      </c>
      <c r="C30" s="633">
        <f>IF(B30="",C29,VLOOKUP(TRUNC(B30,1),VLOOKUP!$A$3:$K$2834,RIGHT(TEXT(B30,"0000.00"),1)+2,FALSE))</f>
        <v>275718</v>
      </c>
      <c r="D30" s="629">
        <f t="shared" si="14"/>
        <v>-871</v>
      </c>
      <c r="E30" s="609">
        <f t="shared" si="0"/>
        <v>123718</v>
      </c>
      <c r="F30" s="634">
        <f t="shared" si="1"/>
        <v>-439.12276279304257</v>
      </c>
      <c r="G30" s="621">
        <v>243</v>
      </c>
      <c r="H30" s="617">
        <v>0</v>
      </c>
      <c r="I30" s="621">
        <f t="shared" si="2"/>
        <v>243</v>
      </c>
      <c r="J30" s="608">
        <f t="shared" si="24"/>
        <v>0</v>
      </c>
      <c r="K30" s="621">
        <f t="shared" si="3"/>
        <v>243</v>
      </c>
      <c r="L30" s="621">
        <f t="shared" si="4"/>
        <v>-48.122762793042568</v>
      </c>
      <c r="M30" s="628">
        <v>278</v>
      </c>
      <c r="N30" s="610">
        <v>0.5</v>
      </c>
      <c r="O30" s="617">
        <f>63*1.05</f>
        <v>66.150000000000006</v>
      </c>
      <c r="P30" s="610">
        <v>0</v>
      </c>
      <c r="Q30" s="635">
        <f>2167600/325851/1.9835*1.02</f>
        <v>3.4208028956977876</v>
      </c>
      <c r="R30" s="636">
        <f>IF(((7.3*1.04)-T30)&gt;=4.2,4.2,(7.3*1.04)-T30)</f>
        <v>4.2</v>
      </c>
      <c r="S30" s="636">
        <f>IF(((7.3*1.04)-T30)&gt;=4.2,((7.3*1.04)-T30)-4.2,0)</f>
        <v>1.9525963199999987</v>
      </c>
      <c r="T30" s="73">
        <f t="shared" si="34"/>
        <v>1.4394036800000003</v>
      </c>
      <c r="U30" s="637">
        <v>0</v>
      </c>
      <c r="V30" s="621">
        <v>100</v>
      </c>
      <c r="W30" s="621">
        <v>68</v>
      </c>
      <c r="X30" s="627">
        <f t="shared" si="35"/>
        <v>381.51802907866016</v>
      </c>
      <c r="Y30" s="47">
        <f t="shared" si="6"/>
        <v>381.51802907866016</v>
      </c>
      <c r="Z30" s="55">
        <f t="shared" si="16"/>
        <v>12825.105695701735</v>
      </c>
      <c r="AA30" s="616">
        <f t="shared" si="7"/>
        <v>147.83883197435793</v>
      </c>
      <c r="AB30" s="616">
        <f t="shared" si="25"/>
        <v>67718.617281507817</v>
      </c>
      <c r="AC30" s="55">
        <f t="shared" si="26"/>
        <v>1501.4352574967686</v>
      </c>
      <c r="AD30" s="62">
        <f t="shared" si="33"/>
        <v>8754.9688212972815</v>
      </c>
      <c r="AE30" s="621">
        <v>138</v>
      </c>
      <c r="AF30" s="188">
        <v>1.7</v>
      </c>
      <c r="AG30" s="210">
        <v>1.3</v>
      </c>
      <c r="AH30" s="621">
        <v>50</v>
      </c>
      <c r="AI30" s="55">
        <f t="shared" si="27"/>
        <v>10432.511822044311</v>
      </c>
      <c r="AJ30" s="621"/>
      <c r="AK30" s="74">
        <f t="shared" si="8"/>
        <v>634</v>
      </c>
      <c r="AL30" s="74">
        <f t="shared" si="9"/>
        <v>48.122762793042568</v>
      </c>
      <c r="AM30" s="186">
        <f t="shared" si="18"/>
        <v>682.12276279304251</v>
      </c>
      <c r="AN30" s="45"/>
      <c r="AO30" s="489"/>
      <c r="AP30" s="489"/>
      <c r="AQ30" s="43"/>
      <c r="AR30" s="43">
        <f t="shared" si="19"/>
        <v>-147.83883197435793</v>
      </c>
      <c r="AS30" s="492">
        <v>0.36</v>
      </c>
      <c r="AT30" s="493">
        <f t="shared" si="20"/>
        <v>0.252</v>
      </c>
      <c r="AU30" s="494">
        <f>IF(AT30=0,0,VLOOKUP(ROUNDDOWN(TEXT(B30,"0000"),-1),VLOOKUP!$M$3:$W$32,RIGHT(TEXT(B30,"0000"),1)+2,FALSE))</f>
        <v>3632</v>
      </c>
      <c r="AV30" s="494">
        <f t="shared" si="28"/>
        <v>76.272000000000006</v>
      </c>
      <c r="AW30" s="39">
        <f t="shared" si="21"/>
        <v>14.56892675525577</v>
      </c>
      <c r="AX30" s="42">
        <v>13.180831974357917</v>
      </c>
      <c r="AY30" s="558"/>
      <c r="AZ30" s="180">
        <f t="shared" si="36"/>
        <v>7.8659999999999997</v>
      </c>
      <c r="BA30" s="314"/>
      <c r="BC30" s="607">
        <v>0</v>
      </c>
      <c r="BD30" s="43">
        <v>87</v>
      </c>
      <c r="BE30" s="43">
        <v>55</v>
      </c>
      <c r="BF30" s="377"/>
      <c r="BG30" s="385">
        <f t="shared" si="29"/>
        <v>11.512802895697787</v>
      </c>
      <c r="BH30" s="630">
        <v>7.9</v>
      </c>
      <c r="BI30" s="445">
        <v>19345</v>
      </c>
      <c r="BJ30" s="296">
        <f t="shared" si="22"/>
        <v>0</v>
      </c>
      <c r="BK30" s="591">
        <f t="shared" si="10"/>
        <v>0</v>
      </c>
      <c r="BM30" s="574">
        <f t="shared" si="23"/>
        <v>16</v>
      </c>
      <c r="BN30" s="559">
        <v>6897.74</v>
      </c>
      <c r="BO30" s="575">
        <f t="shared" si="11"/>
        <v>0.11000000000058208</v>
      </c>
      <c r="BP30" s="576">
        <v>50.222916666666656</v>
      </c>
      <c r="BQ30" s="576">
        <f t="shared" si="12"/>
        <v>-0.22291666666665577</v>
      </c>
    </row>
    <row r="31" spans="1:69" ht="12.95" customHeight="1">
      <c r="A31" s="253">
        <f t="shared" si="13"/>
        <v>17</v>
      </c>
      <c r="B31" s="181">
        <v>6897.62</v>
      </c>
      <c r="C31" s="483">
        <f>IF(B31="",C30,VLOOKUP(TRUNC(B31,1),VLOOKUP!$A$3:$K$2834,RIGHT(TEXT(B31,"0000.00"),1)+2,FALSE))</f>
        <v>274886</v>
      </c>
      <c r="D31" s="43">
        <f t="shared" si="14"/>
        <v>-832</v>
      </c>
      <c r="E31" s="62">
        <f t="shared" si="0"/>
        <v>122886</v>
      </c>
      <c r="F31" s="186">
        <f t="shared" si="1"/>
        <v>-419.46054953365262</v>
      </c>
      <c r="G31" s="74">
        <v>228</v>
      </c>
      <c r="H31" s="180">
        <v>0</v>
      </c>
      <c r="I31" s="74">
        <f t="shared" si="2"/>
        <v>228</v>
      </c>
      <c r="J31" s="187">
        <f t="shared" si="24"/>
        <v>0</v>
      </c>
      <c r="K31" s="74">
        <f t="shared" si="3"/>
        <v>228</v>
      </c>
      <c r="L31" s="74">
        <f t="shared" si="4"/>
        <v>-39.460549533652625</v>
      </c>
      <c r="M31" s="188">
        <v>271</v>
      </c>
      <c r="N31" s="610">
        <v>0.5</v>
      </c>
      <c r="O31" s="180">
        <f>59*1.05</f>
        <v>61.95</v>
      </c>
      <c r="P31" s="610">
        <v>0</v>
      </c>
      <c r="Q31" s="144">
        <f>2526100/325851/1.9835*1.02</f>
        <v>3.9865704903220984</v>
      </c>
      <c r="R31" s="73">
        <f>IF(((6.9*1.04)-T31)&gt;=4.2,4.2,(6.9*1.04)-T31)</f>
        <v>4.2</v>
      </c>
      <c r="S31" s="73">
        <f>IF(((6.9*1.04)-T31)&gt;=4.2,((6.9*1.04)-T31)-4.2,0)</f>
        <v>1.5365963200000001</v>
      </c>
      <c r="T31" s="73">
        <f t="shared" si="34"/>
        <v>1.4394036800000003</v>
      </c>
      <c r="U31" s="131">
        <v>0</v>
      </c>
      <c r="V31" s="74">
        <v>54</v>
      </c>
      <c r="W31" s="74">
        <v>66</v>
      </c>
      <c r="X31" s="627">
        <f t="shared" si="35"/>
        <v>330.56826148403587</v>
      </c>
      <c r="Y31" s="47">
        <f t="shared" si="6"/>
        <v>330.56826148403587</v>
      </c>
      <c r="Z31" s="55">
        <f t="shared" si="16"/>
        <v>12712.650863727378</v>
      </c>
      <c r="AA31" s="616">
        <f t="shared" si="7"/>
        <v>112.45483197435796</v>
      </c>
      <c r="AB31" s="616">
        <f t="shared" si="25"/>
        <v>68151.245268940256</v>
      </c>
      <c r="AC31" s="55">
        <f t="shared" si="26"/>
        <v>1501.9561973731206</v>
      </c>
      <c r="AD31" s="62">
        <f t="shared" si="33"/>
        <v>8754.9688212972815</v>
      </c>
      <c r="AE31" s="74">
        <v>167</v>
      </c>
      <c r="AF31" s="188">
        <v>1.7</v>
      </c>
      <c r="AG31" s="210">
        <v>1.3</v>
      </c>
      <c r="AH31" s="74">
        <v>50</v>
      </c>
      <c r="AI31" s="55">
        <f t="shared" si="27"/>
        <v>10382.511822044311</v>
      </c>
      <c r="AJ31" s="621"/>
      <c r="AK31" s="74">
        <f t="shared" si="8"/>
        <v>608</v>
      </c>
      <c r="AL31" s="74">
        <f t="shared" si="9"/>
        <v>39.460549533652625</v>
      </c>
      <c r="AM31" s="186">
        <f t="shared" si="18"/>
        <v>647.46054953365262</v>
      </c>
      <c r="AN31" s="45"/>
      <c r="AO31" s="489"/>
      <c r="AP31" s="489"/>
      <c r="AQ31" s="43"/>
      <c r="AR31" s="43">
        <f t="shared" si="19"/>
        <v>-112.45483197435796</v>
      </c>
      <c r="AS31" s="492">
        <v>0.28999999999999998</v>
      </c>
      <c r="AT31" s="493">
        <f t="shared" si="20"/>
        <v>0.20299999999999999</v>
      </c>
      <c r="AU31" s="494">
        <f>IF(AT31=0,0,VLOOKUP(ROUNDDOWN(TEXT(B31,"0000"),-1),VLOOKUP!$M$3:$W$32,RIGHT(TEXT(B31,"0000"),1)+2,FALSE))</f>
        <v>3632</v>
      </c>
      <c r="AV31" s="494">
        <f t="shared" si="28"/>
        <v>61.441333333333333</v>
      </c>
      <c r="AW31" s="39">
        <f t="shared" si="21"/>
        <v>11.816055675340651</v>
      </c>
      <c r="AX31" s="42">
        <v>13.180831974357917</v>
      </c>
      <c r="AY31" s="558"/>
      <c r="AZ31" s="180">
        <f t="shared" si="36"/>
        <v>7.8659999999999997</v>
      </c>
      <c r="BA31" s="314"/>
      <c r="BC31" s="64">
        <v>0</v>
      </c>
      <c r="BD31" s="43">
        <v>84</v>
      </c>
      <c r="BE31" s="43">
        <v>49</v>
      </c>
      <c r="BF31" s="377"/>
      <c r="BG31" s="385">
        <f t="shared" si="29"/>
        <v>11.662570490322098</v>
      </c>
      <c r="BH31" s="630">
        <v>7.86</v>
      </c>
      <c r="BI31" s="524">
        <v>19324</v>
      </c>
      <c r="BJ31" s="296">
        <f t="shared" si="22"/>
        <v>0</v>
      </c>
      <c r="BK31" s="591">
        <f t="shared" si="10"/>
        <v>0</v>
      </c>
      <c r="BM31" s="574">
        <f t="shared" si="23"/>
        <v>17</v>
      </c>
      <c r="BN31" s="559">
        <v>6897.52</v>
      </c>
      <c r="BO31" s="575">
        <f t="shared" si="11"/>
        <v>9.9999999999454303E-2</v>
      </c>
      <c r="BP31" s="576">
        <v>50.13437499999997</v>
      </c>
      <c r="BQ31" s="576">
        <f t="shared" si="12"/>
        <v>-0.13437499999997016</v>
      </c>
    </row>
    <row r="32" spans="1:69" ht="12.95" customHeight="1">
      <c r="A32" s="253">
        <f t="shared" si="13"/>
        <v>18</v>
      </c>
      <c r="B32" s="181">
        <v>6897.39</v>
      </c>
      <c r="C32" s="483">
        <f>IF(B32="",C31,VLOOKUP(TRUNC(B32,1),VLOOKUP!$A$3:$K$2834,RIGHT(TEXT(B32,"0000.00"),1)+2,FALSE))</f>
        <v>274054</v>
      </c>
      <c r="D32" s="43">
        <f t="shared" si="14"/>
        <v>-832</v>
      </c>
      <c r="E32" s="62">
        <f t="shared" si="0"/>
        <v>122054</v>
      </c>
      <c r="F32" s="186">
        <f t="shared" si="1"/>
        <v>-419.46054953365262</v>
      </c>
      <c r="G32" s="74">
        <v>210</v>
      </c>
      <c r="H32" s="180">
        <v>0</v>
      </c>
      <c r="I32" s="74">
        <f t="shared" si="2"/>
        <v>210</v>
      </c>
      <c r="J32" s="187">
        <f t="shared" si="24"/>
        <v>0</v>
      </c>
      <c r="K32" s="74">
        <f t="shared" si="3"/>
        <v>210</v>
      </c>
      <c r="L32" s="74">
        <f t="shared" si="4"/>
        <v>-32.460549533652625</v>
      </c>
      <c r="M32" s="188">
        <v>276</v>
      </c>
      <c r="N32" s="610">
        <v>0.5</v>
      </c>
      <c r="O32" s="180">
        <f>61*1.05</f>
        <v>64.05</v>
      </c>
      <c r="P32" s="610">
        <v>0</v>
      </c>
      <c r="Q32" s="144">
        <f>2119400/325851/1.9835*1.02</f>
        <v>3.3447359555000413</v>
      </c>
      <c r="R32" s="73">
        <f>IF(((6.9*1.04)-T32)&gt;=4.2,4.2,(6.9*1.04)-T32)</f>
        <v>4.2</v>
      </c>
      <c r="S32" s="73">
        <f>IF(((6.9*1.04)-T32)&gt;=4.2,((6.9*1.04)-T32)-4.2,0)</f>
        <v>1.5365963200000001</v>
      </c>
      <c r="T32" s="73">
        <f t="shared" si="34"/>
        <v>1.4394036800000003</v>
      </c>
      <c r="U32" s="131">
        <v>0</v>
      </c>
      <c r="V32" s="74">
        <v>31</v>
      </c>
      <c r="W32" s="74">
        <v>64</v>
      </c>
      <c r="X32" s="627">
        <f t="shared" si="35"/>
        <v>309.11009601885792</v>
      </c>
      <c r="Y32" s="47">
        <f t="shared" si="6"/>
        <v>309.11009601885792</v>
      </c>
      <c r="Z32" s="55">
        <f t="shared" si="16"/>
        <v>12604.29603175302</v>
      </c>
      <c r="AA32" s="616">
        <f t="shared" si="7"/>
        <v>108.35483197435794</v>
      </c>
      <c r="AB32" s="616">
        <f t="shared" si="25"/>
        <v>68549.443335172517</v>
      </c>
      <c r="AC32" s="55">
        <f t="shared" si="26"/>
        <v>1503.8650228455983</v>
      </c>
      <c r="AD32" s="62">
        <f t="shared" si="33"/>
        <v>8754.9688212972815</v>
      </c>
      <c r="AE32" s="74">
        <v>176</v>
      </c>
      <c r="AF32" s="188">
        <v>1.7</v>
      </c>
      <c r="AG32" s="210">
        <v>1.3</v>
      </c>
      <c r="AH32" s="74">
        <v>50</v>
      </c>
      <c r="AI32" s="55">
        <f t="shared" si="27"/>
        <v>10332.511822044311</v>
      </c>
      <c r="AJ32" s="621"/>
      <c r="AK32" s="74">
        <f t="shared" si="8"/>
        <v>597</v>
      </c>
      <c r="AL32" s="74">
        <f t="shared" si="9"/>
        <v>32.460549533652625</v>
      </c>
      <c r="AM32" s="186">
        <f t="shared" si="18"/>
        <v>629.46054953365262</v>
      </c>
      <c r="AN32" s="45"/>
      <c r="AO32" s="489"/>
      <c r="AP32" s="489"/>
      <c r="AQ32" s="43"/>
      <c r="AR32" s="43">
        <f t="shared" si="19"/>
        <v>-108.35483197435794</v>
      </c>
      <c r="AS32" s="492">
        <v>0.27</v>
      </c>
      <c r="AT32" s="493">
        <f t="shared" si="20"/>
        <v>0.189</v>
      </c>
      <c r="AU32" s="494">
        <f>IF(AT32=0,0,VLOOKUP(ROUNDDOWN(TEXT(B32,"0000"),-1),VLOOKUP!$M$3:$W$32,RIGHT(TEXT(B32,"0000"),1)+2,FALSE))</f>
        <v>3603</v>
      </c>
      <c r="AV32" s="494">
        <f t="shared" si="28"/>
        <v>56.747250000000001</v>
      </c>
      <c r="AW32" s="39">
        <f t="shared" si="21"/>
        <v>10.989468288352478</v>
      </c>
      <c r="AX32" s="42">
        <v>13.180831974357917</v>
      </c>
      <c r="AY32" s="558"/>
      <c r="AZ32" s="180">
        <f t="shared" si="36"/>
        <v>7.8659999999999997</v>
      </c>
      <c r="BA32" s="314"/>
      <c r="BC32" s="64">
        <v>0</v>
      </c>
      <c r="BD32" s="43">
        <v>82</v>
      </c>
      <c r="BE32" s="43">
        <v>40</v>
      </c>
      <c r="BF32" s="377"/>
      <c r="BG32" s="385">
        <f t="shared" si="29"/>
        <v>11.020735955500042</v>
      </c>
      <c r="BH32" s="630">
        <v>8.26</v>
      </c>
      <c r="BI32" s="524">
        <v>19307</v>
      </c>
      <c r="BJ32" s="296">
        <f t="shared" si="22"/>
        <v>0</v>
      </c>
      <c r="BK32" s="591">
        <f t="shared" si="10"/>
        <v>0</v>
      </c>
      <c r="BM32" s="574">
        <f t="shared" si="23"/>
        <v>18</v>
      </c>
      <c r="BN32" s="559">
        <v>6897.28</v>
      </c>
      <c r="BO32" s="575">
        <f t="shared" si="11"/>
        <v>0.11000000000058208</v>
      </c>
      <c r="BP32" s="576">
        <v>50.188541666666602</v>
      </c>
      <c r="BQ32" s="576">
        <f t="shared" si="12"/>
        <v>-0.18854166666660177</v>
      </c>
    </row>
    <row r="33" spans="1:69" ht="12.95" customHeight="1">
      <c r="A33" s="253">
        <f t="shared" si="13"/>
        <v>19</v>
      </c>
      <c r="B33" s="181">
        <v>6897.14</v>
      </c>
      <c r="C33" s="483">
        <f>IF(B33="",C32,VLOOKUP(TRUNC(B33,1),VLOOKUP!$A$3:$K$2834,RIGHT(TEXT(B33,"0000.00"),1)+2,FALSE))</f>
        <v>273150</v>
      </c>
      <c r="D33" s="43">
        <f t="shared" si="14"/>
        <v>-904</v>
      </c>
      <c r="E33" s="62">
        <f t="shared" si="0"/>
        <v>121150</v>
      </c>
      <c r="F33" s="186">
        <f t="shared" si="1"/>
        <v>-455.76002016637256</v>
      </c>
      <c r="G33" s="74">
        <v>193</v>
      </c>
      <c r="H33" s="180">
        <v>0</v>
      </c>
      <c r="I33" s="74">
        <f t="shared" si="2"/>
        <v>193</v>
      </c>
      <c r="J33" s="187">
        <f t="shared" si="24"/>
        <v>0</v>
      </c>
      <c r="K33" s="74">
        <f t="shared" si="3"/>
        <v>193</v>
      </c>
      <c r="L33" s="74">
        <f t="shared" si="4"/>
        <v>-48.760020166372556</v>
      </c>
      <c r="M33" s="188">
        <v>285</v>
      </c>
      <c r="N33" s="610">
        <v>0.5</v>
      </c>
      <c r="O33" s="180">
        <f>60*1.05</f>
        <v>63</v>
      </c>
      <c r="P33" s="610">
        <v>0</v>
      </c>
      <c r="Q33" s="144">
        <f>2451400/325851/1.9835*1.02</f>
        <v>3.8686825145384551</v>
      </c>
      <c r="R33" s="73">
        <f>IF(((7.3*1.04)-T33)&gt;=4.2,4.2,(7.3*1.04)-T33)</f>
        <v>4.2</v>
      </c>
      <c r="S33" s="73">
        <f>IF(((7.3*1.04)-T33)&gt;=4.2,((7.3*1.04)-T33)-4.2,0)</f>
        <v>1.8415846399999998</v>
      </c>
      <c r="T33" s="636">
        <f>(1.4064*1.06)*1.04</f>
        <v>1.5504153600000001</v>
      </c>
      <c r="U33" s="131">
        <v>0</v>
      </c>
      <c r="V33" s="74">
        <v>31</v>
      </c>
      <c r="W33" s="74">
        <v>64</v>
      </c>
      <c r="X33" s="627">
        <f t="shared" si="35"/>
        <v>318.22014945981948</v>
      </c>
      <c r="Y33" s="47">
        <f t="shared" si="6"/>
        <v>318.22014945981948</v>
      </c>
      <c r="Z33" s="55">
        <f t="shared" si="16"/>
        <v>12469.307199778661</v>
      </c>
      <c r="AA33" s="616">
        <f t="shared" si="7"/>
        <v>134.98883197435791</v>
      </c>
      <c r="AB33" s="616">
        <f t="shared" si="25"/>
        <v>68912.882653404929</v>
      </c>
      <c r="AC33" s="55">
        <f t="shared" si="26"/>
        <v>1506.1905800483448</v>
      </c>
      <c r="AD33" s="62">
        <f t="shared" si="33"/>
        <v>8754.9688212972815</v>
      </c>
      <c r="AE33" s="74">
        <v>170</v>
      </c>
      <c r="AF33" s="188">
        <v>1.7</v>
      </c>
      <c r="AG33" s="210">
        <v>1.3</v>
      </c>
      <c r="AH33" s="74">
        <v>50</v>
      </c>
      <c r="AI33" s="55">
        <f t="shared" si="27"/>
        <v>10282.511822044311</v>
      </c>
      <c r="AJ33" s="621"/>
      <c r="AK33" s="74">
        <f t="shared" si="8"/>
        <v>600</v>
      </c>
      <c r="AL33" s="74">
        <f t="shared" si="9"/>
        <v>48.760020166372556</v>
      </c>
      <c r="AM33" s="186">
        <f t="shared" si="18"/>
        <v>648.76002016637256</v>
      </c>
      <c r="AN33" s="45"/>
      <c r="AO33" s="489"/>
      <c r="AP33" s="489"/>
      <c r="AQ33" s="43"/>
      <c r="AR33" s="43">
        <f t="shared" si="19"/>
        <v>-134.98883197435791</v>
      </c>
      <c r="AS33" s="492">
        <v>0.28000000000000003</v>
      </c>
      <c r="AT33" s="493">
        <f t="shared" si="20"/>
        <v>0.19600000000000001</v>
      </c>
      <c r="AU33" s="494">
        <f>IF(AT33=0,0,VLOOKUP(ROUNDDOWN(TEXT(B33,"0000"),-1),VLOOKUP!$M$3:$W$32,RIGHT(TEXT(B33,"0000"),1)+2,FALSE))</f>
        <v>3603</v>
      </c>
      <c r="AV33" s="494">
        <f t="shared" si="28"/>
        <v>58.849000000000004</v>
      </c>
      <c r="AW33" s="39">
        <f t="shared" si="21"/>
        <v>11.48376485900603</v>
      </c>
      <c r="AX33" s="42">
        <v>13.180831974357917</v>
      </c>
      <c r="AY33" s="558"/>
      <c r="AZ33" s="180">
        <f t="shared" si="36"/>
        <v>7.8659999999999997</v>
      </c>
      <c r="BA33" s="314"/>
      <c r="BC33" s="64">
        <v>0</v>
      </c>
      <c r="BD33" s="43">
        <v>82</v>
      </c>
      <c r="BE33" s="43">
        <v>52</v>
      </c>
      <c r="BF33" s="377"/>
      <c r="BG33" s="385">
        <f t="shared" si="29"/>
        <v>11.960682514538457</v>
      </c>
      <c r="BH33" s="630">
        <v>8.27</v>
      </c>
      <c r="BI33" s="524">
        <v>19291</v>
      </c>
      <c r="BJ33" s="296">
        <f t="shared" si="22"/>
        <v>0</v>
      </c>
      <c r="BK33" s="591">
        <f t="shared" si="10"/>
        <v>0</v>
      </c>
      <c r="BM33" s="574">
        <f t="shared" si="23"/>
        <v>19</v>
      </c>
      <c r="BN33" s="559">
        <v>6897.04</v>
      </c>
      <c r="BO33" s="575">
        <f t="shared" si="11"/>
        <v>0.1000000000003638</v>
      </c>
      <c r="BP33" s="576">
        <v>50.054166666666625</v>
      </c>
      <c r="BQ33" s="576">
        <f t="shared" si="12"/>
        <v>-5.4166666666624508E-2</v>
      </c>
    </row>
    <row r="34" spans="1:69" ht="12.95" customHeight="1">
      <c r="A34" s="612">
        <f t="shared" si="13"/>
        <v>20</v>
      </c>
      <c r="B34" s="632">
        <v>6896.9</v>
      </c>
      <c r="C34" s="633">
        <f>IF(B34="",C33,VLOOKUP(TRUNC(B34,1),VLOOKUP!$A$3:$K$2834,RIGHT(TEXT(B34,"0000.00"),1)+2,FALSE))</f>
        <v>272284</v>
      </c>
      <c r="D34" s="629">
        <f t="shared" si="14"/>
        <v>-866</v>
      </c>
      <c r="E34" s="609">
        <f t="shared" si="0"/>
        <v>120284</v>
      </c>
      <c r="F34" s="634">
        <f t="shared" si="1"/>
        <v>-436.60196622132594</v>
      </c>
      <c r="G34" s="621">
        <v>176</v>
      </c>
      <c r="H34" s="617">
        <v>0</v>
      </c>
      <c r="I34" s="621">
        <f t="shared" si="2"/>
        <v>176</v>
      </c>
      <c r="J34" s="608">
        <f t="shared" si="24"/>
        <v>0</v>
      </c>
      <c r="K34" s="621">
        <f t="shared" si="3"/>
        <v>176</v>
      </c>
      <c r="L34" s="621">
        <f t="shared" si="4"/>
        <v>-29.601966221325938</v>
      </c>
      <c r="M34" s="628">
        <v>278</v>
      </c>
      <c r="N34" s="610">
        <v>0.5</v>
      </c>
      <c r="O34" s="617">
        <f>55*1.05</f>
        <v>57.75</v>
      </c>
      <c r="P34" s="610">
        <v>0</v>
      </c>
      <c r="Q34" s="635">
        <f>2008100/325851/1.9835*1.02</f>
        <v>3.1690876060392723</v>
      </c>
      <c r="R34" s="636">
        <f>IF(((7*1.04)-T34)&gt;=4.2,4.2,(7*1.04)-T34)</f>
        <v>4.2</v>
      </c>
      <c r="S34" s="636">
        <f>IF(((7*1.04)-T34)&gt;=4.2,((7*1.04)-T34)-4.2,0)</f>
        <v>1.5295846400000004</v>
      </c>
      <c r="T34" s="636">
        <f t="shared" ref="T34:T39" si="37">(1.4064*1.06)*1.04</f>
        <v>1.5504153600000001</v>
      </c>
      <c r="U34" s="637">
        <v>0</v>
      </c>
      <c r="V34" s="621">
        <v>31</v>
      </c>
      <c r="W34" s="621">
        <v>64</v>
      </c>
      <c r="X34" s="627">
        <f t="shared" si="35"/>
        <v>317.48174436831869</v>
      </c>
      <c r="Y34" s="627">
        <f t="shared" si="6"/>
        <v>317.48174436831869</v>
      </c>
      <c r="Z34" s="55">
        <f t="shared" si="16"/>
        <v>12318.756367804302</v>
      </c>
      <c r="AA34" s="616">
        <f t="shared" si="7"/>
        <v>150.55083197435795</v>
      </c>
      <c r="AB34" s="616">
        <f t="shared" si="25"/>
        <v>69243.990118138347</v>
      </c>
      <c r="AC34" s="55">
        <f t="shared" si="26"/>
        <v>1508.2669330309482</v>
      </c>
      <c r="AD34" s="609">
        <f t="shared" si="33"/>
        <v>8754.9688212972815</v>
      </c>
      <c r="AE34" s="621">
        <v>160</v>
      </c>
      <c r="AF34" s="628">
        <v>1.7</v>
      </c>
      <c r="AG34" s="638">
        <v>1.3</v>
      </c>
      <c r="AH34" s="621">
        <v>50</v>
      </c>
      <c r="AI34" s="616">
        <f t="shared" si="27"/>
        <v>10232.511822044311</v>
      </c>
      <c r="AJ34" s="621"/>
      <c r="AK34" s="74">
        <f t="shared" si="8"/>
        <v>583</v>
      </c>
      <c r="AL34" s="621">
        <f t="shared" si="9"/>
        <v>29.601966221325938</v>
      </c>
      <c r="AM34" s="634">
        <f t="shared" si="18"/>
        <v>612.60196622132594</v>
      </c>
      <c r="AN34" s="639"/>
      <c r="AO34" s="489"/>
      <c r="AP34" s="489"/>
      <c r="AQ34" s="629"/>
      <c r="AR34" s="43">
        <f t="shared" si="19"/>
        <v>-150.55083197435795</v>
      </c>
      <c r="AS34" s="492">
        <v>0.26</v>
      </c>
      <c r="AT34" s="493">
        <f t="shared" si="20"/>
        <v>0.182</v>
      </c>
      <c r="AU34" s="494">
        <f>IF(AT34=0,0,VLOOKUP(ROUNDDOWN(TEXT(B34,"0000"),-1),VLOOKUP!$M$3:$W$32,RIGHT(TEXT(B34,"0000"),1)+2,FALSE))</f>
        <v>3603</v>
      </c>
      <c r="AV34" s="494">
        <f t="shared" si="28"/>
        <v>54.645499999999998</v>
      </c>
      <c r="AW34" s="39">
        <f t="shared" si="21"/>
        <v>10.742140166113956</v>
      </c>
      <c r="AX34" s="42">
        <v>13.180831974357917</v>
      </c>
      <c r="AY34" s="558"/>
      <c r="AZ34" s="180">
        <f t="shared" si="36"/>
        <v>7.8659999999999997</v>
      </c>
      <c r="BA34" s="640"/>
      <c r="BB34" s="630"/>
      <c r="BC34" s="64">
        <v>0</v>
      </c>
      <c r="BD34" s="629">
        <v>85</v>
      </c>
      <c r="BE34" s="629">
        <v>42</v>
      </c>
      <c r="BF34" s="641"/>
      <c r="BG34" s="642">
        <f t="shared" si="29"/>
        <v>10.949087606039273</v>
      </c>
      <c r="BH34" s="630">
        <v>8.2899999999999991</v>
      </c>
      <c r="BI34" s="631">
        <v>19273</v>
      </c>
      <c r="BJ34" s="643">
        <f t="shared" si="22"/>
        <v>0</v>
      </c>
      <c r="BK34" s="644">
        <f t="shared" si="10"/>
        <v>0</v>
      </c>
      <c r="BM34" s="574">
        <f t="shared" si="23"/>
        <v>20</v>
      </c>
      <c r="BN34" s="559">
        <v>6896.79</v>
      </c>
      <c r="BO34" s="575">
        <f t="shared" si="11"/>
        <v>0.10999999999967258</v>
      </c>
      <c r="BP34" s="576">
        <v>50.069791666666646</v>
      </c>
      <c r="BQ34" s="576">
        <f t="shared" si="12"/>
        <v>-6.9791666666645824E-2</v>
      </c>
    </row>
    <row r="35" spans="1:69" ht="12.95" customHeight="1">
      <c r="A35" s="612">
        <f t="shared" si="13"/>
        <v>21</v>
      </c>
      <c r="B35" s="632">
        <v>6896.65</v>
      </c>
      <c r="C35" s="633">
        <f>IF(B35="",C34,VLOOKUP(TRUNC(B35,1),VLOOKUP!$A$3:$K$2834,RIGHT(TEXT(B35,"0000.00"),1)+2,FALSE))</f>
        <v>271387</v>
      </c>
      <c r="D35" s="629">
        <f t="shared" si="14"/>
        <v>-897</v>
      </c>
      <c r="E35" s="609">
        <f t="shared" si="0"/>
        <v>119387</v>
      </c>
      <c r="F35" s="634">
        <f t="shared" si="1"/>
        <v>-452.23090496596922</v>
      </c>
      <c r="G35" s="621">
        <v>163</v>
      </c>
      <c r="H35" s="617">
        <v>0</v>
      </c>
      <c r="I35" s="621">
        <f t="shared" si="2"/>
        <v>163</v>
      </c>
      <c r="J35" s="608">
        <f t="shared" si="24"/>
        <v>0</v>
      </c>
      <c r="K35" s="621">
        <f t="shared" si="3"/>
        <v>163</v>
      </c>
      <c r="L35" s="621">
        <f t="shared" si="4"/>
        <v>-15.230904965969216</v>
      </c>
      <c r="M35" s="628">
        <v>276</v>
      </c>
      <c r="N35" s="610">
        <v>0.5</v>
      </c>
      <c r="O35" s="617">
        <f>60*1.05</f>
        <v>63</v>
      </c>
      <c r="P35" s="610">
        <v>0</v>
      </c>
      <c r="Q35" s="635">
        <f>2727900/325851/1.9835*1.02</f>
        <v>4.3050416216894236</v>
      </c>
      <c r="R35" s="636">
        <f>IF(((6.9*1.04)-T35)&gt;=4.2,4.2,(6.9*1.04)-T35)</f>
        <v>4.2</v>
      </c>
      <c r="S35" s="636">
        <f>IF(((6.9*1.04)-T35)&gt;=4.2,((6.9*1.04)-T35)-4.2,0)</f>
        <v>1.4255846400000012</v>
      </c>
      <c r="T35" s="636">
        <f t="shared" si="37"/>
        <v>1.5504153600000001</v>
      </c>
      <c r="U35" s="637">
        <v>0</v>
      </c>
      <c r="V35" s="621">
        <v>30</v>
      </c>
      <c r="W35" s="621">
        <v>64</v>
      </c>
      <c r="X35" s="627">
        <f t="shared" si="35"/>
        <v>308.19979035266851</v>
      </c>
      <c r="Y35" s="627">
        <f>IF(B35="",0,X35-AQ35)</f>
        <v>308.19979035266851</v>
      </c>
      <c r="Z35" s="55">
        <f>Z34+AR35</f>
        <v>12163.351535829945</v>
      </c>
      <c r="AA35" s="616">
        <f t="shared" si="7"/>
        <v>155.4048319743579</v>
      </c>
      <c r="AB35" s="616">
        <f>AB34+(((Y35-AN35)+AR35)*1.9835)</f>
        <v>69547.058918081719</v>
      </c>
      <c r="AC35" s="55">
        <f t="shared" si="26"/>
        <v>1510.7171830102202</v>
      </c>
      <c r="AD35" s="609">
        <f t="shared" si="33"/>
        <v>8754.9688212972815</v>
      </c>
      <c r="AE35" s="621">
        <v>180</v>
      </c>
      <c r="AF35" s="628">
        <v>1.7</v>
      </c>
      <c r="AG35" s="638">
        <v>1.3</v>
      </c>
      <c r="AH35" s="621">
        <v>50</v>
      </c>
      <c r="AI35" s="616">
        <f t="shared" si="27"/>
        <v>10182.511822044311</v>
      </c>
      <c r="AJ35" s="621"/>
      <c r="AK35" s="74">
        <f t="shared" si="8"/>
        <v>600</v>
      </c>
      <c r="AL35" s="621">
        <f t="shared" si="9"/>
        <v>15.230904965969216</v>
      </c>
      <c r="AM35" s="634">
        <f t="shared" si="18"/>
        <v>615.23090496596922</v>
      </c>
      <c r="AN35" s="639"/>
      <c r="AO35" s="489"/>
      <c r="AP35" s="489"/>
      <c r="AQ35" s="629"/>
      <c r="AR35" s="43">
        <f>IF(G35="",0,IF(I35&gt;=(795+Q35+R35+AF35),795-X35,I35-Q35-R35-X35-AF35)-AJ35)</f>
        <v>-155.4048319743579</v>
      </c>
      <c r="AS35" s="492">
        <v>0.28999999999999998</v>
      </c>
      <c r="AT35" s="493">
        <f t="shared" si="20"/>
        <v>0.20299999999999999</v>
      </c>
      <c r="AU35" s="494">
        <f>IF(AT35=0,0,VLOOKUP(ROUNDDOWN(TEXT(B35,"0000"),-1),VLOOKUP!$M$3:$W$32,RIGHT(TEXT(B35,"0000"),1)+2,FALSE))</f>
        <v>3603</v>
      </c>
      <c r="AV35" s="494">
        <f t="shared" si="28"/>
        <v>60.950749999999999</v>
      </c>
      <c r="AW35" s="39">
        <f t="shared" si="21"/>
        <v>12.074121552181149</v>
      </c>
      <c r="AX35" s="42">
        <v>13.180831974357917</v>
      </c>
      <c r="AY35" s="558"/>
      <c r="AZ35" s="180">
        <f t="shared" si="36"/>
        <v>7.8659999999999997</v>
      </c>
      <c r="BA35" s="640"/>
      <c r="BB35" s="630"/>
      <c r="BC35" s="64">
        <v>0</v>
      </c>
      <c r="BD35" s="629">
        <v>86</v>
      </c>
      <c r="BE35" s="629">
        <v>53</v>
      </c>
      <c r="BF35" s="641"/>
      <c r="BG35" s="642">
        <f t="shared" si="29"/>
        <v>11.981041621689426</v>
      </c>
      <c r="BH35" s="630">
        <v>8.2799999999999994</v>
      </c>
      <c r="BI35" s="631">
        <v>19257</v>
      </c>
      <c r="BJ35" s="643">
        <f t="shared" si="22"/>
        <v>0</v>
      </c>
      <c r="BK35" s="644">
        <f t="shared" si="10"/>
        <v>0</v>
      </c>
      <c r="BM35" s="574">
        <f t="shared" si="23"/>
        <v>21</v>
      </c>
      <c r="BN35" s="559">
        <v>6896.53</v>
      </c>
      <c r="BO35" s="575">
        <f t="shared" si="11"/>
        <v>0.11999999999989086</v>
      </c>
      <c r="BP35" s="576">
        <v>50.087500000000027</v>
      </c>
      <c r="BQ35" s="576">
        <f t="shared" si="12"/>
        <v>-8.7500000000027001E-2</v>
      </c>
    </row>
    <row r="36" spans="1:69" ht="12.95" customHeight="1">
      <c r="A36" s="612">
        <f t="shared" si="13"/>
        <v>22</v>
      </c>
      <c r="B36" s="632">
        <v>6896.38</v>
      </c>
      <c r="C36" s="633">
        <f>IF(B36="",C35,VLOOKUP(TRUNC(B36,1),VLOOKUP!$A$3:$K$2834,RIGHT(TEXT(B36,"0000.00"),1)+2,FALSE))</f>
        <v>270418</v>
      </c>
      <c r="D36" s="629">
        <f t="shared" si="14"/>
        <v>-969</v>
      </c>
      <c r="E36" s="609">
        <f t="shared" si="0"/>
        <v>118418</v>
      </c>
      <c r="F36" s="634">
        <f t="shared" si="1"/>
        <v>-488.53037559868915</v>
      </c>
      <c r="G36" s="621">
        <v>157</v>
      </c>
      <c r="H36" s="617">
        <v>0</v>
      </c>
      <c r="I36" s="621">
        <f t="shared" si="2"/>
        <v>157</v>
      </c>
      <c r="J36" s="608">
        <f t="shared" si="24"/>
        <v>0</v>
      </c>
      <c r="K36" s="621">
        <f t="shared" si="3"/>
        <v>157</v>
      </c>
      <c r="L36" s="621">
        <f t="shared" si="4"/>
        <v>-29.530375598689147</v>
      </c>
      <c r="M36" s="628">
        <v>269</v>
      </c>
      <c r="N36" s="610">
        <v>0.5</v>
      </c>
      <c r="O36" s="617">
        <f>55*1.05</f>
        <v>57.75</v>
      </c>
      <c r="P36" s="610">
        <v>0</v>
      </c>
      <c r="Q36" s="635">
        <f>2713900/325851/1.9835*1.02</f>
        <v>4.2829474896817796</v>
      </c>
      <c r="R36" s="636">
        <f>IF(((7.1*1.04)-T36)&gt;=4.2,4.2,(7.1*1.04)-T36)</f>
        <v>4.2</v>
      </c>
      <c r="S36" s="636">
        <f>IF(((7.1*1.04)-T36)&gt;=4.2,((7.1*1.04)-T36)-4.2,0)</f>
        <v>1.6335846399999996</v>
      </c>
      <c r="T36" s="636">
        <f t="shared" si="37"/>
        <v>1.5504153600000001</v>
      </c>
      <c r="U36" s="637">
        <v>0</v>
      </c>
      <c r="V36" s="621">
        <v>30</v>
      </c>
      <c r="W36" s="621">
        <v>65</v>
      </c>
      <c r="X36" s="627">
        <f t="shared" si="35"/>
        <v>307.26388448467617</v>
      </c>
      <c r="Y36" s="627">
        <f t="shared" si="6"/>
        <v>307.26388448467617</v>
      </c>
      <c r="Z36" s="55">
        <f t="shared" si="16"/>
        <v>12002.904703855587</v>
      </c>
      <c r="AA36" s="616">
        <f>IF(AR36&gt;=0,0,-IF(AR36&lt;=AJ36,AR36,AJ36-(795-Y36)))</f>
        <v>160.44683197435793</v>
      </c>
      <c r="AB36" s="616">
        <f t="shared" si="25"/>
        <v>69838.270541735939</v>
      </c>
      <c r="AC36" s="55">
        <f t="shared" si="26"/>
        <v>1512.4959021671746</v>
      </c>
      <c r="AD36" s="609">
        <f t="shared" si="33"/>
        <v>8754.9688212972815</v>
      </c>
      <c r="AE36" s="621">
        <v>202</v>
      </c>
      <c r="AF36" s="628">
        <v>1.7</v>
      </c>
      <c r="AG36" s="638">
        <v>1.3</v>
      </c>
      <c r="AH36" s="621">
        <v>50</v>
      </c>
      <c r="AI36" s="616">
        <f t="shared" si="27"/>
        <v>10132.511822044311</v>
      </c>
      <c r="AJ36" s="621"/>
      <c r="AK36" s="74">
        <f t="shared" si="8"/>
        <v>616</v>
      </c>
      <c r="AL36" s="621">
        <f t="shared" si="9"/>
        <v>29.530375598689147</v>
      </c>
      <c r="AM36" s="634">
        <f t="shared" si="18"/>
        <v>645.53037559868915</v>
      </c>
      <c r="AN36" s="639"/>
      <c r="AO36" s="489"/>
      <c r="AP36" s="489"/>
      <c r="AQ36" s="629"/>
      <c r="AR36" s="43">
        <f>IF(G36="",0,IF(I36&gt;=(795+Q36+R36+AF36),795-X36,I36-Q36-R36-X36-AF36)-AJ36)</f>
        <v>-160.44683197435793</v>
      </c>
      <c r="AS36" s="492">
        <v>0.3</v>
      </c>
      <c r="AT36" s="493">
        <f t="shared" si="20"/>
        <v>0.21</v>
      </c>
      <c r="AU36" s="494">
        <f>IF(AT36=0,0,VLOOKUP(ROUNDDOWN(TEXT(B36,"0000"),-1),VLOOKUP!$M$3:$W$32,RIGHT(TEXT(B36,"0000"),1)+2,FALSE))</f>
        <v>3574</v>
      </c>
      <c r="AV36" s="494">
        <f t="shared" si="28"/>
        <v>62.544999999999995</v>
      </c>
      <c r="AW36" s="39">
        <f t="shared" si="21"/>
        <v>12.493185441068603</v>
      </c>
      <c r="AX36" s="42">
        <v>13.180831974357917</v>
      </c>
      <c r="AY36" s="558"/>
      <c r="AZ36" s="180">
        <f t="shared" si="36"/>
        <v>7.8659999999999997</v>
      </c>
      <c r="BA36" s="640"/>
      <c r="BB36" s="630"/>
      <c r="BC36" s="607">
        <v>0</v>
      </c>
      <c r="BD36" s="629">
        <v>92</v>
      </c>
      <c r="BE36" s="629">
        <v>53</v>
      </c>
      <c r="BF36" s="641"/>
      <c r="BG36" s="642">
        <f t="shared" si="29"/>
        <v>12.16694748968178</v>
      </c>
      <c r="BH36" s="630">
        <v>8.2899999999999991</v>
      </c>
      <c r="BI36" s="631">
        <v>19239</v>
      </c>
      <c r="BJ36" s="643">
        <f t="shared" si="22"/>
        <v>0</v>
      </c>
      <c r="BK36" s="644">
        <f t="shared" si="10"/>
        <v>0</v>
      </c>
      <c r="BM36" s="574">
        <f t="shared" si="23"/>
        <v>22</v>
      </c>
      <c r="BN36" s="559">
        <v>6896.25</v>
      </c>
      <c r="BO36" s="575">
        <f t="shared" si="11"/>
        <v>0.13000000000010914</v>
      </c>
      <c r="BP36" s="576">
        <v>50.056250000000041</v>
      </c>
      <c r="BQ36" s="576">
        <f t="shared" si="12"/>
        <v>-5.6250000000041211E-2</v>
      </c>
    </row>
    <row r="37" spans="1:69" ht="12.95" customHeight="1">
      <c r="A37" s="253">
        <f t="shared" si="13"/>
        <v>23</v>
      </c>
      <c r="B37" s="181">
        <v>6896.07</v>
      </c>
      <c r="C37" s="483">
        <f>IF(B37="",C36,VLOOKUP(TRUNC(B37,1),VLOOKUP!$A$3:$K$2834,RIGHT(TEXT(B37,"0000.00"),1)+2,FALSE))</f>
        <v>269306</v>
      </c>
      <c r="D37" s="43">
        <f t="shared" si="14"/>
        <v>-1112</v>
      </c>
      <c r="E37" s="62">
        <f t="shared" si="0"/>
        <v>117306</v>
      </c>
      <c r="F37" s="186">
        <f t="shared" si="1"/>
        <v>-560.62515754978574</v>
      </c>
      <c r="G37" s="621">
        <v>152</v>
      </c>
      <c r="H37" s="180">
        <v>0</v>
      </c>
      <c r="I37" s="74">
        <f t="shared" si="2"/>
        <v>152</v>
      </c>
      <c r="J37" s="187">
        <f t="shared" si="24"/>
        <v>0</v>
      </c>
      <c r="K37" s="74">
        <f t="shared" si="3"/>
        <v>152</v>
      </c>
      <c r="L37" s="74">
        <f t="shared" si="4"/>
        <v>-38.62515754978574</v>
      </c>
      <c r="M37" s="188">
        <v>291</v>
      </c>
      <c r="N37" s="610">
        <v>0.5</v>
      </c>
      <c r="O37" s="180">
        <f>70*1.05</f>
        <v>73.5</v>
      </c>
      <c r="P37" s="610">
        <v>0.63</v>
      </c>
      <c r="Q37" s="144">
        <f>2145000/325851/1.9835*1.02</f>
        <v>3.3851366540283045</v>
      </c>
      <c r="R37" s="73">
        <f>IF(((6.6*1.04)-T37)&gt;=4.2,4.2,(6.6*1.04)-T37)</f>
        <v>4.2</v>
      </c>
      <c r="S37" s="73">
        <f>IF(((6.6*1.04)-T37)&gt;=4.2,((6.6*1.04)-T37)-4.2,0)</f>
        <v>1.11358464</v>
      </c>
      <c r="T37" s="636">
        <f t="shared" si="37"/>
        <v>1.5504153600000001</v>
      </c>
      <c r="U37" s="131">
        <v>0</v>
      </c>
      <c r="V37" s="74">
        <v>30</v>
      </c>
      <c r="W37" s="74">
        <v>64</v>
      </c>
      <c r="X37" s="627">
        <f t="shared" si="35"/>
        <v>313.30169532032966</v>
      </c>
      <c r="Y37" s="47">
        <f t="shared" si="6"/>
        <v>313.30169532032966</v>
      </c>
      <c r="Z37" s="55">
        <f t="shared" si="16"/>
        <v>11832.317871881229</v>
      </c>
      <c r="AA37" s="616">
        <f t="shared" ref="AA37:AA44" si="38">IF(AR37&gt;=0,0,-IF(AR37&lt;=AJ37,AR37,AJ37-(795-Y37)))</f>
        <v>170.58683197435795</v>
      </c>
      <c r="AB37" s="616">
        <f t="shared" si="25"/>
        <v>70121.345473182679</v>
      </c>
      <c r="AC37" s="55">
        <f t="shared" si="26"/>
        <v>1514.0633463612412</v>
      </c>
      <c r="AD37" s="62">
        <f t="shared" si="33"/>
        <v>8754.9688212972815</v>
      </c>
      <c r="AE37" s="74">
        <v>239</v>
      </c>
      <c r="AF37" s="188">
        <v>1.7</v>
      </c>
      <c r="AG37" s="210">
        <v>1.3</v>
      </c>
      <c r="AH37" s="74">
        <v>50</v>
      </c>
      <c r="AI37" s="55">
        <f t="shared" si="27"/>
        <v>10082.511822044311</v>
      </c>
      <c r="AJ37" s="621"/>
      <c r="AK37" s="74">
        <f t="shared" si="8"/>
        <v>674</v>
      </c>
      <c r="AL37" s="74">
        <f t="shared" si="9"/>
        <v>38.62515754978574</v>
      </c>
      <c r="AM37" s="186">
        <f t="shared" si="18"/>
        <v>712.62515754978574</v>
      </c>
      <c r="AN37" s="45"/>
      <c r="AO37" s="489"/>
      <c r="AP37" s="489"/>
      <c r="AQ37" s="43"/>
      <c r="AR37" s="43">
        <f t="shared" si="19"/>
        <v>-170.58683197435795</v>
      </c>
      <c r="AS37" s="492">
        <v>0.3</v>
      </c>
      <c r="AT37" s="493">
        <f t="shared" si="20"/>
        <v>0.21</v>
      </c>
      <c r="AU37" s="494">
        <f>IF(AT37=0,0,VLOOKUP(ROUNDDOWN(TEXT(B37,"0000"),-1),VLOOKUP!$M$3:$W$32,RIGHT(TEXT(B37,"0000"),1)+2,FALSE))</f>
        <v>3574</v>
      </c>
      <c r="AV37" s="494">
        <f t="shared" si="28"/>
        <v>62.544999999999995</v>
      </c>
      <c r="AW37" s="39">
        <f t="shared" si="21"/>
        <v>12.613272019880014</v>
      </c>
      <c r="AX37" s="42">
        <v>13.180831974357917</v>
      </c>
      <c r="AY37" s="558"/>
      <c r="AZ37" s="180">
        <f t="shared" si="36"/>
        <v>7.8659999999999997</v>
      </c>
      <c r="BA37" s="314"/>
      <c r="BC37" s="64">
        <v>0</v>
      </c>
      <c r="BD37" s="43">
        <v>93</v>
      </c>
      <c r="BE37" s="43">
        <v>56</v>
      </c>
      <c r="BF37" s="377"/>
      <c r="BG37" s="385">
        <f t="shared" si="29"/>
        <v>11.379136654028306</v>
      </c>
      <c r="BH37" s="630">
        <v>8.2899999999999991</v>
      </c>
      <c r="BI37" s="445">
        <v>19220</v>
      </c>
      <c r="BJ37" s="296">
        <f t="shared" si="22"/>
        <v>0</v>
      </c>
      <c r="BK37" s="591">
        <f t="shared" si="10"/>
        <v>0</v>
      </c>
      <c r="BM37" s="574">
        <f t="shared" si="23"/>
        <v>23</v>
      </c>
      <c r="BN37" s="559">
        <v>6895.93</v>
      </c>
      <c r="BO37" s="575">
        <f t="shared" si="11"/>
        <v>0.13999999999941792</v>
      </c>
      <c r="BP37" s="576">
        <v>50.057291666666693</v>
      </c>
      <c r="BQ37" s="576">
        <f t="shared" si="12"/>
        <v>-5.729166666669272E-2</v>
      </c>
    </row>
    <row r="38" spans="1:69" ht="12.95" customHeight="1">
      <c r="A38" s="253">
        <f t="shared" si="13"/>
        <v>24</v>
      </c>
      <c r="B38" s="181">
        <v>6895.76</v>
      </c>
      <c r="C38" s="483">
        <f>IF(B38="",C37,VLOOKUP(TRUNC(B38,1),VLOOKUP!$A$3:$K$2834,RIGHT(TEXT(B38,"0000.00"),1)+2,FALSE))</f>
        <v>268201</v>
      </c>
      <c r="D38" s="43">
        <f t="shared" si="14"/>
        <v>-1105</v>
      </c>
      <c r="E38" s="62">
        <f t="shared" si="0"/>
        <v>116201</v>
      </c>
      <c r="F38" s="186">
        <f t="shared" si="1"/>
        <v>-557.0960423493824</v>
      </c>
      <c r="G38" s="621">
        <v>148</v>
      </c>
      <c r="H38" s="180">
        <v>0</v>
      </c>
      <c r="I38" s="74">
        <f t="shared" si="2"/>
        <v>148</v>
      </c>
      <c r="J38" s="187">
        <f t="shared" si="24"/>
        <v>0</v>
      </c>
      <c r="K38" s="74">
        <f t="shared" si="3"/>
        <v>148</v>
      </c>
      <c r="L38" s="74">
        <f t="shared" si="4"/>
        <v>-42.096042349382401</v>
      </c>
      <c r="M38" s="188">
        <v>310</v>
      </c>
      <c r="N38" s="610">
        <v>0.5</v>
      </c>
      <c r="O38" s="180">
        <f>71*1.05</f>
        <v>74.55</v>
      </c>
      <c r="P38" s="610">
        <v>1.2</v>
      </c>
      <c r="Q38" s="144">
        <f>2462300/325851/1.9835*1.02</f>
        <v>3.8858843744586924</v>
      </c>
      <c r="R38" s="73">
        <f>IF(((6.7*1.04)-T38)&gt;=4.2,4.2,(6.7*1.04)-T38)</f>
        <v>4.2</v>
      </c>
      <c r="S38" s="73">
        <f>IF(((6.7*1.04)-T38)&gt;=4.2,((6.7*1.04)-T38)-4.2,0)</f>
        <v>1.217584640000001</v>
      </c>
      <c r="T38" s="636">
        <f t="shared" si="37"/>
        <v>1.5504153600000001</v>
      </c>
      <c r="U38" s="131">
        <v>0</v>
      </c>
      <c r="V38" s="74">
        <v>30</v>
      </c>
      <c r="W38" s="74">
        <v>64</v>
      </c>
      <c r="X38" s="627">
        <f t="shared" si="35"/>
        <v>330.07694759989926</v>
      </c>
      <c r="Y38" s="47">
        <f t="shared" si="6"/>
        <v>330.07694759989926</v>
      </c>
      <c r="Z38" s="55">
        <f t="shared" si="16"/>
        <v>11640.45503990687</v>
      </c>
      <c r="AA38" s="616">
        <f t="shared" si="38"/>
        <v>191.86283197435793</v>
      </c>
      <c r="AB38" s="616">
        <f t="shared" si="25"/>
        <v>70395.493171525944</v>
      </c>
      <c r="AC38" s="55">
        <f t="shared" si="26"/>
        <v>1515.5702477880725</v>
      </c>
      <c r="AD38" s="62">
        <f t="shared" si="33"/>
        <v>8754.9688212972815</v>
      </c>
      <c r="AE38" s="74">
        <v>209</v>
      </c>
      <c r="AF38" s="188">
        <v>1.7</v>
      </c>
      <c r="AG38" s="210">
        <v>1.3</v>
      </c>
      <c r="AH38" s="74">
        <v>50</v>
      </c>
      <c r="AI38" s="55">
        <f t="shared" si="27"/>
        <v>10032.511822044311</v>
      </c>
      <c r="AJ38" s="621"/>
      <c r="AK38" s="74">
        <f t="shared" si="8"/>
        <v>663</v>
      </c>
      <c r="AL38" s="74">
        <f t="shared" si="9"/>
        <v>42.096042349382401</v>
      </c>
      <c r="AM38" s="186">
        <f t="shared" si="18"/>
        <v>705.0960423493824</v>
      </c>
      <c r="AN38" s="45"/>
      <c r="AO38" s="489"/>
      <c r="AP38" s="489"/>
      <c r="AQ38" s="43"/>
      <c r="AR38" s="43">
        <f t="shared" si="19"/>
        <v>-191.86283197435793</v>
      </c>
      <c r="AS38" s="492">
        <v>0.33</v>
      </c>
      <c r="AT38" s="493">
        <f t="shared" si="20"/>
        <v>0.23099999999999998</v>
      </c>
      <c r="AU38" s="494">
        <f>IF(AT38=0,0,VLOOKUP(ROUNDDOWN(TEXT(B38,"0000"),-1),VLOOKUP!$M$3:$W$32,RIGHT(TEXT(B38,"0000"),1)+2,FALSE))</f>
        <v>3574</v>
      </c>
      <c r="AV38" s="494">
        <f t="shared" si="28"/>
        <v>68.799499999999995</v>
      </c>
      <c r="AW38" s="39">
        <f t="shared" si="21"/>
        <v>14.008307792771253</v>
      </c>
      <c r="AX38" s="42">
        <v>13.180831974357917</v>
      </c>
      <c r="AY38" s="558"/>
      <c r="AZ38" s="180">
        <f t="shared" si="36"/>
        <v>7.8659999999999997</v>
      </c>
      <c r="BA38" s="314"/>
      <c r="BC38" s="64">
        <v>0</v>
      </c>
      <c r="BD38" s="43">
        <v>94</v>
      </c>
      <c r="BE38" s="43">
        <v>54</v>
      </c>
      <c r="BF38" s="377"/>
      <c r="BG38" s="385">
        <f t="shared" si="29"/>
        <v>12.553884374458695</v>
      </c>
      <c r="BH38" s="630">
        <v>8.2899999999999991</v>
      </c>
      <c r="BI38" s="445">
        <v>19206</v>
      </c>
      <c r="BJ38" s="296">
        <f t="shared" si="22"/>
        <v>0</v>
      </c>
      <c r="BK38" s="591">
        <f t="shared" si="10"/>
        <v>0</v>
      </c>
      <c r="BM38" s="574">
        <f t="shared" si="23"/>
        <v>24</v>
      </c>
      <c r="BN38" s="559">
        <v>6895.62</v>
      </c>
      <c r="BO38" s="575">
        <f t="shared" si="11"/>
        <v>0.14000000000032742</v>
      </c>
      <c r="BP38" s="576">
        <v>49.904166666666697</v>
      </c>
      <c r="BQ38" s="576">
        <f t="shared" si="12"/>
        <v>9.5833333333303017E-2</v>
      </c>
    </row>
    <row r="39" spans="1:69" ht="12.95" customHeight="1">
      <c r="A39" s="253">
        <f t="shared" si="13"/>
        <v>25</v>
      </c>
      <c r="B39" s="181">
        <v>6895.46</v>
      </c>
      <c r="C39" s="483">
        <f>IF(B39="",C38,VLOOKUP(TRUNC(B39,1),VLOOKUP!$A$3:$K$2834,RIGHT(TEXT(B39,"0000.00"),1)+2,FALSE))</f>
        <v>267133</v>
      </c>
      <c r="D39" s="43">
        <f t="shared" si="14"/>
        <v>-1068</v>
      </c>
      <c r="E39" s="62">
        <f t="shared" si="0"/>
        <v>115133</v>
      </c>
      <c r="F39" s="186">
        <f t="shared" si="1"/>
        <v>-538.44214771867905</v>
      </c>
      <c r="G39" s="621">
        <v>140</v>
      </c>
      <c r="H39" s="180">
        <v>0</v>
      </c>
      <c r="I39" s="74">
        <f t="shared" si="2"/>
        <v>140</v>
      </c>
      <c r="J39" s="187">
        <f t="shared" si="24"/>
        <v>0</v>
      </c>
      <c r="K39" s="74">
        <f t="shared" si="3"/>
        <v>140</v>
      </c>
      <c r="L39" s="74">
        <f t="shared" si="4"/>
        <v>-34.442147718679053</v>
      </c>
      <c r="M39" s="188">
        <v>284</v>
      </c>
      <c r="N39" s="610">
        <v>0.5</v>
      </c>
      <c r="O39" s="180">
        <f>58*1.05</f>
        <v>60.900000000000006</v>
      </c>
      <c r="P39" s="610">
        <v>1.2</v>
      </c>
      <c r="Q39" s="144">
        <f>3027000/325851/1.9835*1.02</f>
        <v>4.7770669705098729</v>
      </c>
      <c r="R39" s="73">
        <f>IF(((6.9*1.04)-T39)&gt;=4.2,4.2,(6.9*1.04)-T39)</f>
        <v>4.2</v>
      </c>
      <c r="S39" s="73">
        <f>IF(((6.9*1.04)-T39)&gt;=4.2,((6.9*1.04)-T39)-4.2,0)</f>
        <v>1.4255846400000012</v>
      </c>
      <c r="T39" s="636">
        <f t="shared" si="37"/>
        <v>1.5504153600000001</v>
      </c>
      <c r="U39" s="131">
        <v>0</v>
      </c>
      <c r="V39" s="74">
        <v>31</v>
      </c>
      <c r="W39" s="74">
        <v>64</v>
      </c>
      <c r="X39" s="627">
        <f t="shared" si="35"/>
        <v>317.62776500384808</v>
      </c>
      <c r="Y39" s="47">
        <f t="shared" si="6"/>
        <v>317.62776500384808</v>
      </c>
      <c r="Z39" s="55">
        <f t="shared" si="16"/>
        <v>11452.150207932513</v>
      </c>
      <c r="AA39" s="616">
        <f t="shared" si="38"/>
        <v>188.30483197435794</v>
      </c>
      <c r="AB39" s="616">
        <f t="shared" si="25"/>
        <v>70652.005209189942</v>
      </c>
      <c r="AC39" s="55">
        <f t="shared" si="26"/>
        <v>1516.3738289361586</v>
      </c>
      <c r="AD39" s="62">
        <f t="shared" si="33"/>
        <v>8754.9688212972815</v>
      </c>
      <c r="AE39" s="74">
        <v>215</v>
      </c>
      <c r="AF39" s="188">
        <v>1.7</v>
      </c>
      <c r="AG39" s="210">
        <v>1.3</v>
      </c>
      <c r="AH39" s="74">
        <v>50</v>
      </c>
      <c r="AI39" s="55">
        <f t="shared" si="27"/>
        <v>9982.511822044311</v>
      </c>
      <c r="AJ39" s="621"/>
      <c r="AK39" s="74">
        <f t="shared" si="8"/>
        <v>644</v>
      </c>
      <c r="AL39" s="74">
        <f t="shared" si="9"/>
        <v>34.442147718679053</v>
      </c>
      <c r="AM39" s="186">
        <f t="shared" si="18"/>
        <v>678.44214771867905</v>
      </c>
      <c r="AN39" s="45"/>
      <c r="AO39" s="489"/>
      <c r="AP39" s="489"/>
      <c r="AQ39" s="43"/>
      <c r="AR39" s="43">
        <f t="shared" si="19"/>
        <v>-188.30483197435794</v>
      </c>
      <c r="AS39" s="492">
        <v>0.34</v>
      </c>
      <c r="AT39" s="493">
        <f t="shared" si="20"/>
        <v>0.23799999999999999</v>
      </c>
      <c r="AU39" s="494">
        <f>IF(AT39=0,0,VLOOKUP(ROUNDDOWN(TEXT(B39,"0000"),-1),VLOOKUP!$M$3:$W$32,RIGHT(TEXT(B39,"0000"),1)+2,FALSE))</f>
        <v>3544</v>
      </c>
      <c r="AV39" s="494">
        <f t="shared" si="28"/>
        <v>70.289333333333332</v>
      </c>
      <c r="AW39" s="39">
        <f t="shared" si="21"/>
        <v>14.445384912857719</v>
      </c>
      <c r="AX39" s="42">
        <v>13.180831974357917</v>
      </c>
      <c r="AY39" s="558"/>
      <c r="AZ39" s="180">
        <f t="shared" si="36"/>
        <v>7.8659999999999997</v>
      </c>
      <c r="BA39" s="314"/>
      <c r="BC39" s="64">
        <v>0</v>
      </c>
      <c r="BD39" s="43">
        <v>94</v>
      </c>
      <c r="BE39" s="43">
        <v>59</v>
      </c>
      <c r="BF39" s="377"/>
      <c r="BG39" s="385">
        <f t="shared" si="29"/>
        <v>13.653066970509874</v>
      </c>
      <c r="BH39" s="630">
        <v>8.2899999999999991</v>
      </c>
      <c r="BI39" s="445">
        <v>19183</v>
      </c>
      <c r="BJ39" s="296">
        <f t="shared" si="22"/>
        <v>0</v>
      </c>
      <c r="BK39" s="591">
        <f t="shared" si="10"/>
        <v>0</v>
      </c>
      <c r="BM39" s="574">
        <f t="shared" si="23"/>
        <v>25</v>
      </c>
      <c r="BN39" s="559">
        <v>6895.32</v>
      </c>
      <c r="BO39" s="575">
        <f t="shared" si="11"/>
        <v>0.14000000000032742</v>
      </c>
      <c r="BP39" s="576">
        <v>49.810416666666704</v>
      </c>
      <c r="BQ39" s="576">
        <f t="shared" si="12"/>
        <v>0.18958333333329591</v>
      </c>
    </row>
    <row r="40" spans="1:69" ht="12.95" customHeight="1">
      <c r="A40" s="253">
        <f t="shared" si="13"/>
        <v>26</v>
      </c>
      <c r="B40" s="181">
        <v>6895.14</v>
      </c>
      <c r="C40" s="483">
        <f>IF(B40="",C39,VLOOKUP(TRUNC(B40,1),VLOOKUP!$A$3:$K$2834,RIGHT(TEXT(B40,"0000.00"),1)+2,FALSE))</f>
        <v>265994</v>
      </c>
      <c r="D40" s="43">
        <f t="shared" si="14"/>
        <v>-1139</v>
      </c>
      <c r="E40" s="62">
        <f t="shared" si="0"/>
        <v>113994</v>
      </c>
      <c r="F40" s="186">
        <f t="shared" si="1"/>
        <v>-574.23745903705571</v>
      </c>
      <c r="G40" s="621">
        <v>133</v>
      </c>
      <c r="H40" s="180">
        <v>0</v>
      </c>
      <c r="I40" s="74">
        <f>G40+H40</f>
        <v>133</v>
      </c>
      <c r="J40" s="187">
        <f t="shared" si="24"/>
        <v>0</v>
      </c>
      <c r="K40" s="74">
        <f t="shared" si="3"/>
        <v>133</v>
      </c>
      <c r="L40" s="74">
        <f t="shared" si="4"/>
        <v>-56.237459037055714</v>
      </c>
      <c r="M40" s="188">
        <v>282</v>
      </c>
      <c r="N40" s="610">
        <v>0.5</v>
      </c>
      <c r="O40" s="23">
        <f>63*1.05</f>
        <v>66.150000000000006</v>
      </c>
      <c r="P40" s="610">
        <v>1.2</v>
      </c>
      <c r="Q40" s="144">
        <f>2661100/325851/1.9835*1.02</f>
        <v>4.1996210489672361</v>
      </c>
      <c r="R40" s="73">
        <f>IF(((6.5*1.04)-T40)&gt;=4.2,4.2,(6.5*1.04)-T40)</f>
        <v>4.2</v>
      </c>
      <c r="S40" s="73">
        <f>IF(((6.5*1.04)-T40)&gt;=4.2,((6.5*1.04)-T40)-4.2,0)</f>
        <v>1.110233759999999</v>
      </c>
      <c r="T40" s="636">
        <f>(1.3151*1.06)*1.04</f>
        <v>1.4497662400000002</v>
      </c>
      <c r="U40" s="131">
        <v>0</v>
      </c>
      <c r="V40" s="74">
        <v>30</v>
      </c>
      <c r="W40" s="74">
        <v>68</v>
      </c>
      <c r="X40" s="627">
        <f t="shared" si="35"/>
        <v>314.37121092539076</v>
      </c>
      <c r="Y40" s="47">
        <f t="shared" si="6"/>
        <v>314.37121092539076</v>
      </c>
      <c r="Z40" s="55">
        <f t="shared" si="16"/>
        <v>11260.679375958154</v>
      </c>
      <c r="AA40" s="616">
        <f t="shared" si="38"/>
        <v>191.47083197435796</v>
      </c>
      <c r="AB40" s="616">
        <f t="shared" si="25"/>
        <v>70895.77811083931</v>
      </c>
      <c r="AC40" s="55">
        <f t="shared" si="26"/>
        <v>1516.9570535830667</v>
      </c>
      <c r="AD40" s="62">
        <f t="shared" si="33"/>
        <v>8754.9688212972815</v>
      </c>
      <c r="AE40" s="74">
        <v>221</v>
      </c>
      <c r="AF40" s="188">
        <v>1.7</v>
      </c>
      <c r="AG40" s="210">
        <v>1.3</v>
      </c>
      <c r="AH40" s="74">
        <v>50</v>
      </c>
      <c r="AI40" s="55">
        <f t="shared" si="27"/>
        <v>9932.511822044311</v>
      </c>
      <c r="AJ40" s="621"/>
      <c r="AK40" s="74">
        <f t="shared" si="8"/>
        <v>651</v>
      </c>
      <c r="AL40" s="74">
        <f t="shared" si="9"/>
        <v>56.237459037055714</v>
      </c>
      <c r="AM40" s="186">
        <f t="shared" si="18"/>
        <v>707.23745903705571</v>
      </c>
      <c r="AN40" s="45"/>
      <c r="AO40" s="489"/>
      <c r="AP40" s="489"/>
      <c r="AQ40" s="43"/>
      <c r="AR40" s="43">
        <f t="shared" si="19"/>
        <v>-191.47083197435796</v>
      </c>
      <c r="AS40" s="492">
        <v>0.41</v>
      </c>
      <c r="AT40" s="493">
        <f t="shared" si="20"/>
        <v>0.28699999999999998</v>
      </c>
      <c r="AU40" s="494">
        <f>IF(AT40=0,0,VLOOKUP(ROUNDDOWN(TEXT(B40,"0000"),-1),VLOOKUP!$M$3:$W$32,RIGHT(TEXT(B40,"0000"),1)+2,FALSE))</f>
        <v>3544</v>
      </c>
      <c r="AV40" s="494">
        <f t="shared" si="28"/>
        <v>84.760666666666665</v>
      </c>
      <c r="AW40" s="39">
        <f t="shared" si="21"/>
        <v>17.594345616220853</v>
      </c>
      <c r="AX40" s="42">
        <v>13.180831974357917</v>
      </c>
      <c r="AY40" s="558"/>
      <c r="AZ40" s="180">
        <f t="shared" si="36"/>
        <v>7.8659999999999997</v>
      </c>
      <c r="BA40" s="314"/>
      <c r="BC40" s="64">
        <v>0</v>
      </c>
      <c r="BD40" s="43">
        <v>92</v>
      </c>
      <c r="BE40" s="43">
        <v>57</v>
      </c>
      <c r="BF40" s="377"/>
      <c r="BG40" s="385">
        <f t="shared" si="29"/>
        <v>12.659621048967237</v>
      </c>
      <c r="BH40" s="630">
        <v>8.14</v>
      </c>
      <c r="BI40" s="445">
        <v>19146</v>
      </c>
      <c r="BJ40" s="296">
        <f t="shared" si="22"/>
        <v>0</v>
      </c>
      <c r="BK40" s="591">
        <f t="shared" si="10"/>
        <v>0</v>
      </c>
      <c r="BM40" s="574">
        <f t="shared" si="23"/>
        <v>26</v>
      </c>
      <c r="BN40" s="559">
        <v>6895.01</v>
      </c>
      <c r="BO40" s="575">
        <f t="shared" si="11"/>
        <v>0.13000000000010914</v>
      </c>
      <c r="BP40" s="576">
        <v>49.816666666666698</v>
      </c>
      <c r="BQ40" s="576">
        <f t="shared" si="12"/>
        <v>0.1833333333333016</v>
      </c>
    </row>
    <row r="41" spans="1:69" ht="12.95" customHeight="1">
      <c r="A41" s="253">
        <f t="shared" si="13"/>
        <v>27</v>
      </c>
      <c r="B41" s="181">
        <v>6894.81</v>
      </c>
      <c r="C41" s="483">
        <f>IF(B41="",C40,VLOOKUP(TRUNC(B41,1),VLOOKUP!$A$3:$K$2834,RIGHT(TEXT(B41,"0000.00"),1)+2,FALSE))</f>
        <v>264825</v>
      </c>
      <c r="D41" s="43">
        <f t="shared" si="14"/>
        <v>-1169</v>
      </c>
      <c r="E41" s="62">
        <f t="shared" si="0"/>
        <v>112825</v>
      </c>
      <c r="F41" s="186">
        <f t="shared" si="1"/>
        <v>-589.36223846735572</v>
      </c>
      <c r="G41" s="621">
        <v>128</v>
      </c>
      <c r="H41" s="180">
        <v>0</v>
      </c>
      <c r="I41" s="74">
        <f>G41+H41</f>
        <v>128</v>
      </c>
      <c r="J41" s="187">
        <f t="shared" si="24"/>
        <v>0</v>
      </c>
      <c r="K41" s="74">
        <f t="shared" si="3"/>
        <v>128</v>
      </c>
      <c r="L41" s="74">
        <f t="shared" si="4"/>
        <v>-34.362238467355724</v>
      </c>
      <c r="M41" s="188">
        <v>284</v>
      </c>
      <c r="N41" s="610">
        <v>0.5</v>
      </c>
      <c r="O41" s="180">
        <f>60*1.05</f>
        <v>63</v>
      </c>
      <c r="P41" s="610">
        <v>1.2</v>
      </c>
      <c r="Q41" s="144">
        <f>2372900/325851/1.9835*1.02</f>
        <v>3.7447975600670236</v>
      </c>
      <c r="R41" s="73">
        <f>IF(((6.7*1.04)-T41)&gt;=4.2,4.2,(6.7*1.04)-T41)</f>
        <v>4.2</v>
      </c>
      <c r="S41" s="73">
        <f>IF(((6.7*1.04)-T41)&gt;=4.2,((6.7*1.04)-T41)-4.2,0)</f>
        <v>1.3182337600000009</v>
      </c>
      <c r="T41" s="636">
        <f t="shared" ref="T41:T44" si="39">(1.3151*1.06)*1.04</f>
        <v>1.4497662400000002</v>
      </c>
      <c r="U41" s="131">
        <v>0</v>
      </c>
      <c r="V41" s="74">
        <v>30</v>
      </c>
      <c r="W41" s="74">
        <v>68</v>
      </c>
      <c r="X41" s="627">
        <f t="shared" si="35"/>
        <v>319.76803441429092</v>
      </c>
      <c r="Y41" s="47">
        <f t="shared" si="6"/>
        <v>319.76803441429092</v>
      </c>
      <c r="Z41" s="55">
        <f t="shared" si="16"/>
        <v>11059.266543983797</v>
      </c>
      <c r="AA41" s="616">
        <f t="shared" si="38"/>
        <v>201.41283197435794</v>
      </c>
      <c r="AB41" s="616">
        <f t="shared" si="25"/>
        <v>71130.535654878913</v>
      </c>
      <c r="AC41" s="55">
        <f t="shared" si="26"/>
        <v>1515.9527003608732</v>
      </c>
      <c r="AD41" s="62">
        <f t="shared" si="33"/>
        <v>8754.9688212972815</v>
      </c>
      <c r="AE41" s="74">
        <v>251</v>
      </c>
      <c r="AF41" s="188">
        <v>1.7</v>
      </c>
      <c r="AG41" s="210">
        <v>1.3</v>
      </c>
      <c r="AH41" s="74">
        <v>50</v>
      </c>
      <c r="AI41" s="55">
        <f t="shared" si="27"/>
        <v>9882.511822044311</v>
      </c>
      <c r="AJ41" s="621"/>
      <c r="AK41" s="74">
        <f t="shared" si="8"/>
        <v>683</v>
      </c>
      <c r="AL41" s="74">
        <f t="shared" si="9"/>
        <v>34.362238467355724</v>
      </c>
      <c r="AM41" s="186">
        <f t="shared" si="18"/>
        <v>717.36223846735572</v>
      </c>
      <c r="AN41" s="45"/>
      <c r="AO41" s="489"/>
      <c r="AP41" s="489"/>
      <c r="AQ41" s="43"/>
      <c r="AR41" s="43">
        <f t="shared" si="19"/>
        <v>-201.41283197435794</v>
      </c>
      <c r="AS41" s="492">
        <v>0.28000000000000003</v>
      </c>
      <c r="AT41" s="493">
        <f t="shared" si="20"/>
        <v>0.19600000000000001</v>
      </c>
      <c r="AU41" s="494">
        <f>IF(AT41=0,0,VLOOKUP(ROUNDDOWN(TEXT(B41,"0000"),-1),VLOOKUP!$M$3:$W$32,RIGHT(TEXT(B41,"0000"),1)+2,FALSE))</f>
        <v>3544</v>
      </c>
      <c r="AV41" s="494">
        <f t="shared" si="28"/>
        <v>57.885333333333342</v>
      </c>
      <c r="AW41" s="39">
        <f t="shared" si="21"/>
        <v>12.139124896961071</v>
      </c>
      <c r="AX41" s="42">
        <v>13.180831974357917</v>
      </c>
      <c r="AY41" s="558"/>
      <c r="AZ41" s="180">
        <f t="shared" si="36"/>
        <v>7.8659999999999997</v>
      </c>
      <c r="BA41" s="314"/>
      <c r="BC41" s="64">
        <v>0</v>
      </c>
      <c r="BD41" s="43">
        <v>92</v>
      </c>
      <c r="BE41" s="43">
        <v>54</v>
      </c>
      <c r="BF41" s="377"/>
      <c r="BG41" s="385">
        <f t="shared" si="29"/>
        <v>12.412797560067025</v>
      </c>
      <c r="BH41" s="630">
        <v>7.86</v>
      </c>
      <c r="BI41" s="445">
        <v>19122</v>
      </c>
      <c r="BJ41" s="296">
        <f t="shared" si="22"/>
        <v>0</v>
      </c>
      <c r="BK41" s="591">
        <f t="shared" si="10"/>
        <v>0</v>
      </c>
      <c r="BM41" s="574">
        <f t="shared" si="23"/>
        <v>27</v>
      </c>
      <c r="BN41" s="559">
        <v>6894.57</v>
      </c>
      <c r="BO41" s="575">
        <f t="shared" si="11"/>
        <v>0.24000000000069122</v>
      </c>
      <c r="BP41" s="576">
        <v>49.727083333333354</v>
      </c>
      <c r="BQ41" s="576">
        <f t="shared" si="12"/>
        <v>0.27291666666664582</v>
      </c>
    </row>
    <row r="42" spans="1:69" ht="12.95" customHeight="1">
      <c r="A42" s="253">
        <f t="shared" si="13"/>
        <v>28</v>
      </c>
      <c r="B42" s="181">
        <v>6894.47</v>
      </c>
      <c r="C42" s="483">
        <f>IF(B42="",C41,VLOOKUP(TRUNC(B42,1),VLOOKUP!$A$3:$K$2834,RIGHT(TEXT(B42,"0000.00"),1)+2,FALSE))</f>
        <v>263625</v>
      </c>
      <c r="D42" s="43">
        <f t="shared" si="14"/>
        <v>-1200</v>
      </c>
      <c r="E42" s="62">
        <f t="shared" si="0"/>
        <v>111625</v>
      </c>
      <c r="F42" s="186">
        <f t="shared" si="1"/>
        <v>-604.991177211999</v>
      </c>
      <c r="G42" s="621">
        <v>124</v>
      </c>
      <c r="H42" s="180">
        <v>0</v>
      </c>
      <c r="I42" s="74">
        <f>G42+H42</f>
        <v>124</v>
      </c>
      <c r="J42" s="187">
        <f t="shared" si="24"/>
        <v>0</v>
      </c>
      <c r="K42" s="74">
        <f t="shared" si="3"/>
        <v>124</v>
      </c>
      <c r="L42" s="74">
        <f t="shared" si="4"/>
        <v>-55.991177211999002</v>
      </c>
      <c r="M42" s="188">
        <v>284</v>
      </c>
      <c r="N42" s="610">
        <v>0.5</v>
      </c>
      <c r="O42" s="180">
        <f>60*1.05</f>
        <v>63</v>
      </c>
      <c r="P42" s="610">
        <v>1.2</v>
      </c>
      <c r="Q42" s="144">
        <f>2744800/325851/1.9835*1.02</f>
        <v>4.3317123953272221</v>
      </c>
      <c r="R42" s="73">
        <f>IF(((6.8*1.04)-T42)&gt;=4.2,4.2,(6.8*1.04)-T42)</f>
        <v>4.2</v>
      </c>
      <c r="S42" s="73">
        <f>IF(((6.8*1.04)-T42)&gt;=4.2,((6.8*1.04)-T42)-4.2,0)</f>
        <v>1.4222337600000001</v>
      </c>
      <c r="T42" s="636">
        <f t="shared" si="39"/>
        <v>1.4497662400000002</v>
      </c>
      <c r="U42" s="131">
        <v>0</v>
      </c>
      <c r="V42" s="74">
        <v>30</v>
      </c>
      <c r="W42" s="74">
        <v>68</v>
      </c>
      <c r="X42" s="627">
        <f t="shared" si="35"/>
        <v>319.07711957903075</v>
      </c>
      <c r="Y42" s="47">
        <f t="shared" si="6"/>
        <v>319.07711957903075</v>
      </c>
      <c r="Z42" s="55">
        <f t="shared" si="16"/>
        <v>10853.957712009438</v>
      </c>
      <c r="AA42" s="616">
        <f t="shared" si="38"/>
        <v>205.30883197435796</v>
      </c>
      <c r="AB42" s="616">
        <f t="shared" si="25"/>
        <v>71356.195053342788</v>
      </c>
      <c r="AC42" s="55">
        <f t="shared" si="26"/>
        <v>1517.6986474760931</v>
      </c>
      <c r="AD42" s="62">
        <f t="shared" si="33"/>
        <v>8754.9688212972815</v>
      </c>
      <c r="AE42" s="74">
        <v>241</v>
      </c>
      <c r="AF42" s="188">
        <v>1.7</v>
      </c>
      <c r="AG42" s="210">
        <v>1.3</v>
      </c>
      <c r="AH42" s="74">
        <v>50</v>
      </c>
      <c r="AI42" s="55">
        <f t="shared" si="27"/>
        <v>9832.511822044311</v>
      </c>
      <c r="AJ42" s="621"/>
      <c r="AK42" s="74">
        <f t="shared" si="8"/>
        <v>673</v>
      </c>
      <c r="AL42" s="74">
        <f t="shared" si="9"/>
        <v>55.991177211999002</v>
      </c>
      <c r="AM42" s="186">
        <f t="shared" si="18"/>
        <v>728.991177211999</v>
      </c>
      <c r="AN42" s="45"/>
      <c r="AO42" s="489"/>
      <c r="AP42" s="489"/>
      <c r="AQ42" s="43"/>
      <c r="AR42" s="43">
        <f t="shared" si="19"/>
        <v>-205.30883197435796</v>
      </c>
      <c r="AS42" s="492">
        <v>0.36</v>
      </c>
      <c r="AT42" s="493">
        <f t="shared" si="20"/>
        <v>0.252</v>
      </c>
      <c r="AU42" s="494">
        <f>IF(AT42=0,0,VLOOKUP(ROUNDDOWN(TEXT(B42,"0000"),-1),VLOOKUP!$M$3:$W$32,RIGHT(TEXT(B42,"0000"),1)+2,FALSE))</f>
        <v>3513</v>
      </c>
      <c r="AV42" s="494">
        <f t="shared" si="28"/>
        <v>73.77300000000001</v>
      </c>
      <c r="AW42" s="39">
        <f t="shared" si="21"/>
        <v>15.639530711692423</v>
      </c>
      <c r="AX42" s="42">
        <v>13.180831974357917</v>
      </c>
      <c r="AY42" s="558"/>
      <c r="AZ42" s="180">
        <f t="shared" si="36"/>
        <v>7.8659999999999997</v>
      </c>
      <c r="BA42" s="314"/>
      <c r="BC42" s="64">
        <v>0</v>
      </c>
      <c r="BD42" s="43">
        <v>89</v>
      </c>
      <c r="BE42" s="43">
        <v>58</v>
      </c>
      <c r="BF42" s="377"/>
      <c r="BG42" s="385">
        <f t="shared" si="29"/>
        <v>13.103712395327223</v>
      </c>
      <c r="BH42" s="630">
        <v>7.86</v>
      </c>
      <c r="BI42" s="524">
        <v>19099</v>
      </c>
      <c r="BJ42" s="296">
        <f t="shared" si="22"/>
        <v>0</v>
      </c>
      <c r="BK42" s="591">
        <f t="shared" si="10"/>
        <v>0</v>
      </c>
      <c r="BM42" s="574">
        <f t="shared" si="23"/>
        <v>28</v>
      </c>
      <c r="BN42" s="559">
        <v>6894.34</v>
      </c>
      <c r="BO42" s="575">
        <f t="shared" si="11"/>
        <v>0.13000000000010914</v>
      </c>
      <c r="BP42" s="576">
        <v>49.727083333333347</v>
      </c>
      <c r="BQ42" s="576">
        <f t="shared" si="12"/>
        <v>0.27291666666665293</v>
      </c>
    </row>
    <row r="43" spans="1:69" ht="12.95" customHeight="1">
      <c r="A43" s="253">
        <f t="shared" si="13"/>
        <v>29</v>
      </c>
      <c r="B43" s="181">
        <v>6894.12</v>
      </c>
      <c r="C43" s="483">
        <f>IF(B43="",C42,VLOOKUP(TRUNC(B43,1),VLOOKUP!$A$3:$K$2834,RIGHT(TEXT(B43,"0000.00"),1)+2,FALSE))</f>
        <v>262390</v>
      </c>
      <c r="D43" s="43">
        <f t="shared" si="14"/>
        <v>-1235</v>
      </c>
      <c r="E43" s="62">
        <f t="shared" si="0"/>
        <v>110390</v>
      </c>
      <c r="F43" s="186">
        <f>D43/$D$2</f>
        <v>-622.63675321401558</v>
      </c>
      <c r="G43" s="621">
        <v>115</v>
      </c>
      <c r="H43" s="180">
        <v>0</v>
      </c>
      <c r="I43" s="74">
        <f>G43+H43</f>
        <v>115</v>
      </c>
      <c r="J43" s="187">
        <f t="shared" si="24"/>
        <v>0</v>
      </c>
      <c r="K43" s="74">
        <f t="shared" si="3"/>
        <v>115</v>
      </c>
      <c r="L43" s="74">
        <f t="shared" si="4"/>
        <v>-65.636753214015584</v>
      </c>
      <c r="M43" s="188">
        <v>288</v>
      </c>
      <c r="N43" s="610">
        <v>0.5</v>
      </c>
      <c r="O43" s="180">
        <f>57*1.05</f>
        <v>59.85</v>
      </c>
      <c r="P43" s="610">
        <v>0.43</v>
      </c>
      <c r="Q43" s="144">
        <f>2258500/325851/1.9835*1.02</f>
        <v>3.564256938518847</v>
      </c>
      <c r="R43" s="73">
        <f>IF(((6.7*1.04)-T43)&gt;=4.2,4.2,(6.7*1.04)-T43)</f>
        <v>4.2</v>
      </c>
      <c r="S43" s="73">
        <f>IF(((6.7*1.04)-T43)&gt;=4.2,((6.7*1.04)-T43)-4.2,0)</f>
        <v>1.3182337600000009</v>
      </c>
      <c r="T43" s="636">
        <f t="shared" si="39"/>
        <v>1.4497662400000002</v>
      </c>
      <c r="U43" s="131">
        <v>0</v>
      </c>
      <c r="V43" s="74">
        <v>30</v>
      </c>
      <c r="W43" s="74">
        <v>68</v>
      </c>
      <c r="X43" s="627">
        <f t="shared" si="35"/>
        <v>327.86857503583911</v>
      </c>
      <c r="Y43" s="47">
        <f t="shared" si="6"/>
        <v>327.86857503583911</v>
      </c>
      <c r="Z43" s="55">
        <f t="shared" si="16"/>
        <v>10631.62488003508</v>
      </c>
      <c r="AA43" s="616">
        <f t="shared" si="38"/>
        <v>222.33283197435796</v>
      </c>
      <c r="AB43" s="616">
        <f t="shared" si="25"/>
        <v>71565.52519970524</v>
      </c>
      <c r="AC43" s="55">
        <f t="shared" si="26"/>
        <v>1517.6798323958349</v>
      </c>
      <c r="AD43" s="62">
        <f t="shared" si="33"/>
        <v>8754.9688212972815</v>
      </c>
      <c r="AE43" s="74">
        <v>236</v>
      </c>
      <c r="AF43" s="188">
        <v>1.7</v>
      </c>
      <c r="AG43" s="210">
        <v>1.3</v>
      </c>
      <c r="AH43" s="74">
        <v>50</v>
      </c>
      <c r="AI43" s="55">
        <f t="shared" si="27"/>
        <v>9782.511822044311</v>
      </c>
      <c r="AJ43" s="621"/>
      <c r="AK43" s="74">
        <f>N43+O43+P43+Q43+R43+S43+T43+U43+X43+AE43+AH43-AX43</f>
        <v>672</v>
      </c>
      <c r="AL43" s="74">
        <f t="shared" si="9"/>
        <v>65.636753214015584</v>
      </c>
      <c r="AM43" s="186">
        <f t="shared" si="18"/>
        <v>737.63675321401558</v>
      </c>
      <c r="AN43" s="45"/>
      <c r="AO43" s="489"/>
      <c r="AP43" s="489"/>
      <c r="AQ43" s="43"/>
      <c r="AR43" s="43">
        <f t="shared" si="19"/>
        <v>-222.33283197435796</v>
      </c>
      <c r="AS43" s="492">
        <v>0.28999999999999998</v>
      </c>
      <c r="AT43" s="493">
        <f t="shared" si="20"/>
        <v>0.20299999999999999</v>
      </c>
      <c r="AU43" s="494">
        <f>IF(AT43=0,0,VLOOKUP(ROUNDDOWN(TEXT(B43,"0000"),-1),VLOOKUP!$M$3:$W$32,RIGHT(TEXT(B43,"0000"),1)+2,FALSE))</f>
        <v>3513</v>
      </c>
      <c r="AV43" s="494">
        <f t="shared" si="28"/>
        <v>59.428249999999998</v>
      </c>
      <c r="AW43" s="39">
        <f t="shared" si="21"/>
        <v>12.739437955496596</v>
      </c>
      <c r="AX43" s="42">
        <v>13.180831974357917</v>
      </c>
      <c r="AY43" s="558"/>
      <c r="AZ43" s="180">
        <f t="shared" si="36"/>
        <v>7.8659999999999997</v>
      </c>
      <c r="BA43" s="314"/>
      <c r="BC43" s="64">
        <v>0</v>
      </c>
      <c r="BD43" s="43">
        <v>84</v>
      </c>
      <c r="BE43" s="43">
        <v>57</v>
      </c>
      <c r="BF43" s="377"/>
      <c r="BG43" s="385">
        <f t="shared" si="29"/>
        <v>11.46225693851885</v>
      </c>
      <c r="BH43" s="630">
        <v>7.86</v>
      </c>
      <c r="BI43" s="445">
        <v>19068</v>
      </c>
      <c r="BJ43" s="296">
        <f t="shared" si="22"/>
        <v>0</v>
      </c>
      <c r="BK43" s="591">
        <f t="shared" si="10"/>
        <v>0</v>
      </c>
      <c r="BM43" s="574">
        <f t="shared" si="23"/>
        <v>29</v>
      </c>
      <c r="BN43" s="559">
        <v>6894.01</v>
      </c>
      <c r="BO43" s="575">
        <f t="shared" si="11"/>
        <v>0.10999999999967258</v>
      </c>
      <c r="BP43" s="576">
        <v>49.14639175257723</v>
      </c>
      <c r="BQ43" s="576">
        <f t="shared" si="12"/>
        <v>0.85360824742276975</v>
      </c>
    </row>
    <row r="44" spans="1:69" ht="12.95" customHeight="1">
      <c r="A44" s="253">
        <v>30</v>
      </c>
      <c r="B44" s="181">
        <v>6893.75</v>
      </c>
      <c r="C44" s="483">
        <f>IF(B44="",C43,VLOOKUP(TRUNC(B44,1),VLOOKUP!$A$3:$K$2834,RIGHT(TEXT(B44,"0000.00"),1)+2,FALSE))</f>
        <v>261092</v>
      </c>
      <c r="D44" s="43">
        <f t="shared" si="14"/>
        <v>-1298</v>
      </c>
      <c r="E44" s="62">
        <f t="shared" si="0"/>
        <v>109092</v>
      </c>
      <c r="F44" s="186">
        <f t="shared" si="1"/>
        <v>-654.39879001764552</v>
      </c>
      <c r="G44" s="621">
        <v>109</v>
      </c>
      <c r="H44" s="180">
        <v>0</v>
      </c>
      <c r="I44" s="74">
        <f>G44+H44</f>
        <v>109</v>
      </c>
      <c r="J44" s="187">
        <f t="shared" si="24"/>
        <v>0</v>
      </c>
      <c r="K44" s="74">
        <f t="shared" si="3"/>
        <v>109</v>
      </c>
      <c r="L44" s="74">
        <f t="shared" si="4"/>
        <v>-61.398790017645524</v>
      </c>
      <c r="M44" s="188">
        <v>299</v>
      </c>
      <c r="N44" s="610">
        <v>0.5</v>
      </c>
      <c r="O44" s="180">
        <f>72*1.05</f>
        <v>75.600000000000009</v>
      </c>
      <c r="P44" s="610">
        <v>0</v>
      </c>
      <c r="Q44" s="144">
        <f>2441900/325851/1.9835*1.02</f>
        <v>3.8536900678189827</v>
      </c>
      <c r="R44" s="73">
        <f>IF(((6.8*1.04)-T44)&gt;=4.2,4.2,(6.8*1.04)-T44)</f>
        <v>4.2</v>
      </c>
      <c r="S44" s="73">
        <f>IF(((6.8*1.04)-T44)&gt;=4.2,((6.8*1.04)-T44)-4.2,0)</f>
        <v>1.4222337600000001</v>
      </c>
      <c r="T44" s="636">
        <f t="shared" si="39"/>
        <v>1.4497662400000002</v>
      </c>
      <c r="U44" s="131">
        <v>0</v>
      </c>
      <c r="V44" s="74">
        <v>30</v>
      </c>
      <c r="W44" s="74">
        <v>63</v>
      </c>
      <c r="X44" s="627">
        <f t="shared" si="35"/>
        <v>318.15514190653892</v>
      </c>
      <c r="Y44" s="47">
        <f t="shared" si="6"/>
        <v>318.15514190653892</v>
      </c>
      <c r="Z44" s="55">
        <f>Z43+AR44</f>
        <v>10412.716048060722</v>
      </c>
      <c r="AA44" s="616">
        <f t="shared" si="38"/>
        <v>218.90883197435789</v>
      </c>
      <c r="AB44" s="616">
        <f t="shared" si="25"/>
        <v>71762.380255455719</v>
      </c>
      <c r="AC44" s="55">
        <f t="shared" si="26"/>
        <v>1519.1231260910722</v>
      </c>
      <c r="AD44" s="62">
        <f>AD43</f>
        <v>8754.9688212972815</v>
      </c>
      <c r="AE44" s="74">
        <v>260</v>
      </c>
      <c r="AF44" s="188">
        <v>1.7</v>
      </c>
      <c r="AG44" s="210">
        <v>1.3</v>
      </c>
      <c r="AH44" s="74">
        <v>50</v>
      </c>
      <c r="AI44" s="55">
        <f t="shared" si="27"/>
        <v>9732.511822044311</v>
      </c>
      <c r="AJ44" s="621"/>
      <c r="AK44" s="74">
        <f>N44+O44+P44+Q44+R44+S44+T44+U44+X44+AE44+AH44-AX44</f>
        <v>702</v>
      </c>
      <c r="AL44" s="74">
        <f t="shared" si="9"/>
        <v>61.398790017645524</v>
      </c>
      <c r="AM44" s="186">
        <f t="shared" si="18"/>
        <v>763.39879001764552</v>
      </c>
      <c r="AN44" s="45"/>
      <c r="AO44" s="489"/>
      <c r="AP44" s="489"/>
      <c r="AQ44" s="43"/>
      <c r="AR44" s="43">
        <f t="shared" si="19"/>
        <v>-218.90883197435789</v>
      </c>
      <c r="AS44" s="492">
        <v>0.23</v>
      </c>
      <c r="AT44" s="493">
        <f t="shared" si="20"/>
        <v>0.161</v>
      </c>
      <c r="AU44" s="494">
        <f>IF(AT44=0,0,VLOOKUP(ROUNDDOWN(TEXT(B44,"0000"),-1),VLOOKUP!$M$3:$W$32,RIGHT(TEXT(B44,"0000"),1)+2,FALSE))</f>
        <v>3513</v>
      </c>
      <c r="AV44" s="494">
        <f t="shared" si="28"/>
        <v>47.132750000000001</v>
      </c>
      <c r="AW44" s="39">
        <f>AV44*(IF(Z44&gt;$Z$44,$Z$44,Z44)*1.9835+AC44*1.9835)/E44</f>
        <v>10.22514491611869</v>
      </c>
      <c r="AX44" s="42">
        <v>13.180831974357917</v>
      </c>
      <c r="AY44" s="558"/>
      <c r="AZ44" s="180">
        <f t="shared" si="36"/>
        <v>7.8659999999999997</v>
      </c>
      <c r="BA44" s="314"/>
      <c r="BC44" s="64">
        <v>0</v>
      </c>
      <c r="BD44" s="43">
        <v>77</v>
      </c>
      <c r="BE44" s="43">
        <v>46</v>
      </c>
      <c r="BF44" s="377"/>
      <c r="BG44" s="385">
        <f t="shared" si="29"/>
        <v>11.425690067818985</v>
      </c>
      <c r="BH44" s="630">
        <v>7.87</v>
      </c>
      <c r="BI44" s="445">
        <v>19038</v>
      </c>
      <c r="BJ44" s="296">
        <f t="shared" si="22"/>
        <v>0</v>
      </c>
      <c r="BK44" s="591">
        <f t="shared" si="10"/>
        <v>0</v>
      </c>
      <c r="BM44" s="574">
        <f t="shared" si="23"/>
        <v>30</v>
      </c>
      <c r="BN44" s="559">
        <v>6893.64</v>
      </c>
      <c r="BO44" s="575">
        <f t="shared" si="11"/>
        <v>0.10999999999967258</v>
      </c>
      <c r="BP44" s="576">
        <v>49.563265306122375</v>
      </c>
      <c r="BQ44" s="576">
        <f t="shared" si="12"/>
        <v>0.43673469387762509</v>
      </c>
    </row>
    <row r="45" spans="1:69" ht="3" customHeight="1">
      <c r="A45" s="275"/>
      <c r="B45" s="182"/>
      <c r="C45" s="69"/>
      <c r="D45" s="67"/>
      <c r="E45" s="69"/>
      <c r="F45" s="183"/>
      <c r="G45" s="67"/>
      <c r="H45" s="185"/>
      <c r="I45" s="67"/>
      <c r="J45" s="67"/>
      <c r="K45" s="67"/>
      <c r="L45" s="67"/>
      <c r="M45" s="184"/>
      <c r="N45" s="67"/>
      <c r="O45" s="185"/>
      <c r="P45" s="72"/>
      <c r="Q45" s="185"/>
      <c r="R45" s="185"/>
      <c r="S45" s="67"/>
      <c r="T45" s="67"/>
      <c r="U45" s="249"/>
      <c r="V45" s="67"/>
      <c r="W45" s="67"/>
      <c r="X45" s="67"/>
      <c r="Y45" s="67"/>
      <c r="Z45" s="69"/>
      <c r="AA45" s="67"/>
      <c r="AB45" s="57"/>
      <c r="AC45" s="69"/>
      <c r="AD45" s="69"/>
      <c r="AE45" s="67"/>
      <c r="AF45" s="184"/>
      <c r="AG45" s="68"/>
      <c r="AH45" s="67"/>
      <c r="AI45" s="69"/>
      <c r="AJ45" s="69"/>
      <c r="AK45" s="67"/>
      <c r="AL45" s="67"/>
      <c r="AM45" s="67"/>
      <c r="AN45" s="545"/>
      <c r="AO45" s="506"/>
      <c r="AP45" s="506"/>
      <c r="AQ45" s="71"/>
      <c r="AR45" s="71"/>
      <c r="AS45" s="491"/>
      <c r="AT45" s="491"/>
      <c r="AU45" s="491"/>
      <c r="AV45" s="491"/>
      <c r="AW45" s="40"/>
      <c r="AX45" s="41"/>
      <c r="AY45" s="557"/>
      <c r="AZ45" s="41"/>
      <c r="BA45" s="44"/>
      <c r="BB45" s="41"/>
      <c r="BC45" s="70"/>
      <c r="BD45" s="71"/>
      <c r="BE45" s="71"/>
      <c r="BF45" s="190"/>
      <c r="BG45" s="546"/>
      <c r="BH45" s="72"/>
      <c r="BI45" s="546"/>
      <c r="BJ45" s="71"/>
      <c r="BK45" s="592"/>
      <c r="BM45" s="572"/>
      <c r="BN45" s="572"/>
      <c r="BO45" s="572"/>
      <c r="BP45" s="572"/>
      <c r="BQ45" s="573"/>
    </row>
    <row r="46" spans="1:69" ht="12.95" customHeight="1">
      <c r="A46" s="61" t="s">
        <v>33</v>
      </c>
      <c r="B46" s="177"/>
      <c r="C46" s="62"/>
      <c r="D46" s="62"/>
      <c r="E46" s="62"/>
      <c r="F46" s="178">
        <f t="shared" ref="F46:M46" si="40">SUM(F15:F44)</f>
        <v>-11189.311822535921</v>
      </c>
      <c r="G46" s="62">
        <f t="shared" si="40"/>
        <v>9884</v>
      </c>
      <c r="H46" s="43">
        <f t="shared" si="40"/>
        <v>0</v>
      </c>
      <c r="I46" s="62">
        <f t="shared" si="40"/>
        <v>9884</v>
      </c>
      <c r="J46" s="62">
        <f t="shared" si="40"/>
        <v>15.888580791530131</v>
      </c>
      <c r="K46" s="62">
        <f t="shared" si="40"/>
        <v>9899.8885807915303</v>
      </c>
      <c r="L46" s="62">
        <f t="shared" si="40"/>
        <v>-1033.3118225359212</v>
      </c>
      <c r="M46" s="179">
        <f t="shared" si="40"/>
        <v>8275</v>
      </c>
      <c r="N46" s="62">
        <f>SUM(N15:N44)</f>
        <v>15</v>
      </c>
      <c r="O46" s="43">
        <f>SUM(O15:O44)</f>
        <v>1988.6999999999998</v>
      </c>
      <c r="P46" s="65">
        <f>SUM(P15:P44)</f>
        <v>7.0600000000000005</v>
      </c>
      <c r="Q46" s="43">
        <f t="shared" ref="Q46:X46" si="41">SUM(Q15:Q44)</f>
        <v>106.75979275230732</v>
      </c>
      <c r="R46" s="43">
        <f t="shared" si="41"/>
        <v>126.00000000000006</v>
      </c>
      <c r="S46" s="43">
        <f t="shared" si="41"/>
        <v>32.572774880000004</v>
      </c>
      <c r="T46" s="43">
        <f>SUM(T15:T44)</f>
        <v>43.08322512000003</v>
      </c>
      <c r="U46" s="218">
        <f>SUM(U15:U44)</f>
        <v>0</v>
      </c>
      <c r="V46" s="62">
        <f t="shared" si="41"/>
        <v>2649</v>
      </c>
      <c r="W46" s="62">
        <f t="shared" si="41"/>
        <v>2068</v>
      </c>
      <c r="X46" s="62">
        <f t="shared" si="41"/>
        <v>11068.24916647843</v>
      </c>
      <c r="Y46" s="62">
        <f>SUM(Y15:Y44)</f>
        <v>11068.24916647843</v>
      </c>
      <c r="Z46" s="62"/>
      <c r="AA46" s="62">
        <f>SUM(AA15:AA44)</f>
        <v>3127.6163034358747</v>
      </c>
      <c r="AB46" s="55"/>
      <c r="AC46" s="62">
        <f>AC44-AC12</f>
        <v>-36.276296611084945</v>
      </c>
      <c r="AD46" s="49">
        <f>AD12-AD44</f>
        <v>0</v>
      </c>
      <c r="AE46" s="62">
        <f>SUM(AE15:AE44)</f>
        <v>5548</v>
      </c>
      <c r="AF46" s="179">
        <f>SUM(AF15:AF44)</f>
        <v>51.000000000000021</v>
      </c>
      <c r="AG46" s="63">
        <f>SUM(AG15:AG44)</f>
        <v>38.999999999999993</v>
      </c>
      <c r="AH46" s="62">
        <f>SUM(AH15:AH44)</f>
        <v>1500</v>
      </c>
      <c r="AI46" s="62"/>
      <c r="AJ46" s="62">
        <f t="shared" ref="AJ46:AQ46" si="42">SUM(AJ15:AJ44)</f>
        <v>0</v>
      </c>
      <c r="AK46" s="62">
        <f t="shared" si="42"/>
        <v>20040</v>
      </c>
      <c r="AL46" s="62">
        <f t="shared" si="42"/>
        <v>1049.2004033274511</v>
      </c>
      <c r="AM46" s="178">
        <f t="shared" si="42"/>
        <v>21089.200403327453</v>
      </c>
      <c r="AN46" s="62">
        <f t="shared" si="42"/>
        <v>0</v>
      </c>
      <c r="AO46" s="505">
        <f>SUM(AO15:AO44)</f>
        <v>0</v>
      </c>
      <c r="AP46" s="505"/>
      <c r="AQ46" s="62">
        <f t="shared" si="42"/>
        <v>0</v>
      </c>
      <c r="AR46" s="74">
        <f>SUM(AR15:AR44)</f>
        <v>-1568.8745361200486</v>
      </c>
      <c r="AS46" s="489"/>
      <c r="AT46" s="489"/>
      <c r="AU46" s="489"/>
      <c r="AV46" s="489"/>
      <c r="AW46" s="39"/>
      <c r="AX46" s="62">
        <f t="shared" ref="AX46:BC46" si="43">SUM(AX15:AX44)</f>
        <v>395.42495923073778</v>
      </c>
      <c r="AY46" s="505">
        <f t="shared" si="43"/>
        <v>0</v>
      </c>
      <c r="AZ46" s="180">
        <f t="shared" si="43"/>
        <v>147.68799999999999</v>
      </c>
      <c r="BA46" s="43">
        <f t="shared" si="43"/>
        <v>0</v>
      </c>
      <c r="BB46" s="180">
        <f t="shared" si="43"/>
        <v>0</v>
      </c>
      <c r="BC46" s="64">
        <f t="shared" si="43"/>
        <v>0.8</v>
      </c>
      <c r="BD46" s="43">
        <f>AVERAGE(BD15:BD44)</f>
        <v>86.033333333333331</v>
      </c>
      <c r="BE46" s="43">
        <f>AVERAGE(BE15:BE44)</f>
        <v>51</v>
      </c>
      <c r="BF46" s="525" t="s">
        <v>44</v>
      </c>
      <c r="BG46" s="523">
        <f>SUM(BG15:BG44)</f>
        <v>330.47579275230743</v>
      </c>
      <c r="BH46" s="42">
        <f>SUM(BH15:BH44)</f>
        <v>171.08000000000004</v>
      </c>
      <c r="BI46" s="445"/>
      <c r="BJ46" s="605">
        <f>SUM(BJ15:BJ44)</f>
        <v>99.565576889309455</v>
      </c>
      <c r="BK46" s="178">
        <f>SUM(BK15:BK44)</f>
        <v>99.565576889309455</v>
      </c>
      <c r="BN46" s="489"/>
      <c r="BO46" s="489"/>
      <c r="BP46" s="505">
        <f>SUM(BP15:BP44)</f>
        <v>1504.1304355674715</v>
      </c>
      <c r="BQ46" s="505">
        <f>SUM(BQ15:BQ44)</f>
        <v>-4.1304355674711175</v>
      </c>
    </row>
    <row r="47" spans="1:69" ht="12.95" customHeight="1">
      <c r="A47" s="61" t="s">
        <v>34</v>
      </c>
      <c r="B47" s="177"/>
      <c r="C47" s="62"/>
      <c r="D47" s="62">
        <f>SUM(D15:D44)</f>
        <v>-22194</v>
      </c>
      <c r="E47" s="62"/>
      <c r="F47" s="178">
        <f t="shared" ref="F47:P47" si="44">F46*$D$2</f>
        <v>-22194</v>
      </c>
      <c r="G47" s="62">
        <f t="shared" si="44"/>
        <v>19604.914000000001</v>
      </c>
      <c r="H47" s="43">
        <f t="shared" si="44"/>
        <v>0</v>
      </c>
      <c r="I47" s="62">
        <f t="shared" si="44"/>
        <v>19604.914000000001</v>
      </c>
      <c r="J47" s="62">
        <f t="shared" si="44"/>
        <v>31.515000000000015</v>
      </c>
      <c r="K47" s="62">
        <f t="shared" si="44"/>
        <v>19636.429</v>
      </c>
      <c r="L47" s="62">
        <f t="shared" si="44"/>
        <v>-2049.5739999999996</v>
      </c>
      <c r="M47" s="179">
        <f t="shared" si="44"/>
        <v>16413.462500000001</v>
      </c>
      <c r="N47" s="62">
        <f t="shared" si="44"/>
        <v>29.752500000000001</v>
      </c>
      <c r="O47" s="43">
        <f t="shared" si="44"/>
        <v>3944.5864499999998</v>
      </c>
      <c r="P47" s="65">
        <f t="shared" si="44"/>
        <v>14.003510000000002</v>
      </c>
      <c r="Q47" s="43">
        <f>Q46*$D$2</f>
        <v>211.75804892420157</v>
      </c>
      <c r="R47" s="43">
        <f>R46*$D$2</f>
        <v>249.92100000000011</v>
      </c>
      <c r="S47" s="43">
        <f>S46*$D$2</f>
        <v>64.608098974480015</v>
      </c>
      <c r="T47" s="43">
        <f>T46*$D$2</f>
        <v>85.455577025520057</v>
      </c>
      <c r="U47" s="218">
        <f>U46*$D$2</f>
        <v>0</v>
      </c>
      <c r="V47" s="62">
        <f t="shared" ref="V47:AG47" si="45">V46*$D$2</f>
        <v>5254.2915000000003</v>
      </c>
      <c r="W47" s="62">
        <f t="shared" si="45"/>
        <v>4101.8779999999997</v>
      </c>
      <c r="X47" s="62">
        <f t="shared" si="45"/>
        <v>21953.872221709968</v>
      </c>
      <c r="Y47" s="62">
        <f t="shared" si="45"/>
        <v>21953.872221709968</v>
      </c>
      <c r="Z47" s="62"/>
      <c r="AA47" s="62">
        <f t="shared" si="45"/>
        <v>6203.6269378650577</v>
      </c>
      <c r="AB47" s="55"/>
      <c r="AC47" s="62">
        <f>AC46*$D$2</f>
        <v>-71.954034328086991</v>
      </c>
      <c r="AD47" s="49">
        <f>AD46*$D$2</f>
        <v>0</v>
      </c>
      <c r="AE47" s="62">
        <f t="shared" si="45"/>
        <v>11004.458000000001</v>
      </c>
      <c r="AF47" s="179">
        <f t="shared" si="45"/>
        <v>101.15850000000005</v>
      </c>
      <c r="AG47" s="63">
        <f t="shared" si="45"/>
        <v>77.356499999999983</v>
      </c>
      <c r="AH47" s="62">
        <f>AH46*$D$2</f>
        <v>2975.25</v>
      </c>
      <c r="AI47" s="62"/>
      <c r="AJ47" s="62">
        <f t="shared" ref="AJ47:AQ47" si="46">AJ46*$D$2</f>
        <v>0</v>
      </c>
      <c r="AK47" s="62">
        <f t="shared" si="46"/>
        <v>39749.340000000004</v>
      </c>
      <c r="AL47" s="62">
        <f t="shared" si="46"/>
        <v>2081.0889999999995</v>
      </c>
      <c r="AM47" s="178">
        <f t="shared" si="46"/>
        <v>41830.429000000004</v>
      </c>
      <c r="AN47" s="62">
        <f t="shared" si="46"/>
        <v>0</v>
      </c>
      <c r="AO47" s="490">
        <f>AO46*$D$2</f>
        <v>0</v>
      </c>
      <c r="AP47" s="505"/>
      <c r="AQ47" s="62">
        <f t="shared" si="46"/>
        <v>0</v>
      </c>
      <c r="AR47" s="74"/>
      <c r="AS47" s="489">
        <f>SUM(AS15:AS44)</f>
        <v>8.85</v>
      </c>
      <c r="AT47" s="489"/>
      <c r="AU47" s="489"/>
      <c r="AV47" s="489">
        <f>SUM(AV15:AV44)</f>
        <v>1867.6175000000001</v>
      </c>
      <c r="AW47" s="39">
        <f>SUM(AW15:AW44)</f>
        <v>361.11819972835212</v>
      </c>
      <c r="AX47" s="62">
        <f>AX46*$D$2</f>
        <v>784.32540663416842</v>
      </c>
      <c r="AY47" s="505">
        <f>AY46*$D$2</f>
        <v>0</v>
      </c>
      <c r="AZ47" s="42">
        <f>AZ46*$D$2</f>
        <v>292.93914799999999</v>
      </c>
      <c r="BA47" s="45">
        <f>BA46*$D$2</f>
        <v>0</v>
      </c>
      <c r="BB47" s="42">
        <f>BB46*$D$2</f>
        <v>0</v>
      </c>
      <c r="BC47" s="64"/>
      <c r="BD47" s="43">
        <f>MAX(BD15:BD44)</f>
        <v>94</v>
      </c>
      <c r="BE47" s="43">
        <f>MAX(BE15:BE44)</f>
        <v>62</v>
      </c>
      <c r="BF47" s="525" t="s">
        <v>35</v>
      </c>
      <c r="BG47" s="523">
        <f>BG46*$D$2</f>
        <v>655.49873492420181</v>
      </c>
      <c r="BH47" s="42">
        <f>BH46*$D$2</f>
        <v>339.3371800000001</v>
      </c>
      <c r="BI47" s="445"/>
      <c r="BJ47" s="605">
        <f>BJ46*$D$2</f>
        <v>197.48832175994531</v>
      </c>
      <c r="BK47" s="178">
        <f>BK46*$D$2</f>
        <v>197.48832175994531</v>
      </c>
      <c r="BN47" s="489"/>
      <c r="BO47" s="489"/>
      <c r="BP47" s="505">
        <f>BP46*$D$2</f>
        <v>2983.4427189480798</v>
      </c>
      <c r="BQ47" s="505">
        <f>BQ46*$D$2</f>
        <v>-8.1927189480789622</v>
      </c>
    </row>
    <row r="48" spans="1:69" ht="3" customHeight="1">
      <c r="A48" s="275"/>
      <c r="B48" s="182"/>
      <c r="C48" s="69"/>
      <c r="D48" s="67"/>
      <c r="E48" s="69"/>
      <c r="F48" s="183"/>
      <c r="G48" s="67"/>
      <c r="H48" s="185"/>
      <c r="I48" s="67"/>
      <c r="J48" s="67"/>
      <c r="K48" s="67"/>
      <c r="L48" s="67"/>
      <c r="M48" s="184"/>
      <c r="N48" s="67"/>
      <c r="O48" s="185"/>
      <c r="P48" s="72"/>
      <c r="Q48" s="185"/>
      <c r="R48" s="185"/>
      <c r="S48" s="67"/>
      <c r="T48" s="67"/>
      <c r="U48" s="249"/>
      <c r="V48" s="67"/>
      <c r="W48" s="67"/>
      <c r="X48" s="67"/>
      <c r="Y48" s="67"/>
      <c r="Z48" s="69"/>
      <c r="AA48" s="67"/>
      <c r="AB48" s="57"/>
      <c r="AC48" s="69"/>
      <c r="AD48" s="69"/>
      <c r="AE48" s="67"/>
      <c r="AF48" s="184"/>
      <c r="AG48" s="68"/>
      <c r="AH48" s="67"/>
      <c r="AI48" s="69"/>
      <c r="AJ48" s="69"/>
      <c r="AK48" s="67"/>
      <c r="AL48" s="67"/>
      <c r="AM48" s="67"/>
      <c r="AN48" s="545"/>
      <c r="AO48" s="506"/>
      <c r="AP48" s="506"/>
      <c r="AQ48" s="71"/>
      <c r="AR48" s="71"/>
      <c r="AS48" s="491"/>
      <c r="AT48" s="491"/>
      <c r="AU48" s="491"/>
      <c r="AV48" s="491"/>
      <c r="AW48" s="40"/>
      <c r="AX48" s="41"/>
      <c r="AY48" s="557"/>
      <c r="AZ48" s="41"/>
      <c r="BA48" s="44"/>
      <c r="BB48" s="41"/>
      <c r="BC48" s="70"/>
      <c r="BD48" s="71"/>
      <c r="BE48" s="71"/>
      <c r="BF48" s="190"/>
      <c r="BG48" s="546"/>
      <c r="BH48" s="72"/>
      <c r="BI48" s="546"/>
      <c r="BJ48" s="69"/>
      <c r="BK48" s="190"/>
      <c r="BM48" s="572"/>
      <c r="BN48" s="572"/>
      <c r="BO48" s="572"/>
      <c r="BP48" s="572"/>
      <c r="BQ48" s="573"/>
    </row>
    <row r="49" spans="1:69" ht="12.95" customHeight="1">
      <c r="A49" s="61" t="s">
        <v>36</v>
      </c>
      <c r="B49" s="177"/>
      <c r="C49" s="62"/>
      <c r="D49" s="62"/>
      <c r="E49" s="62"/>
      <c r="F49" s="178">
        <f t="shared" ref="F49:O49" si="47">F12+F46</f>
        <v>-9763.0451222586344</v>
      </c>
      <c r="G49" s="62">
        <f t="shared" si="47"/>
        <v>44491</v>
      </c>
      <c r="H49" s="43">
        <f t="shared" si="47"/>
        <v>133.2227</v>
      </c>
      <c r="I49" s="62">
        <f t="shared" si="47"/>
        <v>44624.222699999998</v>
      </c>
      <c r="J49" s="62">
        <f t="shared" si="47"/>
        <v>59.332374590370591</v>
      </c>
      <c r="K49" s="62">
        <f t="shared" si="47"/>
        <v>44683.545074590365</v>
      </c>
      <c r="L49" s="62">
        <f t="shared" si="47"/>
        <v>-2996.5978222586336</v>
      </c>
      <c r="M49" s="179">
        <f t="shared" si="47"/>
        <v>21394.2</v>
      </c>
      <c r="N49" s="62">
        <f>N12+N46</f>
        <v>30.5</v>
      </c>
      <c r="O49" s="43">
        <f t="shared" si="47"/>
        <v>6759.1335000000008</v>
      </c>
      <c r="P49" s="65">
        <f>P12+P46</f>
        <v>7.0600000000000005</v>
      </c>
      <c r="Q49" s="180"/>
      <c r="R49" s="180"/>
      <c r="S49" s="62"/>
      <c r="T49" s="62"/>
      <c r="U49" s="63"/>
      <c r="V49" s="62">
        <f>V12+V46</f>
        <v>9122</v>
      </c>
      <c r="W49" s="62">
        <f>W12+W46</f>
        <v>4275.7199999999993</v>
      </c>
      <c r="X49" s="62">
        <f>X12+X46</f>
        <v>27694.90214899362</v>
      </c>
      <c r="Y49" s="62">
        <f>Y12+Y46</f>
        <v>27592.946730086856</v>
      </c>
      <c r="Z49" s="62">
        <f>Z44</f>
        <v>10412.716048060722</v>
      </c>
      <c r="AA49" s="62">
        <f>AA12+AA46</f>
        <v>3127.6163034358747</v>
      </c>
      <c r="AB49" s="55"/>
      <c r="AC49" s="62">
        <f>AC46+AC12</f>
        <v>1519.1231260910722</v>
      </c>
      <c r="AD49" s="62"/>
      <c r="AE49" s="62">
        <f>AE12+AE46</f>
        <v>12325.74</v>
      </c>
      <c r="AF49" s="179">
        <f>AF12+AF46</f>
        <v>154.70000000000007</v>
      </c>
      <c r="AG49" s="63">
        <f>AG12+AG46</f>
        <v>118.29999999999998</v>
      </c>
      <c r="AH49" s="62">
        <f>AH12+AH46</f>
        <v>4273</v>
      </c>
      <c r="AI49" s="62"/>
      <c r="AJ49" s="62">
        <f>AJ12+AJ46</f>
        <v>0</v>
      </c>
      <c r="AK49" s="62">
        <f>AK12+AK46</f>
        <v>51390.66</v>
      </c>
      <c r="AL49" s="62">
        <f>AL12+AL46</f>
        <v>3055.930196849004</v>
      </c>
      <c r="AM49" s="178">
        <f>AM12+AM46</f>
        <v>54446.590196849007</v>
      </c>
      <c r="AN49" s="55">
        <f>AN46+AN12</f>
        <v>1825.9903529115204</v>
      </c>
      <c r="AO49" s="505"/>
      <c r="AP49" s="505"/>
      <c r="AQ49" s="62"/>
      <c r="AR49" s="74"/>
      <c r="AS49" s="489"/>
      <c r="AT49" s="489"/>
      <c r="AU49" s="489"/>
      <c r="AV49" s="489"/>
      <c r="AW49" s="39"/>
      <c r="AX49" s="62">
        <f>AX12+AX46</f>
        <v>395.42495923073778</v>
      </c>
      <c r="AY49" s="505"/>
      <c r="AZ49" s="42">
        <f>AZ12+AZ46</f>
        <v>147.68799999999999</v>
      </c>
      <c r="BA49" s="39">
        <f>BA12+BA46</f>
        <v>0</v>
      </c>
      <c r="BB49" s="42">
        <f>BB12+BB46</f>
        <v>0</v>
      </c>
      <c r="BC49" s="64" t="s">
        <v>131</v>
      </c>
      <c r="BD49" s="43">
        <f>MIN(BD15:BD44)</f>
        <v>68</v>
      </c>
      <c r="BE49" s="43">
        <f>MIN(BE15:BE44)</f>
        <v>31</v>
      </c>
      <c r="BF49" s="525" t="s">
        <v>37</v>
      </c>
      <c r="BG49" s="523">
        <f>BG12+BG46</f>
        <v>785.14781023711157</v>
      </c>
      <c r="BH49" s="42">
        <f>BH12+BH46</f>
        <v>246.34000000000003</v>
      </c>
      <c r="BI49" s="445"/>
      <c r="BJ49" s="605">
        <f>BJ46+BJ12</f>
        <v>5045.202419108532</v>
      </c>
      <c r="BK49" s="178">
        <f>BK46+BK12</f>
        <v>4455.8195433886603</v>
      </c>
      <c r="BN49" s="489"/>
      <c r="BO49" s="489"/>
      <c r="BP49" s="505"/>
      <c r="BQ49" s="505"/>
    </row>
    <row r="50" spans="1:69" ht="12.95" customHeight="1">
      <c r="A50" s="61" t="s">
        <v>38</v>
      </c>
      <c r="B50" s="177"/>
      <c r="C50" s="62"/>
      <c r="D50" s="62"/>
      <c r="E50" s="62"/>
      <c r="F50" s="178">
        <f t="shared" ref="F50:P50" si="48">F49*$D$2</f>
        <v>-19365</v>
      </c>
      <c r="G50" s="62">
        <f t="shared" si="48"/>
        <v>88247.898499999996</v>
      </c>
      <c r="H50" s="43">
        <f t="shared" si="48"/>
        <v>264.24722545000003</v>
      </c>
      <c r="I50" s="62">
        <f t="shared" si="48"/>
        <v>88512.145725449998</v>
      </c>
      <c r="J50" s="62">
        <f t="shared" si="48"/>
        <v>117.68576500000007</v>
      </c>
      <c r="K50" s="62">
        <f t="shared" si="48"/>
        <v>88629.811655449987</v>
      </c>
      <c r="L50" s="62">
        <f t="shared" si="48"/>
        <v>-5943.7517804500003</v>
      </c>
      <c r="M50" s="179">
        <f t="shared" si="48"/>
        <v>42435.395700000001</v>
      </c>
      <c r="N50" s="62">
        <f t="shared" si="48"/>
        <v>60.496749999999999</v>
      </c>
      <c r="O50" s="43">
        <f t="shared" si="48"/>
        <v>13406.741297250002</v>
      </c>
      <c r="P50" s="65">
        <f t="shared" si="48"/>
        <v>14.003510000000002</v>
      </c>
      <c r="Q50" s="180"/>
      <c r="R50" s="180"/>
      <c r="S50" s="62"/>
      <c r="T50" s="62"/>
      <c r="U50" s="63"/>
      <c r="V50" s="62">
        <f t="shared" ref="V50:AG50" si="49">V49*$D$2</f>
        <v>18093.487000000001</v>
      </c>
      <c r="W50" s="62">
        <f t="shared" si="49"/>
        <v>8480.8906199999983</v>
      </c>
      <c r="X50" s="62">
        <f t="shared" si="49"/>
        <v>54932.83841252885</v>
      </c>
      <c r="Y50" s="62">
        <f>Y49*$D$2</f>
        <v>54730.609839127283</v>
      </c>
      <c r="Z50" s="62">
        <f>Z49*$D$2</f>
        <v>20653.62228132844</v>
      </c>
      <c r="AA50" s="62">
        <f t="shared" si="49"/>
        <v>6203.6269378650577</v>
      </c>
      <c r="AB50" s="55"/>
      <c r="AC50" s="62">
        <f>AC49*$D$2</f>
        <v>3013.180720601642</v>
      </c>
      <c r="AD50" s="62"/>
      <c r="AE50" s="62">
        <f t="shared" si="49"/>
        <v>24448.10529</v>
      </c>
      <c r="AF50" s="179">
        <f t="shared" si="49"/>
        <v>306.84745000000015</v>
      </c>
      <c r="AG50" s="63">
        <f t="shared" si="49"/>
        <v>234.64804999999998</v>
      </c>
      <c r="AH50" s="62">
        <f>AH49*$D$2</f>
        <v>8475.4955000000009</v>
      </c>
      <c r="AI50" s="62"/>
      <c r="AJ50" s="62">
        <f>AJ49*$D$2</f>
        <v>0</v>
      </c>
      <c r="AK50" s="62">
        <f>AK49*$D$2</f>
        <v>101933.37411</v>
      </c>
      <c r="AL50" s="62">
        <f>AL49*$D$2</f>
        <v>6061.4375454499996</v>
      </c>
      <c r="AM50" s="178">
        <f>AM49*$D$2</f>
        <v>107994.81165545</v>
      </c>
      <c r="AN50" s="55">
        <f>AN49*$D$2</f>
        <v>3621.851865000001</v>
      </c>
      <c r="AO50" s="505"/>
      <c r="AP50" s="505"/>
      <c r="AQ50" s="62"/>
      <c r="AR50" s="74"/>
      <c r="AS50" s="489">
        <f>AS13+AS47</f>
        <v>26.04</v>
      </c>
      <c r="AT50" s="489"/>
      <c r="AU50" s="489"/>
      <c r="AV50" s="489">
        <f>AV13+AV47</f>
        <v>5544.9350833333338</v>
      </c>
      <c r="AW50" s="39">
        <f>AW12+AW47</f>
        <v>686.66211625943652</v>
      </c>
      <c r="AX50" s="62">
        <f>AX49*$D$2</f>
        <v>784.32540663416842</v>
      </c>
      <c r="AY50" s="505"/>
      <c r="AZ50" s="180">
        <f>AZ49*$D$2</f>
        <v>292.93914799999999</v>
      </c>
      <c r="BA50" s="43">
        <f>BA49*$D$2</f>
        <v>0</v>
      </c>
      <c r="BB50" s="180">
        <f>BB49*$D$2</f>
        <v>0</v>
      </c>
      <c r="BC50" s="64">
        <f>MAY!BB51+BC46</f>
        <v>1.02</v>
      </c>
      <c r="BD50" s="43"/>
      <c r="BE50" s="43"/>
      <c r="BF50" s="377"/>
      <c r="BG50" s="523">
        <f>BG49*$D$2</f>
        <v>1557.3406816053109</v>
      </c>
      <c r="BH50" s="526">
        <f>BH49*$D$2</f>
        <v>488.61539000000005</v>
      </c>
      <c r="BI50" s="445"/>
      <c r="BJ50" s="605">
        <f>BJ49*$D$2</f>
        <v>10007.158998301773</v>
      </c>
      <c r="BK50" s="178">
        <f>BK49*$D$2</f>
        <v>8838.1180643114076</v>
      </c>
      <c r="BN50" s="489"/>
      <c r="BO50" s="489"/>
      <c r="BP50" s="505"/>
      <c r="BQ50" s="505"/>
    </row>
    <row r="51" spans="1:69" ht="3" customHeight="1">
      <c r="A51" s="275"/>
      <c r="B51" s="182"/>
      <c r="C51" s="69"/>
      <c r="D51" s="67"/>
      <c r="E51" s="69"/>
      <c r="F51" s="183"/>
      <c r="G51" s="67"/>
      <c r="H51" s="185"/>
      <c r="I51" s="67"/>
      <c r="J51" s="67"/>
      <c r="K51" s="67"/>
      <c r="L51" s="67"/>
      <c r="M51" s="184"/>
      <c r="N51" s="67"/>
      <c r="O51" s="185"/>
      <c r="P51" s="72"/>
      <c r="Q51" s="185"/>
      <c r="R51" s="185"/>
      <c r="S51" s="67"/>
      <c r="T51" s="67"/>
      <c r="U51" s="249"/>
      <c r="V51" s="67"/>
      <c r="W51" s="67"/>
      <c r="X51" s="67"/>
      <c r="Y51" s="67"/>
      <c r="Z51" s="69"/>
      <c r="AA51" s="67"/>
      <c r="AB51" s="57"/>
      <c r="AC51" s="69"/>
      <c r="AD51" s="69"/>
      <c r="AE51" s="67"/>
      <c r="AF51" s="184"/>
      <c r="AG51" s="68"/>
      <c r="AH51" s="67"/>
      <c r="AI51" s="69"/>
      <c r="AJ51" s="69"/>
      <c r="AK51" s="67"/>
      <c r="AL51" s="67"/>
      <c r="AM51" s="67"/>
      <c r="AN51" s="545"/>
      <c r="AO51" s="506"/>
      <c r="AP51" s="506"/>
      <c r="AQ51" s="71"/>
      <c r="AR51" s="71"/>
      <c r="AS51" s="491"/>
      <c r="AT51" s="491"/>
      <c r="AU51" s="491"/>
      <c r="AV51" s="491"/>
      <c r="AW51" s="40"/>
      <c r="AX51" s="41"/>
      <c r="AY51" s="557"/>
      <c r="AZ51" s="41"/>
      <c r="BA51" s="44"/>
      <c r="BB51" s="41"/>
      <c r="BC51" s="70"/>
      <c r="BD51" s="71"/>
      <c r="BE51" s="71"/>
      <c r="BF51" s="190"/>
      <c r="BG51" s="546"/>
      <c r="BH51" s="72"/>
      <c r="BI51" s="546"/>
      <c r="BJ51" s="193"/>
      <c r="BK51" s="594"/>
      <c r="BM51" s="572"/>
      <c r="BN51" s="572"/>
      <c r="BO51" s="572"/>
      <c r="BP51" s="572"/>
      <c r="BQ51" s="573"/>
    </row>
    <row r="52" spans="1:69" ht="12.95" customHeight="1">
      <c r="A52" s="61" t="s">
        <v>39</v>
      </c>
      <c r="B52" s="177"/>
      <c r="C52" s="62"/>
      <c r="D52" s="62"/>
      <c r="E52" s="62"/>
      <c r="F52" s="178">
        <f t="shared" ref="F52:S52" si="50">F13+F46</f>
        <v>-15781.699016889337</v>
      </c>
      <c r="G52" s="62">
        <f t="shared" si="50"/>
        <v>51100.800000000003</v>
      </c>
      <c r="H52" s="43">
        <f t="shared" si="50"/>
        <v>181.4727</v>
      </c>
      <c r="I52" s="62">
        <f t="shared" si="50"/>
        <v>51282.272700000001</v>
      </c>
      <c r="J52" s="62">
        <f t="shared" si="50"/>
        <v>1933.1765066801111</v>
      </c>
      <c r="K52" s="62">
        <f t="shared" si="50"/>
        <v>53215.439206680108</v>
      </c>
      <c r="L52" s="62">
        <f t="shared" si="50"/>
        <v>-3303.2617168893371</v>
      </c>
      <c r="M52" s="179">
        <f t="shared" si="50"/>
        <v>22174.739999999998</v>
      </c>
      <c r="N52" s="62">
        <f>N13+N46</f>
        <v>30.5</v>
      </c>
      <c r="O52" s="43">
        <f t="shared" si="50"/>
        <v>6759.1335000000008</v>
      </c>
      <c r="P52" s="65"/>
      <c r="Q52" s="43">
        <f t="shared" si="50"/>
        <v>525.86480314236303</v>
      </c>
      <c r="R52" s="43">
        <f t="shared" si="50"/>
        <v>318.15110880000009</v>
      </c>
      <c r="S52" s="43">
        <f t="shared" si="50"/>
        <v>292.41380511999995</v>
      </c>
      <c r="T52" s="43">
        <f t="shared" ref="T52:Y52" si="51">T13+T46</f>
        <v>189.37942192000006</v>
      </c>
      <c r="U52" s="218">
        <f t="shared" si="51"/>
        <v>-46.583886557747249</v>
      </c>
      <c r="V52" s="62">
        <f t="shared" si="51"/>
        <v>14314</v>
      </c>
      <c r="W52" s="62">
        <f t="shared" si="51"/>
        <v>4309.2199999999993</v>
      </c>
      <c r="X52" s="62">
        <f t="shared" si="51"/>
        <v>33117.466206806115</v>
      </c>
      <c r="Y52" s="62">
        <f t="shared" si="51"/>
        <v>32867.395374882202</v>
      </c>
      <c r="Z52" s="62"/>
      <c r="AA52" s="62"/>
      <c r="AB52" s="55"/>
      <c r="AC52" s="62"/>
      <c r="AD52" s="62"/>
      <c r="AE52" s="62"/>
      <c r="AF52" s="179">
        <f>AF13+AF46</f>
        <v>154.70000000000007</v>
      </c>
      <c r="AG52" s="63">
        <f>AG13+AG46</f>
        <v>118.29999999999998</v>
      </c>
      <c r="AH52" s="62">
        <f>AH13+AH46</f>
        <v>10637</v>
      </c>
      <c r="AI52" s="62">
        <f>AI44</f>
        <v>9732.511822044311</v>
      </c>
      <c r="AJ52" s="62">
        <f t="shared" ref="AJ52:AQ52" si="52">AJ13+AJ46</f>
        <v>0</v>
      </c>
      <c r="AK52" s="62">
        <f t="shared" si="52"/>
        <v>63760.7</v>
      </c>
      <c r="AL52" s="62">
        <f t="shared" si="52"/>
        <v>5236.4382235694484</v>
      </c>
      <c r="AM52" s="178">
        <f t="shared" si="52"/>
        <v>68997.138223569447</v>
      </c>
      <c r="AN52" s="62">
        <f t="shared" si="52"/>
        <v>6969.5910587345606</v>
      </c>
      <c r="AO52" s="505"/>
      <c r="AP52" s="505"/>
      <c r="AQ52" s="62">
        <f t="shared" si="52"/>
        <v>250.07083192391997</v>
      </c>
      <c r="AR52" s="74"/>
      <c r="AS52" s="489"/>
      <c r="AT52" s="489"/>
      <c r="AU52" s="489"/>
      <c r="AV52" s="489"/>
      <c r="AW52" s="39"/>
      <c r="AX52" s="62">
        <f>AX13+AX46</f>
        <v>395.42495923073778</v>
      </c>
      <c r="AY52" s="505"/>
      <c r="AZ52" s="180">
        <f>AZ13+AZ46</f>
        <v>147.68799999999999</v>
      </c>
      <c r="BA52" s="43"/>
      <c r="BC52" s="64">
        <f>BC13+BC46</f>
        <v>7.915</v>
      </c>
      <c r="BD52" s="43"/>
      <c r="BE52" s="43"/>
      <c r="BF52" s="377"/>
      <c r="BG52" s="523">
        <f>BG13+BG46</f>
        <v>1316.7852524246159</v>
      </c>
      <c r="BH52" s="47">
        <f>BH13+BH46</f>
        <v>486.15600000000012</v>
      </c>
      <c r="BI52" s="445"/>
      <c r="BJ52" s="605">
        <f>BJ13+BJ46</f>
        <v>5045.202419108532</v>
      </c>
      <c r="BK52" s="178">
        <f>BK13+BK46</f>
        <v>4455.8195433886603</v>
      </c>
      <c r="BN52" s="489"/>
      <c r="BO52" s="489"/>
      <c r="BP52" s="505">
        <f>BP13+BP46</f>
        <v>2239.9972984706974</v>
      </c>
      <c r="BQ52" s="505">
        <f>BQ13+BQ46</f>
        <v>444.00270152930301</v>
      </c>
    </row>
    <row r="53" spans="1:69" ht="12.95" customHeight="1">
      <c r="A53" s="61" t="s">
        <v>40</v>
      </c>
      <c r="B53" s="177"/>
      <c r="C53" s="62"/>
      <c r="D53" s="62">
        <f>D13+D47</f>
        <v>-31303</v>
      </c>
      <c r="E53" s="62">
        <f>E44</f>
        <v>109092</v>
      </c>
      <c r="F53" s="178">
        <f t="shared" ref="F53:O53" si="53">F52*$D$2</f>
        <v>-31303</v>
      </c>
      <c r="G53" s="62">
        <f t="shared" si="53"/>
        <v>101358.43680000001</v>
      </c>
      <c r="H53" s="43">
        <f t="shared" si="53"/>
        <v>359.95110045000001</v>
      </c>
      <c r="I53" s="62">
        <f t="shared" si="53"/>
        <v>101718.38790045</v>
      </c>
      <c r="J53" s="62">
        <f t="shared" si="53"/>
        <v>3834.4556010000006</v>
      </c>
      <c r="K53" s="62">
        <f t="shared" si="53"/>
        <v>105552.82366645</v>
      </c>
      <c r="L53" s="62">
        <f t="shared" si="53"/>
        <v>-6552.0196154499999</v>
      </c>
      <c r="M53" s="179">
        <f t="shared" si="53"/>
        <v>43983.596789999996</v>
      </c>
      <c r="N53" s="62">
        <f t="shared" si="53"/>
        <v>60.496749999999999</v>
      </c>
      <c r="O53" s="43">
        <f t="shared" si="53"/>
        <v>13406.741297250002</v>
      </c>
      <c r="P53" s="65"/>
      <c r="Q53" s="43">
        <f>Q52*$D$2</f>
        <v>1043.0528370328771</v>
      </c>
      <c r="R53" s="43">
        <f>R52*$D$2</f>
        <v>631.05272430480022</v>
      </c>
      <c r="S53" s="43">
        <f>S52*$D$2</f>
        <v>580.00278245551988</v>
      </c>
      <c r="T53" s="43">
        <f>T52*$D$2</f>
        <v>375.6340833783201</v>
      </c>
      <c r="U53" s="218">
        <f>U52*$D$2</f>
        <v>-92.399138987291664</v>
      </c>
      <c r="V53" s="62">
        <f t="shared" ref="V53:AN53" si="54">V52*$D$2</f>
        <v>28391.819</v>
      </c>
      <c r="W53" s="62">
        <f t="shared" si="54"/>
        <v>8547.3378699999994</v>
      </c>
      <c r="X53" s="62">
        <f t="shared" si="54"/>
        <v>65688.49422119993</v>
      </c>
      <c r="Y53" s="62">
        <f t="shared" si="54"/>
        <v>65192.478726078851</v>
      </c>
      <c r="Z53" s="62"/>
      <c r="AA53" s="62"/>
      <c r="AB53" s="55"/>
      <c r="AC53" s="62"/>
      <c r="AD53" s="62"/>
      <c r="AE53" s="62"/>
      <c r="AF53" s="346">
        <f>AF52*$D$2</f>
        <v>306.84745000000015</v>
      </c>
      <c r="AG53" s="345">
        <f>AG52*$D$2</f>
        <v>234.64804999999998</v>
      </c>
      <c r="AH53" s="62">
        <f t="shared" si="54"/>
        <v>21098.4895</v>
      </c>
      <c r="AI53" s="62">
        <f>AI52*$D$2</f>
        <v>19304.437199024891</v>
      </c>
      <c r="AJ53" s="62">
        <f t="shared" si="54"/>
        <v>0</v>
      </c>
      <c r="AK53" s="62">
        <f t="shared" si="54"/>
        <v>126469.34844999999</v>
      </c>
      <c r="AL53" s="62">
        <f t="shared" si="54"/>
        <v>10386.475216450001</v>
      </c>
      <c r="AM53" s="411">
        <f t="shared" si="54"/>
        <v>136855.82366645001</v>
      </c>
      <c r="AN53" s="62">
        <f t="shared" si="54"/>
        <v>13824.183865000001</v>
      </c>
      <c r="AO53" s="505"/>
      <c r="AP53" s="505"/>
      <c r="AQ53" s="62">
        <f>AQ52*$D$2</f>
        <v>496.01549512109528</v>
      </c>
      <c r="AR53" s="74"/>
      <c r="AS53" s="489"/>
      <c r="AT53" s="489"/>
      <c r="AU53" s="489"/>
      <c r="AV53" s="489"/>
      <c r="AW53" s="39">
        <f>AW12+AW47</f>
        <v>686.66211625943652</v>
      </c>
      <c r="AX53" s="62">
        <f>AX52*$D$2</f>
        <v>784.32540663416842</v>
      </c>
      <c r="AY53" s="505"/>
      <c r="AZ53" s="180">
        <f>AZ52*$D$2</f>
        <v>292.93914799999999</v>
      </c>
      <c r="BA53" s="43"/>
      <c r="BC53" s="64"/>
      <c r="BD53" s="43"/>
      <c r="BE53" s="43"/>
      <c r="BF53" s="377"/>
      <c r="BG53" s="527">
        <f>BG52*$D$2</f>
        <v>2611.8435481842257</v>
      </c>
      <c r="BH53" s="528">
        <f>BH52*$D$2</f>
        <v>964.29042600000025</v>
      </c>
      <c r="BI53" s="445"/>
      <c r="BJ53" s="410">
        <f>BJ52*$D$2</f>
        <v>10007.158998301773</v>
      </c>
      <c r="BK53" s="411">
        <f>BK52*$D$2</f>
        <v>8838.1180643114076</v>
      </c>
      <c r="BN53" s="489"/>
      <c r="BO53" s="489"/>
      <c r="BP53" s="505">
        <f>BP52*$D$2</f>
        <v>4443.0346415166287</v>
      </c>
      <c r="BQ53" s="505">
        <f>BQ52*$D$2</f>
        <v>880.67935848337254</v>
      </c>
    </row>
    <row r="54" spans="1:69" ht="3" customHeight="1">
      <c r="A54" s="275"/>
      <c r="B54" s="182"/>
      <c r="C54" s="69"/>
      <c r="D54" s="67"/>
      <c r="E54" s="69"/>
      <c r="F54" s="183"/>
      <c r="G54" s="67"/>
      <c r="H54" s="185"/>
      <c r="I54" s="67"/>
      <c r="J54" s="67"/>
      <c r="K54" s="67"/>
      <c r="L54" s="67"/>
      <c r="M54" s="184"/>
      <c r="N54" s="67"/>
      <c r="O54" s="185"/>
      <c r="P54" s="72"/>
      <c r="Q54" s="185"/>
      <c r="R54" s="185"/>
      <c r="S54" s="67"/>
      <c r="T54" s="67"/>
      <c r="U54" s="249"/>
      <c r="V54" s="67"/>
      <c r="W54" s="67"/>
      <c r="X54" s="67"/>
      <c r="Y54" s="67"/>
      <c r="Z54" s="69"/>
      <c r="AA54" s="67"/>
      <c r="AB54" s="57"/>
      <c r="AC54" s="69"/>
      <c r="AD54" s="69"/>
      <c r="AE54" s="67"/>
      <c r="AF54" s="184"/>
      <c r="AG54" s="68"/>
      <c r="AH54" s="67"/>
      <c r="AI54" s="69"/>
      <c r="AJ54" s="69"/>
      <c r="AK54" s="67"/>
      <c r="AL54" s="67"/>
      <c r="AM54" s="67"/>
      <c r="AN54" s="545"/>
      <c r="AO54" s="506"/>
      <c r="AP54" s="506"/>
      <c r="AQ54" s="71"/>
      <c r="AR54" s="71"/>
      <c r="AS54" s="491"/>
      <c r="AT54" s="491"/>
      <c r="AU54" s="491"/>
      <c r="AV54" s="491"/>
      <c r="AW54" s="40"/>
      <c r="AX54" s="41"/>
      <c r="AY54" s="557"/>
      <c r="AZ54" s="41"/>
      <c r="BA54" s="44"/>
      <c r="BB54" s="41"/>
      <c r="BC54" s="70"/>
      <c r="BD54" s="71"/>
      <c r="BE54" s="71"/>
      <c r="BF54" s="190"/>
      <c r="BG54" s="546"/>
      <c r="BH54" s="72"/>
      <c r="BI54" s="546"/>
      <c r="BJ54" s="275"/>
      <c r="BK54" s="300"/>
      <c r="BM54" s="572"/>
      <c r="BN54" s="572"/>
      <c r="BO54" s="572"/>
      <c r="BP54" s="572"/>
      <c r="BQ54" s="573"/>
    </row>
    <row r="55" spans="1:69" ht="14.1" customHeight="1">
      <c r="A55" s="312"/>
      <c r="B55" s="314"/>
      <c r="D55" s="61"/>
      <c r="I55" s="61"/>
      <c r="J55" s="61"/>
      <c r="K55" s="9"/>
      <c r="L55" s="49"/>
      <c r="M55" s="61"/>
      <c r="N55" s="61"/>
      <c r="Q55" s="529"/>
      <c r="S55" s="61"/>
      <c r="T55" s="61"/>
      <c r="V55" s="61"/>
      <c r="W55" s="61"/>
      <c r="X55" s="61"/>
      <c r="Y55" s="61"/>
      <c r="AA55" s="61"/>
      <c r="AB55" s="49"/>
      <c r="AE55" s="61"/>
      <c r="AF55" s="61"/>
      <c r="AG55" s="61"/>
      <c r="AH55" s="61"/>
      <c r="AI55" s="31"/>
      <c r="AJ55" s="6"/>
      <c r="AK55" s="61"/>
      <c r="AL55" s="61"/>
      <c r="AM55" s="61"/>
      <c r="AN55" s="253"/>
      <c r="AO55" s="508"/>
      <c r="AP55" s="508"/>
      <c r="AQ55" s="253"/>
      <c r="AR55" s="174"/>
      <c r="AS55" s="484"/>
      <c r="AT55" s="484"/>
      <c r="AU55" s="484"/>
      <c r="AV55" s="484"/>
      <c r="AW55" s="220"/>
      <c r="AX55" s="21"/>
      <c r="AY55" s="536"/>
      <c r="BE55" s="290"/>
      <c r="BH55" s="38"/>
      <c r="BI55" s="60"/>
      <c r="BJ55" s="598"/>
      <c r="BK55"/>
      <c r="BP55" s="531"/>
      <c r="BQ55" s="531"/>
    </row>
    <row r="56" spans="1:69" ht="11.1" customHeight="1">
      <c r="A56" s="61"/>
      <c r="B56" s="314"/>
      <c r="E56" s="10"/>
      <c r="F56" s="141"/>
      <c r="I56" s="164"/>
      <c r="J56" s="61"/>
      <c r="K56" s="287"/>
      <c r="L56" s="46"/>
      <c r="M56" s="61"/>
      <c r="N56" s="61"/>
      <c r="S56" s="61"/>
      <c r="T56" s="61"/>
      <c r="W56" s="61"/>
      <c r="Y56" s="62" t="s">
        <v>136</v>
      </c>
      <c r="Z56" s="49">
        <f>Z44*D2</f>
        <v>20653.62228132844</v>
      </c>
      <c r="AB56" s="49"/>
      <c r="AC56" s="49"/>
      <c r="AD56" s="49"/>
      <c r="AH56" s="61"/>
      <c r="AI56" s="31"/>
      <c r="AJ56" s="6"/>
      <c r="AK56" s="61"/>
      <c r="AL56" s="61"/>
      <c r="AM56" s="61"/>
      <c r="AN56" s="253"/>
      <c r="AO56" s="508"/>
      <c r="AP56" s="508"/>
      <c r="AQ56" s="253"/>
      <c r="AR56" s="174"/>
      <c r="AS56" s="484"/>
      <c r="AT56" s="484"/>
      <c r="AU56" s="484"/>
      <c r="AV56" s="484"/>
      <c r="BE56" s="290"/>
      <c r="BN56" s="580"/>
      <c r="BO56" s="580"/>
      <c r="BP56" s="531"/>
      <c r="BQ56" s="531"/>
    </row>
    <row r="57" spans="1:69" ht="11.25" customHeight="1">
      <c r="B57" s="49"/>
      <c r="C57" s="49"/>
      <c r="D57" s="30"/>
      <c r="E57" s="10"/>
      <c r="F57" s="175"/>
      <c r="K57" s="6"/>
      <c r="L57" s="49"/>
      <c r="O57" s="530"/>
      <c r="P57" s="25"/>
      <c r="Q57" s="530"/>
      <c r="R57" s="530"/>
      <c r="W57" s="61"/>
      <c r="Z57" s="49"/>
      <c r="AC57" s="49"/>
      <c r="AD57" s="49"/>
      <c r="AE57" s="49"/>
      <c r="AF57" s="49"/>
      <c r="AG57" s="49"/>
      <c r="AN57" s="173"/>
      <c r="AO57" s="508"/>
      <c r="AP57" s="508"/>
      <c r="AQ57" s="173"/>
      <c r="AR57" s="173"/>
      <c r="BN57" s="538"/>
      <c r="BO57" s="538"/>
      <c r="BP57" s="510"/>
      <c r="BQ57" s="510"/>
    </row>
    <row r="58" spans="1:69" ht="11.1" customHeight="1">
      <c r="B58" s="30"/>
      <c r="C58" s="49"/>
      <c r="D58" s="49"/>
      <c r="E58" s="10"/>
      <c r="H58" s="46"/>
      <c r="K58" s="6"/>
      <c r="L58" s="46"/>
      <c r="O58" s="46"/>
      <c r="P58" s="52"/>
      <c r="Q58" s="46"/>
      <c r="R58" s="46"/>
      <c r="Y58" s="62" t="s">
        <v>137</v>
      </c>
      <c r="Z58" s="78">
        <f>Y50+Z56</f>
        <v>75384.232120455723</v>
      </c>
      <c r="AB58" s="645">
        <f>Z58-AN50</f>
        <v>71762.380255455719</v>
      </c>
      <c r="AC58" s="49" t="s">
        <v>138</v>
      </c>
      <c r="AD58" s="49"/>
      <c r="AE58" s="49"/>
      <c r="AF58" s="49"/>
      <c r="AG58" s="49"/>
      <c r="AJ58" s="175"/>
      <c r="AN58" s="173"/>
      <c r="AO58" s="509"/>
      <c r="AP58" s="509"/>
      <c r="AQ58" s="173"/>
      <c r="AR58" s="173"/>
      <c r="AS58" s="499"/>
      <c r="AT58" s="499"/>
      <c r="AU58" s="499"/>
      <c r="AV58" s="499"/>
      <c r="BP58" s="510"/>
      <c r="BQ58" s="510"/>
    </row>
    <row r="59" spans="1:69" ht="11.1" customHeight="1">
      <c r="B59" s="52"/>
      <c r="C59" s="49"/>
      <c r="D59" s="49"/>
      <c r="E59" s="10"/>
      <c r="F59" s="11"/>
      <c r="G59" s="30"/>
      <c r="K59" s="287"/>
      <c r="Z59" s="31"/>
      <c r="AC59" s="31"/>
      <c r="AD59" s="31"/>
      <c r="AN59" s="173"/>
      <c r="AO59" s="509"/>
      <c r="AP59" s="509"/>
      <c r="AQ59" s="173"/>
      <c r="AR59" s="173"/>
      <c r="AS59" s="500"/>
      <c r="AT59" s="500"/>
      <c r="AU59" s="500"/>
      <c r="AV59" s="500"/>
    </row>
    <row r="60" spans="1:69" ht="11.1" customHeight="1">
      <c r="Z60" s="31"/>
    </row>
    <row r="61" spans="1:69" ht="11.1" customHeight="1">
      <c r="B61" s="313"/>
    </row>
  </sheetData>
  <mergeCells count="2">
    <mergeCell ref="AF5:AG5"/>
    <mergeCell ref="K2:V2"/>
  </mergeCells>
  <phoneticPr fontId="3" type="noConversion"/>
  <printOptions verticalCentered="1" headings="1" gridLines="1" gridLinesSet="0"/>
  <pageMargins left="0.25" right="0.25" top="0.25" bottom="0" header="0.5" footer="0.5"/>
  <pageSetup paperSize="3" scale="89" orientation="landscape" cellComments="atEnd"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BQ60"/>
  <sheetViews>
    <sheetView zoomScaleNormal="100" workbookViewId="0">
      <pane xSplit="1" ySplit="14" topLeftCell="B15" activePane="bottomRight" state="frozen"/>
      <selection pane="topRight" activeCell="B1" sqref="B1"/>
      <selection pane="bottomLeft" activeCell="A15" sqref="A15"/>
      <selection pane="bottomRight" activeCell="A15" sqref="A15:XFD15"/>
    </sheetView>
  </sheetViews>
  <sheetFormatPr defaultColWidth="9.33203125" defaultRowHeight="11.1" customHeight="1"/>
  <cols>
    <col min="1" max="1" width="4.6640625" style="30" customWidth="1"/>
    <col min="2" max="2" width="7" style="30" customWidth="1"/>
    <col min="3" max="3" width="6.33203125" style="49" customWidth="1"/>
    <col min="4" max="4" width="7" style="30" customWidth="1"/>
    <col min="5" max="5" width="7" style="49" customWidth="1"/>
    <col min="6" max="6" width="7.33203125" style="30" customWidth="1"/>
    <col min="7" max="7" width="6.83203125" style="30" customWidth="1"/>
    <col min="8" max="8" width="5.6640625" style="46" customWidth="1"/>
    <col min="9" max="11" width="6.33203125" style="30" customWidth="1"/>
    <col min="12" max="12" width="6.83203125" style="30" customWidth="1"/>
    <col min="13" max="13" width="5.5" style="46" customWidth="1"/>
    <col min="14" max="14" width="5" style="46" bestFit="1" customWidth="1"/>
    <col min="15" max="15" width="5.5" style="46" customWidth="1"/>
    <col min="16" max="16" width="5.1640625" style="52" customWidth="1"/>
    <col min="17" max="18" width="4.33203125" style="46" customWidth="1"/>
    <col min="19" max="20" width="4.33203125" style="30" customWidth="1"/>
    <col min="21" max="21" width="5.1640625" style="52" customWidth="1"/>
    <col min="22" max="23" width="5.5" style="30" customWidth="1"/>
    <col min="24" max="25" width="6.33203125" style="49" customWidth="1"/>
    <col min="26" max="26" width="5.5" style="30" customWidth="1"/>
    <col min="27" max="27" width="6.33203125" style="49" customWidth="1"/>
    <col min="28" max="28" width="5.5" style="30" customWidth="1"/>
    <col min="29" max="29" width="5.83203125" style="30" customWidth="1"/>
    <col min="30" max="31" width="5.83203125" style="498" hidden="1" customWidth="1"/>
    <col min="32" max="32" width="5.5" style="78" customWidth="1"/>
    <col min="33" max="35" width="5.5" style="30" customWidth="1"/>
    <col min="36" max="36" width="6.6640625" style="49" bestFit="1" customWidth="1"/>
    <col min="37" max="37" width="6.1640625" style="30" bestFit="1" customWidth="1"/>
    <col min="38" max="38" width="6.33203125" style="200" customWidth="1"/>
    <col min="39" max="39" width="7" style="30" bestFit="1" customWidth="1"/>
    <col min="40" max="40" width="6.83203125" style="30" customWidth="1"/>
    <col min="41" max="41" width="6.83203125" style="52" customWidth="1"/>
    <col min="42" max="42" width="5.5" style="30" customWidth="1"/>
    <col min="43" max="43" width="5.5" style="498" hidden="1" customWidth="1"/>
    <col min="44" max="44" width="5.5" style="30" customWidth="1"/>
    <col min="45" max="45" width="6.33203125" style="46" customWidth="1"/>
    <col min="46" max="47" width="6.33203125" style="498" hidden="1" customWidth="1"/>
    <col min="48" max="48" width="7.1640625" style="498" hidden="1" customWidth="1"/>
    <col min="49" max="49" width="6.33203125" style="498" hidden="1" customWidth="1"/>
    <col min="50" max="50" width="6.33203125" style="33" customWidth="1"/>
    <col min="51" max="51" width="5.5" style="33" customWidth="1"/>
    <col min="52" max="52" width="6" style="33" customWidth="1"/>
    <col min="53" max="53" width="5.83203125" style="263" customWidth="1"/>
    <col min="54" max="54" width="5.83203125" style="46" customWidth="1"/>
    <col min="55" max="55" width="5.33203125" style="78" customWidth="1"/>
    <col min="56" max="56" width="3.83203125" style="78" customWidth="1"/>
    <col min="57" max="57" width="3.83203125" style="48" customWidth="1"/>
    <col min="58" max="58" width="3.83203125" style="2" customWidth="1"/>
    <col min="59" max="59" width="7" style="2" customWidth="1"/>
    <col min="60" max="61" width="9.33203125" style="30"/>
    <col min="62" max="63" width="10.1640625" style="2" customWidth="1"/>
    <col min="64" max="64" width="9.33203125" style="2"/>
    <col min="65" max="65" width="9.33203125" style="562" hidden="1" customWidth="1"/>
    <col min="66" max="67" width="7" style="498" hidden="1" customWidth="1"/>
    <col min="68" max="69" width="6.33203125" style="508" hidden="1" customWidth="1"/>
    <col min="70" max="16384" width="9.33203125" style="2"/>
  </cols>
  <sheetData>
    <row r="1" spans="1:69" customFormat="1" ht="14.1" customHeight="1">
      <c r="A1" s="61"/>
      <c r="B1" s="61"/>
      <c r="C1" s="31"/>
      <c r="D1" s="61"/>
      <c r="E1" s="31"/>
      <c r="F1" s="61"/>
      <c r="G1" s="61"/>
      <c r="H1" s="23"/>
      <c r="I1" s="61"/>
      <c r="J1" s="61"/>
      <c r="K1" s="291" t="s">
        <v>53</v>
      </c>
      <c r="L1" s="61"/>
      <c r="M1" s="61"/>
      <c r="N1" s="61"/>
      <c r="O1" s="61"/>
      <c r="P1" s="38"/>
      <c r="Q1" s="61"/>
      <c r="R1" s="61"/>
      <c r="S1" s="61"/>
      <c r="T1" s="61"/>
      <c r="U1" s="38"/>
      <c r="V1" s="61"/>
      <c r="W1" s="61"/>
      <c r="X1" s="31"/>
      <c r="Y1" s="31"/>
      <c r="Z1" s="61"/>
      <c r="AA1" s="31"/>
      <c r="AB1" s="61"/>
      <c r="AC1" s="61"/>
      <c r="AD1" s="531"/>
      <c r="AE1" s="531"/>
      <c r="AF1" s="290"/>
      <c r="AG1" s="61"/>
      <c r="AH1" s="61"/>
      <c r="AI1" s="61"/>
      <c r="AJ1" s="31"/>
      <c r="AK1" s="61"/>
      <c r="AL1" s="174"/>
      <c r="AM1" s="61"/>
      <c r="AN1" s="61"/>
      <c r="AO1" s="38"/>
      <c r="AP1" s="174"/>
      <c r="AQ1" s="501"/>
      <c r="AR1" s="174"/>
      <c r="AS1" s="261"/>
      <c r="AT1" s="484"/>
      <c r="AU1" s="484"/>
      <c r="AV1" s="484"/>
      <c r="AW1" s="484"/>
      <c r="AX1" s="33"/>
      <c r="AY1" s="33"/>
      <c r="AZ1" s="227"/>
      <c r="BA1" s="261"/>
      <c r="BB1" s="23"/>
      <c r="BC1" s="289"/>
      <c r="BD1" s="290"/>
      <c r="BE1" s="253"/>
      <c r="BH1" s="60"/>
      <c r="BI1" s="60"/>
      <c r="BJ1" s="2"/>
      <c r="BK1" s="2"/>
      <c r="BM1" s="562"/>
      <c r="BN1" s="563"/>
      <c r="BO1" s="563"/>
      <c r="BP1" s="508"/>
      <c r="BQ1" s="508"/>
    </row>
    <row r="2" spans="1:69" s="657" customFormat="1" ht="14.1" customHeight="1">
      <c r="A2" s="697" t="s">
        <v>0</v>
      </c>
      <c r="B2" s="656"/>
      <c r="C2" s="655"/>
      <c r="D2" s="698">
        <v>1.9835</v>
      </c>
      <c r="E2" s="655"/>
      <c r="F2" s="656"/>
      <c r="G2" s="640"/>
      <c r="H2" s="630"/>
      <c r="I2" s="656"/>
      <c r="J2" s="656"/>
      <c r="K2" s="850" t="s">
        <v>180</v>
      </c>
      <c r="L2" s="850"/>
      <c r="M2" s="850"/>
      <c r="N2" s="850"/>
      <c r="O2" s="850"/>
      <c r="P2" s="850"/>
      <c r="Q2" s="850"/>
      <c r="R2" s="850"/>
      <c r="S2" s="850"/>
      <c r="T2" s="850"/>
      <c r="U2" s="850"/>
      <c r="V2" s="850"/>
      <c r="W2" s="699"/>
      <c r="X2" s="700"/>
      <c r="Y2" s="700"/>
      <c r="Z2" s="699"/>
      <c r="AA2" s="700"/>
      <c r="AB2" s="699"/>
      <c r="AC2" s="699"/>
      <c r="AD2" s="532"/>
      <c r="AE2" s="532"/>
      <c r="AF2" s="701"/>
      <c r="AG2" s="699"/>
      <c r="AH2" s="699"/>
      <c r="AI2" s="699"/>
      <c r="AJ2" s="700"/>
      <c r="AK2" s="656"/>
      <c r="AL2" s="697"/>
      <c r="AM2" s="656"/>
      <c r="AN2" s="656"/>
      <c r="AO2" s="702"/>
      <c r="AP2" s="697"/>
      <c r="AQ2" s="501"/>
      <c r="AR2" s="697"/>
      <c r="AS2" s="703"/>
      <c r="AT2" s="484"/>
      <c r="AU2" s="484"/>
      <c r="AV2" s="484"/>
      <c r="AW2" s="484"/>
      <c r="AX2" s="704"/>
      <c r="AY2" s="704"/>
      <c r="AZ2" s="654"/>
      <c r="BA2" s="703"/>
      <c r="BB2" s="630"/>
      <c r="BC2" s="705"/>
      <c r="BD2" s="706"/>
      <c r="BE2" s="612"/>
      <c r="BH2" s="690"/>
      <c r="BI2" s="690"/>
      <c r="BJ2" s="707"/>
      <c r="BK2" s="707"/>
      <c r="BM2" s="562"/>
      <c r="BN2" s="563"/>
      <c r="BO2" s="563"/>
      <c r="BP2" s="508"/>
      <c r="BQ2" s="508"/>
    </row>
    <row r="3" spans="1:69" s="657" customFormat="1" ht="13.5" customHeight="1" thickBot="1">
      <c r="A3" s="708"/>
      <c r="B3" s="737"/>
      <c r="C3" s="738"/>
      <c r="D3" s="739"/>
      <c r="E3" s="738"/>
      <c r="F3" s="737"/>
      <c r="G3" s="715"/>
      <c r="H3" s="718"/>
      <c r="I3" s="737"/>
      <c r="J3" s="737"/>
      <c r="K3" s="737"/>
      <c r="L3" s="737"/>
      <c r="M3" s="715"/>
      <c r="N3" s="715"/>
      <c r="O3" s="715"/>
      <c r="P3" s="752"/>
      <c r="Q3" s="715"/>
      <c r="R3" s="715"/>
      <c r="S3" s="715"/>
      <c r="T3" s="715"/>
      <c r="U3" s="748"/>
      <c r="V3" s="715"/>
      <c r="W3" s="715"/>
      <c r="X3" s="738"/>
      <c r="Y3" s="738"/>
      <c r="Z3" s="737"/>
      <c r="AA3" s="738"/>
      <c r="AB3" s="737"/>
      <c r="AC3" s="737"/>
      <c r="AD3" s="533"/>
      <c r="AE3" s="533"/>
      <c r="AF3" s="769"/>
      <c r="AG3" s="715"/>
      <c r="AH3" s="737"/>
      <c r="AI3" s="737"/>
      <c r="AJ3" s="712"/>
      <c r="AK3" s="737"/>
      <c r="AL3" s="761"/>
      <c r="AM3" s="737"/>
      <c r="AN3" s="737"/>
      <c r="AO3" s="748"/>
      <c r="AP3" s="761"/>
      <c r="AQ3" s="502"/>
      <c r="AR3" s="761"/>
      <c r="AS3" s="757"/>
      <c r="AT3" s="758"/>
      <c r="AU3" s="758"/>
      <c r="AV3" s="758"/>
      <c r="AW3" s="758"/>
      <c r="AX3" s="796"/>
      <c r="AY3" s="796"/>
      <c r="AZ3" s="793"/>
      <c r="BA3" s="729"/>
      <c r="BB3" s="764"/>
      <c r="BC3" s="776"/>
      <c r="BD3" s="769"/>
      <c r="BE3" s="777"/>
      <c r="BF3" s="766"/>
      <c r="BG3" s="766"/>
      <c r="BH3" s="734"/>
      <c r="BI3" s="725"/>
      <c r="BJ3" s="789"/>
      <c r="BK3" s="789"/>
      <c r="BM3" s="562"/>
      <c r="BN3" s="564"/>
      <c r="BO3" s="564"/>
      <c r="BP3" s="565"/>
      <c r="BQ3" s="565"/>
    </row>
    <row r="4" spans="1:69" s="60" customFormat="1" ht="14.1" customHeight="1" thickTop="1" thickBot="1">
      <c r="A4" s="61"/>
      <c r="B4" s="458"/>
      <c r="C4" s="459"/>
      <c r="D4" s="459" t="s">
        <v>47</v>
      </c>
      <c r="E4" s="459"/>
      <c r="F4" s="460"/>
      <c r="H4" s="427"/>
      <c r="I4" s="427" t="s">
        <v>126</v>
      </c>
      <c r="J4" s="427"/>
      <c r="K4" s="427"/>
      <c r="L4" s="461"/>
      <c r="N4" s="427"/>
      <c r="O4" s="427"/>
      <c r="P4" s="427"/>
      <c r="Q4" s="427"/>
      <c r="R4" s="427"/>
      <c r="S4" s="427"/>
      <c r="T4" s="427"/>
      <c r="U4" s="427"/>
      <c r="V4" s="427"/>
      <c r="W4" s="427"/>
      <c r="X4" s="427"/>
      <c r="Y4" s="427"/>
      <c r="Z4" s="427"/>
      <c r="AA4" s="427" t="s">
        <v>122</v>
      </c>
      <c r="AB4" s="427"/>
      <c r="AC4" s="427"/>
      <c r="AD4" s="534"/>
      <c r="AE4" s="534"/>
      <c r="AF4" s="427"/>
      <c r="AG4" s="427"/>
      <c r="AH4" s="427"/>
      <c r="AI4" s="427"/>
      <c r="AJ4" s="427"/>
      <c r="AK4" s="427"/>
      <c r="AL4" s="427"/>
      <c r="AM4" s="427"/>
      <c r="AN4" s="427"/>
      <c r="AO4" s="462"/>
      <c r="AP4" s="463"/>
      <c r="AQ4" s="539"/>
      <c r="AR4" s="464"/>
      <c r="AS4" s="464"/>
      <c r="AT4" s="486"/>
      <c r="AU4" s="486"/>
      <c r="AV4" s="486"/>
      <c r="AW4" s="486"/>
      <c r="AX4" s="464" t="s">
        <v>55</v>
      </c>
      <c r="AY4" s="464"/>
      <c r="AZ4" s="464"/>
      <c r="BA4" s="464"/>
      <c r="BB4" s="465"/>
      <c r="BC4" s="466"/>
      <c r="BD4" s="467" t="s">
        <v>48</v>
      </c>
      <c r="BE4" s="467"/>
      <c r="BF4" s="468"/>
      <c r="BG4" s="371"/>
      <c r="BH4" s="52"/>
      <c r="BI4" s="396"/>
      <c r="BJ4" s="601"/>
      <c r="BK4" s="381"/>
      <c r="BM4" s="566"/>
      <c r="BN4" s="566"/>
      <c r="BO4" s="566"/>
      <c r="BP4" s="567"/>
      <c r="BQ4" s="567"/>
    </row>
    <row r="5" spans="1:69" ht="12.95" customHeight="1">
      <c r="A5" s="7" t="s">
        <v>1</v>
      </c>
      <c r="B5" s="194" t="s">
        <v>2</v>
      </c>
      <c r="C5" s="4" t="s">
        <v>2</v>
      </c>
      <c r="D5" s="7" t="s">
        <v>3</v>
      </c>
      <c r="E5" s="4" t="s">
        <v>4</v>
      </c>
      <c r="F5" s="7" t="s">
        <v>5</v>
      </c>
      <c r="G5" s="620" t="s">
        <v>6</v>
      </c>
      <c r="H5" s="21" t="s">
        <v>7</v>
      </c>
      <c r="I5" s="7" t="s">
        <v>63</v>
      </c>
      <c r="J5" s="7" t="s">
        <v>8</v>
      </c>
      <c r="K5" s="7" t="s">
        <v>9</v>
      </c>
      <c r="L5" s="7" t="s">
        <v>8</v>
      </c>
      <c r="M5" s="429" t="s">
        <v>10</v>
      </c>
      <c r="N5" s="233"/>
      <c r="O5" s="195"/>
      <c r="P5" s="233"/>
      <c r="Q5" s="195"/>
      <c r="R5" s="195"/>
      <c r="S5" s="195"/>
      <c r="T5" s="195"/>
      <c r="U5" s="250"/>
      <c r="V5" s="7" t="s">
        <v>11</v>
      </c>
      <c r="W5" s="7" t="s">
        <v>12</v>
      </c>
      <c r="X5" s="8" t="s">
        <v>9</v>
      </c>
      <c r="Y5" s="8" t="s">
        <v>9</v>
      </c>
      <c r="Z5" s="12" t="s">
        <v>13</v>
      </c>
      <c r="AA5" s="8" t="s">
        <v>13</v>
      </c>
      <c r="AB5" s="12" t="s">
        <v>13</v>
      </c>
      <c r="AC5" s="4" t="s">
        <v>82</v>
      </c>
      <c r="AD5" s="535" t="s">
        <v>76</v>
      </c>
      <c r="AE5" s="535" t="s">
        <v>76</v>
      </c>
      <c r="AF5" s="15" t="s">
        <v>13</v>
      </c>
      <c r="AG5" s="7" t="s">
        <v>14</v>
      </c>
      <c r="AH5" s="216" t="s">
        <v>132</v>
      </c>
      <c r="AI5" s="214"/>
      <c r="AJ5" s="15" t="s">
        <v>15</v>
      </c>
      <c r="AK5" s="4" t="s">
        <v>74</v>
      </c>
      <c r="AL5" s="4" t="s">
        <v>88</v>
      </c>
      <c r="AM5" s="7" t="s">
        <v>63</v>
      </c>
      <c r="AN5" s="7" t="s">
        <v>8</v>
      </c>
      <c r="AO5" s="7" t="s">
        <v>9</v>
      </c>
      <c r="AP5" s="358" t="s">
        <v>52</v>
      </c>
      <c r="AQ5" s="488" t="s">
        <v>159</v>
      </c>
      <c r="AR5" s="12" t="s">
        <v>13</v>
      </c>
      <c r="AS5" s="36" t="s">
        <v>49</v>
      </c>
      <c r="AT5" s="487" t="s">
        <v>146</v>
      </c>
      <c r="AU5" s="487" t="s">
        <v>148</v>
      </c>
      <c r="AV5" s="487" t="s">
        <v>148</v>
      </c>
      <c r="AW5" s="487" t="s">
        <v>148</v>
      </c>
      <c r="AX5" s="36" t="s">
        <v>49</v>
      </c>
      <c r="AY5" s="14" t="s">
        <v>96</v>
      </c>
      <c r="AZ5" s="613" t="s">
        <v>56</v>
      </c>
      <c r="BA5" s="21" t="s">
        <v>79</v>
      </c>
      <c r="BB5" s="37" t="s">
        <v>134</v>
      </c>
      <c r="BC5" s="139" t="s">
        <v>16</v>
      </c>
      <c r="BD5" s="15" t="s">
        <v>17</v>
      </c>
      <c r="BE5" s="15" t="s">
        <v>18</v>
      </c>
      <c r="BF5" s="378"/>
      <c r="BG5" s="389" t="s">
        <v>9</v>
      </c>
      <c r="BH5" s="622" t="s">
        <v>128</v>
      </c>
      <c r="BI5" s="444" t="s">
        <v>128</v>
      </c>
      <c r="BJ5" s="602" t="s">
        <v>174</v>
      </c>
      <c r="BK5" s="599" t="s">
        <v>167</v>
      </c>
      <c r="BN5" s="568" t="s">
        <v>2</v>
      </c>
      <c r="BO5" s="568"/>
      <c r="BP5" s="569" t="s">
        <v>15</v>
      </c>
      <c r="BQ5" s="569" t="s">
        <v>15</v>
      </c>
    </row>
    <row r="6" spans="1:69" ht="12.95" customHeight="1">
      <c r="A6" s="196" t="s">
        <v>101</v>
      </c>
      <c r="B6" s="194" t="s">
        <v>19</v>
      </c>
      <c r="C6" s="4"/>
      <c r="D6" s="7" t="s">
        <v>20</v>
      </c>
      <c r="E6" s="4" t="s">
        <v>21</v>
      </c>
      <c r="F6" s="7" t="s">
        <v>22</v>
      </c>
      <c r="G6" s="194" t="s">
        <v>23</v>
      </c>
      <c r="H6" s="21" t="s">
        <v>64</v>
      </c>
      <c r="I6" s="7" t="s">
        <v>24</v>
      </c>
      <c r="J6" s="7" t="s">
        <v>24</v>
      </c>
      <c r="K6" s="7" t="s">
        <v>24</v>
      </c>
      <c r="L6" s="7" t="s">
        <v>25</v>
      </c>
      <c r="M6" s="197" t="s">
        <v>26</v>
      </c>
      <c r="N6" s="220" t="s">
        <v>65</v>
      </c>
      <c r="O6" s="7" t="s">
        <v>67</v>
      </c>
      <c r="P6" s="220" t="s">
        <v>190</v>
      </c>
      <c r="Q6" s="8" t="s">
        <v>57</v>
      </c>
      <c r="R6" s="8" t="s">
        <v>118</v>
      </c>
      <c r="S6" s="8"/>
      <c r="T6" s="8" t="s">
        <v>67</v>
      </c>
      <c r="U6" s="32" t="s">
        <v>87</v>
      </c>
      <c r="V6" s="7" t="s">
        <v>27</v>
      </c>
      <c r="W6" s="7" t="s">
        <v>42</v>
      </c>
      <c r="X6" s="8" t="s">
        <v>13</v>
      </c>
      <c r="Y6" s="8" t="s">
        <v>13</v>
      </c>
      <c r="Z6" s="12" t="s">
        <v>28</v>
      </c>
      <c r="AA6" s="8" t="s">
        <v>28</v>
      </c>
      <c r="AB6" s="12" t="s">
        <v>92</v>
      </c>
      <c r="AC6" s="4" t="s">
        <v>83</v>
      </c>
      <c r="AD6" s="535" t="s">
        <v>160</v>
      </c>
      <c r="AE6" s="535" t="s">
        <v>160</v>
      </c>
      <c r="AF6" s="15" t="s">
        <v>86</v>
      </c>
      <c r="AG6" s="7" t="s">
        <v>29</v>
      </c>
      <c r="AH6" s="171" t="s">
        <v>76</v>
      </c>
      <c r="AI6" s="294" t="s">
        <v>58</v>
      </c>
      <c r="AJ6" s="15" t="s">
        <v>69</v>
      </c>
      <c r="AK6" s="4" t="s">
        <v>62</v>
      </c>
      <c r="AL6" s="4"/>
      <c r="AM6" s="7" t="s">
        <v>70</v>
      </c>
      <c r="AN6" s="7" t="s">
        <v>70</v>
      </c>
      <c r="AO6" s="7" t="s">
        <v>70</v>
      </c>
      <c r="AP6" s="358" t="s">
        <v>110</v>
      </c>
      <c r="AQ6" s="488" t="s">
        <v>162</v>
      </c>
      <c r="AR6" s="12" t="s">
        <v>71</v>
      </c>
      <c r="AS6" s="36" t="s">
        <v>51</v>
      </c>
      <c r="AT6" s="487" t="s">
        <v>72</v>
      </c>
      <c r="AU6" s="487" t="s">
        <v>72</v>
      </c>
      <c r="AV6" s="487" t="s">
        <v>150</v>
      </c>
      <c r="AW6" s="487" t="s">
        <v>72</v>
      </c>
      <c r="AX6" s="36" t="s">
        <v>51</v>
      </c>
      <c r="AY6" s="14" t="s">
        <v>94</v>
      </c>
      <c r="AZ6" s="35" t="s">
        <v>54</v>
      </c>
      <c r="BA6" s="21" t="s">
        <v>80</v>
      </c>
      <c r="BB6" s="37" t="s">
        <v>133</v>
      </c>
      <c r="BC6" s="140"/>
      <c r="BD6" s="15" t="s">
        <v>30</v>
      </c>
      <c r="BE6" s="15" t="s">
        <v>30</v>
      </c>
      <c r="BF6" s="378"/>
      <c r="BG6" s="389" t="s">
        <v>99</v>
      </c>
      <c r="BH6" s="220" t="s">
        <v>130</v>
      </c>
      <c r="BI6" s="444" t="s">
        <v>129</v>
      </c>
      <c r="BJ6" s="606" t="s">
        <v>175</v>
      </c>
      <c r="BK6" s="599" t="s">
        <v>168</v>
      </c>
      <c r="BN6" s="568" t="s">
        <v>19</v>
      </c>
      <c r="BO6" s="568"/>
      <c r="BP6" s="569" t="s">
        <v>69</v>
      </c>
      <c r="BQ6" s="569" t="s">
        <v>69</v>
      </c>
    </row>
    <row r="7" spans="1:69" ht="12.95" customHeight="1">
      <c r="A7" s="7"/>
      <c r="B7" s="194"/>
      <c r="C7" s="4"/>
      <c r="D7" s="7"/>
      <c r="E7" s="4"/>
      <c r="F7" s="7"/>
      <c r="G7" s="194"/>
      <c r="H7" s="21"/>
      <c r="I7" s="7"/>
      <c r="J7" s="7"/>
      <c r="K7" s="7"/>
      <c r="L7" s="7"/>
      <c r="M7" s="197"/>
      <c r="N7" s="220" t="s">
        <v>66</v>
      </c>
      <c r="O7" s="7" t="s">
        <v>68</v>
      </c>
      <c r="P7" s="220"/>
      <c r="Q7" s="8" t="s">
        <v>119</v>
      </c>
      <c r="R7" s="8" t="s">
        <v>119</v>
      </c>
      <c r="S7" s="8" t="s">
        <v>58</v>
      </c>
      <c r="T7" s="8" t="s">
        <v>58</v>
      </c>
      <c r="U7" s="32" t="s">
        <v>120</v>
      </c>
      <c r="V7" s="7"/>
      <c r="W7" s="7"/>
      <c r="X7" s="13" t="s">
        <v>108</v>
      </c>
      <c r="Y7" s="13" t="s">
        <v>90</v>
      </c>
      <c r="Z7" s="12" t="s">
        <v>115</v>
      </c>
      <c r="AA7" s="8" t="s">
        <v>111</v>
      </c>
      <c r="AB7" s="12" t="s">
        <v>93</v>
      </c>
      <c r="AC7" s="4"/>
      <c r="AD7" s="535" t="s">
        <v>161</v>
      </c>
      <c r="AE7" s="535" t="s">
        <v>161</v>
      </c>
      <c r="AG7" s="7"/>
      <c r="AH7" s="430">
        <v>1.7</v>
      </c>
      <c r="AI7" s="431">
        <v>1.3</v>
      </c>
      <c r="AJ7" s="15"/>
      <c r="AK7" s="609">
        <v>27779.932699024892</v>
      </c>
      <c r="AL7" s="4"/>
      <c r="AM7" s="7"/>
      <c r="AN7" s="7"/>
      <c r="AO7" s="7"/>
      <c r="AP7" s="358"/>
      <c r="AQ7" s="488" t="s">
        <v>110</v>
      </c>
      <c r="AR7" s="12" t="s">
        <v>22</v>
      </c>
      <c r="AS7" s="36" t="s">
        <v>45</v>
      </c>
      <c r="AT7" s="487"/>
      <c r="AU7" s="487"/>
      <c r="AV7" s="487" t="s">
        <v>151</v>
      </c>
      <c r="AW7" s="487" t="s">
        <v>149</v>
      </c>
      <c r="AX7" s="36" t="s">
        <v>72</v>
      </c>
      <c r="AY7" s="14" t="s">
        <v>95</v>
      </c>
      <c r="AZ7" s="35" t="s">
        <v>59</v>
      </c>
      <c r="BA7" s="21" t="s">
        <v>81</v>
      </c>
      <c r="BB7" s="37" t="s">
        <v>108</v>
      </c>
      <c r="BC7" s="140"/>
      <c r="BD7" s="15"/>
      <c r="BE7" s="15"/>
      <c r="BF7" s="378"/>
      <c r="BG7" s="389" t="s">
        <v>97</v>
      </c>
      <c r="BH7" s="52"/>
      <c r="BI7" s="407"/>
      <c r="BJ7" s="602" t="s">
        <v>176</v>
      </c>
      <c r="BK7" s="599" t="s">
        <v>172</v>
      </c>
      <c r="BN7" s="568" t="s">
        <v>142</v>
      </c>
      <c r="BO7" s="568"/>
      <c r="BP7" s="570" t="s">
        <v>153</v>
      </c>
      <c r="BQ7" s="570" t="s">
        <v>154</v>
      </c>
    </row>
    <row r="8" spans="1:69" ht="12.95" customHeight="1">
      <c r="A8" s="7"/>
      <c r="B8" s="194"/>
      <c r="C8" s="4"/>
      <c r="D8" s="7"/>
      <c r="E8" s="4"/>
      <c r="F8" s="7"/>
      <c r="G8" s="194"/>
      <c r="H8" s="21"/>
      <c r="I8" s="7"/>
      <c r="J8" s="7"/>
      <c r="K8" s="7"/>
      <c r="L8" s="7"/>
      <c r="M8" s="197"/>
      <c r="N8" s="8"/>
      <c r="O8" s="693">
        <v>24213.923416778209</v>
      </c>
      <c r="P8" s="220"/>
      <c r="Q8" s="8" t="s">
        <v>58</v>
      </c>
      <c r="R8" s="8" t="s">
        <v>58</v>
      </c>
      <c r="S8" s="8"/>
      <c r="T8" s="8"/>
      <c r="U8" s="32"/>
      <c r="V8" s="7"/>
      <c r="W8" s="7"/>
      <c r="X8" s="13" t="s">
        <v>109</v>
      </c>
      <c r="Y8" s="13" t="s">
        <v>108</v>
      </c>
      <c r="Z8" s="12"/>
      <c r="AA8" s="13" t="s">
        <v>114</v>
      </c>
      <c r="AB8" s="12" t="s">
        <v>113</v>
      </c>
      <c r="AC8" s="4"/>
      <c r="AD8" s="535" t="s">
        <v>9</v>
      </c>
      <c r="AE8" s="535" t="s">
        <v>109</v>
      </c>
      <c r="AF8" s="693">
        <v>17365.480657043157</v>
      </c>
      <c r="AG8" s="693">
        <v>55878.018085105388</v>
      </c>
      <c r="AH8" s="282"/>
      <c r="AI8" s="283"/>
      <c r="AJ8" s="15"/>
      <c r="AK8" s="62">
        <f>AK7/D2</f>
        <v>14005.511822044311</v>
      </c>
      <c r="AL8" s="4"/>
      <c r="AM8" s="7"/>
      <c r="AN8" s="7"/>
      <c r="AO8" s="7"/>
      <c r="AP8" s="358"/>
      <c r="AQ8" s="488">
        <v>1635</v>
      </c>
      <c r="AR8" s="12"/>
      <c r="AS8" s="36"/>
      <c r="AT8" s="487"/>
      <c r="AU8" s="487"/>
      <c r="AV8" s="487"/>
      <c r="AW8" s="487"/>
      <c r="AX8" s="36"/>
      <c r="AY8" s="612">
        <v>5191.6441856943857</v>
      </c>
      <c r="AZ8" s="694">
        <v>1685.1</v>
      </c>
      <c r="BA8" s="710">
        <f>692.219224759251/2</f>
        <v>346.1096123796255</v>
      </c>
      <c r="BB8" s="37"/>
      <c r="BC8" s="140"/>
      <c r="BD8" s="15"/>
      <c r="BE8" s="15"/>
      <c r="BF8" s="378"/>
      <c r="BG8" s="389"/>
      <c r="BH8" s="52"/>
      <c r="BI8" s="407"/>
      <c r="BJ8" s="603" t="s">
        <v>168</v>
      </c>
      <c r="BK8" s="600" t="s">
        <v>173</v>
      </c>
      <c r="BN8" s="568"/>
      <c r="BO8" s="568"/>
      <c r="BP8" s="570" t="s">
        <v>155</v>
      </c>
      <c r="BQ8" s="570" t="s">
        <v>153</v>
      </c>
    </row>
    <row r="9" spans="1:69" ht="12.95" customHeight="1">
      <c r="A9" s="7"/>
      <c r="B9" s="194"/>
      <c r="C9" s="4"/>
      <c r="D9" s="7"/>
      <c r="E9" s="4"/>
      <c r="F9" s="7"/>
      <c r="G9" s="194"/>
      <c r="H9" s="21"/>
      <c r="I9" s="7"/>
      <c r="J9" s="7"/>
      <c r="K9" s="7"/>
      <c r="L9" s="7"/>
      <c r="M9" s="197"/>
      <c r="N9" s="220"/>
      <c r="O9" s="7"/>
      <c r="P9" s="220"/>
      <c r="Q9" s="8"/>
      <c r="R9" s="413">
        <v>4.2</v>
      </c>
      <c r="S9" s="8"/>
      <c r="T9" s="8"/>
      <c r="U9" s="32"/>
      <c r="V9" s="7"/>
      <c r="W9" s="7"/>
      <c r="X9" s="13"/>
      <c r="Y9" s="13" t="s">
        <v>109</v>
      </c>
      <c r="Z9" s="12"/>
      <c r="AA9" s="554" t="s">
        <v>109</v>
      </c>
      <c r="AB9" s="12" t="s">
        <v>112</v>
      </c>
      <c r="AC9" s="4"/>
      <c r="AD9" s="535"/>
      <c r="AE9" s="535"/>
      <c r="AF9" s="15"/>
      <c r="AG9" s="7"/>
      <c r="AH9" s="282"/>
      <c r="AI9" s="283"/>
      <c r="AJ9" s="15"/>
      <c r="AL9" s="4"/>
      <c r="AM9" s="7"/>
      <c r="AN9" s="7"/>
      <c r="AO9" s="7"/>
      <c r="AP9" s="358"/>
      <c r="AQ9" s="488">
        <f>AQ8/$D$2</f>
        <v>824.30047895134862</v>
      </c>
      <c r="AR9" s="12"/>
      <c r="AS9" s="36"/>
      <c r="AT9" s="487"/>
      <c r="AU9" s="487"/>
      <c r="AV9" s="487"/>
      <c r="AW9" s="487"/>
      <c r="AX9" s="36"/>
      <c r="AY9" s="612">
        <f>AY8/$D$2</f>
        <v>2617.4157729742301</v>
      </c>
      <c r="AZ9" s="35"/>
      <c r="BA9" s="614">
        <f>BA8/$D$2</f>
        <v>174.49438486494859</v>
      </c>
      <c r="BB9" s="37"/>
      <c r="BC9" s="140"/>
      <c r="BD9" s="15"/>
      <c r="BE9" s="15"/>
      <c r="BF9" s="378"/>
      <c r="BG9" s="389"/>
      <c r="BH9" s="52"/>
      <c r="BI9" s="452" t="s">
        <v>141</v>
      </c>
      <c r="BJ9" s="603"/>
      <c r="BK9" s="600"/>
      <c r="BN9" s="568"/>
      <c r="BO9" s="568"/>
      <c r="BP9" s="570" t="s">
        <v>156</v>
      </c>
      <c r="BQ9" s="570"/>
    </row>
    <row r="10" spans="1:69" ht="12.95" customHeight="1">
      <c r="A10" s="7"/>
      <c r="B10" s="194"/>
      <c r="C10" s="4" t="s">
        <v>3</v>
      </c>
      <c r="D10" s="7"/>
      <c r="E10" s="4" t="s">
        <v>50</v>
      </c>
      <c r="F10" s="7"/>
      <c r="G10" s="194" t="s">
        <v>22</v>
      </c>
      <c r="H10" s="21" t="s">
        <v>22</v>
      </c>
      <c r="I10" s="21" t="s">
        <v>22</v>
      </c>
      <c r="J10" s="21" t="s">
        <v>22</v>
      </c>
      <c r="K10" s="21" t="s">
        <v>22</v>
      </c>
      <c r="L10" s="21" t="s">
        <v>22</v>
      </c>
      <c r="M10" s="366" t="s">
        <v>22</v>
      </c>
      <c r="N10" s="21" t="s">
        <v>22</v>
      </c>
      <c r="O10" s="21" t="s">
        <v>22</v>
      </c>
      <c r="P10" s="21" t="s">
        <v>22</v>
      </c>
      <c r="Q10" s="8" t="s">
        <v>22</v>
      </c>
      <c r="R10" s="8" t="s">
        <v>22</v>
      </c>
      <c r="S10" s="8" t="s">
        <v>22</v>
      </c>
      <c r="T10" s="8" t="s">
        <v>22</v>
      </c>
      <c r="U10" s="367" t="s">
        <v>22</v>
      </c>
      <c r="V10" s="21" t="s">
        <v>22</v>
      </c>
      <c r="W10" s="21" t="s">
        <v>22</v>
      </c>
      <c r="X10" s="13">
        <v>153400</v>
      </c>
      <c r="Y10" s="13">
        <v>150400</v>
      </c>
      <c r="Z10" s="8" t="s">
        <v>22</v>
      </c>
      <c r="AA10" s="13"/>
      <c r="AB10" s="13">
        <v>72000</v>
      </c>
      <c r="AC10" s="21" t="s">
        <v>22</v>
      </c>
      <c r="AD10" s="536" t="s">
        <v>22</v>
      </c>
      <c r="AE10" s="536" t="s">
        <v>22</v>
      </c>
      <c r="AF10" s="15" t="s">
        <v>22</v>
      </c>
      <c r="AG10" s="21" t="s">
        <v>22</v>
      </c>
      <c r="AH10" s="366" t="s">
        <v>22</v>
      </c>
      <c r="AI10" s="367" t="s">
        <v>22</v>
      </c>
      <c r="AJ10" s="21" t="s">
        <v>22</v>
      </c>
      <c r="AK10" s="21" t="s">
        <v>22</v>
      </c>
      <c r="AL10" s="21" t="s">
        <v>22</v>
      </c>
      <c r="AM10" s="21" t="s">
        <v>22</v>
      </c>
      <c r="AN10" s="21" t="s">
        <v>22</v>
      </c>
      <c r="AO10" s="21" t="s">
        <v>22</v>
      </c>
      <c r="AP10" s="358" t="s">
        <v>22</v>
      </c>
      <c r="AQ10" s="488" t="s">
        <v>22</v>
      </c>
      <c r="AR10" s="12" t="s">
        <v>22</v>
      </c>
      <c r="AS10" s="12" t="s">
        <v>22</v>
      </c>
      <c r="AT10" s="488" t="s">
        <v>147</v>
      </c>
      <c r="AU10" s="488" t="s">
        <v>147</v>
      </c>
      <c r="AV10" s="488" t="s">
        <v>152</v>
      </c>
      <c r="AW10" s="487" t="s">
        <v>73</v>
      </c>
      <c r="AX10" s="36" t="s">
        <v>73</v>
      </c>
      <c r="AY10" s="14" t="s">
        <v>22</v>
      </c>
      <c r="AZ10" s="12" t="s">
        <v>22</v>
      </c>
      <c r="BA10" s="14" t="s">
        <v>22</v>
      </c>
      <c r="BB10" s="12" t="s">
        <v>22</v>
      </c>
      <c r="BC10" s="140"/>
      <c r="BD10" s="15"/>
      <c r="BE10" s="15"/>
      <c r="BF10" s="378"/>
      <c r="BG10" s="389" t="s">
        <v>98</v>
      </c>
      <c r="BH10" s="220" t="s">
        <v>22</v>
      </c>
      <c r="BI10" s="444" t="s">
        <v>50</v>
      </c>
      <c r="BJ10" s="603" t="s">
        <v>22</v>
      </c>
      <c r="BK10" s="600" t="s">
        <v>22</v>
      </c>
      <c r="BN10" s="568"/>
      <c r="BO10" s="568"/>
      <c r="BP10" s="570" t="s">
        <v>22</v>
      </c>
      <c r="BQ10" s="570" t="s">
        <v>22</v>
      </c>
    </row>
    <row r="11" spans="1:69" ht="12.95" customHeight="1">
      <c r="A11" s="416"/>
      <c r="B11" s="7"/>
      <c r="C11" s="4"/>
      <c r="D11" s="7"/>
      <c r="E11" s="4"/>
      <c r="F11" s="416"/>
      <c r="G11" s="7"/>
      <c r="H11" s="21"/>
      <c r="I11" s="7"/>
      <c r="J11" s="7"/>
      <c r="K11" s="7"/>
      <c r="L11" s="281"/>
      <c r="M11" s="7"/>
      <c r="N11" s="220">
        <v>1.03</v>
      </c>
      <c r="O11" s="219">
        <v>1.05</v>
      </c>
      <c r="P11" s="220">
        <v>1.02</v>
      </c>
      <c r="Q11" s="322">
        <v>1.02</v>
      </c>
      <c r="R11" s="65">
        <v>1.04</v>
      </c>
      <c r="S11" s="8"/>
      <c r="T11" s="322">
        <v>1.04</v>
      </c>
      <c r="U11" s="32"/>
      <c r="V11" s="7"/>
      <c r="W11" s="7"/>
      <c r="X11" s="8" t="s">
        <v>22</v>
      </c>
      <c r="Y11" s="8" t="s">
        <v>22</v>
      </c>
      <c r="Z11" s="8" t="s">
        <v>22</v>
      </c>
      <c r="AA11" s="13" t="s">
        <v>22</v>
      </c>
      <c r="AB11" s="26" t="s">
        <v>89</v>
      </c>
      <c r="AC11" s="4"/>
      <c r="AD11" s="535"/>
      <c r="AE11" s="535"/>
      <c r="AF11" s="45"/>
      <c r="AG11" s="7"/>
      <c r="AH11" s="282"/>
      <c r="AI11" s="283"/>
      <c r="AJ11" s="15"/>
      <c r="AK11" s="4"/>
      <c r="AL11" s="4"/>
      <c r="AM11" s="7"/>
      <c r="AN11" s="7"/>
      <c r="AO11" s="7"/>
      <c r="AP11" s="358"/>
      <c r="AQ11" s="488"/>
      <c r="AR11" s="12"/>
      <c r="AS11" s="36"/>
      <c r="AT11" s="487"/>
      <c r="AU11" s="487"/>
      <c r="AV11" s="487"/>
      <c r="AW11" s="487"/>
      <c r="AX11" s="36"/>
      <c r="AY11" s="14"/>
      <c r="AZ11" s="173"/>
      <c r="BB11" s="432"/>
      <c r="BC11" s="274"/>
      <c r="BD11" s="15"/>
      <c r="BE11" s="15"/>
      <c r="BF11" s="378"/>
      <c r="BG11" s="389" t="s">
        <v>22</v>
      </c>
      <c r="BH11" s="52"/>
      <c r="BI11" s="407"/>
      <c r="BJ11" s="603"/>
      <c r="BK11" s="600"/>
      <c r="BN11" s="568"/>
      <c r="BO11" s="568"/>
      <c r="BP11" s="570"/>
      <c r="BQ11" s="570"/>
    </row>
    <row r="12" spans="1:69" s="3" customFormat="1" ht="12.95" customHeight="1">
      <c r="A12" s="433" t="s">
        <v>31</v>
      </c>
      <c r="B12" s="47"/>
      <c r="C12" s="55"/>
      <c r="D12" s="55"/>
      <c r="E12" s="55"/>
      <c r="F12" s="99">
        <f>JUN!F49</f>
        <v>-9763.0451222586344</v>
      </c>
      <c r="G12" s="55">
        <f>JUN!G49</f>
        <v>44491</v>
      </c>
      <c r="H12" s="55">
        <f>JUN!H49</f>
        <v>133.2227</v>
      </c>
      <c r="I12" s="55">
        <f>JUN!I49</f>
        <v>44624.222699999998</v>
      </c>
      <c r="J12" s="55">
        <f>JUN!J49</f>
        <v>59.332374590370591</v>
      </c>
      <c r="K12" s="55">
        <f>JUN!K49</f>
        <v>44683.545074590365</v>
      </c>
      <c r="L12" s="101">
        <f>JUN!L49</f>
        <v>-2996.5978222586336</v>
      </c>
      <c r="M12" s="55">
        <f>JUN!M49</f>
        <v>21394.2</v>
      </c>
      <c r="N12" s="55">
        <f>JUN!N49</f>
        <v>30.5</v>
      </c>
      <c r="O12" s="55">
        <f>JUN!O49</f>
        <v>6759.1335000000008</v>
      </c>
      <c r="P12" s="144">
        <f>JUN!P49</f>
        <v>7.0600000000000005</v>
      </c>
      <c r="Q12" s="55"/>
      <c r="R12" s="55"/>
      <c r="S12" s="55"/>
      <c r="T12" s="55"/>
      <c r="U12" s="126"/>
      <c r="V12" s="55">
        <f>JUN!V49</f>
        <v>9122</v>
      </c>
      <c r="W12" s="55">
        <f>JUN!W49</f>
        <v>4275.7199999999993</v>
      </c>
      <c r="X12" s="55">
        <f>JUN!X49</f>
        <v>27694.90214899362</v>
      </c>
      <c r="Y12" s="55">
        <f>JUN!Y49</f>
        <v>27592.946730086856</v>
      </c>
      <c r="Z12" s="55">
        <f>JUN!Z44</f>
        <v>10412.716048060722</v>
      </c>
      <c r="AA12" s="55"/>
      <c r="AB12" s="55">
        <f>JUN!AB44</f>
        <v>71762.380255455719</v>
      </c>
      <c r="AC12" s="55">
        <f>JUN!AC44</f>
        <v>1519.1231260910722</v>
      </c>
      <c r="AD12" s="490"/>
      <c r="AE12" s="490"/>
      <c r="AF12" s="45">
        <f>JUN!AD44</f>
        <v>8754.9688212972815</v>
      </c>
      <c r="AG12" s="55">
        <f>JUN!AE49</f>
        <v>12325.74</v>
      </c>
      <c r="AH12" s="100">
        <f>JUN!AF49</f>
        <v>154.70000000000007</v>
      </c>
      <c r="AI12" s="101">
        <f>JUN!AG49</f>
        <v>118.29999999999998</v>
      </c>
      <c r="AJ12" s="55">
        <f>JUN!AH49</f>
        <v>4273</v>
      </c>
      <c r="AK12" s="55"/>
      <c r="AL12" s="55">
        <f>JUN!AJ49</f>
        <v>0</v>
      </c>
      <c r="AM12" s="55">
        <f>JUN!AK49</f>
        <v>51390.66</v>
      </c>
      <c r="AN12" s="55">
        <f>JUN!AL49</f>
        <v>3055.930196849004</v>
      </c>
      <c r="AO12" s="99">
        <f>JUN!AM49</f>
        <v>54446.590196849007</v>
      </c>
      <c r="AP12" s="45">
        <f>JUN!AN49</f>
        <v>1825.9903529115204</v>
      </c>
      <c r="AQ12" s="540"/>
      <c r="AR12" s="45"/>
      <c r="AS12" s="42"/>
      <c r="AT12" s="489"/>
      <c r="AU12" s="489"/>
      <c r="AV12" s="489"/>
      <c r="AW12" s="489"/>
      <c r="AX12" s="55">
        <f>JUN!AW50</f>
        <v>686.66211625943652</v>
      </c>
      <c r="AY12" s="55">
        <f>JUN!AX49</f>
        <v>395.42495923073778</v>
      </c>
      <c r="AZ12" s="55">
        <f>JUN!AZ49</f>
        <v>147.68799999999999</v>
      </c>
      <c r="BA12" s="42">
        <f>JUN!BA49</f>
        <v>0</v>
      </c>
      <c r="BB12" s="99"/>
      <c r="BC12" s="39"/>
      <c r="BD12" s="45"/>
      <c r="BE12" s="45"/>
      <c r="BF12" s="378"/>
      <c r="BG12" s="400">
        <f>JUN!BG49</f>
        <v>785.14781023711157</v>
      </c>
      <c r="BH12" s="23">
        <f>JUN!BH49</f>
        <v>246.34000000000003</v>
      </c>
      <c r="BI12" s="445"/>
      <c r="BJ12" s="696">
        <f>JUN!BJ49</f>
        <v>5045.202419108532</v>
      </c>
      <c r="BK12" s="77">
        <f>JUN!BK49</f>
        <v>4455.8195433886603</v>
      </c>
      <c r="BM12" s="562"/>
      <c r="BN12" s="489"/>
      <c r="BO12" s="489"/>
      <c r="BP12" s="505"/>
      <c r="BQ12" s="505"/>
    </row>
    <row r="13" spans="1:69" ht="12.95" customHeight="1">
      <c r="A13" s="434" t="s">
        <v>32</v>
      </c>
      <c r="B13" s="144">
        <f>JUN!B44</f>
        <v>6893.75</v>
      </c>
      <c r="C13" s="55">
        <f>JUN!C44</f>
        <v>261092</v>
      </c>
      <c r="D13" s="55">
        <f>JUN!D53</f>
        <v>-31303</v>
      </c>
      <c r="E13" s="55">
        <f>JUN!E53</f>
        <v>109092</v>
      </c>
      <c r="F13" s="99">
        <f>JUN!F52</f>
        <v>-15781.699016889337</v>
      </c>
      <c r="G13" s="55">
        <f>JUN!G52</f>
        <v>51100.800000000003</v>
      </c>
      <c r="H13" s="55">
        <f>JUN!H52</f>
        <v>181.4727</v>
      </c>
      <c r="I13" s="55">
        <f>JUN!I52</f>
        <v>51282.272700000001</v>
      </c>
      <c r="J13" s="55">
        <f>JUN!J52</f>
        <v>1933.1765066801111</v>
      </c>
      <c r="K13" s="55">
        <f>JUN!K52</f>
        <v>53215.439206680108</v>
      </c>
      <c r="L13" s="101">
        <f>JUN!L52</f>
        <v>-3303.2617168893371</v>
      </c>
      <c r="M13" s="55">
        <f>JUN!M52</f>
        <v>22174.739999999998</v>
      </c>
      <c r="N13" s="55">
        <f>JUN!N52</f>
        <v>30.5</v>
      </c>
      <c r="O13" s="55">
        <f>JUN!O52</f>
        <v>6759.1335000000008</v>
      </c>
      <c r="P13" s="55">
        <f>JUN!P52</f>
        <v>0</v>
      </c>
      <c r="Q13" s="55">
        <f>JUN!Q52</f>
        <v>525.86480314236303</v>
      </c>
      <c r="R13" s="55">
        <f>JUN!R52</f>
        <v>318.15110880000009</v>
      </c>
      <c r="S13" s="55">
        <f>JUN!S52</f>
        <v>292.41380511999995</v>
      </c>
      <c r="T13" s="55">
        <f>JUN!T52</f>
        <v>189.37942192000006</v>
      </c>
      <c r="U13" s="341">
        <f>JUN!U52</f>
        <v>-46.583886557747249</v>
      </c>
      <c r="V13" s="55">
        <f>JUN!V52</f>
        <v>14314</v>
      </c>
      <c r="W13" s="55">
        <f>JUN!W52</f>
        <v>4309.2199999999993</v>
      </c>
      <c r="X13" s="55">
        <f>JUN!X52</f>
        <v>33117.466206806115</v>
      </c>
      <c r="Y13" s="55">
        <f>JUN!Y52</f>
        <v>32867.395374882202</v>
      </c>
      <c r="Z13" s="55"/>
      <c r="AA13" s="55"/>
      <c r="AB13" s="55"/>
      <c r="AC13" s="55"/>
      <c r="AD13" s="490"/>
      <c r="AE13" s="490"/>
      <c r="AF13" s="45">
        <f>JUN!AD46</f>
        <v>0</v>
      </c>
      <c r="AG13" s="55">
        <f>JUN!AE50</f>
        <v>24448.10529</v>
      </c>
      <c r="AH13" s="211">
        <f>AH12</f>
        <v>154.70000000000007</v>
      </c>
      <c r="AI13" s="121">
        <f>AI12</f>
        <v>118.29999999999998</v>
      </c>
      <c r="AJ13" s="55">
        <f>JUN!AH52</f>
        <v>10637</v>
      </c>
      <c r="AK13" s="55">
        <f>JUN!AI52</f>
        <v>9732.511822044311</v>
      </c>
      <c r="AL13" s="55">
        <f>JUN!AJ52</f>
        <v>0</v>
      </c>
      <c r="AM13" s="55">
        <f>JUN!AK52</f>
        <v>63760.7</v>
      </c>
      <c r="AN13" s="55">
        <f>JUN!AL52</f>
        <v>5236.4382235694484</v>
      </c>
      <c r="AO13" s="99">
        <f>JUN!AM52</f>
        <v>68997.138223569447</v>
      </c>
      <c r="AP13" s="55">
        <f>JUN!AN52</f>
        <v>6969.5910587345606</v>
      </c>
      <c r="AQ13" s="490"/>
      <c r="AR13" s="55">
        <f>JUN!AQ52</f>
        <v>250.07083192391997</v>
      </c>
      <c r="AS13" s="42"/>
      <c r="AT13" s="489">
        <f>JUN!AS50</f>
        <v>26.04</v>
      </c>
      <c r="AU13" s="490"/>
      <c r="AV13" s="490"/>
      <c r="AW13" s="490">
        <f>JUN!AV50</f>
        <v>5544.9350833333338</v>
      </c>
      <c r="AX13" s="55">
        <f>JUN!AW44</f>
        <v>10.22514491611869</v>
      </c>
      <c r="AY13" s="55">
        <f>JUN!AX52</f>
        <v>395.42495923073778</v>
      </c>
      <c r="AZ13" s="55">
        <f>JUN!AZ52</f>
        <v>147.68799999999999</v>
      </c>
      <c r="BA13" s="42">
        <v>0</v>
      </c>
      <c r="BB13" s="399"/>
      <c r="BC13" s="144">
        <f>JUN!BC52</f>
        <v>7.915</v>
      </c>
      <c r="BD13" s="45"/>
      <c r="BE13" s="45"/>
      <c r="BF13" s="379"/>
      <c r="BG13" s="393">
        <f>JUN!BG52</f>
        <v>1316.7852524246159</v>
      </c>
      <c r="BH13" s="23">
        <f>JUN!BH52</f>
        <v>486.15600000000012</v>
      </c>
      <c r="BI13" s="297"/>
      <c r="BJ13" s="235">
        <f>JUN!BJ52</f>
        <v>5045.202419108532</v>
      </c>
      <c r="BK13" s="437">
        <f>JUN!BK52</f>
        <v>4455.8195433886603</v>
      </c>
      <c r="BM13" s="571"/>
      <c r="BN13" s="559"/>
      <c r="BO13" s="559"/>
      <c r="BP13" s="490">
        <f>NOV!BF46</f>
        <v>0</v>
      </c>
      <c r="BQ13" s="490">
        <f>NOV!BG46</f>
        <v>0</v>
      </c>
    </row>
    <row r="14" spans="1:69" customFormat="1" ht="3" customHeight="1">
      <c r="A14" s="54"/>
      <c r="B14" s="105"/>
      <c r="C14" s="57"/>
      <c r="D14" s="59"/>
      <c r="E14" s="57"/>
      <c r="F14" s="106"/>
      <c r="G14" s="59"/>
      <c r="H14" s="41"/>
      <c r="I14" s="59"/>
      <c r="J14" s="59"/>
      <c r="K14" s="59"/>
      <c r="L14" s="109"/>
      <c r="M14" s="59"/>
      <c r="N14" s="59"/>
      <c r="O14" s="59"/>
      <c r="P14" s="40"/>
      <c r="Q14" s="59"/>
      <c r="R14" s="59"/>
      <c r="S14" s="59"/>
      <c r="T14" s="59"/>
      <c r="U14" s="130"/>
      <c r="V14" s="59"/>
      <c r="W14" s="59"/>
      <c r="X14" s="59"/>
      <c r="Y14" s="57"/>
      <c r="Z14" s="57"/>
      <c r="AA14" s="59"/>
      <c r="AB14" s="57"/>
      <c r="AC14" s="57"/>
      <c r="AD14" s="495"/>
      <c r="AE14" s="495"/>
      <c r="AF14" s="51"/>
      <c r="AG14" s="59"/>
      <c r="AH14" s="108"/>
      <c r="AI14" s="109"/>
      <c r="AJ14" s="59"/>
      <c r="AK14" s="57"/>
      <c r="AL14" s="57"/>
      <c r="AM14" s="59"/>
      <c r="AN14" s="59"/>
      <c r="AO14" s="106"/>
      <c r="AP14" s="44"/>
      <c r="AQ14" s="491"/>
      <c r="AR14" s="44"/>
      <c r="AS14" s="41"/>
      <c r="AT14" s="491"/>
      <c r="AU14" s="491"/>
      <c r="AV14" s="491"/>
      <c r="AW14" s="491"/>
      <c r="AX14" s="40"/>
      <c r="AY14" s="40"/>
      <c r="AZ14" s="40"/>
      <c r="BA14" s="41"/>
      <c r="BB14" s="41"/>
      <c r="BC14" s="204"/>
      <c r="BD14" s="44"/>
      <c r="BE14" s="44"/>
      <c r="BF14" s="44"/>
      <c r="BG14" s="44"/>
      <c r="BH14" s="44"/>
      <c r="BI14" s="44"/>
      <c r="BJ14" s="545"/>
      <c r="BK14" s="592"/>
      <c r="BM14" s="572"/>
      <c r="BN14" s="572"/>
      <c r="BO14" s="572"/>
      <c r="BP14" s="573"/>
      <c r="BQ14" s="573"/>
    </row>
    <row r="15" spans="1:69" customFormat="1" ht="12.95" customHeight="1">
      <c r="A15" s="48">
        <v>1</v>
      </c>
      <c r="B15" s="104">
        <v>6893.38</v>
      </c>
      <c r="C15" s="483">
        <f>IF(B15="",C13,VLOOKUP(TRUNC(B15,1),VLOOKUP!$A$3:$K$2834,RIGHT(TEXT(B15,"0000.00"),1)+2,FALSE))</f>
        <v>259798</v>
      </c>
      <c r="D15" s="43">
        <f>C15-C13</f>
        <v>-1294</v>
      </c>
      <c r="E15" s="55">
        <f t="shared" ref="E15:E45" si="0">C15-152000</f>
        <v>107798</v>
      </c>
      <c r="F15" s="112">
        <f>D15/$D$2</f>
        <v>-652.38215276027222</v>
      </c>
      <c r="G15" s="627">
        <v>102</v>
      </c>
      <c r="H15" s="42">
        <v>0</v>
      </c>
      <c r="I15" s="47">
        <f t="shared" ref="I15:I43" si="1">G15+H15</f>
        <v>102</v>
      </c>
      <c r="J15" s="42">
        <f>IF(L15&gt;0,L15,0)</f>
        <v>0</v>
      </c>
      <c r="K15" s="47">
        <f t="shared" ref="K15:K45" si="2">I15+J15</f>
        <v>102</v>
      </c>
      <c r="L15" s="212">
        <f t="shared" ref="L15:L45" si="3">IF(G15="",0,F15-(I15-AM15))</f>
        <v>-41.38215276027222</v>
      </c>
      <c r="M15" s="47">
        <v>311</v>
      </c>
      <c r="N15" s="42">
        <f>0.5+(33/1.9835)</f>
        <v>17.137257373329973</v>
      </c>
      <c r="O15" s="470">
        <f>67*1.05</f>
        <v>70.350000000000009</v>
      </c>
      <c r="P15" s="39">
        <v>0</v>
      </c>
      <c r="Q15" s="471">
        <f>2479400/325851/1.9835*1.02</f>
        <v>3.9128707785537431</v>
      </c>
      <c r="R15" s="73">
        <f>IF(((6.8*1.04)-T15)&gt;=4.2,4.2,(6.8*1.04)-T15)</f>
        <v>4.2</v>
      </c>
      <c r="S15" s="73">
        <f>IF(((6.8*1.04)-T15)&gt;=4.2,((6.8*1.04)-T15)-4.2,0)</f>
        <v>1.3795708800000002</v>
      </c>
      <c r="T15" s="73">
        <f>(1.3538*1.06)*1.04</f>
        <v>1.4924291199999999</v>
      </c>
      <c r="U15" s="131">
        <v>0</v>
      </c>
      <c r="V15" s="47">
        <v>30</v>
      </c>
      <c r="W15" s="47">
        <v>62</v>
      </c>
      <c r="X15" s="47">
        <f>IF(B15="",0,M15-N15-O15-P15-Q15-R15-S15-T15-U15+V15+W15-MAX(AP15-AQ15,0)-BA15+AY15)</f>
        <v>338.30138238280421</v>
      </c>
      <c r="Y15" s="47">
        <f>IF(B15="",0,X15-AR15)</f>
        <v>338.30138238280421</v>
      </c>
      <c r="Z15" s="55">
        <f>Z12+AS15</f>
        <v>10166.601794899363</v>
      </c>
      <c r="AA15" s="47">
        <f>-AS15</f>
        <v>246.11425316135794</v>
      </c>
      <c r="AB15" s="55"/>
      <c r="AC15" s="55">
        <f>IF(AX13="",AC12,AC12-(AX13/$D$2)+IF(AZ15="",0,AZ15))</f>
        <v>1521.8280240411004</v>
      </c>
      <c r="AD15" s="490"/>
      <c r="AE15" s="498"/>
      <c r="AF15" s="639">
        <f>AF12</f>
        <v>8754.9688212972815</v>
      </c>
      <c r="AG15" s="47">
        <v>260</v>
      </c>
      <c r="AH15" s="114">
        <v>1.7</v>
      </c>
      <c r="AI15" s="212">
        <v>1.3</v>
      </c>
      <c r="AJ15" s="47">
        <v>50</v>
      </c>
      <c r="AK15" s="55">
        <f>AK13-(AJ15-AL15)</f>
        <v>9682.511822044311</v>
      </c>
      <c r="AL15" s="55"/>
      <c r="AM15" s="180">
        <f t="shared" ref="AM15:AM21" si="4">N15+O15+P15+Q15+R15+S15+T15+U15+X15+AG15+AJ15-IF(AY15="",0,AY15)</f>
        <v>713</v>
      </c>
      <c r="AN15" s="47">
        <f t="shared" ref="AN15:AN45" si="5">IF(L15&lt;0,L15*-1,0)</f>
        <v>41.38215276027222</v>
      </c>
      <c r="AO15" s="112">
        <f>AM15+AN15</f>
        <v>754.38215276027222</v>
      </c>
      <c r="AP15" s="45"/>
      <c r="AQ15" s="540"/>
      <c r="AR15" s="45"/>
      <c r="AS15" s="43">
        <f t="shared" ref="AS15:AS45" si="6">IF(G15="",0,IF(I15&gt;=(795+Q15+R15+AH15),795-X15,I15-Q15-R15-X15-AH15)-AL15)</f>
        <v>-246.11425316135794</v>
      </c>
      <c r="AT15" s="492">
        <v>0.28999999999999998</v>
      </c>
      <c r="AU15" s="493">
        <f>AT15*0.7</f>
        <v>0.20299999999999999</v>
      </c>
      <c r="AV15" s="494">
        <f>IF(AT15="",0,VLOOKUP(ROUNDDOWN(TEXT(B15,"0000"),-1),VLOOKUP!$M$3:$W$32,RIGHT(TEXT(B15,"0000"),1)+2,FALSE))</f>
        <v>3482</v>
      </c>
      <c r="AW15" s="494">
        <f>AU15/12*AV15</f>
        <v>58.903833333333331</v>
      </c>
      <c r="AX15" s="39">
        <f>AW15*(Z15*1.9835+AC15*1.9835)/E15</f>
        <v>12.668384424142765</v>
      </c>
      <c r="AY15" s="618">
        <v>33.773510534687944</v>
      </c>
      <c r="AZ15" s="180">
        <f>IF(BH15="","",7.86)</f>
        <v>7.86</v>
      </c>
      <c r="BA15" s="23"/>
      <c r="BB15" s="23"/>
      <c r="BC15" s="202">
        <v>0</v>
      </c>
      <c r="BD15" s="45">
        <v>85</v>
      </c>
      <c r="BE15" s="45">
        <v>46</v>
      </c>
      <c r="BF15" s="377"/>
      <c r="BG15" s="385">
        <f t="shared" ref="BG15:BG45" si="7">SUM(N15,P15:U15)</f>
        <v>28.122128151883715</v>
      </c>
      <c r="BH15" s="60">
        <v>7.88</v>
      </c>
      <c r="BI15" s="445">
        <v>19011</v>
      </c>
      <c r="BJ15" s="296">
        <f t="shared" ref="BJ15:BJ45" si="8">IF(G15="",0,IF(I15&lt;(795+Q15+R15+AH15+AI15),0,I15-(795+Q15+R15+AH15+AI15)))</f>
        <v>0</v>
      </c>
      <c r="BK15" s="591">
        <f t="shared" ref="BK15:BK45" si="9">MIN(505,BJ15,SUM(O15,AG15))</f>
        <v>0</v>
      </c>
      <c r="BM15" s="574">
        <v>1</v>
      </c>
      <c r="BN15" s="559">
        <v>6893.26</v>
      </c>
      <c r="BO15" s="575">
        <f t="shared" ref="BO15:BO45" si="10">B15-BN15</f>
        <v>0.11999999999989086</v>
      </c>
      <c r="BP15" s="576">
        <v>49.532291666666623</v>
      </c>
      <c r="BQ15" s="576">
        <f>AJ15-BP15</f>
        <v>0.46770833333337691</v>
      </c>
    </row>
    <row r="16" spans="1:69" customFormat="1" ht="12.95" customHeight="1">
      <c r="A16" s="48">
        <f t="shared" ref="A16:A43" si="11">A15+1</f>
        <v>2</v>
      </c>
      <c r="B16" s="104">
        <v>6893.02</v>
      </c>
      <c r="C16" s="483">
        <f>IF(B16="",C15,VLOOKUP(TRUNC(B16,1),VLOOKUP!$A$3:$K$2834,RIGHT(TEXT(B16,"0000.00"),1)+2,FALSE))</f>
        <v>258539</v>
      </c>
      <c r="D16" s="45">
        <f t="shared" ref="D16:D44" si="12">C16-C15</f>
        <v>-1259</v>
      </c>
      <c r="E16" s="55">
        <f t="shared" si="0"/>
        <v>106539</v>
      </c>
      <c r="F16" s="112">
        <f t="shared" ref="F16:F45" si="13">D16/$D$2</f>
        <v>-634.73657675825564</v>
      </c>
      <c r="G16" s="47">
        <v>96.7</v>
      </c>
      <c r="H16" s="42">
        <v>0</v>
      </c>
      <c r="I16" s="47">
        <f t="shared" si="1"/>
        <v>96.7</v>
      </c>
      <c r="J16" s="42">
        <f t="shared" ref="J16:J45" si="14">IF(L16&gt;0,L16,0)</f>
        <v>0</v>
      </c>
      <c r="K16" s="47">
        <f t="shared" si="2"/>
        <v>96.7</v>
      </c>
      <c r="L16" s="212">
        <f t="shared" si="3"/>
        <v>-26.436576758255683</v>
      </c>
      <c r="M16" s="114">
        <v>297</v>
      </c>
      <c r="N16" s="39">
        <f t="shared" ref="N16:N23" si="15">0.5</f>
        <v>0.5</v>
      </c>
      <c r="O16" s="47">
        <f>53*1.05</f>
        <v>55.650000000000006</v>
      </c>
      <c r="P16" s="39">
        <v>0</v>
      </c>
      <c r="Q16" s="471">
        <f>2339200/325851/1.9835*1.02</f>
        <v>3.6916138280200519</v>
      </c>
      <c r="R16" s="73">
        <f>IF(((6.9*1.04)-T16)&gt;=4.2,4.2,(6.9*1.04)-T16)</f>
        <v>4.2</v>
      </c>
      <c r="S16" s="73">
        <f>IF(((6.9*1.04)-T16)&gt;=4.2,((6.9*1.04)-T16)-4.2,0)</f>
        <v>1.4835708800000011</v>
      </c>
      <c r="T16" s="73">
        <f>(1.3538*1.06)*1.04</f>
        <v>1.4924291199999999</v>
      </c>
      <c r="U16" s="131">
        <v>0</v>
      </c>
      <c r="V16" s="47">
        <v>30</v>
      </c>
      <c r="W16" s="47">
        <v>62</v>
      </c>
      <c r="X16" s="47">
        <f t="shared" ref="X16:X44" si="16">IF(B16="",0,M16-N16-O16-P16-Q16-R16-S16-T16-U16+V16+W16-MAX(AP16-AQ16,0)-BA16+AY16)</f>
        <v>355.7558967066679</v>
      </c>
      <c r="Y16" s="47">
        <f t="shared" ref="Y16:Y45" si="17">IF(B16="",0,X16-AR16)</f>
        <v>355.7558967066679</v>
      </c>
      <c r="Z16" s="55">
        <f>Z15+AS16</f>
        <v>9897.9542843646759</v>
      </c>
      <c r="AA16" s="47">
        <f t="shared" ref="AA16:AA45" si="18">-AS16</f>
        <v>268.64751053468791</v>
      </c>
      <c r="AB16" s="55"/>
      <c r="AC16" s="55">
        <f>IF(AX15="",AC15,AC15-(AX15/$D$2)+IF(AZ16="",0,AZ16))</f>
        <v>1523.3011400359867</v>
      </c>
      <c r="AD16" s="490"/>
      <c r="AE16" s="498"/>
      <c r="AF16" s="639">
        <f>AF15</f>
        <v>8754.9688212972815</v>
      </c>
      <c r="AG16" s="47">
        <v>266</v>
      </c>
      <c r="AH16" s="114">
        <v>1.7</v>
      </c>
      <c r="AI16" s="212">
        <v>1.3</v>
      </c>
      <c r="AJ16" s="47">
        <v>50</v>
      </c>
      <c r="AK16" s="55">
        <f>AK15-(AJ16-AL16)</f>
        <v>9632.511822044311</v>
      </c>
      <c r="AL16" s="55"/>
      <c r="AM16" s="180">
        <f t="shared" si="4"/>
        <v>705</v>
      </c>
      <c r="AN16" s="47">
        <f t="shared" si="5"/>
        <v>26.436576758255683</v>
      </c>
      <c r="AO16" s="47">
        <f>AM16+AN16</f>
        <v>731.43657675825568</v>
      </c>
      <c r="AP16" s="134"/>
      <c r="AQ16" s="540"/>
      <c r="AR16" s="45"/>
      <c r="AS16" s="43">
        <f t="shared" si="6"/>
        <v>-268.64751053468791</v>
      </c>
      <c r="AT16" s="492">
        <v>0.25</v>
      </c>
      <c r="AU16" s="493">
        <f t="shared" ref="AU16:AU26" si="19">AT16*0.7</f>
        <v>0.17499999999999999</v>
      </c>
      <c r="AV16" s="494">
        <f>IF(AT16="",0,VLOOKUP(ROUNDDOWN(TEXT(B16,"0000"),-1),VLOOKUP!$M$3:$W$32,RIGHT(TEXT(B16,"0000"),1)+2,FALSE))</f>
        <v>3482</v>
      </c>
      <c r="AW16" s="494">
        <f t="shared" ref="AW16:AW45" si="20">AU16/12*AV16</f>
        <v>50.779166666666661</v>
      </c>
      <c r="AX16" s="39">
        <f>AW16*(Z16*1.9835+AC16*1.9835)/E16</f>
        <v>10.797494769391898</v>
      </c>
      <c r="AY16" s="618">
        <v>33.773510534687944</v>
      </c>
      <c r="AZ16" s="180">
        <f t="shared" ref="AZ16:AZ45" si="21">IF(BH16="","",7.86)</f>
        <v>7.86</v>
      </c>
      <c r="BA16" s="23"/>
      <c r="BB16" s="23"/>
      <c r="BC16" s="202">
        <v>0</v>
      </c>
      <c r="BD16" s="45">
        <v>87</v>
      </c>
      <c r="BE16" s="45">
        <v>49</v>
      </c>
      <c r="BF16" s="377"/>
      <c r="BG16" s="385">
        <f t="shared" si="7"/>
        <v>11.367613828020055</v>
      </c>
      <c r="BH16" s="60">
        <v>8.08</v>
      </c>
      <c r="BI16" s="445">
        <v>18988</v>
      </c>
      <c r="BJ16" s="296">
        <f t="shared" si="8"/>
        <v>0</v>
      </c>
      <c r="BK16" s="591">
        <f t="shared" si="9"/>
        <v>0</v>
      </c>
      <c r="BM16" s="574">
        <f t="shared" ref="BM16:BM45" si="22">BM15+1</f>
        <v>2</v>
      </c>
      <c r="BN16" s="559">
        <v>6892.9</v>
      </c>
      <c r="BO16" s="575">
        <f t="shared" si="10"/>
        <v>0.12000000000080036</v>
      </c>
      <c r="BP16" s="576">
        <v>49.417708333333316</v>
      </c>
      <c r="BQ16" s="576">
        <f t="shared" ref="BQ16:BQ45" si="23">AJ16-BP16</f>
        <v>0.58229166666668419</v>
      </c>
    </row>
    <row r="17" spans="1:69" customFormat="1" ht="12.95" customHeight="1">
      <c r="A17" s="48">
        <f t="shared" si="11"/>
        <v>3</v>
      </c>
      <c r="B17" s="104">
        <v>6892.64</v>
      </c>
      <c r="C17" s="483">
        <f>IF(B17="",C16,VLOOKUP(TRUNC(B17,1),VLOOKUP!$A$3:$K$2834,RIGHT(TEXT(B17,"0000.00"),1)+2,FALSE))</f>
        <v>257221</v>
      </c>
      <c r="D17" s="45">
        <f t="shared" si="12"/>
        <v>-1318</v>
      </c>
      <c r="E17" s="55">
        <f t="shared" si="0"/>
        <v>105221</v>
      </c>
      <c r="F17" s="112">
        <f t="shared" si="13"/>
        <v>-664.48197630451216</v>
      </c>
      <c r="G17" s="47">
        <v>91</v>
      </c>
      <c r="H17" s="42">
        <v>0</v>
      </c>
      <c r="I17" s="47">
        <f t="shared" si="1"/>
        <v>91</v>
      </c>
      <c r="J17" s="42">
        <f t="shared" si="14"/>
        <v>0</v>
      </c>
      <c r="K17" s="47">
        <f t="shared" si="2"/>
        <v>91</v>
      </c>
      <c r="L17" s="212">
        <f t="shared" si="3"/>
        <v>-43.481976304512159</v>
      </c>
      <c r="M17" s="114">
        <v>305</v>
      </c>
      <c r="N17" s="39">
        <f t="shared" si="15"/>
        <v>0.5</v>
      </c>
      <c r="O17" s="47">
        <f>70*1.05</f>
        <v>73.5</v>
      </c>
      <c r="P17" s="39">
        <v>0</v>
      </c>
      <c r="Q17" s="471">
        <f>2414300/325851/1.9835*1.02</f>
        <v>3.8101330647181983</v>
      </c>
      <c r="R17" s="73">
        <f>IF(((6.8*1.04)-T17)&gt;=4.2,4.2,(6.8*1.04)-T17)</f>
        <v>4.2</v>
      </c>
      <c r="S17" s="73">
        <f>IF(((6.8*1.04)-T17)&gt;=4.2,((6.8*1.04)-T17)-4.2,0)</f>
        <v>1.1845563199999996</v>
      </c>
      <c r="T17" s="73">
        <f>(1.5307*1.06)*1.04</f>
        <v>1.6874436799999999</v>
      </c>
      <c r="U17" s="131">
        <v>0</v>
      </c>
      <c r="V17" s="47">
        <v>30</v>
      </c>
      <c r="W17" s="47">
        <v>62</v>
      </c>
      <c r="X17" s="47">
        <f t="shared" si="16"/>
        <v>345.89137746996971</v>
      </c>
      <c r="Y17" s="47">
        <f t="shared" si="17"/>
        <v>345.89137746996971</v>
      </c>
      <c r="Z17" s="55">
        <f t="shared" ref="Z17:Z45" si="24">Z16+AS17</f>
        <v>9633.3527738299872</v>
      </c>
      <c r="AA17" s="47">
        <f t="shared" si="18"/>
        <v>264.60151053468792</v>
      </c>
      <c r="AB17" s="55"/>
      <c r="AC17" s="55">
        <f t="shared" ref="AC17:AC45" si="25">IF(AX16="",AC16,AC16-(AX16/$D$2)+IF(AZ17="",0,AZ17))</f>
        <v>1525.7174824764243</v>
      </c>
      <c r="AD17" s="490"/>
      <c r="AE17" s="498"/>
      <c r="AF17" s="639">
        <f t="shared" ref="AF17:AF45" si="26">AF16</f>
        <v>8754.9688212972815</v>
      </c>
      <c r="AG17" s="47">
        <v>265</v>
      </c>
      <c r="AH17" s="114">
        <v>1.7</v>
      </c>
      <c r="AI17" s="212">
        <v>1.3</v>
      </c>
      <c r="AJ17" s="47">
        <v>50</v>
      </c>
      <c r="AK17" s="55">
        <f t="shared" ref="AK17:AK45" si="27">AK16-(AJ17-AL17)</f>
        <v>9582.511822044311</v>
      </c>
      <c r="AL17" s="55"/>
      <c r="AM17" s="180">
        <f t="shared" si="4"/>
        <v>712</v>
      </c>
      <c r="AN17" s="47">
        <f t="shared" si="5"/>
        <v>43.481976304512159</v>
      </c>
      <c r="AO17" s="47">
        <f t="shared" ref="AO17:AO45" si="28">AM17+AN17</f>
        <v>755.48197630451216</v>
      </c>
      <c r="AP17" s="134"/>
      <c r="AQ17" s="540"/>
      <c r="AR17" s="45"/>
      <c r="AS17" s="43">
        <f t="shared" si="6"/>
        <v>-264.60151053468792</v>
      </c>
      <c r="AT17" s="492">
        <v>0.27</v>
      </c>
      <c r="AU17" s="493">
        <f>AT17*0.7</f>
        <v>0.189</v>
      </c>
      <c r="AV17" s="494">
        <f>IF(AT17="",0,VLOOKUP(ROUNDDOWN(TEXT(B17,"0000"),-1),VLOOKUP!$M$3:$W$32,RIGHT(TEXT(B17,"0000"),1)+2,FALSE))</f>
        <v>3482</v>
      </c>
      <c r="AW17" s="494">
        <f t="shared" si="20"/>
        <v>54.841500000000003</v>
      </c>
      <c r="AX17" s="39">
        <f t="shared" ref="AX17:AX45" si="29">AW17*(Z17*1.9835+AC17*1.9835)/E17</f>
        <v>11.536315283292746</v>
      </c>
      <c r="AY17" s="618">
        <v>33.773510534687944</v>
      </c>
      <c r="AZ17" s="180">
        <f t="shared" si="21"/>
        <v>7.86</v>
      </c>
      <c r="BA17" s="23"/>
      <c r="BB17" s="23"/>
      <c r="BC17" s="202">
        <v>0</v>
      </c>
      <c r="BD17" s="45">
        <v>86</v>
      </c>
      <c r="BE17" s="45">
        <v>55</v>
      </c>
      <c r="BF17" s="377"/>
      <c r="BG17" s="385">
        <f t="shared" si="7"/>
        <v>11.382133064718198</v>
      </c>
      <c r="BH17" s="60">
        <v>8.2799999999999994</v>
      </c>
      <c r="BI17" s="445">
        <v>18967</v>
      </c>
      <c r="BJ17" s="296">
        <f t="shared" si="8"/>
        <v>0</v>
      </c>
      <c r="BK17" s="591">
        <f t="shared" si="9"/>
        <v>0</v>
      </c>
      <c r="BM17" s="574">
        <f t="shared" si="22"/>
        <v>3</v>
      </c>
      <c r="BN17" s="559">
        <v>6892.53</v>
      </c>
      <c r="BO17" s="575">
        <f t="shared" si="10"/>
        <v>0.11000000000058208</v>
      </c>
      <c r="BP17" s="576">
        <v>49.41874999999996</v>
      </c>
      <c r="BQ17" s="576">
        <f t="shared" si="23"/>
        <v>0.58125000000003979</v>
      </c>
    </row>
    <row r="18" spans="1:69" customFormat="1" ht="12.95" customHeight="1">
      <c r="A18" s="48">
        <f t="shared" si="11"/>
        <v>4</v>
      </c>
      <c r="B18" s="104">
        <v>6892.3</v>
      </c>
      <c r="C18" s="483">
        <f>IF(B18="",C17,VLOOKUP(TRUNC(B18,1),VLOOKUP!$A$3:$K$2834,RIGHT(TEXT(B18,"0000.00"),1)+2,FALSE))</f>
        <v>256043</v>
      </c>
      <c r="D18" s="45">
        <f t="shared" si="12"/>
        <v>-1178</v>
      </c>
      <c r="E18" s="55">
        <f t="shared" si="0"/>
        <v>104043</v>
      </c>
      <c r="F18" s="112">
        <f t="shared" si="13"/>
        <v>-593.89967229644571</v>
      </c>
      <c r="G18" s="47">
        <v>92.1</v>
      </c>
      <c r="H18" s="42">
        <v>0</v>
      </c>
      <c r="I18" s="47">
        <f t="shared" si="1"/>
        <v>92.1</v>
      </c>
      <c r="J18" s="42">
        <f t="shared" si="14"/>
        <v>3.2770355426237074E-4</v>
      </c>
      <c r="K18" s="47">
        <f t="shared" si="2"/>
        <v>92.100327703554257</v>
      </c>
      <c r="L18" s="212">
        <f t="shared" si="3"/>
        <v>3.2770355426237074E-4</v>
      </c>
      <c r="M18" s="114">
        <v>298</v>
      </c>
      <c r="N18" s="39">
        <f t="shared" si="15"/>
        <v>0.5</v>
      </c>
      <c r="O18" s="47">
        <f>84*1.05</f>
        <v>88.2</v>
      </c>
      <c r="P18" s="39">
        <v>0</v>
      </c>
      <c r="Q18" s="471">
        <f>2353700/325851/1.9835*1.02</f>
        <v>3.7144970361708256</v>
      </c>
      <c r="R18" s="73">
        <f>IF(((6.8*1.04)-T18)&gt;=4.2,4.2,(6.8*1.04)-T18)</f>
        <v>4.2</v>
      </c>
      <c r="S18" s="73">
        <f>IF(((6.8*1.04)-T18)&gt;=4.2,((6.8*1.04)-T18)-4.2,0)</f>
        <v>1.1845563199999996</v>
      </c>
      <c r="T18" s="73">
        <f t="shared" ref="T18:T23" si="30">(1.5307*1.06)*1.04</f>
        <v>1.6874436799999999</v>
      </c>
      <c r="U18" s="131">
        <v>0</v>
      </c>
      <c r="V18" s="47">
        <v>31</v>
      </c>
      <c r="W18" s="47">
        <v>63</v>
      </c>
      <c r="X18" s="47">
        <f t="shared" si="16"/>
        <v>326.28701349851713</v>
      </c>
      <c r="Y18" s="47">
        <f t="shared" si="17"/>
        <v>326.28701349851713</v>
      </c>
      <c r="Z18" s="55">
        <f t="shared" si="24"/>
        <v>9389.5512632952996</v>
      </c>
      <c r="AA18" s="47">
        <f t="shared" si="18"/>
        <v>243.80151053468796</v>
      </c>
      <c r="AB18" s="55"/>
      <c r="AC18" s="55">
        <f t="shared" si="25"/>
        <v>1527.7613416731508</v>
      </c>
      <c r="AD18" s="490"/>
      <c r="AE18" s="498"/>
      <c r="AF18" s="639">
        <f t="shared" si="26"/>
        <v>8754.9688212972815</v>
      </c>
      <c r="AG18" s="47">
        <v>244</v>
      </c>
      <c r="AH18" s="114">
        <v>1.7</v>
      </c>
      <c r="AI18" s="212">
        <v>1.3</v>
      </c>
      <c r="AJ18" s="47">
        <v>50</v>
      </c>
      <c r="AK18" s="55">
        <f t="shared" si="27"/>
        <v>9532.511822044311</v>
      </c>
      <c r="AL18" s="55"/>
      <c r="AM18" s="180">
        <f t="shared" si="4"/>
        <v>686</v>
      </c>
      <c r="AN18" s="47">
        <f t="shared" si="5"/>
        <v>0</v>
      </c>
      <c r="AO18" s="47">
        <f t="shared" si="28"/>
        <v>686</v>
      </c>
      <c r="AP18" s="134"/>
      <c r="AQ18" s="540"/>
      <c r="AR18" s="45"/>
      <c r="AS18" s="43">
        <f t="shared" si="6"/>
        <v>-243.80151053468796</v>
      </c>
      <c r="AT18" s="492">
        <v>0.28000000000000003</v>
      </c>
      <c r="AU18" s="493">
        <f t="shared" si="19"/>
        <v>0.19600000000000001</v>
      </c>
      <c r="AV18" s="494">
        <f>IF(AT18="",0,VLOOKUP(ROUNDDOWN(TEXT(B18,"0000"),-1),VLOOKUP!$M$3:$W$32,RIGHT(TEXT(B18,"0000"),1)+2,FALSE))</f>
        <v>3450</v>
      </c>
      <c r="AW18" s="494">
        <f t="shared" si="20"/>
        <v>56.350000000000009</v>
      </c>
      <c r="AX18" s="39">
        <f t="shared" si="29"/>
        <v>11.728136311454493</v>
      </c>
      <c r="AY18" s="618">
        <v>33.773510534687944</v>
      </c>
      <c r="AZ18" s="180">
        <f t="shared" si="21"/>
        <v>7.86</v>
      </c>
      <c r="BA18" s="23"/>
      <c r="BB18" s="23"/>
      <c r="BC18" s="202">
        <v>0</v>
      </c>
      <c r="BD18" s="45">
        <v>84</v>
      </c>
      <c r="BE18" s="45">
        <v>57</v>
      </c>
      <c r="BF18" s="377"/>
      <c r="BG18" s="385">
        <f t="shared" si="7"/>
        <v>11.286497036170823</v>
      </c>
      <c r="BH18" s="60">
        <v>8.2899999999999991</v>
      </c>
      <c r="BI18" s="445">
        <v>18949</v>
      </c>
      <c r="BJ18" s="296">
        <f t="shared" si="8"/>
        <v>0</v>
      </c>
      <c r="BK18" s="591">
        <f t="shared" si="9"/>
        <v>0</v>
      </c>
      <c r="BM18" s="574">
        <f t="shared" si="22"/>
        <v>4</v>
      </c>
      <c r="BN18" s="559">
        <v>6892.18</v>
      </c>
      <c r="BO18" s="575">
        <f t="shared" si="10"/>
        <v>0.11999999999989086</v>
      </c>
      <c r="BP18" s="576">
        <v>49.417708333333309</v>
      </c>
      <c r="BQ18" s="576">
        <f t="shared" si="23"/>
        <v>0.5822916666666913</v>
      </c>
    </row>
    <row r="19" spans="1:69" customFormat="1" ht="12.95" customHeight="1">
      <c r="A19" s="48">
        <f t="shared" si="11"/>
        <v>5</v>
      </c>
      <c r="B19" s="104">
        <v>6891.97</v>
      </c>
      <c r="C19" s="483">
        <f>IF(B19="",C18,VLOOKUP(TRUNC(B19,1),VLOOKUP!$A$3:$K$2834,RIGHT(TEXT(B19,"0000.00"),1)+2,FALSE))</f>
        <v>254900</v>
      </c>
      <c r="D19" s="45">
        <f t="shared" si="12"/>
        <v>-1143</v>
      </c>
      <c r="E19" s="55">
        <f t="shared" si="0"/>
        <v>102900</v>
      </c>
      <c r="F19" s="112">
        <f t="shared" si="13"/>
        <v>-576.25409629442902</v>
      </c>
      <c r="G19" s="47">
        <v>101</v>
      </c>
      <c r="H19" s="42">
        <v>0</v>
      </c>
      <c r="I19" s="47">
        <f t="shared" si="1"/>
        <v>101</v>
      </c>
      <c r="J19" s="42">
        <f t="shared" si="14"/>
        <v>0</v>
      </c>
      <c r="K19" s="47">
        <f t="shared" si="2"/>
        <v>101</v>
      </c>
      <c r="L19" s="212">
        <f t="shared" si="3"/>
        <v>-37.254096294428905</v>
      </c>
      <c r="M19" s="114">
        <v>279</v>
      </c>
      <c r="N19" s="39">
        <f t="shared" si="15"/>
        <v>0.5</v>
      </c>
      <c r="O19" s="47">
        <f>73*1.05</f>
        <v>76.650000000000006</v>
      </c>
      <c r="P19" s="39">
        <v>0</v>
      </c>
      <c r="Q19" s="471">
        <f>2595800/325851/1.9835*1.02</f>
        <v>4.09656770467444</v>
      </c>
      <c r="R19" s="73">
        <f>IF(((6.9*1.04)-T19)&gt;=4.2,4.2,(6.9*1.04)-T19)</f>
        <v>4.2</v>
      </c>
      <c r="S19" s="73">
        <f>IF(((6.9*1.04)-T19)&gt;=4.2,((6.9*1.04)-T19)-4.2,0)</f>
        <v>1.2885563200000005</v>
      </c>
      <c r="T19" s="73">
        <f t="shared" si="30"/>
        <v>1.6874436799999999</v>
      </c>
      <c r="U19" s="131">
        <v>0</v>
      </c>
      <c r="V19" s="47">
        <v>39</v>
      </c>
      <c r="W19" s="47">
        <v>62</v>
      </c>
      <c r="X19" s="47">
        <f t="shared" si="16"/>
        <v>325.35094283001354</v>
      </c>
      <c r="Y19" s="47">
        <f t="shared" si="17"/>
        <v>325.35094283001354</v>
      </c>
      <c r="Z19" s="55">
        <f t="shared" si="24"/>
        <v>9155.2037527606117</v>
      </c>
      <c r="AA19" s="47">
        <f t="shared" si="18"/>
        <v>234.34751053468796</v>
      </c>
      <c r="AB19" s="55"/>
      <c r="AC19" s="55">
        <f t="shared" si="25"/>
        <v>1529.7084925118427</v>
      </c>
      <c r="AD19" s="490"/>
      <c r="AE19" s="498"/>
      <c r="AF19" s="639">
        <f t="shared" si="26"/>
        <v>8754.9688212972815</v>
      </c>
      <c r="AG19" s="47">
        <v>210</v>
      </c>
      <c r="AH19" s="114">
        <v>1.7</v>
      </c>
      <c r="AI19" s="212">
        <v>1.3</v>
      </c>
      <c r="AJ19" s="47">
        <v>50</v>
      </c>
      <c r="AK19" s="55">
        <f t="shared" si="27"/>
        <v>9482.511822044311</v>
      </c>
      <c r="AL19" s="55"/>
      <c r="AM19" s="180">
        <f t="shared" si="4"/>
        <v>640.00000000000011</v>
      </c>
      <c r="AN19" s="47">
        <f t="shared" si="5"/>
        <v>37.254096294428905</v>
      </c>
      <c r="AO19" s="47">
        <f t="shared" si="28"/>
        <v>677.25409629442902</v>
      </c>
      <c r="AP19" s="134"/>
      <c r="AQ19" s="540"/>
      <c r="AR19" s="45"/>
      <c r="AS19" s="43">
        <f t="shared" si="6"/>
        <v>-234.34751053468796</v>
      </c>
      <c r="AT19" s="492">
        <v>0.32</v>
      </c>
      <c r="AU19" s="493">
        <f t="shared" si="19"/>
        <v>0.22399999999999998</v>
      </c>
      <c r="AV19" s="494">
        <f>IF(AT19="",0,VLOOKUP(ROUNDDOWN(TEXT(B19,"0000"),-1),VLOOKUP!$M$3:$W$32,RIGHT(TEXT(B19,"0000"),1)+2,FALSE))</f>
        <v>3450</v>
      </c>
      <c r="AW19" s="494">
        <f t="shared" si="20"/>
        <v>64.399999999999991</v>
      </c>
      <c r="AX19" s="39">
        <f t="shared" si="29"/>
        <v>13.263973852665359</v>
      </c>
      <c r="AY19" s="618">
        <v>33.773510534687944</v>
      </c>
      <c r="AZ19" s="180">
        <f t="shared" si="21"/>
        <v>7.86</v>
      </c>
      <c r="BA19" s="23"/>
      <c r="BB19" s="23"/>
      <c r="BC19" s="202">
        <v>0</v>
      </c>
      <c r="BD19" s="45">
        <v>94</v>
      </c>
      <c r="BE19" s="45">
        <v>55</v>
      </c>
      <c r="BF19" s="377"/>
      <c r="BG19" s="385">
        <f t="shared" si="7"/>
        <v>11.772567704674442</v>
      </c>
      <c r="BH19" s="60">
        <v>8.2899999999999991</v>
      </c>
      <c r="BI19" s="445">
        <v>18931</v>
      </c>
      <c r="BJ19" s="296">
        <f t="shared" si="8"/>
        <v>0</v>
      </c>
      <c r="BK19" s="591">
        <f t="shared" si="9"/>
        <v>0</v>
      </c>
      <c r="BM19" s="574">
        <f t="shared" si="22"/>
        <v>5</v>
      </c>
      <c r="BN19" s="577">
        <v>6891.84</v>
      </c>
      <c r="BO19" s="575">
        <f t="shared" si="10"/>
        <v>0.13000000000010914</v>
      </c>
      <c r="BP19" s="576">
        <v>49.382291666666681</v>
      </c>
      <c r="BQ19" s="576">
        <f t="shared" si="23"/>
        <v>0.61770833333331865</v>
      </c>
    </row>
    <row r="20" spans="1:69" customFormat="1" ht="12.95" customHeight="1">
      <c r="A20" s="48">
        <f t="shared" si="11"/>
        <v>6</v>
      </c>
      <c r="B20" s="104">
        <v>6891.61</v>
      </c>
      <c r="C20" s="483">
        <f>IF(B20="",C19,VLOOKUP(TRUNC(B20,1),VLOOKUP!$A$3:$K$2834,RIGHT(TEXT(B20,"0000.00"),1)+2,FALSE))</f>
        <v>253664</v>
      </c>
      <c r="D20" s="45">
        <f t="shared" si="12"/>
        <v>-1236</v>
      </c>
      <c r="E20" s="55">
        <f t="shared" si="0"/>
        <v>101664</v>
      </c>
      <c r="F20" s="112">
        <f t="shared" si="13"/>
        <v>-623.14091252835897</v>
      </c>
      <c r="G20" s="47">
        <v>93.6</v>
      </c>
      <c r="H20" s="42">
        <v>0</v>
      </c>
      <c r="I20" s="47">
        <f t="shared" si="1"/>
        <v>93.6</v>
      </c>
      <c r="J20" s="42">
        <f t="shared" si="14"/>
        <v>0</v>
      </c>
      <c r="K20" s="47">
        <f t="shared" si="2"/>
        <v>93.6</v>
      </c>
      <c r="L20" s="212">
        <f t="shared" si="3"/>
        <v>-7.7409125283589901</v>
      </c>
      <c r="M20" s="114">
        <v>307</v>
      </c>
      <c r="N20" s="39">
        <f t="shared" si="15"/>
        <v>0.5</v>
      </c>
      <c r="O20" s="47">
        <f>73*1.05</f>
        <v>76.650000000000006</v>
      </c>
      <c r="P20" s="39">
        <v>0</v>
      </c>
      <c r="Q20" s="471">
        <f>2778400/325851/1.9835*1.02</f>
        <v>4.3847383121455676</v>
      </c>
      <c r="R20" s="73">
        <f>IF(((6.9*1.04)-T20)&gt;=4.2,4.2,(6.9*1.04)-T20)</f>
        <v>4.2</v>
      </c>
      <c r="S20" s="73">
        <f>IF(((6.9*1.04)-T20)&gt;=4.2,((6.9*1.04)-T20)-4.2,0)</f>
        <v>1.2885563200000005</v>
      </c>
      <c r="T20" s="73">
        <f t="shared" si="30"/>
        <v>1.6874436799999999</v>
      </c>
      <c r="U20" s="131">
        <v>0</v>
      </c>
      <c r="V20" s="47">
        <v>36</v>
      </c>
      <c r="W20" s="47">
        <v>63</v>
      </c>
      <c r="X20" s="47">
        <f t="shared" si="16"/>
        <v>351.06277222254238</v>
      </c>
      <c r="Y20" s="47">
        <f t="shared" si="17"/>
        <v>351.06277222254238</v>
      </c>
      <c r="Z20" s="55">
        <f t="shared" si="24"/>
        <v>8887.4562422259241</v>
      </c>
      <c r="AA20" s="47">
        <f t="shared" si="18"/>
        <v>267.74751053468793</v>
      </c>
      <c r="AB20" s="55"/>
      <c r="AC20" s="55">
        <f t="shared" si="25"/>
        <v>1530.8813365488149</v>
      </c>
      <c r="AD20" s="490"/>
      <c r="AE20" s="498"/>
      <c r="AF20" s="639">
        <f t="shared" si="26"/>
        <v>8754.9688212972815</v>
      </c>
      <c r="AG20" s="47">
        <v>253</v>
      </c>
      <c r="AH20" s="114">
        <v>1.7</v>
      </c>
      <c r="AI20" s="212">
        <v>1.3</v>
      </c>
      <c r="AJ20" s="47">
        <v>50</v>
      </c>
      <c r="AK20" s="55">
        <f t="shared" si="27"/>
        <v>9432.511822044311</v>
      </c>
      <c r="AL20" s="55"/>
      <c r="AM20" s="180">
        <f t="shared" si="4"/>
        <v>709</v>
      </c>
      <c r="AN20" s="47">
        <f t="shared" si="5"/>
        <v>7.7409125283589901</v>
      </c>
      <c r="AO20" s="47">
        <f t="shared" si="28"/>
        <v>716.74091252835899</v>
      </c>
      <c r="AP20" s="134"/>
      <c r="AQ20" s="540"/>
      <c r="AR20" s="45"/>
      <c r="AS20" s="43">
        <f t="shared" si="6"/>
        <v>-267.74751053468793</v>
      </c>
      <c r="AT20" s="492">
        <v>0.25</v>
      </c>
      <c r="AU20" s="493">
        <f t="shared" si="19"/>
        <v>0.17499999999999999</v>
      </c>
      <c r="AV20" s="494">
        <f>IF(AT20="",0,VLOOKUP(ROUNDDOWN(TEXT(B20,"0000"),-1),VLOOKUP!$M$3:$W$32,RIGHT(TEXT(B20,"0000"),1)+2,FALSE))</f>
        <v>3450</v>
      </c>
      <c r="AW20" s="494">
        <f>AU20/12*AV20</f>
        <v>50.312499999999993</v>
      </c>
      <c r="AX20" s="39">
        <f t="shared" si="29"/>
        <v>10.226789923754508</v>
      </c>
      <c r="AY20" s="618">
        <v>33.773510534687944</v>
      </c>
      <c r="AZ20" s="180">
        <f t="shared" si="21"/>
        <v>7.86</v>
      </c>
      <c r="BA20" s="23"/>
      <c r="BB20" s="23"/>
      <c r="BC20" s="202">
        <v>0</v>
      </c>
      <c r="BD20" s="45">
        <v>94</v>
      </c>
      <c r="BE20" s="45">
        <v>59</v>
      </c>
      <c r="BF20" s="377"/>
      <c r="BG20" s="385">
        <f t="shared" si="7"/>
        <v>12.060738312145569</v>
      </c>
      <c r="BH20" s="60">
        <v>8.2899999999999991</v>
      </c>
      <c r="BI20" s="445">
        <v>18910</v>
      </c>
      <c r="BJ20" s="296">
        <f>IF(G20="",0,IF(I20&lt;(795+Q20+R20+AH20+AI20),0,I20-(795+Q20+R20+AH20+AI20)))</f>
        <v>0</v>
      </c>
      <c r="BK20" s="591">
        <f t="shared" si="9"/>
        <v>0</v>
      </c>
      <c r="BM20" s="574">
        <f t="shared" si="22"/>
        <v>6</v>
      </c>
      <c r="BN20" s="577">
        <v>6891.47</v>
      </c>
      <c r="BO20" s="575">
        <f t="shared" si="10"/>
        <v>0.13999999999941792</v>
      </c>
      <c r="BP20" s="576">
        <v>49.315625000000047</v>
      </c>
      <c r="BQ20" s="576">
        <f t="shared" si="23"/>
        <v>0.6843749999999531</v>
      </c>
    </row>
    <row r="21" spans="1:69" customFormat="1" ht="12.95" customHeight="1">
      <c r="A21" s="48">
        <f t="shared" si="11"/>
        <v>7</v>
      </c>
      <c r="B21" s="104">
        <v>6891.22</v>
      </c>
      <c r="C21" s="483">
        <f>IF(B21="",C20,VLOOKUP(TRUNC(B21,1),VLOOKUP!$A$3:$K$2834,RIGHT(TEXT(B21,"0000.00"),1)+2,FALSE))</f>
        <v>252324</v>
      </c>
      <c r="D21" s="45">
        <f t="shared" si="12"/>
        <v>-1340</v>
      </c>
      <c r="E21" s="55">
        <f t="shared" si="0"/>
        <v>100324</v>
      </c>
      <c r="F21" s="112">
        <f t="shared" si="13"/>
        <v>-675.57348122006556</v>
      </c>
      <c r="G21" s="47">
        <v>81.5</v>
      </c>
      <c r="H21" s="42">
        <v>0</v>
      </c>
      <c r="I21" s="47">
        <f>G21+H21</f>
        <v>81.5</v>
      </c>
      <c r="J21" s="42">
        <f t="shared" si="14"/>
        <v>0</v>
      </c>
      <c r="K21" s="47">
        <f t="shared" si="2"/>
        <v>81.5</v>
      </c>
      <c r="L21" s="212">
        <f t="shared" si="3"/>
        <v>-48.073481220065446</v>
      </c>
      <c r="M21" s="114">
        <v>312</v>
      </c>
      <c r="N21" s="39">
        <f t="shared" si="15"/>
        <v>0.5</v>
      </c>
      <c r="O21" s="47">
        <f>69*1.05</f>
        <v>72.45</v>
      </c>
      <c r="P21" s="39">
        <v>0</v>
      </c>
      <c r="Q21" s="471">
        <f>2511300/325851/1.9835*1.02</f>
        <v>3.9632138364854463</v>
      </c>
      <c r="R21" s="73">
        <f>IF(((6.7*1.04)-T21)&gt;=4.2,4.2,(6.7*1.04)-T21)</f>
        <v>4.2</v>
      </c>
      <c r="S21" s="73">
        <f>IF(((6.7*1.04)-T21)&gt;=4.2,((6.7*1.04)-T21)-4.2,0)</f>
        <v>1.0805563200000003</v>
      </c>
      <c r="T21" s="73">
        <f t="shared" si="30"/>
        <v>1.6874436799999999</v>
      </c>
      <c r="U21" s="131">
        <v>0</v>
      </c>
      <c r="V21" s="47">
        <v>37</v>
      </c>
      <c r="W21" s="47">
        <v>63</v>
      </c>
      <c r="X21" s="47">
        <f>IF(B21="",0,M21-N21-O21-P21-Q21-R21-S21-T21-U21+V21+W21-MAX(AP21-AQ21,0)-BA21+AY21)</f>
        <v>361.89229669820253</v>
      </c>
      <c r="Y21" s="47">
        <f t="shared" si="17"/>
        <v>361.89229669820253</v>
      </c>
      <c r="Z21" s="55">
        <f t="shared" si="24"/>
        <v>8597.2007316912368</v>
      </c>
      <c r="AA21" s="47">
        <f t="shared" si="18"/>
        <v>290.25551053468797</v>
      </c>
      <c r="AB21" s="55"/>
      <c r="AC21" s="55">
        <f t="shared" si="25"/>
        <v>1533.5854051529216</v>
      </c>
      <c r="AD21" s="490"/>
      <c r="AE21" s="498"/>
      <c r="AF21" s="639">
        <f t="shared" si="26"/>
        <v>8754.9688212972815</v>
      </c>
      <c r="AG21" s="47">
        <v>247</v>
      </c>
      <c r="AH21" s="114">
        <v>1.7</v>
      </c>
      <c r="AI21" s="212">
        <v>1.3</v>
      </c>
      <c r="AJ21" s="47">
        <v>50</v>
      </c>
      <c r="AK21" s="55">
        <f t="shared" si="27"/>
        <v>9382.511822044311</v>
      </c>
      <c r="AL21" s="55"/>
      <c r="AM21" s="180">
        <f t="shared" si="4"/>
        <v>709.00000000000011</v>
      </c>
      <c r="AN21" s="47">
        <f t="shared" si="5"/>
        <v>48.073481220065446</v>
      </c>
      <c r="AO21" s="47">
        <f t="shared" si="28"/>
        <v>757.07348122006556</v>
      </c>
      <c r="AP21" s="134"/>
      <c r="AQ21" s="540"/>
      <c r="AR21" s="45"/>
      <c r="AS21" s="43">
        <f t="shared" si="6"/>
        <v>-290.25551053468797</v>
      </c>
      <c r="AT21" s="492">
        <v>0.33</v>
      </c>
      <c r="AU21" s="493">
        <f t="shared" si="19"/>
        <v>0.23099999999999998</v>
      </c>
      <c r="AV21" s="494">
        <f>IF(AT21="",0,VLOOKUP(ROUNDDOWN(TEXT(B21,"0000"),-1),VLOOKUP!$M$3:$W$32,RIGHT(TEXT(B21,"0000"),1)+2,FALSE))</f>
        <v>3417</v>
      </c>
      <c r="AW21" s="494">
        <f t="shared" si="20"/>
        <v>65.777249999999995</v>
      </c>
      <c r="AX21" s="39">
        <f t="shared" si="29"/>
        <v>13.17486656407778</v>
      </c>
      <c r="AY21" s="618">
        <v>33.773510534687944</v>
      </c>
      <c r="AZ21" s="180">
        <f t="shared" si="21"/>
        <v>7.86</v>
      </c>
      <c r="BA21" s="23"/>
      <c r="BB21" s="23"/>
      <c r="BC21" s="202">
        <v>0</v>
      </c>
      <c r="BD21" s="45">
        <v>92</v>
      </c>
      <c r="BE21" s="45">
        <v>58</v>
      </c>
      <c r="BF21" s="377"/>
      <c r="BG21" s="385">
        <f t="shared" si="7"/>
        <v>11.431213836485446</v>
      </c>
      <c r="BH21" s="60">
        <v>8.25</v>
      </c>
      <c r="BI21" s="445">
        <v>18884</v>
      </c>
      <c r="BJ21" s="296">
        <f t="shared" si="8"/>
        <v>0</v>
      </c>
      <c r="BK21" s="591">
        <f t="shared" si="9"/>
        <v>0</v>
      </c>
      <c r="BM21" s="574">
        <f t="shared" si="22"/>
        <v>7</v>
      </c>
      <c r="BN21" s="559">
        <v>6891.07</v>
      </c>
      <c r="BO21" s="575">
        <f t="shared" si="10"/>
        <v>0.1500000000005457</v>
      </c>
      <c r="BP21" s="576">
        <v>49.238541666666684</v>
      </c>
      <c r="BQ21" s="576">
        <f t="shared" si="23"/>
        <v>0.76145833333331581</v>
      </c>
    </row>
    <row r="22" spans="1:69" customFormat="1" ht="12.75" customHeight="1">
      <c r="A22" s="48">
        <f t="shared" si="11"/>
        <v>8</v>
      </c>
      <c r="B22" s="104">
        <v>6890.81</v>
      </c>
      <c r="C22" s="483">
        <f>IF(B22="",C21,VLOOKUP(TRUNC(B22,1),VLOOKUP!$A$3:$K$2834,RIGHT(TEXT(B22,"0000.00"),1)+2,FALSE))</f>
        <v>250923</v>
      </c>
      <c r="D22" s="45">
        <f t="shared" si="12"/>
        <v>-1401</v>
      </c>
      <c r="E22" s="55">
        <f t="shared" si="0"/>
        <v>98923</v>
      </c>
      <c r="F22" s="112">
        <f t="shared" si="13"/>
        <v>-706.32719939500885</v>
      </c>
      <c r="G22" s="47">
        <v>74</v>
      </c>
      <c r="H22" s="42">
        <v>0</v>
      </c>
      <c r="I22" s="47">
        <f>G22+H22</f>
        <v>74</v>
      </c>
      <c r="J22" s="42">
        <f t="shared" si="14"/>
        <v>0</v>
      </c>
      <c r="K22" s="47">
        <f t="shared" si="2"/>
        <v>74</v>
      </c>
      <c r="L22" s="212">
        <f t="shared" si="3"/>
        <v>-43.327199395008847</v>
      </c>
      <c r="M22" s="114">
        <v>318</v>
      </c>
      <c r="N22" s="39">
        <f t="shared" si="15"/>
        <v>0.5</v>
      </c>
      <c r="O22" s="47">
        <f>84*1.05</f>
        <v>88.2</v>
      </c>
      <c r="P22" s="39">
        <v>0</v>
      </c>
      <c r="Q22" s="471">
        <f>2537000/325851/1.9835*1.02</f>
        <v>4.0037723502423352</v>
      </c>
      <c r="R22" s="73">
        <f>IF(((6.8*1.04)-T22)&gt;=4.2,4.2,(6.8*1.04)-T22)</f>
        <v>4.2</v>
      </c>
      <c r="S22" s="73">
        <f>IF(((6.8*1.04)-T22)&gt;=4.2,((6.8*1.04)-T22)-4.2,0)</f>
        <v>1.1845563199999996</v>
      </c>
      <c r="T22" s="73">
        <f t="shared" si="30"/>
        <v>1.6874436799999999</v>
      </c>
      <c r="U22" s="131">
        <v>0</v>
      </c>
      <c r="V22" s="47">
        <v>33</v>
      </c>
      <c r="W22" s="47">
        <v>64</v>
      </c>
      <c r="X22" s="47">
        <f t="shared" si="16"/>
        <v>348.99773818444561</v>
      </c>
      <c r="Y22" s="47">
        <f t="shared" si="17"/>
        <v>348.99773818444561</v>
      </c>
      <c r="Z22" s="55">
        <f t="shared" si="24"/>
        <v>8312.2992211565488</v>
      </c>
      <c r="AA22" s="47">
        <f t="shared" si="18"/>
        <v>284.90151053468793</v>
      </c>
      <c r="AB22" s="55"/>
      <c r="AC22" s="55">
        <f t="shared" si="25"/>
        <v>1534.803173459411</v>
      </c>
      <c r="AD22" s="490"/>
      <c r="AE22" s="498"/>
      <c r="AF22" s="639">
        <f t="shared" si="26"/>
        <v>8754.9688212972815</v>
      </c>
      <c r="AG22" s="47">
        <v>272</v>
      </c>
      <c r="AH22" s="114">
        <v>1.7</v>
      </c>
      <c r="AI22" s="212">
        <v>1.3</v>
      </c>
      <c r="AJ22" s="47">
        <v>50</v>
      </c>
      <c r="AK22" s="55">
        <f t="shared" si="27"/>
        <v>9332.511822044311</v>
      </c>
      <c r="AL22" s="55"/>
      <c r="AM22" s="180">
        <f>N22+O22+P22+Q22+R22+S22+T22+U22+X22+AG22+AJ22-IF(AY22="",0,AY22)</f>
        <v>737</v>
      </c>
      <c r="AN22" s="47">
        <f t="shared" si="5"/>
        <v>43.327199395008847</v>
      </c>
      <c r="AO22" s="47">
        <f t="shared" si="28"/>
        <v>780.32719939500885</v>
      </c>
      <c r="AP22" s="134"/>
      <c r="AQ22" s="540"/>
      <c r="AR22" s="45"/>
      <c r="AS22" s="43">
        <f t="shared" si="6"/>
        <v>-284.90151053468793</v>
      </c>
      <c r="AT22" s="492">
        <v>0.31</v>
      </c>
      <c r="AU22" s="493">
        <f t="shared" si="19"/>
        <v>0.217</v>
      </c>
      <c r="AV22" s="494">
        <f>IF(AT22="",0,VLOOKUP(ROUNDDOWN(TEXT(B22,"0000"),-1),VLOOKUP!$M$3:$W$32,RIGHT(TEXT(B22,"0000"),1)+2,FALSE))</f>
        <v>3417</v>
      </c>
      <c r="AW22" s="494">
        <f t="shared" si="20"/>
        <v>61.790750000000003</v>
      </c>
      <c r="AX22" s="39">
        <f t="shared" si="29"/>
        <v>12.200197094532568</v>
      </c>
      <c r="AY22" s="618">
        <v>33.773510534687944</v>
      </c>
      <c r="AZ22" s="180">
        <f t="shared" si="21"/>
        <v>7.86</v>
      </c>
      <c r="BA22" s="23"/>
      <c r="BB22" s="23"/>
      <c r="BC22" s="202">
        <v>0</v>
      </c>
      <c r="BD22" s="45">
        <v>91</v>
      </c>
      <c r="BE22" s="45">
        <v>52</v>
      </c>
      <c r="BF22" s="377"/>
      <c r="BG22" s="385">
        <f t="shared" si="7"/>
        <v>11.575772350242334</v>
      </c>
      <c r="BH22" s="60">
        <v>8.2899999999999991</v>
      </c>
      <c r="BI22" s="445">
        <v>18859</v>
      </c>
      <c r="BJ22" s="296">
        <f t="shared" si="8"/>
        <v>0</v>
      </c>
      <c r="BK22" s="591">
        <f t="shared" si="9"/>
        <v>0</v>
      </c>
      <c r="BM22" s="574">
        <f t="shared" si="22"/>
        <v>8</v>
      </c>
      <c r="BN22" s="559">
        <v>6890.67</v>
      </c>
      <c r="BO22" s="575">
        <f t="shared" si="10"/>
        <v>0.14000000000032742</v>
      </c>
      <c r="BP22" s="576">
        <v>49.246874999999996</v>
      </c>
      <c r="BQ22" s="576">
        <f t="shared" si="23"/>
        <v>0.75312500000000426</v>
      </c>
    </row>
    <row r="23" spans="1:69" customFormat="1" ht="12.95" customHeight="1">
      <c r="A23" s="48">
        <f t="shared" si="11"/>
        <v>9</v>
      </c>
      <c r="B23" s="104">
        <v>6890.38</v>
      </c>
      <c r="C23" s="483">
        <f>IF(B23="",C22,VLOOKUP(TRUNC(B23,1),VLOOKUP!$A$3:$K$2834,RIGHT(TEXT(B23,"0000.00"),1)+2,FALSE))</f>
        <v>249460</v>
      </c>
      <c r="D23" s="45">
        <f t="shared" si="12"/>
        <v>-1463</v>
      </c>
      <c r="E23" s="55">
        <f t="shared" si="0"/>
        <v>97460</v>
      </c>
      <c r="F23" s="112">
        <f t="shared" si="13"/>
        <v>-737.5850768842954</v>
      </c>
      <c r="G23" s="47">
        <v>70.5</v>
      </c>
      <c r="H23" s="42">
        <v>0</v>
      </c>
      <c r="I23" s="47">
        <f>G23+H23</f>
        <v>70.5</v>
      </c>
      <c r="J23" s="42">
        <f t="shared" si="14"/>
        <v>0</v>
      </c>
      <c r="K23" s="47">
        <f t="shared" si="2"/>
        <v>70.5</v>
      </c>
      <c r="L23" s="212">
        <f t="shared" si="3"/>
        <v>-48.085076884295404</v>
      </c>
      <c r="M23" s="114">
        <v>321</v>
      </c>
      <c r="N23" s="39">
        <f t="shared" si="15"/>
        <v>0.5</v>
      </c>
      <c r="O23" s="47">
        <f>82*1.05</f>
        <v>86.100000000000009</v>
      </c>
      <c r="P23" s="39">
        <v>0</v>
      </c>
      <c r="Q23" s="471">
        <f>2646600/325851/1.9835*1.02</f>
        <v>4.1767378408164628</v>
      </c>
      <c r="R23" s="73">
        <f>IF(((8.1*1.04)-T23)&gt;=4.2,4.2,(8.1*1.04)-T23)</f>
        <v>4.2</v>
      </c>
      <c r="S23" s="73">
        <f>IF(((8.1*1.04)-T23)&gt;=4.2,((8.1*1.04)-T23)-4.2,0)</f>
        <v>2.5365563199999999</v>
      </c>
      <c r="T23" s="73">
        <f t="shared" si="30"/>
        <v>1.6874436799999999</v>
      </c>
      <c r="U23" s="131">
        <v>0</v>
      </c>
      <c r="V23" s="47">
        <v>29</v>
      </c>
      <c r="W23" s="47">
        <v>66</v>
      </c>
      <c r="X23" s="47">
        <f t="shared" si="16"/>
        <v>350.57277269387146</v>
      </c>
      <c r="Y23" s="47">
        <f t="shared" si="17"/>
        <v>350.57277269387146</v>
      </c>
      <c r="Z23" s="55">
        <f t="shared" si="24"/>
        <v>8022.1497106218612</v>
      </c>
      <c r="AA23" s="47">
        <f t="shared" si="18"/>
        <v>290.14951053468792</v>
      </c>
      <c r="AB23" s="55"/>
      <c r="AC23" s="55">
        <f t="shared" si="25"/>
        <v>1536.5123304573779</v>
      </c>
      <c r="AD23" s="490"/>
      <c r="AE23" s="498"/>
      <c r="AF23" s="639">
        <f t="shared" si="26"/>
        <v>8754.9688212972815</v>
      </c>
      <c r="AG23" s="47">
        <v>294</v>
      </c>
      <c r="AH23" s="114">
        <v>1.7</v>
      </c>
      <c r="AI23" s="212">
        <v>1.3</v>
      </c>
      <c r="AJ23" s="47">
        <v>50</v>
      </c>
      <c r="AK23" s="55">
        <f t="shared" si="27"/>
        <v>9282.511822044311</v>
      </c>
      <c r="AL23" s="55"/>
      <c r="AM23" s="180">
        <f t="shared" ref="AM23:AM45" si="31">N23+O23+P23+Q23+R23+S23+T23+U23+X23+AG23+AJ23-IF(AY23="",0,AY23)</f>
        <v>760</v>
      </c>
      <c r="AN23" s="47">
        <f t="shared" si="5"/>
        <v>48.085076884295404</v>
      </c>
      <c r="AO23" s="47">
        <f t="shared" si="28"/>
        <v>808.0850768842954</v>
      </c>
      <c r="AP23" s="134"/>
      <c r="AQ23" s="540"/>
      <c r="AR23" s="45"/>
      <c r="AS23" s="43">
        <f t="shared" si="6"/>
        <v>-290.14951053468792</v>
      </c>
      <c r="AT23" s="492">
        <v>0.35</v>
      </c>
      <c r="AU23" s="493">
        <f t="shared" si="19"/>
        <v>0.24499999999999997</v>
      </c>
      <c r="AV23" s="494">
        <f>IF(AT23="",0,VLOOKUP(ROUNDDOWN(TEXT(B23,"0000"),-1),VLOOKUP!$M$3:$W$32,RIGHT(TEXT(B23,"0000"),1)+2,FALSE))</f>
        <v>3384</v>
      </c>
      <c r="AW23" s="494">
        <f t="shared" si="20"/>
        <v>69.089999999999989</v>
      </c>
      <c r="AX23" s="39">
        <f t="shared" si="29"/>
        <v>13.440582695356344</v>
      </c>
      <c r="AY23" s="618">
        <v>33.773510534687944</v>
      </c>
      <c r="AZ23" s="180">
        <f t="shared" si="21"/>
        <v>7.86</v>
      </c>
      <c r="BA23" s="23"/>
      <c r="BB23" s="23"/>
      <c r="BC23" s="202">
        <v>0</v>
      </c>
      <c r="BD23" s="56">
        <v>92</v>
      </c>
      <c r="BE23" s="45">
        <v>53</v>
      </c>
      <c r="BF23" s="377"/>
      <c r="BG23" s="385">
        <f t="shared" si="7"/>
        <v>13.100737840816462</v>
      </c>
      <c r="BH23" s="60">
        <v>8.2899999999999991</v>
      </c>
      <c r="BI23" s="445">
        <v>18833</v>
      </c>
      <c r="BJ23" s="296">
        <f t="shared" si="8"/>
        <v>0</v>
      </c>
      <c r="BK23" s="591">
        <f t="shared" si="9"/>
        <v>0</v>
      </c>
      <c r="BM23" s="574">
        <f t="shared" si="22"/>
        <v>9</v>
      </c>
      <c r="BN23" s="559">
        <v>6890.24</v>
      </c>
      <c r="BO23" s="575">
        <f t="shared" si="10"/>
        <v>0.14000000000032742</v>
      </c>
      <c r="BP23" s="576">
        <v>49.065625000000018</v>
      </c>
      <c r="BQ23" s="576">
        <f t="shared" si="23"/>
        <v>0.93437499999998153</v>
      </c>
    </row>
    <row r="24" spans="1:69" customFormat="1" ht="12.95" customHeight="1">
      <c r="A24" s="48">
        <f t="shared" si="11"/>
        <v>10</v>
      </c>
      <c r="B24" s="104">
        <v>6889.97</v>
      </c>
      <c r="C24" s="483">
        <f>IF(B24="",C23,VLOOKUP(TRUNC(B24,1),VLOOKUP!$A$3:$K$2834,RIGHT(TEXT(B24,"0000.00"),1)+2,FALSE))</f>
        <v>248067</v>
      </c>
      <c r="D24" s="45">
        <f t="shared" si="12"/>
        <v>-1393</v>
      </c>
      <c r="E24" s="55">
        <f t="shared" si="0"/>
        <v>96067</v>
      </c>
      <c r="F24" s="112">
        <f t="shared" si="13"/>
        <v>-702.29392488026213</v>
      </c>
      <c r="G24" s="47">
        <v>65.2</v>
      </c>
      <c r="H24" s="42">
        <v>0</v>
      </c>
      <c r="I24" s="47">
        <f>G24+H24</f>
        <v>65.2</v>
      </c>
      <c r="J24" s="42">
        <f t="shared" si="14"/>
        <v>0</v>
      </c>
      <c r="K24" s="47">
        <f t="shared" si="2"/>
        <v>65.2</v>
      </c>
      <c r="L24" s="212">
        <f t="shared" si="3"/>
        <v>-19.493924880262284</v>
      </c>
      <c r="M24" s="114">
        <v>314</v>
      </c>
      <c r="N24" s="39">
        <v>3.85</v>
      </c>
      <c r="O24" s="47">
        <f>81*1.05</f>
        <v>85.05</v>
      </c>
      <c r="P24" s="39">
        <v>0</v>
      </c>
      <c r="Q24" s="471">
        <f>2509100/325851/1.9835*1.02</f>
        <v>3.9597419014556734</v>
      </c>
      <c r="R24" s="73">
        <f>IF(((7.9*1.04)-T24)&gt;=4.2,4.2,(7.9*1.04)-T24)</f>
        <v>4.2</v>
      </c>
      <c r="S24" s="73">
        <f>IF(((7.9*1.04)-T24)&gt;=4.2,((7.9*1.04)-T24)-4.2,0)</f>
        <v>2.4228115200000007</v>
      </c>
      <c r="T24" s="73">
        <f>(1.4452*1.06)*1.04</f>
        <v>1.5931884800000002</v>
      </c>
      <c r="U24" s="131">
        <v>0</v>
      </c>
      <c r="V24" s="47">
        <v>35</v>
      </c>
      <c r="W24" s="47">
        <v>68</v>
      </c>
      <c r="X24" s="47">
        <f t="shared" si="16"/>
        <v>349.69776863323222</v>
      </c>
      <c r="Y24" s="47">
        <f t="shared" si="17"/>
        <v>349.69776863323222</v>
      </c>
      <c r="Z24" s="55">
        <f t="shared" si="24"/>
        <v>7727.7922000871731</v>
      </c>
      <c r="AA24" s="47">
        <f t="shared" si="18"/>
        <v>294.35751053468789</v>
      </c>
      <c r="AB24" s="55"/>
      <c r="AC24" s="55">
        <f t="shared" si="25"/>
        <v>1537.5961355013121</v>
      </c>
      <c r="AD24" s="490"/>
      <c r="AE24" s="498"/>
      <c r="AF24" s="639">
        <f t="shared" si="26"/>
        <v>8754.9688212972815</v>
      </c>
      <c r="AG24" s="47">
        <v>281</v>
      </c>
      <c r="AH24" s="114">
        <v>1.7</v>
      </c>
      <c r="AI24" s="212">
        <v>1.3</v>
      </c>
      <c r="AJ24" s="47">
        <v>50</v>
      </c>
      <c r="AK24" s="55">
        <f t="shared" si="27"/>
        <v>9232.511822044311</v>
      </c>
      <c r="AL24" s="55"/>
      <c r="AM24" s="180">
        <f t="shared" si="31"/>
        <v>747.99999999999989</v>
      </c>
      <c r="AN24" s="47">
        <f t="shared" si="5"/>
        <v>19.493924880262284</v>
      </c>
      <c r="AO24" s="47">
        <f t="shared" si="28"/>
        <v>767.49392488026217</v>
      </c>
      <c r="AP24" s="134"/>
      <c r="AQ24" s="540"/>
      <c r="AR24" s="45"/>
      <c r="AS24" s="43">
        <f t="shared" si="6"/>
        <v>-294.35751053468789</v>
      </c>
      <c r="AT24" s="492">
        <v>0.38</v>
      </c>
      <c r="AU24" s="493">
        <f t="shared" si="19"/>
        <v>0.26599999999999996</v>
      </c>
      <c r="AV24" s="494">
        <f>IF(AT24="",0,VLOOKUP(ROUNDDOWN(TEXT(B24,"0000"),-1),VLOOKUP!$M$3:$W$32,RIGHT(TEXT(B24,"0000"),1)+2,FALSE))</f>
        <v>3384</v>
      </c>
      <c r="AW24" s="494">
        <f t="shared" si="20"/>
        <v>75.011999999999986</v>
      </c>
      <c r="AX24" s="39">
        <f t="shared" si="29"/>
        <v>14.350014750602657</v>
      </c>
      <c r="AY24" s="618">
        <v>33.773510534687944</v>
      </c>
      <c r="AZ24" s="180">
        <f t="shared" si="21"/>
        <v>7.86</v>
      </c>
      <c r="BA24" s="23"/>
      <c r="BB24" s="23"/>
      <c r="BC24" s="202">
        <v>0</v>
      </c>
      <c r="BD24" s="45">
        <v>95</v>
      </c>
      <c r="BE24" s="45">
        <v>53</v>
      </c>
      <c r="BF24" s="377"/>
      <c r="BG24" s="385">
        <f t="shared" si="7"/>
        <v>16.025741901455675</v>
      </c>
      <c r="BH24" s="60">
        <v>8.1</v>
      </c>
      <c r="BI24" s="445">
        <v>18806</v>
      </c>
      <c r="BJ24" s="296">
        <f t="shared" si="8"/>
        <v>0</v>
      </c>
      <c r="BK24" s="591">
        <f t="shared" si="9"/>
        <v>0</v>
      </c>
      <c r="BM24" s="574">
        <f t="shared" si="22"/>
        <v>10</v>
      </c>
      <c r="BN24" s="559">
        <v>6889.82</v>
      </c>
      <c r="BO24" s="575">
        <f t="shared" si="10"/>
        <v>0.1500000000005457</v>
      </c>
      <c r="BP24" s="576">
        <v>44.364583333333378</v>
      </c>
      <c r="BQ24" s="576">
        <f t="shared" si="23"/>
        <v>5.6354166666666217</v>
      </c>
    </row>
    <row r="25" spans="1:69" customFormat="1" ht="12.95" customHeight="1">
      <c r="A25" s="48">
        <f t="shared" si="11"/>
        <v>11</v>
      </c>
      <c r="B25" s="104">
        <v>6889.54</v>
      </c>
      <c r="C25" s="483">
        <f>IF(B25="",C24,VLOOKUP(TRUNC(B25,1),VLOOKUP!$A$3:$K$2834,RIGHT(TEXT(B25,"0000.00"),1)+2,FALSE))</f>
        <v>246619</v>
      </c>
      <c r="D25" s="45">
        <f t="shared" si="12"/>
        <v>-1448</v>
      </c>
      <c r="E25" s="55">
        <f t="shared" si="0"/>
        <v>94619</v>
      </c>
      <c r="F25" s="112">
        <f t="shared" si="13"/>
        <v>-730.02268716914546</v>
      </c>
      <c r="G25" s="47">
        <v>60.9</v>
      </c>
      <c r="H25" s="42">
        <v>0</v>
      </c>
      <c r="I25" s="47">
        <f t="shared" si="1"/>
        <v>60.9</v>
      </c>
      <c r="J25" s="42">
        <f t="shared" si="14"/>
        <v>0</v>
      </c>
      <c r="K25" s="47">
        <f t="shared" si="2"/>
        <v>60.9</v>
      </c>
      <c r="L25" s="212">
        <f t="shared" si="3"/>
        <v>-25.92268716914532</v>
      </c>
      <c r="M25" s="114">
        <v>326</v>
      </c>
      <c r="N25" s="39">
        <v>6.76</v>
      </c>
      <c r="O25" s="47">
        <f>93*1.05</f>
        <v>97.65</v>
      </c>
      <c r="P25" s="39">
        <v>0</v>
      </c>
      <c r="Q25" s="471">
        <f>2483300/325851/1.9835*1.02</f>
        <v>3.9190255724701584</v>
      </c>
      <c r="R25" s="73">
        <f>IF(((7.2*1.04)-T25)&gt;=4.2,4.2,(7.2*1.04)-T25)</f>
        <v>4.2</v>
      </c>
      <c r="S25" s="73">
        <f>IF(((7.2*1.04)-T25)&gt;=4.2,((7.2*1.04)-T25)-4.2,0)</f>
        <v>1.69481152</v>
      </c>
      <c r="T25" s="73">
        <f t="shared" ref="T25:T30" si="32">(1.4452*1.06)*1.04</f>
        <v>1.5931884800000002</v>
      </c>
      <c r="U25" s="131">
        <v>0</v>
      </c>
      <c r="V25" s="47">
        <v>42</v>
      </c>
      <c r="W25" s="47">
        <v>67</v>
      </c>
      <c r="X25" s="47">
        <f t="shared" si="16"/>
        <v>352.95648496221781</v>
      </c>
      <c r="Y25" s="47">
        <f t="shared" si="17"/>
        <v>352.95648496221781</v>
      </c>
      <c r="Z25" s="55">
        <f t="shared" si="24"/>
        <v>7425.916689552485</v>
      </c>
      <c r="AA25" s="47">
        <f t="shared" si="18"/>
        <v>301.87551053468798</v>
      </c>
      <c r="AB25" s="616"/>
      <c r="AC25" s="55">
        <f t="shared" si="25"/>
        <v>1538.2214419038314</v>
      </c>
      <c r="AD25" s="490"/>
      <c r="AE25" s="498"/>
      <c r="AF25" s="639">
        <f t="shared" si="26"/>
        <v>8754.9688212972815</v>
      </c>
      <c r="AG25" s="47">
        <v>280</v>
      </c>
      <c r="AH25" s="114">
        <v>1.7</v>
      </c>
      <c r="AI25" s="212">
        <v>1.3</v>
      </c>
      <c r="AJ25" s="47">
        <v>50</v>
      </c>
      <c r="AK25" s="55">
        <f t="shared" si="27"/>
        <v>9182.511822044311</v>
      </c>
      <c r="AL25" s="55"/>
      <c r="AM25" s="180">
        <f t="shared" si="31"/>
        <v>765.00000000000011</v>
      </c>
      <c r="AN25" s="47">
        <f t="shared" si="5"/>
        <v>25.92268716914532</v>
      </c>
      <c r="AO25" s="47">
        <f t="shared" si="28"/>
        <v>790.92268716914543</v>
      </c>
      <c r="AP25" s="134"/>
      <c r="AQ25" s="540"/>
      <c r="AR25" s="45"/>
      <c r="AS25" s="43">
        <f t="shared" si="6"/>
        <v>-301.87551053468798</v>
      </c>
      <c r="AT25" s="492">
        <v>0.45</v>
      </c>
      <c r="AU25" s="493">
        <f t="shared" si="19"/>
        <v>0.315</v>
      </c>
      <c r="AV25" s="494">
        <f>IF(AT25="",0,VLOOKUP(ROUNDDOWN(TEXT(B25,"0000"),-1),VLOOKUP!$M$3:$W$32,RIGHT(TEXT(B25,"0000"),1)+2,FALSE))</f>
        <v>3384</v>
      </c>
      <c r="AW25" s="494">
        <f t="shared" si="20"/>
        <v>88.83</v>
      </c>
      <c r="AX25" s="39">
        <f t="shared" si="29"/>
        <v>16.692525687186976</v>
      </c>
      <c r="AY25" s="618">
        <v>33.773510534687944</v>
      </c>
      <c r="AZ25" s="180">
        <f t="shared" si="21"/>
        <v>7.86</v>
      </c>
      <c r="BA25" s="23"/>
      <c r="BB25" s="23"/>
      <c r="BC25" s="202">
        <v>0</v>
      </c>
      <c r="BD25" s="45">
        <v>98</v>
      </c>
      <c r="BE25" s="45">
        <v>57</v>
      </c>
      <c r="BF25" s="377"/>
      <c r="BG25" s="385">
        <f t="shared" si="7"/>
        <v>18.167025572470159</v>
      </c>
      <c r="BH25" s="60">
        <v>8.1</v>
      </c>
      <c r="BI25" s="445">
        <v>18781</v>
      </c>
      <c r="BJ25" s="296">
        <f t="shared" si="8"/>
        <v>0</v>
      </c>
      <c r="BK25" s="591">
        <f t="shared" si="9"/>
        <v>0</v>
      </c>
      <c r="BM25" s="574">
        <f t="shared" si="22"/>
        <v>11</v>
      </c>
      <c r="BN25" s="559">
        <v>6889.38</v>
      </c>
      <c r="BO25" s="575">
        <f t="shared" si="10"/>
        <v>0.15999999999985448</v>
      </c>
      <c r="BP25" s="576">
        <v>49.043750000000053</v>
      </c>
      <c r="BQ25" s="576">
        <f t="shared" si="23"/>
        <v>0.95624999999994742</v>
      </c>
    </row>
    <row r="26" spans="1:69" customFormat="1" ht="12.95" customHeight="1">
      <c r="A26" s="48">
        <f t="shared" si="11"/>
        <v>12</v>
      </c>
      <c r="B26" s="104">
        <v>6889.12</v>
      </c>
      <c r="C26" s="483">
        <f>IF(B26="",C25,VLOOKUP(TRUNC(B26,1),VLOOKUP!$A$3:$K$2834,RIGHT(TEXT(B26,"0000.00"),1)+2,FALSE))</f>
        <v>245205</v>
      </c>
      <c r="D26" s="45">
        <f t="shared" si="12"/>
        <v>-1414</v>
      </c>
      <c r="E26" s="55">
        <f t="shared" si="0"/>
        <v>93205</v>
      </c>
      <c r="F26" s="112">
        <f t="shared" si="13"/>
        <v>-712.88127048147214</v>
      </c>
      <c r="G26" s="47">
        <v>59.1</v>
      </c>
      <c r="H26" s="42">
        <v>0</v>
      </c>
      <c r="I26" s="47">
        <f t="shared" si="1"/>
        <v>59.1</v>
      </c>
      <c r="J26" s="42">
        <f t="shared" si="14"/>
        <v>0</v>
      </c>
      <c r="K26" s="47">
        <f t="shared" si="2"/>
        <v>59.1</v>
      </c>
      <c r="L26" s="212">
        <f t="shared" si="3"/>
        <v>-32.981270481472166</v>
      </c>
      <c r="M26" s="114">
        <v>317</v>
      </c>
      <c r="N26" s="39">
        <v>8.65</v>
      </c>
      <c r="O26" s="47">
        <f>89*1.05</f>
        <v>93.45</v>
      </c>
      <c r="P26" s="39">
        <v>0</v>
      </c>
      <c r="Q26" s="471">
        <f>2939900/325851/1.9835*1.02</f>
        <v>4.6396099063766023</v>
      </c>
      <c r="R26" s="73">
        <f>IF(((6.8*1.04)-T26)&gt;=4.2,4.2,(6.8*1.04)-T26)</f>
        <v>4.2</v>
      </c>
      <c r="S26" s="73">
        <f>IF(((6.8*1.04)-T26)&gt;=4.2,((6.8*1.04)-T26)-4.2,0)</f>
        <v>1.2788115199999996</v>
      </c>
      <c r="T26" s="73">
        <f t="shared" si="32"/>
        <v>1.5931884800000002</v>
      </c>
      <c r="U26" s="131">
        <v>0</v>
      </c>
      <c r="V26" s="47">
        <v>46</v>
      </c>
      <c r="W26" s="47">
        <v>67</v>
      </c>
      <c r="X26" s="47">
        <f t="shared" si="16"/>
        <v>349.96190062831135</v>
      </c>
      <c r="Y26" s="47">
        <f t="shared" si="17"/>
        <v>349.96190062831135</v>
      </c>
      <c r="Z26" s="55">
        <f t="shared" si="24"/>
        <v>7124.515179017797</v>
      </c>
      <c r="AA26" s="47">
        <f t="shared" si="18"/>
        <v>301.40151053468793</v>
      </c>
      <c r="AB26" s="616"/>
      <c r="AC26" s="55">
        <f t="shared" si="25"/>
        <v>1537.6657495987206</v>
      </c>
      <c r="AD26" s="490"/>
      <c r="AE26" s="498"/>
      <c r="AF26" s="639">
        <f t="shared" si="26"/>
        <v>8754.9688212972815</v>
      </c>
      <c r="AG26" s="47">
        <v>259</v>
      </c>
      <c r="AH26" s="114">
        <v>1.7</v>
      </c>
      <c r="AI26" s="212">
        <v>1.3</v>
      </c>
      <c r="AJ26" s="47">
        <v>50</v>
      </c>
      <c r="AK26" s="55">
        <f t="shared" si="27"/>
        <v>9132.511822044311</v>
      </c>
      <c r="AL26" s="55"/>
      <c r="AM26" s="180">
        <f t="shared" si="31"/>
        <v>739</v>
      </c>
      <c r="AN26" s="47">
        <f t="shared" si="5"/>
        <v>32.981270481472166</v>
      </c>
      <c r="AO26" s="47">
        <f t="shared" si="28"/>
        <v>771.98127048147217</v>
      </c>
      <c r="AP26" s="134"/>
      <c r="AQ26" s="540"/>
      <c r="AR26" s="45"/>
      <c r="AS26" s="43">
        <f t="shared" si="6"/>
        <v>-301.40151053468793</v>
      </c>
      <c r="AT26" s="492">
        <v>0.46</v>
      </c>
      <c r="AU26" s="493">
        <f t="shared" si="19"/>
        <v>0.32200000000000001</v>
      </c>
      <c r="AV26" s="494">
        <f>IF(AT26="",0,VLOOKUP(ROUNDDOWN(TEXT(B26,"0000"),-1),VLOOKUP!$M$3:$W$32,RIGHT(TEXT(B26,"0000"),1)+2,FALSE))</f>
        <v>3350</v>
      </c>
      <c r="AW26" s="494">
        <f t="shared" si="20"/>
        <v>89.891666666666666</v>
      </c>
      <c r="AX26" s="39">
        <f t="shared" si="29"/>
        <v>16.570655074862085</v>
      </c>
      <c r="AY26" s="618">
        <v>33.773510534687944</v>
      </c>
      <c r="AZ26" s="180">
        <f t="shared" si="21"/>
        <v>7.86</v>
      </c>
      <c r="BA26" s="23"/>
      <c r="BB26" s="23"/>
      <c r="BC26" s="202">
        <v>0</v>
      </c>
      <c r="BD26" s="45">
        <v>99</v>
      </c>
      <c r="BE26" s="45">
        <v>59</v>
      </c>
      <c r="BF26" s="377"/>
      <c r="BG26" s="385">
        <f t="shared" si="7"/>
        <v>20.361609906376607</v>
      </c>
      <c r="BH26" s="60">
        <v>8.1</v>
      </c>
      <c r="BI26" s="445">
        <v>18762</v>
      </c>
      <c r="BJ26" s="296">
        <f t="shared" si="8"/>
        <v>0</v>
      </c>
      <c r="BK26" s="591">
        <f t="shared" si="9"/>
        <v>0</v>
      </c>
      <c r="BM26" s="574">
        <f t="shared" si="22"/>
        <v>12</v>
      </c>
      <c r="BN26" s="559">
        <v>6888.95</v>
      </c>
      <c r="BO26" s="575">
        <f t="shared" si="10"/>
        <v>0.17000000000007276</v>
      </c>
      <c r="BP26" s="576">
        <v>48.909375000000075</v>
      </c>
      <c r="BQ26" s="576">
        <f t="shared" si="23"/>
        <v>1.0906249999999247</v>
      </c>
    </row>
    <row r="27" spans="1:69" customFormat="1" ht="12.95" customHeight="1">
      <c r="A27" s="48">
        <f t="shared" si="11"/>
        <v>13</v>
      </c>
      <c r="B27" s="104">
        <v>6888.68</v>
      </c>
      <c r="C27" s="483">
        <f>IF(B27="",C26,VLOOKUP(TRUNC(B27,1),VLOOKUP!$A$3:$K$2834,RIGHT(TEXT(B27,"0000.00"),1)+2,FALSE))</f>
        <v>243735</v>
      </c>
      <c r="D27" s="45">
        <f t="shared" si="12"/>
        <v>-1470</v>
      </c>
      <c r="E27" s="55">
        <f t="shared" si="0"/>
        <v>91735</v>
      </c>
      <c r="F27" s="112">
        <f t="shared" si="13"/>
        <v>-741.11419208469874</v>
      </c>
      <c r="G27" s="47">
        <v>60.8</v>
      </c>
      <c r="H27" s="42">
        <v>0</v>
      </c>
      <c r="I27" s="47">
        <f t="shared" si="1"/>
        <v>60.8</v>
      </c>
      <c r="J27" s="42">
        <f t="shared" si="14"/>
        <v>0</v>
      </c>
      <c r="K27" s="47">
        <f t="shared" si="2"/>
        <v>60.8</v>
      </c>
      <c r="L27" s="212">
        <f t="shared" si="3"/>
        <v>-43.914192084698811</v>
      </c>
      <c r="M27" s="114">
        <v>333</v>
      </c>
      <c r="N27" s="39">
        <v>10.35</v>
      </c>
      <c r="O27" s="47">
        <f>93*1.05</f>
        <v>97.65</v>
      </c>
      <c r="P27" s="39">
        <v>0</v>
      </c>
      <c r="Q27" s="471">
        <f>2638400/325851/1.9835*1.02</f>
        <v>4.1637969920691278</v>
      </c>
      <c r="R27" s="73">
        <f>IF(((6.9*1.04)-T27)&gt;=4.2,4.2,(6.9*1.04)-T27)</f>
        <v>4.2</v>
      </c>
      <c r="S27" s="73">
        <f>IF(((6.9*1.04)-T27)&gt;=4.2,((6.9*1.04)-T27)-4.2,0)</f>
        <v>1.3828115200000006</v>
      </c>
      <c r="T27" s="73">
        <f t="shared" si="32"/>
        <v>1.5931884800000002</v>
      </c>
      <c r="U27" s="131">
        <v>0</v>
      </c>
      <c r="V27" s="47">
        <v>50</v>
      </c>
      <c r="W27" s="47">
        <v>68</v>
      </c>
      <c r="X27" s="47">
        <f t="shared" si="16"/>
        <v>365.43371354261876</v>
      </c>
      <c r="Y27" s="47">
        <f t="shared" si="17"/>
        <v>365.43371354261876</v>
      </c>
      <c r="Z27" s="55">
        <f t="shared" si="24"/>
        <v>6809.8176684831087</v>
      </c>
      <c r="AA27" s="47">
        <f t="shared" si="18"/>
        <v>314.69751053468786</v>
      </c>
      <c r="AB27" s="616"/>
      <c r="AC27" s="55">
        <f t="shared" si="25"/>
        <v>1537.1714994979582</v>
      </c>
      <c r="AD27" s="490"/>
      <c r="AE27" s="498"/>
      <c r="AF27" s="639">
        <f t="shared" si="26"/>
        <v>8754.9688212972815</v>
      </c>
      <c r="AG27" s="47">
        <v>257</v>
      </c>
      <c r="AH27" s="114">
        <v>1.7</v>
      </c>
      <c r="AI27" s="212">
        <v>1.3</v>
      </c>
      <c r="AJ27" s="47">
        <v>50</v>
      </c>
      <c r="AK27" s="55">
        <f t="shared" si="27"/>
        <v>9082.511822044311</v>
      </c>
      <c r="AL27" s="55"/>
      <c r="AM27" s="180">
        <f t="shared" si="31"/>
        <v>757.99999999999989</v>
      </c>
      <c r="AN27" s="47">
        <f t="shared" si="5"/>
        <v>43.914192084698811</v>
      </c>
      <c r="AO27" s="47">
        <f t="shared" si="28"/>
        <v>801.9141920846987</v>
      </c>
      <c r="AP27" s="134"/>
      <c r="AQ27" s="540"/>
      <c r="AR27" s="45"/>
      <c r="AS27" s="43">
        <f t="shared" si="6"/>
        <v>-314.69751053468786</v>
      </c>
      <c r="AT27" s="492">
        <v>0.35</v>
      </c>
      <c r="AU27" s="493">
        <f>AT27*0.7</f>
        <v>0.24499999999999997</v>
      </c>
      <c r="AV27" s="494">
        <f>IF(AT27="",0,VLOOKUP(ROUNDDOWN(TEXT(B27,"0000"),-1),VLOOKUP!$M$3:$W$32,RIGHT(TEXT(B27,"0000"),1)+2,FALSE))</f>
        <v>3350</v>
      </c>
      <c r="AW27" s="494">
        <f t="shared" si="20"/>
        <v>68.395833333333314</v>
      </c>
      <c r="AX27" s="39">
        <f t="shared" si="29"/>
        <v>12.344020513623645</v>
      </c>
      <c r="AY27" s="618">
        <v>33.773510534687944</v>
      </c>
      <c r="AZ27" s="180">
        <f t="shared" si="21"/>
        <v>7.86</v>
      </c>
      <c r="BA27" s="23"/>
      <c r="BB27" s="23"/>
      <c r="BC27" s="202">
        <v>0</v>
      </c>
      <c r="BD27" s="45">
        <v>97</v>
      </c>
      <c r="BE27" s="45">
        <v>61</v>
      </c>
      <c r="BF27" s="377"/>
      <c r="BG27" s="385">
        <f t="shared" si="7"/>
        <v>21.689796992069127</v>
      </c>
      <c r="BH27" s="60">
        <v>8.1</v>
      </c>
      <c r="BI27" s="445">
        <v>18747</v>
      </c>
      <c r="BJ27" s="296">
        <f t="shared" si="8"/>
        <v>0</v>
      </c>
      <c r="BK27" s="591">
        <f t="shared" si="9"/>
        <v>0</v>
      </c>
      <c r="BM27" s="574">
        <f t="shared" si="22"/>
        <v>13</v>
      </c>
      <c r="BN27" s="559">
        <v>6888.62</v>
      </c>
      <c r="BO27" s="575">
        <f t="shared" si="10"/>
        <v>6.0000000000400178E-2</v>
      </c>
      <c r="BP27" s="576">
        <v>48.879166666666713</v>
      </c>
      <c r="BQ27" s="576">
        <f t="shared" si="23"/>
        <v>1.1208333333332874</v>
      </c>
    </row>
    <row r="28" spans="1:69" customFormat="1" ht="12.95" customHeight="1">
      <c r="A28" s="48">
        <f t="shared" si="11"/>
        <v>14</v>
      </c>
      <c r="B28" s="104">
        <v>6888.25</v>
      </c>
      <c r="C28" s="483">
        <f>IF(B28="",C27,VLOOKUP(TRUNC(B28,1),VLOOKUP!$A$3:$K$2834,RIGHT(TEXT(B28,"0000.00"),1)+2,FALSE))</f>
        <v>242302</v>
      </c>
      <c r="D28" s="45">
        <f t="shared" si="12"/>
        <v>-1433</v>
      </c>
      <c r="E28" s="55">
        <f t="shared" si="0"/>
        <v>90302</v>
      </c>
      <c r="F28" s="112">
        <f t="shared" si="13"/>
        <v>-722.46029745399539</v>
      </c>
      <c r="G28" s="47">
        <v>62.5</v>
      </c>
      <c r="H28" s="42">
        <v>0</v>
      </c>
      <c r="I28" s="47">
        <f t="shared" si="1"/>
        <v>62.5</v>
      </c>
      <c r="J28" s="42">
        <f t="shared" si="14"/>
        <v>0</v>
      </c>
      <c r="K28" s="47">
        <f t="shared" si="2"/>
        <v>62.5</v>
      </c>
      <c r="L28" s="212">
        <f t="shared" si="3"/>
        <v>-19.960297453995395</v>
      </c>
      <c r="M28" s="114">
        <v>317</v>
      </c>
      <c r="N28" s="39">
        <v>0</v>
      </c>
      <c r="O28" s="47">
        <f>87*1.05</f>
        <v>91.350000000000009</v>
      </c>
      <c r="P28" s="39">
        <v>0</v>
      </c>
      <c r="Q28" s="471">
        <f>2359900/325851/1.9835*1.02</f>
        <v>3.7242815803456391</v>
      </c>
      <c r="R28" s="73">
        <f>IF(((6.9*1.04)-T28)&gt;=4.2,4.2,(6.9*1.04)-T28)</f>
        <v>4.2</v>
      </c>
      <c r="S28" s="73">
        <f>IF(((6.9*1.04)-T28)&gt;=4.2,((6.9*1.04)-T28)-4.2,0)</f>
        <v>1.3828115200000006</v>
      </c>
      <c r="T28" s="73">
        <f t="shared" si="32"/>
        <v>1.5931884800000002</v>
      </c>
      <c r="U28" s="131">
        <v>0</v>
      </c>
      <c r="V28" s="47">
        <v>50</v>
      </c>
      <c r="W28" s="47">
        <v>68</v>
      </c>
      <c r="X28" s="47">
        <f t="shared" si="16"/>
        <v>366.5232289543423</v>
      </c>
      <c r="Y28" s="47">
        <f t="shared" si="17"/>
        <v>366.5232289543423</v>
      </c>
      <c r="Z28" s="55">
        <f t="shared" si="24"/>
        <v>6496.1701579484206</v>
      </c>
      <c r="AA28" s="47">
        <f t="shared" si="18"/>
        <v>313.64751053468791</v>
      </c>
      <c r="AB28" s="616"/>
      <c r="AC28" s="55">
        <f t="shared" si="25"/>
        <v>1538.8081465795694</v>
      </c>
      <c r="AD28" s="490"/>
      <c r="AE28" s="498"/>
      <c r="AF28" s="639">
        <f t="shared" si="26"/>
        <v>8754.9688212972815</v>
      </c>
      <c r="AG28" s="47">
        <v>280</v>
      </c>
      <c r="AH28" s="114">
        <v>1.7</v>
      </c>
      <c r="AI28" s="212">
        <v>1.3</v>
      </c>
      <c r="AJ28" s="47">
        <v>50</v>
      </c>
      <c r="AK28" s="55">
        <f t="shared" si="27"/>
        <v>9032.511822044311</v>
      </c>
      <c r="AL28" s="55"/>
      <c r="AM28" s="180">
        <f t="shared" si="31"/>
        <v>765</v>
      </c>
      <c r="AN28" s="47">
        <f t="shared" si="5"/>
        <v>19.960297453995395</v>
      </c>
      <c r="AO28" s="47">
        <f t="shared" si="28"/>
        <v>784.96029745399539</v>
      </c>
      <c r="AP28" s="134"/>
      <c r="AQ28" s="540"/>
      <c r="AR28" s="45"/>
      <c r="AS28" s="43">
        <f t="shared" si="6"/>
        <v>-313.64751053468791</v>
      </c>
      <c r="AT28" s="492">
        <v>0.26</v>
      </c>
      <c r="AU28" s="493">
        <f t="shared" ref="AU28:AU45" si="33">AT28*0.7</f>
        <v>0.182</v>
      </c>
      <c r="AV28" s="494">
        <f>IF(AT28="",0,VLOOKUP(ROUNDDOWN(TEXT(B28,"0000"),-1),VLOOKUP!$M$3:$W$32,RIGHT(TEXT(B28,"0000"),1)+2,FALSE))</f>
        <v>3314</v>
      </c>
      <c r="AW28" s="494">
        <f t="shared" si="20"/>
        <v>50.262333333333331</v>
      </c>
      <c r="AX28" s="39">
        <f t="shared" si="29"/>
        <v>8.8707877924270537</v>
      </c>
      <c r="AY28" s="618">
        <v>33.773510534687944</v>
      </c>
      <c r="AZ28" s="180">
        <f t="shared" si="21"/>
        <v>7.86</v>
      </c>
      <c r="BA28" s="23"/>
      <c r="BB28" s="23"/>
      <c r="BC28" s="202">
        <v>0</v>
      </c>
      <c r="BD28" s="45">
        <v>94</v>
      </c>
      <c r="BE28" s="45">
        <v>60</v>
      </c>
      <c r="BF28" s="377"/>
      <c r="BG28" s="385">
        <f t="shared" si="7"/>
        <v>10.90028158034564</v>
      </c>
      <c r="BH28" s="60">
        <v>14</v>
      </c>
      <c r="BI28" s="445">
        <v>18722</v>
      </c>
      <c r="BJ28" s="296">
        <f t="shared" si="8"/>
        <v>0</v>
      </c>
      <c r="BK28" s="591">
        <f t="shared" si="9"/>
        <v>0</v>
      </c>
      <c r="BM28" s="574">
        <f t="shared" si="22"/>
        <v>14</v>
      </c>
      <c r="BN28" s="559">
        <v>6888.2</v>
      </c>
      <c r="BO28" s="575">
        <f t="shared" si="10"/>
        <v>5.0000000000181899E-2</v>
      </c>
      <c r="BP28" s="576">
        <v>40.71666666666674</v>
      </c>
      <c r="BQ28" s="576">
        <f t="shared" si="23"/>
        <v>9.2833333333332604</v>
      </c>
    </row>
    <row r="29" spans="1:69" customFormat="1" ht="12.95" customHeight="1">
      <c r="A29" s="48">
        <f t="shared" si="11"/>
        <v>15</v>
      </c>
      <c r="B29" s="104">
        <v>6887.82</v>
      </c>
      <c r="C29" s="483">
        <f>IF(B29="",C28,VLOOKUP(TRUNC(B29,1),VLOOKUP!$A$3:$K$2834,RIGHT(TEXT(B29,"0000.00"),1)+2,FALSE))</f>
        <v>240876</v>
      </c>
      <c r="D29" s="45">
        <f t="shared" si="12"/>
        <v>-1426</v>
      </c>
      <c r="E29" s="55">
        <f t="shared" si="0"/>
        <v>88876</v>
      </c>
      <c r="F29" s="112">
        <f t="shared" si="13"/>
        <v>-718.93118225359217</v>
      </c>
      <c r="G29" s="47">
        <v>80.7</v>
      </c>
      <c r="H29" s="42">
        <v>0</v>
      </c>
      <c r="I29" s="47">
        <f t="shared" si="1"/>
        <v>80.7</v>
      </c>
      <c r="J29" s="42">
        <f t="shared" si="14"/>
        <v>0</v>
      </c>
      <c r="K29" s="47">
        <f t="shared" si="2"/>
        <v>80.7</v>
      </c>
      <c r="L29" s="212">
        <f t="shared" si="3"/>
        <v>-33.631182253592328</v>
      </c>
      <c r="M29" s="114">
        <v>317</v>
      </c>
      <c r="N29" s="39">
        <v>0</v>
      </c>
      <c r="O29" s="47">
        <f>82*1.05</f>
        <v>86.100000000000009</v>
      </c>
      <c r="P29" s="39">
        <v>0</v>
      </c>
      <c r="Q29" s="471">
        <f>2604900/325851/1.9835*1.02</f>
        <v>4.1109288904794079</v>
      </c>
      <c r="R29" s="73">
        <f>IF(((7.2*1.04)-T29)&gt;=4.2,4.2,(7.2*1.04)-T29)</f>
        <v>4.2</v>
      </c>
      <c r="S29" s="73">
        <f>IF(((7.2*1.04)-T29)&gt;=4.2,((7.2*1.04)-T29)-4.2,0)</f>
        <v>1.69481152</v>
      </c>
      <c r="T29" s="73">
        <f t="shared" si="32"/>
        <v>1.5931884800000002</v>
      </c>
      <c r="U29" s="131">
        <v>0</v>
      </c>
      <c r="V29" s="47">
        <v>47</v>
      </c>
      <c r="W29" s="47">
        <v>68</v>
      </c>
      <c r="X29" s="47">
        <f t="shared" si="16"/>
        <v>368.07458164420848</v>
      </c>
      <c r="Y29" s="47">
        <f t="shared" si="17"/>
        <v>368.07458164420848</v>
      </c>
      <c r="Z29" s="55">
        <f t="shared" si="24"/>
        <v>6198.7846474137332</v>
      </c>
      <c r="AA29" s="47">
        <f t="shared" si="18"/>
        <v>297.38551053468785</v>
      </c>
      <c r="AB29" s="55"/>
      <c r="AC29" s="55">
        <f t="shared" si="25"/>
        <v>1542.195856288454</v>
      </c>
      <c r="AD29" s="490"/>
      <c r="AE29" s="498"/>
      <c r="AF29" s="639">
        <f t="shared" si="26"/>
        <v>8754.9688212972815</v>
      </c>
      <c r="AG29" s="47">
        <v>284</v>
      </c>
      <c r="AH29" s="114">
        <v>1.7</v>
      </c>
      <c r="AI29" s="212">
        <v>1.3</v>
      </c>
      <c r="AJ29" s="47">
        <v>50</v>
      </c>
      <c r="AK29" s="55">
        <f t="shared" si="27"/>
        <v>8982.511822044311</v>
      </c>
      <c r="AL29" s="55"/>
      <c r="AM29" s="180">
        <f t="shared" si="31"/>
        <v>765.99999999999989</v>
      </c>
      <c r="AN29" s="47">
        <f t="shared" si="5"/>
        <v>33.631182253592328</v>
      </c>
      <c r="AO29" s="47">
        <f t="shared" si="28"/>
        <v>799.63118225359221</v>
      </c>
      <c r="AP29" s="134"/>
      <c r="AQ29" s="540"/>
      <c r="AR29" s="45"/>
      <c r="AS29" s="43">
        <f t="shared" si="6"/>
        <v>-297.38551053468785</v>
      </c>
      <c r="AT29" s="492">
        <v>0.28999999999999998</v>
      </c>
      <c r="AU29" s="493">
        <f t="shared" si="33"/>
        <v>0.20299999999999999</v>
      </c>
      <c r="AV29" s="494">
        <f>IF(AT29="",0,VLOOKUP(ROUNDDOWN(TEXT(B29,"0000"),-1),VLOOKUP!$M$3:$W$32,RIGHT(TEXT(B29,"0000"),1)+2,FALSE))</f>
        <v>3314</v>
      </c>
      <c r="AW29" s="494">
        <f t="shared" si="20"/>
        <v>56.061833333333333</v>
      </c>
      <c r="AX29" s="39">
        <f t="shared" si="29"/>
        <v>9.6852530936303349</v>
      </c>
      <c r="AY29" s="618">
        <v>33.773510534687944</v>
      </c>
      <c r="AZ29" s="180">
        <f t="shared" si="21"/>
        <v>7.86</v>
      </c>
      <c r="BA29" s="23"/>
      <c r="BB29" s="23"/>
      <c r="BC29" s="202">
        <v>0</v>
      </c>
      <c r="BD29" s="56">
        <v>95</v>
      </c>
      <c r="BE29" s="45">
        <v>61</v>
      </c>
      <c r="BF29" s="377"/>
      <c r="BG29" s="385">
        <f t="shared" si="7"/>
        <v>11.598928890479408</v>
      </c>
      <c r="BH29" s="60">
        <v>58.8</v>
      </c>
      <c r="BI29" s="445">
        <v>18635</v>
      </c>
      <c r="BJ29" s="296">
        <f t="shared" si="8"/>
        <v>0</v>
      </c>
      <c r="BK29" s="591">
        <f t="shared" si="9"/>
        <v>0</v>
      </c>
      <c r="BM29" s="574">
        <f t="shared" si="22"/>
        <v>15</v>
      </c>
      <c r="BN29" s="559">
        <v>6887.77</v>
      </c>
      <c r="BO29" s="575">
        <f t="shared" si="10"/>
        <v>4.9999999999272404E-2</v>
      </c>
      <c r="BP29" s="576">
        <v>48.94270833333335</v>
      </c>
      <c r="BQ29" s="576">
        <f t="shared" si="23"/>
        <v>1.0572916666666501</v>
      </c>
    </row>
    <row r="30" spans="1:69" customFormat="1" ht="12.75" customHeight="1">
      <c r="A30" s="48">
        <f t="shared" si="11"/>
        <v>16</v>
      </c>
      <c r="B30" s="104">
        <v>6887.4</v>
      </c>
      <c r="C30" s="483">
        <f>IF(B30="",C29,VLOOKUP(TRUNC(B30,1),VLOOKUP!$A$3:$K$2834,RIGHT(TEXT(B30,"0000.00"),1)+2,FALSE))</f>
        <v>239491</v>
      </c>
      <c r="D30" s="45">
        <f t="shared" si="12"/>
        <v>-1385</v>
      </c>
      <c r="E30" s="55">
        <f t="shared" si="0"/>
        <v>87491</v>
      </c>
      <c r="F30" s="112">
        <f t="shared" si="13"/>
        <v>-698.26065036551552</v>
      </c>
      <c r="G30" s="47">
        <v>101</v>
      </c>
      <c r="H30" s="42">
        <v>0</v>
      </c>
      <c r="I30" s="47">
        <f t="shared" si="1"/>
        <v>101</v>
      </c>
      <c r="J30" s="42">
        <f t="shared" si="14"/>
        <v>0</v>
      </c>
      <c r="K30" s="47">
        <f t="shared" si="2"/>
        <v>101</v>
      </c>
      <c r="L30" s="212">
        <f t="shared" si="3"/>
        <v>-39.26065036551563</v>
      </c>
      <c r="M30" s="114">
        <v>322</v>
      </c>
      <c r="N30" s="39">
        <v>0</v>
      </c>
      <c r="O30" s="47">
        <f>77*1.05</f>
        <v>80.850000000000009</v>
      </c>
      <c r="P30" s="39">
        <v>0</v>
      </c>
      <c r="Q30" s="471">
        <f>2649100/325851/1.9835*1.02</f>
        <v>4.1806832215321128</v>
      </c>
      <c r="R30" s="73">
        <f>IF(((7.3*1.04)-T30)&gt;=4.2,4.2,(7.3*1.04)-T30)</f>
        <v>4.2</v>
      </c>
      <c r="S30" s="73">
        <f>IF(((7.3*1.04)-T30)&gt;=4.2,((7.3*1.04)-T30)-4.2,0)</f>
        <v>1.7988115199999992</v>
      </c>
      <c r="T30" s="73">
        <f t="shared" si="32"/>
        <v>1.5931884800000002</v>
      </c>
      <c r="U30" s="131">
        <v>0</v>
      </c>
      <c r="V30" s="47">
        <v>47</v>
      </c>
      <c r="W30" s="47">
        <v>69</v>
      </c>
      <c r="X30" s="47">
        <f t="shared" si="16"/>
        <v>379.15082731315579</v>
      </c>
      <c r="Y30" s="47">
        <f t="shared" si="17"/>
        <v>379.15082731315579</v>
      </c>
      <c r="Z30" s="55">
        <f t="shared" si="24"/>
        <v>5910.5531368790453</v>
      </c>
      <c r="AA30" s="47">
        <f t="shared" si="18"/>
        <v>288.23151053468786</v>
      </c>
      <c r="AB30" s="55"/>
      <c r="AC30" s="55">
        <f t="shared" si="25"/>
        <v>1545.1729457295276</v>
      </c>
      <c r="AD30" s="490"/>
      <c r="AE30" s="498"/>
      <c r="AF30" s="639">
        <f t="shared" si="26"/>
        <v>8754.9688212972815</v>
      </c>
      <c r="AG30" s="47">
        <v>272</v>
      </c>
      <c r="AH30" s="114">
        <v>1.7</v>
      </c>
      <c r="AI30" s="212">
        <v>1.3</v>
      </c>
      <c r="AJ30" s="47">
        <v>50</v>
      </c>
      <c r="AK30" s="55">
        <f t="shared" si="27"/>
        <v>8932.511822044311</v>
      </c>
      <c r="AL30" s="55"/>
      <c r="AM30" s="180">
        <f t="shared" si="31"/>
        <v>759.99999999999989</v>
      </c>
      <c r="AN30" s="47">
        <f t="shared" si="5"/>
        <v>39.26065036551563</v>
      </c>
      <c r="AO30" s="47">
        <f t="shared" si="28"/>
        <v>799.26065036551552</v>
      </c>
      <c r="AP30" s="134"/>
      <c r="AQ30" s="540"/>
      <c r="AR30" s="45"/>
      <c r="AS30" s="43">
        <f t="shared" si="6"/>
        <v>-288.23151053468786</v>
      </c>
      <c r="AT30" s="492">
        <v>0.24</v>
      </c>
      <c r="AU30" s="493">
        <f t="shared" si="33"/>
        <v>0.16799999999999998</v>
      </c>
      <c r="AV30" s="494">
        <f>IF(AT30="",0,VLOOKUP(ROUNDDOWN(TEXT(B30,"0000"),-1),VLOOKUP!$M$3:$W$32,RIGHT(TEXT(B30,"0000"),1)+2,FALSE))</f>
        <v>3278</v>
      </c>
      <c r="AW30" s="494">
        <f t="shared" si="20"/>
        <v>45.891999999999996</v>
      </c>
      <c r="AX30" s="39">
        <f t="shared" si="29"/>
        <v>7.7570350410136415</v>
      </c>
      <c r="AY30" s="618">
        <v>33.773510534687944</v>
      </c>
      <c r="AZ30" s="180">
        <f t="shared" si="21"/>
        <v>7.86</v>
      </c>
      <c r="BA30" s="23"/>
      <c r="BB30" s="23"/>
      <c r="BC30" s="202">
        <v>0</v>
      </c>
      <c r="BD30" s="56">
        <v>90</v>
      </c>
      <c r="BE30" s="45">
        <v>61</v>
      </c>
      <c r="BF30" s="377"/>
      <c r="BG30" s="385">
        <f t="shared" si="7"/>
        <v>11.772683221532112</v>
      </c>
      <c r="BH30" s="60">
        <v>60.5</v>
      </c>
      <c r="BI30" s="445">
        <v>18511</v>
      </c>
      <c r="BJ30" s="296">
        <f t="shared" si="8"/>
        <v>0</v>
      </c>
      <c r="BK30" s="591">
        <f t="shared" si="9"/>
        <v>0</v>
      </c>
      <c r="BM30" s="574">
        <f t="shared" si="22"/>
        <v>16</v>
      </c>
      <c r="BN30" s="559">
        <v>6887.37</v>
      </c>
      <c r="BO30" s="575">
        <f t="shared" si="10"/>
        <v>2.9999999999745341E-2</v>
      </c>
      <c r="BP30" s="576">
        <v>48.843750000000007</v>
      </c>
      <c r="BQ30" s="576">
        <f t="shared" si="23"/>
        <v>1.1562499999999929</v>
      </c>
    </row>
    <row r="31" spans="1:69" customFormat="1" ht="12.95" customHeight="1">
      <c r="A31" s="48">
        <f t="shared" si="11"/>
        <v>17</v>
      </c>
      <c r="B31" s="104">
        <v>6886.98</v>
      </c>
      <c r="C31" s="483">
        <f>IF(B31="",C30,VLOOKUP(TRUNC(B31,1),VLOOKUP!$A$3:$K$2834,RIGHT(TEXT(B31,"0000.00"),1)+2,FALSE))</f>
        <v>238107</v>
      </c>
      <c r="D31" s="45">
        <f t="shared" si="12"/>
        <v>-1384</v>
      </c>
      <c r="E31" s="55">
        <f t="shared" si="0"/>
        <v>86107</v>
      </c>
      <c r="F31" s="112">
        <f t="shared" si="13"/>
        <v>-697.75649105117213</v>
      </c>
      <c r="G31" s="47">
        <v>104</v>
      </c>
      <c r="H31" s="42">
        <v>0</v>
      </c>
      <c r="I31" s="47">
        <f t="shared" si="1"/>
        <v>104</v>
      </c>
      <c r="J31" s="42">
        <f t="shared" si="14"/>
        <v>0</v>
      </c>
      <c r="K31" s="47">
        <f t="shared" si="2"/>
        <v>104</v>
      </c>
      <c r="L31" s="212">
        <f t="shared" si="3"/>
        <v>-44.756491051172134</v>
      </c>
      <c r="M31" s="114">
        <v>313</v>
      </c>
      <c r="N31" s="39">
        <v>0</v>
      </c>
      <c r="O31" s="47">
        <f>79*1.05</f>
        <v>82.95</v>
      </c>
      <c r="P31" s="39">
        <v>0</v>
      </c>
      <c r="Q31" s="471">
        <f>2167800/325851/1.9835*1.02</f>
        <v>3.4211185261550394</v>
      </c>
      <c r="R31" s="73">
        <f>IF(((7.2*1.04)-T31)&gt;=4.2,4.2,(7.2*1.04)-T31)</f>
        <v>4.2</v>
      </c>
      <c r="S31" s="73">
        <f>IF(((7.2*1.04)-T31)&gt;=4.2,((7.2*1.04)-T31)-4.2,0)</f>
        <v>1.9039368000000003</v>
      </c>
      <c r="T31" s="73">
        <f>(1.2555*1.06)*1.04</f>
        <v>1.3840632000000002</v>
      </c>
      <c r="U31" s="131">
        <v>0</v>
      </c>
      <c r="V31" s="47">
        <v>47</v>
      </c>
      <c r="W31" s="47">
        <v>68</v>
      </c>
      <c r="X31" s="47">
        <f t="shared" si="16"/>
        <v>367.9143920085329</v>
      </c>
      <c r="Y31" s="47">
        <f>IF(B31="",0,X31-AR31)</f>
        <v>367.9143920085329</v>
      </c>
      <c r="Z31" s="55">
        <f t="shared" si="24"/>
        <v>5637.3176263443574</v>
      </c>
      <c r="AA31" s="47">
        <f t="shared" si="18"/>
        <v>273.23551053468793</v>
      </c>
      <c r="AB31" s="55"/>
      <c r="AC31" s="55">
        <f t="shared" si="25"/>
        <v>1549.1221642619128</v>
      </c>
      <c r="AD31" s="490"/>
      <c r="AE31" s="498"/>
      <c r="AF31" s="639">
        <f t="shared" si="26"/>
        <v>8754.9688212972815</v>
      </c>
      <c r="AG31" s="47">
        <v>279</v>
      </c>
      <c r="AH31" s="114">
        <v>1.7</v>
      </c>
      <c r="AI31" s="212">
        <v>1.3</v>
      </c>
      <c r="AJ31" s="47">
        <v>50</v>
      </c>
      <c r="AK31" s="55">
        <f t="shared" si="27"/>
        <v>8882.511822044311</v>
      </c>
      <c r="AL31" s="55"/>
      <c r="AM31" s="180">
        <f t="shared" si="31"/>
        <v>757</v>
      </c>
      <c r="AN31" s="47">
        <f t="shared" si="5"/>
        <v>44.756491051172134</v>
      </c>
      <c r="AO31" s="47">
        <f t="shared" si="28"/>
        <v>801.75649105117213</v>
      </c>
      <c r="AP31" s="134"/>
      <c r="AQ31" s="540"/>
      <c r="AR31" s="45"/>
      <c r="AS31" s="43">
        <f t="shared" si="6"/>
        <v>-273.23551053468793</v>
      </c>
      <c r="AT31" s="492">
        <v>0.27</v>
      </c>
      <c r="AU31" s="493">
        <f t="shared" si="33"/>
        <v>0.189</v>
      </c>
      <c r="AV31" s="494">
        <f>IF(AT31="",0,VLOOKUP(ROUNDDOWN(TEXT(B31,"0000"),-1),VLOOKUP!$M$3:$W$32,RIGHT(TEXT(B31,"0000"),1)+2,FALSE))</f>
        <v>3278</v>
      </c>
      <c r="AW31" s="494">
        <f t="shared" si="20"/>
        <v>51.628500000000003</v>
      </c>
      <c r="AX31" s="39">
        <f t="shared" si="29"/>
        <v>8.5466721543846376</v>
      </c>
      <c r="AY31" s="618">
        <v>33.773510534687944</v>
      </c>
      <c r="AZ31" s="180">
        <f t="shared" si="21"/>
        <v>7.86</v>
      </c>
      <c r="BA31" s="23"/>
      <c r="BB31" s="23"/>
      <c r="BC31" s="202">
        <v>0</v>
      </c>
      <c r="BD31" s="56">
        <v>90</v>
      </c>
      <c r="BE31" s="45">
        <v>61</v>
      </c>
      <c r="BF31" s="377"/>
      <c r="BG31" s="385">
        <f t="shared" si="7"/>
        <v>10.909118526155041</v>
      </c>
      <c r="BH31" s="60">
        <v>60.5</v>
      </c>
      <c r="BI31" s="445">
        <v>18391</v>
      </c>
      <c r="BJ31" s="296">
        <f t="shared" si="8"/>
        <v>0</v>
      </c>
      <c r="BK31" s="591">
        <f t="shared" si="9"/>
        <v>0</v>
      </c>
      <c r="BM31" s="574">
        <f t="shared" si="22"/>
        <v>17</v>
      </c>
      <c r="BN31" s="559">
        <v>6886.94</v>
      </c>
      <c r="BO31" s="575">
        <f t="shared" si="10"/>
        <v>3.999999999996362E-2</v>
      </c>
      <c r="BP31" s="576">
        <v>48.680208333333304</v>
      </c>
      <c r="BQ31" s="576">
        <f t="shared" si="23"/>
        <v>1.3197916666666956</v>
      </c>
    </row>
    <row r="32" spans="1:69" customFormat="1" ht="12.95" customHeight="1">
      <c r="A32" s="48">
        <f t="shared" si="11"/>
        <v>18</v>
      </c>
      <c r="B32" s="104">
        <v>6886.61</v>
      </c>
      <c r="C32" s="483">
        <f>IF(B32="",C31,VLOOKUP(TRUNC(B32,1),VLOOKUP!$A$3:$K$2834,RIGHT(TEXT(B32,"0000.00"),1)+2,FALSE))</f>
        <v>236901</v>
      </c>
      <c r="D32" s="45">
        <f t="shared" si="12"/>
        <v>-1206</v>
      </c>
      <c r="E32" s="55">
        <f t="shared" si="0"/>
        <v>84901</v>
      </c>
      <c r="F32" s="112">
        <f t="shared" si="13"/>
        <v>-608.01613309805896</v>
      </c>
      <c r="G32" s="47">
        <v>111</v>
      </c>
      <c r="H32" s="42">
        <v>0</v>
      </c>
      <c r="I32" s="47">
        <f t="shared" si="1"/>
        <v>111</v>
      </c>
      <c r="J32" s="42">
        <f t="shared" si="14"/>
        <v>0</v>
      </c>
      <c r="K32" s="47">
        <f t="shared" si="2"/>
        <v>111</v>
      </c>
      <c r="L32" s="212">
        <f t="shared" si="3"/>
        <v>-6.0161330980589582</v>
      </c>
      <c r="M32" s="114">
        <v>304</v>
      </c>
      <c r="N32" s="39">
        <v>0</v>
      </c>
      <c r="O32" s="47">
        <f>79*1.05</f>
        <v>82.95</v>
      </c>
      <c r="P32" s="39">
        <v>0</v>
      </c>
      <c r="Q32" s="471">
        <f>2149200/325851/1.9835*1.02</f>
        <v>3.3917648936305977</v>
      </c>
      <c r="R32" s="73">
        <f>IF(((7.4*1.04)-T32)&gt;=4.2,4.2,(7.4*1.04)-T32)</f>
        <v>4.2</v>
      </c>
      <c r="S32" s="73">
        <f>IF(((7.4*1.04)-T32)&gt;=4.2,((7.4*1.04)-T32)-4.2,0)</f>
        <v>2.1119368000000005</v>
      </c>
      <c r="T32" s="73">
        <f t="shared" ref="T32:T37" si="34">(1.2555*1.06)*1.04</f>
        <v>1.3840632000000002</v>
      </c>
      <c r="U32" s="131">
        <v>0</v>
      </c>
      <c r="V32" s="47">
        <v>47</v>
      </c>
      <c r="W32" s="47">
        <v>68</v>
      </c>
      <c r="X32" s="47">
        <f t="shared" si="16"/>
        <v>358.73574564105735</v>
      </c>
      <c r="Y32" s="47">
        <f t="shared" si="17"/>
        <v>358.73574564105735</v>
      </c>
      <c r="Z32" s="55">
        <f t="shared" si="24"/>
        <v>5380.2901158096693</v>
      </c>
      <c r="AA32" s="47">
        <f t="shared" si="18"/>
        <v>257.02751053468796</v>
      </c>
      <c r="AB32" s="55"/>
      <c r="AC32" s="55">
        <f t="shared" si="25"/>
        <v>1552.6732798886408</v>
      </c>
      <c r="AD32" s="490"/>
      <c r="AE32" s="498"/>
      <c r="AF32" s="639">
        <f t="shared" si="26"/>
        <v>8754.9688212972815</v>
      </c>
      <c r="AG32" s="47">
        <v>244</v>
      </c>
      <c r="AH32" s="114">
        <v>1.7</v>
      </c>
      <c r="AI32" s="212">
        <v>1.3</v>
      </c>
      <c r="AJ32" s="47">
        <v>50</v>
      </c>
      <c r="AK32" s="55">
        <f t="shared" si="27"/>
        <v>8832.511822044311</v>
      </c>
      <c r="AL32" s="55"/>
      <c r="AM32" s="180">
        <f t="shared" si="31"/>
        <v>713</v>
      </c>
      <c r="AN32" s="47">
        <f t="shared" si="5"/>
        <v>6.0161330980589582</v>
      </c>
      <c r="AO32" s="47">
        <f t="shared" si="28"/>
        <v>719.01613309805896</v>
      </c>
      <c r="AP32" s="134"/>
      <c r="AQ32" s="540"/>
      <c r="AR32" s="45"/>
      <c r="AS32" s="43">
        <f t="shared" si="6"/>
        <v>-257.02751053468796</v>
      </c>
      <c r="AT32" s="492">
        <v>0.22</v>
      </c>
      <c r="AU32" s="493">
        <f t="shared" si="33"/>
        <v>0.154</v>
      </c>
      <c r="AV32" s="494">
        <f>IF(AT32="",0,VLOOKUP(ROUNDDOWN(TEXT(B32,"0000"),-1),VLOOKUP!$M$3:$W$32,RIGHT(TEXT(B32,"0000"),1)+2,FALSE))</f>
        <v>3278</v>
      </c>
      <c r="AW32" s="494">
        <f t="shared" si="20"/>
        <v>42.067666666666668</v>
      </c>
      <c r="AX32" s="39">
        <f t="shared" si="29"/>
        <v>6.8137584009378651</v>
      </c>
      <c r="AY32" s="618">
        <v>33.773510534687944</v>
      </c>
      <c r="AZ32" s="180">
        <f t="shared" si="21"/>
        <v>7.86</v>
      </c>
      <c r="BA32" s="23"/>
      <c r="BB32" s="23"/>
      <c r="BC32" s="202">
        <v>0.08</v>
      </c>
      <c r="BD32" s="56">
        <v>94</v>
      </c>
      <c r="BE32" s="45">
        <v>55</v>
      </c>
      <c r="BF32" s="377"/>
      <c r="BG32" s="385">
        <f t="shared" si="7"/>
        <v>11.087764893630599</v>
      </c>
      <c r="BH32" s="60">
        <v>60.5</v>
      </c>
      <c r="BI32" s="445">
        <v>18272</v>
      </c>
      <c r="BJ32" s="296">
        <f t="shared" si="8"/>
        <v>0</v>
      </c>
      <c r="BK32" s="591">
        <f t="shared" si="9"/>
        <v>0</v>
      </c>
      <c r="BM32" s="574">
        <f t="shared" si="22"/>
        <v>18</v>
      </c>
      <c r="BN32" s="559">
        <v>6886.57</v>
      </c>
      <c r="BO32" s="575">
        <f t="shared" si="10"/>
        <v>3.999999999996362E-2</v>
      </c>
      <c r="BP32" s="576">
        <v>48.605208333333287</v>
      </c>
      <c r="BQ32" s="576">
        <f t="shared" si="23"/>
        <v>1.3947916666667126</v>
      </c>
    </row>
    <row r="33" spans="1:69" customFormat="1" ht="12.95" customHeight="1">
      <c r="A33" s="48">
        <f t="shared" si="11"/>
        <v>19</v>
      </c>
      <c r="B33" s="104">
        <v>6886.25</v>
      </c>
      <c r="C33" s="483">
        <f>IF(B33="",C32,VLOOKUP(TRUNC(B33,1),VLOOKUP!$A$3:$K$2834,RIGHT(TEXT(B33,"0000.00"),1)+2,FALSE))</f>
        <v>235727</v>
      </c>
      <c r="D33" s="45">
        <f t="shared" si="12"/>
        <v>-1174</v>
      </c>
      <c r="E33" s="55">
        <f t="shared" si="0"/>
        <v>83727</v>
      </c>
      <c r="F33" s="112">
        <f t="shared" si="13"/>
        <v>-591.8830350390723</v>
      </c>
      <c r="G33" s="47">
        <v>109</v>
      </c>
      <c r="H33" s="42">
        <v>0</v>
      </c>
      <c r="I33" s="47">
        <f t="shared" si="1"/>
        <v>109</v>
      </c>
      <c r="J33" s="42">
        <f t="shared" si="14"/>
        <v>0</v>
      </c>
      <c r="K33" s="47">
        <f t="shared" si="2"/>
        <v>109</v>
      </c>
      <c r="L33" s="212">
        <f t="shared" si="3"/>
        <v>-44.268035039072288</v>
      </c>
      <c r="M33" s="114">
        <v>289</v>
      </c>
      <c r="N33" s="39">
        <v>0</v>
      </c>
      <c r="O33" s="47">
        <f>72*1.05</f>
        <v>75.600000000000009</v>
      </c>
      <c r="P33" s="39">
        <v>0</v>
      </c>
      <c r="Q33" s="471">
        <f>2598600/325851/1.9835*1.02</f>
        <v>4.1009865310759688</v>
      </c>
      <c r="R33" s="73">
        <f>IF(((7*1.04)-T33)&gt;=4.2,4.2,(7*1.04)-T33)</f>
        <v>4.2</v>
      </c>
      <c r="S33" s="73">
        <f>IF(((7*1.04)-T33)&gt;=4.2,((7*1.04)-T33)-4.2,0)</f>
        <v>1.6959368000000001</v>
      </c>
      <c r="T33" s="73">
        <f t="shared" si="34"/>
        <v>1.3840632000000002</v>
      </c>
      <c r="U33" s="131">
        <v>0</v>
      </c>
      <c r="V33" s="47">
        <v>49</v>
      </c>
      <c r="W33" s="47">
        <v>68</v>
      </c>
      <c r="X33" s="47">
        <f t="shared" si="16"/>
        <v>352.40752400361197</v>
      </c>
      <c r="Y33" s="47">
        <f t="shared" si="17"/>
        <v>352.40752400361197</v>
      </c>
      <c r="Z33" s="55">
        <f t="shared" si="24"/>
        <v>5126.8816052749817</v>
      </c>
      <c r="AA33" s="47">
        <f t="shared" si="18"/>
        <v>253.40851053468793</v>
      </c>
      <c r="AB33" s="55"/>
      <c r="AC33" s="55">
        <f t="shared" si="25"/>
        <v>1557.0980601251226</v>
      </c>
      <c r="AD33" s="490"/>
      <c r="AE33" s="490"/>
      <c r="AF33" s="639">
        <f t="shared" si="26"/>
        <v>8754.9688212972815</v>
      </c>
      <c r="AG33" s="47">
        <v>201</v>
      </c>
      <c r="AH33" s="114">
        <v>1.7</v>
      </c>
      <c r="AI33" s="212">
        <v>1.3</v>
      </c>
      <c r="AJ33" s="47">
        <v>50</v>
      </c>
      <c r="AK33" s="55">
        <f t="shared" si="27"/>
        <v>8782.511822044311</v>
      </c>
      <c r="AL33" s="55"/>
      <c r="AM33" s="180">
        <f t="shared" si="31"/>
        <v>656.61500000000001</v>
      </c>
      <c r="AN33" s="47">
        <f t="shared" si="5"/>
        <v>44.268035039072288</v>
      </c>
      <c r="AO33" s="47">
        <f t="shared" si="28"/>
        <v>700.8830350390723</v>
      </c>
      <c r="AP33" s="134"/>
      <c r="AQ33" s="540"/>
      <c r="AR33" s="45"/>
      <c r="AS33" s="43">
        <f t="shared" si="6"/>
        <v>-253.40851053468793</v>
      </c>
      <c r="AT33" s="492">
        <v>0.24</v>
      </c>
      <c r="AU33" s="493">
        <f t="shared" si="33"/>
        <v>0.16799999999999998</v>
      </c>
      <c r="AV33" s="494">
        <f>IF(AT33="",0,VLOOKUP(ROUNDDOWN(TEXT(B33,"0000"),-1),VLOOKUP!$M$3:$W$32,RIGHT(TEXT(B33,"0000"),1)+2,FALSE))</f>
        <v>3242</v>
      </c>
      <c r="AW33" s="494">
        <f t="shared" si="20"/>
        <v>45.387999999999998</v>
      </c>
      <c r="AX33" s="39">
        <f t="shared" si="29"/>
        <v>7.1869204959807762</v>
      </c>
      <c r="AY33" s="618">
        <v>33.773510534687944</v>
      </c>
      <c r="AZ33" s="180">
        <f t="shared" si="21"/>
        <v>7.86</v>
      </c>
      <c r="BA33" s="23">
        <v>0.38500000000000001</v>
      </c>
      <c r="BB33" s="23"/>
      <c r="BC33" s="202">
        <v>0</v>
      </c>
      <c r="BD33" s="56">
        <v>93</v>
      </c>
      <c r="BE33" s="45">
        <v>56</v>
      </c>
      <c r="BF33" s="377"/>
      <c r="BG33" s="385">
        <f t="shared" si="7"/>
        <v>11.380986531075969</v>
      </c>
      <c r="BH33" s="60">
        <v>60.5</v>
      </c>
      <c r="BI33" s="445">
        <v>18151</v>
      </c>
      <c r="BJ33" s="296">
        <f t="shared" si="8"/>
        <v>0</v>
      </c>
      <c r="BK33" s="591">
        <f t="shared" si="9"/>
        <v>0</v>
      </c>
      <c r="BM33" s="574">
        <f t="shared" si="22"/>
        <v>19</v>
      </c>
      <c r="BN33" s="559">
        <v>6886.22</v>
      </c>
      <c r="BO33" s="575">
        <f t="shared" si="10"/>
        <v>2.9999999999745341E-2</v>
      </c>
      <c r="BP33" s="576">
        <v>48.543749999999939</v>
      </c>
      <c r="BQ33" s="576">
        <f t="shared" si="23"/>
        <v>1.4562500000000611</v>
      </c>
    </row>
    <row r="34" spans="1:69" customFormat="1" ht="12.95" customHeight="1">
      <c r="A34" s="48">
        <f t="shared" si="11"/>
        <v>20</v>
      </c>
      <c r="B34" s="104">
        <v>6885.88</v>
      </c>
      <c r="C34" s="483">
        <f>IF(B34="",C33,VLOOKUP(TRUNC(B34,1),VLOOKUP!$A$3:$K$2834,RIGHT(TEXT(B34,"0000.00"),1)+2,FALSE))</f>
        <v>234526</v>
      </c>
      <c r="D34" s="45">
        <f t="shared" si="12"/>
        <v>-1201</v>
      </c>
      <c r="E34" s="55">
        <f t="shared" si="0"/>
        <v>82526</v>
      </c>
      <c r="F34" s="112">
        <f t="shared" si="13"/>
        <v>-605.49533652634227</v>
      </c>
      <c r="G34" s="47">
        <v>104</v>
      </c>
      <c r="H34" s="42">
        <v>0</v>
      </c>
      <c r="I34" s="47">
        <f t="shared" si="1"/>
        <v>104</v>
      </c>
      <c r="J34" s="42">
        <f t="shared" si="14"/>
        <v>0</v>
      </c>
      <c r="K34" s="47">
        <f t="shared" si="2"/>
        <v>104</v>
      </c>
      <c r="L34" s="212">
        <f t="shared" si="3"/>
        <v>-46.23533652634228</v>
      </c>
      <c r="M34" s="114">
        <v>270</v>
      </c>
      <c r="N34" s="39">
        <v>0</v>
      </c>
      <c r="O34" s="47">
        <f>59*1.05</f>
        <v>61.95</v>
      </c>
      <c r="P34" s="39">
        <v>0</v>
      </c>
      <c r="Q34" s="471">
        <f>2480900/325851/1.9835*1.02</f>
        <v>3.9152380069831336</v>
      </c>
      <c r="R34" s="73">
        <f>IF(((6.1*1.04)-T34)&gt;=4.2,4.2,(6.1*1.04)-T34)</f>
        <v>4.2</v>
      </c>
      <c r="S34" s="73">
        <f>IF(((6.1*1.04)-T34)&gt;=4.2,((6.1*1.04)-T34)-4.2,0)</f>
        <v>0.7599367999999993</v>
      </c>
      <c r="T34" s="73">
        <f t="shared" si="34"/>
        <v>1.3840632000000002</v>
      </c>
      <c r="U34" s="131">
        <v>0</v>
      </c>
      <c r="V34" s="47">
        <v>52</v>
      </c>
      <c r="W34" s="47">
        <v>67</v>
      </c>
      <c r="X34" s="47">
        <f t="shared" si="16"/>
        <v>349.82427252770481</v>
      </c>
      <c r="Y34" s="47">
        <f t="shared" si="17"/>
        <v>349.82427252770481</v>
      </c>
      <c r="Z34" s="55">
        <f t="shared" si="24"/>
        <v>4871.2420947402934</v>
      </c>
      <c r="AA34" s="47">
        <f t="shared" si="18"/>
        <v>255.63951053468793</v>
      </c>
      <c r="AB34" s="55"/>
      <c r="AC34" s="55">
        <f t="shared" si="25"/>
        <v>1561.3347072156289</v>
      </c>
      <c r="AD34" s="490"/>
      <c r="AE34" s="490"/>
      <c r="AF34" s="639">
        <f t="shared" si="26"/>
        <v>8754.9688212972815</v>
      </c>
      <c r="AG34" s="47">
        <v>225</v>
      </c>
      <c r="AH34" s="114">
        <v>1.7</v>
      </c>
      <c r="AI34" s="212">
        <v>1.3</v>
      </c>
      <c r="AJ34" s="47">
        <v>50</v>
      </c>
      <c r="AK34" s="55">
        <f t="shared" si="27"/>
        <v>8732.511822044311</v>
      </c>
      <c r="AL34" s="55"/>
      <c r="AM34" s="180">
        <f t="shared" si="31"/>
        <v>663.26</v>
      </c>
      <c r="AN34" s="47">
        <f t="shared" si="5"/>
        <v>46.23533652634228</v>
      </c>
      <c r="AO34" s="47">
        <f>AM34+AN34</f>
        <v>709.49533652634227</v>
      </c>
      <c r="AP34" s="134"/>
      <c r="AQ34" s="540"/>
      <c r="AR34" s="45"/>
      <c r="AS34" s="43">
        <f t="shared" si="6"/>
        <v>-255.63951053468793</v>
      </c>
      <c r="AT34" s="492">
        <v>0.24</v>
      </c>
      <c r="AU34" s="493">
        <f t="shared" si="33"/>
        <v>0.16799999999999998</v>
      </c>
      <c r="AV34" s="494">
        <f>IF(AT34="",0,VLOOKUP(ROUNDDOWN(TEXT(B34,"0000"),-1),VLOOKUP!$M$3:$W$32,RIGHT(TEXT(B34,"0000"),1)+2,FALSE))</f>
        <v>3242</v>
      </c>
      <c r="AW34" s="494">
        <f t="shared" si="20"/>
        <v>45.387999999999998</v>
      </c>
      <c r="AX34" s="39">
        <f t="shared" si="29"/>
        <v>7.0172578598528021</v>
      </c>
      <c r="AY34" s="618">
        <v>33.773510534687944</v>
      </c>
      <c r="AZ34" s="180">
        <f t="shared" si="21"/>
        <v>7.86</v>
      </c>
      <c r="BA34" s="23">
        <v>0.74</v>
      </c>
      <c r="BB34" s="23"/>
      <c r="BC34" s="202">
        <v>0</v>
      </c>
      <c r="BD34" s="56">
        <v>93</v>
      </c>
      <c r="BE34" s="45">
        <v>57</v>
      </c>
      <c r="BF34" s="377"/>
      <c r="BG34" s="385">
        <f t="shared" si="7"/>
        <v>10.259238006983132</v>
      </c>
      <c r="BH34" s="60">
        <v>60.5</v>
      </c>
      <c r="BI34" s="445">
        <v>18029</v>
      </c>
      <c r="BJ34" s="296">
        <f t="shared" si="8"/>
        <v>0</v>
      </c>
      <c r="BK34" s="591">
        <f t="shared" si="9"/>
        <v>0</v>
      </c>
      <c r="BM34" s="574">
        <f t="shared" si="22"/>
        <v>20</v>
      </c>
      <c r="BN34" s="559">
        <v>6885.85</v>
      </c>
      <c r="BO34" s="575">
        <f t="shared" si="10"/>
        <v>2.9999999999745341E-2</v>
      </c>
      <c r="BP34" s="576">
        <v>48.506249999999987</v>
      </c>
      <c r="BQ34" s="576">
        <f t="shared" si="23"/>
        <v>1.4937500000000128</v>
      </c>
    </row>
    <row r="35" spans="1:69" customFormat="1" ht="12.95" customHeight="1">
      <c r="A35" s="48">
        <f t="shared" si="11"/>
        <v>21</v>
      </c>
      <c r="B35" s="104">
        <v>6885.51</v>
      </c>
      <c r="C35" s="483">
        <f>IF(B35="",C34,VLOOKUP(TRUNC(B35,1),VLOOKUP!$A$3:$K$2834,RIGHT(TEXT(B35,"0000.00"),1)+2,FALSE))</f>
        <v>233333</v>
      </c>
      <c r="D35" s="45">
        <f t="shared" si="12"/>
        <v>-1193</v>
      </c>
      <c r="E35" s="55">
        <f t="shared" si="0"/>
        <v>81333</v>
      </c>
      <c r="F35" s="112">
        <f t="shared" si="13"/>
        <v>-601.46206201159566</v>
      </c>
      <c r="G35" s="47">
        <v>98.5</v>
      </c>
      <c r="H35" s="42">
        <v>0</v>
      </c>
      <c r="I35" s="47">
        <f t="shared" si="1"/>
        <v>98.5</v>
      </c>
      <c r="J35" s="42">
        <f t="shared" si="14"/>
        <v>0</v>
      </c>
      <c r="K35" s="47">
        <f t="shared" si="2"/>
        <v>98.5</v>
      </c>
      <c r="L35" s="212">
        <f t="shared" si="3"/>
        <v>-25.142062011595726</v>
      </c>
      <c r="M35" s="114">
        <v>285</v>
      </c>
      <c r="N35" s="39">
        <v>0</v>
      </c>
      <c r="O35" s="47">
        <f>72*1.05</f>
        <v>75.600000000000009</v>
      </c>
      <c r="P35" s="39">
        <v>0</v>
      </c>
      <c r="Q35" s="471">
        <f>1893900/325851/1.9835*1.02</f>
        <v>2.9888626149483484</v>
      </c>
      <c r="R35" s="73">
        <f>IF(((6.2*1.04)-T35)&gt;=4.2,4.2,(6.2*1.04)-T35)</f>
        <v>4.2</v>
      </c>
      <c r="S35" s="73">
        <f>IF(((6.2*1.04)-T35)&gt;=4.2,((6.2*1.04)-T35)-4.2,0)</f>
        <v>0.86393680000000028</v>
      </c>
      <c r="T35" s="73">
        <f t="shared" si="34"/>
        <v>1.3840632000000002</v>
      </c>
      <c r="U35" s="131">
        <v>0</v>
      </c>
      <c r="V35" s="47">
        <v>52</v>
      </c>
      <c r="W35" s="47">
        <v>69</v>
      </c>
      <c r="X35" s="47">
        <f t="shared" si="16"/>
        <v>354.55664791973953</v>
      </c>
      <c r="Y35" s="47">
        <f t="shared" si="17"/>
        <v>354.55664791973953</v>
      </c>
      <c r="Z35" s="55">
        <f t="shared" si="24"/>
        <v>4606.2965842056055</v>
      </c>
      <c r="AA35" s="47">
        <f t="shared" si="18"/>
        <v>264.94551053468786</v>
      </c>
      <c r="AB35" s="55"/>
      <c r="AC35" s="55">
        <f t="shared" si="25"/>
        <v>1565.656891304435</v>
      </c>
      <c r="AD35" s="490"/>
      <c r="AE35" s="490"/>
      <c r="AF35" s="639">
        <f t="shared" si="26"/>
        <v>8754.9688212972815</v>
      </c>
      <c r="AG35" s="47">
        <v>219</v>
      </c>
      <c r="AH35" s="114">
        <v>1.7</v>
      </c>
      <c r="AI35" s="212">
        <v>1.3</v>
      </c>
      <c r="AJ35" s="47">
        <v>50</v>
      </c>
      <c r="AK35" s="55">
        <f t="shared" si="27"/>
        <v>8682.511822044311</v>
      </c>
      <c r="AL35" s="55"/>
      <c r="AM35" s="180">
        <f t="shared" si="31"/>
        <v>674.81999999999994</v>
      </c>
      <c r="AN35" s="47">
        <f t="shared" si="5"/>
        <v>25.142062011595726</v>
      </c>
      <c r="AO35" s="47">
        <f t="shared" si="28"/>
        <v>699.96206201159566</v>
      </c>
      <c r="AP35" s="134"/>
      <c r="AQ35" s="540"/>
      <c r="AR35" s="45"/>
      <c r="AS35" s="43">
        <f t="shared" si="6"/>
        <v>-264.94551053468786</v>
      </c>
      <c r="AT35" s="492">
        <v>0.36</v>
      </c>
      <c r="AU35" s="493">
        <f t="shared" si="33"/>
        <v>0.252</v>
      </c>
      <c r="AV35" s="494">
        <f>IF(AT35="",0,VLOOKUP(ROUNDDOWN(TEXT(B35,"0000"),-1),VLOOKUP!$M$3:$W$32,RIGHT(TEXT(B35,"0000"),1)+2,FALSE))</f>
        <v>3242</v>
      </c>
      <c r="AW35" s="494">
        <f t="shared" si="20"/>
        <v>68.082000000000008</v>
      </c>
      <c r="AX35" s="39">
        <f t="shared" si="29"/>
        <v>10.247557456220409</v>
      </c>
      <c r="AY35" s="618">
        <v>33.773510534687944</v>
      </c>
      <c r="AZ35" s="180">
        <f t="shared" si="21"/>
        <v>7.86</v>
      </c>
      <c r="BA35" s="23">
        <v>0.18</v>
      </c>
      <c r="BB35" s="23"/>
      <c r="BC35" s="202">
        <v>0</v>
      </c>
      <c r="BD35" s="45">
        <v>95</v>
      </c>
      <c r="BE35" s="45">
        <v>58</v>
      </c>
      <c r="BF35" s="377"/>
      <c r="BG35" s="385">
        <f t="shared" si="7"/>
        <v>9.4368626149483497</v>
      </c>
      <c r="BH35" s="60">
        <v>60.5</v>
      </c>
      <c r="BI35" s="445">
        <v>17905</v>
      </c>
      <c r="BJ35" s="296">
        <f t="shared" si="8"/>
        <v>0</v>
      </c>
      <c r="BK35" s="591">
        <f t="shared" si="9"/>
        <v>0</v>
      </c>
      <c r="BM35" s="574">
        <f t="shared" si="22"/>
        <v>21</v>
      </c>
      <c r="BN35" s="559">
        <v>6885.48</v>
      </c>
      <c r="BO35" s="575">
        <f t="shared" si="10"/>
        <v>3.0000000000654836E-2</v>
      </c>
      <c r="BP35" s="576">
        <v>48.392708333333331</v>
      </c>
      <c r="BQ35" s="576">
        <f t="shared" si="23"/>
        <v>1.6072916666666686</v>
      </c>
    </row>
    <row r="36" spans="1:69" customFormat="1" ht="12.95" customHeight="1">
      <c r="A36" s="48">
        <f t="shared" si="11"/>
        <v>22</v>
      </c>
      <c r="B36" s="104">
        <v>6885.15</v>
      </c>
      <c r="C36" s="483">
        <f>IF(B36="",C35,VLOOKUP(TRUNC(B36,1),VLOOKUP!$A$3:$K$2834,RIGHT(TEXT(B36,"0000.00"),1)+2,FALSE))</f>
        <v>232173</v>
      </c>
      <c r="D36" s="45">
        <f t="shared" si="12"/>
        <v>-1160</v>
      </c>
      <c r="E36" s="55">
        <f t="shared" si="0"/>
        <v>80173</v>
      </c>
      <c r="F36" s="112">
        <f t="shared" si="13"/>
        <v>-584.82480463826573</v>
      </c>
      <c r="G36" s="47">
        <v>102</v>
      </c>
      <c r="H36" s="42">
        <v>0</v>
      </c>
      <c r="I36" s="47">
        <f t="shared" si="1"/>
        <v>102</v>
      </c>
      <c r="J36" s="42">
        <f t="shared" si="14"/>
        <v>0</v>
      </c>
      <c r="K36" s="47">
        <f t="shared" si="2"/>
        <v>102</v>
      </c>
      <c r="L36" s="212">
        <f t="shared" si="3"/>
        <v>-36.824804638265618</v>
      </c>
      <c r="M36" s="114">
        <v>280</v>
      </c>
      <c r="N36" s="39">
        <v>0</v>
      </c>
      <c r="O36" s="47">
        <f>71*1.05</f>
        <v>74.55</v>
      </c>
      <c r="P36" s="39">
        <v>0</v>
      </c>
      <c r="Q36" s="471">
        <f>2059900/325851/1.9835*1.02</f>
        <v>3.2508358944675551</v>
      </c>
      <c r="R36" s="73">
        <f>IF(((6.1*1.04)-T36)&gt;=4.2,4.2,(6.1*1.04)-T36)</f>
        <v>4.2</v>
      </c>
      <c r="S36" s="73">
        <f>IF(((6.1*1.04)-T36)&gt;=4.2,((6.1*1.04)-T36)-4.2,0)</f>
        <v>0.7599367999999993</v>
      </c>
      <c r="T36" s="73">
        <f t="shared" si="34"/>
        <v>1.3840632000000002</v>
      </c>
      <c r="U36" s="131">
        <v>0</v>
      </c>
      <c r="V36" s="47">
        <v>49</v>
      </c>
      <c r="W36" s="47">
        <v>67</v>
      </c>
      <c r="X36" s="47">
        <f t="shared" si="16"/>
        <v>345.62867464022042</v>
      </c>
      <c r="Y36" s="47">
        <f t="shared" si="17"/>
        <v>345.62867464022042</v>
      </c>
      <c r="Z36" s="55">
        <f t="shared" si="24"/>
        <v>4353.5170736709179</v>
      </c>
      <c r="AA36" s="47">
        <f t="shared" si="18"/>
        <v>252.77951053468797</v>
      </c>
      <c r="AB36" s="55"/>
      <c r="AC36" s="55">
        <f t="shared" si="25"/>
        <v>1568.350489763613</v>
      </c>
      <c r="AD36" s="490"/>
      <c r="AE36" s="490"/>
      <c r="AF36" s="639">
        <f t="shared" si="26"/>
        <v>8754.9688212972815</v>
      </c>
      <c r="AG36" s="47">
        <v>204</v>
      </c>
      <c r="AH36" s="114">
        <v>1.7</v>
      </c>
      <c r="AI36" s="212">
        <v>1.3</v>
      </c>
      <c r="AJ36" s="47">
        <v>50</v>
      </c>
      <c r="AK36" s="55">
        <f t="shared" si="27"/>
        <v>8632.511822044311</v>
      </c>
      <c r="AL36" s="55"/>
      <c r="AM36" s="180">
        <f t="shared" si="31"/>
        <v>650.00000000000011</v>
      </c>
      <c r="AN36" s="47">
        <f t="shared" si="5"/>
        <v>36.824804638265618</v>
      </c>
      <c r="AO36" s="47">
        <f t="shared" si="28"/>
        <v>686.82480463826573</v>
      </c>
      <c r="AP36" s="134"/>
      <c r="AQ36" s="540"/>
      <c r="AR36" s="45"/>
      <c r="AS36" s="43">
        <f t="shared" si="6"/>
        <v>-252.77951053468797</v>
      </c>
      <c r="AT36" s="492">
        <v>0.09</v>
      </c>
      <c r="AU36" s="493">
        <f t="shared" si="33"/>
        <v>6.3E-2</v>
      </c>
      <c r="AV36" s="494">
        <f>IF(AT36="",0,VLOOKUP(ROUNDDOWN(TEXT(B36,"0000"),-1),VLOOKUP!$M$3:$W$32,RIGHT(TEXT(B36,"0000"),1)+2,FALSE))</f>
        <v>3204</v>
      </c>
      <c r="AW36" s="494">
        <f t="shared" si="20"/>
        <v>16.821000000000002</v>
      </c>
      <c r="AX36" s="39">
        <f t="shared" si="29"/>
        <v>2.4644191305473129</v>
      </c>
      <c r="AY36" s="618">
        <v>33.773510534687944</v>
      </c>
      <c r="AZ36" s="180">
        <f t="shared" si="21"/>
        <v>7.86</v>
      </c>
      <c r="BA36" s="23"/>
      <c r="BB36" s="23"/>
      <c r="BC36" s="202">
        <v>0.01</v>
      </c>
      <c r="BD36" s="45">
        <v>88</v>
      </c>
      <c r="BE36" s="45">
        <v>58</v>
      </c>
      <c r="BF36" s="377"/>
      <c r="BG36" s="385">
        <f t="shared" si="7"/>
        <v>9.594835894467554</v>
      </c>
      <c r="BH36" s="60">
        <v>60.5</v>
      </c>
      <c r="BI36" s="445">
        <v>17787</v>
      </c>
      <c r="BJ36" s="296">
        <f t="shared" si="8"/>
        <v>0</v>
      </c>
      <c r="BK36" s="591">
        <f t="shared" si="9"/>
        <v>0</v>
      </c>
      <c r="BM36" s="574">
        <f t="shared" si="22"/>
        <v>22</v>
      </c>
      <c r="BN36" s="559">
        <v>6885.14</v>
      </c>
      <c r="BO36" s="575">
        <f t="shared" si="10"/>
        <v>9.999999999308784E-3</v>
      </c>
      <c r="BP36" s="576">
        <v>48.398958333333262</v>
      </c>
      <c r="BQ36" s="576">
        <f t="shared" si="23"/>
        <v>1.6010416666667382</v>
      </c>
    </row>
    <row r="37" spans="1:69" customFormat="1" ht="12.95" customHeight="1">
      <c r="A37" s="48">
        <f t="shared" si="11"/>
        <v>23</v>
      </c>
      <c r="B37" s="104">
        <v>6884.81</v>
      </c>
      <c r="C37" s="483">
        <f>IF(B37="",C36,VLOOKUP(TRUNC(B37,1),VLOOKUP!$A$3:$K$2834,RIGHT(TEXT(B37,"0000.00"),1)+2,FALSE))</f>
        <v>231084</v>
      </c>
      <c r="D37" s="45">
        <f t="shared" si="12"/>
        <v>-1089</v>
      </c>
      <c r="E37" s="55">
        <f t="shared" si="0"/>
        <v>79084</v>
      </c>
      <c r="F37" s="112">
        <f t="shared" si="13"/>
        <v>-549.02949331988907</v>
      </c>
      <c r="G37" s="47">
        <v>112</v>
      </c>
      <c r="H37" s="42">
        <v>0</v>
      </c>
      <c r="I37" s="47">
        <f t="shared" si="1"/>
        <v>112</v>
      </c>
      <c r="J37" s="42">
        <f t="shared" si="14"/>
        <v>0</v>
      </c>
      <c r="K37" s="47">
        <f t="shared" si="2"/>
        <v>112</v>
      </c>
      <c r="L37" s="212">
        <f t="shared" si="3"/>
        <v>-45.02949331988907</v>
      </c>
      <c r="M37" s="114">
        <v>241</v>
      </c>
      <c r="N37" s="39">
        <v>0</v>
      </c>
      <c r="O37" s="47">
        <f>62*1.05</f>
        <v>65.100000000000009</v>
      </c>
      <c r="P37" s="39">
        <v>0</v>
      </c>
      <c r="Q37" s="471">
        <f>1824500/325851/1.9835*1.02</f>
        <v>2.8793388462818843</v>
      </c>
      <c r="R37" s="73">
        <f>IF(((6.1*1.04)-T37)&gt;=4.2,4.2,(6.1*1.04)-T37)</f>
        <v>4.2</v>
      </c>
      <c r="S37" s="73">
        <f>IF(((6.1*1.04)-T37)&gt;=4.2,((6.1*1.04)-T37)-4.2,0)</f>
        <v>0.7599367999999993</v>
      </c>
      <c r="T37" s="73">
        <f t="shared" si="34"/>
        <v>1.3840632000000002</v>
      </c>
      <c r="U37" s="131">
        <v>0</v>
      </c>
      <c r="V37" s="47">
        <v>46</v>
      </c>
      <c r="W37" s="47">
        <v>68</v>
      </c>
      <c r="X37" s="47">
        <f t="shared" si="16"/>
        <v>314.45017168840604</v>
      </c>
      <c r="Y37" s="47">
        <f t="shared" si="17"/>
        <v>314.45017168840604</v>
      </c>
      <c r="Z37" s="55">
        <f t="shared" si="24"/>
        <v>4142.2875631362303</v>
      </c>
      <c r="AA37" s="47">
        <f t="shared" si="18"/>
        <v>211.2295105346879</v>
      </c>
      <c r="AB37" s="55"/>
      <c r="AC37" s="55">
        <f t="shared" si="25"/>
        <v>1574.9680299045017</v>
      </c>
      <c r="AD37" s="490"/>
      <c r="AE37" s="490"/>
      <c r="AF37" s="639">
        <f t="shared" si="26"/>
        <v>8754.9688212972815</v>
      </c>
      <c r="AG37" s="47">
        <v>211</v>
      </c>
      <c r="AH37" s="114">
        <v>1.7</v>
      </c>
      <c r="AI37" s="212">
        <v>1.3</v>
      </c>
      <c r="AJ37" s="47">
        <v>50</v>
      </c>
      <c r="AK37" s="55">
        <f t="shared" si="27"/>
        <v>8582.511822044311</v>
      </c>
      <c r="AL37" s="55"/>
      <c r="AM37" s="180">
        <f t="shared" si="31"/>
        <v>616</v>
      </c>
      <c r="AN37" s="47">
        <f t="shared" si="5"/>
        <v>45.02949331988907</v>
      </c>
      <c r="AO37" s="47">
        <f t="shared" si="28"/>
        <v>661.02949331988907</v>
      </c>
      <c r="AP37" s="134"/>
      <c r="AQ37" s="540"/>
      <c r="AR37" s="45"/>
      <c r="AS37" s="43">
        <f t="shared" si="6"/>
        <v>-211.2295105346879</v>
      </c>
      <c r="AT37" s="492">
        <v>0.22</v>
      </c>
      <c r="AU37" s="493">
        <f t="shared" si="33"/>
        <v>0.154</v>
      </c>
      <c r="AV37" s="494">
        <f>IF(AT37="",0,VLOOKUP(ROUNDDOWN(TEXT(B37,"0000"),-1),VLOOKUP!$M$3:$W$32,RIGHT(TEXT(B37,"0000"),1)+2,FALSE))</f>
        <v>3204</v>
      </c>
      <c r="AW37" s="494">
        <f t="shared" si="20"/>
        <v>41.118000000000002</v>
      </c>
      <c r="AX37" s="39">
        <f t="shared" si="29"/>
        <v>5.8960772854681851</v>
      </c>
      <c r="AY37" s="618">
        <v>33.773510534687944</v>
      </c>
      <c r="AZ37" s="180">
        <f t="shared" si="21"/>
        <v>7.86</v>
      </c>
      <c r="BA37" s="23"/>
      <c r="BB37" s="23"/>
      <c r="BC37" s="202">
        <v>0.11</v>
      </c>
      <c r="BD37" s="45">
        <v>88</v>
      </c>
      <c r="BE37" s="56">
        <v>54</v>
      </c>
      <c r="BF37" s="377"/>
      <c r="BG37" s="385">
        <f t="shared" si="7"/>
        <v>9.2233388462818837</v>
      </c>
      <c r="BH37" s="60">
        <v>60.5</v>
      </c>
      <c r="BI37" s="445">
        <v>17687</v>
      </c>
      <c r="BJ37" s="296">
        <f t="shared" si="8"/>
        <v>0</v>
      </c>
      <c r="BK37" s="591">
        <f t="shared" si="9"/>
        <v>0</v>
      </c>
      <c r="BM37" s="574">
        <f t="shared" si="22"/>
        <v>23</v>
      </c>
      <c r="BN37" s="559">
        <v>6884.82</v>
      </c>
      <c r="BO37" s="575">
        <f t="shared" si="10"/>
        <v>-9.999999999308784E-3</v>
      </c>
      <c r="BP37" s="576">
        <v>48.308333333333252</v>
      </c>
      <c r="BQ37" s="576">
        <f t="shared" si="23"/>
        <v>1.6916666666667481</v>
      </c>
    </row>
    <row r="38" spans="1:69" customFormat="1" ht="12.95" customHeight="1">
      <c r="A38" s="48">
        <f t="shared" si="11"/>
        <v>24</v>
      </c>
      <c r="B38" s="104">
        <v>6884.54</v>
      </c>
      <c r="C38" s="483">
        <f>IF(B38="",C37,VLOOKUP(TRUNC(B38,1),VLOOKUP!$A$3:$K$2834,RIGHT(TEXT(B38,"0000.00"),1)+2,FALSE))</f>
        <v>230225</v>
      </c>
      <c r="D38" s="45">
        <f t="shared" si="12"/>
        <v>-859</v>
      </c>
      <c r="E38" s="55">
        <f t="shared" si="0"/>
        <v>78225</v>
      </c>
      <c r="F38" s="112">
        <f t="shared" si="13"/>
        <v>-433.0728510209226</v>
      </c>
      <c r="G38" s="47">
        <v>126</v>
      </c>
      <c r="H38" s="42">
        <v>0</v>
      </c>
      <c r="I38" s="47">
        <f t="shared" si="1"/>
        <v>126</v>
      </c>
      <c r="J38" s="42">
        <f t="shared" si="14"/>
        <v>0</v>
      </c>
      <c r="K38" s="47">
        <f t="shared" si="2"/>
        <v>126</v>
      </c>
      <c r="L38" s="212">
        <f t="shared" si="3"/>
        <v>-5.0728510209225988</v>
      </c>
      <c r="M38" s="114">
        <v>231</v>
      </c>
      <c r="N38" s="39">
        <v>0</v>
      </c>
      <c r="O38" s="47">
        <f>66*1.05</f>
        <v>69.3</v>
      </c>
      <c r="P38" s="39">
        <v>0</v>
      </c>
      <c r="Q38" s="471">
        <f>1519600/325851/1.9835*1.02</f>
        <v>2.3981602142011247</v>
      </c>
      <c r="R38" s="73">
        <f>IF(((6.4*1.04)-T38)&gt;=4.2,4.2,(6.4*1.04)-T38)</f>
        <v>4.2</v>
      </c>
      <c r="S38" s="73">
        <f>IF(((6.4*1.04)-T38)&gt;=4.2,((6.4*1.04)-T38)-4.2,0)</f>
        <v>1.1866966400000001</v>
      </c>
      <c r="T38" s="73">
        <f>(1.1514*1.06)*1.04</f>
        <v>1.2693033600000001</v>
      </c>
      <c r="U38" s="131">
        <v>0</v>
      </c>
      <c r="V38" s="47">
        <v>48</v>
      </c>
      <c r="W38" s="47">
        <v>70</v>
      </c>
      <c r="X38" s="47">
        <f t="shared" si="16"/>
        <v>304.41935032048684</v>
      </c>
      <c r="Y38" s="47">
        <f t="shared" si="17"/>
        <v>304.41935032048684</v>
      </c>
      <c r="Z38" s="55">
        <f t="shared" si="24"/>
        <v>3955.5700526015426</v>
      </c>
      <c r="AA38" s="47">
        <f t="shared" si="18"/>
        <v>186.71751053468796</v>
      </c>
      <c r="AB38" s="55"/>
      <c r="AC38" s="55">
        <f t="shared" si="25"/>
        <v>1579.8554676229446</v>
      </c>
      <c r="AD38" s="490"/>
      <c r="AE38" s="490"/>
      <c r="AF38" s="639">
        <f t="shared" si="26"/>
        <v>8754.9688212972815</v>
      </c>
      <c r="AG38" s="47">
        <v>156</v>
      </c>
      <c r="AH38" s="114">
        <v>1.7</v>
      </c>
      <c r="AI38" s="212">
        <v>1.3</v>
      </c>
      <c r="AJ38" s="47">
        <v>49</v>
      </c>
      <c r="AK38" s="55">
        <f t="shared" si="27"/>
        <v>8533.511822044311</v>
      </c>
      <c r="AL38" s="55"/>
      <c r="AM38" s="180">
        <f t="shared" si="31"/>
        <v>554</v>
      </c>
      <c r="AN38" s="47">
        <f t="shared" si="5"/>
        <v>5.0728510209225988</v>
      </c>
      <c r="AO38" s="47">
        <f t="shared" si="28"/>
        <v>559.0728510209226</v>
      </c>
      <c r="AP38" s="134"/>
      <c r="AQ38" s="540"/>
      <c r="AR38" s="45"/>
      <c r="AS38" s="43">
        <f t="shared" si="6"/>
        <v>-186.71751053468796</v>
      </c>
      <c r="AT38" s="492">
        <v>0.09</v>
      </c>
      <c r="AU38" s="493">
        <f t="shared" si="33"/>
        <v>6.3E-2</v>
      </c>
      <c r="AV38" s="494">
        <f>IF(AT38="",0,VLOOKUP(ROUNDDOWN(TEXT(B38,"0000"),-1),VLOOKUP!$M$3:$W$32,RIGHT(TEXT(B38,"0000"),1)+2,FALSE))</f>
        <v>3204</v>
      </c>
      <c r="AW38" s="494">
        <f t="shared" si="20"/>
        <v>16.821000000000002</v>
      </c>
      <c r="AX38" s="39">
        <f t="shared" si="29"/>
        <v>2.3609644918151895</v>
      </c>
      <c r="AY38" s="618">
        <v>33.773510534687944</v>
      </c>
      <c r="AZ38" s="180">
        <f t="shared" si="21"/>
        <v>7.86</v>
      </c>
      <c r="BA38" s="23"/>
      <c r="BB38" s="23"/>
      <c r="BC38" s="202">
        <v>0</v>
      </c>
      <c r="BD38" s="45">
        <v>75</v>
      </c>
      <c r="BE38" s="56">
        <v>57</v>
      </c>
      <c r="BF38" s="377"/>
      <c r="BG38" s="385">
        <f t="shared" si="7"/>
        <v>9.0541602142011239</v>
      </c>
      <c r="BH38" s="60">
        <v>57.4</v>
      </c>
      <c r="BI38" s="445">
        <v>17597</v>
      </c>
      <c r="BJ38" s="296">
        <f t="shared" si="8"/>
        <v>0</v>
      </c>
      <c r="BK38" s="591">
        <f t="shared" si="9"/>
        <v>0</v>
      </c>
      <c r="BM38" s="574">
        <f t="shared" si="22"/>
        <v>24</v>
      </c>
      <c r="BN38" s="559">
        <v>6884.54</v>
      </c>
      <c r="BO38" s="575">
        <f t="shared" si="10"/>
        <v>0</v>
      </c>
      <c r="BP38" s="576">
        <v>48.284374999999919</v>
      </c>
      <c r="BQ38" s="576">
        <f t="shared" si="23"/>
        <v>0.715625000000081</v>
      </c>
    </row>
    <row r="39" spans="1:69" customFormat="1" ht="12.95" customHeight="1">
      <c r="A39" s="48">
        <f t="shared" si="11"/>
        <v>25</v>
      </c>
      <c r="B39" s="104">
        <v>6884.5</v>
      </c>
      <c r="C39" s="483">
        <f>IF(B39="",C38,VLOOKUP(TRUNC(B39,1),VLOOKUP!$A$3:$K$2834,RIGHT(TEXT(B39,"0000.00"),1)+2,FALSE))</f>
        <v>230097</v>
      </c>
      <c r="D39" s="45">
        <f t="shared" si="12"/>
        <v>-128</v>
      </c>
      <c r="E39" s="55">
        <f t="shared" si="0"/>
        <v>78097</v>
      </c>
      <c r="F39" s="112">
        <f t="shared" si="13"/>
        <v>-64.53239223594656</v>
      </c>
      <c r="G39" s="47">
        <v>384</v>
      </c>
      <c r="H39" s="42">
        <v>0</v>
      </c>
      <c r="I39" s="47">
        <f t="shared" si="1"/>
        <v>384</v>
      </c>
      <c r="J39" s="42">
        <f t="shared" si="14"/>
        <v>52.704607764053407</v>
      </c>
      <c r="K39" s="47">
        <f t="shared" si="2"/>
        <v>436.70460776405343</v>
      </c>
      <c r="L39" s="212">
        <f t="shared" si="3"/>
        <v>52.704607764053407</v>
      </c>
      <c r="M39" s="114">
        <v>207</v>
      </c>
      <c r="N39" s="39">
        <v>0</v>
      </c>
      <c r="O39" s="47">
        <f>71*1.05</f>
        <v>74.55</v>
      </c>
      <c r="P39" s="39">
        <v>0</v>
      </c>
      <c r="Q39" s="471">
        <f>1381600/325851/1.9835*1.02</f>
        <v>2.1803751986972055</v>
      </c>
      <c r="R39" s="73">
        <f>IF(((4.5*1.04)-T39)&gt;=4.2,4.2,(4.5*1.04)-T39)</f>
        <v>3.4106966399999994</v>
      </c>
      <c r="S39" s="73">
        <f>IF(((4.5*1.04)-T39)&gt;=4.2,((4.5*1.04)-T39)-4.2,0)</f>
        <v>0</v>
      </c>
      <c r="T39" s="73">
        <f t="shared" ref="T39:T44" si="35">(1.1514*1.06)*1.04</f>
        <v>1.2693033600000001</v>
      </c>
      <c r="U39" s="131">
        <v>0</v>
      </c>
      <c r="V39" s="47">
        <v>49</v>
      </c>
      <c r="W39" s="47">
        <v>69</v>
      </c>
      <c r="X39" s="47">
        <f t="shared" si="16"/>
        <v>276.60013533599079</v>
      </c>
      <c r="Y39" s="47">
        <f t="shared" si="17"/>
        <v>276.60013533599079</v>
      </c>
      <c r="Z39" s="55">
        <f>Z38+MIN(0,AS39)</f>
        <v>3955.5700526015426</v>
      </c>
      <c r="AA39" s="47">
        <f>MAX(0,-AS39)</f>
        <v>0</v>
      </c>
      <c r="AB39" s="55"/>
      <c r="AC39" s="55">
        <f t="shared" si="25"/>
        <v>1586.5251653835621</v>
      </c>
      <c r="AD39" s="490">
        <f t="shared" ref="AD39:AD40" si="36">MAX(AS39,0)+AD38-AE39</f>
        <v>100.10879282531197</v>
      </c>
      <c r="AE39" s="490"/>
      <c r="AF39" s="639">
        <f t="shared" si="26"/>
        <v>8754.9688212972815</v>
      </c>
      <c r="AG39" s="47">
        <v>128</v>
      </c>
      <c r="AH39" s="114">
        <v>1.7</v>
      </c>
      <c r="AI39" s="212">
        <v>1.3</v>
      </c>
      <c r="AJ39" s="47">
        <v>49</v>
      </c>
      <c r="AK39" s="55">
        <f t="shared" si="27"/>
        <v>8484.511822044311</v>
      </c>
      <c r="AL39" s="55"/>
      <c r="AM39" s="180">
        <f t="shared" si="31"/>
        <v>501.23699999999997</v>
      </c>
      <c r="AN39" s="47">
        <f t="shared" si="5"/>
        <v>0</v>
      </c>
      <c r="AO39" s="47">
        <f t="shared" si="28"/>
        <v>501.23699999999997</v>
      </c>
      <c r="AP39" s="134"/>
      <c r="AQ39" s="540"/>
      <c r="AR39" s="45"/>
      <c r="AS39" s="629">
        <f t="shared" si="6"/>
        <v>100.10879282531197</v>
      </c>
      <c r="AT39" s="492">
        <v>0</v>
      </c>
      <c r="AU39" s="493">
        <f t="shared" si="33"/>
        <v>0</v>
      </c>
      <c r="AV39" s="494">
        <f>IF(AT39="",0,VLOOKUP(ROUNDDOWN(TEXT(B39,"0000"),-1),VLOOKUP!$M$3:$W$32,RIGHT(TEXT(B39,"0000"),1)+2,FALSE))</f>
        <v>3204</v>
      </c>
      <c r="AW39" s="494">
        <f t="shared" si="20"/>
        <v>0</v>
      </c>
      <c r="AX39" s="39">
        <f t="shared" si="29"/>
        <v>0</v>
      </c>
      <c r="AY39" s="618">
        <v>33.773510534687944</v>
      </c>
      <c r="AZ39" s="180">
        <f t="shared" si="21"/>
        <v>7.86</v>
      </c>
      <c r="BA39" s="23">
        <v>0.76300000000000001</v>
      </c>
      <c r="BB39" s="23"/>
      <c r="BC39" s="202">
        <v>0.56999999999999995</v>
      </c>
      <c r="BD39" s="45">
        <v>74</v>
      </c>
      <c r="BE39" s="56">
        <v>57</v>
      </c>
      <c r="BF39" s="377"/>
      <c r="BG39" s="385">
        <f t="shared" si="7"/>
        <v>6.8603751986972057</v>
      </c>
      <c r="BH39" s="60">
        <v>57.4</v>
      </c>
      <c r="BI39" s="445">
        <v>17532</v>
      </c>
      <c r="BJ39" s="296">
        <f t="shared" si="8"/>
        <v>0</v>
      </c>
      <c r="BK39" s="591">
        <f t="shared" si="9"/>
        <v>0</v>
      </c>
      <c r="BM39" s="574">
        <f t="shared" si="22"/>
        <v>25</v>
      </c>
      <c r="BN39" s="559">
        <v>6884.41</v>
      </c>
      <c r="BO39" s="575">
        <f t="shared" si="10"/>
        <v>9.0000000000145519E-2</v>
      </c>
      <c r="BP39" s="576">
        <v>48.181249999999913</v>
      </c>
      <c r="BQ39" s="576">
        <f t="shared" si="23"/>
        <v>0.81875000000008669</v>
      </c>
    </row>
    <row r="40" spans="1:69" customFormat="1" ht="12.95" customHeight="1">
      <c r="A40" s="48">
        <f t="shared" si="11"/>
        <v>26</v>
      </c>
      <c r="B40" s="104">
        <v>6884.58</v>
      </c>
      <c r="C40" s="483">
        <f>IF(B40="",C39,VLOOKUP(TRUNC(B40,1),VLOOKUP!$A$3:$K$2834,RIGHT(TEXT(B40,"0000.00"),1)+2,FALSE))</f>
        <v>230352</v>
      </c>
      <c r="D40" s="45">
        <f t="shared" si="12"/>
        <v>255</v>
      </c>
      <c r="E40" s="55">
        <f t="shared" si="0"/>
        <v>78352</v>
      </c>
      <c r="F40" s="112">
        <f t="shared" si="13"/>
        <v>128.56062515754979</v>
      </c>
      <c r="G40" s="627">
        <v>553</v>
      </c>
      <c r="H40" s="42">
        <v>0</v>
      </c>
      <c r="I40" s="47">
        <f t="shared" si="1"/>
        <v>553</v>
      </c>
      <c r="J40" s="42">
        <f t="shared" si="14"/>
        <v>27.560625157549794</v>
      </c>
      <c r="K40" s="47">
        <f t="shared" si="2"/>
        <v>580.56062515754979</v>
      </c>
      <c r="L40" s="212">
        <f t="shared" si="3"/>
        <v>27.560625157549794</v>
      </c>
      <c r="M40" s="114">
        <v>170</v>
      </c>
      <c r="N40" s="39">
        <v>0</v>
      </c>
      <c r="O40" s="47">
        <f>61*1.05</f>
        <v>64.05</v>
      </c>
      <c r="P40" s="39">
        <v>0</v>
      </c>
      <c r="Q40" s="471">
        <f>1638100/325851/1.9835*1.02</f>
        <v>2.5851712601229684</v>
      </c>
      <c r="R40" s="73">
        <f>IF(((4.4*1.04)-T40)&gt;=4.2,4.2,(4.4*1.04)-T40)</f>
        <v>3.3066966400000002</v>
      </c>
      <c r="S40" s="73">
        <f>IF(((4.4*1.04)-T40)&gt;=4.2,((4.4*1.04)-T40)-4.2,0)</f>
        <v>0</v>
      </c>
      <c r="T40" s="73">
        <f t="shared" si="35"/>
        <v>1.2693033600000001</v>
      </c>
      <c r="U40" s="131">
        <v>0</v>
      </c>
      <c r="V40" s="47">
        <v>48</v>
      </c>
      <c r="W40" s="47">
        <v>68</v>
      </c>
      <c r="X40" s="47">
        <f t="shared" si="16"/>
        <v>248.56233927456498</v>
      </c>
      <c r="Y40" s="47">
        <f t="shared" si="17"/>
        <v>248.56233927456498</v>
      </c>
      <c r="Z40" s="55">
        <f>Z39+MIN(0,AS40)</f>
        <v>3955.5700526015426</v>
      </c>
      <c r="AA40" s="47">
        <f>MAX(0,-AS40)</f>
        <v>0</v>
      </c>
      <c r="AB40" s="55"/>
      <c r="AC40" s="55">
        <f t="shared" si="25"/>
        <v>1594.385165383562</v>
      </c>
      <c r="AD40" s="490">
        <f t="shared" si="36"/>
        <v>396.95458565062404</v>
      </c>
      <c r="AE40" s="490"/>
      <c r="AF40" s="639">
        <f t="shared" si="26"/>
        <v>8754.9688212972815</v>
      </c>
      <c r="AG40" s="47">
        <v>117</v>
      </c>
      <c r="AH40" s="114">
        <v>1.7</v>
      </c>
      <c r="AI40" s="212">
        <v>1.3</v>
      </c>
      <c r="AJ40" s="47">
        <v>49</v>
      </c>
      <c r="AK40" s="55">
        <f t="shared" si="27"/>
        <v>8435.511822044311</v>
      </c>
      <c r="AL40" s="55"/>
      <c r="AM40" s="180">
        <f t="shared" si="31"/>
        <v>452</v>
      </c>
      <c r="AN40" s="47">
        <f t="shared" si="5"/>
        <v>0</v>
      </c>
      <c r="AO40" s="47">
        <f t="shared" si="28"/>
        <v>452</v>
      </c>
      <c r="AP40" s="134"/>
      <c r="AQ40" s="540"/>
      <c r="AR40" s="45"/>
      <c r="AS40" s="629">
        <f t="shared" si="6"/>
        <v>296.84579282531206</v>
      </c>
      <c r="AT40" s="492">
        <v>0.12</v>
      </c>
      <c r="AU40" s="493">
        <f t="shared" si="33"/>
        <v>8.3999999999999991E-2</v>
      </c>
      <c r="AV40" s="494">
        <f>IF(AT40="",0,VLOOKUP(ROUNDDOWN(TEXT(B40,"0000"),-1),VLOOKUP!$M$3:$W$32,RIGHT(TEXT(B40,"0000"),1)+2,FALSE))</f>
        <v>3204</v>
      </c>
      <c r="AW40" s="494">
        <f t="shared" si="20"/>
        <v>22.427999999999997</v>
      </c>
      <c r="AX40" s="39">
        <f t="shared" si="29"/>
        <v>3.1510997004551489</v>
      </c>
      <c r="AY40" s="618">
        <v>33.773510534687944</v>
      </c>
      <c r="AZ40" s="180">
        <f t="shared" si="21"/>
        <v>7.86</v>
      </c>
      <c r="BA40" s="23"/>
      <c r="BB40" s="23"/>
      <c r="BC40" s="202">
        <v>0</v>
      </c>
      <c r="BD40" s="45">
        <v>83</v>
      </c>
      <c r="BE40" s="45">
        <v>57</v>
      </c>
      <c r="BF40" s="377"/>
      <c r="BG40" s="385">
        <f t="shared" si="7"/>
        <v>7.1611712601229689</v>
      </c>
      <c r="BH40" s="60">
        <v>59.9</v>
      </c>
      <c r="BI40" s="445">
        <v>17468</v>
      </c>
      <c r="BJ40" s="296">
        <f t="shared" si="8"/>
        <v>0</v>
      </c>
      <c r="BK40" s="591">
        <f t="shared" si="9"/>
        <v>0</v>
      </c>
      <c r="BM40" s="574">
        <f t="shared" si="22"/>
        <v>26</v>
      </c>
      <c r="BN40" s="559">
        <v>6884.57</v>
      </c>
      <c r="BO40" s="575">
        <f t="shared" si="10"/>
        <v>1.0000000000218279E-2</v>
      </c>
      <c r="BP40" s="576">
        <v>48.123958333333242</v>
      </c>
      <c r="BQ40" s="576">
        <f t="shared" si="23"/>
        <v>0.87604166666675809</v>
      </c>
    </row>
    <row r="41" spans="1:69" customFormat="1" ht="12.95" customHeight="1">
      <c r="A41" s="48">
        <f t="shared" si="11"/>
        <v>27</v>
      </c>
      <c r="B41" s="104">
        <v>6884.49</v>
      </c>
      <c r="C41" s="483">
        <f>IF(B41="",C40,VLOOKUP(TRUNC(B41,1),VLOOKUP!$A$3:$K$2834,RIGHT(TEXT(B41,"0000.00"),1)+2,FALSE))</f>
        <v>230065</v>
      </c>
      <c r="D41" s="45">
        <f t="shared" si="12"/>
        <v>-287</v>
      </c>
      <c r="E41" s="55">
        <f t="shared" si="0"/>
        <v>78065</v>
      </c>
      <c r="F41" s="112">
        <f t="shared" si="13"/>
        <v>-144.69372321653643</v>
      </c>
      <c r="G41" s="47">
        <v>344</v>
      </c>
      <c r="H41" s="42">
        <v>0</v>
      </c>
      <c r="I41" s="47">
        <f t="shared" si="1"/>
        <v>344</v>
      </c>
      <c r="J41" s="42">
        <f t="shared" si="14"/>
        <v>37.306276783463574</v>
      </c>
      <c r="K41" s="47">
        <f t="shared" si="2"/>
        <v>381.30627678346355</v>
      </c>
      <c r="L41" s="212">
        <f t="shared" si="3"/>
        <v>37.306276783463574</v>
      </c>
      <c r="M41" s="114">
        <v>165</v>
      </c>
      <c r="N41" s="39">
        <v>0</v>
      </c>
      <c r="O41" s="646">
        <f>61*1.05</f>
        <v>64.05</v>
      </c>
      <c r="P41" s="39">
        <v>0</v>
      </c>
      <c r="Q41" s="471">
        <f>1552600/325851/1.9835*1.02</f>
        <v>2.4502392396477135</v>
      </c>
      <c r="R41" s="73">
        <f>IF(((4.3*1.04)-T41)&gt;=4.2,4.2,(4.3*1.04)-T41)</f>
        <v>3.2026966399999992</v>
      </c>
      <c r="S41" s="73">
        <f>IF(((4.3*1.04)-T41)&gt;=4.2,((4.3*1.04)-T41)-4.2,0)</f>
        <v>0</v>
      </c>
      <c r="T41" s="73">
        <f t="shared" si="35"/>
        <v>1.2693033600000001</v>
      </c>
      <c r="U41" s="131">
        <v>0</v>
      </c>
      <c r="V41" s="47">
        <v>108</v>
      </c>
      <c r="W41" s="47">
        <v>67</v>
      </c>
      <c r="X41" s="47">
        <f t="shared" si="16"/>
        <v>302.80127129504024</v>
      </c>
      <c r="Y41" s="47">
        <f t="shared" si="17"/>
        <v>302.80127129504024</v>
      </c>
      <c r="Z41" s="55">
        <f t="shared" ref="Z41:Z42" si="37">Z40+MIN(0,AS41)</f>
        <v>3955.5700526015426</v>
      </c>
      <c r="AA41" s="47">
        <f>MAX(0,-AS41)</f>
        <v>0</v>
      </c>
      <c r="AB41" s="55"/>
      <c r="AC41" s="55">
        <f t="shared" si="25"/>
        <v>1600.656509119153</v>
      </c>
      <c r="AD41" s="490">
        <f>MAX(AS41,0)+AD40-AE41</f>
        <v>372.46704514260279</v>
      </c>
      <c r="AE41" s="490">
        <f>100*(14/24)</f>
        <v>58.333333333333336</v>
      </c>
      <c r="AF41" s="639">
        <f t="shared" si="26"/>
        <v>8754.9688212972815</v>
      </c>
      <c r="AG41" s="47">
        <v>137</v>
      </c>
      <c r="AH41" s="114">
        <v>1.7</v>
      </c>
      <c r="AI41" s="212">
        <v>1.3</v>
      </c>
      <c r="AJ41" s="47">
        <v>49</v>
      </c>
      <c r="AK41" s="55">
        <f t="shared" si="27"/>
        <v>8386.511822044311</v>
      </c>
      <c r="AL41" s="55"/>
      <c r="AM41" s="180">
        <f t="shared" si="31"/>
        <v>526</v>
      </c>
      <c r="AN41" s="47">
        <f t="shared" si="5"/>
        <v>0</v>
      </c>
      <c r="AO41" s="47">
        <f t="shared" si="28"/>
        <v>526</v>
      </c>
      <c r="AP41" s="134">
        <f>AQ41</f>
        <v>58.333333333333336</v>
      </c>
      <c r="AQ41" s="540">
        <f>AE41</f>
        <v>58.333333333333336</v>
      </c>
      <c r="AR41" s="45"/>
      <c r="AS41" s="43">
        <f t="shared" si="6"/>
        <v>33.845792825312046</v>
      </c>
      <c r="AT41" s="492">
        <v>0</v>
      </c>
      <c r="AU41" s="493">
        <f t="shared" si="33"/>
        <v>0</v>
      </c>
      <c r="AV41" s="494">
        <f>IF(AT41="",0,VLOOKUP(ROUNDDOWN(TEXT(B41,"0000"),-1),VLOOKUP!$M$3:$W$32,RIGHT(TEXT(B41,"0000"),1)+2,FALSE))</f>
        <v>3165</v>
      </c>
      <c r="AW41" s="494">
        <f t="shared" si="20"/>
        <v>0</v>
      </c>
      <c r="AX41" s="39">
        <f t="shared" si="29"/>
        <v>0</v>
      </c>
      <c r="AY41" s="618">
        <v>33.773510534687944</v>
      </c>
      <c r="AZ41" s="180">
        <f t="shared" si="21"/>
        <v>7.86</v>
      </c>
      <c r="BA41" s="23"/>
      <c r="BB41" s="23"/>
      <c r="BC41" s="202">
        <v>0.32</v>
      </c>
      <c r="BD41" s="45">
        <v>87</v>
      </c>
      <c r="BE41" s="45">
        <v>58</v>
      </c>
      <c r="BF41" s="377"/>
      <c r="BG41" s="385">
        <f t="shared" si="7"/>
        <v>6.9222392396477126</v>
      </c>
      <c r="BH41" s="690">
        <v>60.7</v>
      </c>
      <c r="BI41" s="445">
        <v>17382</v>
      </c>
      <c r="BJ41" s="296">
        <f t="shared" si="8"/>
        <v>0</v>
      </c>
      <c r="BK41" s="591">
        <f t="shared" si="9"/>
        <v>0</v>
      </c>
      <c r="BM41" s="574">
        <f t="shared" si="22"/>
        <v>27</v>
      </c>
      <c r="BN41" s="559">
        <v>6884.48</v>
      </c>
      <c r="BO41" s="575">
        <f t="shared" si="10"/>
        <v>1.0000000000218279E-2</v>
      </c>
      <c r="BP41" s="576">
        <v>48.173958333333275</v>
      </c>
      <c r="BQ41" s="576">
        <f t="shared" si="23"/>
        <v>0.8260416666667254</v>
      </c>
    </row>
    <row r="42" spans="1:69" customFormat="1" ht="12.75" customHeight="1">
      <c r="A42" s="48">
        <f t="shared" si="11"/>
        <v>28</v>
      </c>
      <c r="B42" s="104">
        <v>6884.43</v>
      </c>
      <c r="C42" s="483">
        <f>IF(B42="",C41,VLOOKUP(TRUNC(B42,1),VLOOKUP!$A$3:$K$2834,RIGHT(TEXT(B42,"0000.00"),1)+2,FALSE))</f>
        <v>229874</v>
      </c>
      <c r="D42" s="45">
        <f t="shared" si="12"/>
        <v>-191</v>
      </c>
      <c r="E42" s="55">
        <f t="shared" si="0"/>
        <v>77874</v>
      </c>
      <c r="F42" s="112">
        <f t="shared" si="13"/>
        <v>-96.294429039576499</v>
      </c>
      <c r="G42" s="47">
        <v>428</v>
      </c>
      <c r="H42" s="42">
        <v>0</v>
      </c>
      <c r="I42" s="47">
        <f t="shared" si="1"/>
        <v>428</v>
      </c>
      <c r="J42" s="42">
        <f t="shared" si="14"/>
        <v>33.705570960423501</v>
      </c>
      <c r="K42" s="47">
        <f t="shared" si="2"/>
        <v>461.70557096042353</v>
      </c>
      <c r="L42" s="212">
        <f t="shared" si="3"/>
        <v>33.705570960423501</v>
      </c>
      <c r="M42" s="114">
        <v>164</v>
      </c>
      <c r="N42" s="39">
        <v>0</v>
      </c>
      <c r="O42" s="542">
        <f>57*1.05</f>
        <v>59.85</v>
      </c>
      <c r="P42" s="39">
        <v>0</v>
      </c>
      <c r="Q42" s="471">
        <f>1356200/325851/1.9835*1.02</f>
        <v>2.1402901306261946</v>
      </c>
      <c r="R42" s="73">
        <f>IF(((4.4*1.04)-T42)&gt;=4.2,4.2,(4.4*1.04)-T42)</f>
        <v>3.3066966400000002</v>
      </c>
      <c r="S42" s="73">
        <f>IF(((4.4*1.04)-T42)&gt;=4.2,((4.4*1.04)-T42)-4.2,0)</f>
        <v>0</v>
      </c>
      <c r="T42" s="73">
        <f t="shared" si="35"/>
        <v>1.2693033600000001</v>
      </c>
      <c r="U42" s="131">
        <v>0</v>
      </c>
      <c r="V42" s="47">
        <v>166</v>
      </c>
      <c r="W42" s="47">
        <v>67</v>
      </c>
      <c r="X42" s="47">
        <f t="shared" si="16"/>
        <v>364.20722040406179</v>
      </c>
      <c r="Y42" s="47">
        <f t="shared" si="17"/>
        <v>364.20722040406179</v>
      </c>
      <c r="Z42" s="55">
        <f t="shared" si="37"/>
        <v>3955.5700526015426</v>
      </c>
      <c r="AA42" s="47">
        <f>MAX(0,-AS42)</f>
        <v>0</v>
      </c>
      <c r="AB42" s="55"/>
      <c r="AC42" s="55">
        <f t="shared" si="25"/>
        <v>1608.5165091191529</v>
      </c>
      <c r="AD42" s="490">
        <f>MAX(AS42,0)+AD41-AE42</f>
        <v>311.61283796791486</v>
      </c>
      <c r="AE42" s="490">
        <f>(100*(10/24))+(130*(14/24))</f>
        <v>117.50000000000001</v>
      </c>
      <c r="AF42" s="639">
        <f t="shared" si="26"/>
        <v>8754.9688212972815</v>
      </c>
      <c r="AG42" s="47">
        <v>112</v>
      </c>
      <c r="AH42" s="114">
        <v>1.7</v>
      </c>
      <c r="AI42" s="212">
        <v>1.3</v>
      </c>
      <c r="AJ42" s="47">
        <v>49</v>
      </c>
      <c r="AK42" s="55">
        <f t="shared" si="27"/>
        <v>8337.511822044311</v>
      </c>
      <c r="AL42" s="55"/>
      <c r="AM42" s="180">
        <f t="shared" si="31"/>
        <v>558</v>
      </c>
      <c r="AN42" s="47">
        <f t="shared" si="5"/>
        <v>0</v>
      </c>
      <c r="AO42" s="47">
        <f t="shared" si="28"/>
        <v>558</v>
      </c>
      <c r="AP42" s="134">
        <f t="shared" ref="AP42:AP45" si="38">AQ42</f>
        <v>117.50000000000001</v>
      </c>
      <c r="AQ42" s="540">
        <f>AE42</f>
        <v>117.50000000000001</v>
      </c>
      <c r="AR42" s="45"/>
      <c r="AS42" s="43">
        <f t="shared" si="6"/>
        <v>56.645792825312057</v>
      </c>
      <c r="AT42" s="492">
        <v>0.23</v>
      </c>
      <c r="AU42" s="493">
        <f t="shared" si="33"/>
        <v>0.161</v>
      </c>
      <c r="AV42" s="494">
        <f>IF(AT42="",0,VLOOKUP(ROUNDDOWN(TEXT(B42,"0000"),-1),VLOOKUP!$M$3:$W$32,RIGHT(TEXT(B42,"0000"),1)+2,FALSE))</f>
        <v>3165</v>
      </c>
      <c r="AW42" s="494">
        <f t="shared" si="20"/>
        <v>42.463750000000005</v>
      </c>
      <c r="AX42" s="39">
        <f t="shared" si="29"/>
        <v>6.0179966842386738</v>
      </c>
      <c r="AY42" s="618">
        <v>33.773510534687944</v>
      </c>
      <c r="AZ42" s="180">
        <f t="shared" si="21"/>
        <v>7.86</v>
      </c>
      <c r="BA42" s="23"/>
      <c r="BB42" s="23"/>
      <c r="BC42" s="202">
        <v>0.35</v>
      </c>
      <c r="BD42" s="45">
        <v>86</v>
      </c>
      <c r="BE42" s="45">
        <v>53</v>
      </c>
      <c r="BF42" s="377"/>
      <c r="BG42" s="385">
        <f t="shared" si="7"/>
        <v>6.7162901306261951</v>
      </c>
      <c r="BH42" s="60">
        <v>60.4</v>
      </c>
      <c r="BI42" s="445">
        <v>17313</v>
      </c>
      <c r="BJ42" s="296">
        <f t="shared" si="8"/>
        <v>0</v>
      </c>
      <c r="BK42" s="591">
        <f t="shared" si="9"/>
        <v>0</v>
      </c>
      <c r="BM42" s="574">
        <f t="shared" si="22"/>
        <v>28</v>
      </c>
      <c r="BN42" s="559">
        <v>6884.44</v>
      </c>
      <c r="BO42" s="575">
        <f t="shared" si="10"/>
        <v>-9.999999999308784E-3</v>
      </c>
      <c r="BP42" s="576">
        <v>48.121874999999939</v>
      </c>
      <c r="BQ42" s="576">
        <f t="shared" si="23"/>
        <v>0.87812500000006111</v>
      </c>
    </row>
    <row r="43" spans="1:69" customFormat="1" ht="12.95" customHeight="1">
      <c r="A43" s="48">
        <f t="shared" si="11"/>
        <v>29</v>
      </c>
      <c r="B43" s="104">
        <v>6884.27</v>
      </c>
      <c r="C43" s="483">
        <f>IF(B43="",C42,VLOOKUP(TRUNC(B43,1),VLOOKUP!$A$3:$K$2834,RIGHT(TEXT(B43,"0000.00"),1)+2,FALSE))</f>
        <v>229365</v>
      </c>
      <c r="D43" s="45">
        <f t="shared" si="12"/>
        <v>-509</v>
      </c>
      <c r="E43" s="55">
        <f t="shared" si="0"/>
        <v>77365</v>
      </c>
      <c r="F43" s="112">
        <f t="shared" si="13"/>
        <v>-256.61709100075626</v>
      </c>
      <c r="G43" s="47">
        <v>310</v>
      </c>
      <c r="H43" s="42">
        <v>0</v>
      </c>
      <c r="I43" s="47">
        <f t="shared" si="1"/>
        <v>310</v>
      </c>
      <c r="J43" s="42">
        <f t="shared" si="14"/>
        <v>9.3829089992437389</v>
      </c>
      <c r="K43" s="47">
        <f t="shared" si="2"/>
        <v>319.38290899924374</v>
      </c>
      <c r="L43" s="212">
        <f t="shared" si="3"/>
        <v>9.3829089992437389</v>
      </c>
      <c r="M43" s="114">
        <v>166</v>
      </c>
      <c r="N43" s="39">
        <v>0</v>
      </c>
      <c r="O43" s="542">
        <f>64*1.05</f>
        <v>67.2</v>
      </c>
      <c r="P43" s="39">
        <v>0</v>
      </c>
      <c r="Q43" s="471">
        <f>1840300/325851/1.9835*1.02</f>
        <v>2.9042736524047972</v>
      </c>
      <c r="R43" s="73">
        <f>IF(((4.2*1.04)-T43)&gt;=4.2,4.2,(4.2*1.04)-T43)</f>
        <v>3.09869664</v>
      </c>
      <c r="S43" s="73">
        <f>IF(((4.2*1.04)-T43)&gt;=4.2,((4.2*1.04)-T43)-4.2,0)</f>
        <v>0</v>
      </c>
      <c r="T43" s="73">
        <f t="shared" si="35"/>
        <v>1.2693033600000001</v>
      </c>
      <c r="U43" s="131">
        <v>0</v>
      </c>
      <c r="V43" s="47">
        <v>180</v>
      </c>
      <c r="W43" s="47">
        <v>67</v>
      </c>
      <c r="X43" s="47">
        <f t="shared" si="16"/>
        <v>372.30123688228315</v>
      </c>
      <c r="Y43" s="47">
        <f t="shared" si="17"/>
        <v>372.30123688228315</v>
      </c>
      <c r="Z43" s="616">
        <f t="shared" si="24"/>
        <v>3885.5658454268546</v>
      </c>
      <c r="AA43" s="627">
        <f t="shared" si="18"/>
        <v>70.004207174687977</v>
      </c>
      <c r="AB43" s="55"/>
      <c r="AC43" s="55">
        <f t="shared" si="25"/>
        <v>1613.3424800371067</v>
      </c>
      <c r="AD43" s="490">
        <f>MAX(AS43,0)+AD42-AE43</f>
        <v>181.61283796791486</v>
      </c>
      <c r="AE43" s="490">
        <v>130</v>
      </c>
      <c r="AF43" s="639">
        <f t="shared" si="26"/>
        <v>8754.9688212972815</v>
      </c>
      <c r="AG43" s="47">
        <v>114</v>
      </c>
      <c r="AH43" s="114">
        <v>1.7</v>
      </c>
      <c r="AI43" s="212">
        <v>1.3</v>
      </c>
      <c r="AJ43" s="47">
        <v>49</v>
      </c>
      <c r="AK43" s="55">
        <f t="shared" si="27"/>
        <v>8288.511822044311</v>
      </c>
      <c r="AL43" s="55"/>
      <c r="AM43" s="180">
        <f t="shared" si="31"/>
        <v>576</v>
      </c>
      <c r="AN43" s="47">
        <f t="shared" si="5"/>
        <v>0</v>
      </c>
      <c r="AO43" s="47">
        <f t="shared" si="28"/>
        <v>576</v>
      </c>
      <c r="AP43" s="134">
        <f t="shared" si="38"/>
        <v>130</v>
      </c>
      <c r="AQ43" s="540">
        <f>AE43</f>
        <v>130</v>
      </c>
      <c r="AR43" s="45"/>
      <c r="AS43" s="43">
        <f t="shared" si="6"/>
        <v>-70.004207174687977</v>
      </c>
      <c r="AT43" s="492">
        <v>0.28000000000000003</v>
      </c>
      <c r="AU43" s="493">
        <f t="shared" si="33"/>
        <v>0.19600000000000001</v>
      </c>
      <c r="AV43" s="494">
        <f>IF(AT43="",0,VLOOKUP(ROUNDDOWN(TEXT(B43,"0000"),-1),VLOOKUP!$M$3:$W$32,RIGHT(TEXT(B43,"0000"),1)+2,FALSE))</f>
        <v>3165</v>
      </c>
      <c r="AW43" s="494">
        <f t="shared" si="20"/>
        <v>51.695000000000007</v>
      </c>
      <c r="AX43" s="39">
        <f t="shared" si="29"/>
        <v>7.28807266441697</v>
      </c>
      <c r="AY43" s="618">
        <v>33.773510534687944</v>
      </c>
      <c r="AZ43" s="180">
        <f t="shared" si="21"/>
        <v>7.86</v>
      </c>
      <c r="BA43" s="23"/>
      <c r="BB43" s="23"/>
      <c r="BC43" s="202">
        <v>0</v>
      </c>
      <c r="BD43" s="56">
        <v>93</v>
      </c>
      <c r="BE43" s="45">
        <v>57</v>
      </c>
      <c r="BF43" s="377"/>
      <c r="BG43" s="385">
        <f t="shared" si="7"/>
        <v>7.2722736524047971</v>
      </c>
      <c r="BH43" s="60">
        <v>60.7</v>
      </c>
      <c r="BI43" s="445">
        <v>17203</v>
      </c>
      <c r="BJ43" s="296">
        <f t="shared" si="8"/>
        <v>0</v>
      </c>
      <c r="BK43" s="591">
        <f t="shared" si="9"/>
        <v>0</v>
      </c>
      <c r="BM43" s="574">
        <f t="shared" si="22"/>
        <v>29</v>
      </c>
      <c r="BN43" s="559">
        <v>6884.24</v>
      </c>
      <c r="BO43" s="575">
        <f t="shared" si="10"/>
        <v>3.0000000000654836E-2</v>
      </c>
      <c r="BP43" s="576">
        <v>48.205208333333331</v>
      </c>
      <c r="BQ43" s="576">
        <f t="shared" si="23"/>
        <v>0.79479166666666856</v>
      </c>
    </row>
    <row r="44" spans="1:69" customFormat="1" ht="12.95" customHeight="1">
      <c r="A44" s="48">
        <v>30</v>
      </c>
      <c r="B44" s="104">
        <v>6884.04</v>
      </c>
      <c r="C44" s="483">
        <f>IF(B44="",C43,VLOOKUP(TRUNC(B44,1),VLOOKUP!$A$3:$K$2834,RIGHT(TEXT(B44,"0000.00"),1)+2,FALSE))</f>
        <v>228632</v>
      </c>
      <c r="D44" s="45">
        <f t="shared" si="12"/>
        <v>-733</v>
      </c>
      <c r="E44" s="55">
        <f t="shared" si="0"/>
        <v>76632</v>
      </c>
      <c r="F44" s="112">
        <f t="shared" si="13"/>
        <v>-369.54877741366272</v>
      </c>
      <c r="G44" s="47">
        <v>241</v>
      </c>
      <c r="H44" s="42">
        <v>0</v>
      </c>
      <c r="I44" s="47">
        <f>G44+H44</f>
        <v>241</v>
      </c>
      <c r="J44" s="42">
        <f t="shared" si="14"/>
        <v>0</v>
      </c>
      <c r="K44" s="47">
        <f t="shared" si="2"/>
        <v>241</v>
      </c>
      <c r="L44" s="212">
        <f t="shared" si="3"/>
        <v>-24.548777413662719</v>
      </c>
      <c r="M44" s="114">
        <v>180</v>
      </c>
      <c r="N44" s="39">
        <v>0</v>
      </c>
      <c r="O44" s="542">
        <f>56*1.05</f>
        <v>58.800000000000004</v>
      </c>
      <c r="P44" s="39">
        <v>0</v>
      </c>
      <c r="Q44" s="471">
        <f>1741800/325851/1.9835*1.02</f>
        <v>2.7488256522081591</v>
      </c>
      <c r="R44" s="73">
        <f>IF(((5.7*1.04)-T44)&gt;=4.2,4.2,(5.7*1.04)-T44)</f>
        <v>4.2</v>
      </c>
      <c r="S44" s="73">
        <f>IF(((5.7*1.04)-T44)&gt;=4.2,((5.7*1.04)-T44)-4.2,0)</f>
        <v>0.45869664000000032</v>
      </c>
      <c r="T44" s="73">
        <f t="shared" si="35"/>
        <v>1.2693033600000001</v>
      </c>
      <c r="U44" s="131">
        <v>0</v>
      </c>
      <c r="V44" s="47">
        <v>187</v>
      </c>
      <c r="W44" s="47">
        <v>66</v>
      </c>
      <c r="X44" s="47">
        <f t="shared" si="16"/>
        <v>399.29668488247978</v>
      </c>
      <c r="Y44" s="47">
        <f t="shared" si="17"/>
        <v>399.29668488247978</v>
      </c>
      <c r="Z44" s="616">
        <f t="shared" si="24"/>
        <v>3718.6203348921667</v>
      </c>
      <c r="AA44" s="627">
        <f t="shared" si="18"/>
        <v>166.94551053468791</v>
      </c>
      <c r="AB44" s="55"/>
      <c r="AC44" s="55">
        <f t="shared" si="25"/>
        <v>1617.5281303197298</v>
      </c>
      <c r="AD44" s="490">
        <f t="shared" ref="AD44:AD45" si="39">MAX(AS44,0)+AD43-AE44</f>
        <v>51.612837967914857</v>
      </c>
      <c r="AE44" s="490">
        <v>130</v>
      </c>
      <c r="AF44" s="639">
        <f t="shared" si="26"/>
        <v>8754.9688212972815</v>
      </c>
      <c r="AG44" s="47">
        <v>104</v>
      </c>
      <c r="AH44" s="114">
        <v>1.7</v>
      </c>
      <c r="AI44" s="212">
        <v>1.3</v>
      </c>
      <c r="AJ44" s="47">
        <v>49</v>
      </c>
      <c r="AK44" s="55">
        <f t="shared" si="27"/>
        <v>8239.511822044311</v>
      </c>
      <c r="AL44" s="55"/>
      <c r="AM44" s="180">
        <f t="shared" si="31"/>
        <v>586</v>
      </c>
      <c r="AN44" s="47">
        <f t="shared" si="5"/>
        <v>24.548777413662719</v>
      </c>
      <c r="AO44" s="47">
        <f t="shared" si="28"/>
        <v>610.54877741366272</v>
      </c>
      <c r="AP44" s="134">
        <f t="shared" si="38"/>
        <v>130</v>
      </c>
      <c r="AQ44" s="540">
        <f t="shared" ref="AQ44:AQ45" si="40">AE44</f>
        <v>130</v>
      </c>
      <c r="AR44" s="45"/>
      <c r="AS44" s="43">
        <f t="shared" si="6"/>
        <v>-166.94551053468791</v>
      </c>
      <c r="AT44" s="492">
        <v>0.38</v>
      </c>
      <c r="AU44" s="493">
        <f t="shared" si="33"/>
        <v>0.26599999999999996</v>
      </c>
      <c r="AV44" s="494">
        <f>IF(AT44="",0,VLOOKUP(ROUNDDOWN(TEXT(B44,"0000"),-1),VLOOKUP!$M$3:$W$32,RIGHT(TEXT(B44,"0000"),1)+2,FALSE))</f>
        <v>3165</v>
      </c>
      <c r="AW44" s="494">
        <f>AU44/12*AV44</f>
        <v>70.157499999999999</v>
      </c>
      <c r="AX44" s="39">
        <f t="shared" si="29"/>
        <v>9.6900061737011125</v>
      </c>
      <c r="AY44" s="618">
        <v>33.773510534687944</v>
      </c>
      <c r="AZ44" s="180">
        <f t="shared" si="21"/>
        <v>7.86</v>
      </c>
      <c r="BA44" s="23"/>
      <c r="BB44" s="23"/>
      <c r="BC44" s="202">
        <v>0</v>
      </c>
      <c r="BD44" s="56">
        <v>94</v>
      </c>
      <c r="BE44" s="45">
        <v>59</v>
      </c>
      <c r="BF44" s="377"/>
      <c r="BG44" s="385">
        <f t="shared" si="7"/>
        <v>8.6768256522081586</v>
      </c>
      <c r="BH44" s="60">
        <v>60.2</v>
      </c>
      <c r="BI44" s="445">
        <v>17079</v>
      </c>
      <c r="BJ44" s="296">
        <f t="shared" si="8"/>
        <v>0</v>
      </c>
      <c r="BK44" s="591">
        <f t="shared" si="9"/>
        <v>0</v>
      </c>
      <c r="BM44" s="574">
        <f t="shared" si="22"/>
        <v>30</v>
      </c>
      <c r="BN44" s="559">
        <v>6884.03</v>
      </c>
      <c r="BO44" s="575">
        <f t="shared" si="10"/>
        <v>1.0000000000218279E-2</v>
      </c>
      <c r="BP44" s="576">
        <v>48.18437500000001</v>
      </c>
      <c r="BQ44" s="576">
        <f t="shared" si="23"/>
        <v>0.81562499999999005</v>
      </c>
    </row>
    <row r="45" spans="1:69" ht="13.5" customHeight="1">
      <c r="A45" s="48">
        <v>31</v>
      </c>
      <c r="B45" s="104">
        <v>6883.81</v>
      </c>
      <c r="C45" s="483">
        <f>IF(B45="",C44,VLOOKUP(TRUNC(B45,1),VLOOKUP!$A$3:$K$2834,RIGHT(TEXT(B45,"0000.00"),1)+2,FALSE))</f>
        <v>227907</v>
      </c>
      <c r="D45" s="45">
        <f>C45-C44</f>
        <v>-725</v>
      </c>
      <c r="E45" s="55">
        <f t="shared" si="0"/>
        <v>75907</v>
      </c>
      <c r="F45" s="112">
        <f t="shared" si="13"/>
        <v>-365.51550289891605</v>
      </c>
      <c r="G45" s="47">
        <v>203</v>
      </c>
      <c r="H45" s="42">
        <v>0</v>
      </c>
      <c r="I45" s="47">
        <f>G45+H45</f>
        <v>203</v>
      </c>
      <c r="J45" s="42">
        <f t="shared" si="14"/>
        <v>0</v>
      </c>
      <c r="K45" s="47">
        <f t="shared" si="2"/>
        <v>203</v>
      </c>
      <c r="L45" s="212">
        <f t="shared" si="3"/>
        <v>-47.515502898916054</v>
      </c>
      <c r="M45" s="114">
        <v>171</v>
      </c>
      <c r="N45" s="39">
        <v>0</v>
      </c>
      <c r="O45" s="47">
        <f>50*1.05</f>
        <v>52.5</v>
      </c>
      <c r="P45" s="39">
        <v>0</v>
      </c>
      <c r="Q45" s="471">
        <f>2149000/325851/1.9835*1.02</f>
        <v>3.3914492631733459</v>
      </c>
      <c r="R45" s="73">
        <f>IF(((6.1*1.04)-T45)&gt;=4.2,4.2,(6.1*1.04)-T45)</f>
        <v>4.2</v>
      </c>
      <c r="S45" s="73">
        <f>IF(((6.1*1.04)-T45)&gt;=4.2,((6.1*1.04)-T45)-4.2,0)</f>
        <v>0.38523103999999897</v>
      </c>
      <c r="T45" s="73">
        <f>(1.5954*1.06)*1.04</f>
        <v>1.75876896</v>
      </c>
      <c r="U45" s="131">
        <v>0</v>
      </c>
      <c r="V45" s="47">
        <v>126</v>
      </c>
      <c r="W45" s="47">
        <v>65</v>
      </c>
      <c r="X45" s="47">
        <f>IF(B45="",0,M45-N45-O45-P45-Q45-R45-S45-T45-U45+V45+W45-MAX(AP45-AQ45,0)-BA45+AY45)</f>
        <v>333.53806127151461</v>
      </c>
      <c r="Y45" s="47">
        <f t="shared" si="17"/>
        <v>333.53806127151461</v>
      </c>
      <c r="Z45" s="616">
        <f t="shared" si="24"/>
        <v>3578.7908243574789</v>
      </c>
      <c r="AA45" s="627">
        <f t="shared" si="18"/>
        <v>139.82951053468793</v>
      </c>
      <c r="AB45" s="55"/>
      <c r="AC45" s="55">
        <f t="shared" si="25"/>
        <v>1620.502823451214</v>
      </c>
      <c r="AD45" s="490">
        <f t="shared" si="39"/>
        <v>0</v>
      </c>
      <c r="AE45" s="490">
        <f>AD44</f>
        <v>51.612837967914857</v>
      </c>
      <c r="AF45" s="639">
        <f t="shared" si="26"/>
        <v>8754.9688212972815</v>
      </c>
      <c r="AG45" s="47">
        <v>110</v>
      </c>
      <c r="AH45" s="114">
        <v>1.7</v>
      </c>
      <c r="AI45" s="212">
        <v>1.3</v>
      </c>
      <c r="AJ45" s="47">
        <v>49</v>
      </c>
      <c r="AK45" s="55">
        <f t="shared" si="27"/>
        <v>8190.511822044311</v>
      </c>
      <c r="AL45" s="55"/>
      <c r="AM45" s="180">
        <f t="shared" si="31"/>
        <v>521</v>
      </c>
      <c r="AN45" s="47">
        <f t="shared" si="5"/>
        <v>47.515502898916054</v>
      </c>
      <c r="AO45" s="47">
        <f t="shared" si="28"/>
        <v>568.51550289891611</v>
      </c>
      <c r="AP45" s="134">
        <f t="shared" si="38"/>
        <v>51.612837967914857</v>
      </c>
      <c r="AQ45" s="540">
        <f t="shared" si="40"/>
        <v>51.612837967914857</v>
      </c>
      <c r="AR45" s="45"/>
      <c r="AS45" s="43">
        <f t="shared" si="6"/>
        <v>-139.82951053468793</v>
      </c>
      <c r="AT45" s="492">
        <v>0.3</v>
      </c>
      <c r="AU45" s="493">
        <f t="shared" si="33"/>
        <v>0.21</v>
      </c>
      <c r="AV45" s="494">
        <f>IF(AT45="",0,VLOOKUP(ROUNDDOWN(TEXT(B45,"0000"),-1),VLOOKUP!$M$3:$W$32,RIGHT(TEXT(B45,"0000"),1)+2,FALSE))</f>
        <v>3165</v>
      </c>
      <c r="AW45" s="494">
        <f t="shared" si="20"/>
        <v>55.387499999999996</v>
      </c>
      <c r="AX45" s="39">
        <f t="shared" si="29"/>
        <v>7.5249996952436655</v>
      </c>
      <c r="AY45" s="618">
        <v>33.773510534687944</v>
      </c>
      <c r="AZ45" s="180">
        <f t="shared" si="21"/>
        <v>7.86</v>
      </c>
      <c r="BA45" s="23"/>
      <c r="BB45" s="23"/>
      <c r="BC45" s="202">
        <v>0</v>
      </c>
      <c r="BD45" s="56">
        <v>96</v>
      </c>
      <c r="BE45" s="45">
        <v>57</v>
      </c>
      <c r="BF45" s="377"/>
      <c r="BG45" s="385">
        <f t="shared" si="7"/>
        <v>9.7354492631733454</v>
      </c>
      <c r="BH45" s="30">
        <v>59.7</v>
      </c>
      <c r="BI45" s="407">
        <v>16955</v>
      </c>
      <c r="BJ45" s="296">
        <f t="shared" si="8"/>
        <v>0</v>
      </c>
      <c r="BK45" s="591">
        <f t="shared" si="9"/>
        <v>0</v>
      </c>
      <c r="BM45" s="574">
        <f t="shared" si="22"/>
        <v>31</v>
      </c>
      <c r="BN45" s="559">
        <v>6883.84</v>
      </c>
      <c r="BO45" s="575">
        <f t="shared" si="10"/>
        <v>-2.9999999999745341E-2</v>
      </c>
      <c r="BP45" s="576">
        <v>48.189887640449484</v>
      </c>
      <c r="BQ45" s="576">
        <f t="shared" si="23"/>
        <v>0.81011235955051575</v>
      </c>
    </row>
    <row r="46" spans="1:69" ht="3" customHeight="1">
      <c r="A46" s="54"/>
      <c r="B46" s="116"/>
      <c r="C46" s="57"/>
      <c r="D46" s="59"/>
      <c r="E46" s="57"/>
      <c r="F46" s="106"/>
      <c r="G46" s="59"/>
      <c r="H46" s="41"/>
      <c r="I46" s="59"/>
      <c r="J46" s="59"/>
      <c r="K46" s="59"/>
      <c r="L46" s="59"/>
      <c r="M46" s="108"/>
      <c r="N46" s="59"/>
      <c r="O46" s="59"/>
      <c r="P46" s="40"/>
      <c r="Q46" s="59"/>
      <c r="R46" s="59"/>
      <c r="S46" s="59"/>
      <c r="T46" s="59"/>
      <c r="U46" s="130"/>
      <c r="V46" s="59"/>
      <c r="W46" s="59"/>
      <c r="X46" s="59"/>
      <c r="Y46" s="57"/>
      <c r="Z46" s="57"/>
      <c r="AA46" s="59"/>
      <c r="AB46" s="57"/>
      <c r="AC46" s="57"/>
      <c r="AD46" s="495"/>
      <c r="AE46" s="495"/>
      <c r="AF46" s="57"/>
      <c r="AG46" s="59"/>
      <c r="AH46" s="108"/>
      <c r="AI46" s="109"/>
      <c r="AJ46" s="59"/>
      <c r="AK46" s="59"/>
      <c r="AL46" s="59"/>
      <c r="AM46" s="59"/>
      <c r="AN46" s="59"/>
      <c r="AO46" s="59"/>
      <c r="AP46" s="137"/>
      <c r="AQ46" s="491"/>
      <c r="AR46" s="44"/>
      <c r="AS46" s="44"/>
      <c r="AT46" s="491"/>
      <c r="AU46" s="491"/>
      <c r="AV46" s="491"/>
      <c r="AW46" s="491"/>
      <c r="AX46" s="41"/>
      <c r="AY46" s="41"/>
      <c r="AZ46" s="41"/>
      <c r="BA46" s="41"/>
      <c r="BB46" s="41"/>
      <c r="BC46" s="204"/>
      <c r="BD46" s="44"/>
      <c r="BE46" s="44"/>
      <c r="BF46" s="117"/>
      <c r="BG46" s="117"/>
      <c r="BH46" s="117"/>
      <c r="BI46" s="117"/>
      <c r="BJ46" s="71"/>
      <c r="BK46" s="592"/>
      <c r="BM46" s="572"/>
      <c r="BN46" s="497"/>
      <c r="BO46" s="497"/>
      <c r="BP46" s="573"/>
      <c r="BQ46" s="573"/>
    </row>
    <row r="47" spans="1:69" ht="12.95" customHeight="1">
      <c r="A47" s="90" t="s">
        <v>33</v>
      </c>
      <c r="B47" s="98"/>
      <c r="C47" s="55"/>
      <c r="D47" s="55"/>
      <c r="E47" s="55"/>
      <c r="F47" s="99">
        <f t="shared" ref="F47:X47" si="41">SUM(F15:F45)</f>
        <v>-16730.526846483492</v>
      </c>
      <c r="G47" s="55">
        <f t="shared" si="41"/>
        <v>4622.1000000000004</v>
      </c>
      <c r="H47" s="45">
        <f t="shared" si="41"/>
        <v>0</v>
      </c>
      <c r="I47" s="55">
        <f t="shared" si="41"/>
        <v>4622.1000000000004</v>
      </c>
      <c r="J47" s="55">
        <f t="shared" si="41"/>
        <v>160.66031736828828</v>
      </c>
      <c r="K47" s="55">
        <f t="shared" si="41"/>
        <v>4782.7603173682892</v>
      </c>
      <c r="L47" s="55">
        <f t="shared" si="41"/>
        <v>-675.69484648348885</v>
      </c>
      <c r="M47" s="100">
        <f t="shared" si="41"/>
        <v>8430</v>
      </c>
      <c r="N47" s="55">
        <f t="shared" si="41"/>
        <v>50.747257373329973</v>
      </c>
      <c r="O47" s="55">
        <f>SUM(O15:O45)</f>
        <v>2348.8499999999995</v>
      </c>
      <c r="P47" s="39">
        <f>SUM(P15:P45)</f>
        <v>0</v>
      </c>
      <c r="Q47" s="55">
        <f t="shared" si="41"/>
        <v>109.19914274117983</v>
      </c>
      <c r="R47" s="55">
        <f>SUM(R15:R45)</f>
        <v>125.52548320000004</v>
      </c>
      <c r="S47" s="55">
        <f t="shared" si="41"/>
        <v>35.152898559999997</v>
      </c>
      <c r="T47" s="55">
        <f>SUM(T15:T45)</f>
        <v>46.281618240000022</v>
      </c>
      <c r="U47" s="126">
        <f>SUM(U15:U45)</f>
        <v>0</v>
      </c>
      <c r="V47" s="55">
        <f t="shared" si="41"/>
        <v>1866</v>
      </c>
      <c r="W47" s="55">
        <f t="shared" si="41"/>
        <v>2056</v>
      </c>
      <c r="X47" s="55">
        <f t="shared" si="41"/>
        <v>10681.154426460816</v>
      </c>
      <c r="Y47" s="55">
        <f>SUM(Y15:Y45)</f>
        <v>10681.154426460816</v>
      </c>
      <c r="Z47" s="55"/>
      <c r="AA47" s="55">
        <f>SUM(AA15:AA45)</f>
        <v>6833.9252237032442</v>
      </c>
      <c r="AB47" s="55"/>
      <c r="AC47" s="55"/>
      <c r="AD47" s="490"/>
      <c r="AE47" s="490">
        <f>SUM(AE15:AE45)</f>
        <v>487.44617130124823</v>
      </c>
      <c r="AF47" s="49">
        <f>AF12-AF45</f>
        <v>0</v>
      </c>
      <c r="AG47" s="55">
        <f>SUM(AG15:AG45)</f>
        <v>6785</v>
      </c>
      <c r="AH47" s="223">
        <f>SUM(AH15:AH45)</f>
        <v>52.700000000000024</v>
      </c>
      <c r="AI47" s="224">
        <f>SUM(AI15:AI45)</f>
        <v>40.29999999999999</v>
      </c>
      <c r="AJ47" s="55">
        <f>SUM(AJ15:AJ45)</f>
        <v>1542</v>
      </c>
      <c r="AK47" s="55"/>
      <c r="AL47" s="55">
        <f t="shared" ref="AL47:AS47" si="42">SUM(AL15:AL45)</f>
        <v>0</v>
      </c>
      <c r="AM47" s="55">
        <f t="shared" si="42"/>
        <v>20676.932000000001</v>
      </c>
      <c r="AN47" s="55">
        <f t="shared" si="42"/>
        <v>836.35516385177698</v>
      </c>
      <c r="AO47" s="439">
        <f t="shared" si="42"/>
        <v>21513.287163851783</v>
      </c>
      <c r="AP47" s="55">
        <f t="shared" si="42"/>
        <v>487.44617130124823</v>
      </c>
      <c r="AQ47" s="490">
        <f>SUM(AQ15:AQ45)</f>
        <v>487.44617130124823</v>
      </c>
      <c r="AR47" s="55">
        <f t="shared" si="42"/>
        <v>0</v>
      </c>
      <c r="AS47" s="42">
        <f t="shared" si="42"/>
        <v>-6346.4790524019963</v>
      </c>
      <c r="AT47" s="489"/>
      <c r="AU47" s="489"/>
      <c r="AV47" s="489"/>
      <c r="AW47" s="489"/>
      <c r="AX47" s="199"/>
      <c r="AY47" s="42">
        <f>SUM(AY15:AY45)</f>
        <v>1046.9788265753264</v>
      </c>
      <c r="AZ47" s="42">
        <f>SUM(AZ15:AZ45)</f>
        <v>243.6600000000002</v>
      </c>
      <c r="BA47" s="42">
        <f>SUM(BA15:BA45)</f>
        <v>2.0680000000000001</v>
      </c>
      <c r="BB47" s="42">
        <f>SUM(BB15:BB45)</f>
        <v>0</v>
      </c>
      <c r="BC47" s="202">
        <f>SUM(BC15:BC45)</f>
        <v>1.44</v>
      </c>
      <c r="BD47" s="45">
        <f>AVERAGE(BD15:BD45)</f>
        <v>90.387096774193552</v>
      </c>
      <c r="BE47" s="45">
        <f>AVERAGE(BE15:BE45)</f>
        <v>56.451612903225808</v>
      </c>
      <c r="BF47" s="103" t="s">
        <v>44</v>
      </c>
      <c r="BG47" s="393">
        <f>SUM(BG15:BG45)</f>
        <v>366.90640011450978</v>
      </c>
      <c r="BH47" s="42">
        <f>SUM(BH15:BH45)</f>
        <v>1139.54</v>
      </c>
      <c r="BI47" s="407"/>
      <c r="BJ47" s="605">
        <f>SUM(BJ15:BJ45)</f>
        <v>0</v>
      </c>
      <c r="BK47" s="178">
        <f>SUM(BK15:BK45)</f>
        <v>0</v>
      </c>
      <c r="BN47" s="489"/>
      <c r="BO47" s="489"/>
      <c r="BP47" s="505"/>
      <c r="BQ47" s="505">
        <f>SUM(BQ15:BQ44)</f>
        <v>42.554166666667058</v>
      </c>
    </row>
    <row r="48" spans="1:69" ht="12.95" customHeight="1">
      <c r="A48" s="90" t="s">
        <v>34</v>
      </c>
      <c r="B48" s="98"/>
      <c r="C48" s="55"/>
      <c r="D48" s="55">
        <f>SUM(D15:D45)</f>
        <v>-33185</v>
      </c>
      <c r="E48" s="55"/>
      <c r="F48" s="99">
        <f t="shared" ref="F48:AA48" si="43">F47*$D$2</f>
        <v>-33185.000000000007</v>
      </c>
      <c r="G48" s="55">
        <f t="shared" si="43"/>
        <v>9167.9353500000016</v>
      </c>
      <c r="H48" s="45">
        <f t="shared" si="43"/>
        <v>0</v>
      </c>
      <c r="I48" s="55">
        <f t="shared" si="43"/>
        <v>9167.9353500000016</v>
      </c>
      <c r="J48" s="55">
        <f t="shared" si="43"/>
        <v>318.66973949999982</v>
      </c>
      <c r="K48" s="55">
        <f t="shared" si="43"/>
        <v>9486.6050895000026</v>
      </c>
      <c r="L48" s="55">
        <f t="shared" si="43"/>
        <v>-1340.2407280000002</v>
      </c>
      <c r="M48" s="100">
        <f t="shared" si="43"/>
        <v>16720.904999999999</v>
      </c>
      <c r="N48" s="55">
        <f t="shared" si="43"/>
        <v>100.657185</v>
      </c>
      <c r="O48" s="55">
        <f t="shared" si="43"/>
        <v>4658.9439749999992</v>
      </c>
      <c r="P48" s="39">
        <f t="shared" ref="P48:U48" si="44">P47*$D$2</f>
        <v>0</v>
      </c>
      <c r="Q48" s="55">
        <f t="shared" si="44"/>
        <v>216.59649962713019</v>
      </c>
      <c r="R48" s="55">
        <f t="shared" si="44"/>
        <v>248.97979592720009</v>
      </c>
      <c r="S48" s="55">
        <f t="shared" si="44"/>
        <v>69.725774293759997</v>
      </c>
      <c r="T48" s="55">
        <f t="shared" si="44"/>
        <v>91.799589779040048</v>
      </c>
      <c r="U48" s="126">
        <f t="shared" si="44"/>
        <v>0</v>
      </c>
      <c r="V48" s="55">
        <f t="shared" si="43"/>
        <v>3701.2110000000002</v>
      </c>
      <c r="W48" s="55">
        <f t="shared" si="43"/>
        <v>4078.076</v>
      </c>
      <c r="X48" s="55">
        <f t="shared" si="43"/>
        <v>21186.069804885028</v>
      </c>
      <c r="Y48" s="55">
        <f t="shared" si="43"/>
        <v>21186.069804885028</v>
      </c>
      <c r="Z48" s="55"/>
      <c r="AA48" s="55">
        <f t="shared" si="43"/>
        <v>13555.090681215384</v>
      </c>
      <c r="AB48" s="55"/>
      <c r="AC48" s="55"/>
      <c r="AD48" s="490"/>
      <c r="AE48" s="490">
        <f>AE47*$D$2</f>
        <v>966.84948077602587</v>
      </c>
      <c r="AF48" s="49">
        <f t="shared" ref="AF48:AJ48" si="45">AF47*$D$2</f>
        <v>0</v>
      </c>
      <c r="AG48" s="55">
        <f t="shared" si="45"/>
        <v>13458.047500000001</v>
      </c>
      <c r="AH48" s="100">
        <f t="shared" si="45"/>
        <v>104.53045000000004</v>
      </c>
      <c r="AI48" s="101">
        <f t="shared" si="45"/>
        <v>79.935049999999976</v>
      </c>
      <c r="AJ48" s="55">
        <f t="shared" si="45"/>
        <v>3058.5570000000002</v>
      </c>
      <c r="AK48" s="55"/>
      <c r="AL48" s="55">
        <f t="shared" ref="AL48:AR48" si="46">AL47*$D$2</f>
        <v>0</v>
      </c>
      <c r="AM48" s="55">
        <f t="shared" si="46"/>
        <v>41012.694622000003</v>
      </c>
      <c r="AN48" s="55">
        <f t="shared" si="46"/>
        <v>1658.9104674999996</v>
      </c>
      <c r="AO48" s="99">
        <f t="shared" si="46"/>
        <v>42671.605089500015</v>
      </c>
      <c r="AP48" s="55">
        <f t="shared" si="46"/>
        <v>966.84948077602587</v>
      </c>
      <c r="AQ48" s="490">
        <f t="shared" si="46"/>
        <v>966.84948077602587</v>
      </c>
      <c r="AR48" s="55">
        <f t="shared" si="46"/>
        <v>0</v>
      </c>
      <c r="AS48" s="42"/>
      <c r="AT48" s="489">
        <f>SUM(AT15:AT45)</f>
        <v>8.120000000000001</v>
      </c>
      <c r="AU48" s="489"/>
      <c r="AV48" s="489"/>
      <c r="AW48" s="489">
        <f>SUM(AW15:AW45)</f>
        <v>1576.0365833333328</v>
      </c>
      <c r="AX48" s="199">
        <f>SUM(AX15:AX45)</f>
        <v>279.51283506527756</v>
      </c>
      <c r="AY48" s="42">
        <f>AY47*$D$2</f>
        <v>2076.6825025121598</v>
      </c>
      <c r="AZ48" s="42">
        <f>AZ47*$D$2</f>
        <v>483.29961000000037</v>
      </c>
      <c r="BA48" s="42">
        <f>BA47*$D$2</f>
        <v>4.1018780000000001</v>
      </c>
      <c r="BB48" s="42">
        <f>BB47*$D$2</f>
        <v>0</v>
      </c>
      <c r="BC48" s="202"/>
      <c r="BD48" s="45">
        <f>MAX(BD15:BD45)</f>
        <v>99</v>
      </c>
      <c r="BE48" s="45">
        <f>MAX(BE15:BE45)</f>
        <v>61</v>
      </c>
      <c r="BF48" s="103" t="s">
        <v>17</v>
      </c>
      <c r="BG48" s="393">
        <f>BG47*$D$2</f>
        <v>727.7588446271302</v>
      </c>
      <c r="BH48" s="42">
        <f>BH47*$D$2</f>
        <v>2260.2775900000001</v>
      </c>
      <c r="BI48" s="407"/>
      <c r="BJ48" s="605">
        <f>BJ47*$D$2</f>
        <v>0</v>
      </c>
      <c r="BK48" s="178">
        <f>BK47*$D$2</f>
        <v>0</v>
      </c>
      <c r="BN48" s="489"/>
      <c r="BO48" s="489"/>
      <c r="BP48" s="505"/>
      <c r="BQ48" s="505">
        <f>BQ47*$D$2</f>
        <v>84.406189583334111</v>
      </c>
    </row>
    <row r="49" spans="1:69" ht="3" customHeight="1">
      <c r="A49" s="54"/>
      <c r="B49" s="116"/>
      <c r="C49" s="57"/>
      <c r="D49" s="57"/>
      <c r="E49" s="57"/>
      <c r="F49" s="117"/>
      <c r="G49" s="57"/>
      <c r="H49" s="44"/>
      <c r="I49" s="57"/>
      <c r="J49" s="57"/>
      <c r="K49" s="57"/>
      <c r="L49" s="57"/>
      <c r="M49" s="118"/>
      <c r="N49" s="57"/>
      <c r="O49" s="57"/>
      <c r="P49" s="40"/>
      <c r="Q49" s="57"/>
      <c r="R49" s="57"/>
      <c r="S49" s="57"/>
      <c r="T49" s="57"/>
      <c r="U49" s="130"/>
      <c r="V49" s="57"/>
      <c r="W49" s="57"/>
      <c r="X49" s="57"/>
      <c r="Y49" s="57"/>
      <c r="Z49" s="57"/>
      <c r="AA49" s="57"/>
      <c r="AB49" s="57"/>
      <c r="AC49" s="57"/>
      <c r="AD49" s="495"/>
      <c r="AE49" s="495"/>
      <c r="AF49" s="57"/>
      <c r="AG49" s="57"/>
      <c r="AH49" s="118"/>
      <c r="AI49" s="119"/>
      <c r="AJ49" s="57"/>
      <c r="AK49" s="59"/>
      <c r="AL49" s="57"/>
      <c r="AM49" s="57"/>
      <c r="AN49" s="57"/>
      <c r="AO49" s="117"/>
      <c r="AP49" s="57"/>
      <c r="AQ49" s="495"/>
      <c r="AR49" s="57"/>
      <c r="AS49" s="44"/>
      <c r="AT49" s="495"/>
      <c r="AU49" s="495"/>
      <c r="AV49" s="495"/>
      <c r="AW49" s="495"/>
      <c r="AX49" s="40"/>
      <c r="AY49" s="40"/>
      <c r="AZ49" s="475"/>
      <c r="BA49" s="41"/>
      <c r="BB49" s="41"/>
      <c r="BC49" s="120"/>
      <c r="BD49" s="57"/>
      <c r="BE49" s="57"/>
      <c r="BF49" s="57"/>
      <c r="BG49" s="57"/>
      <c r="BH49" s="57"/>
      <c r="BI49" s="57"/>
      <c r="BJ49" s="69"/>
      <c r="BK49" s="190"/>
      <c r="BM49" s="572"/>
      <c r="BN49" s="497"/>
      <c r="BO49" s="497"/>
      <c r="BP49" s="506"/>
      <c r="BQ49" s="506"/>
    </row>
    <row r="50" spans="1:69" ht="12.95" customHeight="1">
      <c r="A50" s="90" t="s">
        <v>36</v>
      </c>
      <c r="B50" s="98"/>
      <c r="C50" s="55"/>
      <c r="D50" s="55"/>
      <c r="E50" s="55"/>
      <c r="F50" s="99">
        <f t="shared" ref="F50:X50" si="47">F12+F47</f>
        <v>-26493.571968742126</v>
      </c>
      <c r="G50" s="55">
        <f t="shared" si="47"/>
        <v>49113.1</v>
      </c>
      <c r="H50" s="45">
        <f t="shared" si="47"/>
        <v>133.2227</v>
      </c>
      <c r="I50" s="55">
        <f t="shared" si="47"/>
        <v>49246.322699999997</v>
      </c>
      <c r="J50" s="55">
        <f t="shared" si="47"/>
        <v>219.99269195865887</v>
      </c>
      <c r="K50" s="55">
        <f t="shared" si="47"/>
        <v>49466.305391958653</v>
      </c>
      <c r="L50" s="55">
        <f t="shared" si="47"/>
        <v>-3672.2926687421223</v>
      </c>
      <c r="M50" s="100">
        <f t="shared" si="47"/>
        <v>29824.2</v>
      </c>
      <c r="N50" s="55">
        <f t="shared" si="47"/>
        <v>81.247257373329973</v>
      </c>
      <c r="O50" s="55">
        <f t="shared" si="47"/>
        <v>9107.9835000000003</v>
      </c>
      <c r="P50" s="39">
        <f>P12+P47</f>
        <v>7.0600000000000005</v>
      </c>
      <c r="Q50" s="55"/>
      <c r="R50" s="55"/>
      <c r="S50" s="55"/>
      <c r="T50" s="55"/>
      <c r="U50" s="126"/>
      <c r="V50" s="55">
        <f t="shared" si="47"/>
        <v>10988</v>
      </c>
      <c r="W50" s="55">
        <f t="shared" si="47"/>
        <v>6331.7199999999993</v>
      </c>
      <c r="X50" s="55">
        <f t="shared" si="47"/>
        <v>38376.056575454437</v>
      </c>
      <c r="Y50" s="55">
        <f>Y12+Y47</f>
        <v>38274.101156547673</v>
      </c>
      <c r="Z50" s="62"/>
      <c r="AA50" s="55"/>
      <c r="AB50" s="55"/>
      <c r="AC50" s="55"/>
      <c r="AD50" s="490"/>
      <c r="AE50" s="490">
        <f>AE12+AE47</f>
        <v>487.44617130124823</v>
      </c>
      <c r="AF50" s="55">
        <f>AF47+AF13</f>
        <v>0</v>
      </c>
      <c r="AG50" s="55">
        <f>AG12+AG47</f>
        <v>19110.739999999998</v>
      </c>
      <c r="AH50" s="100">
        <f>AH12+AH47</f>
        <v>207.40000000000009</v>
      </c>
      <c r="AI50" s="101">
        <f>AI12+AI47</f>
        <v>158.59999999999997</v>
      </c>
      <c r="AJ50" s="55">
        <f t="shared" ref="AJ50" si="48">AJ12+AJ47</f>
        <v>5815</v>
      </c>
      <c r="AK50" s="55"/>
      <c r="AL50" s="55">
        <f t="shared" ref="AL50:AQ50" si="49">AL12+AL47</f>
        <v>0</v>
      </c>
      <c r="AM50" s="55">
        <f t="shared" si="49"/>
        <v>72067.592000000004</v>
      </c>
      <c r="AN50" s="55">
        <f t="shared" si="49"/>
        <v>3892.285360700781</v>
      </c>
      <c r="AO50" s="99">
        <f t="shared" si="49"/>
        <v>75959.87736070079</v>
      </c>
      <c r="AP50" s="55">
        <f>AP12+AP47</f>
        <v>2313.4365242127687</v>
      </c>
      <c r="AQ50" s="490">
        <f t="shared" si="49"/>
        <v>487.44617130124823</v>
      </c>
      <c r="AR50" s="45"/>
      <c r="AS50" s="42"/>
      <c r="AT50" s="489"/>
      <c r="AU50" s="489"/>
      <c r="AV50" s="489"/>
      <c r="AW50" s="489"/>
      <c r="AX50" s="199"/>
      <c r="AY50" s="42">
        <f>AY12+AY47</f>
        <v>1442.4037858060642</v>
      </c>
      <c r="AZ50" s="42">
        <f>AZ12+AZ47</f>
        <v>391.34800000000018</v>
      </c>
      <c r="BA50" s="42">
        <f>BA12+BA47</f>
        <v>2.0680000000000001</v>
      </c>
      <c r="BB50" s="42">
        <f>BB12+BB47</f>
        <v>0</v>
      </c>
      <c r="BC50" s="202" t="s">
        <v>131</v>
      </c>
      <c r="BD50" s="45">
        <f>MIN(BD15:BD45)</f>
        <v>74</v>
      </c>
      <c r="BE50" s="45">
        <f>MIN(BE15:BE45)</f>
        <v>46</v>
      </c>
      <c r="BF50" s="103" t="s">
        <v>18</v>
      </c>
      <c r="BG50" s="393">
        <f>BG12+BG47</f>
        <v>1152.0542103516214</v>
      </c>
      <c r="BH50" s="42">
        <f>BH12+BH47</f>
        <v>1385.88</v>
      </c>
      <c r="BI50" s="407"/>
      <c r="BJ50" s="605">
        <f>BJ47+BJ12</f>
        <v>5045.202419108532</v>
      </c>
      <c r="BK50" s="178">
        <f>BK47+BK12</f>
        <v>4455.8195433886603</v>
      </c>
      <c r="BN50" s="489"/>
      <c r="BO50" s="489"/>
      <c r="BP50" s="505"/>
      <c r="BQ50" s="505"/>
    </row>
    <row r="51" spans="1:69" ht="12.95" customHeight="1">
      <c r="A51" s="90" t="s">
        <v>38</v>
      </c>
      <c r="B51" s="98"/>
      <c r="C51" s="55"/>
      <c r="D51" s="55"/>
      <c r="E51" s="55"/>
      <c r="F51" s="99">
        <f t="shared" ref="F51:AO51" si="50">F50*$D$2</f>
        <v>-52550.000000000007</v>
      </c>
      <c r="G51" s="55">
        <f t="shared" si="50"/>
        <v>97415.833849999995</v>
      </c>
      <c r="H51" s="45">
        <f t="shared" si="50"/>
        <v>264.24722545000003</v>
      </c>
      <c r="I51" s="55">
        <f t="shared" si="50"/>
        <v>97680.081075449998</v>
      </c>
      <c r="J51" s="55">
        <f t="shared" si="50"/>
        <v>436.35550449999988</v>
      </c>
      <c r="K51" s="55">
        <f t="shared" si="50"/>
        <v>98116.416744949995</v>
      </c>
      <c r="L51" s="55">
        <f t="shared" si="50"/>
        <v>-7283.9925084500001</v>
      </c>
      <c r="M51" s="100">
        <f t="shared" si="50"/>
        <v>59156.3007</v>
      </c>
      <c r="N51" s="55">
        <f t="shared" si="50"/>
        <v>161.15393499999999</v>
      </c>
      <c r="O51" s="55">
        <f t="shared" si="50"/>
        <v>18065.685272250001</v>
      </c>
      <c r="P51" s="39">
        <f t="shared" si="50"/>
        <v>14.003510000000002</v>
      </c>
      <c r="Q51" s="55"/>
      <c r="R51" s="55"/>
      <c r="S51" s="55"/>
      <c r="T51" s="55"/>
      <c r="U51" s="126"/>
      <c r="V51" s="55">
        <f t="shared" si="50"/>
        <v>21794.698</v>
      </c>
      <c r="W51" s="55">
        <f t="shared" si="50"/>
        <v>12558.966619999999</v>
      </c>
      <c r="X51" s="55">
        <f t="shared" si="50"/>
        <v>76118.908217413875</v>
      </c>
      <c r="Y51" s="55">
        <f t="shared" si="50"/>
        <v>75916.679644012314</v>
      </c>
      <c r="Z51" s="62"/>
      <c r="AA51" s="55"/>
      <c r="AB51" s="55"/>
      <c r="AC51" s="55"/>
      <c r="AD51" s="490"/>
      <c r="AE51" s="490">
        <f>AE50*$D$2</f>
        <v>966.84948077602587</v>
      </c>
      <c r="AF51" s="55">
        <f>AF50*D2</f>
        <v>0</v>
      </c>
      <c r="AG51" s="55">
        <f t="shared" si="50"/>
        <v>37906.15279</v>
      </c>
      <c r="AH51" s="100">
        <f>AH50*$D$2</f>
        <v>411.37790000000018</v>
      </c>
      <c r="AI51" s="101">
        <f>AI50*$D$2</f>
        <v>314.58309999999994</v>
      </c>
      <c r="AJ51" s="55">
        <f t="shared" ref="AJ51" si="51">AJ50*$D$2</f>
        <v>11534.0525</v>
      </c>
      <c r="AK51" s="55"/>
      <c r="AL51" s="55">
        <f t="shared" si="50"/>
        <v>0</v>
      </c>
      <c r="AM51" s="55">
        <f t="shared" si="50"/>
        <v>142946.06873200001</v>
      </c>
      <c r="AN51" s="55">
        <f t="shared" si="50"/>
        <v>7720.3480129499994</v>
      </c>
      <c r="AO51" s="99">
        <f t="shared" si="50"/>
        <v>150666.41674495002</v>
      </c>
      <c r="AP51" s="55">
        <f t="shared" ref="AP51:AQ51" si="52">AP50*$D$2</f>
        <v>4588.7013457760268</v>
      </c>
      <c r="AQ51" s="490">
        <f t="shared" si="52"/>
        <v>966.84948077602587</v>
      </c>
      <c r="AR51" s="45"/>
      <c r="AS51" s="42"/>
      <c r="AT51" s="489">
        <f>AT13+AT48</f>
        <v>34.159999999999997</v>
      </c>
      <c r="AU51" s="489"/>
      <c r="AV51" s="489"/>
      <c r="AW51" s="489">
        <f>AW13+AW48</f>
        <v>7120.9716666666664</v>
      </c>
      <c r="AX51" s="199">
        <f>AX12+AX48</f>
        <v>966.17495132471413</v>
      </c>
      <c r="AY51" s="42">
        <f>AY50*$D$2</f>
        <v>2861.0079091463285</v>
      </c>
      <c r="AZ51" s="42">
        <f>AZ50*$D$2</f>
        <v>776.23875800000042</v>
      </c>
      <c r="BA51" s="42">
        <f>BA50*$D$2</f>
        <v>4.1018780000000001</v>
      </c>
      <c r="BB51" s="42">
        <f>BB50*$D$2</f>
        <v>0</v>
      </c>
      <c r="BC51" s="202">
        <f>JUN!BC50+BC47</f>
        <v>2.46</v>
      </c>
      <c r="BD51" s="45"/>
      <c r="BE51" s="45"/>
      <c r="BF51" s="378"/>
      <c r="BG51" s="393">
        <f>BG50*$D$2</f>
        <v>2285.0995262324409</v>
      </c>
      <c r="BH51" s="42">
        <f>BH50*$D$2</f>
        <v>2748.8929800000001</v>
      </c>
      <c r="BI51" s="407"/>
      <c r="BJ51" s="605">
        <f>BJ50*$D$2</f>
        <v>10007.158998301773</v>
      </c>
      <c r="BK51" s="178">
        <f>BK50*$D$2</f>
        <v>8838.1180643114076</v>
      </c>
      <c r="BN51" s="489"/>
      <c r="BO51" s="489"/>
      <c r="BP51" s="505"/>
      <c r="BQ51" s="505"/>
    </row>
    <row r="52" spans="1:69" ht="3" customHeight="1">
      <c r="A52" s="54"/>
      <c r="B52" s="116"/>
      <c r="C52" s="57"/>
      <c r="D52" s="57"/>
      <c r="E52" s="57"/>
      <c r="F52" s="117"/>
      <c r="G52" s="57"/>
      <c r="H52" s="44"/>
      <c r="I52" s="57"/>
      <c r="J52" s="57"/>
      <c r="K52" s="57"/>
      <c r="L52" s="57"/>
      <c r="M52" s="118"/>
      <c r="N52" s="57"/>
      <c r="O52" s="57"/>
      <c r="P52" s="40"/>
      <c r="Q52" s="57"/>
      <c r="R52" s="57"/>
      <c r="S52" s="57"/>
      <c r="T52" s="57"/>
      <c r="U52" s="130"/>
      <c r="V52" s="57"/>
      <c r="W52" s="57"/>
      <c r="X52" s="57"/>
      <c r="Y52" s="57"/>
      <c r="Z52" s="57"/>
      <c r="AA52" s="57"/>
      <c r="AB52" s="57"/>
      <c r="AC52" s="57"/>
      <c r="AD52" s="495"/>
      <c r="AE52" s="495"/>
      <c r="AF52" s="57"/>
      <c r="AG52" s="57"/>
      <c r="AH52" s="118"/>
      <c r="AI52" s="119"/>
      <c r="AJ52" s="57"/>
      <c r="AK52" s="57"/>
      <c r="AL52" s="57"/>
      <c r="AM52" s="57"/>
      <c r="AN52" s="57"/>
      <c r="AO52" s="117"/>
      <c r="AP52" s="57"/>
      <c r="AQ52" s="495"/>
      <c r="AR52" s="57"/>
      <c r="AS52" s="44"/>
      <c r="AT52" s="496"/>
      <c r="AU52" s="496"/>
      <c r="AV52" s="496"/>
      <c r="AW52" s="496"/>
      <c r="AX52" s="40"/>
      <c r="AY52" s="40"/>
      <c r="AZ52" s="475"/>
      <c r="BA52" s="41"/>
      <c r="BB52" s="41"/>
      <c r="BC52" s="204"/>
      <c r="BD52" s="57"/>
      <c r="BE52" s="57"/>
      <c r="BF52" s="57"/>
      <c r="BG52" s="57"/>
      <c r="BH52" s="57"/>
      <c r="BI52" s="57"/>
      <c r="BJ52" s="193"/>
      <c r="BK52" s="594"/>
      <c r="BM52" s="572"/>
      <c r="BN52" s="497"/>
      <c r="BO52" s="497"/>
      <c r="BP52" s="506"/>
      <c r="BQ52" s="506"/>
    </row>
    <row r="53" spans="1:69" ht="12.95" customHeight="1">
      <c r="A53" s="90" t="s">
        <v>39</v>
      </c>
      <c r="B53" s="98"/>
      <c r="C53" s="55"/>
      <c r="D53" s="55"/>
      <c r="E53" s="55"/>
      <c r="F53" s="99">
        <f t="shared" ref="F53:X53" si="53">F13+F47</f>
        <v>-32512.225863372827</v>
      </c>
      <c r="G53" s="55">
        <f t="shared" si="53"/>
        <v>55722.9</v>
      </c>
      <c r="H53" s="45">
        <f t="shared" si="53"/>
        <v>181.4727</v>
      </c>
      <c r="I53" s="55">
        <f t="shared" si="53"/>
        <v>55904.3727</v>
      </c>
      <c r="J53" s="55">
        <f t="shared" si="53"/>
        <v>2093.8368240483992</v>
      </c>
      <c r="K53" s="55">
        <f t="shared" si="53"/>
        <v>57998.199524048396</v>
      </c>
      <c r="L53" s="55">
        <f t="shared" si="53"/>
        <v>-3978.9565633728262</v>
      </c>
      <c r="M53" s="100">
        <f t="shared" si="53"/>
        <v>30604.739999999998</v>
      </c>
      <c r="N53" s="55">
        <f t="shared" si="53"/>
        <v>81.247257373329973</v>
      </c>
      <c r="O53" s="55">
        <f t="shared" si="53"/>
        <v>9107.9835000000003</v>
      </c>
      <c r="P53" s="39"/>
      <c r="Q53" s="55">
        <f t="shared" si="53"/>
        <v>635.06394588354283</v>
      </c>
      <c r="R53" s="55">
        <f t="shared" si="53"/>
        <v>443.67659200000014</v>
      </c>
      <c r="S53" s="55">
        <f t="shared" si="53"/>
        <v>327.56670367999993</v>
      </c>
      <c r="T53" s="55">
        <f>T13+T47</f>
        <v>235.66104016000008</v>
      </c>
      <c r="U53" s="341">
        <f>U13+U47</f>
        <v>-46.583886557747249</v>
      </c>
      <c r="V53" s="55">
        <f t="shared" si="53"/>
        <v>16180</v>
      </c>
      <c r="W53" s="55">
        <f t="shared" si="53"/>
        <v>6365.2199999999993</v>
      </c>
      <c r="X53" s="55">
        <f t="shared" si="53"/>
        <v>43798.620633266932</v>
      </c>
      <c r="Y53" s="55">
        <f>Y13+Y47</f>
        <v>43548.549801343019</v>
      </c>
      <c r="Z53" s="55"/>
      <c r="AA53" s="55"/>
      <c r="AB53" s="55"/>
      <c r="AC53" s="55"/>
      <c r="AD53" s="490"/>
      <c r="AE53" s="490">
        <f>AE12+AE47</f>
        <v>487.44617130124823</v>
      </c>
      <c r="AF53" s="45"/>
      <c r="AG53" s="55"/>
      <c r="AH53" s="100">
        <f>AH13+AH47</f>
        <v>207.40000000000009</v>
      </c>
      <c r="AI53" s="101">
        <f>AI13+AI47</f>
        <v>158.59999999999997</v>
      </c>
      <c r="AJ53" s="55">
        <f>AJ13+AJ47</f>
        <v>12179</v>
      </c>
      <c r="AK53" s="55">
        <f>AK45</f>
        <v>8190.511822044311</v>
      </c>
      <c r="AL53" s="55">
        <f t="shared" ref="AL53:AR53" si="54">AL13+AL47</f>
        <v>0</v>
      </c>
      <c r="AM53" s="55">
        <f t="shared" si="54"/>
        <v>84437.631999999998</v>
      </c>
      <c r="AN53" s="55">
        <f t="shared" si="54"/>
        <v>6072.7933874212249</v>
      </c>
      <c r="AO53" s="439">
        <f t="shared" si="54"/>
        <v>90510.42538742123</v>
      </c>
      <c r="AP53" s="55">
        <f>AP13+AP47</f>
        <v>7457.0372300358085</v>
      </c>
      <c r="AQ53" s="490">
        <f>AQ13+AQ47</f>
        <v>487.44617130124823</v>
      </c>
      <c r="AR53" s="55">
        <f t="shared" si="54"/>
        <v>250.07083192391997</v>
      </c>
      <c r="AS53" s="42"/>
      <c r="AT53" s="489"/>
      <c r="AU53" s="489"/>
      <c r="AV53" s="489"/>
      <c r="AW53" s="489"/>
      <c r="AX53" s="199"/>
      <c r="AY53" s="199"/>
      <c r="AZ53" s="47">
        <f>AZ13+AZ47</f>
        <v>391.34800000000018</v>
      </c>
      <c r="BA53" s="544"/>
      <c r="BB53" s="439">
        <f>BB13+BB47</f>
        <v>0</v>
      </c>
      <c r="BC53" s="202">
        <f>BC13+BC47</f>
        <v>9.3550000000000004</v>
      </c>
      <c r="BD53" s="45"/>
      <c r="BE53" s="45"/>
      <c r="BF53" s="378"/>
      <c r="BG53" s="393">
        <f>BG13+BG47</f>
        <v>1683.6916525391257</v>
      </c>
      <c r="BH53" s="47">
        <f>BH13+BH47</f>
        <v>1625.6960000000001</v>
      </c>
      <c r="BI53" s="407"/>
      <c r="BJ53" s="605">
        <f>BJ13+BJ47</f>
        <v>5045.202419108532</v>
      </c>
      <c r="BK53" s="178">
        <f>BK13+BK47</f>
        <v>4455.8195433886603</v>
      </c>
      <c r="BN53" s="489"/>
      <c r="BO53" s="489"/>
      <c r="BP53" s="505"/>
      <c r="BQ53" s="505">
        <f>BQ13+BQ47</f>
        <v>42.554166666667058</v>
      </c>
    </row>
    <row r="54" spans="1:69" ht="12.95" customHeight="1">
      <c r="A54" s="90" t="s">
        <v>40</v>
      </c>
      <c r="B54" s="98"/>
      <c r="C54" s="55"/>
      <c r="D54" s="55">
        <f>D13+D48</f>
        <v>-64488</v>
      </c>
      <c r="E54" s="55">
        <f>E45</f>
        <v>75907</v>
      </c>
      <c r="F54" s="99">
        <f t="shared" ref="F54:AK54" si="55">F53*$D$2</f>
        <v>-64488.000000000007</v>
      </c>
      <c r="G54" s="55">
        <f t="shared" si="55"/>
        <v>110526.37215000001</v>
      </c>
      <c r="H54" s="45">
        <f t="shared" si="55"/>
        <v>359.95110045000001</v>
      </c>
      <c r="I54" s="55">
        <f t="shared" si="55"/>
        <v>110886.32325045</v>
      </c>
      <c r="J54" s="55">
        <f t="shared" si="55"/>
        <v>4153.1253404999998</v>
      </c>
      <c r="K54" s="55">
        <f t="shared" si="55"/>
        <v>115039.42875594999</v>
      </c>
      <c r="L54" s="55">
        <f t="shared" si="55"/>
        <v>-7892.2603434500006</v>
      </c>
      <c r="M54" s="100">
        <f t="shared" si="55"/>
        <v>60704.501789999995</v>
      </c>
      <c r="N54" s="55">
        <f t="shared" si="55"/>
        <v>161.15393499999999</v>
      </c>
      <c r="O54" s="55">
        <f t="shared" si="55"/>
        <v>18065.685272250001</v>
      </c>
      <c r="P54" s="39"/>
      <c r="Q54" s="45">
        <f>Q53*$D$2</f>
        <v>1259.6493366600073</v>
      </c>
      <c r="R54" s="45">
        <f>R53*$D$2</f>
        <v>880.03252023200025</v>
      </c>
      <c r="S54" s="246">
        <f>S53*$D$2</f>
        <v>649.72855674927985</v>
      </c>
      <c r="T54" s="246">
        <f>T53*$D$2</f>
        <v>467.4336731573602</v>
      </c>
      <c r="U54" s="403">
        <f>U53*$D$2</f>
        <v>-92.399138987291664</v>
      </c>
      <c r="V54" s="55">
        <f t="shared" si="55"/>
        <v>32093.030000000002</v>
      </c>
      <c r="W54" s="55">
        <f t="shared" si="55"/>
        <v>12625.413869999998</v>
      </c>
      <c r="X54" s="55">
        <f t="shared" si="55"/>
        <v>86874.564026084961</v>
      </c>
      <c r="Y54" s="55">
        <f t="shared" si="55"/>
        <v>86378.548530963875</v>
      </c>
      <c r="Z54" s="55"/>
      <c r="AA54" s="55"/>
      <c r="AB54" s="55"/>
      <c r="AC54" s="55"/>
      <c r="AD54" s="490"/>
      <c r="AE54" s="490">
        <f>AE53*$D$2</f>
        <v>966.84948077602587</v>
      </c>
      <c r="AF54" s="45"/>
      <c r="AG54" s="55"/>
      <c r="AH54" s="211">
        <f>AH53*$D$2</f>
        <v>411.37790000000018</v>
      </c>
      <c r="AI54" s="121">
        <f>AI53*$D$2</f>
        <v>314.58309999999994</v>
      </c>
      <c r="AJ54" s="55">
        <f t="shared" si="55"/>
        <v>24157.0465</v>
      </c>
      <c r="AK54" s="55">
        <f t="shared" si="55"/>
        <v>16245.88019902489</v>
      </c>
      <c r="AL54" s="55">
        <f t="shared" ref="AL54:AR54" si="56">AL53*$D$2</f>
        <v>0</v>
      </c>
      <c r="AM54" s="55">
        <f t="shared" si="56"/>
        <v>167482.043072</v>
      </c>
      <c r="AN54" s="55">
        <f t="shared" si="56"/>
        <v>12045.38568395</v>
      </c>
      <c r="AO54" s="437">
        <f t="shared" si="56"/>
        <v>179527.42875595001</v>
      </c>
      <c r="AP54" s="55">
        <f t="shared" ref="AP54:AQ54" si="57">AP53*$D$2</f>
        <v>14791.033345776026</v>
      </c>
      <c r="AQ54" s="490">
        <f t="shared" si="57"/>
        <v>966.84948077602587</v>
      </c>
      <c r="AR54" s="55">
        <f t="shared" si="56"/>
        <v>496.01549512109528</v>
      </c>
      <c r="AS54" s="42"/>
      <c r="AT54" s="489"/>
      <c r="AU54" s="489"/>
      <c r="AV54" s="489"/>
      <c r="AW54" s="489"/>
      <c r="AX54" s="199">
        <f>AX12+AX48</f>
        <v>966.17495132471413</v>
      </c>
      <c r="AY54" s="39"/>
      <c r="AZ54" s="47">
        <f>AZ53*$D$2</f>
        <v>776.23875800000042</v>
      </c>
      <c r="BA54" s="42"/>
      <c r="BB54" s="437">
        <f>BB53*$D$2</f>
        <v>0</v>
      </c>
      <c r="BC54" s="202"/>
      <c r="BD54" s="45"/>
      <c r="BE54" s="45"/>
      <c r="BF54" s="378"/>
      <c r="BG54" s="393">
        <f>BG53*$D$2</f>
        <v>3339.6023928113559</v>
      </c>
      <c r="BH54" s="47">
        <f>BH53*$D$2</f>
        <v>3224.5680160000002</v>
      </c>
      <c r="BI54" s="407"/>
      <c r="BJ54" s="410">
        <f>BJ53*$D$2</f>
        <v>10007.158998301773</v>
      </c>
      <c r="BK54" s="411">
        <f>BK53*$D$2</f>
        <v>8838.1180643114076</v>
      </c>
      <c r="BN54" s="489"/>
      <c r="BO54" s="489"/>
      <c r="BP54" s="505"/>
      <c r="BQ54" s="505">
        <f>BQ53*$D$2</f>
        <v>84.406189583334111</v>
      </c>
    </row>
    <row r="55" spans="1:69" ht="3" customHeight="1">
      <c r="A55" s="54"/>
      <c r="B55" s="93"/>
      <c r="C55" s="51"/>
      <c r="D55" s="54"/>
      <c r="E55" s="51"/>
      <c r="F55" s="84"/>
      <c r="G55" s="54"/>
      <c r="H55" s="329"/>
      <c r="I55" s="54"/>
      <c r="J55" s="54"/>
      <c r="K55" s="54"/>
      <c r="L55" s="54"/>
      <c r="M55" s="86"/>
      <c r="N55" s="54"/>
      <c r="O55" s="54"/>
      <c r="P55" s="198"/>
      <c r="Q55" s="54"/>
      <c r="R55" s="54"/>
      <c r="S55" s="54"/>
      <c r="T55" s="54"/>
      <c r="U55" s="124"/>
      <c r="V55" s="54"/>
      <c r="W55" s="54"/>
      <c r="X55" s="54"/>
      <c r="Y55" s="57"/>
      <c r="Z55" s="51"/>
      <c r="AA55" s="54"/>
      <c r="AB55" s="51"/>
      <c r="AC55" s="51"/>
      <c r="AD55" s="537"/>
      <c r="AE55" s="537"/>
      <c r="AF55" s="57"/>
      <c r="AG55" s="54"/>
      <c r="AH55" s="108"/>
      <c r="AI55" s="109"/>
      <c r="AJ55" s="54"/>
      <c r="AK55" s="51"/>
      <c r="AL55" s="51"/>
      <c r="AM55" s="54"/>
      <c r="AN55" s="54"/>
      <c r="AO55" s="54"/>
      <c r="AP55" s="116"/>
      <c r="AQ55" s="497"/>
      <c r="AR55" s="59"/>
      <c r="AS55" s="44"/>
      <c r="AT55" s="497"/>
      <c r="AU55" s="497"/>
      <c r="AV55" s="497"/>
      <c r="AW55" s="497"/>
      <c r="AX55" s="41"/>
      <c r="AY55" s="41"/>
      <c r="AZ55" s="475"/>
      <c r="BA55" s="41"/>
      <c r="BB55" s="41"/>
      <c r="BC55" s="93"/>
      <c r="BD55" s="54"/>
      <c r="BE55" s="54"/>
      <c r="BF55" s="54"/>
      <c r="BG55" s="54"/>
      <c r="BH55" s="54"/>
      <c r="BI55" s="54"/>
      <c r="BJ55" s="275"/>
      <c r="BK55" s="300"/>
      <c r="BM55" s="572"/>
      <c r="BN55" s="578"/>
      <c r="BO55" s="578"/>
      <c r="BP55" s="579"/>
      <c r="BQ55" s="579"/>
    </row>
    <row r="56" spans="1:69" ht="11.1" customHeight="1">
      <c r="A56" s="90"/>
      <c r="B56" s="314"/>
      <c r="C56" s="31"/>
      <c r="D56" s="61"/>
      <c r="E56" s="31"/>
      <c r="F56" s="60"/>
      <c r="G56" s="60"/>
      <c r="H56" s="23"/>
      <c r="I56" s="61"/>
      <c r="J56" s="61"/>
      <c r="K56" s="9"/>
      <c r="L56" s="49"/>
      <c r="M56" s="61"/>
      <c r="N56" s="61"/>
      <c r="O56" s="61"/>
      <c r="P56" s="38"/>
      <c r="Q56" s="61"/>
      <c r="R56" s="61"/>
      <c r="S56" s="61"/>
      <c r="T56" s="61"/>
      <c r="U56" s="38"/>
      <c r="V56" s="61"/>
      <c r="W56" s="61"/>
      <c r="X56" s="61"/>
      <c r="Y56" s="61"/>
      <c r="Z56" s="60"/>
      <c r="AA56" s="61"/>
      <c r="AB56" s="60"/>
      <c r="AC56" s="60"/>
      <c r="AD56" s="510"/>
      <c r="AE56" s="510"/>
      <c r="AF56" s="290"/>
      <c r="AG56" s="61"/>
      <c r="AH56" s="61"/>
      <c r="AI56" s="61"/>
      <c r="AJ56" s="61"/>
      <c r="AK56" s="31"/>
      <c r="AL56" s="6"/>
      <c r="AM56" s="31"/>
      <c r="AN56" s="90"/>
      <c r="AO56" s="90"/>
      <c r="AP56" s="48"/>
      <c r="AQ56" s="541"/>
      <c r="AR56" s="48"/>
      <c r="AS56" s="263"/>
      <c r="AT56" s="484"/>
      <c r="AU56" s="484"/>
      <c r="AV56" s="484"/>
      <c r="AW56" s="484"/>
      <c r="BC56" s="52"/>
      <c r="BE56" s="78"/>
      <c r="BJ56" s="598"/>
      <c r="BK56"/>
      <c r="BP56" s="531"/>
      <c r="BQ56" s="531"/>
    </row>
    <row r="57" spans="1:69" ht="11.1" customHeight="1">
      <c r="A57" s="90"/>
      <c r="B57" s="314"/>
      <c r="C57" s="31"/>
      <c r="D57" s="60"/>
      <c r="E57" s="10"/>
      <c r="F57" s="141"/>
      <c r="G57" s="60"/>
      <c r="H57" s="23"/>
      <c r="I57" s="164"/>
      <c r="J57" s="61"/>
      <c r="K57" s="287"/>
      <c r="L57" s="46"/>
      <c r="M57" s="61"/>
      <c r="N57" s="61"/>
      <c r="O57" s="61"/>
      <c r="P57" s="38"/>
      <c r="Q57" s="61"/>
      <c r="R57" s="61"/>
      <c r="S57" s="61"/>
      <c r="T57" s="61"/>
      <c r="U57" s="38"/>
      <c r="V57" s="60"/>
      <c r="W57" s="61"/>
      <c r="X57" s="31"/>
      <c r="Y57" s="31"/>
      <c r="Z57" s="49"/>
      <c r="AA57" s="31"/>
      <c r="AB57" s="49"/>
      <c r="AC57" s="49"/>
      <c r="AD57" s="538"/>
      <c r="AE57" s="538"/>
      <c r="AG57" s="60"/>
      <c r="AH57" s="60"/>
      <c r="AI57" s="60"/>
      <c r="AJ57" s="61"/>
      <c r="AK57" s="31"/>
      <c r="AL57" s="6"/>
      <c r="AM57" s="31"/>
      <c r="AN57" s="90"/>
      <c r="AP57" s="141"/>
      <c r="AQ57" s="484"/>
      <c r="AR57" s="141"/>
      <c r="AS57" s="263"/>
      <c r="AT57" s="484"/>
      <c r="AU57" s="484"/>
      <c r="AV57" s="484"/>
      <c r="AW57" s="484"/>
      <c r="BN57" s="580"/>
      <c r="BO57" s="580"/>
      <c r="BP57" s="531"/>
      <c r="BQ57" s="531"/>
    </row>
    <row r="58" spans="1:69" ht="11.1" customHeight="1">
      <c r="B58" s="49"/>
      <c r="E58" s="10"/>
      <c r="F58" s="175"/>
      <c r="G58" s="60"/>
      <c r="H58" s="23"/>
      <c r="I58" s="60"/>
      <c r="J58" s="60"/>
      <c r="K58" s="6"/>
      <c r="L58" s="49"/>
      <c r="M58" s="23"/>
      <c r="N58" s="23"/>
      <c r="O58" s="10"/>
      <c r="P58" s="25"/>
      <c r="Q58" s="10"/>
      <c r="R58" s="10"/>
      <c r="S58" s="60"/>
      <c r="T58" s="60"/>
      <c r="U58" s="38"/>
      <c r="V58" s="60"/>
      <c r="W58" s="61"/>
      <c r="X58" s="31"/>
      <c r="Y58" s="31"/>
      <c r="Z58" s="49"/>
      <c r="AA58" s="31"/>
      <c r="AB58" s="49"/>
      <c r="AC58" s="49"/>
      <c r="AD58" s="538"/>
      <c r="AE58" s="538"/>
      <c r="AG58" s="49"/>
      <c r="AH58" s="49"/>
      <c r="AI58" s="49"/>
      <c r="AJ58" s="31"/>
      <c r="AK58" s="60"/>
      <c r="AL58" s="173"/>
      <c r="AM58" s="60"/>
      <c r="AP58" s="200"/>
      <c r="AQ58" s="499"/>
      <c r="AR58" s="200"/>
      <c r="AS58" s="263"/>
      <c r="BN58" s="538"/>
      <c r="BO58" s="538"/>
      <c r="BP58" s="510"/>
      <c r="BQ58" s="510"/>
    </row>
    <row r="59" spans="1:69" ht="11.1" customHeight="1">
      <c r="G59" s="288"/>
      <c r="AP59" s="200"/>
      <c r="AQ59" s="499"/>
      <c r="AR59" s="200"/>
      <c r="AS59" s="263"/>
      <c r="AT59" s="499"/>
      <c r="AU59" s="499"/>
      <c r="AV59" s="499"/>
      <c r="AW59" s="499"/>
      <c r="BP59" s="510"/>
      <c r="BQ59" s="510"/>
    </row>
    <row r="60" spans="1:69" ht="11.1" customHeight="1">
      <c r="AT60" s="500"/>
      <c r="AU60" s="500"/>
      <c r="AV60" s="500"/>
      <c r="AW60" s="500"/>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BQ63"/>
  <sheetViews>
    <sheetView zoomScaleNormal="100" workbookViewId="0">
      <pane xSplit="1" ySplit="14" topLeftCell="B25" activePane="bottomRight" state="frozenSplit"/>
      <selection pane="topRight" activeCell="B1" sqref="B1"/>
      <selection pane="bottomLeft" activeCell="A10" sqref="A10"/>
      <selection pane="bottomRight" activeCell="Z35" sqref="Z35:AC35"/>
    </sheetView>
  </sheetViews>
  <sheetFormatPr defaultColWidth="9.33203125" defaultRowHeight="11.1" customHeight="1"/>
  <cols>
    <col min="1" max="1" width="4.6640625" style="30" customWidth="1"/>
    <col min="2" max="2" width="7" style="30" customWidth="1"/>
    <col min="3" max="3" width="6.33203125" style="49" customWidth="1"/>
    <col min="4" max="4" width="7" style="30" customWidth="1"/>
    <col min="5" max="5" width="7" style="49" customWidth="1"/>
    <col min="6" max="6" width="7.33203125" style="30" customWidth="1"/>
    <col min="7" max="7" width="6.83203125" style="30" customWidth="1"/>
    <col min="8" max="8" width="5.6640625" style="91" customWidth="1"/>
    <col min="9" max="11" width="6.33203125" style="30" customWidth="1"/>
    <col min="12" max="12" width="6.83203125" style="30" customWidth="1"/>
    <col min="13" max="13" width="5.5" style="46" customWidth="1"/>
    <col min="14" max="14" width="4.5" style="46" customWidth="1"/>
    <col min="15" max="15" width="5.5" style="46" customWidth="1"/>
    <col min="16" max="16" width="5.6640625" style="52" customWidth="1"/>
    <col min="17" max="20" width="4.33203125" style="30" customWidth="1"/>
    <col min="21" max="21" width="5.1640625" style="52" customWidth="1"/>
    <col min="22" max="22" width="5.5" style="30" customWidth="1"/>
    <col min="23" max="23" width="5.5" style="49" customWidth="1"/>
    <col min="24" max="25" width="6.33203125" style="30" customWidth="1"/>
    <col min="26" max="26" width="5.5" style="30" customWidth="1"/>
    <col min="27" max="27" width="6.33203125" style="30" customWidth="1"/>
    <col min="28" max="28" width="5.5" style="30" customWidth="1"/>
    <col min="29" max="29" width="5.83203125" style="49" customWidth="1"/>
    <col min="30" max="31" width="5.83203125" style="498" hidden="1" customWidth="1"/>
    <col min="32" max="32" width="5.5" style="49" customWidth="1"/>
    <col min="33" max="35" width="5.5" style="30" customWidth="1"/>
    <col min="36" max="36" width="6.33203125" style="30" customWidth="1"/>
    <col min="37" max="37" width="5.5" style="30" customWidth="1"/>
    <col min="38" max="38" width="6.33203125" style="200" customWidth="1"/>
    <col min="39" max="39" width="6.33203125" style="52" customWidth="1"/>
    <col min="40" max="40" width="6.83203125" style="142" customWidth="1"/>
    <col min="41" max="41" width="6.83203125" style="78" customWidth="1"/>
    <col min="42" max="42" width="5.5" style="11" customWidth="1"/>
    <col min="43" max="43" width="5.5" style="498" hidden="1" customWidth="1"/>
    <col min="44" max="44" width="5.5" style="11" customWidth="1"/>
    <col min="45" max="45" width="6.33203125" style="15" customWidth="1"/>
    <col min="46" max="47" width="6.33203125" style="498" hidden="1" customWidth="1"/>
    <col min="48" max="48" width="7.1640625" style="498" hidden="1" customWidth="1"/>
    <col min="49" max="49" width="6.33203125" style="498" hidden="1" customWidth="1"/>
    <col min="50" max="50" width="6.33203125" style="200" customWidth="1"/>
    <col min="51" max="51" width="7.5" style="200" bestFit="1" customWidth="1"/>
    <col min="52" max="52" width="5.83203125" style="200" customWidth="1"/>
    <col min="53" max="54" width="5.83203125" style="263" customWidth="1"/>
    <col min="55" max="55" width="5.33203125" style="48" customWidth="1"/>
    <col min="56" max="57" width="3.83203125" style="30" customWidth="1"/>
    <col min="58" max="58" width="3.83203125" style="2" customWidth="1"/>
    <col min="59" max="59" width="6.1640625" style="2" customWidth="1"/>
    <col min="60" max="61" width="9.33203125" style="30"/>
    <col min="62" max="63" width="10.1640625" style="2" customWidth="1"/>
    <col min="64" max="64" width="9.33203125" style="2"/>
    <col min="65" max="65" width="9.33203125" style="562" hidden="1" customWidth="1"/>
    <col min="66" max="67" width="7" style="498" hidden="1" customWidth="1"/>
    <col min="68" max="69" width="6.33203125" style="508" hidden="1" customWidth="1"/>
    <col min="70" max="16384" width="9.33203125" style="2"/>
  </cols>
  <sheetData>
    <row r="1" spans="1:69" ht="14.1" customHeight="1">
      <c r="A1" s="90"/>
      <c r="B1" s="90"/>
      <c r="D1" s="90"/>
      <c r="F1" s="90"/>
      <c r="G1" s="90"/>
      <c r="I1" s="90"/>
      <c r="J1" s="90"/>
      <c r="K1" s="291" t="s">
        <v>53</v>
      </c>
      <c r="L1" s="276"/>
      <c r="M1" s="276"/>
      <c r="N1" s="276"/>
      <c r="O1" s="276"/>
      <c r="P1" s="276"/>
      <c r="Q1" s="276"/>
      <c r="R1" s="276"/>
      <c r="S1" s="276"/>
      <c r="T1" s="276"/>
      <c r="U1" s="276"/>
      <c r="V1" s="276"/>
      <c r="W1" s="276"/>
      <c r="X1" s="49"/>
      <c r="Y1" s="49"/>
      <c r="Z1" s="90"/>
      <c r="AA1" s="49"/>
      <c r="AB1" s="90"/>
      <c r="AC1" s="90"/>
      <c r="AD1" s="531"/>
      <c r="AE1" s="531"/>
      <c r="AG1" s="90"/>
      <c r="AH1" s="90"/>
      <c r="AI1" s="90"/>
      <c r="AJ1" s="49"/>
      <c r="AK1" s="90"/>
      <c r="AL1" s="141"/>
      <c r="AM1" s="90"/>
      <c r="AN1" s="90"/>
      <c r="AO1" s="52"/>
      <c r="AP1" s="141"/>
      <c r="AQ1" s="501"/>
      <c r="AR1" s="141"/>
      <c r="AT1" s="484"/>
      <c r="AU1" s="484"/>
      <c r="AV1" s="484"/>
      <c r="AW1" s="484"/>
      <c r="AX1" s="11"/>
      <c r="AY1" s="11"/>
      <c r="AZ1" s="21"/>
      <c r="BC1" s="142"/>
      <c r="BD1" s="78"/>
      <c r="BE1" s="48"/>
      <c r="BN1" s="563"/>
      <c r="BO1" s="563"/>
    </row>
    <row r="2" spans="1:69" ht="14.1" customHeight="1">
      <c r="A2" s="141" t="s">
        <v>0</v>
      </c>
      <c r="B2" s="90"/>
      <c r="D2" s="277">
        <v>1.9835</v>
      </c>
      <c r="F2" s="90"/>
      <c r="G2" s="90"/>
      <c r="I2" s="90"/>
      <c r="J2" s="90"/>
      <c r="K2" s="843" t="s">
        <v>179</v>
      </c>
      <c r="L2" s="843"/>
      <c r="M2" s="843"/>
      <c r="N2" s="843"/>
      <c r="O2" s="843"/>
      <c r="P2" s="843"/>
      <c r="Q2" s="843"/>
      <c r="R2" s="843"/>
      <c r="S2" s="843"/>
      <c r="T2" s="843"/>
      <c r="U2" s="843"/>
      <c r="V2" s="843"/>
      <c r="W2" s="276"/>
      <c r="X2" s="279"/>
      <c r="Y2" s="279"/>
      <c r="Z2" s="770" t="s">
        <v>46</v>
      </c>
      <c r="AA2" s="771"/>
      <c r="AB2" s="770"/>
      <c r="AC2" s="770"/>
      <c r="AD2" s="772"/>
      <c r="AE2" s="772"/>
      <c r="AF2" s="771"/>
      <c r="AG2" s="90"/>
      <c r="AH2" s="90"/>
      <c r="AI2" s="90"/>
      <c r="AJ2" s="49"/>
      <c r="AK2" s="90"/>
      <c r="AL2" s="141"/>
      <c r="AM2" s="90"/>
      <c r="AN2" s="90"/>
      <c r="AO2" s="52"/>
      <c r="AP2" s="141"/>
      <c r="AQ2" s="501"/>
      <c r="AR2" s="141"/>
      <c r="AT2" s="484"/>
      <c r="AU2" s="484"/>
      <c r="AV2" s="484"/>
      <c r="AW2" s="484"/>
      <c r="AX2" s="11"/>
      <c r="AY2" s="11"/>
      <c r="AZ2" s="21"/>
      <c r="BC2" s="142"/>
      <c r="BD2" s="78"/>
      <c r="BE2" s="48"/>
      <c r="BN2" s="563"/>
      <c r="BO2" s="563"/>
    </row>
    <row r="3" spans="1:69" ht="14.1" customHeight="1" thickBot="1">
      <c r="A3" s="709"/>
      <c r="B3" s="740"/>
      <c r="C3" s="741"/>
      <c r="D3" s="742"/>
      <c r="E3" s="741"/>
      <c r="F3" s="740"/>
      <c r="G3" s="716"/>
      <c r="H3" s="720"/>
      <c r="I3" s="740"/>
      <c r="J3" s="740"/>
      <c r="K3" s="740"/>
      <c r="L3" s="740"/>
      <c r="M3" s="716"/>
      <c r="N3" s="716"/>
      <c r="O3" s="713"/>
      <c r="P3" s="753"/>
      <c r="Q3" s="753"/>
      <c r="R3" s="753"/>
      <c r="S3" s="753"/>
      <c r="T3" s="753"/>
      <c r="U3" s="747"/>
      <c r="V3" s="716"/>
      <c r="W3" s="716"/>
      <c r="X3" s="741"/>
      <c r="Y3" s="741"/>
      <c r="Z3" s="740"/>
      <c r="AA3" s="741"/>
      <c r="AB3" s="740"/>
      <c r="AC3" s="740"/>
      <c r="AD3" s="737"/>
      <c r="AE3" s="737"/>
      <c r="AF3" s="741"/>
      <c r="AG3" s="716"/>
      <c r="AH3" s="740"/>
      <c r="AI3" s="740"/>
      <c r="AJ3" s="713"/>
      <c r="AK3" s="740"/>
      <c r="AL3" s="758"/>
      <c r="AM3" s="740"/>
      <c r="AN3" s="740"/>
      <c r="AO3" s="747"/>
      <c r="AP3" s="758"/>
      <c r="AQ3" s="761"/>
      <c r="AR3" s="758"/>
      <c r="AS3" s="799"/>
      <c r="AT3" s="758"/>
      <c r="AU3" s="758"/>
      <c r="AV3" s="758"/>
      <c r="AW3" s="758"/>
      <c r="AX3" s="762"/>
      <c r="AY3" s="800"/>
      <c r="AZ3" s="801"/>
      <c r="BA3" s="728"/>
      <c r="BB3" s="760"/>
      <c r="BC3" s="779"/>
      <c r="BD3" s="780"/>
      <c r="BE3" s="781"/>
      <c r="BF3" s="789"/>
      <c r="BG3" s="789"/>
      <c r="BH3" s="733"/>
      <c r="BI3" s="733"/>
      <c r="BJ3" s="789"/>
      <c r="BK3" s="789"/>
      <c r="BN3" s="564"/>
      <c r="BO3" s="564"/>
      <c r="BP3" s="565"/>
      <c r="BQ3" s="565"/>
    </row>
    <row r="4" spans="1:69" s="60" customFormat="1" ht="14.1" customHeight="1" thickTop="1" thickBot="1">
      <c r="A4" s="61"/>
      <c r="B4" s="458"/>
      <c r="C4" s="459"/>
      <c r="D4" s="459" t="s">
        <v>47</v>
      </c>
      <c r="E4" s="459"/>
      <c r="F4" s="460"/>
      <c r="H4" s="427"/>
      <c r="I4" s="427" t="s">
        <v>126</v>
      </c>
      <c r="J4" s="427"/>
      <c r="K4" s="427"/>
      <c r="L4" s="461"/>
      <c r="N4" s="427"/>
      <c r="O4" s="427"/>
      <c r="P4" s="427"/>
      <c r="Q4" s="427"/>
      <c r="R4" s="427"/>
      <c r="S4" s="427"/>
      <c r="T4" s="427"/>
      <c r="U4" s="427"/>
      <c r="V4" s="427"/>
      <c r="W4" s="427"/>
      <c r="X4" s="427"/>
      <c r="Y4" s="427"/>
      <c r="Z4" s="427"/>
      <c r="AA4" s="427" t="s">
        <v>122</v>
      </c>
      <c r="AB4" s="427"/>
      <c r="AC4" s="427"/>
      <c r="AD4" s="534"/>
      <c r="AE4" s="534"/>
      <c r="AF4" s="427"/>
      <c r="AG4" s="427"/>
      <c r="AH4" s="427"/>
      <c r="AI4" s="427"/>
      <c r="AJ4" s="427"/>
      <c r="AK4" s="427"/>
      <c r="AL4" s="427"/>
      <c r="AM4" s="427"/>
      <c r="AN4" s="427"/>
      <c r="AO4" s="462"/>
      <c r="AP4" s="463"/>
      <c r="AQ4" s="539"/>
      <c r="AR4" s="464"/>
      <c r="AS4" s="464"/>
      <c r="AT4" s="486"/>
      <c r="AU4" s="486"/>
      <c r="AV4" s="486"/>
      <c r="AW4" s="486"/>
      <c r="AX4" s="464" t="s">
        <v>55</v>
      </c>
      <c r="AY4" s="464"/>
      <c r="AZ4" s="464"/>
      <c r="BA4" s="464"/>
      <c r="BB4" s="465"/>
      <c r="BC4" s="466"/>
      <c r="BD4" s="467" t="s">
        <v>48</v>
      </c>
      <c r="BE4" s="467"/>
      <c r="BF4" s="468"/>
      <c r="BG4" s="371"/>
      <c r="BH4" s="52"/>
      <c r="BI4" s="396"/>
      <c r="BJ4" s="601"/>
      <c r="BK4" s="381"/>
      <c r="BM4" s="566"/>
      <c r="BN4" s="566"/>
      <c r="BO4" s="566"/>
      <c r="BP4" s="567"/>
      <c r="BQ4" s="567"/>
    </row>
    <row r="5" spans="1:69" ht="12.95" customHeight="1">
      <c r="A5" s="7" t="s">
        <v>1</v>
      </c>
      <c r="B5" s="194" t="s">
        <v>2</v>
      </c>
      <c r="C5" s="4" t="s">
        <v>2</v>
      </c>
      <c r="D5" s="7" t="s">
        <v>3</v>
      </c>
      <c r="E5" s="4" t="s">
        <v>4</v>
      </c>
      <c r="F5" s="7" t="s">
        <v>5</v>
      </c>
      <c r="G5" s="620" t="s">
        <v>6</v>
      </c>
      <c r="H5" s="21" t="s">
        <v>7</v>
      </c>
      <c r="I5" s="7" t="s">
        <v>63</v>
      </c>
      <c r="J5" s="7" t="s">
        <v>8</v>
      </c>
      <c r="K5" s="7" t="s">
        <v>9</v>
      </c>
      <c r="L5" s="7" t="s">
        <v>8</v>
      </c>
      <c r="M5" s="429" t="s">
        <v>10</v>
      </c>
      <c r="N5" s="233"/>
      <c r="O5" s="195"/>
      <c r="P5" s="233"/>
      <c r="Q5" s="195"/>
      <c r="R5" s="195"/>
      <c r="S5" s="195"/>
      <c r="T5" s="195"/>
      <c r="U5" s="250"/>
      <c r="V5" s="7" t="s">
        <v>11</v>
      </c>
      <c r="W5" s="7" t="s">
        <v>12</v>
      </c>
      <c r="X5" s="8" t="s">
        <v>9</v>
      </c>
      <c r="Y5" s="8" t="s">
        <v>9</v>
      </c>
      <c r="Z5" s="12" t="s">
        <v>13</v>
      </c>
      <c r="AA5" s="8" t="s">
        <v>13</v>
      </c>
      <c r="AB5" s="12" t="s">
        <v>13</v>
      </c>
      <c r="AC5" s="4" t="s">
        <v>82</v>
      </c>
      <c r="AD5" s="535" t="s">
        <v>76</v>
      </c>
      <c r="AE5" s="535" t="s">
        <v>76</v>
      </c>
      <c r="AF5" s="15" t="s">
        <v>13</v>
      </c>
      <c r="AG5" s="7" t="s">
        <v>14</v>
      </c>
      <c r="AH5" s="216" t="s">
        <v>132</v>
      </c>
      <c r="AI5" s="214"/>
      <c r="AJ5" s="15" t="s">
        <v>15</v>
      </c>
      <c r="AK5" s="4" t="s">
        <v>74</v>
      </c>
      <c r="AL5" s="4" t="s">
        <v>88</v>
      </c>
      <c r="AM5" s="7" t="s">
        <v>63</v>
      </c>
      <c r="AN5" s="7" t="s">
        <v>8</v>
      </c>
      <c r="AO5" s="7" t="s">
        <v>9</v>
      </c>
      <c r="AP5" s="358" t="s">
        <v>52</v>
      </c>
      <c r="AQ5" s="488" t="s">
        <v>159</v>
      </c>
      <c r="AR5" s="12" t="s">
        <v>13</v>
      </c>
      <c r="AS5" s="36" t="s">
        <v>49</v>
      </c>
      <c r="AT5" s="487" t="s">
        <v>146</v>
      </c>
      <c r="AU5" s="487" t="s">
        <v>148</v>
      </c>
      <c r="AV5" s="487" t="s">
        <v>148</v>
      </c>
      <c r="AW5" s="487" t="s">
        <v>148</v>
      </c>
      <c r="AX5" s="36" t="s">
        <v>49</v>
      </c>
      <c r="AY5" s="14" t="s">
        <v>96</v>
      </c>
      <c r="AZ5" s="35" t="s">
        <v>56</v>
      </c>
      <c r="BA5" s="652" t="s">
        <v>79</v>
      </c>
      <c r="BB5" s="37" t="s">
        <v>134</v>
      </c>
      <c r="BC5" s="139" t="s">
        <v>16</v>
      </c>
      <c r="BD5" s="15" t="s">
        <v>17</v>
      </c>
      <c r="BE5" s="15" t="s">
        <v>18</v>
      </c>
      <c r="BF5" s="378"/>
      <c r="BG5" s="389" t="s">
        <v>9</v>
      </c>
      <c r="BH5" s="220" t="s">
        <v>128</v>
      </c>
      <c r="BI5" s="444" t="s">
        <v>128</v>
      </c>
      <c r="BJ5" s="602" t="s">
        <v>174</v>
      </c>
      <c r="BK5" s="599" t="s">
        <v>167</v>
      </c>
      <c r="BN5" s="568" t="s">
        <v>2</v>
      </c>
      <c r="BO5" s="568"/>
      <c r="BP5" s="569" t="s">
        <v>15</v>
      </c>
      <c r="BQ5" s="569" t="s">
        <v>15</v>
      </c>
    </row>
    <row r="6" spans="1:69" ht="12.95" customHeight="1">
      <c r="A6" s="196" t="s">
        <v>139</v>
      </c>
      <c r="B6" s="194" t="s">
        <v>19</v>
      </c>
      <c r="C6" s="4"/>
      <c r="D6" s="7" t="s">
        <v>20</v>
      </c>
      <c r="E6" s="4" t="s">
        <v>21</v>
      </c>
      <c r="F6" s="7" t="s">
        <v>22</v>
      </c>
      <c r="G6" s="194" t="s">
        <v>23</v>
      </c>
      <c r="H6" s="21" t="s">
        <v>64</v>
      </c>
      <c r="I6" s="7" t="s">
        <v>24</v>
      </c>
      <c r="J6" s="7" t="s">
        <v>24</v>
      </c>
      <c r="K6" s="7" t="s">
        <v>24</v>
      </c>
      <c r="L6" s="7" t="s">
        <v>25</v>
      </c>
      <c r="M6" s="197" t="s">
        <v>26</v>
      </c>
      <c r="N6" s="622" t="s">
        <v>65</v>
      </c>
      <c r="O6" s="7" t="s">
        <v>67</v>
      </c>
      <c r="P6" s="220" t="s">
        <v>190</v>
      </c>
      <c r="Q6" s="8" t="s">
        <v>57</v>
      </c>
      <c r="R6" s="8" t="s">
        <v>118</v>
      </c>
      <c r="S6" s="8"/>
      <c r="T6" s="8" t="s">
        <v>67</v>
      </c>
      <c r="U6" s="32" t="s">
        <v>87</v>
      </c>
      <c r="V6" s="7" t="s">
        <v>27</v>
      </c>
      <c r="W6" s="7" t="s">
        <v>42</v>
      </c>
      <c r="X6" s="8" t="s">
        <v>13</v>
      </c>
      <c r="Y6" s="8" t="s">
        <v>13</v>
      </c>
      <c r="Z6" s="12" t="s">
        <v>28</v>
      </c>
      <c r="AA6" s="8" t="s">
        <v>28</v>
      </c>
      <c r="AB6" s="12" t="s">
        <v>92</v>
      </c>
      <c r="AC6" s="4" t="s">
        <v>83</v>
      </c>
      <c r="AD6" s="535" t="s">
        <v>160</v>
      </c>
      <c r="AE6" s="535" t="s">
        <v>160</v>
      </c>
      <c r="AF6" s="15" t="s">
        <v>86</v>
      </c>
      <c r="AG6" s="7" t="s">
        <v>29</v>
      </c>
      <c r="AH6" s="171" t="s">
        <v>76</v>
      </c>
      <c r="AI6" s="294" t="s">
        <v>58</v>
      </c>
      <c r="AJ6" s="15" t="s">
        <v>69</v>
      </c>
      <c r="AK6" s="4" t="s">
        <v>62</v>
      </c>
      <c r="AL6" s="4"/>
      <c r="AM6" s="7" t="s">
        <v>70</v>
      </c>
      <c r="AN6" s="7" t="s">
        <v>70</v>
      </c>
      <c r="AO6" s="7" t="s">
        <v>70</v>
      </c>
      <c r="AP6" s="358" t="s">
        <v>110</v>
      </c>
      <c r="AQ6" s="488" t="s">
        <v>162</v>
      </c>
      <c r="AR6" s="12" t="s">
        <v>71</v>
      </c>
      <c r="AS6" s="36" t="s">
        <v>51</v>
      </c>
      <c r="AT6" s="487" t="s">
        <v>72</v>
      </c>
      <c r="AU6" s="487" t="s">
        <v>72</v>
      </c>
      <c r="AV6" s="487" t="s">
        <v>150</v>
      </c>
      <c r="AW6" s="487" t="s">
        <v>72</v>
      </c>
      <c r="AX6" s="36" t="s">
        <v>51</v>
      </c>
      <c r="AY6" s="14" t="s">
        <v>94</v>
      </c>
      <c r="AZ6" s="35" t="s">
        <v>54</v>
      </c>
      <c r="BA6" s="21" t="s">
        <v>80</v>
      </c>
      <c r="BB6" s="37" t="s">
        <v>133</v>
      </c>
      <c r="BC6" s="140"/>
      <c r="BD6" s="15" t="s">
        <v>30</v>
      </c>
      <c r="BE6" s="15" t="s">
        <v>30</v>
      </c>
      <c r="BF6" s="378"/>
      <c r="BG6" s="389" t="s">
        <v>99</v>
      </c>
      <c r="BH6" s="220" t="s">
        <v>130</v>
      </c>
      <c r="BI6" s="444" t="s">
        <v>129</v>
      </c>
      <c r="BJ6" s="606" t="s">
        <v>175</v>
      </c>
      <c r="BK6" s="599" t="s">
        <v>168</v>
      </c>
      <c r="BN6" s="568" t="s">
        <v>19</v>
      </c>
      <c r="BO6" s="568"/>
      <c r="BP6" s="569" t="s">
        <v>69</v>
      </c>
      <c r="BQ6" s="569" t="s">
        <v>69</v>
      </c>
    </row>
    <row r="7" spans="1:69" ht="12.95" customHeight="1">
      <c r="A7" s="7"/>
      <c r="B7" s="194"/>
      <c r="C7" s="4"/>
      <c r="D7" s="7"/>
      <c r="E7" s="4"/>
      <c r="F7" s="7"/>
      <c r="G7" s="194"/>
      <c r="H7" s="21"/>
      <c r="I7" s="7"/>
      <c r="J7" s="7"/>
      <c r="K7" s="7"/>
      <c r="L7" s="7"/>
      <c r="M7" s="197"/>
      <c r="N7" s="622" t="s">
        <v>66</v>
      </c>
      <c r="O7" s="7" t="s">
        <v>68</v>
      </c>
      <c r="P7" s="220"/>
      <c r="Q7" s="8" t="s">
        <v>119</v>
      </c>
      <c r="R7" s="8" t="s">
        <v>119</v>
      </c>
      <c r="S7" s="8" t="s">
        <v>58</v>
      </c>
      <c r="T7" s="8" t="s">
        <v>58</v>
      </c>
      <c r="U7" s="32" t="s">
        <v>120</v>
      </c>
      <c r="V7" s="7"/>
      <c r="W7" s="7"/>
      <c r="X7" s="13" t="s">
        <v>108</v>
      </c>
      <c r="Y7" s="13" t="s">
        <v>90</v>
      </c>
      <c r="Z7" s="12" t="s">
        <v>115</v>
      </c>
      <c r="AA7" s="8" t="s">
        <v>111</v>
      </c>
      <c r="AB7" s="12" t="s">
        <v>93</v>
      </c>
      <c r="AC7" s="4"/>
      <c r="AD7" s="535" t="s">
        <v>161</v>
      </c>
      <c r="AE7" s="535" t="s">
        <v>161</v>
      </c>
      <c r="AF7" s="78"/>
      <c r="AG7" s="7"/>
      <c r="AH7" s="430">
        <v>1.7</v>
      </c>
      <c r="AI7" s="431">
        <v>1.3</v>
      </c>
      <c r="AJ7" s="15"/>
      <c r="AK7" s="609">
        <v>27779.932699024892</v>
      </c>
      <c r="AL7" s="4"/>
      <c r="AM7" s="7"/>
      <c r="AN7" s="7"/>
      <c r="AO7" s="7"/>
      <c r="AP7" s="358"/>
      <c r="AQ7" s="488" t="s">
        <v>110</v>
      </c>
      <c r="AR7" s="12" t="s">
        <v>22</v>
      </c>
      <c r="AS7" s="36" t="s">
        <v>45</v>
      </c>
      <c r="AT7" s="487"/>
      <c r="AU7" s="487"/>
      <c r="AV7" s="487" t="s">
        <v>151</v>
      </c>
      <c r="AW7" s="487" t="s">
        <v>149</v>
      </c>
      <c r="AX7" s="36" t="s">
        <v>72</v>
      </c>
      <c r="AY7" s="14" t="s">
        <v>95</v>
      </c>
      <c r="AZ7" s="35" t="s">
        <v>59</v>
      </c>
      <c r="BA7" s="21" t="s">
        <v>81</v>
      </c>
      <c r="BB7" s="37" t="s">
        <v>108</v>
      </c>
      <c r="BC7" s="140"/>
      <c r="BD7" s="15"/>
      <c r="BE7" s="15"/>
      <c r="BF7" s="378"/>
      <c r="BG7" s="389" t="s">
        <v>97</v>
      </c>
      <c r="BH7" s="52"/>
      <c r="BI7" s="407"/>
      <c r="BJ7" s="602" t="s">
        <v>176</v>
      </c>
      <c r="BK7" s="599" t="s">
        <v>172</v>
      </c>
      <c r="BN7" s="568" t="s">
        <v>142</v>
      </c>
      <c r="BO7" s="568"/>
      <c r="BP7" s="570" t="s">
        <v>153</v>
      </c>
      <c r="BQ7" s="570" t="s">
        <v>154</v>
      </c>
    </row>
    <row r="8" spans="1:69" ht="12.95" customHeight="1">
      <c r="A8" s="7"/>
      <c r="B8" s="194"/>
      <c r="C8" s="4"/>
      <c r="D8" s="7"/>
      <c r="E8" s="4"/>
      <c r="F8" s="7"/>
      <c r="G8" s="194"/>
      <c r="H8" s="21"/>
      <c r="I8" s="7"/>
      <c r="J8" s="7"/>
      <c r="K8" s="7"/>
      <c r="L8" s="7"/>
      <c r="M8" s="197"/>
      <c r="N8" s="8"/>
      <c r="O8" s="693">
        <v>24213.923416778209</v>
      </c>
      <c r="P8" s="220"/>
      <c r="Q8" s="8" t="s">
        <v>58</v>
      </c>
      <c r="R8" s="8" t="s">
        <v>58</v>
      </c>
      <c r="S8" s="8"/>
      <c r="T8" s="8"/>
      <c r="U8" s="32"/>
      <c r="V8" s="7"/>
      <c r="W8" s="7"/>
      <c r="X8" s="13" t="s">
        <v>109</v>
      </c>
      <c r="Y8" s="13" t="s">
        <v>108</v>
      </c>
      <c r="Z8" s="12"/>
      <c r="AA8" s="13" t="s">
        <v>114</v>
      </c>
      <c r="AB8" s="12" t="s">
        <v>113</v>
      </c>
      <c r="AC8" s="4"/>
      <c r="AD8" s="535" t="s">
        <v>9</v>
      </c>
      <c r="AE8" s="535" t="s">
        <v>109</v>
      </c>
      <c r="AF8" s="693">
        <v>17365.480657043157</v>
      </c>
      <c r="AG8" s="693">
        <v>55878.018085105388</v>
      </c>
      <c r="AH8" s="282"/>
      <c r="AI8" s="283"/>
      <c r="AJ8" s="15"/>
      <c r="AK8" s="62">
        <f>AK7/D2</f>
        <v>14005.511822044311</v>
      </c>
      <c r="AL8" s="4"/>
      <c r="AM8" s="7"/>
      <c r="AN8" s="7"/>
      <c r="AO8" s="7"/>
      <c r="AP8" s="358"/>
      <c r="AQ8" s="488">
        <v>1635</v>
      </c>
      <c r="AR8" s="12"/>
      <c r="AS8" s="36"/>
      <c r="AT8" s="487"/>
      <c r="AU8" s="487"/>
      <c r="AV8" s="487"/>
      <c r="AW8" s="487"/>
      <c r="AX8" s="36"/>
      <c r="AY8" s="612">
        <v>5191.6441856943857</v>
      </c>
      <c r="AZ8" s="694">
        <v>1685.1</v>
      </c>
      <c r="BA8" s="710">
        <f>692.219224759251/2</f>
        <v>346.1096123796255</v>
      </c>
      <c r="BB8" s="37"/>
      <c r="BC8" s="140"/>
      <c r="BD8" s="15"/>
      <c r="BE8" s="15"/>
      <c r="BF8" s="378"/>
      <c r="BG8" s="389"/>
      <c r="BH8" s="52"/>
      <c r="BI8" s="407"/>
      <c r="BJ8" s="603" t="s">
        <v>168</v>
      </c>
      <c r="BK8" s="600" t="s">
        <v>173</v>
      </c>
      <c r="BN8" s="568"/>
      <c r="BO8" s="568"/>
      <c r="BP8" s="570" t="s">
        <v>155</v>
      </c>
      <c r="BQ8" s="570" t="s">
        <v>153</v>
      </c>
    </row>
    <row r="9" spans="1:69" ht="12.95" customHeight="1">
      <c r="A9" s="7"/>
      <c r="B9" s="194"/>
      <c r="C9" s="4"/>
      <c r="D9" s="7"/>
      <c r="E9" s="4"/>
      <c r="F9" s="7"/>
      <c r="G9" s="194"/>
      <c r="H9" s="21"/>
      <c r="I9" s="7"/>
      <c r="J9" s="7"/>
      <c r="K9" s="7"/>
      <c r="L9" s="7"/>
      <c r="M9" s="197"/>
      <c r="N9" s="220"/>
      <c r="O9" s="7"/>
      <c r="P9" s="220"/>
      <c r="Q9" s="8"/>
      <c r="R9" s="413">
        <v>4.2</v>
      </c>
      <c r="S9" s="8"/>
      <c r="T9" s="8"/>
      <c r="U9" s="32"/>
      <c r="V9" s="7"/>
      <c r="W9" s="7"/>
      <c r="X9" s="13"/>
      <c r="Y9" s="13" t="s">
        <v>109</v>
      </c>
      <c r="Z9" s="12"/>
      <c r="AA9" s="554" t="s">
        <v>109</v>
      </c>
      <c r="AB9" s="12" t="s">
        <v>112</v>
      </c>
      <c r="AC9" s="4"/>
      <c r="AD9" s="535"/>
      <c r="AE9" s="535"/>
      <c r="AF9" s="15"/>
      <c r="AG9" s="7"/>
      <c r="AH9" s="282"/>
      <c r="AI9" s="283"/>
      <c r="AJ9" s="15"/>
      <c r="AL9" s="4"/>
      <c r="AM9" s="7"/>
      <c r="AN9" s="7"/>
      <c r="AO9" s="7"/>
      <c r="AP9" s="358"/>
      <c r="AQ9" s="488">
        <f>AQ8/$D$2</f>
        <v>824.30047895134862</v>
      </c>
      <c r="AR9" s="12"/>
      <c r="AS9" s="36"/>
      <c r="AT9" s="487"/>
      <c r="AU9" s="487"/>
      <c r="AV9" s="487"/>
      <c r="AW9" s="487"/>
      <c r="AX9" s="36"/>
      <c r="AY9" s="612">
        <f>AY8/$D$2</f>
        <v>2617.4157729742301</v>
      </c>
      <c r="AZ9" s="35"/>
      <c r="BA9" s="614">
        <f>BA8/$D$2</f>
        <v>174.49438486494859</v>
      </c>
      <c r="BB9" s="37"/>
      <c r="BC9" s="140"/>
      <c r="BD9" s="15"/>
      <c r="BE9" s="15"/>
      <c r="BF9" s="378"/>
      <c r="BG9" s="389"/>
      <c r="BH9" s="52"/>
      <c r="BI9" s="452" t="s">
        <v>141</v>
      </c>
      <c r="BJ9" s="603"/>
      <c r="BK9" s="600"/>
      <c r="BN9" s="568"/>
      <c r="BO9" s="568"/>
      <c r="BP9" s="570" t="s">
        <v>156</v>
      </c>
      <c r="BQ9" s="570"/>
    </row>
    <row r="10" spans="1:69" ht="12.95" customHeight="1">
      <c r="A10" s="7"/>
      <c r="B10" s="194"/>
      <c r="C10" s="4" t="s">
        <v>3</v>
      </c>
      <c r="D10" s="7"/>
      <c r="E10" s="4" t="s">
        <v>50</v>
      </c>
      <c r="F10" s="7"/>
      <c r="G10" s="194" t="s">
        <v>22</v>
      </c>
      <c r="H10" s="21" t="s">
        <v>22</v>
      </c>
      <c r="I10" s="21" t="s">
        <v>22</v>
      </c>
      <c r="J10" s="21" t="s">
        <v>22</v>
      </c>
      <c r="K10" s="21" t="s">
        <v>22</v>
      </c>
      <c r="L10" s="21" t="s">
        <v>22</v>
      </c>
      <c r="M10" s="366" t="s">
        <v>22</v>
      </c>
      <c r="N10" s="21" t="s">
        <v>22</v>
      </c>
      <c r="O10" s="21" t="s">
        <v>22</v>
      </c>
      <c r="P10" s="21" t="s">
        <v>22</v>
      </c>
      <c r="Q10" s="8" t="s">
        <v>22</v>
      </c>
      <c r="R10" s="8" t="s">
        <v>22</v>
      </c>
      <c r="S10" s="8" t="s">
        <v>22</v>
      </c>
      <c r="T10" s="8" t="s">
        <v>22</v>
      </c>
      <c r="U10" s="367" t="s">
        <v>22</v>
      </c>
      <c r="V10" s="21" t="s">
        <v>22</v>
      </c>
      <c r="W10" s="21" t="s">
        <v>22</v>
      </c>
      <c r="X10" s="13">
        <v>153400</v>
      </c>
      <c r="Y10" s="13">
        <v>150400</v>
      </c>
      <c r="Z10" s="8" t="s">
        <v>22</v>
      </c>
      <c r="AA10" s="13"/>
      <c r="AB10" s="13">
        <v>72000</v>
      </c>
      <c r="AC10" s="21" t="s">
        <v>22</v>
      </c>
      <c r="AD10" s="536" t="s">
        <v>22</v>
      </c>
      <c r="AE10" s="536" t="s">
        <v>22</v>
      </c>
      <c r="AF10" s="15" t="s">
        <v>22</v>
      </c>
      <c r="AG10" s="21" t="s">
        <v>22</v>
      </c>
      <c r="AH10" s="366" t="s">
        <v>22</v>
      </c>
      <c r="AI10" s="367" t="s">
        <v>22</v>
      </c>
      <c r="AJ10" s="21" t="s">
        <v>22</v>
      </c>
      <c r="AK10" s="21" t="s">
        <v>22</v>
      </c>
      <c r="AL10" s="21" t="s">
        <v>22</v>
      </c>
      <c r="AM10" s="21" t="s">
        <v>22</v>
      </c>
      <c r="AN10" s="21" t="s">
        <v>22</v>
      </c>
      <c r="AO10" s="21" t="s">
        <v>22</v>
      </c>
      <c r="AP10" s="358" t="s">
        <v>22</v>
      </c>
      <c r="AQ10" s="488" t="s">
        <v>22</v>
      </c>
      <c r="AR10" s="12" t="s">
        <v>22</v>
      </c>
      <c r="AS10" s="12" t="s">
        <v>22</v>
      </c>
      <c r="AT10" s="488" t="s">
        <v>147</v>
      </c>
      <c r="AU10" s="488" t="s">
        <v>147</v>
      </c>
      <c r="AV10" s="488" t="s">
        <v>152</v>
      </c>
      <c r="AW10" s="487" t="s">
        <v>73</v>
      </c>
      <c r="AX10" s="36" t="s">
        <v>73</v>
      </c>
      <c r="AY10" s="14" t="s">
        <v>22</v>
      </c>
      <c r="AZ10" s="12" t="s">
        <v>22</v>
      </c>
      <c r="BA10" s="12" t="s">
        <v>22</v>
      </c>
      <c r="BB10" s="12" t="s">
        <v>22</v>
      </c>
      <c r="BC10" s="140"/>
      <c r="BD10" s="15"/>
      <c r="BE10" s="15"/>
      <c r="BF10" s="378"/>
      <c r="BG10" s="389" t="s">
        <v>98</v>
      </c>
      <c r="BH10" s="220" t="s">
        <v>22</v>
      </c>
      <c r="BI10" s="444" t="s">
        <v>50</v>
      </c>
      <c r="BJ10" s="603" t="s">
        <v>22</v>
      </c>
      <c r="BK10" s="600" t="s">
        <v>22</v>
      </c>
      <c r="BN10" s="568"/>
      <c r="BO10" s="568"/>
      <c r="BP10" s="570" t="s">
        <v>22</v>
      </c>
      <c r="BQ10" s="570" t="s">
        <v>22</v>
      </c>
    </row>
    <row r="11" spans="1:69" ht="12.95" customHeight="1">
      <c r="A11" s="416"/>
      <c r="B11" s="7"/>
      <c r="C11" s="4"/>
      <c r="D11" s="7"/>
      <c r="E11" s="4"/>
      <c r="F11" s="416"/>
      <c r="G11" s="7"/>
      <c r="H11" s="21"/>
      <c r="I11" s="7"/>
      <c r="J11" s="7"/>
      <c r="K11" s="7"/>
      <c r="L11" s="281"/>
      <c r="M11" s="7"/>
      <c r="N11" s="220">
        <v>1.03</v>
      </c>
      <c r="O11" s="219">
        <v>1.05</v>
      </c>
      <c r="P11" s="220">
        <v>1.02</v>
      </c>
      <c r="Q11" s="322">
        <v>1.02</v>
      </c>
      <c r="R11" s="65">
        <v>1.04</v>
      </c>
      <c r="S11" s="8"/>
      <c r="T11" s="322">
        <v>1.04</v>
      </c>
      <c r="U11" s="32"/>
      <c r="V11" s="7"/>
      <c r="W11" s="7"/>
      <c r="X11" s="8" t="s">
        <v>22</v>
      </c>
      <c r="Y11" s="8" t="s">
        <v>22</v>
      </c>
      <c r="Z11" s="8" t="s">
        <v>22</v>
      </c>
      <c r="AA11" s="13" t="s">
        <v>22</v>
      </c>
      <c r="AB11" s="26" t="s">
        <v>89</v>
      </c>
      <c r="AC11" s="4"/>
      <c r="AD11" s="535"/>
      <c r="AE11" s="535"/>
      <c r="AF11" s="45"/>
      <c r="AG11" s="7"/>
      <c r="AH11" s="282"/>
      <c r="AI11" s="283"/>
      <c r="AJ11" s="15"/>
      <c r="AK11" s="4"/>
      <c r="AL11" s="4"/>
      <c r="AM11" s="7"/>
      <c r="AN11" s="7"/>
      <c r="AO11" s="7"/>
      <c r="AP11" s="358"/>
      <c r="AQ11" s="488"/>
      <c r="AR11" s="12"/>
      <c r="AS11" s="36"/>
      <c r="AT11" s="487"/>
      <c r="AU11" s="487"/>
      <c r="AV11" s="487"/>
      <c r="AW11" s="487"/>
      <c r="AX11" s="36"/>
      <c r="AY11" s="14"/>
      <c r="AZ11" s="173"/>
      <c r="BB11" s="432"/>
      <c r="BC11" s="274"/>
      <c r="BD11" s="15"/>
      <c r="BE11" s="15"/>
      <c r="BF11" s="378"/>
      <c r="BG11" s="389" t="s">
        <v>22</v>
      </c>
      <c r="BH11" s="52"/>
      <c r="BI11" s="407"/>
      <c r="BJ11" s="603"/>
      <c r="BK11" s="600"/>
      <c r="BN11" s="568"/>
      <c r="BO11" s="568"/>
      <c r="BP11" s="570"/>
      <c r="BQ11" s="570"/>
    </row>
    <row r="12" spans="1:69" ht="12.95" customHeight="1">
      <c r="A12" s="141" t="s">
        <v>31</v>
      </c>
      <c r="B12" s="76"/>
      <c r="D12" s="49"/>
      <c r="F12" s="77">
        <f>JUL!F50</f>
        <v>-26493.571968742126</v>
      </c>
      <c r="G12" s="49">
        <f>JUL!G50</f>
        <v>49113.1</v>
      </c>
      <c r="H12" s="49">
        <f>JUL!H50</f>
        <v>133.2227</v>
      </c>
      <c r="I12" s="49">
        <f>JUL!I50</f>
        <v>49246.322699999997</v>
      </c>
      <c r="J12" s="49">
        <f>JUL!J50</f>
        <v>219.99269195865887</v>
      </c>
      <c r="K12" s="49">
        <f>JUL!K50</f>
        <v>49466.305391958653</v>
      </c>
      <c r="L12" s="225">
        <f>JUL!L50</f>
        <v>-3672.2926687421223</v>
      </c>
      <c r="M12" s="49">
        <f>JUL!M50</f>
        <v>29824.2</v>
      </c>
      <c r="N12" s="49">
        <f>JUL!N50</f>
        <v>81.247257373329973</v>
      </c>
      <c r="O12" s="49">
        <f>JUL!O50</f>
        <v>9107.9835000000003</v>
      </c>
      <c r="P12" s="284">
        <f>JUL!P50</f>
        <v>7.0600000000000005</v>
      </c>
      <c r="Q12" s="52"/>
      <c r="R12" s="52"/>
      <c r="S12" s="52"/>
      <c r="T12" s="52"/>
      <c r="U12" s="123"/>
      <c r="V12" s="49">
        <f>JUL!V50</f>
        <v>10988</v>
      </c>
      <c r="W12" s="49">
        <f>JUL!W50</f>
        <v>6331.7199999999993</v>
      </c>
      <c r="X12" s="49">
        <f>JUL!X50</f>
        <v>38376.056575454437</v>
      </c>
      <c r="Y12" s="49">
        <f>JUL!Y50</f>
        <v>38274.101156547673</v>
      </c>
      <c r="Z12" s="49">
        <f>JUL!Z45</f>
        <v>3578.7908243574789</v>
      </c>
      <c r="AA12" s="49">
        <f>JUL!AA47</f>
        <v>6833.9252237032442</v>
      </c>
      <c r="AB12" s="49"/>
      <c r="AC12" s="49">
        <f>JUL!AC45</f>
        <v>1620.502823451214</v>
      </c>
      <c r="AD12" s="490">
        <f>JUL!AD45</f>
        <v>0</v>
      </c>
      <c r="AE12" s="490"/>
      <c r="AF12" s="49">
        <f>JUL!AF45</f>
        <v>8754.9688212972815</v>
      </c>
      <c r="AG12" s="49">
        <f>JUL!AG50</f>
        <v>19110.739999999998</v>
      </c>
      <c r="AH12" s="79">
        <f>JUL!AH50</f>
        <v>207.40000000000009</v>
      </c>
      <c r="AI12" s="225">
        <f>JUL!AI50</f>
        <v>158.59999999999997</v>
      </c>
      <c r="AJ12" s="49">
        <f>JUL!AJ50</f>
        <v>5815</v>
      </c>
      <c r="AK12" s="49"/>
      <c r="AL12" s="49"/>
      <c r="AM12" s="49">
        <f>JUL!AM50</f>
        <v>72067.592000000004</v>
      </c>
      <c r="AN12" s="49">
        <f>JUL!AN50</f>
        <v>3892.285360700781</v>
      </c>
      <c r="AO12" s="49">
        <f>JUL!AO50</f>
        <v>75959.87736070079</v>
      </c>
      <c r="AP12" s="134">
        <f>JUL!AP50</f>
        <v>2313.4365242127687</v>
      </c>
      <c r="AQ12" s="540">
        <f>JUL!AQ50</f>
        <v>487.44617130124823</v>
      </c>
      <c r="AR12" s="48"/>
      <c r="AS12" s="46">
        <f>JUL!AS46</f>
        <v>0</v>
      </c>
      <c r="AT12" s="489"/>
      <c r="AU12" s="489"/>
      <c r="AV12" s="489"/>
      <c r="AW12" s="489"/>
      <c r="AX12" s="46">
        <f>JUL!AX51</f>
        <v>966.17495132471413</v>
      </c>
      <c r="AY12" s="46">
        <f>JUL!AY50</f>
        <v>1442.4037858060642</v>
      </c>
      <c r="AZ12" s="42">
        <f>JUL!AZ50</f>
        <v>391.34800000000018</v>
      </c>
      <c r="BA12" s="42">
        <f>JUL!BA50</f>
        <v>2.0680000000000001</v>
      </c>
      <c r="BB12" s="42">
        <f>JUL!BB50</f>
        <v>0</v>
      </c>
      <c r="BC12" s="80"/>
      <c r="BD12" s="78"/>
      <c r="BE12" s="78"/>
      <c r="BF12" s="378"/>
      <c r="BG12" s="400">
        <f>JUL!BG50</f>
        <v>1152.0542103516214</v>
      </c>
      <c r="BH12" s="46">
        <f>JUL!BH50</f>
        <v>1385.88</v>
      </c>
      <c r="BI12" s="407"/>
      <c r="BJ12" s="696">
        <f>JUL!BJ50</f>
        <v>5045.202419108532</v>
      </c>
      <c r="BK12" s="77">
        <f>JUL!BK50</f>
        <v>4455.8195433886603</v>
      </c>
      <c r="BN12" s="489"/>
      <c r="BO12" s="489"/>
      <c r="BP12" s="505"/>
      <c r="BQ12" s="505"/>
    </row>
    <row r="13" spans="1:69" s="3" customFormat="1" ht="12.95" customHeight="1">
      <c r="A13" s="175" t="s">
        <v>32</v>
      </c>
      <c r="B13" s="82">
        <f>JUL!B45</f>
        <v>6883.81</v>
      </c>
      <c r="C13" s="49">
        <f>JUL!C45</f>
        <v>227907</v>
      </c>
      <c r="D13" s="49">
        <f>JUL!D54</f>
        <v>-64488</v>
      </c>
      <c r="E13" s="49">
        <f>JUL!E54</f>
        <v>75907</v>
      </c>
      <c r="F13" s="77">
        <f>JUL!F53</f>
        <v>-32512.225863372827</v>
      </c>
      <c r="G13" s="49">
        <f>JUL!G53</f>
        <v>55722.9</v>
      </c>
      <c r="H13" s="49">
        <f>JUL!H53</f>
        <v>181.4727</v>
      </c>
      <c r="I13" s="49">
        <f>JUL!I53</f>
        <v>55904.3727</v>
      </c>
      <c r="J13" s="49">
        <f>JUL!J53</f>
        <v>2093.8368240483992</v>
      </c>
      <c r="K13" s="49">
        <f>JUL!K53</f>
        <v>57998.199524048396</v>
      </c>
      <c r="L13" s="435">
        <f>JUL!L53</f>
        <v>-3978.9565633728262</v>
      </c>
      <c r="M13" s="49">
        <f>JUL!M53</f>
        <v>30604.739999999998</v>
      </c>
      <c r="N13" s="49">
        <f>JUL!N53</f>
        <v>81.247257373329973</v>
      </c>
      <c r="O13" s="49">
        <f>JUL!O53</f>
        <v>9107.9835000000003</v>
      </c>
      <c r="P13" s="52"/>
      <c r="Q13" s="49">
        <f>JUL!Q53</f>
        <v>635.06394588354283</v>
      </c>
      <c r="R13" s="49">
        <f>JUL!R53</f>
        <v>443.67659200000014</v>
      </c>
      <c r="S13" s="49">
        <f>JUL!S53</f>
        <v>327.56670367999993</v>
      </c>
      <c r="T13" s="49">
        <f>JUL!T53</f>
        <v>235.66104016000008</v>
      </c>
      <c r="U13" s="404">
        <f>JUL!U53</f>
        <v>-46.583886557747249</v>
      </c>
      <c r="V13" s="49">
        <f>JUL!V53</f>
        <v>16180</v>
      </c>
      <c r="W13" s="49">
        <f>JUL!W53</f>
        <v>6365.2199999999993</v>
      </c>
      <c r="X13" s="49">
        <f>JUL!X53</f>
        <v>43798.620633266932</v>
      </c>
      <c r="Y13" s="49">
        <f>JUL!Y53</f>
        <v>43548.549801343019</v>
      </c>
      <c r="Z13" s="49"/>
      <c r="AA13" s="49"/>
      <c r="AB13" s="49"/>
      <c r="AC13" s="49"/>
      <c r="AD13" s="490"/>
      <c r="AE13" s="490"/>
      <c r="AF13" s="49">
        <f>JUL!AF50</f>
        <v>0</v>
      </c>
      <c r="AG13" s="49">
        <f>JUL!AG51</f>
        <v>37906.15279</v>
      </c>
      <c r="AH13" s="100">
        <f>AH12</f>
        <v>207.40000000000009</v>
      </c>
      <c r="AI13" s="101">
        <f>AI12</f>
        <v>158.59999999999997</v>
      </c>
      <c r="AJ13" s="49">
        <f>JUL!AJ53</f>
        <v>12179</v>
      </c>
      <c r="AK13" s="49">
        <f>JUL!AK53</f>
        <v>8190.511822044311</v>
      </c>
      <c r="AL13" s="49">
        <f>JUL!AL53</f>
        <v>0</v>
      </c>
      <c r="AM13" s="49">
        <f>JUL!AM53</f>
        <v>84437.631999999998</v>
      </c>
      <c r="AN13" s="49">
        <f>JUL!AN53</f>
        <v>6072.7933874212249</v>
      </c>
      <c r="AO13" s="49">
        <f>JUL!AO53</f>
        <v>90510.42538742123</v>
      </c>
      <c r="AP13" s="369">
        <f>JUL!AP53</f>
        <v>7457.0372300358085</v>
      </c>
      <c r="AQ13" s="490">
        <f>JUL!AQ53</f>
        <v>487.44617130124823</v>
      </c>
      <c r="AR13" s="78">
        <f>JUL!AR53</f>
        <v>250.07083192391997</v>
      </c>
      <c r="AS13" s="48"/>
      <c r="AT13" s="489">
        <f>JUL!AT51</f>
        <v>34.159999999999997</v>
      </c>
      <c r="AU13" s="490"/>
      <c r="AV13" s="490"/>
      <c r="AW13" s="490">
        <f>JUL!AW51</f>
        <v>7120.9716666666664</v>
      </c>
      <c r="AX13" s="46">
        <f>JUL!AX45</f>
        <v>7.5249996952436655</v>
      </c>
      <c r="AY13" s="46"/>
      <c r="AZ13" s="42">
        <f>JUL!AZ53</f>
        <v>391.34800000000018</v>
      </c>
      <c r="BA13" s="46">
        <f>JUL!BA52</f>
        <v>0</v>
      </c>
      <c r="BB13" s="46">
        <f>JUL!BB53</f>
        <v>0</v>
      </c>
      <c r="BC13" s="102">
        <f>JUL!BC53</f>
        <v>9.3550000000000004</v>
      </c>
      <c r="BD13" s="78"/>
      <c r="BE13" s="78"/>
      <c r="BF13" s="379"/>
      <c r="BG13" s="400">
        <f>JUL!BG53</f>
        <v>1683.6916525391257</v>
      </c>
      <c r="BH13" s="46">
        <f>JUL!BH53</f>
        <v>1625.6960000000001</v>
      </c>
      <c r="BI13" s="77"/>
      <c r="BJ13" s="235">
        <f>JUL!BJ53</f>
        <v>5045.202419108532</v>
      </c>
      <c r="BK13" s="437">
        <f>JUL!BK53</f>
        <v>4455.8195433886603</v>
      </c>
      <c r="BM13" s="571"/>
      <c r="BN13" s="559"/>
      <c r="BO13" s="559"/>
      <c r="BP13" s="490">
        <f>NOV!BF46</f>
        <v>0</v>
      </c>
      <c r="BQ13" s="490">
        <f>NOV!BG46</f>
        <v>0</v>
      </c>
    </row>
    <row r="14" spans="1:69" ht="3" customHeight="1">
      <c r="A14" s="54"/>
      <c r="B14" s="83"/>
      <c r="C14" s="51"/>
      <c r="D14" s="54"/>
      <c r="E14" s="51"/>
      <c r="F14" s="84"/>
      <c r="G14" s="54"/>
      <c r="H14" s="85"/>
      <c r="I14" s="54"/>
      <c r="J14" s="54"/>
      <c r="K14" s="54"/>
      <c r="L14" s="54"/>
      <c r="M14" s="86"/>
      <c r="N14" s="54"/>
      <c r="O14" s="54"/>
      <c r="P14" s="198"/>
      <c r="Q14" s="198"/>
      <c r="R14" s="198"/>
      <c r="S14" s="198"/>
      <c r="T14" s="198"/>
      <c r="U14" s="124"/>
      <c r="V14" s="54"/>
      <c r="W14" s="54"/>
      <c r="X14" s="54"/>
      <c r="Y14" s="54"/>
      <c r="Z14" s="51"/>
      <c r="AA14" s="54"/>
      <c r="AB14" s="51"/>
      <c r="AC14" s="51"/>
      <c r="AD14" s="495"/>
      <c r="AE14" s="495"/>
      <c r="AF14" s="51"/>
      <c r="AG14" s="54"/>
      <c r="AH14" s="108"/>
      <c r="AI14" s="109"/>
      <c r="AJ14" s="54"/>
      <c r="AK14" s="51"/>
      <c r="AL14" s="51"/>
      <c r="AM14" s="54"/>
      <c r="AN14" s="54"/>
      <c r="AO14" s="54"/>
      <c r="AP14" s="355"/>
      <c r="AQ14" s="491"/>
      <c r="AR14" s="50"/>
      <c r="AS14" s="50"/>
      <c r="AT14" s="491"/>
      <c r="AU14" s="491"/>
      <c r="AV14" s="491"/>
      <c r="AW14" s="491"/>
      <c r="AX14" s="34"/>
      <c r="AY14" s="29"/>
      <c r="AZ14" s="29"/>
      <c r="BA14" s="29"/>
      <c r="BB14" s="29"/>
      <c r="BC14" s="87"/>
      <c r="BD14" s="88"/>
      <c r="BE14" s="88"/>
      <c r="BF14" s="88"/>
      <c r="BG14" s="88"/>
      <c r="BH14" s="88"/>
      <c r="BI14" s="88"/>
      <c r="BJ14" s="545"/>
      <c r="BK14" s="592"/>
      <c r="BM14" s="572"/>
      <c r="BN14" s="572"/>
      <c r="BO14" s="572"/>
      <c r="BP14" s="573"/>
      <c r="BQ14" s="573"/>
    </row>
    <row r="15" spans="1:69" customFormat="1" ht="12.95" customHeight="1">
      <c r="A15" s="48">
        <v>1</v>
      </c>
      <c r="B15" s="82">
        <v>6883.6</v>
      </c>
      <c r="C15" s="483">
        <f>IF(B15="",C13,VLOOKUP(TRUNC(B15,1),VLOOKUP!$A$3:$K$2834,RIGHT(TEXT(B15,"0000.00"),1)+2,FALSE))</f>
        <v>227246</v>
      </c>
      <c r="D15" s="78">
        <f>C15-C13</f>
        <v>-661</v>
      </c>
      <c r="E15" s="49">
        <f t="shared" ref="E15:E45" si="0">C15-152000</f>
        <v>75246</v>
      </c>
      <c r="F15" s="89">
        <f t="shared" ref="F15:F45" si="1">D15/$D$2</f>
        <v>-333.24930678094279</v>
      </c>
      <c r="G15" s="647">
        <v>182</v>
      </c>
      <c r="H15" s="91">
        <v>0</v>
      </c>
      <c r="I15" s="90">
        <f t="shared" ref="I15:I45" si="2">G15+H15</f>
        <v>182</v>
      </c>
      <c r="J15" s="46">
        <f>IF(L15&gt;0,L15,0)</f>
        <v>0</v>
      </c>
      <c r="K15" s="90">
        <f t="shared" ref="K15:K45" si="3">I15+J15</f>
        <v>182</v>
      </c>
      <c r="L15" s="90">
        <f>IF(G15="",0,F15-(I15-AM15))</f>
        <v>-15.249306780942845</v>
      </c>
      <c r="M15" s="92">
        <v>171</v>
      </c>
      <c r="N15" s="610">
        <v>0</v>
      </c>
      <c r="O15" s="90">
        <f>54*1.05</f>
        <v>56.7</v>
      </c>
      <c r="P15" s="39">
        <v>0</v>
      </c>
      <c r="Q15" s="144">
        <f>2026100/325851/1.9835*1.02</f>
        <v>3.1974943471919572</v>
      </c>
      <c r="R15" s="73">
        <f>IF(((6.3*1.04)-T15)&gt;=4.2,4.2,(6.3*1.04)-T15)</f>
        <v>4.2</v>
      </c>
      <c r="S15" s="73">
        <f>IF(((6.3*1.04)-T15)&gt;=4.2,((6.3*1.04)-T15)-4.2,0)</f>
        <v>0.89815487999999899</v>
      </c>
      <c r="T15" s="73">
        <f>(1.3188*1.06)*1.04</f>
        <v>1.4538451200000002</v>
      </c>
      <c r="U15" s="131">
        <v>0</v>
      </c>
      <c r="V15" s="90">
        <v>92</v>
      </c>
      <c r="W15" s="90">
        <v>64</v>
      </c>
      <c r="X15" s="47">
        <f>IF(B15="",0,M15-N15-O15-P15-Q15-R15-S15-T15-U15+V15+W15-AP15-BA15+AY15)</f>
        <v>282.87905065249714</v>
      </c>
      <c r="Y15" s="47">
        <f>X15-AR15</f>
        <v>282.87905065249714</v>
      </c>
      <c r="Z15" s="55">
        <f>Z12+AS15</f>
        <v>3468.8142793577899</v>
      </c>
      <c r="AA15" s="47">
        <f>-AS15</f>
        <v>109.9765449996891</v>
      </c>
      <c r="AB15" s="55"/>
      <c r="AC15" s="55">
        <f>IF(AX13="",AC12,AC12-(AX13/$D$2)+IF(AZ15="",0,AZ15))</f>
        <v>1624.6090247644263</v>
      </c>
      <c r="AD15" s="490"/>
      <c r="AE15" s="498"/>
      <c r="AF15" s="45">
        <f>AF12</f>
        <v>8754.9688212972815</v>
      </c>
      <c r="AG15" s="90">
        <v>124</v>
      </c>
      <c r="AH15" s="114">
        <v>1.7</v>
      </c>
      <c r="AI15" s="212">
        <v>1.3</v>
      </c>
      <c r="AJ15" s="90">
        <v>49</v>
      </c>
      <c r="AK15" s="49">
        <f>AK13-AJ15</f>
        <v>8141.511822044311</v>
      </c>
      <c r="AL15" s="49"/>
      <c r="AM15" s="180">
        <f>N15+O15+P15+Q15+R15+S15+T15+U15+X15+AG15+AJ15-IF(AY15="",0,AY15)</f>
        <v>499.99999999999994</v>
      </c>
      <c r="AN15" s="90">
        <f>IF(L15&lt;0,L15*-1,0)</f>
        <v>15.249306780942845</v>
      </c>
      <c r="AO15" s="90">
        <f t="shared" ref="AO15:AO45" si="4">AM15+AN15</f>
        <v>515.24930678094279</v>
      </c>
      <c r="AP15" s="134"/>
      <c r="AQ15" s="540"/>
      <c r="AR15" s="48"/>
      <c r="AS15" s="43">
        <f>IF(G15="",0,IF(I15&gt;=795,795-X15,I15-Q15-R15-X15-AH15)-AL15)</f>
        <v>-109.9765449996891</v>
      </c>
      <c r="AT15" s="492">
        <v>0.32</v>
      </c>
      <c r="AU15" s="494">
        <f>AT15*0.7</f>
        <v>0.22399999999999998</v>
      </c>
      <c r="AV15" s="494">
        <f>IF(AT15="",0,VLOOKUP(ROUNDDOWN(TEXT(B15,"0000"),-1),VLOOKUP!$M$3:$W$32,RIGHT(TEXT(B15,"0000"),1)+2,FALSE))</f>
        <v>3165</v>
      </c>
      <c r="AW15" s="494">
        <f>AU15/12*AV15</f>
        <v>59.079999999999991</v>
      </c>
      <c r="AX15" s="39">
        <f>AW15*(Z15*1.9835+AC15*1.9835)/E15</f>
        <v>7.9322984173212729</v>
      </c>
      <c r="AY15" s="618">
        <v>22.328544999689093</v>
      </c>
      <c r="AZ15" s="180">
        <f>IF(BH15="","",7.9)</f>
        <v>7.9</v>
      </c>
      <c r="BA15" s="38"/>
      <c r="BB15" s="23"/>
      <c r="BC15" s="80">
        <v>0</v>
      </c>
      <c r="BD15" s="78">
        <v>96</v>
      </c>
      <c r="BE15" s="78">
        <v>66</v>
      </c>
      <c r="BF15" s="377"/>
      <c r="BG15" s="385">
        <f t="shared" ref="BG15:BG45" si="5">SUM(N15,P15:U15)</f>
        <v>9.7494943471919555</v>
      </c>
      <c r="BH15" s="60">
        <v>59.2</v>
      </c>
      <c r="BI15" s="445">
        <v>16833</v>
      </c>
      <c r="BJ15" s="296">
        <f t="shared" ref="BJ15:BJ45" si="6">IF(G15="",0,IF(I15&lt;(795+Q15+R15+AH15+AI15),0,I15-(795+Q15+R15+AH15+AI15)))</f>
        <v>0</v>
      </c>
      <c r="BK15" s="591">
        <f t="shared" ref="BK15:BK45" si="7">MIN(505,BJ15,SUM(O15,AG15))</f>
        <v>0</v>
      </c>
      <c r="BM15" s="574">
        <v>1</v>
      </c>
      <c r="BN15" s="559">
        <v>6883.57</v>
      </c>
      <c r="BO15" s="575">
        <f>B15-BN15</f>
        <v>3.0000000000654836E-2</v>
      </c>
      <c r="BP15" s="576">
        <v>48.12291666666669</v>
      </c>
      <c r="BQ15" s="576">
        <f t="shared" ref="BQ15:BQ45" si="8">AJ15-BP15</f>
        <v>0.87708333333331012</v>
      </c>
    </row>
    <row r="16" spans="1:69" customFormat="1" ht="12.95" customHeight="1">
      <c r="A16" s="48">
        <f t="shared" ref="A16:A24" si="9">A15+1</f>
        <v>2</v>
      </c>
      <c r="B16" s="82">
        <v>6883.39</v>
      </c>
      <c r="C16" s="483">
        <f>IF(B16="",C15,VLOOKUP(TRUNC(B16,1),VLOOKUP!$A$3:$K$2834,RIGHT(TEXT(B16,"0000.00"),1)+2,FALSE))</f>
        <v>226556</v>
      </c>
      <c r="D16" s="78">
        <f t="shared" ref="D16:D45" si="10">C16-C15</f>
        <v>-690</v>
      </c>
      <c r="E16" s="49">
        <f t="shared" si="0"/>
        <v>74556</v>
      </c>
      <c r="F16" s="89">
        <f t="shared" si="1"/>
        <v>-347.86992689689941</v>
      </c>
      <c r="G16" s="647">
        <v>175</v>
      </c>
      <c r="H16" s="91">
        <v>0</v>
      </c>
      <c r="I16" s="90">
        <f t="shared" si="2"/>
        <v>175</v>
      </c>
      <c r="J16" s="46">
        <f t="shared" ref="J16:J45" si="11">IF(L16&gt;0,L16,0)</f>
        <v>0</v>
      </c>
      <c r="K16" s="90">
        <f t="shared" si="3"/>
        <v>175</v>
      </c>
      <c r="L16" s="90">
        <f t="shared" ref="L16:L45" si="12">IF(G16="",0,F16-(I16-AM16))</f>
        <v>-28.869926896899472</v>
      </c>
      <c r="M16" s="92">
        <v>190</v>
      </c>
      <c r="N16" s="610">
        <v>0</v>
      </c>
      <c r="O16" s="90">
        <f>74*1.05</f>
        <v>77.7</v>
      </c>
      <c r="P16" s="39">
        <v>0</v>
      </c>
      <c r="Q16" s="144">
        <f>2154300/325851/1.9835*1.02</f>
        <v>3.3998134702905256</v>
      </c>
      <c r="R16" s="73">
        <f>IF(((6.1*1.04)-T16)&gt;=4.2,4.2,(6.1*1.04)-T16)</f>
        <v>4.2</v>
      </c>
      <c r="S16" s="73">
        <f>IF(((6.1*1.04)-T16)&gt;=4.2,((6.1*1.04)-T16)-4.2,0)</f>
        <v>0.6901548799999988</v>
      </c>
      <c r="T16" s="73">
        <f t="shared" ref="T16:T20" si="13">(1.3188*1.06)*1.04</f>
        <v>1.4538451200000002</v>
      </c>
      <c r="U16" s="131">
        <v>0</v>
      </c>
      <c r="V16" s="90">
        <v>93</v>
      </c>
      <c r="W16" s="90">
        <v>65</v>
      </c>
      <c r="X16" s="47">
        <f>IF(B16="",0,M16-N16-O16-P16-Q16-R16-S16-T16-U16+V16+W16-AP16-BA16+AY16)</f>
        <v>282.88473152939855</v>
      </c>
      <c r="Y16" s="47">
        <f t="shared" ref="Y16:Y45" si="14">X16-AR16</f>
        <v>282.88473152939855</v>
      </c>
      <c r="Z16" s="55">
        <f>Z15+AS16</f>
        <v>3351.6297343581009</v>
      </c>
      <c r="AA16" s="47">
        <f t="shared" ref="AA16:AA34" si="15">-AS16</f>
        <v>117.18454499968907</v>
      </c>
      <c r="AB16" s="55"/>
      <c r="AC16" s="55">
        <f>IF(AX15="",AC15,AC15-(AX15/$D$2)+IF(AZ16="",0,AZ16))</f>
        <v>1628.509882633183</v>
      </c>
      <c r="AD16" s="490"/>
      <c r="AE16" s="543"/>
      <c r="AF16" s="45">
        <f>AF15</f>
        <v>8754.9688212972815</v>
      </c>
      <c r="AG16" s="90">
        <v>97</v>
      </c>
      <c r="AH16" s="114">
        <v>1.7</v>
      </c>
      <c r="AI16" s="212">
        <v>1.3</v>
      </c>
      <c r="AJ16" s="90">
        <v>49</v>
      </c>
      <c r="AK16" s="49">
        <f>AK15-AJ16</f>
        <v>8092.511822044311</v>
      </c>
      <c r="AL16" s="49"/>
      <c r="AM16" s="180">
        <f t="shared" ref="AM16:AM45" si="16">N16+O16+P16+Q16+R16+S16+T16+U16+X16+AG16+AJ16-IF(AY16="",0,AY16)</f>
        <v>493.99999999999994</v>
      </c>
      <c r="AN16" s="90">
        <f t="shared" ref="AN16:AN45" si="17">IF(L16&lt;0,L16*-1,0)</f>
        <v>28.869926896899472</v>
      </c>
      <c r="AO16" s="90">
        <f t="shared" si="4"/>
        <v>522.86992689689941</v>
      </c>
      <c r="AP16" s="134"/>
      <c r="AQ16" s="540"/>
      <c r="AR16" s="48"/>
      <c r="AS16" s="43">
        <f t="shared" ref="AS16:AS45" si="18">IF(G16="",0,IF(I16&gt;=795,795-X16,I16-Q16-R16-X16-AH16)-AL16)</f>
        <v>-117.18454499968907</v>
      </c>
      <c r="AT16" s="492">
        <v>0.34</v>
      </c>
      <c r="AU16" s="494">
        <f t="shared" ref="AU16:AU26" si="19">AT16*0.7</f>
        <v>0.23799999999999999</v>
      </c>
      <c r="AV16" s="494">
        <f>IF(AT16="",0,VLOOKUP(ROUNDDOWN(TEXT(B16,"0000"),-1),VLOOKUP!$M$3:$W$32,RIGHT(TEXT(B16,"0000"),1)+2,FALSE))</f>
        <v>3126</v>
      </c>
      <c r="AW16" s="494">
        <f t="shared" ref="AW16:AW45" si="20">AU16/12*AV16</f>
        <v>61.998999999999995</v>
      </c>
      <c r="AX16" s="39">
        <f t="shared" ref="AX16:AX45" si="21">AW16*(Z16*1.9835+AC16*1.9835)/E16</f>
        <v>8.2143992646038804</v>
      </c>
      <c r="AY16" s="618">
        <v>22.328544999689093</v>
      </c>
      <c r="AZ16" s="180">
        <f t="shared" ref="AZ16:AZ45" si="22">IF(BH16="","",7.9)</f>
        <v>7.9</v>
      </c>
      <c r="BA16" s="38"/>
      <c r="BB16" s="23"/>
      <c r="BC16" s="80">
        <v>0</v>
      </c>
      <c r="BD16" s="78">
        <v>96</v>
      </c>
      <c r="BE16" s="78">
        <v>64</v>
      </c>
      <c r="BF16" s="377"/>
      <c r="BG16" s="385">
        <f t="shared" si="5"/>
        <v>9.7438134702905259</v>
      </c>
      <c r="BH16" s="60">
        <v>58.7</v>
      </c>
      <c r="BI16" s="445">
        <v>16711</v>
      </c>
      <c r="BJ16" s="296">
        <f t="shared" si="6"/>
        <v>0</v>
      </c>
      <c r="BK16" s="591">
        <f t="shared" si="7"/>
        <v>0</v>
      </c>
      <c r="BM16" s="574">
        <f t="shared" ref="BM16:BM45" si="23">BM15+1</f>
        <v>2</v>
      </c>
      <c r="BN16" s="559">
        <v>6883.35</v>
      </c>
      <c r="BO16" s="575">
        <f t="shared" ref="BO16:BO45" si="24">B16-BN16</f>
        <v>3.999999999996362E-2</v>
      </c>
      <c r="BP16" s="576">
        <v>48.052083333333364</v>
      </c>
      <c r="BQ16" s="576">
        <f t="shared" si="8"/>
        <v>0.94791666666663588</v>
      </c>
    </row>
    <row r="17" spans="1:69" customFormat="1" ht="12.95" customHeight="1">
      <c r="A17" s="48">
        <f t="shared" si="9"/>
        <v>3</v>
      </c>
      <c r="B17" s="82">
        <v>6883.15</v>
      </c>
      <c r="C17" s="483">
        <f>IF(B17="",C16,VLOOKUP(TRUNC(B17,1),VLOOKUP!$A$3:$K$2834,RIGHT(TEXT(B17,"0000.00"),1)+2,FALSE))</f>
        <v>225831</v>
      </c>
      <c r="D17" s="78">
        <f t="shared" si="10"/>
        <v>-725</v>
      </c>
      <c r="E17" s="49">
        <f t="shared" si="0"/>
        <v>73831</v>
      </c>
      <c r="F17" s="89">
        <f t="shared" si="1"/>
        <v>-365.51550289891605</v>
      </c>
      <c r="G17" s="647">
        <v>164</v>
      </c>
      <c r="H17" s="91">
        <v>0</v>
      </c>
      <c r="I17" s="90">
        <f t="shared" si="2"/>
        <v>164</v>
      </c>
      <c r="J17" s="46">
        <f t="shared" si="11"/>
        <v>0</v>
      </c>
      <c r="K17" s="90">
        <f t="shared" si="3"/>
        <v>164</v>
      </c>
      <c r="L17" s="90">
        <f t="shared" si="12"/>
        <v>-37.515502898916111</v>
      </c>
      <c r="M17" s="92">
        <v>194</v>
      </c>
      <c r="N17" s="610">
        <v>0</v>
      </c>
      <c r="O17" s="90">
        <f>71*1.05</f>
        <v>74.55</v>
      </c>
      <c r="P17" s="39">
        <v>0</v>
      </c>
      <c r="Q17" s="144">
        <f>2288100/325851/1.9835*1.02</f>
        <v>3.6109702461921507</v>
      </c>
      <c r="R17" s="73">
        <f>IF(((5.9*1.04)-T17)&gt;=4.2,4.2,(5.9*1.04)-T17)</f>
        <v>4.2</v>
      </c>
      <c r="S17" s="73">
        <f>IF(((5.9*1.04)-T17)&gt;=4.2,((5.9*1.04)-T17)-4.2,0)</f>
        <v>0.4821548800000004</v>
      </c>
      <c r="T17" s="73">
        <f t="shared" si="13"/>
        <v>1.4538451200000002</v>
      </c>
      <c r="U17" s="131">
        <v>0</v>
      </c>
      <c r="V17" s="90">
        <v>92</v>
      </c>
      <c r="W17" s="90">
        <v>65</v>
      </c>
      <c r="X17" s="47">
        <f t="shared" ref="X17:X45" si="25">IF(B17="",0,M17-N17-O17-P17-Q17-R17-S17-T17-U17+V17+W17-AP17-BA17+AY17)</f>
        <v>289.03157475349695</v>
      </c>
      <c r="Y17" s="47">
        <f t="shared" si="14"/>
        <v>289.03157475349695</v>
      </c>
      <c r="Z17" s="55">
        <f t="shared" ref="Z17:Z35" si="26">Z16+AS17</f>
        <v>3217.0871893584117</v>
      </c>
      <c r="AA17" s="47">
        <f t="shared" si="15"/>
        <v>134.54254499968908</v>
      </c>
      <c r="AB17" s="55"/>
      <c r="AC17" s="55">
        <f t="shared" ref="AC17:AC34" si="27">IF(AX16="",AC16,AC16-(AX16/$D$2)+IF(AZ17="",0,AZ17))</f>
        <v>1632.2685167321981</v>
      </c>
      <c r="AD17" s="490"/>
      <c r="AE17" s="543"/>
      <c r="AF17" s="45">
        <f t="shared" ref="AF17:AF44" si="28">AF16</f>
        <v>8754.9688212972815</v>
      </c>
      <c r="AG17" s="90">
        <v>92</v>
      </c>
      <c r="AH17" s="114">
        <v>1.7</v>
      </c>
      <c r="AI17" s="212">
        <v>1.3</v>
      </c>
      <c r="AJ17" s="90">
        <v>49</v>
      </c>
      <c r="AK17" s="49">
        <f t="shared" ref="AK17:AK45" si="29">AK16-AJ17</f>
        <v>8043.511822044311</v>
      </c>
      <c r="AL17" s="49"/>
      <c r="AM17" s="180">
        <f t="shared" si="16"/>
        <v>491.99999999999994</v>
      </c>
      <c r="AN17" s="90">
        <f t="shared" si="17"/>
        <v>37.515502898916111</v>
      </c>
      <c r="AO17" s="90">
        <f t="shared" si="4"/>
        <v>529.51550289891611</v>
      </c>
      <c r="AP17" s="134"/>
      <c r="AQ17" s="540"/>
      <c r="AR17" s="48"/>
      <c r="AS17" s="43">
        <f t="shared" si="18"/>
        <v>-134.54254499968908</v>
      </c>
      <c r="AT17" s="492">
        <v>0.26</v>
      </c>
      <c r="AU17" s="494">
        <f t="shared" si="19"/>
        <v>0.182</v>
      </c>
      <c r="AV17" s="494">
        <f>IF(AT17="",0,VLOOKUP(ROUNDDOWN(TEXT(B17,"0000"),-1),VLOOKUP!$M$3:$W$32,RIGHT(TEXT(B17,"0000"),1)+2,FALSE))</f>
        <v>3126</v>
      </c>
      <c r="AW17" s="494">
        <f t="shared" si="20"/>
        <v>47.411000000000001</v>
      </c>
      <c r="AX17" s="39">
        <f t="shared" si="21"/>
        <v>6.1767014601878572</v>
      </c>
      <c r="AY17" s="618">
        <v>22.328544999689093</v>
      </c>
      <c r="AZ17" s="180">
        <f t="shared" si="22"/>
        <v>7.9</v>
      </c>
      <c r="BA17" s="38"/>
      <c r="BB17" s="23"/>
      <c r="BC17" s="80">
        <v>0</v>
      </c>
      <c r="BD17" s="78">
        <v>94</v>
      </c>
      <c r="BE17" s="78">
        <v>59</v>
      </c>
      <c r="BF17" s="377"/>
      <c r="BG17" s="385">
        <f t="shared" si="5"/>
        <v>9.7469702461921521</v>
      </c>
      <c r="BH17" s="60">
        <v>58.2</v>
      </c>
      <c r="BI17" s="445">
        <v>16586</v>
      </c>
      <c r="BJ17" s="296">
        <f t="shared" si="6"/>
        <v>0</v>
      </c>
      <c r="BK17" s="591">
        <f t="shared" si="7"/>
        <v>0</v>
      </c>
      <c r="BM17" s="574">
        <f t="shared" si="23"/>
        <v>3</v>
      </c>
      <c r="BN17" s="559">
        <v>6883.11</v>
      </c>
      <c r="BO17" s="575">
        <f t="shared" si="24"/>
        <v>3.999999999996362E-2</v>
      </c>
      <c r="BP17" s="576">
        <v>48.102083333333354</v>
      </c>
      <c r="BQ17" s="576">
        <f t="shared" si="8"/>
        <v>0.89791666666664582</v>
      </c>
    </row>
    <row r="18" spans="1:69" customFormat="1" ht="12.95" customHeight="1">
      <c r="A18" s="48">
        <f t="shared" si="9"/>
        <v>4</v>
      </c>
      <c r="B18" s="82">
        <v>6882.9</v>
      </c>
      <c r="C18" s="483">
        <f>IF(B18="",C17,VLOOKUP(TRUNC(B18,1),VLOOKUP!$A$3:$K$2834,RIGHT(TEXT(B18,"0000.00"),1)+2,FALSE))</f>
        <v>225048</v>
      </c>
      <c r="D18" s="78">
        <f t="shared" si="10"/>
        <v>-783</v>
      </c>
      <c r="E18" s="49">
        <f t="shared" si="0"/>
        <v>73048</v>
      </c>
      <c r="F18" s="89">
        <f t="shared" si="1"/>
        <v>-394.75674313082931</v>
      </c>
      <c r="G18" s="647">
        <v>148</v>
      </c>
      <c r="H18" s="91">
        <v>0</v>
      </c>
      <c r="I18" s="90">
        <f t="shared" si="2"/>
        <v>148</v>
      </c>
      <c r="J18" s="46">
        <f t="shared" si="11"/>
        <v>0</v>
      </c>
      <c r="K18" s="90">
        <f t="shared" si="3"/>
        <v>148</v>
      </c>
      <c r="L18" s="90">
        <f t="shared" si="12"/>
        <v>-20.75674313082942</v>
      </c>
      <c r="M18" s="92">
        <v>197</v>
      </c>
      <c r="N18" s="610">
        <v>0</v>
      </c>
      <c r="O18" s="90">
        <f>80*1.05</f>
        <v>84</v>
      </c>
      <c r="P18" s="39">
        <v>0</v>
      </c>
      <c r="Q18" s="144">
        <f>2165400/325851/1.9835*1.02</f>
        <v>3.4173309606680142</v>
      </c>
      <c r="R18" s="73">
        <f>IF(((6.2*1.04)-T18)&gt;=4.2,4.2,(6.2*1.04)-T18)</f>
        <v>4.2</v>
      </c>
      <c r="S18" s="73">
        <f>IF(((6.2*1.04)-T18)&gt;=4.2,((6.2*1.04)-T18)-4.2,0)</f>
        <v>0.79415487999999979</v>
      </c>
      <c r="T18" s="73">
        <f t="shared" si="13"/>
        <v>1.4538451200000002</v>
      </c>
      <c r="U18" s="131">
        <v>0</v>
      </c>
      <c r="V18" s="90">
        <v>97</v>
      </c>
      <c r="W18" s="90">
        <v>65</v>
      </c>
      <c r="X18" s="47">
        <f t="shared" si="25"/>
        <v>287.46321403902107</v>
      </c>
      <c r="Y18" s="47">
        <f t="shared" si="14"/>
        <v>287.46321403902107</v>
      </c>
      <c r="Z18" s="55">
        <f t="shared" si="26"/>
        <v>3068.3066443587227</v>
      </c>
      <c r="AA18" s="47">
        <f t="shared" si="15"/>
        <v>148.78054499968906</v>
      </c>
      <c r="AB18" s="55"/>
      <c r="AC18" s="55">
        <f t="shared" si="27"/>
        <v>1637.0544751591265</v>
      </c>
      <c r="AD18" s="490"/>
      <c r="AE18" s="498"/>
      <c r="AF18" s="45">
        <f t="shared" si="28"/>
        <v>8754.9688212972815</v>
      </c>
      <c r="AG18" s="90">
        <v>114</v>
      </c>
      <c r="AH18" s="114">
        <v>1.7</v>
      </c>
      <c r="AI18" s="212">
        <v>1.3</v>
      </c>
      <c r="AJ18" s="90">
        <v>49</v>
      </c>
      <c r="AK18" s="49">
        <f t="shared" si="29"/>
        <v>7994.511822044311</v>
      </c>
      <c r="AL18" s="49"/>
      <c r="AM18" s="180">
        <f t="shared" si="16"/>
        <v>521.99999999999989</v>
      </c>
      <c r="AN18" s="90">
        <f t="shared" si="17"/>
        <v>20.75674313082942</v>
      </c>
      <c r="AO18" s="90">
        <f t="shared" si="4"/>
        <v>542.75674313082936</v>
      </c>
      <c r="AP18" s="134"/>
      <c r="AQ18" s="540"/>
      <c r="AR18" s="48"/>
      <c r="AS18" s="43">
        <f t="shared" si="18"/>
        <v>-148.78054499968906</v>
      </c>
      <c r="AT18" s="492">
        <v>0.3</v>
      </c>
      <c r="AU18" s="494">
        <f t="shared" si="19"/>
        <v>0.21</v>
      </c>
      <c r="AV18" s="494">
        <f>IF(AT18="",0,VLOOKUP(ROUNDDOWN(TEXT(B18,"0000"),-1),VLOOKUP!$M$3:$W$32,RIGHT(TEXT(B18,"0000"),1)+2,FALSE))</f>
        <v>3126</v>
      </c>
      <c r="AW18" s="494">
        <f t="shared" si="20"/>
        <v>54.704999999999991</v>
      </c>
      <c r="AX18" s="39">
        <f t="shared" si="21"/>
        <v>6.9894637528164312</v>
      </c>
      <c r="AY18" s="618">
        <v>22.328544999689093</v>
      </c>
      <c r="AZ18" s="180">
        <f t="shared" si="22"/>
        <v>7.9</v>
      </c>
      <c r="BA18" s="38"/>
      <c r="BB18" s="23"/>
      <c r="BC18" s="80">
        <v>0</v>
      </c>
      <c r="BD18" s="78">
        <v>93</v>
      </c>
      <c r="BE18" s="78">
        <v>57</v>
      </c>
      <c r="BF18" s="377"/>
      <c r="BG18" s="385">
        <f t="shared" si="5"/>
        <v>9.8653309606680146</v>
      </c>
      <c r="BH18" s="60">
        <v>57.7</v>
      </c>
      <c r="BI18" s="445">
        <v>16461</v>
      </c>
      <c r="BJ18" s="296">
        <f t="shared" si="6"/>
        <v>0</v>
      </c>
      <c r="BK18" s="591">
        <f t="shared" si="7"/>
        <v>0</v>
      </c>
      <c r="BM18" s="574">
        <f t="shared" si="23"/>
        <v>4</v>
      </c>
      <c r="BN18" s="559">
        <v>6882.85</v>
      </c>
      <c r="BO18" s="575">
        <f t="shared" si="24"/>
        <v>4.9999999999272404E-2</v>
      </c>
      <c r="BP18" s="576">
        <v>48.018750000000018</v>
      </c>
      <c r="BQ18" s="576">
        <f t="shared" si="8"/>
        <v>0.98124999999998153</v>
      </c>
    </row>
    <row r="19" spans="1:69" customFormat="1" ht="12.95" customHeight="1">
      <c r="A19" s="48">
        <f t="shared" si="9"/>
        <v>5</v>
      </c>
      <c r="B19" s="82">
        <v>6882.6</v>
      </c>
      <c r="C19" s="483">
        <f>IF(B19="",C18,VLOOKUP(TRUNC(B19,1),VLOOKUP!$A$3:$K$2834,RIGHT(TEXT(B19,"0000.00"),1)+2,FALSE))</f>
        <v>224117</v>
      </c>
      <c r="D19" s="78">
        <f t="shared" si="10"/>
        <v>-931</v>
      </c>
      <c r="E19" s="49">
        <f t="shared" si="0"/>
        <v>72117</v>
      </c>
      <c r="F19" s="89">
        <f t="shared" si="1"/>
        <v>-469.37232165364253</v>
      </c>
      <c r="G19" s="647">
        <v>140</v>
      </c>
      <c r="H19" s="91">
        <v>0</v>
      </c>
      <c r="I19" s="90">
        <f t="shared" si="2"/>
        <v>140</v>
      </c>
      <c r="J19" s="46">
        <f t="shared" si="11"/>
        <v>0</v>
      </c>
      <c r="K19" s="90">
        <f t="shared" si="3"/>
        <v>140</v>
      </c>
      <c r="L19" s="90">
        <f t="shared" si="12"/>
        <v>-44.372321653642643</v>
      </c>
      <c r="M19" s="92">
        <v>220</v>
      </c>
      <c r="N19" s="610">
        <v>0</v>
      </c>
      <c r="O19" s="90">
        <f>93*1.05</f>
        <v>97.65</v>
      </c>
      <c r="P19" s="39">
        <v>0</v>
      </c>
      <c r="Q19" s="144">
        <f>2210200/325851/1.9835*1.02</f>
        <v>3.488032183092475</v>
      </c>
      <c r="R19" s="73">
        <f>IF(((7.3*1.04)-T19)&gt;=4.2,4.2,(7.3*1.04)-T19)</f>
        <v>4.2</v>
      </c>
      <c r="S19" s="73">
        <f>IF(((7.3*1.04)-T19)&gt;=4.2,((7.3*1.04)-T19)-4.2,0)</f>
        <v>1.938154879999999</v>
      </c>
      <c r="T19" s="73">
        <f t="shared" si="13"/>
        <v>1.4538451200000002</v>
      </c>
      <c r="U19" s="131">
        <v>0</v>
      </c>
      <c r="V19" s="90">
        <v>103</v>
      </c>
      <c r="W19" s="90">
        <v>65</v>
      </c>
      <c r="X19" s="47">
        <f t="shared" si="25"/>
        <v>301.59851281659661</v>
      </c>
      <c r="Y19" s="47">
        <f t="shared" si="14"/>
        <v>301.59851281659661</v>
      </c>
      <c r="Z19" s="55">
        <f t="shared" si="26"/>
        <v>2897.3200993590335</v>
      </c>
      <c r="AA19" s="47">
        <f t="shared" si="15"/>
        <v>170.98654499968907</v>
      </c>
      <c r="AB19" s="55"/>
      <c r="AC19" s="55">
        <f t="shared" si="27"/>
        <v>1641.4306719058791</v>
      </c>
      <c r="AD19" s="490"/>
      <c r="AE19" s="498"/>
      <c r="AF19" s="45">
        <f t="shared" si="28"/>
        <v>8754.9688212972815</v>
      </c>
      <c r="AG19" s="90">
        <v>128</v>
      </c>
      <c r="AH19" s="114">
        <v>1.7</v>
      </c>
      <c r="AI19" s="212">
        <v>1.3</v>
      </c>
      <c r="AJ19" s="90">
        <v>49</v>
      </c>
      <c r="AK19" s="49">
        <f t="shared" si="29"/>
        <v>7945.511822044311</v>
      </c>
      <c r="AL19" s="49"/>
      <c r="AM19" s="180">
        <f t="shared" si="16"/>
        <v>564.99999999999989</v>
      </c>
      <c r="AN19" s="90">
        <f t="shared" si="17"/>
        <v>44.372321653642643</v>
      </c>
      <c r="AO19" s="90">
        <f t="shared" si="4"/>
        <v>609.37232165364253</v>
      </c>
      <c r="AP19" s="134"/>
      <c r="AQ19" s="540"/>
      <c r="AR19" s="48"/>
      <c r="AS19" s="43">
        <f t="shared" si="18"/>
        <v>-170.98654499968907</v>
      </c>
      <c r="AT19" s="492">
        <v>0.2</v>
      </c>
      <c r="AU19" s="494">
        <f t="shared" si="19"/>
        <v>0.13999999999999999</v>
      </c>
      <c r="AV19" s="494">
        <f>IF(AT19="",0,VLOOKUP(ROUNDDOWN(TEXT(B19,"0000"),-1),VLOOKUP!$M$3:$W$32,RIGHT(TEXT(B19,"0000"),1)+2,FALSE))</f>
        <v>3126</v>
      </c>
      <c r="AW19" s="494">
        <f t="shared" si="20"/>
        <v>36.47</v>
      </c>
      <c r="AX19" s="39">
        <f>AW19*(Z19*1.9835+AC19*1.9835)/E19</f>
        <v>4.552675032040991</v>
      </c>
      <c r="AY19" s="618">
        <v>22.328544999689093</v>
      </c>
      <c r="AZ19" s="180">
        <f t="shared" si="22"/>
        <v>7.9</v>
      </c>
      <c r="BA19" s="38"/>
      <c r="BB19" s="23"/>
      <c r="BC19" s="80">
        <v>0</v>
      </c>
      <c r="BD19" s="78">
        <v>89</v>
      </c>
      <c r="BE19" s="78">
        <v>55</v>
      </c>
      <c r="BF19" s="377"/>
      <c r="BG19" s="385">
        <f t="shared" si="5"/>
        <v>11.080032183092474</v>
      </c>
      <c r="BH19" s="60">
        <v>57.2</v>
      </c>
      <c r="BI19" s="445">
        <v>16333</v>
      </c>
      <c r="BJ19" s="296">
        <f t="shared" si="6"/>
        <v>0</v>
      </c>
      <c r="BK19" s="591">
        <f t="shared" si="7"/>
        <v>0</v>
      </c>
      <c r="BM19" s="574">
        <f t="shared" si="23"/>
        <v>5</v>
      </c>
      <c r="BN19" s="577">
        <v>6882.58</v>
      </c>
      <c r="BO19" s="575">
        <f t="shared" si="24"/>
        <v>2.0000000000436557E-2</v>
      </c>
      <c r="BP19" s="576">
        <v>47.974999999999987</v>
      </c>
      <c r="BQ19" s="576">
        <f>AJ19-BP19</f>
        <v>1.0250000000000128</v>
      </c>
    </row>
    <row r="20" spans="1:69" customFormat="1" ht="12.95" customHeight="1">
      <c r="A20" s="48">
        <f t="shared" si="9"/>
        <v>6</v>
      </c>
      <c r="B20" s="82">
        <v>6882.29</v>
      </c>
      <c r="C20" s="483">
        <f>IF(B20="",C19,VLOOKUP(TRUNC(B20,1),VLOOKUP!$A$3:$K$2834,RIGHT(TEXT(B20,"0000.00"),1)+2,FALSE))</f>
        <v>223154</v>
      </c>
      <c r="D20" s="78">
        <f t="shared" si="10"/>
        <v>-963</v>
      </c>
      <c r="E20" s="49">
        <f t="shared" si="0"/>
        <v>71154</v>
      </c>
      <c r="F20" s="89">
        <f t="shared" si="1"/>
        <v>-485.50541971262919</v>
      </c>
      <c r="G20" s="90">
        <v>135</v>
      </c>
      <c r="H20" s="91">
        <v>0</v>
      </c>
      <c r="I20" s="90">
        <f t="shared" si="2"/>
        <v>135</v>
      </c>
      <c r="J20" s="46">
        <f t="shared" si="11"/>
        <v>0</v>
      </c>
      <c r="K20" s="90">
        <f t="shared" si="3"/>
        <v>135</v>
      </c>
      <c r="L20" s="90">
        <f t="shared" si="12"/>
        <v>-46.505419712629191</v>
      </c>
      <c r="M20" s="92">
        <v>218</v>
      </c>
      <c r="N20" s="610">
        <v>0</v>
      </c>
      <c r="O20" s="90">
        <f>104*1.05</f>
        <v>109.2</v>
      </c>
      <c r="P20" s="39">
        <v>0</v>
      </c>
      <c r="Q20" s="144">
        <f>2440000/325851/1.9835*1.02</f>
        <v>3.8506915784750881</v>
      </c>
      <c r="R20" s="73">
        <f>IF(((6.3*1.04)-T20)&gt;=4.2,4.2,(6.3*1.04)-T20)</f>
        <v>4.2</v>
      </c>
      <c r="S20" s="73">
        <f>IF(((6.3*1.04)-T20)&gt;=4.2,((6.3*1.04)-T20)-4.2,0)</f>
        <v>0.89815487999999899</v>
      </c>
      <c r="T20" s="73">
        <f t="shared" si="13"/>
        <v>1.4538451200000002</v>
      </c>
      <c r="U20" s="131">
        <v>0</v>
      </c>
      <c r="V20" s="90">
        <v>108</v>
      </c>
      <c r="W20" s="90">
        <v>67</v>
      </c>
      <c r="X20" s="47">
        <f t="shared" si="25"/>
        <v>295.72585342121403</v>
      </c>
      <c r="Y20" s="47">
        <f t="shared" si="14"/>
        <v>295.72585342121403</v>
      </c>
      <c r="Z20" s="55">
        <f t="shared" si="26"/>
        <v>2726.8435543593446</v>
      </c>
      <c r="AA20" s="47">
        <f t="shared" si="15"/>
        <v>170.47654499968911</v>
      </c>
      <c r="AB20" s="55"/>
      <c r="AC20" s="55">
        <f t="shared" si="27"/>
        <v>1647.0353983832974</v>
      </c>
      <c r="AD20" s="490"/>
      <c r="AE20" s="490"/>
      <c r="AF20" s="45">
        <f t="shared" si="28"/>
        <v>8754.9688212972815</v>
      </c>
      <c r="AG20" s="90">
        <v>133</v>
      </c>
      <c r="AH20" s="114">
        <v>1.7</v>
      </c>
      <c r="AI20" s="212">
        <v>1.3</v>
      </c>
      <c r="AJ20" s="90">
        <v>48</v>
      </c>
      <c r="AK20" s="49">
        <f t="shared" si="29"/>
        <v>7897.511822044311</v>
      </c>
      <c r="AL20" s="49"/>
      <c r="AM20" s="180">
        <f>N20+O20+P20+Q20+R20+S20+T20+U20+X20+AG20+AJ20-IF(AY20="",0,AY20)</f>
        <v>574</v>
      </c>
      <c r="AN20" s="90">
        <f t="shared" si="17"/>
        <v>46.505419712629191</v>
      </c>
      <c r="AO20" s="90">
        <f t="shared" si="4"/>
        <v>620.50541971262919</v>
      </c>
      <c r="AP20" s="134"/>
      <c r="AQ20" s="540"/>
      <c r="AR20" s="48"/>
      <c r="AS20" s="43">
        <f t="shared" si="18"/>
        <v>-170.47654499968911</v>
      </c>
      <c r="AT20" s="492">
        <v>0.24</v>
      </c>
      <c r="AU20" s="494">
        <f t="shared" si="19"/>
        <v>0.16799999999999998</v>
      </c>
      <c r="AV20" s="494">
        <f>IF(AT20="",0,VLOOKUP(ROUNDDOWN(TEXT(B20,"0000"),-1),VLOOKUP!$M$3:$W$32,RIGHT(TEXT(B20,"0000"),1)+2,FALSE))</f>
        <v>3086</v>
      </c>
      <c r="AW20" s="494">
        <f t="shared" si="20"/>
        <v>43.203999999999994</v>
      </c>
      <c r="AX20" s="39">
        <f t="shared" si="21"/>
        <v>5.2677311599496903</v>
      </c>
      <c r="AY20" s="618">
        <v>22.328544999689093</v>
      </c>
      <c r="AZ20" s="180">
        <f t="shared" si="22"/>
        <v>7.9</v>
      </c>
      <c r="BA20" s="38"/>
      <c r="BB20" s="23"/>
      <c r="BC20" s="80">
        <v>0</v>
      </c>
      <c r="BD20" s="78">
        <v>89</v>
      </c>
      <c r="BE20" s="78">
        <v>58</v>
      </c>
      <c r="BF20" s="377"/>
      <c r="BG20" s="385">
        <f t="shared" si="5"/>
        <v>10.402691578475089</v>
      </c>
      <c r="BH20" s="60">
        <v>56.7</v>
      </c>
      <c r="BI20" s="445">
        <v>16202</v>
      </c>
      <c r="BJ20" s="296">
        <f t="shared" si="6"/>
        <v>0</v>
      </c>
      <c r="BK20" s="591">
        <f t="shared" si="7"/>
        <v>0</v>
      </c>
      <c r="BM20" s="574">
        <f t="shared" si="23"/>
        <v>6</v>
      </c>
      <c r="BN20" s="577">
        <v>6882.25</v>
      </c>
      <c r="BO20" s="575">
        <f t="shared" si="24"/>
        <v>3.999999999996362E-2</v>
      </c>
      <c r="BP20" s="576">
        <v>47.88645833333333</v>
      </c>
      <c r="BQ20" s="576">
        <f t="shared" si="8"/>
        <v>0.11354166666666998</v>
      </c>
    </row>
    <row r="21" spans="1:69" customFormat="1" ht="12.95" customHeight="1">
      <c r="A21" s="48">
        <f t="shared" si="9"/>
        <v>7</v>
      </c>
      <c r="B21" s="82">
        <v>6881.98</v>
      </c>
      <c r="C21" s="483">
        <f>IF(B21="",C20,VLOOKUP(TRUNC(B21,1),VLOOKUP!$A$3:$K$2834,RIGHT(TEXT(B21,"0000.00"),1)+2,FALSE))</f>
        <v>222192</v>
      </c>
      <c r="D21" s="78">
        <f t="shared" si="10"/>
        <v>-962</v>
      </c>
      <c r="E21" s="49">
        <f t="shared" si="0"/>
        <v>70192</v>
      </c>
      <c r="F21" s="89">
        <f t="shared" si="1"/>
        <v>-485.00126039828586</v>
      </c>
      <c r="G21" s="90">
        <v>128</v>
      </c>
      <c r="H21" s="91">
        <v>0</v>
      </c>
      <c r="I21" s="90">
        <f t="shared" si="2"/>
        <v>128</v>
      </c>
      <c r="J21" s="46">
        <f t="shared" si="11"/>
        <v>0</v>
      </c>
      <c r="K21" s="90">
        <f t="shared" si="3"/>
        <v>128</v>
      </c>
      <c r="L21" s="90">
        <f t="shared" si="12"/>
        <v>-27.001260398285979</v>
      </c>
      <c r="M21" s="92">
        <v>207</v>
      </c>
      <c r="N21" s="610">
        <v>0</v>
      </c>
      <c r="O21" s="90">
        <f>98*1.05</f>
        <v>102.9</v>
      </c>
      <c r="P21" s="39">
        <v>0</v>
      </c>
      <c r="Q21" s="144">
        <f>2050000/325851/1.9835*1.02</f>
        <v>3.2352121868335777</v>
      </c>
      <c r="R21" s="73">
        <f>IF(((6.4*1.04)-T21)&gt;=4.2,4.2,(6.4*1.04)-T21)</f>
        <v>4.2</v>
      </c>
      <c r="S21" s="73">
        <f>IF(((6.4*1.04)-T21)&gt;=4.2,((6.4*1.04)-T21)-4.2,0)</f>
        <v>0.99410736000000011</v>
      </c>
      <c r="T21" s="73">
        <f>(1.3261*1.06)*1.04</f>
        <v>1.4618926400000001</v>
      </c>
      <c r="U21" s="131">
        <v>0</v>
      </c>
      <c r="V21" s="90">
        <v>108</v>
      </c>
      <c r="W21" s="90">
        <v>69</v>
      </c>
      <c r="X21" s="47">
        <f t="shared" si="25"/>
        <v>293.53733281285548</v>
      </c>
      <c r="Y21" s="47">
        <f t="shared" si="14"/>
        <v>293.53733281285548</v>
      </c>
      <c r="Z21" s="55">
        <f t="shared" si="26"/>
        <v>2552.1710093596557</v>
      </c>
      <c r="AA21" s="47">
        <f t="shared" si="15"/>
        <v>174.67254499968905</v>
      </c>
      <c r="AB21" s="55"/>
      <c r="AC21" s="55">
        <f t="shared" si="27"/>
        <v>1652.2796226535522</v>
      </c>
      <c r="AD21" s="490"/>
      <c r="AE21" s="498"/>
      <c r="AF21" s="45">
        <f t="shared" si="28"/>
        <v>8754.9688212972815</v>
      </c>
      <c r="AG21" s="90">
        <v>154</v>
      </c>
      <c r="AH21" s="114">
        <v>1.7</v>
      </c>
      <c r="AI21" s="212">
        <v>1.3</v>
      </c>
      <c r="AJ21" s="90">
        <v>48</v>
      </c>
      <c r="AK21" s="49">
        <f t="shared" si="29"/>
        <v>7849.511822044311</v>
      </c>
      <c r="AL21" s="49"/>
      <c r="AM21" s="180">
        <f t="shared" si="16"/>
        <v>585.99999999999989</v>
      </c>
      <c r="AN21" s="90">
        <f t="shared" si="17"/>
        <v>27.001260398285979</v>
      </c>
      <c r="AO21" s="90">
        <f t="shared" si="4"/>
        <v>613.00126039828592</v>
      </c>
      <c r="AP21" s="134"/>
      <c r="AQ21" s="540"/>
      <c r="AR21" s="48"/>
      <c r="AS21" s="43">
        <f t="shared" si="18"/>
        <v>-174.67254499968905</v>
      </c>
      <c r="AT21" s="492">
        <v>0.28999999999999998</v>
      </c>
      <c r="AU21" s="494">
        <f t="shared" si="19"/>
        <v>0.20299999999999999</v>
      </c>
      <c r="AV21" s="494">
        <f>IF(AT21="",0,VLOOKUP(ROUNDDOWN(TEXT(B21,"0000"),-1),VLOOKUP!$M$3:$W$32,RIGHT(TEXT(B21,"0000"),1)+2,FALSE))</f>
        <v>3086</v>
      </c>
      <c r="AW21" s="494">
        <f t="shared" si="20"/>
        <v>52.204833333333333</v>
      </c>
      <c r="AX21" s="39">
        <f t="shared" si="21"/>
        <v>6.2024683777448173</v>
      </c>
      <c r="AY21" s="618">
        <v>22.328544999689093</v>
      </c>
      <c r="AZ21" s="180">
        <f t="shared" si="22"/>
        <v>7.9</v>
      </c>
      <c r="BA21" s="38"/>
      <c r="BB21" s="23"/>
      <c r="BC21" s="80">
        <v>0</v>
      </c>
      <c r="BD21" s="78">
        <v>89</v>
      </c>
      <c r="BE21" s="78">
        <v>51</v>
      </c>
      <c r="BF21" s="377"/>
      <c r="BG21" s="385">
        <f t="shared" si="5"/>
        <v>9.8912121868335792</v>
      </c>
      <c r="BH21" s="60">
        <v>56.4</v>
      </c>
      <c r="BI21" s="445">
        <v>16075</v>
      </c>
      <c r="BJ21" s="296">
        <f t="shared" si="6"/>
        <v>0</v>
      </c>
      <c r="BK21" s="591">
        <f t="shared" si="7"/>
        <v>0</v>
      </c>
      <c r="BM21" s="574">
        <f t="shared" si="23"/>
        <v>7</v>
      </c>
      <c r="BN21" s="559">
        <v>6881.95</v>
      </c>
      <c r="BO21" s="575">
        <f t="shared" si="24"/>
        <v>2.9999999999745341E-2</v>
      </c>
      <c r="BP21" s="576">
        <v>47.841666666666669</v>
      </c>
      <c r="BQ21" s="576">
        <f t="shared" si="8"/>
        <v>0.15833333333333144</v>
      </c>
    </row>
    <row r="22" spans="1:69" customFormat="1" ht="12.95" customHeight="1">
      <c r="A22" s="48">
        <f t="shared" si="9"/>
        <v>8</v>
      </c>
      <c r="B22" s="82">
        <v>6881.67</v>
      </c>
      <c r="C22" s="483">
        <f>IF(B22="",C21,VLOOKUP(TRUNC(B22,1),VLOOKUP!$A$3:$K$2834,RIGHT(TEXT(B22,"0000.00"),1)+2,FALSE))</f>
        <v>221242</v>
      </c>
      <c r="D22" s="78">
        <f t="shared" si="10"/>
        <v>-950</v>
      </c>
      <c r="E22" s="49">
        <f t="shared" si="0"/>
        <v>69242</v>
      </c>
      <c r="F22" s="89">
        <f t="shared" si="1"/>
        <v>-478.95134862616584</v>
      </c>
      <c r="G22" s="90">
        <v>123</v>
      </c>
      <c r="H22" s="91">
        <v>0</v>
      </c>
      <c r="I22" s="90">
        <f t="shared" si="2"/>
        <v>123</v>
      </c>
      <c r="J22" s="46">
        <f t="shared" si="11"/>
        <v>0</v>
      </c>
      <c r="K22" s="90">
        <f t="shared" si="3"/>
        <v>123</v>
      </c>
      <c r="L22" s="90">
        <f t="shared" si="12"/>
        <v>-32.951348626165952</v>
      </c>
      <c r="M22" s="92">
        <v>206</v>
      </c>
      <c r="N22" s="610">
        <v>0</v>
      </c>
      <c r="O22" s="90">
        <f>104*1.05</f>
        <v>109.2</v>
      </c>
      <c r="P22" s="39">
        <v>0</v>
      </c>
      <c r="Q22" s="144">
        <f>2386400/325851/1.9835*1.02</f>
        <v>3.7661026159315369</v>
      </c>
      <c r="R22" s="73">
        <f>IF(((6.5*1.04)-T22)&gt;=4.2,4.2,(6.5*1.04)-T22)</f>
        <v>4.2</v>
      </c>
      <c r="S22" s="73">
        <f>IF(((6.5*1.04)-T22)&gt;=4.2,((6.5*1.04)-T22)-4.2,0)</f>
        <v>1.0981073599999993</v>
      </c>
      <c r="T22" s="73">
        <f t="shared" ref="T22:T26" si="30">(1.3261*1.06)*1.04</f>
        <v>1.4618926400000001</v>
      </c>
      <c r="U22" s="131">
        <v>0</v>
      </c>
      <c r="V22" s="90">
        <v>108</v>
      </c>
      <c r="W22" s="90">
        <v>70</v>
      </c>
      <c r="X22" s="47">
        <f t="shared" si="25"/>
        <v>286.60244238375753</v>
      </c>
      <c r="Y22" s="47">
        <f t="shared" si="14"/>
        <v>286.60244238375753</v>
      </c>
      <c r="Z22" s="55">
        <f t="shared" si="26"/>
        <v>2378.9024643599669</v>
      </c>
      <c r="AA22" s="47">
        <f t="shared" si="15"/>
        <v>173.26854499968908</v>
      </c>
      <c r="AB22" s="55"/>
      <c r="AC22" s="55">
        <f t="shared" si="27"/>
        <v>1657.0525904489923</v>
      </c>
      <c r="AD22" s="490"/>
      <c r="AE22" s="498"/>
      <c r="AF22" s="45">
        <f t="shared" si="28"/>
        <v>8754.9688212972815</v>
      </c>
      <c r="AG22" s="90">
        <v>137</v>
      </c>
      <c r="AH22" s="114">
        <v>1.7</v>
      </c>
      <c r="AI22" s="212">
        <v>1.3</v>
      </c>
      <c r="AJ22" s="90">
        <v>48</v>
      </c>
      <c r="AK22" s="49">
        <f t="shared" si="29"/>
        <v>7801.511822044311</v>
      </c>
      <c r="AL22" s="49"/>
      <c r="AM22" s="180">
        <f t="shared" si="16"/>
        <v>568.99999999999989</v>
      </c>
      <c r="AN22" s="90">
        <f t="shared" si="17"/>
        <v>32.951348626165952</v>
      </c>
      <c r="AO22" s="90">
        <f t="shared" si="4"/>
        <v>601.95134862616578</v>
      </c>
      <c r="AP22" s="134"/>
      <c r="AQ22" s="540"/>
      <c r="AR22" s="48"/>
      <c r="AS22" s="43">
        <f t="shared" si="18"/>
        <v>-173.26854499968908</v>
      </c>
      <c r="AT22" s="492">
        <v>0.28999999999999998</v>
      </c>
      <c r="AU22" s="494">
        <f t="shared" si="19"/>
        <v>0.20299999999999999</v>
      </c>
      <c r="AV22" s="494">
        <f>IF(AT22="",0,VLOOKUP(ROUNDDOWN(TEXT(B22,"0000"),-1),VLOOKUP!$M$3:$W$32,RIGHT(TEXT(B22,"0000"),1)+2,FALSE))</f>
        <v>3086</v>
      </c>
      <c r="AW22" s="494">
        <f t="shared" si="20"/>
        <v>52.204833333333333</v>
      </c>
      <c r="AX22" s="39">
        <f t="shared" si="21"/>
        <v>6.035588688918998</v>
      </c>
      <c r="AY22" s="618">
        <v>22.328544999689093</v>
      </c>
      <c r="AZ22" s="180">
        <f t="shared" si="22"/>
        <v>7.9</v>
      </c>
      <c r="BA22" s="38"/>
      <c r="BB22" s="23"/>
      <c r="BC22" s="80">
        <v>0</v>
      </c>
      <c r="BD22" s="78">
        <v>90</v>
      </c>
      <c r="BE22" s="78">
        <v>54</v>
      </c>
      <c r="BF22" s="377"/>
      <c r="BG22" s="385">
        <f t="shared" si="5"/>
        <v>10.526102615931537</v>
      </c>
      <c r="BH22" s="60">
        <v>56.4</v>
      </c>
      <c r="BI22" s="445">
        <v>15961</v>
      </c>
      <c r="BJ22" s="296">
        <f t="shared" si="6"/>
        <v>0</v>
      </c>
      <c r="BK22" s="591">
        <f t="shared" si="7"/>
        <v>0</v>
      </c>
      <c r="BM22" s="574">
        <f t="shared" si="23"/>
        <v>8</v>
      </c>
      <c r="BN22" s="559">
        <v>6881.63</v>
      </c>
      <c r="BO22" s="575">
        <f t="shared" si="24"/>
        <v>3.999999999996362E-2</v>
      </c>
      <c r="BP22" s="576">
        <v>47.822916666666679</v>
      </c>
      <c r="BQ22" s="576">
        <f t="shared" si="8"/>
        <v>0.17708333333332149</v>
      </c>
    </row>
    <row r="23" spans="1:69" customFormat="1" ht="12.95" customHeight="1">
      <c r="A23" s="48">
        <f t="shared" si="9"/>
        <v>9</v>
      </c>
      <c r="B23" s="82">
        <v>6881.35</v>
      </c>
      <c r="C23" s="483">
        <f>IF(B23="",C22,VLOOKUP(TRUNC(B23,1),VLOOKUP!$A$3:$K$2834,RIGHT(TEXT(B23,"0000.00"),1)+2,FALSE))</f>
        <v>220261</v>
      </c>
      <c r="D23" s="78">
        <f t="shared" si="10"/>
        <v>-981</v>
      </c>
      <c r="E23" s="49">
        <f t="shared" si="0"/>
        <v>68261</v>
      </c>
      <c r="F23" s="89">
        <f t="shared" si="1"/>
        <v>-494.58028737080917</v>
      </c>
      <c r="G23" s="90">
        <v>116</v>
      </c>
      <c r="H23" s="91">
        <v>0</v>
      </c>
      <c r="I23" s="90">
        <f t="shared" si="2"/>
        <v>116</v>
      </c>
      <c r="J23" s="46">
        <f t="shared" si="11"/>
        <v>0</v>
      </c>
      <c r="K23" s="90">
        <f t="shared" si="3"/>
        <v>116</v>
      </c>
      <c r="L23" s="90">
        <f t="shared" si="12"/>
        <v>-43.580287370809287</v>
      </c>
      <c r="M23" s="92">
        <v>209</v>
      </c>
      <c r="N23" s="610">
        <v>0</v>
      </c>
      <c r="O23" s="90">
        <f>93*1.05</f>
        <v>97.65</v>
      </c>
      <c r="P23" s="39">
        <v>0</v>
      </c>
      <c r="Q23" s="144">
        <f>2369700/325851/1.9835*1.02</f>
        <v>3.7397474727509903</v>
      </c>
      <c r="R23" s="73">
        <f>IF(((6.3*1.04)-T23)&gt;=4.2,4.2,(6.3*1.04)-T23)</f>
        <v>4.2</v>
      </c>
      <c r="S23" s="73">
        <f>IF(((6.3*1.04)-T23)&gt;=4.2,((6.3*1.04)-T23)-4.2,0)</f>
        <v>0.89010735999999913</v>
      </c>
      <c r="T23" s="73">
        <f t="shared" si="30"/>
        <v>1.4618926400000001</v>
      </c>
      <c r="U23" s="131">
        <v>0</v>
      </c>
      <c r="V23" s="90">
        <v>106</v>
      </c>
      <c r="W23" s="90">
        <v>71</v>
      </c>
      <c r="X23" s="47">
        <f t="shared" si="25"/>
        <v>300.3867975269381</v>
      </c>
      <c r="Y23" s="47">
        <f t="shared" si="14"/>
        <v>300.3867975269381</v>
      </c>
      <c r="Z23" s="55">
        <f t="shared" si="26"/>
        <v>2184.8759193602777</v>
      </c>
      <c r="AA23" s="47">
        <f t="shared" si="15"/>
        <v>194.02654499968907</v>
      </c>
      <c r="AB23" s="55"/>
      <c r="AC23" s="55">
        <f t="shared" si="27"/>
        <v>1661.9096921939285</v>
      </c>
      <c r="AD23" s="490"/>
      <c r="AE23" s="498"/>
      <c r="AF23" s="45">
        <f t="shared" si="28"/>
        <v>8754.9688212972815</v>
      </c>
      <c r="AG23" s="90">
        <v>133</v>
      </c>
      <c r="AH23" s="114">
        <v>1.7</v>
      </c>
      <c r="AI23" s="212">
        <v>1.3</v>
      </c>
      <c r="AJ23" s="90">
        <v>48</v>
      </c>
      <c r="AK23" s="49">
        <f t="shared" si="29"/>
        <v>7753.511822044311</v>
      </c>
      <c r="AL23" s="49"/>
      <c r="AM23" s="180">
        <f t="shared" si="16"/>
        <v>566.99999999999989</v>
      </c>
      <c r="AN23" s="90">
        <f t="shared" si="17"/>
        <v>43.580287370809287</v>
      </c>
      <c r="AO23" s="90">
        <f t="shared" si="4"/>
        <v>610.58028737080917</v>
      </c>
      <c r="AP23" s="134"/>
      <c r="AQ23" s="540"/>
      <c r="AR23" s="48"/>
      <c r="AS23" s="43">
        <f t="shared" si="18"/>
        <v>-194.02654499968907</v>
      </c>
      <c r="AT23" s="492">
        <v>0.26</v>
      </c>
      <c r="AU23" s="494">
        <f t="shared" si="19"/>
        <v>0.182</v>
      </c>
      <c r="AV23" s="494">
        <f>IF(AT23="",0,VLOOKUP(ROUNDDOWN(TEXT(B23,"0000"),-1),VLOOKUP!$M$3:$W$32,RIGHT(TEXT(B23,"0000"),1)+2,FALSE))</f>
        <v>3044</v>
      </c>
      <c r="AW23" s="494">
        <f t="shared" si="20"/>
        <v>46.167333333333332</v>
      </c>
      <c r="AX23" s="39">
        <f t="shared" si="21"/>
        <v>5.1605065253474747</v>
      </c>
      <c r="AY23" s="618">
        <v>22.328544999689093</v>
      </c>
      <c r="AZ23" s="180">
        <f t="shared" si="22"/>
        <v>7.9</v>
      </c>
      <c r="BA23" s="38"/>
      <c r="BB23" s="23"/>
      <c r="BC23" s="80">
        <v>0</v>
      </c>
      <c r="BD23" s="30">
        <v>91</v>
      </c>
      <c r="BE23" s="78">
        <v>56</v>
      </c>
      <c r="BF23" s="377"/>
      <c r="BG23" s="385">
        <f t="shared" si="5"/>
        <v>10.291747472750989</v>
      </c>
      <c r="BH23" s="60">
        <v>56.4</v>
      </c>
      <c r="BI23" s="445">
        <v>15855</v>
      </c>
      <c r="BJ23" s="296">
        <f t="shared" si="6"/>
        <v>0</v>
      </c>
      <c r="BK23" s="591">
        <f t="shared" si="7"/>
        <v>0</v>
      </c>
      <c r="BM23" s="574">
        <f t="shared" si="23"/>
        <v>9</v>
      </c>
      <c r="BN23" s="559">
        <v>6881.3</v>
      </c>
      <c r="BO23" s="575">
        <f t="shared" si="24"/>
        <v>5.0000000000181899E-2</v>
      </c>
      <c r="BP23" s="576">
        <v>47.760416666666664</v>
      </c>
      <c r="BQ23" s="576">
        <f t="shared" si="8"/>
        <v>0.2395833333333357</v>
      </c>
    </row>
    <row r="24" spans="1:69" customFormat="1" ht="12.95" customHeight="1">
      <c r="A24" s="48">
        <f t="shared" si="9"/>
        <v>10</v>
      </c>
      <c r="B24" s="82">
        <v>6881.02</v>
      </c>
      <c r="C24" s="483">
        <f>IF(B24="",C23,VLOOKUP(TRUNC(B24,1),VLOOKUP!$A$3:$K$2834,RIGHT(TEXT(B24,"0000.00"),1)+2,FALSE))</f>
        <v>219249</v>
      </c>
      <c r="D24" s="78">
        <f t="shared" si="10"/>
        <v>-1012</v>
      </c>
      <c r="E24" s="49">
        <f t="shared" si="0"/>
        <v>67249</v>
      </c>
      <c r="F24" s="89">
        <f t="shared" si="1"/>
        <v>-510.20922611545245</v>
      </c>
      <c r="G24" s="90">
        <v>114</v>
      </c>
      <c r="H24" s="91">
        <v>0</v>
      </c>
      <c r="I24" s="90">
        <f t="shared" si="2"/>
        <v>114</v>
      </c>
      <c r="J24" s="46">
        <f t="shared" si="11"/>
        <v>0</v>
      </c>
      <c r="K24" s="90">
        <f t="shared" si="3"/>
        <v>114</v>
      </c>
      <c r="L24" s="90">
        <f t="shared" si="12"/>
        <v>-37.209226115452566</v>
      </c>
      <c r="M24" s="92">
        <v>215</v>
      </c>
      <c r="N24" s="610">
        <v>1.5</v>
      </c>
      <c r="O24" s="90">
        <f>102*1.05</f>
        <v>107.10000000000001</v>
      </c>
      <c r="P24" s="39">
        <v>0</v>
      </c>
      <c r="Q24" s="144">
        <f>2289900/325851/1.9835*1.02</f>
        <v>3.61381092030742</v>
      </c>
      <c r="R24" s="73">
        <f>IF(((6.5*1.04)-T24)&gt;=4.2,4.2,(6.5*1.04)-T24)</f>
        <v>4.2</v>
      </c>
      <c r="S24" s="73">
        <f>IF(((6.5*1.04)-T24)&gt;=4.2,((6.5*1.04)-T24)-4.2,0)</f>
        <v>1.0981073599999993</v>
      </c>
      <c r="T24" s="73">
        <f t="shared" si="30"/>
        <v>1.4618926400000001</v>
      </c>
      <c r="U24" s="131">
        <v>0</v>
      </c>
      <c r="V24" s="90">
        <v>105</v>
      </c>
      <c r="W24" s="90">
        <v>71</v>
      </c>
      <c r="X24" s="47">
        <f t="shared" si="25"/>
        <v>294.35473407938167</v>
      </c>
      <c r="Y24" s="47">
        <f t="shared" si="14"/>
        <v>294.35473407938167</v>
      </c>
      <c r="Z24" s="55">
        <f t="shared" si="26"/>
        <v>1995.0073743605888</v>
      </c>
      <c r="AA24" s="47">
        <f t="shared" si="15"/>
        <v>189.86854499968908</v>
      </c>
      <c r="AB24" s="55"/>
      <c r="AC24" s="55">
        <f t="shared" si="27"/>
        <v>1667.2079747624452</v>
      </c>
      <c r="AD24" s="490"/>
      <c r="AE24" s="498"/>
      <c r="AF24" s="45">
        <f t="shared" si="28"/>
        <v>8754.9688212972815</v>
      </c>
      <c r="AG24" s="90">
        <v>147</v>
      </c>
      <c r="AH24" s="114">
        <v>1.7</v>
      </c>
      <c r="AI24" s="212">
        <v>1.3</v>
      </c>
      <c r="AJ24" s="90">
        <v>49</v>
      </c>
      <c r="AK24" s="49">
        <f t="shared" si="29"/>
        <v>7704.511822044311</v>
      </c>
      <c r="AL24" s="49"/>
      <c r="AM24" s="180">
        <f t="shared" si="16"/>
        <v>586.99999999999989</v>
      </c>
      <c r="AN24" s="90">
        <f t="shared" si="17"/>
        <v>37.209226115452566</v>
      </c>
      <c r="AO24" s="90">
        <f t="shared" si="4"/>
        <v>624.20922611545245</v>
      </c>
      <c r="AP24" s="134"/>
      <c r="AQ24" s="540"/>
      <c r="AR24" s="48"/>
      <c r="AS24" s="43">
        <f t="shared" si="18"/>
        <v>-189.86854499968908</v>
      </c>
      <c r="AT24" s="492">
        <v>0.27</v>
      </c>
      <c r="AU24" s="494">
        <f t="shared" si="19"/>
        <v>0.189</v>
      </c>
      <c r="AV24" s="494">
        <f>IF(AT24="",0,VLOOKUP(ROUNDDOWN(TEXT(B24,"0000"),-1),VLOOKUP!$M$3:$W$32,RIGHT(TEXT(B24,"0000"),1)+2,FALSE))</f>
        <v>3044</v>
      </c>
      <c r="AW24" s="494">
        <f t="shared" si="20"/>
        <v>47.942999999999998</v>
      </c>
      <c r="AX24" s="39">
        <f t="shared" si="21"/>
        <v>5.1786368678053449</v>
      </c>
      <c r="AY24" s="618">
        <v>22.328544999689093</v>
      </c>
      <c r="AZ24" s="180">
        <f t="shared" si="22"/>
        <v>7.9</v>
      </c>
      <c r="BA24" s="38"/>
      <c r="BB24" s="23"/>
      <c r="BC24" s="80">
        <v>0</v>
      </c>
      <c r="BD24" s="78">
        <v>92</v>
      </c>
      <c r="BE24" s="78">
        <v>52</v>
      </c>
      <c r="BF24" s="377"/>
      <c r="BG24" s="385">
        <f t="shared" si="5"/>
        <v>11.873810920307422</v>
      </c>
      <c r="BH24" s="60">
        <v>56.2</v>
      </c>
      <c r="BI24" s="445">
        <v>15747</v>
      </c>
      <c r="BJ24" s="296">
        <f t="shared" si="6"/>
        <v>0</v>
      </c>
      <c r="BK24" s="591">
        <f t="shared" si="7"/>
        <v>0</v>
      </c>
      <c r="BM24" s="574">
        <f t="shared" si="23"/>
        <v>10</v>
      </c>
      <c r="BN24" s="559">
        <v>6880.98</v>
      </c>
      <c r="BO24" s="575">
        <f t="shared" si="24"/>
        <v>4.0000000000873115E-2</v>
      </c>
      <c r="BP24" s="576">
        <v>47.732291666666669</v>
      </c>
      <c r="BQ24" s="576">
        <f t="shared" si="8"/>
        <v>1.2677083333333314</v>
      </c>
    </row>
    <row r="25" spans="1:69" customFormat="1" ht="12.95" customHeight="1">
      <c r="A25" s="48">
        <v>11</v>
      </c>
      <c r="B25" s="82">
        <v>6880.66</v>
      </c>
      <c r="C25" s="483">
        <f>IF(B25="",C24,VLOOKUP(TRUNC(B25,1),VLOOKUP!$A$3:$K$2834,RIGHT(TEXT(B25,"0000.00"),1)+2,FALSE))</f>
        <v>218160</v>
      </c>
      <c r="D25" s="78">
        <f t="shared" si="10"/>
        <v>-1089</v>
      </c>
      <c r="E25" s="49">
        <f t="shared" si="0"/>
        <v>66160</v>
      </c>
      <c r="F25" s="89">
        <f t="shared" si="1"/>
        <v>-549.02949331988907</v>
      </c>
      <c r="G25" s="90">
        <v>110</v>
      </c>
      <c r="H25" s="91">
        <v>0</v>
      </c>
      <c r="I25" s="90">
        <f t="shared" si="2"/>
        <v>110</v>
      </c>
      <c r="J25" s="46">
        <f t="shared" si="11"/>
        <v>0</v>
      </c>
      <c r="K25" s="90">
        <f t="shared" si="3"/>
        <v>110</v>
      </c>
      <c r="L25" s="90">
        <f t="shared" si="12"/>
        <v>-46.02949331988907</v>
      </c>
      <c r="M25" s="92">
        <v>224</v>
      </c>
      <c r="N25" s="610">
        <v>1.5</v>
      </c>
      <c r="O25" s="90">
        <f>98*1.05</f>
        <v>102.9</v>
      </c>
      <c r="P25" s="39">
        <v>0</v>
      </c>
      <c r="Q25" s="144">
        <f>2283300/325851/1.9835*1.02</f>
        <v>3.6033951152181016</v>
      </c>
      <c r="R25" s="73">
        <f>IF(((6.9*1.04)-T25)&gt;=4.2,4.2,(6.9*1.04)-T25)</f>
        <v>4.2</v>
      </c>
      <c r="S25" s="73">
        <f>IF(((6.9*1.04)-T25)&gt;=4.2,((6.9*1.04)-T25)-4.2,0)</f>
        <v>1.5141073600000006</v>
      </c>
      <c r="T25" s="73">
        <f t="shared" si="30"/>
        <v>1.4618926400000001</v>
      </c>
      <c r="U25" s="131">
        <v>0</v>
      </c>
      <c r="V25" s="90">
        <v>105</v>
      </c>
      <c r="W25" s="90">
        <v>71</v>
      </c>
      <c r="X25" s="47">
        <f t="shared" si="25"/>
        <v>307.149149884471</v>
      </c>
      <c r="Y25" s="47">
        <f t="shared" si="14"/>
        <v>307.149149884471</v>
      </c>
      <c r="Z25" s="55">
        <f t="shared" si="26"/>
        <v>1788.3548293608997</v>
      </c>
      <c r="AA25" s="47">
        <f t="shared" si="15"/>
        <v>206.6525449996891</v>
      </c>
      <c r="AB25" s="55"/>
      <c r="AC25" s="55">
        <f t="shared" si="27"/>
        <v>1672.4971167499396</v>
      </c>
      <c r="AD25" s="490"/>
      <c r="AE25" s="498"/>
      <c r="AF25" s="45">
        <f t="shared" si="28"/>
        <v>8754.9688212972815</v>
      </c>
      <c r="AG25" s="90">
        <v>164</v>
      </c>
      <c r="AH25" s="114">
        <v>1.7</v>
      </c>
      <c r="AI25" s="212">
        <v>1.3</v>
      </c>
      <c r="AJ25" s="90">
        <v>49</v>
      </c>
      <c r="AK25" s="49">
        <f t="shared" si="29"/>
        <v>7655.511822044311</v>
      </c>
      <c r="AL25" s="49"/>
      <c r="AM25" s="180">
        <f t="shared" si="16"/>
        <v>613</v>
      </c>
      <c r="AN25" s="90">
        <f t="shared" si="17"/>
        <v>46.02949331988907</v>
      </c>
      <c r="AO25" s="90">
        <f t="shared" si="4"/>
        <v>659.02949331988907</v>
      </c>
      <c r="AP25" s="134"/>
      <c r="AQ25" s="540"/>
      <c r="AR25" s="48"/>
      <c r="AS25" s="43">
        <f t="shared" si="18"/>
        <v>-206.6525449996891</v>
      </c>
      <c r="AT25" s="492">
        <v>0.28000000000000003</v>
      </c>
      <c r="AU25" s="494">
        <f t="shared" si="19"/>
        <v>0.19600000000000001</v>
      </c>
      <c r="AV25" s="494">
        <f>IF(AT25="",0,VLOOKUP(ROUNDDOWN(TEXT(B25,"0000"),-1),VLOOKUP!$M$3:$W$32,RIGHT(TEXT(B25,"0000"),1)+2,FALSE))</f>
        <v>3044</v>
      </c>
      <c r="AW25" s="494">
        <f t="shared" si="20"/>
        <v>49.718666666666671</v>
      </c>
      <c r="AX25" s="39">
        <f t="shared" si="21"/>
        <v>5.1586872884209702</v>
      </c>
      <c r="AY25" s="618">
        <v>22.328544999689093</v>
      </c>
      <c r="AZ25" s="180">
        <f t="shared" si="22"/>
        <v>7.9</v>
      </c>
      <c r="BA25" s="38"/>
      <c r="BB25" s="23"/>
      <c r="BC25" s="80">
        <v>0</v>
      </c>
      <c r="BD25" s="78">
        <v>89</v>
      </c>
      <c r="BE25" s="78">
        <v>53</v>
      </c>
      <c r="BF25" s="377"/>
      <c r="BG25" s="385">
        <f t="shared" si="5"/>
        <v>12.279395115218103</v>
      </c>
      <c r="BH25" s="60">
        <v>56.2</v>
      </c>
      <c r="BI25" s="445">
        <v>15638</v>
      </c>
      <c r="BJ25" s="296">
        <f t="shared" si="6"/>
        <v>0</v>
      </c>
      <c r="BK25" s="591">
        <f t="shared" si="7"/>
        <v>0</v>
      </c>
      <c r="BM25" s="574">
        <f t="shared" si="23"/>
        <v>11</v>
      </c>
      <c r="BN25" s="559">
        <v>6880.61</v>
      </c>
      <c r="BO25" s="575">
        <f t="shared" si="24"/>
        <v>5.0000000000181899E-2</v>
      </c>
      <c r="BP25" s="576">
        <v>47.70624999999999</v>
      </c>
      <c r="BQ25" s="576">
        <f t="shared" si="8"/>
        <v>1.2937500000000099</v>
      </c>
    </row>
    <row r="26" spans="1:69" customFormat="1" ht="12.75" customHeight="1">
      <c r="A26" s="48">
        <v>12</v>
      </c>
      <c r="B26" s="82">
        <v>6880.31</v>
      </c>
      <c r="C26" s="483">
        <f>IF(B26="",C25,VLOOKUP(TRUNC(B26,1),VLOOKUP!$A$3:$K$2834,RIGHT(TEXT(B26,"0000.00"),1)+2,FALSE))</f>
        <v>217102</v>
      </c>
      <c r="D26" s="78">
        <f t="shared" si="10"/>
        <v>-1058</v>
      </c>
      <c r="E26" s="49">
        <f t="shared" si="0"/>
        <v>65102</v>
      </c>
      <c r="F26" s="89">
        <f t="shared" si="1"/>
        <v>-533.40055457524579</v>
      </c>
      <c r="G26" s="90">
        <v>103</v>
      </c>
      <c r="H26" s="91">
        <v>0</v>
      </c>
      <c r="I26" s="90">
        <f t="shared" si="2"/>
        <v>103</v>
      </c>
      <c r="J26" s="46">
        <f t="shared" si="11"/>
        <v>0</v>
      </c>
      <c r="K26" s="90">
        <f t="shared" si="3"/>
        <v>103</v>
      </c>
      <c r="L26" s="90">
        <f t="shared" si="12"/>
        <v>-21.400554575245906</v>
      </c>
      <c r="M26" s="92">
        <v>224</v>
      </c>
      <c r="N26" s="610">
        <v>1.5</v>
      </c>
      <c r="O26" s="90">
        <f>100*1.05</f>
        <v>105</v>
      </c>
      <c r="P26" s="39">
        <v>0</v>
      </c>
      <c r="Q26" s="144">
        <f>2218400/325851/1.9835*1.02</f>
        <v>3.5009730318398096</v>
      </c>
      <c r="R26" s="73">
        <f>IF(((6.9*1.04)-T26)&gt;=4.2,4.2,(6.9*1.04)-T26)</f>
        <v>4.2</v>
      </c>
      <c r="S26" s="73">
        <f>IF(((6.9*1.04)-T26)&gt;=4.2,((6.9*1.04)-T26)-4.2,0)</f>
        <v>1.5141073600000006</v>
      </c>
      <c r="T26" s="73">
        <f t="shared" si="30"/>
        <v>1.4618926400000001</v>
      </c>
      <c r="U26" s="131">
        <v>0</v>
      </c>
      <c r="V26" s="90">
        <v>109</v>
      </c>
      <c r="W26" s="90">
        <v>71</v>
      </c>
      <c r="X26" s="47">
        <f t="shared" si="25"/>
        <v>309.15157196784929</v>
      </c>
      <c r="Y26" s="47">
        <f t="shared" si="14"/>
        <v>309.15157196784929</v>
      </c>
      <c r="Z26" s="55">
        <f t="shared" si="26"/>
        <v>1572.8022843612107</v>
      </c>
      <c r="AA26" s="47">
        <f t="shared" si="15"/>
        <v>215.55254499968908</v>
      </c>
      <c r="AB26" s="55"/>
      <c r="AC26" s="55">
        <f t="shared" si="27"/>
        <v>1677.7963165036977</v>
      </c>
      <c r="AD26" s="490"/>
      <c r="AE26" s="498"/>
      <c r="AF26" s="45">
        <f t="shared" si="28"/>
        <v>8754.9688212972815</v>
      </c>
      <c r="AG26" s="90">
        <v>163</v>
      </c>
      <c r="AH26" s="114">
        <v>1.7</v>
      </c>
      <c r="AI26" s="212">
        <v>1.3</v>
      </c>
      <c r="AJ26" s="90">
        <v>48</v>
      </c>
      <c r="AK26" s="49">
        <f t="shared" si="29"/>
        <v>7607.511822044311</v>
      </c>
      <c r="AL26" s="49"/>
      <c r="AM26" s="180">
        <f t="shared" si="16"/>
        <v>614.99999999999989</v>
      </c>
      <c r="AN26" s="90">
        <f t="shared" si="17"/>
        <v>21.400554575245906</v>
      </c>
      <c r="AO26" s="90">
        <f t="shared" si="4"/>
        <v>636.40055457524579</v>
      </c>
      <c r="AP26" s="134"/>
      <c r="AQ26" s="540"/>
      <c r="AR26" s="48"/>
      <c r="AS26" s="43">
        <f t="shared" si="18"/>
        <v>-215.55254499968908</v>
      </c>
      <c r="AT26" s="492">
        <v>0.32</v>
      </c>
      <c r="AU26" s="494">
        <f t="shared" si="19"/>
        <v>0.22399999999999998</v>
      </c>
      <c r="AV26" s="494">
        <f>IF(AT26="",0,VLOOKUP(ROUNDDOWN(TEXT(B26,"0000"),-1),VLOOKUP!$M$3:$W$32,RIGHT(TEXT(B26,"0000"),1)+2,FALSE))</f>
        <v>3002</v>
      </c>
      <c r="AW26" s="494">
        <f t="shared" si="20"/>
        <v>56.037333333333329</v>
      </c>
      <c r="AX26" s="39">
        <f t="shared" si="21"/>
        <v>5.5498171973692108</v>
      </c>
      <c r="AY26" s="618">
        <v>22.328544999689093</v>
      </c>
      <c r="AZ26" s="180">
        <f t="shared" si="22"/>
        <v>7.9</v>
      </c>
      <c r="BA26" s="38"/>
      <c r="BB26" s="23"/>
      <c r="BC26" s="80">
        <v>0</v>
      </c>
      <c r="BD26" s="78">
        <v>91</v>
      </c>
      <c r="BE26" s="78">
        <v>56</v>
      </c>
      <c r="BF26" s="377"/>
      <c r="BG26" s="385">
        <f t="shared" si="5"/>
        <v>12.176973031839809</v>
      </c>
      <c r="BH26" s="60">
        <v>56.2</v>
      </c>
      <c r="BI26" s="445">
        <v>15526</v>
      </c>
      <c r="BJ26" s="296">
        <f t="shared" si="6"/>
        <v>0</v>
      </c>
      <c r="BK26" s="591">
        <f t="shared" si="7"/>
        <v>0</v>
      </c>
      <c r="BM26" s="574">
        <f t="shared" si="23"/>
        <v>12</v>
      </c>
      <c r="BN26" s="559">
        <v>6880.26</v>
      </c>
      <c r="BO26" s="575">
        <f t="shared" si="24"/>
        <v>5.0000000000181899E-2</v>
      </c>
      <c r="BP26" s="576">
        <v>47.634375000000006</v>
      </c>
      <c r="BQ26" s="576">
        <f t="shared" si="8"/>
        <v>0.36562499999999432</v>
      </c>
    </row>
    <row r="27" spans="1:69" customFormat="1" ht="12.95" customHeight="1">
      <c r="A27" s="48">
        <v>13</v>
      </c>
      <c r="B27" s="82">
        <v>6879.92</v>
      </c>
      <c r="C27" s="483">
        <f>IF(B27="",C26,VLOOKUP(TRUNC(B27,1),VLOOKUP!$A$3:$K$2834,RIGHT(TEXT(B27,"0000.00"),1)+2,FALSE))</f>
        <v>215926</v>
      </c>
      <c r="D27" s="78">
        <f t="shared" si="10"/>
        <v>-1176</v>
      </c>
      <c r="E27" s="49">
        <f t="shared" si="0"/>
        <v>63926</v>
      </c>
      <c r="F27" s="89">
        <f t="shared" si="1"/>
        <v>-592.89135366775895</v>
      </c>
      <c r="G27" s="90">
        <v>99.1</v>
      </c>
      <c r="H27" s="91">
        <v>0</v>
      </c>
      <c r="I27" s="90">
        <f t="shared" si="2"/>
        <v>99.1</v>
      </c>
      <c r="J27" s="46">
        <f t="shared" si="11"/>
        <v>0</v>
      </c>
      <c r="K27" s="90">
        <f t="shared" si="3"/>
        <v>99.1</v>
      </c>
      <c r="L27" s="90">
        <f t="shared" si="12"/>
        <v>-43.991353667759086</v>
      </c>
      <c r="M27" s="92">
        <v>228</v>
      </c>
      <c r="N27" s="610">
        <v>1.5</v>
      </c>
      <c r="O27" s="90">
        <f>92*1.05</f>
        <v>96.600000000000009</v>
      </c>
      <c r="P27" s="39">
        <v>0</v>
      </c>
      <c r="Q27" s="144">
        <f>2424900/325851/1.9835*1.02</f>
        <v>3.8268614789525577</v>
      </c>
      <c r="R27" s="73">
        <f>IF(((7.1*1.04)-T27)&gt;=4.2,4.2,(7.1*1.04)-T27)</f>
        <v>4.2</v>
      </c>
      <c r="S27" s="73">
        <f>IF(((7.1*1.04)-T27)&gt;=4.2,((7.1*1.04)-T27)-4.2,0)</f>
        <v>1.722107359999999</v>
      </c>
      <c r="T27" s="73">
        <f>(1.3261*1.06)*1.04</f>
        <v>1.4618926400000001</v>
      </c>
      <c r="U27" s="131">
        <v>0</v>
      </c>
      <c r="V27" s="90">
        <v>107</v>
      </c>
      <c r="W27" s="90">
        <v>70</v>
      </c>
      <c r="X27" s="47">
        <f t="shared" si="25"/>
        <v>318.01768352073651</v>
      </c>
      <c r="Y27" s="47">
        <f t="shared" si="14"/>
        <v>318.01768352073651</v>
      </c>
      <c r="Z27" s="55">
        <f t="shared" si="26"/>
        <v>1344.1577393615216</v>
      </c>
      <c r="AA27" s="47">
        <f t="shared" si="15"/>
        <v>228.64454499968906</v>
      </c>
      <c r="AB27" s="55"/>
      <c r="AC27" s="55">
        <f t="shared" si="27"/>
        <v>1682.8983244707413</v>
      </c>
      <c r="AD27" s="490"/>
      <c r="AE27" s="498"/>
      <c r="AF27" s="45">
        <f t="shared" si="28"/>
        <v>8754.9688212972815</v>
      </c>
      <c r="AG27" s="90">
        <v>194</v>
      </c>
      <c r="AH27" s="114">
        <v>1.7</v>
      </c>
      <c r="AI27" s="212">
        <v>1.3</v>
      </c>
      <c r="AJ27" s="90">
        <v>49</v>
      </c>
      <c r="AK27" s="49">
        <f t="shared" si="29"/>
        <v>7558.511822044311</v>
      </c>
      <c r="AL27" s="49"/>
      <c r="AM27" s="180">
        <f t="shared" si="16"/>
        <v>647.99999999999989</v>
      </c>
      <c r="AN27" s="90">
        <f t="shared" si="17"/>
        <v>43.991353667759086</v>
      </c>
      <c r="AO27" s="90">
        <f t="shared" si="4"/>
        <v>691.99135366775897</v>
      </c>
      <c r="AP27" s="134"/>
      <c r="AQ27" s="540"/>
      <c r="AR27" s="48"/>
      <c r="AS27" s="43">
        <f t="shared" si="18"/>
        <v>-228.64454499968906</v>
      </c>
      <c r="AT27" s="492">
        <v>0.22</v>
      </c>
      <c r="AU27" s="494">
        <f>AT27*0.7</f>
        <v>0.154</v>
      </c>
      <c r="AV27" s="494">
        <f>IF(AT27="",0,VLOOKUP(ROUNDDOWN(TEXT(B27,"0000"),-1),VLOOKUP!$M$3:$W$32,RIGHT(TEXT(B27,"0000"),1)+2,FALSE))</f>
        <v>3002</v>
      </c>
      <c r="AW27" s="494">
        <f t="shared" si="20"/>
        <v>38.525666666666666</v>
      </c>
      <c r="AX27" s="39">
        <f t="shared" si="21"/>
        <v>3.618472710168557</v>
      </c>
      <c r="AY27" s="618">
        <v>22.328544999689093</v>
      </c>
      <c r="AZ27" s="180">
        <f t="shared" si="22"/>
        <v>7.9</v>
      </c>
      <c r="BA27" s="38"/>
      <c r="BB27" s="23"/>
      <c r="BC27" s="80">
        <v>0</v>
      </c>
      <c r="BD27" s="78">
        <v>92</v>
      </c>
      <c r="BE27" s="78">
        <v>54</v>
      </c>
      <c r="BF27" s="377"/>
      <c r="BG27" s="385">
        <f t="shared" si="5"/>
        <v>12.710861478952557</v>
      </c>
      <c r="BH27" s="60">
        <v>55.4</v>
      </c>
      <c r="BI27" s="524">
        <v>15415</v>
      </c>
      <c r="BJ27" s="296">
        <f t="shared" si="6"/>
        <v>0</v>
      </c>
      <c r="BK27" s="591">
        <f t="shared" si="7"/>
        <v>0</v>
      </c>
      <c r="BM27" s="574">
        <f t="shared" si="23"/>
        <v>13</v>
      </c>
      <c r="BN27" s="559">
        <v>6879.87</v>
      </c>
      <c r="BO27" s="575">
        <f t="shared" si="24"/>
        <v>5.0000000000181899E-2</v>
      </c>
      <c r="BP27" s="576">
        <v>47.529166666666676</v>
      </c>
      <c r="BQ27" s="576">
        <f t="shared" si="8"/>
        <v>1.4708333333333243</v>
      </c>
    </row>
    <row r="28" spans="1:69" customFormat="1" ht="12.95" customHeight="1">
      <c r="A28" s="48">
        <v>14</v>
      </c>
      <c r="B28" s="82">
        <v>6879.57</v>
      </c>
      <c r="C28" s="483">
        <f>IF(B28="",C27,VLOOKUP(TRUNC(B28,1),VLOOKUP!$A$3:$K$2834,RIGHT(TEXT(B28,"0000.00"),1)+2,FALSE))</f>
        <v>214881</v>
      </c>
      <c r="D28" s="78">
        <f t="shared" si="10"/>
        <v>-1045</v>
      </c>
      <c r="E28" s="49">
        <f t="shared" si="0"/>
        <v>62881</v>
      </c>
      <c r="F28" s="89">
        <f t="shared" si="1"/>
        <v>-526.8464834887825</v>
      </c>
      <c r="G28" s="90">
        <v>98.9</v>
      </c>
      <c r="H28" s="91">
        <v>0</v>
      </c>
      <c r="I28" s="90">
        <f t="shared" si="2"/>
        <v>98.9</v>
      </c>
      <c r="J28" s="46">
        <f t="shared" si="11"/>
        <v>17.253516511217526</v>
      </c>
      <c r="K28" s="90">
        <f t="shared" si="3"/>
        <v>116.15351651121753</v>
      </c>
      <c r="L28" s="90">
        <f t="shared" si="12"/>
        <v>17.253516511217526</v>
      </c>
      <c r="M28" s="92">
        <v>229</v>
      </c>
      <c r="N28" s="610">
        <v>1.5</v>
      </c>
      <c r="O28" s="90">
        <f>98*1.05</f>
        <v>102.9</v>
      </c>
      <c r="P28" s="39">
        <v>0</v>
      </c>
      <c r="Q28" s="144">
        <f>2224500/325851/1.9835*1.02</f>
        <v>3.5105997607859973</v>
      </c>
      <c r="R28" s="73">
        <f>IF(((7*1.04)-T28)&gt;=4.2,4.2,(7*1.04)-T28)</f>
        <v>4.2</v>
      </c>
      <c r="S28" s="73">
        <f>IF(((7*1.04)-T28)&gt;=4.2,((7*1.04)-T28)-4.2,0)</f>
        <v>1.5118359999999997</v>
      </c>
      <c r="T28" s="73">
        <f>(1.4225*1.06)*1.04</f>
        <v>1.5681640000000001</v>
      </c>
      <c r="U28" s="131">
        <v>0</v>
      </c>
      <c r="V28" s="90">
        <v>105</v>
      </c>
      <c r="W28" s="90">
        <v>71</v>
      </c>
      <c r="X28" s="47">
        <f t="shared" si="25"/>
        <v>312.13794523890311</v>
      </c>
      <c r="Y28" s="47">
        <f t="shared" si="14"/>
        <v>312.13794523890311</v>
      </c>
      <c r="Z28" s="55">
        <f t="shared" si="26"/>
        <v>1121.5091943618327</v>
      </c>
      <c r="AA28" s="47">
        <f t="shared" si="15"/>
        <v>222.64854499968908</v>
      </c>
      <c r="AB28" s="55"/>
      <c r="AC28" s="55">
        <f t="shared" si="27"/>
        <v>1688.9740377502128</v>
      </c>
      <c r="AD28" s="490"/>
      <c r="AE28" s="498"/>
      <c r="AF28" s="45">
        <f t="shared" si="28"/>
        <v>8754.9688212972815</v>
      </c>
      <c r="AG28" s="90">
        <v>189</v>
      </c>
      <c r="AH28" s="114">
        <v>1.7</v>
      </c>
      <c r="AI28" s="212">
        <v>1.3</v>
      </c>
      <c r="AJ28" s="90">
        <v>49</v>
      </c>
      <c r="AK28" s="49">
        <f t="shared" si="29"/>
        <v>7509.511822044311</v>
      </c>
      <c r="AL28" s="49"/>
      <c r="AM28" s="180">
        <f t="shared" si="16"/>
        <v>643</v>
      </c>
      <c r="AN28" s="647">
        <f t="shared" si="17"/>
        <v>0</v>
      </c>
      <c r="AO28" s="647">
        <f t="shared" si="4"/>
        <v>643</v>
      </c>
      <c r="AP28" s="134"/>
      <c r="AQ28" s="540"/>
      <c r="AR28" s="48"/>
      <c r="AS28" s="43">
        <f t="shared" si="18"/>
        <v>-222.64854499968908</v>
      </c>
      <c r="AT28" s="492">
        <v>0.28999999999999998</v>
      </c>
      <c r="AU28" s="494">
        <f t="shared" ref="AU28:AU45" si="31">AT28*0.7</f>
        <v>0.20299999999999999</v>
      </c>
      <c r="AV28" s="494">
        <f>IF(AT28="",0,VLOOKUP(ROUNDDOWN(TEXT(B28,"0000"),-1),VLOOKUP!$M$3:$W$32,RIGHT(TEXT(B28,"0000"),1)+2,FALSE))</f>
        <v>3002</v>
      </c>
      <c r="AW28" s="494">
        <f t="shared" si="20"/>
        <v>50.783833333333334</v>
      </c>
      <c r="AX28" s="39">
        <f t="shared" si="21"/>
        <v>4.502142566795345</v>
      </c>
      <c r="AY28" s="618">
        <v>22.328544999689093</v>
      </c>
      <c r="AZ28" s="180">
        <f t="shared" si="22"/>
        <v>7.9</v>
      </c>
      <c r="BA28" s="38"/>
      <c r="BB28" s="23"/>
      <c r="BC28" s="80">
        <v>0</v>
      </c>
      <c r="BD28" s="78">
        <v>95</v>
      </c>
      <c r="BE28" s="78">
        <v>56</v>
      </c>
      <c r="BF28" s="377"/>
      <c r="BG28" s="385">
        <f t="shared" si="5"/>
        <v>12.290599760785994</v>
      </c>
      <c r="BH28" s="60">
        <v>83.8</v>
      </c>
      <c r="BI28" s="524">
        <v>15291</v>
      </c>
      <c r="BJ28" s="296">
        <f t="shared" si="6"/>
        <v>0</v>
      </c>
      <c r="BK28" s="591">
        <f t="shared" si="7"/>
        <v>0</v>
      </c>
      <c r="BM28" s="574">
        <f t="shared" si="23"/>
        <v>14</v>
      </c>
      <c r="BN28" s="559">
        <v>6879.5</v>
      </c>
      <c r="BO28" s="575">
        <f t="shared" si="24"/>
        <v>6.9999999999708962E-2</v>
      </c>
      <c r="BP28" s="576">
        <v>47.56041666666669</v>
      </c>
      <c r="BQ28" s="576">
        <f t="shared" si="8"/>
        <v>1.4395833333333101</v>
      </c>
    </row>
    <row r="29" spans="1:69" customFormat="1" ht="12.95" customHeight="1">
      <c r="A29" s="48">
        <v>15</v>
      </c>
      <c r="B29" s="82">
        <v>6879.2</v>
      </c>
      <c r="C29" s="483">
        <f>IF(B29="",C28,VLOOKUP(TRUNC(B29,1),VLOOKUP!$A$3:$K$2834,RIGHT(TEXT(B29,"0000.00"),1)+2,FALSE))</f>
        <v>213776</v>
      </c>
      <c r="D29" s="78">
        <f t="shared" si="10"/>
        <v>-1105</v>
      </c>
      <c r="E29" s="49">
        <f t="shared" si="0"/>
        <v>61776</v>
      </c>
      <c r="F29" s="89">
        <f t="shared" si="1"/>
        <v>-557.0960423493824</v>
      </c>
      <c r="G29" s="90">
        <v>144</v>
      </c>
      <c r="H29" s="91">
        <v>0</v>
      </c>
      <c r="I29" s="90">
        <f t="shared" si="2"/>
        <v>144</v>
      </c>
      <c r="J29" s="46">
        <f t="shared" si="11"/>
        <v>0</v>
      </c>
      <c r="K29" s="90">
        <f t="shared" si="3"/>
        <v>144</v>
      </c>
      <c r="L29" s="90">
        <f t="shared" si="12"/>
        <v>-64.096042349382515</v>
      </c>
      <c r="M29" s="92">
        <v>218</v>
      </c>
      <c r="N29" s="610">
        <v>1.5</v>
      </c>
      <c r="O29" s="90">
        <f>82*1.05</f>
        <v>86.100000000000009</v>
      </c>
      <c r="P29" s="39">
        <v>0</v>
      </c>
      <c r="Q29" s="144">
        <f>2437600/325851/1.9835*1.02</f>
        <v>3.8469040129880634</v>
      </c>
      <c r="R29" s="73">
        <f>IF(((7.3*1.04)-T29)&gt;=4.2,4.2,(7.3*1.04)-T29)</f>
        <v>4.2</v>
      </c>
      <c r="S29" s="73">
        <f>IF(((7.3*1.04)-T29)&gt;=4.2,((7.3*1.04)-T29)-4.2,0)</f>
        <v>1.8238359999999991</v>
      </c>
      <c r="T29" s="73">
        <f t="shared" ref="T29:T34" si="32">(1.4225*1.06)*1.04</f>
        <v>1.5681640000000001</v>
      </c>
      <c r="U29" s="131">
        <v>0</v>
      </c>
      <c r="V29" s="90">
        <v>102</v>
      </c>
      <c r="W29" s="90">
        <v>70</v>
      </c>
      <c r="X29" s="47">
        <f t="shared" si="25"/>
        <v>313.28964098670099</v>
      </c>
      <c r="Y29" s="47">
        <f t="shared" si="14"/>
        <v>313.28964098670099</v>
      </c>
      <c r="Z29" s="55">
        <f t="shared" si="26"/>
        <v>942.47264936214367</v>
      </c>
      <c r="AA29" s="47">
        <f t="shared" si="15"/>
        <v>179.03654499968903</v>
      </c>
      <c r="AB29" s="55"/>
      <c r="AC29" s="55">
        <f t="shared" si="27"/>
        <v>1694.6042406406614</v>
      </c>
      <c r="AD29" s="490"/>
      <c r="AE29" s="498"/>
      <c r="AF29" s="45">
        <f t="shared" si="28"/>
        <v>8754.9688212972815</v>
      </c>
      <c r="AG29" s="90">
        <v>198</v>
      </c>
      <c r="AH29" s="114">
        <v>1.7</v>
      </c>
      <c r="AI29" s="212">
        <v>1.3</v>
      </c>
      <c r="AJ29" s="90">
        <v>49</v>
      </c>
      <c r="AK29" s="49">
        <f t="shared" si="29"/>
        <v>7460.511822044311</v>
      </c>
      <c r="AL29" s="49"/>
      <c r="AM29" s="180">
        <f t="shared" si="16"/>
        <v>636.99999999999989</v>
      </c>
      <c r="AN29" s="90">
        <f t="shared" si="17"/>
        <v>64.096042349382515</v>
      </c>
      <c r="AO29" s="90">
        <f t="shared" si="4"/>
        <v>701.0960423493824</v>
      </c>
      <c r="AP29" s="134"/>
      <c r="AQ29" s="540"/>
      <c r="AR29" s="48"/>
      <c r="AS29" s="43">
        <f t="shared" si="18"/>
        <v>-179.03654499968903</v>
      </c>
      <c r="AT29" s="492">
        <v>0.36</v>
      </c>
      <c r="AU29" s="494">
        <f t="shared" si="31"/>
        <v>0.252</v>
      </c>
      <c r="AV29" s="494">
        <f>IF(AT29="",0,VLOOKUP(ROUNDDOWN(TEXT(B29,"0000"),-1),VLOOKUP!$M$3:$W$32,RIGHT(TEXT(B29,"0000"),1)+2,FALSE))</f>
        <v>2970</v>
      </c>
      <c r="AW29" s="494">
        <f t="shared" si="20"/>
        <v>62.370000000000005</v>
      </c>
      <c r="AX29" s="39">
        <f t="shared" si="21"/>
        <v>5.2809366460448013</v>
      </c>
      <c r="AY29" s="618">
        <v>22.328544999689093</v>
      </c>
      <c r="AZ29" s="180">
        <f t="shared" si="22"/>
        <v>7.9</v>
      </c>
      <c r="BA29" s="38"/>
      <c r="BB29" s="23"/>
      <c r="BC29" s="80">
        <v>0</v>
      </c>
      <c r="BD29" s="78">
        <v>96</v>
      </c>
      <c r="BE29" s="78">
        <v>58</v>
      </c>
      <c r="BF29" s="377"/>
      <c r="BG29" s="385">
        <f t="shared" si="5"/>
        <v>12.938904012988061</v>
      </c>
      <c r="BH29" s="60">
        <v>108</v>
      </c>
      <c r="BI29" s="524">
        <v>15086</v>
      </c>
      <c r="BJ29" s="296">
        <f t="shared" si="6"/>
        <v>0</v>
      </c>
      <c r="BK29" s="591">
        <f t="shared" si="7"/>
        <v>0</v>
      </c>
      <c r="BM29" s="574">
        <f t="shared" si="23"/>
        <v>15</v>
      </c>
      <c r="BN29" s="559">
        <v>6879.14</v>
      </c>
      <c r="BO29" s="575">
        <f t="shared" si="24"/>
        <v>5.9999999999490683E-2</v>
      </c>
      <c r="BP29" s="576">
        <v>47.546875000000036</v>
      </c>
      <c r="BQ29" s="576">
        <f t="shared" si="8"/>
        <v>1.4531249999999645</v>
      </c>
    </row>
    <row r="30" spans="1:69" customFormat="1" ht="12.95" customHeight="1">
      <c r="A30" s="48">
        <v>16</v>
      </c>
      <c r="B30" s="82">
        <v>6878.88</v>
      </c>
      <c r="C30" s="483">
        <f>IF(B30="",C29,VLOOKUP(TRUNC(B30,1),VLOOKUP!$A$3:$K$2834,RIGHT(TEXT(B30,"0000.00"),1)+2,FALSE))</f>
        <v>212824</v>
      </c>
      <c r="D30" s="78">
        <f t="shared" si="10"/>
        <v>-952</v>
      </c>
      <c r="E30" s="49">
        <f t="shared" si="0"/>
        <v>60824</v>
      </c>
      <c r="F30" s="89">
        <f t="shared" si="1"/>
        <v>-479.95966725485255</v>
      </c>
      <c r="G30" s="90">
        <v>142</v>
      </c>
      <c r="H30" s="91">
        <v>0</v>
      </c>
      <c r="I30" s="90">
        <f t="shared" si="2"/>
        <v>142</v>
      </c>
      <c r="J30" s="46">
        <f t="shared" si="11"/>
        <v>0</v>
      </c>
      <c r="K30" s="90">
        <f t="shared" si="3"/>
        <v>142</v>
      </c>
      <c r="L30" s="90">
        <f t="shared" si="12"/>
        <v>-27.959667254852661</v>
      </c>
      <c r="M30" s="92">
        <v>210</v>
      </c>
      <c r="N30" s="610">
        <v>1.5</v>
      </c>
      <c r="O30" s="90">
        <f>80*1.05</f>
        <v>84</v>
      </c>
      <c r="P30" s="39">
        <v>0</v>
      </c>
      <c r="Q30" s="144">
        <f>2507100/325851/1.9835*1.02</f>
        <v>3.9565855968831531</v>
      </c>
      <c r="R30" s="73">
        <f>IF(((7.4*1.04)-T30)&gt;=4.2,4.2,(7.4*1.04)-T30)</f>
        <v>4.2</v>
      </c>
      <c r="S30" s="73">
        <f>IF(((7.4*1.04)-T30)&gt;=4.2,((7.4*1.04)-T30)-4.2,0)</f>
        <v>1.9278360000000001</v>
      </c>
      <c r="T30" s="73">
        <f t="shared" si="32"/>
        <v>1.5681640000000001</v>
      </c>
      <c r="U30" s="131">
        <v>0</v>
      </c>
      <c r="V30" s="90">
        <v>102</v>
      </c>
      <c r="W30" s="90">
        <v>71</v>
      </c>
      <c r="X30" s="47">
        <f t="shared" si="25"/>
        <v>308.17595940280592</v>
      </c>
      <c r="Y30" s="47">
        <f t="shared" si="14"/>
        <v>308.17595940280592</v>
      </c>
      <c r="Z30" s="55">
        <f t="shared" si="26"/>
        <v>766.44010436245458</v>
      </c>
      <c r="AA30" s="47">
        <f t="shared" si="15"/>
        <v>176.03254499968904</v>
      </c>
      <c r="AB30" s="55"/>
      <c r="AC30" s="55">
        <f t="shared" si="27"/>
        <v>1699.8418072421009</v>
      </c>
      <c r="AD30" s="490"/>
      <c r="AE30" s="498"/>
      <c r="AF30" s="45">
        <f t="shared" si="28"/>
        <v>8754.9688212972815</v>
      </c>
      <c r="AG30" s="90">
        <v>162</v>
      </c>
      <c r="AH30" s="114">
        <v>1.7</v>
      </c>
      <c r="AI30" s="212">
        <v>1.3</v>
      </c>
      <c r="AJ30" s="90">
        <v>49</v>
      </c>
      <c r="AK30" s="49">
        <f t="shared" si="29"/>
        <v>7411.511822044311</v>
      </c>
      <c r="AL30" s="49"/>
      <c r="AM30" s="180">
        <f t="shared" si="16"/>
        <v>593.99999999999989</v>
      </c>
      <c r="AN30" s="90">
        <f t="shared" si="17"/>
        <v>27.959667254852661</v>
      </c>
      <c r="AO30" s="90">
        <f>AM30+AN30</f>
        <v>621.95966725485255</v>
      </c>
      <c r="AP30" s="134"/>
      <c r="AQ30" s="540"/>
      <c r="AR30" s="48"/>
      <c r="AS30" s="43">
        <f t="shared" si="18"/>
        <v>-176.03254499968904</v>
      </c>
      <c r="AT30" s="492">
        <v>0.32</v>
      </c>
      <c r="AU30" s="494">
        <f t="shared" si="31"/>
        <v>0.22399999999999998</v>
      </c>
      <c r="AV30" s="494">
        <f>IF(AT30="",0,VLOOKUP(ROUNDDOWN(TEXT(B30,"0000"),-1),VLOOKUP!$M$3:$W$32,RIGHT(TEXT(B30,"0000"),1)+2,FALSE))</f>
        <v>2970</v>
      </c>
      <c r="AW30" s="494">
        <f t="shared" si="20"/>
        <v>55.44</v>
      </c>
      <c r="AX30" s="39">
        <f t="shared" si="21"/>
        <v>4.458853122406512</v>
      </c>
      <c r="AY30" s="618">
        <v>22.328544999689093</v>
      </c>
      <c r="AZ30" s="180">
        <f t="shared" si="22"/>
        <v>7.9</v>
      </c>
      <c r="BA30" s="702"/>
      <c r="BB30" s="23"/>
      <c r="BC30" s="80">
        <v>0</v>
      </c>
      <c r="BD30" s="78">
        <v>97</v>
      </c>
      <c r="BE30" s="78">
        <v>58</v>
      </c>
      <c r="BF30" s="377"/>
      <c r="BG30" s="385">
        <f t="shared" si="5"/>
        <v>13.152585596883153</v>
      </c>
      <c r="BH30" s="60">
        <v>108</v>
      </c>
      <c r="BI30" s="524">
        <v>14866</v>
      </c>
      <c r="BJ30" s="296">
        <f t="shared" si="6"/>
        <v>0</v>
      </c>
      <c r="BK30" s="591">
        <f t="shared" si="7"/>
        <v>0</v>
      </c>
      <c r="BM30" s="574">
        <f t="shared" si="23"/>
        <v>16</v>
      </c>
      <c r="BN30" s="559">
        <v>6878.81</v>
      </c>
      <c r="BO30" s="575">
        <f t="shared" si="24"/>
        <v>6.9999999999708962E-2</v>
      </c>
      <c r="BP30" s="576">
        <v>47.398958333333361</v>
      </c>
      <c r="BQ30" s="576">
        <f t="shared" si="8"/>
        <v>1.6010416666666387</v>
      </c>
    </row>
    <row r="31" spans="1:69" customFormat="1" ht="12.95" customHeight="1">
      <c r="A31" s="48">
        <v>17</v>
      </c>
      <c r="B31" s="82">
        <v>6878.56</v>
      </c>
      <c r="C31" s="483">
        <f>IF(B31="",C30,VLOOKUP(TRUNC(B31,1),VLOOKUP!$A$3:$K$2834,RIGHT(TEXT(B31,"0000.00"),1)+2,FALSE))</f>
        <v>211879</v>
      </c>
      <c r="D31" s="78">
        <f t="shared" si="10"/>
        <v>-945</v>
      </c>
      <c r="E31" s="49">
        <f t="shared" si="0"/>
        <v>59879</v>
      </c>
      <c r="F31" s="89">
        <f t="shared" si="1"/>
        <v>-476.43055205444921</v>
      </c>
      <c r="G31" s="90">
        <v>138</v>
      </c>
      <c r="H31" s="91">
        <v>0</v>
      </c>
      <c r="I31" s="90">
        <f t="shared" si="2"/>
        <v>138</v>
      </c>
      <c r="J31" s="46">
        <f t="shared" si="11"/>
        <v>0</v>
      </c>
      <c r="K31" s="90">
        <f t="shared" si="3"/>
        <v>138</v>
      </c>
      <c r="L31" s="90">
        <f t="shared" si="12"/>
        <v>-15.430552054449322</v>
      </c>
      <c r="M31" s="92">
        <v>198</v>
      </c>
      <c r="N31" s="610">
        <v>1.5</v>
      </c>
      <c r="O31" s="90">
        <f>70*1.05</f>
        <v>73.5</v>
      </c>
      <c r="P31" s="39">
        <v>0</v>
      </c>
      <c r="Q31" s="144">
        <f>2497700/325851/1.9835*1.02</f>
        <v>3.941750965392306</v>
      </c>
      <c r="R31" s="73">
        <f>IF(((7.2*1.04)-T31)&gt;=4.2,4.2,(7.2*1.04)-T31)</f>
        <v>4.2</v>
      </c>
      <c r="S31" s="73">
        <f>IF(((7.2*1.04)-T31)&gt;=4.2,((7.2*1.04)-T31)-4.2,0)</f>
        <v>1.7198359999999999</v>
      </c>
      <c r="T31" s="73">
        <f t="shared" si="32"/>
        <v>1.5681640000000001</v>
      </c>
      <c r="U31" s="131">
        <v>0</v>
      </c>
      <c r="V31" s="90">
        <v>106</v>
      </c>
      <c r="W31" s="90">
        <v>70</v>
      </c>
      <c r="X31" s="47">
        <f t="shared" si="25"/>
        <v>309.89879403429677</v>
      </c>
      <c r="Y31" s="47">
        <f t="shared" si="14"/>
        <v>309.89879403429677</v>
      </c>
      <c r="Z31" s="55">
        <f t="shared" si="26"/>
        <v>584.69955936276551</v>
      </c>
      <c r="AA31" s="47">
        <f t="shared" si="15"/>
        <v>181.74054499968906</v>
      </c>
      <c r="AB31" s="55"/>
      <c r="AC31" s="55">
        <f t="shared" si="27"/>
        <v>1705.493834909151</v>
      </c>
      <c r="AD31" s="490"/>
      <c r="AE31" s="498"/>
      <c r="AF31" s="45">
        <f t="shared" si="28"/>
        <v>8754.9688212972815</v>
      </c>
      <c r="AG31" s="90">
        <v>176</v>
      </c>
      <c r="AH31" s="114">
        <v>1.7</v>
      </c>
      <c r="AI31" s="212">
        <v>1.3</v>
      </c>
      <c r="AJ31" s="90">
        <v>49</v>
      </c>
      <c r="AK31" s="49">
        <f t="shared" si="29"/>
        <v>7362.511822044311</v>
      </c>
      <c r="AL31" s="49"/>
      <c r="AM31" s="180">
        <f t="shared" si="16"/>
        <v>598.99999999999989</v>
      </c>
      <c r="AN31" s="90">
        <f t="shared" si="17"/>
        <v>15.430552054449322</v>
      </c>
      <c r="AO31" s="90">
        <f t="shared" si="4"/>
        <v>614.43055205444921</v>
      </c>
      <c r="AP31" s="134"/>
      <c r="AQ31" s="540"/>
      <c r="AR31" s="48"/>
      <c r="AS31" s="43">
        <f t="shared" si="18"/>
        <v>-181.74054499968906</v>
      </c>
      <c r="AT31" s="492">
        <v>0.31</v>
      </c>
      <c r="AU31" s="494">
        <f t="shared" si="31"/>
        <v>0.217</v>
      </c>
      <c r="AV31" s="494">
        <f>IF(AT31="",0,VLOOKUP(ROUNDDOWN(TEXT(B31,"0000"),-1),VLOOKUP!$M$3:$W$32,RIGHT(TEXT(B31,"0000"),1)+2,FALSE))</f>
        <v>2970</v>
      </c>
      <c r="AW31" s="494">
        <f t="shared" si="20"/>
        <v>53.707500000000003</v>
      </c>
      <c r="AX31" s="39">
        <f t="shared" si="21"/>
        <v>4.0744102970539045</v>
      </c>
      <c r="AY31" s="618">
        <v>22.328544999689093</v>
      </c>
      <c r="AZ31" s="180">
        <f t="shared" si="22"/>
        <v>7.9</v>
      </c>
      <c r="BA31" s="702"/>
      <c r="BB31" s="23"/>
      <c r="BC31" s="80">
        <v>0</v>
      </c>
      <c r="BD31" s="78">
        <v>95</v>
      </c>
      <c r="BE31" s="78">
        <v>61</v>
      </c>
      <c r="BF31" s="377"/>
      <c r="BG31" s="385">
        <f t="shared" si="5"/>
        <v>12.929750965392305</v>
      </c>
      <c r="BH31" s="60">
        <v>108</v>
      </c>
      <c r="BI31" s="524">
        <v>14643</v>
      </c>
      <c r="BJ31" s="296">
        <f t="shared" si="6"/>
        <v>0</v>
      </c>
      <c r="BK31" s="591">
        <f t="shared" si="7"/>
        <v>0</v>
      </c>
      <c r="BM31" s="574">
        <f t="shared" si="23"/>
        <v>17</v>
      </c>
      <c r="BN31" s="559">
        <v>6878.49</v>
      </c>
      <c r="BO31" s="575">
        <f t="shared" si="24"/>
        <v>7.0000000000618456E-2</v>
      </c>
      <c r="BP31" s="576">
        <v>47.433333333333366</v>
      </c>
      <c r="BQ31" s="576">
        <f t="shared" si="8"/>
        <v>1.5666666666666345</v>
      </c>
    </row>
    <row r="32" spans="1:69" customFormat="1" ht="12.95" customHeight="1">
      <c r="A32" s="48">
        <v>18</v>
      </c>
      <c r="B32" s="82">
        <v>6878.2</v>
      </c>
      <c r="C32" s="483">
        <f>IF(B32="",C31,VLOOKUP(TRUNC(B32,1),VLOOKUP!$A$3:$K$2834,RIGHT(TEXT(B32,"0000.00"),1)+2,FALSE))</f>
        <v>210816</v>
      </c>
      <c r="D32" s="78">
        <f t="shared" si="10"/>
        <v>-1063</v>
      </c>
      <c r="E32" s="49">
        <f t="shared" si="0"/>
        <v>58816</v>
      </c>
      <c r="F32" s="89">
        <f t="shared" si="1"/>
        <v>-535.92135114696248</v>
      </c>
      <c r="G32" s="90">
        <v>138</v>
      </c>
      <c r="H32" s="91">
        <v>0</v>
      </c>
      <c r="I32" s="90">
        <f t="shared" si="2"/>
        <v>138</v>
      </c>
      <c r="J32" s="46">
        <f t="shared" si="11"/>
        <v>0</v>
      </c>
      <c r="K32" s="90">
        <f t="shared" si="3"/>
        <v>138</v>
      </c>
      <c r="L32" s="90">
        <f t="shared" si="12"/>
        <v>-32.921351146962593</v>
      </c>
      <c r="M32" s="92">
        <v>208</v>
      </c>
      <c r="N32" s="610">
        <v>1.5</v>
      </c>
      <c r="O32" s="90">
        <f>67*1.05</f>
        <v>70.350000000000009</v>
      </c>
      <c r="P32" s="39">
        <v>0</v>
      </c>
      <c r="Q32" s="144">
        <f>2419900/325851/1.9835*1.02</f>
        <v>3.8189707175212564</v>
      </c>
      <c r="R32" s="73">
        <f>IF(((7.4*1.04)-T32)&gt;=4.2,4.2,(7.4*1.04)-T32)</f>
        <v>4.2</v>
      </c>
      <c r="S32" s="73">
        <f>IF(((7.4*1.04)-T32)&gt;=4.2,((7.4*1.04)-T32)-4.2,0)</f>
        <v>1.9278360000000001</v>
      </c>
      <c r="T32" s="73">
        <f t="shared" si="32"/>
        <v>1.5681640000000001</v>
      </c>
      <c r="U32" s="131">
        <v>0</v>
      </c>
      <c r="V32" s="90">
        <v>110</v>
      </c>
      <c r="W32" s="90">
        <v>70</v>
      </c>
      <c r="X32" s="47">
        <f t="shared" si="25"/>
        <v>326.96357428216783</v>
      </c>
      <c r="Y32" s="47">
        <f t="shared" si="14"/>
        <v>326.96357428216783</v>
      </c>
      <c r="Z32" s="55">
        <f t="shared" si="26"/>
        <v>386.01701436307644</v>
      </c>
      <c r="AA32" s="47">
        <f t="shared" si="15"/>
        <v>198.68254499968907</v>
      </c>
      <c r="AB32" s="616"/>
      <c r="AC32" s="55">
        <f t="shared" si="27"/>
        <v>1711.339683007435</v>
      </c>
      <c r="AD32" s="490"/>
      <c r="AE32" s="498"/>
      <c r="AF32" s="45">
        <f t="shared" si="28"/>
        <v>8754.9688212972815</v>
      </c>
      <c r="AG32" s="90">
        <v>204</v>
      </c>
      <c r="AH32" s="114">
        <v>1.7</v>
      </c>
      <c r="AI32" s="212">
        <v>1.3</v>
      </c>
      <c r="AJ32" s="90">
        <v>49</v>
      </c>
      <c r="AK32" s="49">
        <f t="shared" si="29"/>
        <v>7313.511822044311</v>
      </c>
      <c r="AL32" s="49"/>
      <c r="AM32" s="180">
        <f t="shared" si="16"/>
        <v>640.99999999999989</v>
      </c>
      <c r="AN32" s="90">
        <f t="shared" si="17"/>
        <v>32.921351146962593</v>
      </c>
      <c r="AO32" s="90">
        <f t="shared" si="4"/>
        <v>673.92135114696248</v>
      </c>
      <c r="AP32" s="134"/>
      <c r="AQ32" s="540"/>
      <c r="AR32" s="48"/>
      <c r="AS32" s="43">
        <f t="shared" si="18"/>
        <v>-198.68254499968907</v>
      </c>
      <c r="AT32" s="492">
        <v>0.27</v>
      </c>
      <c r="AU32" s="494">
        <f t="shared" si="31"/>
        <v>0.189</v>
      </c>
      <c r="AV32" s="494">
        <f>IF(AT32="",0,VLOOKUP(ROUNDDOWN(TEXT(B32,"0000"),-1),VLOOKUP!$M$3:$W$32,RIGHT(TEXT(B32,"0000"),1)+2,FALSE))</f>
        <v>2938</v>
      </c>
      <c r="AW32" s="494">
        <f t="shared" si="20"/>
        <v>46.273499999999999</v>
      </c>
      <c r="AX32" s="39">
        <f t="shared" si="21"/>
        <v>3.2729650382856441</v>
      </c>
      <c r="AY32" s="618">
        <v>22.328544999689093</v>
      </c>
      <c r="AZ32" s="180">
        <f t="shared" si="22"/>
        <v>7.9</v>
      </c>
      <c r="BA32" s="702"/>
      <c r="BB32" s="23"/>
      <c r="BC32" s="80">
        <v>0</v>
      </c>
      <c r="BD32" s="78">
        <v>97</v>
      </c>
      <c r="BE32" s="78">
        <v>59</v>
      </c>
      <c r="BF32" s="377"/>
      <c r="BG32" s="385">
        <f t="shared" si="5"/>
        <v>13.014970717521255</v>
      </c>
      <c r="BH32" s="60">
        <v>108</v>
      </c>
      <c r="BI32" s="524">
        <v>14423</v>
      </c>
      <c r="BJ32" s="296">
        <f t="shared" si="6"/>
        <v>0</v>
      </c>
      <c r="BK32" s="591">
        <f t="shared" si="7"/>
        <v>0</v>
      </c>
      <c r="BM32" s="574">
        <f t="shared" si="23"/>
        <v>18</v>
      </c>
      <c r="BN32" s="559">
        <v>6878.14</v>
      </c>
      <c r="BO32" s="575">
        <f t="shared" si="24"/>
        <v>5.9999999999490683E-2</v>
      </c>
      <c r="BP32" s="576">
        <v>47.34270833333337</v>
      </c>
      <c r="BQ32" s="576">
        <f t="shared" si="8"/>
        <v>1.6572916666666302</v>
      </c>
    </row>
    <row r="33" spans="1:69" customFormat="1" ht="12.95" customHeight="1">
      <c r="A33" s="48">
        <v>19</v>
      </c>
      <c r="B33" s="82">
        <v>6877.84</v>
      </c>
      <c r="C33" s="483">
        <f>IF(B33="",C32,VLOOKUP(TRUNC(B33,1),VLOOKUP!$A$3:$K$2834,RIGHT(TEXT(B33,"0000.00"),1)+2,FALSE))</f>
        <v>209757</v>
      </c>
      <c r="D33" s="78">
        <f t="shared" si="10"/>
        <v>-1059</v>
      </c>
      <c r="E33" s="49">
        <f t="shared" si="0"/>
        <v>57757</v>
      </c>
      <c r="F33" s="89">
        <f t="shared" si="1"/>
        <v>-533.90471388958906</v>
      </c>
      <c r="G33" s="90">
        <v>138</v>
      </c>
      <c r="H33" s="91">
        <v>0</v>
      </c>
      <c r="I33" s="90">
        <f t="shared" si="2"/>
        <v>138</v>
      </c>
      <c r="J33" s="46">
        <f t="shared" si="11"/>
        <v>0</v>
      </c>
      <c r="K33" s="90">
        <f t="shared" si="3"/>
        <v>138</v>
      </c>
      <c r="L33" s="90">
        <f t="shared" si="12"/>
        <v>-28.904713889589175</v>
      </c>
      <c r="M33" s="92">
        <v>211</v>
      </c>
      <c r="N33" s="610">
        <v>1.5</v>
      </c>
      <c r="O33" s="90">
        <f>76*1.05</f>
        <v>79.8</v>
      </c>
      <c r="P33" s="39">
        <v>0</v>
      </c>
      <c r="Q33" s="144">
        <f>2523400/325851/1.9835*1.02</f>
        <v>3.9823094791491958</v>
      </c>
      <c r="R33" s="73">
        <f>IF(((7.5*1.04)-T33)&gt;=4.2,4.2,(7.5*1.04)-T33)</f>
        <v>4.2</v>
      </c>
      <c r="S33" s="73">
        <f>IF(((7.5*1.04)-T33)&gt;=4.2,((7.5*1.04)-T33)-4.2,0)</f>
        <v>2.0318360000000002</v>
      </c>
      <c r="T33" s="73">
        <f t="shared" si="32"/>
        <v>1.5681640000000001</v>
      </c>
      <c r="U33" s="131">
        <v>0</v>
      </c>
      <c r="V33" s="90">
        <v>105</v>
      </c>
      <c r="W33" s="90">
        <v>69</v>
      </c>
      <c r="X33" s="47">
        <f t="shared" si="25"/>
        <v>314.24623552053987</v>
      </c>
      <c r="Y33" s="47">
        <f t="shared" si="14"/>
        <v>314.24623552053987</v>
      </c>
      <c r="Z33" s="55">
        <f t="shared" si="26"/>
        <v>199.8884693633874</v>
      </c>
      <c r="AA33" s="47">
        <f t="shared" si="15"/>
        <v>186.12854499968904</v>
      </c>
      <c r="AB33" s="55"/>
      <c r="AC33" s="55">
        <f t="shared" si="27"/>
        <v>1717.5895871978632</v>
      </c>
      <c r="AD33" s="490"/>
      <c r="AE33" s="490"/>
      <c r="AF33" s="45">
        <f t="shared" si="28"/>
        <v>8754.9688212972815</v>
      </c>
      <c r="AG33" s="90">
        <v>207</v>
      </c>
      <c r="AH33" s="114">
        <v>1.7</v>
      </c>
      <c r="AI33" s="212">
        <v>1.3</v>
      </c>
      <c r="AJ33" s="90">
        <v>51</v>
      </c>
      <c r="AK33" s="49">
        <f t="shared" si="29"/>
        <v>7262.511822044311</v>
      </c>
      <c r="AL33" s="49"/>
      <c r="AM33" s="180">
        <f t="shared" si="16"/>
        <v>642.99999999999989</v>
      </c>
      <c r="AN33" s="90">
        <f t="shared" si="17"/>
        <v>28.904713889589175</v>
      </c>
      <c r="AO33" s="90">
        <f t="shared" si="4"/>
        <v>671.90471388958906</v>
      </c>
      <c r="AP33" s="134"/>
      <c r="AQ33" s="540"/>
      <c r="AR33" s="48"/>
      <c r="AS33" s="43">
        <f t="shared" si="18"/>
        <v>-186.12854499968904</v>
      </c>
      <c r="AT33" s="492">
        <v>0.21</v>
      </c>
      <c r="AU33" s="494">
        <f t="shared" si="31"/>
        <v>0.14699999999999999</v>
      </c>
      <c r="AV33" s="494">
        <f>IF(AT33="",0,VLOOKUP(ROUNDDOWN(TEXT(B33,"0000"),-1),VLOOKUP!$M$3:$W$32,RIGHT(TEXT(B33,"0000"),1)+2,FALSE))</f>
        <v>2938</v>
      </c>
      <c r="AW33" s="494">
        <f t="shared" si="20"/>
        <v>35.990499999999997</v>
      </c>
      <c r="AX33" s="39">
        <f t="shared" si="21"/>
        <v>2.3699864360756853</v>
      </c>
      <c r="AY33" s="618">
        <v>22.328544999689093</v>
      </c>
      <c r="AZ33" s="180">
        <f t="shared" si="22"/>
        <v>7.9</v>
      </c>
      <c r="BA33" s="702"/>
      <c r="BB33" s="23"/>
      <c r="BC33" s="80">
        <v>0</v>
      </c>
      <c r="BD33" s="78">
        <v>94</v>
      </c>
      <c r="BE33" s="78">
        <v>60</v>
      </c>
      <c r="BF33" s="377"/>
      <c r="BG33" s="385">
        <f t="shared" si="5"/>
        <v>13.282309479149196</v>
      </c>
      <c r="BH33" s="60">
        <v>106</v>
      </c>
      <c r="BI33" s="524">
        <v>14200</v>
      </c>
      <c r="BJ33" s="296">
        <f t="shared" si="6"/>
        <v>0</v>
      </c>
      <c r="BK33" s="591">
        <f t="shared" si="7"/>
        <v>0</v>
      </c>
      <c r="BM33" s="574">
        <f t="shared" si="23"/>
        <v>19</v>
      </c>
      <c r="BN33" s="559">
        <v>6877.78</v>
      </c>
      <c r="BO33" s="575">
        <f t="shared" si="24"/>
        <v>6.0000000000400178E-2</v>
      </c>
      <c r="BP33" s="576">
        <v>28.133333333333368</v>
      </c>
      <c r="BQ33" s="576">
        <f t="shared" si="8"/>
        <v>22.866666666666632</v>
      </c>
    </row>
    <row r="34" spans="1:69" customFormat="1" ht="12.95" customHeight="1">
      <c r="A34" s="48">
        <v>20</v>
      </c>
      <c r="B34" s="82">
        <v>6877.5</v>
      </c>
      <c r="C34" s="483">
        <f>IF(B34="",C33,VLOOKUP(TRUNC(B34,1),VLOOKUP!$A$3:$K$2834,RIGHT(TEXT(B34,"0000.00"),1)+2,FALSE))</f>
        <v>208764</v>
      </c>
      <c r="D34" s="78">
        <f t="shared" si="10"/>
        <v>-993</v>
      </c>
      <c r="E34" s="49">
        <f t="shared" si="0"/>
        <v>56764</v>
      </c>
      <c r="F34" s="89">
        <f t="shared" si="1"/>
        <v>-500.63019914292914</v>
      </c>
      <c r="G34" s="90">
        <v>137</v>
      </c>
      <c r="H34" s="91">
        <v>0</v>
      </c>
      <c r="I34" s="90">
        <f t="shared" si="2"/>
        <v>137</v>
      </c>
      <c r="J34" s="46">
        <f t="shared" si="11"/>
        <v>0</v>
      </c>
      <c r="K34" s="90">
        <f t="shared" si="3"/>
        <v>137</v>
      </c>
      <c r="L34" s="90">
        <f t="shared" si="12"/>
        <v>-18.630199142929257</v>
      </c>
      <c r="M34" s="92">
        <v>212</v>
      </c>
      <c r="N34" s="610">
        <v>1</v>
      </c>
      <c r="O34" s="90">
        <f>67*1.05</f>
        <v>70.350000000000009</v>
      </c>
      <c r="P34" s="39">
        <v>0</v>
      </c>
      <c r="Q34" s="144">
        <f>2275100/325851/1.9835*1.02</f>
        <v>3.5904542664707675</v>
      </c>
      <c r="R34" s="73">
        <f>IF(((7.5*1.04)-T34)&gt;=4.2,4.2,(7.5*1.04)-T34)</f>
        <v>4.2</v>
      </c>
      <c r="S34" s="73">
        <f>IF(((7.5*1.04)-T34)&gt;=4.2,((7.5*1.04)-T34)-4.2,0)</f>
        <v>2.0318360000000002</v>
      </c>
      <c r="T34" s="73">
        <f t="shared" si="32"/>
        <v>1.5681640000000001</v>
      </c>
      <c r="U34" s="131">
        <v>0</v>
      </c>
      <c r="V34" s="90">
        <v>105</v>
      </c>
      <c r="W34" s="90">
        <v>69</v>
      </c>
      <c r="X34" s="47">
        <f t="shared" si="25"/>
        <v>325.58809073321828</v>
      </c>
      <c r="Y34" s="47">
        <f t="shared" si="14"/>
        <v>325.58809073321828</v>
      </c>
      <c r="Z34" s="55">
        <f t="shared" si="26"/>
        <v>1.8099243636983715</v>
      </c>
      <c r="AA34" s="47">
        <f t="shared" si="15"/>
        <v>198.07854499968903</v>
      </c>
      <c r="AB34" s="55"/>
      <c r="AC34" s="55">
        <f t="shared" si="27"/>
        <v>1724.2947364612485</v>
      </c>
      <c r="AD34" s="490"/>
      <c r="AE34" s="490"/>
      <c r="AF34" s="45">
        <f t="shared" si="28"/>
        <v>8754.9688212972815</v>
      </c>
      <c r="AG34" s="90">
        <v>182</v>
      </c>
      <c r="AH34" s="114">
        <v>1.7</v>
      </c>
      <c r="AI34" s="212">
        <v>1.3</v>
      </c>
      <c r="AJ34" s="90">
        <v>51</v>
      </c>
      <c r="AK34" s="49">
        <f t="shared" si="29"/>
        <v>7211.511822044311</v>
      </c>
      <c r="AL34" s="49"/>
      <c r="AM34" s="180">
        <f t="shared" si="16"/>
        <v>618.99999999999989</v>
      </c>
      <c r="AN34" s="90">
        <f t="shared" si="17"/>
        <v>18.630199142929257</v>
      </c>
      <c r="AO34" s="90">
        <f t="shared" si="4"/>
        <v>637.63019914292909</v>
      </c>
      <c r="AP34" s="134"/>
      <c r="AQ34" s="540"/>
      <c r="AR34" s="48"/>
      <c r="AS34" s="43">
        <f t="shared" si="18"/>
        <v>-198.07854499968903</v>
      </c>
      <c r="AT34" s="492">
        <v>0.27</v>
      </c>
      <c r="AU34" s="494">
        <f t="shared" si="31"/>
        <v>0.189</v>
      </c>
      <c r="AV34" s="494">
        <f>IF(AT34="",0,VLOOKUP(ROUNDDOWN(TEXT(B34,"0000"),-1),VLOOKUP!$M$3:$W$32,RIGHT(TEXT(B34,"0000"),1)+2,FALSE))</f>
        <v>2938</v>
      </c>
      <c r="AW34" s="494">
        <f t="shared" si="20"/>
        <v>46.273499999999999</v>
      </c>
      <c r="AX34" s="39">
        <f t="shared" si="21"/>
        <v>2.7909926208334874</v>
      </c>
      <c r="AY34" s="618">
        <v>22.328544999689093</v>
      </c>
      <c r="AZ34" s="180">
        <f t="shared" si="22"/>
        <v>7.9</v>
      </c>
      <c r="BA34" s="702"/>
      <c r="BB34" s="23"/>
      <c r="BC34" s="80">
        <v>0</v>
      </c>
      <c r="BD34" s="78">
        <v>89</v>
      </c>
      <c r="BE34" s="78">
        <v>53</v>
      </c>
      <c r="BF34" s="377"/>
      <c r="BG34" s="385">
        <f t="shared" si="5"/>
        <v>12.390454266470767</v>
      </c>
      <c r="BH34" s="60">
        <v>103</v>
      </c>
      <c r="BI34" s="524">
        <v>13977</v>
      </c>
      <c r="BJ34" s="296">
        <f t="shared" si="6"/>
        <v>0</v>
      </c>
      <c r="BK34" s="591">
        <f t="shared" si="7"/>
        <v>0</v>
      </c>
      <c r="BM34" s="574">
        <f t="shared" si="23"/>
        <v>20</v>
      </c>
      <c r="BN34" s="559">
        <v>6877.43</v>
      </c>
      <c r="BO34" s="575">
        <f t="shared" si="24"/>
        <v>6.9999999999708962E-2</v>
      </c>
      <c r="BP34" s="576">
        <v>38.154385964912237</v>
      </c>
      <c r="BQ34" s="576">
        <f t="shared" si="8"/>
        <v>12.845614035087763</v>
      </c>
    </row>
    <row r="35" spans="1:69" customFormat="1" ht="12.95" customHeight="1">
      <c r="A35" s="48">
        <v>21</v>
      </c>
      <c r="B35" s="82">
        <v>6877.16</v>
      </c>
      <c r="C35" s="483">
        <f>IF(B35="",C34,VLOOKUP(TRUNC(B35,1),VLOOKUP!$A$3:$K$2834,RIGHT(TEXT(B35,"0000.00"),1)+2,FALSE))</f>
        <v>207771</v>
      </c>
      <c r="D35" s="78">
        <f t="shared" si="10"/>
        <v>-993</v>
      </c>
      <c r="E35" s="49">
        <f t="shared" si="0"/>
        <v>55771</v>
      </c>
      <c r="F35" s="89">
        <f t="shared" si="1"/>
        <v>-500.63019914292914</v>
      </c>
      <c r="G35" s="90">
        <v>134</v>
      </c>
      <c r="H35" s="91">
        <v>0</v>
      </c>
      <c r="I35" s="90">
        <f t="shared" si="2"/>
        <v>134</v>
      </c>
      <c r="J35" s="46">
        <f t="shared" si="11"/>
        <v>8.3698008570707429</v>
      </c>
      <c r="K35" s="90">
        <f t="shared" si="3"/>
        <v>142.36980085707074</v>
      </c>
      <c r="L35" s="90">
        <f t="shared" si="12"/>
        <v>8.3698008570707429</v>
      </c>
      <c r="M35" s="92">
        <v>211</v>
      </c>
      <c r="N35" s="610">
        <v>1</v>
      </c>
      <c r="O35" s="90">
        <f>74*1.05</f>
        <v>77.7</v>
      </c>
      <c r="P35" s="39">
        <v>0</v>
      </c>
      <c r="Q35" s="144">
        <f>2621900/325851/1.9835*1.02</f>
        <v>4.1377574793458329</v>
      </c>
      <c r="R35" s="73">
        <f>IF(((7.5*1.04)-T35)&gt;=4.2,4.2,(7.5*1.04)-T35)</f>
        <v>4.2</v>
      </c>
      <c r="S35" s="73">
        <f>IF(((7.5*1.04)-T35)&gt;=4.2,((7.5*1.04)-T35)-4.2,0)</f>
        <v>2.1654468800000002</v>
      </c>
      <c r="T35" s="73">
        <f>(1.3013*1.06)*1.04</f>
        <v>1.4345531200000001</v>
      </c>
      <c r="U35" s="131">
        <v>0</v>
      </c>
      <c r="V35" s="90">
        <v>109</v>
      </c>
      <c r="W35" s="90">
        <v>68</v>
      </c>
      <c r="X35" s="47">
        <f t="shared" si="25"/>
        <v>319.69078752034324</v>
      </c>
      <c r="Y35" s="47">
        <f t="shared" si="14"/>
        <v>319.69078752034324</v>
      </c>
      <c r="Z35" s="616">
        <f>Z34+AS35+194</f>
        <v>8.1379364009308119E-2</v>
      </c>
      <c r="AA35" s="627">
        <f t="shared" ref="AA32:AA35" si="33">Z34</f>
        <v>1.8099243636983715</v>
      </c>
      <c r="AB35" s="55"/>
      <c r="AC35" s="55">
        <f>(IF(AX34="",AC34,AC34-(AX34/$D$2)+IF(AZ35="",0,AZ35)))-194</f>
        <v>1536.7876315351918</v>
      </c>
      <c r="AD35" s="490"/>
      <c r="AE35" s="490"/>
      <c r="AF35" s="45">
        <f t="shared" si="28"/>
        <v>8754.9688212972815</v>
      </c>
      <c r="AG35" s="90">
        <v>204</v>
      </c>
      <c r="AH35" s="114">
        <v>1.7</v>
      </c>
      <c r="AI35" s="212">
        <v>1.3</v>
      </c>
      <c r="AJ35" s="90">
        <v>51</v>
      </c>
      <c r="AK35" s="49">
        <f t="shared" si="29"/>
        <v>7160.511822044311</v>
      </c>
      <c r="AL35" s="49"/>
      <c r="AM35" s="180">
        <f t="shared" si="16"/>
        <v>642.99999999999989</v>
      </c>
      <c r="AN35" s="90">
        <f t="shared" si="17"/>
        <v>0</v>
      </c>
      <c r="AO35" s="90">
        <f t="shared" si="4"/>
        <v>642.99999999999989</v>
      </c>
      <c r="AP35" s="134"/>
      <c r="AQ35" s="540"/>
      <c r="AR35" s="48"/>
      <c r="AS35" s="43">
        <f t="shared" si="18"/>
        <v>-195.72854499968906</v>
      </c>
      <c r="AT35" s="492">
        <v>0.27</v>
      </c>
      <c r="AU35" s="494">
        <f t="shared" si="31"/>
        <v>0.189</v>
      </c>
      <c r="AV35" s="494">
        <f>IF(AT35="",0,VLOOKUP(ROUNDDOWN(TEXT(B35,"0000"),-1),VLOOKUP!$M$3:$W$32,RIGHT(TEXT(B35,"0000"),1)+2,FALSE))</f>
        <v>2905</v>
      </c>
      <c r="AW35" s="494">
        <f t="shared" si="20"/>
        <v>45.753750000000004</v>
      </c>
      <c r="AX35" s="39">
        <f t="shared" si="21"/>
        <v>2.5008481455682356</v>
      </c>
      <c r="AY35" s="618">
        <v>22.328544999689093</v>
      </c>
      <c r="AZ35" s="180">
        <f t="shared" si="22"/>
        <v>7.9</v>
      </c>
      <c r="BA35" s="702"/>
      <c r="BB35" s="23"/>
      <c r="BC35" s="80">
        <v>0</v>
      </c>
      <c r="BD35" s="78">
        <v>91</v>
      </c>
      <c r="BE35" s="78">
        <v>56</v>
      </c>
      <c r="BF35" s="377"/>
      <c r="BG35" s="385">
        <f t="shared" si="5"/>
        <v>12.937757479345834</v>
      </c>
      <c r="BH35" s="60">
        <v>111</v>
      </c>
      <c r="BI35" s="524">
        <v>13751</v>
      </c>
      <c r="BJ35" s="296">
        <f t="shared" si="6"/>
        <v>0</v>
      </c>
      <c r="BK35" s="591">
        <f t="shared" si="7"/>
        <v>0</v>
      </c>
      <c r="BM35" s="574">
        <f t="shared" si="23"/>
        <v>21</v>
      </c>
      <c r="BN35" s="559">
        <v>6877.09</v>
      </c>
      <c r="BO35" s="575">
        <f t="shared" si="24"/>
        <v>6.9999999999708962E-2</v>
      </c>
      <c r="BP35" s="576">
        <v>47</v>
      </c>
      <c r="BQ35" s="576">
        <f t="shared" si="8"/>
        <v>4</v>
      </c>
    </row>
    <row r="36" spans="1:69" customFormat="1" ht="12.95" customHeight="1">
      <c r="A36" s="48">
        <v>22</v>
      </c>
      <c r="B36" s="82">
        <v>6876.82</v>
      </c>
      <c r="C36" s="483">
        <f>IF(B36="",C35,VLOOKUP(TRUNC(B36,1),VLOOKUP!$A$3:$K$2834,RIGHT(TEXT(B36,"0000.00"),1)+2,FALSE))</f>
        <v>206784</v>
      </c>
      <c r="D36" s="78">
        <f t="shared" si="10"/>
        <v>-987</v>
      </c>
      <c r="E36" s="49">
        <f t="shared" si="0"/>
        <v>54784</v>
      </c>
      <c r="F36" s="89">
        <f t="shared" si="1"/>
        <v>-497.60524325686919</v>
      </c>
      <c r="G36" s="90">
        <v>155</v>
      </c>
      <c r="H36" s="91">
        <v>0</v>
      </c>
      <c r="I36" s="90">
        <f t="shared" si="2"/>
        <v>155</v>
      </c>
      <c r="J36" s="46">
        <f t="shared" si="11"/>
        <v>0</v>
      </c>
      <c r="K36" s="90">
        <f t="shared" si="3"/>
        <v>155</v>
      </c>
      <c r="L36" s="90">
        <f t="shared" si="12"/>
        <v>-17.605243256869301</v>
      </c>
      <c r="M36" s="92">
        <v>206</v>
      </c>
      <c r="N36" s="610">
        <v>1</v>
      </c>
      <c r="O36" s="90">
        <f>66*1.05</f>
        <v>69.3</v>
      </c>
      <c r="P36" s="39">
        <v>0</v>
      </c>
      <c r="Q36" s="144">
        <f>2455800/325851/1.9835*1.02</f>
        <v>3.8756263845980006</v>
      </c>
      <c r="R36" s="73">
        <f>IF(((7.4*1.04)-T36)&gt;=4.2,4.2,(7.4*1.04)-T36)</f>
        <v>4.2</v>
      </c>
      <c r="S36" s="73">
        <f>IF(((7.4*1.04)-T36)&gt;=4.2,((7.4*1.04)-T36)-4.2,0)</f>
        <v>2.0614468800000001</v>
      </c>
      <c r="T36" s="73">
        <f t="shared" ref="T36:T41" si="34">(1.3013*1.06)*1.04</f>
        <v>1.4345531200000001</v>
      </c>
      <c r="U36" s="131">
        <v>0</v>
      </c>
      <c r="V36" s="90">
        <v>110</v>
      </c>
      <c r="W36" s="90">
        <v>68</v>
      </c>
      <c r="X36" s="47">
        <f t="shared" si="25"/>
        <v>324.45691861509107</v>
      </c>
      <c r="Y36" s="47">
        <f t="shared" si="14"/>
        <v>324.45691861509107</v>
      </c>
      <c r="Z36" s="55"/>
      <c r="AA36" s="47"/>
      <c r="AB36" s="55"/>
      <c r="AC36" s="55">
        <f>(IF(AX35="",AC35,AC35-(AX35/$D$2)+IF(AZ36="",0,AZ36)))+AS36</f>
        <v>1364.1942606491564</v>
      </c>
      <c r="AD36" s="490"/>
      <c r="AE36" s="490"/>
      <c r="AF36" s="45">
        <f t="shared" si="28"/>
        <v>8754.9688212972815</v>
      </c>
      <c r="AG36" s="90">
        <v>201</v>
      </c>
      <c r="AH36" s="114">
        <v>1.7</v>
      </c>
      <c r="AI36" s="212">
        <v>1.3</v>
      </c>
      <c r="AJ36" s="90">
        <v>50</v>
      </c>
      <c r="AK36" s="49">
        <f t="shared" si="29"/>
        <v>7110.511822044311</v>
      </c>
      <c r="AL36" s="49"/>
      <c r="AM36" s="180">
        <f t="shared" si="16"/>
        <v>634.99999999999989</v>
      </c>
      <c r="AN36" s="90">
        <f t="shared" si="17"/>
        <v>17.605243256869301</v>
      </c>
      <c r="AO36" s="90">
        <f t="shared" si="4"/>
        <v>652.60524325686924</v>
      </c>
      <c r="AP36" s="134"/>
      <c r="AQ36" s="540"/>
      <c r="AR36" s="48"/>
      <c r="AS36" s="43">
        <f t="shared" si="18"/>
        <v>-179.23254499968905</v>
      </c>
      <c r="AT36" s="492">
        <v>0.27</v>
      </c>
      <c r="AU36" s="494">
        <f t="shared" si="31"/>
        <v>0.189</v>
      </c>
      <c r="AV36" s="494">
        <f>IF(AT36="",0,VLOOKUP(ROUNDDOWN(TEXT(B36,"0000"),-1),VLOOKUP!$M$3:$W$32,RIGHT(TEXT(B36,"0000"),1)+2,FALSE))</f>
        <v>2905</v>
      </c>
      <c r="AW36" s="494">
        <f t="shared" si="20"/>
        <v>45.753750000000004</v>
      </c>
      <c r="AX36" s="39">
        <f t="shared" si="21"/>
        <v>2.2598591879805285</v>
      </c>
      <c r="AY36" s="618">
        <v>22.328544999689093</v>
      </c>
      <c r="AZ36" s="180">
        <f t="shared" si="22"/>
        <v>7.9</v>
      </c>
      <c r="BA36" s="38"/>
      <c r="BB36" s="23"/>
      <c r="BC36" s="80">
        <v>0</v>
      </c>
      <c r="BD36" s="78">
        <v>90</v>
      </c>
      <c r="BE36" s="78">
        <v>52</v>
      </c>
      <c r="BF36" s="377"/>
      <c r="BG36" s="385">
        <f t="shared" si="5"/>
        <v>12.571626384598</v>
      </c>
      <c r="BH36" s="60">
        <v>135</v>
      </c>
      <c r="BI36" s="524">
        <v>13475</v>
      </c>
      <c r="BJ36" s="296">
        <f t="shared" si="6"/>
        <v>0</v>
      </c>
      <c r="BK36" s="591">
        <f t="shared" si="7"/>
        <v>0</v>
      </c>
      <c r="BM36" s="574">
        <f t="shared" si="23"/>
        <v>22</v>
      </c>
      <c r="BN36" s="559">
        <v>6876.75</v>
      </c>
      <c r="BO36" s="575">
        <f t="shared" si="24"/>
        <v>6.9999999999708962E-2</v>
      </c>
      <c r="BP36" s="576">
        <v>46.8</v>
      </c>
      <c r="BQ36" s="576">
        <f t="shared" si="8"/>
        <v>3.2000000000000028</v>
      </c>
    </row>
    <row r="37" spans="1:69" customFormat="1" ht="12.95" customHeight="1">
      <c r="A37" s="48">
        <v>23</v>
      </c>
      <c r="B37" s="82">
        <v>6876.48</v>
      </c>
      <c r="C37" s="483">
        <f>IF(B37="",C36,VLOOKUP(TRUNC(B37,1),VLOOKUP!$A$3:$K$2834,RIGHT(TEXT(B37,"0000.00"),1)+2,FALSE))</f>
        <v>205802</v>
      </c>
      <c r="D37" s="78">
        <f t="shared" si="10"/>
        <v>-982</v>
      </c>
      <c r="E37" s="49">
        <f t="shared" si="0"/>
        <v>53802</v>
      </c>
      <c r="F37" s="89">
        <f t="shared" si="1"/>
        <v>-495.0844466851525</v>
      </c>
      <c r="G37" s="90">
        <v>161</v>
      </c>
      <c r="H37" s="91">
        <v>0</v>
      </c>
      <c r="I37" s="90">
        <f t="shared" si="2"/>
        <v>161</v>
      </c>
      <c r="J37" s="46">
        <f t="shared" si="11"/>
        <v>0</v>
      </c>
      <c r="K37" s="90">
        <f t="shared" si="3"/>
        <v>161</v>
      </c>
      <c r="L37" s="90">
        <f t="shared" si="12"/>
        <v>-60.084446685152614</v>
      </c>
      <c r="M37" s="92">
        <v>193</v>
      </c>
      <c r="N37" s="610">
        <v>1</v>
      </c>
      <c r="O37" s="90">
        <f>57*1.05</f>
        <v>59.85</v>
      </c>
      <c r="P37" s="39">
        <v>0</v>
      </c>
      <c r="Q37" s="144">
        <f>2393000/325851/1.9835*1.02</f>
        <v>3.7765184210208549</v>
      </c>
      <c r="R37" s="73">
        <f>IF(((7.5*1.04)-T37)&gt;=4.2,4.2,(7.5*1.04)-T37)</f>
        <v>4.2</v>
      </c>
      <c r="S37" s="73">
        <f>IF(((7.5*1.04)-T37)&gt;=4.2,((7.5*1.04)-T37)-4.2,0)</f>
        <v>2.1654468800000002</v>
      </c>
      <c r="T37" s="73">
        <f t="shared" si="34"/>
        <v>1.4345531200000001</v>
      </c>
      <c r="U37" s="131">
        <v>0</v>
      </c>
      <c r="V37" s="90">
        <v>110</v>
      </c>
      <c r="W37" s="90">
        <v>67</v>
      </c>
      <c r="X37" s="47">
        <f t="shared" si="25"/>
        <v>319.9020265786682</v>
      </c>
      <c r="Y37" s="47">
        <f t="shared" si="14"/>
        <v>319.9020265786682</v>
      </c>
      <c r="Z37" s="55"/>
      <c r="AA37" s="47"/>
      <c r="AB37" s="55"/>
      <c r="AC37" s="55">
        <f t="shared" ref="AC37:AC45" si="35">(IF(AX36="",AC36,AC36-(AX36/$D$2)+IF(AZ37="",0,AZ37)))+AS37</f>
        <v>1202.3763865907426</v>
      </c>
      <c r="AD37" s="490"/>
      <c r="AE37" s="490"/>
      <c r="AF37" s="45">
        <f t="shared" si="28"/>
        <v>8754.9688212972815</v>
      </c>
      <c r="AG37" s="90">
        <v>176</v>
      </c>
      <c r="AH37" s="114">
        <v>1.7</v>
      </c>
      <c r="AI37" s="212">
        <v>1.3</v>
      </c>
      <c r="AJ37" s="90">
        <v>50</v>
      </c>
      <c r="AK37" s="49">
        <f t="shared" si="29"/>
        <v>7060.511822044311</v>
      </c>
      <c r="AL37" s="49"/>
      <c r="AM37" s="180">
        <f t="shared" si="16"/>
        <v>595.99999999999989</v>
      </c>
      <c r="AN37" s="90">
        <f t="shared" si="17"/>
        <v>60.084446685152614</v>
      </c>
      <c r="AO37" s="90">
        <f t="shared" si="4"/>
        <v>656.08444668515244</v>
      </c>
      <c r="AP37" s="134"/>
      <c r="AQ37" s="540"/>
      <c r="AR37" s="48"/>
      <c r="AS37" s="43">
        <f t="shared" si="18"/>
        <v>-168.57854499968903</v>
      </c>
      <c r="AT37" s="492">
        <v>0.27</v>
      </c>
      <c r="AU37" s="494">
        <f t="shared" si="31"/>
        <v>0.189</v>
      </c>
      <c r="AV37" s="494">
        <f>IF(AT37="",0,VLOOKUP(ROUNDDOWN(TEXT(B37,"0000"),-1),VLOOKUP!$M$3:$W$32,RIGHT(TEXT(B37,"0000"),1)+2,FALSE))</f>
        <v>2872</v>
      </c>
      <c r="AW37" s="494">
        <f t="shared" si="20"/>
        <v>45.234000000000002</v>
      </c>
      <c r="AX37" s="39">
        <f t="shared" si="21"/>
        <v>2.0051146816069858</v>
      </c>
      <c r="AY37" s="618">
        <v>22.328544999689093</v>
      </c>
      <c r="AZ37" s="180">
        <f t="shared" si="22"/>
        <v>7.9</v>
      </c>
      <c r="BA37" s="38"/>
      <c r="BB37" s="23"/>
      <c r="BC37" s="80">
        <v>0</v>
      </c>
      <c r="BD37" s="78">
        <v>90</v>
      </c>
      <c r="BE37" s="78">
        <v>58</v>
      </c>
      <c r="BF37" s="377"/>
      <c r="BG37" s="385">
        <f>SUM(N37,P37:U37)</f>
        <v>12.576518421020857</v>
      </c>
      <c r="BH37" s="60">
        <v>137</v>
      </c>
      <c r="BI37" s="524">
        <v>13184</v>
      </c>
      <c r="BJ37" s="296">
        <f t="shared" si="6"/>
        <v>0</v>
      </c>
      <c r="BK37" s="591">
        <f t="shared" si="7"/>
        <v>0</v>
      </c>
      <c r="BM37" s="574">
        <f t="shared" si="23"/>
        <v>23</v>
      </c>
      <c r="BN37" s="559">
        <v>6876.41</v>
      </c>
      <c r="BO37" s="575">
        <f t="shared" si="24"/>
        <v>6.9999999999708962E-2</v>
      </c>
      <c r="BP37" s="576">
        <v>46.5</v>
      </c>
      <c r="BQ37" s="576">
        <f t="shared" si="8"/>
        <v>3.5</v>
      </c>
    </row>
    <row r="38" spans="1:69" customFormat="1" ht="12.95" customHeight="1">
      <c r="A38" s="48">
        <v>24</v>
      </c>
      <c r="B38" s="82">
        <v>6876.14</v>
      </c>
      <c r="C38" s="483">
        <f>IF(B38="",C37,VLOOKUP(TRUNC(B38,1),VLOOKUP!$A$3:$K$2834,RIGHT(TEXT(B38,"0000.00"),1)+2,FALSE))</f>
        <v>204820</v>
      </c>
      <c r="D38" s="78">
        <f>C38-C37</f>
        <v>-982</v>
      </c>
      <c r="E38" s="49">
        <f t="shared" si="0"/>
        <v>52820</v>
      </c>
      <c r="F38" s="89">
        <f>D38/$D$2</f>
        <v>-495.0844466851525</v>
      </c>
      <c r="G38" s="90">
        <v>161</v>
      </c>
      <c r="H38" s="91">
        <v>0</v>
      </c>
      <c r="I38" s="90">
        <f>G38+H38</f>
        <v>161</v>
      </c>
      <c r="J38" s="46">
        <f t="shared" si="11"/>
        <v>0</v>
      </c>
      <c r="K38" s="90">
        <f t="shared" si="3"/>
        <v>161</v>
      </c>
      <c r="L38" s="90">
        <f t="shared" si="12"/>
        <v>-48.0844466851525</v>
      </c>
      <c r="M38" s="92">
        <v>190</v>
      </c>
      <c r="N38" s="610">
        <v>1</v>
      </c>
      <c r="O38" s="90">
        <f>49*1.05</f>
        <v>51.45</v>
      </c>
      <c r="P38" s="39">
        <v>0</v>
      </c>
      <c r="Q38" s="144">
        <f>2453000/325851/1.9835*1.02</f>
        <v>3.8712075581964718</v>
      </c>
      <c r="R38" s="73">
        <f>IF(((7.4*1.04)-T38)&gt;=4.2,4.2,(7.4*1.04)-T38)</f>
        <v>4.2</v>
      </c>
      <c r="S38" s="73">
        <f>IF(((7.4*1.04)-T38)&gt;=4.2,((7.4*1.04)-T38)-4.2,0)</f>
        <v>2.0614468800000001</v>
      </c>
      <c r="T38" s="73">
        <f t="shared" si="34"/>
        <v>1.4345531200000001</v>
      </c>
      <c r="U38" s="131">
        <v>0</v>
      </c>
      <c r="V38" s="90">
        <v>112</v>
      </c>
      <c r="W38" s="90">
        <v>66</v>
      </c>
      <c r="X38" s="47">
        <f t="shared" si="25"/>
        <v>326.31133744149264</v>
      </c>
      <c r="Y38" s="47">
        <f t="shared" si="14"/>
        <v>326.31133744149264</v>
      </c>
      <c r="Z38" s="55"/>
      <c r="AA38" s="47"/>
      <c r="AB38" s="55"/>
      <c r="AC38" s="55">
        <f t="shared" si="35"/>
        <v>1034.1829443479949</v>
      </c>
      <c r="AD38" s="490"/>
      <c r="AE38" s="490"/>
      <c r="AF38" s="45">
        <f t="shared" si="28"/>
        <v>8754.9688212972815</v>
      </c>
      <c r="AG38" s="90">
        <v>189</v>
      </c>
      <c r="AH38" s="114">
        <v>1.7</v>
      </c>
      <c r="AI38" s="212">
        <v>1.3</v>
      </c>
      <c r="AJ38" s="90">
        <v>51</v>
      </c>
      <c r="AK38" s="49">
        <f t="shared" si="29"/>
        <v>7009.511822044311</v>
      </c>
      <c r="AL38" s="49"/>
      <c r="AM38" s="180">
        <f t="shared" si="16"/>
        <v>608</v>
      </c>
      <c r="AN38" s="90">
        <f>IF(L38&lt;0,L38*-1,0)</f>
        <v>48.0844466851525</v>
      </c>
      <c r="AO38" s="90">
        <f>AM38+AN38</f>
        <v>656.08444668515244</v>
      </c>
      <c r="AP38" s="134"/>
      <c r="AQ38" s="540"/>
      <c r="AR38" s="48"/>
      <c r="AS38" s="43">
        <f t="shared" si="18"/>
        <v>-175.08254499968908</v>
      </c>
      <c r="AT38" s="492">
        <v>0.3</v>
      </c>
      <c r="AU38" s="494">
        <f t="shared" si="31"/>
        <v>0.21</v>
      </c>
      <c r="AV38" s="494">
        <f>IF(AT38="",0,VLOOKUP(ROUNDDOWN(TEXT(B38,"0000"),-1),VLOOKUP!$M$3:$W$32,RIGHT(TEXT(B38,"0000"),1)+2,FALSE))</f>
        <v>2872</v>
      </c>
      <c r="AW38" s="494">
        <f t="shared" si="20"/>
        <v>50.26</v>
      </c>
      <c r="AX38" s="39">
        <f t="shared" si="21"/>
        <v>1.9518824686092786</v>
      </c>
      <c r="AY38" s="618">
        <v>22.328544999689093</v>
      </c>
      <c r="AZ38" s="180">
        <f t="shared" si="22"/>
        <v>7.9</v>
      </c>
      <c r="BA38" s="38"/>
      <c r="BB38" s="23"/>
      <c r="BC38" s="80">
        <v>0</v>
      </c>
      <c r="BD38" s="78">
        <v>95</v>
      </c>
      <c r="BE38" s="78">
        <v>58</v>
      </c>
      <c r="BF38" s="377"/>
      <c r="BG38" s="385">
        <f>SUM(N38,P38:U38)</f>
        <v>12.567207558196474</v>
      </c>
      <c r="BH38" s="60">
        <v>136</v>
      </c>
      <c r="BI38" s="524">
        <v>12897</v>
      </c>
      <c r="BJ38" s="296">
        <f t="shared" si="6"/>
        <v>0</v>
      </c>
      <c r="BK38" s="591">
        <f t="shared" si="7"/>
        <v>0</v>
      </c>
      <c r="BM38" s="574">
        <f t="shared" si="23"/>
        <v>24</v>
      </c>
      <c r="BN38" s="559">
        <v>6876.06</v>
      </c>
      <c r="BO38" s="575">
        <f t="shared" si="24"/>
        <v>7.999999999992724E-2</v>
      </c>
      <c r="BP38" s="576">
        <v>35.926315789473648</v>
      </c>
      <c r="BQ38" s="576">
        <f t="shared" si="8"/>
        <v>15.073684210526352</v>
      </c>
    </row>
    <row r="39" spans="1:69" customFormat="1" ht="12.95" customHeight="1">
      <c r="A39" s="48">
        <v>25</v>
      </c>
      <c r="B39" s="82">
        <v>6875.78</v>
      </c>
      <c r="C39" s="483">
        <f>IF(B39="",C38,VLOOKUP(TRUNC(B39,1),VLOOKUP!$A$3:$K$2834,RIGHT(TEXT(B39,"0000.00"),1)+2,FALSE))</f>
        <v>203787</v>
      </c>
      <c r="D39" s="78">
        <f t="shared" si="10"/>
        <v>-1033</v>
      </c>
      <c r="E39" s="49">
        <f t="shared" si="0"/>
        <v>51787</v>
      </c>
      <c r="F39" s="89">
        <f t="shared" si="1"/>
        <v>-520.79657171666247</v>
      </c>
      <c r="G39" s="90">
        <v>165</v>
      </c>
      <c r="H39" s="91">
        <v>0</v>
      </c>
      <c r="I39" s="90">
        <f t="shared" si="2"/>
        <v>165</v>
      </c>
      <c r="J39" s="46">
        <f t="shared" si="11"/>
        <v>0</v>
      </c>
      <c r="K39" s="90">
        <f t="shared" si="3"/>
        <v>165</v>
      </c>
      <c r="L39" s="90">
        <f t="shared" si="12"/>
        <v>-50.796571716662584</v>
      </c>
      <c r="M39" s="92">
        <v>194</v>
      </c>
      <c r="N39" s="610">
        <v>1</v>
      </c>
      <c r="O39" s="90">
        <f>48*1.05</f>
        <v>50.400000000000006</v>
      </c>
      <c r="P39" s="39">
        <v>0</v>
      </c>
      <c r="Q39" s="144">
        <f>1973100/325851/1.9835*1.02</f>
        <v>3.1138522760201623</v>
      </c>
      <c r="R39" s="73">
        <f>IF(((6.7*1.04)-T39)&gt;=4.2,4.2,(6.7*1.04)-T39)</f>
        <v>4.2</v>
      </c>
      <c r="S39" s="73">
        <f>IF(((6.7*1.04)-T39)&gt;=4.2,((6.7*1.04)-T39)-4.2,0)</f>
        <v>1.3334468800000003</v>
      </c>
      <c r="T39" s="73">
        <f t="shared" si="34"/>
        <v>1.4345531200000001</v>
      </c>
      <c r="U39" s="131">
        <v>0</v>
      </c>
      <c r="V39" s="90">
        <v>111</v>
      </c>
      <c r="W39" s="90">
        <v>67</v>
      </c>
      <c r="X39" s="47">
        <f t="shared" si="25"/>
        <v>332.84669272366892</v>
      </c>
      <c r="Y39" s="47">
        <f t="shared" si="14"/>
        <v>332.84669272366892</v>
      </c>
      <c r="Z39" s="55"/>
      <c r="AA39" s="47"/>
      <c r="AB39" s="55"/>
      <c r="AC39" s="55">
        <f t="shared" si="35"/>
        <v>864.23833962125298</v>
      </c>
      <c r="AD39" s="490"/>
      <c r="AE39" s="490"/>
      <c r="AF39" s="45">
        <f t="shared" si="28"/>
        <v>8754.9688212972815</v>
      </c>
      <c r="AG39" s="90">
        <v>212</v>
      </c>
      <c r="AH39" s="114">
        <v>1.7</v>
      </c>
      <c r="AI39" s="212">
        <v>1.3</v>
      </c>
      <c r="AJ39" s="90">
        <v>51</v>
      </c>
      <c r="AK39" s="49">
        <f t="shared" si="29"/>
        <v>6958.511822044311</v>
      </c>
      <c r="AL39" s="49"/>
      <c r="AM39" s="180">
        <f t="shared" si="16"/>
        <v>634.99999999999989</v>
      </c>
      <c r="AN39" s="90">
        <f t="shared" si="17"/>
        <v>50.796571716662584</v>
      </c>
      <c r="AO39" s="90">
        <f t="shared" si="4"/>
        <v>685.79657171666247</v>
      </c>
      <c r="AP39" s="134"/>
      <c r="AQ39" s="540"/>
      <c r="AR39" s="48"/>
      <c r="AS39" s="43">
        <f t="shared" si="18"/>
        <v>-176.86054499968907</v>
      </c>
      <c r="AT39" s="492">
        <v>0.27</v>
      </c>
      <c r="AU39" s="494">
        <f t="shared" si="31"/>
        <v>0.189</v>
      </c>
      <c r="AV39" s="494">
        <f>IF(AT39="",0,VLOOKUP(ROUNDDOWN(TEXT(B39,"0000"),-1),VLOOKUP!$M$3:$W$32,RIGHT(TEXT(B39,"0000"),1)+2,FALSE))</f>
        <v>2872</v>
      </c>
      <c r="AW39" s="494">
        <f t="shared" si="20"/>
        <v>45.234000000000002</v>
      </c>
      <c r="AX39" s="39">
        <f t="shared" si="21"/>
        <v>1.4973039627214833</v>
      </c>
      <c r="AY39" s="618">
        <v>22.328544999689093</v>
      </c>
      <c r="AZ39" s="180">
        <f t="shared" si="22"/>
        <v>7.9</v>
      </c>
      <c r="BA39" s="38"/>
      <c r="BB39" s="23"/>
      <c r="BC39" s="80">
        <v>0</v>
      </c>
      <c r="BD39" s="78">
        <v>96</v>
      </c>
      <c r="BE39" s="78">
        <v>61</v>
      </c>
      <c r="BF39" s="377"/>
      <c r="BG39" s="385">
        <f t="shared" si="5"/>
        <v>11.081852276020165</v>
      </c>
      <c r="BH39" s="60">
        <v>135</v>
      </c>
      <c r="BI39" s="524">
        <v>12613</v>
      </c>
      <c r="BJ39" s="296">
        <f t="shared" si="6"/>
        <v>0</v>
      </c>
      <c r="BK39" s="591">
        <f t="shared" si="7"/>
        <v>0</v>
      </c>
      <c r="BM39" s="574">
        <f t="shared" si="23"/>
        <v>25</v>
      </c>
      <c r="BN39" s="559">
        <v>6875.74</v>
      </c>
      <c r="BO39" s="575">
        <f t="shared" si="24"/>
        <v>3.999999999996362E-2</v>
      </c>
      <c r="BP39" s="576">
        <v>23.929166666666688</v>
      </c>
      <c r="BQ39" s="576">
        <f t="shared" si="8"/>
        <v>27.070833333333312</v>
      </c>
    </row>
    <row r="40" spans="1:69" customFormat="1" ht="12.95" customHeight="1">
      <c r="A40" s="48">
        <v>26</v>
      </c>
      <c r="B40" s="82">
        <v>6875.47</v>
      </c>
      <c r="C40" s="483">
        <f>IF(B40="",C39,VLOOKUP(TRUNC(B40,1),VLOOKUP!$A$3:$K$2834,RIGHT(TEXT(B40,"0000.00"),1)+2,FALSE))</f>
        <v>202902</v>
      </c>
      <c r="D40" s="78">
        <f t="shared" si="10"/>
        <v>-885</v>
      </c>
      <c r="E40" s="49">
        <f t="shared" si="0"/>
        <v>50902</v>
      </c>
      <c r="F40" s="89">
        <f t="shared" si="1"/>
        <v>-446.18099319384925</v>
      </c>
      <c r="G40" s="90">
        <v>183</v>
      </c>
      <c r="H40" s="91">
        <v>0</v>
      </c>
      <c r="I40" s="90">
        <f t="shared" si="2"/>
        <v>183</v>
      </c>
      <c r="J40" s="46">
        <f t="shared" si="11"/>
        <v>0</v>
      </c>
      <c r="K40" s="90">
        <f t="shared" si="3"/>
        <v>183</v>
      </c>
      <c r="L40" s="90">
        <f t="shared" si="12"/>
        <v>-21.180993193849361</v>
      </c>
      <c r="M40" s="92">
        <v>185</v>
      </c>
      <c r="N40" s="610">
        <v>1</v>
      </c>
      <c r="O40" s="90">
        <f>36*1.05</f>
        <v>37.800000000000004</v>
      </c>
      <c r="P40" s="39">
        <v>0</v>
      </c>
      <c r="Q40" s="144">
        <f>2103600/325851/1.9835*1.02</f>
        <v>3.3198011493771289</v>
      </c>
      <c r="R40" s="73">
        <f>IF(((6.5*1.04)-T40)&gt;=4.2,4.2,(6.5*1.04)-T40)</f>
        <v>4.2</v>
      </c>
      <c r="S40" s="73">
        <f>IF(((6.5*1.04)-T40)&gt;=4.2,((6.5*1.04)-T40)-4.2,0)</f>
        <v>1.1254468799999993</v>
      </c>
      <c r="T40" s="73">
        <f t="shared" si="34"/>
        <v>1.4345531200000001</v>
      </c>
      <c r="U40" s="131">
        <v>0</v>
      </c>
      <c r="V40" s="90">
        <v>109</v>
      </c>
      <c r="W40" s="90">
        <v>67</v>
      </c>
      <c r="X40" s="47">
        <f t="shared" si="25"/>
        <v>334.44874385031193</v>
      </c>
      <c r="Y40" s="47">
        <f t="shared" si="14"/>
        <v>334.44874385031193</v>
      </c>
      <c r="Z40" s="55"/>
      <c r="AA40" s="47"/>
      <c r="AB40" s="55"/>
      <c r="AC40" s="55">
        <f t="shared" si="35"/>
        <v>710.71491488235472</v>
      </c>
      <c r="AD40" s="490"/>
      <c r="AE40" s="490"/>
      <c r="AF40" s="45">
        <f t="shared" si="28"/>
        <v>8754.9688212972815</v>
      </c>
      <c r="AG40" s="90">
        <v>196</v>
      </c>
      <c r="AH40" s="114">
        <v>1.7</v>
      </c>
      <c r="AI40" s="212">
        <v>1.3</v>
      </c>
      <c r="AJ40" s="90">
        <v>51</v>
      </c>
      <c r="AK40" s="49">
        <f t="shared" si="29"/>
        <v>6907.511822044311</v>
      </c>
      <c r="AL40" s="49"/>
      <c r="AM40" s="180">
        <f t="shared" si="16"/>
        <v>607.99999999999989</v>
      </c>
      <c r="AN40" s="90">
        <f t="shared" si="17"/>
        <v>21.180993193849361</v>
      </c>
      <c r="AO40" s="90">
        <f t="shared" si="4"/>
        <v>629.18099319384919</v>
      </c>
      <c r="AP40" s="134"/>
      <c r="AQ40" s="540"/>
      <c r="AR40" s="48"/>
      <c r="AS40" s="43">
        <f t="shared" si="18"/>
        <v>-160.66854499968903</v>
      </c>
      <c r="AT40" s="492">
        <v>0.28999999999999998</v>
      </c>
      <c r="AU40" s="494">
        <f t="shared" si="31"/>
        <v>0.20299999999999999</v>
      </c>
      <c r="AV40" s="494">
        <f>IF(AT40="",0,VLOOKUP(ROUNDDOWN(TEXT(B40,"0000"),-1),VLOOKUP!$M$3:$W$32,RIGHT(TEXT(B40,"0000"),1)+2,FALSE))</f>
        <v>2838</v>
      </c>
      <c r="AW40" s="494">
        <f t="shared" si="20"/>
        <v>48.009500000000003</v>
      </c>
      <c r="AX40" s="39">
        <f t="shared" si="21"/>
        <v>1.3295968291017859</v>
      </c>
      <c r="AY40" s="618">
        <v>22.328544999689093</v>
      </c>
      <c r="AZ40" s="180">
        <f t="shared" si="22"/>
        <v>7.9</v>
      </c>
      <c r="BA40" s="38"/>
      <c r="BB40" s="23"/>
      <c r="BC40" s="80">
        <v>0.06</v>
      </c>
      <c r="BD40" s="78">
        <v>93</v>
      </c>
      <c r="BE40" s="78">
        <v>58</v>
      </c>
      <c r="BF40" s="377"/>
      <c r="BG40" s="385">
        <f t="shared" si="5"/>
        <v>11.079801149377129</v>
      </c>
      <c r="BH40" s="60">
        <v>130</v>
      </c>
      <c r="BI40" s="524">
        <v>12382</v>
      </c>
      <c r="BJ40" s="296">
        <f t="shared" si="6"/>
        <v>0</v>
      </c>
      <c r="BK40" s="591">
        <f t="shared" si="7"/>
        <v>0</v>
      </c>
      <c r="BM40" s="574">
        <f t="shared" si="23"/>
        <v>26</v>
      </c>
      <c r="BN40" s="559">
        <v>6875.43</v>
      </c>
      <c r="BO40" s="575">
        <f t="shared" si="24"/>
        <v>3.999999999996362E-2</v>
      </c>
      <c r="BP40" s="576">
        <v>0</v>
      </c>
      <c r="BQ40" s="576">
        <f t="shared" si="8"/>
        <v>51</v>
      </c>
    </row>
    <row r="41" spans="1:69" customFormat="1" ht="12.95" customHeight="1">
      <c r="A41" s="48">
        <v>27</v>
      </c>
      <c r="B41" s="82">
        <v>6875.18</v>
      </c>
      <c r="C41" s="483">
        <f>IF(B41="",C40,VLOOKUP(TRUNC(B41,1),VLOOKUP!$A$3:$K$2834,RIGHT(TEXT(B41,"0000.00"),1)+2,FALSE))</f>
        <v>202074</v>
      </c>
      <c r="D41" s="78">
        <f t="shared" si="10"/>
        <v>-828</v>
      </c>
      <c r="E41" s="49">
        <f t="shared" si="0"/>
        <v>50074</v>
      </c>
      <c r="F41" s="89">
        <f t="shared" si="1"/>
        <v>-417.44391227627932</v>
      </c>
      <c r="G41" s="90">
        <v>190</v>
      </c>
      <c r="H41" s="91">
        <v>0</v>
      </c>
      <c r="I41" s="90">
        <f t="shared" si="2"/>
        <v>190</v>
      </c>
      <c r="J41" s="46">
        <f t="shared" si="11"/>
        <v>0</v>
      </c>
      <c r="K41" s="90">
        <f t="shared" si="3"/>
        <v>190</v>
      </c>
      <c r="L41" s="90">
        <f t="shared" si="12"/>
        <v>-22.443912276279434</v>
      </c>
      <c r="M41" s="92">
        <v>192</v>
      </c>
      <c r="N41" s="610">
        <v>1</v>
      </c>
      <c r="O41" s="90">
        <f>53*1.05</f>
        <v>55.650000000000006</v>
      </c>
      <c r="P41" s="39">
        <v>0</v>
      </c>
      <c r="Q41" s="144">
        <f>2449600/325851/1.9835*1.02</f>
        <v>3.8658418404231871</v>
      </c>
      <c r="R41" s="73">
        <f>IF(((5.6*1.04)-T41)&gt;=4.2,4.2,(5.6*1.04)-T41)</f>
        <v>4.2</v>
      </c>
      <c r="S41" s="73">
        <f>IF(((5.6*1.04)-T41)&gt;=4.2,((5.6*1.04)-T41)-4.2,0)</f>
        <v>0.18944687999999932</v>
      </c>
      <c r="T41" s="73">
        <f t="shared" si="34"/>
        <v>1.4345531200000001</v>
      </c>
      <c r="U41" s="131">
        <v>0</v>
      </c>
      <c r="V41" s="90">
        <v>108</v>
      </c>
      <c r="W41" s="90">
        <v>68</v>
      </c>
      <c r="X41" s="47">
        <f t="shared" si="25"/>
        <v>323.98870315926587</v>
      </c>
      <c r="Y41" s="47">
        <f t="shared" si="14"/>
        <v>323.98870315926587</v>
      </c>
      <c r="Z41" s="55"/>
      <c r="AA41" s="47"/>
      <c r="AB41" s="55"/>
      <c r="AC41" s="55">
        <f t="shared" si="35"/>
        <v>574.19004125695255</v>
      </c>
      <c r="AD41" s="490"/>
      <c r="AE41" s="490"/>
      <c r="AF41" s="45">
        <f t="shared" si="28"/>
        <v>8754.9688212972815</v>
      </c>
      <c r="AG41" s="90">
        <v>166</v>
      </c>
      <c r="AH41" s="114">
        <v>1.7</v>
      </c>
      <c r="AI41" s="212">
        <v>1.3</v>
      </c>
      <c r="AJ41" s="90">
        <v>51</v>
      </c>
      <c r="AK41" s="49">
        <f t="shared" si="29"/>
        <v>6856.511822044311</v>
      </c>
      <c r="AL41" s="49"/>
      <c r="AM41" s="180">
        <f t="shared" si="16"/>
        <v>584.99999999999989</v>
      </c>
      <c r="AN41" s="90">
        <f t="shared" si="17"/>
        <v>22.443912276279434</v>
      </c>
      <c r="AO41" s="90">
        <f t="shared" si="4"/>
        <v>607.44391227627932</v>
      </c>
      <c r="AP41" s="134"/>
      <c r="AQ41" s="540"/>
      <c r="AR41" s="48"/>
      <c r="AS41" s="43">
        <f t="shared" si="18"/>
        <v>-143.75454499968905</v>
      </c>
      <c r="AT41" s="492">
        <v>0.23</v>
      </c>
      <c r="AU41" s="494">
        <f t="shared" si="31"/>
        <v>0.161</v>
      </c>
      <c r="AV41" s="494">
        <f>IF(AT41="",0,VLOOKUP(ROUNDDOWN(TEXT(B41,"0000"),-1),VLOOKUP!$M$3:$W$32,RIGHT(TEXT(B41,"0000"),1)+2,FALSE))</f>
        <v>2838</v>
      </c>
      <c r="AW41" s="494">
        <f t="shared" si="20"/>
        <v>38.076500000000003</v>
      </c>
      <c r="AX41" s="39">
        <f t="shared" si="21"/>
        <v>0.86602932229486407</v>
      </c>
      <c r="AY41" s="618">
        <v>22.328544999689093</v>
      </c>
      <c r="AZ41" s="180">
        <f t="shared" si="22"/>
        <v>7.9</v>
      </c>
      <c r="BA41" s="38"/>
      <c r="BB41" s="23"/>
      <c r="BC41" s="80">
        <v>0</v>
      </c>
      <c r="BD41" s="78">
        <v>93</v>
      </c>
      <c r="BE41" s="78">
        <v>56</v>
      </c>
      <c r="BF41" s="377"/>
      <c r="BG41" s="385">
        <f t="shared" si="5"/>
        <v>10.689841840423185</v>
      </c>
      <c r="BH41" s="60">
        <v>132</v>
      </c>
      <c r="BI41" s="524">
        <v>12130</v>
      </c>
      <c r="BJ41" s="296">
        <f t="shared" si="6"/>
        <v>0</v>
      </c>
      <c r="BK41" s="591">
        <f t="shared" si="7"/>
        <v>0</v>
      </c>
      <c r="BM41" s="574">
        <f t="shared" si="23"/>
        <v>27</v>
      </c>
      <c r="BN41" s="559">
        <v>6875.12</v>
      </c>
      <c r="BO41" s="575">
        <f t="shared" si="24"/>
        <v>6.0000000000400178E-2</v>
      </c>
      <c r="BP41" s="576">
        <v>0</v>
      </c>
      <c r="BQ41" s="576">
        <f t="shared" si="8"/>
        <v>51</v>
      </c>
    </row>
    <row r="42" spans="1:69" customFormat="1" ht="12.95" customHeight="1">
      <c r="A42" s="48">
        <v>28</v>
      </c>
      <c r="B42" s="82">
        <v>6874.86</v>
      </c>
      <c r="C42" s="483">
        <f>IF(B42="",C41,VLOOKUP(TRUNC(B42,1),VLOOKUP!$A$3:$K$2834,RIGHT(TEXT(B42,"0000.00"),1)+2,FALSE))</f>
        <v>201165</v>
      </c>
      <c r="D42" s="78">
        <f t="shared" si="10"/>
        <v>-909</v>
      </c>
      <c r="E42" s="49">
        <f t="shared" si="0"/>
        <v>49165</v>
      </c>
      <c r="F42" s="89">
        <f t="shared" si="1"/>
        <v>-458.28081673808924</v>
      </c>
      <c r="G42" s="90">
        <v>183</v>
      </c>
      <c r="H42" s="91">
        <v>0</v>
      </c>
      <c r="I42" s="90">
        <f t="shared" si="2"/>
        <v>183</v>
      </c>
      <c r="J42" s="46">
        <f t="shared" si="11"/>
        <v>0</v>
      </c>
      <c r="K42" s="90">
        <f t="shared" si="3"/>
        <v>183</v>
      </c>
      <c r="L42" s="90">
        <f t="shared" si="12"/>
        <v>-44.280816738089356</v>
      </c>
      <c r="M42" s="92">
        <v>192</v>
      </c>
      <c r="N42" s="610">
        <v>1</v>
      </c>
      <c r="O42" s="90">
        <f>44*1.05</f>
        <v>46.2</v>
      </c>
      <c r="P42" s="39">
        <v>0</v>
      </c>
      <c r="Q42" s="144">
        <f>1978500/325851/1.9835*1.02</f>
        <v>3.1223742983659681</v>
      </c>
      <c r="R42" s="73">
        <f>IF(((4.9*1.04)-T42)&gt;=4.2,4.2,(4.9*1.04)-T42)</f>
        <v>3.6644233600000007</v>
      </c>
      <c r="S42" s="73">
        <f>IF(((4.9*1.04)-T42)&gt;=4.2,((4.9*1.04)-T42)-4.2,0)</f>
        <v>0</v>
      </c>
      <c r="T42" s="73">
        <f>(1.2986*1.06)*1.04</f>
        <v>1.4315766400000001</v>
      </c>
      <c r="U42" s="131">
        <v>0</v>
      </c>
      <c r="V42" s="90">
        <v>108</v>
      </c>
      <c r="W42" s="90">
        <v>69</v>
      </c>
      <c r="X42" s="47">
        <f t="shared" si="25"/>
        <v>335.91017070132312</v>
      </c>
      <c r="Y42" s="47">
        <f t="shared" si="14"/>
        <v>335.91017070132312</v>
      </c>
      <c r="Z42" s="55"/>
      <c r="AA42" s="47"/>
      <c r="AB42" s="55"/>
      <c r="AC42" s="55">
        <f t="shared" si="35"/>
        <v>420.2564561479341</v>
      </c>
      <c r="AD42" s="616"/>
      <c r="AE42" s="616"/>
      <c r="AF42" s="45">
        <f t="shared" si="28"/>
        <v>8754.9688212972815</v>
      </c>
      <c r="AG42" s="90">
        <v>177</v>
      </c>
      <c r="AH42" s="114">
        <v>1.7</v>
      </c>
      <c r="AI42" s="212">
        <v>1.3</v>
      </c>
      <c r="AJ42" s="90">
        <v>51</v>
      </c>
      <c r="AK42" s="49">
        <f t="shared" si="29"/>
        <v>6805.511822044311</v>
      </c>
      <c r="AL42" s="49"/>
      <c r="AM42" s="180">
        <f t="shared" si="16"/>
        <v>596.99999999999989</v>
      </c>
      <c r="AN42" s="90">
        <f t="shared" si="17"/>
        <v>44.280816738089356</v>
      </c>
      <c r="AO42" s="90">
        <f t="shared" si="4"/>
        <v>641.28081673808924</v>
      </c>
      <c r="AP42" s="134"/>
      <c r="AQ42" s="540"/>
      <c r="AR42" s="48"/>
      <c r="AS42" s="43">
        <f t="shared" si="18"/>
        <v>-161.39696835968908</v>
      </c>
      <c r="AT42" s="492">
        <v>0.27</v>
      </c>
      <c r="AU42" s="494">
        <f t="shared" si="31"/>
        <v>0.189</v>
      </c>
      <c r="AV42" s="494">
        <f>IF(AT42="",0,VLOOKUP(ROUNDDOWN(TEXT(B42,"0000"),-1),VLOOKUP!$M$3:$W$32,RIGHT(TEXT(B42,"0000"),1)+2,FALSE))</f>
        <v>2838</v>
      </c>
      <c r="AW42" s="494">
        <f t="shared" si="20"/>
        <v>44.698500000000003</v>
      </c>
      <c r="AX42" s="39">
        <f t="shared" si="21"/>
        <v>0.75785043552063969</v>
      </c>
      <c r="AY42" s="618">
        <v>22.328544999689093</v>
      </c>
      <c r="AZ42" s="180">
        <f t="shared" si="22"/>
        <v>7.9</v>
      </c>
      <c r="BA42" s="38"/>
      <c r="BB42" s="23"/>
      <c r="BC42" s="80">
        <v>0</v>
      </c>
      <c r="BD42" s="78">
        <v>90</v>
      </c>
      <c r="BE42" s="78">
        <v>60</v>
      </c>
      <c r="BF42" s="377"/>
      <c r="BG42" s="385">
        <f t="shared" si="5"/>
        <v>9.2183742983659691</v>
      </c>
      <c r="BH42" s="60">
        <v>135</v>
      </c>
      <c r="BI42" s="524">
        <v>11834</v>
      </c>
      <c r="BJ42" s="296">
        <f t="shared" si="6"/>
        <v>0</v>
      </c>
      <c r="BK42" s="591">
        <f t="shared" si="7"/>
        <v>0</v>
      </c>
      <c r="BM42" s="574">
        <f t="shared" si="23"/>
        <v>28</v>
      </c>
      <c r="BN42" s="559">
        <v>6874.83</v>
      </c>
      <c r="BO42" s="575">
        <f t="shared" si="24"/>
        <v>2.9999999999745341E-2</v>
      </c>
      <c r="BP42" s="576">
        <v>23.130208333333332</v>
      </c>
      <c r="BQ42" s="576">
        <f t="shared" si="8"/>
        <v>27.869791666666668</v>
      </c>
    </row>
    <row r="43" spans="1:69" customFormat="1" ht="12.95" customHeight="1">
      <c r="A43" s="48">
        <v>29</v>
      </c>
      <c r="B43" s="82">
        <v>6874.55</v>
      </c>
      <c r="C43" s="483">
        <f>IF(B43="",C42,VLOOKUP(TRUNC(B43,1),VLOOKUP!$A$3:$K$2834,RIGHT(TEXT(B43,"0000.00"),1)+2,FALSE))</f>
        <v>200291</v>
      </c>
      <c r="D43" s="78">
        <f t="shared" si="10"/>
        <v>-874</v>
      </c>
      <c r="E43" s="49">
        <f t="shared" si="0"/>
        <v>48291</v>
      </c>
      <c r="F43" s="89">
        <f t="shared" si="1"/>
        <v>-440.6352407360726</v>
      </c>
      <c r="G43" s="90">
        <v>182</v>
      </c>
      <c r="H43" s="91">
        <v>0</v>
      </c>
      <c r="I43" s="90">
        <f t="shared" si="2"/>
        <v>182</v>
      </c>
      <c r="J43" s="46">
        <f t="shared" si="11"/>
        <v>0</v>
      </c>
      <c r="K43" s="90">
        <f t="shared" si="3"/>
        <v>182</v>
      </c>
      <c r="L43" s="90">
        <f t="shared" si="12"/>
        <v>-46.635240736072717</v>
      </c>
      <c r="M43" s="92">
        <v>173</v>
      </c>
      <c r="N43" s="610">
        <v>1</v>
      </c>
      <c r="O43" s="90">
        <f>42*1.05</f>
        <v>44.1</v>
      </c>
      <c r="P43" s="39">
        <v>0</v>
      </c>
      <c r="Q43" s="144">
        <f>1870900/325851/1.9835*1.02</f>
        <v>2.9525651123643617</v>
      </c>
      <c r="R43" s="73">
        <f>IF(((5*1.04)-T43)&gt;=4.2,4.2,(5*1.04)-T43)</f>
        <v>3.7684233599999999</v>
      </c>
      <c r="S43" s="73">
        <f>IF(((5*1.04)-T43)&gt;=4.2,((5*1.04)-T43)-4.2,0)</f>
        <v>0</v>
      </c>
      <c r="T43" s="73">
        <f t="shared" ref="T43:T45" si="36">(1.2986*1.06)*1.04</f>
        <v>1.4315766400000001</v>
      </c>
      <c r="U43" s="131">
        <v>0</v>
      </c>
      <c r="V43" s="90">
        <v>113</v>
      </c>
      <c r="W43" s="90">
        <v>70</v>
      </c>
      <c r="X43" s="47">
        <f t="shared" si="25"/>
        <v>325.07597988732471</v>
      </c>
      <c r="Y43" s="47">
        <f t="shared" si="14"/>
        <v>325.07597988732471</v>
      </c>
      <c r="Z43" s="55"/>
      <c r="AA43" s="47"/>
      <c r="AB43" s="55"/>
      <c r="AC43" s="55">
        <f t="shared" si="35"/>
        <v>276.27741043229815</v>
      </c>
      <c r="AD43" s="616"/>
      <c r="AE43" s="616"/>
      <c r="AF43" s="45">
        <f t="shared" si="28"/>
        <v>8754.9688212972815</v>
      </c>
      <c r="AG43" s="90">
        <v>168</v>
      </c>
      <c r="AH43" s="114">
        <v>1.7</v>
      </c>
      <c r="AI43" s="212">
        <v>1.3</v>
      </c>
      <c r="AJ43" s="90">
        <v>52</v>
      </c>
      <c r="AK43" s="49">
        <f t="shared" si="29"/>
        <v>6753.511822044311</v>
      </c>
      <c r="AL43" s="49"/>
      <c r="AM43" s="180">
        <f t="shared" si="16"/>
        <v>575.99999999999989</v>
      </c>
      <c r="AN43" s="90">
        <f t="shared" si="17"/>
        <v>46.635240736072717</v>
      </c>
      <c r="AO43" s="90">
        <f t="shared" si="4"/>
        <v>622.63524073607255</v>
      </c>
      <c r="AP43" s="134"/>
      <c r="AQ43" s="540"/>
      <c r="AR43" s="48"/>
      <c r="AS43" s="43">
        <f t="shared" si="18"/>
        <v>-151.49696835968905</v>
      </c>
      <c r="AT43" s="492">
        <v>0.2</v>
      </c>
      <c r="AU43" s="494">
        <f t="shared" si="31"/>
        <v>0.13999999999999999</v>
      </c>
      <c r="AV43" s="494">
        <f>IF(AT43="",0,VLOOKUP(ROUNDDOWN(TEXT(B43,"0000"),-1),VLOOKUP!$M$3:$W$32,RIGHT(TEXT(B43,"0000"),1)+2,FALSE))</f>
        <v>2838</v>
      </c>
      <c r="AW43" s="494">
        <f t="shared" si="20"/>
        <v>33.11</v>
      </c>
      <c r="AX43" s="39">
        <f t="shared" si="21"/>
        <v>0.37572540691529399</v>
      </c>
      <c r="AY43" s="618">
        <v>22.328544999689093</v>
      </c>
      <c r="AZ43" s="180">
        <f t="shared" si="22"/>
        <v>7.9</v>
      </c>
      <c r="BA43" s="38"/>
      <c r="BB43" s="23"/>
      <c r="BC43" s="80">
        <v>0.09</v>
      </c>
      <c r="BD43" s="78">
        <v>89</v>
      </c>
      <c r="BE43" s="78">
        <v>57</v>
      </c>
      <c r="BF43" s="377"/>
      <c r="BG43" s="385">
        <f t="shared" si="5"/>
        <v>9.1525651123643605</v>
      </c>
      <c r="BH43" s="60">
        <v>137</v>
      </c>
      <c r="BI43" s="524">
        <v>11569</v>
      </c>
      <c r="BJ43" s="296">
        <f t="shared" si="6"/>
        <v>0</v>
      </c>
      <c r="BK43" s="591">
        <f t="shared" si="7"/>
        <v>0</v>
      </c>
      <c r="BL43" s="561"/>
      <c r="BM43" s="574">
        <f t="shared" si="23"/>
        <v>29</v>
      </c>
      <c r="BN43" s="559">
        <v>6874.55</v>
      </c>
      <c r="BO43" s="575">
        <f t="shared" si="24"/>
        <v>0</v>
      </c>
      <c r="BP43" s="576">
        <v>46.58645833333329</v>
      </c>
      <c r="BQ43" s="576">
        <f t="shared" si="8"/>
        <v>5.4135416666667098</v>
      </c>
    </row>
    <row r="44" spans="1:69" customFormat="1" ht="12.95" customHeight="1">
      <c r="A44" s="48">
        <v>30</v>
      </c>
      <c r="B44" s="82">
        <v>6874.27</v>
      </c>
      <c r="C44" s="483">
        <f>IF(B44="",C43,VLOOKUP(TRUNC(B44,1),VLOOKUP!$A$3:$K$2834,RIGHT(TEXT(B44,"0000.00"),1)+2,FALSE))</f>
        <v>199501</v>
      </c>
      <c r="D44" s="78">
        <f t="shared" si="10"/>
        <v>-790</v>
      </c>
      <c r="E44" s="49">
        <f t="shared" si="0"/>
        <v>47501</v>
      </c>
      <c r="F44" s="89">
        <f t="shared" si="1"/>
        <v>-398.28585833123265</v>
      </c>
      <c r="G44" s="90">
        <v>184</v>
      </c>
      <c r="H44" s="91">
        <v>0</v>
      </c>
      <c r="I44" s="90">
        <f>G44+H44</f>
        <v>184</v>
      </c>
      <c r="J44" s="46">
        <f t="shared" si="11"/>
        <v>0</v>
      </c>
      <c r="K44" s="90">
        <f t="shared" si="3"/>
        <v>184</v>
      </c>
      <c r="L44" s="90">
        <f t="shared" si="12"/>
        <v>-14.28585833123276</v>
      </c>
      <c r="M44" s="92">
        <v>178</v>
      </c>
      <c r="N44" s="610">
        <v>1</v>
      </c>
      <c r="O44" s="90">
        <f>41*1.05</f>
        <v>43.050000000000004</v>
      </c>
      <c r="P44" s="39">
        <v>0</v>
      </c>
      <c r="Q44" s="144">
        <f>2179800/325851/1.9835*1.02</f>
        <v>3.4400563535901627</v>
      </c>
      <c r="R44" s="73">
        <f>IF(((5.8*1.04)-T44)&gt;=4.2,4.2,(5.8*1.04)-T44)</f>
        <v>4.2</v>
      </c>
      <c r="S44" s="73">
        <f>IF(((5.8*1.04)-T44)&gt;=4.2,((5.8*1.04)-T44)-4.2,0)</f>
        <v>0.40042335999999956</v>
      </c>
      <c r="T44" s="73">
        <f t="shared" si="36"/>
        <v>1.4315766400000001</v>
      </c>
      <c r="U44" s="131">
        <v>0</v>
      </c>
      <c r="V44" s="90">
        <v>118</v>
      </c>
      <c r="W44" s="90">
        <v>69</v>
      </c>
      <c r="X44" s="47">
        <f t="shared" si="25"/>
        <v>333.8064886460989</v>
      </c>
      <c r="Y44" s="47">
        <f t="shared" si="14"/>
        <v>333.8064886460989</v>
      </c>
      <c r="Z44" s="55"/>
      <c r="AA44" s="47"/>
      <c r="AB44" s="55"/>
      <c r="AC44" s="55">
        <f t="shared" si="35"/>
        <v>124.8414399690773</v>
      </c>
      <c r="AD44" s="616"/>
      <c r="AE44" s="616"/>
      <c r="AF44" s="45">
        <f t="shared" si="28"/>
        <v>8754.9688212972815</v>
      </c>
      <c r="AG44" s="90">
        <v>152</v>
      </c>
      <c r="AH44" s="114">
        <v>1.7</v>
      </c>
      <c r="AI44" s="212">
        <v>1.3</v>
      </c>
      <c r="AJ44" s="90">
        <v>51</v>
      </c>
      <c r="AK44" s="49">
        <f t="shared" si="29"/>
        <v>6702.511822044311</v>
      </c>
      <c r="AL44" s="49"/>
      <c r="AM44" s="180">
        <f t="shared" si="16"/>
        <v>567.99999999999989</v>
      </c>
      <c r="AN44" s="90">
        <f t="shared" si="17"/>
        <v>14.28585833123276</v>
      </c>
      <c r="AO44" s="90">
        <f t="shared" si="4"/>
        <v>582.2858583312327</v>
      </c>
      <c r="AP44" s="134"/>
      <c r="AQ44" s="540"/>
      <c r="AR44" s="48"/>
      <c r="AS44" s="43">
        <f t="shared" si="18"/>
        <v>-159.14654499968904</v>
      </c>
      <c r="AT44" s="492">
        <v>0.2</v>
      </c>
      <c r="AU44" s="494">
        <f t="shared" si="31"/>
        <v>0.13999999999999999</v>
      </c>
      <c r="AV44" s="494">
        <f>IF(AT44="",0,VLOOKUP(ROUNDDOWN(TEXT(B44,"0000"),-1),VLOOKUP!$M$3:$W$32,RIGHT(TEXT(B44,"0000"),1)+2,FALSE))</f>
        <v>2804</v>
      </c>
      <c r="AW44" s="494">
        <f>AU44/12*AV44</f>
        <v>32.713333333333331</v>
      </c>
      <c r="AX44" s="39">
        <f t="shared" si="21"/>
        <v>0.1705348016882042</v>
      </c>
      <c r="AY44" s="618">
        <v>22.328544999689093</v>
      </c>
      <c r="AZ44" s="180">
        <f t="shared" si="22"/>
        <v>7.9</v>
      </c>
      <c r="BA44" s="38"/>
      <c r="BB44" s="23"/>
      <c r="BC44" s="80">
        <v>0</v>
      </c>
      <c r="BD44" s="78">
        <v>86</v>
      </c>
      <c r="BE44" s="78">
        <v>52</v>
      </c>
      <c r="BF44" s="377"/>
      <c r="BG44" s="385">
        <f t="shared" si="5"/>
        <v>10.472056353590162</v>
      </c>
      <c r="BH44" s="60">
        <v>137</v>
      </c>
      <c r="BI44" s="524">
        <v>11323</v>
      </c>
      <c r="BJ44" s="296">
        <f t="shared" si="6"/>
        <v>0</v>
      </c>
      <c r="BK44" s="591">
        <f t="shared" si="7"/>
        <v>0</v>
      </c>
      <c r="BL44" s="561"/>
      <c r="BM44" s="574">
        <f t="shared" si="23"/>
        <v>30</v>
      </c>
      <c r="BN44" s="559">
        <v>6874.23</v>
      </c>
      <c r="BO44" s="575">
        <f t="shared" si="24"/>
        <v>4.0000000000873115E-2</v>
      </c>
      <c r="BP44" s="576">
        <v>46.609374999999964</v>
      </c>
      <c r="BQ44" s="576">
        <f t="shared" si="8"/>
        <v>4.3906250000000355</v>
      </c>
    </row>
    <row r="45" spans="1:69" customFormat="1" ht="12.95" customHeight="1">
      <c r="A45" s="48">
        <v>31</v>
      </c>
      <c r="B45" s="82">
        <v>6873.97</v>
      </c>
      <c r="C45" s="483">
        <f>IF(B45="",C44,VLOOKUP(TRUNC(B45,1),VLOOKUP!$A$3:$K$2834,RIGHT(TEXT(B45,"0000.00"),1)+2,FALSE))</f>
        <v>198656</v>
      </c>
      <c r="D45" s="78">
        <f t="shared" si="10"/>
        <v>-845</v>
      </c>
      <c r="E45" s="49">
        <f t="shared" si="0"/>
        <v>46656</v>
      </c>
      <c r="F45" s="89">
        <f t="shared" si="1"/>
        <v>-426.01462062011592</v>
      </c>
      <c r="G45" s="90">
        <v>178</v>
      </c>
      <c r="H45" s="91">
        <v>0</v>
      </c>
      <c r="I45" s="90">
        <f t="shared" si="2"/>
        <v>178</v>
      </c>
      <c r="J45" s="46">
        <f t="shared" si="11"/>
        <v>0</v>
      </c>
      <c r="K45" s="90">
        <f t="shared" si="3"/>
        <v>178</v>
      </c>
      <c r="L45" s="90">
        <f t="shared" si="12"/>
        <v>-42.014620620116034</v>
      </c>
      <c r="M45" s="92">
        <v>181</v>
      </c>
      <c r="N45" s="610">
        <v>1</v>
      </c>
      <c r="O45" s="90">
        <f>33*1.05</f>
        <v>34.65</v>
      </c>
      <c r="P45" s="39">
        <v>0</v>
      </c>
      <c r="Q45" s="144">
        <f>2112200/325851/1.9835*1.02</f>
        <v>3.3333732590389675</v>
      </c>
      <c r="R45" s="73">
        <f>IF(((1.4*1.04)-T45)&gt;=4.2,4.2,(1.4*1.04)-T45)</f>
        <v>2.4423359999999894E-2</v>
      </c>
      <c r="S45" s="73">
        <f>IF(((1.4*1.04)-T45)&gt;=4.2,((1.4*1.04)-T45)-4.2,0)</f>
        <v>0</v>
      </c>
      <c r="T45" s="73">
        <f t="shared" si="36"/>
        <v>1.4315766400000001</v>
      </c>
      <c r="U45" s="131">
        <v>0</v>
      </c>
      <c r="V45" s="90">
        <v>114</v>
      </c>
      <c r="W45" s="90">
        <v>69</v>
      </c>
      <c r="X45" s="47">
        <f t="shared" si="25"/>
        <v>345.88917174065011</v>
      </c>
      <c r="Y45" s="47">
        <f t="shared" si="14"/>
        <v>345.88917174065011</v>
      </c>
      <c r="Z45" s="55"/>
      <c r="AA45" s="47"/>
      <c r="AB45" s="55"/>
      <c r="AC45" s="55">
        <f>(IF(AX44="",AC44,AC44-(AX44/$D$2)+IF(AZ45="",0,AZ45)))+AS45+40</f>
        <v>-0.29150509930258295</v>
      </c>
      <c r="AD45" s="616"/>
      <c r="AE45" s="616"/>
      <c r="AF45" s="639">
        <f t="shared" ref="AF45" si="37">IF(B45="",AF44,AF44+IF(AC44-(AX44/1.9835)+AZ45+IF(AS45&gt;0,0,AS45)&lt;=0,AC44-(AX44/1.9835)+AZ45+IF(AS45&gt;0,0,AS45),0))</f>
        <v>8714.6773161979781</v>
      </c>
      <c r="AG45" s="90">
        <v>147</v>
      </c>
      <c r="AH45" s="114">
        <v>1.7</v>
      </c>
      <c r="AI45" s="212">
        <v>1.3</v>
      </c>
      <c r="AJ45" s="90">
        <v>51</v>
      </c>
      <c r="AK45" s="49">
        <f t="shared" si="29"/>
        <v>6651.511822044311</v>
      </c>
      <c r="AL45" s="49"/>
      <c r="AM45" s="180">
        <f t="shared" si="16"/>
        <v>561.99999999999989</v>
      </c>
      <c r="AN45" s="90">
        <f t="shared" si="17"/>
        <v>42.014620620116034</v>
      </c>
      <c r="AO45" s="90">
        <f t="shared" si="4"/>
        <v>604.01462062011592</v>
      </c>
      <c r="AP45" s="134"/>
      <c r="AQ45" s="540"/>
      <c r="AR45" s="48"/>
      <c r="AS45" s="43">
        <f t="shared" si="18"/>
        <v>-172.94696835968907</v>
      </c>
      <c r="AT45" s="492">
        <v>0.18</v>
      </c>
      <c r="AU45" s="494">
        <f t="shared" si="31"/>
        <v>0.126</v>
      </c>
      <c r="AV45" s="494">
        <f>IF(AT45="",0,VLOOKUP(ROUNDDOWN(TEXT(B45,"0000"),-1),VLOOKUP!$M$3:$W$32,RIGHT(TEXT(B45,"0000"),1)+2,FALSE))</f>
        <v>2804</v>
      </c>
      <c r="AW45" s="494">
        <f t="shared" si="20"/>
        <v>29.442</v>
      </c>
      <c r="AX45" s="39">
        <f t="shared" si="21"/>
        <v>-3.648700088011788E-4</v>
      </c>
      <c r="AY45" s="618">
        <v>22.328544999689093</v>
      </c>
      <c r="AZ45" s="180">
        <f t="shared" si="22"/>
        <v>7.9</v>
      </c>
      <c r="BA45" s="38"/>
      <c r="BB45" s="23"/>
      <c r="BC45" s="80">
        <v>0</v>
      </c>
      <c r="BD45" s="78">
        <v>86</v>
      </c>
      <c r="BE45" s="78">
        <v>53</v>
      </c>
      <c r="BF45" s="377"/>
      <c r="BG45" s="385">
        <f t="shared" si="5"/>
        <v>5.7893732590389684</v>
      </c>
      <c r="BH45" s="60">
        <v>136</v>
      </c>
      <c r="BI45" s="524">
        <v>11024</v>
      </c>
      <c r="BJ45" s="296">
        <f t="shared" si="6"/>
        <v>0</v>
      </c>
      <c r="BK45" s="591">
        <f t="shared" si="7"/>
        <v>0</v>
      </c>
      <c r="BM45" s="574">
        <f t="shared" si="23"/>
        <v>31</v>
      </c>
      <c r="BN45" s="559">
        <v>6873.93</v>
      </c>
      <c r="BO45" s="575">
        <f t="shared" si="24"/>
        <v>3.999999999996362E-2</v>
      </c>
      <c r="BP45" s="576">
        <v>46.535416666666613</v>
      </c>
      <c r="BQ45" s="576">
        <f t="shared" si="8"/>
        <v>4.4645833333333869</v>
      </c>
    </row>
    <row r="46" spans="1:69" ht="3" customHeight="1">
      <c r="A46" s="54"/>
      <c r="B46" s="93"/>
      <c r="C46" s="51"/>
      <c r="D46" s="54"/>
      <c r="E46" s="51"/>
      <c r="F46" s="84"/>
      <c r="G46" s="85"/>
      <c r="H46" s="85"/>
      <c r="I46" s="54"/>
      <c r="J46" s="54"/>
      <c r="K46" s="54"/>
      <c r="L46" s="54"/>
      <c r="M46" s="86"/>
      <c r="N46" s="54"/>
      <c r="O46" s="54"/>
      <c r="P46" s="198"/>
      <c r="Q46" s="198"/>
      <c r="R46" s="198"/>
      <c r="S46" s="198"/>
      <c r="T46" s="198"/>
      <c r="U46" s="124"/>
      <c r="V46" s="54"/>
      <c r="W46" s="54"/>
      <c r="X46" s="54"/>
      <c r="Y46" s="54"/>
      <c r="Z46" s="51"/>
      <c r="AA46" s="54"/>
      <c r="AB46" s="51"/>
      <c r="AC46" s="51"/>
      <c r="AD46" s="495"/>
      <c r="AE46" s="495"/>
      <c r="AF46" s="51"/>
      <c r="AG46" s="54">
        <v>178</v>
      </c>
      <c r="AH46" s="108"/>
      <c r="AI46" s="109"/>
      <c r="AJ46" s="54"/>
      <c r="AK46" s="54"/>
      <c r="AL46" s="54"/>
      <c r="AM46" s="54"/>
      <c r="AN46" s="54"/>
      <c r="AO46" s="54"/>
      <c r="AP46" s="355"/>
      <c r="AQ46" s="491"/>
      <c r="AR46" s="50"/>
      <c r="AS46" s="50"/>
      <c r="AT46" s="491"/>
      <c r="AU46" s="491"/>
      <c r="AV46" s="491"/>
      <c r="AW46" s="491"/>
      <c r="AX46" s="34"/>
      <c r="AY46" s="29"/>
      <c r="AZ46" s="29"/>
      <c r="BA46" s="29"/>
      <c r="BB46" s="29"/>
      <c r="BC46" s="87"/>
      <c r="BD46" s="88"/>
      <c r="BE46" s="88"/>
      <c r="BF46" s="88"/>
      <c r="BG46" s="88"/>
      <c r="BH46" s="88"/>
      <c r="BI46" s="88"/>
      <c r="BJ46" s="71"/>
      <c r="BK46" s="592"/>
      <c r="BM46" s="572"/>
      <c r="BN46" s="497"/>
      <c r="BO46" s="497"/>
      <c r="BP46" s="573"/>
      <c r="BQ46" s="573"/>
    </row>
    <row r="47" spans="1:69" ht="12.95" customHeight="1">
      <c r="A47" s="90" t="s">
        <v>33</v>
      </c>
      <c r="B47" s="76"/>
      <c r="D47" s="49"/>
      <c r="F47" s="77">
        <f t="shared" ref="F47:R47" si="38">SUM(F15:F45)</f>
        <v>-14747.16410385682</v>
      </c>
      <c r="G47" s="49">
        <f t="shared" si="38"/>
        <v>4549</v>
      </c>
      <c r="H47" s="49">
        <f t="shared" si="38"/>
        <v>0</v>
      </c>
      <c r="I47" s="49">
        <f t="shared" si="38"/>
        <v>4549</v>
      </c>
      <c r="J47" s="49">
        <f t="shared" si="38"/>
        <v>25.623317368288269</v>
      </c>
      <c r="K47" s="49">
        <f t="shared" si="38"/>
        <v>4574.6233173682886</v>
      </c>
      <c r="L47" s="49">
        <f t="shared" si="38"/>
        <v>-975.1641038568215</v>
      </c>
      <c r="M47" s="79">
        <f>SUM(M15:M45)</f>
        <v>6284</v>
      </c>
      <c r="N47" s="49">
        <f>SUM(N15:N45)+3.07</f>
        <v>30.07</v>
      </c>
      <c r="O47" s="49">
        <f t="shared" si="38"/>
        <v>2358.3000000000002</v>
      </c>
      <c r="P47" s="52">
        <f>SUM(P15:P45)</f>
        <v>0</v>
      </c>
      <c r="Q47" s="78">
        <f>SUM(Q15:Q45)</f>
        <v>111.70698453927608</v>
      </c>
      <c r="R47" s="78">
        <f t="shared" si="38"/>
        <v>125.05727008000005</v>
      </c>
      <c r="S47" s="78">
        <f t="shared" ref="S47:X47" si="39">SUM(S15:S45)</f>
        <v>39.009084319999985</v>
      </c>
      <c r="T47" s="78">
        <f>SUM(T15:T45)</f>
        <v>45.701645599999992</v>
      </c>
      <c r="U47" s="123">
        <f t="shared" si="39"/>
        <v>0</v>
      </c>
      <c r="V47" s="49">
        <f t="shared" si="39"/>
        <v>3290</v>
      </c>
      <c r="W47" s="49">
        <f t="shared" si="39"/>
        <v>2122</v>
      </c>
      <c r="X47" s="49">
        <f t="shared" si="39"/>
        <v>9681.409910451086</v>
      </c>
      <c r="Y47" s="55">
        <f>SUM(Y15:Y45)</f>
        <v>9681.409910451086</v>
      </c>
      <c r="Z47" s="49"/>
      <c r="AA47" s="55">
        <f>SUM(AA15:AA45)</f>
        <v>3578.7908243574798</v>
      </c>
      <c r="AB47" s="49"/>
      <c r="AD47" s="490"/>
      <c r="AE47" s="490">
        <f>SUM(AE15:AE45)</f>
        <v>0</v>
      </c>
      <c r="AF47" s="49">
        <f>AF12-AF45</f>
        <v>40.291505099303322</v>
      </c>
      <c r="AG47" s="49">
        <f>SUM(AG15:AG45)</f>
        <v>5086</v>
      </c>
      <c r="AH47" s="79">
        <f>SUM(AH15:AH45)</f>
        <v>52.700000000000024</v>
      </c>
      <c r="AI47" s="225">
        <f>SUM(AI15:AI45)</f>
        <v>40.29999999999999</v>
      </c>
      <c r="AJ47" s="49">
        <f>SUM(AJ15:AJ45)</f>
        <v>1539</v>
      </c>
      <c r="AK47" s="49"/>
      <c r="AL47" s="49">
        <f t="shared" ref="AL47:AS47" si="40">SUM(AL15:AL45)</f>
        <v>0</v>
      </c>
      <c r="AM47" s="49">
        <f t="shared" si="40"/>
        <v>18320.999999999996</v>
      </c>
      <c r="AN47" s="49">
        <f t="shared" si="40"/>
        <v>1000.7874212251096</v>
      </c>
      <c r="AO47" s="49">
        <f t="shared" si="40"/>
        <v>19321.787421225108</v>
      </c>
      <c r="AP47" s="354">
        <f t="shared" si="40"/>
        <v>0</v>
      </c>
      <c r="AQ47" s="490">
        <f t="shared" si="40"/>
        <v>0</v>
      </c>
      <c r="AR47" s="49">
        <f t="shared" si="40"/>
        <v>0</v>
      </c>
      <c r="AS47" s="46">
        <f t="shared" si="40"/>
        <v>-5421.8741650703614</v>
      </c>
      <c r="AT47" s="489"/>
      <c r="AU47" s="489"/>
      <c r="AV47" s="489"/>
      <c r="AW47" s="489"/>
      <c r="AX47" s="52"/>
      <c r="AY47" s="42">
        <f>SUM(AY15:AY45)</f>
        <v>692.18489499036218</v>
      </c>
      <c r="AZ47" s="45">
        <f>SUM(AZ15:AZ45)</f>
        <v>244.90000000000012</v>
      </c>
      <c r="BA47" s="42">
        <f>SUM(BA15:BA45)</f>
        <v>0</v>
      </c>
      <c r="BB47" s="42">
        <f>SUM(BB15:BB45)</f>
        <v>0</v>
      </c>
      <c r="BC47" s="80">
        <f>SUM(BC15:BC45)</f>
        <v>0.15</v>
      </c>
      <c r="BD47" s="78">
        <f>AVERAGE(BD15:BD45)</f>
        <v>92.032258064516128</v>
      </c>
      <c r="BE47" s="78">
        <f>AVERAGE(BE15:BE45)</f>
        <v>56.806451612903224</v>
      </c>
      <c r="BF47" s="401" t="s">
        <v>44</v>
      </c>
      <c r="BG47" s="400">
        <f>SUM(BG15:BG45)</f>
        <v>348.47498453927614</v>
      </c>
      <c r="BH47" s="49">
        <f>SUM(BH15:BH45)</f>
        <v>2926.7</v>
      </c>
      <c r="BI47" s="407"/>
      <c r="BJ47" s="605">
        <f>SUM(BJ15:BJ45)</f>
        <v>0</v>
      </c>
      <c r="BK47" s="178">
        <f>SUM(BK15:BK45)</f>
        <v>0</v>
      </c>
      <c r="BN47" s="489"/>
      <c r="BO47" s="489"/>
      <c r="BP47" s="505">
        <f>SUM(BP15:BP44)</f>
        <v>1242.2359100877193</v>
      </c>
      <c r="BQ47" s="505">
        <f>SUM(BQ15:BQ44)</f>
        <v>245.76408991228053</v>
      </c>
    </row>
    <row r="48" spans="1:69" ht="12.95" customHeight="1">
      <c r="A48" s="90" t="s">
        <v>34</v>
      </c>
      <c r="B48" s="76"/>
      <c r="D48" s="49">
        <f>SUM(D15:D45)</f>
        <v>-29251</v>
      </c>
      <c r="F48" s="77">
        <f t="shared" ref="F48:R48" si="41">F47*$D$2</f>
        <v>-29251.000000000004</v>
      </c>
      <c r="G48" s="49">
        <f t="shared" si="41"/>
        <v>9022.9415000000008</v>
      </c>
      <c r="H48" s="49">
        <f t="shared" si="41"/>
        <v>0</v>
      </c>
      <c r="I48" s="49">
        <f t="shared" si="41"/>
        <v>9022.9415000000008</v>
      </c>
      <c r="J48" s="49">
        <f t="shared" si="41"/>
        <v>50.82384999999978</v>
      </c>
      <c r="K48" s="49">
        <f t="shared" si="41"/>
        <v>9073.7653499999997</v>
      </c>
      <c r="L48" s="49">
        <f t="shared" si="41"/>
        <v>-1934.2380000000055</v>
      </c>
      <c r="M48" s="79">
        <f t="shared" si="41"/>
        <v>12464.314</v>
      </c>
      <c r="N48" s="49">
        <f t="shared" si="41"/>
        <v>59.643844999999999</v>
      </c>
      <c r="O48" s="49">
        <f t="shared" si="41"/>
        <v>4677.6880500000007</v>
      </c>
      <c r="P48" s="52">
        <f t="shared" si="41"/>
        <v>0</v>
      </c>
      <c r="Q48" s="78">
        <f>Q47*$D$2</f>
        <v>221.57080383365411</v>
      </c>
      <c r="R48" s="78">
        <f t="shared" si="41"/>
        <v>248.05109520368012</v>
      </c>
      <c r="S48" s="78">
        <f t="shared" ref="S48:Y48" si="42">S47*$D$2</f>
        <v>77.374518748719979</v>
      </c>
      <c r="T48" s="78">
        <f t="shared" si="42"/>
        <v>90.649214047599983</v>
      </c>
      <c r="U48" s="123">
        <f t="shared" si="42"/>
        <v>0</v>
      </c>
      <c r="V48" s="49">
        <f t="shared" si="42"/>
        <v>6525.7150000000001</v>
      </c>
      <c r="W48" s="49">
        <f t="shared" si="42"/>
        <v>4208.9870000000001</v>
      </c>
      <c r="X48" s="49">
        <f t="shared" si="42"/>
        <v>19203.076557379729</v>
      </c>
      <c r="Y48" s="55">
        <f t="shared" si="42"/>
        <v>19203.076557379729</v>
      </c>
      <c r="Z48" s="49"/>
      <c r="AA48" s="55">
        <f t="shared" ref="AA48" si="43">AA47*$D$2</f>
        <v>7098.5316001130614</v>
      </c>
      <c r="AB48" s="49"/>
      <c r="AD48" s="490"/>
      <c r="AE48" s="490">
        <f>AE47*$D$2</f>
        <v>0</v>
      </c>
      <c r="AF48" s="49">
        <f>AF47*$D$2</f>
        <v>79.918200364468134</v>
      </c>
      <c r="AG48" s="49">
        <f t="shared" ref="AG48:AO48" si="44">AG47*$D$2</f>
        <v>10088.081</v>
      </c>
      <c r="AH48" s="79">
        <f>AH47*$D$2</f>
        <v>104.53045000000004</v>
      </c>
      <c r="AI48" s="225">
        <f>AI47*$D$2</f>
        <v>79.935049999999976</v>
      </c>
      <c r="AJ48" s="49">
        <f t="shared" si="44"/>
        <v>3052.6064999999999</v>
      </c>
      <c r="AK48" s="49"/>
      <c r="AL48" s="49">
        <f t="shared" si="44"/>
        <v>0</v>
      </c>
      <c r="AM48" s="49">
        <f t="shared" si="44"/>
        <v>36339.703499999996</v>
      </c>
      <c r="AN48" s="49">
        <f t="shared" si="44"/>
        <v>1985.0618500000048</v>
      </c>
      <c r="AO48" s="49">
        <f t="shared" si="44"/>
        <v>38324.765350000001</v>
      </c>
      <c r="AP48" s="354">
        <f t="shared" ref="AP48:AQ48" si="45">AP47*$D$2</f>
        <v>0</v>
      </c>
      <c r="AQ48" s="490">
        <f t="shared" si="45"/>
        <v>0</v>
      </c>
      <c r="AR48" s="49">
        <f>AR47*$D$2</f>
        <v>0</v>
      </c>
      <c r="AS48" s="48"/>
      <c r="AT48" s="489">
        <f>SUM(AT15:AT45)</f>
        <v>8.370000000000001</v>
      </c>
      <c r="AU48" s="489"/>
      <c r="AV48" s="489"/>
      <c r="AW48" s="489">
        <f>SUM(AW15:AW45)</f>
        <v>1454.7948333333331</v>
      </c>
      <c r="AX48" s="52">
        <f>SUM(AX15:AX45)</f>
        <v>116.5021138421894</v>
      </c>
      <c r="AY48" s="42">
        <f>AY47*$D$2</f>
        <v>1372.9487392133833</v>
      </c>
      <c r="AZ48" s="45">
        <f>AZ47*$D$2</f>
        <v>485.75915000000026</v>
      </c>
      <c r="BA48" s="42">
        <f>BA47*$D$2</f>
        <v>0</v>
      </c>
      <c r="BB48" s="42">
        <f>BB47*$D$2</f>
        <v>0</v>
      </c>
      <c r="BC48" s="80"/>
      <c r="BD48" s="78">
        <f>MAX(BD15:BD45)</f>
        <v>97</v>
      </c>
      <c r="BE48" s="78">
        <f>MAX(BE15:BE45)</f>
        <v>66</v>
      </c>
      <c r="BF48" s="401" t="s">
        <v>35</v>
      </c>
      <c r="BG48" s="400">
        <f>BG47*$D$2</f>
        <v>691.20013183365427</v>
      </c>
      <c r="BH48" s="49">
        <f>BH47*$D$2</f>
        <v>5805.1094499999999</v>
      </c>
      <c r="BI48" s="407"/>
      <c r="BJ48" s="605">
        <f>BJ47*$D$2</f>
        <v>0</v>
      </c>
      <c r="BK48" s="178">
        <f>BK47*$D$2</f>
        <v>0</v>
      </c>
      <c r="BN48" s="489"/>
      <c r="BO48" s="489"/>
      <c r="BP48" s="505">
        <f>BP47*$D$2</f>
        <v>2463.9749276589914</v>
      </c>
      <c r="BQ48" s="505">
        <f>BQ47*$D$2</f>
        <v>487.47307234100845</v>
      </c>
    </row>
    <row r="49" spans="1:69" ht="3" customHeight="1">
      <c r="A49" s="54"/>
      <c r="B49" s="93"/>
      <c r="C49" s="51"/>
      <c r="D49" s="51"/>
      <c r="E49" s="51"/>
      <c r="F49" s="94"/>
      <c r="G49" s="51"/>
      <c r="H49" s="51"/>
      <c r="I49" s="51"/>
      <c r="J49" s="51"/>
      <c r="K49" s="51"/>
      <c r="L49" s="51"/>
      <c r="M49" s="95"/>
      <c r="N49" s="51"/>
      <c r="O49" s="51"/>
      <c r="P49" s="198"/>
      <c r="Q49" s="88"/>
      <c r="R49" s="88"/>
      <c r="S49" s="88"/>
      <c r="T49" s="88"/>
      <c r="U49" s="124"/>
      <c r="V49" s="51"/>
      <c r="W49" s="51"/>
      <c r="X49" s="57"/>
      <c r="Y49" s="57"/>
      <c r="Z49" s="51"/>
      <c r="AA49" s="57"/>
      <c r="AB49" s="51"/>
      <c r="AC49" s="51"/>
      <c r="AD49" s="495"/>
      <c r="AE49" s="495"/>
      <c r="AF49" s="51"/>
      <c r="AG49" s="51"/>
      <c r="AH49" s="95"/>
      <c r="AI49" s="226"/>
      <c r="AJ49" s="51"/>
      <c r="AK49" s="54"/>
      <c r="AL49" s="51"/>
      <c r="AM49" s="51"/>
      <c r="AN49" s="51"/>
      <c r="AO49" s="51"/>
      <c r="AP49" s="96"/>
      <c r="AQ49" s="495"/>
      <c r="AR49" s="51"/>
      <c r="AS49" s="50"/>
      <c r="AT49" s="495"/>
      <c r="AU49" s="495"/>
      <c r="AV49" s="495"/>
      <c r="AW49" s="495"/>
      <c r="AX49" s="198"/>
      <c r="AY49" s="29"/>
      <c r="AZ49" s="44"/>
      <c r="BA49" s="41"/>
      <c r="BB49" s="29"/>
      <c r="BC49" s="96"/>
      <c r="BD49" s="51"/>
      <c r="BE49" s="51"/>
      <c r="BF49" s="51"/>
      <c r="BG49" s="51"/>
      <c r="BH49" s="51"/>
      <c r="BI49" s="51"/>
      <c r="BJ49" s="69"/>
      <c r="BK49" s="190"/>
      <c r="BM49" s="572"/>
      <c r="BN49" s="497"/>
      <c r="BO49" s="497"/>
      <c r="BP49" s="506"/>
      <c r="BQ49" s="506"/>
    </row>
    <row r="50" spans="1:69" ht="12.95" customHeight="1">
      <c r="A50" s="90" t="s">
        <v>36</v>
      </c>
      <c r="B50" s="76"/>
      <c r="D50" s="49"/>
      <c r="F50" s="77">
        <f t="shared" ref="F50:O50" si="46">F12+F47</f>
        <v>-41240.736072598942</v>
      </c>
      <c r="G50" s="49">
        <f t="shared" si="46"/>
        <v>53662.1</v>
      </c>
      <c r="H50" s="49">
        <f t="shared" si="46"/>
        <v>133.2227</v>
      </c>
      <c r="I50" s="49">
        <f t="shared" si="46"/>
        <v>53795.322699999997</v>
      </c>
      <c r="J50" s="49">
        <f t="shared" si="46"/>
        <v>245.61600932694714</v>
      </c>
      <c r="K50" s="49">
        <f t="shared" si="46"/>
        <v>54040.928709326938</v>
      </c>
      <c r="L50" s="49">
        <f t="shared" si="46"/>
        <v>-4647.4567725989436</v>
      </c>
      <c r="M50" s="79">
        <f t="shared" si="46"/>
        <v>36108.199999999997</v>
      </c>
      <c r="N50" s="49">
        <f>N12+N47</f>
        <v>111.31725737332997</v>
      </c>
      <c r="O50" s="49">
        <f t="shared" si="46"/>
        <v>11466.283500000001</v>
      </c>
      <c r="P50" s="52">
        <f>P12+P47</f>
        <v>7.0600000000000005</v>
      </c>
      <c r="Q50" s="78"/>
      <c r="R50" s="78"/>
      <c r="S50" s="78"/>
      <c r="T50" s="78"/>
      <c r="U50" s="123"/>
      <c r="V50" s="49">
        <f>V12+V47</f>
        <v>14278</v>
      </c>
      <c r="W50" s="49">
        <f>W12+W47</f>
        <v>8453.7199999999993</v>
      </c>
      <c r="X50" s="49">
        <f>X12+X47</f>
        <v>48057.466485905519</v>
      </c>
      <c r="Y50" s="55">
        <f>Y12+Y47</f>
        <v>47955.511066998763</v>
      </c>
      <c r="Z50" s="62"/>
      <c r="AA50" s="55">
        <f>AA12+AA47</f>
        <v>10412.716048060724</v>
      </c>
      <c r="AB50" s="49"/>
      <c r="AD50" s="490"/>
      <c r="AE50" s="490">
        <f>AE12+AE47</f>
        <v>0</v>
      </c>
      <c r="AF50" s="49">
        <f>AF47+AF13</f>
        <v>40.291505099303322</v>
      </c>
      <c r="AG50" s="49">
        <f>AG12+AG47</f>
        <v>24196.739999999998</v>
      </c>
      <c r="AH50" s="79">
        <f>AH12+AH47</f>
        <v>260.10000000000014</v>
      </c>
      <c r="AI50" s="225">
        <f>AI12+AI47</f>
        <v>198.89999999999995</v>
      </c>
      <c r="AJ50" s="49">
        <f t="shared" ref="AJ50" si="47">AJ12+AJ47</f>
        <v>7354</v>
      </c>
      <c r="AK50" s="49"/>
      <c r="AL50" s="49">
        <f t="shared" ref="AL50:AQ50" si="48">AL12+AL47</f>
        <v>0</v>
      </c>
      <c r="AM50" s="49">
        <f t="shared" si="48"/>
        <v>90388.592000000004</v>
      </c>
      <c r="AN50" s="49">
        <f t="shared" si="48"/>
        <v>4893.0727819258909</v>
      </c>
      <c r="AO50" s="49">
        <f t="shared" si="48"/>
        <v>95281.664781925894</v>
      </c>
      <c r="AP50" s="354">
        <f t="shared" si="48"/>
        <v>2313.4365242127687</v>
      </c>
      <c r="AQ50" s="490">
        <f t="shared" si="48"/>
        <v>487.44617130124823</v>
      </c>
      <c r="AR50" s="48"/>
      <c r="AS50" s="48"/>
      <c r="AT50" s="489"/>
      <c r="AU50" s="489"/>
      <c r="AV50" s="489"/>
      <c r="AW50" s="489"/>
      <c r="AX50" s="52"/>
      <c r="AY50" s="42">
        <f>AY12+AY47</f>
        <v>2134.5886807964262</v>
      </c>
      <c r="AZ50" s="45">
        <f>AZ12+AZ47</f>
        <v>636.24800000000027</v>
      </c>
      <c r="BA50" s="42">
        <f>BA12+BA47</f>
        <v>2.0680000000000001</v>
      </c>
      <c r="BB50" s="42">
        <f>BB12+BB47</f>
        <v>0</v>
      </c>
      <c r="BC50" s="80" t="s">
        <v>131</v>
      </c>
      <c r="BD50" s="78">
        <f>MIN(BD15:BD45)</f>
        <v>86</v>
      </c>
      <c r="BE50" s="78">
        <f>MIN(BE15:BE45)</f>
        <v>51</v>
      </c>
      <c r="BF50" s="401" t="s">
        <v>37</v>
      </c>
      <c r="BG50" s="400">
        <f>BG12+BG47</f>
        <v>1500.5291948908975</v>
      </c>
      <c r="BH50" s="49">
        <f>BH12+BH47</f>
        <v>4312.58</v>
      </c>
      <c r="BI50" s="407"/>
      <c r="BJ50" s="605">
        <f>BJ47+BJ12</f>
        <v>5045.202419108532</v>
      </c>
      <c r="BK50" s="178">
        <f>BK47+BK12</f>
        <v>4455.8195433886603</v>
      </c>
      <c r="BN50" s="489"/>
      <c r="BO50" s="489"/>
      <c r="BP50" s="505"/>
      <c r="BQ50" s="505"/>
    </row>
    <row r="51" spans="1:69" ht="12.75">
      <c r="A51" s="90" t="s">
        <v>38</v>
      </c>
      <c r="B51" s="76"/>
      <c r="D51" s="49"/>
      <c r="F51" s="77">
        <f t="shared" ref="F51:P51" si="49">F50*$D$2</f>
        <v>-81801</v>
      </c>
      <c r="G51" s="49">
        <f t="shared" si="49"/>
        <v>106438.77535</v>
      </c>
      <c r="H51" s="49">
        <f t="shared" si="49"/>
        <v>264.24722545000003</v>
      </c>
      <c r="I51" s="49">
        <f t="shared" si="49"/>
        <v>106703.02257545</v>
      </c>
      <c r="J51" s="49">
        <f t="shared" si="49"/>
        <v>487.17935449999965</v>
      </c>
      <c r="K51" s="49">
        <f t="shared" si="49"/>
        <v>107190.18209494998</v>
      </c>
      <c r="L51" s="49">
        <f t="shared" si="49"/>
        <v>-9218.2305084500058</v>
      </c>
      <c r="M51" s="79">
        <f t="shared" si="49"/>
        <v>71620.614699999991</v>
      </c>
      <c r="N51" s="49">
        <f t="shared" si="49"/>
        <v>220.79777999999999</v>
      </c>
      <c r="O51" s="49">
        <f t="shared" si="49"/>
        <v>22743.373322250001</v>
      </c>
      <c r="P51" s="52">
        <f t="shared" si="49"/>
        <v>14.003510000000002</v>
      </c>
      <c r="Q51" s="78"/>
      <c r="R51" s="78"/>
      <c r="S51" s="78"/>
      <c r="T51" s="78"/>
      <c r="U51" s="123"/>
      <c r="V51" s="49">
        <f>V50*$D$2</f>
        <v>28320.413</v>
      </c>
      <c r="W51" s="49">
        <f>W50*$D$2</f>
        <v>16767.95362</v>
      </c>
      <c r="X51" s="49">
        <f>X50*$D$2</f>
        <v>95321.9847747936</v>
      </c>
      <c r="Y51" s="55">
        <f>Y50*$D$2</f>
        <v>95119.756201392054</v>
      </c>
      <c r="Z51" s="62"/>
      <c r="AA51" s="55">
        <f t="shared" ref="AA51" si="50">AA50*$D$2</f>
        <v>20653.622281328444</v>
      </c>
      <c r="AB51" s="49"/>
      <c r="AD51" s="490"/>
      <c r="AE51" s="490">
        <f t="shared" ref="AE51:AJ51" si="51">AE50*$D$2</f>
        <v>0</v>
      </c>
      <c r="AF51" s="49">
        <f t="shared" si="51"/>
        <v>79.918200364468134</v>
      </c>
      <c r="AG51" s="225">
        <f t="shared" si="51"/>
        <v>47994.233789999998</v>
      </c>
      <c r="AH51" s="49">
        <f t="shared" si="51"/>
        <v>515.90835000000027</v>
      </c>
      <c r="AI51" s="49">
        <f t="shared" si="51"/>
        <v>394.51814999999993</v>
      </c>
      <c r="AJ51" s="49">
        <f t="shared" si="51"/>
        <v>14586.659</v>
      </c>
      <c r="AK51" s="49"/>
      <c r="AL51" s="49">
        <f>AL50*$D$2</f>
        <v>0</v>
      </c>
      <c r="AM51" s="49">
        <f>AM50*$D$2</f>
        <v>179285.77223200002</v>
      </c>
      <c r="AN51" s="49">
        <f>AN50*$D$2</f>
        <v>9705.409862950004</v>
      </c>
      <c r="AO51" s="49">
        <f>AO50*$D$2</f>
        <v>188991.18209495003</v>
      </c>
      <c r="AP51" s="354">
        <f t="shared" ref="AP51:AQ51" si="52">AP50*$D$2</f>
        <v>4588.7013457760268</v>
      </c>
      <c r="AQ51" s="490">
        <f t="shared" si="52"/>
        <v>966.84948077602587</v>
      </c>
      <c r="AR51" s="48"/>
      <c r="AS51" s="48"/>
      <c r="AT51" s="559">
        <f>AT13+AT48</f>
        <v>42.53</v>
      </c>
      <c r="AU51" s="489"/>
      <c r="AV51" s="489"/>
      <c r="AW51" s="489">
        <f>AW13+AW48</f>
        <v>8575.7664999999997</v>
      </c>
      <c r="AX51" s="46">
        <f>AX12+AX48</f>
        <v>1082.6770651669035</v>
      </c>
      <c r="AY51" s="42">
        <f>AY50*$D$2</f>
        <v>4233.9566483597109</v>
      </c>
      <c r="AZ51" s="45">
        <f>AZ50*$D$2</f>
        <v>1261.9979080000005</v>
      </c>
      <c r="BA51" s="42">
        <f>BA50*$D$2</f>
        <v>4.1018780000000001</v>
      </c>
      <c r="BB51" s="42">
        <f>BB50*$D$2</f>
        <v>0</v>
      </c>
      <c r="BC51" s="80">
        <f>JUL!BC51+BC47</f>
        <v>2.61</v>
      </c>
      <c r="BD51" s="78"/>
      <c r="BE51" s="78"/>
      <c r="BF51" s="378"/>
      <c r="BG51" s="400">
        <f>BG50*$D$2</f>
        <v>2976.2996580660952</v>
      </c>
      <c r="BH51" s="49">
        <f>BH50*$D$2</f>
        <v>8554.0024300000005</v>
      </c>
      <c r="BI51" s="407"/>
      <c r="BJ51" s="605">
        <f>BJ50*$D$2</f>
        <v>10007.158998301773</v>
      </c>
      <c r="BK51" s="178">
        <f>BK50*$D$2</f>
        <v>8838.1180643114076</v>
      </c>
      <c r="BN51" s="489"/>
      <c r="BO51" s="489"/>
      <c r="BP51" s="505"/>
      <c r="BQ51" s="505"/>
    </row>
    <row r="52" spans="1:69" ht="3" customHeight="1">
      <c r="A52" s="54"/>
      <c r="B52" s="93"/>
      <c r="C52" s="51"/>
      <c r="D52" s="51"/>
      <c r="E52" s="51"/>
      <c r="F52" s="94"/>
      <c r="G52" s="51"/>
      <c r="H52" s="88"/>
      <c r="I52" s="51"/>
      <c r="J52" s="51"/>
      <c r="K52" s="51"/>
      <c r="L52" s="51"/>
      <c r="M52" s="95"/>
      <c r="N52" s="51"/>
      <c r="O52" s="51"/>
      <c r="P52" s="198"/>
      <c r="Q52" s="88"/>
      <c r="R52" s="88"/>
      <c r="S52" s="88"/>
      <c r="T52" s="88"/>
      <c r="U52" s="124"/>
      <c r="V52" s="51"/>
      <c r="W52" s="51"/>
      <c r="X52" s="57"/>
      <c r="Y52" s="57"/>
      <c r="Z52" s="51"/>
      <c r="AA52" s="57"/>
      <c r="AB52" s="51"/>
      <c r="AC52" s="51"/>
      <c r="AD52" s="495"/>
      <c r="AE52" s="495"/>
      <c r="AF52" s="51"/>
      <c r="AG52" s="226"/>
      <c r="AH52" s="57"/>
      <c r="AI52" s="57"/>
      <c r="AJ52" s="95"/>
      <c r="AK52" s="51"/>
      <c r="AL52" s="51"/>
      <c r="AM52" s="51"/>
      <c r="AN52" s="51"/>
      <c r="AO52" s="51"/>
      <c r="AP52" s="87"/>
      <c r="AQ52" s="495"/>
      <c r="AR52" s="53"/>
      <c r="AS52" s="50"/>
      <c r="AT52" s="496"/>
      <c r="AU52" s="496"/>
      <c r="AV52" s="496"/>
      <c r="AW52" s="496"/>
      <c r="AX52" s="198"/>
      <c r="AY52" s="29"/>
      <c r="AZ52" s="50"/>
      <c r="BA52" s="29"/>
      <c r="BB52" s="29"/>
      <c r="BC52" s="87"/>
      <c r="BD52" s="53"/>
      <c r="BE52" s="53"/>
      <c r="BF52" s="53"/>
      <c r="BG52" s="53"/>
      <c r="BH52" s="53"/>
      <c r="BI52" s="53"/>
      <c r="BJ52" s="193"/>
      <c r="BK52" s="594"/>
      <c r="BM52" s="572"/>
      <c r="BN52" s="497"/>
      <c r="BO52" s="497"/>
      <c r="BP52" s="506"/>
      <c r="BQ52" s="506"/>
    </row>
    <row r="53" spans="1:69" ht="12.95" customHeight="1">
      <c r="A53" s="90" t="s">
        <v>39</v>
      </c>
      <c r="B53" s="76"/>
      <c r="D53" s="49"/>
      <c r="F53" s="77">
        <f t="shared" ref="F53:R53" si="53">F13+F47</f>
        <v>-47259.389967229647</v>
      </c>
      <c r="G53" s="49">
        <f t="shared" si="53"/>
        <v>60271.9</v>
      </c>
      <c r="H53" s="78">
        <f t="shared" si="53"/>
        <v>181.4727</v>
      </c>
      <c r="I53" s="49">
        <f t="shared" si="53"/>
        <v>60453.3727</v>
      </c>
      <c r="J53" s="49">
        <f t="shared" si="53"/>
        <v>2119.4601414166873</v>
      </c>
      <c r="K53" s="49">
        <f t="shared" si="53"/>
        <v>62572.822841416681</v>
      </c>
      <c r="L53" s="49">
        <f t="shared" si="53"/>
        <v>-4954.1206672296476</v>
      </c>
      <c r="M53" s="79">
        <f t="shared" si="53"/>
        <v>36888.74</v>
      </c>
      <c r="N53" s="49">
        <f>N13+N47</f>
        <v>111.31725737332997</v>
      </c>
      <c r="O53" s="49">
        <f t="shared" si="53"/>
        <v>11466.283500000001</v>
      </c>
      <c r="Q53" s="78">
        <f>Q13+Q47</f>
        <v>746.77093042281888</v>
      </c>
      <c r="R53" s="78">
        <f t="shared" si="53"/>
        <v>568.73386208000022</v>
      </c>
      <c r="S53" s="78">
        <f t="shared" ref="S53:Y53" si="54">S13+S47</f>
        <v>366.57578799999993</v>
      </c>
      <c r="T53" s="78">
        <f>T13+T47</f>
        <v>281.36268576000009</v>
      </c>
      <c r="U53" s="424">
        <f t="shared" si="54"/>
        <v>-46.583886557747249</v>
      </c>
      <c r="V53" s="49">
        <f t="shared" si="54"/>
        <v>19470</v>
      </c>
      <c r="W53" s="49">
        <f t="shared" si="54"/>
        <v>8487.2199999999993</v>
      </c>
      <c r="X53" s="49">
        <f t="shared" si="54"/>
        <v>53480.030543718021</v>
      </c>
      <c r="Y53" s="55">
        <f t="shared" si="54"/>
        <v>53229.959711794101</v>
      </c>
      <c r="Z53" s="49"/>
      <c r="AA53" s="55"/>
      <c r="AB53" s="49"/>
      <c r="AD53" s="490"/>
      <c r="AE53" s="490">
        <f>AE12+AE47</f>
        <v>0</v>
      </c>
      <c r="AF53" s="49">
        <f>AF47+AF13</f>
        <v>40.291505099303322</v>
      </c>
      <c r="AG53" s="225"/>
      <c r="AH53" s="55">
        <f>AH13+AH47</f>
        <v>260.10000000000014</v>
      </c>
      <c r="AI53" s="55">
        <f>AI13+AI47</f>
        <v>198.89999999999995</v>
      </c>
      <c r="AJ53" s="79">
        <f>AJ13+AJ47</f>
        <v>13718</v>
      </c>
      <c r="AK53" s="49">
        <f>AK45</f>
        <v>6651.511822044311</v>
      </c>
      <c r="AL53" s="49">
        <f t="shared" ref="AL53:AR53" si="55">AL13+AL47</f>
        <v>0</v>
      </c>
      <c r="AM53" s="49">
        <f t="shared" si="55"/>
        <v>102758.632</v>
      </c>
      <c r="AN53" s="49">
        <f t="shared" si="55"/>
        <v>7073.5808086463348</v>
      </c>
      <c r="AO53" s="446">
        <f t="shared" si="55"/>
        <v>109832.21280864633</v>
      </c>
      <c r="AP53" s="49">
        <f t="shared" si="55"/>
        <v>7457.0372300358085</v>
      </c>
      <c r="AQ53" s="490">
        <f>AQ13+AQ47</f>
        <v>487.44617130124823</v>
      </c>
      <c r="AR53" s="49">
        <f t="shared" si="55"/>
        <v>250.07083192391997</v>
      </c>
      <c r="AS53" s="48"/>
      <c r="AT53" s="489"/>
      <c r="AU53" s="489"/>
      <c r="AV53" s="489"/>
      <c r="AW53" s="489"/>
      <c r="AX53" s="52"/>
      <c r="AY53" s="52"/>
      <c r="AZ53" s="49">
        <f>AZ13+AZ47</f>
        <v>636.24800000000027</v>
      </c>
      <c r="BA53" s="46">
        <f>BA12+BA47</f>
        <v>2.0680000000000001</v>
      </c>
      <c r="BB53" s="446">
        <f>BB13+BB47</f>
        <v>0</v>
      </c>
      <c r="BC53" s="80">
        <f>BC13+BC47</f>
        <v>9.5050000000000008</v>
      </c>
      <c r="BD53" s="78"/>
      <c r="BE53" s="78"/>
      <c r="BF53" s="378"/>
      <c r="BG53" s="400">
        <f>BG13+BG47</f>
        <v>2032.1666370784019</v>
      </c>
      <c r="BH53" s="49">
        <f>BH13+BH47</f>
        <v>4552.3959999999997</v>
      </c>
      <c r="BI53" s="407"/>
      <c r="BJ53" s="605">
        <f>BJ13+BJ47</f>
        <v>5045.202419108532</v>
      </c>
      <c r="BK53" s="178">
        <f>BK13+BK47</f>
        <v>4455.8195433886603</v>
      </c>
      <c r="BN53" s="489"/>
      <c r="BO53" s="489"/>
      <c r="BP53" s="505">
        <f>BP13+BP47</f>
        <v>1242.2359100877193</v>
      </c>
      <c r="BQ53" s="505">
        <f>BQ13+BQ47</f>
        <v>245.76408991228053</v>
      </c>
    </row>
    <row r="54" spans="1:69" ht="12.95" customHeight="1">
      <c r="A54" s="90" t="s">
        <v>40</v>
      </c>
      <c r="B54" s="76"/>
      <c r="D54" s="49">
        <f>D13+D48</f>
        <v>-93739</v>
      </c>
      <c r="E54" s="49">
        <f>E45</f>
        <v>46656</v>
      </c>
      <c r="F54" s="77">
        <f t="shared" ref="F54:AK54" si="56">F53*$D$2</f>
        <v>-93739</v>
      </c>
      <c r="G54" s="49">
        <f t="shared" si="56"/>
        <v>119549.31365000001</v>
      </c>
      <c r="H54" s="78">
        <f t="shared" si="56"/>
        <v>359.95110045000001</v>
      </c>
      <c r="I54" s="49">
        <f t="shared" si="56"/>
        <v>119909.26475045001</v>
      </c>
      <c r="J54" s="49">
        <f t="shared" si="56"/>
        <v>4203.9491904999995</v>
      </c>
      <c r="K54" s="49">
        <f t="shared" si="56"/>
        <v>124113.19410594999</v>
      </c>
      <c r="L54" s="49">
        <f t="shared" si="56"/>
        <v>-9826.4983434500064</v>
      </c>
      <c r="M54" s="79">
        <f t="shared" si="56"/>
        <v>73168.815789999993</v>
      </c>
      <c r="N54" s="49">
        <f t="shared" si="56"/>
        <v>220.79777999999999</v>
      </c>
      <c r="O54" s="49">
        <f t="shared" si="56"/>
        <v>22743.373322250001</v>
      </c>
      <c r="Q54" s="78">
        <f>Q53*$D$2</f>
        <v>1481.2201404936613</v>
      </c>
      <c r="R54" s="78">
        <f t="shared" si="56"/>
        <v>1128.0836154356805</v>
      </c>
      <c r="S54" s="251">
        <f>S53*$D$2</f>
        <v>727.10307549799984</v>
      </c>
      <c r="T54" s="251">
        <f>T53*$D$2</f>
        <v>558.08288720496023</v>
      </c>
      <c r="U54" s="404">
        <f>U53*$D$2</f>
        <v>-92.399138987291664</v>
      </c>
      <c r="V54" s="49">
        <f t="shared" si="56"/>
        <v>38618.745000000003</v>
      </c>
      <c r="W54" s="49">
        <f t="shared" si="56"/>
        <v>16834.400869999998</v>
      </c>
      <c r="X54" s="49">
        <f t="shared" si="56"/>
        <v>106077.6405834647</v>
      </c>
      <c r="Y54" s="55">
        <f t="shared" si="56"/>
        <v>105581.6250883436</v>
      </c>
      <c r="Z54" s="49"/>
      <c r="AA54" s="55"/>
      <c r="AB54" s="49"/>
      <c r="AD54" s="490"/>
      <c r="AE54" s="490">
        <f>AE53*$D$2</f>
        <v>0</v>
      </c>
      <c r="AF54" s="49">
        <f>AF53*$D$2</f>
        <v>79.918200364468134</v>
      </c>
      <c r="AG54" s="225"/>
      <c r="AH54" s="55">
        <f>AH53*$D$2</f>
        <v>515.90835000000027</v>
      </c>
      <c r="AI54" s="55">
        <f>AI53*$D$2</f>
        <v>394.51814999999993</v>
      </c>
      <c r="AJ54" s="79">
        <f t="shared" si="56"/>
        <v>27209.653000000002</v>
      </c>
      <c r="AK54" s="49">
        <f t="shared" si="56"/>
        <v>13193.27369902489</v>
      </c>
      <c r="AL54" s="49">
        <f t="shared" ref="AL54:AR54" si="57">AL53*$D$2</f>
        <v>0</v>
      </c>
      <c r="AM54" s="49">
        <f t="shared" si="57"/>
        <v>203821.746572</v>
      </c>
      <c r="AN54" s="49">
        <f t="shared" si="57"/>
        <v>14030.447533950006</v>
      </c>
      <c r="AO54" s="447">
        <f t="shared" si="57"/>
        <v>217852.19410595001</v>
      </c>
      <c r="AP54" s="49">
        <f t="shared" si="57"/>
        <v>14791.033345776026</v>
      </c>
      <c r="AQ54" s="490">
        <f t="shared" si="57"/>
        <v>966.84948077602587</v>
      </c>
      <c r="AR54" s="49">
        <f t="shared" si="57"/>
        <v>496.01549512109528</v>
      </c>
      <c r="AS54" s="48"/>
      <c r="AT54" s="489"/>
      <c r="AU54" s="489"/>
      <c r="AV54" s="489"/>
      <c r="AW54" s="489"/>
      <c r="AX54" s="46">
        <f>AX12+AX48</f>
        <v>1082.6770651669035</v>
      </c>
      <c r="AY54" s="52"/>
      <c r="AZ54" s="49">
        <f>AZ53*$D$2</f>
        <v>1261.9979080000005</v>
      </c>
      <c r="BA54" s="46">
        <f>BA53*$D$2</f>
        <v>4.1018780000000001</v>
      </c>
      <c r="BB54" s="447">
        <f>BB53*$D$2</f>
        <v>0</v>
      </c>
      <c r="BC54" s="80"/>
      <c r="BD54" s="78"/>
      <c r="BE54" s="78"/>
      <c r="BF54" s="378"/>
      <c r="BG54" s="400">
        <f>BG53*$D$2</f>
        <v>4030.8025246450102</v>
      </c>
      <c r="BH54" s="49">
        <f>BH53*$D$2</f>
        <v>9029.6774659999992</v>
      </c>
      <c r="BI54" s="407"/>
      <c r="BJ54" s="410">
        <f>BJ53*$D$2</f>
        <v>10007.158998301773</v>
      </c>
      <c r="BK54" s="411">
        <f>BK53*$D$2</f>
        <v>8838.1180643114076</v>
      </c>
      <c r="BN54" s="489"/>
      <c r="BO54" s="489"/>
      <c r="BP54" s="505">
        <f>BP53*$D$2</f>
        <v>2463.9749276589914</v>
      </c>
      <c r="BQ54" s="505">
        <f>BQ53*$D$2</f>
        <v>487.47307234100845</v>
      </c>
    </row>
    <row r="55" spans="1:69" ht="3" customHeight="1">
      <c r="A55" s="54"/>
      <c r="B55" s="93"/>
      <c r="C55" s="51"/>
      <c r="D55" s="54"/>
      <c r="E55" s="51"/>
      <c r="F55" s="84"/>
      <c r="G55" s="54"/>
      <c r="H55" s="85"/>
      <c r="I55" s="54"/>
      <c r="J55" s="54"/>
      <c r="K55" s="330"/>
      <c r="L55" s="54"/>
      <c r="M55" s="86"/>
      <c r="N55" s="54"/>
      <c r="O55" s="54"/>
      <c r="P55" s="198"/>
      <c r="Q55" s="198"/>
      <c r="R55" s="440"/>
      <c r="S55" s="198"/>
      <c r="T55" s="198"/>
      <c r="U55" s="124"/>
      <c r="V55" s="54"/>
      <c r="W55" s="54"/>
      <c r="X55" s="54"/>
      <c r="Y55" s="54"/>
      <c r="Z55" s="51"/>
      <c r="AA55" s="54"/>
      <c r="AB55" s="51"/>
      <c r="AC55" s="51"/>
      <c r="AD55" s="537"/>
      <c r="AE55" s="537"/>
      <c r="AF55" s="51"/>
      <c r="AG55" s="419"/>
      <c r="AH55" s="59"/>
      <c r="AI55" s="59"/>
      <c r="AJ55" s="86"/>
      <c r="AK55" s="51"/>
      <c r="AL55" s="51"/>
      <c r="AM55" s="54"/>
      <c r="AN55" s="54"/>
      <c r="AO55" s="54"/>
      <c r="AP55" s="93"/>
      <c r="AQ55" s="497"/>
      <c r="AR55" s="54"/>
      <c r="AS55" s="50"/>
      <c r="AT55" s="497"/>
      <c r="AU55" s="497"/>
      <c r="AV55" s="497"/>
      <c r="AW55" s="497"/>
      <c r="AX55" s="198"/>
      <c r="AY55" s="29"/>
      <c r="AZ55" s="29"/>
      <c r="BA55" s="29"/>
      <c r="BB55" s="29"/>
      <c r="BC55" s="93"/>
      <c r="BD55" s="54"/>
      <c r="BE55" s="54"/>
      <c r="BF55" s="54"/>
      <c r="BG55" s="54"/>
      <c r="BH55" s="54"/>
      <c r="BI55" s="54"/>
      <c r="BJ55" s="275"/>
      <c r="BK55" s="300"/>
      <c r="BM55" s="572"/>
      <c r="BN55" s="578"/>
      <c r="BO55" s="578"/>
      <c r="BP55" s="579"/>
      <c r="BQ55" s="579"/>
    </row>
    <row r="56" spans="1:69" ht="11.1" customHeight="1">
      <c r="A56" s="331"/>
      <c r="B56" s="314"/>
      <c r="C56" s="31"/>
      <c r="D56" s="61"/>
      <c r="E56" s="31"/>
      <c r="F56" s="60"/>
      <c r="G56" s="60"/>
      <c r="H56" s="289"/>
      <c r="I56" s="61"/>
      <c r="J56" s="61"/>
      <c r="K56" s="9"/>
      <c r="L56" s="49"/>
      <c r="M56" s="61"/>
      <c r="N56" s="61"/>
      <c r="O56" s="61"/>
      <c r="P56" s="38"/>
      <c r="Q56" s="38"/>
      <c r="R56" s="38"/>
      <c r="S56" s="38"/>
      <c r="T56" s="38"/>
      <c r="U56" s="38"/>
      <c r="V56" s="61"/>
      <c r="W56" s="61"/>
      <c r="X56" s="61"/>
      <c r="Y56" s="61"/>
      <c r="Z56" s="60"/>
      <c r="AA56" s="61"/>
      <c r="AB56" s="60"/>
      <c r="AC56" s="60"/>
      <c r="AD56" s="510"/>
      <c r="AE56" s="510"/>
      <c r="AF56" s="31"/>
      <c r="AG56" s="61"/>
      <c r="AH56" s="61"/>
      <c r="AI56" s="61"/>
      <c r="AJ56" s="61"/>
      <c r="AK56" s="31"/>
      <c r="AL56" s="6"/>
      <c r="AM56" s="31"/>
      <c r="AN56" s="90"/>
      <c r="AO56" s="90"/>
      <c r="AP56" s="15"/>
      <c r="AQ56" s="541"/>
      <c r="AR56" s="15"/>
      <c r="AT56" s="484"/>
      <c r="AU56" s="484"/>
      <c r="AV56" s="484"/>
      <c r="AW56" s="484"/>
      <c r="AX56" s="11"/>
      <c r="AY56" s="11"/>
      <c r="AZ56" s="21"/>
      <c r="BC56" s="52"/>
      <c r="BD56" s="78"/>
      <c r="BE56" s="78"/>
      <c r="BJ56" s="598"/>
      <c r="BK56"/>
      <c r="BP56" s="531"/>
      <c r="BQ56" s="531"/>
    </row>
    <row r="57" spans="1:69" ht="11.1" customHeight="1">
      <c r="A57" s="90"/>
      <c r="B57" s="24"/>
      <c r="C57" s="31"/>
      <c r="D57" s="60"/>
      <c r="E57" s="10"/>
      <c r="F57" s="141"/>
      <c r="G57" s="60"/>
      <c r="H57" s="289"/>
      <c r="I57" s="164"/>
      <c r="J57" s="61"/>
      <c r="K57" s="287"/>
      <c r="L57" s="46"/>
      <c r="M57" s="61"/>
      <c r="N57" s="61"/>
      <c r="O57" s="31"/>
      <c r="P57" s="38"/>
      <c r="Q57" s="38"/>
      <c r="R57" s="38"/>
      <c r="S57" s="38"/>
      <c r="T57" s="38"/>
      <c r="U57" s="38"/>
      <c r="V57" s="60"/>
      <c r="W57" s="61"/>
      <c r="X57" s="31"/>
      <c r="Y57" s="31"/>
      <c r="Z57" s="49"/>
      <c r="AA57" s="31"/>
      <c r="AB57" s="49"/>
      <c r="AC57" s="26"/>
      <c r="AD57" s="538"/>
      <c r="AE57" s="538"/>
      <c r="AF57" s="26"/>
      <c r="AG57" s="31"/>
      <c r="AH57" s="31"/>
      <c r="AI57" s="31"/>
      <c r="AJ57" s="61"/>
      <c r="AK57" s="31"/>
      <c r="AL57" s="6"/>
      <c r="AM57" s="31"/>
      <c r="AN57" s="90"/>
      <c r="AO57" s="52"/>
      <c r="AP57" s="270"/>
      <c r="AQ57" s="484"/>
      <c r="AR57" s="270"/>
      <c r="AT57" s="484"/>
      <c r="AU57" s="484"/>
      <c r="AV57" s="484"/>
      <c r="AW57" s="484"/>
      <c r="AX57" s="11"/>
      <c r="AY57" s="11"/>
      <c r="AZ57" s="21"/>
      <c r="BC57" s="78"/>
      <c r="BD57" s="78"/>
      <c r="BE57" s="78"/>
      <c r="BN57" s="580"/>
      <c r="BO57" s="580"/>
      <c r="BP57" s="531"/>
      <c r="BQ57" s="531"/>
    </row>
    <row r="58" spans="1:69" ht="11.1" customHeight="1">
      <c r="B58" s="49"/>
      <c r="E58" s="10"/>
      <c r="F58" s="175"/>
      <c r="G58" s="60"/>
      <c r="H58" s="289"/>
      <c r="I58" s="60"/>
      <c r="J58" s="60"/>
      <c r="K58" s="6"/>
      <c r="L58" s="49"/>
      <c r="M58" s="23"/>
      <c r="N58" s="23"/>
      <c r="O58" s="10"/>
      <c r="P58" s="25"/>
      <c r="Q58" s="25"/>
      <c r="R58" s="38"/>
      <c r="S58" s="38"/>
      <c r="T58" s="38"/>
      <c r="U58" s="38"/>
      <c r="V58" s="60"/>
      <c r="W58" s="61"/>
      <c r="X58" s="31"/>
      <c r="Y58" s="31"/>
      <c r="Z58" s="49"/>
      <c r="AA58" s="31"/>
      <c r="AB58" s="49"/>
      <c r="AD58" s="538"/>
      <c r="AE58" s="538"/>
      <c r="AG58" s="49"/>
      <c r="AH58" s="49"/>
      <c r="AI58" s="49"/>
      <c r="AJ58" s="31"/>
      <c r="AK58" s="60"/>
      <c r="AL58" s="173"/>
      <c r="AM58" s="60"/>
      <c r="AN58" s="30"/>
      <c r="AO58" s="52"/>
      <c r="AP58" s="200"/>
      <c r="AQ58" s="499"/>
      <c r="AR58" s="200"/>
      <c r="AX58" s="11"/>
      <c r="AY58" s="11"/>
      <c r="AZ58" s="21"/>
      <c r="BC58" s="78"/>
      <c r="BD58" s="78"/>
      <c r="BE58" s="48"/>
      <c r="BN58" s="538"/>
      <c r="BO58" s="538"/>
      <c r="BP58" s="510"/>
      <c r="BQ58" s="510"/>
    </row>
    <row r="59" spans="1:69" ht="11.1" customHeight="1">
      <c r="D59" s="49"/>
      <c r="E59" s="10"/>
      <c r="F59" s="60"/>
      <c r="G59" s="60"/>
      <c r="H59" s="49"/>
      <c r="I59" s="60"/>
      <c r="J59" s="60"/>
      <c r="K59" s="6"/>
      <c r="L59" s="78"/>
      <c r="M59" s="23"/>
      <c r="N59" s="23"/>
      <c r="O59" s="78"/>
      <c r="Q59" s="52"/>
      <c r="R59" s="38"/>
      <c r="S59" s="38"/>
      <c r="T59" s="38"/>
      <c r="U59" s="38"/>
      <c r="V59" s="60"/>
      <c r="W59" s="60"/>
      <c r="X59" s="31"/>
      <c r="Y59" s="31"/>
      <c r="Z59" s="78"/>
      <c r="AA59" s="31"/>
      <c r="AB59" s="78"/>
      <c r="AC59" s="78"/>
      <c r="AG59" s="49"/>
      <c r="AH59" s="49"/>
      <c r="AI59" s="49"/>
      <c r="AJ59" s="31"/>
      <c r="AK59" s="49"/>
      <c r="AL59" s="175"/>
      <c r="AM59" s="49"/>
      <c r="AN59" s="30"/>
      <c r="AO59" s="10"/>
      <c r="AP59" s="200"/>
      <c r="AQ59" s="499"/>
      <c r="AR59" s="200"/>
      <c r="AT59" s="499"/>
      <c r="AU59" s="499"/>
      <c r="AV59" s="499"/>
      <c r="AW59" s="499"/>
      <c r="AX59" s="11"/>
      <c r="AY59" s="11"/>
      <c r="AZ59" s="21"/>
      <c r="BC59" s="78"/>
      <c r="BD59" s="78"/>
      <c r="BE59" s="48"/>
      <c r="BP59" s="510"/>
      <c r="BQ59" s="510"/>
    </row>
    <row r="60" spans="1:69" ht="11.1" customHeight="1">
      <c r="G60" s="288"/>
      <c r="Q60" s="52"/>
      <c r="R60" s="52"/>
      <c r="S60" s="52"/>
      <c r="T60" s="52"/>
      <c r="W60" s="30"/>
      <c r="X60" s="60"/>
      <c r="Y60" s="60"/>
      <c r="Z60" s="49"/>
      <c r="AA60" s="60"/>
      <c r="AB60" s="49"/>
      <c r="AJ60" s="49"/>
      <c r="AM60" s="30"/>
      <c r="AN60" s="30"/>
      <c r="AO60" s="52"/>
      <c r="AP60" s="200"/>
      <c r="AR60" s="200"/>
      <c r="AT60" s="500"/>
      <c r="AU60" s="500"/>
      <c r="AV60" s="500"/>
      <c r="AW60" s="500"/>
      <c r="AX60" s="11"/>
      <c r="AY60" s="11"/>
      <c r="AZ60" s="21"/>
      <c r="BC60" s="142"/>
      <c r="BD60" s="78"/>
      <c r="BE60" s="48"/>
    </row>
    <row r="61" spans="1:69" ht="11.1" customHeight="1">
      <c r="Q61" s="52"/>
      <c r="R61" s="52"/>
      <c r="S61" s="52"/>
      <c r="T61" s="52"/>
      <c r="W61" s="30"/>
      <c r="X61" s="49"/>
      <c r="Y61" s="49"/>
      <c r="Z61" s="49"/>
      <c r="AA61" s="49"/>
      <c r="AB61" s="49"/>
      <c r="AJ61" s="49"/>
      <c r="AM61" s="30"/>
      <c r="AN61" s="30"/>
      <c r="AO61" s="52"/>
      <c r="AP61" s="200"/>
      <c r="AR61" s="200"/>
      <c r="AX61" s="11"/>
      <c r="AY61" s="11"/>
      <c r="AZ61" s="21"/>
      <c r="BC61" s="142"/>
      <c r="BD61" s="78"/>
      <c r="BE61" s="48"/>
    </row>
    <row r="62" spans="1:69" ht="11.1" customHeight="1">
      <c r="Q62" s="52"/>
      <c r="R62" s="52"/>
      <c r="S62" s="52"/>
      <c r="T62" s="52"/>
      <c r="W62" s="30"/>
      <c r="X62" s="49"/>
      <c r="Y62" s="49"/>
      <c r="Z62" s="49"/>
      <c r="AA62" s="49"/>
      <c r="AB62" s="49"/>
      <c r="AJ62" s="49"/>
      <c r="AM62" s="30"/>
      <c r="AN62" s="30"/>
      <c r="AO62" s="52"/>
      <c r="AP62" s="200"/>
      <c r="AR62" s="200"/>
      <c r="AX62" s="11"/>
      <c r="AY62" s="11"/>
      <c r="AZ62" s="21"/>
      <c r="BC62" s="142"/>
      <c r="BD62" s="78"/>
      <c r="BE62" s="48"/>
    </row>
    <row r="63" spans="1:69" ht="11.1" customHeight="1">
      <c r="X63" s="49"/>
      <c r="Y63" s="49"/>
      <c r="AA63" s="49"/>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4294967292" verticalDpi="300"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BQ61"/>
  <sheetViews>
    <sheetView zoomScaleNormal="100" workbookViewId="0">
      <pane xSplit="1" ySplit="14" topLeftCell="B15" activePane="bottomRight" state="frozenSplit"/>
      <selection pane="topRight" activeCell="B1" sqref="B1"/>
      <selection pane="bottomLeft" activeCell="A10" sqref="A10"/>
      <selection pane="bottomRight" activeCell="A15" sqref="A15:XFD15"/>
    </sheetView>
  </sheetViews>
  <sheetFormatPr defaultColWidth="9.33203125" defaultRowHeight="11.1" customHeight="1"/>
  <cols>
    <col min="1" max="1" width="4.6640625" style="30" customWidth="1"/>
    <col min="2" max="2" width="7" style="30" customWidth="1"/>
    <col min="3" max="3" width="6.33203125" style="49" customWidth="1"/>
    <col min="4" max="4" width="7.33203125" style="30" customWidth="1"/>
    <col min="5" max="5" width="7" style="49" customWidth="1"/>
    <col min="6" max="6" width="7.33203125" style="30" customWidth="1"/>
    <col min="7" max="7" width="6.83203125" style="30" customWidth="1"/>
    <col min="8" max="8" width="5.6640625" style="91" customWidth="1"/>
    <col min="9" max="11" width="6.33203125" style="30" customWidth="1"/>
    <col min="12" max="12" width="6.83203125" style="30" customWidth="1"/>
    <col min="13" max="13" width="5.5" style="46" customWidth="1"/>
    <col min="14" max="14" width="4.5" style="46" customWidth="1"/>
    <col min="15" max="15" width="5.5" style="46" customWidth="1"/>
    <col min="16" max="16" width="5.33203125" style="52" customWidth="1"/>
    <col min="17" max="20" width="4.33203125" style="52" customWidth="1"/>
    <col min="21" max="21" width="5.1640625" style="52" customWidth="1"/>
    <col min="22" max="22" width="5.5" style="30" customWidth="1"/>
    <col min="23" max="23" width="5.5" style="49" customWidth="1"/>
    <col min="24" max="25" width="6.33203125" style="30" customWidth="1"/>
    <col min="26" max="26" width="5.5" style="30" customWidth="1"/>
    <col min="27" max="27" width="6.33203125" style="30" customWidth="1"/>
    <col min="28" max="28" width="5.5" style="30" customWidth="1"/>
    <col min="29" max="29" width="5.83203125" style="49" customWidth="1"/>
    <col min="30" max="31" width="5.83203125" style="498" hidden="1" customWidth="1"/>
    <col min="32" max="32" width="5.5" style="49" customWidth="1"/>
    <col min="33" max="33" width="5.83203125" style="30" customWidth="1"/>
    <col min="34" max="35" width="5.5" style="30" customWidth="1"/>
    <col min="36" max="36" width="6.33203125" style="30" customWidth="1"/>
    <col min="37" max="37" width="6.1640625" style="30" bestFit="1" customWidth="1"/>
    <col min="38" max="38" width="6.33203125" style="200" customWidth="1"/>
    <col min="39" max="39" width="6.33203125" style="52" customWidth="1"/>
    <col min="40" max="40" width="6.83203125" style="142" customWidth="1"/>
    <col min="41" max="41" width="6.83203125" style="78" customWidth="1"/>
    <col min="42" max="42" width="5.5" style="30" customWidth="1"/>
    <col min="43" max="43" width="5.5" style="498" hidden="1" customWidth="1"/>
    <col min="44" max="44" width="5.5" style="30" customWidth="1"/>
    <col min="45" max="45" width="6.33203125" style="46" customWidth="1"/>
    <col min="46" max="47" width="6.33203125" style="498" hidden="1" customWidth="1"/>
    <col min="48" max="48" width="7.1640625" style="498" hidden="1" customWidth="1"/>
    <col min="49" max="49" width="6.33203125" style="498" hidden="1" customWidth="1"/>
    <col min="50" max="50" width="6.33203125" style="52" customWidth="1"/>
    <col min="51" max="51" width="5.5" style="52" customWidth="1"/>
    <col min="52" max="53" width="5.83203125" style="30" customWidth="1"/>
    <col min="54" max="54" width="5.83203125" style="46" customWidth="1"/>
    <col min="55" max="55" width="5.33203125" style="48" customWidth="1"/>
    <col min="56" max="56" width="3.83203125" style="30" customWidth="1"/>
    <col min="57" max="57" width="3.83203125" style="52" customWidth="1"/>
    <col min="58" max="58" width="3.83203125" style="2" customWidth="1"/>
    <col min="59" max="59" width="6.5" style="2" customWidth="1"/>
    <col min="60" max="61" width="9.33203125" style="30"/>
    <col min="62" max="63" width="10.1640625" style="2" customWidth="1"/>
    <col min="64" max="64" width="9.33203125" style="2"/>
    <col min="65" max="65" width="9.33203125" style="562" hidden="1" customWidth="1"/>
    <col min="66" max="67" width="7" style="498" hidden="1" customWidth="1"/>
    <col min="68" max="69" width="6.33203125" style="508" hidden="1" customWidth="1"/>
    <col min="70" max="16384" width="9.33203125" style="2"/>
  </cols>
  <sheetData>
    <row r="1" spans="1:69" ht="14.1" customHeight="1">
      <c r="A1" s="90"/>
      <c r="B1" s="90"/>
      <c r="D1" s="90"/>
      <c r="F1" s="90"/>
      <c r="G1" s="90"/>
      <c r="I1" s="90"/>
      <c r="J1" s="90"/>
      <c r="K1" s="276" t="s">
        <v>53</v>
      </c>
      <c r="L1" s="90"/>
      <c r="M1" s="90"/>
      <c r="N1" s="90"/>
      <c r="O1" s="90"/>
      <c r="V1" s="90"/>
      <c r="W1" s="90"/>
      <c r="X1" s="49"/>
      <c r="Y1" s="49"/>
      <c r="Z1" s="90"/>
      <c r="AA1" s="49"/>
      <c r="AB1" s="90"/>
      <c r="AC1" s="90"/>
      <c r="AD1" s="531"/>
      <c r="AE1" s="531"/>
      <c r="AF1" s="90"/>
      <c r="AG1" s="90"/>
      <c r="AH1" s="90"/>
      <c r="AI1" s="90"/>
      <c r="AJ1" s="49"/>
      <c r="AK1" s="90"/>
      <c r="AL1" s="141"/>
      <c r="AM1" s="90"/>
      <c r="AN1" s="90"/>
      <c r="AO1" s="52"/>
      <c r="AP1" s="141"/>
      <c r="AQ1" s="501"/>
      <c r="AR1" s="141"/>
      <c r="AS1" s="263"/>
      <c r="AT1" s="484"/>
      <c r="AU1" s="484"/>
      <c r="AV1" s="484"/>
      <c r="AW1" s="484"/>
      <c r="AX1" s="33"/>
      <c r="AY1" s="33"/>
      <c r="BC1" s="142"/>
      <c r="BD1" s="78"/>
      <c r="BE1" s="48"/>
      <c r="BN1" s="563"/>
      <c r="BO1" s="563"/>
    </row>
    <row r="2" spans="1:69" ht="14.1" customHeight="1">
      <c r="A2" s="141" t="s">
        <v>0</v>
      </c>
      <c r="B2" s="90"/>
      <c r="D2" s="277">
        <v>1.9835</v>
      </c>
      <c r="F2" s="90"/>
      <c r="G2" s="90"/>
      <c r="I2" s="90"/>
      <c r="J2" s="90"/>
      <c r="K2" s="844" t="s">
        <v>178</v>
      </c>
      <c r="L2" s="844"/>
      <c r="M2" s="844"/>
      <c r="N2" s="844"/>
      <c r="O2" s="844"/>
      <c r="P2" s="844"/>
      <c r="Q2" s="844"/>
      <c r="R2" s="844"/>
      <c r="S2" s="844"/>
      <c r="T2" s="844"/>
      <c r="U2" s="844"/>
      <c r="V2" s="844"/>
      <c r="W2" s="278"/>
      <c r="X2" s="279"/>
      <c r="Y2" s="279"/>
      <c r="Z2" s="278"/>
      <c r="AA2" s="279"/>
      <c r="AB2" s="278"/>
      <c r="AC2" s="278"/>
      <c r="AD2" s="532"/>
      <c r="AE2" s="532"/>
      <c r="AF2" s="278"/>
      <c r="AG2" s="90"/>
      <c r="AH2" s="90"/>
      <c r="AI2" s="90"/>
      <c r="AJ2" s="49"/>
      <c r="AK2" s="90"/>
      <c r="AL2" s="141"/>
      <c r="AM2" s="90"/>
      <c r="AN2" s="90"/>
      <c r="AO2" s="52"/>
      <c r="AP2" s="141"/>
      <c r="AQ2" s="501"/>
      <c r="AR2" s="141"/>
      <c r="AS2" s="263"/>
      <c r="AT2" s="484"/>
      <c r="AU2" s="484"/>
      <c r="AV2" s="484"/>
      <c r="AW2" s="484"/>
      <c r="AX2" s="33"/>
      <c r="AY2" s="33"/>
      <c r="BC2" s="142"/>
      <c r="BD2" s="78"/>
      <c r="BE2" s="48"/>
      <c r="BN2" s="563"/>
      <c r="BO2" s="563"/>
    </row>
    <row r="3" spans="1:69" ht="14.1" customHeight="1" thickBot="1">
      <c r="A3" s="280"/>
      <c r="B3" s="740"/>
      <c r="C3" s="741"/>
      <c r="D3" s="742"/>
      <c r="E3" s="741"/>
      <c r="F3" s="740"/>
      <c r="G3" s="716"/>
      <c r="H3" s="720"/>
      <c r="I3" s="740"/>
      <c r="J3" s="740"/>
      <c r="K3" s="740"/>
      <c r="L3" s="740"/>
      <c r="M3" s="716"/>
      <c r="N3" s="716"/>
      <c r="O3" s="716"/>
      <c r="P3" s="753"/>
      <c r="Q3" s="753"/>
      <c r="R3" s="753"/>
      <c r="S3" s="753"/>
      <c r="T3" s="753"/>
      <c r="U3" s="747"/>
      <c r="V3" s="716"/>
      <c r="W3" s="716"/>
      <c r="X3" s="741"/>
      <c r="Y3" s="741"/>
      <c r="Z3" s="740"/>
      <c r="AA3" s="741"/>
      <c r="AB3" s="740"/>
      <c r="AC3" s="740"/>
      <c r="AD3" s="737"/>
      <c r="AE3" s="737"/>
      <c r="AF3" s="740"/>
      <c r="AG3" s="716"/>
      <c r="AH3" s="740"/>
      <c r="AI3" s="740"/>
      <c r="AJ3" s="713"/>
      <c r="AK3" s="740"/>
      <c r="AL3" s="758"/>
      <c r="AM3" s="740"/>
      <c r="AN3" s="740"/>
      <c r="AO3" s="747"/>
      <c r="AP3" s="758"/>
      <c r="AQ3" s="761"/>
      <c r="AR3" s="758"/>
      <c r="AS3" s="759"/>
      <c r="AT3" s="758"/>
      <c r="AU3" s="758"/>
      <c r="AV3" s="758"/>
      <c r="AW3" s="758"/>
      <c r="AX3" s="750"/>
      <c r="AY3" s="796"/>
      <c r="AZ3" s="787"/>
      <c r="BA3" s="727"/>
      <c r="BB3" s="802"/>
      <c r="BC3" s="779"/>
      <c r="BD3" s="780"/>
      <c r="BE3" s="781"/>
      <c r="BF3" s="789"/>
      <c r="BG3" s="789"/>
      <c r="BH3" s="733"/>
      <c r="BI3" s="727"/>
      <c r="BJ3" s="789"/>
      <c r="BK3" s="789"/>
      <c r="BN3" s="564"/>
      <c r="BO3" s="564"/>
      <c r="BP3" s="565"/>
      <c r="BQ3" s="565"/>
    </row>
    <row r="4" spans="1:69" s="30" customFormat="1" ht="14.1" customHeight="1" thickTop="1" thickBot="1">
      <c r="A4" s="90"/>
      <c r="B4" s="159"/>
      <c r="C4" s="160"/>
      <c r="D4" s="20" t="s">
        <v>47</v>
      </c>
      <c r="E4" s="160"/>
      <c r="F4" s="161"/>
      <c r="G4" s="90"/>
      <c r="H4" s="91"/>
      <c r="I4" s="331" t="s">
        <v>123</v>
      </c>
      <c r="J4" s="331"/>
      <c r="K4" s="90"/>
      <c r="L4" s="428"/>
      <c r="M4" s="90"/>
      <c r="N4" s="90"/>
      <c r="O4" s="90"/>
      <c r="P4" s="52"/>
      <c r="Q4" s="52"/>
      <c r="R4" s="52"/>
      <c r="S4" s="52"/>
      <c r="T4" s="52"/>
      <c r="U4" s="52"/>
      <c r="V4" s="19"/>
      <c r="W4" s="90"/>
      <c r="X4" s="19" t="s">
        <v>122</v>
      </c>
      <c r="Y4" s="49"/>
      <c r="Z4" s="90"/>
      <c r="AA4" s="49"/>
      <c r="AB4" s="90"/>
      <c r="AC4" s="90"/>
      <c r="AD4" s="534"/>
      <c r="AE4" s="534"/>
      <c r="AF4" s="90"/>
      <c r="AG4" s="90"/>
      <c r="AH4" s="90"/>
      <c r="AI4" s="90"/>
      <c r="AJ4" s="49"/>
      <c r="AK4" s="90"/>
      <c r="AL4" s="141"/>
      <c r="AM4" s="90"/>
      <c r="AN4" s="90"/>
      <c r="AO4" s="52"/>
      <c r="AP4" s="159"/>
      <c r="AQ4" s="539"/>
      <c r="AR4" s="90"/>
      <c r="AS4" s="205" t="s">
        <v>55</v>
      </c>
      <c r="AT4" s="486"/>
      <c r="AU4" s="486"/>
      <c r="AV4" s="486"/>
      <c r="AW4" s="486"/>
      <c r="AX4" s="205"/>
      <c r="AY4" s="365"/>
      <c r="AZ4" s="222"/>
      <c r="BA4" s="163"/>
      <c r="BB4" s="229"/>
      <c r="BC4" s="162"/>
      <c r="BD4" s="16" t="s">
        <v>48</v>
      </c>
      <c r="BE4" s="395"/>
      <c r="BF4" s="396"/>
      <c r="BG4" s="397"/>
      <c r="BI4" s="396"/>
      <c r="BJ4" s="601"/>
      <c r="BK4" s="381"/>
      <c r="BM4" s="566"/>
      <c r="BN4" s="566"/>
      <c r="BO4" s="566"/>
      <c r="BP4" s="567"/>
      <c r="BQ4" s="567"/>
    </row>
    <row r="5" spans="1:69" ht="12.95" customHeight="1">
      <c r="A5" s="7" t="s">
        <v>1</v>
      </c>
      <c r="B5" s="194" t="s">
        <v>2</v>
      </c>
      <c r="C5" s="4" t="s">
        <v>2</v>
      </c>
      <c r="D5" s="7" t="s">
        <v>3</v>
      </c>
      <c r="E5" s="4" t="s">
        <v>4</v>
      </c>
      <c r="F5" s="7" t="s">
        <v>5</v>
      </c>
      <c r="G5" s="194" t="s">
        <v>6</v>
      </c>
      <c r="H5" s="21" t="s">
        <v>7</v>
      </c>
      <c r="I5" s="7" t="s">
        <v>63</v>
      </c>
      <c r="J5" s="7" t="s">
        <v>8</v>
      </c>
      <c r="K5" s="7" t="s">
        <v>9</v>
      </c>
      <c r="L5" s="7" t="s">
        <v>8</v>
      </c>
      <c r="M5" s="17" t="s">
        <v>10</v>
      </c>
      <c r="N5" s="233"/>
      <c r="O5" s="195"/>
      <c r="P5" s="233"/>
      <c r="Q5" s="195"/>
      <c r="R5" s="195"/>
      <c r="S5" s="195"/>
      <c r="T5" s="195"/>
      <c r="U5" s="250"/>
      <c r="V5" s="7" t="s">
        <v>11</v>
      </c>
      <c r="W5" s="7" t="s">
        <v>12</v>
      </c>
      <c r="X5" s="8" t="s">
        <v>9</v>
      </c>
      <c r="Y5" s="8" t="s">
        <v>9</v>
      </c>
      <c r="Z5" s="12" t="s">
        <v>13</v>
      </c>
      <c r="AA5" s="8" t="s">
        <v>13</v>
      </c>
      <c r="AB5" s="12" t="s">
        <v>13</v>
      </c>
      <c r="AC5" s="4" t="s">
        <v>82</v>
      </c>
      <c r="AD5" s="535" t="s">
        <v>76</v>
      </c>
      <c r="AE5" s="535" t="s">
        <v>76</v>
      </c>
      <c r="AF5" s="626" t="s">
        <v>13</v>
      </c>
      <c r="AG5" s="7" t="s">
        <v>14</v>
      </c>
      <c r="AH5" s="216" t="s">
        <v>78</v>
      </c>
      <c r="AI5" s="214"/>
      <c r="AJ5" s="15" t="s">
        <v>15</v>
      </c>
      <c r="AK5" s="4" t="s">
        <v>74</v>
      </c>
      <c r="AL5" s="4" t="s">
        <v>88</v>
      </c>
      <c r="AM5" s="7" t="s">
        <v>63</v>
      </c>
      <c r="AN5" s="7" t="s">
        <v>8</v>
      </c>
      <c r="AO5" s="7" t="s">
        <v>9</v>
      </c>
      <c r="AP5" s="358" t="s">
        <v>52</v>
      </c>
      <c r="AQ5" s="488" t="s">
        <v>159</v>
      </c>
      <c r="AR5" s="12" t="s">
        <v>13</v>
      </c>
      <c r="AS5" s="36" t="s">
        <v>49</v>
      </c>
      <c r="AT5" s="487" t="s">
        <v>146</v>
      </c>
      <c r="AU5" s="487" t="s">
        <v>148</v>
      </c>
      <c r="AV5" s="487" t="s">
        <v>148</v>
      </c>
      <c r="AW5" s="487" t="s">
        <v>148</v>
      </c>
      <c r="AX5" s="36" t="s">
        <v>49</v>
      </c>
      <c r="AY5" s="14" t="s">
        <v>96</v>
      </c>
      <c r="AZ5" s="35" t="s">
        <v>56</v>
      </c>
      <c r="BA5" s="21" t="s">
        <v>79</v>
      </c>
      <c r="BB5" s="37" t="s">
        <v>134</v>
      </c>
      <c r="BC5" s="139" t="s">
        <v>16</v>
      </c>
      <c r="BD5" s="15" t="s">
        <v>17</v>
      </c>
      <c r="BE5" s="15" t="s">
        <v>18</v>
      </c>
      <c r="BF5" s="378"/>
      <c r="BG5" s="389" t="s">
        <v>9</v>
      </c>
      <c r="BH5" s="220" t="s">
        <v>128</v>
      </c>
      <c r="BI5" s="444" t="s">
        <v>128</v>
      </c>
      <c r="BJ5" s="602" t="s">
        <v>174</v>
      </c>
      <c r="BK5" s="599" t="s">
        <v>167</v>
      </c>
      <c r="BN5" s="568" t="s">
        <v>2</v>
      </c>
      <c r="BO5" s="568"/>
      <c r="BP5" s="569" t="s">
        <v>15</v>
      </c>
      <c r="BQ5" s="569" t="s">
        <v>15</v>
      </c>
    </row>
    <row r="6" spans="1:69" ht="12.95" customHeight="1">
      <c r="A6" s="196" t="s">
        <v>102</v>
      </c>
      <c r="B6" s="194" t="s">
        <v>19</v>
      </c>
      <c r="C6" s="4"/>
      <c r="D6" s="7" t="s">
        <v>20</v>
      </c>
      <c r="E6" s="4" t="s">
        <v>21</v>
      </c>
      <c r="F6" s="7" t="s">
        <v>22</v>
      </c>
      <c r="G6" s="194" t="s">
        <v>23</v>
      </c>
      <c r="H6" s="21" t="s">
        <v>64</v>
      </c>
      <c r="I6" s="7" t="s">
        <v>24</v>
      </c>
      <c r="J6" s="7" t="s">
        <v>24</v>
      </c>
      <c r="K6" s="7" t="s">
        <v>24</v>
      </c>
      <c r="L6" s="7" t="s">
        <v>25</v>
      </c>
      <c r="M6" s="197" t="s">
        <v>26</v>
      </c>
      <c r="N6" s="622" t="s">
        <v>65</v>
      </c>
      <c r="O6" s="7" t="s">
        <v>67</v>
      </c>
      <c r="P6" s="220" t="s">
        <v>190</v>
      </c>
      <c r="Q6" s="8" t="s">
        <v>57</v>
      </c>
      <c r="R6" s="8" t="s">
        <v>118</v>
      </c>
      <c r="S6" s="8"/>
      <c r="T6" s="8" t="s">
        <v>67</v>
      </c>
      <c r="U6" s="32" t="s">
        <v>87</v>
      </c>
      <c r="V6" s="7" t="s">
        <v>27</v>
      </c>
      <c r="W6" s="7" t="s">
        <v>42</v>
      </c>
      <c r="X6" s="8" t="s">
        <v>13</v>
      </c>
      <c r="Y6" s="8" t="s">
        <v>13</v>
      </c>
      <c r="Z6" s="12" t="s">
        <v>28</v>
      </c>
      <c r="AA6" s="8" t="s">
        <v>28</v>
      </c>
      <c r="AB6" s="12" t="s">
        <v>92</v>
      </c>
      <c r="AC6" s="4" t="s">
        <v>83</v>
      </c>
      <c r="AD6" s="535" t="s">
        <v>160</v>
      </c>
      <c r="AE6" s="535" t="s">
        <v>160</v>
      </c>
      <c r="AF6" s="4" t="s">
        <v>86</v>
      </c>
      <c r="AG6" s="281" t="s">
        <v>29</v>
      </c>
      <c r="AH6" s="8" t="s">
        <v>76</v>
      </c>
      <c r="AI6" s="8" t="s">
        <v>58</v>
      </c>
      <c r="AJ6" s="418" t="s">
        <v>69</v>
      </c>
      <c r="AK6" s="4" t="s">
        <v>62</v>
      </c>
      <c r="AL6" s="4"/>
      <c r="AM6" s="7" t="s">
        <v>70</v>
      </c>
      <c r="AN6" s="7" t="s">
        <v>70</v>
      </c>
      <c r="AO6" s="7" t="s">
        <v>70</v>
      </c>
      <c r="AP6" s="358" t="s">
        <v>110</v>
      </c>
      <c r="AQ6" s="488" t="s">
        <v>162</v>
      </c>
      <c r="AR6" s="12" t="s">
        <v>71</v>
      </c>
      <c r="AS6" s="36" t="s">
        <v>51</v>
      </c>
      <c r="AT6" s="487" t="s">
        <v>72</v>
      </c>
      <c r="AU6" s="487" t="s">
        <v>72</v>
      </c>
      <c r="AV6" s="487" t="s">
        <v>150</v>
      </c>
      <c r="AW6" s="487" t="s">
        <v>72</v>
      </c>
      <c r="AX6" s="36" t="s">
        <v>51</v>
      </c>
      <c r="AY6" s="14" t="s">
        <v>94</v>
      </c>
      <c r="AZ6" s="35" t="s">
        <v>54</v>
      </c>
      <c r="BA6" s="21" t="s">
        <v>80</v>
      </c>
      <c r="BB6" s="37" t="s">
        <v>133</v>
      </c>
      <c r="BC6" s="140"/>
      <c r="BD6" s="15" t="s">
        <v>30</v>
      </c>
      <c r="BE6" s="15" t="s">
        <v>30</v>
      </c>
      <c r="BF6" s="378"/>
      <c r="BG6" s="389" t="s">
        <v>99</v>
      </c>
      <c r="BH6" s="220" t="s">
        <v>130</v>
      </c>
      <c r="BI6" s="444" t="s">
        <v>129</v>
      </c>
      <c r="BJ6" s="606" t="s">
        <v>175</v>
      </c>
      <c r="BK6" s="599" t="s">
        <v>168</v>
      </c>
      <c r="BN6" s="568" t="s">
        <v>19</v>
      </c>
      <c r="BO6" s="568"/>
      <c r="BP6" s="569" t="s">
        <v>69</v>
      </c>
      <c r="BQ6" s="569" t="s">
        <v>69</v>
      </c>
    </row>
    <row r="7" spans="1:69" ht="12.95" customHeight="1">
      <c r="A7" s="7"/>
      <c r="B7" s="194"/>
      <c r="C7" s="4"/>
      <c r="D7" s="7"/>
      <c r="E7" s="4"/>
      <c r="F7" s="7"/>
      <c r="G7" s="194"/>
      <c r="H7" s="21"/>
      <c r="I7" s="7"/>
      <c r="J7" s="7"/>
      <c r="K7" s="7"/>
      <c r="L7" s="7"/>
      <c r="M7" s="197"/>
      <c r="N7" s="220" t="s">
        <v>66</v>
      </c>
      <c r="O7" s="7" t="s">
        <v>68</v>
      </c>
      <c r="P7" s="220"/>
      <c r="Q7" s="8" t="s">
        <v>119</v>
      </c>
      <c r="R7" s="8" t="s">
        <v>119</v>
      </c>
      <c r="S7" s="8" t="s">
        <v>58</v>
      </c>
      <c r="T7" s="8" t="s">
        <v>58</v>
      </c>
      <c r="U7" s="32" t="s">
        <v>120</v>
      </c>
      <c r="V7" s="7"/>
      <c r="W7" s="7"/>
      <c r="X7" s="13" t="s">
        <v>108</v>
      </c>
      <c r="Y7" s="13" t="s">
        <v>90</v>
      </c>
      <c r="Z7" s="12" t="s">
        <v>115</v>
      </c>
      <c r="AA7" s="8" t="s">
        <v>111</v>
      </c>
      <c r="AB7" s="12" t="s">
        <v>93</v>
      </c>
      <c r="AC7" s="4"/>
      <c r="AD7" s="535" t="s">
        <v>161</v>
      </c>
      <c r="AE7" s="535" t="s">
        <v>161</v>
      </c>
      <c r="AF7" s="4"/>
      <c r="AG7" s="281"/>
      <c r="AH7" s="295">
        <v>1.7</v>
      </c>
      <c r="AI7" s="295">
        <v>1.3</v>
      </c>
      <c r="AJ7" s="418"/>
      <c r="AK7" s="609">
        <v>27779.932699024892</v>
      </c>
      <c r="AL7" s="4"/>
      <c r="AM7" s="7"/>
      <c r="AN7" s="7"/>
      <c r="AO7" s="7"/>
      <c r="AP7" s="358"/>
      <c r="AQ7" s="488" t="s">
        <v>110</v>
      </c>
      <c r="AR7" s="12" t="s">
        <v>22</v>
      </c>
      <c r="AS7" s="36" t="s">
        <v>45</v>
      </c>
      <c r="AT7" s="487"/>
      <c r="AU7" s="487"/>
      <c r="AV7" s="487" t="s">
        <v>151</v>
      </c>
      <c r="AW7" s="487" t="s">
        <v>149</v>
      </c>
      <c r="AX7" s="36" t="s">
        <v>72</v>
      </c>
      <c r="AY7" s="14" t="s">
        <v>95</v>
      </c>
      <c r="AZ7" s="35" t="s">
        <v>59</v>
      </c>
      <c r="BA7" s="21" t="s">
        <v>81</v>
      </c>
      <c r="BB7" s="37" t="s">
        <v>108</v>
      </c>
      <c r="BC7" s="140"/>
      <c r="BD7" s="15"/>
      <c r="BE7" s="15"/>
      <c r="BF7" s="378"/>
      <c r="BG7" s="389" t="s">
        <v>97</v>
      </c>
      <c r="BH7" s="52"/>
      <c r="BI7" s="407"/>
      <c r="BJ7" s="602" t="s">
        <v>176</v>
      </c>
      <c r="BK7" s="599" t="s">
        <v>172</v>
      </c>
      <c r="BN7" s="568" t="s">
        <v>142</v>
      </c>
      <c r="BO7" s="568"/>
      <c r="BP7" s="570" t="s">
        <v>153</v>
      </c>
      <c r="BQ7" s="570" t="s">
        <v>154</v>
      </c>
    </row>
    <row r="8" spans="1:69" ht="12.95" customHeight="1">
      <c r="A8" s="7"/>
      <c r="B8" s="194"/>
      <c r="C8" s="4"/>
      <c r="D8" s="7"/>
      <c r="E8" s="4"/>
      <c r="F8" s="7"/>
      <c r="G8" s="194"/>
      <c r="H8" s="21"/>
      <c r="I8" s="7"/>
      <c r="J8" s="7"/>
      <c r="K8" s="7"/>
      <c r="L8" s="7"/>
      <c r="M8" s="197"/>
      <c r="N8" s="8"/>
      <c r="O8" s="693">
        <v>24213.923416778209</v>
      </c>
      <c r="P8" s="220"/>
      <c r="Q8" s="8" t="s">
        <v>58</v>
      </c>
      <c r="R8" s="8" t="s">
        <v>58</v>
      </c>
      <c r="S8" s="8"/>
      <c r="T8" s="8"/>
      <c r="U8" s="32"/>
      <c r="V8" s="7"/>
      <c r="W8" s="7"/>
      <c r="X8" s="13" t="s">
        <v>109</v>
      </c>
      <c r="Y8" s="13" t="s">
        <v>108</v>
      </c>
      <c r="Z8" s="12"/>
      <c r="AA8" s="13" t="s">
        <v>114</v>
      </c>
      <c r="AB8" s="12" t="s">
        <v>113</v>
      </c>
      <c r="AC8" s="4"/>
      <c r="AD8" s="535" t="s">
        <v>9</v>
      </c>
      <c r="AE8" s="535" t="s">
        <v>109</v>
      </c>
      <c r="AF8" s="693">
        <v>17365.480657043157</v>
      </c>
      <c r="AG8" s="693">
        <v>55878.018085105388</v>
      </c>
      <c r="AH8" s="282"/>
      <c r="AI8" s="417"/>
      <c r="AJ8" s="418"/>
      <c r="AK8" s="62">
        <f>AK7/D2</f>
        <v>14005.511822044311</v>
      </c>
      <c r="AL8" s="4"/>
      <c r="AM8" s="7"/>
      <c r="AN8" s="7"/>
      <c r="AO8" s="7"/>
      <c r="AP8" s="358"/>
      <c r="AQ8" s="488">
        <v>1750</v>
      </c>
      <c r="AR8" s="12"/>
      <c r="AS8" s="36"/>
      <c r="AT8" s="487"/>
      <c r="AU8" s="487"/>
      <c r="AV8" s="487"/>
      <c r="AW8" s="487"/>
      <c r="AX8" s="36"/>
      <c r="AY8" s="612">
        <v>5191.6441856943857</v>
      </c>
      <c r="AZ8" s="694">
        <v>1685.1</v>
      </c>
      <c r="BA8" s="710">
        <f>692.219224759251/2</f>
        <v>346.1096123796255</v>
      </c>
      <c r="BB8" s="37"/>
      <c r="BC8" s="140"/>
      <c r="BD8" s="15"/>
      <c r="BE8" s="15"/>
      <c r="BF8" s="378"/>
      <c r="BG8" s="389"/>
      <c r="BH8" s="52"/>
      <c r="BI8" s="407"/>
      <c r="BJ8" s="603" t="s">
        <v>168</v>
      </c>
      <c r="BK8" s="600" t="s">
        <v>173</v>
      </c>
      <c r="BN8" s="568"/>
      <c r="BO8" s="568"/>
      <c r="BP8" s="570" t="s">
        <v>155</v>
      </c>
      <c r="BQ8" s="570" t="s">
        <v>153</v>
      </c>
    </row>
    <row r="9" spans="1:69" ht="12.95" customHeight="1">
      <c r="A9" s="7"/>
      <c r="B9" s="194"/>
      <c r="C9" s="4"/>
      <c r="D9" s="7"/>
      <c r="E9" s="4"/>
      <c r="F9" s="7"/>
      <c r="G9" s="194"/>
      <c r="H9" s="21"/>
      <c r="I9" s="7"/>
      <c r="J9" s="7"/>
      <c r="K9" s="7"/>
      <c r="L9" s="7"/>
      <c r="M9" s="197"/>
      <c r="N9" s="220"/>
      <c r="O9" s="4"/>
      <c r="P9" s="220"/>
      <c r="Q9" s="8"/>
      <c r="R9" s="413">
        <v>4.2</v>
      </c>
      <c r="S9" s="8"/>
      <c r="T9" s="8"/>
      <c r="U9" s="32"/>
      <c r="V9" s="7"/>
      <c r="W9" s="7"/>
      <c r="X9" s="13"/>
      <c r="Y9" s="13" t="s">
        <v>109</v>
      </c>
      <c r="Z9" s="12"/>
      <c r="AA9" s="554" t="s">
        <v>109</v>
      </c>
      <c r="AB9" s="12" t="s">
        <v>112</v>
      </c>
      <c r="AC9" s="4"/>
      <c r="AD9" s="535"/>
      <c r="AE9" s="535"/>
      <c r="AF9" s="4"/>
      <c r="AG9" s="7"/>
      <c r="AH9" s="282"/>
      <c r="AI9" s="283"/>
      <c r="AJ9" s="15"/>
      <c r="AK9" s="4"/>
      <c r="AL9" s="4"/>
      <c r="AM9" s="7"/>
      <c r="AN9" s="7"/>
      <c r="AO9" s="7"/>
      <c r="AP9" s="358"/>
      <c r="AQ9" s="488">
        <f>AQ8/$D$2</f>
        <v>882.27880010083186</v>
      </c>
      <c r="AR9" s="12"/>
      <c r="AS9" s="36"/>
      <c r="AT9" s="487"/>
      <c r="AU9" s="487"/>
      <c r="AV9" s="487"/>
      <c r="AW9" s="487"/>
      <c r="AX9" s="36"/>
      <c r="AY9" s="253">
        <f>AY8/$D$2</f>
        <v>2617.4157729742301</v>
      </c>
      <c r="AZ9" s="35"/>
      <c r="BA9" s="614">
        <f>BA8/$D$2</f>
        <v>174.49438486494859</v>
      </c>
      <c r="BB9" s="37"/>
      <c r="BC9" s="140"/>
      <c r="BD9" s="15"/>
      <c r="BE9" s="15"/>
      <c r="BF9" s="378"/>
      <c r="BG9" s="389"/>
      <c r="BH9" s="52"/>
      <c r="BI9" s="452" t="s">
        <v>141</v>
      </c>
      <c r="BJ9" s="603"/>
      <c r="BK9" s="600"/>
      <c r="BN9" s="568"/>
      <c r="BO9" s="568"/>
      <c r="BP9" s="570" t="s">
        <v>156</v>
      </c>
      <c r="BQ9" s="570"/>
    </row>
    <row r="10" spans="1:69" ht="12.95" customHeight="1">
      <c r="A10" s="7"/>
      <c r="B10" s="194"/>
      <c r="C10" s="4" t="s">
        <v>3</v>
      </c>
      <c r="D10" s="7"/>
      <c r="E10" s="4" t="s">
        <v>50</v>
      </c>
      <c r="F10" s="7"/>
      <c r="G10" s="194" t="s">
        <v>22</v>
      </c>
      <c r="H10" s="21" t="s">
        <v>22</v>
      </c>
      <c r="I10" s="21" t="s">
        <v>22</v>
      </c>
      <c r="J10" s="21" t="s">
        <v>22</v>
      </c>
      <c r="K10" s="21" t="s">
        <v>22</v>
      </c>
      <c r="L10" s="21" t="s">
        <v>22</v>
      </c>
      <c r="M10" s="366" t="s">
        <v>22</v>
      </c>
      <c r="N10" s="21" t="s">
        <v>22</v>
      </c>
      <c r="O10" s="21" t="s">
        <v>22</v>
      </c>
      <c r="P10" s="21" t="s">
        <v>22</v>
      </c>
      <c r="Q10" s="8" t="s">
        <v>22</v>
      </c>
      <c r="R10" s="8" t="s">
        <v>22</v>
      </c>
      <c r="S10" s="8" t="s">
        <v>22</v>
      </c>
      <c r="T10" s="8" t="s">
        <v>22</v>
      </c>
      <c r="U10" s="367" t="s">
        <v>22</v>
      </c>
      <c r="V10" s="21" t="s">
        <v>22</v>
      </c>
      <c r="W10" s="21" t="s">
        <v>22</v>
      </c>
      <c r="X10" s="13">
        <v>153400</v>
      </c>
      <c r="Y10" s="13">
        <v>150400</v>
      </c>
      <c r="Z10" s="8" t="s">
        <v>22</v>
      </c>
      <c r="AA10" s="13"/>
      <c r="AB10" s="13">
        <v>72000</v>
      </c>
      <c r="AC10" s="21" t="s">
        <v>22</v>
      </c>
      <c r="AD10" s="536" t="s">
        <v>22</v>
      </c>
      <c r="AE10" s="536" t="s">
        <v>22</v>
      </c>
      <c r="AF10" s="21" t="s">
        <v>22</v>
      </c>
      <c r="AG10" s="21" t="s">
        <v>22</v>
      </c>
      <c r="AH10" s="366" t="s">
        <v>22</v>
      </c>
      <c r="AI10" s="367" t="s">
        <v>22</v>
      </c>
      <c r="AJ10" s="21" t="s">
        <v>22</v>
      </c>
      <c r="AK10" s="21" t="s">
        <v>22</v>
      </c>
      <c r="AL10" s="21" t="s">
        <v>22</v>
      </c>
      <c r="AM10" s="21" t="s">
        <v>22</v>
      </c>
      <c r="AN10" s="21" t="s">
        <v>22</v>
      </c>
      <c r="AO10" s="21" t="s">
        <v>22</v>
      </c>
      <c r="AP10" s="358" t="s">
        <v>22</v>
      </c>
      <c r="AQ10" s="488" t="s">
        <v>22</v>
      </c>
      <c r="AR10" s="12" t="s">
        <v>22</v>
      </c>
      <c r="AS10" s="12" t="s">
        <v>22</v>
      </c>
      <c r="AT10" s="488" t="s">
        <v>147</v>
      </c>
      <c r="AU10" s="488" t="s">
        <v>147</v>
      </c>
      <c r="AV10" s="488" t="s">
        <v>152</v>
      </c>
      <c r="AW10" s="487" t="s">
        <v>73</v>
      </c>
      <c r="AX10" s="36" t="s">
        <v>73</v>
      </c>
      <c r="AY10" s="14" t="s">
        <v>22</v>
      </c>
      <c r="AZ10" s="12" t="s">
        <v>22</v>
      </c>
      <c r="BA10" s="12" t="s">
        <v>22</v>
      </c>
      <c r="BB10" s="12" t="s">
        <v>22</v>
      </c>
      <c r="BC10" s="140"/>
      <c r="BD10" s="15"/>
      <c r="BE10" s="15"/>
      <c r="BF10" s="378"/>
      <c r="BG10" s="389" t="s">
        <v>98</v>
      </c>
      <c r="BH10" s="220" t="s">
        <v>22</v>
      </c>
      <c r="BI10" s="444" t="s">
        <v>50</v>
      </c>
      <c r="BJ10" s="603" t="s">
        <v>22</v>
      </c>
      <c r="BK10" s="600" t="s">
        <v>22</v>
      </c>
      <c r="BN10" s="568"/>
      <c r="BO10" s="568"/>
      <c r="BP10" s="570" t="s">
        <v>22</v>
      </c>
      <c r="BQ10" s="570" t="s">
        <v>22</v>
      </c>
    </row>
    <row r="11" spans="1:69" ht="12.95" customHeight="1">
      <c r="A11" s="7"/>
      <c r="B11" s="194"/>
      <c r="C11" s="4"/>
      <c r="D11" s="7"/>
      <c r="E11" s="4"/>
      <c r="F11" s="7"/>
      <c r="G11" s="194"/>
      <c r="H11" s="21"/>
      <c r="I11" s="7"/>
      <c r="J11" s="7"/>
      <c r="K11" s="7"/>
      <c r="L11" s="7"/>
      <c r="M11" s="197"/>
      <c r="N11" s="220">
        <v>1.03</v>
      </c>
      <c r="O11" s="219">
        <v>1.05</v>
      </c>
      <c r="P11" s="220">
        <v>1.02</v>
      </c>
      <c r="Q11" s="322">
        <v>1.02</v>
      </c>
      <c r="R11" s="65">
        <v>1.04</v>
      </c>
      <c r="S11" s="8"/>
      <c r="T11" s="322">
        <v>1.04</v>
      </c>
      <c r="U11" s="32"/>
      <c r="V11" s="7"/>
      <c r="W11" s="7"/>
      <c r="X11" s="8" t="s">
        <v>22</v>
      </c>
      <c r="Y11" s="8" t="s">
        <v>22</v>
      </c>
      <c r="Z11" s="8" t="s">
        <v>22</v>
      </c>
      <c r="AA11" s="13" t="s">
        <v>22</v>
      </c>
      <c r="AB11" s="26" t="s">
        <v>89</v>
      </c>
      <c r="AC11" s="4"/>
      <c r="AD11" s="535"/>
      <c r="AE11" s="535"/>
      <c r="AF11" s="4"/>
      <c r="AG11" s="7"/>
      <c r="AH11" s="282"/>
      <c r="AI11" s="283"/>
      <c r="AJ11" s="15"/>
      <c r="AK11" s="4"/>
      <c r="AL11" s="4"/>
      <c r="AM11" s="7"/>
      <c r="AN11" s="7"/>
      <c r="AO11" s="7"/>
      <c r="AP11" s="358"/>
      <c r="AQ11" s="488"/>
      <c r="AR11" s="12"/>
      <c r="AS11" s="36"/>
      <c r="AT11" s="487"/>
      <c r="AU11" s="487"/>
      <c r="AV11" s="487"/>
      <c r="AW11" s="487"/>
      <c r="AX11" s="36"/>
      <c r="AY11" s="14"/>
      <c r="AZ11" s="173"/>
      <c r="BA11" s="263"/>
      <c r="BB11" s="200"/>
      <c r="BC11" s="140"/>
      <c r="BD11" s="15"/>
      <c r="BE11" s="15"/>
      <c r="BF11" s="378"/>
      <c r="BG11" s="389" t="s">
        <v>22</v>
      </c>
      <c r="BH11" s="52"/>
      <c r="BI11" s="407"/>
      <c r="BJ11" s="603"/>
      <c r="BK11" s="600"/>
      <c r="BN11" s="568"/>
      <c r="BO11" s="568"/>
      <c r="BP11" s="570"/>
      <c r="BQ11" s="570"/>
    </row>
    <row r="12" spans="1:69" ht="12.95" customHeight="1">
      <c r="A12" s="141" t="s">
        <v>31</v>
      </c>
      <c r="B12" s="98"/>
      <c r="C12" s="332"/>
      <c r="D12" s="55"/>
      <c r="E12" s="55"/>
      <c r="F12" s="99">
        <f>AUG!F50</f>
        <v>-41240.736072598942</v>
      </c>
      <c r="G12" s="55">
        <f>AUG!G50</f>
        <v>53662.1</v>
      </c>
      <c r="H12" s="55">
        <f>AUG!H50</f>
        <v>133.2227</v>
      </c>
      <c r="I12" s="55">
        <f>AUG!I50</f>
        <v>53795.322699999997</v>
      </c>
      <c r="J12" s="55">
        <f>AUG!J50</f>
        <v>245.61600932694714</v>
      </c>
      <c r="K12" s="55">
        <f>AUG!K50</f>
        <v>54040.928709326938</v>
      </c>
      <c r="L12" s="55">
        <f>AUG!L50</f>
        <v>-4647.4567725989436</v>
      </c>
      <c r="M12" s="100">
        <f>AUG!M50</f>
        <v>36108.199999999997</v>
      </c>
      <c r="N12" s="55">
        <f>AUG!N50</f>
        <v>111.31725737332997</v>
      </c>
      <c r="O12" s="55">
        <f>AUG!O50</f>
        <v>11466.283500000001</v>
      </c>
      <c r="P12" s="39">
        <f>AUG!P50</f>
        <v>7.0600000000000005</v>
      </c>
      <c r="Q12" s="39"/>
      <c r="R12" s="39"/>
      <c r="S12" s="39"/>
      <c r="T12" s="39"/>
      <c r="U12" s="126"/>
      <c r="V12" s="55">
        <f>AUG!V50</f>
        <v>14278</v>
      </c>
      <c r="W12" s="55">
        <f>AUG!W50</f>
        <v>8453.7199999999993</v>
      </c>
      <c r="X12" s="55">
        <f>AUG!X50</f>
        <v>48057.466485905519</v>
      </c>
      <c r="Y12" s="49">
        <f>AUG!Y50</f>
        <v>47955.511066998763</v>
      </c>
      <c r="Z12" s="55">
        <f>AUG!Z45</f>
        <v>0</v>
      </c>
      <c r="AA12" s="49"/>
      <c r="AB12" s="49"/>
      <c r="AC12" s="55">
        <f>AUG!AC45</f>
        <v>-0.29150509930258295</v>
      </c>
      <c r="AD12" s="490">
        <f>AUG!AD45</f>
        <v>0</v>
      </c>
      <c r="AE12" s="490"/>
      <c r="AF12" s="55">
        <f>AUG!AF45</f>
        <v>8714.6773161979781</v>
      </c>
      <c r="AG12" s="55">
        <f>AUG!AG50</f>
        <v>24196.739999999998</v>
      </c>
      <c r="AH12" s="100">
        <f>AUG!AH50</f>
        <v>260.10000000000014</v>
      </c>
      <c r="AI12" s="101">
        <f>AUG!AI50</f>
        <v>198.89999999999995</v>
      </c>
      <c r="AJ12" s="55">
        <f>AUG!AJ50</f>
        <v>7354</v>
      </c>
      <c r="AK12" s="55"/>
      <c r="AL12" s="55"/>
      <c r="AM12" s="55">
        <f>AUG!AM50</f>
        <v>90388.592000000004</v>
      </c>
      <c r="AN12" s="55">
        <f>AUG!AN50</f>
        <v>4893.0727819258909</v>
      </c>
      <c r="AO12" s="55">
        <f>AUG!AO50</f>
        <v>95281.664781925894</v>
      </c>
      <c r="AP12" s="134">
        <f>AUG!AP50</f>
        <v>2313.4365242127687</v>
      </c>
      <c r="AQ12" s="540">
        <f>AUG!AQ50</f>
        <v>487.44617130124823</v>
      </c>
      <c r="AR12" s="45"/>
      <c r="AS12" s="42"/>
      <c r="AT12" s="489"/>
      <c r="AU12" s="489"/>
      <c r="AV12" s="489"/>
      <c r="AW12" s="489"/>
      <c r="AX12" s="42">
        <f>AUG!AX51</f>
        <v>1082.6770651669035</v>
      </c>
      <c r="AY12" s="42">
        <f>AUG!AY50</f>
        <v>2134.5886807964262</v>
      </c>
      <c r="AZ12" s="45">
        <f>AUG!AZ50</f>
        <v>636.24800000000027</v>
      </c>
      <c r="BA12" s="45">
        <f>AUG!BA50</f>
        <v>2.0680000000000001</v>
      </c>
      <c r="BB12" s="42">
        <f>AUG!BB50</f>
        <v>0</v>
      </c>
      <c r="BC12" s="102"/>
      <c r="BD12" s="45"/>
      <c r="BE12" s="45"/>
      <c r="BF12" s="378"/>
      <c r="BG12" s="400">
        <f>AUG!BG50</f>
        <v>1500.5291948908975</v>
      </c>
      <c r="BH12" s="46">
        <f>AUG!BH50</f>
        <v>4312.58</v>
      </c>
      <c r="BI12" s="407"/>
      <c r="BJ12" s="696">
        <f>AUG!BJ50</f>
        <v>5045.202419108532</v>
      </c>
      <c r="BK12" s="77">
        <f>AUG!BK50</f>
        <v>4455.8195433886603</v>
      </c>
      <c r="BN12" s="489"/>
      <c r="BO12" s="489"/>
      <c r="BP12" s="505"/>
      <c r="BQ12" s="505"/>
    </row>
    <row r="13" spans="1:69" s="3" customFormat="1" ht="12.95" customHeight="1">
      <c r="A13" s="175" t="s">
        <v>32</v>
      </c>
      <c r="B13" s="104">
        <f>AUG!B45</f>
        <v>6873.97</v>
      </c>
      <c r="C13" s="55">
        <f>AUG!C45</f>
        <v>198656</v>
      </c>
      <c r="D13" s="55">
        <f>AUG!D54</f>
        <v>-93739</v>
      </c>
      <c r="E13" s="55">
        <f>AUG!E54</f>
        <v>46656</v>
      </c>
      <c r="F13" s="99">
        <f>AUG!F53</f>
        <v>-47259.389967229647</v>
      </c>
      <c r="G13" s="55">
        <f>AUG!G53</f>
        <v>60271.9</v>
      </c>
      <c r="H13" s="55">
        <f>AUG!H53</f>
        <v>181.4727</v>
      </c>
      <c r="I13" s="55">
        <f>AUG!I53</f>
        <v>60453.3727</v>
      </c>
      <c r="J13" s="55">
        <f>AUG!J53</f>
        <v>2119.4601414166873</v>
      </c>
      <c r="K13" s="55">
        <f>AUG!K53</f>
        <v>62572.822841416681</v>
      </c>
      <c r="L13" s="55">
        <f>AUG!L53</f>
        <v>-4954.1206672296476</v>
      </c>
      <c r="M13" s="100">
        <f>AUG!M53</f>
        <v>36888.74</v>
      </c>
      <c r="N13" s="55">
        <f>AUG!N53</f>
        <v>111.31725737332997</v>
      </c>
      <c r="O13" s="55">
        <f>AUG!O53</f>
        <v>11466.283500000001</v>
      </c>
      <c r="P13" s="39"/>
      <c r="Q13" s="45">
        <f>AUG!Q53</f>
        <v>746.77093042281888</v>
      </c>
      <c r="R13" s="45">
        <f>AUG!R53</f>
        <v>568.73386208000022</v>
      </c>
      <c r="S13" s="45">
        <f>AUG!S53</f>
        <v>366.57578799999993</v>
      </c>
      <c r="T13" s="45">
        <f>AUG!T53</f>
        <v>281.36268576000009</v>
      </c>
      <c r="U13" s="341">
        <f>AUG!U53</f>
        <v>-46.583886557747249</v>
      </c>
      <c r="V13" s="55">
        <f>AUG!V53</f>
        <v>19470</v>
      </c>
      <c r="W13" s="55">
        <f>AUG!W53</f>
        <v>8487.2199999999993</v>
      </c>
      <c r="X13" s="55">
        <f>AUG!X53</f>
        <v>53480.030543718021</v>
      </c>
      <c r="Y13" s="49">
        <f>AUG!Y53</f>
        <v>53229.959711794101</v>
      </c>
      <c r="Z13" s="55"/>
      <c r="AA13" s="49"/>
      <c r="AB13" s="55"/>
      <c r="AC13" s="55"/>
      <c r="AD13" s="490"/>
      <c r="AE13" s="490"/>
      <c r="AF13" s="55">
        <f>AUG!AF53</f>
        <v>40.291505099303322</v>
      </c>
      <c r="AG13" s="55">
        <f>AUG!AG51</f>
        <v>47994.233789999998</v>
      </c>
      <c r="AH13" s="179">
        <f>AH12</f>
        <v>260.10000000000014</v>
      </c>
      <c r="AI13" s="63">
        <f>AI12</f>
        <v>198.89999999999995</v>
      </c>
      <c r="AJ13" s="55">
        <f>AUG!AJ53</f>
        <v>13718</v>
      </c>
      <c r="AK13" s="55">
        <f>AUG!AK53</f>
        <v>6651.511822044311</v>
      </c>
      <c r="AL13" s="55">
        <f>AUG!AL53</f>
        <v>0</v>
      </c>
      <c r="AM13" s="55">
        <f>AUG!AM53</f>
        <v>102758.632</v>
      </c>
      <c r="AN13" s="55">
        <f>AUG!AN53</f>
        <v>7073.5808086463348</v>
      </c>
      <c r="AO13" s="55">
        <f>AUG!AO53</f>
        <v>109832.21280864633</v>
      </c>
      <c r="AP13" s="134">
        <f>AUG!AP53</f>
        <v>7457.0372300358085</v>
      </c>
      <c r="AQ13" s="490">
        <f>AUG!AQ53</f>
        <v>487.44617130124823</v>
      </c>
      <c r="AR13" s="45">
        <f>AUG!AR53</f>
        <v>250.07083192391997</v>
      </c>
      <c r="AS13" s="42"/>
      <c r="AT13" s="489">
        <f>AUG!AT51</f>
        <v>42.53</v>
      </c>
      <c r="AU13" s="490"/>
      <c r="AV13" s="490"/>
      <c r="AW13" s="490">
        <f>AUG!AW51</f>
        <v>8575.7664999999997</v>
      </c>
      <c r="AX13" s="42">
        <f>AUG!AX45</f>
        <v>-3.648700088011788E-4</v>
      </c>
      <c r="AY13" s="39"/>
      <c r="AZ13" s="45">
        <f>AUG!AZ53</f>
        <v>636.24800000000027</v>
      </c>
      <c r="BA13" s="45">
        <f>AUG!BA53</f>
        <v>2.0680000000000001</v>
      </c>
      <c r="BB13" s="42"/>
      <c r="BC13" s="102">
        <f>AUG!BC53</f>
        <v>9.5050000000000008</v>
      </c>
      <c r="BD13" s="45"/>
      <c r="BE13" s="45"/>
      <c r="BF13" s="379"/>
      <c r="BG13" s="393">
        <f>AUG!BG53</f>
        <v>2032.1666370784019</v>
      </c>
      <c r="BH13" s="46">
        <f>AUG!BH53</f>
        <v>4552.3959999999997</v>
      </c>
      <c r="BI13" s="77">
        <f>AUG!BI45</f>
        <v>11024</v>
      </c>
      <c r="BJ13" s="235">
        <f>AUG!BJ53</f>
        <v>5045.202419108532</v>
      </c>
      <c r="BK13" s="437">
        <f>AUG!BK53</f>
        <v>4455.8195433886603</v>
      </c>
      <c r="BM13" s="571"/>
      <c r="BN13" s="559"/>
      <c r="BO13" s="559"/>
      <c r="BP13" s="490">
        <f>NOV!BF46</f>
        <v>0</v>
      </c>
      <c r="BQ13" s="490">
        <f>NOV!BG46</f>
        <v>0</v>
      </c>
    </row>
    <row r="14" spans="1:69" ht="3" customHeight="1">
      <c r="A14" s="54"/>
      <c r="B14" s="105"/>
      <c r="C14" s="57"/>
      <c r="D14" s="59"/>
      <c r="E14" s="57"/>
      <c r="F14" s="106"/>
      <c r="G14" s="59"/>
      <c r="H14" s="107"/>
      <c r="I14" s="59"/>
      <c r="J14" s="59"/>
      <c r="K14" s="59"/>
      <c r="L14" s="59"/>
      <c r="M14" s="108"/>
      <c r="N14" s="59"/>
      <c r="O14" s="59"/>
      <c r="P14" s="40"/>
      <c r="Q14" s="40"/>
      <c r="R14" s="40"/>
      <c r="S14" s="40"/>
      <c r="T14" s="40"/>
      <c r="U14" s="130"/>
      <c r="V14" s="59"/>
      <c r="W14" s="59"/>
      <c r="X14" s="59"/>
      <c r="Y14" s="59"/>
      <c r="Z14" s="57"/>
      <c r="AA14" s="59"/>
      <c r="AB14" s="57"/>
      <c r="AC14" s="57"/>
      <c r="AD14" s="495"/>
      <c r="AE14" s="495"/>
      <c r="AF14" s="57"/>
      <c r="AG14" s="59"/>
      <c r="AH14" s="184"/>
      <c r="AI14" s="68"/>
      <c r="AJ14" s="59"/>
      <c r="AK14" s="57"/>
      <c r="AL14" s="57"/>
      <c r="AM14" s="59"/>
      <c r="AN14" s="59"/>
      <c r="AO14" s="59"/>
      <c r="AP14" s="110"/>
      <c r="AQ14" s="491"/>
      <c r="AR14" s="44"/>
      <c r="AS14" s="41"/>
      <c r="AT14" s="491"/>
      <c r="AU14" s="491"/>
      <c r="AV14" s="491"/>
      <c r="AW14" s="491"/>
      <c r="AX14" s="40"/>
      <c r="AY14" s="40"/>
      <c r="AZ14" s="40" t="s">
        <v>60</v>
      </c>
      <c r="BA14" s="40" t="s">
        <v>60</v>
      </c>
      <c r="BB14" s="41" t="s">
        <v>60</v>
      </c>
      <c r="BC14" s="110"/>
      <c r="BD14" s="44">
        <v>0</v>
      </c>
      <c r="BE14" s="44"/>
      <c r="BF14" s="44"/>
      <c r="BG14" s="44"/>
      <c r="BH14" s="44"/>
      <c r="BI14" s="44"/>
      <c r="BJ14" s="545"/>
      <c r="BK14" s="592"/>
      <c r="BM14" s="572"/>
      <c r="BN14" s="572"/>
      <c r="BO14" s="572"/>
      <c r="BP14" s="573"/>
      <c r="BQ14" s="573"/>
    </row>
    <row r="15" spans="1:69" ht="12.95" customHeight="1">
      <c r="A15" s="48">
        <v>1</v>
      </c>
      <c r="B15" s="104">
        <v>6873.65</v>
      </c>
      <c r="C15" s="483">
        <f>IF(B15="",C13,VLOOKUP(TRUNC(B15,1),VLOOKUP!$A$3:$K$2834,RIGHT(TEXT(B15,"0000.00"),1)+2,FALSE))</f>
        <v>197764</v>
      </c>
      <c r="D15" s="45">
        <f>C15-C13</f>
        <v>-892</v>
      </c>
      <c r="E15" s="55">
        <f>C15-152000</f>
        <v>45764</v>
      </c>
      <c r="F15" s="112">
        <f t="shared" ref="F15:F44" si="0">D15/$D$2</f>
        <v>-449.71010839425259</v>
      </c>
      <c r="G15" s="47">
        <v>171</v>
      </c>
      <c r="H15" s="113">
        <v>0</v>
      </c>
      <c r="I15" s="47">
        <f t="shared" ref="I15:I44" si="1">G15+H15</f>
        <v>171</v>
      </c>
      <c r="J15" s="42">
        <f>IF(L15&gt;0,L15,0)</f>
        <v>0</v>
      </c>
      <c r="K15" s="47">
        <f>I15+J15</f>
        <v>171</v>
      </c>
      <c r="L15" s="47">
        <f>IF(G15="",0,F15-(I15-AM15))</f>
        <v>-58.710108394252586</v>
      </c>
      <c r="M15" s="114">
        <v>179</v>
      </c>
      <c r="N15" s="610">
        <v>1</v>
      </c>
      <c r="O15" s="47">
        <f>31*1.05</f>
        <v>32.550000000000004</v>
      </c>
      <c r="P15" s="39">
        <v>0</v>
      </c>
      <c r="Q15" s="144">
        <f>1874400/325851/1.9835*1.02</f>
        <v>2.958088645366272</v>
      </c>
      <c r="R15" s="73">
        <f>IF(((6.4*1.04)-T15)&gt;=4.2,4.2,(6.4*1.04)-T15)</f>
        <v>4.2</v>
      </c>
      <c r="S15" s="73">
        <f>IF(((6.4*1.04)-T15)&gt;=4.2,((6.4*1.04)-T15)-4.2,0)</f>
        <v>1.1703811200000001</v>
      </c>
      <c r="T15" s="73">
        <f>(1.1662*1.06)*1.04</f>
        <v>1.2856188800000001</v>
      </c>
      <c r="U15" s="131">
        <v>0</v>
      </c>
      <c r="V15" s="47">
        <v>115</v>
      </c>
      <c r="W15" s="47">
        <v>70</v>
      </c>
      <c r="X15" s="47">
        <f>IF(B15="",0,M15-N15-O15-P15-Q15-R15-S15-T15-U15+V15+W15-AP15-BA15+AY15)</f>
        <v>336.93612733043892</v>
      </c>
      <c r="Y15" s="47">
        <f>X15-AR15</f>
        <v>336.93612733043892</v>
      </c>
      <c r="Z15" s="55"/>
      <c r="AA15" s="47"/>
      <c r="AB15" s="55"/>
      <c r="AC15" s="55">
        <f>IF(B15="",AC12,(IF((AC12-(AX13/1.9835)+AZ15+IF(AS15&gt;0,0,AS15))&lt;=0,0,AC12-(AX13/1.9835)+AZ15+IF(AS15&gt;0,0,AS15))))</f>
        <v>0</v>
      </c>
      <c r="AD15" s="490"/>
      <c r="AF15" s="45">
        <f>IF(B15="",AF12,AF12+IF(AC12-(AX13/1.9835)+AZ15+IF(AS15&gt;0,0,AS15)&lt;=0,AC12-(AX13/1.9835)+AZ15+IF(AS15&gt;0,0,AS15),0))</f>
        <v>8547.4917790754844</v>
      </c>
      <c r="AG15" s="47">
        <v>147</v>
      </c>
      <c r="AH15" s="188">
        <v>1.7</v>
      </c>
      <c r="AI15" s="210">
        <v>1.3</v>
      </c>
      <c r="AJ15" s="47">
        <v>51</v>
      </c>
      <c r="AK15" s="55">
        <f>AK13-AJ15</f>
        <v>6600.511822044311</v>
      </c>
      <c r="AL15" s="55"/>
      <c r="AM15" s="74">
        <f>N15+O15+P15+Q15+R15+S15+T15+U15+X15+AG15+AJ15-IF(AY15="",0,AY15)</f>
        <v>562</v>
      </c>
      <c r="AN15" s="47">
        <f>IF(L15&lt;0,L15*-1,0)</f>
        <v>58.710108394252586</v>
      </c>
      <c r="AO15" s="47">
        <f t="shared" ref="AO15:AO44" si="2">AM15+AN15</f>
        <v>620.71010839425253</v>
      </c>
      <c r="AP15" s="134"/>
      <c r="AQ15" s="540"/>
      <c r="AR15" s="45"/>
      <c r="AS15" s="43">
        <f>IF(G15="",0,IF(I15&gt;=795,795-X15,I15-Q15-R15-X15-AH15)-AL15)</f>
        <v>-174.79421597580517</v>
      </c>
      <c r="AT15" s="492">
        <v>0.25</v>
      </c>
      <c r="AU15" s="494">
        <f>AT15*0.7</f>
        <v>0.17499999999999999</v>
      </c>
      <c r="AV15" s="494">
        <f>IF(AT15="",0,VLOOKUP(ROUNDDOWN(TEXT(B15,"0000"),-1),VLOOKUP!$M$3:$W$32,RIGHT(TEXT(B15,"0000"),1)+2,FALSE))</f>
        <v>2804</v>
      </c>
      <c r="AW15" s="494">
        <f>AU15/12*AV15</f>
        <v>40.891666666666666</v>
      </c>
      <c r="AX15" s="39">
        <f>AW15*(Z15*1.9835+AC15*1.9835)/E15</f>
        <v>0</v>
      </c>
      <c r="AY15" s="618">
        <v>16.100215975805217</v>
      </c>
      <c r="AZ15" s="180">
        <f>IF(BH15="","",7.9)</f>
        <v>7.9</v>
      </c>
      <c r="BC15" s="102">
        <v>0</v>
      </c>
      <c r="BD15" s="45">
        <v>78</v>
      </c>
      <c r="BE15" s="45">
        <v>50</v>
      </c>
      <c r="BF15" s="378"/>
      <c r="BG15" s="385">
        <f t="shared" ref="BG15:BG42" si="3">SUM(N15,P15:U15)</f>
        <v>10.614088645366271</v>
      </c>
      <c r="BH15" s="46">
        <v>135</v>
      </c>
      <c r="BI15" s="524">
        <v>10733</v>
      </c>
      <c r="BJ15" s="296">
        <f>IF(G15="",0,IF(I15&lt;(795+Q15+R15+AF15+AG15),0,I15-(795+Q15+R15+AF15+AG15)))</f>
        <v>0</v>
      </c>
      <c r="BK15" s="591">
        <f>MIN(505,BJ15,SUM(O15,AE15))</f>
        <v>0</v>
      </c>
      <c r="BM15" s="574">
        <v>1</v>
      </c>
      <c r="BN15" s="559">
        <v>6873.66</v>
      </c>
      <c r="BO15" s="575">
        <f>B15-BN15</f>
        <v>-1.0000000000218279E-2</v>
      </c>
      <c r="BP15" s="576">
        <v>46.490624999999959</v>
      </c>
      <c r="BQ15" s="576">
        <f t="shared" ref="BQ15:BQ44" si="4">AJ15-BP15</f>
        <v>4.5093750000000412</v>
      </c>
    </row>
    <row r="16" spans="1:69" ht="12.95" customHeight="1">
      <c r="A16" s="48">
        <v>2</v>
      </c>
      <c r="B16" s="104">
        <v>6873.33</v>
      </c>
      <c r="C16" s="483">
        <f>IF(B16="",C15,VLOOKUP(TRUNC(B16,1),VLOOKUP!$A$3:$K$2834,RIGHT(TEXT(B16,"0000.00"),1)+2,FALSE))</f>
        <v>196872</v>
      </c>
      <c r="D16" s="45">
        <f>C16-C15</f>
        <v>-892</v>
      </c>
      <c r="E16" s="55">
        <f t="shared" ref="E16:E44" si="5">C16-152000</f>
        <v>44872</v>
      </c>
      <c r="F16" s="112">
        <f t="shared" si="0"/>
        <v>-449.71010839425259</v>
      </c>
      <c r="G16" s="47">
        <v>169</v>
      </c>
      <c r="H16" s="113">
        <v>0</v>
      </c>
      <c r="I16" s="47">
        <f t="shared" si="1"/>
        <v>169</v>
      </c>
      <c r="J16" s="42">
        <f t="shared" ref="J16:J44" si="6">IF(L16&gt;0,L16,0)</f>
        <v>0</v>
      </c>
      <c r="K16" s="47">
        <f t="shared" ref="K16:K44" si="7">I16+J16</f>
        <v>169</v>
      </c>
      <c r="L16" s="47">
        <f t="shared" ref="L16:L44" si="8">IF(G16="",0,F16-(I16-AM16))</f>
        <v>-7.7101083942525861</v>
      </c>
      <c r="M16" s="114">
        <v>196</v>
      </c>
      <c r="N16" s="610">
        <v>1</v>
      </c>
      <c r="O16" s="47">
        <f>43*1.05</f>
        <v>45.15</v>
      </c>
      <c r="P16" s="39">
        <v>0</v>
      </c>
      <c r="Q16" s="144">
        <f>2175200/325851/1.9835*1.02</f>
        <v>3.4327968530733655</v>
      </c>
      <c r="R16" s="73">
        <f>IF(((6.5*1.04)-T16)&gt;=4.2,4.2,(6.5*1.04)-T16)</f>
        <v>4.2</v>
      </c>
      <c r="S16" s="73">
        <f>IF(((6.5*1.04)-T16)&gt;=4.2,((6.5*1.04)-T16)-4.2,0)</f>
        <v>1.2743811199999993</v>
      </c>
      <c r="T16" s="73">
        <f t="shared" ref="T16:T17" si="9">(1.1662*1.06)*1.04</f>
        <v>1.2856188800000001</v>
      </c>
      <c r="U16" s="131">
        <v>0</v>
      </c>
      <c r="V16" s="47">
        <v>118</v>
      </c>
      <c r="W16" s="47">
        <v>69</v>
      </c>
      <c r="X16" s="47">
        <f t="shared" ref="X16:X44" si="10">IF(B16="",0,M16-N16-O16-P16-Q16-R16-S16-T16-U16+V16+W16-AP16-BA16+AY16)</f>
        <v>342.7574191227319</v>
      </c>
      <c r="Y16" s="47">
        <f t="shared" ref="Y16:Y44" si="11">X16-AR16</f>
        <v>342.7574191227319</v>
      </c>
      <c r="Z16" s="55"/>
      <c r="AA16" s="47"/>
      <c r="AB16" s="55"/>
      <c r="AC16" s="55">
        <f>IF(B16="",AC15,(IF((AC15-(AX15/1.9835)+AZ16+IF(AS16&gt;0,0,AS16))&lt;=0,0,AC15-(AX15/1.9835)+AZ16+IF(AS16&gt;0,0,AS16))))</f>
        <v>0</v>
      </c>
      <c r="AD16" s="490"/>
      <c r="AE16" s="490"/>
      <c r="AF16" s="45">
        <f>IF(B16="",AF15,AF15+IF(AC15-(AX15/1.9835)+AZ16+IF(AS16&gt;0,0,AS16)&lt;=0,AC15-(AX15/1.9835)+AZ16+IF(AS16&gt;0,0,AS16),0))</f>
        <v>8372.3015630996797</v>
      </c>
      <c r="AG16" s="47">
        <v>178</v>
      </c>
      <c r="AH16" s="188">
        <v>1.7</v>
      </c>
      <c r="AI16" s="210">
        <v>1.3</v>
      </c>
      <c r="AJ16" s="47">
        <v>50</v>
      </c>
      <c r="AK16" s="55">
        <f>AK15-AJ16</f>
        <v>6550.511822044311</v>
      </c>
      <c r="AL16" s="55"/>
      <c r="AM16" s="74">
        <f t="shared" ref="AM16:AM44" si="12">N16+O16+P16+Q16+R16+S16+T16+U16+X16+AG16+AJ16-IF(AY16="",0,AY16)</f>
        <v>611</v>
      </c>
      <c r="AN16" s="47">
        <f t="shared" ref="AN16:AN44" si="13">IF(L16&lt;0,L16*-1,0)</f>
        <v>7.7101083942525861</v>
      </c>
      <c r="AO16" s="47">
        <f t="shared" si="2"/>
        <v>618.71010839425253</v>
      </c>
      <c r="AP16" s="134"/>
      <c r="AQ16" s="540"/>
      <c r="AR16" s="45"/>
      <c r="AS16" s="43">
        <f t="shared" ref="AS16:AS44" si="14">IF(G16="",0,IF(I16&gt;=795,795-X16,I16-Q16-R16-X16-AH16)-AL16)</f>
        <v>-183.09021597580525</v>
      </c>
      <c r="AT16" s="492">
        <v>0.3</v>
      </c>
      <c r="AU16" s="494">
        <f t="shared" ref="AU16:AU26" si="15">AT16*0.7</f>
        <v>0.21</v>
      </c>
      <c r="AV16" s="494">
        <f>IF(AT16="",0,VLOOKUP(ROUNDDOWN(TEXT(B16,"0000"),-1),VLOOKUP!$M$3:$W$32,RIGHT(TEXT(B16,"0000"),1)+2,FALSE))</f>
        <v>2769</v>
      </c>
      <c r="AW16" s="494">
        <f t="shared" ref="AW16:AW43" si="16">AU16/12*AV16</f>
        <v>48.457499999999996</v>
      </c>
      <c r="AX16" s="39">
        <f t="shared" ref="AX16:AX44" si="17">AW16*(Z16*1.9835+AC16*1.9835)/E16</f>
        <v>0</v>
      </c>
      <c r="AY16" s="618">
        <v>16.100215975805217</v>
      </c>
      <c r="AZ16" s="180">
        <f t="shared" ref="AZ16:AZ41" si="18">IF(BH16="","",7.9)</f>
        <v>7.9</v>
      </c>
      <c r="BC16" s="102">
        <v>0</v>
      </c>
      <c r="BD16" s="45">
        <v>89</v>
      </c>
      <c r="BE16" s="45">
        <v>52</v>
      </c>
      <c r="BF16" s="378"/>
      <c r="BG16" s="385">
        <f t="shared" si="3"/>
        <v>11.192796853073364</v>
      </c>
      <c r="BH16" s="46">
        <v>134</v>
      </c>
      <c r="BI16" s="524">
        <v>10476</v>
      </c>
      <c r="BJ16" s="296">
        <f t="shared" ref="BJ16:BJ44" si="19">IF(G16="",0,IF(I16&lt;(795+Q16+R16+AF16+AG16),0,I16-(795+Q16+R16+AF16+AG16)))</f>
        <v>0</v>
      </c>
      <c r="BK16" s="591">
        <f t="shared" ref="BK16:BK44" si="20">MIN(505,BJ16,SUM(O16,AE16))</f>
        <v>0</v>
      </c>
      <c r="BM16" s="574">
        <f t="shared" ref="BM16:BM44" si="21">BM15+1</f>
        <v>2</v>
      </c>
      <c r="BN16" s="559">
        <v>6873.3</v>
      </c>
      <c r="BO16" s="575">
        <f t="shared" ref="BO16:BO44" si="22">B16-BN16</f>
        <v>2.9999999999745341E-2</v>
      </c>
      <c r="BP16" s="576">
        <v>46.528124999999939</v>
      </c>
      <c r="BQ16" s="576">
        <f t="shared" si="4"/>
        <v>3.4718750000000611</v>
      </c>
    </row>
    <row r="17" spans="1:69" ht="12.95" customHeight="1">
      <c r="A17" s="48">
        <v>3</v>
      </c>
      <c r="B17" s="104">
        <v>6873.03</v>
      </c>
      <c r="C17" s="483">
        <f>IF(B17="",C16,VLOOKUP(TRUNC(B17,1),VLOOKUP!$A$3:$K$2834,RIGHT(TEXT(B17,"0000.00"),1)+2,FALSE))</f>
        <v>196036</v>
      </c>
      <c r="D17" s="45">
        <f t="shared" ref="D17:D44" si="23">C17-C16</f>
        <v>-836</v>
      </c>
      <c r="E17" s="55">
        <f t="shared" si="5"/>
        <v>44036</v>
      </c>
      <c r="F17" s="112">
        <f t="shared" si="0"/>
        <v>-421.47718679102593</v>
      </c>
      <c r="G17" s="47">
        <v>163</v>
      </c>
      <c r="H17" s="113">
        <v>0</v>
      </c>
      <c r="I17" s="47">
        <f t="shared" si="1"/>
        <v>163</v>
      </c>
      <c r="J17" s="42">
        <f t="shared" si="6"/>
        <v>0</v>
      </c>
      <c r="K17" s="47">
        <f t="shared" si="7"/>
        <v>163</v>
      </c>
      <c r="L17" s="47">
        <f t="shared" si="8"/>
        <v>-18.477186791025929</v>
      </c>
      <c r="M17" s="114">
        <v>167</v>
      </c>
      <c r="N17" s="610">
        <v>1</v>
      </c>
      <c r="O17" s="47">
        <f>35*1.05</f>
        <v>36.75</v>
      </c>
      <c r="P17" s="39">
        <v>0</v>
      </c>
      <c r="Q17" s="144">
        <f>2165900/325851/1.9835*1.02</f>
        <v>3.4181200368111448</v>
      </c>
      <c r="R17" s="73">
        <f>IF(((6.4*1.04)-T17)&gt;=4.2,4.2,(6.4*1.04)-T17)</f>
        <v>4.2</v>
      </c>
      <c r="S17" s="73">
        <f>IF(((6.4*1.04)-T17)&gt;=4.2,((6.4*1.04)-T17)-4.2,0)</f>
        <v>1.1703811200000001</v>
      </c>
      <c r="T17" s="73">
        <f t="shared" si="9"/>
        <v>1.2856188800000001</v>
      </c>
      <c r="U17" s="131">
        <v>0</v>
      </c>
      <c r="V17" s="47">
        <v>123</v>
      </c>
      <c r="W17" s="47">
        <v>69</v>
      </c>
      <c r="X17" s="47">
        <f t="shared" si="10"/>
        <v>327.27609593899405</v>
      </c>
      <c r="Y17" s="47">
        <f t="shared" si="11"/>
        <v>327.27609593899405</v>
      </c>
      <c r="Z17" s="55"/>
      <c r="AA17" s="47"/>
      <c r="AB17" s="55"/>
      <c r="AC17" s="55">
        <f t="shared" ref="AC17:AC41" si="24">IF(B17="",AC16,(IF((AC16-(AX16/1.9835)+AZ17+IF(AS17&gt;0,0,AS17))&lt;=0,0,AC16-(AX16/1.9835)+AZ17+IF(AS17&gt;0,0,AS17))))</f>
        <v>0</v>
      </c>
      <c r="AD17" s="490"/>
      <c r="AF17" s="45">
        <f t="shared" ref="AF17:AF44" si="25">IF(B17="",AF16,AF16+IF(AC16-(AX16/1.9835)+AZ17+IF(AS17&gt;0,0,AS17)&lt;=0,AC16-(AX16/1.9835)+AZ17+IF(AS17&gt;0,0,AS17),0))</f>
        <v>8206.6073471238742</v>
      </c>
      <c r="AG17" s="47">
        <v>157</v>
      </c>
      <c r="AH17" s="188">
        <v>1.7</v>
      </c>
      <c r="AI17" s="210">
        <v>1.3</v>
      </c>
      <c r="AJ17" s="47">
        <v>50</v>
      </c>
      <c r="AK17" s="55">
        <f t="shared" ref="AK17:AK44" si="26">AK16-AJ17</f>
        <v>6500.511822044311</v>
      </c>
      <c r="AL17" s="55"/>
      <c r="AM17" s="74">
        <f t="shared" si="12"/>
        <v>566</v>
      </c>
      <c r="AN17" s="47">
        <f t="shared" si="13"/>
        <v>18.477186791025929</v>
      </c>
      <c r="AO17" s="47">
        <f t="shared" si="2"/>
        <v>584.47718679102593</v>
      </c>
      <c r="AP17" s="134"/>
      <c r="AQ17" s="540"/>
      <c r="AR17" s="45"/>
      <c r="AS17" s="43">
        <f t="shared" si="14"/>
        <v>-173.59421597580516</v>
      </c>
      <c r="AT17" s="492">
        <v>0.23</v>
      </c>
      <c r="AU17" s="494">
        <f t="shared" si="15"/>
        <v>0.161</v>
      </c>
      <c r="AV17" s="494">
        <f>IF(AT17="",0,VLOOKUP(ROUNDDOWN(TEXT(B17,"0000"),-1),VLOOKUP!$M$3:$W$32,RIGHT(TEXT(B17,"0000"),1)+2,FALSE))</f>
        <v>2769</v>
      </c>
      <c r="AW17" s="494">
        <f t="shared" si="16"/>
        <v>37.150750000000002</v>
      </c>
      <c r="AX17" s="39">
        <f t="shared" si="17"/>
        <v>0</v>
      </c>
      <c r="AY17" s="618">
        <v>16.100215975805217</v>
      </c>
      <c r="AZ17" s="180">
        <f t="shared" si="18"/>
        <v>7.9</v>
      </c>
      <c r="BC17" s="102">
        <v>0</v>
      </c>
      <c r="BD17" s="45">
        <v>93</v>
      </c>
      <c r="BE17" s="45">
        <v>51</v>
      </c>
      <c r="BF17" s="378"/>
      <c r="BG17" s="385">
        <f t="shared" si="3"/>
        <v>11.074120036811145</v>
      </c>
      <c r="BH17" s="46">
        <v>133</v>
      </c>
      <c r="BI17" s="524">
        <v>10219</v>
      </c>
      <c r="BJ17" s="296">
        <f t="shared" si="19"/>
        <v>0</v>
      </c>
      <c r="BK17" s="591">
        <f t="shared" si="20"/>
        <v>0</v>
      </c>
      <c r="BM17" s="574">
        <f t="shared" si="21"/>
        <v>3</v>
      </c>
      <c r="BN17" s="559">
        <v>6872.98</v>
      </c>
      <c r="BO17" s="575">
        <f t="shared" si="22"/>
        <v>5.0000000000181899E-2</v>
      </c>
      <c r="BP17" s="576">
        <v>46.487499999999933</v>
      </c>
      <c r="BQ17" s="576">
        <f t="shared" si="4"/>
        <v>3.5125000000000668</v>
      </c>
    </row>
    <row r="18" spans="1:69" ht="12.95" customHeight="1">
      <c r="A18" s="48">
        <v>4</v>
      </c>
      <c r="B18" s="104">
        <v>6872.73</v>
      </c>
      <c r="C18" s="483">
        <f>IF(B18="",C17,VLOOKUP(TRUNC(B18,1),VLOOKUP!$A$3:$K$2834,RIGHT(TEXT(B18,"0000.00"),1)+2,FALSE))</f>
        <v>195210</v>
      </c>
      <c r="D18" s="45">
        <f t="shared" si="23"/>
        <v>-826</v>
      </c>
      <c r="E18" s="55">
        <f t="shared" si="5"/>
        <v>43210</v>
      </c>
      <c r="F18" s="112">
        <f t="shared" si="0"/>
        <v>-416.43559364759261</v>
      </c>
      <c r="G18" s="47">
        <v>159</v>
      </c>
      <c r="H18" s="113">
        <v>0</v>
      </c>
      <c r="I18" s="47">
        <f t="shared" si="1"/>
        <v>159</v>
      </c>
      <c r="J18" s="42">
        <f t="shared" si="6"/>
        <v>0</v>
      </c>
      <c r="K18" s="47">
        <f t="shared" si="7"/>
        <v>159</v>
      </c>
      <c r="L18" s="47">
        <f t="shared" si="8"/>
        <v>-33.435593647592611</v>
      </c>
      <c r="M18" s="114">
        <v>152</v>
      </c>
      <c r="N18" s="610">
        <v>1</v>
      </c>
      <c r="O18" s="47">
        <f>9.8*1.05</f>
        <v>10.290000000000001</v>
      </c>
      <c r="P18" s="39">
        <v>0</v>
      </c>
      <c r="Q18" s="144">
        <f>2204600/325851/1.9835*1.02</f>
        <v>3.4791945302894178</v>
      </c>
      <c r="R18" s="73">
        <f>IF(((6.4*1.04)-T18)&gt;=4.2,4.2,(6.4*1.04)-T18)</f>
        <v>4.2</v>
      </c>
      <c r="S18" s="73">
        <f>IF(((6.4*1.04)-T18)&gt;=4.2,((6.4*1.04)-T18)-4.2,0)</f>
        <v>1.3117087999999999</v>
      </c>
      <c r="T18" s="73">
        <f>(1.038*1.06)*1.04</f>
        <v>1.1442912000000003</v>
      </c>
      <c r="U18" s="131">
        <v>0</v>
      </c>
      <c r="V18" s="47">
        <v>124</v>
      </c>
      <c r="W18" s="47">
        <v>68</v>
      </c>
      <c r="X18" s="47">
        <f t="shared" si="10"/>
        <v>338.67502144551582</v>
      </c>
      <c r="Y18" s="47">
        <f t="shared" si="11"/>
        <v>338.67502144551582</v>
      </c>
      <c r="Z18" s="55"/>
      <c r="AA18" s="47"/>
      <c r="AB18" s="55"/>
      <c r="AC18" s="55">
        <f t="shared" si="24"/>
        <v>0</v>
      </c>
      <c r="AD18" s="490"/>
      <c r="AF18" s="45">
        <f t="shared" si="25"/>
        <v>8025.4531311480687</v>
      </c>
      <c r="AG18" s="47">
        <v>148</v>
      </c>
      <c r="AH18" s="188">
        <v>1.7</v>
      </c>
      <c r="AI18" s="210">
        <v>1.3</v>
      </c>
      <c r="AJ18" s="47">
        <v>50</v>
      </c>
      <c r="AK18" s="55">
        <f t="shared" si="26"/>
        <v>6450.511822044311</v>
      </c>
      <c r="AL18" s="55"/>
      <c r="AM18" s="74">
        <f t="shared" si="12"/>
        <v>542</v>
      </c>
      <c r="AN18" s="47">
        <f t="shared" si="13"/>
        <v>33.435593647592611</v>
      </c>
      <c r="AO18" s="47">
        <f>AM18+AN18</f>
        <v>575.43559364759267</v>
      </c>
      <c r="AP18" s="134"/>
      <c r="AQ18" s="540"/>
      <c r="AR18" s="45"/>
      <c r="AS18" s="43">
        <f t="shared" si="14"/>
        <v>-189.05421597580522</v>
      </c>
      <c r="AT18" s="492">
        <v>0.28999999999999998</v>
      </c>
      <c r="AU18" s="494">
        <f t="shared" si="15"/>
        <v>0.20299999999999999</v>
      </c>
      <c r="AV18" s="494">
        <f>IF(AT18="",0,VLOOKUP(ROUNDDOWN(TEXT(B18,"0000"),-1),VLOOKUP!$M$3:$W$32,RIGHT(TEXT(B18,"0000"),1)+2,FALSE))</f>
        <v>2769</v>
      </c>
      <c r="AW18" s="494">
        <f t="shared" si="16"/>
        <v>46.84225</v>
      </c>
      <c r="AX18" s="39">
        <f t="shared" si="17"/>
        <v>0</v>
      </c>
      <c r="AY18" s="618">
        <v>16.100215975805217</v>
      </c>
      <c r="AZ18" s="180">
        <f t="shared" si="18"/>
        <v>7.9</v>
      </c>
      <c r="BC18" s="102">
        <v>0</v>
      </c>
      <c r="BD18" s="45">
        <v>94</v>
      </c>
      <c r="BE18" s="45">
        <v>54</v>
      </c>
      <c r="BF18" s="378"/>
      <c r="BG18" s="385">
        <f t="shared" si="3"/>
        <v>11.135194530289418</v>
      </c>
      <c r="BH18" s="46">
        <v>132</v>
      </c>
      <c r="BI18" s="524">
        <v>9962</v>
      </c>
      <c r="BJ18" s="296">
        <f t="shared" si="19"/>
        <v>0</v>
      </c>
      <c r="BK18" s="591">
        <f t="shared" si="20"/>
        <v>0</v>
      </c>
      <c r="BM18" s="574">
        <f t="shared" si="21"/>
        <v>4</v>
      </c>
      <c r="BN18" s="559">
        <v>6872.69</v>
      </c>
      <c r="BO18" s="575">
        <f t="shared" si="22"/>
        <v>3.999999999996362E-2</v>
      </c>
      <c r="BP18" s="576">
        <v>46.477083333333269</v>
      </c>
      <c r="BQ18" s="576">
        <f t="shared" si="4"/>
        <v>3.5229166666667311</v>
      </c>
    </row>
    <row r="19" spans="1:69" ht="12.95" customHeight="1">
      <c r="A19" s="48">
        <v>5</v>
      </c>
      <c r="B19" s="104">
        <v>6872.42</v>
      </c>
      <c r="C19" s="483">
        <f>IF(B19="",C18,VLOOKUP(TRUNC(B19,1),VLOOKUP!$A$3:$K$2834,RIGHT(TEXT(B19,"0000.00"),1)+2,FALSE))</f>
        <v>194357</v>
      </c>
      <c r="D19" s="45">
        <f t="shared" si="23"/>
        <v>-853</v>
      </c>
      <c r="E19" s="55">
        <f t="shared" si="5"/>
        <v>42357</v>
      </c>
      <c r="F19" s="112">
        <f t="shared" si="0"/>
        <v>-430.04789513486259</v>
      </c>
      <c r="G19" s="47">
        <v>153</v>
      </c>
      <c r="H19" s="113">
        <v>0</v>
      </c>
      <c r="I19" s="47">
        <f t="shared" si="1"/>
        <v>153</v>
      </c>
      <c r="J19" s="42">
        <f t="shared" si="6"/>
        <v>0</v>
      </c>
      <c r="K19" s="47">
        <f t="shared" si="7"/>
        <v>153</v>
      </c>
      <c r="L19" s="47">
        <f t="shared" si="8"/>
        <v>-22.047895134862586</v>
      </c>
      <c r="M19" s="114">
        <v>180</v>
      </c>
      <c r="N19" s="610">
        <v>1</v>
      </c>
      <c r="O19" s="47">
        <f>4.3*1.05</f>
        <v>4.5149999999999997</v>
      </c>
      <c r="P19" s="39">
        <v>0</v>
      </c>
      <c r="Q19" s="144">
        <f>2373300/325851/1.9835*1.02</f>
        <v>3.7454288209815276</v>
      </c>
      <c r="R19" s="73">
        <f>IF(((6.4*1.04)-T19)&gt;=4.2,4.2,(6.4*1.04)-T19)</f>
        <v>4.2</v>
      </c>
      <c r="S19" s="73">
        <f>IF(((6.4*1.04)-T19)&gt;=4.2,((6.4*1.04)-T19)-4.2,0)</f>
        <v>1.3117087999999999</v>
      </c>
      <c r="T19" s="73">
        <f t="shared" ref="T19:T24" si="27">(1.038*1.06)*1.04</f>
        <v>1.1442912000000003</v>
      </c>
      <c r="U19" s="131">
        <v>0</v>
      </c>
      <c r="V19" s="47">
        <v>116</v>
      </c>
      <c r="W19" s="47">
        <v>69</v>
      </c>
      <c r="X19" s="47">
        <f t="shared" si="10"/>
        <v>365.18378715482373</v>
      </c>
      <c r="Y19" s="47">
        <f t="shared" si="11"/>
        <v>365.18378715482373</v>
      </c>
      <c r="Z19" s="55"/>
      <c r="AA19" s="47"/>
      <c r="AB19" s="55"/>
      <c r="AC19" s="55">
        <f t="shared" si="24"/>
        <v>0</v>
      </c>
      <c r="AD19" s="490"/>
      <c r="AF19" s="45">
        <f t="shared" si="25"/>
        <v>7811.5239151722635</v>
      </c>
      <c r="AG19" s="47">
        <v>146</v>
      </c>
      <c r="AH19" s="188">
        <v>1.7</v>
      </c>
      <c r="AI19" s="210">
        <v>1.3</v>
      </c>
      <c r="AJ19" s="47">
        <v>50</v>
      </c>
      <c r="AK19" s="55">
        <f t="shared" si="26"/>
        <v>6400.511822044311</v>
      </c>
      <c r="AL19" s="55"/>
      <c r="AM19" s="74">
        <f t="shared" si="12"/>
        <v>561</v>
      </c>
      <c r="AN19" s="47">
        <f t="shared" si="13"/>
        <v>22.047895134862586</v>
      </c>
      <c r="AO19" s="47">
        <f t="shared" si="2"/>
        <v>583.04789513486253</v>
      </c>
      <c r="AP19" s="134"/>
      <c r="AQ19" s="540"/>
      <c r="AR19" s="45"/>
      <c r="AS19" s="43">
        <f t="shared" si="14"/>
        <v>-221.82921597580523</v>
      </c>
      <c r="AT19" s="492">
        <v>0.26</v>
      </c>
      <c r="AU19" s="494">
        <f t="shared" si="15"/>
        <v>0.182</v>
      </c>
      <c r="AV19" s="494">
        <f>IF(AT19="",0,VLOOKUP(ROUNDDOWN(TEXT(B19,"0000"),-1),VLOOKUP!$M$3:$W$32,RIGHT(TEXT(B19,"0000"),1)+2,FALSE))</f>
        <v>2734</v>
      </c>
      <c r="AW19" s="494">
        <f t="shared" si="16"/>
        <v>41.465666666666664</v>
      </c>
      <c r="AX19" s="39">
        <f t="shared" si="17"/>
        <v>0</v>
      </c>
      <c r="AY19" s="618">
        <v>16.100215975805217</v>
      </c>
      <c r="AZ19" s="180">
        <f t="shared" si="18"/>
        <v>7.9</v>
      </c>
      <c r="BC19" s="102">
        <v>0</v>
      </c>
      <c r="BD19" s="45">
        <v>95</v>
      </c>
      <c r="BE19" s="45">
        <v>56</v>
      </c>
      <c r="BF19" s="378"/>
      <c r="BG19" s="385">
        <f t="shared" si="3"/>
        <v>11.401428820981527</v>
      </c>
      <c r="BH19" s="46">
        <v>131</v>
      </c>
      <c r="BI19" s="524">
        <v>9711</v>
      </c>
      <c r="BJ19" s="296">
        <f t="shared" si="19"/>
        <v>0</v>
      </c>
      <c r="BK19" s="591">
        <f t="shared" si="20"/>
        <v>0</v>
      </c>
      <c r="BM19" s="574">
        <f t="shared" si="21"/>
        <v>5</v>
      </c>
      <c r="BN19" s="577">
        <v>6872.37</v>
      </c>
      <c r="BO19" s="575">
        <f t="shared" si="22"/>
        <v>5.0000000000181899E-2</v>
      </c>
      <c r="BP19" s="576">
        <v>46.36666666666661</v>
      </c>
      <c r="BQ19" s="576">
        <f t="shared" si="4"/>
        <v>3.6333333333333897</v>
      </c>
    </row>
    <row r="20" spans="1:69" ht="12.95" customHeight="1">
      <c r="A20" s="48">
        <v>6</v>
      </c>
      <c r="B20" s="104">
        <v>6872.12</v>
      </c>
      <c r="C20" s="483">
        <f>IF(B20="",C19,VLOOKUP(TRUNC(B20,1),VLOOKUP!$A$3:$K$2834,RIGHT(TEXT(B20,"0000.00"),1)+2,FALSE))</f>
        <v>193531</v>
      </c>
      <c r="D20" s="45">
        <f t="shared" si="23"/>
        <v>-826</v>
      </c>
      <c r="E20" s="55">
        <f t="shared" si="5"/>
        <v>41531</v>
      </c>
      <c r="F20" s="112">
        <f t="shared" si="0"/>
        <v>-416.43559364759261</v>
      </c>
      <c r="G20" s="47">
        <v>149</v>
      </c>
      <c r="H20" s="113">
        <v>0</v>
      </c>
      <c r="I20" s="47">
        <f t="shared" si="1"/>
        <v>149</v>
      </c>
      <c r="J20" s="42">
        <f t="shared" si="6"/>
        <v>0</v>
      </c>
      <c r="K20" s="47">
        <f t="shared" si="7"/>
        <v>149</v>
      </c>
      <c r="L20" s="47">
        <f t="shared" si="8"/>
        <v>-35.435593647592611</v>
      </c>
      <c r="M20" s="114">
        <v>164</v>
      </c>
      <c r="N20" s="610">
        <v>1</v>
      </c>
      <c r="O20" s="47">
        <f>14*1.05</f>
        <v>14.700000000000001</v>
      </c>
      <c r="P20" s="39">
        <v>0</v>
      </c>
      <c r="Q20" s="144">
        <f>2455300/325851/1.9835*1.02</f>
        <v>3.8748373084548704</v>
      </c>
      <c r="R20" s="73">
        <f>IF(((6.1*1.04)-T20)&gt;=4.2,4.2,(6.1*1.04)-T20)</f>
        <v>4.2</v>
      </c>
      <c r="S20" s="73">
        <f>IF(((6.1*1.04)-T20)&gt;=4.2,((6.1*1.04)-T20)-4.2,0)</f>
        <v>0.99970879999999873</v>
      </c>
      <c r="T20" s="73">
        <f t="shared" si="27"/>
        <v>1.1442912000000003</v>
      </c>
      <c r="U20" s="131">
        <v>0</v>
      </c>
      <c r="V20" s="47">
        <v>114</v>
      </c>
      <c r="W20" s="47">
        <v>69</v>
      </c>
      <c r="X20" s="47">
        <f t="shared" si="10"/>
        <v>337.18137866735037</v>
      </c>
      <c r="Y20" s="47">
        <f t="shared" si="11"/>
        <v>337.18137866735037</v>
      </c>
      <c r="Z20" s="55"/>
      <c r="AA20" s="47"/>
      <c r="AB20" s="55"/>
      <c r="AC20" s="55">
        <f t="shared" si="24"/>
        <v>0</v>
      </c>
      <c r="AD20" s="490"/>
      <c r="AF20" s="45">
        <f t="shared" si="25"/>
        <v>7621.4676991964579</v>
      </c>
      <c r="AG20" s="47">
        <v>133</v>
      </c>
      <c r="AH20" s="188">
        <v>1.7</v>
      </c>
      <c r="AI20" s="210">
        <v>1.3</v>
      </c>
      <c r="AJ20" s="47">
        <v>50</v>
      </c>
      <c r="AK20" s="55">
        <f t="shared" si="26"/>
        <v>6350.511822044311</v>
      </c>
      <c r="AL20" s="55"/>
      <c r="AM20" s="74">
        <f t="shared" si="12"/>
        <v>530</v>
      </c>
      <c r="AN20" s="47">
        <f t="shared" si="13"/>
        <v>35.435593647592611</v>
      </c>
      <c r="AO20" s="47">
        <f t="shared" si="2"/>
        <v>565.43559364759267</v>
      </c>
      <c r="AP20" s="134"/>
      <c r="AQ20" s="540"/>
      <c r="AR20" s="45"/>
      <c r="AS20" s="43">
        <f t="shared" si="14"/>
        <v>-197.95621597580521</v>
      </c>
      <c r="AT20" s="492">
        <v>0.3</v>
      </c>
      <c r="AU20" s="494">
        <f t="shared" si="15"/>
        <v>0.21</v>
      </c>
      <c r="AV20" s="494">
        <f>IF(AT20="",0,VLOOKUP(ROUNDDOWN(TEXT(B20,"0000"),-1),VLOOKUP!$M$3:$W$32,RIGHT(TEXT(B20,"0000"),1)+2,FALSE))</f>
        <v>2734</v>
      </c>
      <c r="AW20" s="494">
        <f t="shared" si="16"/>
        <v>47.844999999999992</v>
      </c>
      <c r="AX20" s="39">
        <f t="shared" si="17"/>
        <v>0</v>
      </c>
      <c r="AY20" s="618">
        <v>16.100215975805217</v>
      </c>
      <c r="AZ20" s="180">
        <f t="shared" si="18"/>
        <v>7.9</v>
      </c>
      <c r="BC20" s="102">
        <v>0</v>
      </c>
      <c r="BD20" s="45">
        <v>96</v>
      </c>
      <c r="BE20" s="45">
        <v>53</v>
      </c>
      <c r="BF20" s="378"/>
      <c r="BG20" s="385">
        <f t="shared" si="3"/>
        <v>11.218837308454869</v>
      </c>
      <c r="BH20" s="46">
        <v>129</v>
      </c>
      <c r="BI20" s="524">
        <v>9454</v>
      </c>
      <c r="BJ20" s="296">
        <f t="shared" si="19"/>
        <v>0</v>
      </c>
      <c r="BK20" s="591">
        <f t="shared" si="20"/>
        <v>0</v>
      </c>
      <c r="BM20" s="574">
        <f t="shared" si="21"/>
        <v>6</v>
      </c>
      <c r="BN20" s="577">
        <v>6872.09</v>
      </c>
      <c r="BO20" s="575">
        <f t="shared" si="22"/>
        <v>2.9999999999745341E-2</v>
      </c>
      <c r="BP20" s="576">
        <v>46.211458333333269</v>
      </c>
      <c r="BQ20" s="576">
        <f t="shared" si="4"/>
        <v>3.7885416666667311</v>
      </c>
    </row>
    <row r="21" spans="1:69" ht="12.95" customHeight="1">
      <c r="A21" s="48">
        <v>7</v>
      </c>
      <c r="B21" s="104">
        <v>6871.82</v>
      </c>
      <c r="C21" s="483">
        <f>IF(B21="",C20,VLOOKUP(TRUNC(B21,1),VLOOKUP!$A$3:$K$2834,RIGHT(TEXT(B21,"0000.00"),1)+2,FALSE))</f>
        <v>192712</v>
      </c>
      <c r="D21" s="45">
        <f>C21-C20</f>
        <v>-819</v>
      </c>
      <c r="E21" s="55">
        <f t="shared" si="5"/>
        <v>40712</v>
      </c>
      <c r="F21" s="112">
        <f>D21/$D$2</f>
        <v>-412.90647844718933</v>
      </c>
      <c r="G21" s="47">
        <v>146</v>
      </c>
      <c r="H21" s="113">
        <v>0</v>
      </c>
      <c r="I21" s="47">
        <f>G21+H21</f>
        <v>146</v>
      </c>
      <c r="J21" s="42">
        <f t="shared" si="6"/>
        <v>0</v>
      </c>
      <c r="K21" s="47">
        <f t="shared" si="7"/>
        <v>146</v>
      </c>
      <c r="L21" s="47">
        <f t="shared" si="8"/>
        <v>-35.906478447189329</v>
      </c>
      <c r="M21" s="114">
        <v>166</v>
      </c>
      <c r="N21" s="610">
        <v>1</v>
      </c>
      <c r="O21" s="47">
        <f>17*1.05</f>
        <v>17.850000000000001</v>
      </c>
      <c r="P21" s="39">
        <v>0</v>
      </c>
      <c r="Q21" s="144">
        <f>2056000/325851/1.9835*1.02</f>
        <v>3.2446811005511398</v>
      </c>
      <c r="R21" s="73">
        <f>IF(((6.1*1.04)-T21)&gt;=4.2,4.2,(6.1*1.04)-T21)</f>
        <v>4.2</v>
      </c>
      <c r="S21" s="73">
        <f>IF(((6.1*1.04)-T21)&gt;=4.2,((6.1*1.04)-T21)-4.2,0)</f>
        <v>0.99970879999999873</v>
      </c>
      <c r="T21" s="73">
        <f t="shared" si="27"/>
        <v>1.1442912000000003</v>
      </c>
      <c r="U21" s="131">
        <v>0</v>
      </c>
      <c r="V21" s="47">
        <v>110</v>
      </c>
      <c r="W21" s="47">
        <v>68</v>
      </c>
      <c r="X21" s="47">
        <f t="shared" si="10"/>
        <v>331.66153487525412</v>
      </c>
      <c r="Y21" s="47">
        <f t="shared" si="11"/>
        <v>331.66153487525412</v>
      </c>
      <c r="Z21" s="55"/>
      <c r="AA21" s="47"/>
      <c r="AB21" s="55"/>
      <c r="AC21" s="55">
        <f t="shared" si="24"/>
        <v>0</v>
      </c>
      <c r="AD21" s="490"/>
      <c r="AF21" s="45">
        <f t="shared" si="25"/>
        <v>7434.5614832206529</v>
      </c>
      <c r="AG21" s="47">
        <v>129</v>
      </c>
      <c r="AH21" s="188">
        <v>1.7</v>
      </c>
      <c r="AI21" s="210">
        <v>1.3</v>
      </c>
      <c r="AJ21" s="47">
        <v>50</v>
      </c>
      <c r="AK21" s="55">
        <f t="shared" si="26"/>
        <v>6300.511822044311</v>
      </c>
      <c r="AL21" s="55"/>
      <c r="AM21" s="74">
        <f t="shared" si="12"/>
        <v>523</v>
      </c>
      <c r="AN21" s="47">
        <f t="shared" si="13"/>
        <v>35.906478447189329</v>
      </c>
      <c r="AO21" s="47">
        <f t="shared" si="2"/>
        <v>558.90647844718933</v>
      </c>
      <c r="AP21" s="134"/>
      <c r="AQ21" s="540"/>
      <c r="AR21" s="45"/>
      <c r="AS21" s="43">
        <f t="shared" si="14"/>
        <v>-194.80621597580523</v>
      </c>
      <c r="AT21" s="492">
        <v>0.23</v>
      </c>
      <c r="AU21" s="494">
        <f t="shared" si="15"/>
        <v>0.161</v>
      </c>
      <c r="AV21" s="494">
        <f>IF(AT21="",0,VLOOKUP(ROUNDDOWN(TEXT(B21,"0000"),-1),VLOOKUP!$M$3:$W$32,RIGHT(TEXT(B21,"0000"),1)+2,FALSE))</f>
        <v>2734</v>
      </c>
      <c r="AW21" s="494">
        <f t="shared" si="16"/>
        <v>36.68116666666667</v>
      </c>
      <c r="AX21" s="39">
        <f t="shared" si="17"/>
        <v>0</v>
      </c>
      <c r="AY21" s="618">
        <v>16.100215975805217</v>
      </c>
      <c r="AZ21" s="180">
        <f t="shared" si="18"/>
        <v>7.9</v>
      </c>
      <c r="BC21" s="102">
        <v>0</v>
      </c>
      <c r="BD21" s="45">
        <v>91</v>
      </c>
      <c r="BE21" s="45">
        <v>57</v>
      </c>
      <c r="BF21" s="378"/>
      <c r="BG21" s="385">
        <f t="shared" si="3"/>
        <v>10.588681100551138</v>
      </c>
      <c r="BH21" s="46">
        <v>128</v>
      </c>
      <c r="BI21" s="524">
        <v>9193</v>
      </c>
      <c r="BJ21" s="296">
        <f t="shared" si="19"/>
        <v>0</v>
      </c>
      <c r="BK21" s="591">
        <f t="shared" si="20"/>
        <v>0</v>
      </c>
      <c r="BM21" s="574">
        <f t="shared" si="21"/>
        <v>7</v>
      </c>
      <c r="BN21" s="559">
        <v>6871.77</v>
      </c>
      <c r="BO21" s="575">
        <f t="shared" si="22"/>
        <v>4.9999999999272404E-2</v>
      </c>
      <c r="BP21" s="576">
        <v>46.252083333333282</v>
      </c>
      <c r="BQ21" s="576">
        <f t="shared" si="4"/>
        <v>3.7479166666667183</v>
      </c>
    </row>
    <row r="22" spans="1:69" ht="12.95" customHeight="1">
      <c r="A22" s="48">
        <v>8</v>
      </c>
      <c r="B22" s="104">
        <v>6871.48</v>
      </c>
      <c r="C22" s="483">
        <f>IF(B22="",C21,VLOOKUP(TRUNC(B22,1),VLOOKUP!$A$3:$K$2834,RIGHT(TEXT(B22,"0000.00"),1)+2,FALSE))</f>
        <v>191788</v>
      </c>
      <c r="D22" s="45">
        <f t="shared" si="23"/>
        <v>-924</v>
      </c>
      <c r="E22" s="55">
        <f t="shared" si="5"/>
        <v>39788</v>
      </c>
      <c r="F22" s="112">
        <f t="shared" si="0"/>
        <v>-465.84320645323919</v>
      </c>
      <c r="G22" s="47">
        <v>147</v>
      </c>
      <c r="H22" s="113">
        <v>0</v>
      </c>
      <c r="I22" s="47">
        <f t="shared" si="1"/>
        <v>147</v>
      </c>
      <c r="J22" s="42">
        <f t="shared" si="6"/>
        <v>0</v>
      </c>
      <c r="K22" s="47">
        <f t="shared" si="7"/>
        <v>147</v>
      </c>
      <c r="L22" s="47">
        <f t="shared" si="8"/>
        <v>-91.843206453239191</v>
      </c>
      <c r="M22" s="114">
        <v>182</v>
      </c>
      <c r="N22" s="610">
        <v>1</v>
      </c>
      <c r="O22" s="47">
        <f>31*1.05</f>
        <v>32.550000000000004</v>
      </c>
      <c r="P22" s="39">
        <v>0</v>
      </c>
      <c r="Q22" s="144">
        <f>1477200/325851/1.9835*1.02</f>
        <v>2.3312465572636882</v>
      </c>
      <c r="R22" s="73">
        <f>IF(((5.4*1.04)-T22)&gt;=4.2,4.2,(5.4*1.04)-T22)</f>
        <v>4.2</v>
      </c>
      <c r="S22" s="73">
        <f>IF(((5.4*1.04)-T22)&gt;=4.2,((5.4*1.04)-T22)-4.2,0)</f>
        <v>0.27170879999999986</v>
      </c>
      <c r="T22" s="73">
        <f t="shared" si="27"/>
        <v>1.1442912000000003</v>
      </c>
      <c r="U22" s="131">
        <v>0</v>
      </c>
      <c r="V22" s="47">
        <v>105</v>
      </c>
      <c r="W22" s="47">
        <v>67</v>
      </c>
      <c r="X22" s="47">
        <f t="shared" si="10"/>
        <v>328.60296941854153</v>
      </c>
      <c r="Y22" s="47">
        <f t="shared" si="11"/>
        <v>328.60296941854153</v>
      </c>
      <c r="Z22" s="55"/>
      <c r="AA22" s="47"/>
      <c r="AB22" s="55"/>
      <c r="AC22" s="55">
        <f t="shared" si="24"/>
        <v>0</v>
      </c>
      <c r="AD22" s="490"/>
      <c r="AF22" s="45">
        <f t="shared" si="25"/>
        <v>7252.6272672448476</v>
      </c>
      <c r="AG22" s="47">
        <v>117</v>
      </c>
      <c r="AH22" s="188">
        <v>1.7</v>
      </c>
      <c r="AI22" s="210">
        <v>1.3</v>
      </c>
      <c r="AJ22" s="47">
        <v>50</v>
      </c>
      <c r="AK22" s="55">
        <f t="shared" si="26"/>
        <v>6250.511822044311</v>
      </c>
      <c r="AL22" s="55"/>
      <c r="AM22" s="74">
        <f t="shared" si="12"/>
        <v>521</v>
      </c>
      <c r="AN22" s="47">
        <f t="shared" si="13"/>
        <v>91.843206453239191</v>
      </c>
      <c r="AO22" s="47">
        <f t="shared" si="2"/>
        <v>612.84320645323919</v>
      </c>
      <c r="AP22" s="134"/>
      <c r="AQ22" s="540"/>
      <c r="AR22" s="45"/>
      <c r="AS22" s="43">
        <f t="shared" si="14"/>
        <v>-189.83421597580519</v>
      </c>
      <c r="AT22" s="492">
        <v>0.15</v>
      </c>
      <c r="AU22" s="494">
        <f t="shared" si="15"/>
        <v>0.105</v>
      </c>
      <c r="AV22" s="494">
        <f>IF(AT22="",0,VLOOKUP(ROUNDDOWN(TEXT(B22,"0000"),-1),VLOOKUP!$M$3:$W$32,RIGHT(TEXT(B22,"0000"),1)+2,FALSE))</f>
        <v>2699</v>
      </c>
      <c r="AW22" s="494">
        <f t="shared" si="16"/>
        <v>23.616249999999997</v>
      </c>
      <c r="AX22" s="39">
        <f t="shared" si="17"/>
        <v>0</v>
      </c>
      <c r="AY22" s="618">
        <v>16.100215975805217</v>
      </c>
      <c r="AZ22" s="180">
        <f t="shared" si="18"/>
        <v>7.9</v>
      </c>
      <c r="BC22" s="102">
        <v>0</v>
      </c>
      <c r="BD22" s="45">
        <v>67</v>
      </c>
      <c r="BE22" s="45">
        <v>35</v>
      </c>
      <c r="BF22" s="378"/>
      <c r="BG22" s="385">
        <f t="shared" si="3"/>
        <v>8.9472465572636892</v>
      </c>
      <c r="BH22" s="46">
        <v>127</v>
      </c>
      <c r="BI22" s="524">
        <v>8935</v>
      </c>
      <c r="BJ22" s="296">
        <f t="shared" si="19"/>
        <v>0</v>
      </c>
      <c r="BK22" s="591">
        <f t="shared" si="20"/>
        <v>0</v>
      </c>
      <c r="BM22" s="574">
        <f t="shared" si="21"/>
        <v>8</v>
      </c>
      <c r="BN22" s="559">
        <v>6871.48</v>
      </c>
      <c r="BO22" s="575">
        <f t="shared" si="22"/>
        <v>0</v>
      </c>
      <c r="BP22" s="576">
        <v>46.088541666666636</v>
      </c>
      <c r="BQ22" s="576">
        <f t="shared" si="4"/>
        <v>3.9114583333333641</v>
      </c>
    </row>
    <row r="23" spans="1:69" ht="12.95" customHeight="1">
      <c r="A23" s="48">
        <v>9</v>
      </c>
      <c r="B23" s="104">
        <v>6871.36</v>
      </c>
      <c r="C23" s="483">
        <f>IF(B23="",C22,VLOOKUP(TRUNC(B23,1),VLOOKUP!$A$3:$K$2834,RIGHT(TEXT(B23,"0000.00"),1)+2,FALSE))</f>
        <v>191462</v>
      </c>
      <c r="D23" s="45">
        <f t="shared" si="23"/>
        <v>-326</v>
      </c>
      <c r="E23" s="55">
        <f t="shared" si="5"/>
        <v>39462</v>
      </c>
      <c r="F23" s="112">
        <f t="shared" si="0"/>
        <v>-164.3559364759264</v>
      </c>
      <c r="G23" s="47">
        <v>164</v>
      </c>
      <c r="H23" s="113">
        <v>0</v>
      </c>
      <c r="I23" s="47">
        <f t="shared" si="1"/>
        <v>164</v>
      </c>
      <c r="J23" s="42">
        <f t="shared" si="6"/>
        <v>57.644063524073601</v>
      </c>
      <c r="K23" s="47">
        <f>I23+J23</f>
        <v>221.6440635240736</v>
      </c>
      <c r="L23" s="47">
        <f t="shared" si="8"/>
        <v>57.644063524073601</v>
      </c>
      <c r="M23" s="114">
        <v>160</v>
      </c>
      <c r="N23" s="610">
        <v>1</v>
      </c>
      <c r="O23" s="47">
        <f>44*1.05</f>
        <v>46.2</v>
      </c>
      <c r="P23" s="39">
        <v>0</v>
      </c>
      <c r="Q23" s="144">
        <f>1254300/325851/1.9835*1.02</f>
        <v>1.9794764126562716</v>
      </c>
      <c r="R23" s="73">
        <f>IF(((4.5*1.04)-T23)&gt;=4.2,4.2,(4.5*1.04)-T23)</f>
        <v>3.5357087999999992</v>
      </c>
      <c r="S23" s="73">
        <f>IF(((4.5*1.04)-T23)&gt;=4.2,((4.5*1.04)-T23)-4.2,0)</f>
        <v>0</v>
      </c>
      <c r="T23" s="73">
        <f t="shared" si="27"/>
        <v>1.1442912000000003</v>
      </c>
      <c r="U23" s="131">
        <v>0</v>
      </c>
      <c r="V23" s="47">
        <v>95</v>
      </c>
      <c r="W23" s="47">
        <v>62</v>
      </c>
      <c r="X23" s="47">
        <f t="shared" si="10"/>
        <v>279.24073956314896</v>
      </c>
      <c r="Y23" s="47">
        <f>X23-AR23</f>
        <v>279.24073956314896</v>
      </c>
      <c r="Z23" s="55"/>
      <c r="AA23" s="47"/>
      <c r="AB23" s="55"/>
      <c r="AC23" s="55">
        <f t="shared" si="24"/>
        <v>0</v>
      </c>
      <c r="AD23" s="490"/>
      <c r="AF23" s="45">
        <f t="shared" si="25"/>
        <v>7138.0713424690421</v>
      </c>
      <c r="AG23" s="47">
        <v>19</v>
      </c>
      <c r="AH23" s="188">
        <v>1.7</v>
      </c>
      <c r="AI23" s="210">
        <v>1.3</v>
      </c>
      <c r="AJ23" s="47">
        <v>50</v>
      </c>
      <c r="AK23" s="55">
        <f t="shared" si="26"/>
        <v>6200.511822044311</v>
      </c>
      <c r="AL23" s="55"/>
      <c r="AM23" s="74">
        <f t="shared" si="12"/>
        <v>386</v>
      </c>
      <c r="AN23" s="47">
        <f t="shared" si="13"/>
        <v>0</v>
      </c>
      <c r="AO23" s="47">
        <f t="shared" si="2"/>
        <v>386</v>
      </c>
      <c r="AP23" s="134"/>
      <c r="AQ23" s="540"/>
      <c r="AR23" s="45"/>
      <c r="AS23" s="43">
        <f t="shared" si="14"/>
        <v>-122.45592477580526</v>
      </c>
      <c r="AT23" s="492">
        <v>0</v>
      </c>
      <c r="AU23" s="494">
        <f t="shared" si="15"/>
        <v>0</v>
      </c>
      <c r="AV23" s="494">
        <f>IF(AT23="",0,VLOOKUP(ROUNDDOWN(TEXT(B23,"0000"),-1),VLOOKUP!$M$3:$W$32,RIGHT(TEXT(B23,"0000"),1)+2,FALSE))</f>
        <v>2699</v>
      </c>
      <c r="AW23" s="494">
        <f t="shared" si="16"/>
        <v>0</v>
      </c>
      <c r="AX23" s="39">
        <f t="shared" si="17"/>
        <v>0</v>
      </c>
      <c r="AY23" s="618">
        <v>16.100215975805217</v>
      </c>
      <c r="AZ23" s="180">
        <f t="shared" si="18"/>
        <v>7.9</v>
      </c>
      <c r="BC23" s="102">
        <v>0.92</v>
      </c>
      <c r="BD23" s="45">
        <v>49</v>
      </c>
      <c r="BE23" s="45">
        <v>36</v>
      </c>
      <c r="BF23" s="378"/>
      <c r="BG23" s="385">
        <f t="shared" si="3"/>
        <v>7.6594764126562715</v>
      </c>
      <c r="BH23" s="46">
        <v>120</v>
      </c>
      <c r="BI23" s="524">
        <v>8685</v>
      </c>
      <c r="BJ23" s="296">
        <f t="shared" si="19"/>
        <v>0</v>
      </c>
      <c r="BK23" s="591">
        <f t="shared" si="20"/>
        <v>0</v>
      </c>
      <c r="BM23" s="574">
        <f t="shared" si="21"/>
        <v>9</v>
      </c>
      <c r="BN23" s="559">
        <v>6871.39</v>
      </c>
      <c r="BO23" s="575">
        <f t="shared" si="22"/>
        <v>-3.0000000000654836E-2</v>
      </c>
      <c r="BP23" s="576">
        <v>46.14270833333331</v>
      </c>
      <c r="BQ23" s="576">
        <f t="shared" si="4"/>
        <v>3.8572916666666899</v>
      </c>
    </row>
    <row r="24" spans="1:69" ht="12.95" customHeight="1">
      <c r="A24" s="48">
        <v>10</v>
      </c>
      <c r="B24" s="104">
        <v>6871.27</v>
      </c>
      <c r="C24" s="483">
        <f>IF(B24="",C23,VLOOKUP(TRUNC(B24,1),VLOOKUP!$A$3:$K$2834,RIGHT(TEXT(B24,"0000.00"),1)+2,FALSE))</f>
        <v>191218</v>
      </c>
      <c r="D24" s="45">
        <f t="shared" si="23"/>
        <v>-244</v>
      </c>
      <c r="E24" s="55">
        <f t="shared" si="5"/>
        <v>39218</v>
      </c>
      <c r="F24" s="112">
        <f t="shared" si="0"/>
        <v>-123.01487269977312</v>
      </c>
      <c r="G24" s="47">
        <v>191</v>
      </c>
      <c r="H24" s="113">
        <v>0</v>
      </c>
      <c r="I24" s="47">
        <f t="shared" si="1"/>
        <v>191</v>
      </c>
      <c r="J24" s="42">
        <f t="shared" si="6"/>
        <v>0</v>
      </c>
      <c r="K24" s="47">
        <f t="shared" si="7"/>
        <v>191</v>
      </c>
      <c r="L24" s="47">
        <f t="shared" si="8"/>
        <v>-26.474872699773101</v>
      </c>
      <c r="M24" s="114">
        <v>99</v>
      </c>
      <c r="N24" s="610">
        <v>1</v>
      </c>
      <c r="O24" s="47">
        <f>17*1.05</f>
        <v>17.850000000000001</v>
      </c>
      <c r="P24" s="39">
        <v>0</v>
      </c>
      <c r="Q24" s="144">
        <f>1032100/325851/1.9835*1.02</f>
        <v>1.628810974649237</v>
      </c>
      <c r="R24" s="73">
        <f>IF(((4.1*1.04)-T24)&gt;=4.2,4.2,(4.1*1.04)-T24)</f>
        <v>3.1197087999999988</v>
      </c>
      <c r="S24" s="73">
        <f>IF(((4.1*1.04)-T24)&gt;=4.2,((4.1*1.04)-T24)-4.2,0)</f>
        <v>0</v>
      </c>
      <c r="T24" s="73">
        <f t="shared" si="27"/>
        <v>1.1442912000000003</v>
      </c>
      <c r="U24" s="131">
        <v>0</v>
      </c>
      <c r="V24" s="47">
        <v>87</v>
      </c>
      <c r="W24" s="47">
        <v>59</v>
      </c>
      <c r="X24" s="47">
        <f t="shared" si="10"/>
        <v>229.89740500115599</v>
      </c>
      <c r="Y24" s="47">
        <f t="shared" si="11"/>
        <v>229.89740500115599</v>
      </c>
      <c r="Z24" s="55"/>
      <c r="AA24" s="47"/>
      <c r="AB24" s="55"/>
      <c r="AC24" s="55">
        <f t="shared" si="24"/>
        <v>0</v>
      </c>
      <c r="AD24" s="490"/>
      <c r="AF24" s="45">
        <f t="shared" si="25"/>
        <v>7100.6254176932371</v>
      </c>
      <c r="AG24" s="47">
        <v>0</v>
      </c>
      <c r="AH24" s="188">
        <v>1.7</v>
      </c>
      <c r="AI24" s="210">
        <v>1.3</v>
      </c>
      <c r="AJ24" s="47">
        <v>49</v>
      </c>
      <c r="AK24" s="55">
        <f t="shared" si="26"/>
        <v>6151.511822044311</v>
      </c>
      <c r="AL24" s="55"/>
      <c r="AM24" s="74">
        <f t="shared" si="12"/>
        <v>287.54000000000002</v>
      </c>
      <c r="AN24" s="47">
        <f t="shared" si="13"/>
        <v>26.474872699773101</v>
      </c>
      <c r="AO24" s="47">
        <f t="shared" si="2"/>
        <v>314.01487269977315</v>
      </c>
      <c r="AP24" s="134"/>
      <c r="AQ24" s="540"/>
      <c r="AR24" s="45"/>
      <c r="AS24" s="43">
        <f t="shared" si="14"/>
        <v>-45.345924775805244</v>
      </c>
      <c r="AT24" s="492">
        <v>0</v>
      </c>
      <c r="AU24" s="494">
        <f t="shared" si="15"/>
        <v>0</v>
      </c>
      <c r="AV24" s="494">
        <f>IF(AT24="",0,VLOOKUP(ROUNDDOWN(TEXT(B24,"0000"),-1),VLOOKUP!$M$3:$W$32,RIGHT(TEXT(B24,"0000"),1)+2,FALSE))</f>
        <v>2699</v>
      </c>
      <c r="AW24" s="494">
        <f t="shared" si="16"/>
        <v>0</v>
      </c>
      <c r="AX24" s="39">
        <f t="shared" si="17"/>
        <v>0</v>
      </c>
      <c r="AY24" s="618">
        <v>16.100215975805217</v>
      </c>
      <c r="AZ24" s="180">
        <f t="shared" si="18"/>
        <v>7.9</v>
      </c>
      <c r="BA24" s="30">
        <v>6.46</v>
      </c>
      <c r="BC24" s="102">
        <v>0.25</v>
      </c>
      <c r="BD24" s="45">
        <v>54</v>
      </c>
      <c r="BE24" s="45">
        <v>37</v>
      </c>
      <c r="BF24" s="378"/>
      <c r="BG24" s="385">
        <f t="shared" si="3"/>
        <v>6.8928109746492359</v>
      </c>
      <c r="BH24" s="46">
        <v>118</v>
      </c>
      <c r="BI24" s="524">
        <v>8454</v>
      </c>
      <c r="BJ24" s="296">
        <f t="shared" si="19"/>
        <v>0</v>
      </c>
      <c r="BK24" s="591">
        <f t="shared" si="20"/>
        <v>0</v>
      </c>
      <c r="BM24" s="574">
        <f t="shared" si="21"/>
        <v>10</v>
      </c>
      <c r="BN24" s="559">
        <v>6871.31</v>
      </c>
      <c r="BO24" s="575">
        <f t="shared" si="22"/>
        <v>-3.999999999996362E-2</v>
      </c>
      <c r="BP24" s="576">
        <v>45.057291666666629</v>
      </c>
      <c r="BQ24" s="576">
        <f t="shared" si="4"/>
        <v>3.9427083333333712</v>
      </c>
    </row>
    <row r="25" spans="1:69" ht="12.95" customHeight="1">
      <c r="A25" s="48">
        <v>11</v>
      </c>
      <c r="B25" s="104">
        <v>6871.17</v>
      </c>
      <c r="C25" s="483">
        <f>IF(B25="",C24,VLOOKUP(TRUNC(B25,1),VLOOKUP!$A$3:$K$2834,RIGHT(TEXT(B25,"0000.00"),1)+2,FALSE))</f>
        <v>190946</v>
      </c>
      <c r="D25" s="45">
        <f t="shared" si="23"/>
        <v>-272</v>
      </c>
      <c r="E25" s="55">
        <f t="shared" si="5"/>
        <v>38946</v>
      </c>
      <c r="F25" s="112">
        <f t="shared" si="0"/>
        <v>-137.13133350138642</v>
      </c>
      <c r="G25" s="47">
        <v>188</v>
      </c>
      <c r="H25" s="113">
        <v>0</v>
      </c>
      <c r="I25" s="47">
        <f t="shared" si="1"/>
        <v>188</v>
      </c>
      <c r="J25" s="42">
        <f t="shared" si="6"/>
        <v>0</v>
      </c>
      <c r="K25" s="47">
        <f t="shared" si="7"/>
        <v>188</v>
      </c>
      <c r="L25" s="47">
        <f t="shared" si="8"/>
        <v>-12.45633350138641</v>
      </c>
      <c r="M25" s="114">
        <v>93</v>
      </c>
      <c r="N25" s="610">
        <v>0</v>
      </c>
      <c r="O25" s="47">
        <f>0*1.05</f>
        <v>0</v>
      </c>
      <c r="P25" s="39">
        <v>0</v>
      </c>
      <c r="Q25" s="144">
        <f>1420900/325851/1.9835*1.02</f>
        <v>2.2423965835472344</v>
      </c>
      <c r="R25" s="73">
        <f>IF(((3.4*1.04)-T25)&gt;=4.2,4.2,(3.4*1.04)-T25)</f>
        <v>2.4517895999999997</v>
      </c>
      <c r="S25" s="73">
        <f>IF(((3.4*1.04)-T25)&gt;=4.2,((3.4*1.04)-T25)-4.2,0)</f>
        <v>0</v>
      </c>
      <c r="T25" s="73">
        <f>(0.9835*1.06)*1.04</f>
        <v>1.0842104000000001</v>
      </c>
      <c r="U25" s="131">
        <v>0</v>
      </c>
      <c r="V25" s="47">
        <v>83</v>
      </c>
      <c r="W25" s="47">
        <v>54</v>
      </c>
      <c r="X25" s="47">
        <f t="shared" si="10"/>
        <v>239.99681939225798</v>
      </c>
      <c r="Y25" s="47">
        <f t="shared" si="11"/>
        <v>239.99681939225798</v>
      </c>
      <c r="Z25" s="55"/>
      <c r="AA25" s="47"/>
      <c r="AB25" s="55"/>
      <c r="AC25" s="55">
        <f t="shared" si="24"/>
        <v>0</v>
      </c>
      <c r="AD25" s="490"/>
      <c r="AF25" s="45">
        <f t="shared" si="25"/>
        <v>7050.1344121174316</v>
      </c>
      <c r="AG25" s="47">
        <v>34</v>
      </c>
      <c r="AH25" s="188">
        <v>1.7</v>
      </c>
      <c r="AI25" s="210">
        <v>1.3</v>
      </c>
      <c r="AJ25" s="47">
        <v>49</v>
      </c>
      <c r="AK25" s="55">
        <f t="shared" si="26"/>
        <v>6102.511822044311</v>
      </c>
      <c r="AL25" s="55"/>
      <c r="AM25" s="74">
        <f t="shared" si="12"/>
        <v>312.67500000000001</v>
      </c>
      <c r="AN25" s="47">
        <f t="shared" si="13"/>
        <v>12.45633350138641</v>
      </c>
      <c r="AO25" s="47">
        <f t="shared" si="2"/>
        <v>325.13133350138639</v>
      </c>
      <c r="AP25" s="134"/>
      <c r="AQ25" s="540"/>
      <c r="AR25" s="45"/>
      <c r="AS25" s="43">
        <f t="shared" si="14"/>
        <v>-58.391005575805238</v>
      </c>
      <c r="AT25" s="492">
        <v>0.15</v>
      </c>
      <c r="AU25" s="494">
        <f t="shared" si="15"/>
        <v>0.105</v>
      </c>
      <c r="AV25" s="494">
        <f>IF(AT25="",0,VLOOKUP(ROUNDDOWN(TEXT(B25,"0000"),-1),VLOOKUP!$M$3:$W$32,RIGHT(TEXT(B25,"0000"),1)+2,FALSE))</f>
        <v>2699</v>
      </c>
      <c r="AW25" s="494">
        <f t="shared" si="16"/>
        <v>23.616249999999997</v>
      </c>
      <c r="AX25" s="39">
        <f t="shared" si="17"/>
        <v>0</v>
      </c>
      <c r="AY25" s="618">
        <v>16.100215975805217</v>
      </c>
      <c r="AZ25" s="180">
        <f t="shared" si="18"/>
        <v>7.9</v>
      </c>
      <c r="BA25" s="30">
        <v>0.32500000000000001</v>
      </c>
      <c r="BC25" s="102">
        <v>0</v>
      </c>
      <c r="BD25" s="45">
        <v>68</v>
      </c>
      <c r="BE25" s="45">
        <v>37</v>
      </c>
      <c r="BF25" s="378"/>
      <c r="BG25" s="385">
        <f t="shared" si="3"/>
        <v>5.7783965835472344</v>
      </c>
      <c r="BH25" s="46">
        <v>122</v>
      </c>
      <c r="BI25" s="524">
        <v>8209</v>
      </c>
      <c r="BJ25" s="296">
        <f t="shared" si="19"/>
        <v>0</v>
      </c>
      <c r="BK25" s="591">
        <f t="shared" si="20"/>
        <v>0</v>
      </c>
      <c r="BM25" s="574">
        <f t="shared" si="21"/>
        <v>11</v>
      </c>
      <c r="BN25" s="559">
        <v>6871.2</v>
      </c>
      <c r="BO25" s="575">
        <f t="shared" si="22"/>
        <v>-2.9999999999745341E-2</v>
      </c>
      <c r="BP25" s="576">
        <v>46.073958333333302</v>
      </c>
      <c r="BQ25" s="576">
        <f t="shared" si="4"/>
        <v>2.9260416666666984</v>
      </c>
    </row>
    <row r="26" spans="1:69" ht="12.95" customHeight="1">
      <c r="A26" s="48">
        <v>12</v>
      </c>
      <c r="B26" s="104">
        <v>6871.05</v>
      </c>
      <c r="C26" s="483">
        <f>IF(B26="",C25,VLOOKUP(TRUNC(B26,1),VLOOKUP!$A$3:$K$2834,RIGHT(TEXT(B26,"0000.00"),1)+2,FALSE))</f>
        <v>190620</v>
      </c>
      <c r="D26" s="45">
        <f t="shared" si="23"/>
        <v>-326</v>
      </c>
      <c r="E26" s="55">
        <f t="shared" si="5"/>
        <v>38620</v>
      </c>
      <c r="F26" s="112">
        <f t="shared" si="0"/>
        <v>-164.3559364759264</v>
      </c>
      <c r="G26" s="47">
        <v>179</v>
      </c>
      <c r="H26" s="113">
        <v>0</v>
      </c>
      <c r="I26" s="47">
        <f t="shared" si="1"/>
        <v>179</v>
      </c>
      <c r="J26" s="42">
        <f t="shared" si="6"/>
        <v>0</v>
      </c>
      <c r="K26" s="47">
        <f t="shared" si="7"/>
        <v>179</v>
      </c>
      <c r="L26" s="47">
        <f t="shared" si="8"/>
        <v>-25.355936475926399</v>
      </c>
      <c r="M26" s="114">
        <v>88</v>
      </c>
      <c r="N26" s="610">
        <v>0</v>
      </c>
      <c r="O26" s="47">
        <f>0.22*1.05</f>
        <v>0.23100000000000001</v>
      </c>
      <c r="P26" s="39">
        <v>0</v>
      </c>
      <c r="Q26" s="144">
        <f>1315800/325851/1.9835*1.02</f>
        <v>2.0765327782612792</v>
      </c>
      <c r="R26" s="73">
        <f>IF(((4.7*1.04)-T26)&gt;=4.2,4.2,(4.7*1.04)-T26)</f>
        <v>3.8037896000000009</v>
      </c>
      <c r="S26" s="73">
        <f>IF(((4.7*1.04)-T26)&gt;=4.2,((4.7*1.04)-T26)-4.2,0)</f>
        <v>0</v>
      </c>
      <c r="T26" s="73">
        <f t="shared" ref="T26:T31" si="28">(0.9835*1.06)*1.04</f>
        <v>1.0842104000000001</v>
      </c>
      <c r="U26" s="131">
        <v>0</v>
      </c>
      <c r="V26" s="47">
        <v>82</v>
      </c>
      <c r="W26" s="47">
        <v>53</v>
      </c>
      <c r="X26" s="47">
        <f t="shared" si="10"/>
        <v>231.90468319754393</v>
      </c>
      <c r="Y26" s="47">
        <f t="shared" si="11"/>
        <v>231.90468319754393</v>
      </c>
      <c r="Z26" s="55"/>
      <c r="AA26" s="47"/>
      <c r="AB26" s="55"/>
      <c r="AC26" s="55">
        <f t="shared" si="24"/>
        <v>0</v>
      </c>
      <c r="AD26" s="490"/>
      <c r="AF26" s="45">
        <f t="shared" si="25"/>
        <v>6997.549406541626</v>
      </c>
      <c r="AG26" s="47">
        <v>45</v>
      </c>
      <c r="AH26" s="188">
        <v>1.7</v>
      </c>
      <c r="AI26" s="210">
        <v>1.3</v>
      </c>
      <c r="AJ26" s="47">
        <v>50</v>
      </c>
      <c r="AK26" s="55">
        <f t="shared" si="26"/>
        <v>6052.511822044311</v>
      </c>
      <c r="AL26" s="55"/>
      <c r="AM26" s="74">
        <f t="shared" si="12"/>
        <v>318</v>
      </c>
      <c r="AN26" s="47">
        <f t="shared" si="13"/>
        <v>25.355936475926399</v>
      </c>
      <c r="AO26" s="47">
        <f t="shared" si="2"/>
        <v>343.3559364759264</v>
      </c>
      <c r="AP26" s="134"/>
      <c r="AQ26" s="540"/>
      <c r="AR26" s="45"/>
      <c r="AS26" s="43">
        <f t="shared" si="14"/>
        <v>-60.485005575805204</v>
      </c>
      <c r="AT26" s="492">
        <v>0.16</v>
      </c>
      <c r="AU26" s="494">
        <f t="shared" si="15"/>
        <v>0.11199999999999999</v>
      </c>
      <c r="AV26" s="494">
        <f>IF(AT26="",0,VLOOKUP(ROUNDDOWN(TEXT(B26,"0000"),-1),VLOOKUP!$M$3:$W$32,RIGHT(TEXT(B26,"0000"),1)+2,FALSE))</f>
        <v>2699</v>
      </c>
      <c r="AW26" s="494">
        <f t="shared" si="16"/>
        <v>25.190666666666665</v>
      </c>
      <c r="AX26" s="39">
        <f t="shared" si="17"/>
        <v>0</v>
      </c>
      <c r="AY26" s="618">
        <v>16.100215975805217</v>
      </c>
      <c r="AZ26" s="180">
        <f t="shared" si="18"/>
        <v>7.9</v>
      </c>
      <c r="BC26" s="102">
        <v>0</v>
      </c>
      <c r="BD26" s="45">
        <v>79</v>
      </c>
      <c r="BE26" s="45">
        <v>42</v>
      </c>
      <c r="BF26" s="378"/>
      <c r="BG26" s="385">
        <f t="shared" si="3"/>
        <v>6.9645327782612796</v>
      </c>
      <c r="BH26" s="46">
        <v>122</v>
      </c>
      <c r="BI26" s="524">
        <v>7962</v>
      </c>
      <c r="BJ26" s="296">
        <f t="shared" si="19"/>
        <v>0</v>
      </c>
      <c r="BK26" s="591">
        <f t="shared" si="20"/>
        <v>0</v>
      </c>
      <c r="BM26" s="574">
        <f t="shared" si="21"/>
        <v>12</v>
      </c>
      <c r="BN26" s="559">
        <v>6871.06</v>
      </c>
      <c r="BO26" s="575">
        <f t="shared" si="22"/>
        <v>-1.0000000000218279E-2</v>
      </c>
      <c r="BP26" s="576">
        <v>46.077083333333299</v>
      </c>
      <c r="BQ26" s="576">
        <f t="shared" si="4"/>
        <v>3.9229166666667012</v>
      </c>
    </row>
    <row r="27" spans="1:69" ht="12.95" customHeight="1">
      <c r="A27" s="48">
        <v>13</v>
      </c>
      <c r="B27" s="104">
        <v>6870.92</v>
      </c>
      <c r="C27" s="483">
        <f>IF(B27="",C26,VLOOKUP(TRUNC(B27,1),VLOOKUP!$A$3:$K$2834,RIGHT(TEXT(B27,"0000.00"),1)+2,FALSE))</f>
        <v>190270</v>
      </c>
      <c r="D27" s="45">
        <f t="shared" si="23"/>
        <v>-350</v>
      </c>
      <c r="E27" s="55">
        <f t="shared" si="5"/>
        <v>38270</v>
      </c>
      <c r="F27" s="112">
        <f t="shared" si="0"/>
        <v>-176.45576002016637</v>
      </c>
      <c r="G27" s="47">
        <v>175</v>
      </c>
      <c r="H27" s="113">
        <v>0</v>
      </c>
      <c r="I27" s="47">
        <f t="shared" si="1"/>
        <v>175</v>
      </c>
      <c r="J27" s="42">
        <f t="shared" si="6"/>
        <v>0</v>
      </c>
      <c r="K27" s="47">
        <f t="shared" si="7"/>
        <v>175</v>
      </c>
      <c r="L27" s="47">
        <f t="shared" si="8"/>
        <v>-8.4557600201663661</v>
      </c>
      <c r="M27" s="114">
        <v>112</v>
      </c>
      <c r="N27" s="610">
        <v>0</v>
      </c>
      <c r="O27" s="47">
        <f>2.2*1.05</f>
        <v>2.3100000000000005</v>
      </c>
      <c r="P27" s="39">
        <v>0</v>
      </c>
      <c r="Q27" s="144">
        <f>1490400/325851/1.9835*1.02</f>
        <v>2.3520781674423241</v>
      </c>
      <c r="R27" s="73">
        <f>IF(((4.5*1.04)-T27)&gt;=4.2,4.2,(4.5*1.04)-T27)</f>
        <v>3.5957895999999998</v>
      </c>
      <c r="S27" s="73">
        <f>IF(((4.5*1.04)-T27)&gt;=4.2,((4.5*1.04)-T27)-4.2,0)</f>
        <v>0</v>
      </c>
      <c r="T27" s="73">
        <f t="shared" si="28"/>
        <v>1.0842104000000001</v>
      </c>
      <c r="U27" s="131">
        <v>0</v>
      </c>
      <c r="V27" s="47">
        <v>82</v>
      </c>
      <c r="W27" s="47">
        <v>53</v>
      </c>
      <c r="X27" s="47">
        <f t="shared" si="10"/>
        <v>253.75813780836287</v>
      </c>
      <c r="Y27" s="47">
        <f t="shared" si="11"/>
        <v>253.75813780836287</v>
      </c>
      <c r="Z27" s="55"/>
      <c r="AA27" s="47"/>
      <c r="AB27" s="55"/>
      <c r="AC27" s="55">
        <f t="shared" si="24"/>
        <v>0</v>
      </c>
      <c r="AD27" s="490"/>
      <c r="AF27" s="45">
        <f t="shared" si="25"/>
        <v>6919.0434009658211</v>
      </c>
      <c r="AG27" s="47">
        <v>46</v>
      </c>
      <c r="AH27" s="188">
        <v>1.7</v>
      </c>
      <c r="AI27" s="210">
        <v>1.3</v>
      </c>
      <c r="AJ27" s="47">
        <v>50</v>
      </c>
      <c r="AK27" s="55">
        <f t="shared" si="26"/>
        <v>6002.511822044311</v>
      </c>
      <c r="AL27" s="55"/>
      <c r="AM27" s="74">
        <f t="shared" si="12"/>
        <v>343</v>
      </c>
      <c r="AN27" s="47">
        <f t="shared" si="13"/>
        <v>8.4557600201663661</v>
      </c>
      <c r="AO27" s="47">
        <f t="shared" si="2"/>
        <v>351.45576002016639</v>
      </c>
      <c r="AP27" s="134"/>
      <c r="AQ27" s="540"/>
      <c r="AR27" s="45"/>
      <c r="AS27" s="43">
        <f t="shared" si="14"/>
        <v>-86.406005575805196</v>
      </c>
      <c r="AT27" s="492">
        <v>0.17</v>
      </c>
      <c r="AU27" s="494">
        <f>AT27*0.7</f>
        <v>0.11899999999999999</v>
      </c>
      <c r="AV27" s="494">
        <f>IF(AT27="",0,VLOOKUP(ROUNDDOWN(TEXT(B27,"0000"),-1),VLOOKUP!$M$3:$W$32,RIGHT(TEXT(B27,"0000"),1)+2,FALSE))</f>
        <v>2699</v>
      </c>
      <c r="AW27" s="494">
        <f t="shared" si="16"/>
        <v>26.76508333333333</v>
      </c>
      <c r="AX27" s="39">
        <f t="shared" si="17"/>
        <v>0</v>
      </c>
      <c r="AY27" s="618">
        <v>16.100215975805217</v>
      </c>
      <c r="AZ27" s="180">
        <f t="shared" si="18"/>
        <v>7.9</v>
      </c>
      <c r="BC27" s="102">
        <v>0</v>
      </c>
      <c r="BD27" s="45">
        <v>81</v>
      </c>
      <c r="BE27" s="45">
        <v>47</v>
      </c>
      <c r="BF27" s="378"/>
      <c r="BG27" s="385">
        <f t="shared" si="3"/>
        <v>7.0320781674423234</v>
      </c>
      <c r="BH27" s="46">
        <v>122</v>
      </c>
      <c r="BI27" s="524">
        <v>7715</v>
      </c>
      <c r="BJ27" s="296">
        <f t="shared" si="19"/>
        <v>0</v>
      </c>
      <c r="BK27" s="591">
        <f t="shared" si="20"/>
        <v>0</v>
      </c>
      <c r="BM27" s="574">
        <f t="shared" si="21"/>
        <v>13</v>
      </c>
      <c r="BN27" s="559">
        <v>6870.92</v>
      </c>
      <c r="BO27" s="575">
        <f t="shared" si="22"/>
        <v>0</v>
      </c>
      <c r="BP27" s="576">
        <v>45.888541666666633</v>
      </c>
      <c r="BQ27" s="576">
        <f t="shared" si="4"/>
        <v>4.111458333333367</v>
      </c>
    </row>
    <row r="28" spans="1:69" ht="12.95" customHeight="1">
      <c r="A28" s="48">
        <v>14</v>
      </c>
      <c r="B28" s="104">
        <v>6870.74</v>
      </c>
      <c r="C28" s="483">
        <f>IF(B28="",C27,VLOOKUP(TRUNC(B28,1),VLOOKUP!$A$3:$K$2834,RIGHT(TEXT(B28,"0000.00"),1)+2,FALSE))</f>
        <v>189787</v>
      </c>
      <c r="D28" s="45">
        <f t="shared" si="23"/>
        <v>-483</v>
      </c>
      <c r="E28" s="55">
        <f t="shared" si="5"/>
        <v>37787</v>
      </c>
      <c r="F28" s="112">
        <f t="shared" si="0"/>
        <v>-243.50894882782958</v>
      </c>
      <c r="G28" s="47">
        <v>174</v>
      </c>
      <c r="H28" s="113">
        <v>0</v>
      </c>
      <c r="I28" s="47">
        <f t="shared" si="1"/>
        <v>174</v>
      </c>
      <c r="J28" s="42">
        <f t="shared" si="6"/>
        <v>0</v>
      </c>
      <c r="K28" s="47">
        <f t="shared" si="7"/>
        <v>174</v>
      </c>
      <c r="L28" s="47">
        <f t="shared" si="8"/>
        <v>-12.508948827829585</v>
      </c>
      <c r="M28" s="114">
        <v>137</v>
      </c>
      <c r="N28" s="610">
        <v>0</v>
      </c>
      <c r="O28" s="47">
        <f>20*1.05</f>
        <v>21</v>
      </c>
      <c r="P28" s="39">
        <v>0</v>
      </c>
      <c r="Q28" s="144">
        <f>1639800/325851/1.9835*1.02</f>
        <v>2.5878541190096103</v>
      </c>
      <c r="R28" s="73">
        <f>IF(((4.5*1.04)-T28)&gt;=4.2,4.2,(4.5*1.04)-T28)</f>
        <v>3.5957895999999998</v>
      </c>
      <c r="S28" s="73">
        <f>IF(((4.5*1.04)-T28)&gt;=4.2,((4.5*1.04)-T28)-4.2,0)</f>
        <v>0</v>
      </c>
      <c r="T28" s="73">
        <f t="shared" si="28"/>
        <v>1.0842104000000001</v>
      </c>
      <c r="U28" s="131">
        <v>0</v>
      </c>
      <c r="V28" s="47">
        <v>80</v>
      </c>
      <c r="W28" s="47">
        <v>51</v>
      </c>
      <c r="X28" s="47">
        <f t="shared" si="10"/>
        <v>255.83236185679561</v>
      </c>
      <c r="Y28" s="47">
        <f>X28-AR28</f>
        <v>255.83236185679561</v>
      </c>
      <c r="Z28" s="55"/>
      <c r="AA28" s="47"/>
      <c r="AB28" s="55"/>
      <c r="AC28" s="55">
        <f t="shared" si="24"/>
        <v>0</v>
      </c>
      <c r="AD28" s="490"/>
      <c r="AF28" s="45">
        <f t="shared" si="25"/>
        <v>6837.2273953900158</v>
      </c>
      <c r="AG28" s="47">
        <v>87</v>
      </c>
      <c r="AH28" s="188">
        <v>1.7</v>
      </c>
      <c r="AI28" s="210">
        <v>1.3</v>
      </c>
      <c r="AJ28" s="47">
        <v>50</v>
      </c>
      <c r="AK28" s="55">
        <f t="shared" si="26"/>
        <v>5952.511822044311</v>
      </c>
      <c r="AL28" s="55"/>
      <c r="AM28" s="74">
        <f t="shared" si="12"/>
        <v>405</v>
      </c>
      <c r="AN28" s="47">
        <f t="shared" si="13"/>
        <v>12.508948827829585</v>
      </c>
      <c r="AO28" s="47">
        <f t="shared" si="2"/>
        <v>417.50894882782961</v>
      </c>
      <c r="AP28" s="134"/>
      <c r="AQ28" s="540"/>
      <c r="AR28" s="45"/>
      <c r="AS28" s="43">
        <f t="shared" si="14"/>
        <v>-89.716005575805227</v>
      </c>
      <c r="AT28" s="492">
        <v>0.17</v>
      </c>
      <c r="AU28" s="494">
        <f t="shared" ref="AU28:AU44" si="29">AT28*0.7</f>
        <v>0.11899999999999999</v>
      </c>
      <c r="AV28" s="494">
        <f>IF(AT28="",0,VLOOKUP(ROUNDDOWN(TEXT(B28,"0000"),-1),VLOOKUP!$M$3:$W$32,RIGHT(TEXT(B28,"0000"),1)+2,FALSE))</f>
        <v>2699</v>
      </c>
      <c r="AW28" s="494">
        <f t="shared" si="16"/>
        <v>26.76508333333333</v>
      </c>
      <c r="AX28" s="39">
        <f t="shared" si="17"/>
        <v>0</v>
      </c>
      <c r="AY28" s="618">
        <v>16.100215975805217</v>
      </c>
      <c r="AZ28" s="180">
        <f t="shared" si="18"/>
        <v>7.9</v>
      </c>
      <c r="BC28" s="102">
        <v>0</v>
      </c>
      <c r="BD28" s="45">
        <v>82</v>
      </c>
      <c r="BE28" s="45">
        <v>49</v>
      </c>
      <c r="BF28" s="378"/>
      <c r="BG28" s="385">
        <f t="shared" si="3"/>
        <v>7.26785411900961</v>
      </c>
      <c r="BH28" s="46">
        <v>123</v>
      </c>
      <c r="BI28" s="524">
        <v>7474</v>
      </c>
      <c r="BJ28" s="296">
        <f t="shared" si="19"/>
        <v>0</v>
      </c>
      <c r="BK28" s="591">
        <f t="shared" si="20"/>
        <v>0</v>
      </c>
      <c r="BM28" s="574">
        <f t="shared" si="21"/>
        <v>14</v>
      </c>
      <c r="BN28" s="559">
        <v>6870.73</v>
      </c>
      <c r="BO28" s="575">
        <f t="shared" si="22"/>
        <v>1.0000000000218279E-2</v>
      </c>
      <c r="BP28" s="576">
        <v>46.081249999999976</v>
      </c>
      <c r="BQ28" s="576">
        <f t="shared" si="4"/>
        <v>3.9187500000000242</v>
      </c>
    </row>
    <row r="29" spans="1:69" ht="12.95" customHeight="1">
      <c r="A29" s="48">
        <v>15</v>
      </c>
      <c r="B29" s="104">
        <v>6870.54</v>
      </c>
      <c r="C29" s="483">
        <f>IF(B29="",C28,VLOOKUP(TRUNC(B29,1),VLOOKUP!$A$3:$K$2834,RIGHT(TEXT(B29,"0000.00"),1)+2,FALSE))</f>
        <v>189251</v>
      </c>
      <c r="D29" s="45">
        <f t="shared" si="23"/>
        <v>-536</v>
      </c>
      <c r="E29" s="55">
        <f t="shared" si="5"/>
        <v>37251</v>
      </c>
      <c r="F29" s="112">
        <f t="shared" si="0"/>
        <v>-270.22939248802624</v>
      </c>
      <c r="G29" s="47">
        <v>170</v>
      </c>
      <c r="H29" s="113">
        <v>0</v>
      </c>
      <c r="I29" s="47">
        <f t="shared" si="1"/>
        <v>170</v>
      </c>
      <c r="J29" s="42">
        <f t="shared" si="6"/>
        <v>0</v>
      </c>
      <c r="K29" s="47">
        <f t="shared" si="7"/>
        <v>170</v>
      </c>
      <c r="L29" s="47">
        <f t="shared" si="8"/>
        <v>-19.229392488026235</v>
      </c>
      <c r="M29" s="114">
        <v>166</v>
      </c>
      <c r="N29" s="610">
        <v>0</v>
      </c>
      <c r="O29" s="47">
        <f>40*1.05</f>
        <v>42</v>
      </c>
      <c r="P29" s="39">
        <v>0</v>
      </c>
      <c r="Q29" s="144">
        <f>1615100/325851/1.9835*1.02</f>
        <v>2.5488737575389813</v>
      </c>
      <c r="R29" s="73">
        <f>IF(((5.4*1.04)-T29)&gt;=4.2,4.2,(5.4*1.04)-T29)</f>
        <v>4.2</v>
      </c>
      <c r="S29" s="73">
        <f>IF(((5.4*1.04)-T29)&gt;=4.2,((5.4*1.04)-T29)-4.2,0)</f>
        <v>0.33178960000000046</v>
      </c>
      <c r="T29" s="73">
        <f t="shared" si="28"/>
        <v>1.0842104000000001</v>
      </c>
      <c r="U29" s="131">
        <v>0</v>
      </c>
      <c r="V29" s="47">
        <v>77</v>
      </c>
      <c r="W29" s="47">
        <v>49</v>
      </c>
      <c r="X29" s="47">
        <f t="shared" si="10"/>
        <v>257.93534221826621</v>
      </c>
      <c r="Y29" s="47">
        <f t="shared" si="11"/>
        <v>257.93534221826621</v>
      </c>
      <c r="Z29" s="55"/>
      <c r="AA29" s="47"/>
      <c r="AB29" s="55"/>
      <c r="AC29" s="55">
        <f t="shared" si="24"/>
        <v>0</v>
      </c>
      <c r="AD29" s="490"/>
      <c r="AF29" s="45">
        <f t="shared" si="25"/>
        <v>6748.7431794142103</v>
      </c>
      <c r="AG29" s="47">
        <v>79</v>
      </c>
      <c r="AH29" s="188">
        <v>1.7</v>
      </c>
      <c r="AI29" s="210">
        <v>1.3</v>
      </c>
      <c r="AJ29" s="47">
        <v>50</v>
      </c>
      <c r="AK29" s="55">
        <f t="shared" si="26"/>
        <v>5902.511822044311</v>
      </c>
      <c r="AL29" s="55"/>
      <c r="AM29" s="74">
        <f t="shared" si="12"/>
        <v>421</v>
      </c>
      <c r="AN29" s="47">
        <f t="shared" si="13"/>
        <v>19.229392488026235</v>
      </c>
      <c r="AO29" s="47">
        <f t="shared" si="2"/>
        <v>440.22939248802624</v>
      </c>
      <c r="AP29" s="134"/>
      <c r="AQ29" s="540"/>
      <c r="AR29" s="45"/>
      <c r="AS29" s="43">
        <f t="shared" si="14"/>
        <v>-96.384215975805191</v>
      </c>
      <c r="AT29" s="492">
        <v>0.19</v>
      </c>
      <c r="AU29" s="494">
        <f t="shared" si="29"/>
        <v>0.13299999999999998</v>
      </c>
      <c r="AV29" s="494">
        <f>IF(AT29="",0,VLOOKUP(ROUNDDOWN(TEXT(B29,"0000"),-1),VLOOKUP!$M$3:$W$32,RIGHT(TEXT(B29,"0000"),1)+2,FALSE))</f>
        <v>2699</v>
      </c>
      <c r="AW29" s="494">
        <f t="shared" si="16"/>
        <v>29.913916666666662</v>
      </c>
      <c r="AX29" s="39">
        <f t="shared" si="17"/>
        <v>0</v>
      </c>
      <c r="AY29" s="618">
        <v>16.100215975805217</v>
      </c>
      <c r="AZ29" s="180">
        <f t="shared" si="18"/>
        <v>7.9</v>
      </c>
      <c r="BC29" s="102">
        <v>0</v>
      </c>
      <c r="BD29" s="45">
        <v>84</v>
      </c>
      <c r="BE29" s="45">
        <v>48</v>
      </c>
      <c r="BF29" s="378"/>
      <c r="BG29" s="385">
        <f t="shared" si="3"/>
        <v>8.1648737575389827</v>
      </c>
      <c r="BH29" s="46">
        <v>122</v>
      </c>
      <c r="BI29" s="524">
        <v>7233</v>
      </c>
      <c r="BJ29" s="296">
        <f t="shared" si="19"/>
        <v>0</v>
      </c>
      <c r="BK29" s="591">
        <f t="shared" si="20"/>
        <v>0</v>
      </c>
      <c r="BM29" s="574">
        <f t="shared" si="21"/>
        <v>15</v>
      </c>
      <c r="BN29" s="559">
        <v>6870.53</v>
      </c>
      <c r="BO29" s="575">
        <f t="shared" si="22"/>
        <v>1.0000000000218279E-2</v>
      </c>
      <c r="BP29" s="576">
        <v>45.89166666666663</v>
      </c>
      <c r="BQ29" s="576">
        <f t="shared" si="4"/>
        <v>4.1083333333333698</v>
      </c>
    </row>
    <row r="30" spans="1:69" ht="12.95" customHeight="1">
      <c r="A30" s="48">
        <v>16</v>
      </c>
      <c r="B30" s="104">
        <v>6870.31</v>
      </c>
      <c r="C30" s="483">
        <f>IF(B30="",C29,VLOOKUP(TRUNC(B30,1),VLOOKUP!$A$3:$K$2834,RIGHT(TEXT(B30,"0000.00"),1)+2,FALSE))</f>
        <v>188634</v>
      </c>
      <c r="D30" s="45">
        <f t="shared" si="23"/>
        <v>-617</v>
      </c>
      <c r="E30" s="55">
        <f t="shared" si="5"/>
        <v>36634</v>
      </c>
      <c r="F30" s="112">
        <f t="shared" si="0"/>
        <v>-311.06629694983616</v>
      </c>
      <c r="G30" s="47">
        <v>166</v>
      </c>
      <c r="H30" s="113">
        <v>0</v>
      </c>
      <c r="I30" s="47">
        <f t="shared" si="1"/>
        <v>166</v>
      </c>
      <c r="J30" s="42">
        <f t="shared" si="6"/>
        <v>0</v>
      </c>
      <c r="K30" s="47">
        <f t="shared" si="7"/>
        <v>166</v>
      </c>
      <c r="L30" s="47">
        <f t="shared" si="8"/>
        <v>-17.066296949836101</v>
      </c>
      <c r="M30" s="114">
        <v>176</v>
      </c>
      <c r="N30" s="610">
        <v>0</v>
      </c>
      <c r="O30" s="47">
        <f>44*1.05</f>
        <v>46.2</v>
      </c>
      <c r="P30" s="39">
        <v>0</v>
      </c>
      <c r="Q30" s="144">
        <f>2019000/325851/1.9835*1.02</f>
        <v>3.1862894659595096</v>
      </c>
      <c r="R30" s="73">
        <f>IF(((5.6*1.04)-T30)&gt;=4.2,4.2,(5.6*1.04)-T30)</f>
        <v>4.2</v>
      </c>
      <c r="S30" s="73">
        <f>IF(((5.6*1.04)-T30)&gt;=4.2,((5.6*1.04)-T30)-4.2,0)</f>
        <v>0.53978959999999976</v>
      </c>
      <c r="T30" s="73">
        <f t="shared" si="28"/>
        <v>1.0842104000000001</v>
      </c>
      <c r="U30" s="131">
        <v>0</v>
      </c>
      <c r="V30" s="47">
        <v>76</v>
      </c>
      <c r="W30" s="47">
        <v>51</v>
      </c>
      <c r="X30" s="47">
        <f t="shared" si="10"/>
        <v>263.88992650984574</v>
      </c>
      <c r="Y30" s="47">
        <f t="shared" si="11"/>
        <v>263.88992650984574</v>
      </c>
      <c r="Z30" s="55"/>
      <c r="AA30" s="47"/>
      <c r="AB30" s="55"/>
      <c r="AC30" s="55">
        <f t="shared" si="24"/>
        <v>0</v>
      </c>
      <c r="AD30" s="490"/>
      <c r="AF30" s="45">
        <f t="shared" si="25"/>
        <v>6649.6669634384052</v>
      </c>
      <c r="AG30" s="47">
        <v>106</v>
      </c>
      <c r="AH30" s="188">
        <v>1.7</v>
      </c>
      <c r="AI30" s="210">
        <v>1.3</v>
      </c>
      <c r="AJ30" s="47">
        <v>51</v>
      </c>
      <c r="AK30" s="55">
        <f t="shared" si="26"/>
        <v>5851.511822044311</v>
      </c>
      <c r="AL30" s="55"/>
      <c r="AM30" s="74">
        <f t="shared" si="12"/>
        <v>460.00000000000006</v>
      </c>
      <c r="AN30" s="47">
        <f t="shared" si="13"/>
        <v>17.066296949836101</v>
      </c>
      <c r="AO30" s="47">
        <f t="shared" si="2"/>
        <v>477.06629694983616</v>
      </c>
      <c r="AP30" s="134"/>
      <c r="AQ30" s="540"/>
      <c r="AR30" s="45"/>
      <c r="AS30" s="43">
        <f t="shared" si="14"/>
        <v>-106.97621597580523</v>
      </c>
      <c r="AT30" s="492">
        <v>0.18</v>
      </c>
      <c r="AU30" s="494">
        <f t="shared" si="29"/>
        <v>0.126</v>
      </c>
      <c r="AV30" s="494">
        <f>IF(AT30="",0,VLOOKUP(ROUNDDOWN(TEXT(B30,"0000"),-1),VLOOKUP!$M$3:$W$32,RIGHT(TEXT(B30,"0000"),1)+2,FALSE))</f>
        <v>2663</v>
      </c>
      <c r="AW30" s="494">
        <f t="shared" si="16"/>
        <v>27.961500000000001</v>
      </c>
      <c r="AX30" s="39">
        <f t="shared" si="17"/>
        <v>0</v>
      </c>
      <c r="AY30" s="618">
        <v>16.100215975805217</v>
      </c>
      <c r="AZ30" s="180">
        <f t="shared" si="18"/>
        <v>7.9</v>
      </c>
      <c r="BC30" s="102">
        <v>0</v>
      </c>
      <c r="BD30" s="45">
        <v>86</v>
      </c>
      <c r="BE30" s="45">
        <v>49</v>
      </c>
      <c r="BF30" s="378"/>
      <c r="BG30" s="385">
        <f t="shared" si="3"/>
        <v>9.0102894659595094</v>
      </c>
      <c r="BH30" s="46">
        <v>122</v>
      </c>
      <c r="BI30" s="524">
        <v>6995</v>
      </c>
      <c r="BJ30" s="296">
        <f t="shared" si="19"/>
        <v>0</v>
      </c>
      <c r="BK30" s="591">
        <f t="shared" si="20"/>
        <v>0</v>
      </c>
      <c r="BM30" s="574">
        <f t="shared" si="21"/>
        <v>16</v>
      </c>
      <c r="BN30" s="559">
        <v>6870.3</v>
      </c>
      <c r="BO30" s="575">
        <f t="shared" si="22"/>
        <v>1.0000000000218279E-2</v>
      </c>
      <c r="BP30" s="576">
        <v>45.963541666666629</v>
      </c>
      <c r="BQ30" s="576">
        <f t="shared" si="4"/>
        <v>5.0364583333333712</v>
      </c>
    </row>
    <row r="31" spans="1:69" ht="12.95" customHeight="1">
      <c r="A31" s="48">
        <v>17</v>
      </c>
      <c r="B31" s="104">
        <v>6870.09</v>
      </c>
      <c r="C31" s="483">
        <f>IF(B31="",C30,VLOOKUP(TRUNC(B31,1),VLOOKUP!$A$3:$K$2834,RIGHT(TEXT(B31,"0000.00"),1)+2,FALSE))</f>
        <v>188044</v>
      </c>
      <c r="D31" s="45">
        <f t="shared" si="23"/>
        <v>-590</v>
      </c>
      <c r="E31" s="55">
        <f t="shared" si="5"/>
        <v>36044</v>
      </c>
      <c r="F31" s="112">
        <f t="shared" si="0"/>
        <v>-297.45399546256618</v>
      </c>
      <c r="G31" s="47">
        <v>162</v>
      </c>
      <c r="H31" s="113">
        <v>0</v>
      </c>
      <c r="I31" s="47">
        <f t="shared" si="1"/>
        <v>162</v>
      </c>
      <c r="J31" s="42">
        <f t="shared" si="6"/>
        <v>0</v>
      </c>
      <c r="K31" s="47">
        <f t="shared" si="7"/>
        <v>162</v>
      </c>
      <c r="L31" s="47">
        <f t="shared" si="8"/>
        <v>-23.453995462566127</v>
      </c>
      <c r="M31" s="114">
        <v>194</v>
      </c>
      <c r="N31" s="610">
        <v>0</v>
      </c>
      <c r="O31" s="47">
        <f>47*1.05</f>
        <v>49.35</v>
      </c>
      <c r="P31" s="39">
        <v>0</v>
      </c>
      <c r="Q31" s="144">
        <f>1637700/325851/1.9835*1.02</f>
        <v>2.5845399992084643</v>
      </c>
      <c r="R31" s="73">
        <f>IF(((5.7*1.04)-T31)&gt;=4.2,4.2,(5.7*1.04)-T31)</f>
        <v>4.2</v>
      </c>
      <c r="S31" s="73">
        <f>IF(((5.7*1.04)-T31)&gt;=4.2,((5.7*1.04)-T31)-4.2,0)</f>
        <v>0.64378960000000074</v>
      </c>
      <c r="T31" s="73">
        <f t="shared" si="28"/>
        <v>1.0842104000000001</v>
      </c>
      <c r="U31" s="131">
        <v>0</v>
      </c>
      <c r="V31" s="47">
        <v>80</v>
      </c>
      <c r="W31" s="47">
        <v>54</v>
      </c>
      <c r="X31" s="47">
        <f t="shared" si="10"/>
        <v>286.23767597659679</v>
      </c>
      <c r="Y31" s="47">
        <f t="shared" si="11"/>
        <v>286.23767597659679</v>
      </c>
      <c r="Z31" s="55"/>
      <c r="AA31" s="47"/>
      <c r="AB31" s="55"/>
      <c r="AC31" s="55">
        <f t="shared" si="24"/>
        <v>0</v>
      </c>
      <c r="AD31" s="490"/>
      <c r="AF31" s="45">
        <f t="shared" si="25"/>
        <v>6524.8447474626</v>
      </c>
      <c r="AG31" s="47">
        <v>71</v>
      </c>
      <c r="AH31" s="188">
        <v>1.7</v>
      </c>
      <c r="AI31" s="210">
        <v>1.3</v>
      </c>
      <c r="AJ31" s="47">
        <v>37</v>
      </c>
      <c r="AK31" s="55">
        <f t="shared" si="26"/>
        <v>5814.511822044311</v>
      </c>
      <c r="AL31" s="55"/>
      <c r="AM31" s="74">
        <f t="shared" si="12"/>
        <v>436.00000000000006</v>
      </c>
      <c r="AN31" s="47">
        <f t="shared" si="13"/>
        <v>23.453995462566127</v>
      </c>
      <c r="AO31" s="47">
        <f t="shared" si="2"/>
        <v>459.45399546256618</v>
      </c>
      <c r="AP31" s="134"/>
      <c r="AQ31" s="540"/>
      <c r="AR31" s="45"/>
      <c r="AS31" s="43">
        <f t="shared" si="14"/>
        <v>-132.72221597580523</v>
      </c>
      <c r="AT31" s="492">
        <v>0.16</v>
      </c>
      <c r="AU31" s="494">
        <f t="shared" si="29"/>
        <v>0.11199999999999999</v>
      </c>
      <c r="AV31" s="494">
        <f>IF(AT31="",0,VLOOKUP(ROUNDDOWN(TEXT(B31,"0000"),-1),VLOOKUP!$M$3:$W$32,RIGHT(TEXT(B31,"0000"),1)+2,FALSE))</f>
        <v>2663</v>
      </c>
      <c r="AW31" s="494">
        <f t="shared" si="16"/>
        <v>24.854666666666663</v>
      </c>
      <c r="AX31" s="39">
        <f t="shared" si="17"/>
        <v>0</v>
      </c>
      <c r="AY31" s="618">
        <v>16.100215975805217</v>
      </c>
      <c r="AZ31" s="180">
        <f t="shared" si="18"/>
        <v>7.9</v>
      </c>
      <c r="BC31" s="102">
        <v>0</v>
      </c>
      <c r="BD31" s="45">
        <v>83</v>
      </c>
      <c r="BE31" s="45">
        <v>49</v>
      </c>
      <c r="BF31" s="378"/>
      <c r="BG31" s="385">
        <f t="shared" si="3"/>
        <v>8.5125399992084656</v>
      </c>
      <c r="BH31" s="46">
        <v>121</v>
      </c>
      <c r="BI31" s="524">
        <v>6757</v>
      </c>
      <c r="BJ31" s="296">
        <f t="shared" si="19"/>
        <v>0</v>
      </c>
      <c r="BK31" s="591">
        <f t="shared" si="20"/>
        <v>0</v>
      </c>
      <c r="BM31" s="574">
        <f t="shared" si="21"/>
        <v>17</v>
      </c>
      <c r="BN31" s="559">
        <v>6870.08</v>
      </c>
      <c r="BO31" s="575">
        <f t="shared" si="22"/>
        <v>1.0000000000218279E-2</v>
      </c>
      <c r="BP31" s="576">
        <v>34.335416666666738</v>
      </c>
      <c r="BQ31" s="576">
        <f t="shared" si="4"/>
        <v>2.6645833333332618</v>
      </c>
    </row>
    <row r="32" spans="1:69" ht="12.95" customHeight="1">
      <c r="A32" s="48">
        <v>18</v>
      </c>
      <c r="B32" s="104">
        <v>6869.86</v>
      </c>
      <c r="C32" s="483">
        <f>IF(B32="",C31,VLOOKUP(TRUNC(B32,1),VLOOKUP!$A$3:$K$2834,RIGHT(TEXT(B32,"0000.00"),1)+2,FALSE))</f>
        <v>187433</v>
      </c>
      <c r="D32" s="45">
        <f t="shared" si="23"/>
        <v>-611</v>
      </c>
      <c r="E32" s="55">
        <f t="shared" si="5"/>
        <v>35433</v>
      </c>
      <c r="F32" s="112">
        <f t="shared" si="0"/>
        <v>-308.04134106377614</v>
      </c>
      <c r="G32" s="47">
        <v>159</v>
      </c>
      <c r="H32" s="113">
        <v>0</v>
      </c>
      <c r="I32" s="47">
        <f t="shared" si="1"/>
        <v>159</v>
      </c>
      <c r="J32" s="42">
        <f t="shared" si="6"/>
        <v>0</v>
      </c>
      <c r="K32" s="47">
        <f t="shared" si="7"/>
        <v>159</v>
      </c>
      <c r="L32" s="47">
        <f t="shared" si="8"/>
        <v>-26.041341063776144</v>
      </c>
      <c r="M32" s="114">
        <v>196</v>
      </c>
      <c r="N32" s="610">
        <v>0</v>
      </c>
      <c r="O32" s="47">
        <f>43*1.05</f>
        <v>45.15</v>
      </c>
      <c r="P32" s="39">
        <v>0</v>
      </c>
      <c r="Q32" s="144">
        <f>1803100/325851/1.9835*1.02</f>
        <v>2.8455663873559147</v>
      </c>
      <c r="R32" s="73">
        <f>IF(((4.7*1.04)-T32)&gt;=4.2,4.2,(4.7*1.04)-T32)</f>
        <v>3.5212444800000009</v>
      </c>
      <c r="S32" s="73">
        <f>IF(((4.7*1.04)-T32)&gt;=4.2,((4.7*1.04)-T32)-4.2,0)</f>
        <v>0</v>
      </c>
      <c r="T32" s="73">
        <f>(1.2398*1.06)*1.04</f>
        <v>1.3667555200000001</v>
      </c>
      <c r="U32" s="131">
        <v>0</v>
      </c>
      <c r="V32" s="47">
        <v>88</v>
      </c>
      <c r="W32" s="47">
        <v>56</v>
      </c>
      <c r="X32" s="47">
        <f t="shared" si="10"/>
        <v>303.21664958844929</v>
      </c>
      <c r="Y32" s="47">
        <f t="shared" si="11"/>
        <v>303.21664958844929</v>
      </c>
      <c r="Z32" s="55"/>
      <c r="AA32" s="47"/>
      <c r="AB32" s="55"/>
      <c r="AC32" s="55">
        <f t="shared" si="24"/>
        <v>0</v>
      </c>
      <c r="AD32" s="490"/>
      <c r="AF32" s="45">
        <f t="shared" si="25"/>
        <v>6380.4612870067949</v>
      </c>
      <c r="AG32" s="47">
        <v>75</v>
      </c>
      <c r="AH32" s="188">
        <v>1.7</v>
      </c>
      <c r="AI32" s="210">
        <v>1.3</v>
      </c>
      <c r="AJ32" s="47">
        <v>26</v>
      </c>
      <c r="AK32" s="55">
        <f t="shared" si="26"/>
        <v>5788.511822044311</v>
      </c>
      <c r="AL32" s="55"/>
      <c r="AM32" s="74">
        <f t="shared" si="12"/>
        <v>441</v>
      </c>
      <c r="AN32" s="47">
        <f t="shared" si="13"/>
        <v>26.041341063776144</v>
      </c>
      <c r="AO32" s="47">
        <f t="shared" si="2"/>
        <v>467.04134106377614</v>
      </c>
      <c r="AP32" s="134"/>
      <c r="AQ32" s="540"/>
      <c r="AR32" s="45"/>
      <c r="AS32" s="43">
        <f t="shared" si="14"/>
        <v>-152.2834604558052</v>
      </c>
      <c r="AT32" s="492">
        <v>0.21</v>
      </c>
      <c r="AU32" s="494">
        <f t="shared" si="29"/>
        <v>0.14699999999999999</v>
      </c>
      <c r="AV32" s="494">
        <f>IF(AT32="",0,VLOOKUP(ROUNDDOWN(TEXT(B32,"0000"),-1),VLOOKUP!$M$3:$W$32,RIGHT(TEXT(B32,"0000"),1)+2,FALSE))</f>
        <v>2663</v>
      </c>
      <c r="AW32" s="494">
        <f t="shared" si="16"/>
        <v>32.621749999999999</v>
      </c>
      <c r="AX32" s="39">
        <f t="shared" si="17"/>
        <v>0</v>
      </c>
      <c r="AY32" s="618">
        <v>16.100215975805217</v>
      </c>
      <c r="AZ32" s="180">
        <f t="shared" si="18"/>
        <v>7.9</v>
      </c>
      <c r="BC32" s="102">
        <v>0</v>
      </c>
      <c r="BD32" s="45">
        <v>84</v>
      </c>
      <c r="BE32" s="45">
        <v>48</v>
      </c>
      <c r="BF32" s="378"/>
      <c r="BG32" s="385">
        <f t="shared" si="3"/>
        <v>7.7335663873559159</v>
      </c>
      <c r="BH32" s="46">
        <v>121</v>
      </c>
      <c r="BI32" s="524">
        <v>6518</v>
      </c>
      <c r="BJ32" s="296">
        <f t="shared" si="19"/>
        <v>0</v>
      </c>
      <c r="BK32" s="591">
        <f t="shared" si="20"/>
        <v>0</v>
      </c>
      <c r="BM32" s="574">
        <f t="shared" si="21"/>
        <v>18</v>
      </c>
      <c r="BN32" s="559">
        <v>6869.84</v>
      </c>
      <c r="BO32" s="575">
        <f t="shared" si="22"/>
        <v>1.9999999999527063E-2</v>
      </c>
      <c r="BP32" s="576">
        <v>25.383333333333336</v>
      </c>
      <c r="BQ32" s="576">
        <f t="shared" si="4"/>
        <v>0.61666666666666359</v>
      </c>
    </row>
    <row r="33" spans="1:69" ht="12.95" customHeight="1">
      <c r="A33" s="48">
        <v>19</v>
      </c>
      <c r="B33" s="104">
        <v>6869.68</v>
      </c>
      <c r="C33" s="483">
        <f>IF(B33="",C32,VLOOKUP(TRUNC(B33,1),VLOOKUP!$A$3:$K$2834,RIGHT(TEXT(B33,"0000.00"),1)+2,FALSE))</f>
        <v>186957</v>
      </c>
      <c r="D33" s="45">
        <f t="shared" si="23"/>
        <v>-476</v>
      </c>
      <c r="E33" s="55">
        <f t="shared" si="5"/>
        <v>34957</v>
      </c>
      <c r="F33" s="112">
        <f t="shared" si="0"/>
        <v>-239.97983362742627</v>
      </c>
      <c r="G33" s="47">
        <v>156</v>
      </c>
      <c r="H33" s="113">
        <v>0</v>
      </c>
      <c r="I33" s="47">
        <f t="shared" si="1"/>
        <v>156</v>
      </c>
      <c r="J33" s="42">
        <f t="shared" si="6"/>
        <v>0</v>
      </c>
      <c r="K33" s="47">
        <f t="shared" si="7"/>
        <v>156</v>
      </c>
      <c r="L33" s="47">
        <f t="shared" si="8"/>
        <v>-7.9798336274262738</v>
      </c>
      <c r="M33" s="114">
        <v>148</v>
      </c>
      <c r="N33" s="610">
        <v>0</v>
      </c>
      <c r="O33" s="47">
        <f>13*1.05</f>
        <v>13.65</v>
      </c>
      <c r="P33" s="39">
        <v>0</v>
      </c>
      <c r="Q33" s="144">
        <f>1725700/325851/1.9835*1.02</f>
        <v>2.7234174003993687</v>
      </c>
      <c r="R33" s="73">
        <f>IF(((6*1.04)-T33)&gt;=4.2,4.2,(6*1.04)-T33)</f>
        <v>4.2</v>
      </c>
      <c r="S33" s="73">
        <f>IF(((6*1.04)-T33)&gt;=4.2,((6*1.04)-T33)-4.2,0)</f>
        <v>0.67324448000000015</v>
      </c>
      <c r="T33" s="73">
        <f t="shared" ref="T33:T38" si="30">(1.2398*1.06)*1.04</f>
        <v>1.3667555200000001</v>
      </c>
      <c r="U33" s="131">
        <v>0</v>
      </c>
      <c r="V33" s="47">
        <v>88</v>
      </c>
      <c r="W33" s="47">
        <v>57</v>
      </c>
      <c r="X33" s="47">
        <f t="shared" si="10"/>
        <v>286.48679857540583</v>
      </c>
      <c r="Y33" s="47">
        <f t="shared" si="11"/>
        <v>286.48679857540583</v>
      </c>
      <c r="Z33" s="55"/>
      <c r="AA33" s="47"/>
      <c r="AB33" s="55"/>
      <c r="AC33" s="55">
        <f t="shared" si="24"/>
        <v>0</v>
      </c>
      <c r="AD33" s="490"/>
      <c r="AE33" s="490"/>
      <c r="AF33" s="45">
        <f t="shared" si="25"/>
        <v>6249.2510710309898</v>
      </c>
      <c r="AG33" s="47">
        <v>69</v>
      </c>
      <c r="AH33" s="188">
        <v>1.7</v>
      </c>
      <c r="AI33" s="210">
        <v>1.3</v>
      </c>
      <c r="AJ33" s="47">
        <v>26</v>
      </c>
      <c r="AK33" s="55">
        <f t="shared" si="26"/>
        <v>5762.511822044311</v>
      </c>
      <c r="AL33" s="55"/>
      <c r="AM33" s="74">
        <f t="shared" si="12"/>
        <v>388</v>
      </c>
      <c r="AN33" s="47">
        <f t="shared" si="13"/>
        <v>7.9798336274262738</v>
      </c>
      <c r="AO33" s="47">
        <f t="shared" si="2"/>
        <v>395.97983362742627</v>
      </c>
      <c r="AP33" s="134"/>
      <c r="AQ33" s="540"/>
      <c r="AR33" s="45"/>
      <c r="AS33" s="43">
        <f t="shared" si="14"/>
        <v>-139.11021597580518</v>
      </c>
      <c r="AT33" s="492">
        <v>0.16</v>
      </c>
      <c r="AU33" s="494">
        <f t="shared" si="29"/>
        <v>0.11199999999999999</v>
      </c>
      <c r="AV33" s="494">
        <f>IF(AT33="",0,VLOOKUP(ROUNDDOWN(TEXT(B33,"0000"),-1),VLOOKUP!$M$3:$W$32,RIGHT(TEXT(B33,"0000"),1)+2,FALSE))</f>
        <v>2663</v>
      </c>
      <c r="AW33" s="494">
        <f t="shared" si="16"/>
        <v>24.854666666666663</v>
      </c>
      <c r="AX33" s="39">
        <f t="shared" si="17"/>
        <v>0</v>
      </c>
      <c r="AY33" s="618">
        <v>16.100215975805217</v>
      </c>
      <c r="AZ33" s="180">
        <f t="shared" si="18"/>
        <v>7.9</v>
      </c>
      <c r="BC33" s="102">
        <v>0</v>
      </c>
      <c r="BD33" s="45">
        <v>82</v>
      </c>
      <c r="BE33" s="45">
        <v>51</v>
      </c>
      <c r="BF33" s="378"/>
      <c r="BG33" s="385">
        <f t="shared" si="3"/>
        <v>8.9634174003993703</v>
      </c>
      <c r="BH33" s="46">
        <v>120</v>
      </c>
      <c r="BI33" s="524">
        <v>6286</v>
      </c>
      <c r="BJ33" s="296">
        <f t="shared" si="19"/>
        <v>0</v>
      </c>
      <c r="BK33" s="591">
        <f t="shared" si="20"/>
        <v>0</v>
      </c>
      <c r="BM33" s="574">
        <f t="shared" si="21"/>
        <v>19</v>
      </c>
      <c r="BN33" s="559">
        <v>6869.66</v>
      </c>
      <c r="BO33" s="575">
        <f t="shared" si="22"/>
        <v>2.0000000000436557E-2</v>
      </c>
      <c r="BP33" s="576">
        <v>25.433333333333337</v>
      </c>
      <c r="BQ33" s="576">
        <f t="shared" si="4"/>
        <v>0.56666666666666288</v>
      </c>
    </row>
    <row r="34" spans="1:69" ht="12.95" customHeight="1">
      <c r="A34" s="48">
        <v>20</v>
      </c>
      <c r="B34" s="104">
        <v>6869.49</v>
      </c>
      <c r="C34" s="483">
        <f>IF(B34="",C33,VLOOKUP(TRUNC(B34,1),VLOOKUP!$A$3:$K$2834,RIGHT(TEXT(B34,"0000.00"),1)+2,FALSE))</f>
        <v>186454</v>
      </c>
      <c r="D34" s="45">
        <f t="shared" si="23"/>
        <v>-503</v>
      </c>
      <c r="E34" s="55">
        <f t="shared" si="5"/>
        <v>34454</v>
      </c>
      <c r="F34" s="112">
        <f t="shared" si="0"/>
        <v>-253.59213511469625</v>
      </c>
      <c r="G34" s="47">
        <v>153</v>
      </c>
      <c r="H34" s="113">
        <v>0</v>
      </c>
      <c r="I34" s="47">
        <f t="shared" si="1"/>
        <v>153</v>
      </c>
      <c r="J34" s="42">
        <f t="shared" si="6"/>
        <v>0</v>
      </c>
      <c r="K34" s="47">
        <f t="shared" si="7"/>
        <v>153</v>
      </c>
      <c r="L34" s="47">
        <f t="shared" si="8"/>
        <v>-22.592135114696248</v>
      </c>
      <c r="M34" s="114">
        <v>146</v>
      </c>
      <c r="N34" s="610">
        <v>0</v>
      </c>
      <c r="O34" s="47">
        <f>0.29*1.05</f>
        <v>0.30449999999999999</v>
      </c>
      <c r="P34" s="39">
        <v>0</v>
      </c>
      <c r="Q34" s="144">
        <f>1940900/325851/1.9835*1.02</f>
        <v>3.0630357724025812</v>
      </c>
      <c r="R34" s="73">
        <f>IF(((4.9*1.04)-T34)&gt;=4.2,4.2,(4.9*1.04)-T34)</f>
        <v>3.7292444800000011</v>
      </c>
      <c r="S34" s="73">
        <f>IF(((4.9*1.04)-T34)&gt;=4.2,((4.9*1.04)-T34)-4.2,0)</f>
        <v>0</v>
      </c>
      <c r="T34" s="73">
        <f t="shared" si="30"/>
        <v>1.3667555200000001</v>
      </c>
      <c r="U34" s="131">
        <v>0</v>
      </c>
      <c r="V34" s="47">
        <v>87</v>
      </c>
      <c r="W34" s="47">
        <v>56</v>
      </c>
      <c r="X34" s="47">
        <f t="shared" si="10"/>
        <v>296.63668020340265</v>
      </c>
      <c r="Y34" s="47">
        <f t="shared" si="11"/>
        <v>296.63668020340265</v>
      </c>
      <c r="Z34" s="55"/>
      <c r="AA34" s="47"/>
      <c r="AB34" s="55"/>
      <c r="AC34" s="55">
        <f t="shared" si="24"/>
        <v>0</v>
      </c>
      <c r="AD34" s="490"/>
      <c r="AE34" s="490"/>
      <c r="AF34" s="45">
        <f t="shared" si="25"/>
        <v>6105.0221105751843</v>
      </c>
      <c r="AG34" s="47">
        <v>69</v>
      </c>
      <c r="AH34" s="188">
        <v>1.7</v>
      </c>
      <c r="AI34" s="210">
        <v>1.3</v>
      </c>
      <c r="AJ34" s="47">
        <v>26</v>
      </c>
      <c r="AK34" s="55">
        <f t="shared" si="26"/>
        <v>5736.511822044311</v>
      </c>
      <c r="AL34" s="55"/>
      <c r="AM34" s="74">
        <f t="shared" si="12"/>
        <v>384</v>
      </c>
      <c r="AN34" s="47">
        <f t="shared" si="13"/>
        <v>22.592135114696248</v>
      </c>
      <c r="AO34" s="47">
        <f t="shared" si="2"/>
        <v>406.59213511469625</v>
      </c>
      <c r="AP34" s="134"/>
      <c r="AQ34" s="540"/>
      <c r="AR34" s="45"/>
      <c r="AS34" s="43">
        <f t="shared" si="14"/>
        <v>-152.12896045580521</v>
      </c>
      <c r="AT34" s="492">
        <v>0.2</v>
      </c>
      <c r="AU34" s="494">
        <f t="shared" si="29"/>
        <v>0.13999999999999999</v>
      </c>
      <c r="AV34" s="494">
        <f>IF(AT34="",0,VLOOKUP(ROUNDDOWN(TEXT(B34,"0000"),-1),VLOOKUP!$M$3:$W$32,RIGHT(TEXT(B34,"0000"),1)+2,FALSE))</f>
        <v>2627</v>
      </c>
      <c r="AW34" s="494">
        <f t="shared" si="16"/>
        <v>30.64833333333333</v>
      </c>
      <c r="AX34" s="39">
        <f t="shared" si="17"/>
        <v>0</v>
      </c>
      <c r="AY34" s="618">
        <v>16.100215975805217</v>
      </c>
      <c r="AZ34" s="180">
        <f t="shared" si="18"/>
        <v>7.9</v>
      </c>
      <c r="BC34" s="102">
        <v>0</v>
      </c>
      <c r="BD34" s="45">
        <v>82</v>
      </c>
      <c r="BE34" s="45">
        <v>51</v>
      </c>
      <c r="BF34" s="378"/>
      <c r="BG34" s="385">
        <f t="shared" si="3"/>
        <v>8.1590357724025822</v>
      </c>
      <c r="BH34" s="46">
        <v>119</v>
      </c>
      <c r="BI34" s="524">
        <v>6062</v>
      </c>
      <c r="BJ34" s="643">
        <f t="shared" si="19"/>
        <v>0</v>
      </c>
      <c r="BK34" s="644">
        <f t="shared" si="20"/>
        <v>0</v>
      </c>
      <c r="BM34" s="574">
        <f t="shared" si="21"/>
        <v>20</v>
      </c>
      <c r="BN34" s="559">
        <v>6869.48</v>
      </c>
      <c r="BO34" s="575">
        <f t="shared" si="22"/>
        <v>1.0000000000218279E-2</v>
      </c>
      <c r="BP34" s="576">
        <v>25.396875000000005</v>
      </c>
      <c r="BQ34" s="576">
        <f t="shared" si="4"/>
        <v>0.60312499999999503</v>
      </c>
    </row>
    <row r="35" spans="1:69" ht="12.95" customHeight="1">
      <c r="A35" s="48">
        <v>21</v>
      </c>
      <c r="B35" s="104">
        <v>6869.31</v>
      </c>
      <c r="C35" s="483">
        <f>IF(B35="",C34,VLOOKUP(TRUNC(B35,1),VLOOKUP!$A$3:$K$2834,RIGHT(TEXT(B35,"0000.00"),1)+2,FALSE))</f>
        <v>185978</v>
      </c>
      <c r="D35" s="45">
        <f t="shared" si="23"/>
        <v>-476</v>
      </c>
      <c r="E35" s="55">
        <f t="shared" si="5"/>
        <v>33978</v>
      </c>
      <c r="F35" s="112">
        <f t="shared" si="0"/>
        <v>-239.97983362742627</v>
      </c>
      <c r="G35" s="47">
        <v>151</v>
      </c>
      <c r="H35" s="113">
        <v>0</v>
      </c>
      <c r="I35" s="47">
        <f t="shared" si="1"/>
        <v>151</v>
      </c>
      <c r="J35" s="42">
        <f t="shared" si="6"/>
        <v>0</v>
      </c>
      <c r="K35" s="47">
        <f t="shared" si="7"/>
        <v>151</v>
      </c>
      <c r="L35" s="47">
        <f t="shared" si="8"/>
        <v>-15.979833627426274</v>
      </c>
      <c r="M35" s="114">
        <v>149</v>
      </c>
      <c r="N35" s="610">
        <v>0</v>
      </c>
      <c r="O35" s="47">
        <f>7.6*1.05</f>
        <v>7.9799999999999995</v>
      </c>
      <c r="P35" s="39">
        <v>0</v>
      </c>
      <c r="Q35" s="144">
        <f>1812300/325851/1.9835*1.02</f>
        <v>2.8600853883895088</v>
      </c>
      <c r="R35" s="73">
        <f>IF(((5.2*1.04)-T35)&gt;=4.2,4.2,(5.2*1.04)-T35)</f>
        <v>4.0412444800000005</v>
      </c>
      <c r="S35" s="73">
        <f>IF(((5.2*1.04)-T35)&gt;=4.2,((5.2*1.04)-T35)-4.2,0)</f>
        <v>0</v>
      </c>
      <c r="T35" s="73">
        <f t="shared" si="30"/>
        <v>1.3667555200000001</v>
      </c>
      <c r="U35" s="131">
        <v>0</v>
      </c>
      <c r="V35" s="47">
        <v>84</v>
      </c>
      <c r="W35" s="47">
        <v>57</v>
      </c>
      <c r="X35" s="47">
        <f t="shared" si="10"/>
        <v>289.85213058741573</v>
      </c>
      <c r="Y35" s="47">
        <f t="shared" si="11"/>
        <v>289.85213058741573</v>
      </c>
      <c r="Z35" s="55"/>
      <c r="AA35" s="47"/>
      <c r="AB35" s="55"/>
      <c r="AC35" s="55">
        <f t="shared" si="24"/>
        <v>0</v>
      </c>
      <c r="AD35" s="490"/>
      <c r="AE35" s="490"/>
      <c r="AF35" s="45">
        <f t="shared" si="25"/>
        <v>5965.4686501193792</v>
      </c>
      <c r="AG35" s="47">
        <v>59</v>
      </c>
      <c r="AH35" s="188">
        <v>1.7</v>
      </c>
      <c r="AI35" s="210">
        <v>1.3</v>
      </c>
      <c r="AJ35" s="47">
        <v>26</v>
      </c>
      <c r="AK35" s="55">
        <f t="shared" si="26"/>
        <v>5710.511822044311</v>
      </c>
      <c r="AL35" s="55"/>
      <c r="AM35" s="74">
        <f t="shared" si="12"/>
        <v>375</v>
      </c>
      <c r="AN35" s="47">
        <f t="shared" si="13"/>
        <v>15.979833627426274</v>
      </c>
      <c r="AO35" s="47">
        <f t="shared" si="2"/>
        <v>390.97983362742627</v>
      </c>
      <c r="AP35" s="134"/>
      <c r="AQ35" s="540"/>
      <c r="AR35" s="45"/>
      <c r="AS35" s="43">
        <f t="shared" si="14"/>
        <v>-147.45346045580521</v>
      </c>
      <c r="AT35" s="492">
        <v>0.17</v>
      </c>
      <c r="AU35" s="494">
        <f t="shared" si="29"/>
        <v>0.11899999999999999</v>
      </c>
      <c r="AV35" s="494">
        <f>IF(AT35="",0,VLOOKUP(ROUNDDOWN(TEXT(B35,"0000"),-1),VLOOKUP!$M$3:$W$32,RIGHT(TEXT(B35,"0000"),1)+2,FALSE))</f>
        <v>2627</v>
      </c>
      <c r="AW35" s="494">
        <f t="shared" si="16"/>
        <v>26.051083333333331</v>
      </c>
      <c r="AX35" s="39">
        <f t="shared" si="17"/>
        <v>0</v>
      </c>
      <c r="AY35" s="618">
        <v>16.100215975805217</v>
      </c>
      <c r="AZ35" s="180">
        <f t="shared" si="18"/>
        <v>7.9</v>
      </c>
      <c r="BC35" s="102">
        <v>0</v>
      </c>
      <c r="BD35" s="45">
        <v>86</v>
      </c>
      <c r="BE35" s="45">
        <v>50</v>
      </c>
      <c r="BF35" s="378"/>
      <c r="BG35" s="385">
        <f t="shared" si="3"/>
        <v>8.26808538838951</v>
      </c>
      <c r="BH35" s="46">
        <v>118</v>
      </c>
      <c r="BI35" s="524">
        <v>5839</v>
      </c>
      <c r="BJ35" s="643">
        <f t="shared" si="19"/>
        <v>0</v>
      </c>
      <c r="BK35" s="644">
        <f t="shared" si="20"/>
        <v>0</v>
      </c>
      <c r="BM35" s="574">
        <f t="shared" si="21"/>
        <v>21</v>
      </c>
      <c r="BN35" s="559">
        <v>6869.29</v>
      </c>
      <c r="BO35" s="575">
        <f t="shared" si="22"/>
        <v>2.0000000000436557E-2</v>
      </c>
      <c r="BP35" s="576">
        <v>25.391666666666669</v>
      </c>
      <c r="BQ35" s="576">
        <f t="shared" si="4"/>
        <v>0.60833333333333073</v>
      </c>
    </row>
    <row r="36" spans="1:69" ht="12.95" customHeight="1">
      <c r="A36" s="48">
        <v>22</v>
      </c>
      <c r="B36" s="104">
        <v>6869.12</v>
      </c>
      <c r="C36" s="483">
        <f>IF(B36="",C35,VLOOKUP(TRUNC(B36,1),VLOOKUP!$A$3:$K$2834,RIGHT(TEXT(B36,"0000.00"),1)+2,FALSE))</f>
        <v>185476</v>
      </c>
      <c r="D36" s="45">
        <f t="shared" si="23"/>
        <v>-502</v>
      </c>
      <c r="E36" s="55">
        <f t="shared" si="5"/>
        <v>33476</v>
      </c>
      <c r="F36" s="112">
        <f t="shared" si="0"/>
        <v>-253.08797580035289</v>
      </c>
      <c r="G36" s="47">
        <v>150</v>
      </c>
      <c r="H36" s="113">
        <v>0</v>
      </c>
      <c r="I36" s="47">
        <f t="shared" si="1"/>
        <v>150</v>
      </c>
      <c r="J36" s="42">
        <f t="shared" si="6"/>
        <v>0</v>
      </c>
      <c r="K36" s="47">
        <f t="shared" si="7"/>
        <v>150</v>
      </c>
      <c r="L36" s="47">
        <f t="shared" si="8"/>
        <v>-24.087975800352837</v>
      </c>
      <c r="M36" s="114">
        <v>151</v>
      </c>
      <c r="N36" s="610">
        <v>0</v>
      </c>
      <c r="O36" s="47">
        <f>9.1*1.05</f>
        <v>9.5549999999999997</v>
      </c>
      <c r="P36" s="39">
        <v>0</v>
      </c>
      <c r="Q36" s="144">
        <f>1867500/325851/1.9835*1.02</f>
        <v>2.9471993945910766</v>
      </c>
      <c r="R36" s="73">
        <f>IF(((5.8*1.04)-T36)&gt;=4.2,4.2,(5.8*1.04)-T36)</f>
        <v>4.2</v>
      </c>
      <c r="S36" s="73">
        <f>IF(((5.8*1.04)-T36)&gt;=4.2,((5.8*1.04)-T36)-4.2,0)</f>
        <v>0.46524447999999996</v>
      </c>
      <c r="T36" s="73">
        <f t="shared" si="30"/>
        <v>1.3667555200000001</v>
      </c>
      <c r="U36" s="131">
        <v>0</v>
      </c>
      <c r="V36" s="47">
        <v>82</v>
      </c>
      <c r="W36" s="47">
        <v>58</v>
      </c>
      <c r="X36" s="47">
        <f t="shared" si="10"/>
        <v>288.56601658121417</v>
      </c>
      <c r="Y36" s="47">
        <f t="shared" si="11"/>
        <v>288.56601658121417</v>
      </c>
      <c r="Z36" s="55"/>
      <c r="AA36" s="47"/>
      <c r="AB36" s="55"/>
      <c r="AC36" s="55">
        <f t="shared" si="24"/>
        <v>0</v>
      </c>
      <c r="AD36" s="490"/>
      <c r="AE36" s="490"/>
      <c r="AF36" s="45">
        <f t="shared" si="25"/>
        <v>5825.9554341435742</v>
      </c>
      <c r="AG36" s="47">
        <v>62</v>
      </c>
      <c r="AH36" s="188">
        <v>1.7</v>
      </c>
      <c r="AI36" s="210">
        <v>1.3</v>
      </c>
      <c r="AJ36" s="47">
        <v>26</v>
      </c>
      <c r="AK36" s="55">
        <f t="shared" si="26"/>
        <v>5684.511822044311</v>
      </c>
      <c r="AL36" s="55"/>
      <c r="AM36" s="74">
        <f t="shared" si="12"/>
        <v>379.00000000000006</v>
      </c>
      <c r="AN36" s="47">
        <f t="shared" si="13"/>
        <v>24.087975800352837</v>
      </c>
      <c r="AO36" s="47">
        <f t="shared" si="2"/>
        <v>403.08797580035287</v>
      </c>
      <c r="AP36" s="134"/>
      <c r="AQ36" s="540"/>
      <c r="AR36" s="45"/>
      <c r="AS36" s="43">
        <f t="shared" si="14"/>
        <v>-147.41321597580523</v>
      </c>
      <c r="AT36" s="492">
        <v>0.13</v>
      </c>
      <c r="AU36" s="494">
        <f t="shared" si="29"/>
        <v>9.0999999999999998E-2</v>
      </c>
      <c r="AV36" s="494">
        <f>IF(AT36="",0,VLOOKUP(ROUNDDOWN(TEXT(B36,"0000"),-1),VLOOKUP!$M$3:$W$32,RIGHT(TEXT(B36,"0000"),1)+2,FALSE))</f>
        <v>2627</v>
      </c>
      <c r="AW36" s="494">
        <f t="shared" si="16"/>
        <v>19.921416666666666</v>
      </c>
      <c r="AX36" s="39">
        <f t="shared" si="17"/>
        <v>0</v>
      </c>
      <c r="AY36" s="618">
        <v>16.100215975805217</v>
      </c>
      <c r="AZ36" s="180">
        <f t="shared" si="18"/>
        <v>7.9</v>
      </c>
      <c r="BC36" s="102">
        <v>0</v>
      </c>
      <c r="BD36" s="45">
        <v>82</v>
      </c>
      <c r="BE36" s="45">
        <v>50</v>
      </c>
      <c r="BF36" s="378"/>
      <c r="BG36" s="385">
        <f t="shared" si="3"/>
        <v>8.9791993945910775</v>
      </c>
      <c r="BH36" s="46">
        <v>117</v>
      </c>
      <c r="BI36" s="524">
        <v>5614</v>
      </c>
      <c r="BJ36" s="643">
        <f t="shared" si="19"/>
        <v>0</v>
      </c>
      <c r="BK36" s="644">
        <f t="shared" si="20"/>
        <v>0</v>
      </c>
      <c r="BM36" s="574">
        <f t="shared" si="21"/>
        <v>22</v>
      </c>
      <c r="BN36" s="559">
        <v>6869.1</v>
      </c>
      <c r="BO36" s="575">
        <f t="shared" si="22"/>
        <v>1.9999999999527063E-2</v>
      </c>
      <c r="BP36" s="576">
        <v>25.383333333333336</v>
      </c>
      <c r="BQ36" s="576">
        <f t="shared" si="4"/>
        <v>0.61666666666666359</v>
      </c>
    </row>
    <row r="37" spans="1:69" ht="12.95" customHeight="1">
      <c r="A37" s="48">
        <v>23</v>
      </c>
      <c r="B37" s="104">
        <v>6868.96</v>
      </c>
      <c r="C37" s="483">
        <f>IF(B37="",C36,VLOOKUP(TRUNC(B37,1),VLOOKUP!$A$3:$K$2834,RIGHT(TEXT(B37,"0000.00"),1)+2,FALSE))</f>
        <v>185054</v>
      </c>
      <c r="D37" s="45">
        <f t="shared" si="23"/>
        <v>-422</v>
      </c>
      <c r="E37" s="55">
        <f t="shared" si="5"/>
        <v>33054</v>
      </c>
      <c r="F37" s="112">
        <f t="shared" si="0"/>
        <v>-212.7552306528863</v>
      </c>
      <c r="G37" s="47">
        <v>148</v>
      </c>
      <c r="H37" s="113">
        <v>0</v>
      </c>
      <c r="I37" s="47">
        <f t="shared" si="1"/>
        <v>148</v>
      </c>
      <c r="J37" s="42">
        <f t="shared" si="6"/>
        <v>0</v>
      </c>
      <c r="K37" s="47">
        <f t="shared" si="7"/>
        <v>148</v>
      </c>
      <c r="L37" s="47">
        <f t="shared" si="8"/>
        <v>-10.755230652886297</v>
      </c>
      <c r="M37" s="114">
        <v>138</v>
      </c>
      <c r="N37" s="610">
        <v>0</v>
      </c>
      <c r="O37" s="47">
        <f>0.42*1.05</f>
        <v>0.441</v>
      </c>
      <c r="P37" s="39">
        <v>0</v>
      </c>
      <c r="Q37" s="144">
        <f>1690000/325851/1.9835*1.02</f>
        <v>2.6670773637798764</v>
      </c>
      <c r="R37" s="73">
        <f>IF(((5.1*1.04)-T37)&gt;=4.2,4.2,(5.1*1.04)-T37)</f>
        <v>3.9372444799999995</v>
      </c>
      <c r="S37" s="73">
        <f>IF(((5.1*1.04)-T37)&gt;=4.2,((5.1*1.04)-T37)-4.2,0)</f>
        <v>0</v>
      </c>
      <c r="T37" s="73">
        <f t="shared" si="30"/>
        <v>1.3667555200000001</v>
      </c>
      <c r="U37" s="131">
        <v>0</v>
      </c>
      <c r="V37" s="47">
        <v>82</v>
      </c>
      <c r="W37" s="47">
        <v>58</v>
      </c>
      <c r="X37" s="47">
        <f t="shared" si="10"/>
        <v>285.68813861202534</v>
      </c>
      <c r="Y37" s="47">
        <f t="shared" si="11"/>
        <v>285.68813861202534</v>
      </c>
      <c r="Z37" s="55"/>
      <c r="AA37" s="47"/>
      <c r="AB37" s="55"/>
      <c r="AC37" s="55">
        <f t="shared" si="24"/>
        <v>0</v>
      </c>
      <c r="AD37" s="490"/>
      <c r="AE37" s="490"/>
      <c r="AF37" s="45">
        <f t="shared" si="25"/>
        <v>5687.8629736877692</v>
      </c>
      <c r="AG37" s="47">
        <v>46</v>
      </c>
      <c r="AH37" s="188">
        <v>1.7</v>
      </c>
      <c r="AI37" s="210">
        <v>1.3</v>
      </c>
      <c r="AJ37" s="47">
        <v>26</v>
      </c>
      <c r="AK37" s="55">
        <f t="shared" si="26"/>
        <v>5658.511822044311</v>
      </c>
      <c r="AL37" s="55"/>
      <c r="AM37" s="74">
        <f t="shared" si="12"/>
        <v>350</v>
      </c>
      <c r="AN37" s="47">
        <f t="shared" si="13"/>
        <v>10.755230652886297</v>
      </c>
      <c r="AO37" s="47">
        <f t="shared" si="2"/>
        <v>360.75523065288633</v>
      </c>
      <c r="AP37" s="134"/>
      <c r="AQ37" s="540"/>
      <c r="AR37" s="45"/>
      <c r="AS37" s="43">
        <f t="shared" si="14"/>
        <v>-145.9924604558052</v>
      </c>
      <c r="AT37" s="492">
        <v>0.24</v>
      </c>
      <c r="AU37" s="494">
        <f t="shared" si="29"/>
        <v>0.16799999999999998</v>
      </c>
      <c r="AV37" s="494">
        <f>IF(AT37="",0,VLOOKUP(ROUNDDOWN(TEXT(B37,"0000"),-1),VLOOKUP!$M$3:$W$32,RIGHT(TEXT(B37,"0000"),1)+2,FALSE))</f>
        <v>2627</v>
      </c>
      <c r="AW37" s="494">
        <f t="shared" si="16"/>
        <v>36.777999999999999</v>
      </c>
      <c r="AX37" s="39">
        <f t="shared" si="17"/>
        <v>0</v>
      </c>
      <c r="AY37" s="618">
        <v>16.100215975805217</v>
      </c>
      <c r="AZ37" s="180">
        <f t="shared" si="18"/>
        <v>7.9</v>
      </c>
      <c r="BC37" s="102">
        <v>0</v>
      </c>
      <c r="BD37" s="45">
        <v>83</v>
      </c>
      <c r="BE37" s="45">
        <v>47</v>
      </c>
      <c r="BF37" s="378"/>
      <c r="BG37" s="385">
        <f t="shared" si="3"/>
        <v>7.9710773637798757</v>
      </c>
      <c r="BH37" s="46">
        <v>110</v>
      </c>
      <c r="BI37" s="524">
        <v>5395</v>
      </c>
      <c r="BJ37" s="296">
        <f t="shared" si="19"/>
        <v>0</v>
      </c>
      <c r="BK37" s="591">
        <f t="shared" si="20"/>
        <v>0</v>
      </c>
      <c r="BM37" s="574">
        <f t="shared" si="21"/>
        <v>23</v>
      </c>
      <c r="BN37" s="559">
        <v>6868.94</v>
      </c>
      <c r="BO37" s="575">
        <f t="shared" si="22"/>
        <v>2.0000000000436557E-2</v>
      </c>
      <c r="BP37" s="576">
        <v>25.331250000000001</v>
      </c>
      <c r="BQ37" s="576">
        <f t="shared" si="4"/>
        <v>0.66874999999999929</v>
      </c>
    </row>
    <row r="38" spans="1:69" ht="12.75" customHeight="1">
      <c r="A38" s="48">
        <v>24</v>
      </c>
      <c r="B38" s="104">
        <v>6868.76</v>
      </c>
      <c r="C38" s="483">
        <f>IF(B38="",C37,VLOOKUP(TRUNC(B38,1),VLOOKUP!$A$3:$K$2834,RIGHT(TEXT(B38,"0000.00"),1)+2,FALSE))</f>
        <v>184532</v>
      </c>
      <c r="D38" s="45">
        <f t="shared" si="23"/>
        <v>-522</v>
      </c>
      <c r="E38" s="55">
        <f>C38-152000</f>
        <v>32532</v>
      </c>
      <c r="F38" s="112">
        <f>D38/$D$2</f>
        <v>-263.17116208721956</v>
      </c>
      <c r="G38" s="47">
        <v>143</v>
      </c>
      <c r="H38" s="113">
        <v>0</v>
      </c>
      <c r="I38" s="47">
        <f t="shared" si="1"/>
        <v>143</v>
      </c>
      <c r="J38" s="42">
        <f t="shared" si="6"/>
        <v>0</v>
      </c>
      <c r="K38" s="47">
        <f t="shared" si="7"/>
        <v>143</v>
      </c>
      <c r="L38" s="47">
        <f t="shared" si="8"/>
        <v>-19.171162087219557</v>
      </c>
      <c r="M38" s="114">
        <v>150</v>
      </c>
      <c r="N38" s="610">
        <v>0</v>
      </c>
      <c r="O38" s="47">
        <f>2.1*1.05</f>
        <v>2.2050000000000001</v>
      </c>
      <c r="P38" s="39">
        <v>0</v>
      </c>
      <c r="Q38" s="144">
        <f>1641200/325851/1.9835*1.02</f>
        <v>2.5900635322103751</v>
      </c>
      <c r="R38" s="73">
        <f>IF(((5.2*1.04)-T38)&gt;=4.2,4.2,(5.2*1.04)-T38)</f>
        <v>4.0412444800000005</v>
      </c>
      <c r="S38" s="73">
        <f>IF(((5.2*1.04)-T38)&gt;=4.2,((5.2*1.04)-T38)-4.2,0)</f>
        <v>0</v>
      </c>
      <c r="T38" s="73">
        <f t="shared" si="30"/>
        <v>1.3667555200000001</v>
      </c>
      <c r="U38" s="131">
        <v>0</v>
      </c>
      <c r="V38" s="47">
        <v>82</v>
      </c>
      <c r="W38" s="47">
        <v>58</v>
      </c>
      <c r="X38" s="47">
        <f t="shared" si="10"/>
        <v>295.89715244359485</v>
      </c>
      <c r="Y38" s="47">
        <f t="shared" si="11"/>
        <v>295.89715244359485</v>
      </c>
      <c r="Z38" s="55"/>
      <c r="AA38" s="47"/>
      <c r="AB38" s="55"/>
      <c r="AC38" s="55">
        <f t="shared" si="24"/>
        <v>0</v>
      </c>
      <c r="AD38" s="490"/>
      <c r="AE38" s="490"/>
      <c r="AF38" s="45">
        <f t="shared" si="25"/>
        <v>5534.5345132319644</v>
      </c>
      <c r="AG38" s="47">
        <v>71</v>
      </c>
      <c r="AH38" s="188">
        <v>1.7</v>
      </c>
      <c r="AI38" s="210">
        <v>1.3</v>
      </c>
      <c r="AJ38" s="47">
        <v>26</v>
      </c>
      <c r="AK38" s="55">
        <f t="shared" si="26"/>
        <v>5632.511822044311</v>
      </c>
      <c r="AL38" s="55"/>
      <c r="AM38" s="74">
        <f t="shared" si="12"/>
        <v>387</v>
      </c>
      <c r="AN38" s="47">
        <f t="shared" si="13"/>
        <v>19.171162087219557</v>
      </c>
      <c r="AO38" s="47">
        <f t="shared" si="2"/>
        <v>406.17116208721956</v>
      </c>
      <c r="AP38" s="134"/>
      <c r="AQ38" s="540"/>
      <c r="AR38" s="45"/>
      <c r="AS38" s="43">
        <f t="shared" si="14"/>
        <v>-161.22846045580519</v>
      </c>
      <c r="AT38" s="492">
        <v>0.2</v>
      </c>
      <c r="AU38" s="494">
        <f t="shared" si="29"/>
        <v>0.13999999999999999</v>
      </c>
      <c r="AV38" s="494">
        <f>IF(AT38="",0,VLOOKUP(ROUNDDOWN(TEXT(B38,"0000"),-1),VLOOKUP!$M$3:$W$32,RIGHT(TEXT(B38,"0000"),1)+2,FALSE))</f>
        <v>2627</v>
      </c>
      <c r="AW38" s="494">
        <f t="shared" si="16"/>
        <v>30.64833333333333</v>
      </c>
      <c r="AX38" s="39">
        <f t="shared" si="17"/>
        <v>0</v>
      </c>
      <c r="AY38" s="618">
        <v>16.100215975805217</v>
      </c>
      <c r="AZ38" s="180">
        <f t="shared" si="18"/>
        <v>7.9</v>
      </c>
      <c r="BC38" s="102">
        <v>0</v>
      </c>
      <c r="BD38" s="45">
        <v>85</v>
      </c>
      <c r="BE38" s="45">
        <v>47</v>
      </c>
      <c r="BF38" s="378"/>
      <c r="BG38" s="385">
        <f t="shared" si="3"/>
        <v>7.9980635322103755</v>
      </c>
      <c r="BH38" s="46">
        <v>102</v>
      </c>
      <c r="BI38" s="407">
        <v>5183</v>
      </c>
      <c r="BJ38" s="296">
        <f t="shared" si="19"/>
        <v>0</v>
      </c>
      <c r="BK38" s="591">
        <f t="shared" si="20"/>
        <v>0</v>
      </c>
      <c r="BM38" s="574">
        <f t="shared" si="21"/>
        <v>24</v>
      </c>
      <c r="BN38" s="559">
        <v>6868.73</v>
      </c>
      <c r="BO38" s="575">
        <f t="shared" si="22"/>
        <v>3.0000000000654836E-2</v>
      </c>
      <c r="BP38" s="576">
        <v>24.565625000000001</v>
      </c>
      <c r="BQ38" s="576">
        <f t="shared" si="4"/>
        <v>1.4343749999999993</v>
      </c>
    </row>
    <row r="39" spans="1:69" ht="12.95" customHeight="1">
      <c r="A39" s="48">
        <v>25</v>
      </c>
      <c r="B39" s="104">
        <v>6868.56</v>
      </c>
      <c r="C39" s="483">
        <f>IF(B39="",C38,VLOOKUP(TRUNC(B39,1),VLOOKUP!$A$3:$K$2834,RIGHT(TEXT(B39,"0000.00"),1)+2,FALSE))</f>
        <v>184011</v>
      </c>
      <c r="D39" s="45">
        <f t="shared" si="23"/>
        <v>-521</v>
      </c>
      <c r="E39" s="55">
        <f t="shared" si="5"/>
        <v>32011</v>
      </c>
      <c r="F39" s="112">
        <f t="shared" si="0"/>
        <v>-262.66700277287623</v>
      </c>
      <c r="G39" s="47">
        <v>140</v>
      </c>
      <c r="H39" s="113">
        <v>0</v>
      </c>
      <c r="I39" s="47">
        <f t="shared" si="1"/>
        <v>140</v>
      </c>
      <c r="J39" s="42">
        <f t="shared" si="6"/>
        <v>0</v>
      </c>
      <c r="K39" s="47">
        <f t="shared" si="7"/>
        <v>140</v>
      </c>
      <c r="L39" s="47">
        <f t="shared" si="8"/>
        <v>-23.667002772876231</v>
      </c>
      <c r="M39" s="114">
        <v>151</v>
      </c>
      <c r="N39" s="610">
        <v>0</v>
      </c>
      <c r="O39" s="47">
        <f>1.2*1.05</f>
        <v>1.26</v>
      </c>
      <c r="P39" s="39">
        <v>0</v>
      </c>
      <c r="Q39" s="144">
        <f>1901000/325851/1.9835*1.02</f>
        <v>3.0000674961807956</v>
      </c>
      <c r="R39" s="73">
        <f>IF(((5.5*1.04)-T39)&gt;=4.2,4.2,(5.5*1.04)-T39)</f>
        <v>4.2</v>
      </c>
      <c r="S39" s="73">
        <f>IF(((5.5*1.04)-T39)&gt;=4.2,((5.5*1.04)-T39)-4.2,0)</f>
        <v>0.42873424000000071</v>
      </c>
      <c r="T39" s="73">
        <f>(0.9899*1.06)*1.04</f>
        <v>1.09126576</v>
      </c>
      <c r="U39" s="131">
        <v>0</v>
      </c>
      <c r="V39" s="47">
        <v>82</v>
      </c>
      <c r="W39" s="47">
        <v>58</v>
      </c>
      <c r="X39" s="47">
        <f t="shared" si="10"/>
        <v>297.12014847962439</v>
      </c>
      <c r="Y39" s="47">
        <f t="shared" si="11"/>
        <v>297.12014847962439</v>
      </c>
      <c r="Z39" s="55"/>
      <c r="AA39" s="47"/>
      <c r="AB39" s="55"/>
      <c r="AC39" s="55">
        <f t="shared" si="24"/>
        <v>0</v>
      </c>
      <c r="AD39" s="490"/>
      <c r="AE39" s="490"/>
      <c r="AF39" s="45">
        <f t="shared" si="25"/>
        <v>5376.4142972561594</v>
      </c>
      <c r="AG39" s="47">
        <v>62</v>
      </c>
      <c r="AH39" s="188">
        <v>1.7</v>
      </c>
      <c r="AI39" s="210">
        <v>1.3</v>
      </c>
      <c r="AJ39" s="47">
        <v>26</v>
      </c>
      <c r="AK39" s="55">
        <f t="shared" si="26"/>
        <v>5606.511822044311</v>
      </c>
      <c r="AL39" s="55"/>
      <c r="AM39" s="74">
        <f t="shared" si="12"/>
        <v>379</v>
      </c>
      <c r="AN39" s="47">
        <f t="shared" si="13"/>
        <v>23.667002772876231</v>
      </c>
      <c r="AO39" s="47">
        <f t="shared" si="2"/>
        <v>402.66700277287623</v>
      </c>
      <c r="AP39" s="134"/>
      <c r="AQ39" s="540"/>
      <c r="AR39" s="45"/>
      <c r="AS39" s="43">
        <f t="shared" si="14"/>
        <v>-166.02021597580517</v>
      </c>
      <c r="AT39" s="492">
        <v>0.21</v>
      </c>
      <c r="AU39" s="494">
        <f t="shared" si="29"/>
        <v>0.14699999999999999</v>
      </c>
      <c r="AV39" s="494">
        <f>IF(AT39="",0,VLOOKUP(ROUNDDOWN(TEXT(B39,"0000"),-1),VLOOKUP!$M$3:$W$32,RIGHT(TEXT(B39,"0000"),1)+2,FALSE))</f>
        <v>2627</v>
      </c>
      <c r="AW39" s="494">
        <f t="shared" si="16"/>
        <v>32.180749999999996</v>
      </c>
      <c r="AX39" s="39">
        <f t="shared" si="17"/>
        <v>0</v>
      </c>
      <c r="AY39" s="618">
        <v>16.100215975805217</v>
      </c>
      <c r="AZ39" s="180">
        <f t="shared" si="18"/>
        <v>7.9</v>
      </c>
      <c r="BC39" s="102">
        <v>0</v>
      </c>
      <c r="BD39" s="45">
        <v>84</v>
      </c>
      <c r="BE39" s="45">
        <v>48</v>
      </c>
      <c r="BF39" s="378"/>
      <c r="BG39" s="385">
        <f t="shared" si="3"/>
        <v>8.7200674961807962</v>
      </c>
      <c r="BH39" s="46">
        <v>95</v>
      </c>
      <c r="BI39" s="407">
        <v>4971</v>
      </c>
      <c r="BJ39" s="296">
        <f t="shared" si="19"/>
        <v>0</v>
      </c>
      <c r="BK39" s="591">
        <f t="shared" si="20"/>
        <v>0</v>
      </c>
      <c r="BM39" s="574">
        <f t="shared" si="21"/>
        <v>25</v>
      </c>
      <c r="BN39" s="559">
        <v>6868.54</v>
      </c>
      <c r="BO39" s="575">
        <f t="shared" si="22"/>
        <v>2.0000000000436557E-2</v>
      </c>
      <c r="BP39" s="576">
        <v>25.361458333333335</v>
      </c>
      <c r="BQ39" s="576">
        <f t="shared" si="4"/>
        <v>0.63854166666666501</v>
      </c>
    </row>
    <row r="40" spans="1:69" ht="12.95" customHeight="1">
      <c r="A40" s="48">
        <v>26</v>
      </c>
      <c r="B40" s="104">
        <v>6868.34</v>
      </c>
      <c r="C40" s="483">
        <f>IF(B40="",C39,VLOOKUP(TRUNC(B40,1),VLOOKUP!$A$3:$K$2834,RIGHT(TEXT(B40,"0000.00"),1)+2,FALSE))</f>
        <v>183437</v>
      </c>
      <c r="D40" s="45">
        <f t="shared" si="23"/>
        <v>-574</v>
      </c>
      <c r="E40" s="55">
        <f t="shared" si="5"/>
        <v>31437</v>
      </c>
      <c r="F40" s="112">
        <f t="shared" si="0"/>
        <v>-289.38744643307285</v>
      </c>
      <c r="G40" s="47">
        <v>138</v>
      </c>
      <c r="H40" s="113">
        <v>0</v>
      </c>
      <c r="I40" s="47">
        <f t="shared" si="1"/>
        <v>138</v>
      </c>
      <c r="J40" s="42">
        <f t="shared" si="6"/>
        <v>0</v>
      </c>
      <c r="K40" s="47">
        <f t="shared" si="7"/>
        <v>138</v>
      </c>
      <c r="L40" s="47">
        <f t="shared" si="8"/>
        <v>-26.387446433072853</v>
      </c>
      <c r="M40" s="114">
        <v>163</v>
      </c>
      <c r="N40" s="610">
        <v>0.1</v>
      </c>
      <c r="O40" s="47">
        <f>1.9*1.05</f>
        <v>1.9949999999999999</v>
      </c>
      <c r="P40" s="39">
        <v>0</v>
      </c>
      <c r="Q40" s="144">
        <f>1996400/325851/1.9835*1.02</f>
        <v>3.1506232242900265</v>
      </c>
      <c r="R40" s="73">
        <f>IF(((6*1.04)-T40)&gt;=4.2,4.2,(6*1.04)-T40)</f>
        <v>4.2</v>
      </c>
      <c r="S40" s="73">
        <f>IF(((6*1.04)-T40)&gt;=4.2,((6*1.04)-T40)-4.2,0)</f>
        <v>0.94873424000000028</v>
      </c>
      <c r="T40" s="73">
        <f t="shared" ref="T40:T44" si="31">(0.9899*1.06)*1.04</f>
        <v>1.09126576</v>
      </c>
      <c r="U40" s="131">
        <v>0</v>
      </c>
      <c r="V40" s="47">
        <v>86</v>
      </c>
      <c r="W40" s="47">
        <v>57</v>
      </c>
      <c r="X40" s="47">
        <f t="shared" si="10"/>
        <v>310.6145927515152</v>
      </c>
      <c r="Y40" s="47">
        <f t="shared" si="11"/>
        <v>310.6145927515152</v>
      </c>
      <c r="Z40" s="55"/>
      <c r="AA40" s="47"/>
      <c r="AB40" s="55"/>
      <c r="AC40" s="55">
        <f t="shared" si="24"/>
        <v>0</v>
      </c>
      <c r="AD40" s="490"/>
      <c r="AE40" s="490"/>
      <c r="AF40" s="45">
        <f t="shared" si="25"/>
        <v>5202.649081280354</v>
      </c>
      <c r="AG40" s="47">
        <v>69</v>
      </c>
      <c r="AH40" s="188">
        <v>1.7</v>
      </c>
      <c r="AI40" s="210">
        <v>1.3</v>
      </c>
      <c r="AJ40" s="47">
        <v>26</v>
      </c>
      <c r="AK40" s="55">
        <f t="shared" si="26"/>
        <v>5580.511822044311</v>
      </c>
      <c r="AL40" s="55"/>
      <c r="AM40" s="74">
        <f t="shared" si="12"/>
        <v>401</v>
      </c>
      <c r="AN40" s="47">
        <f t="shared" si="13"/>
        <v>26.387446433072853</v>
      </c>
      <c r="AO40" s="47">
        <f t="shared" si="2"/>
        <v>427.38744643307285</v>
      </c>
      <c r="AP40" s="134"/>
      <c r="AQ40" s="540"/>
      <c r="AR40" s="45"/>
      <c r="AS40" s="43">
        <f t="shared" si="14"/>
        <v>-181.66521597580521</v>
      </c>
      <c r="AT40" s="492">
        <v>0.16</v>
      </c>
      <c r="AU40" s="494">
        <f t="shared" si="29"/>
        <v>0.11199999999999999</v>
      </c>
      <c r="AV40" s="494">
        <f>IF(AT40="",0,VLOOKUP(ROUNDDOWN(TEXT(B40,"0000"),-1),VLOOKUP!$M$3:$W$32,RIGHT(TEXT(B40,"0000"),1)+2,FALSE))</f>
        <v>2590</v>
      </c>
      <c r="AW40" s="494">
        <f t="shared" si="16"/>
        <v>24.173333333333332</v>
      </c>
      <c r="AX40" s="39">
        <f t="shared" si="17"/>
        <v>0</v>
      </c>
      <c r="AY40" s="618">
        <v>16.100215975805217</v>
      </c>
      <c r="AZ40" s="180">
        <f t="shared" si="18"/>
        <v>7.9</v>
      </c>
      <c r="BC40" s="102">
        <v>0</v>
      </c>
      <c r="BD40" s="45">
        <v>81</v>
      </c>
      <c r="BE40" s="45">
        <v>45</v>
      </c>
      <c r="BF40" s="378"/>
      <c r="BG40" s="385">
        <f t="shared" si="3"/>
        <v>9.4906232242900277</v>
      </c>
      <c r="BH40" s="46">
        <v>93.5</v>
      </c>
      <c r="BI40" s="407">
        <v>4757</v>
      </c>
      <c r="BJ40" s="296">
        <f t="shared" si="19"/>
        <v>0</v>
      </c>
      <c r="BK40" s="591">
        <f t="shared" si="20"/>
        <v>0</v>
      </c>
      <c r="BM40" s="574">
        <f t="shared" si="21"/>
        <v>26</v>
      </c>
      <c r="BN40" s="559">
        <v>6868.34</v>
      </c>
      <c r="BO40" s="575">
        <f t="shared" si="22"/>
        <v>0</v>
      </c>
      <c r="BP40" s="576">
        <v>25.3</v>
      </c>
      <c r="BQ40" s="576">
        <f t="shared" si="4"/>
        <v>0.69999999999999929</v>
      </c>
    </row>
    <row r="41" spans="1:69" ht="12.95" customHeight="1">
      <c r="A41" s="48">
        <v>27</v>
      </c>
      <c r="B41" s="104">
        <v>6868.13</v>
      </c>
      <c r="C41" s="483">
        <f>IF(B41="",C40,VLOOKUP(TRUNC(B41,1),VLOOKUP!$A$3:$K$2834,RIGHT(TEXT(B41,"0000.00"),1)+2,FALSE))</f>
        <v>182889</v>
      </c>
      <c r="D41" s="45">
        <f t="shared" si="23"/>
        <v>-548</v>
      </c>
      <c r="E41" s="55">
        <f t="shared" si="5"/>
        <v>30889</v>
      </c>
      <c r="F41" s="112">
        <f t="shared" si="0"/>
        <v>-276.2793042601462</v>
      </c>
      <c r="G41" s="47">
        <v>136</v>
      </c>
      <c r="H41" s="113">
        <v>0</v>
      </c>
      <c r="I41" s="47">
        <f t="shared" si="1"/>
        <v>136</v>
      </c>
      <c r="J41" s="42">
        <f t="shared" si="6"/>
        <v>0</v>
      </c>
      <c r="K41" s="47">
        <f t="shared" si="7"/>
        <v>136</v>
      </c>
      <c r="L41" s="47">
        <f t="shared" si="8"/>
        <v>-36.279304260146205</v>
      </c>
      <c r="M41" s="114">
        <v>152</v>
      </c>
      <c r="N41" s="610">
        <v>0.1</v>
      </c>
      <c r="O41" s="47">
        <f>2.6*1.05</f>
        <v>2.7300000000000004</v>
      </c>
      <c r="P41" s="39">
        <v>0</v>
      </c>
      <c r="Q41" s="144">
        <f>1846000/325851/1.9835*1.02</f>
        <v>2.9132691204364805</v>
      </c>
      <c r="R41" s="73">
        <f>IF(((5.7*1.04)-T41)&gt;=4.2,4.2,(5.7*1.04)-T41)</f>
        <v>4.2</v>
      </c>
      <c r="S41" s="73">
        <f>IF(((5.7*1.04)-T41)&gt;=4.2,((5.7*1.04)-T41)-4.2,0)</f>
        <v>0.6367342400000009</v>
      </c>
      <c r="T41" s="73">
        <f t="shared" si="31"/>
        <v>1.09126576</v>
      </c>
      <c r="U41" s="131">
        <v>0</v>
      </c>
      <c r="V41" s="47">
        <v>90</v>
      </c>
      <c r="W41" s="47">
        <v>58</v>
      </c>
      <c r="X41" s="47">
        <f t="shared" si="10"/>
        <v>304.42894685536874</v>
      </c>
      <c r="Y41" s="47">
        <f t="shared" si="11"/>
        <v>304.42894685536874</v>
      </c>
      <c r="Z41" s="55"/>
      <c r="AA41" s="47"/>
      <c r="AB41" s="55"/>
      <c r="AC41" s="55">
        <f t="shared" si="24"/>
        <v>0</v>
      </c>
      <c r="AD41" s="490"/>
      <c r="AE41" s="490"/>
      <c r="AF41" s="45">
        <f t="shared" si="25"/>
        <v>5033.3068653045484</v>
      </c>
      <c r="AG41" s="47">
        <v>50</v>
      </c>
      <c r="AH41" s="188">
        <v>1.7</v>
      </c>
      <c r="AI41" s="210">
        <v>1.3</v>
      </c>
      <c r="AJ41" s="47">
        <v>26</v>
      </c>
      <c r="AK41" s="55">
        <f t="shared" si="26"/>
        <v>5554.511822044311</v>
      </c>
      <c r="AL41" s="55"/>
      <c r="AM41" s="74">
        <f t="shared" si="12"/>
        <v>376</v>
      </c>
      <c r="AN41" s="47">
        <f t="shared" si="13"/>
        <v>36.279304260146205</v>
      </c>
      <c r="AO41" s="47">
        <f t="shared" si="2"/>
        <v>412.2793042601462</v>
      </c>
      <c r="AP41" s="134"/>
      <c r="AQ41" s="540"/>
      <c r="AR41" s="45"/>
      <c r="AS41" s="43">
        <f t="shared" si="14"/>
        <v>-177.24221597580518</v>
      </c>
      <c r="AT41" s="492">
        <v>0.24</v>
      </c>
      <c r="AU41" s="494">
        <f t="shared" si="29"/>
        <v>0.16799999999999998</v>
      </c>
      <c r="AV41" s="494">
        <f>IF(AT41="",0,VLOOKUP(ROUNDDOWN(TEXT(B41,"0000"),-1),VLOOKUP!$M$3:$W$32,RIGHT(TEXT(B41,"0000"),1)+2,FALSE))</f>
        <v>2590</v>
      </c>
      <c r="AW41" s="494">
        <f t="shared" si="16"/>
        <v>36.26</v>
      </c>
      <c r="AX41" s="39">
        <f t="shared" si="17"/>
        <v>0</v>
      </c>
      <c r="AY41" s="618">
        <v>16.100215975805217</v>
      </c>
      <c r="AZ41" s="180">
        <f t="shared" si="18"/>
        <v>7.9</v>
      </c>
      <c r="BC41" s="102">
        <v>0</v>
      </c>
      <c r="BD41" s="45">
        <v>78</v>
      </c>
      <c r="BE41" s="45">
        <v>45</v>
      </c>
      <c r="BF41" s="378"/>
      <c r="BG41" s="385">
        <f t="shared" si="3"/>
        <v>8.9412691204364823</v>
      </c>
      <c r="BH41" s="46">
        <v>73</v>
      </c>
      <c r="BI41" s="407">
        <v>4558</v>
      </c>
      <c r="BJ41" s="296">
        <f t="shared" si="19"/>
        <v>0</v>
      </c>
      <c r="BK41" s="591">
        <f t="shared" si="20"/>
        <v>0</v>
      </c>
      <c r="BM41" s="574">
        <f t="shared" si="21"/>
        <v>27</v>
      </c>
      <c r="BN41" s="559">
        <v>6868.12</v>
      </c>
      <c r="BO41" s="575">
        <f t="shared" si="22"/>
        <v>1.0000000000218279E-2</v>
      </c>
      <c r="BP41" s="576">
        <v>25.258333333333336</v>
      </c>
      <c r="BQ41" s="576">
        <f t="shared" si="4"/>
        <v>0.74166666666666359</v>
      </c>
    </row>
    <row r="42" spans="1:69" ht="12.95" customHeight="1">
      <c r="A42" s="48">
        <v>28</v>
      </c>
      <c r="B42" s="104">
        <v>6867.89</v>
      </c>
      <c r="C42" s="483">
        <f>IF(B42="",C41,VLOOKUP(TRUNC(B42,1),VLOOKUP!$A$3:$K$2834,RIGHT(TEXT(B42,"0000.00"),1)+2,FALSE))</f>
        <v>182267</v>
      </c>
      <c r="D42" s="45">
        <f t="shared" si="23"/>
        <v>-622</v>
      </c>
      <c r="E42" s="55">
        <f t="shared" si="5"/>
        <v>30267</v>
      </c>
      <c r="F42" s="112">
        <f t="shared" si="0"/>
        <v>-313.58709352155279</v>
      </c>
      <c r="G42" s="47">
        <v>87.5</v>
      </c>
      <c r="H42" s="113">
        <v>0</v>
      </c>
      <c r="I42" s="47">
        <f t="shared" si="1"/>
        <v>87.5</v>
      </c>
      <c r="J42" s="42">
        <f t="shared" si="6"/>
        <v>0</v>
      </c>
      <c r="K42" s="47">
        <f t="shared" si="7"/>
        <v>87.5</v>
      </c>
      <c r="L42" s="47">
        <f t="shared" si="8"/>
        <v>-36.087093521552788</v>
      </c>
      <c r="M42" s="114">
        <v>154</v>
      </c>
      <c r="N42" s="610">
        <v>0.1</v>
      </c>
      <c r="O42" s="47">
        <f>14*1.05</f>
        <v>14.700000000000001</v>
      </c>
      <c r="P42" s="39">
        <v>0</v>
      </c>
      <c r="Q42" s="144">
        <f>1770700/325851/1.9835*1.02</f>
        <v>2.7944342532810813</v>
      </c>
      <c r="R42" s="73">
        <f>IF(((4.7*1.04)-T42)&gt;=4.2,4.2,(4.7*1.04)-T42)</f>
        <v>3.796734240000001</v>
      </c>
      <c r="S42" s="73">
        <f>IF(((4.7*1.04)-T42)&gt;=4.2,((4.7*1.04)-T42)-4.2,0)</f>
        <v>0</v>
      </c>
      <c r="T42" s="73">
        <f t="shared" si="31"/>
        <v>1.09126576</v>
      </c>
      <c r="U42" s="131">
        <v>0</v>
      </c>
      <c r="V42" s="47">
        <v>92</v>
      </c>
      <c r="W42" s="47">
        <v>56</v>
      </c>
      <c r="X42" s="47">
        <f t="shared" si="10"/>
        <v>295.61778172252411</v>
      </c>
      <c r="Y42" s="47">
        <f t="shared" si="11"/>
        <v>295.61778172252411</v>
      </c>
      <c r="Z42" s="55"/>
      <c r="AA42" s="47"/>
      <c r="AB42" s="55"/>
      <c r="AC42" s="55"/>
      <c r="AD42" s="490"/>
      <c r="AE42" s="490"/>
      <c r="AF42" s="45">
        <f t="shared" si="25"/>
        <v>4816.8979150887435</v>
      </c>
      <c r="AG42" s="47">
        <v>36</v>
      </c>
      <c r="AH42" s="188">
        <v>1.7</v>
      </c>
      <c r="AI42" s="210">
        <v>1.3</v>
      </c>
      <c r="AJ42" s="47">
        <v>27</v>
      </c>
      <c r="AK42" s="55">
        <f t="shared" si="26"/>
        <v>5527.511822044311</v>
      </c>
      <c r="AL42" s="55"/>
      <c r="AM42" s="74">
        <f t="shared" si="12"/>
        <v>365</v>
      </c>
      <c r="AN42" s="47">
        <f t="shared" si="13"/>
        <v>36.087093521552788</v>
      </c>
      <c r="AO42" s="47">
        <f t="shared" si="2"/>
        <v>401.08709352155279</v>
      </c>
      <c r="AP42" s="134"/>
      <c r="AQ42" s="540"/>
      <c r="AR42" s="45"/>
      <c r="AS42" s="43">
        <f t="shared" si="14"/>
        <v>-216.40895021580519</v>
      </c>
      <c r="AT42" s="492">
        <v>0.2</v>
      </c>
      <c r="AU42" s="494">
        <f t="shared" si="29"/>
        <v>0.13999999999999999</v>
      </c>
      <c r="AV42" s="494">
        <f>IF(AT42="",0,VLOOKUP(ROUNDDOWN(TEXT(B42,"0000"),-1),VLOOKUP!$M$3:$W$32,RIGHT(TEXT(B42,"0000"),1)+2,FALSE))</f>
        <v>2590</v>
      </c>
      <c r="AW42" s="494">
        <f t="shared" si="16"/>
        <v>30.216666666666665</v>
      </c>
      <c r="AX42" s="39">
        <f t="shared" si="17"/>
        <v>0</v>
      </c>
      <c r="AY42" s="618">
        <v>16.100215975805217</v>
      </c>
      <c r="AZ42" s="65"/>
      <c r="BC42" s="102">
        <v>0</v>
      </c>
      <c r="BD42" s="45">
        <v>72</v>
      </c>
      <c r="BE42" s="45">
        <v>39</v>
      </c>
      <c r="BF42" s="378"/>
      <c r="BG42" s="385">
        <f t="shared" si="3"/>
        <v>7.7824342532810826</v>
      </c>
      <c r="BH42" s="46">
        <v>0</v>
      </c>
      <c r="BI42" s="407">
        <v>4490</v>
      </c>
      <c r="BJ42" s="296">
        <f t="shared" si="19"/>
        <v>0</v>
      </c>
      <c r="BK42" s="591">
        <f t="shared" si="20"/>
        <v>0</v>
      </c>
      <c r="BM42" s="574">
        <f t="shared" si="21"/>
        <v>28</v>
      </c>
      <c r="BN42" s="559">
        <v>6867.89</v>
      </c>
      <c r="BO42" s="575">
        <f t="shared" si="22"/>
        <v>0</v>
      </c>
      <c r="BP42" s="576">
        <v>25.321875000000006</v>
      </c>
      <c r="BQ42" s="576">
        <f t="shared" si="4"/>
        <v>1.6781249999999943</v>
      </c>
    </row>
    <row r="43" spans="1:69" ht="12.95" customHeight="1">
      <c r="A43" s="48">
        <v>29</v>
      </c>
      <c r="B43" s="104">
        <v>6867.63</v>
      </c>
      <c r="C43" s="483">
        <f>IF(B43="",C42,VLOOKUP(TRUNC(B43,1),VLOOKUP!$A$3:$K$2834,RIGHT(TEXT(B43,"0000.00"),1)+2,FALSE))</f>
        <v>181599</v>
      </c>
      <c r="D43" s="45">
        <f t="shared" si="23"/>
        <v>-668</v>
      </c>
      <c r="E43" s="55">
        <f t="shared" si="5"/>
        <v>29599</v>
      </c>
      <c r="F43" s="112">
        <f t="shared" si="0"/>
        <v>-336.77842198134607</v>
      </c>
      <c r="G43" s="47">
        <v>42.5</v>
      </c>
      <c r="H43" s="113">
        <v>0</v>
      </c>
      <c r="I43" s="47">
        <f t="shared" si="1"/>
        <v>42.5</v>
      </c>
      <c r="J43" s="42">
        <f t="shared" si="6"/>
        <v>0</v>
      </c>
      <c r="K43" s="47">
        <f t="shared" si="7"/>
        <v>42.5</v>
      </c>
      <c r="L43" s="47">
        <f t="shared" si="8"/>
        <v>-2.2784219813460709</v>
      </c>
      <c r="M43" s="114">
        <v>159</v>
      </c>
      <c r="N43" s="610">
        <v>0.1</v>
      </c>
      <c r="O43" s="47">
        <f>16*1.05</f>
        <v>16.8</v>
      </c>
      <c r="P43" s="39">
        <v>0</v>
      </c>
      <c r="Q43" s="144">
        <f>1427700/325851/1.9835*1.02</f>
        <v>2.253128019093805</v>
      </c>
      <c r="R43" s="73">
        <f>IF(((4.9*1.04)-T43)&gt;=4.2,4.2,(4.9*1.04)-T43)</f>
        <v>4.0047342400000012</v>
      </c>
      <c r="S43" s="73">
        <f>IF(((4.9*1.04)-T43)&gt;=4.2,((4.9*1.04)-T43)-4.2,0)</f>
        <v>0</v>
      </c>
      <c r="T43" s="73">
        <f t="shared" si="31"/>
        <v>1.09126576</v>
      </c>
      <c r="U43" s="131">
        <v>0</v>
      </c>
      <c r="V43" s="47">
        <v>92</v>
      </c>
      <c r="W43" s="47">
        <v>56</v>
      </c>
      <c r="X43" s="47">
        <f t="shared" si="10"/>
        <v>298.85108795671141</v>
      </c>
      <c r="Y43" s="47">
        <f t="shared" si="11"/>
        <v>298.85108795671141</v>
      </c>
      <c r="Z43" s="55"/>
      <c r="AA43" s="47"/>
      <c r="AB43" s="55"/>
      <c r="AC43" s="55"/>
      <c r="AD43" s="490"/>
      <c r="AE43" s="490"/>
      <c r="AF43" s="45">
        <f t="shared" si="25"/>
        <v>4552.588964872938</v>
      </c>
      <c r="AG43" s="47">
        <v>43</v>
      </c>
      <c r="AH43" s="188">
        <v>1.7</v>
      </c>
      <c r="AI43" s="210">
        <v>1.3</v>
      </c>
      <c r="AJ43" s="47">
        <v>27</v>
      </c>
      <c r="AK43" s="55">
        <f t="shared" si="26"/>
        <v>5500.511822044311</v>
      </c>
      <c r="AL43" s="55"/>
      <c r="AM43" s="74">
        <f t="shared" si="12"/>
        <v>377</v>
      </c>
      <c r="AN43" s="47">
        <f t="shared" si="13"/>
        <v>2.2784219813460709</v>
      </c>
      <c r="AO43" s="47">
        <f t="shared" si="2"/>
        <v>379.27842198134607</v>
      </c>
      <c r="AP43" s="134"/>
      <c r="AQ43" s="540"/>
      <c r="AR43" s="45"/>
      <c r="AS43" s="43">
        <f t="shared" si="14"/>
        <v>-264.30895021580523</v>
      </c>
      <c r="AT43" s="492">
        <v>0.16</v>
      </c>
      <c r="AU43" s="494">
        <f t="shared" si="29"/>
        <v>0.11199999999999999</v>
      </c>
      <c r="AV43" s="494">
        <f>IF(AT43="",0,VLOOKUP(ROUNDDOWN(TEXT(B43,"0000"),-1),VLOOKUP!$M$3:$W$32,RIGHT(TEXT(B43,"0000"),1)+2,FALSE))</f>
        <v>2590</v>
      </c>
      <c r="AW43" s="494">
        <f t="shared" si="16"/>
        <v>24.173333333333332</v>
      </c>
      <c r="AX43" s="39">
        <f t="shared" si="17"/>
        <v>0</v>
      </c>
      <c r="AY43" s="618">
        <v>16.100215975805217</v>
      </c>
      <c r="AZ43" s="65"/>
      <c r="BC43" s="102">
        <v>0</v>
      </c>
      <c r="BD43" s="45">
        <v>77</v>
      </c>
      <c r="BE43" s="45">
        <v>35</v>
      </c>
      <c r="BF43" s="378"/>
      <c r="BG43" s="385">
        <f>SUM(N43,P43:U43)</f>
        <v>7.4491280190938065</v>
      </c>
      <c r="BH43" s="46">
        <v>0.3</v>
      </c>
      <c r="BI43" s="407">
        <v>4484</v>
      </c>
      <c r="BJ43" s="296">
        <f t="shared" si="19"/>
        <v>0</v>
      </c>
      <c r="BK43" s="591">
        <f t="shared" si="20"/>
        <v>0</v>
      </c>
      <c r="BM43" s="574">
        <f t="shared" si="21"/>
        <v>29</v>
      </c>
      <c r="BN43" s="559">
        <v>6867.63</v>
      </c>
      <c r="BO43" s="575">
        <f t="shared" si="22"/>
        <v>0</v>
      </c>
      <c r="BP43" s="576">
        <v>25.347916666666674</v>
      </c>
      <c r="BQ43" s="576">
        <f t="shared" si="4"/>
        <v>1.6520833333333265</v>
      </c>
    </row>
    <row r="44" spans="1:69" ht="12.95" customHeight="1">
      <c r="A44" s="48">
        <v>30</v>
      </c>
      <c r="B44" s="104">
        <v>6867.36</v>
      </c>
      <c r="C44" s="483">
        <f>IF(B44="",C43,VLOOKUP(TRUNC(B44,1),VLOOKUP!$A$3:$K$2834,RIGHT(TEXT(B44,"0000.00"),1)+2,FALSE))</f>
        <v>180904</v>
      </c>
      <c r="D44" s="45">
        <f t="shared" si="23"/>
        <v>-695</v>
      </c>
      <c r="E44" s="55">
        <f t="shared" si="5"/>
        <v>28904</v>
      </c>
      <c r="F44" s="112">
        <f t="shared" si="0"/>
        <v>-350.3907234686161</v>
      </c>
      <c r="G44" s="47">
        <v>39.1</v>
      </c>
      <c r="H44" s="113">
        <v>0</v>
      </c>
      <c r="I44" s="47">
        <f t="shared" si="1"/>
        <v>39.1</v>
      </c>
      <c r="J44" s="42">
        <f t="shared" si="6"/>
        <v>0</v>
      </c>
      <c r="K44" s="47">
        <f t="shared" si="7"/>
        <v>39.1</v>
      </c>
      <c r="L44" s="47">
        <f t="shared" si="8"/>
        <v>-12.490723468616181</v>
      </c>
      <c r="M44" s="114">
        <v>151</v>
      </c>
      <c r="N44" s="610">
        <v>0.1</v>
      </c>
      <c r="O44" s="47">
        <f>8.5*1.05</f>
        <v>8.9250000000000007</v>
      </c>
      <c r="P44" s="39">
        <v>0</v>
      </c>
      <c r="Q44" s="144">
        <f>1557800/325851/1.9835*1.02</f>
        <v>2.4584456315362675</v>
      </c>
      <c r="R44" s="73">
        <f>IF(((5*1.04)-T44)&gt;=4.2,4.2,(5*1.04)-T44)</f>
        <v>4.1087342400000004</v>
      </c>
      <c r="S44" s="73">
        <f>IF(((5*1.04)-T44)&gt;=4.2,((5*1.04)-T44)-4.2,0)</f>
        <v>0</v>
      </c>
      <c r="T44" s="73">
        <f t="shared" si="31"/>
        <v>1.09126576</v>
      </c>
      <c r="U44" s="131">
        <v>0</v>
      </c>
      <c r="V44" s="47">
        <v>91</v>
      </c>
      <c r="W44" s="47">
        <v>57</v>
      </c>
      <c r="X44" s="47">
        <f t="shared" si="10"/>
        <v>298.41677034426891</v>
      </c>
      <c r="Y44" s="47">
        <f t="shared" si="11"/>
        <v>298.41677034426891</v>
      </c>
      <c r="Z44" s="55"/>
      <c r="AA44" s="47"/>
      <c r="AB44" s="55"/>
      <c r="AC44" s="55"/>
      <c r="AD44" s="490"/>
      <c r="AE44" s="490"/>
      <c r="AF44" s="45">
        <f t="shared" si="25"/>
        <v>4285.005014657133</v>
      </c>
      <c r="AG44" s="47">
        <v>52</v>
      </c>
      <c r="AH44" s="188">
        <v>1.7</v>
      </c>
      <c r="AI44" s="210">
        <v>1.3</v>
      </c>
      <c r="AJ44" s="47">
        <v>26</v>
      </c>
      <c r="AK44" s="55">
        <f t="shared" si="26"/>
        <v>5474.511822044311</v>
      </c>
      <c r="AL44" s="55"/>
      <c r="AM44" s="74">
        <f t="shared" si="12"/>
        <v>376.99999999999994</v>
      </c>
      <c r="AN44" s="47">
        <f t="shared" si="13"/>
        <v>12.490723468616181</v>
      </c>
      <c r="AO44" s="47">
        <f t="shared" si="2"/>
        <v>389.49072346861612</v>
      </c>
      <c r="AP44" s="134"/>
      <c r="AQ44" s="540"/>
      <c r="AR44" s="45"/>
      <c r="AS44" s="43">
        <f t="shared" si="14"/>
        <v>-267.58395021580515</v>
      </c>
      <c r="AT44" s="492">
        <v>0.2</v>
      </c>
      <c r="AU44" s="494">
        <f t="shared" si="29"/>
        <v>0.13999999999999999</v>
      </c>
      <c r="AV44" s="494">
        <f>IF(AT44="",0,VLOOKUP(ROUNDDOWN(TEXT(B44,"0000"),-1),VLOOKUP!$M$3:$W$32,RIGHT(TEXT(B44,"0000"),1)+2,FALSE))</f>
        <v>2552</v>
      </c>
      <c r="AW44" s="494">
        <f>AU44/12*AV44</f>
        <v>29.77333333333333</v>
      </c>
      <c r="AX44" s="39">
        <f t="shared" si="17"/>
        <v>0</v>
      </c>
      <c r="AY44" s="618">
        <v>16.100215975805217</v>
      </c>
      <c r="AZ44" s="65"/>
      <c r="BC44" s="102">
        <v>0</v>
      </c>
      <c r="BD44" s="45">
        <v>85</v>
      </c>
      <c r="BE44" s="45">
        <v>43</v>
      </c>
      <c r="BF44" s="378"/>
      <c r="BG44" s="385">
        <f>SUM(N44,P44:U44)</f>
        <v>7.7584456315362678</v>
      </c>
      <c r="BH44" s="46">
        <v>0.3</v>
      </c>
      <c r="BI44" s="407">
        <v>4481</v>
      </c>
      <c r="BJ44" s="296">
        <f t="shared" si="19"/>
        <v>0</v>
      </c>
      <c r="BK44" s="591">
        <f t="shared" si="20"/>
        <v>0</v>
      </c>
      <c r="BM44" s="574">
        <f t="shared" si="21"/>
        <v>30</v>
      </c>
      <c r="BN44" s="559">
        <v>6867.36</v>
      </c>
      <c r="BO44" s="575">
        <f t="shared" si="22"/>
        <v>0</v>
      </c>
      <c r="BP44" s="576">
        <v>18.211458333333319</v>
      </c>
      <c r="BQ44" s="576">
        <f t="shared" si="4"/>
        <v>7.7885416666666814</v>
      </c>
    </row>
    <row r="45" spans="1:69" ht="3" customHeight="1">
      <c r="A45" s="54"/>
      <c r="B45" s="116"/>
      <c r="C45" s="57"/>
      <c r="D45" s="59"/>
      <c r="E45" s="57"/>
      <c r="F45" s="106"/>
      <c r="G45" s="59"/>
      <c r="H45" s="107"/>
      <c r="I45" s="59"/>
      <c r="J45" s="59"/>
      <c r="K45" s="59"/>
      <c r="L45" s="59"/>
      <c r="M45" s="108"/>
      <c r="N45" s="59"/>
      <c r="O45" s="59"/>
      <c r="P45" s="40"/>
      <c r="Q45" s="40"/>
      <c r="R45" s="40"/>
      <c r="S45" s="40"/>
      <c r="T45" s="40"/>
      <c r="U45" s="130"/>
      <c r="V45" s="59"/>
      <c r="W45" s="59"/>
      <c r="X45" s="59"/>
      <c r="Y45" s="59"/>
      <c r="Z45" s="57"/>
      <c r="AA45" s="59"/>
      <c r="AB45" s="57"/>
      <c r="AC45" s="57"/>
      <c r="AD45" s="495"/>
      <c r="AE45" s="495"/>
      <c r="AF45" s="57"/>
      <c r="AG45" s="59"/>
      <c r="AH45" s="184"/>
      <c r="AI45" s="68"/>
      <c r="AJ45" s="59"/>
      <c r="AK45" s="59"/>
      <c r="AL45" s="59"/>
      <c r="AM45" s="59"/>
      <c r="AN45" s="59"/>
      <c r="AO45" s="59"/>
      <c r="AP45" s="137"/>
      <c r="AQ45" s="491"/>
      <c r="AR45" s="44"/>
      <c r="AS45" s="41"/>
      <c r="AT45" s="491"/>
      <c r="AU45" s="491"/>
      <c r="AV45" s="491"/>
      <c r="AW45" s="491"/>
      <c r="AX45" s="40"/>
      <c r="AY45" s="40"/>
      <c r="AZ45" s="40"/>
      <c r="BA45" s="40"/>
      <c r="BB45" s="41"/>
      <c r="BC45" s="110"/>
      <c r="BD45" s="44"/>
      <c r="BE45" s="44"/>
      <c r="BF45" s="44"/>
      <c r="BG45" s="44"/>
      <c r="BH45" s="44"/>
      <c r="BI45" s="44"/>
      <c r="BJ45" s="71"/>
      <c r="BK45" s="592"/>
      <c r="BM45" s="572"/>
      <c r="BN45" s="497"/>
      <c r="BO45" s="497"/>
      <c r="BP45" s="573"/>
      <c r="BQ45" s="573"/>
    </row>
    <row r="46" spans="1:69" ht="12.95" customHeight="1">
      <c r="A46" s="90" t="s">
        <v>33</v>
      </c>
      <c r="B46" s="98"/>
      <c r="C46" s="55"/>
      <c r="D46" s="55"/>
      <c r="E46" s="55"/>
      <c r="F46" s="99">
        <f>SUM(F15:F44)</f>
        <v>-8949.8361482228356</v>
      </c>
      <c r="G46" s="55">
        <f t="shared" ref="G46:AG46" si="32">SUM(G15:G44)</f>
        <v>4469.1000000000004</v>
      </c>
      <c r="H46" s="55">
        <f t="shared" si="32"/>
        <v>0</v>
      </c>
      <c r="I46" s="55">
        <f t="shared" si="32"/>
        <v>4469.1000000000004</v>
      </c>
      <c r="J46" s="55">
        <f t="shared" si="32"/>
        <v>57.644063524073601</v>
      </c>
      <c r="K46" s="55">
        <f t="shared" si="32"/>
        <v>4526.7440635240737</v>
      </c>
      <c r="L46" s="55">
        <f t="shared" si="32"/>
        <v>-654.72114822283811</v>
      </c>
      <c r="M46" s="100">
        <f t="shared" si="32"/>
        <v>4619</v>
      </c>
      <c r="N46" s="55">
        <f>SUM(N15:N44)+19.7</f>
        <v>30.199999999999996</v>
      </c>
      <c r="O46" s="55">
        <f t="shared" ref="O46:U46" si="33">SUM(O15:O44)</f>
        <v>545.19149999999991</v>
      </c>
      <c r="P46" s="39">
        <f t="shared" si="33"/>
        <v>0</v>
      </c>
      <c r="Q46" s="45">
        <f t="shared" si="33"/>
        <v>83.937659095011512</v>
      </c>
      <c r="R46" s="45">
        <f t="shared" si="33"/>
        <v>118.48300112000007</v>
      </c>
      <c r="S46" s="45">
        <f t="shared" si="33"/>
        <v>13.17774784</v>
      </c>
      <c r="T46" s="45">
        <f t="shared" si="33"/>
        <v>35.571251040000007</v>
      </c>
      <c r="U46" s="126">
        <f t="shared" si="33"/>
        <v>0</v>
      </c>
      <c r="V46" s="55">
        <f t="shared" si="32"/>
        <v>2793</v>
      </c>
      <c r="W46" s="55">
        <f t="shared" si="32"/>
        <v>1777</v>
      </c>
      <c r="X46" s="55">
        <f>SUM(X15:X44)</f>
        <v>8858.3603201791466</v>
      </c>
      <c r="Y46" s="55">
        <f>SUM(Y15:Y44)</f>
        <v>8858.3603201791466</v>
      </c>
      <c r="Z46" s="55"/>
      <c r="AA46" s="55"/>
      <c r="AB46" s="55"/>
      <c r="AC46" s="55"/>
      <c r="AD46" s="490"/>
      <c r="AE46" s="490">
        <f>SUM(AE15:AE44)</f>
        <v>0</v>
      </c>
      <c r="AF46" s="49">
        <f>AF12-AF44</f>
        <v>4429.6723015408452</v>
      </c>
      <c r="AG46" s="55">
        <f t="shared" si="32"/>
        <v>2405</v>
      </c>
      <c r="AH46" s="100">
        <f>SUM(AH15:AH44)</f>
        <v>51.000000000000021</v>
      </c>
      <c r="AI46" s="101">
        <f>SUM(AI15:AI44)</f>
        <v>38.999999999999993</v>
      </c>
      <c r="AJ46" s="55">
        <f>SUM(AJ15:AJ44)</f>
        <v>1177</v>
      </c>
      <c r="AK46" s="55"/>
      <c r="AL46" s="55">
        <f t="shared" ref="AL46:AR46" si="34">SUM(AL15:AL44)</f>
        <v>0</v>
      </c>
      <c r="AM46" s="55">
        <f t="shared" si="34"/>
        <v>12764.215</v>
      </c>
      <c r="AN46" s="55">
        <f t="shared" si="34"/>
        <v>712.36521174691165</v>
      </c>
      <c r="AO46" s="439">
        <f t="shared" si="34"/>
        <v>13476.580211746914</v>
      </c>
      <c r="AP46" s="55">
        <f t="shared" si="34"/>
        <v>0</v>
      </c>
      <c r="AQ46" s="490">
        <f>SUM(AQ15:AQ44)</f>
        <v>0</v>
      </c>
      <c r="AR46" s="55">
        <f t="shared" si="34"/>
        <v>0</v>
      </c>
      <c r="AS46" s="42"/>
      <c r="AT46" s="489"/>
      <c r="AU46" s="489"/>
      <c r="AV46" s="489"/>
      <c r="AW46" s="489"/>
      <c r="AX46" s="39"/>
      <c r="AY46" s="39">
        <f>SUM(AY15:AY44)</f>
        <v>483.00647927415645</v>
      </c>
      <c r="AZ46" s="45">
        <f>SUM(AZ15:AZ44)</f>
        <v>213.3000000000001</v>
      </c>
      <c r="BA46" s="45">
        <f>SUM(BA15:BA44)</f>
        <v>6.7850000000000001</v>
      </c>
      <c r="BB46" s="45">
        <f>SUM(BB15:BB44)</f>
        <v>0</v>
      </c>
      <c r="BC46" s="102">
        <f>SUM(BC15:BC44)</f>
        <v>1.17</v>
      </c>
      <c r="BD46" s="45">
        <f>AVERAGE(BD15:BD44)</f>
        <v>81</v>
      </c>
      <c r="BE46" s="45">
        <f>AVERAGE(BE15:BE44)</f>
        <v>46.7</v>
      </c>
      <c r="BF46" s="103" t="s">
        <v>44</v>
      </c>
      <c r="BG46" s="393">
        <f>SUM(BG15:BG44)</f>
        <v>261.66965909501158</v>
      </c>
      <c r="BH46" s="49">
        <f>SUM(BH14:BH44)</f>
        <v>3210.1000000000004</v>
      </c>
      <c r="BI46" s="407"/>
      <c r="BJ46" s="605">
        <f>SUM(BJ15:BJ44)</f>
        <v>0</v>
      </c>
      <c r="BK46" s="178">
        <f>SUM(BK15:BK44)</f>
        <v>0</v>
      </c>
      <c r="BN46" s="489"/>
      <c r="BO46" s="489"/>
      <c r="BP46" s="505">
        <f>SUM(BP15:BP44)</f>
        <v>1094.0999999999992</v>
      </c>
      <c r="BQ46" s="505">
        <f>SUM(BQ15:BQ44)</f>
        <v>82.900000000000603</v>
      </c>
    </row>
    <row r="47" spans="1:69" ht="12.95" customHeight="1">
      <c r="A47" s="90" t="s">
        <v>34</v>
      </c>
      <c r="B47" s="98"/>
      <c r="C47" s="55"/>
      <c r="D47" s="55">
        <f>SUM(D15:D44)</f>
        <v>-17752</v>
      </c>
      <c r="E47" s="55"/>
      <c r="F47" s="99">
        <f t="shared" ref="F47:R47" si="35">F46*$D$2</f>
        <v>-17751.999999999996</v>
      </c>
      <c r="G47" s="55">
        <f t="shared" si="35"/>
        <v>8864.4598500000011</v>
      </c>
      <c r="H47" s="55">
        <f t="shared" si="35"/>
        <v>0</v>
      </c>
      <c r="I47" s="55">
        <f t="shared" si="35"/>
        <v>8864.4598500000011</v>
      </c>
      <c r="J47" s="55">
        <f t="shared" si="35"/>
        <v>114.33699999999999</v>
      </c>
      <c r="K47" s="55">
        <f t="shared" si="35"/>
        <v>8978.7968500000006</v>
      </c>
      <c r="L47" s="55">
        <f t="shared" si="35"/>
        <v>-1298.6393974999994</v>
      </c>
      <c r="M47" s="100">
        <f t="shared" si="35"/>
        <v>9161.7865000000002</v>
      </c>
      <c r="N47" s="55">
        <f t="shared" si="35"/>
        <v>59.901699999999991</v>
      </c>
      <c r="O47" s="55">
        <f t="shared" si="35"/>
        <v>1081.3873402499999</v>
      </c>
      <c r="P47" s="39">
        <f t="shared" si="35"/>
        <v>0</v>
      </c>
      <c r="Q47" s="45">
        <f>Q46*$D$2</f>
        <v>166.49034681495533</v>
      </c>
      <c r="R47" s="45">
        <f t="shared" si="35"/>
        <v>235.01103272152014</v>
      </c>
      <c r="S47" s="45">
        <f t="shared" ref="S47:Y47" si="36">S46*$D$2</f>
        <v>26.13806284064</v>
      </c>
      <c r="T47" s="45">
        <f t="shared" si="36"/>
        <v>70.555576437840017</v>
      </c>
      <c r="U47" s="126">
        <f t="shared" si="36"/>
        <v>0</v>
      </c>
      <c r="V47" s="55">
        <f t="shared" si="36"/>
        <v>5539.9155000000001</v>
      </c>
      <c r="W47" s="55">
        <f t="shared" si="36"/>
        <v>3524.6795000000002</v>
      </c>
      <c r="X47" s="55">
        <f t="shared" si="36"/>
        <v>17570.557695075338</v>
      </c>
      <c r="Y47" s="55">
        <f t="shared" si="36"/>
        <v>17570.557695075338</v>
      </c>
      <c r="Z47" s="55"/>
      <c r="AA47" s="55"/>
      <c r="AB47" s="55"/>
      <c r="AC47" s="55"/>
      <c r="AD47" s="490"/>
      <c r="AE47" s="490">
        <f>AE46*$D$2</f>
        <v>0</v>
      </c>
      <c r="AF47" s="49">
        <f>AF46*$D$2</f>
        <v>8786.2550101062661</v>
      </c>
      <c r="AG47" s="55">
        <f t="shared" ref="AG47:AO47" si="37">AG46*$D$2</f>
        <v>4770.3175000000001</v>
      </c>
      <c r="AH47" s="100">
        <f>AH46*$D$2</f>
        <v>101.15850000000005</v>
      </c>
      <c r="AI47" s="101">
        <f>AI46*$D$2</f>
        <v>77.356499999999983</v>
      </c>
      <c r="AJ47" s="55">
        <f t="shared" si="37"/>
        <v>2334.5794999999998</v>
      </c>
      <c r="AK47" s="55"/>
      <c r="AL47" s="55">
        <f t="shared" si="37"/>
        <v>0</v>
      </c>
      <c r="AM47" s="55">
        <f t="shared" si="37"/>
        <v>25317.8204525</v>
      </c>
      <c r="AN47" s="55">
        <f t="shared" si="37"/>
        <v>1412.9763974999994</v>
      </c>
      <c r="AO47" s="437">
        <f t="shared" si="37"/>
        <v>26730.796850000002</v>
      </c>
      <c r="AP47" s="55">
        <f>AP46*$D$2</f>
        <v>0</v>
      </c>
      <c r="AQ47" s="490">
        <f t="shared" ref="AQ47" si="38">AQ46*$D$2</f>
        <v>0</v>
      </c>
      <c r="AR47" s="55">
        <f>AR46*$D$2</f>
        <v>0</v>
      </c>
      <c r="AS47" s="42"/>
      <c r="AT47" s="489">
        <f>SUM(AT15:AT44)</f>
        <v>5.6700000000000017</v>
      </c>
      <c r="AU47" s="489"/>
      <c r="AV47" s="489"/>
      <c r="AW47" s="489">
        <f>SUM(AW15:AW44)</f>
        <v>886.31841666666639</v>
      </c>
      <c r="AX47" s="39">
        <f>SUM(AX15:AX44)</f>
        <v>0</v>
      </c>
      <c r="AY47" s="42">
        <f>AY46*$D$2</f>
        <v>958.0433516402893</v>
      </c>
      <c r="AZ47" s="45">
        <f>AZ46*$D$2</f>
        <v>423.08055000000019</v>
      </c>
      <c r="BA47" s="45">
        <f>BA46*$D$2</f>
        <v>13.458047500000001</v>
      </c>
      <c r="BB47" s="45">
        <f>BB46*$D$2</f>
        <v>0</v>
      </c>
      <c r="BC47" s="102"/>
      <c r="BD47" s="45">
        <f>MAX(BD15:BD44)</f>
        <v>96</v>
      </c>
      <c r="BE47" s="45">
        <f>MAX(BE15:BE44)</f>
        <v>57</v>
      </c>
      <c r="BF47" s="103" t="s">
        <v>35</v>
      </c>
      <c r="BG47" s="393">
        <f>BG46*$D$2</f>
        <v>519.02176881495552</v>
      </c>
      <c r="BH47" s="49">
        <f>BH46*$D$2</f>
        <v>6367.2333500000004</v>
      </c>
      <c r="BI47" s="407"/>
      <c r="BJ47" s="605">
        <f>BJ46*$D$2</f>
        <v>0</v>
      </c>
      <c r="BK47" s="178">
        <f>BK46*$D$2</f>
        <v>0</v>
      </c>
      <c r="BN47" s="489"/>
      <c r="BO47" s="489"/>
      <c r="BP47" s="505">
        <f>BP46*$D$2</f>
        <v>2170.1473499999984</v>
      </c>
      <c r="BQ47" s="505">
        <f>BQ46*$D$2</f>
        <v>164.4321500000012</v>
      </c>
    </row>
    <row r="48" spans="1:69" ht="3" customHeight="1">
      <c r="A48" s="54"/>
      <c r="B48" s="116"/>
      <c r="C48" s="57"/>
      <c r="D48" s="57"/>
      <c r="E48" s="57"/>
      <c r="F48" s="117"/>
      <c r="G48" s="57"/>
      <c r="H48" s="57"/>
      <c r="I48" s="57"/>
      <c r="J48" s="57"/>
      <c r="K48" s="57"/>
      <c r="L48" s="57"/>
      <c r="M48" s="118"/>
      <c r="N48" s="57"/>
      <c r="O48" s="57"/>
      <c r="P48" s="40"/>
      <c r="Q48" s="44"/>
      <c r="R48" s="44"/>
      <c r="S48" s="44"/>
      <c r="T48" s="44"/>
      <c r="U48" s="130"/>
      <c r="V48" s="57"/>
      <c r="W48" s="57"/>
      <c r="X48" s="57"/>
      <c r="Y48" s="57"/>
      <c r="Z48" s="57"/>
      <c r="AA48" s="57"/>
      <c r="AB48" s="57"/>
      <c r="AC48" s="57"/>
      <c r="AD48" s="495"/>
      <c r="AE48" s="495"/>
      <c r="AF48" s="51"/>
      <c r="AG48" s="57"/>
      <c r="AH48" s="118"/>
      <c r="AI48" s="119"/>
      <c r="AJ48" s="57"/>
      <c r="AK48" s="59"/>
      <c r="AL48" s="57"/>
      <c r="AM48" s="57"/>
      <c r="AN48" s="57"/>
      <c r="AO48" s="57"/>
      <c r="AP48" s="120"/>
      <c r="AQ48" s="495"/>
      <c r="AR48" s="57"/>
      <c r="AS48" s="41"/>
      <c r="AT48" s="495"/>
      <c r="AU48" s="495"/>
      <c r="AV48" s="495"/>
      <c r="AW48" s="495"/>
      <c r="AX48" s="40"/>
      <c r="AY48" s="40"/>
      <c r="AZ48" s="44"/>
      <c r="BA48" s="44"/>
      <c r="BB48" s="41"/>
      <c r="BC48" s="120"/>
      <c r="BD48" s="57"/>
      <c r="BE48" s="57"/>
      <c r="BF48" s="57"/>
      <c r="BG48" s="57"/>
      <c r="BH48" s="57"/>
      <c r="BI48" s="57"/>
      <c r="BJ48" s="69"/>
      <c r="BK48" s="190"/>
      <c r="BM48" s="572"/>
      <c r="BN48" s="497"/>
      <c r="BO48" s="497"/>
      <c r="BP48" s="506"/>
      <c r="BQ48" s="506"/>
    </row>
    <row r="49" spans="1:69" ht="12.95" customHeight="1">
      <c r="A49" s="90" t="s">
        <v>36</v>
      </c>
      <c r="B49" s="98"/>
      <c r="C49" s="55"/>
      <c r="D49" s="55"/>
      <c r="E49" s="55"/>
      <c r="F49" s="99">
        <f t="shared" ref="F49:P49" si="39">F12+F46</f>
        <v>-50190.572220821778</v>
      </c>
      <c r="G49" s="55">
        <f t="shared" si="39"/>
        <v>58131.199999999997</v>
      </c>
      <c r="H49" s="55">
        <f t="shared" si="39"/>
        <v>133.2227</v>
      </c>
      <c r="I49" s="55">
        <f t="shared" si="39"/>
        <v>58264.422699999996</v>
      </c>
      <c r="J49" s="55">
        <f t="shared" si="39"/>
        <v>303.26007285102071</v>
      </c>
      <c r="K49" s="55">
        <f t="shared" si="39"/>
        <v>58567.672772851009</v>
      </c>
      <c r="L49" s="55">
        <f t="shared" si="39"/>
        <v>-5302.1779208217813</v>
      </c>
      <c r="M49" s="100">
        <f t="shared" si="39"/>
        <v>40727.199999999997</v>
      </c>
      <c r="N49" s="55">
        <f t="shared" si="39"/>
        <v>141.51725737332995</v>
      </c>
      <c r="O49" s="55">
        <f>O12+O46</f>
        <v>12011.475000000002</v>
      </c>
      <c r="P49" s="39">
        <f t="shared" si="39"/>
        <v>7.0600000000000005</v>
      </c>
      <c r="Q49" s="45"/>
      <c r="R49" s="45"/>
      <c r="S49" s="45"/>
      <c r="T49" s="45"/>
      <c r="U49" s="126"/>
      <c r="V49" s="55">
        <f>V12+V46</f>
        <v>17071</v>
      </c>
      <c r="W49" s="55">
        <f>W12+W46</f>
        <v>10230.719999999999</v>
      </c>
      <c r="X49" s="55">
        <f>X12+X46</f>
        <v>56915.826806084668</v>
      </c>
      <c r="Y49" s="55">
        <f>Y12+Y46</f>
        <v>56813.871387177911</v>
      </c>
      <c r="Z49" s="62"/>
      <c r="AA49" s="55"/>
      <c r="AB49" s="55"/>
      <c r="AC49" s="55"/>
      <c r="AD49" s="490"/>
      <c r="AE49" s="490">
        <f>AE12+AE46</f>
        <v>0</v>
      </c>
      <c r="AF49" s="49">
        <f>AF46+AF13</f>
        <v>4469.9638066401485</v>
      </c>
      <c r="AG49" s="55">
        <f>AG12+AG46</f>
        <v>26601.739999999998</v>
      </c>
      <c r="AH49" s="100">
        <f>AH12+AH46</f>
        <v>311.10000000000014</v>
      </c>
      <c r="AI49" s="101">
        <f>AI12+AI46</f>
        <v>237.89999999999995</v>
      </c>
      <c r="AJ49" s="55">
        <f t="shared" ref="AJ49" si="40">AJ12+AJ46</f>
        <v>8531</v>
      </c>
      <c r="AK49" s="55"/>
      <c r="AL49" s="55">
        <f t="shared" ref="AL49:AQ49" si="41">AL12+AL46</f>
        <v>0</v>
      </c>
      <c r="AM49" s="55">
        <f t="shared" si="41"/>
        <v>103152.807</v>
      </c>
      <c r="AN49" s="55">
        <f t="shared" si="41"/>
        <v>5605.4379936728028</v>
      </c>
      <c r="AO49" s="55">
        <f t="shared" si="41"/>
        <v>108758.24499367281</v>
      </c>
      <c r="AP49" s="354">
        <f t="shared" si="41"/>
        <v>2313.4365242127687</v>
      </c>
      <c r="AQ49" s="490">
        <f t="shared" si="41"/>
        <v>487.44617130124823</v>
      </c>
      <c r="AR49" s="45"/>
      <c r="AS49" s="42"/>
      <c r="AT49" s="489"/>
      <c r="AU49" s="489"/>
      <c r="AV49" s="489"/>
      <c r="AW49" s="489"/>
      <c r="AX49" s="39"/>
      <c r="AY49" s="42">
        <f>AY12+AY46</f>
        <v>2617.5951600705826</v>
      </c>
      <c r="AZ49" s="45">
        <f>AZ12+AZ46</f>
        <v>849.54800000000034</v>
      </c>
      <c r="BA49" s="45">
        <f>BA12+BA46</f>
        <v>8.8529999999999998</v>
      </c>
      <c r="BB49" s="45">
        <f>BB12+BB46</f>
        <v>0</v>
      </c>
      <c r="BC49" s="102" t="s">
        <v>131</v>
      </c>
      <c r="BD49" s="45">
        <f>MIN(BD15:BD44)</f>
        <v>49</v>
      </c>
      <c r="BE49" s="45">
        <f>MIN(BE15:BE44)</f>
        <v>35</v>
      </c>
      <c r="BF49" s="103" t="s">
        <v>37</v>
      </c>
      <c r="BG49" s="393">
        <f>BG12+BG46</f>
        <v>1762.1988539859092</v>
      </c>
      <c r="BH49" s="49">
        <f>BH12+BH46</f>
        <v>7522.68</v>
      </c>
      <c r="BI49" s="407"/>
      <c r="BJ49" s="605">
        <f>BJ46+BJ12</f>
        <v>5045.202419108532</v>
      </c>
      <c r="BK49" s="178">
        <f>BK46+BK12</f>
        <v>4455.8195433886603</v>
      </c>
      <c r="BN49" s="489"/>
      <c r="BO49" s="489"/>
      <c r="BP49" s="505"/>
      <c r="BQ49" s="505"/>
    </row>
    <row r="50" spans="1:69" ht="12.95" customHeight="1">
      <c r="A50" s="90" t="s">
        <v>38</v>
      </c>
      <c r="B50" s="98"/>
      <c r="C50" s="55"/>
      <c r="D50" s="55"/>
      <c r="E50" s="55"/>
      <c r="F50" s="99">
        <f t="shared" ref="F50:AP50" si="42">F49*$D$2</f>
        <v>-99553</v>
      </c>
      <c r="G50" s="55">
        <f t="shared" si="42"/>
        <v>115303.2352</v>
      </c>
      <c r="H50" s="55">
        <f t="shared" si="42"/>
        <v>264.24722545000003</v>
      </c>
      <c r="I50" s="55">
        <f t="shared" si="42"/>
        <v>115567.48242545</v>
      </c>
      <c r="J50" s="55">
        <f t="shared" si="42"/>
        <v>601.51635449999958</v>
      </c>
      <c r="K50" s="55">
        <f t="shared" si="42"/>
        <v>116168.97894494998</v>
      </c>
      <c r="L50" s="55">
        <f t="shared" si="42"/>
        <v>-10516.869905950003</v>
      </c>
      <c r="M50" s="100">
        <f t="shared" si="42"/>
        <v>80782.401199999993</v>
      </c>
      <c r="N50" s="55">
        <f t="shared" si="42"/>
        <v>280.69947999999999</v>
      </c>
      <c r="O50" s="55">
        <f>O49*$D$2</f>
        <v>23824.760662500004</v>
      </c>
      <c r="P50" s="39">
        <f t="shared" si="42"/>
        <v>14.003510000000002</v>
      </c>
      <c r="Q50" s="45"/>
      <c r="R50" s="45"/>
      <c r="S50" s="45"/>
      <c r="T50" s="45"/>
      <c r="U50" s="126"/>
      <c r="V50" s="55">
        <f t="shared" si="42"/>
        <v>33860.328500000003</v>
      </c>
      <c r="W50" s="55">
        <f t="shared" si="42"/>
        <v>20292.633119999999</v>
      </c>
      <c r="X50" s="55">
        <f t="shared" si="42"/>
        <v>112892.54246986895</v>
      </c>
      <c r="Y50" s="55">
        <f>Y49*$D$2</f>
        <v>112690.31389646739</v>
      </c>
      <c r="Z50" s="62"/>
      <c r="AA50" s="55"/>
      <c r="AB50" s="55"/>
      <c r="AC50" s="55"/>
      <c r="AD50" s="490"/>
      <c r="AE50" s="490">
        <f>AE49*$D$2</f>
        <v>0</v>
      </c>
      <c r="AF50" s="49">
        <f t="shared" ref="AF50" si="43">AF49*$D$2</f>
        <v>8866.1732104707353</v>
      </c>
      <c r="AG50" s="101">
        <f t="shared" si="42"/>
        <v>52764.551289999996</v>
      </c>
      <c r="AH50" s="55">
        <f>AH49*$D$2</f>
        <v>617.06685000000027</v>
      </c>
      <c r="AI50" s="101">
        <f>AI49*$D$2</f>
        <v>471.87464999999992</v>
      </c>
      <c r="AJ50" s="55">
        <f>AJ49*$D$2</f>
        <v>16921.238499999999</v>
      </c>
      <c r="AK50" s="55"/>
      <c r="AL50" s="55">
        <f>AL49*$D$2</f>
        <v>0</v>
      </c>
      <c r="AM50" s="55">
        <f>AM49*$D$2</f>
        <v>204603.59268450001</v>
      </c>
      <c r="AN50" s="55">
        <f t="shared" si="42"/>
        <v>11118.386260450005</v>
      </c>
      <c r="AO50" s="55">
        <f t="shared" si="42"/>
        <v>215721.97894495001</v>
      </c>
      <c r="AP50" s="354">
        <f t="shared" si="42"/>
        <v>4588.7013457760268</v>
      </c>
      <c r="AQ50" s="490">
        <f t="shared" ref="AQ50" si="44">AQ49*$D$2</f>
        <v>966.84948077602587</v>
      </c>
      <c r="AR50" s="45"/>
      <c r="AS50" s="42"/>
      <c r="AT50" s="489">
        <f>AT13+AT47</f>
        <v>48.2</v>
      </c>
      <c r="AU50" s="489"/>
      <c r="AV50" s="489"/>
      <c r="AW50" s="489">
        <f>SUM(AW13,AW47)</f>
        <v>9462.0849166666667</v>
      </c>
      <c r="AX50" s="39">
        <f>AX12+AX47</f>
        <v>1082.6770651669035</v>
      </c>
      <c r="AY50" s="42">
        <f>AY49*$D$2</f>
        <v>5192.0000000000009</v>
      </c>
      <c r="AZ50" s="42">
        <f>AZ49*$D$2</f>
        <v>1685.0784580000006</v>
      </c>
      <c r="BA50" s="45">
        <f>BA49*$D$2</f>
        <v>17.559925499999999</v>
      </c>
      <c r="BB50" s="45">
        <f>BB49*$D$2</f>
        <v>0</v>
      </c>
      <c r="BC50" s="102">
        <f>AUG!BC51+BC46</f>
        <v>3.78</v>
      </c>
      <c r="BD50" s="45"/>
      <c r="BE50" s="45"/>
      <c r="BF50" s="378"/>
      <c r="BG50" s="393">
        <f>BG49*$D$2</f>
        <v>3495.3214268810511</v>
      </c>
      <c r="BH50" s="49">
        <f>BH49*$D$2</f>
        <v>14921.235780000001</v>
      </c>
      <c r="BI50" s="407"/>
      <c r="BJ50" s="605">
        <f>BJ49*$D$2</f>
        <v>10007.158998301773</v>
      </c>
      <c r="BK50" s="178">
        <f>BK49*$D$2</f>
        <v>8838.1180643114076</v>
      </c>
      <c r="BN50" s="489"/>
      <c r="BO50" s="489"/>
      <c r="BP50" s="505"/>
      <c r="BQ50" s="505"/>
    </row>
    <row r="51" spans="1:69" ht="3" customHeight="1">
      <c r="A51" s="54"/>
      <c r="B51" s="116"/>
      <c r="C51" s="57"/>
      <c r="D51" s="57"/>
      <c r="E51" s="57"/>
      <c r="F51" s="117"/>
      <c r="G51" s="57"/>
      <c r="H51" s="44"/>
      <c r="I51" s="57"/>
      <c r="J51" s="57"/>
      <c r="K51" s="57"/>
      <c r="L51" s="57"/>
      <c r="M51" s="118"/>
      <c r="N51" s="57"/>
      <c r="O51" s="57"/>
      <c r="P51" s="40"/>
      <c r="Q51" s="44"/>
      <c r="R51" s="44"/>
      <c r="S51" s="44"/>
      <c r="T51" s="44"/>
      <c r="U51" s="130"/>
      <c r="V51" s="57"/>
      <c r="W51" s="57"/>
      <c r="X51" s="57"/>
      <c r="Y51" s="57"/>
      <c r="Z51" s="57"/>
      <c r="AA51" s="57"/>
      <c r="AB51" s="57"/>
      <c r="AC51" s="57"/>
      <c r="AD51" s="495"/>
      <c r="AE51" s="495"/>
      <c r="AF51" s="57"/>
      <c r="AG51" s="119"/>
      <c r="AH51" s="69"/>
      <c r="AI51" s="75"/>
      <c r="AJ51" s="57"/>
      <c r="AK51" s="57"/>
      <c r="AL51" s="57"/>
      <c r="AM51" s="57"/>
      <c r="AN51" s="57"/>
      <c r="AO51" s="57"/>
      <c r="AP51" s="110"/>
      <c r="AQ51" s="495"/>
      <c r="AR51" s="58"/>
      <c r="AS51" s="41"/>
      <c r="AT51" s="496"/>
      <c r="AU51" s="496"/>
      <c r="AV51" s="496"/>
      <c r="AW51" s="496"/>
      <c r="AX51" s="40"/>
      <c r="AY51" s="40"/>
      <c r="AZ51" s="44"/>
      <c r="BA51" s="44"/>
      <c r="BB51" s="41"/>
      <c r="BC51" s="110"/>
      <c r="BD51" s="58"/>
      <c r="BE51" s="58"/>
      <c r="BF51" s="58"/>
      <c r="BG51" s="58"/>
      <c r="BH51" s="58"/>
      <c r="BI51" s="58"/>
      <c r="BJ51" s="193"/>
      <c r="BK51" s="594"/>
      <c r="BM51" s="572"/>
      <c r="BN51" s="497"/>
      <c r="BO51" s="497"/>
      <c r="BP51" s="506"/>
      <c r="BQ51" s="506"/>
    </row>
    <row r="52" spans="1:69" ht="12.95" customHeight="1">
      <c r="A52" s="90" t="s">
        <v>39</v>
      </c>
      <c r="B52" s="98"/>
      <c r="C52" s="55"/>
      <c r="D52" s="55"/>
      <c r="E52" s="55"/>
      <c r="F52" s="99">
        <f t="shared" ref="F52:R52" si="45">F13+F46</f>
        <v>-56209.226115452482</v>
      </c>
      <c r="G52" s="55">
        <f t="shared" si="45"/>
        <v>64741</v>
      </c>
      <c r="H52" s="45">
        <f t="shared" si="45"/>
        <v>181.4727</v>
      </c>
      <c r="I52" s="55">
        <f t="shared" si="45"/>
        <v>64922.472699999998</v>
      </c>
      <c r="J52" s="55">
        <f t="shared" si="45"/>
        <v>2177.1042049407611</v>
      </c>
      <c r="K52" s="55">
        <f t="shared" si="45"/>
        <v>67099.566904940759</v>
      </c>
      <c r="L52" s="55">
        <f t="shared" si="45"/>
        <v>-5608.8418154524861</v>
      </c>
      <c r="M52" s="100">
        <f t="shared" si="45"/>
        <v>41507.74</v>
      </c>
      <c r="N52" s="55">
        <f t="shared" si="45"/>
        <v>141.51725737332995</v>
      </c>
      <c r="O52" s="55">
        <f>O13+O46</f>
        <v>12011.475000000002</v>
      </c>
      <c r="P52" s="39"/>
      <c r="Q52" s="45">
        <f>Q13+Q46</f>
        <v>830.70858951783043</v>
      </c>
      <c r="R52" s="45">
        <f t="shared" si="45"/>
        <v>687.21686320000026</v>
      </c>
      <c r="S52" s="45">
        <f t="shared" ref="S52:X52" si="46">S13+S46</f>
        <v>379.75353583999993</v>
      </c>
      <c r="T52" s="45">
        <f>T13+T46</f>
        <v>316.93393680000008</v>
      </c>
      <c r="U52" s="341">
        <f t="shared" si="46"/>
        <v>-46.583886557747249</v>
      </c>
      <c r="V52" s="55">
        <f t="shared" si="46"/>
        <v>22263</v>
      </c>
      <c r="W52" s="55">
        <f t="shared" si="46"/>
        <v>10264.219999999999</v>
      </c>
      <c r="X52" s="55">
        <f t="shared" si="46"/>
        <v>62338.39086389717</v>
      </c>
      <c r="Y52" s="55">
        <f>Y13+Y46</f>
        <v>62088.32003197325</v>
      </c>
      <c r="Z52" s="55"/>
      <c r="AA52" s="55"/>
      <c r="AB52" s="55"/>
      <c r="AC52" s="55"/>
      <c r="AD52" s="490"/>
      <c r="AE52" s="490">
        <f>AE12+AE46</f>
        <v>0</v>
      </c>
      <c r="AF52" s="55">
        <f>AF13+AF46</f>
        <v>4469.9638066401485</v>
      </c>
      <c r="AG52" s="101"/>
      <c r="AH52" s="55">
        <f>AH13+AH46</f>
        <v>311.10000000000014</v>
      </c>
      <c r="AI52" s="101">
        <f>AI13+AI46</f>
        <v>237.89999999999995</v>
      </c>
      <c r="AJ52" s="55">
        <f>AJ13+AJ46</f>
        <v>14895</v>
      </c>
      <c r="AK52" s="55">
        <f>AK44</f>
        <v>5474.511822044311</v>
      </c>
      <c r="AL52" s="55">
        <f t="shared" ref="AL52:AR52" si="47">AL13+AL46</f>
        <v>0</v>
      </c>
      <c r="AM52" s="55">
        <f t="shared" si="47"/>
        <v>115522.84699999999</v>
      </c>
      <c r="AN52" s="55">
        <f t="shared" si="47"/>
        <v>7785.9460203932467</v>
      </c>
      <c r="AO52" s="439">
        <f t="shared" si="47"/>
        <v>123308.79302039325</v>
      </c>
      <c r="AP52" s="55">
        <f t="shared" si="47"/>
        <v>7457.0372300358085</v>
      </c>
      <c r="AQ52" s="490">
        <f>AQ13+AQ46</f>
        <v>487.44617130124823</v>
      </c>
      <c r="AR52" s="55">
        <f t="shared" si="47"/>
        <v>250.07083192391997</v>
      </c>
      <c r="AS52" s="42"/>
      <c r="AT52" s="489"/>
      <c r="AU52" s="489"/>
      <c r="AV52" s="489"/>
      <c r="AW52" s="489"/>
      <c r="AX52" s="39"/>
      <c r="AY52" s="39"/>
      <c r="AZ52" s="45"/>
      <c r="BA52" s="45"/>
      <c r="BC52" s="102">
        <f>BC13+BC46</f>
        <v>10.675000000000001</v>
      </c>
      <c r="BD52" s="45"/>
      <c r="BE52" s="45"/>
      <c r="BF52" s="378"/>
      <c r="BG52" s="393">
        <f>BG13+BG46</f>
        <v>2293.8362961734133</v>
      </c>
      <c r="BH52" s="49">
        <f>BH13+BH46</f>
        <v>7762.4960000000001</v>
      </c>
      <c r="BI52" s="407"/>
      <c r="BJ52" s="605">
        <f>BJ13+BJ46</f>
        <v>5045.202419108532</v>
      </c>
      <c r="BK52" s="178">
        <f>BK13+BK46</f>
        <v>4455.8195433886603</v>
      </c>
      <c r="BN52" s="489"/>
      <c r="BO52" s="489"/>
      <c r="BP52" s="505">
        <f>BP13+BP46</f>
        <v>1094.0999999999992</v>
      </c>
      <c r="BQ52" s="505">
        <f>BQ13+BQ46</f>
        <v>82.900000000000603</v>
      </c>
    </row>
    <row r="53" spans="1:69" ht="12.95" customHeight="1">
      <c r="A53" s="90" t="s">
        <v>40</v>
      </c>
      <c r="B53" s="98"/>
      <c r="C53" s="55"/>
      <c r="D53" s="55">
        <f>D13+D47</f>
        <v>-111491</v>
      </c>
      <c r="E53" s="55">
        <f>E44</f>
        <v>28904</v>
      </c>
      <c r="F53" s="99">
        <f t="shared" ref="F53:AK53" si="48">F52*$D$2</f>
        <v>-111491</v>
      </c>
      <c r="G53" s="55">
        <f t="shared" si="48"/>
        <v>128413.7735</v>
      </c>
      <c r="H53" s="45">
        <f t="shared" si="48"/>
        <v>359.95110045000001</v>
      </c>
      <c r="I53" s="55">
        <f t="shared" si="48"/>
        <v>128773.72460045</v>
      </c>
      <c r="J53" s="55">
        <f t="shared" si="48"/>
        <v>4318.2861905</v>
      </c>
      <c r="K53" s="55">
        <f t="shared" si="48"/>
        <v>133091.99095594999</v>
      </c>
      <c r="L53" s="55">
        <f t="shared" si="48"/>
        <v>-11125.137740950006</v>
      </c>
      <c r="M53" s="100">
        <f t="shared" si="48"/>
        <v>82330.602289999995</v>
      </c>
      <c r="N53" s="55">
        <f t="shared" si="48"/>
        <v>280.69947999999999</v>
      </c>
      <c r="O53" s="55">
        <f t="shared" si="48"/>
        <v>23824.760662500004</v>
      </c>
      <c r="P53" s="39"/>
      <c r="Q53" s="45">
        <f>Q52*$D$2</f>
        <v>1647.7104873086166</v>
      </c>
      <c r="R53" s="45">
        <f t="shared" si="48"/>
        <v>1363.0946481572005</v>
      </c>
      <c r="S53" s="45">
        <f>S52*$D$2</f>
        <v>753.24113833863987</v>
      </c>
      <c r="T53" s="45">
        <f>T52*$D$2</f>
        <v>628.63846364280016</v>
      </c>
      <c r="U53" s="341">
        <f>U52*$D$2</f>
        <v>-92.399138987291664</v>
      </c>
      <c r="V53" s="55">
        <f t="shared" si="48"/>
        <v>44158.660499999998</v>
      </c>
      <c r="W53" s="55">
        <f t="shared" si="48"/>
        <v>20359.08037</v>
      </c>
      <c r="X53" s="55">
        <f t="shared" si="48"/>
        <v>123648.19827854003</v>
      </c>
      <c r="Y53" s="55">
        <f t="shared" si="48"/>
        <v>123152.18278341895</v>
      </c>
      <c r="Z53" s="55"/>
      <c r="AA53" s="55"/>
      <c r="AB53" s="55"/>
      <c r="AC53" s="55"/>
      <c r="AD53" s="490"/>
      <c r="AE53" s="490">
        <f>AE52*$D$2</f>
        <v>0</v>
      </c>
      <c r="AF53" s="49">
        <f>AF52*$D$2</f>
        <v>8866.1732104707353</v>
      </c>
      <c r="AG53" s="121"/>
      <c r="AH53" s="55">
        <f>AH52*$D$2</f>
        <v>617.06685000000027</v>
      </c>
      <c r="AI53" s="121">
        <f>AI52*$D$2</f>
        <v>471.87464999999992</v>
      </c>
      <c r="AJ53" s="55">
        <f>AJ52*$D$2</f>
        <v>29544.232500000002</v>
      </c>
      <c r="AK53" s="55">
        <f t="shared" si="48"/>
        <v>10858.694199024891</v>
      </c>
      <c r="AL53" s="55">
        <f t="shared" ref="AL53:AR53" si="49">AL52*$D$2</f>
        <v>0</v>
      </c>
      <c r="AM53" s="55">
        <f t="shared" si="49"/>
        <v>229139.56702449999</v>
      </c>
      <c r="AN53" s="55">
        <f t="shared" si="49"/>
        <v>15443.423931450005</v>
      </c>
      <c r="AO53" s="99">
        <f t="shared" si="49"/>
        <v>244582.99095595002</v>
      </c>
      <c r="AP53" s="55">
        <f t="shared" si="49"/>
        <v>14791.033345776026</v>
      </c>
      <c r="AQ53" s="490">
        <f t="shared" ref="AQ53" si="50">AQ52*$D$2</f>
        <v>966.84948077602587</v>
      </c>
      <c r="AR53" s="55">
        <f t="shared" si="49"/>
        <v>496.01549512109528</v>
      </c>
      <c r="AS53" s="42"/>
      <c r="AT53" s="489"/>
      <c r="AU53" s="489"/>
      <c r="AV53" s="489"/>
      <c r="AW53" s="489"/>
      <c r="AX53" s="39">
        <f>AX13+AX47</f>
        <v>-3.648700088011788E-4</v>
      </c>
      <c r="AY53" s="39"/>
      <c r="AZ53" s="45"/>
      <c r="BA53" s="45"/>
      <c r="BC53" s="102"/>
      <c r="BD53" s="45"/>
      <c r="BE53" s="45"/>
      <c r="BF53" s="378"/>
      <c r="BG53" s="393">
        <f>BG52*$D$2</f>
        <v>4549.8242934599657</v>
      </c>
      <c r="BH53" s="49">
        <f>BH52*$D$2</f>
        <v>15396.910816</v>
      </c>
      <c r="BI53" s="407"/>
      <c r="BJ53" s="410">
        <f>BJ52*$D$2</f>
        <v>10007.158998301773</v>
      </c>
      <c r="BK53" s="411">
        <f>BK52*$D$2</f>
        <v>8838.1180643114076</v>
      </c>
      <c r="BN53" s="489"/>
      <c r="BO53" s="489"/>
      <c r="BP53" s="505">
        <f>BP52*$D$2</f>
        <v>2170.1473499999984</v>
      </c>
      <c r="BQ53" s="505">
        <f>BQ52*$D$2</f>
        <v>164.4321500000012</v>
      </c>
    </row>
    <row r="54" spans="1:69" ht="3" customHeight="1">
      <c r="A54" s="54"/>
      <c r="B54" s="116"/>
      <c r="C54" s="57"/>
      <c r="D54" s="59"/>
      <c r="E54" s="57"/>
      <c r="F54" s="106"/>
      <c r="G54" s="59"/>
      <c r="H54" s="107"/>
      <c r="I54" s="59"/>
      <c r="J54" s="59"/>
      <c r="K54" s="59"/>
      <c r="L54" s="59"/>
      <c r="M54" s="108"/>
      <c r="N54" s="59"/>
      <c r="O54" s="59"/>
      <c r="P54" s="40"/>
      <c r="Q54" s="40"/>
      <c r="R54" s="40"/>
      <c r="S54" s="40"/>
      <c r="T54" s="40"/>
      <c r="U54" s="130"/>
      <c r="V54" s="59"/>
      <c r="W54" s="59"/>
      <c r="X54" s="59"/>
      <c r="Y54" s="59"/>
      <c r="Z54" s="57"/>
      <c r="AA54" s="59"/>
      <c r="AB54" s="57"/>
      <c r="AC54" s="57"/>
      <c r="AD54" s="537"/>
      <c r="AE54" s="537"/>
      <c r="AF54" s="57"/>
      <c r="AG54" s="59"/>
      <c r="AH54" s="302"/>
      <c r="AI54" s="308"/>
      <c r="AJ54" s="59"/>
      <c r="AK54" s="57"/>
      <c r="AL54" s="254"/>
      <c r="AM54" s="59"/>
      <c r="AN54" s="59"/>
      <c r="AO54" s="106"/>
      <c r="AP54" s="59"/>
      <c r="AQ54" s="497"/>
      <c r="AR54" s="59"/>
      <c r="AS54" s="41"/>
      <c r="AT54" s="497"/>
      <c r="AU54" s="497"/>
      <c r="AV54" s="497"/>
      <c r="AW54" s="497"/>
      <c r="AX54" s="40"/>
      <c r="AY54" s="40"/>
      <c r="AZ54" s="40"/>
      <c r="BA54" s="40"/>
      <c r="BB54" s="41"/>
      <c r="BC54" s="116"/>
      <c r="BD54" s="59"/>
      <c r="BE54" s="59"/>
      <c r="BF54" s="59"/>
      <c r="BG54" s="59"/>
      <c r="BH54" s="59"/>
      <c r="BI54" s="59"/>
      <c r="BJ54" s="275"/>
      <c r="BK54" s="300"/>
      <c r="BM54" s="572"/>
      <c r="BN54" s="578"/>
      <c r="BO54" s="578"/>
      <c r="BP54" s="579"/>
      <c r="BQ54" s="579"/>
    </row>
    <row r="55" spans="1:69" ht="11.1" customHeight="1">
      <c r="G55" s="91"/>
      <c r="I55" s="287"/>
      <c r="N55" s="31"/>
      <c r="W55" s="30"/>
      <c r="X55" s="60"/>
      <c r="Y55" s="60"/>
      <c r="Z55" s="49"/>
      <c r="AA55" s="60"/>
      <c r="AB55" s="49"/>
      <c r="AD55" s="510"/>
      <c r="AE55" s="510"/>
      <c r="AG55" s="46"/>
      <c r="AH55" s="46"/>
      <c r="AI55" s="46"/>
      <c r="AJ55" s="49"/>
      <c r="AM55" s="30"/>
      <c r="AN55" s="30"/>
      <c r="AO55" s="52"/>
      <c r="AP55" s="200"/>
      <c r="AQ55" s="541"/>
      <c r="AR55" s="200"/>
      <c r="AS55" s="263"/>
      <c r="AT55" s="484"/>
      <c r="AU55" s="484"/>
      <c r="AV55" s="484"/>
      <c r="AW55" s="484"/>
      <c r="AX55" s="33"/>
      <c r="AY55" s="33"/>
      <c r="BC55" s="142"/>
      <c r="BD55" s="78"/>
      <c r="BE55" s="48"/>
      <c r="BJ55" s="598"/>
      <c r="BK55"/>
      <c r="BP55" s="531"/>
      <c r="BQ55" s="531"/>
    </row>
    <row r="56" spans="1:69" ht="11.1" customHeight="1">
      <c r="A56" s="90"/>
      <c r="B56" s="24"/>
      <c r="C56" s="31"/>
      <c r="D56" s="60"/>
      <c r="E56" s="10"/>
      <c r="F56" s="141"/>
      <c r="G56" s="60"/>
      <c r="H56" s="289"/>
      <c r="I56" s="164"/>
      <c r="J56" s="61"/>
      <c r="K56" s="287"/>
      <c r="L56" s="46"/>
      <c r="M56" s="61"/>
      <c r="N56"/>
      <c r="O56" s="31"/>
      <c r="P56" s="25"/>
      <c r="Q56" s="25"/>
      <c r="R56" s="38"/>
      <c r="S56" s="38"/>
      <c r="T56" s="38"/>
      <c r="U56" s="38"/>
      <c r="V56" s="60"/>
      <c r="W56" s="61"/>
      <c r="X56" s="31"/>
      <c r="Y56" s="31"/>
      <c r="Z56" s="49"/>
      <c r="AA56" s="31"/>
      <c r="AB56" s="49"/>
      <c r="AC56" s="26"/>
      <c r="AD56" s="538"/>
      <c r="AE56" s="538"/>
      <c r="AF56" s="26"/>
      <c r="AG56" s="31"/>
      <c r="AH56" s="31"/>
      <c r="AI56" s="31"/>
      <c r="AJ56" s="61"/>
      <c r="AK56" s="31"/>
      <c r="AL56" s="6"/>
      <c r="AM56" s="31"/>
      <c r="AN56" s="90"/>
      <c r="AO56" s="52"/>
      <c r="AP56" s="266"/>
      <c r="AQ56" s="484"/>
      <c r="AR56" s="266"/>
      <c r="AS56" s="263"/>
      <c r="AT56" s="484"/>
      <c r="AU56" s="484"/>
      <c r="AV56" s="484"/>
      <c r="AW56" s="484"/>
      <c r="AX56" s="11"/>
      <c r="AY56" s="11"/>
      <c r="AZ56" s="28"/>
      <c r="BC56" s="78"/>
      <c r="BD56" s="78"/>
      <c r="BE56" s="78"/>
      <c r="BN56" s="580"/>
      <c r="BO56" s="580"/>
      <c r="BP56" s="531"/>
      <c r="BQ56" s="531"/>
    </row>
    <row r="57" spans="1:69" ht="11.1" customHeight="1">
      <c r="B57" s="49"/>
      <c r="E57" s="10"/>
      <c r="F57" s="175"/>
      <c r="G57" s="60"/>
      <c r="H57" s="289"/>
      <c r="I57" s="60"/>
      <c r="J57" s="60"/>
      <c r="K57" s="6"/>
      <c r="L57" s="49"/>
      <c r="M57" s="23"/>
      <c r="N57" s="23"/>
      <c r="O57" s="31"/>
      <c r="R57" s="38"/>
      <c r="S57" s="38"/>
      <c r="T57" s="38"/>
      <c r="U57" s="38"/>
      <c r="V57" s="60"/>
      <c r="W57" s="60"/>
      <c r="X57" s="31"/>
      <c r="Y57" s="31"/>
      <c r="Z57" s="49"/>
      <c r="AA57" s="31"/>
      <c r="AB57" s="49"/>
      <c r="AD57" s="538"/>
      <c r="AE57" s="538"/>
      <c r="AG57" s="49"/>
      <c r="AH57" s="49"/>
      <c r="AI57" s="49"/>
      <c r="AJ57" s="31"/>
      <c r="AK57" s="60"/>
      <c r="AL57" s="173"/>
      <c r="AM57" s="60"/>
      <c r="AN57" s="30"/>
      <c r="AO57" s="52"/>
      <c r="AP57" s="200"/>
      <c r="AQ57" s="499"/>
      <c r="AR57" s="200"/>
      <c r="AS57" s="263"/>
      <c r="AZ57" s="28"/>
      <c r="BC57" s="78"/>
      <c r="BD57" s="78"/>
      <c r="BE57" s="48"/>
      <c r="BN57" s="538"/>
      <c r="BO57" s="538"/>
      <c r="BP57" s="510"/>
      <c r="BQ57" s="510"/>
    </row>
    <row r="58" spans="1:69" ht="11.1" customHeight="1">
      <c r="D58" s="49"/>
      <c r="E58" s="10"/>
      <c r="F58" s="60"/>
      <c r="G58" s="60"/>
      <c r="H58" s="49"/>
      <c r="I58" s="60"/>
      <c r="J58" s="60"/>
      <c r="K58" s="6"/>
      <c r="L58" s="78"/>
      <c r="M58" s="23"/>
      <c r="N58" s="23"/>
      <c r="O58" s="78"/>
      <c r="W58" s="30"/>
      <c r="X58" s="60"/>
      <c r="Y58" s="60"/>
      <c r="Z58" s="78"/>
      <c r="AA58" s="60"/>
      <c r="AB58" s="78"/>
      <c r="AC58" s="78"/>
      <c r="AF58" s="78"/>
      <c r="AG58" s="49"/>
      <c r="AH58" s="49"/>
      <c r="AI58" s="49"/>
      <c r="AJ58" s="31"/>
      <c r="AK58" s="49"/>
      <c r="AL58" s="175"/>
      <c r="AM58" s="49"/>
      <c r="AN58" s="30"/>
      <c r="AO58" s="10"/>
      <c r="AP58" s="200"/>
      <c r="AQ58" s="499"/>
      <c r="AR58" s="200"/>
      <c r="AS58" s="263"/>
      <c r="AT58" s="499"/>
      <c r="AU58" s="499"/>
      <c r="AV58" s="499"/>
      <c r="AW58" s="499"/>
      <c r="AZ58" s="28"/>
      <c r="BC58" s="78"/>
      <c r="BD58" s="78"/>
      <c r="BE58" s="48"/>
      <c r="BP58" s="510"/>
      <c r="BQ58" s="510"/>
    </row>
    <row r="59" spans="1:69" ht="11.1" customHeight="1">
      <c r="G59" s="288"/>
      <c r="O59" s="78"/>
      <c r="W59" s="30"/>
      <c r="X59" s="60"/>
      <c r="Y59" s="60"/>
      <c r="Z59" s="49"/>
      <c r="AA59" s="60"/>
      <c r="AB59" s="49"/>
      <c r="AJ59" s="469"/>
      <c r="AM59" s="30"/>
      <c r="AN59" s="30"/>
      <c r="AO59" s="52"/>
      <c r="AP59" s="200"/>
      <c r="AR59" s="200"/>
      <c r="AS59" s="263"/>
      <c r="AT59" s="500"/>
      <c r="AU59" s="500"/>
      <c r="AV59" s="500"/>
      <c r="AW59" s="500"/>
      <c r="AZ59" s="28"/>
      <c r="BC59" s="142"/>
      <c r="BD59" s="78"/>
      <c r="BE59" s="48"/>
    </row>
    <row r="60" spans="1:69" ht="11.1" customHeight="1">
      <c r="W60" s="30"/>
      <c r="X60" s="49"/>
      <c r="Y60" s="49"/>
      <c r="Z60" s="49"/>
      <c r="AA60" s="49"/>
      <c r="AB60" s="49"/>
      <c r="AJ60" s="469"/>
      <c r="AM60" s="30"/>
      <c r="AN60" s="30"/>
      <c r="AO60" s="52"/>
      <c r="AP60" s="200"/>
      <c r="AR60" s="200"/>
      <c r="AZ60" s="28"/>
      <c r="BC60" s="142"/>
      <c r="BD60" s="78"/>
      <c r="BE60" s="48"/>
    </row>
    <row r="61" spans="1:69" ht="11.1" customHeight="1">
      <c r="W61" s="30"/>
      <c r="X61" s="49"/>
      <c r="Y61" s="49"/>
      <c r="AA61" s="49"/>
      <c r="AC61" s="30"/>
      <c r="AF61" s="30"/>
      <c r="AJ61" s="49"/>
      <c r="AM61" s="30"/>
      <c r="AN61" s="30"/>
      <c r="AO61" s="52"/>
      <c r="AX61" s="33"/>
      <c r="AY61" s="33"/>
      <c r="BC61" s="142"/>
      <c r="BD61" s="78"/>
      <c r="BE61" s="48"/>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BR66"/>
  <sheetViews>
    <sheetView zoomScaleNormal="100" workbookViewId="0">
      <pane xSplit="1" ySplit="14" topLeftCell="B15" activePane="bottomRight" state="frozenSplit"/>
      <selection pane="topRight" activeCell="B1" sqref="B1"/>
      <selection pane="bottomLeft" activeCell="A10" sqref="A10"/>
      <selection pane="bottomRight" activeCell="A15" sqref="A15:XFD15"/>
    </sheetView>
  </sheetViews>
  <sheetFormatPr defaultColWidth="9.33203125" defaultRowHeight="11.1" customHeight="1"/>
  <cols>
    <col min="1" max="1" width="4.6640625" style="30" customWidth="1"/>
    <col min="2" max="2" width="7" style="30" customWidth="1"/>
    <col min="3" max="3" width="6.33203125" style="49" customWidth="1"/>
    <col min="4" max="4" width="7.6640625" style="30" customWidth="1"/>
    <col min="5" max="5" width="7" style="49" customWidth="1"/>
    <col min="6" max="6" width="7.33203125" style="30" customWidth="1"/>
    <col min="7" max="7" width="6.83203125" style="30" customWidth="1"/>
    <col min="8" max="8" width="5.6640625" style="333" customWidth="1"/>
    <col min="9" max="11" width="6.33203125" style="30" customWidth="1"/>
    <col min="12" max="12" width="6.83203125" style="30" customWidth="1"/>
    <col min="13" max="13" width="5.5" style="46" customWidth="1"/>
    <col min="14" max="14" width="4.5" style="46" customWidth="1"/>
    <col min="15" max="15" width="5.5" style="46" customWidth="1"/>
    <col min="16" max="16" width="5.5" style="52" customWidth="1"/>
    <col min="17" max="20" width="4.33203125" style="30" customWidth="1"/>
    <col min="21" max="21" width="5.1640625" style="52" customWidth="1"/>
    <col min="22" max="22" width="5.5" style="30" customWidth="1"/>
    <col min="23" max="23" width="5.5" style="49" customWidth="1"/>
    <col min="24" max="25" width="6.33203125" style="30" customWidth="1"/>
    <col min="26" max="26" width="5.5" style="30" customWidth="1"/>
    <col min="27" max="27" width="6.33203125" style="30" customWidth="1"/>
    <col min="28" max="28" width="5.5" style="30" customWidth="1"/>
    <col min="29" max="29" width="5.83203125" style="49" customWidth="1"/>
    <col min="30" max="31" width="5.83203125" style="498" hidden="1" customWidth="1"/>
    <col min="32" max="32" width="5.5" style="49" customWidth="1"/>
    <col min="33" max="33" width="5.83203125" style="30" bestFit="1" customWidth="1"/>
    <col min="34" max="35" width="5.5" style="30" customWidth="1"/>
    <col min="36" max="36" width="6.33203125" style="30" customWidth="1"/>
    <col min="37" max="37" width="5.5" style="30" customWidth="1"/>
    <col min="38" max="38" width="6.33203125" style="200" customWidth="1"/>
    <col min="39" max="39" width="6.33203125" style="11" customWidth="1"/>
    <col min="40" max="41" width="6.83203125" style="269" customWidth="1"/>
    <col min="42" max="42" width="5.5" style="200" customWidth="1"/>
    <col min="43" max="43" width="5.5" style="498" hidden="1" customWidth="1"/>
    <col min="44" max="44" width="5.5" style="263" customWidth="1"/>
    <col min="45" max="45" width="6.33203125" style="263" customWidth="1"/>
    <col min="46" max="47" width="6.33203125" style="498" hidden="1" customWidth="1"/>
    <col min="48" max="48" width="7.1640625" style="498" hidden="1" customWidth="1"/>
    <col min="49" max="49" width="6.33203125" style="498" hidden="1" customWidth="1"/>
    <col min="50" max="50" width="6.33203125" style="11" customWidth="1"/>
    <col min="51" max="51" width="5.5" style="11" customWidth="1"/>
    <col min="52" max="52" width="4.33203125" style="11" customWidth="1"/>
    <col min="53" max="53" width="5.5" style="200" customWidth="1"/>
    <col min="54" max="54" width="5.83203125" style="200" customWidth="1"/>
    <col min="55" max="55" width="5.83203125" style="269" customWidth="1"/>
    <col min="56" max="56" width="5.33203125" style="15" customWidth="1"/>
    <col min="57" max="57" width="3.83203125" style="200" customWidth="1"/>
    <col min="58" max="58" width="3.83203125" style="11" customWidth="1"/>
    <col min="59" max="59" width="3.83203125" style="2" customWidth="1"/>
    <col min="60" max="60" width="6.6640625" style="2" customWidth="1"/>
    <col min="61" max="62" width="9.33203125" style="2"/>
    <col min="63" max="64" width="10.1640625" style="2" customWidth="1"/>
    <col min="65" max="65" width="9.33203125" style="2"/>
    <col min="66" max="66" width="9.33203125" style="562" hidden="1" customWidth="1"/>
    <col min="67" max="68" width="7" style="498" hidden="1" customWidth="1"/>
    <col min="69" max="70" width="6.33203125" style="508" hidden="1" customWidth="1"/>
    <col min="71" max="16384" width="9.33203125" style="2"/>
  </cols>
  <sheetData>
    <row r="1" spans="1:70" ht="14.1" customHeight="1">
      <c r="A1" s="90"/>
      <c r="B1" s="90"/>
      <c r="D1" s="90"/>
      <c r="F1" s="90"/>
      <c r="G1" s="90"/>
      <c r="I1" s="90"/>
      <c r="J1" s="90"/>
      <c r="K1" s="276" t="s">
        <v>53</v>
      </c>
      <c r="L1" s="90"/>
      <c r="M1" s="90"/>
      <c r="N1" s="90"/>
      <c r="O1" s="90"/>
      <c r="Q1" s="90"/>
      <c r="R1" s="90"/>
      <c r="S1" s="90"/>
      <c r="T1" s="90"/>
      <c r="V1" s="90"/>
      <c r="W1" s="90"/>
      <c r="X1" s="49"/>
      <c r="Y1" s="49"/>
      <c r="Z1" s="90"/>
      <c r="AA1" s="49"/>
      <c r="AB1" s="90"/>
      <c r="AC1" s="90"/>
      <c r="AD1" s="531"/>
      <c r="AE1" s="531"/>
      <c r="AF1" s="90"/>
      <c r="AG1" s="90"/>
      <c r="AH1" s="90"/>
      <c r="AI1" s="90"/>
      <c r="AJ1" s="49"/>
      <c r="AK1" s="90"/>
      <c r="AL1" s="141"/>
      <c r="AM1" s="141"/>
      <c r="AN1" s="141"/>
      <c r="AO1" s="11"/>
      <c r="AP1" s="141"/>
      <c r="AQ1" s="501"/>
      <c r="AT1" s="484"/>
      <c r="AU1" s="484"/>
      <c r="AV1" s="484"/>
      <c r="AW1" s="484"/>
      <c r="BD1" s="269"/>
      <c r="BE1" s="269"/>
      <c r="BF1" s="15"/>
      <c r="BO1" s="563"/>
      <c r="BP1" s="563"/>
    </row>
    <row r="2" spans="1:70" ht="14.1" customHeight="1">
      <c r="A2" s="141" t="s">
        <v>0</v>
      </c>
      <c r="B2" s="90"/>
      <c r="D2" s="277">
        <v>1.9835</v>
      </c>
      <c r="F2" s="90"/>
      <c r="G2" s="90"/>
      <c r="I2" s="90"/>
      <c r="J2" s="90"/>
      <c r="K2" s="844" t="s">
        <v>177</v>
      </c>
      <c r="L2" s="844"/>
      <c r="M2" s="844"/>
      <c r="N2" s="844"/>
      <c r="O2" s="844"/>
      <c r="P2" s="844"/>
      <c r="Q2" s="844"/>
      <c r="R2" s="844"/>
      <c r="S2" s="844"/>
      <c r="T2" s="844"/>
      <c r="U2" s="844"/>
      <c r="V2" s="844"/>
      <c r="W2" s="278"/>
      <c r="X2" s="279"/>
      <c r="Y2" s="279"/>
      <c r="Z2" s="278"/>
      <c r="AA2" s="279"/>
      <c r="AB2" s="278"/>
      <c r="AC2" s="278"/>
      <c r="AD2" s="532"/>
      <c r="AE2" s="532"/>
      <c r="AF2" s="278"/>
      <c r="AG2" s="90"/>
      <c r="AH2" s="90"/>
      <c r="AI2" s="90"/>
      <c r="AJ2" s="49"/>
      <c r="AK2" s="90"/>
      <c r="AL2" s="141"/>
      <c r="AM2" s="141"/>
      <c r="AN2" s="141"/>
      <c r="AO2" s="11"/>
      <c r="AP2" s="141"/>
      <c r="AQ2" s="501"/>
      <c r="AT2" s="484"/>
      <c r="AU2" s="484"/>
      <c r="AV2" s="484"/>
      <c r="AW2" s="484"/>
      <c r="BD2" s="269"/>
      <c r="BE2" s="269"/>
      <c r="BF2" s="15"/>
      <c r="BO2" s="563"/>
      <c r="BP2" s="563"/>
    </row>
    <row r="3" spans="1:70" ht="14.1" customHeight="1" thickBot="1">
      <c r="A3" s="280"/>
      <c r="B3" s="740"/>
      <c r="C3" s="741"/>
      <c r="D3" s="742"/>
      <c r="E3" s="741"/>
      <c r="F3" s="740"/>
      <c r="G3" s="716"/>
      <c r="H3" s="722"/>
      <c r="I3" s="740"/>
      <c r="J3" s="740"/>
      <c r="K3" s="740"/>
      <c r="L3" s="740"/>
      <c r="M3" s="716"/>
      <c r="N3" s="716"/>
      <c r="O3" s="716"/>
      <c r="P3" s="753"/>
      <c r="Q3" s="716"/>
      <c r="R3" s="716"/>
      <c r="S3" s="716"/>
      <c r="T3" s="716"/>
      <c r="U3" s="747"/>
      <c r="V3" s="716"/>
      <c r="W3" s="716"/>
      <c r="X3" s="741"/>
      <c r="Y3" s="741"/>
      <c r="Z3" s="740"/>
      <c r="AA3" s="741"/>
      <c r="AB3" s="740"/>
      <c r="AC3" s="740"/>
      <c r="AD3" s="533"/>
      <c r="AE3" s="533"/>
      <c r="AF3" s="740"/>
      <c r="AG3" s="716"/>
      <c r="AH3" s="740"/>
      <c r="AI3" s="740"/>
      <c r="AJ3" s="713"/>
      <c r="AK3" s="740"/>
      <c r="AL3" s="758"/>
      <c r="AM3" s="758"/>
      <c r="AN3" s="758"/>
      <c r="AO3" s="762"/>
      <c r="AP3" s="758"/>
      <c r="AQ3" s="502"/>
      <c r="AR3" s="759"/>
      <c r="AS3" s="759"/>
      <c r="AT3" s="485"/>
      <c r="AU3" s="485"/>
      <c r="AV3" s="485"/>
      <c r="AW3" s="485"/>
      <c r="AX3" s="762"/>
      <c r="AY3" s="800"/>
      <c r="AZ3" s="800"/>
      <c r="BA3" s="783"/>
      <c r="BB3" s="726"/>
      <c r="BC3" s="803"/>
      <c r="BD3" s="785"/>
      <c r="BE3" s="785"/>
      <c r="BF3" s="799"/>
      <c r="BG3" s="789"/>
      <c r="BH3" s="789"/>
      <c r="BI3" s="731"/>
      <c r="BJ3" s="732"/>
      <c r="BK3" s="789"/>
      <c r="BL3" s="789"/>
      <c r="BN3" s="564"/>
      <c r="BO3" s="564"/>
      <c r="BP3" s="564"/>
      <c r="BQ3" s="565"/>
      <c r="BR3" s="565"/>
    </row>
    <row r="4" spans="1:70" s="30" customFormat="1" ht="14.1" customHeight="1" thickTop="1" thickBot="1">
      <c r="A4" s="90"/>
      <c r="B4" s="159"/>
      <c r="C4" s="160"/>
      <c r="D4" s="20" t="s">
        <v>47</v>
      </c>
      <c r="E4" s="160"/>
      <c r="F4" s="161"/>
      <c r="G4" s="90"/>
      <c r="H4" s="91"/>
      <c r="I4" s="331" t="s">
        <v>123</v>
      </c>
      <c r="J4" s="90"/>
      <c r="K4" s="90"/>
      <c r="L4" s="428"/>
      <c r="M4" s="90"/>
      <c r="N4" s="90"/>
      <c r="O4" s="90"/>
      <c r="P4" s="52"/>
      <c r="Q4" s="52"/>
      <c r="R4" s="52"/>
      <c r="S4" s="52"/>
      <c r="T4" s="52"/>
      <c r="U4" s="52"/>
      <c r="V4" s="19"/>
      <c r="W4" s="90"/>
      <c r="X4" s="19" t="s">
        <v>122</v>
      </c>
      <c r="Y4" s="49"/>
      <c r="Z4" s="90"/>
      <c r="AA4" s="49"/>
      <c r="AB4" s="90"/>
      <c r="AC4" s="90"/>
      <c r="AD4" s="534"/>
      <c r="AE4" s="534"/>
      <c r="AF4" s="90"/>
      <c r="AG4" s="90"/>
      <c r="AH4" s="90"/>
      <c r="AI4" s="90"/>
      <c r="AJ4" s="49"/>
      <c r="AK4" s="90"/>
      <c r="AL4" s="141"/>
      <c r="AM4" s="141"/>
      <c r="AN4" s="141"/>
      <c r="AO4" s="11"/>
      <c r="AP4" s="368"/>
      <c r="AQ4" s="539"/>
      <c r="AR4" s="263"/>
      <c r="AS4" s="267" t="s">
        <v>55</v>
      </c>
      <c r="AT4" s="486"/>
      <c r="AU4" s="486"/>
      <c r="AV4" s="486"/>
      <c r="AW4" s="486"/>
      <c r="AX4" s="267"/>
      <c r="AY4" s="364"/>
      <c r="AZ4" s="364"/>
      <c r="BA4" s="268"/>
      <c r="BB4" s="257"/>
      <c r="BC4" s="273"/>
      <c r="BD4" s="271"/>
      <c r="BE4" s="272" t="s">
        <v>48</v>
      </c>
      <c r="BF4" s="402"/>
      <c r="BG4" s="396"/>
      <c r="BH4" s="397"/>
      <c r="BJ4" s="396"/>
      <c r="BK4" s="601"/>
      <c r="BL4" s="381"/>
      <c r="BN4" s="566"/>
      <c r="BO4" s="566"/>
      <c r="BP4" s="566"/>
      <c r="BQ4" s="567"/>
      <c r="BR4" s="567"/>
    </row>
    <row r="5" spans="1:70" ht="12.95" customHeight="1">
      <c r="A5" s="7" t="s">
        <v>1</v>
      </c>
      <c r="B5" s="194" t="s">
        <v>2</v>
      </c>
      <c r="C5" s="4" t="s">
        <v>2</v>
      </c>
      <c r="D5" s="7" t="s">
        <v>3</v>
      </c>
      <c r="E5" s="4" t="s">
        <v>4</v>
      </c>
      <c r="F5" s="7" t="s">
        <v>5</v>
      </c>
      <c r="G5" s="194" t="s">
        <v>6</v>
      </c>
      <c r="H5" s="21" t="s">
        <v>7</v>
      </c>
      <c r="I5" s="7" t="s">
        <v>63</v>
      </c>
      <c r="J5" s="7" t="s">
        <v>8</v>
      </c>
      <c r="K5" s="7" t="s">
        <v>9</v>
      </c>
      <c r="L5" s="7" t="s">
        <v>8</v>
      </c>
      <c r="M5" s="17" t="s">
        <v>10</v>
      </c>
      <c r="N5" s="233"/>
      <c r="O5" s="195"/>
      <c r="P5" s="233"/>
      <c r="Q5" s="195"/>
      <c r="R5" s="195"/>
      <c r="S5" s="195"/>
      <c r="T5" s="195"/>
      <c r="U5" s="250"/>
      <c r="V5" s="7" t="s">
        <v>11</v>
      </c>
      <c r="W5" s="651" t="s">
        <v>12</v>
      </c>
      <c r="X5" s="8" t="s">
        <v>9</v>
      </c>
      <c r="Y5" s="8" t="s">
        <v>9</v>
      </c>
      <c r="Z5" s="12" t="s">
        <v>13</v>
      </c>
      <c r="AA5" s="8" t="s">
        <v>13</v>
      </c>
      <c r="AB5" s="12" t="s">
        <v>13</v>
      </c>
      <c r="AC5" s="4" t="s">
        <v>82</v>
      </c>
      <c r="AD5" s="535" t="s">
        <v>76</v>
      </c>
      <c r="AE5" s="535" t="s">
        <v>76</v>
      </c>
      <c r="AF5" s="626" t="s">
        <v>13</v>
      </c>
      <c r="AG5" s="7" t="s">
        <v>14</v>
      </c>
      <c r="AH5" s="848" t="s">
        <v>140</v>
      </c>
      <c r="AI5" s="849"/>
      <c r="AJ5" s="15" t="s">
        <v>15</v>
      </c>
      <c r="AK5" s="4" t="s">
        <v>74</v>
      </c>
      <c r="AL5" s="4" t="s">
        <v>88</v>
      </c>
      <c r="AM5" s="7" t="s">
        <v>63</v>
      </c>
      <c r="AN5" s="7" t="s">
        <v>8</v>
      </c>
      <c r="AO5" s="7" t="s">
        <v>9</v>
      </c>
      <c r="AP5" s="358" t="s">
        <v>52</v>
      </c>
      <c r="AQ5" s="488" t="s">
        <v>159</v>
      </c>
      <c r="AR5" s="12" t="s">
        <v>13</v>
      </c>
      <c r="AS5" s="36" t="s">
        <v>49</v>
      </c>
      <c r="AT5" s="487" t="s">
        <v>146</v>
      </c>
      <c r="AU5" s="487" t="s">
        <v>148</v>
      </c>
      <c r="AV5" s="487" t="s">
        <v>148</v>
      </c>
      <c r="AW5" s="487" t="s">
        <v>148</v>
      </c>
      <c r="AX5" s="36" t="s">
        <v>49</v>
      </c>
      <c r="AY5" s="14" t="s">
        <v>96</v>
      </c>
      <c r="AZ5" s="14" t="s">
        <v>13</v>
      </c>
      <c r="BA5" s="35" t="s">
        <v>56</v>
      </c>
      <c r="BB5" s="21" t="s">
        <v>79</v>
      </c>
      <c r="BC5" s="37" t="s">
        <v>134</v>
      </c>
      <c r="BD5" s="139" t="s">
        <v>16</v>
      </c>
      <c r="BE5" s="15" t="s">
        <v>17</v>
      </c>
      <c r="BF5" s="15" t="s">
        <v>18</v>
      </c>
      <c r="BG5" s="378"/>
      <c r="BH5" s="389" t="s">
        <v>9</v>
      </c>
      <c r="BI5" s="220" t="s">
        <v>128</v>
      </c>
      <c r="BJ5" s="444" t="s">
        <v>128</v>
      </c>
      <c r="BK5" s="602" t="s">
        <v>174</v>
      </c>
      <c r="BL5" s="599" t="s">
        <v>167</v>
      </c>
      <c r="BO5" s="568" t="s">
        <v>2</v>
      </c>
      <c r="BP5" s="568"/>
      <c r="BQ5" s="569" t="s">
        <v>15</v>
      </c>
      <c r="BR5" s="569" t="s">
        <v>15</v>
      </c>
    </row>
    <row r="6" spans="1:70" ht="12.95" customHeight="1">
      <c r="A6" s="196" t="s">
        <v>103</v>
      </c>
      <c r="B6" s="194" t="s">
        <v>19</v>
      </c>
      <c r="C6" s="4"/>
      <c r="D6" s="7" t="s">
        <v>20</v>
      </c>
      <c r="E6" s="4" t="s">
        <v>21</v>
      </c>
      <c r="F6" s="7" t="s">
        <v>22</v>
      </c>
      <c r="G6" s="194" t="s">
        <v>23</v>
      </c>
      <c r="H6" s="21" t="s">
        <v>64</v>
      </c>
      <c r="I6" s="7" t="s">
        <v>24</v>
      </c>
      <c r="J6" s="7" t="s">
        <v>24</v>
      </c>
      <c r="K6" s="7" t="s">
        <v>24</v>
      </c>
      <c r="L6" s="7" t="s">
        <v>25</v>
      </c>
      <c r="M6" s="649" t="s">
        <v>26</v>
      </c>
      <c r="N6" s="622" t="s">
        <v>65</v>
      </c>
      <c r="O6" s="7" t="s">
        <v>67</v>
      </c>
      <c r="P6" s="220" t="s">
        <v>190</v>
      </c>
      <c r="Q6" s="8" t="s">
        <v>57</v>
      </c>
      <c r="R6" s="8" t="s">
        <v>118</v>
      </c>
      <c r="S6" s="8"/>
      <c r="T6" s="8" t="s">
        <v>67</v>
      </c>
      <c r="U6" s="32" t="s">
        <v>87</v>
      </c>
      <c r="V6" s="7" t="s">
        <v>27</v>
      </c>
      <c r="W6" s="651" t="s">
        <v>42</v>
      </c>
      <c r="X6" s="8" t="s">
        <v>13</v>
      </c>
      <c r="Y6" s="8" t="s">
        <v>13</v>
      </c>
      <c r="Z6" s="12" t="s">
        <v>28</v>
      </c>
      <c r="AA6" s="8" t="s">
        <v>28</v>
      </c>
      <c r="AB6" s="12" t="s">
        <v>92</v>
      </c>
      <c r="AC6" s="4" t="s">
        <v>83</v>
      </c>
      <c r="AD6" s="535" t="s">
        <v>160</v>
      </c>
      <c r="AE6" s="535" t="s">
        <v>160</v>
      </c>
      <c r="AF6" s="626" t="s">
        <v>86</v>
      </c>
      <c r="AG6" s="281" t="s">
        <v>29</v>
      </c>
      <c r="AH6" s="8" t="s">
        <v>76</v>
      </c>
      <c r="AI6" s="8" t="s">
        <v>58</v>
      </c>
      <c r="AJ6" s="418" t="s">
        <v>69</v>
      </c>
      <c r="AK6" s="4" t="s">
        <v>62</v>
      </c>
      <c r="AL6" s="4"/>
      <c r="AM6" s="7" t="s">
        <v>70</v>
      </c>
      <c r="AN6" s="7" t="s">
        <v>70</v>
      </c>
      <c r="AO6" s="7" t="s">
        <v>70</v>
      </c>
      <c r="AP6" s="358" t="s">
        <v>110</v>
      </c>
      <c r="AQ6" s="488" t="s">
        <v>162</v>
      </c>
      <c r="AR6" s="12" t="s">
        <v>71</v>
      </c>
      <c r="AS6" s="36" t="s">
        <v>51</v>
      </c>
      <c r="AT6" s="487" t="s">
        <v>72</v>
      </c>
      <c r="AU6" s="487" t="s">
        <v>72</v>
      </c>
      <c r="AV6" s="487" t="s">
        <v>150</v>
      </c>
      <c r="AW6" s="487" t="s">
        <v>72</v>
      </c>
      <c r="AX6" s="36" t="s">
        <v>51</v>
      </c>
      <c r="AY6" s="14" t="s">
        <v>94</v>
      </c>
      <c r="AZ6" s="412">
        <v>0.3</v>
      </c>
      <c r="BA6" s="35" t="s">
        <v>54</v>
      </c>
      <c r="BB6" s="21" t="s">
        <v>80</v>
      </c>
      <c r="BC6" s="37" t="s">
        <v>133</v>
      </c>
      <c r="BD6" s="140"/>
      <c r="BE6" s="15" t="s">
        <v>30</v>
      </c>
      <c r="BF6" s="15" t="s">
        <v>30</v>
      </c>
      <c r="BG6" s="378"/>
      <c r="BH6" s="389" t="s">
        <v>99</v>
      </c>
      <c r="BI6" s="220" t="s">
        <v>130</v>
      </c>
      <c r="BJ6" s="444" t="s">
        <v>129</v>
      </c>
      <c r="BK6" s="606" t="s">
        <v>175</v>
      </c>
      <c r="BL6" s="599" t="s">
        <v>168</v>
      </c>
      <c r="BO6" s="568" t="s">
        <v>19</v>
      </c>
      <c r="BP6" s="568"/>
      <c r="BQ6" s="569" t="s">
        <v>69</v>
      </c>
      <c r="BR6" s="569" t="s">
        <v>69</v>
      </c>
    </row>
    <row r="7" spans="1:70" ht="12.95" customHeight="1">
      <c r="A7" s="7"/>
      <c r="B7" s="194"/>
      <c r="C7" s="4"/>
      <c r="D7" s="7"/>
      <c r="E7" s="4"/>
      <c r="F7" s="7"/>
      <c r="G7" s="194"/>
      <c r="H7" s="21"/>
      <c r="I7" s="7"/>
      <c r="J7" s="7"/>
      <c r="K7" s="7"/>
      <c r="L7" s="7"/>
      <c r="M7" s="197"/>
      <c r="N7" s="220" t="s">
        <v>66</v>
      </c>
      <c r="O7" s="7" t="s">
        <v>68</v>
      </c>
      <c r="P7" s="220"/>
      <c r="Q7" s="8" t="s">
        <v>119</v>
      </c>
      <c r="R7" s="8" t="s">
        <v>119</v>
      </c>
      <c r="S7" s="8" t="s">
        <v>58</v>
      </c>
      <c r="T7" s="8" t="s">
        <v>58</v>
      </c>
      <c r="U7" s="32" t="s">
        <v>120</v>
      </c>
      <c r="V7" s="7"/>
      <c r="W7" s="651"/>
      <c r="X7" s="13" t="s">
        <v>108</v>
      </c>
      <c r="Y7" s="13" t="s">
        <v>90</v>
      </c>
      <c r="Z7" s="12" t="s">
        <v>115</v>
      </c>
      <c r="AA7" s="8" t="s">
        <v>111</v>
      </c>
      <c r="AB7" s="12" t="s">
        <v>93</v>
      </c>
      <c r="AC7" s="4"/>
      <c r="AD7" s="535" t="s">
        <v>161</v>
      </c>
      <c r="AE7" s="535" t="s">
        <v>161</v>
      </c>
      <c r="AF7" s="4"/>
      <c r="AG7" s="281"/>
      <c r="AH7" s="295">
        <v>1.7</v>
      </c>
      <c r="AI7" s="295">
        <v>1.3</v>
      </c>
      <c r="AJ7" s="418"/>
      <c r="AK7" s="609">
        <v>27779.932699024892</v>
      </c>
      <c r="AL7" s="4"/>
      <c r="AM7" s="7"/>
      <c r="AN7" s="7"/>
      <c r="AO7" s="7"/>
      <c r="AP7" s="358"/>
      <c r="AQ7" s="488" t="s">
        <v>110</v>
      </c>
      <c r="AR7" s="12" t="s">
        <v>22</v>
      </c>
      <c r="AS7" s="36" t="s">
        <v>45</v>
      </c>
      <c r="AT7" s="487"/>
      <c r="AU7" s="487"/>
      <c r="AV7" s="487" t="s">
        <v>151</v>
      </c>
      <c r="AW7" s="487" t="s">
        <v>149</v>
      </c>
      <c r="AX7" s="36" t="s">
        <v>72</v>
      </c>
      <c r="AY7" s="14" t="s">
        <v>95</v>
      </c>
      <c r="AZ7" s="14" t="s">
        <v>116</v>
      </c>
      <c r="BA7" s="35" t="s">
        <v>59</v>
      </c>
      <c r="BB7" s="21" t="s">
        <v>81</v>
      </c>
      <c r="BC7" s="37" t="s">
        <v>108</v>
      </c>
      <c r="BD7" s="140"/>
      <c r="BE7" s="15"/>
      <c r="BF7" s="15"/>
      <c r="BG7" s="378"/>
      <c r="BH7" s="389" t="s">
        <v>97</v>
      </c>
      <c r="BI7" s="52"/>
      <c r="BJ7" s="407"/>
      <c r="BK7" s="602" t="s">
        <v>176</v>
      </c>
      <c r="BL7" s="599" t="s">
        <v>172</v>
      </c>
      <c r="BO7" s="568" t="s">
        <v>142</v>
      </c>
      <c r="BP7" s="568"/>
      <c r="BQ7" s="570" t="s">
        <v>153</v>
      </c>
      <c r="BR7" s="570" t="s">
        <v>154</v>
      </c>
    </row>
    <row r="8" spans="1:70" ht="12.95" customHeight="1">
      <c r="A8" s="7"/>
      <c r="B8" s="194"/>
      <c r="C8" s="4"/>
      <c r="D8" s="7"/>
      <c r="E8" s="4"/>
      <c r="F8" s="7"/>
      <c r="G8" s="194"/>
      <c r="H8" s="21"/>
      <c r="I8" s="7"/>
      <c r="J8" s="7"/>
      <c r="K8" s="7"/>
      <c r="L8" s="7"/>
      <c r="M8" s="197"/>
      <c r="N8" s="8"/>
      <c r="O8" s="693">
        <v>24213.923416778209</v>
      </c>
      <c r="P8" s="220"/>
      <c r="Q8" s="8" t="s">
        <v>58</v>
      </c>
      <c r="R8" s="8" t="s">
        <v>58</v>
      </c>
      <c r="S8" s="8"/>
      <c r="T8" s="8"/>
      <c r="U8" s="32"/>
      <c r="V8" s="7"/>
      <c r="W8" s="651"/>
      <c r="X8" s="13" t="s">
        <v>109</v>
      </c>
      <c r="Y8" s="13" t="s">
        <v>108</v>
      </c>
      <c r="Z8" s="12"/>
      <c r="AA8" s="13" t="s">
        <v>114</v>
      </c>
      <c r="AB8" s="12" t="s">
        <v>113</v>
      </c>
      <c r="AC8" s="4"/>
      <c r="AD8" s="535" t="s">
        <v>9</v>
      </c>
      <c r="AE8" s="535" t="s">
        <v>109</v>
      </c>
      <c r="AF8" s="693">
        <v>17365.480657043157</v>
      </c>
      <c r="AG8" s="693">
        <v>55878.018085105388</v>
      </c>
      <c r="AH8" s="282"/>
      <c r="AI8" s="417"/>
      <c r="AJ8" s="418"/>
      <c r="AK8" s="62">
        <f>AK7/D2</f>
        <v>14005.511822044311</v>
      </c>
      <c r="AL8" s="4"/>
      <c r="AM8" s="7"/>
      <c r="AN8" s="7"/>
      <c r="AO8" s="7"/>
      <c r="AP8" s="358"/>
      <c r="AQ8" s="488">
        <v>1750</v>
      </c>
      <c r="AR8" s="12"/>
      <c r="AS8" s="36"/>
      <c r="AT8" s="487"/>
      <c r="AU8" s="487"/>
      <c r="AV8" s="487"/>
      <c r="AW8" s="487"/>
      <c r="AX8" s="36"/>
      <c r="AY8" s="612">
        <v>5191.6441856943857</v>
      </c>
      <c r="AZ8" s="14" t="s">
        <v>117</v>
      </c>
      <c r="BA8" s="694">
        <v>1685.1</v>
      </c>
      <c r="BB8" s="710">
        <f>692.219224759251/2</f>
        <v>346.1096123796255</v>
      </c>
      <c r="BC8" s="37"/>
      <c r="BD8" s="140"/>
      <c r="BE8" s="15"/>
      <c r="BF8" s="15"/>
      <c r="BG8" s="378"/>
      <c r="BH8" s="389"/>
      <c r="BI8" s="52"/>
      <c r="BJ8" s="407"/>
      <c r="BK8" s="603" t="s">
        <v>168</v>
      </c>
      <c r="BL8" s="600" t="s">
        <v>173</v>
      </c>
      <c r="BO8" s="568"/>
      <c r="BP8" s="568"/>
      <c r="BQ8" s="570" t="s">
        <v>155</v>
      </c>
      <c r="BR8" s="570" t="s">
        <v>153</v>
      </c>
    </row>
    <row r="9" spans="1:70" ht="12.95" customHeight="1">
      <c r="A9" s="7"/>
      <c r="B9" s="194"/>
      <c r="C9" s="4"/>
      <c r="D9" s="7"/>
      <c r="E9" s="4"/>
      <c r="F9" s="7"/>
      <c r="G9" s="194"/>
      <c r="H9" s="21"/>
      <c r="I9" s="7"/>
      <c r="J9" s="7"/>
      <c r="K9" s="7"/>
      <c r="L9" s="7"/>
      <c r="M9" s="197"/>
      <c r="N9" s="220"/>
      <c r="O9" s="4"/>
      <c r="P9" s="220"/>
      <c r="Q9" s="8"/>
      <c r="R9" s="413">
        <v>4.2</v>
      </c>
      <c r="S9" s="8"/>
      <c r="T9" s="8"/>
      <c r="U9" s="32"/>
      <c r="V9" s="7"/>
      <c r="W9" s="651"/>
      <c r="X9" s="13"/>
      <c r="Y9" s="13" t="s">
        <v>109</v>
      </c>
      <c r="Z9" s="12"/>
      <c r="AA9" s="554" t="s">
        <v>109</v>
      </c>
      <c r="AB9" s="12" t="s">
        <v>112</v>
      </c>
      <c r="AC9" s="4"/>
      <c r="AD9" s="535"/>
      <c r="AE9" s="535"/>
      <c r="AF9" s="4"/>
      <c r="AG9" s="7"/>
      <c r="AH9" s="282"/>
      <c r="AI9" s="283"/>
      <c r="AJ9" s="15"/>
      <c r="AK9" s="4"/>
      <c r="AL9" s="4"/>
      <c r="AM9" s="7"/>
      <c r="AN9" s="7"/>
      <c r="AO9" s="7"/>
      <c r="AP9" s="358"/>
      <c r="AQ9" s="488">
        <f>AQ8/$D$2</f>
        <v>882.27880010083186</v>
      </c>
      <c r="AR9" s="12"/>
      <c r="AS9" s="36"/>
      <c r="AT9" s="487"/>
      <c r="AU9" s="487"/>
      <c r="AV9" s="487"/>
      <c r="AW9" s="487"/>
      <c r="AX9" s="36"/>
      <c r="AY9" s="253">
        <f>AY8/$D$2</f>
        <v>2617.4157729742301</v>
      </c>
      <c r="AZ9" s="14"/>
      <c r="BA9" s="35"/>
      <c r="BB9" s="614">
        <f>BB8/$D$2</f>
        <v>174.49438486494859</v>
      </c>
      <c r="BC9" s="37"/>
      <c r="BD9" s="140"/>
      <c r="BE9" s="15"/>
      <c r="BF9" s="15"/>
      <c r="BG9" s="378"/>
      <c r="BH9" s="389"/>
      <c r="BI9" s="52"/>
      <c r="BJ9" s="452" t="s">
        <v>141</v>
      </c>
      <c r="BK9" s="603"/>
      <c r="BL9" s="600"/>
      <c r="BO9" s="568"/>
      <c r="BP9" s="568"/>
      <c r="BQ9" s="570" t="s">
        <v>156</v>
      </c>
      <c r="BR9" s="570"/>
    </row>
    <row r="10" spans="1:70" ht="12.95" customHeight="1">
      <c r="A10" s="7"/>
      <c r="B10" s="194"/>
      <c r="C10" s="4" t="s">
        <v>3</v>
      </c>
      <c r="D10" s="7"/>
      <c r="E10" s="4" t="s">
        <v>50</v>
      </c>
      <c r="F10" s="7"/>
      <c r="G10" s="194" t="s">
        <v>22</v>
      </c>
      <c r="H10" s="21" t="s">
        <v>22</v>
      </c>
      <c r="I10" s="21" t="s">
        <v>22</v>
      </c>
      <c r="J10" s="21" t="s">
        <v>22</v>
      </c>
      <c r="K10" s="21" t="s">
        <v>22</v>
      </c>
      <c r="L10" s="21" t="s">
        <v>22</v>
      </c>
      <c r="M10" s="366" t="s">
        <v>22</v>
      </c>
      <c r="N10" s="21" t="s">
        <v>22</v>
      </c>
      <c r="O10" s="21" t="s">
        <v>22</v>
      </c>
      <c r="P10" s="21" t="s">
        <v>22</v>
      </c>
      <c r="Q10" s="8" t="s">
        <v>22</v>
      </c>
      <c r="R10" s="8" t="s">
        <v>22</v>
      </c>
      <c r="S10" s="8" t="s">
        <v>22</v>
      </c>
      <c r="T10" s="8" t="s">
        <v>22</v>
      </c>
      <c r="U10" s="367" t="s">
        <v>22</v>
      </c>
      <c r="V10" s="21" t="s">
        <v>22</v>
      </c>
      <c r="W10" s="652" t="s">
        <v>22</v>
      </c>
      <c r="X10" s="13">
        <v>153400</v>
      </c>
      <c r="Y10" s="13">
        <v>150400</v>
      </c>
      <c r="Z10" s="8" t="s">
        <v>22</v>
      </c>
      <c r="AA10" s="13"/>
      <c r="AB10" s="13">
        <v>72000</v>
      </c>
      <c r="AC10" s="21" t="s">
        <v>22</v>
      </c>
      <c r="AD10" s="536" t="s">
        <v>22</v>
      </c>
      <c r="AE10" s="536" t="s">
        <v>22</v>
      </c>
      <c r="AF10" s="21" t="s">
        <v>22</v>
      </c>
      <c r="AG10" s="21" t="s">
        <v>22</v>
      </c>
      <c r="AH10" s="366" t="s">
        <v>22</v>
      </c>
      <c r="AI10" s="367" t="s">
        <v>22</v>
      </c>
      <c r="AJ10" s="21" t="s">
        <v>22</v>
      </c>
      <c r="AK10" s="21" t="s">
        <v>22</v>
      </c>
      <c r="AL10" s="21" t="s">
        <v>22</v>
      </c>
      <c r="AM10" s="21" t="s">
        <v>22</v>
      </c>
      <c r="AN10" s="21" t="s">
        <v>22</v>
      </c>
      <c r="AO10" s="21" t="s">
        <v>22</v>
      </c>
      <c r="AP10" s="358" t="s">
        <v>22</v>
      </c>
      <c r="AQ10" s="488" t="s">
        <v>22</v>
      </c>
      <c r="AR10" s="12" t="s">
        <v>22</v>
      </c>
      <c r="AS10" s="12" t="s">
        <v>22</v>
      </c>
      <c r="AT10" s="488" t="s">
        <v>147</v>
      </c>
      <c r="AU10" s="488" t="s">
        <v>147</v>
      </c>
      <c r="AV10" s="488" t="s">
        <v>152</v>
      </c>
      <c r="AW10" s="487" t="s">
        <v>73</v>
      </c>
      <c r="AX10" s="36" t="s">
        <v>73</v>
      </c>
      <c r="AY10" s="14" t="s">
        <v>22</v>
      </c>
      <c r="AZ10" s="14" t="s">
        <v>22</v>
      </c>
      <c r="BA10" s="12" t="s">
        <v>22</v>
      </c>
      <c r="BB10" s="12" t="s">
        <v>22</v>
      </c>
      <c r="BC10" s="12" t="s">
        <v>22</v>
      </c>
      <c r="BD10" s="140"/>
      <c r="BE10" s="15"/>
      <c r="BF10" s="15"/>
      <c r="BG10" s="378"/>
      <c r="BH10" s="389" t="s">
        <v>98</v>
      </c>
      <c r="BI10" s="220" t="s">
        <v>22</v>
      </c>
      <c r="BJ10" s="444" t="s">
        <v>50</v>
      </c>
      <c r="BK10" s="603" t="s">
        <v>22</v>
      </c>
      <c r="BL10" s="600" t="s">
        <v>22</v>
      </c>
      <c r="BO10" s="568"/>
      <c r="BP10" s="568"/>
      <c r="BQ10" s="570" t="s">
        <v>22</v>
      </c>
      <c r="BR10" s="570" t="s">
        <v>22</v>
      </c>
    </row>
    <row r="11" spans="1:70" ht="12.95" customHeight="1">
      <c r="A11" s="7"/>
      <c r="B11" s="194"/>
      <c r="C11" s="4"/>
      <c r="D11" s="7"/>
      <c r="E11" s="4"/>
      <c r="F11" s="7"/>
      <c r="G11" s="194"/>
      <c r="H11" s="21"/>
      <c r="I11" s="7"/>
      <c r="J11" s="7"/>
      <c r="K11" s="7"/>
      <c r="L11" s="7"/>
      <c r="M11" s="197"/>
      <c r="N11" s="220">
        <v>1.03</v>
      </c>
      <c r="O11" s="219">
        <v>1.05</v>
      </c>
      <c r="P11" s="220">
        <v>1.02</v>
      </c>
      <c r="Q11" s="472">
        <v>1.02</v>
      </c>
      <c r="R11" s="473">
        <v>1.04</v>
      </c>
      <c r="S11" s="8"/>
      <c r="T11" s="472">
        <v>1.04</v>
      </c>
      <c r="U11" s="32"/>
      <c r="V11" s="7"/>
      <c r="W11" s="651"/>
      <c r="X11" s="8" t="s">
        <v>22</v>
      </c>
      <c r="Y11" s="8" t="s">
        <v>22</v>
      </c>
      <c r="Z11" s="8" t="s">
        <v>22</v>
      </c>
      <c r="AA11" s="13" t="s">
        <v>22</v>
      </c>
      <c r="AB11" s="26" t="s">
        <v>89</v>
      </c>
      <c r="AC11" s="4"/>
      <c r="AD11" s="535"/>
      <c r="AE11" s="535"/>
      <c r="AF11" s="4"/>
      <c r="AG11" s="7"/>
      <c r="AH11" s="282"/>
      <c r="AI11" s="283"/>
      <c r="AJ11" s="15"/>
      <c r="AK11" s="4"/>
      <c r="AL11" s="4"/>
      <c r="AM11" s="7"/>
      <c r="AN11" s="7"/>
      <c r="AO11" s="7"/>
      <c r="AP11" s="358"/>
      <c r="AQ11" s="488"/>
      <c r="AR11" s="12"/>
      <c r="AS11" s="36"/>
      <c r="AT11" s="487"/>
      <c r="AU11" s="487"/>
      <c r="AV11" s="487"/>
      <c r="AW11" s="487"/>
      <c r="AX11" s="36"/>
      <c r="AY11" s="14"/>
      <c r="AZ11" s="14"/>
      <c r="BA11" s="173"/>
      <c r="BB11" s="263"/>
      <c r="BC11" s="200"/>
      <c r="BD11" s="140"/>
      <c r="BE11" s="15"/>
      <c r="BF11" s="15"/>
      <c r="BG11" s="378"/>
      <c r="BH11" s="389" t="s">
        <v>22</v>
      </c>
      <c r="BI11" s="52"/>
      <c r="BJ11" s="407"/>
      <c r="BK11" s="603"/>
      <c r="BL11" s="600"/>
      <c r="BO11" s="568"/>
      <c r="BP11" s="568"/>
      <c r="BQ11" s="570"/>
      <c r="BR11" s="570"/>
    </row>
    <row r="12" spans="1:70" ht="12.95" customHeight="1">
      <c r="A12" s="141" t="s">
        <v>31</v>
      </c>
      <c r="B12" s="98"/>
      <c r="C12" s="55"/>
      <c r="D12" s="55"/>
      <c r="E12" s="55"/>
      <c r="F12" s="99">
        <f>SEP!F49</f>
        <v>-50190.572220821778</v>
      </c>
      <c r="G12" s="55">
        <f>SEP!G49</f>
        <v>58131.199999999997</v>
      </c>
      <c r="H12" s="206">
        <f>SEP!H49</f>
        <v>133.2227</v>
      </c>
      <c r="I12" s="55">
        <f>SEP!I49</f>
        <v>58264.422699999996</v>
      </c>
      <c r="J12" s="55">
        <f>SEP!J49</f>
        <v>303.26007285102071</v>
      </c>
      <c r="K12" s="55">
        <f>SEP!K49</f>
        <v>58567.672772851009</v>
      </c>
      <c r="L12" s="55">
        <f>SEP!L49</f>
        <v>-5302.1779208217813</v>
      </c>
      <c r="M12" s="100">
        <f>SEP!M49</f>
        <v>40727.199999999997</v>
      </c>
      <c r="N12" s="55">
        <f>SEP!N49</f>
        <v>141.51725737332995</v>
      </c>
      <c r="O12" s="55">
        <f>SEP!O49</f>
        <v>12011.475000000002</v>
      </c>
      <c r="P12" s="39">
        <f>SEP!P49</f>
        <v>7.0600000000000005</v>
      </c>
      <c r="Q12" s="55"/>
      <c r="R12" s="55"/>
      <c r="S12" s="55"/>
      <c r="T12" s="55"/>
      <c r="U12" s="126"/>
      <c r="V12" s="55">
        <f>SEP!V49</f>
        <v>17071</v>
      </c>
      <c r="W12" s="616">
        <f>SEP!W49</f>
        <v>10230.719999999999</v>
      </c>
      <c r="X12" s="55">
        <f>SEP!X49</f>
        <v>56915.826806084668</v>
      </c>
      <c r="Y12" s="55">
        <f>SEP!Y49</f>
        <v>56813.871387177911</v>
      </c>
      <c r="Z12" s="55">
        <f>SEP!Z44</f>
        <v>0</v>
      </c>
      <c r="AA12" s="55"/>
      <c r="AB12" s="55">
        <f>SEP!AB12</f>
        <v>0</v>
      </c>
      <c r="AC12" s="55">
        <f>SEP!AC44</f>
        <v>0</v>
      </c>
      <c r="AD12" s="490">
        <f>SEP!AD44</f>
        <v>0</v>
      </c>
      <c r="AE12" s="490"/>
      <c r="AF12" s="55">
        <f>SEP!AF44</f>
        <v>4285.005014657133</v>
      </c>
      <c r="AG12" s="55">
        <f>SEP!AG49</f>
        <v>26601.739999999998</v>
      </c>
      <c r="AH12" s="100">
        <f>SEP!AH49</f>
        <v>311.10000000000014</v>
      </c>
      <c r="AI12" s="101">
        <f>SEP!AI49</f>
        <v>237.89999999999995</v>
      </c>
      <c r="AJ12" s="55">
        <f>SEP!AJ49</f>
        <v>8531</v>
      </c>
      <c r="AK12" s="55"/>
      <c r="AL12" s="55"/>
      <c r="AM12" s="55">
        <f>SEP!AM49</f>
        <v>103152.807</v>
      </c>
      <c r="AN12" s="55">
        <f>SEP!AN49</f>
        <v>5605.4379936728028</v>
      </c>
      <c r="AO12" s="55">
        <f>SEP!AO49</f>
        <v>108758.24499367281</v>
      </c>
      <c r="AP12" s="134">
        <f>SEP!AP49</f>
        <v>2313.4365242127687</v>
      </c>
      <c r="AQ12" s="540">
        <f>SEP!AQ49</f>
        <v>487.44617130124823</v>
      </c>
      <c r="AR12" s="42"/>
      <c r="AS12" s="42"/>
      <c r="AT12" s="489"/>
      <c r="AU12" s="489"/>
      <c r="AV12" s="489"/>
      <c r="AW12" s="489"/>
      <c r="AX12" s="42">
        <f>SEP!AX50</f>
        <v>1082.6770651669035</v>
      </c>
      <c r="AY12" s="42">
        <f>SEP!AY49</f>
        <v>2617.5951600705826</v>
      </c>
      <c r="AZ12" s="42"/>
      <c r="BA12" s="45">
        <f>SEP!AZ49</f>
        <v>849.54800000000034</v>
      </c>
      <c r="BB12" s="45">
        <f>SEP!BA49</f>
        <v>8.8529999999999998</v>
      </c>
      <c r="BC12" s="45"/>
      <c r="BD12" s="202"/>
      <c r="BE12" s="45"/>
      <c r="BF12" s="45"/>
      <c r="BG12" s="378"/>
      <c r="BH12" s="400">
        <f>SEP!BG49</f>
        <v>1762.1988539859092</v>
      </c>
      <c r="BI12" s="46">
        <f>SEP!BH49</f>
        <v>7522.68</v>
      </c>
      <c r="BJ12" s="407"/>
      <c r="BK12" s="696">
        <f>SEP!BJ49</f>
        <v>5045.202419108532</v>
      </c>
      <c r="BL12" s="77">
        <f>SEP!BK49</f>
        <v>4455.8195433886603</v>
      </c>
      <c r="BO12" s="489"/>
      <c r="BP12" s="489"/>
      <c r="BQ12" s="505"/>
      <c r="BR12" s="505"/>
    </row>
    <row r="13" spans="1:70" s="3" customFormat="1" ht="12.95" customHeight="1">
      <c r="A13" s="49" t="s">
        <v>32</v>
      </c>
      <c r="B13" s="104">
        <f>SEP!B44</f>
        <v>6867.36</v>
      </c>
      <c r="C13" s="55">
        <f>SEP!C44</f>
        <v>180904</v>
      </c>
      <c r="D13" s="55">
        <f>SEP!D53</f>
        <v>-111491</v>
      </c>
      <c r="E13" s="55">
        <f>SEP!E53</f>
        <v>28904</v>
      </c>
      <c r="F13" s="99">
        <f>SEP!F52</f>
        <v>-56209.226115452482</v>
      </c>
      <c r="G13" s="55">
        <f>SEP!G52</f>
        <v>64741</v>
      </c>
      <c r="H13" s="206">
        <f>SEP!H52</f>
        <v>181.4727</v>
      </c>
      <c r="I13" s="55">
        <f>SEP!I52</f>
        <v>64922.472699999998</v>
      </c>
      <c r="J13" s="55">
        <f>SEP!J52</f>
        <v>2177.1042049407611</v>
      </c>
      <c r="K13" s="55">
        <f>SEP!K52</f>
        <v>67099.566904940759</v>
      </c>
      <c r="L13" s="55">
        <f>SEP!L52</f>
        <v>-5608.8418154524861</v>
      </c>
      <c r="M13" s="100">
        <f>SEP!M52</f>
        <v>41507.74</v>
      </c>
      <c r="N13" s="55">
        <f>SEP!N52</f>
        <v>141.51725737332995</v>
      </c>
      <c r="O13" s="55">
        <f>SEP!O52</f>
        <v>12011.475000000002</v>
      </c>
      <c r="P13" s="39"/>
      <c r="Q13" s="55">
        <f>SEP!Q52</f>
        <v>830.70858951783043</v>
      </c>
      <c r="R13" s="45">
        <f>SEP!R52</f>
        <v>687.21686320000026</v>
      </c>
      <c r="S13" s="55">
        <f>SEP!S52</f>
        <v>379.75353583999993</v>
      </c>
      <c r="T13" s="55">
        <f>SEP!T52</f>
        <v>316.93393680000008</v>
      </c>
      <c r="U13" s="341">
        <f>SEP!U52</f>
        <v>-46.583886557747249</v>
      </c>
      <c r="V13" s="55">
        <f>SEP!V52</f>
        <v>22263</v>
      </c>
      <c r="W13" s="616">
        <f>SEP!W52</f>
        <v>10264.219999999999</v>
      </c>
      <c r="X13" s="55">
        <f>SEP!X52</f>
        <v>62338.39086389717</v>
      </c>
      <c r="Y13" s="55">
        <f>SEP!Y52</f>
        <v>62088.32003197325</v>
      </c>
      <c r="Z13" s="55"/>
      <c r="AA13" s="55"/>
      <c r="AB13" s="55"/>
      <c r="AC13" s="55"/>
      <c r="AD13" s="490"/>
      <c r="AE13" s="490"/>
      <c r="AF13" s="55">
        <f>SEP!AF52</f>
        <v>4469.9638066401485</v>
      </c>
      <c r="AG13" s="55">
        <f>SEP!AG50</f>
        <v>52764.551289999996</v>
      </c>
      <c r="AH13" s="211">
        <f>AH12</f>
        <v>311.10000000000014</v>
      </c>
      <c r="AI13" s="121">
        <f>AI12</f>
        <v>237.89999999999995</v>
      </c>
      <c r="AJ13" s="55">
        <f>SEP!AJ52</f>
        <v>14895</v>
      </c>
      <c r="AK13" s="55">
        <f>SEP!AK52</f>
        <v>5474.511822044311</v>
      </c>
      <c r="AL13" s="55">
        <f>SEP!AL52</f>
        <v>0</v>
      </c>
      <c r="AM13" s="55">
        <f>SEP!AM52</f>
        <v>115522.84699999999</v>
      </c>
      <c r="AN13" s="55">
        <f>SEP!AN52</f>
        <v>7785.9460203932467</v>
      </c>
      <c r="AO13" s="55">
        <f>SEP!AO52</f>
        <v>123308.79302039325</v>
      </c>
      <c r="AP13" s="134">
        <f>SEP!AP52</f>
        <v>7457.0372300358085</v>
      </c>
      <c r="AQ13" s="490">
        <f>SEP!AQ52</f>
        <v>487.44617130124823</v>
      </c>
      <c r="AR13" s="42">
        <f>SEP!AR52</f>
        <v>250.07083192391997</v>
      </c>
      <c r="AS13" s="42"/>
      <c r="AT13" s="489">
        <f>SEP!AT50</f>
        <v>48.2</v>
      </c>
      <c r="AU13" s="490"/>
      <c r="AV13" s="490"/>
      <c r="AW13" s="490">
        <f>SEP!AW50</f>
        <v>9462.0849166666667</v>
      </c>
      <c r="AX13" s="42">
        <f>SEP!AX53</f>
        <v>-3.648700088011788E-4</v>
      </c>
      <c r="AY13" s="39"/>
      <c r="AZ13" s="39"/>
      <c r="BA13" s="45">
        <f>SEP!AZ52</f>
        <v>0</v>
      </c>
      <c r="BB13" s="45">
        <f>SEP!BA52</f>
        <v>0</v>
      </c>
      <c r="BC13" s="45">
        <f>SEP!BB49</f>
        <v>0</v>
      </c>
      <c r="BD13" s="202">
        <f>SEP!BC52</f>
        <v>10.675000000000001</v>
      </c>
      <c r="BE13" s="45"/>
      <c r="BF13" s="45"/>
      <c r="BG13" s="379"/>
      <c r="BH13" s="393">
        <f>SEP!BG52</f>
        <v>2293.8362961734133</v>
      </c>
      <c r="BI13" s="46">
        <f>SEP!BH52</f>
        <v>7762.4960000000001</v>
      </c>
      <c r="BJ13" s="77"/>
      <c r="BK13" s="235">
        <f>SEP!BJ13</f>
        <v>5045.202419108532</v>
      </c>
      <c r="BL13" s="437">
        <f>SEP!BK52</f>
        <v>4455.8195433886603</v>
      </c>
      <c r="BN13" s="571"/>
      <c r="BO13" s="559"/>
      <c r="BP13" s="559"/>
      <c r="BQ13" s="490">
        <f>NOV!BG46</f>
        <v>0</v>
      </c>
      <c r="BR13" s="490">
        <f>NOV!BH46</f>
        <v>735.86686290322587</v>
      </c>
    </row>
    <row r="14" spans="1:70" ht="3" customHeight="1">
      <c r="A14" s="54"/>
      <c r="B14" s="105"/>
      <c r="C14" s="57"/>
      <c r="D14" s="59"/>
      <c r="E14" s="57"/>
      <c r="F14" s="106"/>
      <c r="G14" s="59"/>
      <c r="H14" s="207"/>
      <c r="I14" s="59"/>
      <c r="J14" s="59"/>
      <c r="K14" s="59"/>
      <c r="L14" s="59"/>
      <c r="M14" s="108"/>
      <c r="N14" s="59"/>
      <c r="O14" s="59"/>
      <c r="P14" s="40"/>
      <c r="Q14" s="59"/>
      <c r="R14" s="59"/>
      <c r="S14" s="59"/>
      <c r="T14" s="59"/>
      <c r="U14" s="130"/>
      <c r="V14" s="59"/>
      <c r="W14" s="59"/>
      <c r="X14" s="59"/>
      <c r="Y14" s="59"/>
      <c r="Z14" s="57"/>
      <c r="AA14" s="59"/>
      <c r="AB14" s="57"/>
      <c r="AC14" s="57"/>
      <c r="AD14" s="495"/>
      <c r="AE14" s="495"/>
      <c r="AF14" s="57"/>
      <c r="AG14" s="59"/>
      <c r="AH14" s="108"/>
      <c r="AI14" s="109"/>
      <c r="AJ14" s="59"/>
      <c r="AK14" s="57"/>
      <c r="AL14" s="57"/>
      <c r="AM14" s="59"/>
      <c r="AN14" s="59"/>
      <c r="AO14" s="59"/>
      <c r="AP14" s="137"/>
      <c r="AQ14" s="491"/>
      <c r="AR14" s="41"/>
      <c r="AS14" s="41"/>
      <c r="AT14" s="491"/>
      <c r="AU14" s="491"/>
      <c r="AV14" s="491"/>
      <c r="AW14" s="491"/>
      <c r="AX14" s="40"/>
      <c r="AY14" s="40"/>
      <c r="AZ14" s="40"/>
      <c r="BA14" s="40"/>
      <c r="BB14" s="40"/>
      <c r="BC14" s="44" t="s">
        <v>60</v>
      </c>
      <c r="BD14" s="204"/>
      <c r="BE14" s="44"/>
      <c r="BF14" s="44"/>
      <c r="BG14" s="44"/>
      <c r="BH14" s="44"/>
      <c r="BI14" s="44"/>
      <c r="BJ14" s="44"/>
      <c r="BK14" s="545"/>
      <c r="BL14" s="592"/>
      <c r="BN14" s="572"/>
      <c r="BO14" s="572"/>
      <c r="BP14" s="572"/>
      <c r="BQ14" s="573"/>
      <c r="BR14" s="573"/>
    </row>
    <row r="15" spans="1:70" ht="12.95" customHeight="1">
      <c r="A15" s="48">
        <v>1</v>
      </c>
      <c r="B15" s="104">
        <v>6867.1</v>
      </c>
      <c r="C15" s="483">
        <f>IF(B15="",C13,VLOOKUP(TRUNC(B15,1),VLOOKUP!$A$3:$K$2834,RIGHT(TEXT(B15,"0000.00"),1)+2,FALSE))</f>
        <v>180236</v>
      </c>
      <c r="D15" s="45">
        <f>C15-C13</f>
        <v>-668</v>
      </c>
      <c r="E15" s="55">
        <f t="shared" ref="E15:E45" si="0">C15-152000</f>
        <v>28236</v>
      </c>
      <c r="F15" s="112">
        <f t="shared" ref="F15:F45" si="1">D15/$D$2</f>
        <v>-336.77842198134607</v>
      </c>
      <c r="G15" s="627">
        <v>38</v>
      </c>
      <c r="H15" s="711">
        <v>0</v>
      </c>
      <c r="I15" s="47">
        <f t="shared" ref="I15:I45" si="2">G15+H15</f>
        <v>38</v>
      </c>
      <c r="J15" s="42">
        <f>IF(L15&gt;0,L15,0)</f>
        <v>0</v>
      </c>
      <c r="K15" s="47">
        <f t="shared" ref="K15:K45" si="3">I15+J15</f>
        <v>38</v>
      </c>
      <c r="L15" s="47">
        <f>IF(G15="",0,F15-(I15-AM15))</f>
        <v>-4.7784219813460709</v>
      </c>
      <c r="M15" s="650">
        <v>135</v>
      </c>
      <c r="N15" s="610">
        <v>3.1</v>
      </c>
      <c r="O15" s="627">
        <f>0*1.05</f>
        <v>0</v>
      </c>
      <c r="P15" s="39">
        <v>0</v>
      </c>
      <c r="Q15" s="144">
        <f>1731100/325851/1.9835*1.02</f>
        <v>2.7319394227451741</v>
      </c>
      <c r="R15" s="73">
        <f>IF(((4.9*1.04)-T16)&gt;=4.2,4.2,(4.9*1.04)-T16)</f>
        <v>4.0196166400000006</v>
      </c>
      <c r="S15" s="73">
        <f>IF(((4.9*1.04)-T16)&gt;=4.2,((4.9*1.04)-T16)-4.2,0)</f>
        <v>0</v>
      </c>
      <c r="T15" s="73">
        <f>(0.9961*1.06)*1.04</f>
        <v>1.09810064</v>
      </c>
      <c r="U15" s="131">
        <v>0</v>
      </c>
      <c r="V15" s="627">
        <v>91</v>
      </c>
      <c r="W15" s="627">
        <v>57</v>
      </c>
      <c r="X15" s="47">
        <f t="shared" ref="X15:X29" si="4">MAX(0,M15-N15-O15-P15-Q15-R15-S15-T15-U15+V15+W15-BB15+AY15)</f>
        <v>272.05034329725481</v>
      </c>
      <c r="Y15" s="47">
        <f t="shared" ref="Y15:Y29" si="5">X15-AR15</f>
        <v>272.05034329725481</v>
      </c>
      <c r="Z15" s="55"/>
      <c r="AA15" s="47"/>
      <c r="AB15" s="55"/>
      <c r="AC15" s="55"/>
      <c r="AD15" s="490"/>
      <c r="AF15" s="45">
        <f>IF(B15="",AF12,AF12+IF(AC12-(AX13/1.9835)+BA15+IF(AS15&gt;0,0,AS15)&lt;=0,AC12-(AX13/1.9835)+BA15+IF(AS15&gt;0,0,AS15),0))</f>
        <v>4042.5032992497463</v>
      </c>
      <c r="AG15" s="627">
        <v>62</v>
      </c>
      <c r="AH15" s="628">
        <v>1.7</v>
      </c>
      <c r="AI15" s="638">
        <v>1.3</v>
      </c>
      <c r="AJ15" s="627">
        <v>25</v>
      </c>
      <c r="AK15" s="55">
        <f>AK13-AJ15</f>
        <v>5449.511822044311</v>
      </c>
      <c r="AL15" s="55"/>
      <c r="AM15" s="74">
        <f t="shared" ref="AM15:AM45" si="6">N15+O15+P15+Q15+R15+S15+T15+U15+X15+AG15+AJ15</f>
        <v>370</v>
      </c>
      <c r="AN15" s="47">
        <f t="shared" ref="AN15:AN45" si="7">IF(L15&lt;0,L15*-1,0)</f>
        <v>4.7784219813460709</v>
      </c>
      <c r="AO15" s="47">
        <f t="shared" ref="AO15:AO45" si="8">AM15+AN15</f>
        <v>374.77842198134607</v>
      </c>
      <c r="AP15" s="203"/>
      <c r="AQ15" s="540"/>
      <c r="AR15" s="42"/>
      <c r="AS15" s="43">
        <f>IF(G15="",0,IF(I15&gt;=795,795-X15,I15-Q15-R15-X15-AH15)-AL15)+AE15</f>
        <v>-242.50189935999998</v>
      </c>
      <c r="AT15" s="492">
        <v>0.21</v>
      </c>
      <c r="AU15" s="494">
        <f>AT15*0.7</f>
        <v>0.14699999999999999</v>
      </c>
      <c r="AV15" s="494">
        <f>IF(AT15="",0,VLOOKUP(ROUNDDOWN(TEXT(B15,"0000"),-1),VLOOKUP!$M$3:$W$32,RIGHT(TEXT(B15,"0000"),1)+2,FALSE))</f>
        <v>2552</v>
      </c>
      <c r="AW15" s="494">
        <f>AU15/12*AV15</f>
        <v>31.261999999999997</v>
      </c>
      <c r="AX15" s="39">
        <f>AW15*(Z15*1.9835+AC15*1.9835)/E15</f>
        <v>0</v>
      </c>
      <c r="AY15" s="39"/>
      <c r="AZ15" s="39"/>
      <c r="BA15" s="648"/>
      <c r="BB15" s="30"/>
      <c r="BC15" s="46"/>
      <c r="BD15" s="202">
        <v>0</v>
      </c>
      <c r="BE15" s="45">
        <v>83</v>
      </c>
      <c r="BF15" s="45">
        <v>46</v>
      </c>
      <c r="BG15" s="378"/>
      <c r="BH15" s="385">
        <f t="shared" ref="BH15:BH45" si="9">SUM(N15,P15:U15)</f>
        <v>10.949656702745175</v>
      </c>
      <c r="BI15" s="681">
        <v>0.3</v>
      </c>
      <c r="BJ15" s="682">
        <v>4476</v>
      </c>
      <c r="BK15" s="296">
        <f t="shared" ref="BK15:BK45" si="10">IF(G15="",0,IF(I15&lt;(795+Q15+R15+AH15+AI15),0,I15-(795+Q15+R15+AH15+AI15)))</f>
        <v>0</v>
      </c>
      <c r="BL15" s="591">
        <f t="shared" ref="BL15:BL45" si="11">MIN(505,BK15,SUM(O15,AG15))</f>
        <v>0</v>
      </c>
      <c r="BN15" s="574">
        <v>1</v>
      </c>
      <c r="BO15" s="559">
        <v>6867.09</v>
      </c>
      <c r="BP15" s="575">
        <f t="shared" ref="BP15:BP45" si="12">B15-BO15</f>
        <v>1.0000000000218279E-2</v>
      </c>
      <c r="BQ15" s="576">
        <v>35.16458333333334</v>
      </c>
      <c r="BR15" s="576">
        <f t="shared" ref="BR15:BR45" si="13">AK15-BQ15</f>
        <v>5414.3472387109778</v>
      </c>
    </row>
    <row r="16" spans="1:70" ht="12.95" customHeight="1">
      <c r="A16" s="48">
        <f t="shared" ref="A16:A38" si="14">A15+1</f>
        <v>2</v>
      </c>
      <c r="B16" s="104">
        <v>6866.82</v>
      </c>
      <c r="C16" s="483">
        <f>IF(B16="",C15,VLOOKUP(TRUNC(B16,1),VLOOKUP!$A$3:$K$2834,RIGHT(TEXT(B16,"0000.00"),1)+2,FALSE))</f>
        <v>179523</v>
      </c>
      <c r="D16" s="45">
        <f t="shared" ref="D16:D45" si="15">C16-C15</f>
        <v>-713</v>
      </c>
      <c r="E16" s="55">
        <f t="shared" si="0"/>
        <v>27523</v>
      </c>
      <c r="F16" s="112">
        <f t="shared" si="1"/>
        <v>-359.46559112679608</v>
      </c>
      <c r="G16" s="627">
        <v>36.4</v>
      </c>
      <c r="H16" s="711">
        <v>0</v>
      </c>
      <c r="I16" s="47">
        <f t="shared" si="2"/>
        <v>36.4</v>
      </c>
      <c r="J16" s="42">
        <f t="shared" ref="J16:J45" si="16">IF(L16&gt;0,L16,0)</f>
        <v>0</v>
      </c>
      <c r="K16" s="47">
        <f t="shared" si="3"/>
        <v>36.4</v>
      </c>
      <c r="L16" s="47">
        <f t="shared" ref="L16:L45" si="17">IF(G16="",0,F16-(I16-AM16))</f>
        <v>-18.865591126796062</v>
      </c>
      <c r="M16" s="650">
        <v>148</v>
      </c>
      <c r="N16" s="610">
        <v>3.1</v>
      </c>
      <c r="O16" s="627">
        <f>0.66*1.05</f>
        <v>0.69300000000000006</v>
      </c>
      <c r="P16" s="39">
        <v>0</v>
      </c>
      <c r="Q16" s="144">
        <f>1642100/325851/1.9835*1.02</f>
        <v>2.5914838692680089</v>
      </c>
      <c r="R16" s="73">
        <f>IF(((4.8*1.04)-T17)&gt;=4.2,4.2,(4.8*1.04)-T17)</f>
        <v>3.9156166399999996</v>
      </c>
      <c r="S16" s="73">
        <f>IF(((4.8*1.04)-T17)&gt;=4.2,((4.8*1.04)-T17)-4.2,0)</f>
        <v>0</v>
      </c>
      <c r="T16" s="73">
        <f>(0.9764*1.06)*1.04</f>
        <v>1.0763833600000001</v>
      </c>
      <c r="U16" s="131">
        <v>0</v>
      </c>
      <c r="V16" s="627">
        <v>112</v>
      </c>
      <c r="W16" s="627">
        <v>54</v>
      </c>
      <c r="X16" s="47">
        <f t="shared" si="4"/>
        <v>302.62351613073201</v>
      </c>
      <c r="Y16" s="47">
        <f t="shared" si="5"/>
        <v>302.62351613073201</v>
      </c>
      <c r="Z16" s="55"/>
      <c r="AA16" s="47"/>
      <c r="AB16" s="55"/>
      <c r="AC16" s="55"/>
      <c r="AD16" s="490"/>
      <c r="AE16" s="543"/>
      <c r="AF16" s="45">
        <f>IF(B16="",AF15,AF15+IF(AC15-(AX15/1.9835)+BA16+IF(AS16&gt;0,0,AS16)&lt;=0,AC15-(AX15/1.9835)+BA16+IF(AS16&gt;0,0,AS16),0))</f>
        <v>3768.0726826097462</v>
      </c>
      <c r="AG16" s="627">
        <v>38</v>
      </c>
      <c r="AH16" s="628">
        <v>1.7</v>
      </c>
      <c r="AI16" s="638">
        <v>1.3</v>
      </c>
      <c r="AJ16" s="627">
        <v>25</v>
      </c>
      <c r="AK16" s="55">
        <f>AK15-AJ16</f>
        <v>5424.511822044311</v>
      </c>
      <c r="AL16" s="55"/>
      <c r="AM16" s="74">
        <f t="shared" si="6"/>
        <v>377</v>
      </c>
      <c r="AN16" s="47">
        <f t="shared" si="7"/>
        <v>18.865591126796062</v>
      </c>
      <c r="AO16" s="47">
        <f t="shared" si="8"/>
        <v>395.86559112679606</v>
      </c>
      <c r="AP16" s="203"/>
      <c r="AQ16" s="540"/>
      <c r="AR16" s="42"/>
      <c r="AS16" s="43">
        <f t="shared" ref="AS16" si="18">IF(G16="",0,IF(I16&gt;=795,795-X16,I16-Q16-R16-X16-AH16)-AL16)+AE16</f>
        <v>-274.43061664000004</v>
      </c>
      <c r="AT16" s="492">
        <v>0.14000000000000001</v>
      </c>
      <c r="AU16" s="494">
        <f t="shared" ref="AU16:AU26" si="19">AT16*0.7</f>
        <v>9.8000000000000004E-2</v>
      </c>
      <c r="AV16" s="494">
        <f>IF(AT16="",0,VLOOKUP(ROUNDDOWN(TEXT(B16,"0000"),-1),VLOOKUP!$M$3:$W$32,RIGHT(TEXT(B16,"0000"),1)+2,FALSE))</f>
        <v>2552</v>
      </c>
      <c r="AW16" s="494">
        <f t="shared" ref="AW16:AW43" si="20">AU16/12*AV16</f>
        <v>20.841333333333335</v>
      </c>
      <c r="AX16" s="39">
        <f t="shared" ref="AX16:AX45" si="21">AW16*(Z16*1.9835+AC16*1.9835)/E16</f>
        <v>0</v>
      </c>
      <c r="AY16" s="39"/>
      <c r="AZ16" s="39"/>
      <c r="BA16" s="648"/>
      <c r="BB16" s="30"/>
      <c r="BC16" s="46"/>
      <c r="BD16" s="202">
        <v>0</v>
      </c>
      <c r="BE16" s="45">
        <v>78</v>
      </c>
      <c r="BF16" s="45">
        <v>43</v>
      </c>
      <c r="BG16" s="378"/>
      <c r="BH16" s="385">
        <f t="shared" si="9"/>
        <v>10.683483869268008</v>
      </c>
      <c r="BI16" s="681">
        <v>0.3</v>
      </c>
      <c r="BJ16" s="682">
        <v>4472</v>
      </c>
      <c r="BK16" s="296">
        <f t="shared" si="10"/>
        <v>0</v>
      </c>
      <c r="BL16" s="591">
        <f t="shared" si="11"/>
        <v>0</v>
      </c>
      <c r="BN16" s="574">
        <f t="shared" ref="BN16:BN45" si="22">BN15+1</f>
        <v>2</v>
      </c>
      <c r="BO16" s="559">
        <v>6866.8</v>
      </c>
      <c r="BP16" s="575">
        <f t="shared" si="12"/>
        <v>1.9999999999527063E-2</v>
      </c>
      <c r="BQ16" s="576">
        <v>0</v>
      </c>
      <c r="BR16" s="576">
        <f t="shared" si="13"/>
        <v>5424.511822044311</v>
      </c>
    </row>
    <row r="17" spans="1:70" ht="12.95" customHeight="1">
      <c r="A17" s="48">
        <f t="shared" si="14"/>
        <v>3</v>
      </c>
      <c r="B17" s="104">
        <v>6866.53</v>
      </c>
      <c r="C17" s="483">
        <f>IF(B17="",C16,VLOOKUP(TRUNC(B17,1),VLOOKUP!$A$3:$K$2834,RIGHT(TEXT(B17,"0000.00"),1)+2,FALSE))</f>
        <v>178788</v>
      </c>
      <c r="D17" s="45">
        <f t="shared" si="15"/>
        <v>-735</v>
      </c>
      <c r="E17" s="55">
        <f t="shared" si="0"/>
        <v>26788</v>
      </c>
      <c r="F17" s="112">
        <f t="shared" si="1"/>
        <v>-370.55709604234937</v>
      </c>
      <c r="G17" s="627">
        <v>35.9</v>
      </c>
      <c r="H17" s="711">
        <v>0</v>
      </c>
      <c r="I17" s="47">
        <f t="shared" si="2"/>
        <v>35.9</v>
      </c>
      <c r="J17" s="42">
        <f t="shared" si="16"/>
        <v>0</v>
      </c>
      <c r="K17" s="47">
        <f t="shared" si="3"/>
        <v>35.9</v>
      </c>
      <c r="L17" s="47">
        <f t="shared" si="17"/>
        <v>-13.457096042349349</v>
      </c>
      <c r="M17" s="650">
        <v>157</v>
      </c>
      <c r="N17" s="610">
        <v>3.1</v>
      </c>
      <c r="O17" s="627">
        <f>2.1*1.05</f>
        <v>2.2050000000000001</v>
      </c>
      <c r="P17" s="39">
        <v>0</v>
      </c>
      <c r="Q17" s="144">
        <f>1482300/325851/1.9835*1.02</f>
        <v>2.3392951339236157</v>
      </c>
      <c r="R17" s="73">
        <f>IF(((4.8*1.04)-T18)&gt;=4.2,4.2,(4.8*1.04)-T18)</f>
        <v>3.9156166399999996</v>
      </c>
      <c r="S17" s="73">
        <f>IF(((4.8*1.04)-T18)&gt;=4.2,((4.8*1.04)-T18)-4.2,0)</f>
        <v>0</v>
      </c>
      <c r="T17" s="73">
        <f t="shared" ref="T17:T22" si="23">(0.9764*1.06)*1.04</f>
        <v>1.0763833600000001</v>
      </c>
      <c r="U17" s="131">
        <v>0</v>
      </c>
      <c r="V17" s="627">
        <v>119</v>
      </c>
      <c r="W17" s="627">
        <v>53</v>
      </c>
      <c r="X17" s="47">
        <f t="shared" si="4"/>
        <v>316.36370486607638</v>
      </c>
      <c r="Y17" s="47">
        <f t="shared" si="5"/>
        <v>316.36370486607638</v>
      </c>
      <c r="Z17" s="55"/>
      <c r="AA17" s="47"/>
      <c r="AB17" s="55"/>
      <c r="AC17" s="55"/>
      <c r="AD17" s="490"/>
      <c r="AF17" s="45">
        <f t="shared" ref="AF17:AF29" si="24">IF(B17="",AF16,AF16+IF(AC16-(AX16/1.9835)+BA17+IF(AS17&gt;0,0,AS17)&lt;=0,AC16-(AX16/1.9835)+BA17+IF(AS17&gt;0,0,AS17),0))</f>
        <v>3479.6540659697462</v>
      </c>
      <c r="AG17" s="627">
        <v>39</v>
      </c>
      <c r="AH17" s="628">
        <v>1.7</v>
      </c>
      <c r="AI17" s="638">
        <v>1.3</v>
      </c>
      <c r="AJ17" s="627">
        <v>25</v>
      </c>
      <c r="AK17" s="55">
        <f>AK16-AJ17</f>
        <v>5399.511822044311</v>
      </c>
      <c r="AL17" s="55"/>
      <c r="AM17" s="74">
        <f>N17+O17+P17+Q17+R17+S17+T17+U17+X17+AG17+AJ17</f>
        <v>393</v>
      </c>
      <c r="AN17" s="47">
        <f t="shared" si="7"/>
        <v>13.457096042349349</v>
      </c>
      <c r="AO17" s="47">
        <f t="shared" si="8"/>
        <v>406.45709604234935</v>
      </c>
      <c r="AP17" s="134"/>
      <c r="AQ17" s="540"/>
      <c r="AR17" s="42"/>
      <c r="AS17" s="43">
        <f t="shared" ref="AS17:AS44" si="25">IF(G17="",0,IF(I17&gt;=795,795-X17,I17-Q17-R17-X17-AH17)-AL17)+AE17</f>
        <v>-288.41861663999998</v>
      </c>
      <c r="AT17" s="492">
        <v>0.21</v>
      </c>
      <c r="AU17" s="494">
        <f t="shared" si="19"/>
        <v>0.14699999999999999</v>
      </c>
      <c r="AV17" s="494">
        <f>IF(AT17="",0,VLOOKUP(ROUNDDOWN(TEXT(B17,"0000"),-1),VLOOKUP!$M$3:$W$32,RIGHT(TEXT(B17,"0000"),1)+2,FALSE))</f>
        <v>2552</v>
      </c>
      <c r="AW17" s="494">
        <f t="shared" si="20"/>
        <v>31.261999999999997</v>
      </c>
      <c r="AX17" s="39">
        <f t="shared" si="21"/>
        <v>0</v>
      </c>
      <c r="AY17" s="39"/>
      <c r="AZ17" s="39"/>
      <c r="BA17" s="648"/>
      <c r="BB17" s="30"/>
      <c r="BC17" s="46"/>
      <c r="BD17" s="202">
        <v>0</v>
      </c>
      <c r="BE17" s="45">
        <v>81</v>
      </c>
      <c r="BF17" s="45">
        <v>42</v>
      </c>
      <c r="BG17" s="378"/>
      <c r="BH17" s="385">
        <f t="shared" si="9"/>
        <v>10.431295133923614</v>
      </c>
      <c r="BI17" s="681">
        <v>0.3</v>
      </c>
      <c r="BJ17" s="682">
        <v>4470</v>
      </c>
      <c r="BK17" s="296">
        <f t="shared" si="10"/>
        <v>0</v>
      </c>
      <c r="BL17" s="591">
        <f t="shared" si="11"/>
        <v>0</v>
      </c>
      <c r="BN17" s="574">
        <f t="shared" si="22"/>
        <v>3</v>
      </c>
      <c r="BO17" s="559">
        <v>6866.52</v>
      </c>
      <c r="BP17" s="575">
        <f t="shared" si="12"/>
        <v>9.999999999308784E-3</v>
      </c>
      <c r="BQ17" s="576">
        <v>0</v>
      </c>
      <c r="BR17" s="576">
        <f t="shared" si="13"/>
        <v>5399.511822044311</v>
      </c>
    </row>
    <row r="18" spans="1:70" ht="12.95" customHeight="1">
      <c r="A18" s="48">
        <f t="shared" si="14"/>
        <v>4</v>
      </c>
      <c r="B18" s="104">
        <v>6866.25</v>
      </c>
      <c r="C18" s="483">
        <f>IF(B18="",C17,VLOOKUP(TRUNC(B18,1),VLOOKUP!$A$3:$K$2834,RIGHT(TEXT(B18,"0000.00"),1)+2,FALSE))</f>
        <v>178079</v>
      </c>
      <c r="D18" s="45">
        <f t="shared" si="15"/>
        <v>-709</v>
      </c>
      <c r="E18" s="55">
        <f t="shared" si="0"/>
        <v>26079</v>
      </c>
      <c r="F18" s="112">
        <f t="shared" si="1"/>
        <v>-357.44895386942272</v>
      </c>
      <c r="G18" s="627">
        <v>34.5</v>
      </c>
      <c r="H18" s="711">
        <v>0</v>
      </c>
      <c r="I18" s="47">
        <f t="shared" si="2"/>
        <v>34.5</v>
      </c>
      <c r="J18" s="42">
        <f t="shared" si="16"/>
        <v>0</v>
      </c>
      <c r="K18" s="47">
        <f t="shared" si="3"/>
        <v>34.5</v>
      </c>
      <c r="L18" s="47">
        <f t="shared" si="17"/>
        <v>-17.948953869422724</v>
      </c>
      <c r="M18" s="650">
        <v>141</v>
      </c>
      <c r="N18" s="610">
        <v>3.1</v>
      </c>
      <c r="O18" s="627">
        <f>0.23*1.05</f>
        <v>0.24150000000000002</v>
      </c>
      <c r="P18" s="39">
        <v>0</v>
      </c>
      <c r="Q18" s="144">
        <f>2105200/325851/1.9835*1.02</f>
        <v>3.3223261930351455</v>
      </c>
      <c r="R18" s="73">
        <f>IF(((4.8*1.04)-T19)&gt;=4.2,4.2,(4.8*1.04)-T19)</f>
        <v>3.9156166399999996</v>
      </c>
      <c r="S18" s="73">
        <f>IF(((4.8*1.04)-T19)&gt;=4.2,((4.8*1.04)-T19)-4.2,0)</f>
        <v>0</v>
      </c>
      <c r="T18" s="73">
        <f t="shared" si="23"/>
        <v>1.0763833600000001</v>
      </c>
      <c r="U18" s="131">
        <v>0</v>
      </c>
      <c r="V18" s="627">
        <v>120</v>
      </c>
      <c r="W18" s="627">
        <v>54</v>
      </c>
      <c r="X18" s="47">
        <f t="shared" si="4"/>
        <v>303.34417380696487</v>
      </c>
      <c r="Y18" s="47">
        <f t="shared" si="5"/>
        <v>303.34417380696487</v>
      </c>
      <c r="Z18" s="55"/>
      <c r="AA18" s="47"/>
      <c r="AB18" s="55"/>
      <c r="AC18" s="55"/>
      <c r="AD18" s="490"/>
      <c r="AF18" s="45">
        <f t="shared" si="24"/>
        <v>3201.8719493297463</v>
      </c>
      <c r="AG18" s="627">
        <v>34</v>
      </c>
      <c r="AH18" s="628">
        <v>1.7</v>
      </c>
      <c r="AI18" s="638">
        <v>1.3</v>
      </c>
      <c r="AJ18" s="627">
        <v>25</v>
      </c>
      <c r="AK18" s="55">
        <f t="shared" ref="AK18:AK45" si="26">AK17-AJ18</f>
        <v>5374.511822044311</v>
      </c>
      <c r="AL18" s="55"/>
      <c r="AM18" s="74">
        <f t="shared" si="6"/>
        <v>374</v>
      </c>
      <c r="AN18" s="47">
        <f t="shared" si="7"/>
        <v>17.948953869422724</v>
      </c>
      <c r="AO18" s="47">
        <f t="shared" si="8"/>
        <v>391.94895386942272</v>
      </c>
      <c r="AP18" s="203"/>
      <c r="AQ18" s="540"/>
      <c r="AR18" s="42"/>
      <c r="AS18" s="43">
        <f t="shared" si="25"/>
        <v>-277.78211664000003</v>
      </c>
      <c r="AT18" s="492">
        <v>0.15</v>
      </c>
      <c r="AU18" s="494">
        <f t="shared" si="19"/>
        <v>0.105</v>
      </c>
      <c r="AV18" s="494">
        <f>IF(AT18="",0,VLOOKUP(ROUNDDOWN(TEXT(B18,"0000"),-1),VLOOKUP!$M$3:$W$32,RIGHT(TEXT(B18,"0000"),1)+2,FALSE))</f>
        <v>2514</v>
      </c>
      <c r="AW18" s="494">
        <f t="shared" si="20"/>
        <v>21.997499999999999</v>
      </c>
      <c r="AX18" s="39">
        <f t="shared" si="21"/>
        <v>0</v>
      </c>
      <c r="AY18" s="39"/>
      <c r="AZ18" s="39"/>
      <c r="BA18" s="648"/>
      <c r="BB18" s="30"/>
      <c r="BC18" s="46"/>
      <c r="BD18" s="202">
        <v>0</v>
      </c>
      <c r="BE18" s="45">
        <v>80</v>
      </c>
      <c r="BF18" s="45">
        <v>42</v>
      </c>
      <c r="BG18" s="378"/>
      <c r="BH18" s="385">
        <f t="shared" si="9"/>
        <v>11.414326193035144</v>
      </c>
      <c r="BI18" s="681">
        <v>0.3</v>
      </c>
      <c r="BJ18" s="682">
        <v>4467</v>
      </c>
      <c r="BK18" s="296">
        <f t="shared" si="10"/>
        <v>0</v>
      </c>
      <c r="BL18" s="591">
        <f t="shared" si="11"/>
        <v>0</v>
      </c>
      <c r="BN18" s="574">
        <f t="shared" si="22"/>
        <v>4</v>
      </c>
      <c r="BO18" s="559">
        <v>6866.24</v>
      </c>
      <c r="BP18" s="575">
        <f t="shared" si="12"/>
        <v>1.0000000000218279E-2</v>
      </c>
      <c r="BQ18" s="576">
        <v>0</v>
      </c>
      <c r="BR18" s="576">
        <f t="shared" si="13"/>
        <v>5374.511822044311</v>
      </c>
    </row>
    <row r="19" spans="1:70" ht="12.95" customHeight="1">
      <c r="A19" s="48">
        <f t="shared" si="14"/>
        <v>5</v>
      </c>
      <c r="B19" s="104">
        <v>6865.97</v>
      </c>
      <c r="C19" s="483">
        <f>IF(B19="",C18,VLOOKUP(TRUNC(B19,1),VLOOKUP!$A$3:$K$2834,RIGHT(TEXT(B19,"0000.00"),1)+2,FALSE))</f>
        <v>177370</v>
      </c>
      <c r="D19" s="45">
        <f t="shared" si="15"/>
        <v>-709</v>
      </c>
      <c r="E19" s="55">
        <f t="shared" si="0"/>
        <v>25370</v>
      </c>
      <c r="F19" s="112">
        <f t="shared" si="1"/>
        <v>-357.44895386942272</v>
      </c>
      <c r="G19" s="47">
        <v>33.1</v>
      </c>
      <c r="H19" s="208">
        <v>0</v>
      </c>
      <c r="I19" s="47">
        <f t="shared" si="2"/>
        <v>33.1</v>
      </c>
      <c r="J19" s="42">
        <f t="shared" si="16"/>
        <v>0</v>
      </c>
      <c r="K19" s="47">
        <f t="shared" si="3"/>
        <v>33.1</v>
      </c>
      <c r="L19" s="47">
        <f t="shared" si="17"/>
        <v>-9.5489538694227463</v>
      </c>
      <c r="M19" s="114">
        <v>144</v>
      </c>
      <c r="N19" s="610">
        <v>3.1</v>
      </c>
      <c r="O19" s="47">
        <f>1.2*1.05</f>
        <v>1.26</v>
      </c>
      <c r="P19" s="39">
        <v>0</v>
      </c>
      <c r="Q19" s="144">
        <f>1656700/325851/1.9835*1.02</f>
        <v>2.6145248926474092</v>
      </c>
      <c r="R19" s="73">
        <f>IF(((4.6*1.04)-T20)&gt;=4.2,4.2,(4.6*1.04)-T20)</f>
        <v>3.7076166399999995</v>
      </c>
      <c r="S19" s="73">
        <f>IF(((4.6*1.04)-T20)&gt;=4.2,((4.6*1.04)-T20)-4.2,0)</f>
        <v>0</v>
      </c>
      <c r="T19" s="73">
        <f t="shared" si="23"/>
        <v>1.0763833600000001</v>
      </c>
      <c r="U19" s="131">
        <v>0</v>
      </c>
      <c r="V19" s="47">
        <v>117</v>
      </c>
      <c r="W19" s="627">
        <v>55</v>
      </c>
      <c r="X19" s="47">
        <f t="shared" si="4"/>
        <v>304.24147510735258</v>
      </c>
      <c r="Y19" s="47">
        <f t="shared" si="5"/>
        <v>304.24147510735258</v>
      </c>
      <c r="Z19" s="55"/>
      <c r="AA19" s="47"/>
      <c r="AB19" s="55"/>
      <c r="AC19" s="55"/>
      <c r="AD19" s="490"/>
      <c r="AF19" s="45">
        <f t="shared" si="24"/>
        <v>2922.7083326897464</v>
      </c>
      <c r="AG19" s="47">
        <v>40</v>
      </c>
      <c r="AH19" s="188">
        <v>1.7</v>
      </c>
      <c r="AI19" s="210">
        <v>1.3</v>
      </c>
      <c r="AJ19" s="47">
        <v>25</v>
      </c>
      <c r="AK19" s="55">
        <f t="shared" si="26"/>
        <v>5349.511822044311</v>
      </c>
      <c r="AL19" s="55"/>
      <c r="AM19" s="74">
        <f t="shared" si="6"/>
        <v>381</v>
      </c>
      <c r="AN19" s="47">
        <f t="shared" si="7"/>
        <v>9.5489538694227463</v>
      </c>
      <c r="AO19" s="47">
        <f t="shared" si="8"/>
        <v>390.54895386942275</v>
      </c>
      <c r="AP19" s="203"/>
      <c r="AQ19" s="540"/>
      <c r="AR19" s="42"/>
      <c r="AS19" s="43">
        <f t="shared" si="25"/>
        <v>-279.16361663999999</v>
      </c>
      <c r="AT19" s="492">
        <v>0.19</v>
      </c>
      <c r="AU19" s="494">
        <f t="shared" si="19"/>
        <v>0.13299999999999998</v>
      </c>
      <c r="AV19" s="494">
        <f>IF(AT19="",0,VLOOKUP(ROUNDDOWN(TEXT(B19,"0000"),-1),VLOOKUP!$M$3:$W$32,RIGHT(TEXT(B19,"0000"),1)+2,FALSE))</f>
        <v>2514</v>
      </c>
      <c r="AW19" s="494">
        <f t="shared" si="20"/>
        <v>27.863499999999998</v>
      </c>
      <c r="AX19" s="39">
        <f t="shared" si="21"/>
        <v>0</v>
      </c>
      <c r="AY19" s="39"/>
      <c r="AZ19" s="39"/>
      <c r="BA19" s="648"/>
      <c r="BB19" s="30"/>
      <c r="BC19" s="46"/>
      <c r="BD19" s="202">
        <v>0</v>
      </c>
      <c r="BE19" s="45">
        <v>82</v>
      </c>
      <c r="BF19" s="45">
        <v>42</v>
      </c>
      <c r="BG19" s="378"/>
      <c r="BH19" s="385">
        <f t="shared" si="9"/>
        <v>10.498524892647408</v>
      </c>
      <c r="BI19" s="681">
        <v>0.3</v>
      </c>
      <c r="BJ19" s="407">
        <v>4464</v>
      </c>
      <c r="BK19" s="296">
        <f t="shared" si="10"/>
        <v>0</v>
      </c>
      <c r="BL19" s="591">
        <f t="shared" si="11"/>
        <v>0</v>
      </c>
      <c r="BN19" s="574">
        <f t="shared" si="22"/>
        <v>5</v>
      </c>
      <c r="BO19" s="577">
        <v>6865.95</v>
      </c>
      <c r="BP19" s="575">
        <f t="shared" si="12"/>
        <v>2.0000000000436557E-2</v>
      </c>
      <c r="BQ19" s="576">
        <v>0</v>
      </c>
      <c r="BR19" s="576">
        <f t="shared" si="13"/>
        <v>5349.511822044311</v>
      </c>
    </row>
    <row r="20" spans="1:70" ht="12.95" customHeight="1">
      <c r="A20" s="48">
        <f t="shared" si="14"/>
        <v>6</v>
      </c>
      <c r="B20" s="104">
        <v>6865.68</v>
      </c>
      <c r="C20" s="483">
        <f>IF(B20="",C19,VLOOKUP(TRUNC(B20,1),VLOOKUP!$A$3:$K$2834,RIGHT(TEXT(B20,"0000.00"),1)+2,FALSE))</f>
        <v>176647</v>
      </c>
      <c r="D20" s="45">
        <f t="shared" si="15"/>
        <v>-723</v>
      </c>
      <c r="E20" s="55">
        <f t="shared" si="0"/>
        <v>24647</v>
      </c>
      <c r="F20" s="112">
        <f t="shared" si="1"/>
        <v>-364.5071842702294</v>
      </c>
      <c r="G20" s="47">
        <v>30.6</v>
      </c>
      <c r="H20" s="208">
        <v>0</v>
      </c>
      <c r="I20" s="47">
        <f t="shared" si="2"/>
        <v>30.6</v>
      </c>
      <c r="J20" s="42">
        <f t="shared" si="16"/>
        <v>0</v>
      </c>
      <c r="K20" s="47">
        <f t="shared" si="3"/>
        <v>30.6</v>
      </c>
      <c r="L20" s="47">
        <f t="shared" si="17"/>
        <v>-13.107184270229425</v>
      </c>
      <c r="M20" s="114">
        <v>148</v>
      </c>
      <c r="N20" s="610">
        <v>3.1</v>
      </c>
      <c r="O20" s="47">
        <f>3.7*1.05</f>
        <v>3.8850000000000002</v>
      </c>
      <c r="P20" s="39">
        <v>0</v>
      </c>
      <c r="Q20" s="144">
        <f>1572700/325851/1.9835*1.02</f>
        <v>2.4819601006015457</v>
      </c>
      <c r="R20" s="73">
        <f>IF(((4.9*1.04)-T21)&gt;=4.2,4.2,(4.9*1.04)-T21)</f>
        <v>4.0196166400000006</v>
      </c>
      <c r="S20" s="73">
        <f>IF(((4.9*1.04)-T21)&gt;=4.2,((4.9*1.04)-T21)-4.2,0)</f>
        <v>0</v>
      </c>
      <c r="T20" s="73">
        <f t="shared" si="23"/>
        <v>1.0763833600000001</v>
      </c>
      <c r="U20" s="131">
        <v>0</v>
      </c>
      <c r="V20" s="47">
        <v>116</v>
      </c>
      <c r="W20" s="627">
        <v>54</v>
      </c>
      <c r="X20" s="47">
        <f t="shared" si="4"/>
        <v>303.43703989939843</v>
      </c>
      <c r="Y20" s="47">
        <f t="shared" si="5"/>
        <v>303.43703989939843</v>
      </c>
      <c r="Z20" s="55"/>
      <c r="AA20" s="47"/>
      <c r="AB20" s="55"/>
      <c r="AC20" s="55"/>
      <c r="AD20" s="490"/>
      <c r="AF20" s="45">
        <f t="shared" si="24"/>
        <v>2641.6697160497465</v>
      </c>
      <c r="AG20" s="47">
        <v>39</v>
      </c>
      <c r="AH20" s="188">
        <v>1.7</v>
      </c>
      <c r="AI20" s="210">
        <v>1.3</v>
      </c>
      <c r="AJ20" s="47">
        <v>25</v>
      </c>
      <c r="AK20" s="55">
        <f t="shared" si="26"/>
        <v>5324.511822044311</v>
      </c>
      <c r="AL20" s="55"/>
      <c r="AM20" s="74">
        <f t="shared" si="6"/>
        <v>382</v>
      </c>
      <c r="AN20" s="47">
        <f t="shared" si="7"/>
        <v>13.107184270229425</v>
      </c>
      <c r="AO20" s="47">
        <f t="shared" si="8"/>
        <v>395.10718427022942</v>
      </c>
      <c r="AP20" s="203"/>
      <c r="AQ20" s="540"/>
      <c r="AR20" s="42"/>
      <c r="AS20" s="43">
        <f t="shared" si="25"/>
        <v>-281.03861663999999</v>
      </c>
      <c r="AT20" s="492">
        <v>0.18</v>
      </c>
      <c r="AU20" s="494">
        <f t="shared" si="19"/>
        <v>0.126</v>
      </c>
      <c r="AV20" s="494">
        <f>IF(AT20="",0,VLOOKUP(ROUNDDOWN(TEXT(B20,"0000"),-1),VLOOKUP!$M$3:$W$32,RIGHT(TEXT(B20,"0000"),1)+2,FALSE))</f>
        <v>2514</v>
      </c>
      <c r="AW20" s="494">
        <f t="shared" si="20"/>
        <v>26.397000000000002</v>
      </c>
      <c r="AX20" s="39">
        <f t="shared" si="21"/>
        <v>0</v>
      </c>
      <c r="AY20" s="39"/>
      <c r="AZ20" s="39"/>
      <c r="BA20" s="648"/>
      <c r="BB20" s="30"/>
      <c r="BC20" s="46"/>
      <c r="BD20" s="202">
        <v>0</v>
      </c>
      <c r="BE20" s="45">
        <v>83</v>
      </c>
      <c r="BF20" s="45">
        <v>44</v>
      </c>
      <c r="BG20" s="378"/>
      <c r="BH20" s="385">
        <f t="shared" si="9"/>
        <v>10.677960100601545</v>
      </c>
      <c r="BI20" s="681">
        <v>0.3</v>
      </c>
      <c r="BJ20" s="407">
        <v>4461</v>
      </c>
      <c r="BK20" s="296">
        <f t="shared" si="10"/>
        <v>0</v>
      </c>
      <c r="BL20" s="591">
        <f t="shared" si="11"/>
        <v>0</v>
      </c>
      <c r="BN20" s="574">
        <f t="shared" si="22"/>
        <v>6</v>
      </c>
      <c r="BO20" s="577">
        <v>6865.67</v>
      </c>
      <c r="BP20" s="575">
        <f t="shared" si="12"/>
        <v>1.0000000000218279E-2</v>
      </c>
      <c r="BQ20" s="576">
        <v>0</v>
      </c>
      <c r="BR20" s="576">
        <f t="shared" si="13"/>
        <v>5324.511822044311</v>
      </c>
    </row>
    <row r="21" spans="1:70" ht="12.95" customHeight="1">
      <c r="A21" s="48">
        <f t="shared" si="14"/>
        <v>7</v>
      </c>
      <c r="B21" s="104">
        <v>6865.37</v>
      </c>
      <c r="C21" s="483">
        <f>IF(B21="",C20,VLOOKUP(TRUNC(B21,1),VLOOKUP!$A$3:$K$2834,RIGHT(TEXT(B21,"0000.00"),1)+2,FALSE))</f>
        <v>175873</v>
      </c>
      <c r="D21" s="45">
        <f t="shared" si="15"/>
        <v>-774</v>
      </c>
      <c r="E21" s="55">
        <f t="shared" si="0"/>
        <v>23873</v>
      </c>
      <c r="F21" s="112">
        <f t="shared" si="1"/>
        <v>-390.21930930173932</v>
      </c>
      <c r="G21" s="47">
        <v>30.7</v>
      </c>
      <c r="H21" s="208">
        <v>0</v>
      </c>
      <c r="I21" s="47">
        <f t="shared" si="2"/>
        <v>30.7</v>
      </c>
      <c r="J21" s="42">
        <f t="shared" si="16"/>
        <v>0</v>
      </c>
      <c r="K21" s="47">
        <f t="shared" si="3"/>
        <v>30.7</v>
      </c>
      <c r="L21" s="47">
        <f t="shared" si="17"/>
        <v>-24.919309301739304</v>
      </c>
      <c r="M21" s="114">
        <v>152</v>
      </c>
      <c r="N21" s="610">
        <v>3.1</v>
      </c>
      <c r="O21" s="47">
        <f>3.5*1.05</f>
        <v>3.6750000000000003</v>
      </c>
      <c r="P21" s="39">
        <v>0</v>
      </c>
      <c r="Q21" s="144">
        <f>1615800/325851/1.9835*1.02</f>
        <v>2.5499784641393637</v>
      </c>
      <c r="R21" s="73">
        <f>IF(((4.8*1.04)-T22)&gt;=4.2,4.2,(4.8*1.04)-T22)</f>
        <v>3.9156166399999996</v>
      </c>
      <c r="S21" s="73">
        <f>IF(((4.8*1.04)-T22)&gt;=4.2,((4.8*1.04)-T22)-4.2,0)</f>
        <v>0</v>
      </c>
      <c r="T21" s="73">
        <f t="shared" si="23"/>
        <v>1.0763833600000001</v>
      </c>
      <c r="U21" s="131">
        <v>0</v>
      </c>
      <c r="V21" s="47">
        <v>115</v>
      </c>
      <c r="W21" s="627">
        <v>53</v>
      </c>
      <c r="X21" s="47">
        <f t="shared" si="4"/>
        <v>305.68302153586063</v>
      </c>
      <c r="Y21" s="47">
        <f t="shared" si="5"/>
        <v>305.68302153586063</v>
      </c>
      <c r="Z21" s="55"/>
      <c r="AA21" s="47"/>
      <c r="AB21" s="55"/>
      <c r="AC21" s="55"/>
      <c r="AD21" s="490"/>
      <c r="AF21" s="45">
        <f t="shared" si="24"/>
        <v>2358.5210994097465</v>
      </c>
      <c r="AG21" s="47">
        <v>51</v>
      </c>
      <c r="AH21" s="188">
        <v>1.7</v>
      </c>
      <c r="AI21" s="210">
        <v>1.3</v>
      </c>
      <c r="AJ21" s="47">
        <v>25</v>
      </c>
      <c r="AK21" s="55">
        <f t="shared" si="26"/>
        <v>5299.511822044311</v>
      </c>
      <c r="AL21" s="55"/>
      <c r="AM21" s="74">
        <f t="shared" si="6"/>
        <v>396</v>
      </c>
      <c r="AN21" s="47">
        <f t="shared" si="7"/>
        <v>24.919309301739304</v>
      </c>
      <c r="AO21" s="47">
        <f t="shared" si="8"/>
        <v>420.9193093017393</v>
      </c>
      <c r="AP21" s="203"/>
      <c r="AQ21" s="540"/>
      <c r="AR21" s="42"/>
      <c r="AS21" s="43">
        <f t="shared" si="25"/>
        <v>-283.14861664</v>
      </c>
      <c r="AT21" s="492">
        <v>0.16</v>
      </c>
      <c r="AU21" s="494">
        <f t="shared" si="19"/>
        <v>0.11199999999999999</v>
      </c>
      <c r="AV21" s="494">
        <f>IF(AT21="",0,VLOOKUP(ROUNDDOWN(TEXT(B21,"0000"),-1),VLOOKUP!$M$3:$W$32,RIGHT(TEXT(B21,"0000"),1)+2,FALSE))</f>
        <v>2476</v>
      </c>
      <c r="AW21" s="494">
        <f t="shared" si="20"/>
        <v>23.109333333333332</v>
      </c>
      <c r="AX21" s="39">
        <f t="shared" si="21"/>
        <v>0</v>
      </c>
      <c r="AY21" s="39"/>
      <c r="AZ21" s="39"/>
      <c r="BA21" s="648"/>
      <c r="BB21" s="30"/>
      <c r="BC21" s="46"/>
      <c r="BD21" s="202">
        <v>0</v>
      </c>
      <c r="BE21" s="45">
        <v>82</v>
      </c>
      <c r="BF21" s="45">
        <v>42</v>
      </c>
      <c r="BG21" s="378"/>
      <c r="BH21" s="385">
        <f t="shared" si="9"/>
        <v>10.641978464139363</v>
      </c>
      <c r="BI21" s="681">
        <v>0.3</v>
      </c>
      <c r="BJ21" s="407">
        <v>4459</v>
      </c>
      <c r="BK21" s="296">
        <f t="shared" si="10"/>
        <v>0</v>
      </c>
      <c r="BL21" s="591">
        <f t="shared" si="11"/>
        <v>0</v>
      </c>
      <c r="BN21" s="574">
        <f t="shared" si="22"/>
        <v>7</v>
      </c>
      <c r="BO21" s="559">
        <v>6865.36</v>
      </c>
      <c r="BP21" s="575">
        <f t="shared" si="12"/>
        <v>1.0000000000218279E-2</v>
      </c>
      <c r="BQ21" s="576">
        <v>0</v>
      </c>
      <c r="BR21" s="576">
        <f t="shared" si="13"/>
        <v>5299.511822044311</v>
      </c>
    </row>
    <row r="22" spans="1:70" ht="12.95" customHeight="1">
      <c r="A22" s="48">
        <f t="shared" si="14"/>
        <v>8</v>
      </c>
      <c r="B22" s="104">
        <v>6865.06</v>
      </c>
      <c r="C22" s="483">
        <f>IF(B22="",C21,VLOOKUP(TRUNC(B22,1),VLOOKUP!$A$3:$K$2834,RIGHT(TEXT(B22,"0000.00"),1)+2,FALSE))</f>
        <v>175100</v>
      </c>
      <c r="D22" s="45">
        <f t="shared" si="15"/>
        <v>-773</v>
      </c>
      <c r="E22" s="55">
        <f t="shared" si="0"/>
        <v>23100</v>
      </c>
      <c r="F22" s="112">
        <f t="shared" si="1"/>
        <v>-389.71514998739599</v>
      </c>
      <c r="G22" s="47">
        <v>30.8</v>
      </c>
      <c r="H22" s="208">
        <v>0</v>
      </c>
      <c r="I22" s="47">
        <f>G22+H22</f>
        <v>30.8</v>
      </c>
      <c r="J22" s="42">
        <f t="shared" si="16"/>
        <v>0</v>
      </c>
      <c r="K22" s="47">
        <f t="shared" si="3"/>
        <v>30.8</v>
      </c>
      <c r="L22" s="47">
        <f t="shared" si="17"/>
        <v>-11.515149987395944</v>
      </c>
      <c r="M22" s="114">
        <v>161</v>
      </c>
      <c r="N22" s="610">
        <v>3.1</v>
      </c>
      <c r="O22" s="47">
        <f>1.2*1.05</f>
        <v>1.26</v>
      </c>
      <c r="P22" s="39">
        <v>0</v>
      </c>
      <c r="Q22" s="144">
        <f>1611900/325851/1.9835*1.02</f>
        <v>2.5438236702229484</v>
      </c>
      <c r="R22" s="73">
        <f>IF(((4.5*1.04)-T23)&gt;=4.2,4.2,(4.5*1.04)-T23)</f>
        <v>3.6765955199999998</v>
      </c>
      <c r="S22" s="73">
        <f>IF(((4.5*1.04)-T23)&gt;=4.2,((4.5*1.04)-T23)-4.2,0)</f>
        <v>0</v>
      </c>
      <c r="T22" s="73">
        <f t="shared" si="23"/>
        <v>1.0763833600000001</v>
      </c>
      <c r="U22" s="131">
        <v>0</v>
      </c>
      <c r="V22" s="47">
        <v>116</v>
      </c>
      <c r="W22" s="627">
        <v>52</v>
      </c>
      <c r="X22" s="47">
        <f t="shared" si="4"/>
        <v>317.34319744977711</v>
      </c>
      <c r="Y22" s="47">
        <f t="shared" si="5"/>
        <v>317.34319744977711</v>
      </c>
      <c r="Z22" s="55"/>
      <c r="AA22" s="47"/>
      <c r="AB22" s="55"/>
      <c r="AC22" s="55"/>
      <c r="AD22" s="490"/>
      <c r="AF22" s="45">
        <f t="shared" si="24"/>
        <v>2064.0574827697465</v>
      </c>
      <c r="AG22" s="47">
        <v>55</v>
      </c>
      <c r="AH22" s="188">
        <v>1.7</v>
      </c>
      <c r="AI22" s="210">
        <v>1.3</v>
      </c>
      <c r="AJ22" s="47">
        <v>25</v>
      </c>
      <c r="AK22" s="55">
        <f t="shared" si="26"/>
        <v>5274.511822044311</v>
      </c>
      <c r="AL22" s="55"/>
      <c r="AM22" s="74">
        <f t="shared" si="6"/>
        <v>409.00000000000006</v>
      </c>
      <c r="AN22" s="47">
        <f t="shared" si="7"/>
        <v>11.515149987395944</v>
      </c>
      <c r="AO22" s="47">
        <f t="shared" si="8"/>
        <v>420.515149987396</v>
      </c>
      <c r="AP22" s="203"/>
      <c r="AQ22" s="540"/>
      <c r="AR22" s="42"/>
      <c r="AS22" s="43">
        <f t="shared" si="25"/>
        <v>-294.46361664000005</v>
      </c>
      <c r="AT22" s="492">
        <v>0.15</v>
      </c>
      <c r="AU22" s="494">
        <f t="shared" si="19"/>
        <v>0.105</v>
      </c>
      <c r="AV22" s="494">
        <f>IF(AT22="",0,VLOOKUP(ROUNDDOWN(TEXT(B22,"0000"),-1),VLOOKUP!$M$3:$W$32,RIGHT(TEXT(B22,"0000"),1)+2,FALSE))</f>
        <v>2476</v>
      </c>
      <c r="AW22" s="494">
        <f t="shared" si="20"/>
        <v>21.664999999999999</v>
      </c>
      <c r="AX22" s="39">
        <f t="shared" si="21"/>
        <v>0</v>
      </c>
      <c r="AY22" s="39"/>
      <c r="AZ22" s="39"/>
      <c r="BA22" s="648"/>
      <c r="BB22" s="30"/>
      <c r="BC22" s="46"/>
      <c r="BD22" s="202">
        <v>0</v>
      </c>
      <c r="BE22" s="45">
        <v>81</v>
      </c>
      <c r="BF22" s="45">
        <v>42</v>
      </c>
      <c r="BG22" s="378"/>
      <c r="BH22" s="385">
        <f t="shared" si="9"/>
        <v>10.396802550222947</v>
      </c>
      <c r="BI22" s="681">
        <v>0.3</v>
      </c>
      <c r="BJ22" s="407">
        <v>4456</v>
      </c>
      <c r="BK22" s="296">
        <f t="shared" si="10"/>
        <v>0</v>
      </c>
      <c r="BL22" s="591">
        <f t="shared" si="11"/>
        <v>0</v>
      </c>
      <c r="BN22" s="574">
        <f t="shared" si="22"/>
        <v>8</v>
      </c>
      <c r="BO22" s="559">
        <v>6865.04</v>
      </c>
      <c r="BP22" s="575">
        <f t="shared" si="12"/>
        <v>2.0000000000436557E-2</v>
      </c>
      <c r="BQ22" s="576">
        <v>0</v>
      </c>
      <c r="BR22" s="576">
        <f t="shared" si="13"/>
        <v>5274.511822044311</v>
      </c>
    </row>
    <row r="23" spans="1:70" ht="12.95" customHeight="1">
      <c r="A23" s="48">
        <f t="shared" si="14"/>
        <v>9</v>
      </c>
      <c r="B23" s="104">
        <v>6864.78</v>
      </c>
      <c r="C23" s="483">
        <f>IF(B23="",C22,VLOOKUP(TRUNC(B23,1),VLOOKUP!$A$3:$K$2834,RIGHT(TEXT(B23,"0000.00"),1)+2,FALSE))</f>
        <v>174410</v>
      </c>
      <c r="D23" s="45">
        <f t="shared" si="15"/>
        <v>-690</v>
      </c>
      <c r="E23" s="55">
        <f t="shared" si="0"/>
        <v>22410</v>
      </c>
      <c r="F23" s="112">
        <f t="shared" si="1"/>
        <v>-347.86992689689941</v>
      </c>
      <c r="G23" s="47">
        <v>30.9</v>
      </c>
      <c r="H23" s="208">
        <v>0</v>
      </c>
      <c r="I23" s="47">
        <f t="shared" si="2"/>
        <v>30.9</v>
      </c>
      <c r="J23" s="42">
        <f t="shared" si="16"/>
        <v>0</v>
      </c>
      <c r="K23" s="47">
        <f t="shared" si="3"/>
        <v>30.9</v>
      </c>
      <c r="L23" s="47">
        <f t="shared" si="17"/>
        <v>-9.8699268968994147</v>
      </c>
      <c r="M23" s="114">
        <v>168</v>
      </c>
      <c r="N23" s="610">
        <v>0.1</v>
      </c>
      <c r="O23" s="47">
        <f>7.8*1.05</f>
        <v>8.19</v>
      </c>
      <c r="P23" s="39">
        <v>0</v>
      </c>
      <c r="Q23" s="144">
        <f>1467600/325851/1.9835*1.02</f>
        <v>2.3160962953155897</v>
      </c>
      <c r="R23" s="73">
        <f>IF(((4*1.04)-T24)&gt;=4.2,4.2,(4*1.04)-T24)</f>
        <v>3.1565955200000002</v>
      </c>
      <c r="S23" s="73">
        <f>IF(((4*1.04)-T24)&gt;=4.2,((4*1.04)-T24)-4.2,0)</f>
        <v>0</v>
      </c>
      <c r="T23" s="73">
        <f>(0.9102*1.06)*1.04</f>
        <v>1.0034044799999999</v>
      </c>
      <c r="U23" s="131">
        <v>0</v>
      </c>
      <c r="V23" s="47">
        <v>120</v>
      </c>
      <c r="W23" s="627">
        <v>52</v>
      </c>
      <c r="X23" s="47">
        <f t="shared" si="4"/>
        <v>325.23390370468439</v>
      </c>
      <c r="Y23" s="47">
        <f t="shared" si="5"/>
        <v>325.23390370468439</v>
      </c>
      <c r="Z23" s="55"/>
      <c r="AA23" s="47"/>
      <c r="AB23" s="55"/>
      <c r="AC23" s="55"/>
      <c r="AD23" s="490"/>
      <c r="AF23" s="45">
        <f t="shared" si="24"/>
        <v>1762.5508872497464</v>
      </c>
      <c r="AG23" s="47">
        <v>3.9</v>
      </c>
      <c r="AH23" s="188">
        <v>1.7</v>
      </c>
      <c r="AI23" s="210">
        <v>1.3</v>
      </c>
      <c r="AJ23" s="47">
        <v>25</v>
      </c>
      <c r="AK23" s="55">
        <f t="shared" si="26"/>
        <v>5249.511822044311</v>
      </c>
      <c r="AL23" s="55"/>
      <c r="AM23" s="74">
        <f t="shared" si="6"/>
        <v>368.9</v>
      </c>
      <c r="AN23" s="47">
        <f t="shared" si="7"/>
        <v>9.8699268968994147</v>
      </c>
      <c r="AO23" s="47">
        <f t="shared" si="8"/>
        <v>378.76992689689939</v>
      </c>
      <c r="AP23" s="203"/>
      <c r="AQ23" s="540"/>
      <c r="AR23" s="42"/>
      <c r="AS23" s="43">
        <f t="shared" si="25"/>
        <v>-301.50659551999996</v>
      </c>
      <c r="AT23" s="492">
        <v>0.16</v>
      </c>
      <c r="AU23" s="494">
        <f t="shared" si="19"/>
        <v>0.11199999999999999</v>
      </c>
      <c r="AV23" s="494">
        <f>IF(AT23="",0,VLOOKUP(ROUNDDOWN(TEXT(B23,"0000"),-1),VLOOKUP!$M$3:$W$32,RIGHT(TEXT(B23,"0000"),1)+2,FALSE))</f>
        <v>2476</v>
      </c>
      <c r="AW23" s="494">
        <f t="shared" si="20"/>
        <v>23.109333333333332</v>
      </c>
      <c r="AX23" s="39">
        <f t="shared" si="21"/>
        <v>0</v>
      </c>
      <c r="AY23" s="39"/>
      <c r="AZ23" s="39"/>
      <c r="BA23" s="648"/>
      <c r="BB23" s="30"/>
      <c r="BC23" s="46"/>
      <c r="BD23" s="202">
        <v>0</v>
      </c>
      <c r="BE23" s="56">
        <v>79</v>
      </c>
      <c r="BF23" s="45">
        <v>43</v>
      </c>
      <c r="BG23" s="378"/>
      <c r="BH23" s="385">
        <f t="shared" si="9"/>
        <v>6.5760962953155904</v>
      </c>
      <c r="BI23" s="681">
        <v>0.3</v>
      </c>
      <c r="BJ23" s="407">
        <v>4454</v>
      </c>
      <c r="BK23" s="296">
        <f t="shared" si="10"/>
        <v>0</v>
      </c>
      <c r="BL23" s="591">
        <f t="shared" si="11"/>
        <v>0</v>
      </c>
      <c r="BN23" s="574">
        <f t="shared" si="22"/>
        <v>9</v>
      </c>
      <c r="BO23" s="559">
        <v>6864.77</v>
      </c>
      <c r="BP23" s="575">
        <f t="shared" si="12"/>
        <v>9.999999999308784E-3</v>
      </c>
      <c r="BQ23" s="576">
        <v>0</v>
      </c>
      <c r="BR23" s="576">
        <f t="shared" si="13"/>
        <v>5249.511822044311</v>
      </c>
    </row>
    <row r="24" spans="1:70" ht="12.95" customHeight="1">
      <c r="A24" s="48">
        <f t="shared" si="14"/>
        <v>10</v>
      </c>
      <c r="B24" s="104">
        <v>6864.52</v>
      </c>
      <c r="C24" s="483">
        <f>IF(B24="",C23,VLOOKUP(TRUNC(B24,1),VLOOKUP!$A$3:$K$2834,RIGHT(TEXT(B24,"0000.00"),1)+2,FALSE))</f>
        <v>173771</v>
      </c>
      <c r="D24" s="45">
        <f t="shared" si="15"/>
        <v>-639</v>
      </c>
      <c r="E24" s="55">
        <f t="shared" si="0"/>
        <v>21771</v>
      </c>
      <c r="F24" s="112">
        <f t="shared" si="1"/>
        <v>-322.15780186538944</v>
      </c>
      <c r="G24" s="47">
        <v>31.1</v>
      </c>
      <c r="H24" s="208">
        <v>0</v>
      </c>
      <c r="I24" s="47">
        <f t="shared" si="2"/>
        <v>31.1</v>
      </c>
      <c r="J24" s="42">
        <f t="shared" si="16"/>
        <v>0</v>
      </c>
      <c r="K24" s="47">
        <f t="shared" si="3"/>
        <v>31.1</v>
      </c>
      <c r="L24" s="47">
        <f t="shared" si="17"/>
        <v>-7.2578018653894674</v>
      </c>
      <c r="M24" s="114">
        <v>149</v>
      </c>
      <c r="N24" s="610">
        <v>0</v>
      </c>
      <c r="O24" s="47">
        <f>7.1*1.05</f>
        <v>7.4550000000000001</v>
      </c>
      <c r="P24" s="39">
        <v>0</v>
      </c>
      <c r="Q24" s="144">
        <f>1580400/325851/1.9835*1.02</f>
        <v>2.4941118732057497</v>
      </c>
      <c r="R24" s="73">
        <f>IF(((4.1*1.04)-T25)&gt;=4.2,4.2,(4.1*1.04)-T25)</f>
        <v>3.2605955199999994</v>
      </c>
      <c r="S24" s="73">
        <f>IF(((4.1*1.04)-T25)&gt;=4.2,((4.1*1.04)-T25)-4.2,0)</f>
        <v>0</v>
      </c>
      <c r="T24" s="73">
        <f t="shared" ref="T24:T29" si="27">(0.9102*1.06)*1.04</f>
        <v>1.0034044799999999</v>
      </c>
      <c r="U24" s="131">
        <v>0</v>
      </c>
      <c r="V24" s="47">
        <v>120</v>
      </c>
      <c r="W24" s="627">
        <v>52</v>
      </c>
      <c r="X24" s="47">
        <f t="shared" si="4"/>
        <v>306.78688812679422</v>
      </c>
      <c r="Y24" s="47">
        <f t="shared" si="5"/>
        <v>306.78688812679422</v>
      </c>
      <c r="Z24" s="55"/>
      <c r="AA24" s="47"/>
      <c r="AB24" s="55"/>
      <c r="AC24" s="55"/>
      <c r="AD24" s="490"/>
      <c r="AF24" s="45">
        <f t="shared" si="24"/>
        <v>1479.4092917297464</v>
      </c>
      <c r="AG24" s="47">
        <v>0</v>
      </c>
      <c r="AH24" s="188">
        <v>1.7</v>
      </c>
      <c r="AI24" s="210">
        <v>1.3</v>
      </c>
      <c r="AJ24" s="47">
        <v>25</v>
      </c>
      <c r="AK24" s="55">
        <f t="shared" si="26"/>
        <v>5224.511822044311</v>
      </c>
      <c r="AL24" s="55"/>
      <c r="AM24" s="74">
        <f t="shared" si="6"/>
        <v>346</v>
      </c>
      <c r="AN24" s="47">
        <f t="shared" si="7"/>
        <v>7.2578018653894674</v>
      </c>
      <c r="AO24" s="47">
        <f t="shared" si="8"/>
        <v>353.25780186538947</v>
      </c>
      <c r="AP24" s="203"/>
      <c r="AQ24" s="540"/>
      <c r="AR24" s="42"/>
      <c r="AS24" s="43">
        <f t="shared" si="25"/>
        <v>-283.14159551999995</v>
      </c>
      <c r="AT24" s="492">
        <v>0.16</v>
      </c>
      <c r="AU24" s="494">
        <f t="shared" si="19"/>
        <v>0.11199999999999999</v>
      </c>
      <c r="AV24" s="494">
        <f>IF(AT24="",0,VLOOKUP(ROUNDDOWN(TEXT(B24,"0000"),-1),VLOOKUP!$M$3:$W$32,RIGHT(TEXT(B24,"0000"),1)+2,FALSE))</f>
        <v>2476</v>
      </c>
      <c r="AW24" s="494">
        <f t="shared" si="20"/>
        <v>23.109333333333332</v>
      </c>
      <c r="AX24" s="39">
        <f t="shared" si="21"/>
        <v>0</v>
      </c>
      <c r="AY24" s="39"/>
      <c r="AZ24" s="39"/>
      <c r="BA24" s="648"/>
      <c r="BB24" s="30"/>
      <c r="BC24" s="46"/>
      <c r="BD24" s="202">
        <v>0</v>
      </c>
      <c r="BE24" s="45">
        <v>78</v>
      </c>
      <c r="BF24" s="45">
        <v>44</v>
      </c>
      <c r="BG24" s="378"/>
      <c r="BH24" s="385">
        <f t="shared" si="9"/>
        <v>6.758111873205749</v>
      </c>
      <c r="BI24" s="681">
        <v>0.3</v>
      </c>
      <c r="BJ24" s="407">
        <v>4451</v>
      </c>
      <c r="BK24" s="296">
        <f t="shared" si="10"/>
        <v>0</v>
      </c>
      <c r="BL24" s="591">
        <f t="shared" si="11"/>
        <v>0</v>
      </c>
      <c r="BN24" s="574">
        <f t="shared" si="22"/>
        <v>10</v>
      </c>
      <c r="BO24" s="559">
        <v>6864.5</v>
      </c>
      <c r="BP24" s="575">
        <f t="shared" si="12"/>
        <v>2.0000000000436557E-2</v>
      </c>
      <c r="BQ24" s="576">
        <v>0</v>
      </c>
      <c r="BR24" s="576">
        <f t="shared" si="13"/>
        <v>5224.511822044311</v>
      </c>
    </row>
    <row r="25" spans="1:70" ht="12.75" customHeight="1">
      <c r="A25" s="48">
        <f t="shared" si="14"/>
        <v>11</v>
      </c>
      <c r="B25" s="104">
        <v>6864.23</v>
      </c>
      <c r="C25" s="483">
        <f>IF(B25="",C24,VLOOKUP(TRUNC(B25,1),VLOOKUP!$A$3:$K$2834,RIGHT(TEXT(B25,"0000.00"),1)+2,FALSE))</f>
        <v>173058</v>
      </c>
      <c r="D25" s="45">
        <f t="shared" si="15"/>
        <v>-713</v>
      </c>
      <c r="E25" s="55">
        <f t="shared" si="0"/>
        <v>21058</v>
      </c>
      <c r="F25" s="112">
        <f t="shared" si="1"/>
        <v>-359.46559112679608</v>
      </c>
      <c r="G25" s="47">
        <v>32.5</v>
      </c>
      <c r="H25" s="208">
        <v>0</v>
      </c>
      <c r="I25" s="47">
        <f t="shared" si="2"/>
        <v>32.5</v>
      </c>
      <c r="J25" s="42">
        <f t="shared" si="16"/>
        <v>0</v>
      </c>
      <c r="K25" s="47">
        <f t="shared" si="3"/>
        <v>32.5</v>
      </c>
      <c r="L25" s="47">
        <f t="shared" si="17"/>
        <v>-33.965591126796028</v>
      </c>
      <c r="M25" s="114">
        <v>146</v>
      </c>
      <c r="N25" s="610">
        <v>0</v>
      </c>
      <c r="O25" s="47">
        <f>0.26*1.05</f>
        <v>0.27300000000000002</v>
      </c>
      <c r="P25" s="39">
        <v>0</v>
      </c>
      <c r="Q25" s="144">
        <f>1709100/325851/1.9835*1.02</f>
        <v>2.6972200724474478</v>
      </c>
      <c r="R25" s="73">
        <f>IF(((4.3*1.04)-T26)&gt;=4.2,4.2,(4.3*1.04)-T26)</f>
        <v>3.4685955199999996</v>
      </c>
      <c r="S25" s="73">
        <f>IF(((4.3*1.04)-T26)&gt;=4.2,((4.3*1.04)-T26)-4.2,0)</f>
        <v>0</v>
      </c>
      <c r="T25" s="73">
        <f t="shared" si="27"/>
        <v>1.0034044799999999</v>
      </c>
      <c r="U25" s="131">
        <v>0</v>
      </c>
      <c r="V25" s="47">
        <v>120</v>
      </c>
      <c r="W25" s="627">
        <v>51</v>
      </c>
      <c r="X25" s="47">
        <f t="shared" si="4"/>
        <v>309.55777992755259</v>
      </c>
      <c r="Y25" s="47">
        <f t="shared" si="5"/>
        <v>309.55777992755259</v>
      </c>
      <c r="Z25" s="55"/>
      <c r="AA25" s="47"/>
      <c r="AB25" s="55"/>
      <c r="AC25" s="55"/>
      <c r="AD25" s="490"/>
      <c r="AF25" s="45">
        <f t="shared" si="24"/>
        <v>1194.4856962097465</v>
      </c>
      <c r="AG25" s="47">
        <v>16</v>
      </c>
      <c r="AH25" s="188">
        <v>1.7</v>
      </c>
      <c r="AI25" s="210">
        <v>1.3</v>
      </c>
      <c r="AJ25" s="47">
        <v>25</v>
      </c>
      <c r="AK25" s="55">
        <f t="shared" si="26"/>
        <v>5199.511822044311</v>
      </c>
      <c r="AL25" s="55"/>
      <c r="AM25" s="74">
        <f t="shared" si="6"/>
        <v>358.00000000000006</v>
      </c>
      <c r="AN25" s="47">
        <f t="shared" si="7"/>
        <v>33.965591126796028</v>
      </c>
      <c r="AO25" s="47">
        <f t="shared" si="8"/>
        <v>391.96559112679608</v>
      </c>
      <c r="AP25" s="203"/>
      <c r="AQ25" s="540"/>
      <c r="AR25" s="42"/>
      <c r="AS25" s="43">
        <f t="shared" si="25"/>
        <v>-284.92359552000005</v>
      </c>
      <c r="AT25" s="492">
        <v>0.12</v>
      </c>
      <c r="AU25" s="494">
        <f t="shared" si="19"/>
        <v>8.3999999999999991E-2</v>
      </c>
      <c r="AV25" s="494">
        <f>IF(AT25="",0,VLOOKUP(ROUNDDOWN(TEXT(B25,"0000"),-1),VLOOKUP!$M$3:$W$32,RIGHT(TEXT(B25,"0000"),1)+2,FALSE))</f>
        <v>2437</v>
      </c>
      <c r="AW25" s="494">
        <f t="shared" si="20"/>
        <v>17.058999999999997</v>
      </c>
      <c r="AX25" s="39">
        <f t="shared" si="21"/>
        <v>0</v>
      </c>
      <c r="AY25" s="39"/>
      <c r="AZ25" s="39"/>
      <c r="BA25" s="648"/>
      <c r="BB25" s="30"/>
      <c r="BC25" s="46"/>
      <c r="BD25" s="202">
        <v>0</v>
      </c>
      <c r="BE25" s="45">
        <v>74</v>
      </c>
      <c r="BF25" s="45">
        <v>37</v>
      </c>
      <c r="BG25" s="378"/>
      <c r="BH25" s="385">
        <f t="shared" si="9"/>
        <v>7.1692200724474482</v>
      </c>
      <c r="BI25" s="681">
        <v>0.3</v>
      </c>
      <c r="BJ25" s="407">
        <v>4447</v>
      </c>
      <c r="BK25" s="296">
        <f t="shared" si="10"/>
        <v>0</v>
      </c>
      <c r="BL25" s="591">
        <f t="shared" si="11"/>
        <v>0</v>
      </c>
      <c r="BN25" s="574">
        <f t="shared" si="22"/>
        <v>11</v>
      </c>
      <c r="BO25" s="559">
        <v>6864.24</v>
      </c>
      <c r="BP25" s="575">
        <f t="shared" si="12"/>
        <v>-1.0000000000218279E-2</v>
      </c>
      <c r="BQ25" s="576">
        <v>0</v>
      </c>
      <c r="BR25" s="576">
        <f t="shared" si="13"/>
        <v>5199.511822044311</v>
      </c>
    </row>
    <row r="26" spans="1:70" ht="12.95" customHeight="1">
      <c r="A26" s="48">
        <f t="shared" si="14"/>
        <v>12</v>
      </c>
      <c r="B26" s="104">
        <v>6863.98</v>
      </c>
      <c r="C26" s="483">
        <f>IF(B26="",C25,VLOOKUP(TRUNC(B26,1),VLOOKUP!$A$3:$K$2834,RIGHT(TEXT(B26,"0000.00"),1)+2,FALSE))</f>
        <v>172445</v>
      </c>
      <c r="D26" s="45">
        <f t="shared" si="15"/>
        <v>-613</v>
      </c>
      <c r="E26" s="55">
        <f t="shared" si="0"/>
        <v>20445</v>
      </c>
      <c r="F26" s="112">
        <f t="shared" si="1"/>
        <v>-309.0496596924628</v>
      </c>
      <c r="G26" s="47">
        <v>32.9</v>
      </c>
      <c r="H26" s="208">
        <v>0</v>
      </c>
      <c r="I26" s="47">
        <f t="shared" si="2"/>
        <v>32.9</v>
      </c>
      <c r="J26" s="42">
        <f t="shared" si="16"/>
        <v>0</v>
      </c>
      <c r="K26" s="47">
        <f t="shared" si="3"/>
        <v>32.9</v>
      </c>
      <c r="L26" s="47">
        <f t="shared" si="17"/>
        <v>-12.549659692462797</v>
      </c>
      <c r="M26" s="114">
        <v>131</v>
      </c>
      <c r="N26" s="610">
        <v>0</v>
      </c>
      <c r="O26" s="47">
        <f>4.8*1.05</f>
        <v>5.04</v>
      </c>
      <c r="P26" s="39">
        <v>0</v>
      </c>
      <c r="Q26" s="144">
        <f>1316500/325851/1.9835*1.02</f>
        <v>2.0776374848616612</v>
      </c>
      <c r="R26" s="73">
        <f>IF(((4.3*1.04)-T27)&gt;=4.2,4.2,(4.3*1.04)-T27)</f>
        <v>3.4685955199999996</v>
      </c>
      <c r="S26" s="73">
        <f>IF(((4.3*1.04)-T27)&gt;=4.2,((4.3*1.04)-T27)-4.2,0)</f>
        <v>0</v>
      </c>
      <c r="T26" s="73">
        <f t="shared" si="27"/>
        <v>1.0034044799999999</v>
      </c>
      <c r="U26" s="131">
        <v>0</v>
      </c>
      <c r="V26" s="47">
        <v>120</v>
      </c>
      <c r="W26" s="627">
        <v>51</v>
      </c>
      <c r="X26" s="47">
        <f t="shared" si="4"/>
        <v>290.41036251513833</v>
      </c>
      <c r="Y26" s="47">
        <f t="shared" si="5"/>
        <v>229.41036251513833</v>
      </c>
      <c r="Z26" s="55"/>
      <c r="AA26" s="47"/>
      <c r="AB26" s="55"/>
      <c r="AC26" s="55"/>
      <c r="AD26" s="490"/>
      <c r="AF26" s="45">
        <f t="shared" si="24"/>
        <v>929.72910068974647</v>
      </c>
      <c r="AG26" s="47">
        <v>2.4</v>
      </c>
      <c r="AH26" s="188">
        <v>1.7</v>
      </c>
      <c r="AI26" s="210">
        <v>1.3</v>
      </c>
      <c r="AJ26" s="47">
        <v>25</v>
      </c>
      <c r="AK26" s="55">
        <f t="shared" si="26"/>
        <v>5174.511822044311</v>
      </c>
      <c r="AL26" s="55"/>
      <c r="AM26" s="74">
        <f t="shared" si="6"/>
        <v>329.4</v>
      </c>
      <c r="AN26" s="47">
        <f t="shared" si="7"/>
        <v>12.549659692462797</v>
      </c>
      <c r="AO26" s="47">
        <f t="shared" si="8"/>
        <v>341.94965969246277</v>
      </c>
      <c r="AP26" s="203"/>
      <c r="AQ26" s="540"/>
      <c r="AR26" s="42">
        <v>61</v>
      </c>
      <c r="AS26" s="43">
        <f t="shared" si="25"/>
        <v>-264.75659551999996</v>
      </c>
      <c r="AT26" s="492">
        <v>0.1</v>
      </c>
      <c r="AU26" s="494">
        <f t="shared" si="19"/>
        <v>6.9999999999999993E-2</v>
      </c>
      <c r="AV26" s="494">
        <f>IF(AT26="",0,VLOOKUP(ROUNDDOWN(TEXT(B26,"0000"),-1),VLOOKUP!$M$3:$W$32,RIGHT(TEXT(B26,"0000"),1)+2,FALSE))</f>
        <v>2437</v>
      </c>
      <c r="AW26" s="494">
        <f t="shared" si="20"/>
        <v>14.215833333333332</v>
      </c>
      <c r="AX26" s="39">
        <f t="shared" si="21"/>
        <v>0</v>
      </c>
      <c r="AY26" s="39"/>
      <c r="AZ26" s="39"/>
      <c r="BA26" s="648"/>
      <c r="BB26" s="30"/>
      <c r="BC26" s="46"/>
      <c r="BD26" s="202">
        <v>0</v>
      </c>
      <c r="BE26" s="45">
        <v>71</v>
      </c>
      <c r="BF26" s="45">
        <v>31</v>
      </c>
      <c r="BG26" s="378"/>
      <c r="BH26" s="385">
        <f t="shared" si="9"/>
        <v>6.5496374848616608</v>
      </c>
      <c r="BI26" s="681">
        <v>0.3</v>
      </c>
      <c r="BJ26" s="407">
        <v>4444</v>
      </c>
      <c r="BK26" s="296">
        <f t="shared" si="10"/>
        <v>0</v>
      </c>
      <c r="BL26" s="591">
        <f t="shared" si="11"/>
        <v>0</v>
      </c>
      <c r="BN26" s="574">
        <f t="shared" si="22"/>
        <v>12</v>
      </c>
      <c r="BO26" s="559">
        <v>6863.98</v>
      </c>
      <c r="BP26" s="575">
        <f t="shared" si="12"/>
        <v>0</v>
      </c>
      <c r="BQ26" s="576">
        <v>0</v>
      </c>
      <c r="BR26" s="576">
        <f t="shared" si="13"/>
        <v>5174.511822044311</v>
      </c>
    </row>
    <row r="27" spans="1:70" ht="12.95" customHeight="1">
      <c r="A27" s="48">
        <f t="shared" si="14"/>
        <v>13</v>
      </c>
      <c r="B27" s="104">
        <v>6863.73</v>
      </c>
      <c r="C27" s="483">
        <f>IF(B27="",C26,VLOOKUP(TRUNC(B27,1),VLOOKUP!$A$3:$K$2834,RIGHT(TEXT(B27,"0000.00"),1)+2,FALSE))</f>
        <v>171841</v>
      </c>
      <c r="D27" s="45">
        <f t="shared" si="15"/>
        <v>-604</v>
      </c>
      <c r="E27" s="55">
        <f t="shared" si="0"/>
        <v>19841</v>
      </c>
      <c r="F27" s="112">
        <f t="shared" si="1"/>
        <v>-304.51222586337281</v>
      </c>
      <c r="G27" s="47">
        <v>31.7</v>
      </c>
      <c r="H27" s="208">
        <v>0</v>
      </c>
      <c r="I27" s="47">
        <f t="shared" si="2"/>
        <v>31.7</v>
      </c>
      <c r="J27" s="42">
        <f t="shared" si="16"/>
        <v>0</v>
      </c>
      <c r="K27" s="47">
        <f t="shared" si="3"/>
        <v>31.7</v>
      </c>
      <c r="L27" s="47">
        <f t="shared" si="17"/>
        <v>-10.112225863372714</v>
      </c>
      <c r="M27" s="114">
        <v>123</v>
      </c>
      <c r="N27" s="610">
        <v>0.1</v>
      </c>
      <c r="O27" s="47">
        <f>16*1.05</f>
        <v>16.8</v>
      </c>
      <c r="P27" s="39">
        <v>0</v>
      </c>
      <c r="Q27" s="144">
        <f>1356300/325851/1.9835*1.02</f>
        <v>2.1404479458548207</v>
      </c>
      <c r="R27" s="73">
        <f>IF(((5.4*1.04)-T28)&gt;=4.2,4.2,(5.4*1.04)-T28)</f>
        <v>4.2</v>
      </c>
      <c r="S27" s="73">
        <f>IF(((5.4*1.04)-T28)&gt;=4.2,((5.4*1.04)-T28)-4.2,0)</f>
        <v>0.41259552000000088</v>
      </c>
      <c r="T27" s="73">
        <f t="shared" si="27"/>
        <v>1.0034044799999999</v>
      </c>
      <c r="U27" s="131">
        <v>0</v>
      </c>
      <c r="V27" s="47">
        <v>120</v>
      </c>
      <c r="W27" s="627">
        <v>49</v>
      </c>
      <c r="X27" s="47">
        <f t="shared" si="4"/>
        <v>267.34355205414522</v>
      </c>
      <c r="Y27" s="47">
        <f t="shared" si="5"/>
        <v>206.34355205414522</v>
      </c>
      <c r="Z27" s="55"/>
      <c r="AA27" s="47"/>
      <c r="AB27" s="55"/>
      <c r="AC27" s="55"/>
      <c r="AD27" s="490"/>
      <c r="AF27" s="45">
        <f t="shared" si="24"/>
        <v>686.0451006897465</v>
      </c>
      <c r="AG27" s="47">
        <v>9.1</v>
      </c>
      <c r="AH27" s="188">
        <v>1.7</v>
      </c>
      <c r="AI27" s="210">
        <v>1.3</v>
      </c>
      <c r="AJ27" s="47">
        <v>25</v>
      </c>
      <c r="AK27" s="55">
        <f t="shared" si="26"/>
        <v>5149.511822044311</v>
      </c>
      <c r="AL27" s="55"/>
      <c r="AM27" s="74">
        <f t="shared" si="6"/>
        <v>326.10000000000008</v>
      </c>
      <c r="AN27" s="47">
        <f t="shared" si="7"/>
        <v>10.112225863372714</v>
      </c>
      <c r="AO27" s="47">
        <f t="shared" si="8"/>
        <v>336.21222586337279</v>
      </c>
      <c r="AP27" s="203"/>
      <c r="AQ27" s="540"/>
      <c r="AR27" s="42">
        <v>61</v>
      </c>
      <c r="AS27" s="43">
        <f t="shared" si="25"/>
        <v>-243.68400000000003</v>
      </c>
      <c r="AT27" s="492">
        <v>0.11</v>
      </c>
      <c r="AU27" s="494">
        <f>AT27*0.7</f>
        <v>7.6999999999999999E-2</v>
      </c>
      <c r="AV27" s="494">
        <f>IF(AT27="",0,VLOOKUP(ROUNDDOWN(TEXT(B27,"0000"),-1),VLOOKUP!$M$3:$W$32,RIGHT(TEXT(B27,"0000"),1)+2,FALSE))</f>
        <v>2437</v>
      </c>
      <c r="AW27" s="494">
        <f t="shared" si="20"/>
        <v>15.637416666666667</v>
      </c>
      <c r="AX27" s="39">
        <f t="shared" si="21"/>
        <v>0</v>
      </c>
      <c r="AY27" s="39"/>
      <c r="AZ27" s="39"/>
      <c r="BA27" s="648"/>
      <c r="BB27" s="30"/>
      <c r="BC27" s="46"/>
      <c r="BD27" s="202">
        <v>0</v>
      </c>
      <c r="BE27" s="45">
        <v>77</v>
      </c>
      <c r="BF27" s="45">
        <v>38</v>
      </c>
      <c r="BG27" s="378"/>
      <c r="BH27" s="385">
        <f t="shared" si="9"/>
        <v>7.8564479458548213</v>
      </c>
      <c r="BI27" s="681">
        <v>0.3</v>
      </c>
      <c r="BJ27" s="407">
        <v>4442</v>
      </c>
      <c r="BK27" s="296">
        <f t="shared" si="10"/>
        <v>0</v>
      </c>
      <c r="BL27" s="591">
        <f t="shared" si="11"/>
        <v>0</v>
      </c>
      <c r="BN27" s="574">
        <f t="shared" si="22"/>
        <v>13</v>
      </c>
      <c r="BO27" s="559">
        <v>6863.72</v>
      </c>
      <c r="BP27" s="575">
        <f t="shared" si="12"/>
        <v>9.999999999308784E-3</v>
      </c>
      <c r="BQ27" s="576">
        <v>4.7291666666666607</v>
      </c>
      <c r="BR27" s="576">
        <f t="shared" si="13"/>
        <v>5144.782655377644</v>
      </c>
    </row>
    <row r="28" spans="1:70" ht="12.95" customHeight="1">
      <c r="A28" s="48">
        <f t="shared" si="14"/>
        <v>14</v>
      </c>
      <c r="B28" s="104">
        <v>6863.48</v>
      </c>
      <c r="C28" s="483">
        <f>IF(B28="",C27,VLOOKUP(TRUNC(B28,1),VLOOKUP!$A$3:$K$2834,RIGHT(TEXT(B28,"0000.00"),1)+2,FALSE))</f>
        <v>171237</v>
      </c>
      <c r="D28" s="45">
        <f t="shared" si="15"/>
        <v>-604</v>
      </c>
      <c r="E28" s="55">
        <f t="shared" si="0"/>
        <v>19237</v>
      </c>
      <c r="F28" s="112">
        <f t="shared" si="1"/>
        <v>-304.51222586337281</v>
      </c>
      <c r="G28" s="47">
        <v>32.5</v>
      </c>
      <c r="H28" s="208">
        <v>0</v>
      </c>
      <c r="I28" s="47">
        <f t="shared" si="2"/>
        <v>32.5</v>
      </c>
      <c r="J28" s="42">
        <f t="shared" si="16"/>
        <v>0</v>
      </c>
      <c r="K28" s="47">
        <f t="shared" si="3"/>
        <v>32.5</v>
      </c>
      <c r="L28" s="47">
        <f t="shared" si="17"/>
        <v>-30.012225863372805</v>
      </c>
      <c r="M28" s="114">
        <v>120</v>
      </c>
      <c r="N28" s="610">
        <v>0.1</v>
      </c>
      <c r="O28" s="47">
        <f>19*1.05</f>
        <v>19.95</v>
      </c>
      <c r="P28" s="39">
        <v>0</v>
      </c>
      <c r="Q28" s="144">
        <f>1233000/325851/1.9835*1.02</f>
        <v>1.9458617689589277</v>
      </c>
      <c r="R28" s="73">
        <f>IF(((4.8*1.04)-T29)&gt;=4.2,4.2,(4.8*1.04)-T29)</f>
        <v>3.9885955200000001</v>
      </c>
      <c r="S28" s="73">
        <f>IF(((4.8*1.04)-T29)&gt;=4.2,((4.8*1.04)-T29)-4.2,0)</f>
        <v>0</v>
      </c>
      <c r="T28" s="73">
        <f t="shared" si="27"/>
        <v>1.0034044799999999</v>
      </c>
      <c r="U28" s="131">
        <v>0</v>
      </c>
      <c r="V28" s="47">
        <v>117</v>
      </c>
      <c r="W28" s="627">
        <v>45</v>
      </c>
      <c r="X28" s="47">
        <f t="shared" si="4"/>
        <v>255.01213823104106</v>
      </c>
      <c r="Y28" s="47">
        <f t="shared" si="5"/>
        <v>194.01213823104106</v>
      </c>
      <c r="Z28" s="55"/>
      <c r="AA28" s="47"/>
      <c r="AB28" s="55"/>
      <c r="AC28" s="55"/>
      <c r="AD28" s="490"/>
      <c r="AF28" s="45">
        <f>IF(B28="",AF27,AF27+IF(AC27-(AX27/1.9835)+BA28+IF(AS28&gt;0,0,AS28)&lt;=0,AC27-(AX27/1.9835)+BA28+IF(AS28&gt;0,0,AS28),0))</f>
        <v>455.8985051697465</v>
      </c>
      <c r="AG28" s="47"/>
      <c r="AH28" s="188">
        <v>1.7</v>
      </c>
      <c r="AI28" s="210">
        <v>1.3</v>
      </c>
      <c r="AJ28" s="47">
        <v>25</v>
      </c>
      <c r="AK28" s="55">
        <f t="shared" si="26"/>
        <v>5124.511822044311</v>
      </c>
      <c r="AL28" s="55"/>
      <c r="AM28" s="74">
        <f t="shared" si="6"/>
        <v>307</v>
      </c>
      <c r="AN28" s="47">
        <f t="shared" si="7"/>
        <v>30.012225863372805</v>
      </c>
      <c r="AO28" s="47">
        <f>AM28+AN28</f>
        <v>337.01222586337281</v>
      </c>
      <c r="AP28" s="203"/>
      <c r="AQ28" s="540"/>
      <c r="AR28" s="42">
        <v>61</v>
      </c>
      <c r="AS28" s="43">
        <f t="shared" si="25"/>
        <v>-230.14659551999998</v>
      </c>
      <c r="AT28" s="492">
        <v>0.18</v>
      </c>
      <c r="AU28" s="494">
        <f t="shared" ref="AU28:AU44" si="28">AT28*0.7</f>
        <v>0.126</v>
      </c>
      <c r="AV28" s="494">
        <f>IF(AT28="",0,VLOOKUP(ROUNDDOWN(TEXT(B28,"0000"),-1),VLOOKUP!$M$3:$W$32,RIGHT(TEXT(B28,"0000"),1)+2,FALSE))</f>
        <v>2397</v>
      </c>
      <c r="AW28" s="494">
        <f t="shared" si="20"/>
        <v>25.168500000000002</v>
      </c>
      <c r="AX28" s="39">
        <f t="shared" si="21"/>
        <v>0</v>
      </c>
      <c r="AY28" s="39"/>
      <c r="AZ28" s="39"/>
      <c r="BA28" s="648"/>
      <c r="BB28" s="30"/>
      <c r="BC28" s="46"/>
      <c r="BD28" s="202">
        <v>0</v>
      </c>
      <c r="BE28" s="56">
        <v>79</v>
      </c>
      <c r="BF28" s="45">
        <v>39</v>
      </c>
      <c r="BG28" s="378"/>
      <c r="BH28" s="385">
        <f t="shared" si="9"/>
        <v>7.037861768958928</v>
      </c>
      <c r="BI28" s="681">
        <v>0.3</v>
      </c>
      <c r="BJ28" s="407">
        <v>4440</v>
      </c>
      <c r="BK28" s="296">
        <f t="shared" si="10"/>
        <v>0</v>
      </c>
      <c r="BL28" s="591">
        <f t="shared" si="11"/>
        <v>0</v>
      </c>
      <c r="BN28" s="574">
        <f t="shared" si="22"/>
        <v>14</v>
      </c>
      <c r="BO28" s="559">
        <v>6863.49</v>
      </c>
      <c r="BP28" s="575">
        <f t="shared" si="12"/>
        <v>-1.0000000000218279E-2</v>
      </c>
      <c r="BQ28" s="576">
        <v>0</v>
      </c>
      <c r="BR28" s="576">
        <f t="shared" si="13"/>
        <v>5124.511822044311</v>
      </c>
    </row>
    <row r="29" spans="1:70" ht="11.45" customHeight="1">
      <c r="A29" s="48">
        <f t="shared" si="14"/>
        <v>15</v>
      </c>
      <c r="B29" s="104">
        <v>6863.4</v>
      </c>
      <c r="C29" s="483">
        <f>IF(B29="",C28,VLOOKUP(TRUNC(B29,1),VLOOKUP!$A$3:$K$2834,RIGHT(TEXT(B29,"0000.00"),1)+2,FALSE))</f>
        <v>171043</v>
      </c>
      <c r="D29" s="45">
        <f t="shared" si="15"/>
        <v>-194</v>
      </c>
      <c r="E29" s="55">
        <f t="shared" si="0"/>
        <v>19043</v>
      </c>
      <c r="F29" s="112">
        <f t="shared" si="1"/>
        <v>-97.806906982606506</v>
      </c>
      <c r="G29" s="47">
        <v>33</v>
      </c>
      <c r="H29" s="208">
        <v>0</v>
      </c>
      <c r="I29" s="47">
        <f t="shared" si="2"/>
        <v>33</v>
      </c>
      <c r="J29" s="42">
        <f t="shared" si="16"/>
        <v>0</v>
      </c>
      <c r="K29" s="47">
        <f t="shared" si="3"/>
        <v>33</v>
      </c>
      <c r="L29" s="47">
        <f t="shared" si="17"/>
        <v>-16.806906982606506</v>
      </c>
      <c r="M29" s="114">
        <v>39</v>
      </c>
      <c r="N29" s="610">
        <v>0.1</v>
      </c>
      <c r="O29" s="47">
        <f>29*1.05</f>
        <v>30.450000000000003</v>
      </c>
      <c r="P29" s="39">
        <v>0</v>
      </c>
      <c r="Q29" s="144">
        <f>1153100/325851/1.9835*1.02</f>
        <v>1.8197674012867311</v>
      </c>
      <c r="R29" s="73">
        <f>IF(((3.7*1.04)-T30)&gt;=4.2,4.2,(3.7*1.04)-T30)</f>
        <v>2.9050070400000001</v>
      </c>
      <c r="S29" s="73">
        <f>IF(((3.7*1.04)-T30)&gt;=4.2,((3.7*1.04)-T30)-4.2,0)</f>
        <v>0</v>
      </c>
      <c r="T29" s="73">
        <f t="shared" si="27"/>
        <v>1.0034044799999999</v>
      </c>
      <c r="U29" s="131">
        <v>0</v>
      </c>
      <c r="V29" s="47">
        <v>36</v>
      </c>
      <c r="W29" s="627">
        <v>14</v>
      </c>
      <c r="X29" s="47">
        <f t="shared" si="4"/>
        <v>52.721821078713262</v>
      </c>
      <c r="Y29" s="47">
        <f t="shared" si="5"/>
        <v>52.721821078713262</v>
      </c>
      <c r="Z29" s="55"/>
      <c r="AA29" s="47"/>
      <c r="AB29" s="55"/>
      <c r="AC29" s="55"/>
      <c r="AD29" s="490"/>
      <c r="AF29" s="45">
        <f t="shared" si="24"/>
        <v>429.75190964974649</v>
      </c>
      <c r="AG29" s="47"/>
      <c r="AH29" s="188">
        <v>1.7</v>
      </c>
      <c r="AI29" s="210">
        <v>1.3</v>
      </c>
      <c r="AJ29" s="47">
        <v>25</v>
      </c>
      <c r="AK29" s="55">
        <f t="shared" si="26"/>
        <v>5099.511822044311</v>
      </c>
      <c r="AL29" s="55"/>
      <c r="AM29" s="74">
        <f t="shared" si="6"/>
        <v>114</v>
      </c>
      <c r="AN29" s="47">
        <f t="shared" si="7"/>
        <v>16.806906982606506</v>
      </c>
      <c r="AO29" s="47">
        <f t="shared" si="8"/>
        <v>130.80690698260651</v>
      </c>
      <c r="AP29" s="203"/>
      <c r="AQ29" s="540"/>
      <c r="AR29" s="42"/>
      <c r="AS29" s="43">
        <f t="shared" si="25"/>
        <v>-26.146595519999995</v>
      </c>
      <c r="AT29" s="492">
        <v>0.15</v>
      </c>
      <c r="AU29" s="494">
        <f t="shared" si="28"/>
        <v>0.105</v>
      </c>
      <c r="AV29" s="494">
        <f>IF(AT29="",0,VLOOKUP(ROUNDDOWN(TEXT(B29,"0000"),-1),VLOOKUP!$M$3:$W$32,RIGHT(TEXT(B29,"0000"),1)+2,FALSE))</f>
        <v>2397</v>
      </c>
      <c r="AW29" s="494">
        <f t="shared" si="20"/>
        <v>20.973749999999999</v>
      </c>
      <c r="AX29" s="39">
        <f t="shared" si="21"/>
        <v>0</v>
      </c>
      <c r="AY29" s="39"/>
      <c r="AZ29" s="39"/>
      <c r="BA29" s="648"/>
      <c r="BB29" s="30"/>
      <c r="BC29" s="46"/>
      <c r="BD29" s="202">
        <v>0</v>
      </c>
      <c r="BE29" s="56">
        <v>73</v>
      </c>
      <c r="BF29" s="45">
        <v>42</v>
      </c>
      <c r="BG29" s="378"/>
      <c r="BH29" s="385">
        <f t="shared" si="9"/>
        <v>5.8281789212867317</v>
      </c>
      <c r="BI29" s="681">
        <v>0.3</v>
      </c>
      <c r="BJ29" s="407">
        <v>4437</v>
      </c>
      <c r="BK29" s="296">
        <f t="shared" si="10"/>
        <v>0</v>
      </c>
      <c r="BL29" s="591">
        <f t="shared" si="11"/>
        <v>0</v>
      </c>
      <c r="BN29" s="574">
        <f t="shared" si="22"/>
        <v>15</v>
      </c>
      <c r="BO29" s="559">
        <v>6863.41</v>
      </c>
      <c r="BP29" s="575">
        <f t="shared" si="12"/>
        <v>-1.0000000000218279E-2</v>
      </c>
      <c r="BQ29" s="576">
        <v>9.8364583333333275</v>
      </c>
      <c r="BR29" s="576">
        <f t="shared" si="13"/>
        <v>5089.6753637109778</v>
      </c>
    </row>
    <row r="30" spans="1:70" ht="12.95" customHeight="1">
      <c r="A30" s="48">
        <f t="shared" si="14"/>
        <v>16</v>
      </c>
      <c r="B30" s="104">
        <v>6863.38</v>
      </c>
      <c r="C30" s="483">
        <f>IF(B30="",C29,VLOOKUP(TRUNC(B30,1),VLOOKUP!$A$3:$K$2834,RIGHT(TEXT(B30,"0000.00"),1)+2,FALSE))</f>
        <v>170995</v>
      </c>
      <c r="D30" s="45">
        <f t="shared" si="15"/>
        <v>-48</v>
      </c>
      <c r="E30" s="55">
        <f t="shared" si="0"/>
        <v>18995</v>
      </c>
      <c r="F30" s="112">
        <f t="shared" si="1"/>
        <v>-24.19964708847996</v>
      </c>
      <c r="G30" s="47">
        <v>33</v>
      </c>
      <c r="H30" s="208">
        <v>0</v>
      </c>
      <c r="I30" s="47">
        <f t="shared" si="2"/>
        <v>33</v>
      </c>
      <c r="J30" s="42">
        <f t="shared" si="16"/>
        <v>0</v>
      </c>
      <c r="K30" s="47">
        <f t="shared" si="3"/>
        <v>33</v>
      </c>
      <c r="L30" s="47">
        <f t="shared" si="17"/>
        <v>-12.066819357617799</v>
      </c>
      <c r="M30" s="114">
        <v>8.1999999999999993</v>
      </c>
      <c r="N30" s="610">
        <v>0.1</v>
      </c>
      <c r="O30" s="47">
        <f>13*1.05</f>
        <v>13.65</v>
      </c>
      <c r="P30" s="39">
        <v>0</v>
      </c>
      <c r="Q30" s="144">
        <f>1474400/325851/1.9835*1.02</f>
        <v>2.3268277308621599</v>
      </c>
      <c r="R30" s="73">
        <f>IF(((3.9*1.04)-T31)&gt;=4.2,4.2,(3.9*1.04)-T31)</f>
        <v>3.1130070399999998</v>
      </c>
      <c r="S30" s="73">
        <f>IF(((3.9*1.04)-T31)&gt;=4.2,((3.9*1.04)-T31)-4.2,0)</f>
        <v>0</v>
      </c>
      <c r="T30" s="73">
        <f>(0.8554*1.06)*1.04</f>
        <v>0.9429929600000001</v>
      </c>
      <c r="U30" s="131">
        <v>0</v>
      </c>
      <c r="V30" s="47">
        <v>0</v>
      </c>
      <c r="W30" s="627">
        <v>0</v>
      </c>
      <c r="X30" s="47">
        <v>0</v>
      </c>
      <c r="Y30" s="47">
        <v>0</v>
      </c>
      <c r="Z30" s="55"/>
      <c r="AA30" s="47"/>
      <c r="AB30" s="55"/>
      <c r="AC30" s="55"/>
      <c r="AD30" s="490"/>
      <c r="AF30" s="639">
        <v>0</v>
      </c>
      <c r="AG30" s="47"/>
      <c r="AH30" s="188">
        <v>1.7</v>
      </c>
      <c r="AI30" s="210">
        <v>1.3</v>
      </c>
      <c r="AJ30" s="47">
        <v>25</v>
      </c>
      <c r="AK30" s="55">
        <f t="shared" si="26"/>
        <v>5074.511822044311</v>
      </c>
      <c r="AL30" s="55"/>
      <c r="AM30" s="74">
        <f t="shared" si="6"/>
        <v>45.132827730862161</v>
      </c>
      <c r="AN30" s="47">
        <f t="shared" si="7"/>
        <v>12.066819357617799</v>
      </c>
      <c r="AO30" s="47">
        <f t="shared" si="8"/>
        <v>57.199647088479963</v>
      </c>
      <c r="AP30" s="203"/>
      <c r="AQ30" s="540"/>
      <c r="AR30" s="42"/>
      <c r="AS30" s="43">
        <f>IF(G30="",0,IF(I30&gt;=795,795-X30,I30-Q30-R30-X30-AH30)-AL30)+AE30</f>
        <v>25.860165229137841</v>
      </c>
      <c r="AT30" s="492">
        <v>0.11</v>
      </c>
      <c r="AU30" s="494">
        <f t="shared" si="28"/>
        <v>7.6999999999999999E-2</v>
      </c>
      <c r="AV30" s="494">
        <f>IF(AT30="",0,VLOOKUP(ROUNDDOWN(TEXT(B30,"0000"),-1),VLOOKUP!$M$3:$W$32,RIGHT(TEXT(B30,"0000"),1)+2,FALSE))</f>
        <v>2397</v>
      </c>
      <c r="AW30" s="494">
        <f t="shared" si="20"/>
        <v>15.380750000000001</v>
      </c>
      <c r="AX30" s="39">
        <f t="shared" si="21"/>
        <v>0</v>
      </c>
      <c r="AY30" s="39"/>
      <c r="AZ30" s="42"/>
      <c r="BA30" s="65"/>
      <c r="BB30" s="30"/>
      <c r="BC30" s="46"/>
      <c r="BD30" s="202">
        <v>0</v>
      </c>
      <c r="BE30" s="56">
        <v>72</v>
      </c>
      <c r="BF30" s="45">
        <v>32</v>
      </c>
      <c r="BG30" s="378"/>
      <c r="BH30" s="385">
        <f t="shared" si="9"/>
        <v>6.4828277308621596</v>
      </c>
      <c r="BI30" s="681">
        <v>0.3</v>
      </c>
      <c r="BJ30" s="407">
        <v>4433</v>
      </c>
      <c r="BK30" s="296">
        <f t="shared" si="10"/>
        <v>0</v>
      </c>
      <c r="BL30" s="591">
        <f t="shared" si="11"/>
        <v>0</v>
      </c>
      <c r="BN30" s="574">
        <f t="shared" si="22"/>
        <v>16</v>
      </c>
      <c r="BO30" s="559">
        <v>6863.38</v>
      </c>
      <c r="BP30" s="575">
        <f t="shared" si="12"/>
        <v>0</v>
      </c>
      <c r="BQ30" s="576">
        <v>25.060416666666669</v>
      </c>
      <c r="BR30" s="576">
        <f t="shared" si="13"/>
        <v>5049.4514053776447</v>
      </c>
    </row>
    <row r="31" spans="1:70" ht="12.95" customHeight="1">
      <c r="A31" s="48">
        <f t="shared" si="14"/>
        <v>17</v>
      </c>
      <c r="B31" s="104">
        <v>6863.37</v>
      </c>
      <c r="C31" s="483">
        <f>IF(B31="",C30,VLOOKUP(TRUNC(B31,1),VLOOKUP!$A$3:$K$2834,RIGHT(TEXT(B31,"0000.00"),1)+2,FALSE))</f>
        <v>170971</v>
      </c>
      <c r="D31" s="45">
        <f t="shared" si="15"/>
        <v>-24</v>
      </c>
      <c r="E31" s="55">
        <f t="shared" si="0"/>
        <v>18971</v>
      </c>
      <c r="F31" s="112">
        <f t="shared" si="1"/>
        <v>-12.09982354423998</v>
      </c>
      <c r="G31" s="47">
        <v>32.1</v>
      </c>
      <c r="H31" s="208">
        <v>0</v>
      </c>
      <c r="I31" s="47">
        <f t="shared" si="2"/>
        <v>32.1</v>
      </c>
      <c r="J31" s="42">
        <f t="shared" si="16"/>
        <v>0</v>
      </c>
      <c r="K31" s="47">
        <f t="shared" si="3"/>
        <v>32.1</v>
      </c>
      <c r="L31" s="47">
        <f t="shared" si="17"/>
        <v>-4.744095988009887</v>
      </c>
      <c r="M31" s="114">
        <v>8.1</v>
      </c>
      <c r="N31" s="610">
        <v>0.1</v>
      </c>
      <c r="O31" s="47">
        <f>7.9*1.05</f>
        <v>8.2949999999999999</v>
      </c>
      <c r="P31" s="39">
        <v>0</v>
      </c>
      <c r="Q31" s="144">
        <f>1468000/325851/1.9835*1.02</f>
        <v>2.3167275562300937</v>
      </c>
      <c r="R31" s="73">
        <f>IF(((3.6*1.04)-T32)&gt;=4.2,4.2,(3.6*1.04)-T32)</f>
        <v>2.80100704</v>
      </c>
      <c r="S31" s="73">
        <f>IF(((3.6*1.04)-T32)&gt;=4.2,((3.6*1.04)-T32)-4.2,0)</f>
        <v>0</v>
      </c>
      <c r="T31" s="73">
        <f t="shared" ref="T31:T36" si="29">(0.8554*1.06)*1.04</f>
        <v>0.9429929600000001</v>
      </c>
      <c r="U31" s="131">
        <v>0</v>
      </c>
      <c r="V31" s="47">
        <v>0</v>
      </c>
      <c r="W31" s="627">
        <v>0</v>
      </c>
      <c r="X31" s="47">
        <v>0</v>
      </c>
      <c r="Y31" s="47">
        <v>0</v>
      </c>
      <c r="Z31" s="55"/>
      <c r="AA31" s="47"/>
      <c r="AB31" s="55"/>
      <c r="AC31" s="55"/>
      <c r="AD31" s="490"/>
      <c r="AF31" s="639"/>
      <c r="AG31" s="47"/>
      <c r="AH31" s="188">
        <v>1.7</v>
      </c>
      <c r="AI31" s="210">
        <v>1.3</v>
      </c>
      <c r="AJ31" s="47">
        <v>25</v>
      </c>
      <c r="AK31" s="55">
        <f t="shared" si="26"/>
        <v>5049.511822044311</v>
      </c>
      <c r="AL31" s="55"/>
      <c r="AM31" s="74">
        <f t="shared" si="6"/>
        <v>39.455727556230094</v>
      </c>
      <c r="AN31" s="47">
        <f t="shared" si="7"/>
        <v>4.744095988009887</v>
      </c>
      <c r="AO31" s="47">
        <f t="shared" si="8"/>
        <v>44.199823544239983</v>
      </c>
      <c r="AP31" s="203"/>
      <c r="AQ31" s="540"/>
      <c r="AR31" s="42"/>
      <c r="AS31" s="43">
        <f t="shared" si="25"/>
        <v>25.282265403769909</v>
      </c>
      <c r="AT31" s="492">
        <v>0.13</v>
      </c>
      <c r="AU31" s="494">
        <f t="shared" si="28"/>
        <v>9.0999999999999998E-2</v>
      </c>
      <c r="AV31" s="494">
        <f>IF(AT31="",0,VLOOKUP(ROUNDDOWN(TEXT(B31,"0000"),-1),VLOOKUP!$M$3:$W$32,RIGHT(TEXT(B31,"0000"),1)+2,FALSE))</f>
        <v>2397</v>
      </c>
      <c r="AW31" s="494">
        <f t="shared" si="20"/>
        <v>18.177250000000001</v>
      </c>
      <c r="AX31" s="39">
        <f t="shared" si="21"/>
        <v>0</v>
      </c>
      <c r="AY31" s="39"/>
      <c r="AZ31" s="42"/>
      <c r="BA31" s="65"/>
      <c r="BB31" s="30"/>
      <c r="BC31" s="46"/>
      <c r="BD31" s="202">
        <v>0</v>
      </c>
      <c r="BE31" s="56">
        <v>73</v>
      </c>
      <c r="BF31" s="45">
        <v>36</v>
      </c>
      <c r="BG31" s="378"/>
      <c r="BH31" s="385">
        <f t="shared" si="9"/>
        <v>6.1607275562300936</v>
      </c>
      <c r="BI31" s="681">
        <v>0.3</v>
      </c>
      <c r="BJ31" s="407">
        <v>4430</v>
      </c>
      <c r="BK31" s="296">
        <f t="shared" si="10"/>
        <v>0</v>
      </c>
      <c r="BL31" s="591">
        <f t="shared" si="11"/>
        <v>0</v>
      </c>
      <c r="BN31" s="574">
        <f t="shared" si="22"/>
        <v>17</v>
      </c>
      <c r="BO31" s="559">
        <v>6863.38</v>
      </c>
      <c r="BP31" s="575">
        <f t="shared" si="12"/>
        <v>-1.0000000000218279E-2</v>
      </c>
      <c r="BQ31" s="576">
        <v>25.112500000000001</v>
      </c>
      <c r="BR31" s="576">
        <f t="shared" si="13"/>
        <v>5024.3993220443108</v>
      </c>
    </row>
    <row r="32" spans="1:70" ht="12.95" customHeight="1">
      <c r="A32" s="48">
        <f t="shared" si="14"/>
        <v>18</v>
      </c>
      <c r="B32" s="104">
        <v>6863.36</v>
      </c>
      <c r="C32" s="483">
        <f>IF(B32="",C31,VLOOKUP(TRUNC(B32,1),VLOOKUP!$A$3:$K$2834,RIGHT(TEXT(B32,"0000.00"),1)+2,FALSE))</f>
        <v>170946</v>
      </c>
      <c r="D32" s="45">
        <f t="shared" si="15"/>
        <v>-25</v>
      </c>
      <c r="E32" s="55">
        <f t="shared" si="0"/>
        <v>18946</v>
      </c>
      <c r="F32" s="112">
        <f t="shared" si="1"/>
        <v>-12.603982858583311</v>
      </c>
      <c r="G32" s="47">
        <v>31.8</v>
      </c>
      <c r="H32" s="208">
        <v>0</v>
      </c>
      <c r="I32" s="47">
        <f t="shared" si="2"/>
        <v>31.8</v>
      </c>
      <c r="J32" s="42">
        <f t="shared" si="16"/>
        <v>0</v>
      </c>
      <c r="K32" s="47">
        <f t="shared" si="3"/>
        <v>31.8</v>
      </c>
      <c r="L32" s="47">
        <f t="shared" si="17"/>
        <v>-5.218540012694703</v>
      </c>
      <c r="M32" s="114">
        <v>7.3</v>
      </c>
      <c r="N32" s="610">
        <v>0.1</v>
      </c>
      <c r="O32" s="47">
        <f>7.7*1.05</f>
        <v>8.0850000000000009</v>
      </c>
      <c r="P32" s="39">
        <v>0</v>
      </c>
      <c r="Q32" s="144">
        <f>1627500/325851/1.9835*1.02</f>
        <v>2.568442845888609</v>
      </c>
      <c r="R32" s="73">
        <f>IF(((3.3*1.04)-T33)&gt;=4.2,4.2,(3.3*1.04)-T33)</f>
        <v>2.4890070399999997</v>
      </c>
      <c r="S32" s="73">
        <f>IF(((3.3*1.04)-T33)&gt;=4.2,((3.3*1.04)-T33)-4.2,0)</f>
        <v>0</v>
      </c>
      <c r="T32" s="73">
        <f t="shared" si="29"/>
        <v>0.9429929600000001</v>
      </c>
      <c r="U32" s="131">
        <v>0</v>
      </c>
      <c r="V32" s="47">
        <v>0</v>
      </c>
      <c r="W32" s="627">
        <v>0</v>
      </c>
      <c r="X32" s="47">
        <v>0</v>
      </c>
      <c r="Y32" s="47">
        <v>0</v>
      </c>
      <c r="Z32" s="55"/>
      <c r="AA32" s="47"/>
      <c r="AB32" s="55"/>
      <c r="AC32" s="55"/>
      <c r="AD32" s="490"/>
      <c r="AF32" s="639"/>
      <c r="AG32" s="47"/>
      <c r="AH32" s="188">
        <v>1.7</v>
      </c>
      <c r="AI32" s="210">
        <v>1.3</v>
      </c>
      <c r="AJ32" s="47">
        <v>25</v>
      </c>
      <c r="AK32" s="55">
        <f t="shared" si="26"/>
        <v>5024.511822044311</v>
      </c>
      <c r="AL32" s="55"/>
      <c r="AM32" s="74">
        <f t="shared" si="6"/>
        <v>39.185442845888609</v>
      </c>
      <c r="AN32" s="47">
        <f t="shared" si="7"/>
        <v>5.218540012694703</v>
      </c>
      <c r="AO32" s="47">
        <f t="shared" si="8"/>
        <v>44.403982858583312</v>
      </c>
      <c r="AP32" s="203"/>
      <c r="AQ32" s="540"/>
      <c r="AR32" s="42"/>
      <c r="AS32" s="43">
        <f t="shared" si="25"/>
        <v>25.042550114111393</v>
      </c>
      <c r="AT32" s="492">
        <v>0.15</v>
      </c>
      <c r="AU32" s="494">
        <f t="shared" si="28"/>
        <v>0.105</v>
      </c>
      <c r="AV32" s="494">
        <f>IF(AT32="",0,VLOOKUP(ROUNDDOWN(TEXT(B32,"0000"),-1),VLOOKUP!$M$3:$W$32,RIGHT(TEXT(B32,"0000"),1)+2,FALSE))</f>
        <v>2397</v>
      </c>
      <c r="AW32" s="494">
        <f t="shared" si="20"/>
        <v>20.973749999999999</v>
      </c>
      <c r="AX32" s="39">
        <f t="shared" si="21"/>
        <v>0</v>
      </c>
      <c r="AY32" s="39"/>
      <c r="AZ32" s="42"/>
      <c r="BA32" s="65"/>
      <c r="BB32" s="30"/>
      <c r="BC32" s="46"/>
      <c r="BD32" s="202">
        <v>0</v>
      </c>
      <c r="BE32" s="56">
        <v>75</v>
      </c>
      <c r="BF32" s="45">
        <v>39</v>
      </c>
      <c r="BG32" s="378"/>
      <c r="BH32" s="385">
        <f t="shared" si="9"/>
        <v>6.1004428458886082</v>
      </c>
      <c r="BI32" s="681">
        <v>0.3</v>
      </c>
      <c r="BJ32" s="407">
        <v>4428</v>
      </c>
      <c r="BK32" s="296">
        <f t="shared" si="10"/>
        <v>0</v>
      </c>
      <c r="BL32" s="591">
        <f t="shared" si="11"/>
        <v>0</v>
      </c>
      <c r="BN32" s="574">
        <f t="shared" si="22"/>
        <v>18</v>
      </c>
      <c r="BO32" s="559">
        <v>6863.36</v>
      </c>
      <c r="BP32" s="575">
        <f t="shared" si="12"/>
        <v>0</v>
      </c>
      <c r="BQ32" s="576">
        <v>25.141666666666669</v>
      </c>
      <c r="BR32" s="576">
        <f t="shared" si="13"/>
        <v>4999.3701553776446</v>
      </c>
    </row>
    <row r="33" spans="1:70" ht="12.95" customHeight="1">
      <c r="A33" s="48">
        <f t="shared" si="14"/>
        <v>19</v>
      </c>
      <c r="B33" s="104">
        <v>6863.35</v>
      </c>
      <c r="C33" s="483">
        <f>IF(B33="",C32,VLOOKUP(TRUNC(B33,1),VLOOKUP!$A$3:$K$2834,RIGHT(TEXT(B33,"0000.00"),1)+2,FALSE))</f>
        <v>170922</v>
      </c>
      <c r="D33" s="45">
        <f t="shared" si="15"/>
        <v>-24</v>
      </c>
      <c r="E33" s="55">
        <f t="shared" si="0"/>
        <v>18922</v>
      </c>
      <c r="F33" s="112">
        <f t="shared" si="1"/>
        <v>-12.09982354423998</v>
      </c>
      <c r="G33" s="47">
        <v>31.6</v>
      </c>
      <c r="H33" s="208">
        <v>0</v>
      </c>
      <c r="I33" s="47">
        <f t="shared" si="2"/>
        <v>31.6</v>
      </c>
      <c r="J33" s="42">
        <f t="shared" si="16"/>
        <v>0</v>
      </c>
      <c r="K33" s="47">
        <f t="shared" si="3"/>
        <v>31.6</v>
      </c>
      <c r="L33" s="47">
        <f t="shared" si="17"/>
        <v>-13.119223590116404</v>
      </c>
      <c r="M33" s="114">
        <v>6.1</v>
      </c>
      <c r="N33" s="610">
        <v>0.1</v>
      </c>
      <c r="O33" s="47">
        <f>0*1.05</f>
        <v>0</v>
      </c>
      <c r="P33" s="39">
        <v>0</v>
      </c>
      <c r="Q33" s="144">
        <f>1429900/325851/1.9835*1.02</f>
        <v>2.2565999541235771</v>
      </c>
      <c r="R33" s="73">
        <f>IF(((3.1*1.04)-T34)&gt;=4.2,4.2,(3.1*1.04)-T34)</f>
        <v>2.28100704</v>
      </c>
      <c r="S33" s="73">
        <f>IF(((3.1*1.04)-T34)&gt;=4.2,((3.1*1.04)-T34)-4.2,0)</f>
        <v>0</v>
      </c>
      <c r="T33" s="73">
        <f t="shared" si="29"/>
        <v>0.9429929600000001</v>
      </c>
      <c r="U33" s="131">
        <v>0</v>
      </c>
      <c r="V33" s="47">
        <v>0</v>
      </c>
      <c r="W33" s="627">
        <v>0</v>
      </c>
      <c r="X33" s="47">
        <v>0</v>
      </c>
      <c r="Y33" s="47">
        <v>0</v>
      </c>
      <c r="Z33" s="55"/>
      <c r="AA33" s="47"/>
      <c r="AB33" s="55"/>
      <c r="AC33" s="55"/>
      <c r="AD33" s="490"/>
      <c r="AF33" s="639"/>
      <c r="AG33" s="47"/>
      <c r="AH33" s="188">
        <v>1.7</v>
      </c>
      <c r="AI33" s="210">
        <v>1.3</v>
      </c>
      <c r="AJ33" s="47">
        <v>25</v>
      </c>
      <c r="AK33" s="55">
        <f t="shared" si="26"/>
        <v>4999.511822044311</v>
      </c>
      <c r="AL33" s="55"/>
      <c r="AM33" s="74">
        <f t="shared" si="6"/>
        <v>30.580599954123578</v>
      </c>
      <c r="AN33" s="47">
        <f t="shared" si="7"/>
        <v>13.119223590116404</v>
      </c>
      <c r="AO33" s="47">
        <f t="shared" si="8"/>
        <v>43.699823544239983</v>
      </c>
      <c r="AP33" s="203"/>
      <c r="AQ33" s="540"/>
      <c r="AR33" s="42"/>
      <c r="AS33" s="43">
        <f t="shared" si="25"/>
        <v>25.362393005876427</v>
      </c>
      <c r="AT33" s="492">
        <v>0.11</v>
      </c>
      <c r="AU33" s="494">
        <f t="shared" si="28"/>
        <v>7.6999999999999999E-2</v>
      </c>
      <c r="AV33" s="494">
        <f>IF(AT33="",0,VLOOKUP(ROUNDDOWN(TEXT(B33,"0000"),-1),VLOOKUP!$M$3:$W$32,RIGHT(TEXT(B33,"0000"),1)+2,FALSE))</f>
        <v>2397</v>
      </c>
      <c r="AW33" s="494">
        <f t="shared" si="20"/>
        <v>15.380750000000001</v>
      </c>
      <c r="AX33" s="39">
        <f t="shared" si="21"/>
        <v>0</v>
      </c>
      <c r="AY33" s="39"/>
      <c r="AZ33" s="39"/>
      <c r="BA33" s="65"/>
      <c r="BB33" s="30"/>
      <c r="BC33" s="46"/>
      <c r="BD33" s="202">
        <v>0</v>
      </c>
      <c r="BE33" s="56">
        <v>77</v>
      </c>
      <c r="BF33" s="45">
        <v>40</v>
      </c>
      <c r="BG33" s="378"/>
      <c r="BH33" s="385">
        <f t="shared" si="9"/>
        <v>5.5805999541235769</v>
      </c>
      <c r="BI33" s="681">
        <v>0.3</v>
      </c>
      <c r="BJ33" s="407">
        <v>4426</v>
      </c>
      <c r="BK33" s="296">
        <f t="shared" si="10"/>
        <v>0</v>
      </c>
      <c r="BL33" s="591">
        <f t="shared" si="11"/>
        <v>0</v>
      </c>
      <c r="BN33" s="574">
        <f t="shared" si="22"/>
        <v>19</v>
      </c>
      <c r="BO33" s="559">
        <v>6863.36</v>
      </c>
      <c r="BP33" s="575">
        <f t="shared" si="12"/>
        <v>-9.999999999308784E-3</v>
      </c>
      <c r="BQ33" s="576">
        <v>16.216666666666661</v>
      </c>
      <c r="BR33" s="576">
        <f t="shared" si="13"/>
        <v>4983.2951553776447</v>
      </c>
    </row>
    <row r="34" spans="1:70" ht="12.95" customHeight="1">
      <c r="A34" s="48">
        <f t="shared" si="14"/>
        <v>20</v>
      </c>
      <c r="B34" s="104">
        <v>6863.34</v>
      </c>
      <c r="C34" s="483">
        <f>IF(B34="",C33,VLOOKUP(TRUNC(B34,1),VLOOKUP!$A$3:$K$2834,RIGHT(TEXT(B34,"0000.00"),1)+2,FALSE))</f>
        <v>170898</v>
      </c>
      <c r="D34" s="45">
        <f t="shared" si="15"/>
        <v>-24</v>
      </c>
      <c r="E34" s="55">
        <f t="shared" si="0"/>
        <v>18898</v>
      </c>
      <c r="F34" s="112">
        <f t="shared" si="1"/>
        <v>-12.09982354423998</v>
      </c>
      <c r="G34" s="47">
        <v>31.1</v>
      </c>
      <c r="H34" s="208">
        <v>0</v>
      </c>
      <c r="I34" s="47">
        <f t="shared" si="2"/>
        <v>31.1</v>
      </c>
      <c r="J34" s="42">
        <f t="shared" si="16"/>
        <v>0</v>
      </c>
      <c r="K34" s="47">
        <f t="shared" si="3"/>
        <v>31.1</v>
      </c>
      <c r="L34" s="47">
        <f t="shared" si="17"/>
        <v>-11.341469966057359</v>
      </c>
      <c r="M34" s="114">
        <v>6.5</v>
      </c>
      <c r="N34" s="610">
        <v>0.1</v>
      </c>
      <c r="O34" s="47">
        <f>0*1.05</f>
        <v>0</v>
      </c>
      <c r="P34" s="39">
        <v>0</v>
      </c>
      <c r="Q34" s="144">
        <f>1276400/325851/1.9835*1.02</f>
        <v>2.0143535781826238</v>
      </c>
      <c r="R34" s="73">
        <f>IF(((3.6*1.04)-T35)&gt;=4.2,4.2,(3.6*1.04)-T35)</f>
        <v>2.80100704</v>
      </c>
      <c r="S34" s="73">
        <f>IF(((3.6*1.04)-T35)&gt;=4.2,((3.6*1.04)-T35)-4.2,0)</f>
        <v>0</v>
      </c>
      <c r="T34" s="73">
        <f t="shared" si="29"/>
        <v>0.9429929600000001</v>
      </c>
      <c r="U34" s="131">
        <v>0</v>
      </c>
      <c r="V34" s="47">
        <v>0</v>
      </c>
      <c r="W34" s="627">
        <v>0</v>
      </c>
      <c r="X34" s="47">
        <v>0</v>
      </c>
      <c r="Y34" s="47">
        <v>0</v>
      </c>
      <c r="Z34" s="55"/>
      <c r="AA34" s="47"/>
      <c r="AB34" s="55"/>
      <c r="AC34" s="55"/>
      <c r="AD34" s="490"/>
      <c r="AF34" s="639"/>
      <c r="AG34" s="47"/>
      <c r="AH34" s="188">
        <v>1.7</v>
      </c>
      <c r="AI34" s="210">
        <v>1.3</v>
      </c>
      <c r="AJ34" s="47">
        <v>26</v>
      </c>
      <c r="AK34" s="55">
        <f t="shared" si="26"/>
        <v>4973.511822044311</v>
      </c>
      <c r="AL34" s="55"/>
      <c r="AM34" s="74">
        <f t="shared" si="6"/>
        <v>31.858353578182623</v>
      </c>
      <c r="AN34" s="47">
        <f t="shared" si="7"/>
        <v>11.341469966057359</v>
      </c>
      <c r="AO34" s="47">
        <f t="shared" si="8"/>
        <v>43.199823544239983</v>
      </c>
      <c r="AP34" s="203"/>
      <c r="AQ34" s="540"/>
      <c r="AR34" s="42"/>
      <c r="AS34" s="43">
        <f t="shared" si="25"/>
        <v>24.584639381817379</v>
      </c>
      <c r="AT34" s="492">
        <v>0.1</v>
      </c>
      <c r="AU34" s="494">
        <f t="shared" si="28"/>
        <v>6.9999999999999993E-2</v>
      </c>
      <c r="AV34" s="494">
        <f>IF(AT34="",0,VLOOKUP(ROUNDDOWN(TEXT(B34,"0000"),-1),VLOOKUP!$M$3:$W$32,RIGHT(TEXT(B34,"0000"),1)+2,FALSE))</f>
        <v>2397</v>
      </c>
      <c r="AW34" s="494">
        <f t="shared" si="20"/>
        <v>13.982499999999998</v>
      </c>
      <c r="AX34" s="39">
        <f t="shared" si="21"/>
        <v>0</v>
      </c>
      <c r="AY34" s="39"/>
      <c r="AZ34" s="39"/>
      <c r="BA34" s="65"/>
      <c r="BB34" s="30"/>
      <c r="BC34" s="46"/>
      <c r="BD34" s="202">
        <v>0</v>
      </c>
      <c r="BE34" s="56">
        <v>73</v>
      </c>
      <c r="BF34" s="45">
        <v>39</v>
      </c>
      <c r="BG34" s="378"/>
      <c r="BH34" s="385">
        <f t="shared" si="9"/>
        <v>5.8583535781826237</v>
      </c>
      <c r="BI34" s="681">
        <v>0.3</v>
      </c>
      <c r="BJ34" s="407">
        <v>4424</v>
      </c>
      <c r="BK34" s="296">
        <f t="shared" si="10"/>
        <v>0</v>
      </c>
      <c r="BL34" s="591">
        <f t="shared" si="11"/>
        <v>0</v>
      </c>
      <c r="BN34" s="574">
        <f t="shared" si="22"/>
        <v>20</v>
      </c>
      <c r="BO34" s="559">
        <v>6863.34</v>
      </c>
      <c r="BP34" s="575">
        <f t="shared" si="12"/>
        <v>0</v>
      </c>
      <c r="BQ34" s="576">
        <v>0</v>
      </c>
      <c r="BR34" s="576">
        <f t="shared" si="13"/>
        <v>4973.511822044311</v>
      </c>
    </row>
    <row r="35" spans="1:70" ht="12.95" customHeight="1">
      <c r="A35" s="48">
        <f t="shared" si="14"/>
        <v>21</v>
      </c>
      <c r="B35" s="104">
        <v>6863.32</v>
      </c>
      <c r="C35" s="483">
        <f>IF(B35="",C34,VLOOKUP(TRUNC(B35,1),VLOOKUP!$A$3:$K$2834,RIGHT(TEXT(B35,"0000.00"),1)+2,FALSE))</f>
        <v>170850</v>
      </c>
      <c r="D35" s="45">
        <f t="shared" si="15"/>
        <v>-48</v>
      </c>
      <c r="E35" s="55">
        <f t="shared" si="0"/>
        <v>18850</v>
      </c>
      <c r="F35" s="112">
        <f t="shared" si="1"/>
        <v>-24.19964708847996</v>
      </c>
      <c r="G35" s="47">
        <v>29.8</v>
      </c>
      <c r="H35" s="208">
        <v>0</v>
      </c>
      <c r="I35" s="47">
        <f t="shared" si="2"/>
        <v>29.8</v>
      </c>
      <c r="J35" s="42">
        <f t="shared" si="16"/>
        <v>0</v>
      </c>
      <c r="K35" s="47">
        <f t="shared" si="3"/>
        <v>29.8</v>
      </c>
      <c r="L35" s="47">
        <f t="shared" si="17"/>
        <v>-21.599040384738302</v>
      </c>
      <c r="M35" s="114">
        <v>7.8</v>
      </c>
      <c r="N35" s="610">
        <v>0.1</v>
      </c>
      <c r="O35" s="47">
        <f>0*1.05</f>
        <v>0</v>
      </c>
      <c r="P35" s="39">
        <v>0</v>
      </c>
      <c r="Q35" s="144">
        <f>1620000/325851/1.9835*1.02</f>
        <v>2.5566067037416564</v>
      </c>
      <c r="R35" s="73">
        <f>IF(((3.6*1.04)-T36)&gt;=4.2,4.2,(3.6*1.04)-T36)</f>
        <v>2.80100704</v>
      </c>
      <c r="S35" s="73">
        <f>IF(((3.6*1.04)-T36)&gt;=4.2,((3.6*1.04)-T36)-4.2,0)</f>
        <v>0</v>
      </c>
      <c r="T35" s="73">
        <f t="shared" si="29"/>
        <v>0.9429929600000001</v>
      </c>
      <c r="U35" s="131">
        <v>0</v>
      </c>
      <c r="V35" s="47">
        <v>0</v>
      </c>
      <c r="W35" s="627">
        <v>0</v>
      </c>
      <c r="X35" s="47">
        <v>0</v>
      </c>
      <c r="Y35" s="47">
        <v>0</v>
      </c>
      <c r="Z35" s="55"/>
      <c r="AA35" s="47"/>
      <c r="AB35" s="55"/>
      <c r="AC35" s="55"/>
      <c r="AD35" s="490"/>
      <c r="AF35" s="639"/>
      <c r="AG35" s="47"/>
      <c r="AH35" s="188">
        <v>1.7</v>
      </c>
      <c r="AI35" s="210">
        <v>1.3</v>
      </c>
      <c r="AJ35" s="47">
        <v>26</v>
      </c>
      <c r="AK35" s="55">
        <f t="shared" si="26"/>
        <v>4947.511822044311</v>
      </c>
      <c r="AL35" s="55"/>
      <c r="AM35" s="74">
        <f t="shared" si="6"/>
        <v>32.400606703741659</v>
      </c>
      <c r="AN35" s="47">
        <f t="shared" si="7"/>
        <v>21.599040384738302</v>
      </c>
      <c r="AO35" s="47">
        <f t="shared" si="8"/>
        <v>53.999647088479961</v>
      </c>
      <c r="AP35" s="203"/>
      <c r="AQ35" s="540"/>
      <c r="AR35" s="180"/>
      <c r="AS35" s="43">
        <f t="shared" si="25"/>
        <v>22.742386256258346</v>
      </c>
      <c r="AT35" s="492">
        <v>0.11</v>
      </c>
      <c r="AU35" s="494">
        <f t="shared" si="28"/>
        <v>7.6999999999999999E-2</v>
      </c>
      <c r="AV35" s="494">
        <f>IF(AT35="",0,VLOOKUP(ROUNDDOWN(TEXT(B35,"0000"),-1),VLOOKUP!$M$3:$W$32,RIGHT(TEXT(B35,"0000"),1)+2,FALSE))</f>
        <v>2397</v>
      </c>
      <c r="AW35" s="494">
        <f t="shared" si="20"/>
        <v>15.380750000000001</v>
      </c>
      <c r="AX35" s="39">
        <f t="shared" si="21"/>
        <v>0</v>
      </c>
      <c r="AY35" s="39"/>
      <c r="AZ35" s="39"/>
      <c r="BA35" s="65"/>
      <c r="BB35" s="30"/>
      <c r="BC35" s="46"/>
      <c r="BD35" s="202">
        <v>0</v>
      </c>
      <c r="BE35" s="45">
        <v>74</v>
      </c>
      <c r="BF35" s="45">
        <v>39</v>
      </c>
      <c r="BG35" s="378"/>
      <c r="BH35" s="385">
        <f t="shared" si="9"/>
        <v>6.4006067037416567</v>
      </c>
      <c r="BI35" s="681">
        <v>0.3</v>
      </c>
      <c r="BJ35" s="407">
        <v>4421</v>
      </c>
      <c r="BK35" s="296">
        <f t="shared" si="10"/>
        <v>0</v>
      </c>
      <c r="BL35" s="591">
        <f t="shared" si="11"/>
        <v>0</v>
      </c>
      <c r="BN35" s="574">
        <f t="shared" si="22"/>
        <v>21</v>
      </c>
      <c r="BO35" s="559">
        <v>6863.32</v>
      </c>
      <c r="BP35" s="575">
        <f t="shared" si="12"/>
        <v>0</v>
      </c>
      <c r="BQ35" s="576">
        <v>0</v>
      </c>
      <c r="BR35" s="576">
        <f t="shared" si="13"/>
        <v>4947.511822044311</v>
      </c>
    </row>
    <row r="36" spans="1:70" ht="12.95" customHeight="1">
      <c r="A36" s="48">
        <f t="shared" si="14"/>
        <v>22</v>
      </c>
      <c r="B36" s="104">
        <v>6863.3</v>
      </c>
      <c r="C36" s="483">
        <f>IF(B36="",C35,VLOOKUP(TRUNC(B36,1),VLOOKUP!$A$3:$K$2834,RIGHT(TEXT(B36,"0000.00"),1)+2,FALSE))</f>
        <v>170801</v>
      </c>
      <c r="D36" s="45">
        <f t="shared" si="15"/>
        <v>-49</v>
      </c>
      <c r="E36" s="55">
        <f t="shared" si="0"/>
        <v>18801</v>
      </c>
      <c r="F36" s="112">
        <f t="shared" si="1"/>
        <v>-24.703806402823293</v>
      </c>
      <c r="G36" s="47">
        <v>30.5</v>
      </c>
      <c r="H36" s="208">
        <v>0</v>
      </c>
      <c r="I36" s="47">
        <f>G36+H36</f>
        <v>30.5</v>
      </c>
      <c r="J36" s="42">
        <f t="shared" si="16"/>
        <v>0</v>
      </c>
      <c r="K36" s="47">
        <f t="shared" si="3"/>
        <v>30.5</v>
      </c>
      <c r="L36" s="47">
        <f t="shared" si="17"/>
        <v>-23.174095027745881</v>
      </c>
      <c r="M36" s="114">
        <v>14</v>
      </c>
      <c r="N36" s="610">
        <v>0.1</v>
      </c>
      <c r="O36" s="47">
        <f>0.85*1.05</f>
        <v>0.89249999999999996</v>
      </c>
      <c r="P36" s="39">
        <v>0</v>
      </c>
      <c r="Q36" s="144">
        <f>1450000/325851/1.9835*1.02</f>
        <v>2.2883208150774093</v>
      </c>
      <c r="R36" s="73">
        <f>IF(((2.4*1.04)-T37)&gt;=4.2,4.2,(2.4*1.04)-T37)</f>
        <v>1.8058975999999998</v>
      </c>
      <c r="S36" s="73">
        <f>IF(((2.4*1.04)-T37)&gt;=4.2,((2.4*1.04)-T37)-4.2,0)</f>
        <v>0</v>
      </c>
      <c r="T36" s="73">
        <f t="shared" si="29"/>
        <v>0.9429929600000001</v>
      </c>
      <c r="U36" s="131">
        <v>0</v>
      </c>
      <c r="V36" s="47">
        <v>0</v>
      </c>
      <c r="W36" s="627">
        <v>0</v>
      </c>
      <c r="X36" s="47">
        <v>0</v>
      </c>
      <c r="Y36" s="47">
        <v>0</v>
      </c>
      <c r="Z36" s="55"/>
      <c r="AA36" s="47"/>
      <c r="AB36" s="55"/>
      <c r="AC36" s="55"/>
      <c r="AD36" s="490"/>
      <c r="AF36" s="639"/>
      <c r="AG36" s="47"/>
      <c r="AH36" s="188">
        <v>1.7</v>
      </c>
      <c r="AI36" s="210">
        <v>1.3</v>
      </c>
      <c r="AJ36" s="47">
        <v>26</v>
      </c>
      <c r="AK36" s="55">
        <f t="shared" si="26"/>
        <v>4921.511822044311</v>
      </c>
      <c r="AL36" s="55"/>
      <c r="AM36" s="74">
        <f t="shared" si="6"/>
        <v>32.029711375077412</v>
      </c>
      <c r="AN36" s="47">
        <f t="shared" si="7"/>
        <v>23.174095027745881</v>
      </c>
      <c r="AO36" s="47">
        <f t="shared" si="8"/>
        <v>55.20380640282329</v>
      </c>
      <c r="AP36" s="203"/>
      <c r="AQ36" s="540"/>
      <c r="AR36" s="180"/>
      <c r="AS36" s="43">
        <f t="shared" si="25"/>
        <v>24.705781584922594</v>
      </c>
      <c r="AT36" s="492">
        <v>0.09</v>
      </c>
      <c r="AU36" s="494">
        <f t="shared" si="28"/>
        <v>6.3E-2</v>
      </c>
      <c r="AV36" s="494">
        <f>IF(AT36="",0,VLOOKUP(ROUNDDOWN(TEXT(B36,"0000"),-1),VLOOKUP!$M$3:$W$32,RIGHT(TEXT(B36,"0000"),1)+2,FALSE))</f>
        <v>2397</v>
      </c>
      <c r="AW36" s="494">
        <f t="shared" si="20"/>
        <v>12.584250000000001</v>
      </c>
      <c r="AX36" s="39">
        <f t="shared" si="21"/>
        <v>0</v>
      </c>
      <c r="AY36" s="39"/>
      <c r="AZ36" s="39"/>
      <c r="BA36" s="65"/>
      <c r="BB36" s="30"/>
      <c r="BC36" s="46"/>
      <c r="BD36" s="202">
        <v>0</v>
      </c>
      <c r="BE36" s="45">
        <v>70</v>
      </c>
      <c r="BF36" s="45">
        <v>36</v>
      </c>
      <c r="BG36" s="378"/>
      <c r="BH36" s="385">
        <f t="shared" si="9"/>
        <v>5.1372113750774089</v>
      </c>
      <c r="BI36" s="681">
        <v>0.3</v>
      </c>
      <c r="BJ36" s="407">
        <v>4418</v>
      </c>
      <c r="BK36" s="296">
        <f t="shared" si="10"/>
        <v>0</v>
      </c>
      <c r="BL36" s="591">
        <f t="shared" si="11"/>
        <v>0</v>
      </c>
      <c r="BN36" s="574">
        <f t="shared" si="22"/>
        <v>22</v>
      </c>
      <c r="BO36" s="559">
        <v>6863.3</v>
      </c>
      <c r="BP36" s="575">
        <f t="shared" si="12"/>
        <v>0</v>
      </c>
      <c r="BQ36" s="576">
        <v>0</v>
      </c>
      <c r="BR36" s="576">
        <f t="shared" si="13"/>
        <v>4921.511822044311</v>
      </c>
    </row>
    <row r="37" spans="1:70" ht="12.95" customHeight="1">
      <c r="A37" s="48">
        <f t="shared" si="14"/>
        <v>23</v>
      </c>
      <c r="B37" s="104">
        <v>6863.29</v>
      </c>
      <c r="C37" s="483">
        <f>IF(B37="",C36,VLOOKUP(TRUNC(B37,1),VLOOKUP!$A$3:$K$2834,RIGHT(TEXT(B37,"0000.00"),1)+2,FALSE))</f>
        <v>170777</v>
      </c>
      <c r="D37" s="45">
        <f t="shared" si="15"/>
        <v>-24</v>
      </c>
      <c r="E37" s="55">
        <f t="shared" si="0"/>
        <v>18777</v>
      </c>
      <c r="F37" s="112">
        <f t="shared" si="1"/>
        <v>-12.09982354423998</v>
      </c>
      <c r="G37" s="47">
        <v>29.8</v>
      </c>
      <c r="H37" s="208">
        <v>0</v>
      </c>
      <c r="I37" s="47">
        <f t="shared" si="2"/>
        <v>29.8</v>
      </c>
      <c r="J37" s="42">
        <f t="shared" si="16"/>
        <v>0</v>
      </c>
      <c r="K37" s="47">
        <f t="shared" si="3"/>
        <v>29.8</v>
      </c>
      <c r="L37" s="47">
        <f t="shared" si="17"/>
        <v>-11.627378994357686</v>
      </c>
      <c r="M37" s="114">
        <v>13</v>
      </c>
      <c r="N37" s="610">
        <v>0.1</v>
      </c>
      <c r="O37" s="47">
        <f>1.3*1.05</f>
        <v>1.3650000000000002</v>
      </c>
      <c r="P37" s="39">
        <v>0</v>
      </c>
      <c r="Q37" s="144">
        <f>831000/325851/1.9835*1.02</f>
        <v>1.3114445498822944</v>
      </c>
      <c r="R37" s="73">
        <f>IF(((2.4*1.04)-T38)&gt;=4.2,4.2,(2.4*1.04)-T38)</f>
        <v>1.8058975999999998</v>
      </c>
      <c r="S37" s="73">
        <f>IF(((2.4*1.04)-T38)&gt;=4.2,((2.4*1.04)-T38)-4.2,0)</f>
        <v>0</v>
      </c>
      <c r="T37" s="73">
        <f>(0.626*1.06)*1.04</f>
        <v>0.69010240000000012</v>
      </c>
      <c r="U37" s="131">
        <v>0</v>
      </c>
      <c r="V37" s="47">
        <v>0</v>
      </c>
      <c r="W37" s="627">
        <v>0</v>
      </c>
      <c r="X37" s="47">
        <v>0</v>
      </c>
      <c r="Y37" s="47">
        <v>0</v>
      </c>
      <c r="Z37" s="55"/>
      <c r="AA37" s="47"/>
      <c r="AB37" s="55"/>
      <c r="AC37" s="55"/>
      <c r="AD37" s="490"/>
      <c r="AF37" s="639"/>
      <c r="AG37" s="47"/>
      <c r="AH37" s="188">
        <v>1.7</v>
      </c>
      <c r="AI37" s="210">
        <v>1.3</v>
      </c>
      <c r="AJ37" s="47">
        <v>25</v>
      </c>
      <c r="AK37" s="55">
        <f t="shared" si="26"/>
        <v>4896.511822044311</v>
      </c>
      <c r="AL37" s="55"/>
      <c r="AM37" s="74">
        <f t="shared" si="6"/>
        <v>30.272444549882294</v>
      </c>
      <c r="AN37" s="47">
        <f t="shared" si="7"/>
        <v>11.627378994357686</v>
      </c>
      <c r="AO37" s="47">
        <f t="shared" si="8"/>
        <v>41.899823544239979</v>
      </c>
      <c r="AP37" s="203"/>
      <c r="AQ37" s="540"/>
      <c r="AR37" s="180"/>
      <c r="AS37" s="43">
        <f t="shared" si="25"/>
        <v>24.982657850117707</v>
      </c>
      <c r="AT37" s="492">
        <v>0.05</v>
      </c>
      <c r="AU37" s="494">
        <f t="shared" si="28"/>
        <v>3.4999999999999996E-2</v>
      </c>
      <c r="AV37" s="494">
        <f>IF(AT37="",0,VLOOKUP(ROUNDDOWN(TEXT(B37,"0000"),-1),VLOOKUP!$M$3:$W$32,RIGHT(TEXT(B37,"0000"),1)+2,FALSE))</f>
        <v>2397</v>
      </c>
      <c r="AW37" s="494">
        <f t="shared" si="20"/>
        <v>6.9912499999999991</v>
      </c>
      <c r="AX37" s="39">
        <f t="shared" si="21"/>
        <v>0</v>
      </c>
      <c r="AY37" s="39"/>
      <c r="AZ37" s="39"/>
      <c r="BA37" s="65"/>
      <c r="BB37" s="30"/>
      <c r="BC37" s="46"/>
      <c r="BD37" s="202">
        <v>0</v>
      </c>
      <c r="BE37" s="45">
        <v>68</v>
      </c>
      <c r="BF37" s="56">
        <v>36</v>
      </c>
      <c r="BG37" s="378"/>
      <c r="BH37" s="385">
        <f t="shared" si="9"/>
        <v>3.9074445498822947</v>
      </c>
      <c r="BI37" s="681">
        <v>0.3</v>
      </c>
      <c r="BJ37" s="407">
        <v>4416</v>
      </c>
      <c r="BK37" s="296">
        <f t="shared" si="10"/>
        <v>0</v>
      </c>
      <c r="BL37" s="591">
        <f t="shared" si="11"/>
        <v>0</v>
      </c>
      <c r="BN37" s="574">
        <f t="shared" si="22"/>
        <v>23</v>
      </c>
      <c r="BO37" s="559">
        <v>6863.29</v>
      </c>
      <c r="BP37" s="575">
        <f t="shared" si="12"/>
        <v>0</v>
      </c>
      <c r="BQ37" s="576">
        <v>5.4177083333333345</v>
      </c>
      <c r="BR37" s="576">
        <f t="shared" si="13"/>
        <v>4891.0941137109776</v>
      </c>
    </row>
    <row r="38" spans="1:70" ht="12.95" customHeight="1">
      <c r="A38" s="48">
        <f t="shared" si="14"/>
        <v>24</v>
      </c>
      <c r="B38" s="104">
        <v>6863.29</v>
      </c>
      <c r="C38" s="483">
        <f>IF(B38="",C37,VLOOKUP(TRUNC(B38,1),VLOOKUP!$A$3:$K$2834,RIGHT(TEXT(B38,"0000.00"),1)+2,FALSE))</f>
        <v>170777</v>
      </c>
      <c r="D38" s="45">
        <f t="shared" si="15"/>
        <v>0</v>
      </c>
      <c r="E38" s="55">
        <f t="shared" si="0"/>
        <v>18777</v>
      </c>
      <c r="F38" s="112">
        <f t="shared" si="1"/>
        <v>0</v>
      </c>
      <c r="G38" s="47">
        <v>31.6</v>
      </c>
      <c r="H38" s="208">
        <v>0</v>
      </c>
      <c r="I38" s="47">
        <f t="shared" si="2"/>
        <v>31.6</v>
      </c>
      <c r="J38" s="42">
        <f t="shared" si="16"/>
        <v>0</v>
      </c>
      <c r="K38" s="47">
        <f t="shared" si="3"/>
        <v>31.6</v>
      </c>
      <c r="L38" s="47">
        <f t="shared" si="17"/>
        <v>-9.6153198606366175E-2</v>
      </c>
      <c r="M38" s="114">
        <v>4.5999999999999996</v>
      </c>
      <c r="N38" s="610">
        <v>0.1</v>
      </c>
      <c r="O38" s="47">
        <f>1.7*1.05</f>
        <v>1.7849999999999999</v>
      </c>
      <c r="P38" s="39">
        <v>0</v>
      </c>
      <c r="Q38" s="144">
        <f>1715200/325851/1.9835*1.02</f>
        <v>2.706846801393636</v>
      </c>
      <c r="R38" s="73">
        <f>IF(((2.8*1.04)-T39)&gt;=4.2,4.2,(2.8*1.04)-T39)</f>
        <v>2.2218975999999997</v>
      </c>
      <c r="S38" s="73">
        <f>IF(((2.8*1.04)-T39)&gt;=4.2,((2.8*1.04)-T39)-4.2,0)</f>
        <v>0</v>
      </c>
      <c r="T38" s="73">
        <f t="shared" ref="T38:T43" si="30">(0.626*1.06)*1.04</f>
        <v>0.69010240000000012</v>
      </c>
      <c r="U38" s="131">
        <v>0</v>
      </c>
      <c r="V38" s="47">
        <v>0</v>
      </c>
      <c r="W38" s="627">
        <v>0.62</v>
      </c>
      <c r="X38" s="47">
        <v>0</v>
      </c>
      <c r="Y38" s="47">
        <v>0</v>
      </c>
      <c r="Z38" s="55"/>
      <c r="AA38" s="47"/>
      <c r="AB38" s="55"/>
      <c r="AC38" s="55"/>
      <c r="AD38" s="490"/>
      <c r="AF38" s="639"/>
      <c r="AG38" s="47"/>
      <c r="AH38" s="188">
        <v>1.7</v>
      </c>
      <c r="AI38" s="210">
        <v>1.3</v>
      </c>
      <c r="AJ38" s="47">
        <v>24</v>
      </c>
      <c r="AK38" s="55">
        <f t="shared" si="26"/>
        <v>4872.511822044311</v>
      </c>
      <c r="AL38" s="55"/>
      <c r="AM38" s="74">
        <f t="shared" si="6"/>
        <v>31.503846801393635</v>
      </c>
      <c r="AN38" s="47">
        <f t="shared" si="7"/>
        <v>9.6153198606366175E-2</v>
      </c>
      <c r="AO38" s="47">
        <f t="shared" si="8"/>
        <v>31.6</v>
      </c>
      <c r="AP38" s="203"/>
      <c r="AQ38" s="540"/>
      <c r="AR38" s="180"/>
      <c r="AS38" s="43">
        <f t="shared" si="25"/>
        <v>24.971255598606369</v>
      </c>
      <c r="AT38" s="492">
        <v>0.11</v>
      </c>
      <c r="AU38" s="494">
        <f t="shared" si="28"/>
        <v>7.6999999999999999E-2</v>
      </c>
      <c r="AV38" s="494">
        <f>IF(AT38="",0,VLOOKUP(ROUNDDOWN(TEXT(B38,"0000"),-1),VLOOKUP!$M$3:$W$32,RIGHT(TEXT(B38,"0000"),1)+2,FALSE))</f>
        <v>2397</v>
      </c>
      <c r="AW38" s="494">
        <f t="shared" si="20"/>
        <v>15.380750000000001</v>
      </c>
      <c r="AX38" s="39">
        <f t="shared" si="21"/>
        <v>0</v>
      </c>
      <c r="AY38" s="39"/>
      <c r="AZ38" s="39"/>
      <c r="BA38" s="65"/>
      <c r="BB38" s="30"/>
      <c r="BC38" s="46"/>
      <c r="BD38" s="202">
        <v>0</v>
      </c>
      <c r="BE38" s="45">
        <v>67</v>
      </c>
      <c r="BF38" s="56">
        <v>26</v>
      </c>
      <c r="BG38" s="378"/>
      <c r="BH38" s="385">
        <f t="shared" si="9"/>
        <v>5.718846801393636</v>
      </c>
      <c r="BI38" s="681">
        <v>0.3</v>
      </c>
      <c r="BJ38" s="407">
        <v>4413</v>
      </c>
      <c r="BK38" s="296">
        <f t="shared" si="10"/>
        <v>0</v>
      </c>
      <c r="BL38" s="591">
        <f t="shared" si="11"/>
        <v>0</v>
      </c>
      <c r="BN38" s="574">
        <f t="shared" si="22"/>
        <v>24</v>
      </c>
      <c r="BO38" s="559">
        <v>6863.29</v>
      </c>
      <c r="BP38" s="575">
        <f t="shared" si="12"/>
        <v>0</v>
      </c>
      <c r="BQ38" s="576">
        <v>24.796875000000032</v>
      </c>
      <c r="BR38" s="576">
        <f t="shared" si="13"/>
        <v>4847.714947044311</v>
      </c>
    </row>
    <row r="39" spans="1:70" ht="12.95" customHeight="1">
      <c r="A39" s="48">
        <v>25</v>
      </c>
      <c r="B39" s="104">
        <v>6863.3</v>
      </c>
      <c r="C39" s="483">
        <f>IF(B39="",C38,VLOOKUP(TRUNC(B39,1),VLOOKUP!$A$3:$K$2834,RIGHT(TEXT(B39,"0000.00"),1)+2,FALSE))</f>
        <v>170801</v>
      </c>
      <c r="D39" s="45">
        <f t="shared" si="15"/>
        <v>24</v>
      </c>
      <c r="E39" s="55">
        <f t="shared" si="0"/>
        <v>18801</v>
      </c>
      <c r="F39" s="112">
        <f t="shared" si="1"/>
        <v>12.09982354423998</v>
      </c>
      <c r="G39" s="47">
        <v>33.200000000000003</v>
      </c>
      <c r="H39" s="208">
        <v>0</v>
      </c>
      <c r="I39" s="47">
        <f t="shared" si="2"/>
        <v>33.200000000000003</v>
      </c>
      <c r="J39" s="42">
        <f t="shared" si="16"/>
        <v>14.443436151610298</v>
      </c>
      <c r="K39" s="47">
        <f t="shared" si="3"/>
        <v>47.643436151610302</v>
      </c>
      <c r="L39" s="47">
        <f t="shared" si="17"/>
        <v>14.443436151610298</v>
      </c>
      <c r="M39" s="114">
        <v>4.2</v>
      </c>
      <c r="N39" s="610">
        <v>0.1</v>
      </c>
      <c r="O39" s="47">
        <f>6.2*1.05</f>
        <v>6.5100000000000007</v>
      </c>
      <c r="P39" s="39">
        <v>0</v>
      </c>
      <c r="Q39" s="144">
        <f>1149200/325851/1.9835*1.02</f>
        <v>1.813612607370316</v>
      </c>
      <c r="R39" s="73">
        <f>IF(((3*1.04)-T40)&gt;=4.2,4.2,(3*1.04)-T40)</f>
        <v>2.4298975999999999</v>
      </c>
      <c r="S39" s="73">
        <f>IF(((3*1.04)-T40)&gt;=4.2,((3*1.04)-T40)-4.2,0)</f>
        <v>0</v>
      </c>
      <c r="T39" s="73">
        <f t="shared" si="30"/>
        <v>0.69010240000000012</v>
      </c>
      <c r="U39" s="131">
        <v>0</v>
      </c>
      <c r="V39" s="47">
        <v>0</v>
      </c>
      <c r="W39" s="627">
        <v>0.76</v>
      </c>
      <c r="X39" s="47">
        <v>0</v>
      </c>
      <c r="Y39" s="47">
        <v>0</v>
      </c>
      <c r="Z39" s="55"/>
      <c r="AA39" s="47"/>
      <c r="AB39" s="55"/>
      <c r="AC39" s="55"/>
      <c r="AD39" s="490"/>
      <c r="AF39" s="639"/>
      <c r="AG39" s="47"/>
      <c r="AH39" s="188">
        <v>1.7</v>
      </c>
      <c r="AI39" s="210">
        <v>1.3</v>
      </c>
      <c r="AJ39" s="47">
        <v>24</v>
      </c>
      <c r="AK39" s="55">
        <f t="shared" si="26"/>
        <v>4848.511822044311</v>
      </c>
      <c r="AL39" s="55"/>
      <c r="AM39" s="74">
        <f t="shared" si="6"/>
        <v>35.543612607370321</v>
      </c>
      <c r="AN39" s="47">
        <f t="shared" si="7"/>
        <v>0</v>
      </c>
      <c r="AO39" s="47">
        <f t="shared" si="8"/>
        <v>35.543612607370321</v>
      </c>
      <c r="AP39" s="203"/>
      <c r="AQ39" s="540"/>
      <c r="AR39" s="42"/>
      <c r="AS39" s="43">
        <f t="shared" si="25"/>
        <v>27.256489792629687</v>
      </c>
      <c r="AT39" s="492">
        <v>0.11</v>
      </c>
      <c r="AU39" s="494">
        <f t="shared" si="28"/>
        <v>7.6999999999999999E-2</v>
      </c>
      <c r="AV39" s="494">
        <f>IF(AT39="",0,VLOOKUP(ROUNDDOWN(TEXT(B39,"0000"),-1),VLOOKUP!$M$3:$W$32,RIGHT(TEXT(B39,"0000"),1)+2,FALSE))</f>
        <v>2397</v>
      </c>
      <c r="AW39" s="494">
        <f t="shared" si="20"/>
        <v>15.380750000000001</v>
      </c>
      <c r="AX39" s="39">
        <f t="shared" si="21"/>
        <v>0</v>
      </c>
      <c r="AY39" s="39"/>
      <c r="AZ39" s="39"/>
      <c r="BA39" s="65"/>
      <c r="BB39" s="30"/>
      <c r="BC39" s="46"/>
      <c r="BD39" s="202">
        <v>0.05</v>
      </c>
      <c r="BE39" s="45">
        <v>68</v>
      </c>
      <c r="BF39" s="56">
        <v>15</v>
      </c>
      <c r="BG39" s="378"/>
      <c r="BH39" s="385">
        <f t="shared" si="9"/>
        <v>5.0336126073703156</v>
      </c>
      <c r="BI39" s="681">
        <v>0.3</v>
      </c>
      <c r="BJ39" s="407">
        <v>4411</v>
      </c>
      <c r="BK39" s="296">
        <f t="shared" si="10"/>
        <v>0</v>
      </c>
      <c r="BL39" s="591">
        <f t="shared" si="11"/>
        <v>0</v>
      </c>
      <c r="BN39" s="574">
        <f t="shared" si="22"/>
        <v>25</v>
      </c>
      <c r="BO39" s="559">
        <v>6863.3</v>
      </c>
      <c r="BP39" s="575">
        <f t="shared" si="12"/>
        <v>0</v>
      </c>
      <c r="BQ39" s="576">
        <v>24.912500000000041</v>
      </c>
      <c r="BR39" s="576">
        <f t="shared" si="13"/>
        <v>4823.5993220443106</v>
      </c>
    </row>
    <row r="40" spans="1:70" ht="12.95" customHeight="1">
      <c r="A40" s="48">
        <v>26</v>
      </c>
      <c r="B40" s="104">
        <v>6863.3</v>
      </c>
      <c r="C40" s="483">
        <f>IF(B40="",C39,VLOOKUP(TRUNC(B40,1),VLOOKUP!$A$3:$K$2834,RIGHT(TEXT(B40,"0000.00"),1)+2,FALSE))</f>
        <v>170801</v>
      </c>
      <c r="D40" s="45">
        <f t="shared" si="15"/>
        <v>0</v>
      </c>
      <c r="E40" s="55">
        <f t="shared" si="0"/>
        <v>18801</v>
      </c>
      <c r="F40" s="112">
        <f t="shared" si="1"/>
        <v>0</v>
      </c>
      <c r="G40" s="47">
        <v>34.9</v>
      </c>
      <c r="H40" s="208">
        <v>0</v>
      </c>
      <c r="I40" s="47">
        <f t="shared" si="2"/>
        <v>34.9</v>
      </c>
      <c r="J40" s="42">
        <f t="shared" si="16"/>
        <v>0</v>
      </c>
      <c r="K40" s="47">
        <f t="shared" si="3"/>
        <v>34.9</v>
      </c>
      <c r="L40" s="47">
        <f t="shared" si="17"/>
        <v>-5.7408465354169529</v>
      </c>
      <c r="M40" s="114">
        <v>5.0999999999999996</v>
      </c>
      <c r="N40" s="610">
        <v>0.1</v>
      </c>
      <c r="O40" s="47">
        <f>0.74*1.05</f>
        <v>0.77700000000000002</v>
      </c>
      <c r="P40" s="39">
        <v>0</v>
      </c>
      <c r="Q40" s="144">
        <f>1329500/325851/1.9835*1.02</f>
        <v>2.0981534645830449</v>
      </c>
      <c r="R40" s="73">
        <f>IF(((2.1*1.04)-T41)&gt;=4.2,4.2,(2.1*1.04)-T41)</f>
        <v>1.4938975999999999</v>
      </c>
      <c r="S40" s="73">
        <f>IF(((2.1*1.04)-T41)&gt;=4.2,((2.1*1.04)-T41)-4.2,0)</f>
        <v>0</v>
      </c>
      <c r="T40" s="73">
        <f t="shared" si="30"/>
        <v>0.69010240000000012</v>
      </c>
      <c r="U40" s="131">
        <v>0</v>
      </c>
      <c r="V40" s="47">
        <v>0</v>
      </c>
      <c r="W40" s="627">
        <v>0</v>
      </c>
      <c r="X40" s="47">
        <v>0</v>
      </c>
      <c r="Y40" s="47">
        <v>0</v>
      </c>
      <c r="Z40" s="55"/>
      <c r="AA40" s="47"/>
      <c r="AB40" s="55"/>
      <c r="AC40" s="55"/>
      <c r="AD40" s="490"/>
      <c r="AF40" s="639"/>
      <c r="AG40" s="47"/>
      <c r="AH40" s="188">
        <v>1.7</v>
      </c>
      <c r="AI40" s="210">
        <v>1.3</v>
      </c>
      <c r="AJ40" s="47">
        <v>24</v>
      </c>
      <c r="AK40" s="55">
        <f t="shared" si="26"/>
        <v>4824.511822044311</v>
      </c>
      <c r="AL40" s="55"/>
      <c r="AM40" s="74">
        <f t="shared" si="6"/>
        <v>29.159153464583046</v>
      </c>
      <c r="AN40" s="47">
        <f t="shared" si="7"/>
        <v>5.7408465354169529</v>
      </c>
      <c r="AO40" s="47">
        <f t="shared" si="8"/>
        <v>34.9</v>
      </c>
      <c r="AP40" s="203"/>
      <c r="AQ40" s="540"/>
      <c r="AR40" s="42"/>
      <c r="AS40" s="43">
        <f t="shared" si="25"/>
        <v>29.607948935416957</v>
      </c>
      <c r="AT40" s="492">
        <v>0.02</v>
      </c>
      <c r="AU40" s="494">
        <f t="shared" si="28"/>
        <v>1.3999999999999999E-2</v>
      </c>
      <c r="AV40" s="494">
        <f>IF(AT40="",0,VLOOKUP(ROUNDDOWN(TEXT(B40,"0000"),-1),VLOOKUP!$M$3:$W$32,RIGHT(TEXT(B40,"0000"),1)+2,FALSE))</f>
        <v>2397</v>
      </c>
      <c r="AW40" s="494">
        <f t="shared" si="20"/>
        <v>2.7964999999999995</v>
      </c>
      <c r="AX40" s="39">
        <f t="shared" si="21"/>
        <v>0</v>
      </c>
      <c r="AY40" s="39"/>
      <c r="AZ40" s="39"/>
      <c r="BA40" s="65"/>
      <c r="BB40" s="30"/>
      <c r="BC40" s="46"/>
      <c r="BD40" s="202">
        <v>0.01</v>
      </c>
      <c r="BE40" s="45">
        <v>36</v>
      </c>
      <c r="BF40" s="56">
        <v>19</v>
      </c>
      <c r="BG40" s="378"/>
      <c r="BH40" s="385">
        <f t="shared" si="9"/>
        <v>4.3821534645830447</v>
      </c>
      <c r="BI40" s="681">
        <v>0.3</v>
      </c>
      <c r="BJ40" s="407">
        <v>4416</v>
      </c>
      <c r="BK40" s="296">
        <f t="shared" si="10"/>
        <v>0</v>
      </c>
      <c r="BL40" s="591">
        <f t="shared" si="11"/>
        <v>0</v>
      </c>
      <c r="BN40" s="574">
        <f t="shared" si="22"/>
        <v>26</v>
      </c>
      <c r="BO40" s="559">
        <v>6863.29</v>
      </c>
      <c r="BP40" s="575">
        <f t="shared" si="12"/>
        <v>1.0000000000218279E-2</v>
      </c>
      <c r="BQ40" s="576">
        <v>24.963541666666682</v>
      </c>
      <c r="BR40" s="576">
        <f t="shared" si="13"/>
        <v>4799.548280377644</v>
      </c>
    </row>
    <row r="41" spans="1:70" ht="12.95" customHeight="1">
      <c r="A41" s="48">
        <v>27</v>
      </c>
      <c r="B41" s="104">
        <v>6863.28</v>
      </c>
      <c r="C41" s="483">
        <f>IF(B41="",C40,VLOOKUP(TRUNC(B41,1),VLOOKUP!$A$3:$K$2834,RIGHT(TEXT(B41,"0000.00"),1)+2,FALSE))</f>
        <v>170753</v>
      </c>
      <c r="D41" s="45">
        <f t="shared" si="15"/>
        <v>-48</v>
      </c>
      <c r="E41" s="55">
        <f t="shared" si="0"/>
        <v>18753</v>
      </c>
      <c r="F41" s="112">
        <f t="shared" si="1"/>
        <v>-24.19964708847996</v>
      </c>
      <c r="G41" s="47">
        <v>25</v>
      </c>
      <c r="H41" s="208">
        <v>0</v>
      </c>
      <c r="I41" s="47">
        <f t="shared" si="2"/>
        <v>25</v>
      </c>
      <c r="J41" s="42">
        <f t="shared" si="16"/>
        <v>0</v>
      </c>
      <c r="K41" s="47">
        <f t="shared" si="3"/>
        <v>25</v>
      </c>
      <c r="L41" s="47">
        <f>IF(G41="",0,F41-(I41-AM41))</f>
        <v>-19.365244836968618</v>
      </c>
      <c r="M41" s="114">
        <v>5.8</v>
      </c>
      <c r="N41" s="610">
        <v>0.1</v>
      </c>
      <c r="O41" s="47">
        <f>1.1*1.05</f>
        <v>1.1550000000000002</v>
      </c>
      <c r="P41" s="39">
        <v>0</v>
      </c>
      <c r="Q41" s="144">
        <f>884200/325851/1.9835*1.02</f>
        <v>1.3954022515113413</v>
      </c>
      <c r="R41" s="73">
        <f>IF(((2.1*1.04)-T42)&gt;=4.2,4.2,(2.1*1.04)-T42)</f>
        <v>1.4938975999999999</v>
      </c>
      <c r="S41" s="73">
        <f>IF(((2.1*1.04)-T42)&gt;=4.2,((2.1*1.04)-T42)-4.2,0)</f>
        <v>0</v>
      </c>
      <c r="T41" s="73">
        <f t="shared" si="30"/>
        <v>0.69010240000000012</v>
      </c>
      <c r="U41" s="131">
        <v>0</v>
      </c>
      <c r="V41" s="47">
        <v>0</v>
      </c>
      <c r="W41" s="627">
        <v>0</v>
      </c>
      <c r="X41" s="47">
        <v>0</v>
      </c>
      <c r="Y41" s="47">
        <v>0</v>
      </c>
      <c r="Z41" s="55"/>
      <c r="AA41" s="47"/>
      <c r="AB41" s="55"/>
      <c r="AC41" s="55"/>
      <c r="AD41" s="490"/>
      <c r="AF41" s="639"/>
      <c r="AG41" s="47"/>
      <c r="AH41" s="188">
        <v>1.7</v>
      </c>
      <c r="AI41" s="210">
        <v>1.3</v>
      </c>
      <c r="AJ41" s="47">
        <v>25</v>
      </c>
      <c r="AK41" s="55">
        <f t="shared" si="26"/>
        <v>4799.511822044311</v>
      </c>
      <c r="AL41" s="55"/>
      <c r="AM41" s="74">
        <f t="shared" si="6"/>
        <v>29.834402251511342</v>
      </c>
      <c r="AN41" s="47">
        <f t="shared" si="7"/>
        <v>19.365244836968618</v>
      </c>
      <c r="AO41" s="47">
        <f t="shared" si="8"/>
        <v>49.199647088479963</v>
      </c>
      <c r="AP41" s="203"/>
      <c r="AQ41" s="540"/>
      <c r="AR41" s="42"/>
      <c r="AS41" s="43">
        <f t="shared" si="25"/>
        <v>20.410700148488658</v>
      </c>
      <c r="AT41" s="492">
        <v>0.04</v>
      </c>
      <c r="AU41" s="494">
        <f t="shared" si="28"/>
        <v>2.7999999999999997E-2</v>
      </c>
      <c r="AV41" s="494">
        <f>IF(AT41="",0,VLOOKUP(ROUNDDOWN(TEXT(B41,"0000"),-1),VLOOKUP!$M$3:$W$32,RIGHT(TEXT(B41,"0000"),1)+2,FALSE))</f>
        <v>2397</v>
      </c>
      <c r="AW41" s="494">
        <f t="shared" si="20"/>
        <v>5.5929999999999991</v>
      </c>
      <c r="AX41" s="39">
        <f t="shared" si="21"/>
        <v>0</v>
      </c>
      <c r="AY41" s="39"/>
      <c r="AZ41" s="39"/>
      <c r="BA41" s="65"/>
      <c r="BB41" s="30"/>
      <c r="BC41" s="46"/>
      <c r="BD41" s="202">
        <v>0</v>
      </c>
      <c r="BE41" s="45">
        <v>49</v>
      </c>
      <c r="BF41" s="56">
        <v>15</v>
      </c>
      <c r="BG41" s="378"/>
      <c r="BH41" s="385">
        <f t="shared" si="9"/>
        <v>3.6794022515113416</v>
      </c>
      <c r="BI41" s="681">
        <v>0.3</v>
      </c>
      <c r="BJ41" s="407">
        <v>4415</v>
      </c>
      <c r="BK41" s="296">
        <f t="shared" si="10"/>
        <v>0</v>
      </c>
      <c r="BL41" s="591">
        <f t="shared" si="11"/>
        <v>0</v>
      </c>
      <c r="BN41" s="574">
        <f t="shared" si="22"/>
        <v>27</v>
      </c>
      <c r="BO41" s="559">
        <v>6863.25</v>
      </c>
      <c r="BP41" s="575">
        <f t="shared" si="12"/>
        <v>2.9999999999745341E-2</v>
      </c>
      <c r="BQ41" s="576">
        <v>24.780208333333331</v>
      </c>
      <c r="BR41" s="576">
        <f t="shared" si="13"/>
        <v>4774.7316137109774</v>
      </c>
    </row>
    <row r="42" spans="1:70" ht="12.95" customHeight="1">
      <c r="A42" s="48">
        <v>28</v>
      </c>
      <c r="B42" s="104">
        <v>6863.25</v>
      </c>
      <c r="C42" s="483">
        <f>IF(B42="",C41,VLOOKUP(TRUNC(B42,1),VLOOKUP!$A$3:$K$2834,RIGHT(TEXT(B42,"0000.00"),1)+2,FALSE))</f>
        <v>170681</v>
      </c>
      <c r="D42" s="45">
        <f t="shared" si="15"/>
        <v>-72</v>
      </c>
      <c r="E42" s="55">
        <f t="shared" si="0"/>
        <v>18681</v>
      </c>
      <c r="F42" s="112">
        <f t="shared" si="1"/>
        <v>-36.299470632719938</v>
      </c>
      <c r="G42" s="47">
        <v>25</v>
      </c>
      <c r="H42" s="208">
        <v>0</v>
      </c>
      <c r="I42" s="47">
        <f t="shared" si="2"/>
        <v>25</v>
      </c>
      <c r="J42" s="42">
        <f t="shared" si="16"/>
        <v>0</v>
      </c>
      <c r="K42" s="47">
        <f t="shared" si="3"/>
        <v>25</v>
      </c>
      <c r="L42" s="47">
        <f t="shared" si="17"/>
        <v>-30.852141696364107</v>
      </c>
      <c r="M42" s="650">
        <v>4.0999999999999996</v>
      </c>
      <c r="N42" s="610">
        <v>0.1</v>
      </c>
      <c r="O42" s="47">
        <f>2.1*1.05</f>
        <v>2.2050000000000001</v>
      </c>
      <c r="P42" s="39">
        <v>0</v>
      </c>
      <c r="Q42" s="144">
        <f>1175000/325851/1.9835*1.02</f>
        <v>1.8543289363558315</v>
      </c>
      <c r="R42" s="73">
        <f>IF(((2.2*1.04)-T43)&gt;=4.2,4.2,(2.2*1.04)-T43)</f>
        <v>1.5978976</v>
      </c>
      <c r="S42" s="73">
        <f>IF(((2.2*1.04)-T43)&gt;=4.2,((2.2*1.04)-T43)-4.2,0)</f>
        <v>0</v>
      </c>
      <c r="T42" s="73">
        <f t="shared" si="30"/>
        <v>0.69010240000000012</v>
      </c>
      <c r="U42" s="131">
        <v>0</v>
      </c>
      <c r="V42" s="47">
        <v>0</v>
      </c>
      <c r="W42" s="627">
        <v>0</v>
      </c>
      <c r="X42" s="47">
        <v>0</v>
      </c>
      <c r="Y42" s="47">
        <v>0</v>
      </c>
      <c r="Z42" s="55"/>
      <c r="AA42" s="47"/>
      <c r="AB42" s="55"/>
      <c r="AC42" s="55"/>
      <c r="AD42" s="490"/>
      <c r="AF42" s="639"/>
      <c r="AG42" s="47"/>
      <c r="AH42" s="188">
        <v>1.7</v>
      </c>
      <c r="AI42" s="210">
        <v>1.3</v>
      </c>
      <c r="AJ42" s="47">
        <v>24</v>
      </c>
      <c r="AK42" s="55">
        <f t="shared" si="26"/>
        <v>4775.511822044311</v>
      </c>
      <c r="AL42" s="55"/>
      <c r="AM42" s="74">
        <f t="shared" si="6"/>
        <v>30.447328936355831</v>
      </c>
      <c r="AN42" s="47">
        <f t="shared" si="7"/>
        <v>30.852141696364107</v>
      </c>
      <c r="AO42" s="47">
        <f t="shared" si="8"/>
        <v>61.299470632719938</v>
      </c>
      <c r="AP42" s="203"/>
      <c r="AQ42" s="540"/>
      <c r="AR42" s="42"/>
      <c r="AS42" s="43">
        <f t="shared" si="25"/>
        <v>19.84777346364417</v>
      </c>
      <c r="AT42" s="492">
        <v>0.09</v>
      </c>
      <c r="AU42" s="494">
        <f t="shared" si="28"/>
        <v>6.3E-2</v>
      </c>
      <c r="AV42" s="494">
        <f>IF(AT42="",0,VLOOKUP(ROUNDDOWN(TEXT(B42,"0000"),-1),VLOOKUP!$M$3:$W$32,RIGHT(TEXT(B42,"0000"),1)+2,FALSE))</f>
        <v>2397</v>
      </c>
      <c r="AW42" s="494">
        <f t="shared" si="20"/>
        <v>12.584250000000001</v>
      </c>
      <c r="AX42" s="39">
        <f t="shared" si="21"/>
        <v>0</v>
      </c>
      <c r="AY42" s="39"/>
      <c r="AZ42" s="39"/>
      <c r="BA42" s="65"/>
      <c r="BB42" s="30"/>
      <c r="BC42" s="46"/>
      <c r="BD42" s="202">
        <v>0</v>
      </c>
      <c r="BE42" s="45">
        <v>56</v>
      </c>
      <c r="BF42" s="56">
        <v>17</v>
      </c>
      <c r="BG42" s="378"/>
      <c r="BH42" s="385">
        <f t="shared" si="9"/>
        <v>4.2423289363558316</v>
      </c>
      <c r="BI42" s="681">
        <v>0.3</v>
      </c>
      <c r="BJ42" s="407">
        <v>4414</v>
      </c>
      <c r="BK42" s="296">
        <f t="shared" si="10"/>
        <v>0</v>
      </c>
      <c r="BL42" s="591">
        <f t="shared" si="11"/>
        <v>0</v>
      </c>
      <c r="BN42" s="574">
        <f t="shared" si="22"/>
        <v>28</v>
      </c>
      <c r="BO42" s="559">
        <v>6863.23</v>
      </c>
      <c r="BP42" s="575">
        <f t="shared" si="12"/>
        <v>2.0000000000436557E-2</v>
      </c>
      <c r="BQ42" s="576">
        <v>24.892708333333335</v>
      </c>
      <c r="BR42" s="576">
        <f t="shared" si="13"/>
        <v>4750.6191137109772</v>
      </c>
    </row>
    <row r="43" spans="1:70" ht="12.95" customHeight="1">
      <c r="A43" s="48">
        <v>29</v>
      </c>
      <c r="B43" s="104">
        <v>6863.24</v>
      </c>
      <c r="C43" s="483">
        <f>IF(B43="",C42,VLOOKUP(TRUNC(B43,1),VLOOKUP!$A$3:$K$2834,RIGHT(TEXT(B43,"0000.00"),1)+2,FALSE))</f>
        <v>170656</v>
      </c>
      <c r="D43" s="45">
        <f t="shared" si="15"/>
        <v>-25</v>
      </c>
      <c r="E43" s="55">
        <f t="shared" si="0"/>
        <v>18656</v>
      </c>
      <c r="F43" s="112">
        <f t="shared" si="1"/>
        <v>-12.603982858583311</v>
      </c>
      <c r="G43" s="47">
        <v>25</v>
      </c>
      <c r="H43" s="208">
        <v>0</v>
      </c>
      <c r="I43" s="47">
        <f t="shared" si="2"/>
        <v>25</v>
      </c>
      <c r="J43" s="42">
        <f t="shared" si="16"/>
        <v>0</v>
      </c>
      <c r="K43" s="47">
        <f t="shared" si="3"/>
        <v>25</v>
      </c>
      <c r="L43" s="47">
        <f t="shared" si="17"/>
        <v>-8.4484259565000599</v>
      </c>
      <c r="M43" s="114">
        <v>4.5999999999999996</v>
      </c>
      <c r="N43" s="610">
        <v>0.1</v>
      </c>
      <c r="O43" s="47">
        <f>0.95*1.05</f>
        <v>0.99749999999999994</v>
      </c>
      <c r="P43" s="39">
        <v>0</v>
      </c>
      <c r="Q43" s="144">
        <f>1094400/325851/1.9835*1.02</f>
        <v>1.7271298620832527</v>
      </c>
      <c r="R43" s="73">
        <f>IF(((2.3*1.04)-T44)&gt;=4.2,4.2,(2.3*1.04)-T44)</f>
        <v>1.6408246399999999</v>
      </c>
      <c r="S43" s="73">
        <f>IF(((2.3*1.04)-T44)&gt;=4.2,((2.3*1.04)-T44)-4.2,0)</f>
        <v>0</v>
      </c>
      <c r="T43" s="73">
        <f t="shared" si="30"/>
        <v>0.69010240000000012</v>
      </c>
      <c r="U43" s="131">
        <v>0</v>
      </c>
      <c r="V43" s="47">
        <v>0</v>
      </c>
      <c r="W43" s="627">
        <v>0</v>
      </c>
      <c r="X43" s="47">
        <v>0</v>
      </c>
      <c r="Y43" s="47">
        <v>0</v>
      </c>
      <c r="Z43" s="55"/>
      <c r="AA43" s="47"/>
      <c r="AB43" s="55"/>
      <c r="AC43" s="55"/>
      <c r="AD43" s="490"/>
      <c r="AF43" s="639"/>
      <c r="AG43" s="47"/>
      <c r="AH43" s="188">
        <v>1.7</v>
      </c>
      <c r="AI43" s="210">
        <v>1.3</v>
      </c>
      <c r="AJ43" s="47">
        <v>24</v>
      </c>
      <c r="AK43" s="55">
        <f t="shared" si="26"/>
        <v>4751.511822044311</v>
      </c>
      <c r="AL43" s="55"/>
      <c r="AM43" s="74">
        <f t="shared" si="6"/>
        <v>29.155556902083251</v>
      </c>
      <c r="AN43" s="47">
        <f t="shared" si="7"/>
        <v>8.4484259565000599</v>
      </c>
      <c r="AO43" s="47">
        <f t="shared" si="8"/>
        <v>37.603982858583308</v>
      </c>
      <c r="AP43" s="203"/>
      <c r="AQ43" s="540"/>
      <c r="AR43" s="42"/>
      <c r="AS43" s="43">
        <f>IF(G43="",0,IF(I43&gt;=795,795-X43,I43-Q43-R43-X43-AH43)-AL43)+AE43</f>
        <v>19.93204549791675</v>
      </c>
      <c r="AT43" s="492">
        <v>0.06</v>
      </c>
      <c r="AU43" s="494">
        <f t="shared" si="28"/>
        <v>4.1999999999999996E-2</v>
      </c>
      <c r="AV43" s="494">
        <f>IF(AT43="",0,VLOOKUP(ROUNDDOWN(TEXT(B43,"0000"),-1),VLOOKUP!$M$3:$W$32,RIGHT(TEXT(B43,"0000"),1)+2,FALSE))</f>
        <v>2397</v>
      </c>
      <c r="AW43" s="494">
        <f t="shared" si="20"/>
        <v>8.3895</v>
      </c>
      <c r="AX43" s="39">
        <f t="shared" si="21"/>
        <v>0</v>
      </c>
      <c r="AY43" s="39"/>
      <c r="AZ43" s="39"/>
      <c r="BA43" s="65"/>
      <c r="BB43" s="30"/>
      <c r="BC43" s="46"/>
      <c r="BD43" s="202">
        <v>0</v>
      </c>
      <c r="BE43" s="45">
        <v>62</v>
      </c>
      <c r="BF43" s="56">
        <v>27</v>
      </c>
      <c r="BG43" s="378"/>
      <c r="BH43" s="385">
        <f t="shared" si="9"/>
        <v>4.1580569020832527</v>
      </c>
      <c r="BI43" s="681">
        <v>0.3</v>
      </c>
      <c r="BJ43" s="407">
        <v>4411</v>
      </c>
      <c r="BK43" s="296">
        <f t="shared" si="10"/>
        <v>0</v>
      </c>
      <c r="BL43" s="591">
        <f t="shared" si="11"/>
        <v>0</v>
      </c>
      <c r="BN43" s="574">
        <f t="shared" si="22"/>
        <v>29</v>
      </c>
      <c r="BO43" s="559">
        <v>6863.24</v>
      </c>
      <c r="BP43" s="575">
        <f t="shared" si="12"/>
        <v>0</v>
      </c>
      <c r="BQ43" s="576">
        <v>25.186458333333334</v>
      </c>
      <c r="BR43" s="576">
        <f t="shared" si="13"/>
        <v>4726.3253637109774</v>
      </c>
    </row>
    <row r="44" spans="1:70" ht="12.95" customHeight="1">
      <c r="A44" s="48">
        <v>30</v>
      </c>
      <c r="B44" s="104">
        <v>6863.24</v>
      </c>
      <c r="C44" s="483">
        <f>IF(B44="",C43,VLOOKUP(TRUNC(B44,1),VLOOKUP!$A$3:$K$2834,RIGHT(TEXT(B44,"0000.00"),1)+2,FALSE))</f>
        <v>170656</v>
      </c>
      <c r="D44" s="45">
        <f t="shared" si="15"/>
        <v>0</v>
      </c>
      <c r="E44" s="55">
        <f t="shared" si="0"/>
        <v>18656</v>
      </c>
      <c r="F44" s="112">
        <f t="shared" si="1"/>
        <v>0</v>
      </c>
      <c r="G44" s="47">
        <v>25</v>
      </c>
      <c r="H44" s="208">
        <v>0</v>
      </c>
      <c r="I44" s="47">
        <f t="shared" si="2"/>
        <v>25</v>
      </c>
      <c r="J44" s="42">
        <f t="shared" si="16"/>
        <v>4.6086735049436385</v>
      </c>
      <c r="K44" s="47">
        <f t="shared" si="3"/>
        <v>29.608673504943638</v>
      </c>
      <c r="L44" s="47">
        <f t="shared" si="17"/>
        <v>4.6086735049436385</v>
      </c>
      <c r="M44" s="114">
        <v>4.0999999999999996</v>
      </c>
      <c r="N44" s="610">
        <v>0.1</v>
      </c>
      <c r="O44" s="47">
        <f>0.86*1.05</f>
        <v>0.90300000000000002</v>
      </c>
      <c r="P44" s="39">
        <v>0</v>
      </c>
      <c r="Q44" s="144">
        <f>1205000/325851/1.9835*1.02</f>
        <v>1.9016735049436395</v>
      </c>
      <c r="R44" s="73">
        <f>IF(((2.6*1.04)-T45)&gt;=4.2,4.2,(2.6*1.04)-T45)</f>
        <v>1.9528246400000002</v>
      </c>
      <c r="S44" s="73">
        <f>IF(((2.6*1.04)-T45)&gt;=4.2,((2.6*1.04)-T45)-4.2,0)</f>
        <v>0</v>
      </c>
      <c r="T44" s="73">
        <f>(0.6814*1.06)*1.04</f>
        <v>0.75117536000000007</v>
      </c>
      <c r="U44" s="131">
        <v>0</v>
      </c>
      <c r="V44" s="47">
        <v>0</v>
      </c>
      <c r="W44" s="627">
        <v>0</v>
      </c>
      <c r="X44" s="47">
        <v>0</v>
      </c>
      <c r="Y44" s="47">
        <v>0</v>
      </c>
      <c r="Z44" s="55"/>
      <c r="AA44" s="47"/>
      <c r="AB44" s="55"/>
      <c r="AC44" s="55"/>
      <c r="AD44" s="490"/>
      <c r="AF44" s="639"/>
      <c r="AG44" s="47"/>
      <c r="AH44" s="188">
        <v>1.7</v>
      </c>
      <c r="AI44" s="210">
        <v>1.3</v>
      </c>
      <c r="AJ44" s="47">
        <v>24</v>
      </c>
      <c r="AK44" s="55">
        <f t="shared" si="26"/>
        <v>4727.511822044311</v>
      </c>
      <c r="AL44" s="55"/>
      <c r="AM44" s="74">
        <f t="shared" si="6"/>
        <v>29.608673504943638</v>
      </c>
      <c r="AN44" s="47">
        <f t="shared" si="7"/>
        <v>0</v>
      </c>
      <c r="AO44" s="47">
        <f t="shared" si="8"/>
        <v>29.608673504943638</v>
      </c>
      <c r="AP44" s="203"/>
      <c r="AQ44" s="540"/>
      <c r="AR44" s="42"/>
      <c r="AS44" s="43">
        <f t="shared" si="25"/>
        <v>19.445501855056364</v>
      </c>
      <c r="AT44" s="492">
        <v>0.05</v>
      </c>
      <c r="AU44" s="494">
        <f t="shared" si="28"/>
        <v>3.4999999999999996E-2</v>
      </c>
      <c r="AV44" s="494">
        <f>IF(AT44="",0,VLOOKUP(ROUNDDOWN(TEXT(B44,"0000"),-1),VLOOKUP!$M$3:$W$32,RIGHT(TEXT(B44,"0000"),1)+2,FALSE))</f>
        <v>2397</v>
      </c>
      <c r="AW44" s="494">
        <f>AU44/12*AV44</f>
        <v>6.9912499999999991</v>
      </c>
      <c r="AX44" s="39">
        <f t="shared" si="21"/>
        <v>0</v>
      </c>
      <c r="AY44" s="39"/>
      <c r="AZ44" s="39"/>
      <c r="BA44" s="65"/>
      <c r="BB44" s="30"/>
      <c r="BC44" s="46"/>
      <c r="BD44" s="202">
        <v>0</v>
      </c>
      <c r="BE44" s="45">
        <v>66</v>
      </c>
      <c r="BF44" s="56">
        <v>30</v>
      </c>
      <c r="BG44" s="378"/>
      <c r="BH44" s="385">
        <f t="shared" si="9"/>
        <v>4.7056735049436398</v>
      </c>
      <c r="BI44" s="681">
        <v>0.3</v>
      </c>
      <c r="BJ44" s="407">
        <v>4410</v>
      </c>
      <c r="BK44" s="296">
        <f t="shared" si="10"/>
        <v>0</v>
      </c>
      <c r="BL44" s="591">
        <f t="shared" si="11"/>
        <v>0</v>
      </c>
      <c r="BN44" s="574">
        <f t="shared" si="22"/>
        <v>30</v>
      </c>
      <c r="BO44" s="559">
        <v>6863.24</v>
      </c>
      <c r="BP44" s="575">
        <f t="shared" si="12"/>
        <v>0</v>
      </c>
      <c r="BQ44" s="576">
        <v>25.132291666666671</v>
      </c>
      <c r="BR44" s="576">
        <f t="shared" si="13"/>
        <v>4702.3795303776442</v>
      </c>
    </row>
    <row r="45" spans="1:70" ht="12.95" customHeight="1">
      <c r="A45" s="48">
        <v>31</v>
      </c>
      <c r="B45" s="104">
        <v>6863.24</v>
      </c>
      <c r="C45" s="483">
        <f>IF(B45="",C44,VLOOKUP(TRUNC(B45,1),VLOOKUP!$A$3:$K$2834,RIGHT(TEXT(B45,"0000.00"),1)+2,FALSE))</f>
        <v>170656</v>
      </c>
      <c r="D45" s="45">
        <f t="shared" si="15"/>
        <v>0</v>
      </c>
      <c r="E45" s="55">
        <f t="shared" si="0"/>
        <v>18656</v>
      </c>
      <c r="F45" s="112">
        <f t="shared" si="1"/>
        <v>0</v>
      </c>
      <c r="G45" s="47">
        <v>25</v>
      </c>
      <c r="H45" s="208">
        <v>0</v>
      </c>
      <c r="I45" s="47">
        <f t="shared" si="2"/>
        <v>25</v>
      </c>
      <c r="J45" s="42">
        <f t="shared" si="16"/>
        <v>4.2701534494790501</v>
      </c>
      <c r="K45" s="47">
        <f t="shared" si="3"/>
        <v>29.27015344947905</v>
      </c>
      <c r="L45" s="47">
        <f t="shared" si="17"/>
        <v>4.2701534494790501</v>
      </c>
      <c r="M45" s="114">
        <v>3.7</v>
      </c>
      <c r="N45" s="610">
        <v>0.1</v>
      </c>
      <c r="O45" s="47">
        <f>0*1.05</f>
        <v>0</v>
      </c>
      <c r="P45" s="39">
        <v>0</v>
      </c>
      <c r="Q45" s="144">
        <f>1086700/325851/1.9835*1.02</f>
        <v>1.7149780894790487</v>
      </c>
      <c r="R45" s="73">
        <f>IF(((2.6*1.04)-T46)&gt;=4.2,4.2,(2.6*1.04)-T46)</f>
        <v>2.7040000000000002</v>
      </c>
      <c r="S45" s="73">
        <f>IF(((2.6*1.04)-T46)&gt;=4.2,((2.6*1.04)-T46)-4.2,0)</f>
        <v>0</v>
      </c>
      <c r="T45" s="73">
        <f>(0.6814*1.06)*1.04</f>
        <v>0.75117536000000007</v>
      </c>
      <c r="U45" s="131">
        <v>0</v>
      </c>
      <c r="V45" s="47">
        <v>0</v>
      </c>
      <c r="W45" s="627">
        <v>0</v>
      </c>
      <c r="X45" s="47">
        <v>0</v>
      </c>
      <c r="Y45" s="47">
        <v>0</v>
      </c>
      <c r="Z45" s="55"/>
      <c r="AA45" s="47"/>
      <c r="AB45" s="55"/>
      <c r="AC45" s="55"/>
      <c r="AD45" s="490"/>
      <c r="AF45" s="639"/>
      <c r="AG45" s="47"/>
      <c r="AH45" s="188">
        <v>1.7</v>
      </c>
      <c r="AI45" s="210">
        <v>1.3</v>
      </c>
      <c r="AJ45" s="47">
        <v>24</v>
      </c>
      <c r="AK45" s="55">
        <f t="shared" si="26"/>
        <v>4703.511822044311</v>
      </c>
      <c r="AL45" s="55"/>
      <c r="AM45" s="74">
        <f t="shared" si="6"/>
        <v>29.27015344947905</v>
      </c>
      <c r="AN45" s="47">
        <f t="shared" si="7"/>
        <v>0</v>
      </c>
      <c r="AO45" s="112">
        <f t="shared" si="8"/>
        <v>29.27015344947905</v>
      </c>
      <c r="AP45" s="203"/>
      <c r="AQ45" s="540"/>
      <c r="AR45" s="42"/>
      <c r="AS45" s="43">
        <f>IF(G45="",0,IF(I45&gt;=795,795-X45,I45-Q45-R45-X45-AH45)-AL45)+AE45</f>
        <v>18.88102191052095</v>
      </c>
      <c r="AT45" s="492">
        <v>0.05</v>
      </c>
      <c r="AU45" s="494">
        <f t="shared" ref="AU45" si="31">AT45*0.7</f>
        <v>3.4999999999999996E-2</v>
      </c>
      <c r="AV45" s="494">
        <f>IF(AT45="",0,VLOOKUP(ROUNDDOWN(TEXT(B45,"0000"),-1),VLOOKUP!$M$3:$W$32,RIGHT(TEXT(B45,"0000"),1)+2,FALSE))</f>
        <v>2397</v>
      </c>
      <c r="AW45" s="494">
        <f>AU45/12*AV45</f>
        <v>6.9912499999999991</v>
      </c>
      <c r="AX45" s="39">
        <f t="shared" si="21"/>
        <v>0</v>
      </c>
      <c r="AY45" s="39"/>
      <c r="AZ45" s="39"/>
      <c r="BA45" s="65"/>
      <c r="BB45" s="30"/>
      <c r="BC45" s="46"/>
      <c r="BD45" s="202">
        <v>0</v>
      </c>
      <c r="BE45" s="45">
        <v>70</v>
      </c>
      <c r="BF45" s="56">
        <v>31</v>
      </c>
      <c r="BG45" s="378"/>
      <c r="BH45" s="385">
        <f t="shared" si="9"/>
        <v>5.2701534494790492</v>
      </c>
      <c r="BI45" s="681">
        <v>0.3</v>
      </c>
      <c r="BJ45" s="407">
        <v>4409</v>
      </c>
      <c r="BK45" s="296">
        <f t="shared" si="10"/>
        <v>0</v>
      </c>
      <c r="BL45" s="591">
        <f t="shared" si="11"/>
        <v>0</v>
      </c>
      <c r="BN45" s="574">
        <f t="shared" si="22"/>
        <v>31</v>
      </c>
      <c r="BO45" s="559">
        <v>6863.23</v>
      </c>
      <c r="BP45" s="575">
        <f t="shared" si="12"/>
        <v>1.0000000000218279E-2</v>
      </c>
      <c r="BQ45" s="576">
        <v>25.035416666666666</v>
      </c>
      <c r="BR45" s="576">
        <f t="shared" si="13"/>
        <v>4678.4764053776444</v>
      </c>
    </row>
    <row r="46" spans="1:70" ht="3" customHeight="1">
      <c r="A46" s="54"/>
      <c r="B46" s="116"/>
      <c r="C46" s="57"/>
      <c r="D46" s="59"/>
      <c r="E46" s="57"/>
      <c r="F46" s="106"/>
      <c r="G46" s="59"/>
      <c r="H46" s="207"/>
      <c r="I46" s="59"/>
      <c r="J46" s="59"/>
      <c r="K46" s="59"/>
      <c r="L46" s="59"/>
      <c r="M46" s="108">
        <v>0</v>
      </c>
      <c r="N46" s="59"/>
      <c r="O46" s="59"/>
      <c r="P46" s="40"/>
      <c r="Q46" s="59"/>
      <c r="R46" s="59"/>
      <c r="S46" s="59"/>
      <c r="T46" s="59"/>
      <c r="U46" s="130"/>
      <c r="V46" s="59"/>
      <c r="W46" s="59">
        <v>0</v>
      </c>
      <c r="X46" s="59"/>
      <c r="Y46" s="59"/>
      <c r="Z46" s="57"/>
      <c r="AA46" s="59"/>
      <c r="AB46" s="57"/>
      <c r="AC46" s="57"/>
      <c r="AD46" s="495"/>
      <c r="AE46" s="495"/>
      <c r="AF46" s="57"/>
      <c r="AG46" s="59"/>
      <c r="AH46" s="108"/>
      <c r="AI46" s="109"/>
      <c r="AJ46" s="59"/>
      <c r="AK46" s="59"/>
      <c r="AL46" s="59"/>
      <c r="AM46" s="59"/>
      <c r="AN46" s="59"/>
      <c r="AO46" s="106"/>
      <c r="AP46" s="44"/>
      <c r="AQ46" s="491"/>
      <c r="AR46" s="41"/>
      <c r="AS46" s="41"/>
      <c r="AT46" s="491"/>
      <c r="AU46" s="491"/>
      <c r="AV46" s="491"/>
      <c r="AW46" s="491"/>
      <c r="AX46" s="40"/>
      <c r="AY46" s="40"/>
      <c r="AZ46" s="40"/>
      <c r="BA46" s="44"/>
      <c r="BB46" s="44"/>
      <c r="BC46" s="44"/>
      <c r="BD46" s="204"/>
      <c r="BE46" s="44"/>
      <c r="BF46" s="44"/>
      <c r="BG46" s="44"/>
      <c r="BH46" s="44"/>
      <c r="BI46" s="44"/>
      <c r="BJ46" s="44"/>
      <c r="BK46" s="71"/>
      <c r="BL46" s="592"/>
      <c r="BN46" s="497"/>
      <c r="BO46" s="497"/>
      <c r="BP46" s="497"/>
      <c r="BQ46" s="573"/>
      <c r="BR46" s="573"/>
    </row>
    <row r="47" spans="1:70" ht="12.95" customHeight="1">
      <c r="A47" s="90" t="s">
        <v>33</v>
      </c>
      <c r="B47" s="98"/>
      <c r="C47" s="55"/>
      <c r="D47" s="55"/>
      <c r="E47" s="55"/>
      <c r="F47" s="99">
        <f t="shared" ref="F47:R47" si="32">SUM(F15:F45)</f>
        <v>-5166.6246533904714</v>
      </c>
      <c r="G47" s="55">
        <f t="shared" si="32"/>
        <v>968.99999999999989</v>
      </c>
      <c r="H47" s="45">
        <f t="shared" si="32"/>
        <v>0</v>
      </c>
      <c r="I47" s="55">
        <f t="shared" si="32"/>
        <v>968.99999999999989</v>
      </c>
      <c r="J47" s="55">
        <f t="shared" si="32"/>
        <v>23.322263106032988</v>
      </c>
      <c r="K47" s="55">
        <f t="shared" si="32"/>
        <v>992.32226310603289</v>
      </c>
      <c r="L47" s="55">
        <f t="shared" si="32"/>
        <v>-378.78621117876247</v>
      </c>
      <c r="M47" s="100">
        <f>SUM(M15:M45)</f>
        <v>2169.1999999999994</v>
      </c>
      <c r="N47" s="55">
        <f>SUM(N15:N45)+12.25</f>
        <v>39.050000000000033</v>
      </c>
      <c r="O47" s="55">
        <f t="shared" si="32"/>
        <v>147.99750000000003</v>
      </c>
      <c r="P47" s="39">
        <f>SUM(P15:P45)</f>
        <v>0</v>
      </c>
      <c r="Q47" s="55">
        <f>SUM(Q15:Q45)</f>
        <v>69.517923840222693</v>
      </c>
      <c r="R47" s="55">
        <f t="shared" si="32"/>
        <v>90.966871359999999</v>
      </c>
      <c r="S47" s="55">
        <f t="shared" ref="S47:W47" si="33">SUM(S15:S45)</f>
        <v>0.41259552000000088</v>
      </c>
      <c r="T47" s="55">
        <f>SUM(T15:T45)</f>
        <v>28.590633760000021</v>
      </c>
      <c r="U47" s="126">
        <f t="shared" si="33"/>
        <v>0</v>
      </c>
      <c r="V47" s="55">
        <f t="shared" si="33"/>
        <v>1659</v>
      </c>
      <c r="W47" s="55">
        <f t="shared" si="33"/>
        <v>747.38</v>
      </c>
      <c r="X47" s="55">
        <f>SUM(X15:X29)</f>
        <v>4232.1529177314851</v>
      </c>
      <c r="Y47" s="55">
        <f>SUM(Y15:Y29)</f>
        <v>4049.1529177314856</v>
      </c>
      <c r="Z47" s="55"/>
      <c r="AA47" s="55"/>
      <c r="AB47" s="55"/>
      <c r="AC47" s="55"/>
      <c r="AD47" s="490"/>
      <c r="AE47" s="490">
        <f>SUM(AE15:AE45)</f>
        <v>0</v>
      </c>
      <c r="AF47" s="49">
        <f>AF12-AF29</f>
        <v>3855.2531050073867</v>
      </c>
      <c r="AG47" s="55">
        <f>SUM(AG15:AG45)</f>
        <v>389.4</v>
      </c>
      <c r="AH47" s="100">
        <f>SUM(AH15:AH45)</f>
        <v>52.700000000000024</v>
      </c>
      <c r="AI47" s="101">
        <f>SUM(AI15:AI45)</f>
        <v>40.29999999999999</v>
      </c>
      <c r="AJ47" s="55">
        <f>SUM(AJ15:AJ45)</f>
        <v>771</v>
      </c>
      <c r="AK47" s="55"/>
      <c r="AL47" s="55">
        <f t="shared" ref="AL47:AR47" si="34">SUM(AL15:AL45)</f>
        <v>0</v>
      </c>
      <c r="AM47" s="55">
        <f t="shared" si="34"/>
        <v>5756.8384422117088</v>
      </c>
      <c r="AN47" s="55">
        <f t="shared" si="34"/>
        <v>402.10847428479542</v>
      </c>
      <c r="AO47" s="99">
        <f t="shared" si="34"/>
        <v>6158.946916496503</v>
      </c>
      <c r="AP47" s="45">
        <f>SUM(AP15:AP45)</f>
        <v>0</v>
      </c>
      <c r="AQ47" s="490">
        <f>SUM(AQ15:AQ45)</f>
        <v>0</v>
      </c>
      <c r="AR47" s="45">
        <f t="shared" si="34"/>
        <v>183</v>
      </c>
      <c r="AS47" s="42"/>
      <c r="AT47" s="489"/>
      <c r="AU47" s="489"/>
      <c r="AV47" s="489"/>
      <c r="AW47" s="489"/>
      <c r="AX47" s="39"/>
      <c r="AY47" s="45">
        <f>SUM(AY15:AY45)</f>
        <v>0</v>
      </c>
      <c r="AZ47" s="42">
        <f>SUM(AZ15:AZ45)</f>
        <v>0</v>
      </c>
      <c r="BA47" s="45">
        <f>SUM(BA15:BA45)</f>
        <v>0</v>
      </c>
      <c r="BB47" s="30"/>
      <c r="BC47" s="45">
        <f>SUM(BC15:BC45)</f>
        <v>0</v>
      </c>
      <c r="BD47" s="202">
        <f>SUM(BD15:BD45)</f>
        <v>6.0000000000000005E-2</v>
      </c>
      <c r="BE47" s="45">
        <f>AVERAGE(BE15:BE45)</f>
        <v>72.161290322580641</v>
      </c>
      <c r="BF47" s="45">
        <f>AVERAGE(BF15:BF45)</f>
        <v>35.29032258064516</v>
      </c>
      <c r="BG47" s="103" t="s">
        <v>44</v>
      </c>
      <c r="BH47" s="393">
        <f>SUM(BH15:BH45)</f>
        <v>216.28802448022262</v>
      </c>
      <c r="BI47" s="49">
        <f>SUM(BI15:BI45)</f>
        <v>9.3000000000000007</v>
      </c>
      <c r="BJ47" s="378"/>
      <c r="BK47" s="605">
        <f>SUM(BK15:BK45)</f>
        <v>0</v>
      </c>
      <c r="BL47" s="178">
        <f>SUM(BL15:BL45)</f>
        <v>0</v>
      </c>
      <c r="BN47" s="489"/>
      <c r="BO47" s="489"/>
      <c r="BP47" s="489"/>
      <c r="BQ47" s="505">
        <f>SUM(BQ15:BQ44)</f>
        <v>321.34375000000011</v>
      </c>
      <c r="BR47" s="505">
        <f>SUM(BR15:BR44)</f>
        <v>152283.01091132936</v>
      </c>
    </row>
    <row r="48" spans="1:70" ht="12.95" customHeight="1">
      <c r="A48" s="90" t="s">
        <v>34</v>
      </c>
      <c r="B48" s="98"/>
      <c r="C48" s="55"/>
      <c r="D48" s="55">
        <f>SUM(D15:D45)</f>
        <v>-10248</v>
      </c>
      <c r="E48" s="55"/>
      <c r="F48" s="99">
        <f t="shared" ref="F48:R48" si="35">F47*$D$2</f>
        <v>-10248</v>
      </c>
      <c r="G48" s="55">
        <f t="shared" si="35"/>
        <v>1922.0114999999998</v>
      </c>
      <c r="H48" s="45">
        <f t="shared" si="35"/>
        <v>0</v>
      </c>
      <c r="I48" s="55">
        <f t="shared" si="35"/>
        <v>1922.0114999999998</v>
      </c>
      <c r="J48" s="55">
        <f t="shared" si="35"/>
        <v>46.259708870816432</v>
      </c>
      <c r="K48" s="55">
        <f t="shared" si="35"/>
        <v>1968.2712088708163</v>
      </c>
      <c r="L48" s="55">
        <f t="shared" si="35"/>
        <v>-751.32244987307536</v>
      </c>
      <c r="M48" s="100">
        <f t="shared" si="35"/>
        <v>4302.6081999999988</v>
      </c>
      <c r="N48" s="55">
        <f t="shared" si="35"/>
        <v>77.45567500000007</v>
      </c>
      <c r="O48" s="55">
        <f t="shared" si="35"/>
        <v>293.55304125000009</v>
      </c>
      <c r="P48" s="39">
        <f t="shared" si="35"/>
        <v>0</v>
      </c>
      <c r="Q48" s="55">
        <f>Q47*$D$2</f>
        <v>137.88880193708172</v>
      </c>
      <c r="R48" s="55">
        <f t="shared" si="35"/>
        <v>180.43278934256</v>
      </c>
      <c r="S48" s="55">
        <f t="shared" ref="S48:Y48" si="36">S47*$D$2</f>
        <v>0.8183832139200018</v>
      </c>
      <c r="T48" s="55">
        <f t="shared" si="36"/>
        <v>56.709522062960041</v>
      </c>
      <c r="U48" s="126">
        <f t="shared" si="36"/>
        <v>0</v>
      </c>
      <c r="V48" s="55">
        <f t="shared" si="36"/>
        <v>3290.6264999999999</v>
      </c>
      <c r="W48" s="55">
        <f t="shared" si="36"/>
        <v>1482.42823</v>
      </c>
      <c r="X48" s="55">
        <f t="shared" si="36"/>
        <v>8394.4753123204009</v>
      </c>
      <c r="Y48" s="55">
        <f t="shared" si="36"/>
        <v>8031.4948123204022</v>
      </c>
      <c r="Z48" s="55"/>
      <c r="AA48" s="55"/>
      <c r="AB48" s="55"/>
      <c r="AC48" s="55"/>
      <c r="AD48" s="490"/>
      <c r="AE48" s="490">
        <f>AE47*$D$2</f>
        <v>0</v>
      </c>
      <c r="AF48" s="49">
        <f>AF47*$D$2</f>
        <v>7646.8945337821515</v>
      </c>
      <c r="AG48" s="55">
        <f t="shared" ref="AG48:AR48" si="37">AG47*$D$2</f>
        <v>772.37490000000003</v>
      </c>
      <c r="AH48" s="100">
        <f>AH47*$D$2</f>
        <v>104.53045000000004</v>
      </c>
      <c r="AI48" s="101">
        <f>AI47*$D$2</f>
        <v>79.935049999999976</v>
      </c>
      <c r="AJ48" s="55">
        <f t="shared" si="37"/>
        <v>1529.2785000000001</v>
      </c>
      <c r="AK48" s="55"/>
      <c r="AL48" s="55">
        <f t="shared" si="37"/>
        <v>0</v>
      </c>
      <c r="AM48" s="55">
        <f t="shared" si="37"/>
        <v>11418.689050126924</v>
      </c>
      <c r="AN48" s="55">
        <f t="shared" si="37"/>
        <v>797.58215874389168</v>
      </c>
      <c r="AO48" s="99">
        <f t="shared" si="37"/>
        <v>12216.271208870814</v>
      </c>
      <c r="AP48" s="45">
        <f>AP47*$D$2</f>
        <v>0</v>
      </c>
      <c r="AQ48" s="490">
        <f t="shared" ref="AQ48" si="38">AQ47*$D$2</f>
        <v>0</v>
      </c>
      <c r="AR48" s="55">
        <f t="shared" si="37"/>
        <v>362.98050000000001</v>
      </c>
      <c r="AS48" s="42"/>
      <c r="AT48" s="489">
        <f>SUM(AT15:AT45)</f>
        <v>3.7499999999999982</v>
      </c>
      <c r="AU48" s="489"/>
      <c r="AV48" s="489"/>
      <c r="AW48" s="489">
        <f>SUM(AW15:AW45)</f>
        <v>536.62933333333319</v>
      </c>
      <c r="AX48" s="39">
        <f>SUM(AX15:AX45)</f>
        <v>0</v>
      </c>
      <c r="AY48" s="45">
        <f>AY47*$D$2</f>
        <v>0</v>
      </c>
      <c r="AZ48" s="47">
        <f>AZ47*$D$2</f>
        <v>0</v>
      </c>
      <c r="BA48" s="45">
        <f>BA47*$D$2</f>
        <v>0</v>
      </c>
      <c r="BB48" s="30"/>
      <c r="BC48" s="45">
        <f>BC47*$D$2</f>
        <v>0</v>
      </c>
      <c r="BD48" s="202"/>
      <c r="BE48" s="45">
        <f>MAX(BE15:BE45)</f>
        <v>83</v>
      </c>
      <c r="BF48" s="45">
        <f>MAX(BF15:BF45)</f>
        <v>46</v>
      </c>
      <c r="BG48" s="103" t="s">
        <v>35</v>
      </c>
      <c r="BH48" s="393">
        <f>BH47*$D$2</f>
        <v>429.00729655652157</v>
      </c>
      <c r="BI48" s="49">
        <f>BI47*$D$2</f>
        <v>18.446550000000002</v>
      </c>
      <c r="BJ48" s="378"/>
      <c r="BK48" s="605">
        <f>BK47*$D$2</f>
        <v>0</v>
      </c>
      <c r="BL48" s="178">
        <f>BL47*$D$2</f>
        <v>0</v>
      </c>
      <c r="BN48" s="489"/>
      <c r="BO48" s="489"/>
      <c r="BP48" s="489"/>
      <c r="BQ48" s="505">
        <f>BQ47*$D$2</f>
        <v>637.38532812500023</v>
      </c>
      <c r="BR48" s="505">
        <f>BR47*$D$2</f>
        <v>302053.35214262176</v>
      </c>
    </row>
    <row r="49" spans="1:70" ht="3" customHeight="1">
      <c r="A49" s="54"/>
      <c r="B49" s="116"/>
      <c r="C49" s="57"/>
      <c r="D49" s="57"/>
      <c r="E49" s="57"/>
      <c r="F49" s="117"/>
      <c r="G49" s="57"/>
      <c r="H49" s="44"/>
      <c r="I49" s="57"/>
      <c r="J49" s="57"/>
      <c r="K49" s="57"/>
      <c r="L49" s="57"/>
      <c r="M49" s="118"/>
      <c r="N49" s="57"/>
      <c r="O49" s="57"/>
      <c r="P49" s="40"/>
      <c r="Q49" s="57"/>
      <c r="R49" s="57"/>
      <c r="S49" s="57"/>
      <c r="T49" s="57"/>
      <c r="U49" s="130"/>
      <c r="V49" s="57"/>
      <c r="W49" s="57"/>
      <c r="X49" s="57"/>
      <c r="Y49" s="57"/>
      <c r="Z49" s="57"/>
      <c r="AA49" s="57"/>
      <c r="AB49" s="57"/>
      <c r="AC49" s="57"/>
      <c r="AD49" s="495"/>
      <c r="AE49" s="495"/>
      <c r="AF49" s="51"/>
      <c r="AG49" s="57"/>
      <c r="AH49" s="118"/>
      <c r="AI49" s="119"/>
      <c r="AJ49" s="57"/>
      <c r="AK49" s="59"/>
      <c r="AL49" s="57"/>
      <c r="AM49" s="57"/>
      <c r="AN49" s="57"/>
      <c r="AO49" s="117"/>
      <c r="AP49" s="57"/>
      <c r="AQ49" s="495"/>
      <c r="AR49" s="41"/>
      <c r="AS49" s="41"/>
      <c r="AT49" s="495"/>
      <c r="AU49" s="495"/>
      <c r="AV49" s="495"/>
      <c r="AW49" s="495"/>
      <c r="AX49" s="40"/>
      <c r="AY49" s="40"/>
      <c r="AZ49" s="40"/>
      <c r="BA49" s="44"/>
      <c r="BB49" s="44"/>
      <c r="BC49" s="44"/>
      <c r="BD49" s="120"/>
      <c r="BE49" s="57"/>
      <c r="BF49" s="57"/>
      <c r="BG49" s="57"/>
      <c r="BH49" s="57"/>
      <c r="BI49" s="57"/>
      <c r="BJ49" s="57"/>
      <c r="BK49" s="69"/>
      <c r="BL49" s="190"/>
      <c r="BN49" s="497"/>
      <c r="BO49" s="497"/>
      <c r="BP49" s="497"/>
      <c r="BQ49" s="506"/>
      <c r="BR49" s="506"/>
    </row>
    <row r="50" spans="1:70" ht="12.95" customHeight="1">
      <c r="A50" s="90" t="s">
        <v>36</v>
      </c>
      <c r="B50" s="98"/>
      <c r="C50" s="55"/>
      <c r="D50" s="55"/>
      <c r="E50" s="55"/>
      <c r="F50" s="99">
        <f t="shared" ref="F50:O50" si="39">F12+F47</f>
        <v>-55357.196874212248</v>
      </c>
      <c r="G50" s="55">
        <f t="shared" si="39"/>
        <v>59100.2</v>
      </c>
      <c r="H50" s="45">
        <f t="shared" si="39"/>
        <v>133.2227</v>
      </c>
      <c r="I50" s="55">
        <f t="shared" si="39"/>
        <v>59233.422699999996</v>
      </c>
      <c r="J50" s="55">
        <f t="shared" si="39"/>
        <v>326.58233595705371</v>
      </c>
      <c r="K50" s="55">
        <f t="shared" si="39"/>
        <v>59559.995035957043</v>
      </c>
      <c r="L50" s="55">
        <f t="shared" si="39"/>
        <v>-5680.9641320005439</v>
      </c>
      <c r="M50" s="100">
        <f t="shared" si="39"/>
        <v>42896.399999999994</v>
      </c>
      <c r="N50" s="55">
        <f t="shared" si="39"/>
        <v>180.56725737332999</v>
      </c>
      <c r="O50" s="55">
        <f t="shared" si="39"/>
        <v>12159.472500000002</v>
      </c>
      <c r="P50" s="39">
        <f>P12+P47</f>
        <v>7.0600000000000005</v>
      </c>
      <c r="Q50" s="55"/>
      <c r="R50" s="55"/>
      <c r="S50" s="55"/>
      <c r="T50" s="55"/>
      <c r="U50" s="126"/>
      <c r="V50" s="55">
        <f>V12+V47</f>
        <v>18730</v>
      </c>
      <c r="W50" s="55">
        <f>W12+W47</f>
        <v>10978.099999999999</v>
      </c>
      <c r="X50" s="55">
        <f>X12+X47</f>
        <v>61147.979723816155</v>
      </c>
      <c r="Y50" s="55">
        <f>Y12+Y47</f>
        <v>60863.024304909399</v>
      </c>
      <c r="Z50" s="62"/>
      <c r="AA50" s="55"/>
      <c r="AB50" s="55"/>
      <c r="AC50" s="55"/>
      <c r="AD50" s="490"/>
      <c r="AE50" s="490">
        <f>AE12+AE47</f>
        <v>0</v>
      </c>
      <c r="AF50" s="49">
        <f>AF47+AF13</f>
        <v>8325.2169116475343</v>
      </c>
      <c r="AG50" s="55">
        <f>AG12+AG47</f>
        <v>26991.14</v>
      </c>
      <c r="AH50" s="100">
        <f>AH12+AH47</f>
        <v>363.80000000000018</v>
      </c>
      <c r="AI50" s="101">
        <f>AI12+AI47</f>
        <v>278.19999999999993</v>
      </c>
      <c r="AJ50" s="55">
        <f t="shared" ref="AJ50" si="40">AJ12+AJ47</f>
        <v>9302</v>
      </c>
      <c r="AK50" s="55"/>
      <c r="AL50" s="55">
        <f t="shared" ref="AL50:AQ50" si="41">AL12+AL47</f>
        <v>0</v>
      </c>
      <c r="AM50" s="55">
        <f t="shared" si="41"/>
        <v>108909.64544221171</v>
      </c>
      <c r="AN50" s="55">
        <f t="shared" si="41"/>
        <v>6007.546467957598</v>
      </c>
      <c r="AO50" s="99">
        <f t="shared" si="41"/>
        <v>114917.19191016931</v>
      </c>
      <c r="AP50" s="354">
        <f t="shared" si="41"/>
        <v>2313.4365242127687</v>
      </c>
      <c r="AQ50" s="490">
        <f t="shared" si="41"/>
        <v>487.44617130124823</v>
      </c>
      <c r="AR50" s="42"/>
      <c r="AS50" s="42"/>
      <c r="AT50" s="489"/>
      <c r="AU50" s="489"/>
      <c r="AV50" s="489"/>
      <c r="AW50" s="489"/>
      <c r="AX50" s="39"/>
      <c r="AY50" s="45">
        <f>AY12+AY47</f>
        <v>2617.5951600705826</v>
      </c>
      <c r="AZ50" s="42">
        <f>AZ47</f>
        <v>0</v>
      </c>
      <c r="BA50" s="45">
        <f>BA12+BA47</f>
        <v>849.54800000000034</v>
      </c>
      <c r="BB50" s="45">
        <f>BB12+BB47</f>
        <v>8.8529999999999998</v>
      </c>
      <c r="BC50" s="45">
        <f>BC13+BC47</f>
        <v>0</v>
      </c>
      <c r="BD50" s="202"/>
      <c r="BE50" s="45">
        <f>MIN(BE15:BE45)</f>
        <v>36</v>
      </c>
      <c r="BF50" s="45">
        <f>MIN(BF15:BF45)</f>
        <v>15</v>
      </c>
      <c r="BG50" s="103" t="s">
        <v>37</v>
      </c>
      <c r="BH50" s="393">
        <f>BH12+BH47</f>
        <v>1978.4868784661319</v>
      </c>
      <c r="BI50" s="49">
        <f>BI12+BI47</f>
        <v>7531.9800000000005</v>
      </c>
      <c r="BJ50" s="378"/>
      <c r="BK50" s="605">
        <f>BK47+BK12</f>
        <v>5045.202419108532</v>
      </c>
      <c r="BL50" s="178">
        <f>BL47+BL12</f>
        <v>4455.8195433886603</v>
      </c>
      <c r="BN50" s="489"/>
      <c r="BO50" s="489"/>
      <c r="BP50" s="489"/>
      <c r="BQ50" s="505"/>
      <c r="BR50" s="505"/>
    </row>
    <row r="51" spans="1:70" ht="12.95" customHeight="1">
      <c r="A51" s="90" t="s">
        <v>38</v>
      </c>
      <c r="B51" s="98"/>
      <c r="C51" s="55"/>
      <c r="D51" s="55"/>
      <c r="E51" s="55"/>
      <c r="F51" s="99">
        <f t="shared" ref="F51:P51" si="42">F50*$D$2</f>
        <v>-109801</v>
      </c>
      <c r="G51" s="55">
        <f t="shared" si="42"/>
        <v>117225.2467</v>
      </c>
      <c r="H51" s="45">
        <f t="shared" si="42"/>
        <v>264.24722545000003</v>
      </c>
      <c r="I51" s="55">
        <f t="shared" si="42"/>
        <v>117489.49392544999</v>
      </c>
      <c r="J51" s="55">
        <f t="shared" si="42"/>
        <v>647.77606337081602</v>
      </c>
      <c r="K51" s="55">
        <f t="shared" si="42"/>
        <v>118137.2501538208</v>
      </c>
      <c r="L51" s="55">
        <f t="shared" si="42"/>
        <v>-11268.192355823079</v>
      </c>
      <c r="M51" s="100">
        <f t="shared" si="42"/>
        <v>85085.009399999995</v>
      </c>
      <c r="N51" s="55">
        <f t="shared" si="42"/>
        <v>358.15515500000004</v>
      </c>
      <c r="O51" s="55">
        <f t="shared" si="42"/>
        <v>24118.313703750006</v>
      </c>
      <c r="P51" s="39">
        <f t="shared" si="42"/>
        <v>14.003510000000002</v>
      </c>
      <c r="Q51" s="55"/>
      <c r="R51" s="55"/>
      <c r="S51" s="55"/>
      <c r="T51" s="55"/>
      <c r="U51" s="126"/>
      <c r="V51" s="55">
        <f>V50*$D$2</f>
        <v>37150.955000000002</v>
      </c>
      <c r="W51" s="55">
        <f>W50*$D$2</f>
        <v>21775.061349999996</v>
      </c>
      <c r="X51" s="55">
        <f>X50*$D$2</f>
        <v>121287.01778218934</v>
      </c>
      <c r="Y51" s="55">
        <f>Y50*$D$2</f>
        <v>120721.80870878779</v>
      </c>
      <c r="Z51" s="62"/>
      <c r="AA51" s="55"/>
      <c r="AB51" s="55"/>
      <c r="AC51" s="55"/>
      <c r="AD51" s="490"/>
      <c r="AE51" s="490">
        <f>AE50*$D$2</f>
        <v>0</v>
      </c>
      <c r="AF51" s="49">
        <f t="shared" ref="AF51" si="43">AF50*$D$2</f>
        <v>16513.067744252883</v>
      </c>
      <c r="AG51" s="55">
        <f>AG50*$D$2</f>
        <v>53536.926189999998</v>
      </c>
      <c r="AH51" s="100">
        <f>AH50*$D$2</f>
        <v>721.59730000000036</v>
      </c>
      <c r="AI51" s="101">
        <f>AI50*$D$2</f>
        <v>551.80969999999991</v>
      </c>
      <c r="AJ51" s="55">
        <f>AJ50*$D$2</f>
        <v>18450.517</v>
      </c>
      <c r="AK51" s="55"/>
      <c r="AL51" s="55">
        <f>AL50*$D$2</f>
        <v>0</v>
      </c>
      <c r="AM51" s="55">
        <f>AM50*$D$2</f>
        <v>216022.28173462694</v>
      </c>
      <c r="AN51" s="55">
        <f>AN50*$D$2</f>
        <v>11915.968419193896</v>
      </c>
      <c r="AO51" s="55">
        <f>AO50*$D$2</f>
        <v>227938.25015382082</v>
      </c>
      <c r="AP51" s="354">
        <f t="shared" ref="AP51" si="44">AP50*$D$2</f>
        <v>4588.7013457760268</v>
      </c>
      <c r="AQ51" s="490">
        <f t="shared" ref="AQ51" si="45">AQ50*$D$2</f>
        <v>966.84948077602587</v>
      </c>
      <c r="AR51" s="42"/>
      <c r="AS51" s="42"/>
      <c r="AT51" s="489">
        <f>AT13+AT48</f>
        <v>51.95</v>
      </c>
      <c r="AU51" s="489"/>
      <c r="AV51" s="489"/>
      <c r="AW51" s="489">
        <f>SUM(AW13,AW48)</f>
        <v>9998.7142499999991</v>
      </c>
      <c r="AX51" s="39">
        <f>AX12+AX48</f>
        <v>1082.6770651669035</v>
      </c>
      <c r="AY51" s="45">
        <f>AY50*$D$2</f>
        <v>5192.0000000000009</v>
      </c>
      <c r="AZ51" s="42">
        <f>AZ50*$D$2</f>
        <v>0</v>
      </c>
      <c r="BA51" s="45">
        <f>BA50*$D$2</f>
        <v>1685.0784580000006</v>
      </c>
      <c r="BB51" s="45">
        <f>BB50*$D$2</f>
        <v>17.559925499999999</v>
      </c>
      <c r="BC51" s="45">
        <f>BC50*$D$2</f>
        <v>0</v>
      </c>
      <c r="BD51" s="202"/>
      <c r="BE51" s="45"/>
      <c r="BF51" s="45"/>
      <c r="BG51" s="378"/>
      <c r="BH51" s="393">
        <f>BH50*$D$2</f>
        <v>3924.3287234375725</v>
      </c>
      <c r="BI51" s="49">
        <f>BI50*$D$2</f>
        <v>14939.682330000001</v>
      </c>
      <c r="BJ51" s="378"/>
      <c r="BK51" s="605">
        <f>BK50*$D$2</f>
        <v>10007.158998301773</v>
      </c>
      <c r="BL51" s="178">
        <f>BL50*$D$2</f>
        <v>8838.1180643114076</v>
      </c>
      <c r="BN51" s="489"/>
      <c r="BO51" s="489"/>
      <c r="BP51" s="489"/>
      <c r="BQ51" s="505"/>
      <c r="BR51" s="505"/>
    </row>
    <row r="52" spans="1:70" ht="3" customHeight="1">
      <c r="A52" s="54"/>
      <c r="B52" s="116"/>
      <c r="C52" s="57"/>
      <c r="D52" s="57"/>
      <c r="E52" s="57"/>
      <c r="F52" s="117"/>
      <c r="G52" s="57"/>
      <c r="H52" s="44"/>
      <c r="I52" s="57"/>
      <c r="J52" s="57"/>
      <c r="K52" s="57"/>
      <c r="L52" s="57"/>
      <c r="M52" s="118"/>
      <c r="N52" s="57"/>
      <c r="O52" s="57"/>
      <c r="P52" s="40"/>
      <c r="Q52" s="57"/>
      <c r="R52" s="57"/>
      <c r="S52" s="57"/>
      <c r="T52" s="57"/>
      <c r="U52" s="130"/>
      <c r="V52" s="57"/>
      <c r="W52" s="57"/>
      <c r="X52" s="57"/>
      <c r="Y52" s="57"/>
      <c r="Z52" s="57"/>
      <c r="AA52" s="57"/>
      <c r="AB52" s="57"/>
      <c r="AC52" s="57"/>
      <c r="AD52" s="495"/>
      <c r="AE52" s="495"/>
      <c r="AF52" s="57"/>
      <c r="AG52" s="57"/>
      <c r="AH52" s="118"/>
      <c r="AI52" s="119"/>
      <c r="AJ52" s="57"/>
      <c r="AK52" s="57"/>
      <c r="AL52" s="57"/>
      <c r="AM52" s="57"/>
      <c r="AN52" s="57"/>
      <c r="AO52" s="57"/>
      <c r="AP52" s="204"/>
      <c r="AQ52" s="495"/>
      <c r="AR52" s="41"/>
      <c r="AS52" s="41"/>
      <c r="AT52" s="496"/>
      <c r="AU52" s="496"/>
      <c r="AV52" s="496"/>
      <c r="AW52" s="496"/>
      <c r="AX52" s="40"/>
      <c r="AY52" s="40"/>
      <c r="AZ52" s="40"/>
      <c r="BA52" s="44"/>
      <c r="BB52" s="44"/>
      <c r="BC52" s="44"/>
      <c r="BD52" s="204"/>
      <c r="BE52" s="40"/>
      <c r="BF52" s="40"/>
      <c r="BG52" s="40"/>
      <c r="BH52" s="40"/>
      <c r="BI52" s="58"/>
      <c r="BJ52" s="40"/>
      <c r="BK52" s="193"/>
      <c r="BL52" s="594"/>
      <c r="BN52" s="497"/>
      <c r="BO52" s="497"/>
      <c r="BP52" s="497"/>
      <c r="BQ52" s="506"/>
      <c r="BR52" s="506"/>
    </row>
    <row r="53" spans="1:70" ht="12.95" customHeight="1">
      <c r="A53" s="90" t="s">
        <v>39</v>
      </c>
      <c r="B53" s="98"/>
      <c r="C53" s="55"/>
      <c r="D53" s="55"/>
      <c r="E53" s="55"/>
      <c r="F53" s="99">
        <f t="shared" ref="F53:R53" si="46">F13+F47</f>
        <v>-61375.850768842953</v>
      </c>
      <c r="G53" s="55">
        <f t="shared" si="46"/>
        <v>65710</v>
      </c>
      <c r="H53" s="45">
        <f t="shared" si="46"/>
        <v>181.4727</v>
      </c>
      <c r="I53" s="55">
        <f t="shared" si="46"/>
        <v>65891.472699999998</v>
      </c>
      <c r="J53" s="55">
        <f t="shared" si="46"/>
        <v>2200.4264680467941</v>
      </c>
      <c r="K53" s="55">
        <f t="shared" si="46"/>
        <v>68091.889168046793</v>
      </c>
      <c r="L53" s="55">
        <f t="shared" si="46"/>
        <v>-5987.6280266312488</v>
      </c>
      <c r="M53" s="100">
        <f t="shared" si="46"/>
        <v>43676.939999999995</v>
      </c>
      <c r="N53" s="55">
        <f>N13+N47</f>
        <v>180.56725737332999</v>
      </c>
      <c r="O53" s="55">
        <f t="shared" si="46"/>
        <v>12159.472500000002</v>
      </c>
      <c r="P53" s="39"/>
      <c r="Q53" s="55">
        <f>Q13+Q47</f>
        <v>900.22651335805313</v>
      </c>
      <c r="R53" s="45">
        <f t="shared" si="46"/>
        <v>778.18373456000029</v>
      </c>
      <c r="S53" s="55">
        <f t="shared" ref="S53:Y53" si="47">S13+S47</f>
        <v>380.16613135999995</v>
      </c>
      <c r="T53" s="55">
        <f>T13+T47</f>
        <v>345.52457056000009</v>
      </c>
      <c r="U53" s="341">
        <f t="shared" si="47"/>
        <v>-46.583886557747249</v>
      </c>
      <c r="V53" s="55">
        <f t="shared" si="47"/>
        <v>23922</v>
      </c>
      <c r="W53" s="55">
        <f t="shared" si="47"/>
        <v>11011.599999999999</v>
      </c>
      <c r="X53" s="55">
        <f t="shared" si="47"/>
        <v>66570.543781628658</v>
      </c>
      <c r="Y53" s="55">
        <f t="shared" si="47"/>
        <v>66137.472949704737</v>
      </c>
      <c r="Z53" s="55"/>
      <c r="AA53" s="55"/>
      <c r="AB53" s="55"/>
      <c r="AC53" s="55"/>
      <c r="AD53" s="490"/>
      <c r="AE53" s="490">
        <f>AE12+AE47</f>
        <v>0</v>
      </c>
      <c r="AF53" s="55">
        <f>AF13+AF47</f>
        <v>8325.2169116475343</v>
      </c>
      <c r="AG53" s="55"/>
      <c r="AH53" s="100">
        <f>AH13+AH47</f>
        <v>363.80000000000018</v>
      </c>
      <c r="AI53" s="101">
        <f>AI13+AI47</f>
        <v>278.19999999999993</v>
      </c>
      <c r="AJ53" s="55">
        <f>AJ13+AJ47</f>
        <v>15666</v>
      </c>
      <c r="AK53" s="55">
        <f>AK45</f>
        <v>4703.511822044311</v>
      </c>
      <c r="AL53" s="55">
        <f t="shared" ref="AL53:AR53" si="48">AL13+AL47</f>
        <v>0</v>
      </c>
      <c r="AM53" s="55">
        <f t="shared" si="48"/>
        <v>121279.6854422117</v>
      </c>
      <c r="AN53" s="55">
        <f t="shared" si="48"/>
        <v>8188.0544946780419</v>
      </c>
      <c r="AO53" s="439">
        <f t="shared" si="48"/>
        <v>129467.73993688975</v>
      </c>
      <c r="AP53" s="55">
        <f t="shared" si="48"/>
        <v>7457.0372300358085</v>
      </c>
      <c r="AQ53" s="490">
        <f>AQ13+AQ47</f>
        <v>487.44617130124823</v>
      </c>
      <c r="AR53" s="42">
        <f t="shared" si="48"/>
        <v>433.07083192391997</v>
      </c>
      <c r="AS53" s="42"/>
      <c r="AT53" s="489"/>
      <c r="AU53" s="489"/>
      <c r="AV53" s="489"/>
      <c r="AW53" s="489"/>
      <c r="AX53" s="39"/>
      <c r="AY53" s="39"/>
      <c r="AZ53" s="39"/>
      <c r="BA53" s="45"/>
      <c r="BB53" s="45"/>
      <c r="BC53" s="78"/>
      <c r="BD53" s="203">
        <f>BD13+BD47</f>
        <v>10.735000000000001</v>
      </c>
      <c r="BE53" s="45"/>
      <c r="BF53" s="45"/>
      <c r="BG53" s="378"/>
      <c r="BH53" s="393">
        <f>BH13+BH47</f>
        <v>2510.124320653636</v>
      </c>
      <c r="BI53" s="49">
        <f>BI13+BI47</f>
        <v>7771.7960000000003</v>
      </c>
      <c r="BJ53" s="378"/>
      <c r="BK53" s="605">
        <f>BK13+BK47</f>
        <v>5045.202419108532</v>
      </c>
      <c r="BL53" s="178">
        <f>BL13+BL47</f>
        <v>4455.8195433886603</v>
      </c>
      <c r="BN53" s="489"/>
      <c r="BO53" s="489"/>
      <c r="BP53" s="489"/>
      <c r="BQ53" s="505">
        <f>BQ13+BQ47</f>
        <v>321.34375000000011</v>
      </c>
      <c r="BR53" s="505">
        <f>BR13+BR47</f>
        <v>153018.87777423259</v>
      </c>
    </row>
    <row r="54" spans="1:70" ht="12.95" customHeight="1">
      <c r="A54" s="90" t="s">
        <v>40</v>
      </c>
      <c r="B54" s="98"/>
      <c r="C54" s="55"/>
      <c r="D54" s="55">
        <f>D13+D48</f>
        <v>-121739</v>
      </c>
      <c r="E54" s="55">
        <f>E45</f>
        <v>18656</v>
      </c>
      <c r="F54" s="99">
        <f t="shared" ref="F54:AK54" si="49">F53*$D$2</f>
        <v>-121739</v>
      </c>
      <c r="G54" s="55">
        <f t="shared" si="49"/>
        <v>130335.785</v>
      </c>
      <c r="H54" s="45">
        <f t="shared" si="49"/>
        <v>359.95110045000001</v>
      </c>
      <c r="I54" s="55">
        <f t="shared" si="49"/>
        <v>130695.73610045</v>
      </c>
      <c r="J54" s="55">
        <f t="shared" si="49"/>
        <v>4364.5458993708162</v>
      </c>
      <c r="K54" s="55">
        <f t="shared" si="49"/>
        <v>135060.26216482083</v>
      </c>
      <c r="L54" s="55">
        <f t="shared" si="49"/>
        <v>-11876.460190823082</v>
      </c>
      <c r="M54" s="100">
        <f t="shared" si="49"/>
        <v>86633.210489999998</v>
      </c>
      <c r="N54" s="55">
        <f>N53*$D$2</f>
        <v>358.15515500000004</v>
      </c>
      <c r="O54" s="55">
        <f t="shared" si="49"/>
        <v>24118.313703750006</v>
      </c>
      <c r="P54" s="39"/>
      <c r="Q54" s="45">
        <f>Q53*$D$2</f>
        <v>1785.5992892456984</v>
      </c>
      <c r="R54" s="45">
        <f t="shared" si="49"/>
        <v>1543.5274374997607</v>
      </c>
      <c r="S54" s="246">
        <f>S53*$D$2</f>
        <v>754.05952155255989</v>
      </c>
      <c r="T54" s="246">
        <f>T53*$D$2</f>
        <v>685.34798570576015</v>
      </c>
      <c r="U54" s="403">
        <f>U53*$D$2</f>
        <v>-92.399138987291664</v>
      </c>
      <c r="V54" s="55">
        <f t="shared" si="49"/>
        <v>47449.287000000004</v>
      </c>
      <c r="W54" s="55">
        <f t="shared" si="49"/>
        <v>21841.508599999997</v>
      </c>
      <c r="X54" s="55">
        <f t="shared" si="49"/>
        <v>132042.67359086045</v>
      </c>
      <c r="Y54" s="55">
        <f t="shared" si="49"/>
        <v>131183.67759573934</v>
      </c>
      <c r="Z54" s="55"/>
      <c r="AA54" s="55"/>
      <c r="AB54" s="55"/>
      <c r="AC54" s="55"/>
      <c r="AD54" s="490"/>
      <c r="AE54" s="490">
        <f>AE53*$D$2</f>
        <v>0</v>
      </c>
      <c r="AF54" s="49">
        <f>AF53*$D$2</f>
        <v>16513.067744252883</v>
      </c>
      <c r="AG54" s="55"/>
      <c r="AH54" s="211">
        <f>AH53*$D$2</f>
        <v>721.59730000000036</v>
      </c>
      <c r="AI54" s="121">
        <f>AI53*$D$2</f>
        <v>551.80969999999991</v>
      </c>
      <c r="AJ54" s="55">
        <f t="shared" si="49"/>
        <v>31073.511000000002</v>
      </c>
      <c r="AK54" s="55">
        <f t="shared" si="49"/>
        <v>9329.4156990248903</v>
      </c>
      <c r="AL54" s="55">
        <f t="shared" ref="AL54:AR54" si="50">AL53*$D$2</f>
        <v>0</v>
      </c>
      <c r="AM54" s="55">
        <f t="shared" si="50"/>
        <v>240558.25607462693</v>
      </c>
      <c r="AN54" s="55">
        <f t="shared" si="50"/>
        <v>16241.006090193896</v>
      </c>
      <c r="AO54" s="99">
        <f t="shared" si="50"/>
        <v>256799.26216482083</v>
      </c>
      <c r="AP54" s="55">
        <f t="shared" si="50"/>
        <v>14791.033345776026</v>
      </c>
      <c r="AQ54" s="490">
        <f t="shared" si="50"/>
        <v>966.84948077602587</v>
      </c>
      <c r="AR54" s="42">
        <f t="shared" si="50"/>
        <v>858.99599512109523</v>
      </c>
      <c r="AS54" s="42"/>
      <c r="AT54" s="489"/>
      <c r="AU54" s="489"/>
      <c r="AV54" s="489"/>
      <c r="AW54" s="489"/>
      <c r="AX54" s="39">
        <f>AX13+AX48</f>
        <v>-3.648700088011788E-4</v>
      </c>
      <c r="AY54" s="39"/>
      <c r="AZ54" s="39"/>
      <c r="BA54" s="45"/>
      <c r="BB54" s="45"/>
      <c r="BC54" s="78"/>
      <c r="BD54" s="202"/>
      <c r="BE54" s="45"/>
      <c r="BF54" s="45"/>
      <c r="BG54" s="378"/>
      <c r="BH54" s="393">
        <f>BH53*$D$2</f>
        <v>4978.8315900164871</v>
      </c>
      <c r="BI54" s="49">
        <f>BI53*$D$2</f>
        <v>15415.357366</v>
      </c>
      <c r="BJ54" s="378"/>
      <c r="BK54" s="410">
        <f>BK53*$D$2</f>
        <v>10007.158998301773</v>
      </c>
      <c r="BL54" s="411">
        <f>BL53*$D$2</f>
        <v>8838.1180643114076</v>
      </c>
      <c r="BN54" s="489"/>
      <c r="BO54" s="489"/>
      <c r="BP54" s="489"/>
      <c r="BQ54" s="505">
        <f>BQ53*$D$2</f>
        <v>637.38532812500023</v>
      </c>
      <c r="BR54" s="505">
        <f>BR53*$D$2</f>
        <v>303512.94406519033</v>
      </c>
    </row>
    <row r="55" spans="1:70" ht="3" customHeight="1">
      <c r="A55" s="54"/>
      <c r="B55" s="93"/>
      <c r="C55" s="51"/>
      <c r="D55" s="54"/>
      <c r="E55" s="51"/>
      <c r="F55" s="84"/>
      <c r="G55" s="54"/>
      <c r="H55" s="334"/>
      <c r="I55" s="54"/>
      <c r="J55" s="54"/>
      <c r="K55" s="54"/>
      <c r="L55" s="54"/>
      <c r="M55" s="86"/>
      <c r="N55" s="54"/>
      <c r="O55" s="54"/>
      <c r="P55" s="198"/>
      <c r="Q55" s="54"/>
      <c r="R55" s="335"/>
      <c r="S55" s="54"/>
      <c r="T55" s="54"/>
      <c r="U55" s="124"/>
      <c r="V55" s="54"/>
      <c r="W55" s="54"/>
      <c r="X55" s="54"/>
      <c r="Y55" s="54"/>
      <c r="Z55" s="51"/>
      <c r="AA55" s="54"/>
      <c r="AB55" s="51"/>
      <c r="AC55" s="51"/>
      <c r="AD55" s="537"/>
      <c r="AE55" s="537"/>
      <c r="AF55" s="51"/>
      <c r="AG55" s="54"/>
      <c r="AH55" s="108"/>
      <c r="AI55" s="109"/>
      <c r="AJ55" s="54"/>
      <c r="AK55" s="51"/>
      <c r="AL55" s="51"/>
      <c r="AM55" s="54"/>
      <c r="AN55" s="54"/>
      <c r="AO55" s="84"/>
      <c r="AP55" s="54"/>
      <c r="AQ55" s="497"/>
      <c r="AR55" s="329"/>
      <c r="AS55" s="329"/>
      <c r="AT55" s="497"/>
      <c r="AU55" s="497"/>
      <c r="AV55" s="497"/>
      <c r="AW55" s="497"/>
      <c r="AX55" s="198"/>
      <c r="AY55" s="198"/>
      <c r="AZ55" s="198"/>
      <c r="BA55" s="54"/>
      <c r="BB55" s="54"/>
      <c r="BC55" s="54"/>
      <c r="BD55" s="93"/>
      <c r="BE55" s="54"/>
      <c r="BF55" s="54"/>
      <c r="BG55" s="54"/>
      <c r="BH55" s="54"/>
      <c r="BI55" s="54"/>
      <c r="BJ55" s="54"/>
      <c r="BK55" s="275"/>
      <c r="BL55" s="300"/>
      <c r="BN55" s="578"/>
      <c r="BO55" s="578"/>
      <c r="BP55" s="578"/>
      <c r="BQ55" s="579"/>
      <c r="BR55" s="579"/>
    </row>
    <row r="56" spans="1:70" ht="11.1" customHeight="1">
      <c r="G56" s="91"/>
      <c r="H56" s="317"/>
      <c r="I56" s="287"/>
      <c r="N56" s="31"/>
      <c r="Q56" s="46"/>
      <c r="W56" s="30"/>
      <c r="X56" s="60"/>
      <c r="Y56" s="60"/>
      <c r="Z56" s="49"/>
      <c r="AA56" s="60"/>
      <c r="AB56" s="49"/>
      <c r="AD56" s="510"/>
      <c r="AE56" s="510"/>
      <c r="AG56" s="46"/>
      <c r="AH56" s="46"/>
      <c r="AI56" s="46"/>
      <c r="AJ56" s="49"/>
      <c r="AM56" s="200"/>
      <c r="AN56" s="200"/>
      <c r="AO56" s="11"/>
      <c r="AQ56" s="541"/>
      <c r="AT56" s="484"/>
      <c r="AU56" s="484"/>
      <c r="AV56" s="484"/>
      <c r="AW56" s="484"/>
      <c r="AX56" s="220"/>
      <c r="AY56" s="220"/>
      <c r="AZ56" s="220"/>
      <c r="BA56" s="263"/>
      <c r="BD56" s="274"/>
      <c r="BE56" s="269"/>
      <c r="BF56" s="15"/>
      <c r="BK56" s="598"/>
      <c r="BL56"/>
      <c r="BQ56" s="531"/>
      <c r="BR56" s="531"/>
    </row>
    <row r="57" spans="1:70" ht="11.1" customHeight="1">
      <c r="A57" s="90"/>
      <c r="B57" s="804" t="s">
        <v>191</v>
      </c>
      <c r="C57" s="31"/>
      <c r="D57" s="60"/>
      <c r="E57" s="10"/>
      <c r="F57" s="805"/>
      <c r="G57" s="60"/>
      <c r="H57" s="336"/>
      <c r="I57" s="164"/>
      <c r="J57" s="61"/>
      <c r="K57" s="287"/>
      <c r="L57" s="61"/>
      <c r="M57" s="61"/>
      <c r="N57" s="31"/>
      <c r="O57" s="31"/>
      <c r="P57" s="806"/>
      <c r="Q57" s="807"/>
      <c r="R57" s="38"/>
      <c r="S57" s="38"/>
      <c r="T57" s="38"/>
      <c r="U57" s="38"/>
      <c r="V57" s="60"/>
      <c r="W57" s="61"/>
      <c r="X57" s="31"/>
      <c r="Y57" s="31"/>
      <c r="Z57" s="808"/>
      <c r="AA57" s="31"/>
      <c r="AB57" s="808"/>
      <c r="AC57" s="809"/>
      <c r="AD57" s="810"/>
      <c r="AE57" s="810"/>
      <c r="AF57" s="809"/>
      <c r="AG57" s="31"/>
      <c r="AH57" s="31"/>
      <c r="AI57" s="31"/>
      <c r="AJ57" s="61"/>
      <c r="AK57" s="31"/>
      <c r="AL57" s="6"/>
      <c r="AM57" s="6"/>
      <c r="AN57" s="141"/>
      <c r="AO57" s="11"/>
      <c r="AP57" s="270"/>
      <c r="AQ57" s="811"/>
      <c r="AR57" s="339"/>
      <c r="AT57" s="812"/>
      <c r="AU57" s="812"/>
      <c r="AV57" s="812"/>
      <c r="AW57" s="812"/>
      <c r="BA57" s="21"/>
      <c r="BD57" s="269"/>
      <c r="BE57" s="269"/>
      <c r="BF57" s="269"/>
      <c r="BN57" s="2"/>
      <c r="BO57" s="2"/>
      <c r="BP57" s="2"/>
      <c r="BQ57" s="2"/>
      <c r="BR57" s="2"/>
    </row>
    <row r="58" spans="1:70" ht="3" customHeight="1">
      <c r="A58" s="54"/>
      <c r="B58" s="116"/>
      <c r="C58" s="57"/>
      <c r="D58" s="57"/>
      <c r="E58" s="57"/>
      <c r="F58" s="117"/>
      <c r="G58" s="57"/>
      <c r="H58" s="44"/>
      <c r="I58" s="57"/>
      <c r="J58" s="57"/>
      <c r="K58" s="57"/>
      <c r="L58" s="57"/>
      <c r="M58" s="118"/>
      <c r="N58" s="57"/>
      <c r="O58" s="57"/>
      <c r="P58" s="40"/>
      <c r="Q58" s="57"/>
      <c r="R58" s="57"/>
      <c r="S58" s="57"/>
      <c r="T58" s="57"/>
      <c r="U58" s="130"/>
      <c r="V58" s="57"/>
      <c r="W58" s="57"/>
      <c r="X58" s="57"/>
      <c r="Y58" s="57"/>
      <c r="Z58" s="57"/>
      <c r="AA58" s="57"/>
      <c r="AB58" s="57"/>
      <c r="AC58" s="57"/>
      <c r="AD58" s="495"/>
      <c r="AE58" s="495"/>
      <c r="AF58" s="51"/>
      <c r="AG58" s="57"/>
      <c r="AH58" s="118"/>
      <c r="AI58" s="119"/>
      <c r="AJ58" s="57"/>
      <c r="AK58" s="59"/>
      <c r="AL58" s="57"/>
      <c r="AM58" s="57"/>
      <c r="AN58" s="57"/>
      <c r="AO58" s="117"/>
      <c r="AP58" s="57"/>
      <c r="AQ58" s="495"/>
      <c r="AR58" s="41"/>
      <c r="AS58" s="41"/>
      <c r="AT58" s="557"/>
      <c r="AU58" s="557"/>
      <c r="AV58" s="557"/>
      <c r="AW58" s="557"/>
      <c r="AX58" s="40"/>
      <c r="AY58" s="40"/>
      <c r="AZ58" s="40"/>
      <c r="BA58" s="44"/>
      <c r="BB58" s="44"/>
      <c r="BC58" s="44"/>
      <c r="BD58" s="120"/>
      <c r="BE58" s="57"/>
      <c r="BF58" s="57"/>
      <c r="BG58" s="57"/>
      <c r="BH58" s="57"/>
      <c r="BI58" s="57"/>
      <c r="BJ58" s="57"/>
      <c r="BK58" s="57"/>
      <c r="BL58" s="57"/>
      <c r="BN58" s="2"/>
      <c r="BO58" s="2"/>
      <c r="BP58" s="2"/>
      <c r="BQ58" s="2"/>
      <c r="BR58" s="2"/>
    </row>
    <row r="59" spans="1:70" ht="12.95" customHeight="1">
      <c r="A59" s="90" t="s">
        <v>36</v>
      </c>
      <c r="B59" s="98"/>
      <c r="C59" s="813"/>
      <c r="D59" s="813"/>
      <c r="E59" s="813"/>
      <c r="F59" s="99">
        <v>-55357.196874212248</v>
      </c>
      <c r="G59" s="55">
        <v>58966.999999999993</v>
      </c>
      <c r="H59" s="45">
        <v>133.22200000000001</v>
      </c>
      <c r="I59" s="55">
        <v>59100.221999999994</v>
      </c>
      <c r="J59" s="55">
        <v>339.86153622303038</v>
      </c>
      <c r="K59" s="55">
        <v>59440.073536223026</v>
      </c>
      <c r="L59" s="55">
        <v>-5511.7511820005438</v>
      </c>
      <c r="M59" s="100">
        <v>42879.790000000008</v>
      </c>
      <c r="N59" s="813">
        <v>145.54725737333001</v>
      </c>
      <c r="O59" s="813">
        <v>12149.540550000002</v>
      </c>
      <c r="P59" s="814">
        <v>7.0600000000000005</v>
      </c>
      <c r="Q59" s="813"/>
      <c r="R59" s="813"/>
      <c r="S59" s="813"/>
      <c r="T59" s="813"/>
      <c r="U59" s="126"/>
      <c r="V59" s="55">
        <v>18732.900000000001</v>
      </c>
      <c r="W59" s="55">
        <v>10992.433999999999</v>
      </c>
      <c r="X59" s="55">
        <v>61169.291473816156</v>
      </c>
      <c r="Y59" s="55">
        <v>60894.698554909388</v>
      </c>
      <c r="Z59" s="62"/>
      <c r="AA59" s="55"/>
      <c r="AB59" s="55"/>
      <c r="AC59" s="55"/>
      <c r="AD59" s="490"/>
      <c r="AE59" s="490">
        <v>0</v>
      </c>
      <c r="AF59" s="49">
        <v>8466.6590384699502</v>
      </c>
      <c r="AG59" s="55">
        <v>26988.131999999998</v>
      </c>
      <c r="AH59" s="100">
        <v>363.80000000000018</v>
      </c>
      <c r="AI59" s="101">
        <v>278.19999999999993</v>
      </c>
      <c r="AJ59" s="55">
        <v>9329.4</v>
      </c>
      <c r="AK59" s="55"/>
      <c r="AL59" s="55">
        <v>0</v>
      </c>
      <c r="AM59" s="55">
        <v>108945.65769221171</v>
      </c>
      <c r="AN59" s="55">
        <v>5851.612718223575</v>
      </c>
      <c r="AO59" s="99">
        <v>114797.27041043529</v>
      </c>
      <c r="AP59" s="354">
        <v>2316.5035242127688</v>
      </c>
      <c r="AQ59" s="490">
        <v>487.01317130124835</v>
      </c>
      <c r="AR59" s="42"/>
      <c r="AS59" s="42"/>
      <c r="AT59" s="489"/>
      <c r="AU59" s="489"/>
      <c r="AV59" s="489"/>
      <c r="AW59" s="489"/>
      <c r="AX59" s="39"/>
      <c r="AY59" s="45">
        <v>2617.5951600705826</v>
      </c>
      <c r="AZ59" s="42">
        <v>0</v>
      </c>
      <c r="BA59" s="45">
        <v>849.54800000000034</v>
      </c>
      <c r="BB59" s="45">
        <v>8.8529999999999998</v>
      </c>
      <c r="BC59" s="45">
        <v>0</v>
      </c>
      <c r="BD59" s="202"/>
      <c r="BE59" s="815">
        <v>36</v>
      </c>
      <c r="BF59" s="815">
        <v>15</v>
      </c>
      <c r="BG59" s="103" t="s">
        <v>37</v>
      </c>
      <c r="BH59" s="393">
        <v>1978.4868784661319</v>
      </c>
      <c r="BI59" s="49">
        <v>7531.9800000000005</v>
      </c>
      <c r="BJ59" s="378"/>
      <c r="BK59" s="49">
        <v>5045.202419108532</v>
      </c>
      <c r="BL59" s="77">
        <v>4456.1295433886607</v>
      </c>
      <c r="BM59" s="816"/>
      <c r="BN59" s="816"/>
      <c r="BO59" s="505"/>
      <c r="BP59" s="505"/>
      <c r="BQ59" s="2"/>
      <c r="BR59" s="2"/>
    </row>
    <row r="60" spans="1:70" ht="12.95" customHeight="1">
      <c r="A60" s="90" t="s">
        <v>38</v>
      </c>
      <c r="B60" s="98"/>
      <c r="C60" s="813"/>
      <c r="D60" s="813"/>
      <c r="E60" s="813"/>
      <c r="F60" s="99">
        <v>-109801</v>
      </c>
      <c r="G60" s="55">
        <v>116961.04449999999</v>
      </c>
      <c r="H60" s="45">
        <v>264.24583699999999</v>
      </c>
      <c r="I60" s="55">
        <v>117225.29033699998</v>
      </c>
      <c r="J60" s="55">
        <v>674.11535709838074</v>
      </c>
      <c r="K60" s="55">
        <v>117899.38585909837</v>
      </c>
      <c r="L60" s="55">
        <v>-10932.558469498079</v>
      </c>
      <c r="M60" s="100">
        <v>85052.063465000014</v>
      </c>
      <c r="N60" s="813">
        <v>288.69298500000008</v>
      </c>
      <c r="O60" s="813">
        <v>24098.613680925002</v>
      </c>
      <c r="P60" s="814">
        <v>14.003510000000002</v>
      </c>
      <c r="Q60" s="813"/>
      <c r="R60" s="813"/>
      <c r="S60" s="813"/>
      <c r="T60" s="813"/>
      <c r="U60" s="126"/>
      <c r="V60" s="55">
        <v>37156.707150000002</v>
      </c>
      <c r="W60" s="55">
        <v>21803.492838999999</v>
      </c>
      <c r="X60" s="55">
        <v>121329.28963831435</v>
      </c>
      <c r="Y60" s="55">
        <v>120784.63458366277</v>
      </c>
      <c r="Z60" s="62"/>
      <c r="AA60" s="55"/>
      <c r="AB60" s="55"/>
      <c r="AC60" s="55"/>
      <c r="AD60" s="490"/>
      <c r="AE60" s="490">
        <v>0</v>
      </c>
      <c r="AF60" s="49">
        <v>16793.618202805148</v>
      </c>
      <c r="AG60" s="55">
        <v>53530.959821999997</v>
      </c>
      <c r="AH60" s="100">
        <v>721.59730000000036</v>
      </c>
      <c r="AI60" s="101">
        <v>551.80969999999991</v>
      </c>
      <c r="AJ60" s="55">
        <v>18504.8649</v>
      </c>
      <c r="AK60" s="55"/>
      <c r="AL60" s="55">
        <v>0</v>
      </c>
      <c r="AM60" s="55">
        <v>216093.71203250194</v>
      </c>
      <c r="AN60" s="55">
        <v>11606.673826596461</v>
      </c>
      <c r="AO60" s="55">
        <v>227700.3858590984</v>
      </c>
      <c r="AP60" s="354">
        <v>4594.7847402760272</v>
      </c>
      <c r="AQ60" s="490">
        <v>965.99062527602609</v>
      </c>
      <c r="AR60" s="42"/>
      <c r="AS60" s="42"/>
      <c r="AT60" s="489">
        <v>51.95</v>
      </c>
      <c r="AU60" s="489"/>
      <c r="AV60" s="489"/>
      <c r="AW60" s="489">
        <v>9998.7142499999991</v>
      </c>
      <c r="AX60" s="39">
        <v>1084.0890132548363</v>
      </c>
      <c r="AY60" s="45">
        <v>5192.0000000000009</v>
      </c>
      <c r="AZ60" s="42">
        <v>0</v>
      </c>
      <c r="BA60" s="45">
        <v>1685.0784580000006</v>
      </c>
      <c r="BB60" s="45">
        <v>17.559925499999999</v>
      </c>
      <c r="BC60" s="45">
        <v>0</v>
      </c>
      <c r="BD60" s="202"/>
      <c r="BE60" s="815"/>
      <c r="BF60" s="815"/>
      <c r="BG60" s="378"/>
      <c r="BH60" s="393">
        <v>3924.3287234375725</v>
      </c>
      <c r="BI60" s="49">
        <v>14939.682330000001</v>
      </c>
      <c r="BJ60" s="378"/>
      <c r="BK60" s="49">
        <v>10007.158998301773</v>
      </c>
      <c r="BL60" s="77">
        <v>8838.7329493114084</v>
      </c>
      <c r="BM60" s="816"/>
      <c r="BN60" s="816"/>
      <c r="BO60" s="505"/>
      <c r="BP60" s="505"/>
      <c r="BQ60" s="2"/>
      <c r="BR60" s="2"/>
    </row>
    <row r="61" spans="1:70" s="825" customFormat="1" ht="11.1" customHeight="1">
      <c r="A61" s="817"/>
      <c r="B61" s="818" t="s">
        <v>192</v>
      </c>
      <c r="C61" s="24"/>
      <c r="D61" s="817"/>
      <c r="E61" s="819"/>
      <c r="F61" s="820">
        <f>F51-F60</f>
        <v>0</v>
      </c>
      <c r="G61" s="821">
        <f>G51-G60</f>
        <v>264.20220000001427</v>
      </c>
      <c r="H61" s="821">
        <f t="shared" ref="H61:P61" si="51">H51-H60</f>
        <v>1.3884500000358457E-3</v>
      </c>
      <c r="I61" s="821">
        <f t="shared" si="51"/>
        <v>264.20358845000737</v>
      </c>
      <c r="J61" s="821">
        <f t="shared" si="51"/>
        <v>-26.339293727564723</v>
      </c>
      <c r="K61" s="821">
        <f t="shared" si="51"/>
        <v>237.86429472242889</v>
      </c>
      <c r="L61" s="822">
        <f>L51-L60</f>
        <v>-335.63388632500028</v>
      </c>
      <c r="M61" s="821">
        <f t="shared" si="51"/>
        <v>32.945934999981546</v>
      </c>
      <c r="N61" s="821">
        <f t="shared" si="51"/>
        <v>69.462169999999958</v>
      </c>
      <c r="O61" s="821">
        <f t="shared" si="51"/>
        <v>19.700022825003543</v>
      </c>
      <c r="P61" s="821">
        <f t="shared" si="51"/>
        <v>0</v>
      </c>
      <c r="Q61" s="821"/>
      <c r="R61" s="821"/>
      <c r="S61" s="821"/>
      <c r="T61" s="821"/>
      <c r="U61" s="822"/>
      <c r="V61" s="821">
        <f>V51-V60</f>
        <v>-5.7521500000002561</v>
      </c>
      <c r="W61" s="821">
        <f>W51-W60</f>
        <v>-28.43148900000233</v>
      </c>
      <c r="X61" s="821">
        <f>X51-X60</f>
        <v>-42.271856125007616</v>
      </c>
      <c r="Y61" s="821">
        <f>Y51-Y60</f>
        <v>-62.82587487497949</v>
      </c>
      <c r="Z61" s="821"/>
      <c r="AA61" s="821"/>
      <c r="AB61" s="821"/>
      <c r="AC61" s="821"/>
      <c r="AD61" s="823"/>
      <c r="AE61" s="823"/>
      <c r="AF61" s="821"/>
      <c r="AG61" s="822">
        <f>AG51-AG60</f>
        <v>5.9663680000012391</v>
      </c>
      <c r="AH61" s="821">
        <f>AH51-AH60</f>
        <v>0</v>
      </c>
      <c r="AI61" s="822">
        <f>AI51-AI60</f>
        <v>0</v>
      </c>
      <c r="AJ61" s="821"/>
      <c r="AK61" s="821"/>
      <c r="AL61" s="821">
        <f>AL51-AL60</f>
        <v>0</v>
      </c>
      <c r="AM61" s="821">
        <f>AM51-AM60</f>
        <v>-71.430297874991084</v>
      </c>
      <c r="AN61" s="821">
        <f>AN51-AN60</f>
        <v>309.29459259743453</v>
      </c>
      <c r="AO61" s="820">
        <f>AO51-AO60</f>
        <v>237.86429472241434</v>
      </c>
      <c r="AP61" s="821"/>
      <c r="AQ61" s="823"/>
      <c r="AR61" s="821"/>
      <c r="AS61" s="821"/>
      <c r="AT61" s="823"/>
      <c r="AU61" s="823"/>
      <c r="AV61" s="823"/>
      <c r="AW61" s="823"/>
      <c r="AX61" s="821">
        <f t="shared" ref="AX61:BC61" si="52">AX51-AX60</f>
        <v>-1.4119480879328421</v>
      </c>
      <c r="AY61" s="821">
        <f t="shared" si="52"/>
        <v>0</v>
      </c>
      <c r="AZ61" s="821">
        <f t="shared" si="52"/>
        <v>0</v>
      </c>
      <c r="BA61" s="821">
        <f t="shared" si="52"/>
        <v>0</v>
      </c>
      <c r="BB61" s="821">
        <f>BB51-BB60</f>
        <v>0</v>
      </c>
      <c r="BC61" s="820">
        <f t="shared" si="52"/>
        <v>0</v>
      </c>
      <c r="BD61" s="821"/>
      <c r="BE61" s="821">
        <f>BE50-BE59</f>
        <v>0</v>
      </c>
      <c r="BF61" s="821">
        <f>BF50-BF59</f>
        <v>0</v>
      </c>
      <c r="BG61" s="820"/>
      <c r="BH61" s="824">
        <f>BH51-BH60</f>
        <v>0</v>
      </c>
      <c r="BI61" s="821">
        <f>BI51-BI60</f>
        <v>0</v>
      </c>
      <c r="BJ61" s="820"/>
      <c r="BK61" s="821">
        <f t="shared" ref="BK61:BL61" si="53">BK51-BK60</f>
        <v>0</v>
      </c>
      <c r="BL61" s="820">
        <f t="shared" si="53"/>
        <v>-0.61488500000086788</v>
      </c>
    </row>
    <row r="62" spans="1:70" ht="11.1" customHeight="1">
      <c r="B62" s="826"/>
      <c r="C62" s="808"/>
      <c r="D62" s="808"/>
      <c r="E62" s="827"/>
      <c r="F62" s="445"/>
      <c r="G62" s="60"/>
      <c r="H62" s="809"/>
      <c r="I62" s="60"/>
      <c r="J62" s="60"/>
      <c r="K62" s="6"/>
      <c r="L62" s="828"/>
      <c r="M62" s="23"/>
      <c r="N62" s="23"/>
      <c r="O62" s="829"/>
      <c r="P62" s="11"/>
      <c r="Q62" s="52"/>
      <c r="R62" s="38"/>
      <c r="S62" s="38"/>
      <c r="T62" s="38"/>
      <c r="U62" s="830"/>
      <c r="V62" s="60"/>
      <c r="W62" s="60"/>
      <c r="X62" s="31"/>
      <c r="Y62" s="31"/>
      <c r="Z62" s="829"/>
      <c r="AA62" s="31"/>
      <c r="AB62" s="829"/>
      <c r="AC62" s="829"/>
      <c r="AD62" s="831"/>
      <c r="AE62" s="831"/>
      <c r="AF62" s="829"/>
      <c r="AG62" s="225"/>
      <c r="AH62" s="49"/>
      <c r="AI62" s="225"/>
      <c r="AJ62" s="31"/>
      <c r="AK62" s="49"/>
      <c r="AL62" s="175"/>
      <c r="AM62" s="175"/>
      <c r="AN62" s="200"/>
      <c r="AO62" s="832"/>
      <c r="AQ62" s="499"/>
      <c r="AT62" s="812"/>
      <c r="AU62" s="812"/>
      <c r="AV62" s="812"/>
      <c r="AW62" s="812"/>
      <c r="BA62" s="21"/>
      <c r="BC62" s="833"/>
      <c r="BD62" s="269"/>
      <c r="BE62" s="269"/>
      <c r="BF62" s="15"/>
      <c r="BG62" s="378"/>
      <c r="BH62" s="380"/>
      <c r="BJ62" s="378"/>
      <c r="BK62" s="49"/>
      <c r="BL62" s="77"/>
      <c r="BN62" s="2"/>
      <c r="BO62" s="2"/>
      <c r="BP62" s="2"/>
      <c r="BQ62" s="2"/>
      <c r="BR62" s="2"/>
    </row>
    <row r="63" spans="1:70" ht="12.95" customHeight="1">
      <c r="A63" s="90" t="s">
        <v>39</v>
      </c>
      <c r="B63" s="98"/>
      <c r="C63" s="813"/>
      <c r="D63" s="813"/>
      <c r="E63" s="813"/>
      <c r="F63" s="99">
        <v>-61375.850768842953</v>
      </c>
      <c r="G63" s="55">
        <v>65576.800000000003</v>
      </c>
      <c r="H63" s="45">
        <v>189.99099999999999</v>
      </c>
      <c r="I63" s="55">
        <v>65766.790999999997</v>
      </c>
      <c r="J63" s="55">
        <v>2333.4087245265341</v>
      </c>
      <c r="K63" s="55">
        <v>68100.189724526543</v>
      </c>
      <c r="L63" s="101">
        <v>-5778.4250766312471</v>
      </c>
      <c r="M63" s="813">
        <v>43626.071000000004</v>
      </c>
      <c r="N63" s="813">
        <v>145.54725737333001</v>
      </c>
      <c r="O63" s="813">
        <v>12149.540550000002</v>
      </c>
      <c r="P63" s="814"/>
      <c r="Q63" s="813">
        <v>900.22651335805313</v>
      </c>
      <c r="R63" s="815">
        <v>778.18373456000029</v>
      </c>
      <c r="S63" s="813">
        <v>380.16613135999995</v>
      </c>
      <c r="T63" s="813">
        <v>345.52457056000009</v>
      </c>
      <c r="U63" s="341">
        <v>-45.642886557747246</v>
      </c>
      <c r="V63" s="55">
        <v>23921.390000000003</v>
      </c>
      <c r="W63" s="55">
        <v>11021.411999999998</v>
      </c>
      <c r="X63" s="55">
        <v>66548.86398162866</v>
      </c>
      <c r="Y63" s="55">
        <v>66142.244649704735</v>
      </c>
      <c r="Z63" s="55"/>
      <c r="AA63" s="55"/>
      <c r="AB63" s="55"/>
      <c r="AC63" s="55"/>
      <c r="AD63" s="490"/>
      <c r="AE63" s="490">
        <v>0</v>
      </c>
      <c r="AF63" s="55">
        <v>8466.6590384699502</v>
      </c>
      <c r="AG63" s="101"/>
      <c r="AH63" s="813">
        <v>363.80000000000018</v>
      </c>
      <c r="AI63" s="101">
        <v>278.19999999999993</v>
      </c>
      <c r="AJ63" s="55">
        <v>15784.200000000003</v>
      </c>
      <c r="AK63" s="55">
        <v>4676.1118220443541</v>
      </c>
      <c r="AL63" s="55">
        <v>0</v>
      </c>
      <c r="AM63" s="55">
        <v>121364.20669221171</v>
      </c>
      <c r="AN63" s="55">
        <v>8111.8338011577825</v>
      </c>
      <c r="AO63" s="99">
        <v>129476.0404933695</v>
      </c>
      <c r="AP63" s="55">
        <v>7456.5942300358092</v>
      </c>
      <c r="AQ63" s="490">
        <v>487.01317130124835</v>
      </c>
      <c r="AR63" s="42">
        <v>406.61933192391996</v>
      </c>
      <c r="AS63" s="42"/>
      <c r="AT63" s="558"/>
      <c r="AU63" s="558"/>
      <c r="AV63" s="558"/>
      <c r="AW63" s="558"/>
      <c r="AX63" s="39"/>
      <c r="AY63" s="39"/>
      <c r="AZ63" s="39"/>
      <c r="BA63" s="45"/>
      <c r="BB63" s="45"/>
      <c r="BC63" s="834"/>
      <c r="BD63" s="835">
        <v>10.735000000000001</v>
      </c>
      <c r="BE63" s="815"/>
      <c r="BF63" s="815"/>
      <c r="BG63" s="378"/>
      <c r="BH63" s="393">
        <v>2511.0653206536358</v>
      </c>
      <c r="BI63" s="49">
        <v>7771.7960000000003</v>
      </c>
      <c r="BJ63" s="378"/>
      <c r="BK63" s="49">
        <v>5045.202419108532</v>
      </c>
      <c r="BL63" s="77">
        <v>4456.1295433886607</v>
      </c>
      <c r="BN63" s="2"/>
      <c r="BO63" s="2"/>
      <c r="BP63" s="2"/>
      <c r="BQ63" s="2">
        <v>321.34375000000011</v>
      </c>
      <c r="BR63" s="2">
        <v>152346.57777423385</v>
      </c>
    </row>
    <row r="64" spans="1:70" ht="12.95" customHeight="1">
      <c r="A64" s="90" t="s">
        <v>40</v>
      </c>
      <c r="B64" s="98"/>
      <c r="C64" s="813"/>
      <c r="D64" s="813">
        <v>-121739</v>
      </c>
      <c r="E64" s="813">
        <v>18656</v>
      </c>
      <c r="F64" s="99">
        <v>-121739</v>
      </c>
      <c r="G64" s="55">
        <v>130071.5828</v>
      </c>
      <c r="H64" s="45">
        <v>376.8471485</v>
      </c>
      <c r="I64" s="55">
        <v>130448.42994849999</v>
      </c>
      <c r="J64" s="55">
        <v>4628.3162050983801</v>
      </c>
      <c r="K64" s="55">
        <v>135076.7263185984</v>
      </c>
      <c r="L64" s="55">
        <v>-11461.506139498078</v>
      </c>
      <c r="M64" s="100">
        <v>86532.311828500009</v>
      </c>
      <c r="N64" s="813">
        <v>288.69298500000008</v>
      </c>
      <c r="O64" s="813">
        <v>24098.613680925002</v>
      </c>
      <c r="P64" s="814"/>
      <c r="Q64" s="815">
        <v>1785.5992892456984</v>
      </c>
      <c r="R64" s="815">
        <v>1543.5274374997607</v>
      </c>
      <c r="S64" s="813">
        <v>754.05952155255989</v>
      </c>
      <c r="T64" s="813">
        <v>685.34798570576015</v>
      </c>
      <c r="U64" s="341">
        <v>-90.532665487291666</v>
      </c>
      <c r="V64" s="55">
        <v>47448.077065000005</v>
      </c>
      <c r="W64" s="55">
        <v>21860.970701999999</v>
      </c>
      <c r="X64" s="55">
        <v>131999.67170756045</v>
      </c>
      <c r="Y64" s="55">
        <v>131193.14226268933</v>
      </c>
      <c r="Z64" s="55"/>
      <c r="AA64" s="55"/>
      <c r="AB64" s="55"/>
      <c r="AC64" s="55"/>
      <c r="AD64" s="490"/>
      <c r="AE64" s="490">
        <v>0</v>
      </c>
      <c r="AF64" s="55">
        <v>16793.618202805148</v>
      </c>
      <c r="AG64" s="101"/>
      <c r="AH64" s="100">
        <v>721.59730000000036</v>
      </c>
      <c r="AI64" s="101">
        <v>551.80969999999991</v>
      </c>
      <c r="AJ64" s="55">
        <v>31307.960700000007</v>
      </c>
      <c r="AK64" s="55">
        <v>9275.0677990249769</v>
      </c>
      <c r="AL64" s="55">
        <v>0</v>
      </c>
      <c r="AM64" s="55">
        <v>240725.90397400194</v>
      </c>
      <c r="AN64" s="55">
        <v>16089.822344596461</v>
      </c>
      <c r="AO64" s="99">
        <v>256815.7263185984</v>
      </c>
      <c r="AP64" s="55">
        <v>14790.154655276028</v>
      </c>
      <c r="AQ64" s="490">
        <v>965.99062527602609</v>
      </c>
      <c r="AR64" s="42">
        <v>806.52944487109528</v>
      </c>
      <c r="AS64" s="42"/>
      <c r="AT64" s="558"/>
      <c r="AU64" s="558"/>
      <c r="AV64" s="558"/>
      <c r="AW64" s="558"/>
      <c r="AX64" s="39">
        <v>-2.9516620892855363E-4</v>
      </c>
      <c r="AY64" s="39"/>
      <c r="AZ64" s="39"/>
      <c r="BA64" s="45"/>
      <c r="BB64" s="45"/>
      <c r="BC64" s="834"/>
      <c r="BD64" s="814"/>
      <c r="BE64" s="815"/>
      <c r="BF64" s="815"/>
      <c r="BG64" s="378"/>
      <c r="BH64" s="393">
        <v>4980.6980635164864</v>
      </c>
      <c r="BI64" s="49">
        <v>15415.357366</v>
      </c>
      <c r="BJ64" s="378"/>
      <c r="BK64" s="49">
        <v>10007.158998301773</v>
      </c>
      <c r="BL64" s="77">
        <v>8838.7329493114084</v>
      </c>
      <c r="BN64" s="2"/>
      <c r="BO64" s="2"/>
      <c r="BP64" s="2"/>
      <c r="BQ64" s="2">
        <v>637.38532812500023</v>
      </c>
      <c r="BR64" s="2">
        <v>302179.43701519287</v>
      </c>
    </row>
    <row r="65" spans="1:70" ht="12.95" customHeight="1">
      <c r="A65" s="90"/>
      <c r="B65" s="818" t="s">
        <v>192</v>
      </c>
      <c r="C65" s="813"/>
      <c r="D65" s="836">
        <f t="shared" ref="D65:O65" si="54">D54-D64</f>
        <v>0</v>
      </c>
      <c r="E65" s="836">
        <f t="shared" si="54"/>
        <v>0</v>
      </c>
      <c r="F65" s="837">
        <f>F54-F64</f>
        <v>0</v>
      </c>
      <c r="G65" s="836">
        <f t="shared" si="54"/>
        <v>264.20219999999972</v>
      </c>
      <c r="H65" s="836">
        <f t="shared" si="54"/>
        <v>-16.89604804999999</v>
      </c>
      <c r="I65" s="836">
        <f t="shared" si="54"/>
        <v>247.30615195000428</v>
      </c>
      <c r="J65" s="836">
        <f t="shared" si="54"/>
        <v>-263.77030572756394</v>
      </c>
      <c r="K65" s="836">
        <f t="shared" si="54"/>
        <v>-16.46415377757512</v>
      </c>
      <c r="L65" s="838">
        <f t="shared" si="54"/>
        <v>-414.95405132500309</v>
      </c>
      <c r="M65" s="836">
        <f t="shared" si="54"/>
        <v>100.89866149998852</v>
      </c>
      <c r="N65" s="836">
        <f t="shared" si="54"/>
        <v>69.462169999999958</v>
      </c>
      <c r="O65" s="836">
        <f t="shared" si="54"/>
        <v>19.700022825003543</v>
      </c>
      <c r="P65" s="836"/>
      <c r="Q65" s="836">
        <f t="shared" ref="Q65:X65" si="55">Q54-Q64</f>
        <v>0</v>
      </c>
      <c r="R65" s="836">
        <f t="shared" si="55"/>
        <v>0</v>
      </c>
      <c r="S65" s="836">
        <f t="shared" si="55"/>
        <v>0</v>
      </c>
      <c r="T65" s="839">
        <f t="shared" si="55"/>
        <v>0</v>
      </c>
      <c r="U65" s="838">
        <f t="shared" si="55"/>
        <v>-1.8664734999999979</v>
      </c>
      <c r="V65" s="836">
        <f t="shared" si="55"/>
        <v>1.2099349999989499</v>
      </c>
      <c r="W65" s="836">
        <f t="shared" si="55"/>
        <v>-19.462102000001323</v>
      </c>
      <c r="X65" s="836">
        <f t="shared" si="55"/>
        <v>43.001883299992187</v>
      </c>
      <c r="Y65" s="836">
        <f>Y54-Y64</f>
        <v>-9.4646669499925338</v>
      </c>
      <c r="Z65" s="836"/>
      <c r="AA65" s="836"/>
      <c r="AB65" s="836"/>
      <c r="AC65" s="836"/>
      <c r="AD65" s="840"/>
      <c r="AE65" s="840"/>
      <c r="AF65" s="836">
        <f>AF54-AF64</f>
        <v>-280.5504585522649</v>
      </c>
      <c r="AG65" s="838"/>
      <c r="AH65" s="836">
        <f t="shared" ref="AH65:AR65" si="56">AH54-AH64</f>
        <v>0</v>
      </c>
      <c r="AI65" s="838">
        <f t="shared" si="56"/>
        <v>0</v>
      </c>
      <c r="AJ65" s="836">
        <f t="shared" si="56"/>
        <v>-234.44970000000467</v>
      </c>
      <c r="AK65" s="836">
        <f t="shared" si="56"/>
        <v>54.347899999913352</v>
      </c>
      <c r="AL65" s="836">
        <f t="shared" si="56"/>
        <v>0</v>
      </c>
      <c r="AM65" s="836">
        <f t="shared" si="56"/>
        <v>-167.64789937500609</v>
      </c>
      <c r="AN65" s="836">
        <f t="shared" si="56"/>
        <v>151.18374559743461</v>
      </c>
      <c r="AO65" s="837">
        <f t="shared" si="56"/>
        <v>-16.46415377757512</v>
      </c>
      <c r="AP65" s="836">
        <f>AP54-AP64</f>
        <v>0.8786904999979015</v>
      </c>
      <c r="AQ65" s="840"/>
      <c r="AR65" s="836">
        <f t="shared" si="56"/>
        <v>52.466550249999955</v>
      </c>
      <c r="AS65" s="836"/>
      <c r="AT65" s="840"/>
      <c r="AU65" s="840"/>
      <c r="AV65" s="840"/>
      <c r="AW65" s="840"/>
      <c r="AX65" s="836">
        <f>AX54-AX64</f>
        <v>-6.9703799872625173E-5</v>
      </c>
      <c r="AY65" s="836"/>
      <c r="AZ65" s="836"/>
      <c r="BA65" s="836"/>
      <c r="BB65" s="836"/>
      <c r="BC65" s="837"/>
      <c r="BD65" s="836">
        <f>BD53-BD63</f>
        <v>0</v>
      </c>
      <c r="BE65" s="836"/>
      <c r="BF65" s="836"/>
      <c r="BG65" s="837"/>
      <c r="BH65" s="841">
        <f>BH54-BH64</f>
        <v>-1.8664734999993016</v>
      </c>
      <c r="BI65" s="836">
        <f>BI54-BI64</f>
        <v>0</v>
      </c>
      <c r="BJ65" s="837"/>
      <c r="BK65" s="836">
        <f>BK54-BK64</f>
        <v>0</v>
      </c>
      <c r="BL65" s="837">
        <f>BL54-BL64</f>
        <v>-0.61488500000086788</v>
      </c>
      <c r="BN65" s="2"/>
      <c r="BO65" s="2"/>
      <c r="BP65" s="2"/>
      <c r="BQ65" s="2"/>
      <c r="BR65" s="2"/>
    </row>
    <row r="66" spans="1:70" ht="3" customHeight="1">
      <c r="A66" s="54"/>
      <c r="B66" s="93"/>
      <c r="C66" s="51"/>
      <c r="D66" s="54"/>
      <c r="E66" s="51"/>
      <c r="F66" s="84"/>
      <c r="G66" s="54"/>
      <c r="H66" s="334"/>
      <c r="I66" s="54"/>
      <c r="J66" s="54"/>
      <c r="K66" s="54"/>
      <c r="L66" s="54"/>
      <c r="M66" s="86"/>
      <c r="N66" s="54"/>
      <c r="O66" s="54"/>
      <c r="P66" s="198"/>
      <c r="Q66" s="54"/>
      <c r="R66" s="335"/>
      <c r="S66" s="54"/>
      <c r="T66" s="54"/>
      <c r="U66" s="124"/>
      <c r="V66" s="54"/>
      <c r="W66" s="54"/>
      <c r="X66" s="54"/>
      <c r="Y66" s="54"/>
      <c r="Z66" s="51"/>
      <c r="AA66" s="54"/>
      <c r="AB66" s="51"/>
      <c r="AC66" s="51"/>
      <c r="AD66" s="537"/>
      <c r="AE66" s="537"/>
      <c r="AF66" s="51"/>
      <c r="AG66" s="54"/>
      <c r="AH66" s="108"/>
      <c r="AI66" s="109"/>
      <c r="AJ66" s="54"/>
      <c r="AK66" s="51"/>
      <c r="AL66" s="51"/>
      <c r="AM66" s="54"/>
      <c r="AN66" s="54"/>
      <c r="AO66" s="84"/>
      <c r="AP66" s="54"/>
      <c r="AQ66" s="578"/>
      <c r="AR66" s="329"/>
      <c r="AS66" s="329"/>
      <c r="AT66" s="842"/>
      <c r="AU66" s="842"/>
      <c r="AV66" s="842"/>
      <c r="AW66" s="842"/>
      <c r="AX66" s="198"/>
      <c r="AY66" s="198"/>
      <c r="AZ66" s="198"/>
      <c r="BA66" s="54"/>
      <c r="BB66" s="54"/>
      <c r="BC66" s="54"/>
      <c r="BD66" s="93"/>
      <c r="BE66" s="54"/>
      <c r="BF66" s="54"/>
      <c r="BG66" s="54"/>
      <c r="BH66" s="54"/>
      <c r="BI66" s="54"/>
      <c r="BJ66" s="54"/>
      <c r="BK66" s="54"/>
      <c r="BL66" s="54"/>
      <c r="BN66" s="2"/>
      <c r="BO66" s="2"/>
      <c r="BP66" s="2"/>
      <c r="BQ66" s="2"/>
      <c r="BR66" s="2"/>
    </row>
  </sheetData>
  <mergeCells count="2">
    <mergeCell ref="AH5:AI5"/>
    <mergeCell ref="K2:V2"/>
  </mergeCells>
  <phoneticPr fontId="3" type="noConversion"/>
  <printOptions horizontalCentered="1" verticalCentered="1" headings="1" gridLines="1" gridLinesSet="0"/>
  <pageMargins left="0.15" right="0.15" top="0.2" bottom="0" header="0.5" footer="0.5"/>
  <pageSetup paperSize="3" scale="89" orientation="landscape" cellComments="atEnd" horizontalDpi="300" verticalDpi="300" r:id="rId1"/>
  <headerFooter alignWithMargins="0"/>
  <rowBreaks count="1" manualBreakCount="1">
    <brk id="60" max="38" man="1"/>
  </rowBreak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2834"/>
  <sheetViews>
    <sheetView workbookViewId="0">
      <pane xSplit="1" ySplit="3" topLeftCell="B4" activePane="bottomRight" state="frozen"/>
      <selection pane="topRight" activeCell="B1" sqref="B1"/>
      <selection pane="bottomLeft" activeCell="A4" sqref="A4"/>
      <selection pane="bottomRight"/>
    </sheetView>
  </sheetViews>
  <sheetFormatPr defaultRowHeight="11.25"/>
  <cols>
    <col min="12" max="12" width="9.33203125" style="480"/>
  </cols>
  <sheetData>
    <row r="1" spans="1:23">
      <c r="A1" t="s">
        <v>144</v>
      </c>
      <c r="M1" t="s">
        <v>145</v>
      </c>
    </row>
    <row r="3" spans="1:23">
      <c r="A3" s="477" t="s">
        <v>143</v>
      </c>
      <c r="B3" s="478">
        <v>0</v>
      </c>
      <c r="C3" s="478">
        <v>0.01</v>
      </c>
      <c r="D3" s="478">
        <v>0.02</v>
      </c>
      <c r="E3" s="478">
        <v>0.03</v>
      </c>
      <c r="F3" s="478">
        <v>0.04</v>
      </c>
      <c r="G3" s="478">
        <v>0.05</v>
      </c>
      <c r="H3" s="478">
        <v>0.06</v>
      </c>
      <c r="I3" s="478">
        <v>7.0000000000000007E-2</v>
      </c>
      <c r="J3" s="478">
        <v>0.08</v>
      </c>
      <c r="K3" s="478">
        <v>0.09</v>
      </c>
      <c r="M3" s="477" t="s">
        <v>143</v>
      </c>
      <c r="N3" s="481">
        <v>0</v>
      </c>
      <c r="O3" s="481">
        <v>1</v>
      </c>
      <c r="P3" s="481">
        <v>2</v>
      </c>
      <c r="Q3" s="481">
        <v>3</v>
      </c>
      <c r="R3" s="481">
        <v>4</v>
      </c>
      <c r="S3" s="481">
        <v>5</v>
      </c>
      <c r="T3" s="481">
        <v>6</v>
      </c>
      <c r="U3" s="481">
        <v>7</v>
      </c>
      <c r="V3" s="481">
        <v>8</v>
      </c>
      <c r="W3" s="481">
        <v>9</v>
      </c>
    </row>
    <row r="4" spans="1:23">
      <c r="A4" s="479">
        <v>6666</v>
      </c>
      <c r="B4" s="476">
        <v>0</v>
      </c>
      <c r="C4" s="476">
        <v>0</v>
      </c>
      <c r="D4" s="476">
        <v>0</v>
      </c>
      <c r="E4" s="476">
        <v>0</v>
      </c>
      <c r="F4" s="476">
        <v>0</v>
      </c>
      <c r="G4" s="476">
        <v>0</v>
      </c>
      <c r="H4" s="476">
        <v>0</v>
      </c>
      <c r="I4" s="476">
        <v>0</v>
      </c>
      <c r="J4" s="476">
        <v>0</v>
      </c>
      <c r="K4" s="476">
        <v>0</v>
      </c>
      <c r="M4" s="482">
        <v>6660</v>
      </c>
      <c r="N4" s="476">
        <v>0</v>
      </c>
      <c r="O4" s="476">
        <v>0</v>
      </c>
      <c r="P4" s="476">
        <v>0</v>
      </c>
      <c r="Q4" s="476">
        <v>0</v>
      </c>
      <c r="R4" s="476">
        <v>0</v>
      </c>
      <c r="S4" s="476">
        <v>0</v>
      </c>
      <c r="T4" s="476">
        <v>0</v>
      </c>
      <c r="U4" s="476">
        <v>1</v>
      </c>
      <c r="V4" s="476">
        <v>2</v>
      </c>
      <c r="W4" s="476">
        <v>4</v>
      </c>
    </row>
    <row r="5" spans="1:23">
      <c r="A5" s="479">
        <v>6666.1</v>
      </c>
      <c r="B5" s="476">
        <v>0</v>
      </c>
      <c r="C5" s="476">
        <v>0</v>
      </c>
      <c r="D5" s="476">
        <v>0</v>
      </c>
      <c r="E5" s="476">
        <v>0</v>
      </c>
      <c r="F5" s="476">
        <v>0</v>
      </c>
      <c r="G5" s="476">
        <v>0</v>
      </c>
      <c r="H5" s="476">
        <v>0</v>
      </c>
      <c r="I5" s="476">
        <v>0</v>
      </c>
      <c r="J5" s="476">
        <v>0</v>
      </c>
      <c r="K5" s="476">
        <v>0</v>
      </c>
      <c r="M5" s="482">
        <v>6670</v>
      </c>
      <c r="N5" s="476">
        <v>6</v>
      </c>
      <c r="O5" s="476">
        <v>8</v>
      </c>
      <c r="P5" s="476">
        <v>11</v>
      </c>
      <c r="Q5" s="476">
        <v>14</v>
      </c>
      <c r="R5" s="476">
        <v>17</v>
      </c>
      <c r="S5" s="476">
        <v>20</v>
      </c>
      <c r="T5" s="476">
        <v>23</v>
      </c>
      <c r="U5" s="476">
        <v>27</v>
      </c>
      <c r="V5" s="476">
        <v>31</v>
      </c>
      <c r="W5" s="476">
        <v>35</v>
      </c>
    </row>
    <row r="6" spans="1:23">
      <c r="A6" s="479">
        <v>6666.2</v>
      </c>
      <c r="B6" s="476">
        <v>0</v>
      </c>
      <c r="C6" s="476">
        <v>0</v>
      </c>
      <c r="D6" s="476">
        <v>0</v>
      </c>
      <c r="E6" s="476">
        <v>0</v>
      </c>
      <c r="F6" s="476">
        <v>0</v>
      </c>
      <c r="G6" s="476">
        <v>0</v>
      </c>
      <c r="H6" s="476">
        <v>0</v>
      </c>
      <c r="I6" s="476">
        <v>0</v>
      </c>
      <c r="J6" s="476">
        <v>0</v>
      </c>
      <c r="K6" s="476">
        <v>0</v>
      </c>
      <c r="M6" s="482">
        <v>6680</v>
      </c>
      <c r="N6" s="476">
        <v>39</v>
      </c>
      <c r="O6" s="476">
        <v>41</v>
      </c>
      <c r="P6" s="476">
        <v>42</v>
      </c>
      <c r="Q6" s="476">
        <v>44</v>
      </c>
      <c r="R6" s="476">
        <v>47</v>
      </c>
      <c r="S6" s="476">
        <v>49</v>
      </c>
      <c r="T6" s="476">
        <v>53</v>
      </c>
      <c r="U6" s="476">
        <v>56</v>
      </c>
      <c r="V6" s="476">
        <v>60</v>
      </c>
      <c r="W6" s="476">
        <v>65</v>
      </c>
    </row>
    <row r="7" spans="1:23">
      <c r="A7" s="479">
        <v>6666.3</v>
      </c>
      <c r="B7" s="476">
        <v>0</v>
      </c>
      <c r="C7" s="476">
        <v>0</v>
      </c>
      <c r="D7" s="476">
        <v>0</v>
      </c>
      <c r="E7" s="476">
        <v>0</v>
      </c>
      <c r="F7" s="476">
        <v>0</v>
      </c>
      <c r="G7" s="476">
        <v>0</v>
      </c>
      <c r="H7" s="476">
        <v>0</v>
      </c>
      <c r="I7" s="476">
        <v>0</v>
      </c>
      <c r="J7" s="476">
        <v>0</v>
      </c>
      <c r="K7" s="476">
        <v>0</v>
      </c>
      <c r="M7" s="482">
        <v>6690</v>
      </c>
      <c r="N7" s="476">
        <v>70</v>
      </c>
      <c r="O7" s="476">
        <v>76</v>
      </c>
      <c r="P7" s="476">
        <v>82</v>
      </c>
      <c r="Q7" s="476">
        <v>89</v>
      </c>
      <c r="R7" s="476">
        <v>97</v>
      </c>
      <c r="S7" s="476">
        <v>106</v>
      </c>
      <c r="T7" s="476">
        <v>116</v>
      </c>
      <c r="U7" s="476">
        <v>126</v>
      </c>
      <c r="V7" s="476">
        <v>138</v>
      </c>
      <c r="W7" s="476">
        <v>150</v>
      </c>
    </row>
    <row r="8" spans="1:23">
      <c r="A8" s="479">
        <v>6666.4</v>
      </c>
      <c r="B8" s="476">
        <v>0</v>
      </c>
      <c r="C8" s="476">
        <v>0</v>
      </c>
      <c r="D8" s="476">
        <v>0</v>
      </c>
      <c r="E8" s="476">
        <v>0</v>
      </c>
      <c r="F8" s="476">
        <v>0</v>
      </c>
      <c r="G8" s="476">
        <v>0</v>
      </c>
      <c r="H8" s="476">
        <v>0</v>
      </c>
      <c r="I8" s="476">
        <v>0</v>
      </c>
      <c r="J8" s="476">
        <v>0</v>
      </c>
      <c r="K8" s="476">
        <v>0</v>
      </c>
      <c r="M8" s="482">
        <v>6700</v>
      </c>
      <c r="N8" s="476">
        <v>164</v>
      </c>
      <c r="O8" s="476">
        <v>171</v>
      </c>
      <c r="P8" s="476">
        <v>177</v>
      </c>
      <c r="Q8" s="476">
        <v>185</v>
      </c>
      <c r="R8" s="476">
        <v>193</v>
      </c>
      <c r="S8" s="476">
        <v>201</v>
      </c>
      <c r="T8" s="476">
        <v>209</v>
      </c>
      <c r="U8" s="476">
        <v>218</v>
      </c>
      <c r="V8" s="476">
        <v>228</v>
      </c>
      <c r="W8" s="476">
        <v>238</v>
      </c>
    </row>
    <row r="9" spans="1:23">
      <c r="A9" s="479">
        <v>6666.5</v>
      </c>
      <c r="B9" s="476">
        <v>0</v>
      </c>
      <c r="C9" s="476">
        <v>0</v>
      </c>
      <c r="D9" s="476">
        <v>0</v>
      </c>
      <c r="E9" s="476">
        <v>0</v>
      </c>
      <c r="F9" s="476">
        <v>0</v>
      </c>
      <c r="G9" s="476">
        <v>0</v>
      </c>
      <c r="H9" s="476">
        <v>0</v>
      </c>
      <c r="I9" s="476">
        <v>0</v>
      </c>
      <c r="J9" s="476">
        <v>0</v>
      </c>
      <c r="K9" s="476">
        <v>0</v>
      </c>
      <c r="M9" s="482">
        <v>6710</v>
      </c>
      <c r="N9" s="476">
        <v>248</v>
      </c>
      <c r="O9" s="476">
        <v>259</v>
      </c>
      <c r="P9" s="476">
        <v>270</v>
      </c>
      <c r="Q9" s="476">
        <v>282</v>
      </c>
      <c r="R9" s="476">
        <v>295</v>
      </c>
      <c r="S9" s="476">
        <v>308</v>
      </c>
      <c r="T9" s="476">
        <v>321</v>
      </c>
      <c r="U9" s="476">
        <v>335</v>
      </c>
      <c r="V9" s="476">
        <v>350</v>
      </c>
      <c r="W9" s="476">
        <v>365</v>
      </c>
    </row>
    <row r="10" spans="1:23">
      <c r="A10" s="479">
        <v>6666.6</v>
      </c>
      <c r="B10" s="476">
        <v>0</v>
      </c>
      <c r="C10" s="476">
        <v>0</v>
      </c>
      <c r="D10" s="476">
        <v>0</v>
      </c>
      <c r="E10" s="476">
        <v>0</v>
      </c>
      <c r="F10" s="476">
        <v>0</v>
      </c>
      <c r="G10" s="476">
        <v>0</v>
      </c>
      <c r="H10" s="476">
        <v>0</v>
      </c>
      <c r="I10" s="476">
        <v>0</v>
      </c>
      <c r="J10" s="476">
        <v>0</v>
      </c>
      <c r="K10" s="476">
        <v>0</v>
      </c>
      <c r="M10" s="482">
        <v>6720</v>
      </c>
      <c r="N10" s="476">
        <v>381</v>
      </c>
      <c r="O10" s="476">
        <v>388</v>
      </c>
      <c r="P10" s="476">
        <v>395</v>
      </c>
      <c r="Q10" s="476">
        <v>402</v>
      </c>
      <c r="R10" s="476">
        <v>408</v>
      </c>
      <c r="S10" s="476">
        <v>415</v>
      </c>
      <c r="T10" s="476">
        <v>421</v>
      </c>
      <c r="U10" s="476">
        <v>427</v>
      </c>
      <c r="V10" s="476">
        <v>433</v>
      </c>
      <c r="W10" s="476">
        <v>439</v>
      </c>
    </row>
    <row r="11" spans="1:23">
      <c r="A11" s="479">
        <v>6666.7</v>
      </c>
      <c r="B11" s="476">
        <v>0</v>
      </c>
      <c r="C11" s="476">
        <v>0</v>
      </c>
      <c r="D11" s="476">
        <v>0</v>
      </c>
      <c r="E11" s="476">
        <v>0</v>
      </c>
      <c r="F11" s="476">
        <v>1</v>
      </c>
      <c r="G11" s="476">
        <v>1</v>
      </c>
      <c r="H11" s="476">
        <v>1</v>
      </c>
      <c r="I11" s="476">
        <v>1</v>
      </c>
      <c r="J11" s="476">
        <v>1</v>
      </c>
      <c r="K11" s="476">
        <v>1</v>
      </c>
      <c r="M11" s="482">
        <v>6730</v>
      </c>
      <c r="N11" s="476">
        <v>445</v>
      </c>
      <c r="O11" s="476">
        <v>451</v>
      </c>
      <c r="P11" s="476">
        <v>456</v>
      </c>
      <c r="Q11" s="476">
        <v>461</v>
      </c>
      <c r="R11" s="476">
        <v>467</v>
      </c>
      <c r="S11" s="476">
        <v>472</v>
      </c>
      <c r="T11" s="476">
        <v>477</v>
      </c>
      <c r="U11" s="476">
        <v>482</v>
      </c>
      <c r="V11" s="476">
        <v>487</v>
      </c>
      <c r="W11" s="476">
        <v>491</v>
      </c>
    </row>
    <row r="12" spans="1:23">
      <c r="A12" s="479">
        <v>6666.8</v>
      </c>
      <c r="B12" s="476">
        <v>1</v>
      </c>
      <c r="C12" s="476">
        <v>1</v>
      </c>
      <c r="D12" s="476">
        <v>1</v>
      </c>
      <c r="E12" s="476">
        <v>1</v>
      </c>
      <c r="F12" s="476">
        <v>1</v>
      </c>
      <c r="G12" s="476">
        <v>1</v>
      </c>
      <c r="H12" s="476">
        <v>1</v>
      </c>
      <c r="I12" s="476">
        <v>1</v>
      </c>
      <c r="J12" s="476">
        <v>1</v>
      </c>
      <c r="K12" s="476">
        <v>1</v>
      </c>
      <c r="M12" s="482">
        <v>6740</v>
      </c>
      <c r="N12" s="476">
        <v>496</v>
      </c>
      <c r="O12" s="476">
        <v>505</v>
      </c>
      <c r="P12" s="476">
        <v>513</v>
      </c>
      <c r="Q12" s="476">
        <v>522</v>
      </c>
      <c r="R12" s="476">
        <v>531</v>
      </c>
      <c r="S12" s="476">
        <v>540</v>
      </c>
      <c r="T12" s="476">
        <v>550</v>
      </c>
      <c r="U12" s="476">
        <v>559</v>
      </c>
      <c r="V12" s="476">
        <v>569</v>
      </c>
      <c r="W12" s="476">
        <v>578</v>
      </c>
    </row>
    <row r="13" spans="1:23">
      <c r="A13" s="479">
        <v>6666.9</v>
      </c>
      <c r="B13" s="476">
        <v>1</v>
      </c>
      <c r="C13" s="476">
        <v>1</v>
      </c>
      <c r="D13" s="476">
        <v>1</v>
      </c>
      <c r="E13" s="476">
        <v>1</v>
      </c>
      <c r="F13" s="476">
        <v>1</v>
      </c>
      <c r="G13" s="476">
        <v>1</v>
      </c>
      <c r="H13" s="476">
        <v>1</v>
      </c>
      <c r="I13" s="476">
        <v>1</v>
      </c>
      <c r="J13" s="476">
        <v>1</v>
      </c>
      <c r="K13" s="476">
        <v>1</v>
      </c>
      <c r="M13" s="482">
        <v>6750</v>
      </c>
      <c r="N13" s="476">
        <v>588</v>
      </c>
      <c r="O13" s="476">
        <v>598</v>
      </c>
      <c r="P13" s="476">
        <v>608</v>
      </c>
      <c r="Q13" s="476">
        <v>618</v>
      </c>
      <c r="R13" s="476">
        <v>628</v>
      </c>
      <c r="S13" s="476">
        <v>639</v>
      </c>
      <c r="T13" s="476">
        <v>649</v>
      </c>
      <c r="U13" s="476">
        <v>660</v>
      </c>
      <c r="V13" s="476">
        <v>671</v>
      </c>
      <c r="W13" s="476">
        <v>682</v>
      </c>
    </row>
    <row r="14" spans="1:23">
      <c r="A14" s="479">
        <v>6667</v>
      </c>
      <c r="B14" s="476">
        <v>1</v>
      </c>
      <c r="C14" s="476">
        <v>1</v>
      </c>
      <c r="D14" s="476">
        <v>1</v>
      </c>
      <c r="E14" s="476">
        <v>1</v>
      </c>
      <c r="F14" s="476">
        <v>1</v>
      </c>
      <c r="G14" s="476">
        <v>1</v>
      </c>
      <c r="H14" s="476">
        <v>1</v>
      </c>
      <c r="I14" s="476">
        <v>1</v>
      </c>
      <c r="J14" s="476">
        <v>1</v>
      </c>
      <c r="K14" s="476">
        <v>1</v>
      </c>
      <c r="M14" s="482">
        <v>6760</v>
      </c>
      <c r="N14" s="476">
        <v>693</v>
      </c>
      <c r="O14" s="476">
        <v>700</v>
      </c>
      <c r="P14" s="476">
        <v>707</v>
      </c>
      <c r="Q14" s="476">
        <v>715</v>
      </c>
      <c r="R14" s="476">
        <v>722</v>
      </c>
      <c r="S14" s="476">
        <v>730</v>
      </c>
      <c r="T14" s="476">
        <v>739</v>
      </c>
      <c r="U14" s="476">
        <v>747</v>
      </c>
      <c r="V14" s="476">
        <v>756</v>
      </c>
      <c r="W14" s="476">
        <v>765</v>
      </c>
    </row>
    <row r="15" spans="1:23">
      <c r="A15" s="479">
        <v>6667.1</v>
      </c>
      <c r="B15" s="476">
        <v>1</v>
      </c>
      <c r="C15" s="476">
        <v>1</v>
      </c>
      <c r="D15" s="476">
        <v>1</v>
      </c>
      <c r="E15" s="476">
        <v>1</v>
      </c>
      <c r="F15" s="476">
        <v>1</v>
      </c>
      <c r="G15" s="476">
        <v>1</v>
      </c>
      <c r="H15" s="476">
        <v>1</v>
      </c>
      <c r="I15" s="476">
        <v>1</v>
      </c>
      <c r="J15" s="476">
        <v>1</v>
      </c>
      <c r="K15" s="476">
        <v>1</v>
      </c>
      <c r="M15" s="482">
        <v>6770</v>
      </c>
      <c r="N15" s="476">
        <v>774</v>
      </c>
      <c r="O15" s="476">
        <v>784</v>
      </c>
      <c r="P15" s="476">
        <v>793</v>
      </c>
      <c r="Q15" s="476">
        <v>803</v>
      </c>
      <c r="R15" s="476">
        <v>814</v>
      </c>
      <c r="S15" s="476">
        <v>825</v>
      </c>
      <c r="T15" s="476">
        <v>836</v>
      </c>
      <c r="U15" s="476">
        <v>847</v>
      </c>
      <c r="V15" s="476">
        <v>859</v>
      </c>
      <c r="W15" s="476">
        <v>871</v>
      </c>
    </row>
    <row r="16" spans="1:23">
      <c r="A16" s="479">
        <v>6667.2</v>
      </c>
      <c r="B16" s="476">
        <v>1</v>
      </c>
      <c r="C16" s="476">
        <v>1</v>
      </c>
      <c r="D16" s="476">
        <v>1</v>
      </c>
      <c r="E16" s="476">
        <v>1</v>
      </c>
      <c r="F16" s="476">
        <v>1</v>
      </c>
      <c r="G16" s="476">
        <v>1</v>
      </c>
      <c r="H16" s="476">
        <v>1</v>
      </c>
      <c r="I16" s="476">
        <v>1</v>
      </c>
      <c r="J16" s="476">
        <v>1</v>
      </c>
      <c r="K16" s="476">
        <v>1</v>
      </c>
      <c r="M16" s="482">
        <v>6780</v>
      </c>
      <c r="N16" s="476">
        <v>883</v>
      </c>
      <c r="O16" s="476">
        <v>897</v>
      </c>
      <c r="P16" s="476">
        <v>911</v>
      </c>
      <c r="Q16" s="476">
        <v>924</v>
      </c>
      <c r="R16" s="476">
        <v>938</v>
      </c>
      <c r="S16" s="476">
        <v>951</v>
      </c>
      <c r="T16" s="476">
        <v>964</v>
      </c>
      <c r="U16" s="476">
        <v>977</v>
      </c>
      <c r="V16" s="476">
        <v>989</v>
      </c>
      <c r="W16" s="476">
        <v>1002</v>
      </c>
    </row>
    <row r="17" spans="1:23">
      <c r="A17" s="479">
        <v>6667.3</v>
      </c>
      <c r="B17" s="476">
        <v>1</v>
      </c>
      <c r="C17" s="476">
        <v>1</v>
      </c>
      <c r="D17" s="476">
        <v>1</v>
      </c>
      <c r="E17" s="476">
        <v>1</v>
      </c>
      <c r="F17" s="476">
        <v>1</v>
      </c>
      <c r="G17" s="476">
        <v>1</v>
      </c>
      <c r="H17" s="476">
        <v>1</v>
      </c>
      <c r="I17" s="476">
        <v>1</v>
      </c>
      <c r="J17" s="476">
        <v>1</v>
      </c>
      <c r="K17" s="476">
        <v>1</v>
      </c>
      <c r="M17" s="482">
        <v>6790</v>
      </c>
      <c r="N17" s="476">
        <v>1014</v>
      </c>
      <c r="O17" s="476">
        <v>1026</v>
      </c>
      <c r="P17" s="476">
        <v>1038</v>
      </c>
      <c r="Q17" s="476">
        <v>1050</v>
      </c>
      <c r="R17" s="476">
        <v>1062</v>
      </c>
      <c r="S17" s="476">
        <v>1073</v>
      </c>
      <c r="T17" s="476">
        <v>1084</v>
      </c>
      <c r="U17" s="476">
        <v>1095</v>
      </c>
      <c r="V17" s="476">
        <v>1106</v>
      </c>
      <c r="W17" s="476">
        <v>1117</v>
      </c>
    </row>
    <row r="18" spans="1:23">
      <c r="A18" s="479">
        <v>6667.4</v>
      </c>
      <c r="B18" s="476">
        <v>1</v>
      </c>
      <c r="C18" s="476">
        <v>1</v>
      </c>
      <c r="D18" s="476">
        <v>1</v>
      </c>
      <c r="E18" s="476">
        <v>1</v>
      </c>
      <c r="F18" s="476">
        <v>1</v>
      </c>
      <c r="G18" s="476">
        <v>1</v>
      </c>
      <c r="H18" s="476">
        <v>1</v>
      </c>
      <c r="I18" s="476">
        <v>1</v>
      </c>
      <c r="J18" s="476">
        <v>1</v>
      </c>
      <c r="K18" s="476">
        <v>1</v>
      </c>
      <c r="M18" s="482">
        <v>6800</v>
      </c>
      <c r="N18" s="476">
        <v>1127</v>
      </c>
      <c r="O18" s="476">
        <v>1137</v>
      </c>
      <c r="P18" s="476">
        <v>1148</v>
      </c>
      <c r="Q18" s="476">
        <v>1160</v>
      </c>
      <c r="R18" s="476">
        <v>1172</v>
      </c>
      <c r="S18" s="476">
        <v>1184</v>
      </c>
      <c r="T18" s="476">
        <v>1197</v>
      </c>
      <c r="U18" s="476">
        <v>1211</v>
      </c>
      <c r="V18" s="476">
        <v>1225</v>
      </c>
      <c r="W18" s="476">
        <v>1240</v>
      </c>
    </row>
    <row r="19" spans="1:23">
      <c r="A19" s="479">
        <v>6667.5</v>
      </c>
      <c r="B19" s="476">
        <v>1</v>
      </c>
      <c r="C19" s="476">
        <v>1</v>
      </c>
      <c r="D19" s="476">
        <v>1</v>
      </c>
      <c r="E19" s="476">
        <v>1</v>
      </c>
      <c r="F19" s="476">
        <v>1</v>
      </c>
      <c r="G19" s="476">
        <v>1</v>
      </c>
      <c r="H19" s="476">
        <v>2</v>
      </c>
      <c r="I19" s="476">
        <v>2</v>
      </c>
      <c r="J19" s="476">
        <v>2</v>
      </c>
      <c r="K19" s="476">
        <v>2</v>
      </c>
      <c r="M19" s="482">
        <v>6810</v>
      </c>
      <c r="N19" s="476">
        <v>1255</v>
      </c>
      <c r="O19" s="476">
        <v>1271</v>
      </c>
      <c r="P19" s="476">
        <v>1288</v>
      </c>
      <c r="Q19" s="476">
        <v>1306</v>
      </c>
      <c r="R19" s="476">
        <v>1325</v>
      </c>
      <c r="S19" s="476">
        <v>1344</v>
      </c>
      <c r="T19" s="476">
        <v>1364</v>
      </c>
      <c r="U19" s="476">
        <v>1385</v>
      </c>
      <c r="V19" s="476">
        <v>1407</v>
      </c>
      <c r="W19" s="476">
        <v>1429</v>
      </c>
    </row>
    <row r="20" spans="1:23">
      <c r="A20" s="479">
        <v>6667.6</v>
      </c>
      <c r="B20" s="476">
        <v>2</v>
      </c>
      <c r="C20" s="476">
        <v>2</v>
      </c>
      <c r="D20" s="476">
        <v>2</v>
      </c>
      <c r="E20" s="476">
        <v>2</v>
      </c>
      <c r="F20" s="476">
        <v>2</v>
      </c>
      <c r="G20" s="476">
        <v>2</v>
      </c>
      <c r="H20" s="476">
        <v>2</v>
      </c>
      <c r="I20" s="476">
        <v>2</v>
      </c>
      <c r="J20" s="476">
        <v>2</v>
      </c>
      <c r="K20" s="476">
        <v>2</v>
      </c>
      <c r="M20" s="482">
        <v>6820</v>
      </c>
      <c r="N20" s="476">
        <v>1453</v>
      </c>
      <c r="O20" s="476">
        <v>1476</v>
      </c>
      <c r="P20" s="476">
        <v>1498</v>
      </c>
      <c r="Q20" s="476">
        <v>1520</v>
      </c>
      <c r="R20" s="476">
        <v>1542</v>
      </c>
      <c r="S20" s="476">
        <v>1563</v>
      </c>
      <c r="T20" s="476">
        <v>1584</v>
      </c>
      <c r="U20" s="476">
        <v>1605</v>
      </c>
      <c r="V20" s="476">
        <v>1625</v>
      </c>
      <c r="W20" s="476">
        <v>1645</v>
      </c>
    </row>
    <row r="21" spans="1:23">
      <c r="A21" s="479">
        <v>6667.7</v>
      </c>
      <c r="B21" s="476">
        <v>2</v>
      </c>
      <c r="C21" s="476">
        <v>2</v>
      </c>
      <c r="D21" s="476">
        <v>2</v>
      </c>
      <c r="E21" s="476">
        <v>2</v>
      </c>
      <c r="F21" s="476">
        <v>2</v>
      </c>
      <c r="G21" s="476">
        <v>2</v>
      </c>
      <c r="H21" s="476">
        <v>2</v>
      </c>
      <c r="I21" s="476">
        <v>2</v>
      </c>
      <c r="J21" s="476">
        <v>2</v>
      </c>
      <c r="K21" s="476">
        <v>2</v>
      </c>
      <c r="M21" s="482">
        <v>6830</v>
      </c>
      <c r="N21" s="476">
        <v>1665</v>
      </c>
      <c r="O21" s="476">
        <v>1685</v>
      </c>
      <c r="P21" s="476">
        <v>1704</v>
      </c>
      <c r="Q21" s="476">
        <v>1723</v>
      </c>
      <c r="R21" s="476">
        <v>1742</v>
      </c>
      <c r="S21" s="476">
        <v>1761</v>
      </c>
      <c r="T21" s="476">
        <v>1779</v>
      </c>
      <c r="U21" s="476">
        <v>1797</v>
      </c>
      <c r="V21" s="476">
        <v>1815</v>
      </c>
      <c r="W21" s="476">
        <v>1833</v>
      </c>
    </row>
    <row r="22" spans="1:23">
      <c r="A22" s="479">
        <v>6667.8</v>
      </c>
      <c r="B22" s="476">
        <v>2</v>
      </c>
      <c r="C22" s="476">
        <v>2</v>
      </c>
      <c r="D22" s="476">
        <v>2</v>
      </c>
      <c r="E22" s="476">
        <v>2</v>
      </c>
      <c r="F22" s="476">
        <v>2</v>
      </c>
      <c r="G22" s="476">
        <v>2</v>
      </c>
      <c r="H22" s="476">
        <v>2</v>
      </c>
      <c r="I22" s="476">
        <v>2</v>
      </c>
      <c r="J22" s="476">
        <v>2</v>
      </c>
      <c r="K22" s="476">
        <v>2</v>
      </c>
      <c r="M22" s="482">
        <v>6840</v>
      </c>
      <c r="N22" s="476">
        <v>1850</v>
      </c>
      <c r="O22" s="476">
        <v>1869</v>
      </c>
      <c r="P22" s="476">
        <v>1888</v>
      </c>
      <c r="Q22" s="476">
        <v>1908</v>
      </c>
      <c r="R22" s="476">
        <v>1928</v>
      </c>
      <c r="S22" s="476">
        <v>1948</v>
      </c>
      <c r="T22" s="476">
        <v>1968</v>
      </c>
      <c r="U22" s="476">
        <v>1989</v>
      </c>
      <c r="V22" s="476">
        <v>2010</v>
      </c>
      <c r="W22" s="476">
        <v>2031</v>
      </c>
    </row>
    <row r="23" spans="1:23">
      <c r="A23" s="479">
        <v>6667.9</v>
      </c>
      <c r="B23" s="476">
        <v>2</v>
      </c>
      <c r="C23" s="476">
        <v>2</v>
      </c>
      <c r="D23" s="476">
        <v>2</v>
      </c>
      <c r="E23" s="476">
        <v>2</v>
      </c>
      <c r="F23" s="476">
        <v>2</v>
      </c>
      <c r="G23" s="476">
        <v>2</v>
      </c>
      <c r="H23" s="476">
        <v>2</v>
      </c>
      <c r="I23" s="476">
        <v>2</v>
      </c>
      <c r="J23" s="476">
        <v>2</v>
      </c>
      <c r="K23" s="476">
        <v>2</v>
      </c>
      <c r="M23" s="482">
        <v>6850</v>
      </c>
      <c r="N23" s="476">
        <v>2052</v>
      </c>
      <c r="O23" s="476">
        <v>2073</v>
      </c>
      <c r="P23" s="476">
        <v>2095</v>
      </c>
      <c r="Q23" s="476">
        <v>2117</v>
      </c>
      <c r="R23" s="476">
        <v>2139</v>
      </c>
      <c r="S23" s="476">
        <v>2161</v>
      </c>
      <c r="T23" s="476">
        <v>2183</v>
      </c>
      <c r="U23" s="476">
        <v>2206</v>
      </c>
      <c r="V23" s="476">
        <v>2229</v>
      </c>
      <c r="W23" s="476">
        <v>2252</v>
      </c>
    </row>
    <row r="24" spans="1:23">
      <c r="A24" s="479">
        <v>6668</v>
      </c>
      <c r="B24" s="476">
        <v>2</v>
      </c>
      <c r="C24" s="476">
        <v>2</v>
      </c>
      <c r="D24" s="476">
        <v>2</v>
      </c>
      <c r="E24" s="476">
        <v>2</v>
      </c>
      <c r="F24" s="476">
        <v>2</v>
      </c>
      <c r="G24" s="476">
        <v>2</v>
      </c>
      <c r="H24" s="476">
        <v>2</v>
      </c>
      <c r="I24" s="476">
        <v>2</v>
      </c>
      <c r="J24" s="476">
        <v>2</v>
      </c>
      <c r="K24" s="476">
        <v>2</v>
      </c>
      <c r="M24" s="482">
        <v>6860</v>
      </c>
      <c r="N24" s="476">
        <v>2275</v>
      </c>
      <c r="O24" s="476">
        <v>2316</v>
      </c>
      <c r="P24" s="476">
        <v>2357</v>
      </c>
      <c r="Q24" s="476">
        <v>2397</v>
      </c>
      <c r="R24" s="476">
        <v>2437</v>
      </c>
      <c r="S24" s="476">
        <v>2476</v>
      </c>
      <c r="T24" s="476">
        <v>2514</v>
      </c>
      <c r="U24" s="476">
        <v>2552</v>
      </c>
      <c r="V24" s="476">
        <v>2590</v>
      </c>
      <c r="W24" s="476">
        <v>2627</v>
      </c>
    </row>
    <row r="25" spans="1:23">
      <c r="A25" s="479">
        <v>6668.1</v>
      </c>
      <c r="B25" s="476">
        <v>2</v>
      </c>
      <c r="C25" s="476">
        <v>2</v>
      </c>
      <c r="D25" s="476">
        <v>3</v>
      </c>
      <c r="E25" s="476">
        <v>3</v>
      </c>
      <c r="F25" s="476">
        <v>3</v>
      </c>
      <c r="G25" s="476">
        <v>3</v>
      </c>
      <c r="H25" s="476">
        <v>3</v>
      </c>
      <c r="I25" s="476">
        <v>3</v>
      </c>
      <c r="J25" s="476">
        <v>3</v>
      </c>
      <c r="K25" s="476">
        <v>3</v>
      </c>
      <c r="M25" s="482">
        <v>6870</v>
      </c>
      <c r="N25" s="476">
        <v>2663</v>
      </c>
      <c r="O25" s="476">
        <v>2699</v>
      </c>
      <c r="P25" s="476">
        <v>2734</v>
      </c>
      <c r="Q25" s="476">
        <v>2769</v>
      </c>
      <c r="R25" s="476">
        <v>2804</v>
      </c>
      <c r="S25" s="476">
        <v>2838</v>
      </c>
      <c r="T25" s="476">
        <v>2872</v>
      </c>
      <c r="U25" s="476">
        <v>2905</v>
      </c>
      <c r="V25" s="476">
        <v>2938</v>
      </c>
      <c r="W25" s="476">
        <v>2970</v>
      </c>
    </row>
    <row r="26" spans="1:23">
      <c r="A26" s="479">
        <v>6668.2</v>
      </c>
      <c r="B26" s="476">
        <v>3</v>
      </c>
      <c r="C26" s="476">
        <v>3</v>
      </c>
      <c r="D26" s="476">
        <v>3</v>
      </c>
      <c r="E26" s="476">
        <v>3</v>
      </c>
      <c r="F26" s="476">
        <v>3</v>
      </c>
      <c r="G26" s="476">
        <v>3</v>
      </c>
      <c r="H26" s="476">
        <v>3</v>
      </c>
      <c r="I26" s="476">
        <v>3</v>
      </c>
      <c r="J26" s="476">
        <v>3</v>
      </c>
      <c r="K26" s="476">
        <v>3</v>
      </c>
      <c r="M26" s="482">
        <v>6880</v>
      </c>
      <c r="N26" s="476">
        <v>3002</v>
      </c>
      <c r="O26" s="476">
        <v>3044</v>
      </c>
      <c r="P26" s="476">
        <v>3086</v>
      </c>
      <c r="Q26" s="476">
        <v>3126</v>
      </c>
      <c r="R26" s="476">
        <v>3165</v>
      </c>
      <c r="S26" s="476">
        <v>3204</v>
      </c>
      <c r="T26" s="476">
        <v>3242</v>
      </c>
      <c r="U26" s="476">
        <v>3278</v>
      </c>
      <c r="V26" s="476">
        <v>3314</v>
      </c>
      <c r="W26" s="476">
        <v>3350</v>
      </c>
    </row>
    <row r="27" spans="1:23">
      <c r="A27" s="479">
        <v>6668.3</v>
      </c>
      <c r="B27" s="476">
        <v>3</v>
      </c>
      <c r="C27" s="476">
        <v>3</v>
      </c>
      <c r="D27" s="476">
        <v>3</v>
      </c>
      <c r="E27" s="476">
        <v>3</v>
      </c>
      <c r="F27" s="476">
        <v>3</v>
      </c>
      <c r="G27" s="476">
        <v>3</v>
      </c>
      <c r="H27" s="476">
        <v>3</v>
      </c>
      <c r="I27" s="476">
        <v>3</v>
      </c>
      <c r="J27" s="476">
        <v>3</v>
      </c>
      <c r="K27" s="476">
        <v>3</v>
      </c>
      <c r="M27" s="482">
        <v>6890</v>
      </c>
      <c r="N27" s="476">
        <v>3384</v>
      </c>
      <c r="O27" s="476">
        <v>3417</v>
      </c>
      <c r="P27" s="476">
        <v>3450</v>
      </c>
      <c r="Q27" s="476">
        <v>3482</v>
      </c>
      <c r="R27" s="476">
        <v>3513</v>
      </c>
      <c r="S27" s="476">
        <v>3544</v>
      </c>
      <c r="T27" s="476">
        <v>3574</v>
      </c>
      <c r="U27" s="476">
        <v>3603</v>
      </c>
      <c r="V27" s="476">
        <v>3632</v>
      </c>
      <c r="W27" s="476">
        <v>3660</v>
      </c>
    </row>
    <row r="28" spans="1:23">
      <c r="A28" s="479">
        <v>6668.4</v>
      </c>
      <c r="B28" s="476">
        <v>3</v>
      </c>
      <c r="C28" s="476">
        <v>3</v>
      </c>
      <c r="D28" s="476">
        <v>3</v>
      </c>
      <c r="E28" s="476">
        <v>3</v>
      </c>
      <c r="F28" s="476">
        <v>3</v>
      </c>
      <c r="G28" s="476">
        <v>4</v>
      </c>
      <c r="H28" s="476">
        <v>4</v>
      </c>
      <c r="I28" s="476">
        <v>4</v>
      </c>
      <c r="J28" s="476">
        <v>4</v>
      </c>
      <c r="K28" s="476">
        <v>4</v>
      </c>
      <c r="M28" s="482">
        <v>6900</v>
      </c>
      <c r="N28" s="476">
        <v>3687</v>
      </c>
      <c r="O28" s="476">
        <v>3717</v>
      </c>
      <c r="P28" s="476">
        <v>3748</v>
      </c>
      <c r="Q28" s="476">
        <v>3778</v>
      </c>
      <c r="R28" s="476">
        <v>3809</v>
      </c>
      <c r="S28" s="476">
        <v>3840</v>
      </c>
      <c r="T28" s="476">
        <v>3871</v>
      </c>
      <c r="U28" s="476">
        <v>3902</v>
      </c>
      <c r="V28" s="476">
        <v>3934</v>
      </c>
      <c r="W28" s="476">
        <v>3965</v>
      </c>
    </row>
    <row r="29" spans="1:23">
      <c r="A29" s="479">
        <v>6668.5</v>
      </c>
      <c r="B29" s="476">
        <v>4</v>
      </c>
      <c r="C29" s="476">
        <v>4</v>
      </c>
      <c r="D29" s="476">
        <v>4</v>
      </c>
      <c r="E29" s="476">
        <v>4</v>
      </c>
      <c r="F29" s="476">
        <v>4</v>
      </c>
      <c r="G29" s="476">
        <v>4</v>
      </c>
      <c r="H29" s="476">
        <v>4</v>
      </c>
      <c r="I29" s="476">
        <v>4</v>
      </c>
      <c r="J29" s="476">
        <v>4</v>
      </c>
      <c r="K29" s="476">
        <v>4</v>
      </c>
      <c r="M29" s="482">
        <v>6910</v>
      </c>
      <c r="N29" s="476">
        <v>3997</v>
      </c>
      <c r="O29" s="476">
        <v>4029</v>
      </c>
      <c r="P29" s="476">
        <v>4061</v>
      </c>
      <c r="Q29" s="476">
        <v>4093</v>
      </c>
      <c r="R29" s="476">
        <v>4125</v>
      </c>
      <c r="S29" s="476">
        <v>4158</v>
      </c>
      <c r="T29" s="476">
        <v>4191</v>
      </c>
      <c r="U29" s="476">
        <v>4224</v>
      </c>
      <c r="V29" s="476">
        <v>4257</v>
      </c>
      <c r="W29" s="476">
        <v>4290</v>
      </c>
    </row>
    <row r="30" spans="1:23">
      <c r="A30" s="479">
        <v>6668.6</v>
      </c>
      <c r="B30" s="476">
        <v>4</v>
      </c>
      <c r="C30" s="476">
        <v>4</v>
      </c>
      <c r="D30" s="476">
        <v>4</v>
      </c>
      <c r="E30" s="476">
        <v>4</v>
      </c>
      <c r="F30" s="476">
        <v>4</v>
      </c>
      <c r="G30" s="476">
        <v>4</v>
      </c>
      <c r="H30" s="476">
        <v>4</v>
      </c>
      <c r="I30" s="476">
        <v>4</v>
      </c>
      <c r="J30" s="476">
        <v>4</v>
      </c>
      <c r="K30" s="476">
        <v>4</v>
      </c>
      <c r="M30" s="482">
        <v>6920</v>
      </c>
      <c r="N30" s="476">
        <v>4323</v>
      </c>
      <c r="O30" s="476">
        <v>4360</v>
      </c>
      <c r="P30" s="476">
        <v>4397</v>
      </c>
      <c r="Q30" s="476">
        <v>4433</v>
      </c>
      <c r="R30" s="476">
        <v>4469</v>
      </c>
      <c r="S30" s="476">
        <v>4504</v>
      </c>
      <c r="T30" s="476">
        <v>4539</v>
      </c>
      <c r="U30" s="476">
        <v>4573</v>
      </c>
      <c r="V30" s="476">
        <v>4606</v>
      </c>
      <c r="W30" s="476">
        <v>4639</v>
      </c>
    </row>
    <row r="31" spans="1:23">
      <c r="A31" s="479">
        <v>6668.7</v>
      </c>
      <c r="B31" s="476">
        <v>4</v>
      </c>
      <c r="C31" s="476">
        <v>4</v>
      </c>
      <c r="D31" s="476">
        <v>4</v>
      </c>
      <c r="E31" s="476">
        <v>4</v>
      </c>
      <c r="F31" s="476">
        <v>4</v>
      </c>
      <c r="G31" s="476">
        <v>4</v>
      </c>
      <c r="H31" s="476">
        <v>4</v>
      </c>
      <c r="I31" s="476">
        <v>4</v>
      </c>
      <c r="J31" s="476">
        <v>4</v>
      </c>
      <c r="K31" s="476">
        <v>5</v>
      </c>
      <c r="M31" s="482">
        <v>6930</v>
      </c>
      <c r="N31" s="476">
        <v>4672</v>
      </c>
      <c r="O31" s="476">
        <v>4704</v>
      </c>
      <c r="P31" s="476">
        <v>4736</v>
      </c>
      <c r="Q31" s="476">
        <v>4767</v>
      </c>
      <c r="R31" s="476">
        <v>4798</v>
      </c>
      <c r="S31" s="476">
        <v>4829</v>
      </c>
      <c r="T31" s="476">
        <v>4856</v>
      </c>
      <c r="U31" s="476">
        <v>4889</v>
      </c>
      <c r="V31" s="476">
        <v>4918</v>
      </c>
      <c r="W31" s="476">
        <v>4947</v>
      </c>
    </row>
    <row r="32" spans="1:23">
      <c r="A32" s="479">
        <v>6668.8</v>
      </c>
      <c r="B32" s="476">
        <v>5</v>
      </c>
      <c r="C32" s="476">
        <v>5</v>
      </c>
      <c r="D32" s="476">
        <v>5</v>
      </c>
      <c r="E32" s="476">
        <v>5</v>
      </c>
      <c r="F32" s="476">
        <v>5</v>
      </c>
      <c r="G32" s="476">
        <v>5</v>
      </c>
      <c r="H32" s="476">
        <v>5</v>
      </c>
      <c r="I32" s="476">
        <v>5</v>
      </c>
      <c r="J32" s="476">
        <v>5</v>
      </c>
      <c r="K32" s="476">
        <v>5</v>
      </c>
      <c r="M32" s="482">
        <v>6940</v>
      </c>
      <c r="N32" s="476">
        <v>4975</v>
      </c>
      <c r="O32" s="476">
        <v>5006</v>
      </c>
      <c r="P32" s="476">
        <v>5037</v>
      </c>
      <c r="Q32" s="476">
        <v>5068</v>
      </c>
      <c r="R32" s="476">
        <v>5100</v>
      </c>
      <c r="S32" s="476">
        <v>5131</v>
      </c>
      <c r="T32" s="476">
        <v>5164</v>
      </c>
      <c r="U32" s="476">
        <v>5196</v>
      </c>
      <c r="V32" s="476">
        <v>5229</v>
      </c>
      <c r="W32" s="476">
        <v>5262</v>
      </c>
    </row>
    <row r="33" spans="1:11">
      <c r="A33" s="479">
        <v>6668.9</v>
      </c>
      <c r="B33" s="476">
        <v>5</v>
      </c>
      <c r="C33" s="476">
        <v>5</v>
      </c>
      <c r="D33" s="476">
        <v>5</v>
      </c>
      <c r="E33" s="476">
        <v>5</v>
      </c>
      <c r="F33" s="476">
        <v>5</v>
      </c>
      <c r="G33" s="476">
        <v>5</v>
      </c>
      <c r="H33" s="476">
        <v>5</v>
      </c>
      <c r="I33" s="476">
        <v>5</v>
      </c>
      <c r="J33" s="476">
        <v>5</v>
      </c>
      <c r="K33" s="476">
        <v>5</v>
      </c>
    </row>
    <row r="34" spans="1:11">
      <c r="A34" s="479">
        <v>6669</v>
      </c>
      <c r="B34" s="476">
        <v>5</v>
      </c>
      <c r="C34" s="476">
        <v>5</v>
      </c>
      <c r="D34" s="476">
        <v>5</v>
      </c>
      <c r="E34" s="476">
        <v>5</v>
      </c>
      <c r="F34" s="476">
        <v>5</v>
      </c>
      <c r="G34" s="476">
        <v>5</v>
      </c>
      <c r="H34" s="476">
        <v>5</v>
      </c>
      <c r="I34" s="476">
        <v>5</v>
      </c>
      <c r="J34" s="476">
        <v>6</v>
      </c>
      <c r="K34" s="476">
        <v>6</v>
      </c>
    </row>
    <row r="35" spans="1:11">
      <c r="A35" s="479">
        <v>6669.1</v>
      </c>
      <c r="B35" s="476">
        <v>6</v>
      </c>
      <c r="C35" s="476">
        <v>6</v>
      </c>
      <c r="D35" s="476">
        <v>6</v>
      </c>
      <c r="E35" s="476">
        <v>6</v>
      </c>
      <c r="F35" s="476">
        <v>6</v>
      </c>
      <c r="G35" s="476">
        <v>6</v>
      </c>
      <c r="H35" s="476">
        <v>6</v>
      </c>
      <c r="I35" s="476">
        <v>6</v>
      </c>
      <c r="J35" s="476">
        <v>6</v>
      </c>
      <c r="K35" s="476">
        <v>6</v>
      </c>
    </row>
    <row r="36" spans="1:11">
      <c r="A36" s="479">
        <v>6669.2</v>
      </c>
      <c r="B36" s="476">
        <v>6</v>
      </c>
      <c r="C36" s="476">
        <v>6</v>
      </c>
      <c r="D36" s="476">
        <v>6</v>
      </c>
      <c r="E36" s="476">
        <v>6</v>
      </c>
      <c r="F36" s="476">
        <v>6</v>
      </c>
      <c r="G36" s="476">
        <v>6</v>
      </c>
      <c r="H36" s="476">
        <v>6</v>
      </c>
      <c r="I36" s="476">
        <v>6</v>
      </c>
      <c r="J36" s="476">
        <v>7</v>
      </c>
      <c r="K36" s="476">
        <v>7</v>
      </c>
    </row>
    <row r="37" spans="1:11">
      <c r="A37" s="479">
        <v>6669.3</v>
      </c>
      <c r="B37" s="476">
        <v>7</v>
      </c>
      <c r="C37" s="476">
        <v>7</v>
      </c>
      <c r="D37" s="476">
        <v>7</v>
      </c>
      <c r="E37" s="476">
        <v>7</v>
      </c>
      <c r="F37" s="476">
        <v>7</v>
      </c>
      <c r="G37" s="476">
        <v>7</v>
      </c>
      <c r="H37" s="476">
        <v>7</v>
      </c>
      <c r="I37" s="476">
        <v>7</v>
      </c>
      <c r="J37" s="476">
        <v>7</v>
      </c>
      <c r="K37" s="476">
        <v>7</v>
      </c>
    </row>
    <row r="38" spans="1:11">
      <c r="A38" s="479">
        <v>6669.4</v>
      </c>
      <c r="B38" s="476">
        <v>7</v>
      </c>
      <c r="C38" s="476">
        <v>7</v>
      </c>
      <c r="D38" s="476">
        <v>7</v>
      </c>
      <c r="E38" s="476">
        <v>7</v>
      </c>
      <c r="F38" s="476">
        <v>7</v>
      </c>
      <c r="G38" s="476">
        <v>7</v>
      </c>
      <c r="H38" s="476">
        <v>7</v>
      </c>
      <c r="I38" s="476">
        <v>8</v>
      </c>
      <c r="J38" s="476">
        <v>8</v>
      </c>
      <c r="K38" s="476">
        <v>8</v>
      </c>
    </row>
    <row r="39" spans="1:11">
      <c r="A39" s="479">
        <v>6669.5</v>
      </c>
      <c r="B39" s="476">
        <v>8</v>
      </c>
      <c r="C39" s="476">
        <v>8</v>
      </c>
      <c r="D39" s="476">
        <v>8</v>
      </c>
      <c r="E39" s="476">
        <v>8</v>
      </c>
      <c r="F39" s="476">
        <v>8</v>
      </c>
      <c r="G39" s="476">
        <v>8</v>
      </c>
      <c r="H39" s="476">
        <v>8</v>
      </c>
      <c r="I39" s="476">
        <v>8</v>
      </c>
      <c r="J39" s="476">
        <v>8</v>
      </c>
      <c r="K39" s="476">
        <v>8</v>
      </c>
    </row>
    <row r="40" spans="1:11">
      <c r="A40" s="479">
        <v>6669.6</v>
      </c>
      <c r="B40" s="476">
        <v>8</v>
      </c>
      <c r="C40" s="476">
        <v>8</v>
      </c>
      <c r="D40" s="476">
        <v>8</v>
      </c>
      <c r="E40" s="476">
        <v>8</v>
      </c>
      <c r="F40" s="476">
        <v>8</v>
      </c>
      <c r="G40" s="476">
        <v>8</v>
      </c>
      <c r="H40" s="476">
        <v>8</v>
      </c>
      <c r="I40" s="476">
        <v>9</v>
      </c>
      <c r="J40" s="476">
        <v>9</v>
      </c>
      <c r="K40" s="476">
        <v>9</v>
      </c>
    </row>
    <row r="41" spans="1:11">
      <c r="A41" s="479">
        <v>6669.7</v>
      </c>
      <c r="B41" s="476">
        <v>9</v>
      </c>
      <c r="C41" s="476">
        <v>9</v>
      </c>
      <c r="D41" s="476">
        <v>9</v>
      </c>
      <c r="E41" s="476">
        <v>9</v>
      </c>
      <c r="F41" s="476">
        <v>9</v>
      </c>
      <c r="G41" s="476">
        <v>9</v>
      </c>
      <c r="H41" s="476">
        <v>9</v>
      </c>
      <c r="I41" s="476">
        <v>9</v>
      </c>
      <c r="J41" s="476">
        <v>9</v>
      </c>
      <c r="K41" s="476">
        <v>9</v>
      </c>
    </row>
    <row r="42" spans="1:11">
      <c r="A42" s="479">
        <v>6669.8</v>
      </c>
      <c r="B42" s="476">
        <v>9</v>
      </c>
      <c r="C42" s="476">
        <v>9</v>
      </c>
      <c r="D42" s="476">
        <v>9</v>
      </c>
      <c r="E42" s="476">
        <v>9</v>
      </c>
      <c r="F42" s="476">
        <v>9</v>
      </c>
      <c r="G42" s="476">
        <v>9</v>
      </c>
      <c r="H42" s="476">
        <v>9</v>
      </c>
      <c r="I42" s="476">
        <v>10</v>
      </c>
      <c r="J42" s="476">
        <v>10</v>
      </c>
      <c r="K42" s="476">
        <v>10</v>
      </c>
    </row>
    <row r="43" spans="1:11">
      <c r="A43" s="479">
        <v>6669.9</v>
      </c>
      <c r="B43" s="476">
        <v>10</v>
      </c>
      <c r="C43" s="476">
        <v>10</v>
      </c>
      <c r="D43" s="476">
        <v>10</v>
      </c>
      <c r="E43" s="476">
        <v>10</v>
      </c>
      <c r="F43" s="476">
        <v>10</v>
      </c>
      <c r="G43" s="476">
        <v>10</v>
      </c>
      <c r="H43" s="476">
        <v>10</v>
      </c>
      <c r="I43" s="476">
        <v>10</v>
      </c>
      <c r="J43" s="476">
        <v>10</v>
      </c>
      <c r="K43" s="476">
        <v>10</v>
      </c>
    </row>
    <row r="44" spans="1:11">
      <c r="A44" s="479">
        <v>6670</v>
      </c>
      <c r="B44" s="476">
        <v>10</v>
      </c>
      <c r="C44" s="476">
        <v>10</v>
      </c>
      <c r="D44" s="476">
        <v>10</v>
      </c>
      <c r="E44" s="476">
        <v>10</v>
      </c>
      <c r="F44" s="476">
        <v>10</v>
      </c>
      <c r="G44" s="476">
        <v>11</v>
      </c>
      <c r="H44" s="476">
        <v>11</v>
      </c>
      <c r="I44" s="476">
        <v>11</v>
      </c>
      <c r="J44" s="476">
        <v>11</v>
      </c>
      <c r="K44" s="476">
        <v>11</v>
      </c>
    </row>
    <row r="45" spans="1:11">
      <c r="A45" s="479">
        <v>6670.1</v>
      </c>
      <c r="B45" s="476">
        <v>11</v>
      </c>
      <c r="C45" s="476">
        <v>11</v>
      </c>
      <c r="D45" s="476">
        <v>11</v>
      </c>
      <c r="E45" s="476">
        <v>11</v>
      </c>
      <c r="F45" s="476">
        <v>11</v>
      </c>
      <c r="G45" s="476">
        <v>11</v>
      </c>
      <c r="H45" s="476">
        <v>11</v>
      </c>
      <c r="I45" s="476">
        <v>11</v>
      </c>
      <c r="J45" s="476">
        <v>11</v>
      </c>
      <c r="K45" s="476">
        <v>12</v>
      </c>
    </row>
    <row r="46" spans="1:11">
      <c r="A46" s="479">
        <v>6670.2</v>
      </c>
      <c r="B46" s="476">
        <v>12</v>
      </c>
      <c r="C46" s="476">
        <v>12</v>
      </c>
      <c r="D46" s="476">
        <v>12</v>
      </c>
      <c r="E46" s="476">
        <v>12</v>
      </c>
      <c r="F46" s="476">
        <v>12</v>
      </c>
      <c r="G46" s="476">
        <v>12</v>
      </c>
      <c r="H46" s="476">
        <v>12</v>
      </c>
      <c r="I46" s="476">
        <v>12</v>
      </c>
      <c r="J46" s="476">
        <v>12</v>
      </c>
      <c r="K46" s="476">
        <v>12</v>
      </c>
    </row>
    <row r="47" spans="1:11">
      <c r="A47" s="479">
        <v>6670.3</v>
      </c>
      <c r="B47" s="476">
        <v>12</v>
      </c>
      <c r="C47" s="476">
        <v>12</v>
      </c>
      <c r="D47" s="476">
        <v>13</v>
      </c>
      <c r="E47" s="476">
        <v>13</v>
      </c>
      <c r="F47" s="476">
        <v>13</v>
      </c>
      <c r="G47" s="476">
        <v>13</v>
      </c>
      <c r="H47" s="476">
        <v>13</v>
      </c>
      <c r="I47" s="476">
        <v>13</v>
      </c>
      <c r="J47" s="476">
        <v>13</v>
      </c>
      <c r="K47" s="476">
        <v>13</v>
      </c>
    </row>
    <row r="48" spans="1:11">
      <c r="A48" s="479">
        <v>6670.4</v>
      </c>
      <c r="B48" s="476">
        <v>13</v>
      </c>
      <c r="C48" s="476">
        <v>13</v>
      </c>
      <c r="D48" s="476">
        <v>13</v>
      </c>
      <c r="E48" s="476">
        <v>13</v>
      </c>
      <c r="F48" s="476">
        <v>13</v>
      </c>
      <c r="G48" s="476">
        <v>13</v>
      </c>
      <c r="H48" s="476">
        <v>14</v>
      </c>
      <c r="I48" s="476">
        <v>14</v>
      </c>
      <c r="J48" s="476">
        <v>14</v>
      </c>
      <c r="K48" s="476">
        <v>14</v>
      </c>
    </row>
    <row r="49" spans="1:11">
      <c r="A49" s="479">
        <v>6670.5</v>
      </c>
      <c r="B49" s="476">
        <v>14</v>
      </c>
      <c r="C49" s="476">
        <v>14</v>
      </c>
      <c r="D49" s="476">
        <v>14</v>
      </c>
      <c r="E49" s="476">
        <v>14</v>
      </c>
      <c r="F49" s="476">
        <v>14</v>
      </c>
      <c r="G49" s="476">
        <v>14</v>
      </c>
      <c r="H49" s="476">
        <v>14</v>
      </c>
      <c r="I49" s="476">
        <v>14</v>
      </c>
      <c r="J49" s="476">
        <v>14</v>
      </c>
      <c r="K49" s="476">
        <v>14</v>
      </c>
    </row>
    <row r="50" spans="1:11">
      <c r="A50" s="479">
        <v>6670.6</v>
      </c>
      <c r="B50" s="476">
        <v>15</v>
      </c>
      <c r="C50" s="476">
        <v>15</v>
      </c>
      <c r="D50" s="476">
        <v>15</v>
      </c>
      <c r="E50" s="476">
        <v>15</v>
      </c>
      <c r="F50" s="476">
        <v>15</v>
      </c>
      <c r="G50" s="476">
        <v>15</v>
      </c>
      <c r="H50" s="476">
        <v>15</v>
      </c>
      <c r="I50" s="476">
        <v>15</v>
      </c>
      <c r="J50" s="476">
        <v>15</v>
      </c>
      <c r="K50" s="476">
        <v>15</v>
      </c>
    </row>
    <row r="51" spans="1:11">
      <c r="A51" s="479">
        <v>6670.7</v>
      </c>
      <c r="B51" s="476">
        <v>15</v>
      </c>
      <c r="C51" s="476">
        <v>15</v>
      </c>
      <c r="D51" s="476">
        <v>15</v>
      </c>
      <c r="E51" s="476">
        <v>16</v>
      </c>
      <c r="F51" s="476">
        <v>16</v>
      </c>
      <c r="G51" s="476">
        <v>16</v>
      </c>
      <c r="H51" s="476">
        <v>16</v>
      </c>
      <c r="I51" s="476">
        <v>16</v>
      </c>
      <c r="J51" s="476">
        <v>16</v>
      </c>
      <c r="K51" s="476">
        <v>16</v>
      </c>
    </row>
    <row r="52" spans="1:11">
      <c r="A52" s="479">
        <v>6670.8</v>
      </c>
      <c r="B52" s="476">
        <v>16</v>
      </c>
      <c r="C52" s="476">
        <v>16</v>
      </c>
      <c r="D52" s="476">
        <v>16</v>
      </c>
      <c r="E52" s="476">
        <v>16</v>
      </c>
      <c r="F52" s="476">
        <v>16</v>
      </c>
      <c r="G52" s="476">
        <v>16</v>
      </c>
      <c r="H52" s="476">
        <v>16</v>
      </c>
      <c r="I52" s="476">
        <v>17</v>
      </c>
      <c r="J52" s="476">
        <v>17</v>
      </c>
      <c r="K52" s="476">
        <v>17</v>
      </c>
    </row>
    <row r="53" spans="1:11">
      <c r="A53" s="479">
        <v>6670.9</v>
      </c>
      <c r="B53" s="476">
        <v>17</v>
      </c>
      <c r="C53" s="476">
        <v>17</v>
      </c>
      <c r="D53" s="476">
        <v>17</v>
      </c>
      <c r="E53" s="476">
        <v>17</v>
      </c>
      <c r="F53" s="476">
        <v>17</v>
      </c>
      <c r="G53" s="476">
        <v>17</v>
      </c>
      <c r="H53" s="476">
        <v>17</v>
      </c>
      <c r="I53" s="476">
        <v>17</v>
      </c>
      <c r="J53" s="476">
        <v>17</v>
      </c>
      <c r="K53" s="476">
        <v>17</v>
      </c>
    </row>
    <row r="54" spans="1:11">
      <c r="A54" s="479">
        <v>6671</v>
      </c>
      <c r="B54" s="476">
        <v>17</v>
      </c>
      <c r="C54" s="476">
        <v>18</v>
      </c>
      <c r="D54" s="476">
        <v>18</v>
      </c>
      <c r="E54" s="476">
        <v>18</v>
      </c>
      <c r="F54" s="476">
        <v>18</v>
      </c>
      <c r="G54" s="476">
        <v>18</v>
      </c>
      <c r="H54" s="476">
        <v>18</v>
      </c>
      <c r="I54" s="476">
        <v>18</v>
      </c>
      <c r="J54" s="476">
        <v>18</v>
      </c>
      <c r="K54" s="476">
        <v>18</v>
      </c>
    </row>
    <row r="55" spans="1:11">
      <c r="A55" s="479">
        <v>6671.1</v>
      </c>
      <c r="B55" s="476">
        <v>18</v>
      </c>
      <c r="C55" s="476">
        <v>19</v>
      </c>
      <c r="D55" s="476">
        <v>19</v>
      </c>
      <c r="E55" s="476">
        <v>19</v>
      </c>
      <c r="F55" s="476">
        <v>19</v>
      </c>
      <c r="G55" s="476">
        <v>19</v>
      </c>
      <c r="H55" s="476">
        <v>19</v>
      </c>
      <c r="I55" s="476">
        <v>19</v>
      </c>
      <c r="J55" s="476">
        <v>19</v>
      </c>
      <c r="K55" s="476">
        <v>19</v>
      </c>
    </row>
    <row r="56" spans="1:11">
      <c r="A56" s="479">
        <v>6671.2</v>
      </c>
      <c r="B56" s="476">
        <v>19</v>
      </c>
      <c r="C56" s="476">
        <v>20</v>
      </c>
      <c r="D56" s="476">
        <v>20</v>
      </c>
      <c r="E56" s="476">
        <v>20</v>
      </c>
      <c r="F56" s="476">
        <v>20</v>
      </c>
      <c r="G56" s="476">
        <v>20</v>
      </c>
      <c r="H56" s="476">
        <v>20</v>
      </c>
      <c r="I56" s="476">
        <v>20</v>
      </c>
      <c r="J56" s="476">
        <v>20</v>
      </c>
      <c r="K56" s="476">
        <v>20</v>
      </c>
    </row>
    <row r="57" spans="1:11">
      <c r="A57" s="479">
        <v>6671.3</v>
      </c>
      <c r="B57" s="476">
        <v>20</v>
      </c>
      <c r="C57" s="476">
        <v>21</v>
      </c>
      <c r="D57" s="476">
        <v>21</v>
      </c>
      <c r="E57" s="476">
        <v>21</v>
      </c>
      <c r="F57" s="476">
        <v>21</v>
      </c>
      <c r="G57" s="476">
        <v>21</v>
      </c>
      <c r="H57" s="476">
        <v>21</v>
      </c>
      <c r="I57" s="476">
        <v>21</v>
      </c>
      <c r="J57" s="476">
        <v>21</v>
      </c>
      <c r="K57" s="476">
        <v>21</v>
      </c>
    </row>
    <row r="58" spans="1:11">
      <c r="A58" s="479">
        <v>6671.4</v>
      </c>
      <c r="B58" s="476">
        <v>21</v>
      </c>
      <c r="C58" s="476">
        <v>21</v>
      </c>
      <c r="D58" s="476">
        <v>22</v>
      </c>
      <c r="E58" s="476">
        <v>22</v>
      </c>
      <c r="F58" s="476">
        <v>22</v>
      </c>
      <c r="G58" s="476">
        <v>22</v>
      </c>
      <c r="H58" s="476">
        <v>22</v>
      </c>
      <c r="I58" s="476">
        <v>22</v>
      </c>
      <c r="J58" s="476">
        <v>22</v>
      </c>
      <c r="K58" s="476">
        <v>22</v>
      </c>
    </row>
    <row r="59" spans="1:11">
      <c r="A59" s="479">
        <v>6671.5</v>
      </c>
      <c r="B59" s="476">
        <v>22</v>
      </c>
      <c r="C59" s="476">
        <v>22</v>
      </c>
      <c r="D59" s="476">
        <v>23</v>
      </c>
      <c r="E59" s="476">
        <v>23</v>
      </c>
      <c r="F59" s="476">
        <v>23</v>
      </c>
      <c r="G59" s="476">
        <v>23</v>
      </c>
      <c r="H59" s="476">
        <v>23</v>
      </c>
      <c r="I59" s="476">
        <v>23</v>
      </c>
      <c r="J59" s="476">
        <v>23</v>
      </c>
      <c r="K59" s="476">
        <v>23</v>
      </c>
    </row>
    <row r="60" spans="1:11">
      <c r="A60" s="479">
        <v>6671.6</v>
      </c>
      <c r="B60" s="476">
        <v>23</v>
      </c>
      <c r="C60" s="476">
        <v>23</v>
      </c>
      <c r="D60" s="476">
        <v>24</v>
      </c>
      <c r="E60" s="476">
        <v>24</v>
      </c>
      <c r="F60" s="476">
        <v>24</v>
      </c>
      <c r="G60" s="476">
        <v>24</v>
      </c>
      <c r="H60" s="476">
        <v>24</v>
      </c>
      <c r="I60" s="476">
        <v>24</v>
      </c>
      <c r="J60" s="476">
        <v>24</v>
      </c>
      <c r="K60" s="476">
        <v>24</v>
      </c>
    </row>
    <row r="61" spans="1:11">
      <c r="A61" s="479">
        <v>6671.7</v>
      </c>
      <c r="B61" s="476">
        <v>24</v>
      </c>
      <c r="C61" s="476">
        <v>24</v>
      </c>
      <c r="D61" s="476">
        <v>25</v>
      </c>
      <c r="E61" s="476">
        <v>25</v>
      </c>
      <c r="F61" s="476">
        <v>25</v>
      </c>
      <c r="G61" s="476">
        <v>25</v>
      </c>
      <c r="H61" s="476">
        <v>25</v>
      </c>
      <c r="I61" s="476">
        <v>25</v>
      </c>
      <c r="J61" s="476">
        <v>25</v>
      </c>
      <c r="K61" s="476">
        <v>25</v>
      </c>
    </row>
    <row r="62" spans="1:11">
      <c r="A62" s="479">
        <v>6671.8</v>
      </c>
      <c r="B62" s="476">
        <v>25</v>
      </c>
      <c r="C62" s="476">
        <v>25</v>
      </c>
      <c r="D62" s="476">
        <v>25</v>
      </c>
      <c r="E62" s="476">
        <v>26</v>
      </c>
      <c r="F62" s="476">
        <v>26</v>
      </c>
      <c r="G62" s="476">
        <v>26</v>
      </c>
      <c r="H62" s="476">
        <v>26</v>
      </c>
      <c r="I62" s="476">
        <v>26</v>
      </c>
      <c r="J62" s="476">
        <v>26</v>
      </c>
      <c r="K62" s="476">
        <v>26</v>
      </c>
    </row>
    <row r="63" spans="1:11">
      <c r="A63" s="479">
        <v>6671.9</v>
      </c>
      <c r="B63" s="476">
        <v>26</v>
      </c>
      <c r="C63" s="476">
        <v>26</v>
      </c>
      <c r="D63" s="476">
        <v>26</v>
      </c>
      <c r="E63" s="476">
        <v>27</v>
      </c>
      <c r="F63" s="476">
        <v>27</v>
      </c>
      <c r="G63" s="476">
        <v>27</v>
      </c>
      <c r="H63" s="476">
        <v>27</v>
      </c>
      <c r="I63" s="476">
        <v>27</v>
      </c>
      <c r="J63" s="476">
        <v>27</v>
      </c>
      <c r="K63" s="476">
        <v>27</v>
      </c>
    </row>
    <row r="64" spans="1:11">
      <c r="A64" s="479">
        <v>6672</v>
      </c>
      <c r="B64" s="476">
        <v>27</v>
      </c>
      <c r="C64" s="476">
        <v>27</v>
      </c>
      <c r="D64" s="476">
        <v>27</v>
      </c>
      <c r="E64" s="476">
        <v>28</v>
      </c>
      <c r="F64" s="476">
        <v>28</v>
      </c>
      <c r="G64" s="476">
        <v>28</v>
      </c>
      <c r="H64" s="476">
        <v>28</v>
      </c>
      <c r="I64" s="476">
        <v>28</v>
      </c>
      <c r="J64" s="476">
        <v>28</v>
      </c>
      <c r="K64" s="476">
        <v>28</v>
      </c>
    </row>
    <row r="65" spans="1:11">
      <c r="A65" s="479">
        <v>6672.1</v>
      </c>
      <c r="B65" s="476">
        <v>28</v>
      </c>
      <c r="C65" s="476">
        <v>29</v>
      </c>
      <c r="D65" s="476">
        <v>29</v>
      </c>
      <c r="E65" s="476">
        <v>29</v>
      </c>
      <c r="F65" s="476">
        <v>29</v>
      </c>
      <c r="G65" s="476">
        <v>29</v>
      </c>
      <c r="H65" s="476">
        <v>29</v>
      </c>
      <c r="I65" s="476">
        <v>29</v>
      </c>
      <c r="J65" s="476">
        <v>29</v>
      </c>
      <c r="K65" s="476">
        <v>30</v>
      </c>
    </row>
    <row r="66" spans="1:11">
      <c r="A66" s="479">
        <v>6672.2</v>
      </c>
      <c r="B66" s="476">
        <v>30</v>
      </c>
      <c r="C66" s="476">
        <v>30</v>
      </c>
      <c r="D66" s="476">
        <v>30</v>
      </c>
      <c r="E66" s="476">
        <v>30</v>
      </c>
      <c r="F66" s="476">
        <v>30</v>
      </c>
      <c r="G66" s="476">
        <v>30</v>
      </c>
      <c r="H66" s="476">
        <v>30</v>
      </c>
      <c r="I66" s="476">
        <v>31</v>
      </c>
      <c r="J66" s="476">
        <v>31</v>
      </c>
      <c r="K66" s="476">
        <v>31</v>
      </c>
    </row>
    <row r="67" spans="1:11">
      <c r="A67" s="479">
        <v>6672.3</v>
      </c>
      <c r="B67" s="476">
        <v>31</v>
      </c>
      <c r="C67" s="476">
        <v>31</v>
      </c>
      <c r="D67" s="476">
        <v>31</v>
      </c>
      <c r="E67" s="476">
        <v>31</v>
      </c>
      <c r="F67" s="476">
        <v>31</v>
      </c>
      <c r="G67" s="476">
        <v>32</v>
      </c>
      <c r="H67" s="476">
        <v>32</v>
      </c>
      <c r="I67" s="476">
        <v>32</v>
      </c>
      <c r="J67" s="476">
        <v>32</v>
      </c>
      <c r="K67" s="476">
        <v>32</v>
      </c>
    </row>
    <row r="68" spans="1:11">
      <c r="A68" s="479">
        <v>6672.4</v>
      </c>
      <c r="B68" s="476">
        <v>32</v>
      </c>
      <c r="C68" s="476">
        <v>32</v>
      </c>
      <c r="D68" s="476">
        <v>32</v>
      </c>
      <c r="E68" s="476">
        <v>33</v>
      </c>
      <c r="F68" s="476">
        <v>33</v>
      </c>
      <c r="G68" s="476">
        <v>33</v>
      </c>
      <c r="H68" s="476">
        <v>33</v>
      </c>
      <c r="I68" s="476">
        <v>33</v>
      </c>
      <c r="J68" s="476">
        <v>33</v>
      </c>
      <c r="K68" s="476">
        <v>33</v>
      </c>
    </row>
    <row r="69" spans="1:11">
      <c r="A69" s="479">
        <v>6672.5</v>
      </c>
      <c r="B69" s="476">
        <v>33</v>
      </c>
      <c r="C69" s="476">
        <v>34</v>
      </c>
      <c r="D69" s="476">
        <v>34</v>
      </c>
      <c r="E69" s="476">
        <v>34</v>
      </c>
      <c r="F69" s="476">
        <v>34</v>
      </c>
      <c r="G69" s="476">
        <v>34</v>
      </c>
      <c r="H69" s="476">
        <v>34</v>
      </c>
      <c r="I69" s="476">
        <v>34</v>
      </c>
      <c r="J69" s="476">
        <v>34</v>
      </c>
      <c r="K69" s="476">
        <v>35</v>
      </c>
    </row>
    <row r="70" spans="1:11">
      <c r="A70" s="479">
        <v>6672.6</v>
      </c>
      <c r="B70" s="476">
        <v>35</v>
      </c>
      <c r="C70" s="476">
        <v>35</v>
      </c>
      <c r="D70" s="476">
        <v>35</v>
      </c>
      <c r="E70" s="476">
        <v>35</v>
      </c>
      <c r="F70" s="476">
        <v>35</v>
      </c>
      <c r="G70" s="476">
        <v>35</v>
      </c>
      <c r="H70" s="476">
        <v>35</v>
      </c>
      <c r="I70" s="476">
        <v>36</v>
      </c>
      <c r="J70" s="476">
        <v>36</v>
      </c>
      <c r="K70" s="476">
        <v>36</v>
      </c>
    </row>
    <row r="71" spans="1:11">
      <c r="A71" s="479">
        <v>6672.7</v>
      </c>
      <c r="B71" s="476">
        <v>36</v>
      </c>
      <c r="C71" s="476">
        <v>36</v>
      </c>
      <c r="D71" s="476">
        <v>36</v>
      </c>
      <c r="E71" s="476">
        <v>36</v>
      </c>
      <c r="F71" s="476">
        <v>36</v>
      </c>
      <c r="G71" s="476">
        <v>37</v>
      </c>
      <c r="H71" s="476">
        <v>37</v>
      </c>
      <c r="I71" s="476">
        <v>37</v>
      </c>
      <c r="J71" s="476">
        <v>37</v>
      </c>
      <c r="K71" s="476">
        <v>37</v>
      </c>
    </row>
    <row r="72" spans="1:11">
      <c r="A72" s="479">
        <v>6672.8</v>
      </c>
      <c r="B72" s="476">
        <v>37</v>
      </c>
      <c r="C72" s="476">
        <v>37</v>
      </c>
      <c r="D72" s="476">
        <v>37</v>
      </c>
      <c r="E72" s="476">
        <v>38</v>
      </c>
      <c r="F72" s="476">
        <v>38</v>
      </c>
      <c r="G72" s="476">
        <v>38</v>
      </c>
      <c r="H72" s="476">
        <v>38</v>
      </c>
      <c r="I72" s="476">
        <v>38</v>
      </c>
      <c r="J72" s="476">
        <v>38</v>
      </c>
      <c r="K72" s="476">
        <v>38</v>
      </c>
    </row>
    <row r="73" spans="1:11">
      <c r="A73" s="479">
        <v>6672.9</v>
      </c>
      <c r="B73" s="476">
        <v>38</v>
      </c>
      <c r="C73" s="476">
        <v>39</v>
      </c>
      <c r="D73" s="476">
        <v>39</v>
      </c>
      <c r="E73" s="476">
        <v>39</v>
      </c>
      <c r="F73" s="476">
        <v>39</v>
      </c>
      <c r="G73" s="476">
        <v>39</v>
      </c>
      <c r="H73" s="476">
        <v>39</v>
      </c>
      <c r="I73" s="476">
        <v>39</v>
      </c>
      <c r="J73" s="476">
        <v>39</v>
      </c>
      <c r="K73" s="476">
        <v>40</v>
      </c>
    </row>
    <row r="74" spans="1:11">
      <c r="A74" s="479">
        <v>6673</v>
      </c>
      <c r="B74" s="476">
        <v>40</v>
      </c>
      <c r="C74" s="476">
        <v>40</v>
      </c>
      <c r="D74" s="476">
        <v>40</v>
      </c>
      <c r="E74" s="476">
        <v>40</v>
      </c>
      <c r="F74" s="476">
        <v>40</v>
      </c>
      <c r="G74" s="476">
        <v>40</v>
      </c>
      <c r="H74" s="476">
        <v>41</v>
      </c>
      <c r="I74" s="476">
        <v>41</v>
      </c>
      <c r="J74" s="476">
        <v>41</v>
      </c>
      <c r="K74" s="476">
        <v>41</v>
      </c>
    </row>
    <row r="75" spans="1:11">
      <c r="A75" s="479">
        <v>6673.1</v>
      </c>
      <c r="B75" s="476">
        <v>41</v>
      </c>
      <c r="C75" s="476">
        <v>41</v>
      </c>
      <c r="D75" s="476">
        <v>42</v>
      </c>
      <c r="E75" s="476">
        <v>42</v>
      </c>
      <c r="F75" s="476">
        <v>42</v>
      </c>
      <c r="G75" s="476">
        <v>42</v>
      </c>
      <c r="H75" s="476">
        <v>42</v>
      </c>
      <c r="I75" s="476">
        <v>42</v>
      </c>
      <c r="J75" s="476">
        <v>42</v>
      </c>
      <c r="K75" s="476">
        <v>43</v>
      </c>
    </row>
    <row r="76" spans="1:11">
      <c r="A76" s="479">
        <v>6673.2</v>
      </c>
      <c r="B76" s="476">
        <v>43</v>
      </c>
      <c r="C76" s="476">
        <v>43</v>
      </c>
      <c r="D76" s="476">
        <v>43</v>
      </c>
      <c r="E76" s="476">
        <v>43</v>
      </c>
      <c r="F76" s="476">
        <v>43</v>
      </c>
      <c r="G76" s="476">
        <v>44</v>
      </c>
      <c r="H76" s="476">
        <v>44</v>
      </c>
      <c r="I76" s="476">
        <v>44</v>
      </c>
      <c r="J76" s="476">
        <v>44</v>
      </c>
      <c r="K76" s="476">
        <v>44</v>
      </c>
    </row>
    <row r="77" spans="1:11">
      <c r="A77" s="479">
        <v>6673.3</v>
      </c>
      <c r="B77" s="476">
        <v>44</v>
      </c>
      <c r="C77" s="476">
        <v>44</v>
      </c>
      <c r="D77" s="476">
        <v>45</v>
      </c>
      <c r="E77" s="476">
        <v>45</v>
      </c>
      <c r="F77" s="476">
        <v>45</v>
      </c>
      <c r="G77" s="476">
        <v>45</v>
      </c>
      <c r="H77" s="476">
        <v>45</v>
      </c>
      <c r="I77" s="476">
        <v>45</v>
      </c>
      <c r="J77" s="476">
        <v>45</v>
      </c>
      <c r="K77" s="476">
        <v>46</v>
      </c>
    </row>
    <row r="78" spans="1:11">
      <c r="A78" s="479">
        <v>6673.4</v>
      </c>
      <c r="B78" s="476">
        <v>46</v>
      </c>
      <c r="C78" s="476">
        <v>46</v>
      </c>
      <c r="D78" s="476">
        <v>46</v>
      </c>
      <c r="E78" s="476">
        <v>46</v>
      </c>
      <c r="F78" s="476">
        <v>46</v>
      </c>
      <c r="G78" s="476">
        <v>47</v>
      </c>
      <c r="H78" s="476">
        <v>47</v>
      </c>
      <c r="I78" s="476">
        <v>47</v>
      </c>
      <c r="J78" s="476">
        <v>47</v>
      </c>
      <c r="K78" s="476">
        <v>47</v>
      </c>
    </row>
    <row r="79" spans="1:11">
      <c r="A79" s="479">
        <v>6673.5</v>
      </c>
      <c r="B79" s="476">
        <v>47</v>
      </c>
      <c r="C79" s="476">
        <v>47</v>
      </c>
      <c r="D79" s="476">
        <v>48</v>
      </c>
      <c r="E79" s="476">
        <v>48</v>
      </c>
      <c r="F79" s="476">
        <v>48</v>
      </c>
      <c r="G79" s="476">
        <v>48</v>
      </c>
      <c r="H79" s="476">
        <v>48</v>
      </c>
      <c r="I79" s="476">
        <v>48</v>
      </c>
      <c r="J79" s="476">
        <v>49</v>
      </c>
      <c r="K79" s="476">
        <v>49</v>
      </c>
    </row>
    <row r="80" spans="1:11">
      <c r="A80" s="479">
        <v>6673.6</v>
      </c>
      <c r="B80" s="476">
        <v>49</v>
      </c>
      <c r="C80" s="476">
        <v>49</v>
      </c>
      <c r="D80" s="476">
        <v>49</v>
      </c>
      <c r="E80" s="476">
        <v>49</v>
      </c>
      <c r="F80" s="476">
        <v>49</v>
      </c>
      <c r="G80" s="476">
        <v>50</v>
      </c>
      <c r="H80" s="476">
        <v>50</v>
      </c>
      <c r="I80" s="476">
        <v>50</v>
      </c>
      <c r="J80" s="476">
        <v>50</v>
      </c>
      <c r="K80" s="476">
        <v>50</v>
      </c>
    </row>
    <row r="81" spans="1:11">
      <c r="A81" s="479">
        <v>6673.7</v>
      </c>
      <c r="B81" s="476">
        <v>50</v>
      </c>
      <c r="C81" s="476">
        <v>51</v>
      </c>
      <c r="D81" s="476">
        <v>51</v>
      </c>
      <c r="E81" s="476">
        <v>51</v>
      </c>
      <c r="F81" s="476">
        <v>51</v>
      </c>
      <c r="G81" s="476">
        <v>51</v>
      </c>
      <c r="H81" s="476">
        <v>51</v>
      </c>
      <c r="I81" s="476">
        <v>51</v>
      </c>
      <c r="J81" s="476">
        <v>52</v>
      </c>
      <c r="K81" s="476">
        <v>52</v>
      </c>
    </row>
    <row r="82" spans="1:11">
      <c r="A82" s="479">
        <v>6673.8</v>
      </c>
      <c r="B82" s="476">
        <v>52</v>
      </c>
      <c r="C82" s="476">
        <v>52</v>
      </c>
      <c r="D82" s="476">
        <v>52</v>
      </c>
      <c r="E82" s="476">
        <v>52</v>
      </c>
      <c r="F82" s="476">
        <v>53</v>
      </c>
      <c r="G82" s="476">
        <v>53</v>
      </c>
      <c r="H82" s="476">
        <v>53</v>
      </c>
      <c r="I82" s="476">
        <v>53</v>
      </c>
      <c r="J82" s="476">
        <v>53</v>
      </c>
      <c r="K82" s="476">
        <v>53</v>
      </c>
    </row>
    <row r="83" spans="1:11">
      <c r="A83" s="479">
        <v>6673.9</v>
      </c>
      <c r="B83" s="476">
        <v>53</v>
      </c>
      <c r="C83" s="476">
        <v>54</v>
      </c>
      <c r="D83" s="476">
        <v>54</v>
      </c>
      <c r="E83" s="476">
        <v>54</v>
      </c>
      <c r="F83" s="476">
        <v>54</v>
      </c>
      <c r="G83" s="476">
        <v>54</v>
      </c>
      <c r="H83" s="476">
        <v>54</v>
      </c>
      <c r="I83" s="476">
        <v>55</v>
      </c>
      <c r="J83" s="476">
        <v>55</v>
      </c>
      <c r="K83" s="476">
        <v>55</v>
      </c>
    </row>
    <row r="84" spans="1:11">
      <c r="A84" s="479">
        <v>6674</v>
      </c>
      <c r="B84" s="476">
        <v>55</v>
      </c>
      <c r="C84" s="476">
        <v>55</v>
      </c>
      <c r="D84" s="476">
        <v>55</v>
      </c>
      <c r="E84" s="476">
        <v>55</v>
      </c>
      <c r="F84" s="476">
        <v>56</v>
      </c>
      <c r="G84" s="476">
        <v>56</v>
      </c>
      <c r="H84" s="476">
        <v>56</v>
      </c>
      <c r="I84" s="476">
        <v>56</v>
      </c>
      <c r="J84" s="476">
        <v>56</v>
      </c>
      <c r="K84" s="476">
        <v>57</v>
      </c>
    </row>
    <row r="85" spans="1:11">
      <c r="A85" s="479">
        <v>6674.1</v>
      </c>
      <c r="B85" s="476">
        <v>57</v>
      </c>
      <c r="C85" s="476">
        <v>57</v>
      </c>
      <c r="D85" s="476">
        <v>57</v>
      </c>
      <c r="E85" s="476">
        <v>57</v>
      </c>
      <c r="F85" s="476">
        <v>57</v>
      </c>
      <c r="G85" s="476">
        <v>58</v>
      </c>
      <c r="H85" s="476">
        <v>58</v>
      </c>
      <c r="I85" s="476">
        <v>58</v>
      </c>
      <c r="J85" s="476">
        <v>58</v>
      </c>
      <c r="K85" s="476">
        <v>58</v>
      </c>
    </row>
    <row r="86" spans="1:11">
      <c r="A86" s="479">
        <v>6674.2</v>
      </c>
      <c r="B86" s="476">
        <v>59</v>
      </c>
      <c r="C86" s="476">
        <v>59</v>
      </c>
      <c r="D86" s="476">
        <v>59</v>
      </c>
      <c r="E86" s="476">
        <v>59</v>
      </c>
      <c r="F86" s="476">
        <v>59</v>
      </c>
      <c r="G86" s="476">
        <v>59</v>
      </c>
      <c r="H86" s="476">
        <v>60</v>
      </c>
      <c r="I86" s="476">
        <v>60</v>
      </c>
      <c r="J86" s="476">
        <v>60</v>
      </c>
      <c r="K86" s="476">
        <v>60</v>
      </c>
    </row>
    <row r="87" spans="1:11">
      <c r="A87" s="479">
        <v>6674.3</v>
      </c>
      <c r="B87" s="476">
        <v>61</v>
      </c>
      <c r="C87" s="476">
        <v>61</v>
      </c>
      <c r="D87" s="476">
        <v>61</v>
      </c>
      <c r="E87" s="476">
        <v>61</v>
      </c>
      <c r="F87" s="476">
        <v>61</v>
      </c>
      <c r="G87" s="476">
        <v>61</v>
      </c>
      <c r="H87" s="476">
        <v>61</v>
      </c>
      <c r="I87" s="476">
        <v>61</v>
      </c>
      <c r="J87" s="476">
        <v>62</v>
      </c>
      <c r="K87" s="476">
        <v>62</v>
      </c>
    </row>
    <row r="88" spans="1:11">
      <c r="A88" s="479">
        <v>6674.4</v>
      </c>
      <c r="B88" s="476">
        <v>62</v>
      </c>
      <c r="C88" s="476">
        <v>63</v>
      </c>
      <c r="D88" s="476">
        <v>63</v>
      </c>
      <c r="E88" s="476">
        <v>63</v>
      </c>
      <c r="F88" s="476">
        <v>63</v>
      </c>
      <c r="G88" s="476">
        <v>63</v>
      </c>
      <c r="H88" s="476">
        <v>63</v>
      </c>
      <c r="I88" s="476">
        <v>63</v>
      </c>
      <c r="J88" s="476">
        <v>64</v>
      </c>
      <c r="K88" s="476">
        <v>64</v>
      </c>
    </row>
    <row r="89" spans="1:11">
      <c r="A89" s="479">
        <v>6674.5</v>
      </c>
      <c r="B89" s="476">
        <v>64</v>
      </c>
      <c r="C89" s="476">
        <v>64</v>
      </c>
      <c r="D89" s="476">
        <v>64</v>
      </c>
      <c r="E89" s="476">
        <v>65</v>
      </c>
      <c r="F89" s="476">
        <v>65</v>
      </c>
      <c r="G89" s="476">
        <v>65</v>
      </c>
      <c r="H89" s="476">
        <v>65</v>
      </c>
      <c r="I89" s="476">
        <v>65</v>
      </c>
      <c r="J89" s="476">
        <v>66</v>
      </c>
      <c r="K89" s="476">
        <v>66</v>
      </c>
    </row>
    <row r="90" spans="1:11">
      <c r="A90" s="479">
        <v>6674.6</v>
      </c>
      <c r="B90" s="476">
        <v>66</v>
      </c>
      <c r="C90" s="476">
        <v>66</v>
      </c>
      <c r="D90" s="476">
        <v>66</v>
      </c>
      <c r="E90" s="476">
        <v>66</v>
      </c>
      <c r="F90" s="476">
        <v>67</v>
      </c>
      <c r="G90" s="476">
        <v>67</v>
      </c>
      <c r="H90" s="476">
        <v>67</v>
      </c>
      <c r="I90" s="476">
        <v>67</v>
      </c>
      <c r="J90" s="476">
        <v>67</v>
      </c>
      <c r="K90" s="476">
        <v>68</v>
      </c>
    </row>
    <row r="91" spans="1:11">
      <c r="A91" s="479">
        <v>6674.7</v>
      </c>
      <c r="B91" s="476">
        <v>68</v>
      </c>
      <c r="C91" s="476">
        <v>68</v>
      </c>
      <c r="D91" s="476">
        <v>68</v>
      </c>
      <c r="E91" s="476">
        <v>68</v>
      </c>
      <c r="F91" s="476">
        <v>68</v>
      </c>
      <c r="G91" s="476">
        <v>69</v>
      </c>
      <c r="H91" s="476">
        <v>69</v>
      </c>
      <c r="I91" s="476">
        <v>69</v>
      </c>
      <c r="J91" s="476">
        <v>69</v>
      </c>
      <c r="K91" s="476">
        <v>70</v>
      </c>
    </row>
    <row r="92" spans="1:11">
      <c r="A92" s="479">
        <v>6674.8</v>
      </c>
      <c r="B92" s="476">
        <v>70</v>
      </c>
      <c r="C92" s="476">
        <v>70</v>
      </c>
      <c r="D92" s="476">
        <v>70</v>
      </c>
      <c r="E92" s="476">
        <v>70</v>
      </c>
      <c r="F92" s="476">
        <v>70</v>
      </c>
      <c r="G92" s="476">
        <v>70</v>
      </c>
      <c r="H92" s="476">
        <v>71</v>
      </c>
      <c r="I92" s="476">
        <v>71</v>
      </c>
      <c r="J92" s="476">
        <v>71</v>
      </c>
      <c r="K92" s="476">
        <v>71</v>
      </c>
    </row>
    <row r="93" spans="1:11">
      <c r="A93" s="479">
        <v>6674.9</v>
      </c>
      <c r="B93" s="476">
        <v>72</v>
      </c>
      <c r="C93" s="476">
        <v>72</v>
      </c>
      <c r="D93" s="476">
        <v>72</v>
      </c>
      <c r="E93" s="476">
        <v>72</v>
      </c>
      <c r="F93" s="476">
        <v>72</v>
      </c>
      <c r="G93" s="476">
        <v>72</v>
      </c>
      <c r="H93" s="476">
        <v>72</v>
      </c>
      <c r="I93" s="476">
        <v>72</v>
      </c>
      <c r="J93" s="476">
        <v>73</v>
      </c>
      <c r="K93" s="476">
        <v>73</v>
      </c>
    </row>
    <row r="94" spans="1:11">
      <c r="A94" s="479">
        <v>6675</v>
      </c>
      <c r="B94" s="476">
        <v>73</v>
      </c>
      <c r="C94" s="476">
        <v>74</v>
      </c>
      <c r="D94" s="476">
        <v>74</v>
      </c>
      <c r="E94" s="476">
        <v>74</v>
      </c>
      <c r="F94" s="476">
        <v>74</v>
      </c>
      <c r="G94" s="476">
        <v>74</v>
      </c>
      <c r="H94" s="476">
        <v>74</v>
      </c>
      <c r="I94" s="476">
        <v>74</v>
      </c>
      <c r="J94" s="476">
        <v>75</v>
      </c>
      <c r="K94" s="476">
        <v>75</v>
      </c>
    </row>
    <row r="95" spans="1:11">
      <c r="A95" s="479">
        <v>6675.1</v>
      </c>
      <c r="B95" s="476">
        <v>76</v>
      </c>
      <c r="C95" s="476">
        <v>76</v>
      </c>
      <c r="D95" s="476">
        <v>76</v>
      </c>
      <c r="E95" s="476">
        <v>76</v>
      </c>
      <c r="F95" s="476">
        <v>76</v>
      </c>
      <c r="G95" s="476">
        <v>75</v>
      </c>
      <c r="H95" s="476">
        <v>77</v>
      </c>
      <c r="I95" s="476">
        <v>77</v>
      </c>
      <c r="J95" s="476">
        <v>77</v>
      </c>
      <c r="K95" s="476">
        <v>77</v>
      </c>
    </row>
    <row r="96" spans="1:11">
      <c r="A96" s="479">
        <v>6675.2</v>
      </c>
      <c r="B96" s="476">
        <v>78</v>
      </c>
      <c r="C96" s="476">
        <v>78</v>
      </c>
      <c r="D96" s="476">
        <v>78</v>
      </c>
      <c r="E96" s="476">
        <v>78</v>
      </c>
      <c r="F96" s="476">
        <v>78</v>
      </c>
      <c r="G96" s="476">
        <v>79</v>
      </c>
      <c r="H96" s="476">
        <v>79</v>
      </c>
      <c r="I96" s="476">
        <v>79</v>
      </c>
      <c r="J96" s="476">
        <v>79</v>
      </c>
      <c r="K96" s="476">
        <v>80</v>
      </c>
    </row>
    <row r="97" spans="1:11">
      <c r="A97" s="479">
        <v>6675.3</v>
      </c>
      <c r="B97" s="476">
        <v>80</v>
      </c>
      <c r="C97" s="476">
        <v>80</v>
      </c>
      <c r="D97" s="476">
        <v>80</v>
      </c>
      <c r="E97" s="476">
        <v>80</v>
      </c>
      <c r="F97" s="476">
        <v>81</v>
      </c>
      <c r="G97" s="476">
        <v>81</v>
      </c>
      <c r="H97" s="476">
        <v>81</v>
      </c>
      <c r="I97" s="476">
        <v>81</v>
      </c>
      <c r="J97" s="476">
        <v>82</v>
      </c>
      <c r="K97" s="476">
        <v>82</v>
      </c>
    </row>
    <row r="98" spans="1:11">
      <c r="A98" s="479">
        <v>6675.4</v>
      </c>
      <c r="B98" s="476">
        <v>82</v>
      </c>
      <c r="C98" s="476">
        <v>82</v>
      </c>
      <c r="D98" s="476">
        <v>82</v>
      </c>
      <c r="E98" s="476">
        <v>82</v>
      </c>
      <c r="F98" s="476">
        <v>83</v>
      </c>
      <c r="G98" s="476">
        <v>83</v>
      </c>
      <c r="H98" s="476">
        <v>83</v>
      </c>
      <c r="I98" s="476">
        <v>83</v>
      </c>
      <c r="J98" s="476">
        <v>84</v>
      </c>
      <c r="K98" s="476">
        <v>84</v>
      </c>
    </row>
    <row r="99" spans="1:11">
      <c r="A99" s="479">
        <v>6675.5</v>
      </c>
      <c r="B99" s="476">
        <v>84</v>
      </c>
      <c r="C99" s="476">
        <v>84</v>
      </c>
      <c r="D99" s="476">
        <v>84</v>
      </c>
      <c r="E99" s="476">
        <v>85</v>
      </c>
      <c r="F99" s="476">
        <v>85</v>
      </c>
      <c r="G99" s="476">
        <v>85</v>
      </c>
      <c r="H99" s="476">
        <v>85</v>
      </c>
      <c r="I99" s="476">
        <v>85</v>
      </c>
      <c r="J99" s="476">
        <v>86</v>
      </c>
      <c r="K99" s="476">
        <v>86</v>
      </c>
    </row>
    <row r="100" spans="1:11">
      <c r="A100" s="479">
        <v>6675.6</v>
      </c>
      <c r="B100" s="476">
        <v>86</v>
      </c>
      <c r="C100" s="476">
        <v>87</v>
      </c>
      <c r="D100" s="476">
        <v>87</v>
      </c>
      <c r="E100" s="476">
        <v>87</v>
      </c>
      <c r="F100" s="476">
        <v>87</v>
      </c>
      <c r="G100" s="476">
        <v>87</v>
      </c>
      <c r="H100" s="476">
        <v>87</v>
      </c>
      <c r="I100" s="476">
        <v>87</v>
      </c>
      <c r="J100" s="476">
        <v>88</v>
      </c>
      <c r="K100" s="476">
        <v>88</v>
      </c>
    </row>
    <row r="101" spans="1:11">
      <c r="A101" s="479">
        <v>6675.7</v>
      </c>
      <c r="B101" s="476">
        <v>89</v>
      </c>
      <c r="C101" s="476">
        <v>89</v>
      </c>
      <c r="D101" s="476">
        <v>89</v>
      </c>
      <c r="E101" s="476">
        <v>89</v>
      </c>
      <c r="F101" s="476">
        <v>89</v>
      </c>
      <c r="G101" s="476">
        <v>90</v>
      </c>
      <c r="H101" s="476">
        <v>90</v>
      </c>
      <c r="I101" s="476">
        <v>90</v>
      </c>
      <c r="J101" s="476">
        <v>90</v>
      </c>
      <c r="K101" s="476">
        <v>91</v>
      </c>
    </row>
    <row r="102" spans="1:11">
      <c r="A102" s="479">
        <v>6675.8</v>
      </c>
      <c r="B102" s="476">
        <v>91</v>
      </c>
      <c r="C102" s="476">
        <v>91</v>
      </c>
      <c r="D102" s="476">
        <v>91</v>
      </c>
      <c r="E102" s="476">
        <v>91</v>
      </c>
      <c r="F102" s="476">
        <v>91</v>
      </c>
      <c r="G102" s="476">
        <v>92</v>
      </c>
      <c r="H102" s="476">
        <v>92</v>
      </c>
      <c r="I102" s="476">
        <v>92</v>
      </c>
      <c r="J102" s="476">
        <v>92</v>
      </c>
      <c r="K102" s="476">
        <v>93</v>
      </c>
    </row>
    <row r="103" spans="1:11">
      <c r="A103" s="479">
        <v>6675.9</v>
      </c>
      <c r="B103" s="476">
        <v>93</v>
      </c>
      <c r="C103" s="476">
        <v>93</v>
      </c>
      <c r="D103" s="476">
        <v>93</v>
      </c>
      <c r="E103" s="476">
        <v>93</v>
      </c>
      <c r="F103" s="476">
        <v>94</v>
      </c>
      <c r="G103" s="476">
        <v>94</v>
      </c>
      <c r="H103" s="476">
        <v>94</v>
      </c>
      <c r="I103" s="476">
        <v>94</v>
      </c>
      <c r="J103" s="476">
        <v>95</v>
      </c>
      <c r="K103" s="476">
        <v>95</v>
      </c>
    </row>
    <row r="104" spans="1:11">
      <c r="A104" s="479">
        <v>6676</v>
      </c>
      <c r="B104" s="476">
        <v>95</v>
      </c>
      <c r="C104" s="476">
        <v>95</v>
      </c>
      <c r="D104" s="476">
        <v>95</v>
      </c>
      <c r="E104" s="476">
        <v>96</v>
      </c>
      <c r="F104" s="476">
        <v>96</v>
      </c>
      <c r="G104" s="476">
        <v>96</v>
      </c>
      <c r="H104" s="476">
        <v>96</v>
      </c>
      <c r="I104" s="476">
        <v>96</v>
      </c>
      <c r="J104" s="476">
        <v>97</v>
      </c>
      <c r="K104" s="476">
        <v>97</v>
      </c>
    </row>
    <row r="105" spans="1:11">
      <c r="A105" s="479">
        <v>6676.1</v>
      </c>
      <c r="B105" s="476">
        <v>98</v>
      </c>
      <c r="C105" s="476">
        <v>98</v>
      </c>
      <c r="D105" s="476">
        <v>98</v>
      </c>
      <c r="E105" s="476">
        <v>98</v>
      </c>
      <c r="F105" s="476">
        <v>98</v>
      </c>
      <c r="G105" s="476">
        <v>99</v>
      </c>
      <c r="H105" s="476">
        <v>99</v>
      </c>
      <c r="I105" s="476">
        <v>99</v>
      </c>
      <c r="J105" s="476">
        <v>100</v>
      </c>
      <c r="K105" s="476">
        <v>100</v>
      </c>
    </row>
    <row r="106" spans="1:11">
      <c r="A106" s="479">
        <v>6676.2</v>
      </c>
      <c r="B106" s="476">
        <v>100</v>
      </c>
      <c r="C106" s="476">
        <v>100</v>
      </c>
      <c r="D106" s="476">
        <v>100</v>
      </c>
      <c r="E106" s="476">
        <v>101</v>
      </c>
      <c r="F106" s="476">
        <v>101</v>
      </c>
      <c r="G106" s="476">
        <v>101</v>
      </c>
      <c r="H106" s="476">
        <v>101</v>
      </c>
      <c r="I106" s="476">
        <v>101</v>
      </c>
      <c r="J106" s="476">
        <v>102</v>
      </c>
      <c r="K106" s="476">
        <v>102</v>
      </c>
    </row>
    <row r="107" spans="1:11">
      <c r="A107" s="479">
        <v>6676.3</v>
      </c>
      <c r="B107" s="476">
        <v>103</v>
      </c>
      <c r="C107" s="476">
        <v>103</v>
      </c>
      <c r="D107" s="476">
        <v>103</v>
      </c>
      <c r="E107" s="476">
        <v>103</v>
      </c>
      <c r="F107" s="476">
        <v>103</v>
      </c>
      <c r="G107" s="476">
        <v>104</v>
      </c>
      <c r="H107" s="476">
        <v>104</v>
      </c>
      <c r="I107" s="476">
        <v>104</v>
      </c>
      <c r="J107" s="476">
        <v>105</v>
      </c>
      <c r="K107" s="476">
        <v>105</v>
      </c>
    </row>
    <row r="108" spans="1:11">
      <c r="A108" s="479">
        <v>6676.4</v>
      </c>
      <c r="B108" s="476">
        <v>105</v>
      </c>
      <c r="C108" s="476">
        <v>105</v>
      </c>
      <c r="D108" s="476">
        <v>105</v>
      </c>
      <c r="E108" s="476">
        <v>106</v>
      </c>
      <c r="F108" s="476">
        <v>106</v>
      </c>
      <c r="G108" s="476">
        <v>106</v>
      </c>
      <c r="H108" s="476">
        <v>106</v>
      </c>
      <c r="I108" s="476">
        <v>106</v>
      </c>
      <c r="J108" s="476">
        <v>107</v>
      </c>
      <c r="K108" s="476">
        <v>107</v>
      </c>
    </row>
    <row r="109" spans="1:11">
      <c r="A109" s="479">
        <v>6676.5</v>
      </c>
      <c r="B109" s="476">
        <v>108</v>
      </c>
      <c r="C109" s="476">
        <v>108</v>
      </c>
      <c r="D109" s="476">
        <v>108</v>
      </c>
      <c r="E109" s="476">
        <v>108</v>
      </c>
      <c r="F109" s="476">
        <v>108</v>
      </c>
      <c r="G109" s="476">
        <v>109</v>
      </c>
      <c r="H109" s="476">
        <v>109</v>
      </c>
      <c r="I109" s="476">
        <v>109</v>
      </c>
      <c r="J109" s="476">
        <v>110</v>
      </c>
      <c r="K109" s="476">
        <v>110</v>
      </c>
    </row>
    <row r="110" spans="1:11">
      <c r="A110" s="479">
        <v>6676.6</v>
      </c>
      <c r="B110" s="476">
        <v>110</v>
      </c>
      <c r="C110" s="476">
        <v>110</v>
      </c>
      <c r="D110" s="476">
        <v>110</v>
      </c>
      <c r="E110" s="476">
        <v>111</v>
      </c>
      <c r="F110" s="476">
        <v>111</v>
      </c>
      <c r="G110" s="476">
        <v>111</v>
      </c>
      <c r="H110" s="476">
        <v>111</v>
      </c>
      <c r="I110" s="476">
        <v>111</v>
      </c>
      <c r="J110" s="476">
        <v>112</v>
      </c>
      <c r="K110" s="476">
        <v>112</v>
      </c>
    </row>
    <row r="111" spans="1:11">
      <c r="A111" s="479">
        <v>6676.7</v>
      </c>
      <c r="B111" s="476">
        <v>113</v>
      </c>
      <c r="C111" s="476">
        <v>113</v>
      </c>
      <c r="D111" s="476">
        <v>113</v>
      </c>
      <c r="E111" s="476">
        <v>113</v>
      </c>
      <c r="F111" s="476">
        <v>113</v>
      </c>
      <c r="G111" s="476">
        <v>114</v>
      </c>
      <c r="H111" s="476">
        <v>114</v>
      </c>
      <c r="I111" s="476">
        <v>114</v>
      </c>
      <c r="J111" s="476">
        <v>115</v>
      </c>
      <c r="K111" s="476">
        <v>115</v>
      </c>
    </row>
    <row r="112" spans="1:11">
      <c r="A112" s="479">
        <v>6676.8</v>
      </c>
      <c r="B112" s="476">
        <v>115</v>
      </c>
      <c r="C112" s="476">
        <v>115</v>
      </c>
      <c r="D112" s="476">
        <v>115</v>
      </c>
      <c r="E112" s="476">
        <v>116</v>
      </c>
      <c r="F112" s="476">
        <v>116</v>
      </c>
      <c r="G112" s="476">
        <v>116</v>
      </c>
      <c r="H112" s="476">
        <v>116</v>
      </c>
      <c r="I112" s="476">
        <v>116</v>
      </c>
      <c r="J112" s="476">
        <v>117</v>
      </c>
      <c r="K112" s="476">
        <v>117</v>
      </c>
    </row>
    <row r="113" spans="1:11">
      <c r="A113" s="479">
        <v>6676.9</v>
      </c>
      <c r="B113" s="476">
        <v>118</v>
      </c>
      <c r="C113" s="476">
        <v>118</v>
      </c>
      <c r="D113" s="476">
        <v>118</v>
      </c>
      <c r="E113" s="476">
        <v>118</v>
      </c>
      <c r="F113" s="476">
        <v>119</v>
      </c>
      <c r="G113" s="476">
        <v>119</v>
      </c>
      <c r="H113" s="476">
        <v>119</v>
      </c>
      <c r="I113" s="476">
        <v>119</v>
      </c>
      <c r="J113" s="476">
        <v>120</v>
      </c>
      <c r="K113" s="476">
        <v>120</v>
      </c>
    </row>
    <row r="114" spans="1:11">
      <c r="A114" s="479">
        <v>6677</v>
      </c>
      <c r="B114" s="476">
        <v>120</v>
      </c>
      <c r="C114" s="476">
        <v>121</v>
      </c>
      <c r="D114" s="476">
        <v>121</v>
      </c>
      <c r="E114" s="476">
        <v>121</v>
      </c>
      <c r="F114" s="476">
        <v>121</v>
      </c>
      <c r="G114" s="476">
        <v>122</v>
      </c>
      <c r="H114" s="476">
        <v>122</v>
      </c>
      <c r="I114" s="476">
        <v>122</v>
      </c>
      <c r="J114" s="476">
        <v>123</v>
      </c>
      <c r="K114" s="476">
        <v>123</v>
      </c>
    </row>
    <row r="115" spans="1:11">
      <c r="A115" s="479">
        <v>6677.1</v>
      </c>
      <c r="B115" s="476">
        <v>123</v>
      </c>
      <c r="C115" s="476">
        <v>123</v>
      </c>
      <c r="D115" s="476">
        <v>123</v>
      </c>
      <c r="E115" s="476">
        <v>124</v>
      </c>
      <c r="F115" s="476">
        <v>124</v>
      </c>
      <c r="G115" s="476">
        <v>125</v>
      </c>
      <c r="H115" s="476">
        <v>125</v>
      </c>
      <c r="I115" s="476">
        <v>125</v>
      </c>
      <c r="J115" s="476">
        <v>125</v>
      </c>
      <c r="K115" s="476">
        <v>126</v>
      </c>
    </row>
    <row r="116" spans="1:11">
      <c r="A116" s="479">
        <v>6677.2</v>
      </c>
      <c r="B116" s="476">
        <v>126</v>
      </c>
      <c r="C116" s="476">
        <v>126</v>
      </c>
      <c r="D116" s="476">
        <v>126</v>
      </c>
      <c r="E116" s="476">
        <v>127</v>
      </c>
      <c r="F116" s="476">
        <v>127</v>
      </c>
      <c r="G116" s="476">
        <v>127</v>
      </c>
      <c r="H116" s="476">
        <v>127</v>
      </c>
      <c r="I116" s="476">
        <v>127</v>
      </c>
      <c r="J116" s="476">
        <v>128</v>
      </c>
      <c r="K116" s="476">
        <v>129</v>
      </c>
    </row>
    <row r="117" spans="1:11">
      <c r="A117" s="479">
        <v>6677.3</v>
      </c>
      <c r="B117" s="476">
        <v>129</v>
      </c>
      <c r="C117" s="476">
        <v>129</v>
      </c>
      <c r="D117" s="476">
        <v>129</v>
      </c>
      <c r="E117" s="476">
        <v>129</v>
      </c>
      <c r="F117" s="476">
        <v>130</v>
      </c>
      <c r="G117" s="476">
        <v>130</v>
      </c>
      <c r="H117" s="476">
        <v>130</v>
      </c>
      <c r="I117" s="476">
        <v>130</v>
      </c>
      <c r="J117" s="476">
        <v>131</v>
      </c>
      <c r="K117" s="476">
        <v>131</v>
      </c>
    </row>
    <row r="118" spans="1:11">
      <c r="A118" s="479">
        <v>6677.4</v>
      </c>
      <c r="B118" s="476">
        <v>132</v>
      </c>
      <c r="C118" s="476">
        <v>132</v>
      </c>
      <c r="D118" s="476">
        <v>132</v>
      </c>
      <c r="E118" s="476">
        <v>132</v>
      </c>
      <c r="F118" s="476">
        <v>133</v>
      </c>
      <c r="G118" s="476">
        <v>133</v>
      </c>
      <c r="H118" s="476">
        <v>133</v>
      </c>
      <c r="I118" s="476">
        <v>133</v>
      </c>
      <c r="J118" s="476">
        <v>134</v>
      </c>
      <c r="K118" s="476">
        <v>134</v>
      </c>
    </row>
    <row r="119" spans="1:11">
      <c r="A119" s="479">
        <v>6677.5</v>
      </c>
      <c r="B119" s="476">
        <v>135</v>
      </c>
      <c r="C119" s="476">
        <v>135</v>
      </c>
      <c r="D119" s="476">
        <v>135</v>
      </c>
      <c r="E119" s="476">
        <v>135</v>
      </c>
      <c r="F119" s="476">
        <v>136</v>
      </c>
      <c r="G119" s="476">
        <v>136</v>
      </c>
      <c r="H119" s="476">
        <v>136</v>
      </c>
      <c r="I119" s="476">
        <v>136</v>
      </c>
      <c r="J119" s="476">
        <v>137</v>
      </c>
      <c r="K119" s="476">
        <v>137</v>
      </c>
    </row>
    <row r="120" spans="1:11">
      <c r="A120" s="479">
        <v>6677.6</v>
      </c>
      <c r="B120" s="476">
        <v>138</v>
      </c>
      <c r="C120" s="476">
        <v>138</v>
      </c>
      <c r="D120" s="476">
        <v>138</v>
      </c>
      <c r="E120" s="476">
        <v>138</v>
      </c>
      <c r="F120" s="476">
        <v>138</v>
      </c>
      <c r="G120" s="476">
        <v>139</v>
      </c>
      <c r="H120" s="476">
        <v>139</v>
      </c>
      <c r="I120" s="476">
        <v>139</v>
      </c>
      <c r="J120" s="476">
        <v>140</v>
      </c>
      <c r="K120" s="476">
        <v>130</v>
      </c>
    </row>
    <row r="121" spans="1:11">
      <c r="A121" s="479">
        <v>6677.7</v>
      </c>
      <c r="B121" s="476">
        <v>140</v>
      </c>
      <c r="C121" s="476">
        <v>141</v>
      </c>
      <c r="D121" s="476">
        <v>141</v>
      </c>
      <c r="E121" s="476">
        <v>141</v>
      </c>
      <c r="F121" s="476">
        <v>141</v>
      </c>
      <c r="G121" s="476">
        <v>142</v>
      </c>
      <c r="H121" s="476">
        <v>142</v>
      </c>
      <c r="I121" s="476">
        <v>142</v>
      </c>
      <c r="J121" s="476">
        <v>143</v>
      </c>
      <c r="K121" s="476">
        <v>143</v>
      </c>
    </row>
    <row r="122" spans="1:11">
      <c r="A122" s="479">
        <v>6677.8</v>
      </c>
      <c r="B122" s="476">
        <v>143</v>
      </c>
      <c r="C122" s="476">
        <v>144</v>
      </c>
      <c r="D122" s="476">
        <v>144</v>
      </c>
      <c r="E122" s="476">
        <v>144</v>
      </c>
      <c r="F122" s="476">
        <v>144</v>
      </c>
      <c r="G122" s="476">
        <v>145</v>
      </c>
      <c r="H122" s="476">
        <v>145</v>
      </c>
      <c r="I122" s="476">
        <v>145</v>
      </c>
      <c r="J122" s="476">
        <v>146</v>
      </c>
      <c r="K122" s="476">
        <v>146</v>
      </c>
    </row>
    <row r="123" spans="1:11">
      <c r="A123" s="479">
        <v>6677.9</v>
      </c>
      <c r="B123" s="476">
        <v>146</v>
      </c>
      <c r="C123" s="476">
        <v>147</v>
      </c>
      <c r="D123" s="476">
        <v>147</v>
      </c>
      <c r="E123" s="476">
        <v>147</v>
      </c>
      <c r="F123" s="476">
        <v>147</v>
      </c>
      <c r="G123" s="476">
        <v>148</v>
      </c>
      <c r="H123" s="476">
        <v>148</v>
      </c>
      <c r="I123" s="476">
        <v>148</v>
      </c>
      <c r="J123" s="476">
        <v>149</v>
      </c>
      <c r="K123" s="476">
        <v>149</v>
      </c>
    </row>
    <row r="124" spans="1:11">
      <c r="A124" s="479">
        <v>6678</v>
      </c>
      <c r="B124" s="476">
        <v>149</v>
      </c>
      <c r="C124" s="476">
        <v>149</v>
      </c>
      <c r="D124" s="476">
        <v>150</v>
      </c>
      <c r="E124" s="476">
        <v>150</v>
      </c>
      <c r="F124" s="476">
        <v>150</v>
      </c>
      <c r="G124" s="476">
        <v>151</v>
      </c>
      <c r="H124" s="476">
        <v>151</v>
      </c>
      <c r="I124" s="476">
        <v>151</v>
      </c>
      <c r="J124" s="476">
        <v>152</v>
      </c>
      <c r="K124" s="476">
        <v>152</v>
      </c>
    </row>
    <row r="125" spans="1:11">
      <c r="A125" s="479">
        <v>6678.1</v>
      </c>
      <c r="B125" s="476">
        <v>152</v>
      </c>
      <c r="C125" s="476">
        <v>153</v>
      </c>
      <c r="D125" s="476">
        <v>153</v>
      </c>
      <c r="E125" s="476">
        <v>153</v>
      </c>
      <c r="F125" s="476">
        <v>154</v>
      </c>
      <c r="G125" s="476">
        <v>154</v>
      </c>
      <c r="H125" s="476">
        <v>154</v>
      </c>
      <c r="I125" s="476">
        <v>155</v>
      </c>
      <c r="J125" s="476">
        <v>155</v>
      </c>
      <c r="K125" s="476">
        <v>155</v>
      </c>
    </row>
    <row r="126" spans="1:11">
      <c r="A126" s="479">
        <v>6678.2</v>
      </c>
      <c r="B126" s="476">
        <v>156</v>
      </c>
      <c r="C126" s="476">
        <v>156</v>
      </c>
      <c r="D126" s="476">
        <v>156</v>
      </c>
      <c r="E126" s="476">
        <v>157</v>
      </c>
      <c r="F126" s="476">
        <v>157</v>
      </c>
      <c r="G126" s="476">
        <v>157</v>
      </c>
      <c r="H126" s="476">
        <v>158</v>
      </c>
      <c r="I126" s="476">
        <v>158</v>
      </c>
      <c r="J126" s="476">
        <v>158</v>
      </c>
      <c r="K126" s="476">
        <v>159</v>
      </c>
    </row>
    <row r="127" spans="1:11">
      <c r="A127" s="479">
        <v>6678.3</v>
      </c>
      <c r="B127" s="476">
        <v>159</v>
      </c>
      <c r="C127" s="476">
        <v>159</v>
      </c>
      <c r="D127" s="476">
        <v>160</v>
      </c>
      <c r="E127" s="476">
        <v>160</v>
      </c>
      <c r="F127" s="476">
        <v>160</v>
      </c>
      <c r="G127" s="476">
        <v>161</v>
      </c>
      <c r="H127" s="476">
        <v>161</v>
      </c>
      <c r="I127" s="476">
        <v>161</v>
      </c>
      <c r="J127" s="476">
        <v>162</v>
      </c>
      <c r="K127" s="476">
        <v>162</v>
      </c>
    </row>
    <row r="128" spans="1:11">
      <c r="A128" s="479">
        <v>6678.4</v>
      </c>
      <c r="B128" s="476">
        <v>162</v>
      </c>
      <c r="C128" s="476">
        <v>163</v>
      </c>
      <c r="D128" s="476">
        <v>163</v>
      </c>
      <c r="E128" s="476">
        <v>163</v>
      </c>
      <c r="F128" s="476">
        <v>164</v>
      </c>
      <c r="G128" s="476">
        <v>164</v>
      </c>
      <c r="H128" s="476">
        <v>164</v>
      </c>
      <c r="I128" s="476">
        <v>165</v>
      </c>
      <c r="J128" s="476">
        <v>165</v>
      </c>
      <c r="K128" s="476">
        <v>165</v>
      </c>
    </row>
    <row r="129" spans="1:11">
      <c r="A129" s="479">
        <v>6678.5</v>
      </c>
      <c r="B129" s="476">
        <v>165</v>
      </c>
      <c r="C129" s="476">
        <v>166</v>
      </c>
      <c r="D129" s="476">
        <v>166</v>
      </c>
      <c r="E129" s="476">
        <v>166</v>
      </c>
      <c r="F129" s="476">
        <v>167</v>
      </c>
      <c r="G129" s="476">
        <v>167</v>
      </c>
      <c r="H129" s="476">
        <v>167</v>
      </c>
      <c r="I129" s="476">
        <v>168</v>
      </c>
      <c r="J129" s="476">
        <v>168</v>
      </c>
      <c r="K129" s="476">
        <v>168</v>
      </c>
    </row>
    <row r="130" spans="1:11">
      <c r="A130" s="479">
        <v>6678.6</v>
      </c>
      <c r="B130" s="476">
        <v>169</v>
      </c>
      <c r="C130" s="476">
        <v>169</v>
      </c>
      <c r="D130" s="476">
        <v>169</v>
      </c>
      <c r="E130" s="476">
        <v>170</v>
      </c>
      <c r="F130" s="476">
        <v>170</v>
      </c>
      <c r="G130" s="476">
        <v>170</v>
      </c>
      <c r="H130" s="476">
        <v>171</v>
      </c>
      <c r="I130" s="476">
        <v>171</v>
      </c>
      <c r="J130" s="476">
        <v>171</v>
      </c>
      <c r="K130" s="476">
        <v>172</v>
      </c>
    </row>
    <row r="131" spans="1:11">
      <c r="A131" s="479">
        <v>6678.7</v>
      </c>
      <c r="B131" s="476">
        <v>172</v>
      </c>
      <c r="C131" s="476">
        <v>172</v>
      </c>
      <c r="D131" s="476">
        <v>173</v>
      </c>
      <c r="E131" s="476">
        <v>173</v>
      </c>
      <c r="F131" s="476">
        <v>173</v>
      </c>
      <c r="G131" s="476">
        <v>174</v>
      </c>
      <c r="H131" s="476">
        <v>174</v>
      </c>
      <c r="I131" s="476">
        <v>174</v>
      </c>
      <c r="J131" s="476">
        <v>175</v>
      </c>
      <c r="K131" s="476">
        <v>175</v>
      </c>
    </row>
    <row r="132" spans="1:11">
      <c r="A132" s="479">
        <v>6678.8</v>
      </c>
      <c r="B132" s="476">
        <v>175</v>
      </c>
      <c r="C132" s="476">
        <v>176</v>
      </c>
      <c r="D132" s="476">
        <v>176</v>
      </c>
      <c r="E132" s="476">
        <v>176</v>
      </c>
      <c r="F132" s="476">
        <v>177</v>
      </c>
      <c r="G132" s="476">
        <v>177</v>
      </c>
      <c r="H132" s="476">
        <v>177</v>
      </c>
      <c r="I132" s="476">
        <v>178</v>
      </c>
      <c r="J132" s="476">
        <v>178</v>
      </c>
      <c r="K132" s="476">
        <v>178</v>
      </c>
    </row>
    <row r="133" spans="1:11">
      <c r="A133" s="479">
        <v>6678.9</v>
      </c>
      <c r="B133" s="476">
        <v>179</v>
      </c>
      <c r="C133" s="476">
        <v>179</v>
      </c>
      <c r="D133" s="476">
        <v>179</v>
      </c>
      <c r="E133" s="476">
        <v>180</v>
      </c>
      <c r="F133" s="476">
        <v>180</v>
      </c>
      <c r="G133" s="476">
        <v>180</v>
      </c>
      <c r="H133" s="476">
        <v>181</v>
      </c>
      <c r="I133" s="476">
        <v>181</v>
      </c>
      <c r="J133" s="476">
        <v>181</v>
      </c>
      <c r="K133" s="476">
        <v>182</v>
      </c>
    </row>
    <row r="134" spans="1:11">
      <c r="A134" s="479">
        <v>6679</v>
      </c>
      <c r="B134" s="476">
        <v>182</v>
      </c>
      <c r="C134" s="476">
        <v>182</v>
      </c>
      <c r="D134" s="476">
        <v>183</v>
      </c>
      <c r="E134" s="476">
        <v>183</v>
      </c>
      <c r="F134" s="476">
        <v>183</v>
      </c>
      <c r="G134" s="476">
        <v>184</v>
      </c>
      <c r="H134" s="476">
        <v>184</v>
      </c>
      <c r="I134" s="476">
        <v>184</v>
      </c>
      <c r="J134" s="476">
        <v>185</v>
      </c>
      <c r="K134" s="476">
        <v>185</v>
      </c>
    </row>
    <row r="135" spans="1:11">
      <c r="A135" s="479">
        <v>6679.1</v>
      </c>
      <c r="B135" s="476">
        <v>186</v>
      </c>
      <c r="C135" s="476">
        <v>186</v>
      </c>
      <c r="D135" s="476">
        <v>186</v>
      </c>
      <c r="E135" s="476">
        <v>187</v>
      </c>
      <c r="F135" s="476">
        <v>187</v>
      </c>
      <c r="G135" s="476">
        <v>187</v>
      </c>
      <c r="H135" s="476">
        <v>188</v>
      </c>
      <c r="I135" s="476">
        <v>188</v>
      </c>
      <c r="J135" s="476">
        <v>189</v>
      </c>
      <c r="K135" s="476">
        <v>189</v>
      </c>
    </row>
    <row r="136" spans="1:11">
      <c r="A136" s="479">
        <v>6679.2</v>
      </c>
      <c r="B136" s="476">
        <v>189</v>
      </c>
      <c r="C136" s="476">
        <v>190</v>
      </c>
      <c r="D136" s="476">
        <v>190</v>
      </c>
      <c r="E136" s="476">
        <v>190</v>
      </c>
      <c r="F136" s="476">
        <v>191</v>
      </c>
      <c r="G136" s="476">
        <v>191</v>
      </c>
      <c r="H136" s="476">
        <v>191</v>
      </c>
      <c r="I136" s="476">
        <v>192</v>
      </c>
      <c r="J136" s="476">
        <v>192</v>
      </c>
      <c r="K136" s="476">
        <v>193</v>
      </c>
    </row>
    <row r="137" spans="1:11">
      <c r="A137" s="479">
        <v>6679.3</v>
      </c>
      <c r="B137" s="476">
        <v>193</v>
      </c>
      <c r="C137" s="476">
        <v>193</v>
      </c>
      <c r="D137" s="476">
        <v>194</v>
      </c>
      <c r="E137" s="476">
        <v>194</v>
      </c>
      <c r="F137" s="476">
        <v>194</v>
      </c>
      <c r="G137" s="476">
        <v>195</v>
      </c>
      <c r="H137" s="476">
        <v>195</v>
      </c>
      <c r="I137" s="476">
        <v>196</v>
      </c>
      <c r="J137" s="476">
        <v>196</v>
      </c>
      <c r="K137" s="476">
        <v>196</v>
      </c>
    </row>
    <row r="138" spans="1:11">
      <c r="A138" s="479">
        <v>6679.4</v>
      </c>
      <c r="B138" s="476">
        <v>197</v>
      </c>
      <c r="C138" s="476">
        <v>197</v>
      </c>
      <c r="D138" s="476">
        <v>197</v>
      </c>
      <c r="E138" s="476">
        <v>198</v>
      </c>
      <c r="F138" s="476">
        <v>198</v>
      </c>
      <c r="G138" s="476">
        <v>198</v>
      </c>
      <c r="H138" s="476">
        <v>199</v>
      </c>
      <c r="I138" s="476">
        <v>199</v>
      </c>
      <c r="J138" s="476">
        <v>200</v>
      </c>
      <c r="K138" s="476">
        <v>200</v>
      </c>
    </row>
    <row r="139" spans="1:11">
      <c r="A139" s="479">
        <v>6679.5</v>
      </c>
      <c r="B139" s="476">
        <v>200</v>
      </c>
      <c r="C139" s="476">
        <v>201</v>
      </c>
      <c r="D139" s="476">
        <v>201</v>
      </c>
      <c r="E139" s="476">
        <v>201</v>
      </c>
      <c r="F139" s="476">
        <v>202</v>
      </c>
      <c r="G139" s="476">
        <v>202</v>
      </c>
      <c r="H139" s="476">
        <v>203</v>
      </c>
      <c r="I139" s="476">
        <v>203</v>
      </c>
      <c r="J139" s="476">
        <v>203</v>
      </c>
      <c r="K139" s="476">
        <v>204</v>
      </c>
    </row>
    <row r="140" spans="1:11">
      <c r="A140" s="479">
        <v>6679.6</v>
      </c>
      <c r="B140" s="476">
        <v>204</v>
      </c>
      <c r="C140" s="476">
        <v>204</v>
      </c>
      <c r="D140" s="476">
        <v>205</v>
      </c>
      <c r="E140" s="476">
        <v>205</v>
      </c>
      <c r="F140" s="476">
        <v>205</v>
      </c>
      <c r="G140" s="476">
        <v>206</v>
      </c>
      <c r="H140" s="476">
        <v>206</v>
      </c>
      <c r="I140" s="476">
        <v>207</v>
      </c>
      <c r="J140" s="476">
        <v>207</v>
      </c>
      <c r="K140" s="476">
        <v>207</v>
      </c>
    </row>
    <row r="141" spans="1:11">
      <c r="A141" s="479">
        <v>6679.7</v>
      </c>
      <c r="B141" s="476">
        <v>208</v>
      </c>
      <c r="C141" s="476">
        <v>208</v>
      </c>
      <c r="D141" s="476">
        <v>208</v>
      </c>
      <c r="E141" s="476">
        <v>209</v>
      </c>
      <c r="F141" s="476">
        <v>209</v>
      </c>
      <c r="G141" s="476">
        <v>210</v>
      </c>
      <c r="H141" s="476">
        <v>210</v>
      </c>
      <c r="I141" s="476">
        <v>210</v>
      </c>
      <c r="J141" s="476">
        <v>211</v>
      </c>
      <c r="K141" s="476">
        <v>211</v>
      </c>
    </row>
    <row r="142" spans="1:11">
      <c r="A142" s="479">
        <v>6679.8</v>
      </c>
      <c r="B142" s="476">
        <v>211</v>
      </c>
      <c r="C142" s="476">
        <v>212</v>
      </c>
      <c r="D142" s="476">
        <v>212</v>
      </c>
      <c r="E142" s="476">
        <v>212</v>
      </c>
      <c r="F142" s="476">
        <v>213</v>
      </c>
      <c r="G142" s="476">
        <v>213</v>
      </c>
      <c r="H142" s="476">
        <v>214</v>
      </c>
      <c r="I142" s="476">
        <v>214</v>
      </c>
      <c r="J142" s="476">
        <v>214</v>
      </c>
      <c r="K142" s="476">
        <v>215</v>
      </c>
    </row>
    <row r="143" spans="1:11">
      <c r="A143" s="479">
        <v>6679.9</v>
      </c>
      <c r="B143" s="476">
        <v>215</v>
      </c>
      <c r="C143" s="476">
        <v>215</v>
      </c>
      <c r="D143" s="476">
        <v>216</v>
      </c>
      <c r="E143" s="476">
        <v>216</v>
      </c>
      <c r="F143" s="476">
        <v>217</v>
      </c>
      <c r="G143" s="476">
        <v>217</v>
      </c>
      <c r="H143" s="476">
        <v>217</v>
      </c>
      <c r="I143" s="476">
        <v>218</v>
      </c>
      <c r="J143" s="476">
        <v>218</v>
      </c>
      <c r="K143" s="476">
        <v>218</v>
      </c>
    </row>
    <row r="144" spans="1:11">
      <c r="A144" s="479">
        <v>6680</v>
      </c>
      <c r="B144" s="476">
        <v>219</v>
      </c>
      <c r="C144" s="476">
        <v>219</v>
      </c>
      <c r="D144" s="476">
        <v>220</v>
      </c>
      <c r="E144" s="476">
        <v>220</v>
      </c>
      <c r="F144" s="476">
        <v>220</v>
      </c>
      <c r="G144" s="476">
        <v>221</v>
      </c>
      <c r="H144" s="476">
        <v>221</v>
      </c>
      <c r="I144" s="476">
        <v>222</v>
      </c>
      <c r="J144" s="476">
        <v>222</v>
      </c>
      <c r="K144" s="476">
        <v>222</v>
      </c>
    </row>
    <row r="145" spans="1:11">
      <c r="A145" s="479">
        <v>6680.1</v>
      </c>
      <c r="B145" s="476">
        <v>223</v>
      </c>
      <c r="C145" s="476">
        <v>223</v>
      </c>
      <c r="D145" s="476">
        <v>224</v>
      </c>
      <c r="E145" s="476">
        <v>224</v>
      </c>
      <c r="F145" s="476">
        <v>224</v>
      </c>
      <c r="G145" s="476">
        <v>225</v>
      </c>
      <c r="H145" s="476">
        <v>225</v>
      </c>
      <c r="I145" s="476">
        <v>226</v>
      </c>
      <c r="J145" s="476">
        <v>226</v>
      </c>
      <c r="K145" s="476">
        <v>226</v>
      </c>
    </row>
    <row r="146" spans="1:11">
      <c r="A146" s="479">
        <v>6680.2</v>
      </c>
      <c r="B146" s="476">
        <v>227</v>
      </c>
      <c r="C146" s="476">
        <v>227</v>
      </c>
      <c r="D146" s="476">
        <v>227</v>
      </c>
      <c r="E146" s="476">
        <v>228</v>
      </c>
      <c r="F146" s="476">
        <v>228</v>
      </c>
      <c r="G146" s="476">
        <v>229</v>
      </c>
      <c r="H146" s="476">
        <v>229</v>
      </c>
      <c r="I146" s="476">
        <v>229</v>
      </c>
      <c r="J146" s="476">
        <v>230</v>
      </c>
      <c r="K146" s="476">
        <v>230</v>
      </c>
    </row>
    <row r="147" spans="1:11">
      <c r="A147" s="479">
        <v>6680.3</v>
      </c>
      <c r="B147" s="476">
        <v>231</v>
      </c>
      <c r="C147" s="476">
        <v>231</v>
      </c>
      <c r="D147" s="476">
        <v>231</v>
      </c>
      <c r="E147" s="476">
        <v>232</v>
      </c>
      <c r="F147" s="476">
        <v>232</v>
      </c>
      <c r="G147" s="476">
        <v>233</v>
      </c>
      <c r="H147" s="476">
        <v>233</v>
      </c>
      <c r="I147" s="476">
        <v>233</v>
      </c>
      <c r="J147" s="476">
        <v>234</v>
      </c>
      <c r="K147" s="476">
        <v>234</v>
      </c>
    </row>
    <row r="148" spans="1:11">
      <c r="A148" s="479">
        <v>6680.4</v>
      </c>
      <c r="B148" s="476">
        <v>235</v>
      </c>
      <c r="C148" s="476">
        <v>235</v>
      </c>
      <c r="D148" s="476">
        <v>235</v>
      </c>
      <c r="E148" s="476">
        <v>236</v>
      </c>
      <c r="F148" s="476">
        <v>236</v>
      </c>
      <c r="G148" s="476">
        <v>237</v>
      </c>
      <c r="H148" s="476">
        <v>237</v>
      </c>
      <c r="I148" s="476">
        <v>237</v>
      </c>
      <c r="J148" s="476">
        <v>238</v>
      </c>
      <c r="K148" s="476">
        <v>238</v>
      </c>
    </row>
    <row r="149" spans="1:11">
      <c r="A149" s="479">
        <v>6680.5</v>
      </c>
      <c r="B149" s="476">
        <v>239</v>
      </c>
      <c r="C149" s="476">
        <v>239</v>
      </c>
      <c r="D149" s="476">
        <v>239</v>
      </c>
      <c r="E149" s="476">
        <v>240</v>
      </c>
      <c r="F149" s="476">
        <v>240</v>
      </c>
      <c r="G149" s="476">
        <v>241</v>
      </c>
      <c r="H149" s="476">
        <v>241</v>
      </c>
      <c r="I149" s="476">
        <v>241</v>
      </c>
      <c r="J149" s="476">
        <v>242</v>
      </c>
      <c r="K149" s="476">
        <v>242</v>
      </c>
    </row>
    <row r="150" spans="1:11">
      <c r="A150" s="479">
        <v>6680.6</v>
      </c>
      <c r="B150" s="476">
        <v>243</v>
      </c>
      <c r="C150" s="476">
        <v>243</v>
      </c>
      <c r="D150" s="476">
        <v>243</v>
      </c>
      <c r="E150" s="476">
        <v>244</v>
      </c>
      <c r="F150" s="476">
        <v>244</v>
      </c>
      <c r="G150" s="476">
        <v>245</v>
      </c>
      <c r="H150" s="476">
        <v>245</v>
      </c>
      <c r="I150" s="476">
        <v>245</v>
      </c>
      <c r="J150" s="476">
        <v>246</v>
      </c>
      <c r="K150" s="476">
        <v>246</v>
      </c>
    </row>
    <row r="151" spans="1:11">
      <c r="A151" s="479">
        <v>6680.7</v>
      </c>
      <c r="B151" s="476">
        <v>247</v>
      </c>
      <c r="C151" s="476">
        <v>247</v>
      </c>
      <c r="D151" s="476">
        <v>247</v>
      </c>
      <c r="E151" s="476">
        <v>248</v>
      </c>
      <c r="F151" s="476">
        <v>248</v>
      </c>
      <c r="G151" s="476">
        <v>249</v>
      </c>
      <c r="H151" s="476">
        <v>249</v>
      </c>
      <c r="I151" s="476">
        <v>249</v>
      </c>
      <c r="J151" s="476">
        <v>250</v>
      </c>
      <c r="K151" s="476">
        <v>250</v>
      </c>
    </row>
    <row r="152" spans="1:11">
      <c r="A152" s="479">
        <v>6680.8</v>
      </c>
      <c r="B152" s="476">
        <v>251</v>
      </c>
      <c r="C152" s="476">
        <v>251</v>
      </c>
      <c r="D152" s="476">
        <v>251</v>
      </c>
      <c r="E152" s="476">
        <v>252</v>
      </c>
      <c r="F152" s="476">
        <v>252</v>
      </c>
      <c r="G152" s="476">
        <v>253</v>
      </c>
      <c r="H152" s="476">
        <v>253</v>
      </c>
      <c r="I152" s="476">
        <v>253</v>
      </c>
      <c r="J152" s="476">
        <v>254</v>
      </c>
      <c r="K152" s="476">
        <v>254</v>
      </c>
    </row>
    <row r="153" spans="1:11">
      <c r="A153" s="479">
        <v>6680.9</v>
      </c>
      <c r="B153" s="476">
        <v>255</v>
      </c>
      <c r="C153" s="476">
        <v>255</v>
      </c>
      <c r="D153" s="476">
        <v>255</v>
      </c>
      <c r="E153" s="476">
        <v>256</v>
      </c>
      <c r="F153" s="476">
        <v>256</v>
      </c>
      <c r="G153" s="476">
        <v>257</v>
      </c>
      <c r="H153" s="476">
        <v>257</v>
      </c>
      <c r="I153" s="476">
        <v>257</v>
      </c>
      <c r="J153" s="476">
        <v>258</v>
      </c>
      <c r="K153" s="476">
        <v>258</v>
      </c>
    </row>
    <row r="154" spans="1:11">
      <c r="A154" s="479">
        <v>6681</v>
      </c>
      <c r="B154" s="476">
        <v>258</v>
      </c>
      <c r="C154" s="476">
        <v>259</v>
      </c>
      <c r="D154" s="476">
        <v>259</v>
      </c>
      <c r="E154" s="476">
        <v>260</v>
      </c>
      <c r="F154" s="476">
        <v>260</v>
      </c>
      <c r="G154" s="476">
        <v>261</v>
      </c>
      <c r="H154" s="476">
        <v>261</v>
      </c>
      <c r="I154" s="476">
        <v>261</v>
      </c>
      <c r="J154" s="476">
        <v>262</v>
      </c>
      <c r="K154" s="476">
        <v>262</v>
      </c>
    </row>
    <row r="155" spans="1:11">
      <c r="A155" s="479">
        <v>6681.1</v>
      </c>
      <c r="B155" s="476">
        <v>263</v>
      </c>
      <c r="C155" s="476">
        <v>263</v>
      </c>
      <c r="D155" s="476">
        <v>263</v>
      </c>
      <c r="E155" s="476">
        <v>264</v>
      </c>
      <c r="F155" s="476">
        <v>264</v>
      </c>
      <c r="G155" s="476">
        <v>265</v>
      </c>
      <c r="H155" s="476">
        <v>265</v>
      </c>
      <c r="I155" s="476">
        <v>266</v>
      </c>
      <c r="J155" s="476">
        <v>266</v>
      </c>
      <c r="K155" s="476">
        <v>266</v>
      </c>
    </row>
    <row r="156" spans="1:11">
      <c r="A156" s="479">
        <v>6681.2</v>
      </c>
      <c r="B156" s="476">
        <v>267</v>
      </c>
      <c r="C156" s="476">
        <v>267</v>
      </c>
      <c r="D156" s="476">
        <v>268</v>
      </c>
      <c r="E156" s="476">
        <v>268</v>
      </c>
      <c r="F156" s="476">
        <v>268</v>
      </c>
      <c r="G156" s="476">
        <v>269</v>
      </c>
      <c r="H156" s="476">
        <v>269</v>
      </c>
      <c r="I156" s="476">
        <v>270</v>
      </c>
      <c r="J156" s="476">
        <v>270</v>
      </c>
      <c r="K156" s="476">
        <v>270</v>
      </c>
    </row>
    <row r="157" spans="1:11">
      <c r="A157" s="479">
        <v>6681.3</v>
      </c>
      <c r="B157" s="476">
        <v>271</v>
      </c>
      <c r="C157" s="476">
        <v>271</v>
      </c>
      <c r="D157" s="476">
        <v>272</v>
      </c>
      <c r="E157" s="476">
        <v>272</v>
      </c>
      <c r="F157" s="476">
        <v>273</v>
      </c>
      <c r="G157" s="476">
        <v>273</v>
      </c>
      <c r="H157" s="476">
        <v>273</v>
      </c>
      <c r="I157" s="476">
        <v>274</v>
      </c>
      <c r="J157" s="476">
        <v>274</v>
      </c>
      <c r="K157" s="476">
        <v>275</v>
      </c>
    </row>
    <row r="158" spans="1:11">
      <c r="A158" s="479">
        <v>6681.4</v>
      </c>
      <c r="B158" s="476">
        <v>275</v>
      </c>
      <c r="C158" s="476">
        <v>275</v>
      </c>
      <c r="D158" s="476">
        <v>276</v>
      </c>
      <c r="E158" s="476">
        <v>276</v>
      </c>
      <c r="F158" s="476">
        <v>277</v>
      </c>
      <c r="G158" s="476">
        <v>277</v>
      </c>
      <c r="H158" s="476">
        <v>278</v>
      </c>
      <c r="I158" s="476">
        <v>278</v>
      </c>
      <c r="J158" s="476">
        <v>278</v>
      </c>
      <c r="K158" s="476">
        <v>279</v>
      </c>
    </row>
    <row r="159" spans="1:11">
      <c r="A159" s="479">
        <v>6681.5</v>
      </c>
      <c r="B159" s="476">
        <v>279</v>
      </c>
      <c r="C159" s="476">
        <v>280</v>
      </c>
      <c r="D159" s="476">
        <v>280</v>
      </c>
      <c r="E159" s="476">
        <v>280</v>
      </c>
      <c r="F159" s="476">
        <v>281</v>
      </c>
      <c r="G159" s="476">
        <v>281</v>
      </c>
      <c r="H159" s="476">
        <v>282</v>
      </c>
      <c r="I159" s="476">
        <v>282</v>
      </c>
      <c r="J159" s="476">
        <v>282</v>
      </c>
      <c r="K159" s="476">
        <v>283</v>
      </c>
    </row>
    <row r="160" spans="1:11">
      <c r="A160" s="479">
        <v>6681.6</v>
      </c>
      <c r="B160" s="476">
        <v>283</v>
      </c>
      <c r="C160" s="476">
        <v>284</v>
      </c>
      <c r="D160" s="476">
        <v>284</v>
      </c>
      <c r="E160" s="476">
        <v>285</v>
      </c>
      <c r="F160" s="476">
        <v>285</v>
      </c>
      <c r="G160" s="476">
        <v>285</v>
      </c>
      <c r="H160" s="476">
        <v>286</v>
      </c>
      <c r="I160" s="476">
        <v>286</v>
      </c>
      <c r="J160" s="476">
        <v>287</v>
      </c>
      <c r="K160" s="476">
        <v>287</v>
      </c>
    </row>
    <row r="161" spans="1:11">
      <c r="A161" s="479">
        <v>6681.7</v>
      </c>
      <c r="B161" s="476">
        <v>287</v>
      </c>
      <c r="C161" s="476">
        <v>288</v>
      </c>
      <c r="D161" s="476">
        <v>288</v>
      </c>
      <c r="E161" s="476">
        <v>289</v>
      </c>
      <c r="F161" s="476">
        <v>289</v>
      </c>
      <c r="G161" s="476">
        <v>290</v>
      </c>
      <c r="H161" s="476">
        <v>290</v>
      </c>
      <c r="I161" s="476">
        <v>290</v>
      </c>
      <c r="J161" s="476">
        <v>291</v>
      </c>
      <c r="K161" s="476">
        <v>291</v>
      </c>
    </row>
    <row r="162" spans="1:11">
      <c r="A162" s="479">
        <v>6681.8</v>
      </c>
      <c r="B162" s="476">
        <v>292</v>
      </c>
      <c r="C162" s="476">
        <v>292</v>
      </c>
      <c r="D162" s="476">
        <v>292</v>
      </c>
      <c r="E162" s="476">
        <v>293</v>
      </c>
      <c r="F162" s="476">
        <v>293</v>
      </c>
      <c r="G162" s="476">
        <v>294</v>
      </c>
      <c r="H162" s="476">
        <v>294</v>
      </c>
      <c r="I162" s="476">
        <v>294</v>
      </c>
      <c r="J162" s="476">
        <v>295</v>
      </c>
      <c r="K162" s="476">
        <v>295</v>
      </c>
    </row>
    <row r="163" spans="1:11">
      <c r="A163" s="479">
        <v>6681.9</v>
      </c>
      <c r="B163" s="476">
        <v>296</v>
      </c>
      <c r="C163" s="476">
        <v>296</v>
      </c>
      <c r="D163" s="476">
        <v>297</v>
      </c>
      <c r="E163" s="476">
        <v>297</v>
      </c>
      <c r="F163" s="476">
        <v>297</v>
      </c>
      <c r="G163" s="476">
        <v>298</v>
      </c>
      <c r="H163" s="476">
        <v>298</v>
      </c>
      <c r="I163" s="476">
        <v>299</v>
      </c>
      <c r="J163" s="476">
        <v>299</v>
      </c>
      <c r="K163" s="476">
        <v>299</v>
      </c>
    </row>
    <row r="164" spans="1:11">
      <c r="A164" s="479">
        <v>6682</v>
      </c>
      <c r="B164" s="476">
        <v>300</v>
      </c>
      <c r="C164" s="476">
        <v>300</v>
      </c>
      <c r="D164" s="476">
        <v>301</v>
      </c>
      <c r="E164" s="476">
        <v>301</v>
      </c>
      <c r="F164" s="476">
        <v>302</v>
      </c>
      <c r="G164" s="476">
        <v>302</v>
      </c>
      <c r="H164" s="476">
        <v>302</v>
      </c>
      <c r="I164" s="476">
        <v>303</v>
      </c>
      <c r="J164" s="476">
        <v>303</v>
      </c>
      <c r="K164" s="476">
        <v>304</v>
      </c>
    </row>
    <row r="165" spans="1:11">
      <c r="A165" s="479">
        <v>6682.1</v>
      </c>
      <c r="B165" s="476">
        <v>304</v>
      </c>
      <c r="C165" s="476">
        <v>305</v>
      </c>
      <c r="D165" s="476">
        <v>305</v>
      </c>
      <c r="E165" s="476">
        <v>305</v>
      </c>
      <c r="F165" s="476">
        <v>306</v>
      </c>
      <c r="G165" s="476">
        <v>306</v>
      </c>
      <c r="H165" s="476">
        <v>307</v>
      </c>
      <c r="I165" s="476">
        <v>307</v>
      </c>
      <c r="J165" s="476">
        <v>308</v>
      </c>
      <c r="K165" s="476">
        <v>308</v>
      </c>
    </row>
    <row r="166" spans="1:11">
      <c r="A166" s="479">
        <v>6682.2</v>
      </c>
      <c r="B166" s="476">
        <v>309</v>
      </c>
      <c r="C166" s="476">
        <v>309</v>
      </c>
      <c r="D166" s="476">
        <v>309</v>
      </c>
      <c r="E166" s="476">
        <v>310</v>
      </c>
      <c r="F166" s="476">
        <v>310</v>
      </c>
      <c r="G166" s="476">
        <v>311</v>
      </c>
      <c r="H166" s="476">
        <v>311</v>
      </c>
      <c r="I166" s="476">
        <v>312</v>
      </c>
      <c r="J166" s="476">
        <v>312</v>
      </c>
      <c r="K166" s="476">
        <v>312</v>
      </c>
    </row>
    <row r="167" spans="1:11">
      <c r="A167" s="479">
        <v>6682.3</v>
      </c>
      <c r="B167" s="476">
        <v>313</v>
      </c>
      <c r="C167" s="476">
        <v>313</v>
      </c>
      <c r="D167" s="476">
        <v>314</v>
      </c>
      <c r="E167" s="476">
        <v>314</v>
      </c>
      <c r="F167" s="476">
        <v>315</v>
      </c>
      <c r="G167" s="476">
        <v>315</v>
      </c>
      <c r="H167" s="476">
        <v>315</v>
      </c>
      <c r="I167" s="476">
        <v>316</v>
      </c>
      <c r="J167" s="476">
        <v>316</v>
      </c>
      <c r="K167" s="476">
        <v>317</v>
      </c>
    </row>
    <row r="168" spans="1:11">
      <c r="A168" s="479">
        <v>6682.4</v>
      </c>
      <c r="B168" s="476">
        <v>317</v>
      </c>
      <c r="C168" s="476">
        <v>318</v>
      </c>
      <c r="D168" s="476">
        <v>318</v>
      </c>
      <c r="E168" s="476">
        <v>318</v>
      </c>
      <c r="F168" s="476">
        <v>319</v>
      </c>
      <c r="G168" s="476">
        <v>319</v>
      </c>
      <c r="H168" s="476">
        <v>320</v>
      </c>
      <c r="I168" s="476">
        <v>320</v>
      </c>
      <c r="J168" s="476">
        <v>321</v>
      </c>
      <c r="K168" s="476">
        <v>321</v>
      </c>
    </row>
    <row r="169" spans="1:11">
      <c r="A169" s="479">
        <v>6682.5</v>
      </c>
      <c r="B169" s="476">
        <v>322</v>
      </c>
      <c r="C169" s="476">
        <v>322</v>
      </c>
      <c r="D169" s="476">
        <v>322</v>
      </c>
      <c r="E169" s="476">
        <v>323</v>
      </c>
      <c r="F169" s="476">
        <v>323</v>
      </c>
      <c r="G169" s="476">
        <v>324</v>
      </c>
      <c r="H169" s="476">
        <v>324</v>
      </c>
      <c r="I169" s="476">
        <v>325</v>
      </c>
      <c r="J169" s="476">
        <v>325</v>
      </c>
      <c r="K169" s="476">
        <v>325</v>
      </c>
    </row>
    <row r="170" spans="1:11">
      <c r="A170" s="479">
        <v>6682.6</v>
      </c>
      <c r="B170" s="476">
        <v>326</v>
      </c>
      <c r="C170" s="476">
        <v>326</v>
      </c>
      <c r="D170" s="476">
        <v>327</v>
      </c>
      <c r="E170" s="476">
        <v>327</v>
      </c>
      <c r="F170" s="476">
        <v>328</v>
      </c>
      <c r="G170" s="476">
        <v>328</v>
      </c>
      <c r="H170" s="476">
        <v>328</v>
      </c>
      <c r="I170" s="476">
        <v>329</v>
      </c>
      <c r="J170" s="476">
        <v>329</v>
      </c>
      <c r="K170" s="476">
        <v>330</v>
      </c>
    </row>
    <row r="171" spans="1:11">
      <c r="A171" s="479">
        <v>6682.7</v>
      </c>
      <c r="B171" s="476">
        <v>330</v>
      </c>
      <c r="C171" s="476">
        <v>331</v>
      </c>
      <c r="D171" s="476">
        <v>331</v>
      </c>
      <c r="E171" s="476">
        <v>331</v>
      </c>
      <c r="F171" s="476">
        <v>332</v>
      </c>
      <c r="G171" s="476">
        <v>332</v>
      </c>
      <c r="H171" s="476">
        <v>333</v>
      </c>
      <c r="I171" s="476">
        <v>333</v>
      </c>
      <c r="J171" s="476">
        <v>334</v>
      </c>
      <c r="K171" s="476">
        <v>334</v>
      </c>
    </row>
    <row r="172" spans="1:11">
      <c r="A172" s="479">
        <v>6682.8</v>
      </c>
      <c r="B172" s="476">
        <v>334</v>
      </c>
      <c r="C172" s="476">
        <v>335</v>
      </c>
      <c r="D172" s="476">
        <v>335</v>
      </c>
      <c r="E172" s="476">
        <v>336</v>
      </c>
      <c r="F172" s="476">
        <v>336</v>
      </c>
      <c r="G172" s="476">
        <v>337</v>
      </c>
      <c r="H172" s="476">
        <v>337</v>
      </c>
      <c r="I172" s="476">
        <v>338</v>
      </c>
      <c r="J172" s="476">
        <v>338</v>
      </c>
      <c r="K172" s="476">
        <v>338</v>
      </c>
    </row>
    <row r="173" spans="1:11">
      <c r="A173" s="479">
        <v>6682.9</v>
      </c>
      <c r="B173" s="476">
        <v>339</v>
      </c>
      <c r="C173" s="476">
        <v>339</v>
      </c>
      <c r="D173" s="476">
        <v>340</v>
      </c>
      <c r="E173" s="476">
        <v>340</v>
      </c>
      <c r="F173" s="476">
        <v>341</v>
      </c>
      <c r="G173" s="476">
        <v>341</v>
      </c>
      <c r="H173" s="476">
        <v>341</v>
      </c>
      <c r="I173" s="476">
        <v>342</v>
      </c>
      <c r="J173" s="476">
        <v>342</v>
      </c>
      <c r="K173" s="476">
        <v>343</v>
      </c>
    </row>
    <row r="174" spans="1:11">
      <c r="A174" s="479">
        <v>6683</v>
      </c>
      <c r="B174" s="476">
        <v>343</v>
      </c>
      <c r="C174" s="476">
        <v>344</v>
      </c>
      <c r="D174" s="476">
        <v>344</v>
      </c>
      <c r="E174" s="476">
        <v>345</v>
      </c>
      <c r="F174" s="476">
        <v>345</v>
      </c>
      <c r="G174" s="476">
        <v>345</v>
      </c>
      <c r="H174" s="476">
        <v>346</v>
      </c>
      <c r="I174" s="476">
        <v>346</v>
      </c>
      <c r="J174" s="476">
        <v>347</v>
      </c>
      <c r="K174" s="476">
        <v>347</v>
      </c>
    </row>
    <row r="175" spans="1:11">
      <c r="A175" s="479">
        <v>6683.1</v>
      </c>
      <c r="B175" s="476">
        <v>348</v>
      </c>
      <c r="C175" s="476">
        <v>348</v>
      </c>
      <c r="D175" s="476">
        <v>349</v>
      </c>
      <c r="E175" s="476">
        <v>349</v>
      </c>
      <c r="F175" s="476">
        <v>350</v>
      </c>
      <c r="G175" s="476">
        <v>350</v>
      </c>
      <c r="H175" s="476">
        <v>350</v>
      </c>
      <c r="I175" s="476">
        <v>351</v>
      </c>
      <c r="J175" s="476">
        <v>351</v>
      </c>
      <c r="K175" s="476">
        <v>352</v>
      </c>
    </row>
    <row r="176" spans="1:11">
      <c r="A176" s="479">
        <v>6683.2</v>
      </c>
      <c r="B176" s="476">
        <v>352</v>
      </c>
      <c r="C176" s="476">
        <v>353</v>
      </c>
      <c r="D176" s="476">
        <v>353</v>
      </c>
      <c r="E176" s="476">
        <v>354</v>
      </c>
      <c r="F176" s="476">
        <v>354</v>
      </c>
      <c r="G176" s="476">
        <v>355</v>
      </c>
      <c r="H176" s="476">
        <v>355</v>
      </c>
      <c r="I176" s="476">
        <v>355</v>
      </c>
      <c r="J176" s="476">
        <v>356</v>
      </c>
      <c r="K176" s="476">
        <v>356</v>
      </c>
    </row>
    <row r="177" spans="1:11">
      <c r="A177" s="479">
        <v>6683.3</v>
      </c>
      <c r="B177" s="476">
        <v>357</v>
      </c>
      <c r="C177" s="476">
        <v>357</v>
      </c>
      <c r="D177" s="476">
        <v>358</v>
      </c>
      <c r="E177" s="476">
        <v>358</v>
      </c>
      <c r="F177" s="476">
        <v>359</v>
      </c>
      <c r="G177" s="476">
        <v>359</v>
      </c>
      <c r="H177" s="476">
        <v>360</v>
      </c>
      <c r="I177" s="476">
        <v>360</v>
      </c>
      <c r="J177" s="476">
        <v>360</v>
      </c>
      <c r="K177" s="476">
        <v>361</v>
      </c>
    </row>
    <row r="178" spans="1:11">
      <c r="A178" s="479">
        <v>6683.4</v>
      </c>
      <c r="B178" s="476">
        <v>361</v>
      </c>
      <c r="C178" s="476">
        <v>362</v>
      </c>
      <c r="D178" s="476">
        <v>362</v>
      </c>
      <c r="E178" s="476">
        <v>363</v>
      </c>
      <c r="F178" s="476">
        <v>363</v>
      </c>
      <c r="G178" s="476">
        <v>364</v>
      </c>
      <c r="H178" s="476">
        <v>364</v>
      </c>
      <c r="I178" s="476">
        <v>365</v>
      </c>
      <c r="J178" s="476">
        <v>365</v>
      </c>
      <c r="K178" s="476">
        <v>365</v>
      </c>
    </row>
    <row r="179" spans="1:11">
      <c r="A179" s="479">
        <v>6683.5</v>
      </c>
      <c r="B179" s="476">
        <v>366</v>
      </c>
      <c r="C179" s="476">
        <v>366</v>
      </c>
      <c r="D179" s="476">
        <v>367</v>
      </c>
      <c r="E179" s="476">
        <v>367</v>
      </c>
      <c r="F179" s="476">
        <v>368</v>
      </c>
      <c r="G179" s="476">
        <v>368</v>
      </c>
      <c r="H179" s="476">
        <v>369</v>
      </c>
      <c r="I179" s="476">
        <v>369</v>
      </c>
      <c r="J179" s="476">
        <v>370</v>
      </c>
      <c r="K179" s="476">
        <v>370</v>
      </c>
    </row>
    <row r="180" spans="1:11">
      <c r="A180" s="479">
        <v>6683.6</v>
      </c>
      <c r="B180" s="476">
        <v>370</v>
      </c>
      <c r="C180" s="476">
        <v>371</v>
      </c>
      <c r="D180" s="476">
        <v>371</v>
      </c>
      <c r="E180" s="476">
        <v>372</v>
      </c>
      <c r="F180" s="476">
        <v>372</v>
      </c>
      <c r="G180" s="476">
        <v>373</v>
      </c>
      <c r="H180" s="476">
        <v>373</v>
      </c>
      <c r="I180" s="476">
        <v>374</v>
      </c>
      <c r="J180" s="476">
        <v>374</v>
      </c>
      <c r="K180" s="476">
        <v>375</v>
      </c>
    </row>
    <row r="181" spans="1:11">
      <c r="A181" s="479">
        <v>6683.7</v>
      </c>
      <c r="B181" s="476">
        <v>375</v>
      </c>
      <c r="C181" s="476">
        <v>375</v>
      </c>
      <c r="D181" s="476">
        <v>376</v>
      </c>
      <c r="E181" s="476">
        <v>376</v>
      </c>
      <c r="F181" s="476">
        <v>377</v>
      </c>
      <c r="G181" s="476">
        <v>377</v>
      </c>
      <c r="H181" s="476">
        <v>378</v>
      </c>
      <c r="I181" s="476">
        <v>378</v>
      </c>
      <c r="J181" s="476">
        <v>379</v>
      </c>
      <c r="K181" s="476">
        <v>379</v>
      </c>
    </row>
    <row r="182" spans="1:11">
      <c r="A182" s="479">
        <v>6683.8</v>
      </c>
      <c r="B182" s="476">
        <v>380</v>
      </c>
      <c r="C182" s="476">
        <v>380</v>
      </c>
      <c r="D182" s="476">
        <v>380</v>
      </c>
      <c r="E182" s="476">
        <v>381</v>
      </c>
      <c r="F182" s="476">
        <v>381</v>
      </c>
      <c r="G182" s="476">
        <v>382</v>
      </c>
      <c r="H182" s="476">
        <v>382</v>
      </c>
      <c r="I182" s="476">
        <v>383</v>
      </c>
      <c r="J182" s="476">
        <v>383</v>
      </c>
      <c r="K182" s="476">
        <v>384</v>
      </c>
    </row>
    <row r="183" spans="1:11">
      <c r="A183" s="479">
        <v>6683.9</v>
      </c>
      <c r="B183" s="476">
        <v>384</v>
      </c>
      <c r="C183" s="476">
        <v>385</v>
      </c>
      <c r="D183" s="476">
        <v>385</v>
      </c>
      <c r="E183" s="476">
        <v>385</v>
      </c>
      <c r="F183" s="476">
        <v>386</v>
      </c>
      <c r="G183" s="476">
        <v>386</v>
      </c>
      <c r="H183" s="476">
        <v>387</v>
      </c>
      <c r="I183" s="476">
        <v>387</v>
      </c>
      <c r="J183" s="476">
        <v>388</v>
      </c>
      <c r="K183" s="476">
        <v>388</v>
      </c>
    </row>
    <row r="184" spans="1:11">
      <c r="A184" s="479">
        <v>6684</v>
      </c>
      <c r="B184" s="476">
        <v>389</v>
      </c>
      <c r="C184" s="476">
        <v>389</v>
      </c>
      <c r="D184" s="476">
        <v>390</v>
      </c>
      <c r="E184" s="476">
        <v>390</v>
      </c>
      <c r="F184" s="476">
        <v>391</v>
      </c>
      <c r="G184" s="476">
        <v>391</v>
      </c>
      <c r="H184" s="476">
        <v>392</v>
      </c>
      <c r="I184" s="476">
        <v>392</v>
      </c>
      <c r="J184" s="476">
        <v>393</v>
      </c>
      <c r="K184" s="476">
        <v>393</v>
      </c>
    </row>
    <row r="185" spans="1:11">
      <c r="A185" s="479">
        <v>6684.1</v>
      </c>
      <c r="B185" s="476">
        <v>393</v>
      </c>
      <c r="C185" s="476">
        <v>394</v>
      </c>
      <c r="D185" s="476">
        <v>394</v>
      </c>
      <c r="E185" s="476">
        <v>395</v>
      </c>
      <c r="F185" s="476">
        <v>395</v>
      </c>
      <c r="G185" s="476">
        <v>396</v>
      </c>
      <c r="H185" s="476">
        <v>396</v>
      </c>
      <c r="I185" s="476">
        <v>397</v>
      </c>
      <c r="J185" s="476">
        <v>397</v>
      </c>
      <c r="K185" s="476">
        <v>398</v>
      </c>
    </row>
    <row r="186" spans="1:11">
      <c r="A186" s="479">
        <v>6684.2</v>
      </c>
      <c r="B186" s="476">
        <v>398</v>
      </c>
      <c r="C186" s="476">
        <v>399</v>
      </c>
      <c r="D186" s="476">
        <v>399</v>
      </c>
      <c r="E186" s="476">
        <v>400</v>
      </c>
      <c r="F186" s="476">
        <v>400</v>
      </c>
      <c r="G186" s="476">
        <v>401</v>
      </c>
      <c r="H186" s="476">
        <v>401</v>
      </c>
      <c r="I186" s="476">
        <v>402</v>
      </c>
      <c r="J186" s="476">
        <v>402</v>
      </c>
      <c r="K186" s="476">
        <v>403</v>
      </c>
    </row>
    <row r="187" spans="1:11">
      <c r="A187" s="479">
        <v>6684.3</v>
      </c>
      <c r="B187" s="476">
        <v>403</v>
      </c>
      <c r="C187" s="476">
        <v>404</v>
      </c>
      <c r="D187" s="476">
        <v>404</v>
      </c>
      <c r="E187" s="476">
        <v>405</v>
      </c>
      <c r="F187" s="476">
        <v>405</v>
      </c>
      <c r="G187" s="476">
        <v>405</v>
      </c>
      <c r="H187" s="476">
        <v>406</v>
      </c>
      <c r="I187" s="476">
        <v>406</v>
      </c>
      <c r="J187" s="476">
        <v>407</v>
      </c>
      <c r="K187" s="476">
        <v>407</v>
      </c>
    </row>
    <row r="188" spans="1:11">
      <c r="A188" s="479">
        <v>6684.4</v>
      </c>
      <c r="B188" s="476">
        <v>408</v>
      </c>
      <c r="C188" s="476">
        <v>408</v>
      </c>
      <c r="D188" s="476">
        <v>409</v>
      </c>
      <c r="E188" s="476">
        <v>409</v>
      </c>
      <c r="F188" s="476">
        <v>410</v>
      </c>
      <c r="G188" s="476">
        <v>410</v>
      </c>
      <c r="H188" s="476">
        <v>411</v>
      </c>
      <c r="I188" s="476">
        <v>411</v>
      </c>
      <c r="J188" s="476">
        <v>412</v>
      </c>
      <c r="K188" s="476">
        <v>412</v>
      </c>
    </row>
    <row r="189" spans="1:11">
      <c r="A189" s="479">
        <v>6684.5</v>
      </c>
      <c r="B189" s="476">
        <v>413</v>
      </c>
      <c r="C189" s="476">
        <v>413</v>
      </c>
      <c r="D189" s="476">
        <v>414</v>
      </c>
      <c r="E189" s="476">
        <v>414</v>
      </c>
      <c r="F189" s="476">
        <v>415</v>
      </c>
      <c r="G189" s="476">
        <v>415</v>
      </c>
      <c r="H189" s="476">
        <v>416</v>
      </c>
      <c r="I189" s="476">
        <v>416</v>
      </c>
      <c r="J189" s="476">
        <v>417</v>
      </c>
      <c r="K189" s="476">
        <v>417</v>
      </c>
    </row>
    <row r="190" spans="1:11">
      <c r="A190" s="479">
        <v>6684.6</v>
      </c>
      <c r="B190" s="476">
        <v>418</v>
      </c>
      <c r="C190" s="476">
        <v>418</v>
      </c>
      <c r="D190" s="476">
        <v>418</v>
      </c>
      <c r="E190" s="476">
        <v>419</v>
      </c>
      <c r="F190" s="476">
        <v>419</v>
      </c>
      <c r="G190" s="476">
        <v>420</v>
      </c>
      <c r="H190" s="476">
        <v>420</v>
      </c>
      <c r="I190" s="476">
        <v>421</v>
      </c>
      <c r="J190" s="476">
        <v>421</v>
      </c>
      <c r="K190" s="476">
        <v>422</v>
      </c>
    </row>
    <row r="191" spans="1:11">
      <c r="A191" s="479">
        <v>6684.7</v>
      </c>
      <c r="B191" s="476">
        <v>422</v>
      </c>
      <c r="C191" s="476">
        <v>423</v>
      </c>
      <c r="D191" s="476">
        <v>423</v>
      </c>
      <c r="E191" s="476">
        <v>424</v>
      </c>
      <c r="F191" s="476">
        <v>424</v>
      </c>
      <c r="G191" s="476">
        <v>425</v>
      </c>
      <c r="H191" s="476">
        <v>425</v>
      </c>
      <c r="I191" s="476">
        <v>426</v>
      </c>
      <c r="J191" s="476">
        <v>426</v>
      </c>
      <c r="K191" s="476">
        <v>427</v>
      </c>
    </row>
    <row r="192" spans="1:11">
      <c r="A192" s="479">
        <v>6684.8</v>
      </c>
      <c r="B192" s="476">
        <v>427</v>
      </c>
      <c r="C192" s="476">
        <v>428</v>
      </c>
      <c r="D192" s="476">
        <v>428</v>
      </c>
      <c r="E192" s="476">
        <v>429</v>
      </c>
      <c r="F192" s="476">
        <v>429</v>
      </c>
      <c r="G192" s="476">
        <v>430</v>
      </c>
      <c r="H192" s="476">
        <v>430</v>
      </c>
      <c r="I192" s="476">
        <v>430</v>
      </c>
      <c r="J192" s="476">
        <v>431</v>
      </c>
      <c r="K192" s="476">
        <v>431</v>
      </c>
    </row>
    <row r="193" spans="1:11">
      <c r="A193" s="479">
        <v>6684.9</v>
      </c>
      <c r="B193" s="476">
        <v>432</v>
      </c>
      <c r="C193" s="476">
        <v>432</v>
      </c>
      <c r="D193" s="476">
        <v>433</v>
      </c>
      <c r="E193" s="476">
        <v>433</v>
      </c>
      <c r="F193" s="476">
        <v>434</v>
      </c>
      <c r="G193" s="476">
        <v>434</v>
      </c>
      <c r="H193" s="476">
        <v>435</v>
      </c>
      <c r="I193" s="476">
        <v>435</v>
      </c>
      <c r="J193" s="476">
        <v>436</v>
      </c>
      <c r="K193" s="476">
        <v>436</v>
      </c>
    </row>
    <row r="194" spans="1:11">
      <c r="A194" s="479">
        <v>6685</v>
      </c>
      <c r="B194" s="476">
        <v>437</v>
      </c>
      <c r="C194" s="476">
        <v>437</v>
      </c>
      <c r="D194" s="476">
        <v>438</v>
      </c>
      <c r="E194" s="476">
        <v>438</v>
      </c>
      <c r="F194" s="476">
        <v>439</v>
      </c>
      <c r="G194" s="476">
        <v>439</v>
      </c>
      <c r="H194" s="476">
        <v>440</v>
      </c>
      <c r="I194" s="476">
        <v>440</v>
      </c>
      <c r="J194" s="476">
        <v>441</v>
      </c>
      <c r="K194" s="476">
        <v>441</v>
      </c>
    </row>
    <row r="195" spans="1:11">
      <c r="A195" s="479">
        <v>6685.1</v>
      </c>
      <c r="B195" s="476">
        <v>442</v>
      </c>
      <c r="C195" s="476">
        <v>442</v>
      </c>
      <c r="D195" s="476">
        <v>443</v>
      </c>
      <c r="E195" s="476">
        <v>443</v>
      </c>
      <c r="F195" s="476">
        <v>444</v>
      </c>
      <c r="G195" s="476">
        <v>444</v>
      </c>
      <c r="H195" s="476">
        <v>445</v>
      </c>
      <c r="I195" s="476">
        <v>445</v>
      </c>
      <c r="J195" s="476">
        <v>446</v>
      </c>
      <c r="K195" s="476">
        <v>446</v>
      </c>
    </row>
    <row r="196" spans="1:11">
      <c r="A196" s="479">
        <v>6685.2</v>
      </c>
      <c r="B196" s="476">
        <v>447</v>
      </c>
      <c r="C196" s="476">
        <v>447</v>
      </c>
      <c r="D196" s="476">
        <v>448</v>
      </c>
      <c r="E196" s="476">
        <v>448</v>
      </c>
      <c r="F196" s="476">
        <v>449</v>
      </c>
      <c r="G196" s="476">
        <v>449</v>
      </c>
      <c r="H196" s="476">
        <v>450</v>
      </c>
      <c r="I196" s="476">
        <v>451</v>
      </c>
      <c r="J196" s="476">
        <v>451</v>
      </c>
      <c r="K196" s="476">
        <v>452</v>
      </c>
    </row>
    <row r="197" spans="1:11">
      <c r="A197" s="479">
        <v>6685.3</v>
      </c>
      <c r="B197" s="476">
        <v>452</v>
      </c>
      <c r="C197" s="476">
        <v>453</v>
      </c>
      <c r="D197" s="476">
        <v>453</v>
      </c>
      <c r="E197" s="476">
        <v>454</v>
      </c>
      <c r="F197" s="476">
        <v>454</v>
      </c>
      <c r="G197" s="476">
        <v>455</v>
      </c>
      <c r="H197" s="476">
        <v>455</v>
      </c>
      <c r="I197" s="476">
        <v>456</v>
      </c>
      <c r="J197" s="476">
        <v>456</v>
      </c>
      <c r="K197" s="476">
        <v>457</v>
      </c>
    </row>
    <row r="198" spans="1:11">
      <c r="A198" s="479">
        <v>6685.4</v>
      </c>
      <c r="B198" s="476">
        <v>457</v>
      </c>
      <c r="C198" s="476">
        <v>458</v>
      </c>
      <c r="D198" s="476">
        <v>458</v>
      </c>
      <c r="E198" s="476">
        <v>459</v>
      </c>
      <c r="F198" s="476">
        <v>459</v>
      </c>
      <c r="G198" s="476">
        <v>460</v>
      </c>
      <c r="H198" s="476">
        <v>460</v>
      </c>
      <c r="I198" s="476">
        <v>461</v>
      </c>
      <c r="J198" s="476">
        <v>461</v>
      </c>
      <c r="K198" s="476">
        <v>462</v>
      </c>
    </row>
    <row r="199" spans="1:11">
      <c r="A199" s="479">
        <v>6685.5</v>
      </c>
      <c r="B199" s="476">
        <v>462</v>
      </c>
      <c r="C199" s="476">
        <v>463</v>
      </c>
      <c r="D199" s="476">
        <v>463</v>
      </c>
      <c r="E199" s="476">
        <v>464</v>
      </c>
      <c r="F199" s="476">
        <v>464</v>
      </c>
      <c r="G199" s="476">
        <v>465</v>
      </c>
      <c r="H199" s="476">
        <v>465</v>
      </c>
      <c r="I199" s="476">
        <v>466</v>
      </c>
      <c r="J199" s="476">
        <v>466</v>
      </c>
      <c r="K199" s="476">
        <v>467</v>
      </c>
    </row>
    <row r="200" spans="1:11">
      <c r="A200" s="479">
        <v>6685.6</v>
      </c>
      <c r="B200" s="476">
        <v>467</v>
      </c>
      <c r="C200" s="476">
        <v>468</v>
      </c>
      <c r="D200" s="476">
        <v>468</v>
      </c>
      <c r="E200" s="476">
        <v>469</v>
      </c>
      <c r="F200" s="476">
        <v>469</v>
      </c>
      <c r="G200" s="476">
        <v>470</v>
      </c>
      <c r="H200" s="476">
        <v>470</v>
      </c>
      <c r="I200" s="476">
        <v>471</v>
      </c>
      <c r="J200" s="476">
        <v>471</v>
      </c>
      <c r="K200" s="476">
        <v>472</v>
      </c>
    </row>
    <row r="201" spans="1:11">
      <c r="A201" s="479">
        <v>6685.7</v>
      </c>
      <c r="B201" s="476">
        <v>472</v>
      </c>
      <c r="C201" s="476">
        <v>473</v>
      </c>
      <c r="D201" s="476">
        <v>473</v>
      </c>
      <c r="E201" s="476">
        <v>474</v>
      </c>
      <c r="F201" s="476">
        <v>474</v>
      </c>
      <c r="G201" s="476">
        <v>475</v>
      </c>
      <c r="H201" s="476">
        <v>476</v>
      </c>
      <c r="I201" s="476">
        <v>476</v>
      </c>
      <c r="J201" s="476">
        <v>477</v>
      </c>
      <c r="K201" s="476">
        <v>477</v>
      </c>
    </row>
    <row r="202" spans="1:11">
      <c r="A202" s="479">
        <v>6685.8</v>
      </c>
      <c r="B202" s="476">
        <v>478</v>
      </c>
      <c r="C202" s="476">
        <v>478</v>
      </c>
      <c r="D202" s="476">
        <v>479</v>
      </c>
      <c r="E202" s="476">
        <v>479</v>
      </c>
      <c r="F202" s="476">
        <v>480</v>
      </c>
      <c r="G202" s="476">
        <v>480</v>
      </c>
      <c r="H202" s="476">
        <v>481</v>
      </c>
      <c r="I202" s="476">
        <v>481</v>
      </c>
      <c r="J202" s="476">
        <v>482</v>
      </c>
      <c r="K202" s="476">
        <v>482</v>
      </c>
    </row>
    <row r="203" spans="1:11">
      <c r="A203" s="479">
        <v>6685.9</v>
      </c>
      <c r="B203" s="476">
        <v>483</v>
      </c>
      <c r="C203" s="476">
        <v>483</v>
      </c>
      <c r="D203" s="476">
        <v>484</v>
      </c>
      <c r="E203" s="476">
        <v>484</v>
      </c>
      <c r="F203" s="476">
        <v>485</v>
      </c>
      <c r="G203" s="476">
        <v>485</v>
      </c>
      <c r="H203" s="476">
        <v>486</v>
      </c>
      <c r="I203" s="476">
        <v>486</v>
      </c>
      <c r="J203" s="476">
        <v>487</v>
      </c>
      <c r="K203" s="476">
        <v>487</v>
      </c>
    </row>
    <row r="204" spans="1:11">
      <c r="A204" s="479">
        <v>6686</v>
      </c>
      <c r="B204" s="476">
        <v>488</v>
      </c>
      <c r="C204" s="476">
        <v>488</v>
      </c>
      <c r="D204" s="476">
        <v>489</v>
      </c>
      <c r="E204" s="476">
        <v>489</v>
      </c>
      <c r="F204" s="476">
        <v>490</v>
      </c>
      <c r="G204" s="476">
        <v>490</v>
      </c>
      <c r="H204" s="476">
        <v>491</v>
      </c>
      <c r="I204" s="476">
        <v>492</v>
      </c>
      <c r="J204" s="476">
        <v>492</v>
      </c>
      <c r="K204" s="476">
        <v>493</v>
      </c>
    </row>
    <row r="205" spans="1:11">
      <c r="A205" s="479">
        <v>6686.1</v>
      </c>
      <c r="B205" s="476">
        <v>493</v>
      </c>
      <c r="C205" s="476">
        <v>494</v>
      </c>
      <c r="D205" s="476">
        <v>494</v>
      </c>
      <c r="E205" s="476">
        <v>495</v>
      </c>
      <c r="F205" s="476">
        <v>495</v>
      </c>
      <c r="G205" s="476">
        <v>496</v>
      </c>
      <c r="H205" s="476">
        <v>496</v>
      </c>
      <c r="I205" s="476">
        <v>497</v>
      </c>
      <c r="J205" s="476">
        <v>498</v>
      </c>
      <c r="K205" s="476">
        <v>498</v>
      </c>
    </row>
    <row r="206" spans="1:11">
      <c r="A206" s="479">
        <v>6686.2</v>
      </c>
      <c r="B206" s="476">
        <v>499</v>
      </c>
      <c r="C206" s="476">
        <v>499</v>
      </c>
      <c r="D206" s="476">
        <v>500</v>
      </c>
      <c r="E206" s="476">
        <v>500</v>
      </c>
      <c r="F206" s="476">
        <v>501</v>
      </c>
      <c r="G206" s="476">
        <v>501</v>
      </c>
      <c r="H206" s="476">
        <v>502</v>
      </c>
      <c r="I206" s="476">
        <v>502</v>
      </c>
      <c r="J206" s="476">
        <v>503</v>
      </c>
      <c r="K206" s="476">
        <v>504</v>
      </c>
    </row>
    <row r="207" spans="1:11">
      <c r="A207" s="479">
        <v>6686.3</v>
      </c>
      <c r="B207" s="476">
        <v>504</v>
      </c>
      <c r="C207" s="476">
        <v>505</v>
      </c>
      <c r="D207" s="476">
        <v>505</v>
      </c>
      <c r="E207" s="476">
        <v>506</v>
      </c>
      <c r="F207" s="476">
        <v>506</v>
      </c>
      <c r="G207" s="476">
        <v>507</v>
      </c>
      <c r="H207" s="476">
        <v>507</v>
      </c>
      <c r="I207" s="476">
        <v>508</v>
      </c>
      <c r="J207" s="476">
        <v>508</v>
      </c>
      <c r="K207" s="476">
        <v>509</v>
      </c>
    </row>
    <row r="208" spans="1:11">
      <c r="A208" s="479">
        <v>6686.4</v>
      </c>
      <c r="B208" s="476">
        <v>510</v>
      </c>
      <c r="C208" s="476">
        <v>510</v>
      </c>
      <c r="D208" s="476">
        <v>511</v>
      </c>
      <c r="E208" s="476">
        <v>511</v>
      </c>
      <c r="F208" s="476">
        <v>512</v>
      </c>
      <c r="G208" s="476">
        <v>512</v>
      </c>
      <c r="H208" s="476">
        <v>513</v>
      </c>
      <c r="I208" s="476">
        <v>513</v>
      </c>
      <c r="J208" s="476">
        <v>514</v>
      </c>
      <c r="K208" s="476">
        <v>514</v>
      </c>
    </row>
    <row r="209" spans="1:11">
      <c r="A209" s="479">
        <v>6686.5</v>
      </c>
      <c r="B209" s="476">
        <v>515</v>
      </c>
      <c r="C209" s="476">
        <v>515</v>
      </c>
      <c r="D209" s="476">
        <v>516</v>
      </c>
      <c r="E209" s="476">
        <v>517</v>
      </c>
      <c r="F209" s="476">
        <v>517</v>
      </c>
      <c r="G209" s="476">
        <v>518</v>
      </c>
      <c r="H209" s="476">
        <v>518</v>
      </c>
      <c r="I209" s="476">
        <v>519</v>
      </c>
      <c r="J209" s="476">
        <v>519</v>
      </c>
      <c r="K209" s="476">
        <v>520</v>
      </c>
    </row>
    <row r="210" spans="1:11">
      <c r="A210" s="479">
        <v>6686.6</v>
      </c>
      <c r="B210" s="476">
        <v>520</v>
      </c>
      <c r="C210" s="476">
        <v>521</v>
      </c>
      <c r="D210" s="476">
        <v>521</v>
      </c>
      <c r="E210" s="476">
        <v>522</v>
      </c>
      <c r="F210" s="476">
        <v>523</v>
      </c>
      <c r="G210" s="476">
        <v>523</v>
      </c>
      <c r="H210" s="476">
        <v>524</v>
      </c>
      <c r="I210" s="476">
        <v>524</v>
      </c>
      <c r="J210" s="476">
        <v>525</v>
      </c>
      <c r="K210" s="476">
        <v>525</v>
      </c>
    </row>
    <row r="211" spans="1:11">
      <c r="A211" s="479">
        <v>6686.7</v>
      </c>
      <c r="B211" s="476">
        <v>526</v>
      </c>
      <c r="C211" s="476">
        <v>526</v>
      </c>
      <c r="D211" s="476">
        <v>527</v>
      </c>
      <c r="E211" s="476">
        <v>527</v>
      </c>
      <c r="F211" s="476">
        <v>528</v>
      </c>
      <c r="G211" s="476">
        <v>529</v>
      </c>
      <c r="H211" s="476">
        <v>529</v>
      </c>
      <c r="I211" s="476">
        <v>530</v>
      </c>
      <c r="J211" s="476">
        <v>530</v>
      </c>
      <c r="K211" s="476">
        <v>531</v>
      </c>
    </row>
    <row r="212" spans="1:11">
      <c r="A212" s="479">
        <v>6686.8</v>
      </c>
      <c r="B212" s="476">
        <v>531</v>
      </c>
      <c r="C212" s="476">
        <v>532</v>
      </c>
      <c r="D212" s="476">
        <v>532</v>
      </c>
      <c r="E212" s="476">
        <v>533</v>
      </c>
      <c r="F212" s="476">
        <v>533</v>
      </c>
      <c r="G212" s="476">
        <v>534</v>
      </c>
      <c r="H212" s="476">
        <v>535</v>
      </c>
      <c r="I212" s="476">
        <v>535</v>
      </c>
      <c r="J212" s="476">
        <v>536</v>
      </c>
      <c r="K212" s="476">
        <v>536</v>
      </c>
    </row>
    <row r="213" spans="1:11">
      <c r="A213" s="479">
        <v>6686.9</v>
      </c>
      <c r="B213" s="476">
        <v>537</v>
      </c>
      <c r="C213" s="476">
        <v>537</v>
      </c>
      <c r="D213" s="476">
        <v>538</v>
      </c>
      <c r="E213" s="476">
        <v>538</v>
      </c>
      <c r="F213" s="476">
        <v>539</v>
      </c>
      <c r="G213" s="476">
        <v>539</v>
      </c>
      <c r="H213" s="476">
        <v>540</v>
      </c>
      <c r="I213" s="476">
        <v>541</v>
      </c>
      <c r="J213" s="476">
        <v>541</v>
      </c>
      <c r="K213" s="476">
        <v>542</v>
      </c>
    </row>
    <row r="214" spans="1:11">
      <c r="A214" s="479">
        <v>6687</v>
      </c>
      <c r="B214" s="476">
        <v>542</v>
      </c>
      <c r="C214" s="476">
        <v>543</v>
      </c>
      <c r="D214" s="476">
        <v>543</v>
      </c>
      <c r="E214" s="476">
        <v>544</v>
      </c>
      <c r="F214" s="476">
        <v>544</v>
      </c>
      <c r="G214" s="476">
        <v>545</v>
      </c>
      <c r="H214" s="476">
        <v>546</v>
      </c>
      <c r="I214" s="476">
        <v>546</v>
      </c>
      <c r="J214" s="476">
        <v>547</v>
      </c>
      <c r="K214" s="476">
        <v>547</v>
      </c>
    </row>
    <row r="215" spans="1:11">
      <c r="A215" s="479">
        <v>6687.1</v>
      </c>
      <c r="B215" s="476">
        <v>548</v>
      </c>
      <c r="C215" s="476">
        <v>549</v>
      </c>
      <c r="D215" s="476">
        <v>549</v>
      </c>
      <c r="E215" s="476">
        <v>550</v>
      </c>
      <c r="F215" s="476">
        <v>550</v>
      </c>
      <c r="G215" s="476">
        <v>551</v>
      </c>
      <c r="H215" s="476">
        <v>551</v>
      </c>
      <c r="I215" s="476">
        <v>552</v>
      </c>
      <c r="J215" s="476">
        <v>553</v>
      </c>
      <c r="K215" s="476">
        <v>553</v>
      </c>
    </row>
    <row r="216" spans="1:11">
      <c r="A216" s="479">
        <v>6687.2</v>
      </c>
      <c r="B216" s="476">
        <v>554</v>
      </c>
      <c r="C216" s="476">
        <v>554</v>
      </c>
      <c r="D216" s="476">
        <v>555</v>
      </c>
      <c r="E216" s="476">
        <v>556</v>
      </c>
      <c r="F216" s="476">
        <v>556</v>
      </c>
      <c r="G216" s="476">
        <v>557</v>
      </c>
      <c r="H216" s="476">
        <v>557</v>
      </c>
      <c r="I216" s="476">
        <v>558</v>
      </c>
      <c r="J216" s="476">
        <v>558</v>
      </c>
      <c r="K216" s="476">
        <v>559</v>
      </c>
    </row>
    <row r="217" spans="1:11">
      <c r="A217" s="479">
        <v>6687.3</v>
      </c>
      <c r="B217" s="476">
        <v>560</v>
      </c>
      <c r="C217" s="476">
        <v>560</v>
      </c>
      <c r="D217" s="476">
        <v>561</v>
      </c>
      <c r="E217" s="476">
        <v>561</v>
      </c>
      <c r="F217" s="476">
        <v>562</v>
      </c>
      <c r="G217" s="476">
        <v>563</v>
      </c>
      <c r="H217" s="476">
        <v>563</v>
      </c>
      <c r="I217" s="476">
        <v>564</v>
      </c>
      <c r="J217" s="476">
        <v>564</v>
      </c>
      <c r="K217" s="476">
        <v>565</v>
      </c>
    </row>
    <row r="218" spans="1:11">
      <c r="A218" s="479">
        <v>6687.4</v>
      </c>
      <c r="B218" s="476">
        <v>565</v>
      </c>
      <c r="C218" s="476">
        <v>566</v>
      </c>
      <c r="D218" s="476">
        <v>567</v>
      </c>
      <c r="E218" s="476">
        <v>567</v>
      </c>
      <c r="F218" s="476">
        <v>568</v>
      </c>
      <c r="G218" s="476">
        <v>568</v>
      </c>
      <c r="H218" s="476">
        <v>569</v>
      </c>
      <c r="I218" s="476">
        <v>570</v>
      </c>
      <c r="J218" s="476">
        <v>570</v>
      </c>
      <c r="K218" s="476">
        <v>571</v>
      </c>
    </row>
    <row r="219" spans="1:11">
      <c r="A219" s="479">
        <v>6687.5</v>
      </c>
      <c r="B219" s="476">
        <v>571</v>
      </c>
      <c r="C219" s="476">
        <v>572</v>
      </c>
      <c r="D219" s="476">
        <v>572</v>
      </c>
      <c r="E219" s="476">
        <v>573</v>
      </c>
      <c r="F219" s="476">
        <v>574</v>
      </c>
      <c r="G219" s="476">
        <v>574</v>
      </c>
      <c r="H219" s="476">
        <v>575</v>
      </c>
      <c r="I219" s="476">
        <v>575</v>
      </c>
      <c r="J219" s="476">
        <v>576</v>
      </c>
      <c r="K219" s="476">
        <v>576</v>
      </c>
    </row>
    <row r="220" spans="1:11">
      <c r="A220" s="479">
        <v>6687.6</v>
      </c>
      <c r="B220" s="476">
        <v>577</v>
      </c>
      <c r="C220" s="476">
        <v>578</v>
      </c>
      <c r="D220" s="476">
        <v>578</v>
      </c>
      <c r="E220" s="476">
        <v>579</v>
      </c>
      <c r="F220" s="476">
        <v>579</v>
      </c>
      <c r="G220" s="476">
        <v>580</v>
      </c>
      <c r="H220" s="476">
        <v>581</v>
      </c>
      <c r="I220" s="476">
        <v>581</v>
      </c>
      <c r="J220" s="476">
        <v>582</v>
      </c>
      <c r="K220" s="476">
        <v>582</v>
      </c>
    </row>
    <row r="221" spans="1:11">
      <c r="A221" s="479">
        <v>6687.7</v>
      </c>
      <c r="B221" s="476">
        <v>583</v>
      </c>
      <c r="C221" s="476">
        <v>583</v>
      </c>
      <c r="D221" s="476">
        <v>584</v>
      </c>
      <c r="E221" s="476">
        <v>585</v>
      </c>
      <c r="F221" s="476">
        <v>585</v>
      </c>
      <c r="G221" s="476">
        <v>586</v>
      </c>
      <c r="H221" s="476">
        <v>586</v>
      </c>
      <c r="I221" s="476">
        <v>587</v>
      </c>
      <c r="J221" s="476">
        <v>588</v>
      </c>
      <c r="K221" s="476">
        <v>588</v>
      </c>
    </row>
    <row r="222" spans="1:11">
      <c r="A222" s="479">
        <v>6687.8</v>
      </c>
      <c r="B222" s="476">
        <v>589</v>
      </c>
      <c r="C222" s="476">
        <v>589</v>
      </c>
      <c r="D222" s="476">
        <v>590</v>
      </c>
      <c r="E222" s="476">
        <v>590</v>
      </c>
      <c r="F222" s="476">
        <v>591</v>
      </c>
      <c r="G222" s="476">
        <v>592</v>
      </c>
      <c r="H222" s="476">
        <v>592</v>
      </c>
      <c r="I222" s="476">
        <v>593</v>
      </c>
      <c r="J222" s="476">
        <v>593</v>
      </c>
      <c r="K222" s="476">
        <v>594</v>
      </c>
    </row>
    <row r="223" spans="1:11">
      <c r="A223" s="479">
        <v>6687.9</v>
      </c>
      <c r="B223" s="476">
        <v>595</v>
      </c>
      <c r="C223" s="476">
        <v>595</v>
      </c>
      <c r="D223" s="476">
        <v>596</v>
      </c>
      <c r="E223" s="476">
        <v>596</v>
      </c>
      <c r="F223" s="476">
        <v>597</v>
      </c>
      <c r="G223" s="476">
        <v>597</v>
      </c>
      <c r="H223" s="476">
        <v>598</v>
      </c>
      <c r="I223" s="476">
        <v>599</v>
      </c>
      <c r="J223" s="476">
        <v>599</v>
      </c>
      <c r="K223" s="476">
        <v>600</v>
      </c>
    </row>
    <row r="224" spans="1:11">
      <c r="A224" s="479">
        <v>6688</v>
      </c>
      <c r="B224" s="476">
        <v>600</v>
      </c>
      <c r="C224" s="476">
        <v>601</v>
      </c>
      <c r="D224" s="476">
        <v>602</v>
      </c>
      <c r="E224" s="476">
        <v>602</v>
      </c>
      <c r="F224" s="476">
        <v>603</v>
      </c>
      <c r="G224" s="476">
        <v>603</v>
      </c>
      <c r="H224" s="476">
        <v>604</v>
      </c>
      <c r="I224" s="476">
        <v>605</v>
      </c>
      <c r="J224" s="476">
        <v>605</v>
      </c>
      <c r="K224" s="476">
        <v>606</v>
      </c>
    </row>
    <row r="225" spans="1:11">
      <c r="A225" s="479">
        <v>6688.1</v>
      </c>
      <c r="B225" s="476">
        <v>607</v>
      </c>
      <c r="C225" s="476">
        <v>607</v>
      </c>
      <c r="D225" s="476">
        <v>608</v>
      </c>
      <c r="E225" s="476">
        <v>608</v>
      </c>
      <c r="F225" s="476">
        <v>609</v>
      </c>
      <c r="G225" s="476">
        <v>610</v>
      </c>
      <c r="H225" s="476">
        <v>610</v>
      </c>
      <c r="I225" s="476">
        <v>611</v>
      </c>
      <c r="J225" s="476">
        <v>612</v>
      </c>
      <c r="K225" s="476">
        <v>612</v>
      </c>
    </row>
    <row r="226" spans="1:11">
      <c r="A226" s="479">
        <v>6688.2</v>
      </c>
      <c r="B226" s="476">
        <v>613</v>
      </c>
      <c r="C226" s="476">
        <v>613</v>
      </c>
      <c r="D226" s="476">
        <v>614</v>
      </c>
      <c r="E226" s="476">
        <v>615</v>
      </c>
      <c r="F226" s="476">
        <v>615</v>
      </c>
      <c r="G226" s="476">
        <v>616</v>
      </c>
      <c r="H226" s="476">
        <v>617</v>
      </c>
      <c r="I226" s="476">
        <v>617</v>
      </c>
      <c r="J226" s="476">
        <v>618</v>
      </c>
      <c r="K226" s="476">
        <v>618</v>
      </c>
    </row>
    <row r="227" spans="1:11">
      <c r="A227" s="479">
        <v>6688.3</v>
      </c>
      <c r="B227" s="476">
        <v>619</v>
      </c>
      <c r="C227" s="476">
        <v>620</v>
      </c>
      <c r="D227" s="476">
        <v>620</v>
      </c>
      <c r="E227" s="476">
        <v>621</v>
      </c>
      <c r="F227" s="476">
        <v>622</v>
      </c>
      <c r="G227" s="476">
        <v>622</v>
      </c>
      <c r="H227" s="476">
        <v>623</v>
      </c>
      <c r="I227" s="476">
        <v>623</v>
      </c>
      <c r="J227" s="476">
        <v>624</v>
      </c>
      <c r="K227" s="476">
        <v>625</v>
      </c>
    </row>
    <row r="228" spans="1:11">
      <c r="A228" s="479">
        <v>6688.4</v>
      </c>
      <c r="B228" s="476">
        <v>625</v>
      </c>
      <c r="C228" s="476">
        <v>626</v>
      </c>
      <c r="D228" s="476">
        <v>627</v>
      </c>
      <c r="E228" s="476">
        <v>627</v>
      </c>
      <c r="F228" s="476">
        <v>628</v>
      </c>
      <c r="G228" s="476">
        <v>628</v>
      </c>
      <c r="H228" s="476">
        <v>629</v>
      </c>
      <c r="I228" s="476">
        <v>630</v>
      </c>
      <c r="J228" s="476">
        <v>630</v>
      </c>
      <c r="K228" s="476">
        <v>631</v>
      </c>
    </row>
    <row r="229" spans="1:11">
      <c r="A229" s="479">
        <v>6688.5</v>
      </c>
      <c r="B229" s="476">
        <v>632</v>
      </c>
      <c r="C229" s="476">
        <v>632</v>
      </c>
      <c r="D229" s="476">
        <v>633</v>
      </c>
      <c r="E229" s="476">
        <v>633</v>
      </c>
      <c r="F229" s="476">
        <v>634</v>
      </c>
      <c r="G229" s="476">
        <v>635</v>
      </c>
      <c r="H229" s="476">
        <v>635</v>
      </c>
      <c r="I229" s="476">
        <v>636</v>
      </c>
      <c r="J229" s="476">
        <v>637</v>
      </c>
      <c r="K229" s="476">
        <v>637</v>
      </c>
    </row>
    <row r="230" spans="1:11">
      <c r="A230" s="479">
        <v>6688.6</v>
      </c>
      <c r="B230" s="476">
        <v>638</v>
      </c>
      <c r="C230" s="476">
        <v>638</v>
      </c>
      <c r="D230" s="476">
        <v>639</v>
      </c>
      <c r="E230" s="476">
        <v>640</v>
      </c>
      <c r="F230" s="476">
        <v>640</v>
      </c>
      <c r="G230" s="476">
        <v>641</v>
      </c>
      <c r="H230" s="476">
        <v>642</v>
      </c>
      <c r="I230" s="476">
        <v>642</v>
      </c>
      <c r="J230" s="476">
        <v>643</v>
      </c>
      <c r="K230" s="476">
        <v>643</v>
      </c>
    </row>
    <row r="231" spans="1:11">
      <c r="A231" s="479">
        <v>6688.7</v>
      </c>
      <c r="B231" s="476">
        <v>644</v>
      </c>
      <c r="C231" s="476">
        <v>645</v>
      </c>
      <c r="D231" s="476">
        <v>645</v>
      </c>
      <c r="E231" s="476">
        <v>646</v>
      </c>
      <c r="F231" s="476">
        <v>647</v>
      </c>
      <c r="G231" s="476">
        <v>647</v>
      </c>
      <c r="H231" s="476">
        <v>648</v>
      </c>
      <c r="I231" s="476">
        <v>648</v>
      </c>
      <c r="J231" s="476">
        <v>649</v>
      </c>
      <c r="K231" s="476">
        <v>650</v>
      </c>
    </row>
    <row r="232" spans="1:11">
      <c r="A232" s="479">
        <v>6688.8</v>
      </c>
      <c r="B232" s="476">
        <v>650</v>
      </c>
      <c r="C232" s="476">
        <v>651</v>
      </c>
      <c r="D232" s="476">
        <v>652</v>
      </c>
      <c r="E232" s="476">
        <v>652</v>
      </c>
      <c r="F232" s="476">
        <v>653</v>
      </c>
      <c r="G232" s="476">
        <v>653</v>
      </c>
      <c r="H232" s="476">
        <v>654</v>
      </c>
      <c r="I232" s="476">
        <v>655</v>
      </c>
      <c r="J232" s="476">
        <v>655</v>
      </c>
      <c r="K232" s="476">
        <v>656</v>
      </c>
    </row>
    <row r="233" spans="1:11">
      <c r="A233" s="479">
        <v>6688.9</v>
      </c>
      <c r="B233" s="476">
        <v>657</v>
      </c>
      <c r="C233" s="476">
        <v>657</v>
      </c>
      <c r="D233" s="476">
        <v>658</v>
      </c>
      <c r="E233" s="476">
        <v>658</v>
      </c>
      <c r="F233" s="476">
        <v>659</v>
      </c>
      <c r="G233" s="476">
        <v>660</v>
      </c>
      <c r="H233" s="476">
        <v>660</v>
      </c>
      <c r="I233" s="476">
        <v>661</v>
      </c>
      <c r="J233" s="476">
        <v>662</v>
      </c>
      <c r="K233" s="476">
        <v>662</v>
      </c>
    </row>
    <row r="234" spans="1:11">
      <c r="A234" s="479">
        <v>6689</v>
      </c>
      <c r="B234" s="476">
        <v>663</v>
      </c>
      <c r="C234" s="476">
        <v>664</v>
      </c>
      <c r="D234" s="476">
        <v>664</v>
      </c>
      <c r="E234" s="476">
        <v>665</v>
      </c>
      <c r="F234" s="476">
        <v>666</v>
      </c>
      <c r="G234" s="476">
        <v>666</v>
      </c>
      <c r="H234" s="476">
        <v>667</v>
      </c>
      <c r="I234" s="476">
        <v>668</v>
      </c>
      <c r="J234" s="476">
        <v>668</v>
      </c>
      <c r="K234" s="476">
        <v>669</v>
      </c>
    </row>
    <row r="235" spans="1:11">
      <c r="A235" s="479">
        <v>6689.1</v>
      </c>
      <c r="B235" s="476">
        <v>670</v>
      </c>
      <c r="C235" s="476">
        <v>670</v>
      </c>
      <c r="D235" s="476">
        <v>671</v>
      </c>
      <c r="E235" s="476">
        <v>672</v>
      </c>
      <c r="F235" s="476">
        <v>672</v>
      </c>
      <c r="G235" s="476">
        <v>673</v>
      </c>
      <c r="H235" s="476">
        <v>674</v>
      </c>
      <c r="I235" s="476">
        <v>674</v>
      </c>
      <c r="J235" s="476">
        <v>675</v>
      </c>
      <c r="K235" s="476">
        <v>676</v>
      </c>
    </row>
    <row r="236" spans="1:11">
      <c r="A236" s="479">
        <v>6689.2</v>
      </c>
      <c r="B236" s="476">
        <v>676</v>
      </c>
      <c r="C236" s="476">
        <v>677</v>
      </c>
      <c r="D236" s="476">
        <v>678</v>
      </c>
      <c r="E236" s="476">
        <v>678</v>
      </c>
      <c r="F236" s="476">
        <v>679</v>
      </c>
      <c r="G236" s="476">
        <v>680</v>
      </c>
      <c r="H236" s="476">
        <v>600</v>
      </c>
      <c r="I236" s="476">
        <v>681</v>
      </c>
      <c r="J236" s="476">
        <v>682</v>
      </c>
      <c r="K236" s="476">
        <v>682</v>
      </c>
    </row>
    <row r="237" spans="1:11">
      <c r="A237" s="479">
        <v>6689.3</v>
      </c>
      <c r="B237" s="476">
        <v>683</v>
      </c>
      <c r="C237" s="476">
        <v>684</v>
      </c>
      <c r="D237" s="476">
        <v>684</v>
      </c>
      <c r="E237" s="476">
        <v>685</v>
      </c>
      <c r="F237" s="476">
        <v>686</v>
      </c>
      <c r="G237" s="476">
        <v>686</v>
      </c>
      <c r="H237" s="476">
        <v>687</v>
      </c>
      <c r="I237" s="476">
        <v>688</v>
      </c>
      <c r="J237" s="476">
        <v>688</v>
      </c>
      <c r="K237" s="476">
        <v>689</v>
      </c>
    </row>
    <row r="238" spans="1:11">
      <c r="A238" s="479">
        <v>6689.4</v>
      </c>
      <c r="B238" s="476">
        <v>690</v>
      </c>
      <c r="C238" s="476">
        <v>690</v>
      </c>
      <c r="D238" s="476">
        <v>691</v>
      </c>
      <c r="E238" s="476">
        <v>692</v>
      </c>
      <c r="F238" s="476">
        <v>693</v>
      </c>
      <c r="G238" s="476">
        <v>693</v>
      </c>
      <c r="H238" s="476">
        <v>694</v>
      </c>
      <c r="I238" s="476">
        <v>695</v>
      </c>
      <c r="J238" s="476">
        <v>695</v>
      </c>
      <c r="K238" s="476">
        <v>696</v>
      </c>
    </row>
    <row r="239" spans="1:11">
      <c r="A239" s="479">
        <v>6689.5</v>
      </c>
      <c r="B239" s="476">
        <v>697</v>
      </c>
      <c r="C239" s="476">
        <v>697</v>
      </c>
      <c r="D239" s="476">
        <v>698</v>
      </c>
      <c r="E239" s="476">
        <v>699</v>
      </c>
      <c r="F239" s="476">
        <v>699</v>
      </c>
      <c r="G239" s="476">
        <v>700</v>
      </c>
      <c r="H239" s="476">
        <v>701</v>
      </c>
      <c r="I239" s="476">
        <v>701</v>
      </c>
      <c r="J239" s="476">
        <v>702</v>
      </c>
      <c r="K239" s="476">
        <v>703</v>
      </c>
    </row>
    <row r="240" spans="1:11">
      <c r="A240" s="479">
        <v>6689.6</v>
      </c>
      <c r="B240" s="476">
        <v>703</v>
      </c>
      <c r="C240" s="476">
        <v>704</v>
      </c>
      <c r="D240" s="476">
        <v>705</v>
      </c>
      <c r="E240" s="476">
        <v>705</v>
      </c>
      <c r="F240" s="476">
        <v>706</v>
      </c>
      <c r="G240" s="476">
        <v>707</v>
      </c>
      <c r="H240" s="476">
        <v>707</v>
      </c>
      <c r="I240" s="476">
        <v>708</v>
      </c>
      <c r="J240" s="476">
        <v>709</v>
      </c>
      <c r="K240" s="476">
        <v>709</v>
      </c>
    </row>
    <row r="241" spans="1:11">
      <c r="A241" s="479">
        <v>6689.7</v>
      </c>
      <c r="B241" s="476">
        <v>710</v>
      </c>
      <c r="C241" s="476">
        <v>711</v>
      </c>
      <c r="D241" s="476">
        <v>711</v>
      </c>
      <c r="E241" s="476">
        <v>712</v>
      </c>
      <c r="F241" s="476">
        <v>713</v>
      </c>
      <c r="G241" s="476">
        <v>713</v>
      </c>
      <c r="H241" s="476">
        <v>714</v>
      </c>
      <c r="I241" s="476">
        <v>715</v>
      </c>
      <c r="J241" s="476">
        <v>715</v>
      </c>
      <c r="K241" s="476">
        <v>716</v>
      </c>
    </row>
    <row r="242" spans="1:11">
      <c r="A242" s="479">
        <v>6689.8</v>
      </c>
      <c r="B242" s="476">
        <v>717</v>
      </c>
      <c r="C242" s="476">
        <v>717</v>
      </c>
      <c r="D242" s="476">
        <v>718</v>
      </c>
      <c r="E242" s="476">
        <v>719</v>
      </c>
      <c r="F242" s="476">
        <v>719</v>
      </c>
      <c r="G242" s="476">
        <v>720</v>
      </c>
      <c r="H242" s="476">
        <v>721</v>
      </c>
      <c r="I242" s="476">
        <v>721</v>
      </c>
      <c r="J242" s="476">
        <v>722</v>
      </c>
      <c r="K242" s="476">
        <v>723</v>
      </c>
    </row>
    <row r="243" spans="1:11">
      <c r="A243" s="479">
        <v>6689.9</v>
      </c>
      <c r="B243" s="476">
        <v>724</v>
      </c>
      <c r="C243" s="476">
        <v>724</v>
      </c>
      <c r="D243" s="476">
        <v>725</v>
      </c>
      <c r="E243" s="476">
        <v>726</v>
      </c>
      <c r="F243" s="476">
        <v>726</v>
      </c>
      <c r="G243" s="476">
        <v>727</v>
      </c>
      <c r="H243" s="476">
        <v>728</v>
      </c>
      <c r="I243" s="476">
        <v>728</v>
      </c>
      <c r="J243" s="476">
        <v>729</v>
      </c>
      <c r="K243" s="476">
        <v>730</v>
      </c>
    </row>
    <row r="244" spans="1:11">
      <c r="A244" s="479">
        <v>6690</v>
      </c>
      <c r="B244" s="476">
        <v>730</v>
      </c>
      <c r="C244" s="476">
        <v>731</v>
      </c>
      <c r="D244" s="476">
        <v>732</v>
      </c>
      <c r="E244" s="476">
        <v>732</v>
      </c>
      <c r="F244" s="476">
        <v>733</v>
      </c>
      <c r="G244" s="476">
        <v>734</v>
      </c>
      <c r="H244" s="476">
        <v>735</v>
      </c>
      <c r="I244" s="476">
        <v>735</v>
      </c>
      <c r="J244" s="476">
        <v>736</v>
      </c>
      <c r="K244" s="476">
        <v>737</v>
      </c>
    </row>
    <row r="245" spans="1:11">
      <c r="A245" s="479">
        <v>6690.1</v>
      </c>
      <c r="B245" s="476">
        <v>738</v>
      </c>
      <c r="C245" s="476">
        <v>738</v>
      </c>
      <c r="D245" s="476">
        <v>739</v>
      </c>
      <c r="E245" s="476">
        <v>740</v>
      </c>
      <c r="F245" s="476">
        <v>740</v>
      </c>
      <c r="G245" s="476">
        <v>741</v>
      </c>
      <c r="H245" s="476">
        <v>742</v>
      </c>
      <c r="I245" s="476">
        <v>743</v>
      </c>
      <c r="J245" s="476">
        <v>743</v>
      </c>
      <c r="K245" s="476">
        <v>744</v>
      </c>
    </row>
    <row r="246" spans="1:11">
      <c r="A246" s="479">
        <v>6690.2</v>
      </c>
      <c r="B246" s="476">
        <v>745</v>
      </c>
      <c r="C246" s="476">
        <v>746</v>
      </c>
      <c r="D246" s="476">
        <v>746</v>
      </c>
      <c r="E246" s="476">
        <v>747</v>
      </c>
      <c r="F246" s="476">
        <v>748</v>
      </c>
      <c r="G246" s="476">
        <v>748</v>
      </c>
      <c r="H246" s="476">
        <v>749</v>
      </c>
      <c r="I246" s="476">
        <v>750</v>
      </c>
      <c r="J246" s="476">
        <v>751</v>
      </c>
      <c r="K246" s="476">
        <v>751</v>
      </c>
    </row>
    <row r="247" spans="1:11">
      <c r="A247" s="479">
        <v>6690.3</v>
      </c>
      <c r="B247" s="476">
        <v>752</v>
      </c>
      <c r="C247" s="476">
        <v>753</v>
      </c>
      <c r="D247" s="476">
        <v>754</v>
      </c>
      <c r="E247" s="476">
        <v>754</v>
      </c>
      <c r="F247" s="476">
        <v>755</v>
      </c>
      <c r="G247" s="476">
        <v>756</v>
      </c>
      <c r="H247" s="476">
        <v>756</v>
      </c>
      <c r="I247" s="476">
        <v>757</v>
      </c>
      <c r="J247" s="476">
        <v>758</v>
      </c>
      <c r="K247" s="476">
        <v>759</v>
      </c>
    </row>
    <row r="248" spans="1:11">
      <c r="A248" s="479">
        <v>6690.4</v>
      </c>
      <c r="B248" s="476">
        <v>759</v>
      </c>
      <c r="C248" s="476">
        <v>760</v>
      </c>
      <c r="D248" s="476">
        <v>761</v>
      </c>
      <c r="E248" s="476">
        <v>762</v>
      </c>
      <c r="F248" s="476">
        <v>762</v>
      </c>
      <c r="G248" s="476">
        <v>763</v>
      </c>
      <c r="H248" s="476">
        <v>764</v>
      </c>
      <c r="I248" s="476">
        <v>764</v>
      </c>
      <c r="J248" s="476">
        <v>765</v>
      </c>
      <c r="K248" s="476">
        <v>766</v>
      </c>
    </row>
    <row r="249" spans="1:11">
      <c r="A249" s="479">
        <v>6690.5</v>
      </c>
      <c r="B249" s="476">
        <v>767</v>
      </c>
      <c r="C249" s="476">
        <v>767</v>
      </c>
      <c r="D249" s="476">
        <v>768</v>
      </c>
      <c r="E249" s="476">
        <v>769</v>
      </c>
      <c r="F249" s="476">
        <v>770</v>
      </c>
      <c r="G249" s="476">
        <v>770</v>
      </c>
      <c r="H249" s="476">
        <v>771</v>
      </c>
      <c r="I249" s="476">
        <v>772</v>
      </c>
      <c r="J249" s="476">
        <v>772</v>
      </c>
      <c r="K249" s="476">
        <v>773</v>
      </c>
    </row>
    <row r="250" spans="1:11">
      <c r="A250" s="479">
        <v>6690.6</v>
      </c>
      <c r="B250" s="476">
        <v>774</v>
      </c>
      <c r="C250" s="476">
        <v>775</v>
      </c>
      <c r="D250" s="476">
        <v>775</v>
      </c>
      <c r="E250" s="476">
        <v>776</v>
      </c>
      <c r="F250" s="476">
        <v>777</v>
      </c>
      <c r="G250" s="476">
        <v>778</v>
      </c>
      <c r="H250" s="476">
        <v>778</v>
      </c>
      <c r="I250" s="476">
        <v>779</v>
      </c>
      <c r="J250" s="476">
        <v>780</v>
      </c>
      <c r="K250" s="476">
        <v>780</v>
      </c>
    </row>
    <row r="251" spans="1:11">
      <c r="A251" s="479">
        <v>6690.7</v>
      </c>
      <c r="B251" s="476">
        <v>781</v>
      </c>
      <c r="C251" s="476">
        <v>782</v>
      </c>
      <c r="D251" s="476">
        <v>783</v>
      </c>
      <c r="E251" s="476">
        <v>783</v>
      </c>
      <c r="F251" s="476">
        <v>784</v>
      </c>
      <c r="G251" s="476">
        <v>785</v>
      </c>
      <c r="H251" s="476">
        <v>786</v>
      </c>
      <c r="I251" s="476">
        <v>786</v>
      </c>
      <c r="J251" s="476">
        <v>787</v>
      </c>
      <c r="K251" s="476">
        <v>788</v>
      </c>
    </row>
    <row r="252" spans="1:11">
      <c r="A252" s="479">
        <v>6690.8</v>
      </c>
      <c r="B252" s="476">
        <v>789</v>
      </c>
      <c r="C252" s="476">
        <v>789</v>
      </c>
      <c r="D252" s="476">
        <v>790</v>
      </c>
      <c r="E252" s="476">
        <v>791</v>
      </c>
      <c r="F252" s="476">
        <v>791</v>
      </c>
      <c r="G252" s="476">
        <v>792</v>
      </c>
      <c r="H252" s="476">
        <v>793</v>
      </c>
      <c r="I252" s="476">
        <v>794</v>
      </c>
      <c r="J252" s="476">
        <v>794</v>
      </c>
      <c r="K252" s="476">
        <v>795</v>
      </c>
    </row>
    <row r="253" spans="1:11">
      <c r="A253" s="479">
        <v>6690.9</v>
      </c>
      <c r="B253" s="476">
        <v>796</v>
      </c>
      <c r="C253" s="476">
        <v>797</v>
      </c>
      <c r="D253" s="476">
        <v>797</v>
      </c>
      <c r="E253" s="476">
        <v>798</v>
      </c>
      <c r="F253" s="476">
        <v>799</v>
      </c>
      <c r="G253" s="476">
        <v>799</v>
      </c>
      <c r="H253" s="476">
        <v>800</v>
      </c>
      <c r="I253" s="476">
        <v>801</v>
      </c>
      <c r="J253" s="476">
        <v>802</v>
      </c>
      <c r="K253" s="476">
        <v>802</v>
      </c>
    </row>
    <row r="254" spans="1:11">
      <c r="A254" s="479">
        <v>6691</v>
      </c>
      <c r="B254" s="476">
        <v>803</v>
      </c>
      <c r="C254" s="476">
        <v>804</v>
      </c>
      <c r="D254" s="476">
        <v>805</v>
      </c>
      <c r="E254" s="476">
        <v>805</v>
      </c>
      <c r="F254" s="476">
        <v>806</v>
      </c>
      <c r="G254" s="476">
        <v>807</v>
      </c>
      <c r="H254" s="476">
        <v>808</v>
      </c>
      <c r="I254" s="476">
        <v>809</v>
      </c>
      <c r="J254" s="476">
        <v>809</v>
      </c>
      <c r="K254" s="476">
        <v>810</v>
      </c>
    </row>
    <row r="255" spans="1:11">
      <c r="A255" s="479">
        <v>6691.1</v>
      </c>
      <c r="B255" s="476">
        <v>811</v>
      </c>
      <c r="C255" s="476">
        <v>812</v>
      </c>
      <c r="D255" s="476">
        <v>813</v>
      </c>
      <c r="E255" s="476">
        <v>813</v>
      </c>
      <c r="F255" s="476">
        <v>814</v>
      </c>
      <c r="G255" s="476">
        <v>815</v>
      </c>
      <c r="H255" s="476">
        <v>816</v>
      </c>
      <c r="I255" s="476">
        <v>816</v>
      </c>
      <c r="J255" s="476">
        <v>817</v>
      </c>
      <c r="K255" s="476">
        <v>818</v>
      </c>
    </row>
    <row r="256" spans="1:11">
      <c r="A256" s="479">
        <v>6691.2</v>
      </c>
      <c r="B256" s="476">
        <v>819</v>
      </c>
      <c r="C256" s="476">
        <v>820</v>
      </c>
      <c r="D256" s="476">
        <v>820</v>
      </c>
      <c r="E256" s="476">
        <v>821</v>
      </c>
      <c r="F256" s="476">
        <v>822</v>
      </c>
      <c r="G256" s="476">
        <v>823</v>
      </c>
      <c r="H256" s="476">
        <v>824</v>
      </c>
      <c r="I256" s="476">
        <v>824</v>
      </c>
      <c r="J256" s="476">
        <v>825</v>
      </c>
      <c r="K256" s="476">
        <v>826</v>
      </c>
    </row>
    <row r="257" spans="1:11">
      <c r="A257" s="479">
        <v>6691.3</v>
      </c>
      <c r="B257" s="476">
        <v>827</v>
      </c>
      <c r="C257" s="476">
        <v>828</v>
      </c>
      <c r="D257" s="476">
        <v>828</v>
      </c>
      <c r="E257" s="476">
        <v>829</v>
      </c>
      <c r="F257" s="476">
        <v>830</v>
      </c>
      <c r="G257" s="476">
        <v>831</v>
      </c>
      <c r="H257" s="476">
        <v>831</v>
      </c>
      <c r="I257" s="476">
        <v>832</v>
      </c>
      <c r="J257" s="476">
        <v>833</v>
      </c>
      <c r="K257" s="476">
        <v>834</v>
      </c>
    </row>
    <row r="258" spans="1:11">
      <c r="A258" s="479">
        <v>6691.4</v>
      </c>
      <c r="B258" s="476">
        <v>835</v>
      </c>
      <c r="C258" s="476">
        <v>835</v>
      </c>
      <c r="D258" s="476">
        <v>836</v>
      </c>
      <c r="E258" s="476">
        <v>837</v>
      </c>
      <c r="F258" s="476">
        <v>838</v>
      </c>
      <c r="G258" s="476">
        <v>839</v>
      </c>
      <c r="H258" s="476">
        <v>839</v>
      </c>
      <c r="I258" s="476">
        <v>840</v>
      </c>
      <c r="J258" s="476">
        <v>841</v>
      </c>
      <c r="K258" s="476">
        <v>842</v>
      </c>
    </row>
    <row r="259" spans="1:11">
      <c r="A259" s="479">
        <v>6691.5</v>
      </c>
      <c r="B259" s="476">
        <v>843</v>
      </c>
      <c r="C259" s="476">
        <v>843</v>
      </c>
      <c r="D259" s="476">
        <v>844</v>
      </c>
      <c r="E259" s="476">
        <v>845</v>
      </c>
      <c r="F259" s="476">
        <v>846</v>
      </c>
      <c r="G259" s="476">
        <v>846</v>
      </c>
      <c r="H259" s="476">
        <v>847</v>
      </c>
      <c r="I259" s="476">
        <v>848</v>
      </c>
      <c r="J259" s="476">
        <v>849</v>
      </c>
      <c r="K259" s="476">
        <v>850</v>
      </c>
    </row>
    <row r="260" spans="1:11">
      <c r="A260" s="479">
        <v>6691.6</v>
      </c>
      <c r="B260" s="476">
        <v>850</v>
      </c>
      <c r="C260" s="476">
        <v>851</v>
      </c>
      <c r="D260" s="476">
        <v>852</v>
      </c>
      <c r="E260" s="476">
        <v>853</v>
      </c>
      <c r="F260" s="476">
        <v>854</v>
      </c>
      <c r="G260" s="476">
        <v>854</v>
      </c>
      <c r="H260" s="476">
        <v>855</v>
      </c>
      <c r="I260" s="476">
        <v>856</v>
      </c>
      <c r="J260" s="476">
        <v>857</v>
      </c>
      <c r="K260" s="476">
        <v>858</v>
      </c>
    </row>
    <row r="261" spans="1:11">
      <c r="A261" s="479">
        <v>6691.7</v>
      </c>
      <c r="B261" s="476">
        <v>858</v>
      </c>
      <c r="C261" s="476">
        <v>859</v>
      </c>
      <c r="D261" s="476">
        <v>860</v>
      </c>
      <c r="E261" s="476">
        <v>861</v>
      </c>
      <c r="F261" s="476">
        <v>861</v>
      </c>
      <c r="G261" s="476">
        <v>862</v>
      </c>
      <c r="H261" s="476">
        <v>863</v>
      </c>
      <c r="I261" s="476">
        <v>864</v>
      </c>
      <c r="J261" s="476">
        <v>865</v>
      </c>
      <c r="K261" s="476">
        <v>865</v>
      </c>
    </row>
    <row r="262" spans="1:11">
      <c r="A262" s="479">
        <v>6691.8</v>
      </c>
      <c r="B262" s="476">
        <v>866</v>
      </c>
      <c r="C262" s="476">
        <v>867</v>
      </c>
      <c r="D262" s="476">
        <v>868</v>
      </c>
      <c r="E262" s="476">
        <v>869</v>
      </c>
      <c r="F262" s="476">
        <v>869</v>
      </c>
      <c r="G262" s="476">
        <v>870</v>
      </c>
      <c r="H262" s="476">
        <v>871</v>
      </c>
      <c r="I262" s="476">
        <v>872</v>
      </c>
      <c r="J262" s="476">
        <v>873</v>
      </c>
      <c r="K262" s="476">
        <v>873</v>
      </c>
    </row>
    <row r="263" spans="1:11">
      <c r="A263" s="479">
        <v>6691.9</v>
      </c>
      <c r="B263" s="476">
        <v>874</v>
      </c>
      <c r="C263" s="476">
        <v>875</v>
      </c>
      <c r="D263" s="476">
        <v>876</v>
      </c>
      <c r="E263" s="476">
        <v>876</v>
      </c>
      <c r="F263" s="476">
        <v>877</v>
      </c>
      <c r="G263" s="476">
        <v>878</v>
      </c>
      <c r="H263" s="476">
        <v>879</v>
      </c>
      <c r="I263" s="476">
        <v>880</v>
      </c>
      <c r="J263" s="476">
        <v>880</v>
      </c>
      <c r="K263" s="476">
        <v>881</v>
      </c>
    </row>
    <row r="264" spans="1:11">
      <c r="A264" s="479">
        <v>6692</v>
      </c>
      <c r="B264" s="476">
        <v>882</v>
      </c>
      <c r="C264" s="476">
        <v>883</v>
      </c>
      <c r="D264" s="476">
        <v>884</v>
      </c>
      <c r="E264" s="476">
        <v>885</v>
      </c>
      <c r="F264" s="476">
        <v>885</v>
      </c>
      <c r="G264" s="476">
        <v>886</v>
      </c>
      <c r="H264" s="476">
        <v>887</v>
      </c>
      <c r="I264" s="476">
        <v>888</v>
      </c>
      <c r="J264" s="476">
        <v>889</v>
      </c>
      <c r="K264" s="476">
        <v>890</v>
      </c>
    </row>
    <row r="265" spans="1:11">
      <c r="A265" s="479">
        <v>6692.1</v>
      </c>
      <c r="B265" s="476">
        <v>891</v>
      </c>
      <c r="C265" s="476">
        <v>891</v>
      </c>
      <c r="D265" s="476">
        <v>892</v>
      </c>
      <c r="E265" s="476">
        <v>893</v>
      </c>
      <c r="F265" s="476">
        <v>894</v>
      </c>
      <c r="G265" s="476">
        <v>895</v>
      </c>
      <c r="H265" s="476">
        <v>896</v>
      </c>
      <c r="I265" s="476">
        <v>897</v>
      </c>
      <c r="J265" s="476">
        <v>897</v>
      </c>
      <c r="K265" s="476">
        <v>898</v>
      </c>
    </row>
    <row r="266" spans="1:11">
      <c r="A266" s="479">
        <v>6692.2</v>
      </c>
      <c r="B266" s="476">
        <v>899</v>
      </c>
      <c r="C266" s="476">
        <v>900</v>
      </c>
      <c r="D266" s="476">
        <v>901</v>
      </c>
      <c r="E266" s="476">
        <v>902</v>
      </c>
      <c r="F266" s="476">
        <v>903</v>
      </c>
      <c r="G266" s="476">
        <v>903</v>
      </c>
      <c r="H266" s="476">
        <v>904</v>
      </c>
      <c r="I266" s="476">
        <v>905</v>
      </c>
      <c r="J266" s="476">
        <v>906</v>
      </c>
      <c r="K266" s="476">
        <v>907</v>
      </c>
    </row>
    <row r="267" spans="1:11">
      <c r="A267" s="479">
        <v>6692.3</v>
      </c>
      <c r="B267" s="476">
        <v>908</v>
      </c>
      <c r="C267" s="476">
        <v>909</v>
      </c>
      <c r="D267" s="476">
        <v>909</v>
      </c>
      <c r="E267" s="476">
        <v>910</v>
      </c>
      <c r="F267" s="476">
        <v>911</v>
      </c>
      <c r="G267" s="476">
        <v>912</v>
      </c>
      <c r="H267" s="476">
        <v>913</v>
      </c>
      <c r="I267" s="476">
        <v>914</v>
      </c>
      <c r="J267" s="476">
        <v>915</v>
      </c>
      <c r="K267" s="476">
        <v>915</v>
      </c>
    </row>
    <row r="268" spans="1:11">
      <c r="A268" s="479">
        <v>6692.4</v>
      </c>
      <c r="B268" s="476">
        <v>916</v>
      </c>
      <c r="C268" s="476">
        <v>917</v>
      </c>
      <c r="D268" s="476">
        <v>918</v>
      </c>
      <c r="E268" s="476">
        <v>919</v>
      </c>
      <c r="F268" s="476">
        <v>920</v>
      </c>
      <c r="G268" s="476">
        <v>921</v>
      </c>
      <c r="H268" s="476">
        <v>921</v>
      </c>
      <c r="I268" s="476">
        <v>922</v>
      </c>
      <c r="J268" s="476">
        <v>923</v>
      </c>
      <c r="K268" s="476">
        <v>924</v>
      </c>
    </row>
    <row r="269" spans="1:11">
      <c r="A269" s="479">
        <v>6692.5</v>
      </c>
      <c r="B269" s="476">
        <v>925</v>
      </c>
      <c r="C269" s="476">
        <v>926</v>
      </c>
      <c r="D269" s="476">
        <v>927</v>
      </c>
      <c r="E269" s="476">
        <v>927</v>
      </c>
      <c r="F269" s="476">
        <v>928</v>
      </c>
      <c r="G269" s="476">
        <v>929</v>
      </c>
      <c r="H269" s="476">
        <v>930</v>
      </c>
      <c r="I269" s="476">
        <v>931</v>
      </c>
      <c r="J269" s="476">
        <v>932</v>
      </c>
      <c r="K269" s="476">
        <v>933</v>
      </c>
    </row>
    <row r="270" spans="1:11">
      <c r="A270" s="479">
        <v>6692.6</v>
      </c>
      <c r="B270" s="476">
        <v>933</v>
      </c>
      <c r="C270" s="476">
        <v>934</v>
      </c>
      <c r="D270" s="476">
        <v>935</v>
      </c>
      <c r="E270" s="476">
        <v>936</v>
      </c>
      <c r="F270" s="476">
        <v>937</v>
      </c>
      <c r="G270" s="476">
        <v>938</v>
      </c>
      <c r="H270" s="476">
        <v>939</v>
      </c>
      <c r="I270" s="476">
        <v>939</v>
      </c>
      <c r="J270" s="476">
        <v>940</v>
      </c>
      <c r="K270" s="476">
        <v>941</v>
      </c>
    </row>
    <row r="271" spans="1:11">
      <c r="A271" s="479">
        <v>6692.7</v>
      </c>
      <c r="B271" s="476">
        <v>942</v>
      </c>
      <c r="C271" s="476">
        <v>943</v>
      </c>
      <c r="D271" s="476">
        <v>944</v>
      </c>
      <c r="E271" s="476">
        <v>945</v>
      </c>
      <c r="F271" s="476">
        <v>945</v>
      </c>
      <c r="G271" s="476">
        <v>946</v>
      </c>
      <c r="H271" s="476">
        <v>947</v>
      </c>
      <c r="I271" s="476">
        <v>948</v>
      </c>
      <c r="J271" s="476">
        <v>949</v>
      </c>
      <c r="K271" s="476">
        <v>950</v>
      </c>
    </row>
    <row r="272" spans="1:11">
      <c r="A272" s="479">
        <v>6692.8</v>
      </c>
      <c r="B272" s="476">
        <v>951</v>
      </c>
      <c r="C272" s="476">
        <v>951</v>
      </c>
      <c r="D272" s="476">
        <v>952</v>
      </c>
      <c r="E272" s="476">
        <v>953</v>
      </c>
      <c r="F272" s="476">
        <v>954</v>
      </c>
      <c r="G272" s="476">
        <v>955</v>
      </c>
      <c r="H272" s="476">
        <v>956</v>
      </c>
      <c r="I272" s="476">
        <v>957</v>
      </c>
      <c r="J272" s="476">
        <v>957</v>
      </c>
      <c r="K272" s="476">
        <v>958</v>
      </c>
    </row>
    <row r="273" spans="1:11">
      <c r="A273" s="479">
        <v>6692.9</v>
      </c>
      <c r="B273" s="476">
        <v>959</v>
      </c>
      <c r="C273" s="476">
        <v>960</v>
      </c>
      <c r="D273" s="476">
        <v>961</v>
      </c>
      <c r="E273" s="476">
        <v>962</v>
      </c>
      <c r="F273" s="476">
        <v>963</v>
      </c>
      <c r="G273" s="476">
        <v>963</v>
      </c>
      <c r="H273" s="476">
        <v>964</v>
      </c>
      <c r="I273" s="476">
        <v>965</v>
      </c>
      <c r="J273" s="476">
        <v>966</v>
      </c>
      <c r="K273" s="476">
        <v>967</v>
      </c>
    </row>
    <row r="274" spans="1:11">
      <c r="A274" s="479">
        <v>6693</v>
      </c>
      <c r="B274" s="476">
        <v>968</v>
      </c>
      <c r="C274" s="476">
        <v>969</v>
      </c>
      <c r="D274" s="476">
        <v>970</v>
      </c>
      <c r="E274" s="476">
        <v>970</v>
      </c>
      <c r="F274" s="476">
        <v>971</v>
      </c>
      <c r="G274" s="476">
        <v>972</v>
      </c>
      <c r="H274" s="476">
        <v>973</v>
      </c>
      <c r="I274" s="476">
        <v>974</v>
      </c>
      <c r="J274" s="476">
        <v>975</v>
      </c>
      <c r="K274" s="476">
        <v>976</v>
      </c>
    </row>
    <row r="275" spans="1:11">
      <c r="A275" s="479">
        <v>6693.1</v>
      </c>
      <c r="B275" s="476">
        <v>977</v>
      </c>
      <c r="C275" s="476">
        <v>978</v>
      </c>
      <c r="D275" s="476">
        <v>979</v>
      </c>
      <c r="E275" s="476">
        <v>980</v>
      </c>
      <c r="F275" s="476">
        <v>981</v>
      </c>
      <c r="G275" s="476">
        <v>982</v>
      </c>
      <c r="H275" s="476">
        <v>983</v>
      </c>
      <c r="I275" s="476">
        <v>983</v>
      </c>
      <c r="J275" s="476">
        <v>984</v>
      </c>
      <c r="K275" s="476">
        <v>985</v>
      </c>
    </row>
    <row r="276" spans="1:11">
      <c r="A276" s="479">
        <v>6693.2</v>
      </c>
      <c r="B276" s="476">
        <v>986</v>
      </c>
      <c r="C276" s="476">
        <v>987</v>
      </c>
      <c r="D276" s="476">
        <v>988</v>
      </c>
      <c r="E276" s="476">
        <v>989</v>
      </c>
      <c r="F276" s="476">
        <v>990</v>
      </c>
      <c r="G276" s="476">
        <v>991</v>
      </c>
      <c r="H276" s="476">
        <v>992</v>
      </c>
      <c r="I276" s="476">
        <v>993</v>
      </c>
      <c r="J276" s="476">
        <v>994</v>
      </c>
      <c r="K276" s="476">
        <v>995</v>
      </c>
    </row>
    <row r="277" spans="1:11">
      <c r="A277" s="479">
        <v>6693.3</v>
      </c>
      <c r="B277" s="476">
        <v>996</v>
      </c>
      <c r="C277" s="476">
        <v>997</v>
      </c>
      <c r="D277" s="476">
        <v>997</v>
      </c>
      <c r="E277" s="476">
        <v>998</v>
      </c>
      <c r="F277" s="476">
        <v>999</v>
      </c>
      <c r="G277" s="476">
        <v>1000</v>
      </c>
      <c r="H277" s="476">
        <v>1001</v>
      </c>
      <c r="I277" s="476">
        <v>1002</v>
      </c>
      <c r="J277" s="476">
        <v>1003</v>
      </c>
      <c r="K277" s="476">
        <v>1004</v>
      </c>
    </row>
    <row r="278" spans="1:11">
      <c r="A278" s="479">
        <v>6693.4</v>
      </c>
      <c r="B278" s="476">
        <v>1005</v>
      </c>
      <c r="C278" s="476">
        <v>1006</v>
      </c>
      <c r="D278" s="476">
        <v>1007</v>
      </c>
      <c r="E278" s="476">
        <v>1008</v>
      </c>
      <c r="F278" s="476">
        <v>1009</v>
      </c>
      <c r="G278" s="476">
        <v>1010</v>
      </c>
      <c r="H278" s="476">
        <v>1011</v>
      </c>
      <c r="I278" s="476">
        <v>1011</v>
      </c>
      <c r="J278" s="476">
        <v>1012</v>
      </c>
      <c r="K278" s="476">
        <v>1013</v>
      </c>
    </row>
    <row r="279" spans="1:11">
      <c r="A279" s="479">
        <v>6693.5</v>
      </c>
      <c r="B279" s="476">
        <v>1014</v>
      </c>
      <c r="C279" s="476">
        <v>1015</v>
      </c>
      <c r="D279" s="476">
        <v>1016</v>
      </c>
      <c r="E279" s="476">
        <v>1017</v>
      </c>
      <c r="F279" s="476">
        <v>1018</v>
      </c>
      <c r="G279" s="476">
        <v>1019</v>
      </c>
      <c r="H279" s="476">
        <v>1020</v>
      </c>
      <c r="I279" s="476">
        <v>1021</v>
      </c>
      <c r="J279" s="476">
        <v>1022</v>
      </c>
      <c r="K279" s="476">
        <v>1023</v>
      </c>
    </row>
    <row r="280" spans="1:11">
      <c r="A280" s="479">
        <v>6693.6</v>
      </c>
      <c r="B280" s="476">
        <v>1024</v>
      </c>
      <c r="C280" s="476">
        <v>1025</v>
      </c>
      <c r="D280" s="476">
        <v>1025</v>
      </c>
      <c r="E280" s="476">
        <v>1026</v>
      </c>
      <c r="F280" s="476">
        <v>1027</v>
      </c>
      <c r="G280" s="476">
        <v>1028</v>
      </c>
      <c r="H280" s="476">
        <v>1029</v>
      </c>
      <c r="I280" s="476">
        <v>1030</v>
      </c>
      <c r="J280" s="476">
        <v>1031</v>
      </c>
      <c r="K280" s="476">
        <v>1032</v>
      </c>
    </row>
    <row r="281" spans="1:11">
      <c r="A281" s="479">
        <v>6693.7</v>
      </c>
      <c r="B281" s="476">
        <v>1033</v>
      </c>
      <c r="C281" s="476">
        <v>1034</v>
      </c>
      <c r="D281" s="476">
        <v>1035</v>
      </c>
      <c r="E281" s="476">
        <v>1036</v>
      </c>
      <c r="F281" s="476">
        <v>1037</v>
      </c>
      <c r="G281" s="476">
        <v>1038</v>
      </c>
      <c r="H281" s="476">
        <v>1038</v>
      </c>
      <c r="I281" s="476">
        <v>1039</v>
      </c>
      <c r="J281" s="476">
        <v>1040</v>
      </c>
      <c r="K281" s="476">
        <v>1041</v>
      </c>
    </row>
    <row r="282" spans="1:11">
      <c r="A282" s="479">
        <v>6693.8</v>
      </c>
      <c r="B282" s="476">
        <v>1042</v>
      </c>
      <c r="C282" s="476">
        <v>1043</v>
      </c>
      <c r="D282" s="476">
        <v>1044</v>
      </c>
      <c r="E282" s="476">
        <v>1045</v>
      </c>
      <c r="F282" s="476">
        <v>1046</v>
      </c>
      <c r="G282" s="476">
        <v>1047</v>
      </c>
      <c r="H282" s="476">
        <v>1048</v>
      </c>
      <c r="I282" s="476">
        <v>1049</v>
      </c>
      <c r="J282" s="476">
        <v>1050</v>
      </c>
      <c r="K282" s="476">
        <v>1051</v>
      </c>
    </row>
    <row r="283" spans="1:11">
      <c r="A283" s="479">
        <v>6693.9</v>
      </c>
      <c r="B283" s="476">
        <v>1052</v>
      </c>
      <c r="C283" s="476">
        <v>1052</v>
      </c>
      <c r="D283" s="476">
        <v>1053</v>
      </c>
      <c r="E283" s="476">
        <v>1054</v>
      </c>
      <c r="F283" s="476">
        <v>1055</v>
      </c>
      <c r="G283" s="476">
        <v>1056</v>
      </c>
      <c r="H283" s="476">
        <v>1057</v>
      </c>
      <c r="I283" s="476">
        <v>1058</v>
      </c>
      <c r="J283" s="476">
        <v>1059</v>
      </c>
      <c r="K283" s="476">
        <v>1060</v>
      </c>
    </row>
    <row r="284" spans="1:11">
      <c r="A284" s="479">
        <v>6694</v>
      </c>
      <c r="B284" s="476">
        <v>1061</v>
      </c>
      <c r="C284" s="476">
        <v>1062</v>
      </c>
      <c r="D284" s="476">
        <v>1063</v>
      </c>
      <c r="E284" s="476">
        <v>1064</v>
      </c>
      <c r="F284" s="476">
        <v>1065</v>
      </c>
      <c r="G284" s="476">
        <v>1066</v>
      </c>
      <c r="H284" s="476">
        <v>1067</v>
      </c>
      <c r="I284" s="476">
        <v>1068</v>
      </c>
      <c r="J284" s="476">
        <v>1069</v>
      </c>
      <c r="K284" s="476">
        <v>1070</v>
      </c>
    </row>
    <row r="285" spans="1:11">
      <c r="A285" s="479">
        <v>6694.1</v>
      </c>
      <c r="B285" s="476">
        <v>1071</v>
      </c>
      <c r="C285" s="476">
        <v>1072</v>
      </c>
      <c r="D285" s="476">
        <v>1073</v>
      </c>
      <c r="E285" s="476">
        <v>1074</v>
      </c>
      <c r="F285" s="476">
        <v>1075</v>
      </c>
      <c r="G285" s="476">
        <v>1076</v>
      </c>
      <c r="H285" s="476">
        <v>1077</v>
      </c>
      <c r="I285" s="476">
        <v>1078</v>
      </c>
      <c r="J285" s="476">
        <v>1079</v>
      </c>
      <c r="K285" s="476">
        <v>1080</v>
      </c>
    </row>
    <row r="286" spans="1:11">
      <c r="A286" s="479">
        <v>6694.2</v>
      </c>
      <c r="B286" s="476">
        <v>1081</v>
      </c>
      <c r="C286" s="476">
        <v>1082</v>
      </c>
      <c r="D286" s="476">
        <v>1083</v>
      </c>
      <c r="E286" s="476">
        <v>1084</v>
      </c>
      <c r="F286" s="476">
        <v>1085</v>
      </c>
      <c r="G286" s="476">
        <v>1086</v>
      </c>
      <c r="H286" s="476">
        <v>1087</v>
      </c>
      <c r="I286" s="476">
        <v>1088</v>
      </c>
      <c r="J286" s="476">
        <v>1089</v>
      </c>
      <c r="K286" s="476">
        <v>1090</v>
      </c>
    </row>
    <row r="287" spans="1:11">
      <c r="A287" s="479">
        <v>6694.3</v>
      </c>
      <c r="B287" s="476">
        <v>1091</v>
      </c>
      <c r="C287" s="476">
        <v>1092</v>
      </c>
      <c r="D287" s="476">
        <v>1093</v>
      </c>
      <c r="E287" s="476">
        <v>1094</v>
      </c>
      <c r="F287" s="476">
        <v>1095</v>
      </c>
      <c r="G287" s="476">
        <v>1096</v>
      </c>
      <c r="H287" s="476">
        <v>1097</v>
      </c>
      <c r="I287" s="476">
        <v>1098</v>
      </c>
      <c r="J287" s="476">
        <v>1099</v>
      </c>
      <c r="K287" s="476">
        <v>1100</v>
      </c>
    </row>
    <row r="288" spans="1:11">
      <c r="A288" s="479">
        <v>6694.4</v>
      </c>
      <c r="B288" s="476">
        <v>1101</v>
      </c>
      <c r="C288" s="476">
        <v>1102</v>
      </c>
      <c r="D288" s="476">
        <v>1103</v>
      </c>
      <c r="E288" s="476">
        <v>1104</v>
      </c>
      <c r="F288" s="476">
        <v>1105</v>
      </c>
      <c r="G288" s="476">
        <v>1107</v>
      </c>
      <c r="H288" s="476">
        <v>1108</v>
      </c>
      <c r="I288" s="476">
        <v>1109</v>
      </c>
      <c r="J288" s="476">
        <v>1110</v>
      </c>
      <c r="K288" s="476">
        <v>1111</v>
      </c>
    </row>
    <row r="289" spans="1:11">
      <c r="A289" s="479">
        <v>6694.5</v>
      </c>
      <c r="B289" s="476">
        <v>1112</v>
      </c>
      <c r="C289" s="476">
        <v>1113</v>
      </c>
      <c r="D289" s="476">
        <v>1114</v>
      </c>
      <c r="E289" s="476">
        <v>1115</v>
      </c>
      <c r="F289" s="476">
        <v>1116</v>
      </c>
      <c r="G289" s="476">
        <v>1117</v>
      </c>
      <c r="H289" s="476">
        <v>1118</v>
      </c>
      <c r="I289" s="476">
        <v>1119</v>
      </c>
      <c r="J289" s="476">
        <v>1120</v>
      </c>
      <c r="K289" s="476">
        <v>1121</v>
      </c>
    </row>
    <row r="290" spans="1:11">
      <c r="A290" s="479">
        <v>6694.6</v>
      </c>
      <c r="B290" s="476">
        <v>1122</v>
      </c>
      <c r="C290" s="476">
        <v>1123</v>
      </c>
      <c r="D290" s="476">
        <v>1124</v>
      </c>
      <c r="E290" s="476">
        <v>1125</v>
      </c>
      <c r="F290" s="476">
        <v>1126</v>
      </c>
      <c r="G290" s="476">
        <v>1127</v>
      </c>
      <c r="H290" s="476">
        <v>1128</v>
      </c>
      <c r="I290" s="476">
        <v>1129</v>
      </c>
      <c r="J290" s="476">
        <v>1130</v>
      </c>
      <c r="K290" s="476">
        <v>1131</v>
      </c>
    </row>
    <row r="291" spans="1:11">
      <c r="A291" s="479">
        <v>6694.7</v>
      </c>
      <c r="B291" s="476">
        <v>1132</v>
      </c>
      <c r="C291" s="476">
        <v>1133</v>
      </c>
      <c r="D291" s="476">
        <v>1134</v>
      </c>
      <c r="E291" s="476">
        <v>1135</v>
      </c>
      <c r="F291" s="476">
        <v>1136</v>
      </c>
      <c r="G291" s="476">
        <v>1137</v>
      </c>
      <c r="H291" s="476">
        <v>1138</v>
      </c>
      <c r="I291" s="476">
        <v>1139</v>
      </c>
      <c r="J291" s="476">
        <v>1140</v>
      </c>
      <c r="K291" s="476">
        <v>1141</v>
      </c>
    </row>
    <row r="292" spans="1:11">
      <c r="A292" s="479">
        <v>6694.8</v>
      </c>
      <c r="B292" s="476">
        <v>1142</v>
      </c>
      <c r="C292" s="476">
        <v>1143</v>
      </c>
      <c r="D292" s="476">
        <v>1144</v>
      </c>
      <c r="E292" s="476">
        <v>1145</v>
      </c>
      <c r="F292" s="476">
        <v>1146</v>
      </c>
      <c r="G292" s="476">
        <v>1147</v>
      </c>
      <c r="H292" s="476">
        <v>1148</v>
      </c>
      <c r="I292" s="476">
        <v>1149</v>
      </c>
      <c r="J292" s="476">
        <v>1150</v>
      </c>
      <c r="K292" s="476">
        <v>1151</v>
      </c>
    </row>
    <row r="293" spans="1:11">
      <c r="A293" s="479">
        <v>6694.9</v>
      </c>
      <c r="B293" s="476">
        <v>1152</v>
      </c>
      <c r="C293" s="476">
        <v>1153</v>
      </c>
      <c r="D293" s="476">
        <v>1154</v>
      </c>
      <c r="E293" s="476">
        <v>1155</v>
      </c>
      <c r="F293" s="476">
        <v>1156</v>
      </c>
      <c r="G293" s="476">
        <v>1157</v>
      </c>
      <c r="H293" s="476">
        <v>1158</v>
      </c>
      <c r="I293" s="476">
        <v>1159</v>
      </c>
      <c r="J293" s="476">
        <v>1160</v>
      </c>
      <c r="K293" s="476">
        <v>1161</v>
      </c>
    </row>
    <row r="294" spans="1:11">
      <c r="A294" s="479">
        <v>6695</v>
      </c>
      <c r="B294" s="476">
        <v>1162</v>
      </c>
      <c r="C294" s="476">
        <v>1163</v>
      </c>
      <c r="D294" s="476">
        <v>1165</v>
      </c>
      <c r="E294" s="476">
        <v>1166</v>
      </c>
      <c r="F294" s="476">
        <v>1167</v>
      </c>
      <c r="G294" s="476">
        <v>1168</v>
      </c>
      <c r="H294" s="476">
        <v>1169</v>
      </c>
      <c r="I294" s="476">
        <v>1170</v>
      </c>
      <c r="J294" s="476">
        <v>1171</v>
      </c>
      <c r="K294" s="476">
        <v>1172</v>
      </c>
    </row>
    <row r="295" spans="1:11">
      <c r="A295" s="479">
        <v>6695.1</v>
      </c>
      <c r="B295" s="476">
        <v>1173</v>
      </c>
      <c r="C295" s="476">
        <v>1175</v>
      </c>
      <c r="D295" s="476">
        <v>1176</v>
      </c>
      <c r="E295" s="476">
        <v>1177</v>
      </c>
      <c r="F295" s="476">
        <v>1178</v>
      </c>
      <c r="G295" s="476">
        <v>1179</v>
      </c>
      <c r="H295" s="476">
        <v>1180</v>
      </c>
      <c r="I295" s="476">
        <v>1181</v>
      </c>
      <c r="J295" s="476">
        <v>1182</v>
      </c>
      <c r="K295" s="476">
        <v>1183</v>
      </c>
    </row>
    <row r="296" spans="1:11">
      <c r="A296" s="479">
        <v>6695.2</v>
      </c>
      <c r="B296" s="476">
        <v>1184</v>
      </c>
      <c r="C296" s="476">
        <v>1186</v>
      </c>
      <c r="D296" s="476">
        <v>1187</v>
      </c>
      <c r="E296" s="476">
        <v>1188</v>
      </c>
      <c r="F296" s="476">
        <v>1189</v>
      </c>
      <c r="G296" s="476">
        <v>1190</v>
      </c>
      <c r="H296" s="476">
        <v>1191</v>
      </c>
      <c r="I296" s="476">
        <v>1192</v>
      </c>
      <c r="J296" s="476">
        <v>1193</v>
      </c>
      <c r="K296" s="476">
        <v>1194</v>
      </c>
    </row>
    <row r="297" spans="1:11">
      <c r="A297" s="479">
        <v>6695.3</v>
      </c>
      <c r="B297" s="476">
        <v>1196</v>
      </c>
      <c r="C297" s="476">
        <v>1197</v>
      </c>
      <c r="D297" s="476">
        <v>1198</v>
      </c>
      <c r="E297" s="476">
        <v>1199</v>
      </c>
      <c r="F297" s="476">
        <v>1200</v>
      </c>
      <c r="G297" s="476">
        <v>1201</v>
      </c>
      <c r="H297" s="476">
        <v>1202</v>
      </c>
      <c r="I297" s="476">
        <v>1203</v>
      </c>
      <c r="J297" s="476">
        <v>1204</v>
      </c>
      <c r="K297" s="476">
        <v>1205</v>
      </c>
    </row>
    <row r="298" spans="1:11">
      <c r="A298" s="479">
        <v>6695.4</v>
      </c>
      <c r="B298" s="476">
        <v>1207</v>
      </c>
      <c r="C298" s="476">
        <v>1208</v>
      </c>
      <c r="D298" s="476">
        <v>1209</v>
      </c>
      <c r="E298" s="476">
        <v>1210</v>
      </c>
      <c r="F298" s="476">
        <v>1211</v>
      </c>
      <c r="G298" s="476">
        <v>1212</v>
      </c>
      <c r="H298" s="476">
        <v>1213</v>
      </c>
      <c r="I298" s="476">
        <v>1214</v>
      </c>
      <c r="J298" s="476">
        <v>1215</v>
      </c>
      <c r="K298" s="476">
        <v>1217</v>
      </c>
    </row>
    <row r="299" spans="1:11">
      <c r="A299" s="479">
        <v>6695.5</v>
      </c>
      <c r="B299" s="476">
        <v>1218</v>
      </c>
      <c r="C299" s="476">
        <v>1219</v>
      </c>
      <c r="D299" s="476">
        <v>1220</v>
      </c>
      <c r="E299" s="476">
        <v>1221</v>
      </c>
      <c r="F299" s="476">
        <v>1222</v>
      </c>
      <c r="G299" s="476">
        <v>1223</v>
      </c>
      <c r="H299" s="476">
        <v>1224</v>
      </c>
      <c r="I299" s="476">
        <v>1225</v>
      </c>
      <c r="J299" s="476">
        <v>1227</v>
      </c>
      <c r="K299" s="476">
        <v>1228</v>
      </c>
    </row>
    <row r="300" spans="1:11">
      <c r="A300" s="479">
        <v>6695.6</v>
      </c>
      <c r="B300" s="476">
        <v>1229</v>
      </c>
      <c r="C300" s="476">
        <v>1230</v>
      </c>
      <c r="D300" s="476">
        <v>1231</v>
      </c>
      <c r="E300" s="476">
        <v>1232</v>
      </c>
      <c r="F300" s="476">
        <v>1233</v>
      </c>
      <c r="G300" s="476">
        <v>1234</v>
      </c>
      <c r="H300" s="476">
        <v>1235</v>
      </c>
      <c r="I300" s="476">
        <v>1236</v>
      </c>
      <c r="J300" s="476">
        <v>1238</v>
      </c>
      <c r="K300" s="476">
        <v>1239</v>
      </c>
    </row>
    <row r="301" spans="1:11">
      <c r="A301" s="479">
        <v>6695.7</v>
      </c>
      <c r="B301" s="476">
        <v>1240</v>
      </c>
      <c r="C301" s="476">
        <v>1241</v>
      </c>
      <c r="D301" s="476">
        <v>1242</v>
      </c>
      <c r="E301" s="476">
        <v>1243</v>
      </c>
      <c r="F301" s="476">
        <v>1244</v>
      </c>
      <c r="G301" s="476">
        <v>1245</v>
      </c>
      <c r="H301" s="476">
        <v>1246</v>
      </c>
      <c r="I301" s="476">
        <v>1248</v>
      </c>
      <c r="J301" s="476">
        <v>1249</v>
      </c>
      <c r="K301" s="476">
        <v>1250</v>
      </c>
    </row>
    <row r="302" spans="1:11">
      <c r="A302" s="479">
        <v>6695.8</v>
      </c>
      <c r="B302" s="476">
        <v>1251</v>
      </c>
      <c r="C302" s="476">
        <v>1252</v>
      </c>
      <c r="D302" s="476">
        <v>1253</v>
      </c>
      <c r="E302" s="476">
        <v>1254</v>
      </c>
      <c r="F302" s="476">
        <v>1255</v>
      </c>
      <c r="G302" s="476">
        <v>1256</v>
      </c>
      <c r="H302" s="476">
        <v>1257</v>
      </c>
      <c r="I302" s="476">
        <v>1259</v>
      </c>
      <c r="J302" s="476">
        <v>1260</v>
      </c>
      <c r="K302" s="476">
        <v>1261</v>
      </c>
    </row>
    <row r="303" spans="1:11">
      <c r="A303" s="479">
        <v>6695.9</v>
      </c>
      <c r="B303" s="476">
        <v>1262</v>
      </c>
      <c r="C303" s="476">
        <v>1263</v>
      </c>
      <c r="D303" s="476">
        <v>1264</v>
      </c>
      <c r="E303" s="476">
        <v>1265</v>
      </c>
      <c r="F303" s="476">
        <v>1266</v>
      </c>
      <c r="G303" s="476">
        <v>1267</v>
      </c>
      <c r="H303" s="476">
        <v>1269</v>
      </c>
      <c r="I303" s="476">
        <v>1270</v>
      </c>
      <c r="J303" s="476">
        <v>1271</v>
      </c>
      <c r="K303" s="476">
        <v>1272</v>
      </c>
    </row>
    <row r="304" spans="1:11">
      <c r="A304" s="479">
        <v>6696</v>
      </c>
      <c r="B304" s="476">
        <v>1273</v>
      </c>
      <c r="C304" s="476">
        <v>1274</v>
      </c>
      <c r="D304" s="476">
        <v>1275</v>
      </c>
      <c r="E304" s="476">
        <v>1277</v>
      </c>
      <c r="F304" s="476">
        <v>1278</v>
      </c>
      <c r="G304" s="476">
        <v>1279</v>
      </c>
      <c r="H304" s="476">
        <v>1280</v>
      </c>
      <c r="I304" s="476">
        <v>1281</v>
      </c>
      <c r="J304" s="476">
        <v>1283</v>
      </c>
      <c r="K304" s="476">
        <v>1284</v>
      </c>
    </row>
    <row r="305" spans="1:11">
      <c r="A305" s="479">
        <v>6696.1</v>
      </c>
      <c r="B305" s="476">
        <v>1285</v>
      </c>
      <c r="C305" s="476">
        <v>1286</v>
      </c>
      <c r="D305" s="476">
        <v>1287</v>
      </c>
      <c r="E305" s="476">
        <v>1289</v>
      </c>
      <c r="F305" s="476">
        <v>1290</v>
      </c>
      <c r="G305" s="476">
        <v>1291</v>
      </c>
      <c r="H305" s="476">
        <v>1292</v>
      </c>
      <c r="I305" s="476">
        <v>1293</v>
      </c>
      <c r="J305" s="476">
        <v>1295</v>
      </c>
      <c r="K305" s="476">
        <v>1296</v>
      </c>
    </row>
    <row r="306" spans="1:11">
      <c r="A306" s="479">
        <v>6696.2</v>
      </c>
      <c r="B306" s="476">
        <v>1297</v>
      </c>
      <c r="C306" s="476">
        <v>1298</v>
      </c>
      <c r="D306" s="476">
        <v>1300</v>
      </c>
      <c r="E306" s="476">
        <v>1301</v>
      </c>
      <c r="F306" s="476">
        <v>1302</v>
      </c>
      <c r="G306" s="476">
        <v>1303</v>
      </c>
      <c r="H306" s="476">
        <v>1304</v>
      </c>
      <c r="I306" s="476">
        <v>1306</v>
      </c>
      <c r="J306" s="476">
        <v>1307</v>
      </c>
      <c r="K306" s="476">
        <v>1308</v>
      </c>
    </row>
    <row r="307" spans="1:11">
      <c r="A307" s="479">
        <v>6696.3</v>
      </c>
      <c r="B307" s="476">
        <v>1309</v>
      </c>
      <c r="C307" s="476">
        <v>1310</v>
      </c>
      <c r="D307" s="476">
        <v>1312</v>
      </c>
      <c r="E307" s="476">
        <v>1313</v>
      </c>
      <c r="F307" s="476">
        <v>1314</v>
      </c>
      <c r="G307" s="476">
        <v>1315</v>
      </c>
      <c r="H307" s="476">
        <v>1316</v>
      </c>
      <c r="I307" s="476">
        <v>1318</v>
      </c>
      <c r="J307" s="476">
        <v>1319</v>
      </c>
      <c r="K307" s="476">
        <v>1320</v>
      </c>
    </row>
    <row r="308" spans="1:11">
      <c r="A308" s="479">
        <v>6696.4</v>
      </c>
      <c r="B308" s="476">
        <v>1321</v>
      </c>
      <c r="C308" s="476">
        <v>1322</v>
      </c>
      <c r="D308" s="476">
        <v>1324</v>
      </c>
      <c r="E308" s="476">
        <v>1325</v>
      </c>
      <c r="F308" s="476">
        <v>1326</v>
      </c>
      <c r="G308" s="476">
        <v>1327</v>
      </c>
      <c r="H308" s="476">
        <v>1329</v>
      </c>
      <c r="I308" s="476">
        <v>1330</v>
      </c>
      <c r="J308" s="476">
        <v>1331</v>
      </c>
      <c r="K308" s="476">
        <v>1332</v>
      </c>
    </row>
    <row r="309" spans="1:11">
      <c r="A309" s="479">
        <v>6696.5</v>
      </c>
      <c r="B309" s="476">
        <v>1333</v>
      </c>
      <c r="C309" s="476">
        <v>1335</v>
      </c>
      <c r="D309" s="476">
        <v>1336</v>
      </c>
      <c r="E309" s="476">
        <v>1337</v>
      </c>
      <c r="F309" s="476">
        <v>1338</v>
      </c>
      <c r="G309" s="476">
        <v>1339</v>
      </c>
      <c r="H309" s="476">
        <v>1341</v>
      </c>
      <c r="I309" s="476">
        <v>1342</v>
      </c>
      <c r="J309" s="476">
        <v>1343</v>
      </c>
      <c r="K309" s="476">
        <v>1344</v>
      </c>
    </row>
    <row r="310" spans="1:11">
      <c r="A310" s="479">
        <v>6696.6</v>
      </c>
      <c r="B310" s="476">
        <v>1345</v>
      </c>
      <c r="C310" s="476">
        <v>1347</v>
      </c>
      <c r="D310" s="476">
        <v>1348</v>
      </c>
      <c r="E310" s="476">
        <v>1349</v>
      </c>
      <c r="F310" s="476">
        <v>1350</v>
      </c>
      <c r="G310" s="476">
        <v>1351</v>
      </c>
      <c r="H310" s="476">
        <v>1353</v>
      </c>
      <c r="I310" s="476">
        <v>1354</v>
      </c>
      <c r="J310" s="476">
        <v>1355</v>
      </c>
      <c r="K310" s="476">
        <v>1356</v>
      </c>
    </row>
    <row r="311" spans="1:11">
      <c r="A311" s="479">
        <v>6696.7</v>
      </c>
      <c r="B311" s="476">
        <v>1357</v>
      </c>
      <c r="C311" s="476">
        <v>1359</v>
      </c>
      <c r="D311" s="476">
        <v>1360</v>
      </c>
      <c r="E311" s="476">
        <v>1361</v>
      </c>
      <c r="F311" s="476">
        <v>1362</v>
      </c>
      <c r="G311" s="476">
        <v>1364</v>
      </c>
      <c r="H311" s="476">
        <v>1365</v>
      </c>
      <c r="I311" s="476">
        <v>1366</v>
      </c>
      <c r="J311" s="476">
        <v>1367</v>
      </c>
      <c r="K311" s="476">
        <v>1368</v>
      </c>
    </row>
    <row r="312" spans="1:11">
      <c r="A312" s="479">
        <v>6696.8</v>
      </c>
      <c r="B312" s="476">
        <v>1370</v>
      </c>
      <c r="C312" s="476">
        <v>1371</v>
      </c>
      <c r="D312" s="476">
        <v>1372</v>
      </c>
      <c r="E312" s="476">
        <v>1373</v>
      </c>
      <c r="F312" s="476">
        <v>1374</v>
      </c>
      <c r="G312" s="476">
        <v>1376</v>
      </c>
      <c r="H312" s="476">
        <v>1377</v>
      </c>
      <c r="I312" s="476">
        <v>1378</v>
      </c>
      <c r="J312" s="476">
        <v>1379</v>
      </c>
      <c r="K312" s="476">
        <v>1380</v>
      </c>
    </row>
    <row r="313" spans="1:11">
      <c r="A313" s="479">
        <v>6696.9</v>
      </c>
      <c r="B313" s="476">
        <v>1382</v>
      </c>
      <c r="C313" s="476">
        <v>1383</v>
      </c>
      <c r="D313" s="476">
        <v>1384</v>
      </c>
      <c r="E313" s="476">
        <v>1385</v>
      </c>
      <c r="F313" s="476">
        <v>1386</v>
      </c>
      <c r="G313" s="476">
        <v>1388</v>
      </c>
      <c r="H313" s="476">
        <v>1389</v>
      </c>
      <c r="I313" s="476">
        <v>1390</v>
      </c>
      <c r="J313" s="476">
        <v>1391</v>
      </c>
      <c r="K313" s="476">
        <v>1392</v>
      </c>
    </row>
    <row r="314" spans="1:11">
      <c r="A314" s="479">
        <v>6697</v>
      </c>
      <c r="B314" s="476">
        <v>1394</v>
      </c>
      <c r="C314" s="476">
        <v>1395</v>
      </c>
      <c r="D314" s="476">
        <v>1396</v>
      </c>
      <c r="E314" s="476">
        <v>1398</v>
      </c>
      <c r="F314" s="476">
        <v>1399</v>
      </c>
      <c r="G314" s="476">
        <v>1400</v>
      </c>
      <c r="H314" s="476">
        <v>1402</v>
      </c>
      <c r="I314" s="476">
        <v>1403</v>
      </c>
      <c r="J314" s="476">
        <v>1404</v>
      </c>
      <c r="K314" s="476">
        <v>1406</v>
      </c>
    </row>
    <row r="315" spans="1:11">
      <c r="A315" s="479">
        <v>6697.1</v>
      </c>
      <c r="B315" s="476">
        <v>1407</v>
      </c>
      <c r="C315" s="476">
        <v>1408</v>
      </c>
      <c r="D315" s="476">
        <v>1410</v>
      </c>
      <c r="E315" s="476">
        <v>1411</v>
      </c>
      <c r="F315" s="476">
        <v>1412</v>
      </c>
      <c r="G315" s="476">
        <v>1413</v>
      </c>
      <c r="H315" s="476">
        <v>1415</v>
      </c>
      <c r="I315" s="476">
        <v>1416</v>
      </c>
      <c r="J315" s="476">
        <v>1417</v>
      </c>
      <c r="K315" s="476">
        <v>1419</v>
      </c>
    </row>
    <row r="316" spans="1:11">
      <c r="A316" s="479">
        <v>6697.2</v>
      </c>
      <c r="B316" s="476">
        <v>1420</v>
      </c>
      <c r="C316" s="476">
        <v>1421</v>
      </c>
      <c r="D316" s="476">
        <v>1423</v>
      </c>
      <c r="E316" s="476">
        <v>1424</v>
      </c>
      <c r="F316" s="476">
        <v>1425</v>
      </c>
      <c r="G316" s="476">
        <v>1427</v>
      </c>
      <c r="H316" s="476">
        <v>1428</v>
      </c>
      <c r="I316" s="476">
        <v>1429</v>
      </c>
      <c r="J316" s="476">
        <v>1431</v>
      </c>
      <c r="K316" s="476">
        <v>1432</v>
      </c>
    </row>
    <row r="317" spans="1:11">
      <c r="A317" s="479">
        <v>6697.3</v>
      </c>
      <c r="B317" s="476">
        <v>1433</v>
      </c>
      <c r="C317" s="476">
        <v>1435</v>
      </c>
      <c r="D317" s="476">
        <v>1436</v>
      </c>
      <c r="E317" s="476">
        <v>1437</v>
      </c>
      <c r="F317" s="476">
        <v>1438</v>
      </c>
      <c r="G317" s="476">
        <v>1440</v>
      </c>
      <c r="H317" s="476">
        <v>1441</v>
      </c>
      <c r="I317" s="476">
        <v>1442</v>
      </c>
      <c r="J317" s="476">
        <v>1444</v>
      </c>
      <c r="K317" s="476">
        <v>1445</v>
      </c>
    </row>
    <row r="318" spans="1:11">
      <c r="A318" s="479">
        <v>6697.4</v>
      </c>
      <c r="B318" s="476">
        <v>1446</v>
      </c>
      <c r="C318" s="476">
        <v>1448</v>
      </c>
      <c r="D318" s="476">
        <v>1449</v>
      </c>
      <c r="E318" s="476">
        <v>1450</v>
      </c>
      <c r="F318" s="476">
        <v>1452</v>
      </c>
      <c r="G318" s="476">
        <v>1453</v>
      </c>
      <c r="H318" s="476">
        <v>1454</v>
      </c>
      <c r="I318" s="476">
        <v>1456</v>
      </c>
      <c r="J318" s="476">
        <v>1457</v>
      </c>
      <c r="K318" s="476">
        <v>1458</v>
      </c>
    </row>
    <row r="319" spans="1:11">
      <c r="A319" s="479">
        <v>6697.5</v>
      </c>
      <c r="B319" s="476">
        <v>1460</v>
      </c>
      <c r="C319" s="476">
        <v>1461</v>
      </c>
      <c r="D319" s="476">
        <v>1462</v>
      </c>
      <c r="E319" s="476">
        <v>1464</v>
      </c>
      <c r="F319" s="476">
        <v>1465</v>
      </c>
      <c r="G319" s="476">
        <v>1466</v>
      </c>
      <c r="H319" s="476">
        <v>1467</v>
      </c>
      <c r="I319" s="476">
        <v>1469</v>
      </c>
      <c r="J319" s="476">
        <v>1470</v>
      </c>
      <c r="K319" s="476">
        <v>1471</v>
      </c>
    </row>
    <row r="320" spans="1:11">
      <c r="A320" s="479">
        <v>6697.6</v>
      </c>
      <c r="B320" s="476">
        <v>1473</v>
      </c>
      <c r="C320" s="476">
        <v>1474</v>
      </c>
      <c r="D320" s="476">
        <v>1475</v>
      </c>
      <c r="E320" s="476">
        <v>1477</v>
      </c>
      <c r="F320" s="476">
        <v>1478</v>
      </c>
      <c r="G320" s="476">
        <v>1479</v>
      </c>
      <c r="H320" s="476">
        <v>1481</v>
      </c>
      <c r="I320" s="476">
        <v>1482</v>
      </c>
      <c r="J320" s="476">
        <v>1483</v>
      </c>
      <c r="K320" s="476">
        <v>1485</v>
      </c>
    </row>
    <row r="321" spans="1:11">
      <c r="A321" s="479">
        <v>6697.7</v>
      </c>
      <c r="B321" s="476">
        <v>1486</v>
      </c>
      <c r="C321" s="476">
        <v>1487</v>
      </c>
      <c r="D321" s="476">
        <v>1489</v>
      </c>
      <c r="E321" s="476">
        <v>1490</v>
      </c>
      <c r="F321" s="476">
        <v>1491</v>
      </c>
      <c r="G321" s="476">
        <v>1493</v>
      </c>
      <c r="H321" s="476">
        <v>1494</v>
      </c>
      <c r="I321" s="476">
        <v>1495</v>
      </c>
      <c r="J321" s="476">
        <v>1496</v>
      </c>
      <c r="K321" s="476">
        <v>1498</v>
      </c>
    </row>
    <row r="322" spans="1:11">
      <c r="A322" s="479">
        <v>6697.8</v>
      </c>
      <c r="B322" s="476">
        <v>1499</v>
      </c>
      <c r="C322" s="476">
        <v>1500</v>
      </c>
      <c r="D322" s="476">
        <v>1502</v>
      </c>
      <c r="E322" s="476">
        <v>1503</v>
      </c>
      <c r="F322" s="476">
        <v>1504</v>
      </c>
      <c r="G322" s="476">
        <v>1506</v>
      </c>
      <c r="H322" s="476">
        <v>1507</v>
      </c>
      <c r="I322" s="476">
        <v>1508</v>
      </c>
      <c r="J322" s="476">
        <v>1510</v>
      </c>
      <c r="K322" s="476">
        <v>1511</v>
      </c>
    </row>
    <row r="323" spans="1:11">
      <c r="A323" s="479">
        <v>6697.9</v>
      </c>
      <c r="B323" s="476">
        <v>1512</v>
      </c>
      <c r="C323" s="476">
        <v>1514</v>
      </c>
      <c r="D323" s="476">
        <v>1515</v>
      </c>
      <c r="E323" s="476">
        <v>1516</v>
      </c>
      <c r="F323" s="476">
        <v>1518</v>
      </c>
      <c r="G323" s="476">
        <v>1519</v>
      </c>
      <c r="H323" s="476">
        <v>1520</v>
      </c>
      <c r="I323" s="476">
        <v>1521</v>
      </c>
      <c r="J323" s="476">
        <v>1523</v>
      </c>
      <c r="K323" s="476">
        <v>1524</v>
      </c>
    </row>
    <row r="324" spans="1:11">
      <c r="A324" s="479">
        <v>6698</v>
      </c>
      <c r="B324" s="476">
        <v>1525</v>
      </c>
      <c r="C324" s="476">
        <v>1527</v>
      </c>
      <c r="D324" s="476">
        <v>1528</v>
      </c>
      <c r="E324" s="476">
        <v>1530</v>
      </c>
      <c r="F324" s="476">
        <v>1531</v>
      </c>
      <c r="G324" s="476">
        <v>1533</v>
      </c>
      <c r="H324" s="476">
        <v>1534</v>
      </c>
      <c r="I324" s="476">
        <v>1536</v>
      </c>
      <c r="J324" s="476">
        <v>1537</v>
      </c>
      <c r="K324" s="476">
        <v>1538</v>
      </c>
    </row>
    <row r="325" spans="1:11">
      <c r="A325" s="479">
        <v>6698.1</v>
      </c>
      <c r="B325" s="476">
        <v>1540</v>
      </c>
      <c r="C325" s="476">
        <v>1541</v>
      </c>
      <c r="D325" s="476">
        <v>1543</v>
      </c>
      <c r="E325" s="476">
        <v>1544</v>
      </c>
      <c r="F325" s="476">
        <v>1546</v>
      </c>
      <c r="G325" s="476">
        <v>1547</v>
      </c>
      <c r="H325" s="476">
        <v>1548</v>
      </c>
      <c r="I325" s="476">
        <v>1550</v>
      </c>
      <c r="J325" s="476">
        <v>1551</v>
      </c>
      <c r="K325" s="476">
        <v>1553</v>
      </c>
    </row>
    <row r="326" spans="1:11">
      <c r="A326" s="479">
        <v>6698.2</v>
      </c>
      <c r="B326" s="476">
        <v>1554</v>
      </c>
      <c r="C326" s="476">
        <v>1556</v>
      </c>
      <c r="D326" s="476">
        <v>1557</v>
      </c>
      <c r="E326" s="476">
        <v>1559</v>
      </c>
      <c r="F326" s="476">
        <v>1560</v>
      </c>
      <c r="G326" s="476">
        <v>1561</v>
      </c>
      <c r="H326" s="476">
        <v>1563</v>
      </c>
      <c r="I326" s="476">
        <v>1564</v>
      </c>
      <c r="J326" s="476">
        <v>1566</v>
      </c>
      <c r="K326" s="476">
        <v>1567</v>
      </c>
    </row>
    <row r="327" spans="1:11">
      <c r="A327" s="479">
        <v>6698.3</v>
      </c>
      <c r="B327" s="476">
        <v>1569</v>
      </c>
      <c r="C327" s="476">
        <v>1570</v>
      </c>
      <c r="D327" s="476">
        <v>1571</v>
      </c>
      <c r="E327" s="476">
        <v>1573</v>
      </c>
      <c r="F327" s="476">
        <v>1574</v>
      </c>
      <c r="G327" s="476">
        <v>1576</v>
      </c>
      <c r="H327" s="476">
        <v>1577</v>
      </c>
      <c r="I327" s="476">
        <v>1579</v>
      </c>
      <c r="J327" s="476">
        <v>1580</v>
      </c>
      <c r="K327" s="476">
        <v>1582</v>
      </c>
    </row>
    <row r="328" spans="1:11">
      <c r="A328" s="479">
        <v>6698.4</v>
      </c>
      <c r="B328" s="476">
        <v>1583</v>
      </c>
      <c r="C328" s="476">
        <v>1584</v>
      </c>
      <c r="D328" s="476">
        <v>1586</v>
      </c>
      <c r="E328" s="476">
        <v>1587</v>
      </c>
      <c r="F328" s="476">
        <v>1589</v>
      </c>
      <c r="G328" s="476">
        <v>1590</v>
      </c>
      <c r="H328" s="476">
        <v>1592</v>
      </c>
      <c r="I328" s="476">
        <v>1593</v>
      </c>
      <c r="J328" s="476">
        <v>1594</v>
      </c>
      <c r="K328" s="476">
        <v>1596</v>
      </c>
    </row>
    <row r="329" spans="1:11">
      <c r="A329" s="479">
        <v>6698.5</v>
      </c>
      <c r="B329" s="476">
        <v>1597</v>
      </c>
      <c r="C329" s="476">
        <v>1599</v>
      </c>
      <c r="D329" s="476">
        <v>1600</v>
      </c>
      <c r="E329" s="476">
        <v>1602</v>
      </c>
      <c r="F329" s="476">
        <v>1603</v>
      </c>
      <c r="G329" s="476">
        <v>1605</v>
      </c>
      <c r="H329" s="476">
        <v>1606</v>
      </c>
      <c r="I329" s="476">
        <v>1607</v>
      </c>
      <c r="J329" s="476">
        <v>1609</v>
      </c>
      <c r="K329" s="476">
        <v>1610</v>
      </c>
    </row>
    <row r="330" spans="1:11">
      <c r="A330" s="479">
        <v>6698.6</v>
      </c>
      <c r="B330" s="476">
        <v>1612</v>
      </c>
      <c r="C330" s="476">
        <v>1613</v>
      </c>
      <c r="D330" s="476">
        <v>1615</v>
      </c>
      <c r="E330" s="476">
        <v>1616</v>
      </c>
      <c r="F330" s="476">
        <v>1617</v>
      </c>
      <c r="G330" s="476">
        <v>1619</v>
      </c>
      <c r="H330" s="476">
        <v>1620</v>
      </c>
      <c r="I330" s="476">
        <v>1622</v>
      </c>
      <c r="J330" s="476">
        <v>1623</v>
      </c>
      <c r="K330" s="476">
        <v>1625</v>
      </c>
    </row>
    <row r="331" spans="1:11">
      <c r="A331" s="479">
        <v>6698.7</v>
      </c>
      <c r="B331" s="476">
        <v>1626</v>
      </c>
      <c r="C331" s="476">
        <v>1628</v>
      </c>
      <c r="D331" s="476">
        <v>1629</v>
      </c>
      <c r="E331" s="476">
        <v>1630</v>
      </c>
      <c r="F331" s="476">
        <v>1632</v>
      </c>
      <c r="G331" s="476">
        <v>1633</v>
      </c>
      <c r="H331" s="476">
        <v>1635</v>
      </c>
      <c r="I331" s="476">
        <v>1636</v>
      </c>
      <c r="J331" s="476">
        <v>1638</v>
      </c>
      <c r="K331" s="476">
        <v>1639</v>
      </c>
    </row>
    <row r="332" spans="1:11">
      <c r="A332" s="479">
        <v>6698.8</v>
      </c>
      <c r="B332" s="476">
        <v>1641</v>
      </c>
      <c r="C332" s="476">
        <v>1642</v>
      </c>
      <c r="D332" s="476">
        <v>1643</v>
      </c>
      <c r="E332" s="476">
        <v>1645</v>
      </c>
      <c r="F332" s="476">
        <v>1646</v>
      </c>
      <c r="G332" s="476">
        <v>1648</v>
      </c>
      <c r="H332" s="476">
        <v>1649</v>
      </c>
      <c r="I332" s="476">
        <v>1651</v>
      </c>
      <c r="J332" s="476">
        <v>1652</v>
      </c>
      <c r="K332" s="476">
        <v>1653</v>
      </c>
    </row>
    <row r="333" spans="1:11">
      <c r="A333" s="479">
        <v>6698.9</v>
      </c>
      <c r="B333" s="476">
        <v>1655</v>
      </c>
      <c r="C333" s="476">
        <v>1656</v>
      </c>
      <c r="D333" s="476">
        <v>1658</v>
      </c>
      <c r="E333" s="476">
        <v>1659</v>
      </c>
      <c r="F333" s="476">
        <v>1661</v>
      </c>
      <c r="G333" s="476">
        <v>1662</v>
      </c>
      <c r="H333" s="476">
        <v>1664</v>
      </c>
      <c r="I333" s="476">
        <v>1665</v>
      </c>
      <c r="J333" s="476">
        <v>1666</v>
      </c>
      <c r="K333" s="476">
        <v>1668</v>
      </c>
    </row>
    <row r="334" spans="1:11">
      <c r="A334" s="479">
        <v>6699</v>
      </c>
      <c r="B334" s="476">
        <v>1669</v>
      </c>
      <c r="C334" s="476">
        <v>1671</v>
      </c>
      <c r="D334" s="476">
        <v>1672</v>
      </c>
      <c r="E334" s="476">
        <v>1674</v>
      </c>
      <c r="F334" s="476">
        <v>1676</v>
      </c>
      <c r="G334" s="476">
        <v>1677</v>
      </c>
      <c r="H334" s="476">
        <v>1679</v>
      </c>
      <c r="I334" s="476">
        <v>1680</v>
      </c>
      <c r="J334" s="476">
        <v>1682</v>
      </c>
      <c r="K334" s="476">
        <v>1683</v>
      </c>
    </row>
    <row r="335" spans="1:11">
      <c r="A335" s="479">
        <v>6699.1</v>
      </c>
      <c r="B335" s="476">
        <v>1685</v>
      </c>
      <c r="C335" s="476">
        <v>1687</v>
      </c>
      <c r="D335" s="476">
        <v>1688</v>
      </c>
      <c r="E335" s="476">
        <v>1690</v>
      </c>
      <c r="F335" s="476">
        <v>1691</v>
      </c>
      <c r="G335" s="476">
        <v>1693</v>
      </c>
      <c r="H335" s="476">
        <v>1694</v>
      </c>
      <c r="I335" s="476">
        <v>1696</v>
      </c>
      <c r="J335" s="476">
        <v>1698</v>
      </c>
      <c r="K335" s="476">
        <v>1699</v>
      </c>
    </row>
    <row r="336" spans="1:11">
      <c r="A336" s="479">
        <v>6699.2</v>
      </c>
      <c r="B336" s="476">
        <v>1701</v>
      </c>
      <c r="C336" s="476">
        <v>1702</v>
      </c>
      <c r="D336" s="476">
        <v>1704</v>
      </c>
      <c r="E336" s="476">
        <v>1705</v>
      </c>
      <c r="F336" s="476">
        <v>1707</v>
      </c>
      <c r="G336" s="476">
        <v>1709</v>
      </c>
      <c r="H336" s="476">
        <v>1710</v>
      </c>
      <c r="I336" s="476">
        <v>1712</v>
      </c>
      <c r="J336" s="476">
        <v>1713</v>
      </c>
      <c r="K336" s="476">
        <v>1715</v>
      </c>
    </row>
    <row r="337" spans="1:11">
      <c r="A337" s="479">
        <v>6699.3</v>
      </c>
      <c r="B337" s="476">
        <v>1716</v>
      </c>
      <c r="C337" s="476">
        <v>1718</v>
      </c>
      <c r="D337" s="476">
        <v>1720</v>
      </c>
      <c r="E337" s="476">
        <v>1721</v>
      </c>
      <c r="F337" s="476">
        <v>1723</v>
      </c>
      <c r="G337" s="476">
        <v>1724</v>
      </c>
      <c r="H337" s="476">
        <v>1726</v>
      </c>
      <c r="I337" s="476">
        <v>1727</v>
      </c>
      <c r="J337" s="476">
        <v>1729</v>
      </c>
      <c r="K337" s="476">
        <v>1731</v>
      </c>
    </row>
    <row r="338" spans="1:11">
      <c r="A338" s="479">
        <v>6699.4</v>
      </c>
      <c r="B338" s="476">
        <v>1732</v>
      </c>
      <c r="C338" s="476">
        <v>1734</v>
      </c>
      <c r="D338" s="476">
        <v>1735</v>
      </c>
      <c r="E338" s="476">
        <v>1737</v>
      </c>
      <c r="F338" s="476">
        <v>1738</v>
      </c>
      <c r="G338" s="476">
        <v>1740</v>
      </c>
      <c r="H338" s="476">
        <v>1742</v>
      </c>
      <c r="I338" s="476">
        <v>1743</v>
      </c>
      <c r="J338" s="476">
        <v>1745</v>
      </c>
      <c r="K338" s="476">
        <v>1746</v>
      </c>
    </row>
    <row r="339" spans="1:11">
      <c r="A339" s="479">
        <v>6699.5</v>
      </c>
      <c r="B339" s="476">
        <v>1748</v>
      </c>
      <c r="C339" s="476">
        <v>1749</v>
      </c>
      <c r="D339" s="476">
        <v>1751</v>
      </c>
      <c r="E339" s="476">
        <v>1753</v>
      </c>
      <c r="F339" s="476">
        <v>1754</v>
      </c>
      <c r="G339" s="476">
        <v>1756</v>
      </c>
      <c r="H339" s="476">
        <v>1757</v>
      </c>
      <c r="I339" s="476">
        <v>1759</v>
      </c>
      <c r="J339" s="476">
        <v>1760</v>
      </c>
      <c r="K339" s="476">
        <v>1762</v>
      </c>
    </row>
    <row r="340" spans="1:11">
      <c r="A340" s="479">
        <v>6699.6</v>
      </c>
      <c r="B340" s="476">
        <v>1763</v>
      </c>
      <c r="C340" s="476">
        <v>1765</v>
      </c>
      <c r="D340" s="476">
        <v>1767</v>
      </c>
      <c r="E340" s="476">
        <v>1768</v>
      </c>
      <c r="F340" s="476">
        <v>1770</v>
      </c>
      <c r="G340" s="476">
        <v>1771</v>
      </c>
      <c r="H340" s="476">
        <v>1773</v>
      </c>
      <c r="I340" s="476">
        <v>1774</v>
      </c>
      <c r="J340" s="476">
        <v>1776</v>
      </c>
      <c r="K340" s="476">
        <v>1778</v>
      </c>
    </row>
    <row r="341" spans="1:11">
      <c r="A341" s="479">
        <v>6699.7</v>
      </c>
      <c r="B341" s="476">
        <v>1779</v>
      </c>
      <c r="C341" s="476">
        <v>1781</v>
      </c>
      <c r="D341" s="476">
        <v>1782</v>
      </c>
      <c r="E341" s="476">
        <v>1784</v>
      </c>
      <c r="F341" s="476">
        <v>1785</v>
      </c>
      <c r="G341" s="476">
        <v>1787</v>
      </c>
      <c r="H341" s="476">
        <v>1789</v>
      </c>
      <c r="I341" s="476">
        <v>1790</v>
      </c>
      <c r="J341" s="476">
        <v>1792</v>
      </c>
      <c r="K341" s="476">
        <v>1793</v>
      </c>
    </row>
    <row r="342" spans="1:11">
      <c r="A342" s="479">
        <v>6699.8</v>
      </c>
      <c r="B342" s="476">
        <v>1795</v>
      </c>
      <c r="C342" s="476">
        <v>1796</v>
      </c>
      <c r="D342" s="476">
        <v>1798</v>
      </c>
      <c r="E342" s="476">
        <v>1800</v>
      </c>
      <c r="F342" s="476">
        <v>1801</v>
      </c>
      <c r="G342" s="476">
        <v>1803</v>
      </c>
      <c r="H342" s="476">
        <v>1804</v>
      </c>
      <c r="I342" s="476">
        <v>1806</v>
      </c>
      <c r="J342" s="476">
        <v>1807</v>
      </c>
      <c r="K342" s="476">
        <v>1809</v>
      </c>
    </row>
    <row r="343" spans="1:11">
      <c r="A343" s="479">
        <v>6699.9</v>
      </c>
      <c r="B343" s="476">
        <v>1811</v>
      </c>
      <c r="C343" s="476">
        <v>1812</v>
      </c>
      <c r="D343" s="476">
        <v>1814</v>
      </c>
      <c r="E343" s="476">
        <v>1815</v>
      </c>
      <c r="F343" s="476">
        <v>1817</v>
      </c>
      <c r="G343" s="476">
        <v>1818</v>
      </c>
      <c r="H343" s="476">
        <v>1820</v>
      </c>
      <c r="I343" s="476">
        <v>1822</v>
      </c>
      <c r="J343" s="476">
        <v>1823</v>
      </c>
      <c r="K343" s="476">
        <v>1825</v>
      </c>
    </row>
    <row r="344" spans="1:11">
      <c r="A344" s="479">
        <v>6700</v>
      </c>
      <c r="B344" s="476">
        <v>1826</v>
      </c>
      <c r="C344" s="476">
        <v>1828</v>
      </c>
      <c r="D344" s="476">
        <v>1830</v>
      </c>
      <c r="E344" s="476">
        <v>1831</v>
      </c>
      <c r="F344" s="476">
        <v>1833</v>
      </c>
      <c r="G344" s="476">
        <v>1835</v>
      </c>
      <c r="H344" s="476">
        <v>1836</v>
      </c>
      <c r="I344" s="476">
        <v>1838</v>
      </c>
      <c r="J344" s="476">
        <v>1840</v>
      </c>
      <c r="K344" s="476">
        <v>1841</v>
      </c>
    </row>
    <row r="345" spans="1:11">
      <c r="A345" s="479">
        <v>6700.1</v>
      </c>
      <c r="B345" s="476">
        <v>1843</v>
      </c>
      <c r="C345" s="476">
        <v>1845</v>
      </c>
      <c r="D345" s="476">
        <v>1846</v>
      </c>
      <c r="E345" s="476">
        <v>1848</v>
      </c>
      <c r="F345" s="476">
        <v>1850</v>
      </c>
      <c r="G345" s="476">
        <v>1851</v>
      </c>
      <c r="H345" s="476">
        <v>1853</v>
      </c>
      <c r="I345" s="476">
        <v>1855</v>
      </c>
      <c r="J345" s="476">
        <v>1856</v>
      </c>
      <c r="K345" s="476">
        <v>1858</v>
      </c>
    </row>
    <row r="346" spans="1:11">
      <c r="A346" s="479">
        <v>6700.2</v>
      </c>
      <c r="B346" s="476">
        <v>1860</v>
      </c>
      <c r="C346" s="476">
        <v>1861</v>
      </c>
      <c r="D346" s="476">
        <v>1863</v>
      </c>
      <c r="E346" s="476">
        <v>1865</v>
      </c>
      <c r="F346" s="476">
        <v>1866</v>
      </c>
      <c r="G346" s="476">
        <v>1868</v>
      </c>
      <c r="H346" s="476">
        <v>1870</v>
      </c>
      <c r="I346" s="476">
        <v>1871</v>
      </c>
      <c r="J346" s="476">
        <v>1873</v>
      </c>
      <c r="K346" s="476">
        <v>1875</v>
      </c>
    </row>
    <row r="347" spans="1:11">
      <c r="A347" s="479">
        <v>6700.3</v>
      </c>
      <c r="B347" s="476">
        <v>1876</v>
      </c>
      <c r="C347" s="476">
        <v>1878</v>
      </c>
      <c r="D347" s="476">
        <v>1880</v>
      </c>
      <c r="E347" s="476">
        <v>1881</v>
      </c>
      <c r="F347" s="476">
        <v>1883</v>
      </c>
      <c r="G347" s="476">
        <v>1885</v>
      </c>
      <c r="H347" s="476">
        <v>1887</v>
      </c>
      <c r="I347" s="476">
        <v>1888</v>
      </c>
      <c r="J347" s="476">
        <v>1890</v>
      </c>
      <c r="K347" s="476">
        <v>1892</v>
      </c>
    </row>
    <row r="348" spans="1:11">
      <c r="A348" s="479">
        <v>6700.4</v>
      </c>
      <c r="B348" s="476">
        <v>1893</v>
      </c>
      <c r="C348" s="476">
        <v>1895</v>
      </c>
      <c r="D348" s="476">
        <v>1897</v>
      </c>
      <c r="E348" s="476">
        <v>1898</v>
      </c>
      <c r="F348" s="476">
        <v>1900</v>
      </c>
      <c r="G348" s="476">
        <v>1902</v>
      </c>
      <c r="H348" s="476">
        <v>1903</v>
      </c>
      <c r="I348" s="476">
        <v>1905</v>
      </c>
      <c r="J348" s="476">
        <v>1907</v>
      </c>
      <c r="K348" s="476">
        <v>1908</v>
      </c>
    </row>
    <row r="349" spans="1:11">
      <c r="A349" s="479">
        <v>6700.5</v>
      </c>
      <c r="B349" s="476">
        <v>1910</v>
      </c>
      <c r="C349" s="476">
        <v>1912</v>
      </c>
      <c r="D349" s="476">
        <v>1913</v>
      </c>
      <c r="E349" s="476">
        <v>1915</v>
      </c>
      <c r="F349" s="476">
        <v>1917</v>
      </c>
      <c r="G349" s="476">
        <v>1918</v>
      </c>
      <c r="H349" s="476">
        <v>1920</v>
      </c>
      <c r="I349" s="476">
        <v>1922</v>
      </c>
      <c r="J349" s="476">
        <v>1923</v>
      </c>
      <c r="K349" s="476">
        <v>1925</v>
      </c>
    </row>
    <row r="350" spans="1:11">
      <c r="A350" s="479">
        <v>6700.6</v>
      </c>
      <c r="B350" s="476">
        <v>1927</v>
      </c>
      <c r="C350" s="476">
        <v>1928</v>
      </c>
      <c r="D350" s="476">
        <v>1930</v>
      </c>
      <c r="E350" s="476">
        <v>1932</v>
      </c>
      <c r="F350" s="476">
        <v>1933</v>
      </c>
      <c r="G350" s="476">
        <v>1935</v>
      </c>
      <c r="H350" s="476">
        <v>1937</v>
      </c>
      <c r="I350" s="476">
        <v>1938</v>
      </c>
      <c r="J350" s="476">
        <v>1940</v>
      </c>
      <c r="K350" s="476">
        <v>1942</v>
      </c>
    </row>
    <row r="351" spans="1:11">
      <c r="A351" s="479">
        <v>6700.7</v>
      </c>
      <c r="B351" s="476">
        <v>1943</v>
      </c>
      <c r="C351" s="476">
        <v>1945</v>
      </c>
      <c r="D351" s="476">
        <v>1967</v>
      </c>
      <c r="E351" s="476">
        <v>1948</v>
      </c>
      <c r="F351" s="476">
        <v>1950</v>
      </c>
      <c r="G351" s="476">
        <v>1952</v>
      </c>
      <c r="H351" s="476">
        <v>1953</v>
      </c>
      <c r="I351" s="476">
        <v>1955</v>
      </c>
      <c r="J351" s="476">
        <v>1957</v>
      </c>
      <c r="K351" s="476">
        <v>1958</v>
      </c>
    </row>
    <row r="352" spans="1:11">
      <c r="A352" s="479">
        <v>6700.8</v>
      </c>
      <c r="B352" s="476">
        <v>1960</v>
      </c>
      <c r="C352" s="476">
        <v>1962</v>
      </c>
      <c r="D352" s="476">
        <v>1963</v>
      </c>
      <c r="E352" s="476">
        <v>1965</v>
      </c>
      <c r="F352" s="476">
        <v>1967</v>
      </c>
      <c r="G352" s="476">
        <v>1968</v>
      </c>
      <c r="H352" s="476">
        <v>1970</v>
      </c>
      <c r="I352" s="476">
        <v>1972</v>
      </c>
      <c r="J352" s="476">
        <v>1973</v>
      </c>
      <c r="K352" s="476">
        <v>1975</v>
      </c>
    </row>
    <row r="353" spans="1:11">
      <c r="A353" s="479">
        <v>6700.9</v>
      </c>
      <c r="B353" s="476">
        <v>1977</v>
      </c>
      <c r="C353" s="476">
        <v>1978</v>
      </c>
      <c r="D353" s="476">
        <v>1980</v>
      </c>
      <c r="E353" s="476">
        <v>1982</v>
      </c>
      <c r="F353" s="476">
        <v>1984</v>
      </c>
      <c r="G353" s="476">
        <v>1985</v>
      </c>
      <c r="H353" s="476">
        <v>1987</v>
      </c>
      <c r="I353" s="476">
        <v>1989</v>
      </c>
      <c r="J353" s="476">
        <v>1990</v>
      </c>
      <c r="K353" s="476">
        <v>1992</v>
      </c>
    </row>
    <row r="354" spans="1:11">
      <c r="A354" s="479">
        <v>6701</v>
      </c>
      <c r="B354" s="476">
        <v>1994</v>
      </c>
      <c r="C354" s="476">
        <v>1995</v>
      </c>
      <c r="D354" s="476">
        <v>1997</v>
      </c>
      <c r="E354" s="476">
        <v>1999</v>
      </c>
      <c r="F354" s="476">
        <v>2001</v>
      </c>
      <c r="G354" s="476">
        <v>2002</v>
      </c>
      <c r="H354" s="476">
        <v>2004</v>
      </c>
      <c r="I354" s="476">
        <v>2006</v>
      </c>
      <c r="J354" s="476">
        <v>2007</v>
      </c>
      <c r="K354" s="476">
        <v>2009</v>
      </c>
    </row>
    <row r="355" spans="1:11">
      <c r="A355" s="479">
        <v>6701.1</v>
      </c>
      <c r="B355" s="476">
        <v>2011</v>
      </c>
      <c r="C355" s="476">
        <v>2013</v>
      </c>
      <c r="D355" s="476">
        <v>2014</v>
      </c>
      <c r="E355" s="476">
        <v>2016</v>
      </c>
      <c r="F355" s="476">
        <v>2018</v>
      </c>
      <c r="G355" s="476">
        <v>2020</v>
      </c>
      <c r="H355" s="476">
        <v>2021</v>
      </c>
      <c r="I355" s="476">
        <v>2023</v>
      </c>
      <c r="J355" s="476">
        <v>2025</v>
      </c>
      <c r="K355" s="476">
        <v>2027</v>
      </c>
    </row>
    <row r="356" spans="1:11">
      <c r="A356" s="479">
        <v>6701.2</v>
      </c>
      <c r="B356" s="476">
        <v>2028</v>
      </c>
      <c r="C356" s="476">
        <v>2030</v>
      </c>
      <c r="D356" s="476">
        <v>2032</v>
      </c>
      <c r="E356" s="476">
        <v>2034</v>
      </c>
      <c r="F356" s="476">
        <v>2035</v>
      </c>
      <c r="G356" s="476">
        <v>2037</v>
      </c>
      <c r="H356" s="476">
        <v>2039</v>
      </c>
      <c r="I356" s="476">
        <v>2041</v>
      </c>
      <c r="J356" s="476">
        <v>2042</v>
      </c>
      <c r="K356" s="476">
        <v>2044</v>
      </c>
    </row>
    <row r="357" spans="1:11">
      <c r="A357" s="479">
        <v>6701.3</v>
      </c>
      <c r="B357" s="476">
        <v>2046</v>
      </c>
      <c r="C357" s="476">
        <v>2047</v>
      </c>
      <c r="D357" s="476">
        <v>2059</v>
      </c>
      <c r="E357" s="476">
        <v>2051</v>
      </c>
      <c r="F357" s="476">
        <v>2053</v>
      </c>
      <c r="G357" s="476">
        <v>2054</v>
      </c>
      <c r="H357" s="476">
        <v>2056</v>
      </c>
      <c r="I357" s="476">
        <v>2058</v>
      </c>
      <c r="J357" s="476">
        <v>2060</v>
      </c>
      <c r="K357" s="476">
        <v>2061</v>
      </c>
    </row>
    <row r="358" spans="1:11">
      <c r="A358" s="479">
        <v>6701.4</v>
      </c>
      <c r="B358" s="476">
        <v>2063</v>
      </c>
      <c r="C358" s="476">
        <v>2065</v>
      </c>
      <c r="D358" s="476">
        <v>2067</v>
      </c>
      <c r="E358" s="476">
        <v>2068</v>
      </c>
      <c r="F358" s="476">
        <v>2070</v>
      </c>
      <c r="G358" s="476">
        <v>2072</v>
      </c>
      <c r="H358" s="476">
        <v>2074</v>
      </c>
      <c r="I358" s="476">
        <v>2075</v>
      </c>
      <c r="J358" s="476">
        <v>2077</v>
      </c>
      <c r="K358" s="476">
        <v>2079</v>
      </c>
    </row>
    <row r="359" spans="1:11">
      <c r="A359" s="479">
        <v>6701.5</v>
      </c>
      <c r="B359" s="476">
        <v>2081</v>
      </c>
      <c r="C359" s="476">
        <v>2082</v>
      </c>
      <c r="D359" s="476">
        <v>2084</v>
      </c>
      <c r="E359" s="476">
        <v>2086</v>
      </c>
      <c r="F359" s="476">
        <v>2087</v>
      </c>
      <c r="G359" s="476">
        <v>2089</v>
      </c>
      <c r="H359" s="476">
        <v>2091</v>
      </c>
      <c r="I359" s="476">
        <v>2093</v>
      </c>
      <c r="J359" s="476">
        <v>2094</v>
      </c>
      <c r="K359" s="476">
        <v>2096</v>
      </c>
    </row>
    <row r="360" spans="1:11">
      <c r="A360" s="479">
        <v>6701.6</v>
      </c>
      <c r="B360" s="476">
        <v>2098</v>
      </c>
      <c r="C360" s="476">
        <v>2100</v>
      </c>
      <c r="D360" s="476">
        <v>2101</v>
      </c>
      <c r="E360" s="476">
        <v>2103</v>
      </c>
      <c r="F360" s="476">
        <v>2105</v>
      </c>
      <c r="G360" s="476">
        <v>2107</v>
      </c>
      <c r="H360" s="476">
        <v>2108</v>
      </c>
      <c r="I360" s="476">
        <v>2110</v>
      </c>
      <c r="J360" s="476">
        <v>2112</v>
      </c>
      <c r="K360" s="476">
        <v>2114</v>
      </c>
    </row>
    <row r="361" spans="1:11">
      <c r="A361" s="479">
        <v>6701.7</v>
      </c>
      <c r="B361" s="476">
        <v>2115</v>
      </c>
      <c r="C361" s="476">
        <v>2117</v>
      </c>
      <c r="D361" s="476">
        <v>2119</v>
      </c>
      <c r="E361" s="476">
        <v>2121</v>
      </c>
      <c r="F361" s="476">
        <v>2122</v>
      </c>
      <c r="G361" s="476">
        <v>2124</v>
      </c>
      <c r="H361" s="476">
        <v>2126</v>
      </c>
      <c r="I361" s="476">
        <v>2128</v>
      </c>
      <c r="J361" s="476">
        <v>2129</v>
      </c>
      <c r="K361" s="476">
        <v>2131</v>
      </c>
    </row>
    <row r="362" spans="1:11">
      <c r="A362" s="479">
        <v>6701.8</v>
      </c>
      <c r="B362" s="476">
        <v>2133</v>
      </c>
      <c r="C362" s="476">
        <v>2134</v>
      </c>
      <c r="D362" s="476">
        <v>2136</v>
      </c>
      <c r="E362" s="476">
        <v>2138</v>
      </c>
      <c r="F362" s="476">
        <v>2140</v>
      </c>
      <c r="G362" s="476">
        <v>2141</v>
      </c>
      <c r="H362" s="476">
        <v>2143</v>
      </c>
      <c r="I362" s="476">
        <v>2145</v>
      </c>
      <c r="J362" s="476">
        <v>2147</v>
      </c>
      <c r="K362" s="476">
        <v>2148</v>
      </c>
    </row>
    <row r="363" spans="1:11">
      <c r="A363" s="479">
        <v>6701.9</v>
      </c>
      <c r="B363" s="476">
        <v>2150</v>
      </c>
      <c r="C363" s="476">
        <v>2152</v>
      </c>
      <c r="D363" s="476">
        <v>2154</v>
      </c>
      <c r="E363" s="476">
        <v>2155</v>
      </c>
      <c r="F363" s="476">
        <v>2157</v>
      </c>
      <c r="G363" s="476">
        <v>2159</v>
      </c>
      <c r="H363" s="476">
        <v>2161</v>
      </c>
      <c r="I363" s="476">
        <v>2162</v>
      </c>
      <c r="J363" s="476">
        <v>2164</v>
      </c>
      <c r="K363" s="476">
        <v>2166</v>
      </c>
    </row>
    <row r="364" spans="1:11">
      <c r="A364" s="479">
        <v>6702</v>
      </c>
      <c r="B364" s="476">
        <v>2168</v>
      </c>
      <c r="C364" s="476">
        <v>2169</v>
      </c>
      <c r="D364" s="476">
        <v>2171</v>
      </c>
      <c r="E364" s="476">
        <v>2173</v>
      </c>
      <c r="F364" s="476">
        <v>2175</v>
      </c>
      <c r="G364" s="476">
        <v>2177</v>
      </c>
      <c r="H364" s="476">
        <v>2178</v>
      </c>
      <c r="I364" s="476">
        <v>2180</v>
      </c>
      <c r="J364" s="476">
        <v>2182</v>
      </c>
      <c r="K364" s="476">
        <v>2184</v>
      </c>
    </row>
    <row r="365" spans="1:11">
      <c r="A365" s="479">
        <v>6702.1</v>
      </c>
      <c r="B365" s="476">
        <v>2186</v>
      </c>
      <c r="C365" s="476">
        <v>2187</v>
      </c>
      <c r="D365" s="476">
        <v>2189</v>
      </c>
      <c r="E365" s="476">
        <v>2191</v>
      </c>
      <c r="F365" s="476">
        <v>2193</v>
      </c>
      <c r="G365" s="476">
        <v>2195</v>
      </c>
      <c r="H365" s="476">
        <v>2197</v>
      </c>
      <c r="I365" s="476">
        <v>2198</v>
      </c>
      <c r="J365" s="476">
        <v>2200</v>
      </c>
      <c r="K365" s="476">
        <v>2202</v>
      </c>
    </row>
    <row r="366" spans="1:11">
      <c r="A366" s="479">
        <v>6702.2</v>
      </c>
      <c r="B366" s="476">
        <v>2204</v>
      </c>
      <c r="C366" s="476">
        <v>2206</v>
      </c>
      <c r="D366" s="476">
        <v>2207</v>
      </c>
      <c r="E366" s="476">
        <v>2209</v>
      </c>
      <c r="F366" s="476">
        <v>2211</v>
      </c>
      <c r="G366" s="476">
        <v>2213</v>
      </c>
      <c r="H366" s="476">
        <v>2215</v>
      </c>
      <c r="I366" s="476">
        <v>2216</v>
      </c>
      <c r="J366" s="476">
        <v>2218</v>
      </c>
      <c r="K366" s="476">
        <v>2220</v>
      </c>
    </row>
    <row r="367" spans="1:11">
      <c r="A367" s="479">
        <v>6702.3</v>
      </c>
      <c r="B367" s="476">
        <v>2222</v>
      </c>
      <c r="C367" s="476">
        <v>2224</v>
      </c>
      <c r="D367" s="476">
        <v>2225</v>
      </c>
      <c r="E367" s="476">
        <v>2227</v>
      </c>
      <c r="F367" s="476">
        <v>2229</v>
      </c>
      <c r="G367" s="476">
        <v>2231</v>
      </c>
      <c r="H367" s="476">
        <v>2233</v>
      </c>
      <c r="I367" s="476">
        <v>2235</v>
      </c>
      <c r="J367" s="476">
        <v>2236</v>
      </c>
      <c r="K367" s="476">
        <v>2238</v>
      </c>
    </row>
    <row r="368" spans="1:11">
      <c r="A368" s="479">
        <v>6702.4</v>
      </c>
      <c r="B368" s="476">
        <v>2240</v>
      </c>
      <c r="C368" s="476">
        <v>2242</v>
      </c>
      <c r="D368" s="476">
        <v>2244</v>
      </c>
      <c r="E368" s="476">
        <v>2245</v>
      </c>
      <c r="F368" s="476">
        <v>2247</v>
      </c>
      <c r="G368" s="476">
        <v>2249</v>
      </c>
      <c r="H368" s="476">
        <v>2251</v>
      </c>
      <c r="I368" s="476">
        <v>2253</v>
      </c>
      <c r="J368" s="476">
        <v>2254</v>
      </c>
      <c r="K368" s="476">
        <v>2256</v>
      </c>
    </row>
    <row r="369" spans="1:11">
      <c r="A369" s="479">
        <v>6702.5</v>
      </c>
      <c r="B369" s="476">
        <v>2258</v>
      </c>
      <c r="C369" s="476">
        <v>2260</v>
      </c>
      <c r="D369" s="476">
        <v>2262</v>
      </c>
      <c r="E369" s="476">
        <v>2264</v>
      </c>
      <c r="F369" s="476">
        <v>2265</v>
      </c>
      <c r="G369" s="476">
        <v>2267</v>
      </c>
      <c r="H369" s="476">
        <v>2269</v>
      </c>
      <c r="I369" s="476">
        <v>2271</v>
      </c>
      <c r="J369" s="476">
        <v>2273</v>
      </c>
      <c r="K369" s="476">
        <v>2274</v>
      </c>
    </row>
    <row r="370" spans="1:11">
      <c r="A370" s="479">
        <v>6702.6</v>
      </c>
      <c r="B370" s="476">
        <v>2276</v>
      </c>
      <c r="C370" s="476">
        <v>2278</v>
      </c>
      <c r="D370" s="476">
        <v>2280</v>
      </c>
      <c r="E370" s="476">
        <v>2282</v>
      </c>
      <c r="F370" s="476">
        <v>2283</v>
      </c>
      <c r="G370" s="476">
        <v>2285</v>
      </c>
      <c r="H370" s="476">
        <v>2287</v>
      </c>
      <c r="I370" s="476">
        <v>2289</v>
      </c>
      <c r="J370" s="476">
        <v>2291</v>
      </c>
      <c r="K370" s="476">
        <v>2292</v>
      </c>
    </row>
    <row r="371" spans="1:11">
      <c r="A371" s="479">
        <v>6702.7</v>
      </c>
      <c r="B371" s="476">
        <v>2294</v>
      </c>
      <c r="C371" s="476">
        <v>2296</v>
      </c>
      <c r="D371" s="476">
        <v>2298</v>
      </c>
      <c r="E371" s="476">
        <v>2300</v>
      </c>
      <c r="F371" s="476">
        <v>2302</v>
      </c>
      <c r="G371" s="476">
        <v>2303</v>
      </c>
      <c r="H371" s="476">
        <v>2305</v>
      </c>
      <c r="I371" s="476">
        <v>2307</v>
      </c>
      <c r="J371" s="476">
        <v>2309</v>
      </c>
      <c r="K371" s="476">
        <v>2311</v>
      </c>
    </row>
    <row r="372" spans="1:11">
      <c r="A372" s="479">
        <v>6702.8</v>
      </c>
      <c r="B372" s="476">
        <v>2312</v>
      </c>
      <c r="C372" s="476">
        <v>2314</v>
      </c>
      <c r="D372" s="476">
        <v>2316</v>
      </c>
      <c r="E372" s="476">
        <v>2318</v>
      </c>
      <c r="F372" s="476">
        <v>2320</v>
      </c>
      <c r="G372" s="476">
        <v>2321</v>
      </c>
      <c r="H372" s="476">
        <v>2323</v>
      </c>
      <c r="I372" s="476">
        <v>2325</v>
      </c>
      <c r="J372" s="476">
        <v>2327</v>
      </c>
      <c r="K372" s="476">
        <v>2329</v>
      </c>
    </row>
    <row r="373" spans="1:11">
      <c r="A373" s="479">
        <v>6702.9</v>
      </c>
      <c r="B373" s="476">
        <v>2331</v>
      </c>
      <c r="C373" s="476">
        <v>2332</v>
      </c>
      <c r="D373" s="476">
        <v>2334</v>
      </c>
      <c r="E373" s="476">
        <v>2336</v>
      </c>
      <c r="F373" s="476">
        <v>2338</v>
      </c>
      <c r="G373" s="476">
        <v>2340</v>
      </c>
      <c r="H373" s="476">
        <v>2341</v>
      </c>
      <c r="I373" s="476">
        <v>2343</v>
      </c>
      <c r="J373" s="476">
        <v>2345</v>
      </c>
      <c r="K373" s="476">
        <v>2347</v>
      </c>
    </row>
    <row r="374" spans="1:11">
      <c r="A374" s="479">
        <v>6703</v>
      </c>
      <c r="B374" s="476">
        <v>2349</v>
      </c>
      <c r="C374" s="476">
        <v>2351</v>
      </c>
      <c r="D374" s="476">
        <v>2352</v>
      </c>
      <c r="E374" s="476">
        <v>2354</v>
      </c>
      <c r="F374" s="476">
        <v>2356</v>
      </c>
      <c r="G374" s="476">
        <v>2358</v>
      </c>
      <c r="H374" s="476">
        <v>2360</v>
      </c>
      <c r="I374" s="476">
        <v>2362</v>
      </c>
      <c r="J374" s="476">
        <v>2364</v>
      </c>
      <c r="K374" s="476">
        <v>2366</v>
      </c>
    </row>
    <row r="375" spans="1:11">
      <c r="A375" s="479">
        <v>6703.1</v>
      </c>
      <c r="B375" s="476">
        <v>2368</v>
      </c>
      <c r="C375" s="476">
        <v>2369</v>
      </c>
      <c r="D375" s="476">
        <v>2371</v>
      </c>
      <c r="E375" s="476">
        <v>2373</v>
      </c>
      <c r="F375" s="476">
        <v>2375</v>
      </c>
      <c r="G375" s="476">
        <v>2377</v>
      </c>
      <c r="H375" s="476">
        <v>2379</v>
      </c>
      <c r="I375" s="476">
        <v>2381</v>
      </c>
      <c r="J375" s="476">
        <v>2383</v>
      </c>
      <c r="K375" s="476">
        <v>2384</v>
      </c>
    </row>
    <row r="376" spans="1:11">
      <c r="A376" s="479">
        <v>6703.2</v>
      </c>
      <c r="B376" s="476">
        <v>2386</v>
      </c>
      <c r="C376" s="476">
        <v>2388</v>
      </c>
      <c r="D376" s="476">
        <v>2390</v>
      </c>
      <c r="E376" s="476">
        <v>2392</v>
      </c>
      <c r="F376" s="476">
        <v>2394</v>
      </c>
      <c r="G376" s="476">
        <v>2396</v>
      </c>
      <c r="H376" s="476">
        <v>2398</v>
      </c>
      <c r="I376" s="476">
        <v>2400</v>
      </c>
      <c r="J376" s="476">
        <v>2401</v>
      </c>
      <c r="K376" s="476">
        <v>2403</v>
      </c>
    </row>
    <row r="377" spans="1:11">
      <c r="A377" s="479">
        <v>6703.3</v>
      </c>
      <c r="B377" s="476">
        <v>2405</v>
      </c>
      <c r="C377" s="476">
        <v>2407</v>
      </c>
      <c r="D377" s="476">
        <v>2409</v>
      </c>
      <c r="E377" s="476">
        <v>2411</v>
      </c>
      <c r="F377" s="476">
        <v>2413</v>
      </c>
      <c r="G377" s="476">
        <v>2415</v>
      </c>
      <c r="H377" s="476">
        <v>2417</v>
      </c>
      <c r="I377" s="476">
        <v>2418</v>
      </c>
      <c r="J377" s="476">
        <v>2420</v>
      </c>
      <c r="K377" s="476">
        <v>2422</v>
      </c>
    </row>
    <row r="378" spans="1:11">
      <c r="A378" s="479">
        <v>6703.4</v>
      </c>
      <c r="B378" s="476">
        <v>2424</v>
      </c>
      <c r="C378" s="476">
        <v>2426</v>
      </c>
      <c r="D378" s="476">
        <v>2428</v>
      </c>
      <c r="E378" s="476">
        <v>2430</v>
      </c>
      <c r="F378" s="476">
        <v>2432</v>
      </c>
      <c r="G378" s="476">
        <v>2434</v>
      </c>
      <c r="H378" s="476">
        <v>2435</v>
      </c>
      <c r="I378" s="476">
        <v>2437</v>
      </c>
      <c r="J378" s="476">
        <v>2439</v>
      </c>
      <c r="K378" s="476">
        <v>2441</v>
      </c>
    </row>
    <row r="379" spans="1:11">
      <c r="A379" s="479">
        <v>6703.5</v>
      </c>
      <c r="B379" s="476">
        <v>2443</v>
      </c>
      <c r="C379" s="476">
        <v>2445</v>
      </c>
      <c r="D379" s="476">
        <v>2447</v>
      </c>
      <c r="E379" s="476">
        <v>2449</v>
      </c>
      <c r="F379" s="476">
        <v>2451</v>
      </c>
      <c r="G379" s="476">
        <v>2452</v>
      </c>
      <c r="H379" s="476">
        <v>2454</v>
      </c>
      <c r="I379" s="476">
        <v>2456</v>
      </c>
      <c r="J379" s="476">
        <v>2458</v>
      </c>
      <c r="K379" s="476">
        <v>2460</v>
      </c>
    </row>
    <row r="380" spans="1:11">
      <c r="A380" s="479">
        <v>6703.6</v>
      </c>
      <c r="B380" s="476">
        <v>2462</v>
      </c>
      <c r="C380" s="476">
        <v>2464</v>
      </c>
      <c r="D380" s="476">
        <v>2466</v>
      </c>
      <c r="E380" s="476">
        <v>2467</v>
      </c>
      <c r="F380" s="476">
        <v>2469</v>
      </c>
      <c r="G380" s="476">
        <v>2471</v>
      </c>
      <c r="H380" s="476">
        <v>2473</v>
      </c>
      <c r="I380" s="476">
        <v>2475</v>
      </c>
      <c r="J380" s="476">
        <v>2477</v>
      </c>
      <c r="K380" s="476">
        <v>2479</v>
      </c>
    </row>
    <row r="381" spans="1:11">
      <c r="A381" s="479">
        <v>6703.7</v>
      </c>
      <c r="B381" s="476">
        <v>2481</v>
      </c>
      <c r="C381" s="476">
        <v>2483</v>
      </c>
      <c r="D381" s="476">
        <v>2484</v>
      </c>
      <c r="E381" s="476">
        <v>2486</v>
      </c>
      <c r="F381" s="476">
        <v>2488</v>
      </c>
      <c r="G381" s="476">
        <v>2490</v>
      </c>
      <c r="H381" s="476">
        <v>2492</v>
      </c>
      <c r="I381" s="476">
        <v>2494</v>
      </c>
      <c r="J381" s="476">
        <v>2496</v>
      </c>
      <c r="K381" s="476">
        <v>2498</v>
      </c>
    </row>
    <row r="382" spans="1:11">
      <c r="A382" s="479">
        <v>6703.8</v>
      </c>
      <c r="B382" s="476">
        <v>2500</v>
      </c>
      <c r="C382" s="476">
        <v>2501</v>
      </c>
      <c r="D382" s="476">
        <v>2503</v>
      </c>
      <c r="E382" s="476">
        <v>2505</v>
      </c>
      <c r="F382" s="476">
        <v>2507</v>
      </c>
      <c r="G382" s="476">
        <v>2509</v>
      </c>
      <c r="H382" s="476">
        <v>2511</v>
      </c>
      <c r="I382" s="476">
        <v>2513</v>
      </c>
      <c r="J382" s="476">
        <v>2515</v>
      </c>
      <c r="K382" s="476">
        <v>2517</v>
      </c>
    </row>
    <row r="383" spans="1:11">
      <c r="A383" s="479">
        <v>6703.9</v>
      </c>
      <c r="B383" s="476">
        <v>2518</v>
      </c>
      <c r="C383" s="476">
        <v>2520</v>
      </c>
      <c r="D383" s="476">
        <v>2522</v>
      </c>
      <c r="E383" s="476">
        <v>2524</v>
      </c>
      <c r="F383" s="476">
        <v>2526</v>
      </c>
      <c r="G383" s="476">
        <v>2528</v>
      </c>
      <c r="H383" s="476">
        <v>2530</v>
      </c>
      <c r="I383" s="476">
        <v>2532</v>
      </c>
      <c r="J383" s="476">
        <v>2534</v>
      </c>
      <c r="K383" s="476">
        <v>2535</v>
      </c>
    </row>
    <row r="384" spans="1:11">
      <c r="A384" s="479">
        <v>6704</v>
      </c>
      <c r="B384" s="476">
        <v>2537</v>
      </c>
      <c r="C384" s="476">
        <v>2539</v>
      </c>
      <c r="D384" s="476">
        <v>2541</v>
      </c>
      <c r="E384" s="476">
        <v>2543</v>
      </c>
      <c r="F384" s="476">
        <v>2545</v>
      </c>
      <c r="G384" s="476">
        <v>2547</v>
      </c>
      <c r="H384" s="476">
        <v>2549</v>
      </c>
      <c r="I384" s="476">
        <v>2551</v>
      </c>
      <c r="J384" s="476">
        <v>2553</v>
      </c>
      <c r="K384" s="476">
        <v>2555</v>
      </c>
    </row>
    <row r="385" spans="1:11">
      <c r="A385" s="479">
        <v>6704.1</v>
      </c>
      <c r="B385" s="476">
        <v>2557</v>
      </c>
      <c r="C385" s="476">
        <v>2559</v>
      </c>
      <c r="D385" s="476">
        <v>2561</v>
      </c>
      <c r="E385" s="476">
        <v>2563</v>
      </c>
      <c r="F385" s="476">
        <v>2565</v>
      </c>
      <c r="G385" s="476">
        <v>2567</v>
      </c>
      <c r="H385" s="476">
        <v>2569</v>
      </c>
      <c r="I385" s="476">
        <v>2571</v>
      </c>
      <c r="J385" s="476">
        <v>2573</v>
      </c>
      <c r="K385" s="476">
        <v>2575</v>
      </c>
    </row>
    <row r="386" spans="1:11">
      <c r="A386" s="479">
        <v>6704.2</v>
      </c>
      <c r="B386" s="476">
        <v>2577</v>
      </c>
      <c r="C386" s="476">
        <v>2579</v>
      </c>
      <c r="D386" s="476">
        <v>2581</v>
      </c>
      <c r="E386" s="476">
        <v>2582</v>
      </c>
      <c r="F386" s="476">
        <v>2584</v>
      </c>
      <c r="G386" s="476">
        <v>2586</v>
      </c>
      <c r="H386" s="476">
        <v>2588</v>
      </c>
      <c r="I386" s="476">
        <v>2590</v>
      </c>
      <c r="J386" s="476">
        <v>2592</v>
      </c>
      <c r="K386" s="476">
        <v>2594</v>
      </c>
    </row>
    <row r="387" spans="1:11">
      <c r="A387" s="479">
        <v>6704.3</v>
      </c>
      <c r="B387" s="476">
        <v>2596</v>
      </c>
      <c r="C387" s="476">
        <v>2598</v>
      </c>
      <c r="D387" s="476">
        <v>2600</v>
      </c>
      <c r="E387" s="476">
        <v>2602</v>
      </c>
      <c r="F387" s="476">
        <v>2604</v>
      </c>
      <c r="G387" s="476">
        <v>2606</v>
      </c>
      <c r="H387" s="476">
        <v>2608</v>
      </c>
      <c r="I387" s="476">
        <v>2610</v>
      </c>
      <c r="J387" s="476">
        <v>2612</v>
      </c>
      <c r="K387" s="476">
        <v>2614</v>
      </c>
    </row>
    <row r="388" spans="1:11">
      <c r="A388" s="479">
        <v>6704.4</v>
      </c>
      <c r="B388" s="476">
        <v>2616</v>
      </c>
      <c r="C388" s="476">
        <v>2618</v>
      </c>
      <c r="D388" s="476">
        <v>2620</v>
      </c>
      <c r="E388" s="476">
        <v>2622</v>
      </c>
      <c r="F388" s="476">
        <v>2624</v>
      </c>
      <c r="G388" s="476">
        <v>2626</v>
      </c>
      <c r="H388" s="476">
        <v>2628</v>
      </c>
      <c r="I388" s="476">
        <v>2630</v>
      </c>
      <c r="J388" s="476">
        <v>2632</v>
      </c>
      <c r="K388" s="476">
        <v>2634</v>
      </c>
    </row>
    <row r="389" spans="1:11">
      <c r="A389" s="479">
        <v>6704.5</v>
      </c>
      <c r="B389" s="476">
        <v>2636</v>
      </c>
      <c r="C389" s="476">
        <v>2638</v>
      </c>
      <c r="D389" s="476">
        <v>2639</v>
      </c>
      <c r="E389" s="476">
        <v>2641</v>
      </c>
      <c r="F389" s="476">
        <v>2643</v>
      </c>
      <c r="G389" s="476">
        <v>2645</v>
      </c>
      <c r="H389" s="476">
        <v>2647</v>
      </c>
      <c r="I389" s="476">
        <v>2649</v>
      </c>
      <c r="J389" s="476">
        <v>2651</v>
      </c>
      <c r="K389" s="476">
        <v>2653</v>
      </c>
    </row>
    <row r="390" spans="1:11">
      <c r="A390" s="479">
        <v>6704.6</v>
      </c>
      <c r="B390" s="476">
        <v>2655</v>
      </c>
      <c r="C390" s="476">
        <v>2657</v>
      </c>
      <c r="D390" s="476">
        <v>2659</v>
      </c>
      <c r="E390" s="476">
        <v>2661</v>
      </c>
      <c r="F390" s="476">
        <v>2663</v>
      </c>
      <c r="G390" s="476">
        <v>2665</v>
      </c>
      <c r="H390" s="476">
        <v>2667</v>
      </c>
      <c r="I390" s="476">
        <v>2669</v>
      </c>
      <c r="J390" s="476">
        <v>2671</v>
      </c>
      <c r="K390" s="476">
        <v>2673</v>
      </c>
    </row>
    <row r="391" spans="1:11">
      <c r="A391" s="479">
        <v>6704.7</v>
      </c>
      <c r="B391" s="476">
        <v>2675</v>
      </c>
      <c r="C391" s="476">
        <v>2677</v>
      </c>
      <c r="D391" s="476">
        <v>2679</v>
      </c>
      <c r="E391" s="476">
        <v>2681</v>
      </c>
      <c r="F391" s="476">
        <v>2683</v>
      </c>
      <c r="G391" s="476">
        <v>2685</v>
      </c>
      <c r="H391" s="476">
        <v>2687</v>
      </c>
      <c r="I391" s="476">
        <v>2689</v>
      </c>
      <c r="J391" s="476">
        <v>2691</v>
      </c>
      <c r="K391" s="476">
        <v>2693</v>
      </c>
    </row>
    <row r="392" spans="1:11">
      <c r="A392" s="479">
        <v>6704.8</v>
      </c>
      <c r="B392" s="476">
        <v>2695</v>
      </c>
      <c r="C392" s="476">
        <v>2696</v>
      </c>
      <c r="D392" s="476">
        <v>2698</v>
      </c>
      <c r="E392" s="476">
        <v>2700</v>
      </c>
      <c r="F392" s="476">
        <v>2702</v>
      </c>
      <c r="G392" s="476">
        <v>2704</v>
      </c>
      <c r="H392" s="476">
        <v>2706</v>
      </c>
      <c r="I392" s="476">
        <v>2708</v>
      </c>
      <c r="J392" s="476">
        <v>2710</v>
      </c>
      <c r="K392" s="476">
        <v>2712</v>
      </c>
    </row>
    <row r="393" spans="1:11">
      <c r="A393" s="479">
        <v>6704.9</v>
      </c>
      <c r="B393" s="476">
        <v>2714</v>
      </c>
      <c r="C393" s="476">
        <v>2716</v>
      </c>
      <c r="D393" s="476">
        <v>2718</v>
      </c>
      <c r="E393" s="476">
        <v>2720</v>
      </c>
      <c r="F393" s="476">
        <v>2722</v>
      </c>
      <c r="G393" s="476">
        <v>2724</v>
      </c>
      <c r="H393" s="476">
        <v>2726</v>
      </c>
      <c r="I393" s="476">
        <v>2728</v>
      </c>
      <c r="J393" s="476">
        <v>2730</v>
      </c>
      <c r="K393" s="476">
        <v>2732</v>
      </c>
    </row>
    <row r="394" spans="1:11">
      <c r="A394" s="479">
        <v>6705</v>
      </c>
      <c r="B394" s="476">
        <v>2734</v>
      </c>
      <c r="C394" s="476">
        <v>2736</v>
      </c>
      <c r="D394" s="476">
        <v>2738</v>
      </c>
      <c r="E394" s="476">
        <v>2740</v>
      </c>
      <c r="F394" s="476">
        <v>2742</v>
      </c>
      <c r="G394" s="476">
        <v>2744</v>
      </c>
      <c r="H394" s="476">
        <v>2746</v>
      </c>
      <c r="I394" s="476">
        <v>2748</v>
      </c>
      <c r="J394" s="476">
        <v>2750</v>
      </c>
      <c r="K394" s="476">
        <v>2752</v>
      </c>
    </row>
    <row r="395" spans="1:11">
      <c r="A395" s="479">
        <v>6705.1</v>
      </c>
      <c r="B395" s="476">
        <v>2754</v>
      </c>
      <c r="C395" s="476">
        <v>2756</v>
      </c>
      <c r="D395" s="476">
        <v>2758</v>
      </c>
      <c r="E395" s="476">
        <v>2760</v>
      </c>
      <c r="F395" s="476">
        <v>2763</v>
      </c>
      <c r="G395" s="476">
        <v>2765</v>
      </c>
      <c r="H395" s="476">
        <v>2767</v>
      </c>
      <c r="I395" s="476">
        <v>2769</v>
      </c>
      <c r="J395" s="476">
        <v>2771</v>
      </c>
      <c r="K395" s="476">
        <v>2773</v>
      </c>
    </row>
    <row r="396" spans="1:11">
      <c r="A396" s="479">
        <v>6705.2</v>
      </c>
      <c r="B396" s="476">
        <v>2775</v>
      </c>
      <c r="C396" s="476">
        <v>2777</v>
      </c>
      <c r="D396" s="476">
        <v>2779</v>
      </c>
      <c r="E396" s="476">
        <v>2781</v>
      </c>
      <c r="F396" s="476">
        <v>2783</v>
      </c>
      <c r="G396" s="476">
        <v>2785</v>
      </c>
      <c r="H396" s="476">
        <v>2787</v>
      </c>
      <c r="I396" s="476">
        <v>2789</v>
      </c>
      <c r="J396" s="476">
        <v>2791</v>
      </c>
      <c r="K396" s="476">
        <v>2793</v>
      </c>
    </row>
    <row r="397" spans="1:11">
      <c r="A397" s="479">
        <v>6705.3</v>
      </c>
      <c r="B397" s="476">
        <v>2795</v>
      </c>
      <c r="C397" s="476">
        <v>2797</v>
      </c>
      <c r="D397" s="476">
        <v>2799</v>
      </c>
      <c r="E397" s="476">
        <v>2801</v>
      </c>
      <c r="F397" s="476">
        <v>2804</v>
      </c>
      <c r="G397" s="476">
        <v>2806</v>
      </c>
      <c r="H397" s="476">
        <v>2808</v>
      </c>
      <c r="I397" s="476">
        <v>2810</v>
      </c>
      <c r="J397" s="476">
        <v>2812</v>
      </c>
      <c r="K397" s="476">
        <v>2814</v>
      </c>
    </row>
    <row r="398" spans="1:11">
      <c r="A398" s="479">
        <v>6705.4</v>
      </c>
      <c r="B398" s="476">
        <v>2816</v>
      </c>
      <c r="C398" s="476">
        <v>2818</v>
      </c>
      <c r="D398" s="476">
        <v>2820</v>
      </c>
      <c r="E398" s="476">
        <v>2822</v>
      </c>
      <c r="F398" s="476">
        <v>2824</v>
      </c>
      <c r="G398" s="476">
        <v>2826</v>
      </c>
      <c r="H398" s="476">
        <v>2828</v>
      </c>
      <c r="I398" s="476">
        <v>2830</v>
      </c>
      <c r="J398" s="476">
        <v>2832</v>
      </c>
      <c r="K398" s="476">
        <v>2834</v>
      </c>
    </row>
    <row r="399" spans="1:11">
      <c r="A399" s="479">
        <v>6705.5</v>
      </c>
      <c r="B399" s="476">
        <v>2836</v>
      </c>
      <c r="C399" s="476">
        <v>2838</v>
      </c>
      <c r="D399" s="476">
        <v>2840</v>
      </c>
      <c r="E399" s="476">
        <v>2842</v>
      </c>
      <c r="F399" s="476">
        <v>2844</v>
      </c>
      <c r="G399" s="476">
        <v>2847</v>
      </c>
      <c r="H399" s="476">
        <v>2849</v>
      </c>
      <c r="I399" s="476">
        <v>2851</v>
      </c>
      <c r="J399" s="476">
        <v>2853</v>
      </c>
      <c r="K399" s="476">
        <v>2855</v>
      </c>
    </row>
    <row r="400" spans="1:11">
      <c r="A400" s="479">
        <v>6705.6</v>
      </c>
      <c r="B400" s="476">
        <v>2857</v>
      </c>
      <c r="C400" s="476">
        <v>2859</v>
      </c>
      <c r="D400" s="476">
        <v>2861</v>
      </c>
      <c r="E400" s="476">
        <v>2863</v>
      </c>
      <c r="F400" s="476">
        <v>2865</v>
      </c>
      <c r="G400" s="476">
        <v>2867</v>
      </c>
      <c r="H400" s="476">
        <v>2869</v>
      </c>
      <c r="I400" s="476">
        <v>2871</v>
      </c>
      <c r="J400" s="476">
        <v>2873</v>
      </c>
      <c r="K400" s="476">
        <v>2875</v>
      </c>
    </row>
    <row r="401" spans="1:11">
      <c r="A401" s="479">
        <v>6705.7</v>
      </c>
      <c r="B401" s="476">
        <v>2877</v>
      </c>
      <c r="C401" s="476">
        <v>2879</v>
      </c>
      <c r="D401" s="476">
        <v>2881</v>
      </c>
      <c r="E401" s="476">
        <v>2883</v>
      </c>
      <c r="F401" s="476">
        <v>2885</v>
      </c>
      <c r="G401" s="476">
        <v>2888</v>
      </c>
      <c r="H401" s="476">
        <v>2890</v>
      </c>
      <c r="I401" s="476">
        <v>2892</v>
      </c>
      <c r="J401" s="476">
        <v>2894</v>
      </c>
      <c r="K401" s="476">
        <v>2896</v>
      </c>
    </row>
    <row r="402" spans="1:11">
      <c r="A402" s="479">
        <v>6705.8</v>
      </c>
      <c r="B402" s="476">
        <v>2898</v>
      </c>
      <c r="C402" s="476">
        <v>2900</v>
      </c>
      <c r="D402" s="476">
        <v>2902</v>
      </c>
      <c r="E402" s="476">
        <v>2904</v>
      </c>
      <c r="F402" s="476">
        <v>2906</v>
      </c>
      <c r="G402" s="476">
        <v>2908</v>
      </c>
      <c r="H402" s="476">
        <v>2910</v>
      </c>
      <c r="I402" s="476">
        <v>2912</v>
      </c>
      <c r="J402" s="476">
        <v>2914</v>
      </c>
      <c r="K402" s="476">
        <v>2916</v>
      </c>
    </row>
    <row r="403" spans="1:11">
      <c r="A403" s="479">
        <v>6705.9</v>
      </c>
      <c r="B403" s="476">
        <v>2918</v>
      </c>
      <c r="C403" s="476">
        <v>2920</v>
      </c>
      <c r="D403" s="476">
        <v>2922</v>
      </c>
      <c r="E403" s="476">
        <v>2924</v>
      </c>
      <c r="F403" s="476">
        <v>2926</v>
      </c>
      <c r="G403" s="476">
        <v>2928</v>
      </c>
      <c r="H403" s="476">
        <v>2931</v>
      </c>
      <c r="I403" s="476">
        <v>2933</v>
      </c>
      <c r="J403" s="476">
        <v>2935</v>
      </c>
      <c r="K403" s="476">
        <v>2937</v>
      </c>
    </row>
    <row r="404" spans="1:11">
      <c r="A404" s="479">
        <v>6706</v>
      </c>
      <c r="B404" s="476">
        <v>2939</v>
      </c>
      <c r="C404" s="476">
        <v>2941</v>
      </c>
      <c r="D404" s="476">
        <v>2943</v>
      </c>
      <c r="E404" s="476">
        <v>2945</v>
      </c>
      <c r="F404" s="476">
        <v>2947</v>
      </c>
      <c r="G404" s="476">
        <v>2949</v>
      </c>
      <c r="H404" s="476">
        <v>2952</v>
      </c>
      <c r="I404" s="476">
        <v>2954</v>
      </c>
      <c r="J404" s="476">
        <v>2956</v>
      </c>
      <c r="K404" s="476">
        <v>2958</v>
      </c>
    </row>
    <row r="405" spans="1:11">
      <c r="A405" s="479">
        <v>6706.1</v>
      </c>
      <c r="B405" s="476">
        <v>2960</v>
      </c>
      <c r="C405" s="476">
        <v>2962</v>
      </c>
      <c r="D405" s="476">
        <v>2964</v>
      </c>
      <c r="E405" s="476">
        <v>2967</v>
      </c>
      <c r="F405" s="476">
        <v>2969</v>
      </c>
      <c r="G405" s="476">
        <v>2971</v>
      </c>
      <c r="H405" s="476">
        <v>2973</v>
      </c>
      <c r="I405" s="476">
        <v>2975</v>
      </c>
      <c r="J405" s="476">
        <v>2977</v>
      </c>
      <c r="K405" s="476">
        <v>2979</v>
      </c>
    </row>
    <row r="406" spans="1:11">
      <c r="A406" s="479">
        <v>6706.2</v>
      </c>
      <c r="B406" s="476">
        <v>2981</v>
      </c>
      <c r="C406" s="476">
        <v>2984</v>
      </c>
      <c r="D406" s="476">
        <v>2986</v>
      </c>
      <c r="E406" s="476">
        <v>2988</v>
      </c>
      <c r="F406" s="476">
        <v>2990</v>
      </c>
      <c r="G406" s="476">
        <v>2992</v>
      </c>
      <c r="H406" s="476">
        <v>2994</v>
      </c>
      <c r="I406" s="476">
        <v>2996</v>
      </c>
      <c r="J406" s="476">
        <v>2999</v>
      </c>
      <c r="K406" s="476">
        <v>3001</v>
      </c>
    </row>
    <row r="407" spans="1:11">
      <c r="A407" s="479">
        <v>6706.3</v>
      </c>
      <c r="B407" s="476">
        <v>3003</v>
      </c>
      <c r="C407" s="476">
        <v>3005</v>
      </c>
      <c r="D407" s="476">
        <v>3007</v>
      </c>
      <c r="E407" s="476">
        <v>3009</v>
      </c>
      <c r="F407" s="476">
        <v>3011</v>
      </c>
      <c r="G407" s="476">
        <v>3014</v>
      </c>
      <c r="H407" s="476">
        <v>3016</v>
      </c>
      <c r="I407" s="476">
        <v>3018</v>
      </c>
      <c r="J407" s="476">
        <v>3020</v>
      </c>
      <c r="K407" s="476">
        <v>3022</v>
      </c>
    </row>
    <row r="408" spans="1:11">
      <c r="A408" s="479">
        <v>6706.4</v>
      </c>
      <c r="B408" s="476">
        <v>3024</v>
      </c>
      <c r="C408" s="476">
        <v>3026</v>
      </c>
      <c r="D408" s="476">
        <v>3028</v>
      </c>
      <c r="E408" s="476">
        <v>3031</v>
      </c>
      <c r="F408" s="476">
        <v>3033</v>
      </c>
      <c r="G408" s="476">
        <v>3035</v>
      </c>
      <c r="H408" s="476">
        <v>3037</v>
      </c>
      <c r="I408" s="476">
        <v>3039</v>
      </c>
      <c r="J408" s="476">
        <v>3041</v>
      </c>
      <c r="K408" s="476">
        <v>3043</v>
      </c>
    </row>
    <row r="409" spans="1:11">
      <c r="A409" s="479">
        <v>6706.5</v>
      </c>
      <c r="B409" s="476">
        <v>3046</v>
      </c>
      <c r="C409" s="476">
        <v>3048</v>
      </c>
      <c r="D409" s="476">
        <v>3050</v>
      </c>
      <c r="E409" s="476">
        <v>3052</v>
      </c>
      <c r="F409" s="476">
        <v>3054</v>
      </c>
      <c r="G409" s="476">
        <v>3056</v>
      </c>
      <c r="H409" s="476">
        <v>3058</v>
      </c>
      <c r="I409" s="476">
        <v>3061</v>
      </c>
      <c r="J409" s="476">
        <v>3063</v>
      </c>
      <c r="K409" s="476">
        <v>3065</v>
      </c>
    </row>
    <row r="410" spans="1:11">
      <c r="A410" s="479">
        <v>6706.6</v>
      </c>
      <c r="B410" s="476">
        <v>3067</v>
      </c>
      <c r="C410" s="476">
        <v>3069</v>
      </c>
      <c r="D410" s="476">
        <v>3071</v>
      </c>
      <c r="E410" s="476">
        <v>3073</v>
      </c>
      <c r="F410" s="476">
        <v>3076</v>
      </c>
      <c r="G410" s="476">
        <v>3078</v>
      </c>
      <c r="H410" s="476">
        <v>3080</v>
      </c>
      <c r="I410" s="476">
        <v>3082</v>
      </c>
      <c r="J410" s="476">
        <v>3084</v>
      </c>
      <c r="K410" s="476">
        <v>3086</v>
      </c>
    </row>
    <row r="411" spans="1:11">
      <c r="A411" s="479">
        <v>6706.7</v>
      </c>
      <c r="B411" s="476">
        <v>3088</v>
      </c>
      <c r="C411" s="476">
        <v>3090</v>
      </c>
      <c r="D411" s="476">
        <v>3093</v>
      </c>
      <c r="E411" s="476">
        <v>3095</v>
      </c>
      <c r="F411" s="476">
        <v>3097</v>
      </c>
      <c r="G411" s="476">
        <v>3099</v>
      </c>
      <c r="H411" s="476">
        <v>3101</v>
      </c>
      <c r="I411" s="476">
        <v>3103</v>
      </c>
      <c r="J411" s="476">
        <v>3105</v>
      </c>
      <c r="K411" s="476">
        <v>3108</v>
      </c>
    </row>
    <row r="412" spans="1:11">
      <c r="A412" s="479">
        <v>6706.8</v>
      </c>
      <c r="B412" s="476">
        <v>3110</v>
      </c>
      <c r="C412" s="476">
        <v>3112</v>
      </c>
      <c r="D412" s="476">
        <v>3114</v>
      </c>
      <c r="E412" s="476">
        <v>3116</v>
      </c>
      <c r="F412" s="476">
        <v>3118</v>
      </c>
      <c r="G412" s="476">
        <v>3120</v>
      </c>
      <c r="H412" s="476">
        <v>3123</v>
      </c>
      <c r="I412" s="476">
        <v>3125</v>
      </c>
      <c r="J412" s="476">
        <v>3127</v>
      </c>
      <c r="K412" s="476">
        <v>3129</v>
      </c>
    </row>
    <row r="413" spans="1:11">
      <c r="A413" s="479">
        <v>6706.9</v>
      </c>
      <c r="B413" s="476">
        <v>3131</v>
      </c>
      <c r="C413" s="476">
        <v>3133</v>
      </c>
      <c r="D413" s="476">
        <v>3135</v>
      </c>
      <c r="E413" s="476">
        <v>3137</v>
      </c>
      <c r="F413" s="476">
        <v>3140</v>
      </c>
      <c r="G413" s="476">
        <v>3142</v>
      </c>
      <c r="H413" s="476">
        <v>3144</v>
      </c>
      <c r="I413" s="476">
        <v>3146</v>
      </c>
      <c r="J413" s="476">
        <v>3148</v>
      </c>
      <c r="K413" s="476">
        <v>3150</v>
      </c>
    </row>
    <row r="414" spans="1:11">
      <c r="A414" s="479">
        <v>6707</v>
      </c>
      <c r="B414" s="476">
        <v>3152</v>
      </c>
      <c r="C414" s="476">
        <v>3155</v>
      </c>
      <c r="D414" s="476">
        <v>3157</v>
      </c>
      <c r="E414" s="476">
        <v>3159</v>
      </c>
      <c r="F414" s="476">
        <v>3161</v>
      </c>
      <c r="G414" s="476">
        <v>3164</v>
      </c>
      <c r="H414" s="476">
        <v>3166</v>
      </c>
      <c r="I414" s="476">
        <v>3168</v>
      </c>
      <c r="J414" s="476">
        <v>3170</v>
      </c>
      <c r="K414" s="476">
        <v>3172</v>
      </c>
    </row>
    <row r="415" spans="1:11">
      <c r="A415" s="479">
        <v>6707.1</v>
      </c>
      <c r="B415" s="476">
        <v>3175</v>
      </c>
      <c r="C415" s="476">
        <v>3177</v>
      </c>
      <c r="D415" s="476">
        <v>3179</v>
      </c>
      <c r="E415" s="476">
        <v>3181</v>
      </c>
      <c r="F415" s="476">
        <v>3184</v>
      </c>
      <c r="G415" s="476">
        <v>3186</v>
      </c>
      <c r="H415" s="476">
        <v>3188</v>
      </c>
      <c r="I415" s="476">
        <v>3190</v>
      </c>
      <c r="J415" s="476">
        <v>3193</v>
      </c>
      <c r="K415" s="476">
        <v>3195</v>
      </c>
    </row>
    <row r="416" spans="1:11">
      <c r="A416" s="479">
        <v>6707.2</v>
      </c>
      <c r="B416" s="476">
        <v>3197</v>
      </c>
      <c r="C416" s="476">
        <v>3199</v>
      </c>
      <c r="D416" s="476">
        <v>3201</v>
      </c>
      <c r="E416" s="476">
        <v>3204</v>
      </c>
      <c r="F416" s="476">
        <v>3206</v>
      </c>
      <c r="G416" s="476">
        <v>3208</v>
      </c>
      <c r="H416" s="476">
        <v>3210</v>
      </c>
      <c r="I416" s="476">
        <v>3213</v>
      </c>
      <c r="J416" s="476">
        <v>3215</v>
      </c>
      <c r="K416" s="476">
        <v>3217</v>
      </c>
    </row>
    <row r="417" spans="1:11">
      <c r="A417" s="479">
        <v>6707.3</v>
      </c>
      <c r="B417" s="476">
        <v>3219</v>
      </c>
      <c r="C417" s="476">
        <v>3222</v>
      </c>
      <c r="D417" s="476">
        <v>3224</v>
      </c>
      <c r="E417" s="476">
        <v>3226</v>
      </c>
      <c r="F417" s="476">
        <v>3228</v>
      </c>
      <c r="G417" s="476">
        <v>3230</v>
      </c>
      <c r="H417" s="476">
        <v>3233</v>
      </c>
      <c r="I417" s="476">
        <v>3235</v>
      </c>
      <c r="J417" s="476">
        <v>3237</v>
      </c>
      <c r="K417" s="476">
        <v>3239</v>
      </c>
    </row>
    <row r="418" spans="1:11">
      <c r="A418" s="479">
        <v>6707.4</v>
      </c>
      <c r="B418" s="476">
        <v>3242</v>
      </c>
      <c r="C418" s="476">
        <v>3244</v>
      </c>
      <c r="D418" s="476">
        <v>3246</v>
      </c>
      <c r="E418" s="476">
        <v>3248</v>
      </c>
      <c r="F418" s="476">
        <v>3251</v>
      </c>
      <c r="G418" s="476">
        <v>3253</v>
      </c>
      <c r="H418" s="476">
        <v>3255</v>
      </c>
      <c r="I418" s="476">
        <v>3257</v>
      </c>
      <c r="J418" s="476">
        <v>3259</v>
      </c>
      <c r="K418" s="476">
        <v>3262</v>
      </c>
    </row>
    <row r="419" spans="1:11">
      <c r="A419" s="479">
        <v>6707.5</v>
      </c>
      <c r="B419" s="476">
        <v>3264</v>
      </c>
      <c r="C419" s="476">
        <v>3266</v>
      </c>
      <c r="D419" s="476">
        <v>3268</v>
      </c>
      <c r="E419" s="476">
        <v>3271</v>
      </c>
      <c r="F419" s="476">
        <v>3273</v>
      </c>
      <c r="G419" s="476">
        <v>3275</v>
      </c>
      <c r="H419" s="476">
        <v>3277</v>
      </c>
      <c r="I419" s="476">
        <v>3280</v>
      </c>
      <c r="J419" s="476">
        <v>3282</v>
      </c>
      <c r="K419" s="476">
        <v>3284</v>
      </c>
    </row>
    <row r="420" spans="1:11">
      <c r="A420" s="479">
        <v>6707.6</v>
      </c>
      <c r="B420" s="476">
        <v>3286</v>
      </c>
      <c r="C420" s="476">
        <v>3288</v>
      </c>
      <c r="D420" s="476">
        <v>3291</v>
      </c>
      <c r="E420" s="476">
        <v>3293</v>
      </c>
      <c r="F420" s="476">
        <v>3295</v>
      </c>
      <c r="G420" s="476">
        <v>3297</v>
      </c>
      <c r="H420" s="476">
        <v>3300</v>
      </c>
      <c r="I420" s="476">
        <v>3302</v>
      </c>
      <c r="J420" s="476">
        <v>3304</v>
      </c>
      <c r="K420" s="476">
        <v>3306</v>
      </c>
    </row>
    <row r="421" spans="1:11">
      <c r="A421" s="479">
        <v>6707.7</v>
      </c>
      <c r="B421" s="476">
        <v>3308</v>
      </c>
      <c r="C421" s="476">
        <v>3311</v>
      </c>
      <c r="D421" s="476">
        <v>3313</v>
      </c>
      <c r="E421" s="476">
        <v>3315</v>
      </c>
      <c r="F421" s="476">
        <v>3317</v>
      </c>
      <c r="G421" s="476">
        <v>3320</v>
      </c>
      <c r="H421" s="476">
        <v>3322</v>
      </c>
      <c r="I421" s="476">
        <v>3324</v>
      </c>
      <c r="J421" s="476">
        <v>3326</v>
      </c>
      <c r="K421" s="476">
        <v>3329</v>
      </c>
    </row>
    <row r="422" spans="1:11">
      <c r="A422" s="479">
        <v>6707.8</v>
      </c>
      <c r="B422" s="476">
        <v>3331</v>
      </c>
      <c r="C422" s="476">
        <v>3333</v>
      </c>
      <c r="D422" s="476">
        <v>3335</v>
      </c>
      <c r="E422" s="476">
        <v>3337</v>
      </c>
      <c r="F422" s="476">
        <v>3340</v>
      </c>
      <c r="G422" s="476">
        <v>3342</v>
      </c>
      <c r="H422" s="476">
        <v>3344</v>
      </c>
      <c r="I422" s="476">
        <v>3346</v>
      </c>
      <c r="J422" s="476">
        <v>3349</v>
      </c>
      <c r="K422" s="476">
        <v>3351</v>
      </c>
    </row>
    <row r="423" spans="1:11">
      <c r="A423" s="479">
        <v>6707.9</v>
      </c>
      <c r="B423" s="476">
        <v>3353</v>
      </c>
      <c r="C423" s="476">
        <v>3355</v>
      </c>
      <c r="D423" s="476">
        <v>3358</v>
      </c>
      <c r="E423" s="476">
        <v>3360</v>
      </c>
      <c r="F423" s="476">
        <v>3362</v>
      </c>
      <c r="G423" s="476">
        <v>3364</v>
      </c>
      <c r="H423" s="476">
        <v>3366</v>
      </c>
      <c r="I423" s="476">
        <v>3369</v>
      </c>
      <c r="J423" s="476">
        <v>3371</v>
      </c>
      <c r="K423" s="476">
        <v>3373</v>
      </c>
    </row>
    <row r="424" spans="1:11">
      <c r="A424" s="479">
        <v>6708</v>
      </c>
      <c r="B424" s="476">
        <v>3375</v>
      </c>
      <c r="C424" s="476">
        <v>3378</v>
      </c>
      <c r="D424" s="476">
        <v>3380</v>
      </c>
      <c r="E424" s="476">
        <v>3382</v>
      </c>
      <c r="F424" s="476">
        <v>3385</v>
      </c>
      <c r="G424" s="476">
        <v>3387</v>
      </c>
      <c r="H424" s="476">
        <v>3389</v>
      </c>
      <c r="I424" s="476">
        <v>3392</v>
      </c>
      <c r="J424" s="476">
        <v>3394</v>
      </c>
      <c r="K424" s="476">
        <v>3396</v>
      </c>
    </row>
    <row r="425" spans="1:11">
      <c r="A425" s="479">
        <v>6708.1</v>
      </c>
      <c r="B425" s="476">
        <v>3399</v>
      </c>
      <c r="C425" s="476">
        <v>3401</v>
      </c>
      <c r="D425" s="476">
        <v>3403</v>
      </c>
      <c r="E425" s="476">
        <v>3406</v>
      </c>
      <c r="F425" s="476">
        <v>3408</v>
      </c>
      <c r="G425" s="476">
        <v>3410</v>
      </c>
      <c r="H425" s="476">
        <v>3413</v>
      </c>
      <c r="I425" s="476">
        <v>3415</v>
      </c>
      <c r="J425" s="476">
        <v>3417</v>
      </c>
      <c r="K425" s="476">
        <v>3420</v>
      </c>
    </row>
    <row r="426" spans="1:11">
      <c r="A426" s="479">
        <v>6708.2</v>
      </c>
      <c r="B426" s="476">
        <v>3422</v>
      </c>
      <c r="C426" s="476">
        <v>3424</v>
      </c>
      <c r="D426" s="476">
        <v>3427</v>
      </c>
      <c r="E426" s="476">
        <v>3429</v>
      </c>
      <c r="F426" s="476">
        <v>3431</v>
      </c>
      <c r="G426" s="476">
        <v>3434</v>
      </c>
      <c r="H426" s="476">
        <v>3436</v>
      </c>
      <c r="I426" s="476">
        <v>3438</v>
      </c>
      <c r="J426" s="476">
        <v>3440</v>
      </c>
      <c r="K426" s="476">
        <v>3443</v>
      </c>
    </row>
    <row r="427" spans="1:11">
      <c r="A427" s="479">
        <v>6708.3</v>
      </c>
      <c r="B427" s="476">
        <v>3445</v>
      </c>
      <c r="C427" s="476">
        <v>3447</v>
      </c>
      <c r="D427" s="476">
        <v>3450</v>
      </c>
      <c r="E427" s="476">
        <v>3452</v>
      </c>
      <c r="F427" s="476">
        <v>3454</v>
      </c>
      <c r="G427" s="476">
        <v>3457</v>
      </c>
      <c r="H427" s="476">
        <v>3459</v>
      </c>
      <c r="I427" s="476">
        <v>3461</v>
      </c>
      <c r="J427" s="476">
        <v>3464</v>
      </c>
      <c r="K427" s="476">
        <v>3466</v>
      </c>
    </row>
    <row r="428" spans="1:11">
      <c r="A428" s="479">
        <v>6708.4</v>
      </c>
      <c r="B428" s="476">
        <v>3468</v>
      </c>
      <c r="C428" s="476">
        <v>3471</v>
      </c>
      <c r="D428" s="476">
        <v>3473</v>
      </c>
      <c r="E428" s="476">
        <v>3475</v>
      </c>
      <c r="F428" s="476">
        <v>3478</v>
      </c>
      <c r="G428" s="476">
        <v>3480</v>
      </c>
      <c r="H428" s="476">
        <v>3482</v>
      </c>
      <c r="I428" s="476">
        <v>3485</v>
      </c>
      <c r="J428" s="476">
        <v>3487</v>
      </c>
      <c r="K428" s="476">
        <v>3489</v>
      </c>
    </row>
    <row r="429" spans="1:11">
      <c r="A429" s="479">
        <v>6708.5</v>
      </c>
      <c r="B429" s="476">
        <v>3492</v>
      </c>
      <c r="C429" s="476">
        <v>3494</v>
      </c>
      <c r="D429" s="476">
        <v>3496</v>
      </c>
      <c r="E429" s="476">
        <v>3499</v>
      </c>
      <c r="F429" s="476">
        <v>3501</v>
      </c>
      <c r="G429" s="476">
        <v>3503</v>
      </c>
      <c r="H429" s="476">
        <v>3506</v>
      </c>
      <c r="I429" s="476">
        <v>3508</v>
      </c>
      <c r="J429" s="476">
        <v>3510</v>
      </c>
      <c r="K429" s="476">
        <v>3513</v>
      </c>
    </row>
    <row r="430" spans="1:11">
      <c r="A430" s="479">
        <v>6708.6</v>
      </c>
      <c r="B430" s="476">
        <v>3515</v>
      </c>
      <c r="C430" s="476">
        <v>3517</v>
      </c>
      <c r="D430" s="476">
        <v>3520</v>
      </c>
      <c r="E430" s="476">
        <v>3522</v>
      </c>
      <c r="F430" s="476">
        <v>3524</v>
      </c>
      <c r="G430" s="476">
        <v>3527</v>
      </c>
      <c r="H430" s="476">
        <v>3529</v>
      </c>
      <c r="I430" s="476">
        <v>3531</v>
      </c>
      <c r="J430" s="476">
        <v>3534</v>
      </c>
      <c r="K430" s="476">
        <v>3536</v>
      </c>
    </row>
    <row r="431" spans="1:11">
      <c r="A431" s="479">
        <v>6708.7</v>
      </c>
      <c r="B431" s="476">
        <v>3538</v>
      </c>
      <c r="C431" s="476">
        <v>3541</v>
      </c>
      <c r="D431" s="476">
        <v>3543</v>
      </c>
      <c r="E431" s="476">
        <v>3545</v>
      </c>
      <c r="F431" s="476">
        <v>3547</v>
      </c>
      <c r="G431" s="476">
        <v>3550</v>
      </c>
      <c r="H431" s="476">
        <v>3552</v>
      </c>
      <c r="I431" s="476">
        <v>3554</v>
      </c>
      <c r="J431" s="476">
        <v>3557</v>
      </c>
      <c r="K431" s="476">
        <v>3559</v>
      </c>
    </row>
    <row r="432" spans="1:11">
      <c r="A432" s="479">
        <v>6708.8</v>
      </c>
      <c r="B432" s="476">
        <v>3561</v>
      </c>
      <c r="C432" s="476">
        <v>3564</v>
      </c>
      <c r="D432" s="476">
        <v>3566</v>
      </c>
      <c r="E432" s="476">
        <v>3568</v>
      </c>
      <c r="F432" s="476">
        <v>3571</v>
      </c>
      <c r="G432" s="476">
        <v>3573</v>
      </c>
      <c r="H432" s="476">
        <v>3575</v>
      </c>
      <c r="I432" s="476">
        <v>3578</v>
      </c>
      <c r="J432" s="476">
        <v>3580</v>
      </c>
      <c r="K432" s="476">
        <v>3582</v>
      </c>
    </row>
    <row r="433" spans="1:11">
      <c r="A433" s="479">
        <v>6708.9</v>
      </c>
      <c r="B433" s="476">
        <v>3585</v>
      </c>
      <c r="C433" s="476">
        <v>3587</v>
      </c>
      <c r="D433" s="476">
        <v>3589</v>
      </c>
      <c r="E433" s="476">
        <v>3592</v>
      </c>
      <c r="F433" s="476">
        <v>3594</v>
      </c>
      <c r="G433" s="476">
        <v>3596</v>
      </c>
      <c r="H433" s="476">
        <v>3599</v>
      </c>
      <c r="I433" s="476">
        <v>3601</v>
      </c>
      <c r="J433" s="476">
        <v>3603</v>
      </c>
      <c r="K433" s="476">
        <v>3606</v>
      </c>
    </row>
    <row r="434" spans="1:11">
      <c r="A434" s="479">
        <v>6709</v>
      </c>
      <c r="B434" s="476">
        <v>3608</v>
      </c>
      <c r="C434" s="476">
        <v>3610</v>
      </c>
      <c r="D434" s="476">
        <v>3613</v>
      </c>
      <c r="E434" s="476">
        <v>3615</v>
      </c>
      <c r="F434" s="476">
        <v>3618</v>
      </c>
      <c r="G434" s="476">
        <v>3620</v>
      </c>
      <c r="H434" s="476">
        <v>3623</v>
      </c>
      <c r="I434" s="476">
        <v>3625</v>
      </c>
      <c r="J434" s="476">
        <v>3627</v>
      </c>
      <c r="K434" s="476">
        <v>3630</v>
      </c>
    </row>
    <row r="435" spans="1:11">
      <c r="A435" s="479">
        <v>6709.1</v>
      </c>
      <c r="B435" s="476">
        <v>3632</v>
      </c>
      <c r="C435" s="476">
        <v>3635</v>
      </c>
      <c r="D435" s="476">
        <v>3637</v>
      </c>
      <c r="E435" s="476">
        <v>3640</v>
      </c>
      <c r="F435" s="476">
        <v>3642</v>
      </c>
      <c r="G435" s="476">
        <v>3644</v>
      </c>
      <c r="H435" s="476">
        <v>3647</v>
      </c>
      <c r="I435" s="476">
        <v>3649</v>
      </c>
      <c r="J435" s="476">
        <v>3652</v>
      </c>
      <c r="K435" s="476">
        <v>3654</v>
      </c>
    </row>
    <row r="436" spans="1:11">
      <c r="A436" s="479">
        <v>6709.2</v>
      </c>
      <c r="B436" s="476">
        <v>3657</v>
      </c>
      <c r="C436" s="476">
        <v>3659</v>
      </c>
      <c r="D436" s="476">
        <v>3661</v>
      </c>
      <c r="E436" s="476">
        <v>3664</v>
      </c>
      <c r="F436" s="476">
        <v>3666</v>
      </c>
      <c r="G436" s="476">
        <v>3669</v>
      </c>
      <c r="H436" s="476">
        <v>3671</v>
      </c>
      <c r="I436" s="476">
        <v>3674</v>
      </c>
      <c r="J436" s="476">
        <v>3676</v>
      </c>
      <c r="K436" s="476">
        <v>3678</v>
      </c>
    </row>
    <row r="437" spans="1:11">
      <c r="A437" s="479">
        <v>6709.3</v>
      </c>
      <c r="B437" s="476">
        <v>3681</v>
      </c>
      <c r="C437" s="476">
        <v>3683</v>
      </c>
      <c r="D437" s="476">
        <v>3686</v>
      </c>
      <c r="E437" s="476">
        <v>3688</v>
      </c>
      <c r="F437" s="476">
        <v>3691</v>
      </c>
      <c r="G437" s="476">
        <v>3693</v>
      </c>
      <c r="H437" s="476">
        <v>3695</v>
      </c>
      <c r="I437" s="476">
        <v>3698</v>
      </c>
      <c r="J437" s="476">
        <v>3700</v>
      </c>
      <c r="K437" s="476">
        <v>3703</v>
      </c>
    </row>
    <row r="438" spans="1:11">
      <c r="A438" s="479">
        <v>6709.4</v>
      </c>
      <c r="B438" s="476">
        <v>3705</v>
      </c>
      <c r="C438" s="476">
        <v>3707</v>
      </c>
      <c r="D438" s="476">
        <v>3710</v>
      </c>
      <c r="E438" s="476">
        <v>3712</v>
      </c>
      <c r="F438" s="476">
        <v>3715</v>
      </c>
      <c r="G438" s="476">
        <v>3717</v>
      </c>
      <c r="H438" s="476">
        <v>3720</v>
      </c>
      <c r="I438" s="476">
        <v>3722</v>
      </c>
      <c r="J438" s="476">
        <v>3724</v>
      </c>
      <c r="K438" s="476">
        <v>3727</v>
      </c>
    </row>
    <row r="439" spans="1:11">
      <c r="A439" s="479">
        <v>6709.5</v>
      </c>
      <c r="B439" s="476">
        <v>3729</v>
      </c>
      <c r="C439" s="476">
        <v>3732</v>
      </c>
      <c r="D439" s="476">
        <v>3734</v>
      </c>
      <c r="E439" s="476">
        <v>3737</v>
      </c>
      <c r="F439" s="476">
        <v>3739</v>
      </c>
      <c r="G439" s="476">
        <v>3741</v>
      </c>
      <c r="H439" s="476">
        <v>3744</v>
      </c>
      <c r="I439" s="476">
        <v>3746</v>
      </c>
      <c r="J439" s="476">
        <v>3749</v>
      </c>
      <c r="K439" s="476">
        <v>3751</v>
      </c>
    </row>
    <row r="440" spans="1:11">
      <c r="A440" s="479">
        <v>6709.6</v>
      </c>
      <c r="B440" s="476">
        <v>3754</v>
      </c>
      <c r="C440" s="476">
        <v>3756</v>
      </c>
      <c r="D440" s="476">
        <v>3758</v>
      </c>
      <c r="E440" s="476">
        <v>3761</v>
      </c>
      <c r="F440" s="476">
        <v>3763</v>
      </c>
      <c r="G440" s="476">
        <v>3766</v>
      </c>
      <c r="H440" s="476">
        <v>3768</v>
      </c>
      <c r="I440" s="476">
        <v>3771</v>
      </c>
      <c r="J440" s="476">
        <v>3773</v>
      </c>
      <c r="K440" s="476">
        <v>3775</v>
      </c>
    </row>
    <row r="441" spans="1:11">
      <c r="A441" s="479">
        <v>6709.7</v>
      </c>
      <c r="B441" s="476">
        <v>3778</v>
      </c>
      <c r="C441" s="476">
        <v>3780</v>
      </c>
      <c r="D441" s="476">
        <v>3783</v>
      </c>
      <c r="E441" s="476">
        <v>3785</v>
      </c>
      <c r="F441" s="476">
        <v>3788</v>
      </c>
      <c r="G441" s="476">
        <v>3790</v>
      </c>
      <c r="H441" s="476">
        <v>3792</v>
      </c>
      <c r="I441" s="476">
        <v>3795</v>
      </c>
      <c r="J441" s="476">
        <v>3797</v>
      </c>
      <c r="K441" s="476">
        <v>3800</v>
      </c>
    </row>
    <row r="442" spans="1:11">
      <c r="A442" s="479">
        <v>6709.8</v>
      </c>
      <c r="B442" s="476">
        <v>3802</v>
      </c>
      <c r="C442" s="476">
        <v>3805</v>
      </c>
      <c r="D442" s="476">
        <v>3807</v>
      </c>
      <c r="E442" s="476">
        <v>3809</v>
      </c>
      <c r="F442" s="476">
        <v>3812</v>
      </c>
      <c r="G442" s="476">
        <v>3814</v>
      </c>
      <c r="H442" s="476">
        <v>3817</v>
      </c>
      <c r="I442" s="476">
        <v>3819</v>
      </c>
      <c r="J442" s="476">
        <v>3822</v>
      </c>
      <c r="K442" s="476">
        <v>3824</v>
      </c>
    </row>
    <row r="443" spans="1:11">
      <c r="A443" s="479">
        <v>6709.9</v>
      </c>
      <c r="B443" s="476">
        <v>3826</v>
      </c>
      <c r="C443" s="476">
        <v>3829</v>
      </c>
      <c r="D443" s="476">
        <v>3831</v>
      </c>
      <c r="E443" s="476">
        <v>3834</v>
      </c>
      <c r="F443" s="476">
        <v>3836</v>
      </c>
      <c r="G443" s="476">
        <v>3839</v>
      </c>
      <c r="H443" s="476">
        <v>3841</v>
      </c>
      <c r="I443" s="476">
        <v>3843</v>
      </c>
      <c r="J443" s="476">
        <v>3846</v>
      </c>
      <c r="K443" s="476">
        <v>3848</v>
      </c>
    </row>
    <row r="444" spans="1:11">
      <c r="A444" s="479">
        <v>6710</v>
      </c>
      <c r="B444" s="476">
        <v>3851</v>
      </c>
      <c r="C444" s="476">
        <v>3853</v>
      </c>
      <c r="D444" s="476">
        <v>3856</v>
      </c>
      <c r="E444" s="476">
        <v>3858</v>
      </c>
      <c r="F444" s="476">
        <v>3861</v>
      </c>
      <c r="G444" s="476">
        <v>3863</v>
      </c>
      <c r="H444" s="476">
        <v>3866</v>
      </c>
      <c r="I444" s="476">
        <v>3868</v>
      </c>
      <c r="J444" s="476">
        <v>3871</v>
      </c>
      <c r="K444" s="476">
        <v>3874</v>
      </c>
    </row>
    <row r="445" spans="1:11">
      <c r="A445" s="479">
        <v>6710.1</v>
      </c>
      <c r="B445" s="476">
        <v>3876</v>
      </c>
      <c r="C445" s="476">
        <v>3879</v>
      </c>
      <c r="D445" s="476">
        <v>3881</v>
      </c>
      <c r="E445" s="476">
        <v>3884</v>
      </c>
      <c r="F445" s="476">
        <v>3886</v>
      </c>
      <c r="G445" s="476">
        <v>3889</v>
      </c>
      <c r="H445" s="476">
        <v>3891</v>
      </c>
      <c r="I445" s="476">
        <v>3894</v>
      </c>
      <c r="J445" s="476">
        <v>3896</v>
      </c>
      <c r="K445" s="476">
        <v>3899</v>
      </c>
    </row>
    <row r="446" spans="1:11">
      <c r="A446" s="479">
        <v>6710.2</v>
      </c>
      <c r="B446" s="476">
        <v>3901</v>
      </c>
      <c r="C446" s="476">
        <v>3904</v>
      </c>
      <c r="D446" s="476">
        <v>3906</v>
      </c>
      <c r="E446" s="476">
        <v>3909</v>
      </c>
      <c r="F446" s="476">
        <v>3912</v>
      </c>
      <c r="G446" s="476">
        <v>3914</v>
      </c>
      <c r="H446" s="476">
        <v>3917</v>
      </c>
      <c r="I446" s="476">
        <v>3919</v>
      </c>
      <c r="J446" s="476">
        <v>3922</v>
      </c>
      <c r="K446" s="476">
        <v>3924</v>
      </c>
    </row>
    <row r="447" spans="1:11">
      <c r="A447" s="479">
        <v>6710.3</v>
      </c>
      <c r="B447" s="476">
        <v>3927</v>
      </c>
      <c r="C447" s="476">
        <v>3929</v>
      </c>
      <c r="D447" s="476">
        <v>3932</v>
      </c>
      <c r="E447" s="476">
        <v>3934</v>
      </c>
      <c r="F447" s="476">
        <v>3937</v>
      </c>
      <c r="G447" s="476">
        <v>3939</v>
      </c>
      <c r="H447" s="476">
        <v>3942</v>
      </c>
      <c r="I447" s="476">
        <v>3944</v>
      </c>
      <c r="J447" s="476">
        <v>3947</v>
      </c>
      <c r="K447" s="476">
        <v>3950</v>
      </c>
    </row>
    <row r="448" spans="1:11">
      <c r="A448" s="479">
        <v>6710.4</v>
      </c>
      <c r="B448" s="476">
        <v>3952</v>
      </c>
      <c r="C448" s="476">
        <v>3955</v>
      </c>
      <c r="D448" s="476">
        <v>3957</v>
      </c>
      <c r="E448" s="476">
        <v>3960</v>
      </c>
      <c r="F448" s="476">
        <v>3962</v>
      </c>
      <c r="G448" s="476">
        <v>3965</v>
      </c>
      <c r="H448" s="476">
        <v>3967</v>
      </c>
      <c r="I448" s="476">
        <v>3970</v>
      </c>
      <c r="J448" s="476">
        <v>3972</v>
      </c>
      <c r="K448" s="476">
        <v>3975</v>
      </c>
    </row>
    <row r="449" spans="1:11">
      <c r="A449" s="479">
        <v>6710.5</v>
      </c>
      <c r="B449" s="476">
        <v>3977</v>
      </c>
      <c r="C449" s="476">
        <v>3980</v>
      </c>
      <c r="D449" s="476">
        <v>3982</v>
      </c>
      <c r="E449" s="476">
        <v>3985</v>
      </c>
      <c r="F449" s="476">
        <v>3988</v>
      </c>
      <c r="G449" s="476">
        <v>3990</v>
      </c>
      <c r="H449" s="476">
        <v>3993</v>
      </c>
      <c r="I449" s="476">
        <v>3995</v>
      </c>
      <c r="J449" s="476">
        <v>3998</v>
      </c>
      <c r="K449" s="476">
        <v>4000</v>
      </c>
    </row>
    <row r="450" spans="1:11">
      <c r="A450" s="479">
        <v>6710.6</v>
      </c>
      <c r="B450" s="476">
        <v>4003</v>
      </c>
      <c r="C450" s="476">
        <v>4005</v>
      </c>
      <c r="D450" s="476">
        <v>4008</v>
      </c>
      <c r="E450" s="476">
        <v>4010</v>
      </c>
      <c r="F450" s="476">
        <v>4013</v>
      </c>
      <c r="G450" s="476">
        <v>4015</v>
      </c>
      <c r="H450" s="476">
        <v>4018</v>
      </c>
      <c r="I450" s="476">
        <v>4021</v>
      </c>
      <c r="J450" s="476">
        <v>4023</v>
      </c>
      <c r="K450" s="476">
        <v>4026</v>
      </c>
    </row>
    <row r="451" spans="1:11">
      <c r="A451" s="479">
        <v>6710.7</v>
      </c>
      <c r="B451" s="476">
        <v>4028</v>
      </c>
      <c r="C451" s="476">
        <v>4031</v>
      </c>
      <c r="D451" s="476">
        <v>4033</v>
      </c>
      <c r="E451" s="476">
        <v>4036</v>
      </c>
      <c r="F451" s="476">
        <v>4038</v>
      </c>
      <c r="G451" s="476">
        <v>4041</v>
      </c>
      <c r="H451" s="476">
        <v>4043</v>
      </c>
      <c r="I451" s="476">
        <v>4046</v>
      </c>
      <c r="J451" s="476">
        <v>4048</v>
      </c>
      <c r="K451" s="476">
        <v>4051</v>
      </c>
    </row>
    <row r="452" spans="1:11">
      <c r="A452" s="479">
        <v>6710.8</v>
      </c>
      <c r="B452" s="476">
        <v>4053</v>
      </c>
      <c r="C452" s="476">
        <v>4056</v>
      </c>
      <c r="D452" s="476">
        <v>4059</v>
      </c>
      <c r="E452" s="476">
        <v>4061</v>
      </c>
      <c r="F452" s="476">
        <v>4064</v>
      </c>
      <c r="G452" s="476">
        <v>4066</v>
      </c>
      <c r="H452" s="476">
        <v>4069</v>
      </c>
      <c r="I452" s="476">
        <v>4071</v>
      </c>
      <c r="J452" s="476">
        <v>4074</v>
      </c>
      <c r="K452" s="476">
        <v>4076</v>
      </c>
    </row>
    <row r="453" spans="1:11">
      <c r="A453" s="479">
        <v>6710.9</v>
      </c>
      <c r="B453" s="476">
        <v>4079</v>
      </c>
      <c r="C453" s="476">
        <v>4081</v>
      </c>
      <c r="D453" s="476">
        <v>4084</v>
      </c>
      <c r="E453" s="476">
        <v>4086</v>
      </c>
      <c r="F453" s="476">
        <v>4089</v>
      </c>
      <c r="G453" s="476">
        <v>4091</v>
      </c>
      <c r="H453" s="476">
        <v>4094</v>
      </c>
      <c r="I453" s="476">
        <v>4097</v>
      </c>
      <c r="J453" s="476">
        <v>4099</v>
      </c>
      <c r="K453" s="476">
        <v>4102</v>
      </c>
    </row>
    <row r="454" spans="1:11">
      <c r="A454" s="479">
        <v>6711</v>
      </c>
      <c r="B454" s="476">
        <v>4104</v>
      </c>
      <c r="C454" s="476">
        <v>4107</v>
      </c>
      <c r="D454" s="476">
        <v>4109</v>
      </c>
      <c r="E454" s="476">
        <v>4112</v>
      </c>
      <c r="F454" s="476">
        <v>4115</v>
      </c>
      <c r="G454" s="476">
        <v>4117</v>
      </c>
      <c r="H454" s="476">
        <v>4120</v>
      </c>
      <c r="I454" s="476">
        <v>4123</v>
      </c>
      <c r="J454" s="476">
        <v>4125</v>
      </c>
      <c r="K454" s="476">
        <v>4128</v>
      </c>
    </row>
    <row r="455" spans="1:11">
      <c r="A455" s="479">
        <v>6711.1</v>
      </c>
      <c r="B455" s="476">
        <v>4131</v>
      </c>
      <c r="C455" s="476">
        <v>4133</v>
      </c>
      <c r="D455" s="476">
        <v>4136</v>
      </c>
      <c r="E455" s="476">
        <v>4139</v>
      </c>
      <c r="F455" s="476">
        <v>4141</v>
      </c>
      <c r="G455" s="476">
        <v>4144</v>
      </c>
      <c r="H455" s="476">
        <v>4146</v>
      </c>
      <c r="I455" s="476">
        <v>4149</v>
      </c>
      <c r="J455" s="476">
        <v>4152</v>
      </c>
      <c r="K455" s="476">
        <v>4154</v>
      </c>
    </row>
    <row r="456" spans="1:11">
      <c r="A456" s="479">
        <v>6711.2</v>
      </c>
      <c r="B456" s="476">
        <v>4157</v>
      </c>
      <c r="C456" s="476">
        <v>4160</v>
      </c>
      <c r="D456" s="476">
        <v>4162</v>
      </c>
      <c r="E456" s="476">
        <v>4165</v>
      </c>
      <c r="F456" s="476">
        <v>4168</v>
      </c>
      <c r="G456" s="476">
        <v>4170</v>
      </c>
      <c r="H456" s="476">
        <v>4173</v>
      </c>
      <c r="I456" s="476">
        <v>4176</v>
      </c>
      <c r="J456" s="476">
        <v>4178</v>
      </c>
      <c r="K456" s="476">
        <v>4181</v>
      </c>
    </row>
    <row r="457" spans="1:11">
      <c r="A457" s="479">
        <v>6711.3</v>
      </c>
      <c r="B457" s="476">
        <v>4183</v>
      </c>
      <c r="C457" s="476">
        <v>4186</v>
      </c>
      <c r="D457" s="476">
        <v>4189</v>
      </c>
      <c r="E457" s="476">
        <v>4191</v>
      </c>
      <c r="F457" s="476">
        <v>4194</v>
      </c>
      <c r="G457" s="476">
        <v>4197</v>
      </c>
      <c r="H457" s="476">
        <v>4199</v>
      </c>
      <c r="I457" s="476">
        <v>4202</v>
      </c>
      <c r="J457" s="476">
        <v>4205</v>
      </c>
      <c r="K457" s="476">
        <v>4207</v>
      </c>
    </row>
    <row r="458" spans="1:11">
      <c r="A458" s="479">
        <v>6711.4</v>
      </c>
      <c r="B458" s="476">
        <v>4210</v>
      </c>
      <c r="C458" s="476">
        <v>4213</v>
      </c>
      <c r="D458" s="476">
        <v>4215</v>
      </c>
      <c r="E458" s="476">
        <v>4218</v>
      </c>
      <c r="F458" s="476">
        <v>4221</v>
      </c>
      <c r="G458" s="476">
        <v>4223</v>
      </c>
      <c r="H458" s="476">
        <v>4226</v>
      </c>
      <c r="I458" s="476">
        <v>4228</v>
      </c>
      <c r="J458" s="476">
        <v>4231</v>
      </c>
      <c r="K458" s="476">
        <v>4234</v>
      </c>
    </row>
    <row r="459" spans="1:11">
      <c r="A459" s="479">
        <v>6711.5</v>
      </c>
      <c r="B459" s="476">
        <v>4236</v>
      </c>
      <c r="C459" s="476">
        <v>4239</v>
      </c>
      <c r="D459" s="476">
        <v>4242</v>
      </c>
      <c r="E459" s="476">
        <v>4244</v>
      </c>
      <c r="F459" s="476">
        <v>4247</v>
      </c>
      <c r="G459" s="476">
        <v>4250</v>
      </c>
      <c r="H459" s="476">
        <v>4252</v>
      </c>
      <c r="I459" s="476">
        <v>4255</v>
      </c>
      <c r="J459" s="476">
        <v>4258</v>
      </c>
      <c r="K459" s="476">
        <v>4260</v>
      </c>
    </row>
    <row r="460" spans="1:11">
      <c r="A460" s="479">
        <v>6711.6</v>
      </c>
      <c r="B460" s="476">
        <v>4263</v>
      </c>
      <c r="C460" s="476">
        <v>4265</v>
      </c>
      <c r="D460" s="476">
        <v>4268</v>
      </c>
      <c r="E460" s="476">
        <v>4271</v>
      </c>
      <c r="F460" s="476">
        <v>4273</v>
      </c>
      <c r="G460" s="476">
        <v>4276</v>
      </c>
      <c r="H460" s="476">
        <v>4279</v>
      </c>
      <c r="I460" s="476">
        <v>4281</v>
      </c>
      <c r="J460" s="476">
        <v>4284</v>
      </c>
      <c r="K460" s="476">
        <v>4287</v>
      </c>
    </row>
    <row r="461" spans="1:11">
      <c r="A461" s="479">
        <v>6711.7</v>
      </c>
      <c r="B461" s="476">
        <v>4289</v>
      </c>
      <c r="C461" s="476">
        <v>4292</v>
      </c>
      <c r="D461" s="476">
        <v>4295</v>
      </c>
      <c r="E461" s="476">
        <v>4297</v>
      </c>
      <c r="F461" s="476">
        <v>4300</v>
      </c>
      <c r="G461" s="476">
        <v>4303</v>
      </c>
      <c r="H461" s="476">
        <v>4305</v>
      </c>
      <c r="I461" s="476">
        <v>4308</v>
      </c>
      <c r="J461" s="476">
        <v>4310</v>
      </c>
      <c r="K461" s="476">
        <v>4313</v>
      </c>
    </row>
    <row r="462" spans="1:11">
      <c r="A462" s="479">
        <v>6711.8</v>
      </c>
      <c r="B462" s="476">
        <v>4316</v>
      </c>
      <c r="C462" s="476">
        <v>4318</v>
      </c>
      <c r="D462" s="476">
        <v>4321</v>
      </c>
      <c r="E462" s="476">
        <v>4324</v>
      </c>
      <c r="F462" s="476">
        <v>4326</v>
      </c>
      <c r="G462" s="476">
        <v>4329</v>
      </c>
      <c r="H462" s="476">
        <v>4332</v>
      </c>
      <c r="I462" s="476">
        <v>4334</v>
      </c>
      <c r="J462" s="476">
        <v>4337</v>
      </c>
      <c r="K462" s="476">
        <v>4340</v>
      </c>
    </row>
    <row r="463" spans="1:11">
      <c r="A463" s="479">
        <v>6711.9</v>
      </c>
      <c r="B463" s="476">
        <v>4342</v>
      </c>
      <c r="C463" s="476">
        <v>4345</v>
      </c>
      <c r="D463" s="476">
        <v>4347</v>
      </c>
      <c r="E463" s="476">
        <v>4350</v>
      </c>
      <c r="F463" s="476">
        <v>4353</v>
      </c>
      <c r="G463" s="476">
        <v>4355</v>
      </c>
      <c r="H463" s="476">
        <v>4358</v>
      </c>
      <c r="I463" s="476">
        <v>4361</v>
      </c>
      <c r="J463" s="476">
        <v>4363</v>
      </c>
      <c r="K463" s="476">
        <v>4366</v>
      </c>
    </row>
    <row r="464" spans="1:11">
      <c r="A464" s="479">
        <v>6712</v>
      </c>
      <c r="B464" s="476">
        <v>4369</v>
      </c>
      <c r="C464" s="476">
        <v>4371</v>
      </c>
      <c r="D464" s="476">
        <v>4374</v>
      </c>
      <c r="E464" s="476">
        <v>4377</v>
      </c>
      <c r="F464" s="476">
        <v>4380</v>
      </c>
      <c r="G464" s="476">
        <v>4382</v>
      </c>
      <c r="H464" s="476">
        <v>4385</v>
      </c>
      <c r="I464" s="476">
        <v>4388</v>
      </c>
      <c r="J464" s="476">
        <v>4391</v>
      </c>
      <c r="K464" s="476">
        <v>4394</v>
      </c>
    </row>
    <row r="465" spans="1:11">
      <c r="A465" s="479">
        <v>6712.1</v>
      </c>
      <c r="B465" s="476">
        <v>4396</v>
      </c>
      <c r="C465" s="476">
        <v>4399</v>
      </c>
      <c r="D465" s="476">
        <v>4402</v>
      </c>
      <c r="E465" s="476">
        <v>4405</v>
      </c>
      <c r="F465" s="476">
        <v>4407</v>
      </c>
      <c r="G465" s="476">
        <v>4410</v>
      </c>
      <c r="H465" s="476">
        <v>4413</v>
      </c>
      <c r="I465" s="476">
        <v>4416</v>
      </c>
      <c r="J465" s="476">
        <v>4418</v>
      </c>
      <c r="K465" s="476">
        <v>4421</v>
      </c>
    </row>
    <row r="466" spans="1:11">
      <c r="A466" s="479">
        <v>6712.2</v>
      </c>
      <c r="B466" s="476">
        <v>4424</v>
      </c>
      <c r="C466" s="476">
        <v>4427</v>
      </c>
      <c r="D466" s="476">
        <v>4429</v>
      </c>
      <c r="E466" s="476">
        <v>4432</v>
      </c>
      <c r="F466" s="476">
        <v>4435</v>
      </c>
      <c r="G466" s="476">
        <v>4438</v>
      </c>
      <c r="H466" s="476">
        <v>4440</v>
      </c>
      <c r="I466" s="476">
        <v>4443</v>
      </c>
      <c r="J466" s="476">
        <v>4446</v>
      </c>
      <c r="K466" s="476">
        <v>4449</v>
      </c>
    </row>
    <row r="467" spans="1:11">
      <c r="A467" s="479">
        <v>6712.3</v>
      </c>
      <c r="B467" s="476">
        <v>4452</v>
      </c>
      <c r="C467" s="476">
        <v>4454</v>
      </c>
      <c r="D467" s="476">
        <v>4457</v>
      </c>
      <c r="E467" s="476">
        <v>4460</v>
      </c>
      <c r="F467" s="476">
        <v>4463</v>
      </c>
      <c r="G467" s="476">
        <v>4465</v>
      </c>
      <c r="H467" s="476">
        <v>4468</v>
      </c>
      <c r="I467" s="476">
        <v>4471</v>
      </c>
      <c r="J467" s="476">
        <v>4474</v>
      </c>
      <c r="K467" s="476">
        <v>4476</v>
      </c>
    </row>
    <row r="468" spans="1:11">
      <c r="A468" s="479">
        <v>6712.4</v>
      </c>
      <c r="B468" s="476">
        <v>4479</v>
      </c>
      <c r="C468" s="476">
        <v>4482</v>
      </c>
      <c r="D468" s="476">
        <v>4485</v>
      </c>
      <c r="E468" s="476">
        <v>4487</v>
      </c>
      <c r="F468" s="476">
        <v>4490</v>
      </c>
      <c r="G468" s="476">
        <v>4493</v>
      </c>
      <c r="H468" s="476">
        <v>4496</v>
      </c>
      <c r="I468" s="476">
        <v>4498</v>
      </c>
      <c r="J468" s="476">
        <v>4501</v>
      </c>
      <c r="K468" s="476">
        <v>4504</v>
      </c>
    </row>
    <row r="469" spans="1:11">
      <c r="A469" s="479">
        <v>6712.5</v>
      </c>
      <c r="B469" s="476">
        <v>4507</v>
      </c>
      <c r="C469" s="476">
        <v>4510</v>
      </c>
      <c r="D469" s="476">
        <v>4512</v>
      </c>
      <c r="E469" s="476">
        <v>4515</v>
      </c>
      <c r="F469" s="476">
        <v>4518</v>
      </c>
      <c r="G469" s="476">
        <v>4521</v>
      </c>
      <c r="H469" s="476">
        <v>4523</v>
      </c>
      <c r="I469" s="476">
        <v>4526</v>
      </c>
      <c r="J469" s="476">
        <v>4529</v>
      </c>
      <c r="K469" s="476">
        <v>4532</v>
      </c>
    </row>
    <row r="470" spans="1:11">
      <c r="A470" s="479">
        <v>6712.6</v>
      </c>
      <c r="B470" s="476">
        <v>4534</v>
      </c>
      <c r="C470" s="476">
        <v>4537</v>
      </c>
      <c r="D470" s="476">
        <v>4540</v>
      </c>
      <c r="E470" s="476">
        <v>4543</v>
      </c>
      <c r="F470" s="476">
        <v>4545</v>
      </c>
      <c r="G470" s="476">
        <v>4548</v>
      </c>
      <c r="H470" s="476">
        <v>4551</v>
      </c>
      <c r="I470" s="476">
        <v>4554</v>
      </c>
      <c r="J470" s="476">
        <v>4556</v>
      </c>
      <c r="K470" s="476">
        <v>4559</v>
      </c>
    </row>
    <row r="471" spans="1:11">
      <c r="A471" s="479">
        <v>6712.7</v>
      </c>
      <c r="B471" s="476">
        <v>4562</v>
      </c>
      <c r="C471" s="476">
        <v>4565</v>
      </c>
      <c r="D471" s="476">
        <v>4568</v>
      </c>
      <c r="E471" s="476">
        <v>4570</v>
      </c>
      <c r="F471" s="476">
        <v>4573</v>
      </c>
      <c r="G471" s="476">
        <v>4576</v>
      </c>
      <c r="H471" s="476">
        <v>4579</v>
      </c>
      <c r="I471" s="476">
        <v>4581</v>
      </c>
      <c r="J471" s="476">
        <v>4584</v>
      </c>
      <c r="K471" s="476">
        <v>4587</v>
      </c>
    </row>
    <row r="472" spans="1:11">
      <c r="A472" s="479">
        <v>6712.8</v>
      </c>
      <c r="B472" s="476">
        <v>4590</v>
      </c>
      <c r="C472" s="476">
        <v>4592</v>
      </c>
      <c r="D472" s="476">
        <v>4595</v>
      </c>
      <c r="E472" s="476">
        <v>4598</v>
      </c>
      <c r="F472" s="476">
        <v>4601</v>
      </c>
      <c r="G472" s="476">
        <v>4603</v>
      </c>
      <c r="H472" s="476">
        <v>4606</v>
      </c>
      <c r="I472" s="476">
        <v>4609</v>
      </c>
      <c r="J472" s="476">
        <v>4612</v>
      </c>
      <c r="K472" s="476">
        <v>4614</v>
      </c>
    </row>
    <row r="473" spans="1:11">
      <c r="A473" s="479">
        <v>6712.9</v>
      </c>
      <c r="B473" s="476">
        <v>4617</v>
      </c>
      <c r="C473" s="476">
        <v>4620</v>
      </c>
      <c r="D473" s="476">
        <v>4623</v>
      </c>
      <c r="E473" s="476">
        <v>4626</v>
      </c>
      <c r="F473" s="476">
        <v>4628</v>
      </c>
      <c r="G473" s="476">
        <v>4631</v>
      </c>
      <c r="H473" s="476">
        <v>4634</v>
      </c>
      <c r="I473" s="476">
        <v>4637</v>
      </c>
      <c r="J473" s="476">
        <v>4639</v>
      </c>
      <c r="K473" s="476">
        <v>4642</v>
      </c>
    </row>
    <row r="474" spans="1:11">
      <c r="A474" s="479">
        <v>6713</v>
      </c>
      <c r="B474" s="476">
        <v>4645</v>
      </c>
      <c r="C474" s="476">
        <v>4648</v>
      </c>
      <c r="D474" s="476">
        <v>4651</v>
      </c>
      <c r="E474" s="476">
        <v>4653</v>
      </c>
      <c r="F474" s="476">
        <v>4656</v>
      </c>
      <c r="G474" s="476">
        <v>4659</v>
      </c>
      <c r="H474" s="476">
        <v>4662</v>
      </c>
      <c r="I474" s="476">
        <v>4665</v>
      </c>
      <c r="J474" s="476">
        <v>4668</v>
      </c>
      <c r="K474" s="476">
        <v>4671</v>
      </c>
    </row>
    <row r="475" spans="1:11">
      <c r="A475" s="479">
        <v>6713.1</v>
      </c>
      <c r="B475" s="476">
        <v>4674</v>
      </c>
      <c r="C475" s="476">
        <v>4677</v>
      </c>
      <c r="D475" s="476">
        <v>4679</v>
      </c>
      <c r="E475" s="476">
        <v>4682</v>
      </c>
      <c r="F475" s="476">
        <v>4685</v>
      </c>
      <c r="G475" s="476">
        <v>4688</v>
      </c>
      <c r="H475" s="476">
        <v>4691</v>
      </c>
      <c r="I475" s="476">
        <v>4694</v>
      </c>
      <c r="J475" s="476">
        <v>4697</v>
      </c>
      <c r="K475" s="476">
        <v>4700</v>
      </c>
    </row>
    <row r="476" spans="1:11">
      <c r="A476" s="479">
        <v>6713.2</v>
      </c>
      <c r="B476" s="476">
        <v>4703</v>
      </c>
      <c r="C476" s="476">
        <v>4705</v>
      </c>
      <c r="D476" s="476">
        <v>4708</v>
      </c>
      <c r="E476" s="476">
        <v>4711</v>
      </c>
      <c r="F476" s="476">
        <v>4714</v>
      </c>
      <c r="G476" s="476">
        <v>4717</v>
      </c>
      <c r="H476" s="476">
        <v>4720</v>
      </c>
      <c r="I476" s="476">
        <v>4723</v>
      </c>
      <c r="J476" s="476">
        <v>4726</v>
      </c>
      <c r="K476" s="476">
        <v>4728</v>
      </c>
    </row>
    <row r="477" spans="1:11">
      <c r="A477" s="479">
        <v>6713.3</v>
      </c>
      <c r="B477" s="476">
        <v>4731</v>
      </c>
      <c r="C477" s="476">
        <v>4734</v>
      </c>
      <c r="D477" s="476">
        <v>4737</v>
      </c>
      <c r="E477" s="476">
        <v>4740</v>
      </c>
      <c r="F477" s="476">
        <v>4713</v>
      </c>
      <c r="G477" s="476">
        <v>4746</v>
      </c>
      <c r="H477" s="476">
        <v>4749</v>
      </c>
      <c r="I477" s="476">
        <v>4752</v>
      </c>
      <c r="J477" s="476">
        <v>4754</v>
      </c>
      <c r="K477" s="476">
        <v>4757</v>
      </c>
    </row>
    <row r="478" spans="1:11">
      <c r="A478" s="479">
        <v>6713.4</v>
      </c>
      <c r="B478" s="476">
        <v>4760</v>
      </c>
      <c r="C478" s="476">
        <v>4763</v>
      </c>
      <c r="D478" s="476">
        <v>4766</v>
      </c>
      <c r="E478" s="476">
        <v>4769</v>
      </c>
      <c r="F478" s="476">
        <v>4772</v>
      </c>
      <c r="G478" s="476">
        <v>4775</v>
      </c>
      <c r="H478" s="476">
        <v>4777</v>
      </c>
      <c r="I478" s="476">
        <v>4780</v>
      </c>
      <c r="J478" s="476">
        <v>4783</v>
      </c>
      <c r="K478" s="476">
        <v>4786</v>
      </c>
    </row>
    <row r="479" spans="1:11">
      <c r="A479" s="479">
        <v>6713.5</v>
      </c>
      <c r="B479" s="476">
        <v>4789</v>
      </c>
      <c r="C479" s="476">
        <v>4792</v>
      </c>
      <c r="D479" s="476">
        <v>4795</v>
      </c>
      <c r="E479" s="476">
        <v>4798</v>
      </c>
      <c r="F479" s="476">
        <v>4031</v>
      </c>
      <c r="G479" s="476">
        <v>4803</v>
      </c>
      <c r="H479" s="476">
        <v>4806</v>
      </c>
      <c r="I479" s="476">
        <v>4809</v>
      </c>
      <c r="J479" s="476">
        <v>4812</v>
      </c>
      <c r="K479" s="476">
        <v>4815</v>
      </c>
    </row>
    <row r="480" spans="1:11">
      <c r="A480" s="479">
        <v>6713.6</v>
      </c>
      <c r="B480" s="476">
        <v>4818</v>
      </c>
      <c r="C480" s="476">
        <v>4821</v>
      </c>
      <c r="D480" s="476">
        <v>4824</v>
      </c>
      <c r="E480" s="476">
        <v>4826</v>
      </c>
      <c r="F480" s="476">
        <v>4829</v>
      </c>
      <c r="G480" s="476">
        <v>4832</v>
      </c>
      <c r="H480" s="476">
        <v>4835</v>
      </c>
      <c r="I480" s="476">
        <v>4838</v>
      </c>
      <c r="J480" s="476">
        <v>4841</v>
      </c>
      <c r="K480" s="476">
        <v>4844</v>
      </c>
    </row>
    <row r="481" spans="1:11">
      <c r="A481" s="479">
        <v>6713.7</v>
      </c>
      <c r="B481" s="476">
        <v>4847</v>
      </c>
      <c r="C481" s="476">
        <v>4850</v>
      </c>
      <c r="D481" s="476">
        <v>4852</v>
      </c>
      <c r="E481" s="476">
        <v>4855</v>
      </c>
      <c r="F481" s="476">
        <v>4858</v>
      </c>
      <c r="G481" s="476">
        <v>4861</v>
      </c>
      <c r="H481" s="476">
        <v>4864</v>
      </c>
      <c r="I481" s="476">
        <v>4867</v>
      </c>
      <c r="J481" s="476">
        <v>4870</v>
      </c>
      <c r="K481" s="476">
        <v>4873</v>
      </c>
    </row>
    <row r="482" spans="1:11">
      <c r="A482" s="479">
        <v>6713.8</v>
      </c>
      <c r="B482" s="476">
        <v>4876</v>
      </c>
      <c r="C482" s="476">
        <v>4878</v>
      </c>
      <c r="D482" s="476">
        <v>4881</v>
      </c>
      <c r="E482" s="476">
        <v>4884</v>
      </c>
      <c r="F482" s="476">
        <v>4887</v>
      </c>
      <c r="G482" s="476">
        <v>4890</v>
      </c>
      <c r="H482" s="476">
        <v>4893</v>
      </c>
      <c r="I482" s="476">
        <v>4896</v>
      </c>
      <c r="J482" s="476">
        <v>4899</v>
      </c>
      <c r="K482" s="476">
        <v>4901</v>
      </c>
    </row>
    <row r="483" spans="1:11">
      <c r="A483" s="479">
        <v>6713.9</v>
      </c>
      <c r="B483" s="476">
        <v>4904</v>
      </c>
      <c r="C483" s="476">
        <v>4907</v>
      </c>
      <c r="D483" s="476">
        <v>4910</v>
      </c>
      <c r="E483" s="476">
        <v>4913</v>
      </c>
      <c r="F483" s="476">
        <v>4916</v>
      </c>
      <c r="G483" s="476">
        <v>4919</v>
      </c>
      <c r="H483" s="476">
        <v>4922</v>
      </c>
      <c r="I483" s="476">
        <v>4925</v>
      </c>
      <c r="J483" s="476">
        <v>4927</v>
      </c>
      <c r="K483" s="476">
        <v>4930</v>
      </c>
    </row>
    <row r="484" spans="1:11">
      <c r="A484" s="479">
        <v>6714</v>
      </c>
      <c r="B484" s="476">
        <v>4933</v>
      </c>
      <c r="C484" s="476">
        <v>4936</v>
      </c>
      <c r="D484" s="476">
        <v>4939</v>
      </c>
      <c r="E484" s="476">
        <v>4942</v>
      </c>
      <c r="F484" s="476">
        <v>4945</v>
      </c>
      <c r="G484" s="476">
        <v>4948</v>
      </c>
      <c r="H484" s="476">
        <v>4951</v>
      </c>
      <c r="I484" s="476">
        <v>4954</v>
      </c>
      <c r="J484" s="476">
        <v>4957</v>
      </c>
      <c r="K484" s="476">
        <v>4960</v>
      </c>
    </row>
    <row r="485" spans="1:11">
      <c r="A485" s="479">
        <v>6714.1</v>
      </c>
      <c r="B485" s="476">
        <v>4963</v>
      </c>
      <c r="C485" s="476">
        <v>4966</v>
      </c>
      <c r="D485" s="476">
        <v>4969</v>
      </c>
      <c r="E485" s="476">
        <v>4972</v>
      </c>
      <c r="F485" s="476">
        <v>4975</v>
      </c>
      <c r="G485" s="476">
        <v>4978</v>
      </c>
      <c r="H485" s="476">
        <v>4981</v>
      </c>
      <c r="I485" s="476">
        <v>4984</v>
      </c>
      <c r="J485" s="476">
        <v>4987</v>
      </c>
      <c r="K485" s="476">
        <v>4990</v>
      </c>
    </row>
    <row r="486" spans="1:11">
      <c r="A486" s="479">
        <v>6714.2</v>
      </c>
      <c r="B486" s="476">
        <v>4993</v>
      </c>
      <c r="C486" s="476">
        <v>4996</v>
      </c>
      <c r="D486" s="476">
        <v>4999</v>
      </c>
      <c r="E486" s="476">
        <v>5002</v>
      </c>
      <c r="F486" s="476">
        <v>5005</v>
      </c>
      <c r="G486" s="476">
        <v>5008</v>
      </c>
      <c r="H486" s="476">
        <v>5011</v>
      </c>
      <c r="I486" s="476">
        <v>5014</v>
      </c>
      <c r="J486" s="476">
        <v>5017</v>
      </c>
      <c r="K486" s="476">
        <v>5020</v>
      </c>
    </row>
    <row r="487" spans="1:11">
      <c r="A487" s="479">
        <v>6714.3</v>
      </c>
      <c r="B487" s="476">
        <v>5023</v>
      </c>
      <c r="C487" s="476">
        <v>5027</v>
      </c>
      <c r="D487" s="476">
        <v>5030</v>
      </c>
      <c r="E487" s="476">
        <v>5033</v>
      </c>
      <c r="F487" s="476">
        <v>5036</v>
      </c>
      <c r="G487" s="476">
        <v>5039</v>
      </c>
      <c r="H487" s="476">
        <v>5042</v>
      </c>
      <c r="I487" s="476">
        <v>5045</v>
      </c>
      <c r="J487" s="476">
        <v>5048</v>
      </c>
      <c r="K487" s="476">
        <v>5051</v>
      </c>
    </row>
    <row r="488" spans="1:11">
      <c r="A488" s="479">
        <v>6714.4</v>
      </c>
      <c r="B488" s="476">
        <v>5054</v>
      </c>
      <c r="C488" s="476">
        <v>5057</v>
      </c>
      <c r="D488" s="476">
        <v>5060</v>
      </c>
      <c r="E488" s="476">
        <v>5063</v>
      </c>
      <c r="F488" s="476">
        <v>5066</v>
      </c>
      <c r="G488" s="476">
        <v>5069</v>
      </c>
      <c r="H488" s="476">
        <v>5072</v>
      </c>
      <c r="I488" s="476">
        <v>5075</v>
      </c>
      <c r="J488" s="476">
        <v>5078</v>
      </c>
      <c r="K488" s="476">
        <v>5081</v>
      </c>
    </row>
    <row r="489" spans="1:11">
      <c r="A489" s="479">
        <v>6714.5</v>
      </c>
      <c r="B489" s="476">
        <v>5084</v>
      </c>
      <c r="C489" s="476">
        <v>5087</v>
      </c>
      <c r="D489" s="476">
        <v>5090</v>
      </c>
      <c r="E489" s="476">
        <v>5093</v>
      </c>
      <c r="F489" s="476">
        <v>5096</v>
      </c>
      <c r="G489" s="476">
        <v>5099</v>
      </c>
      <c r="H489" s="476">
        <v>5102</v>
      </c>
      <c r="I489" s="476">
        <v>5105</v>
      </c>
      <c r="J489" s="476">
        <v>5108</v>
      </c>
      <c r="K489" s="476">
        <v>5111</v>
      </c>
    </row>
    <row r="490" spans="1:11">
      <c r="A490" s="479">
        <v>6714.6</v>
      </c>
      <c r="B490" s="476">
        <v>5114</v>
      </c>
      <c r="C490" s="476">
        <v>5117</v>
      </c>
      <c r="D490" s="476">
        <v>5120</v>
      </c>
      <c r="E490" s="476">
        <v>5123</v>
      </c>
      <c r="F490" s="476">
        <v>5126</v>
      </c>
      <c r="G490" s="476">
        <v>5129</v>
      </c>
      <c r="H490" s="476">
        <v>5132</v>
      </c>
      <c r="I490" s="476">
        <v>5135</v>
      </c>
      <c r="J490" s="476">
        <v>5138</v>
      </c>
      <c r="K490" s="476">
        <v>5141</v>
      </c>
    </row>
    <row r="491" spans="1:11">
      <c r="A491" s="479">
        <v>6714.7</v>
      </c>
      <c r="B491" s="476">
        <v>5144</v>
      </c>
      <c r="C491" s="476">
        <v>5147</v>
      </c>
      <c r="D491" s="476">
        <v>5150</v>
      </c>
      <c r="E491" s="476">
        <v>5153</v>
      </c>
      <c r="F491" s="476">
        <v>5156</v>
      </c>
      <c r="G491" s="476">
        <v>5159</v>
      </c>
      <c r="H491" s="476">
        <v>5162</v>
      </c>
      <c r="I491" s="476">
        <v>5165</v>
      </c>
      <c r="J491" s="476">
        <v>5168</v>
      </c>
      <c r="K491" s="476">
        <v>5171</v>
      </c>
    </row>
    <row r="492" spans="1:11">
      <c r="A492" s="479">
        <v>6714.8</v>
      </c>
      <c r="B492" s="476">
        <v>5174</v>
      </c>
      <c r="C492" s="476">
        <v>5177</v>
      </c>
      <c r="D492" s="476">
        <v>5180</v>
      </c>
      <c r="E492" s="476">
        <v>5183</v>
      </c>
      <c r="F492" s="476">
        <v>5186</v>
      </c>
      <c r="G492" s="476">
        <v>5189</v>
      </c>
      <c r="H492" s="476">
        <v>5192</v>
      </c>
      <c r="I492" s="476">
        <v>5195</v>
      </c>
      <c r="J492" s="476">
        <v>5198</v>
      </c>
      <c r="K492" s="476">
        <v>5201</v>
      </c>
    </row>
    <row r="493" spans="1:11">
      <c r="A493" s="479">
        <v>6714.9</v>
      </c>
      <c r="B493" s="476">
        <v>5204</v>
      </c>
      <c r="C493" s="476">
        <v>5207</v>
      </c>
      <c r="D493" s="476">
        <v>5210</v>
      </c>
      <c r="E493" s="476">
        <v>5213</v>
      </c>
      <c r="F493" s="476">
        <v>5216</v>
      </c>
      <c r="G493" s="476">
        <v>5219</v>
      </c>
      <c r="H493" s="476">
        <v>5222</v>
      </c>
      <c r="I493" s="476">
        <v>5225</v>
      </c>
      <c r="J493" s="476">
        <v>5228</v>
      </c>
      <c r="K493" s="476">
        <v>5231</v>
      </c>
    </row>
    <row r="494" spans="1:11">
      <c r="A494" s="479">
        <v>6715</v>
      </c>
      <c r="B494" s="476">
        <v>5234</v>
      </c>
      <c r="C494" s="476">
        <v>5237</v>
      </c>
      <c r="D494" s="476">
        <v>5241</v>
      </c>
      <c r="E494" s="476">
        <v>5244</v>
      </c>
      <c r="F494" s="476">
        <v>5247</v>
      </c>
      <c r="G494" s="476">
        <v>5250</v>
      </c>
      <c r="H494" s="476">
        <v>5253</v>
      </c>
      <c r="I494" s="476">
        <v>5256</v>
      </c>
      <c r="J494" s="476">
        <v>5259</v>
      </c>
      <c r="K494" s="476">
        <v>5263</v>
      </c>
    </row>
    <row r="495" spans="1:11">
      <c r="A495" s="479">
        <v>6715.1</v>
      </c>
      <c r="B495" s="476">
        <v>5266</v>
      </c>
      <c r="C495" s="476">
        <v>5269</v>
      </c>
      <c r="D495" s="476">
        <v>5272</v>
      </c>
      <c r="E495" s="476">
        <v>5275</v>
      </c>
      <c r="F495" s="476">
        <v>5278</v>
      </c>
      <c r="G495" s="476">
        <v>5281</v>
      </c>
      <c r="H495" s="476">
        <v>5285</v>
      </c>
      <c r="I495" s="476">
        <v>5288</v>
      </c>
      <c r="J495" s="476">
        <v>5291</v>
      </c>
      <c r="K495" s="476">
        <v>5294</v>
      </c>
    </row>
    <row r="496" spans="1:11">
      <c r="A496" s="479">
        <v>6715.2</v>
      </c>
      <c r="B496" s="476">
        <v>5297</v>
      </c>
      <c r="C496" s="476">
        <v>5300</v>
      </c>
      <c r="D496" s="476">
        <v>5303</v>
      </c>
      <c r="E496" s="476">
        <v>5307</v>
      </c>
      <c r="F496" s="476">
        <v>5310</v>
      </c>
      <c r="G496" s="476">
        <v>5313</v>
      </c>
      <c r="H496" s="476">
        <v>5316</v>
      </c>
      <c r="I496" s="476">
        <v>5319</v>
      </c>
      <c r="J496" s="476">
        <v>5322</v>
      </c>
      <c r="K496" s="476">
        <v>5325</v>
      </c>
    </row>
    <row r="497" spans="1:11">
      <c r="A497" s="479">
        <v>6715.3</v>
      </c>
      <c r="B497" s="476">
        <v>5329</v>
      </c>
      <c r="C497" s="476">
        <v>5332</v>
      </c>
      <c r="D497" s="476">
        <v>5335</v>
      </c>
      <c r="E497" s="476">
        <v>5338</v>
      </c>
      <c r="F497" s="476">
        <v>5341</v>
      </c>
      <c r="G497" s="476">
        <v>5344</v>
      </c>
      <c r="H497" s="476">
        <v>5347</v>
      </c>
      <c r="I497" s="476">
        <v>5351</v>
      </c>
      <c r="J497" s="476">
        <v>5354</v>
      </c>
      <c r="K497" s="476">
        <v>5357</v>
      </c>
    </row>
    <row r="498" spans="1:11">
      <c r="A498" s="479">
        <v>6715.4</v>
      </c>
      <c r="B498" s="476">
        <v>5360</v>
      </c>
      <c r="C498" s="476">
        <v>5363</v>
      </c>
      <c r="D498" s="476">
        <v>5366</v>
      </c>
      <c r="E498" s="476">
        <v>5369</v>
      </c>
      <c r="F498" s="476">
        <v>5373</v>
      </c>
      <c r="G498" s="476">
        <v>5376</v>
      </c>
      <c r="H498" s="476">
        <v>5379</v>
      </c>
      <c r="I498" s="476">
        <v>5382</v>
      </c>
      <c r="J498" s="476">
        <v>5385</v>
      </c>
      <c r="K498" s="476">
        <v>5385</v>
      </c>
    </row>
    <row r="499" spans="1:11">
      <c r="A499" s="479">
        <v>6715.5</v>
      </c>
      <c r="B499" s="476">
        <v>5391</v>
      </c>
      <c r="C499" s="476">
        <v>5395</v>
      </c>
      <c r="D499" s="476">
        <v>5398</v>
      </c>
      <c r="E499" s="476">
        <v>5401</v>
      </c>
      <c r="F499" s="476">
        <v>5404</v>
      </c>
      <c r="G499" s="476">
        <v>5407</v>
      </c>
      <c r="H499" s="476">
        <v>5410</v>
      </c>
      <c r="I499" s="476">
        <v>5413</v>
      </c>
      <c r="J499" s="476">
        <v>5417</v>
      </c>
      <c r="K499" s="476">
        <v>5420</v>
      </c>
    </row>
    <row r="500" spans="1:11">
      <c r="A500" s="479">
        <v>6715.6</v>
      </c>
      <c r="B500" s="476">
        <v>5423</v>
      </c>
      <c r="C500" s="476">
        <v>5426</v>
      </c>
      <c r="D500" s="476">
        <v>5429</v>
      </c>
      <c r="E500" s="476">
        <v>5432</v>
      </c>
      <c r="F500" s="476">
        <v>5435</v>
      </c>
      <c r="G500" s="476">
        <v>5439</v>
      </c>
      <c r="H500" s="476">
        <v>5442</v>
      </c>
      <c r="I500" s="476">
        <v>5445</v>
      </c>
      <c r="J500" s="476">
        <v>5448</v>
      </c>
      <c r="K500" s="476">
        <v>5451</v>
      </c>
    </row>
    <row r="501" spans="1:11">
      <c r="A501" s="479">
        <v>6715.7</v>
      </c>
      <c r="B501" s="476">
        <v>5454</v>
      </c>
      <c r="C501" s="476">
        <v>5457</v>
      </c>
      <c r="D501" s="476">
        <v>5461</v>
      </c>
      <c r="E501" s="476">
        <v>5464</v>
      </c>
      <c r="F501" s="476">
        <v>5467</v>
      </c>
      <c r="G501" s="476">
        <v>5470</v>
      </c>
      <c r="H501" s="476">
        <v>5473</v>
      </c>
      <c r="I501" s="476">
        <v>5476</v>
      </c>
      <c r="J501" s="476">
        <v>5479</v>
      </c>
      <c r="K501" s="476">
        <v>5483</v>
      </c>
    </row>
    <row r="502" spans="1:11">
      <c r="A502" s="479">
        <v>6715.8</v>
      </c>
      <c r="B502" s="476">
        <v>5486</v>
      </c>
      <c r="C502" s="476">
        <v>5489</v>
      </c>
      <c r="D502" s="476">
        <v>5492</v>
      </c>
      <c r="E502" s="476">
        <v>5495</v>
      </c>
      <c r="F502" s="476">
        <v>5498</v>
      </c>
      <c r="G502" s="476">
        <v>5501</v>
      </c>
      <c r="H502" s="476">
        <v>5505</v>
      </c>
      <c r="I502" s="476">
        <v>5508</v>
      </c>
      <c r="J502" s="476">
        <v>5511</v>
      </c>
      <c r="K502" s="476">
        <v>5514</v>
      </c>
    </row>
    <row r="503" spans="1:11">
      <c r="A503" s="479">
        <v>6715.9</v>
      </c>
      <c r="B503" s="476">
        <v>5517</v>
      </c>
      <c r="C503" s="476">
        <v>5520</v>
      </c>
      <c r="D503" s="476">
        <v>5523</v>
      </c>
      <c r="E503" s="476">
        <v>5527</v>
      </c>
      <c r="F503" s="476">
        <v>5530</v>
      </c>
      <c r="G503" s="476">
        <v>5533</v>
      </c>
      <c r="H503" s="476">
        <v>5536</v>
      </c>
      <c r="I503" s="476">
        <v>5539</v>
      </c>
      <c r="J503" s="476">
        <v>5542</v>
      </c>
      <c r="K503" s="476">
        <v>5545</v>
      </c>
    </row>
    <row r="504" spans="1:11">
      <c r="A504" s="479">
        <v>6716</v>
      </c>
      <c r="B504" s="476">
        <v>5549</v>
      </c>
      <c r="C504" s="476">
        <v>5552</v>
      </c>
      <c r="D504" s="476">
        <v>5555</v>
      </c>
      <c r="E504" s="476">
        <v>5558</v>
      </c>
      <c r="F504" s="476">
        <v>5562</v>
      </c>
      <c r="G504" s="476">
        <v>5565</v>
      </c>
      <c r="H504" s="476">
        <v>5568</v>
      </c>
      <c r="I504" s="476">
        <v>5571</v>
      </c>
      <c r="J504" s="476">
        <v>5575</v>
      </c>
      <c r="K504" s="476">
        <v>5573</v>
      </c>
    </row>
    <row r="505" spans="1:11">
      <c r="A505" s="479">
        <v>6716.1</v>
      </c>
      <c r="B505" s="476">
        <v>5581</v>
      </c>
      <c r="C505" s="476">
        <v>5585</v>
      </c>
      <c r="D505" s="476">
        <v>5588</v>
      </c>
      <c r="E505" s="476">
        <v>5591</v>
      </c>
      <c r="F505" s="476">
        <v>5594</v>
      </c>
      <c r="G505" s="476">
        <v>5598</v>
      </c>
      <c r="H505" s="476">
        <v>5601</v>
      </c>
      <c r="I505" s="476">
        <v>5604</v>
      </c>
      <c r="J505" s="476">
        <v>5608</v>
      </c>
      <c r="K505" s="476">
        <v>5611</v>
      </c>
    </row>
    <row r="506" spans="1:11">
      <c r="A506" s="479">
        <v>6716.2</v>
      </c>
      <c r="B506" s="476">
        <v>5614</v>
      </c>
      <c r="C506" s="476">
        <v>5617</v>
      </c>
      <c r="D506" s="476">
        <v>5621</v>
      </c>
      <c r="E506" s="476">
        <v>5624</v>
      </c>
      <c r="F506" s="476">
        <v>5627</v>
      </c>
      <c r="G506" s="476">
        <v>5631</v>
      </c>
      <c r="H506" s="476">
        <v>5634</v>
      </c>
      <c r="I506" s="476">
        <v>5637</v>
      </c>
      <c r="J506" s="476">
        <v>5640</v>
      </c>
      <c r="K506" s="476">
        <v>5644</v>
      </c>
    </row>
    <row r="507" spans="1:11">
      <c r="A507" s="479">
        <v>6716.3</v>
      </c>
      <c r="B507" s="476">
        <v>5647</v>
      </c>
      <c r="C507" s="476">
        <v>5650</v>
      </c>
      <c r="D507" s="476">
        <v>5654</v>
      </c>
      <c r="E507" s="476">
        <v>5657</v>
      </c>
      <c r="F507" s="476">
        <v>5660</v>
      </c>
      <c r="G507" s="476">
        <v>5663</v>
      </c>
      <c r="H507" s="476">
        <v>5667</v>
      </c>
      <c r="I507" s="476">
        <v>5670</v>
      </c>
      <c r="J507" s="476">
        <v>5673</v>
      </c>
      <c r="K507" s="476">
        <v>5676</v>
      </c>
    </row>
    <row r="508" spans="1:11">
      <c r="A508" s="479">
        <v>6716.4</v>
      </c>
      <c r="B508" s="476">
        <v>5680</v>
      </c>
      <c r="C508" s="476">
        <v>5683</v>
      </c>
      <c r="D508" s="476">
        <v>5686</v>
      </c>
      <c r="E508" s="476">
        <v>5690</v>
      </c>
      <c r="F508" s="476">
        <v>5693</v>
      </c>
      <c r="G508" s="476">
        <v>5696</v>
      </c>
      <c r="H508" s="476">
        <v>5699</v>
      </c>
      <c r="I508" s="476">
        <v>5703</v>
      </c>
      <c r="J508" s="476">
        <v>5706</v>
      </c>
      <c r="K508" s="476">
        <v>5709</v>
      </c>
    </row>
    <row r="509" spans="1:11">
      <c r="A509" s="479">
        <v>6716.5</v>
      </c>
      <c r="B509" s="476">
        <v>5713</v>
      </c>
      <c r="C509" s="476">
        <v>5716</v>
      </c>
      <c r="D509" s="476">
        <v>5719</v>
      </c>
      <c r="E509" s="476">
        <v>5722</v>
      </c>
      <c r="F509" s="476">
        <v>5726</v>
      </c>
      <c r="G509" s="476">
        <v>5729</v>
      </c>
      <c r="H509" s="476">
        <v>5732</v>
      </c>
      <c r="I509" s="476">
        <v>5736</v>
      </c>
      <c r="J509" s="476">
        <v>5739</v>
      </c>
      <c r="K509" s="476">
        <v>5742</v>
      </c>
    </row>
    <row r="510" spans="1:11">
      <c r="A510" s="479">
        <v>6716.6</v>
      </c>
      <c r="B510" s="476">
        <v>5745</v>
      </c>
      <c r="C510" s="476">
        <v>5749</v>
      </c>
      <c r="D510" s="476">
        <v>5752</v>
      </c>
      <c r="E510" s="476">
        <v>5755</v>
      </c>
      <c r="F510" s="476">
        <v>5758</v>
      </c>
      <c r="G510" s="476">
        <v>5762</v>
      </c>
      <c r="H510" s="476">
        <v>5765</v>
      </c>
      <c r="I510" s="476">
        <v>5768</v>
      </c>
      <c r="J510" s="476">
        <v>5772</v>
      </c>
      <c r="K510" s="476">
        <v>5775</v>
      </c>
    </row>
    <row r="511" spans="1:11">
      <c r="A511" s="479">
        <v>6716.7</v>
      </c>
      <c r="B511" s="476">
        <v>5778</v>
      </c>
      <c r="C511" s="476">
        <v>5781</v>
      </c>
      <c r="D511" s="476">
        <v>5785</v>
      </c>
      <c r="E511" s="476">
        <v>5788</v>
      </c>
      <c r="F511" s="476">
        <v>5791</v>
      </c>
      <c r="G511" s="476">
        <v>5795</v>
      </c>
      <c r="H511" s="476">
        <v>5798</v>
      </c>
      <c r="I511" s="476">
        <v>5801</v>
      </c>
      <c r="J511" s="476">
        <v>5804</v>
      </c>
      <c r="K511" s="476">
        <v>5808</v>
      </c>
    </row>
    <row r="512" spans="1:11">
      <c r="A512" s="479">
        <v>6716.8</v>
      </c>
      <c r="B512" s="476">
        <v>5811</v>
      </c>
      <c r="C512" s="476">
        <v>5814</v>
      </c>
      <c r="D512" s="476">
        <v>5818</v>
      </c>
      <c r="E512" s="476">
        <v>5821</v>
      </c>
      <c r="F512" s="476">
        <v>5824</v>
      </c>
      <c r="G512" s="476">
        <v>5827</v>
      </c>
      <c r="H512" s="476">
        <v>5831</v>
      </c>
      <c r="I512" s="476">
        <v>5834</v>
      </c>
      <c r="J512" s="476">
        <v>5837</v>
      </c>
      <c r="K512" s="476">
        <v>5841</v>
      </c>
    </row>
    <row r="513" spans="1:11">
      <c r="A513" s="479">
        <v>6716.9</v>
      </c>
      <c r="B513" s="476">
        <v>5844</v>
      </c>
      <c r="C513" s="476">
        <v>5847</v>
      </c>
      <c r="D513" s="476">
        <v>5850</v>
      </c>
      <c r="E513" s="476">
        <v>5854</v>
      </c>
      <c r="F513" s="476">
        <v>5857</v>
      </c>
      <c r="G513" s="476">
        <v>5860</v>
      </c>
      <c r="H513" s="476">
        <v>5863</v>
      </c>
      <c r="I513" s="476">
        <v>5867</v>
      </c>
      <c r="J513" s="476">
        <v>5870</v>
      </c>
      <c r="K513" s="476">
        <v>5873</v>
      </c>
    </row>
    <row r="514" spans="1:11">
      <c r="A514" s="479">
        <v>6717</v>
      </c>
      <c r="B514" s="476">
        <v>5877</v>
      </c>
      <c r="C514" s="476">
        <v>5880</v>
      </c>
      <c r="D514" s="476">
        <v>5883</v>
      </c>
      <c r="E514" s="476">
        <v>5887</v>
      </c>
      <c r="F514" s="476">
        <v>5890</v>
      </c>
      <c r="G514" s="476">
        <v>5894</v>
      </c>
      <c r="H514" s="476">
        <v>5897</v>
      </c>
      <c r="I514" s="476">
        <v>5901</v>
      </c>
      <c r="J514" s="476">
        <v>5904</v>
      </c>
      <c r="K514" s="476">
        <v>5907</v>
      </c>
    </row>
    <row r="515" spans="1:11">
      <c r="A515" s="479">
        <v>6717.1</v>
      </c>
      <c r="B515" s="476">
        <v>5911</v>
      </c>
      <c r="C515" s="476">
        <v>5914</v>
      </c>
      <c r="D515" s="476">
        <v>5918</v>
      </c>
      <c r="E515" s="476">
        <v>5921</v>
      </c>
      <c r="F515" s="476">
        <v>5925</v>
      </c>
      <c r="G515" s="476">
        <v>5928</v>
      </c>
      <c r="H515" s="476">
        <v>5931</v>
      </c>
      <c r="I515" s="476">
        <v>5935</v>
      </c>
      <c r="J515" s="476">
        <v>5938</v>
      </c>
      <c r="K515" s="476">
        <v>5941</v>
      </c>
    </row>
    <row r="516" spans="1:11">
      <c r="A516" s="479">
        <v>6717.2</v>
      </c>
      <c r="B516" s="476">
        <v>5945</v>
      </c>
      <c r="C516" s="476">
        <v>5949</v>
      </c>
      <c r="D516" s="476">
        <v>5952</v>
      </c>
      <c r="E516" s="476">
        <v>5955</v>
      </c>
      <c r="F516" s="476">
        <v>5959</v>
      </c>
      <c r="G516" s="476">
        <v>5962</v>
      </c>
      <c r="H516" s="476">
        <v>5966</v>
      </c>
      <c r="I516" s="476">
        <v>5969</v>
      </c>
      <c r="J516" s="476">
        <v>5973</v>
      </c>
      <c r="K516" s="476">
        <v>5975</v>
      </c>
    </row>
    <row r="517" spans="1:11">
      <c r="A517" s="479">
        <v>6717.3</v>
      </c>
      <c r="B517" s="476">
        <v>5979</v>
      </c>
      <c r="C517" s="476">
        <v>5983</v>
      </c>
      <c r="D517" s="476">
        <v>5986</v>
      </c>
      <c r="E517" s="476">
        <v>5990</v>
      </c>
      <c r="F517" s="476">
        <v>5993</v>
      </c>
      <c r="G517" s="476">
        <v>5996</v>
      </c>
      <c r="H517" s="476">
        <v>6000</v>
      </c>
      <c r="I517" s="476">
        <v>6003</v>
      </c>
      <c r="J517" s="476">
        <v>6007</v>
      </c>
      <c r="K517" s="476">
        <v>6010</v>
      </c>
    </row>
    <row r="518" spans="1:11">
      <c r="A518" s="479">
        <v>6717.4</v>
      </c>
      <c r="B518" s="476">
        <v>6014</v>
      </c>
      <c r="C518" s="476">
        <v>6017</v>
      </c>
      <c r="D518" s="476">
        <v>6020</v>
      </c>
      <c r="E518" s="476">
        <v>6024</v>
      </c>
      <c r="F518" s="476">
        <v>6027</v>
      </c>
      <c r="G518" s="476">
        <v>6031</v>
      </c>
      <c r="H518" s="476">
        <v>6034</v>
      </c>
      <c r="I518" s="476">
        <v>6038</v>
      </c>
      <c r="J518" s="476">
        <v>6041</v>
      </c>
      <c r="K518" s="476">
        <v>6044</v>
      </c>
    </row>
    <row r="519" spans="1:11">
      <c r="A519" s="479">
        <v>6717.5</v>
      </c>
      <c r="B519" s="476">
        <v>6048</v>
      </c>
      <c r="C519" s="476">
        <v>6051</v>
      </c>
      <c r="D519" s="476">
        <v>6055</v>
      </c>
      <c r="E519" s="476">
        <v>6058</v>
      </c>
      <c r="F519" s="476">
        <v>6062</v>
      </c>
      <c r="G519" s="476">
        <v>6065</v>
      </c>
      <c r="H519" s="476">
        <v>6068</v>
      </c>
      <c r="I519" s="476">
        <v>6072</v>
      </c>
      <c r="J519" s="476">
        <v>6075</v>
      </c>
      <c r="K519" s="476">
        <v>6079</v>
      </c>
    </row>
    <row r="520" spans="1:11">
      <c r="A520" s="479">
        <v>6717.6</v>
      </c>
      <c r="B520" s="476">
        <v>6082</v>
      </c>
      <c r="C520" s="476">
        <v>6086</v>
      </c>
      <c r="D520" s="476">
        <v>6089</v>
      </c>
      <c r="E520" s="476">
        <v>6092</v>
      </c>
      <c r="F520" s="476">
        <v>6096</v>
      </c>
      <c r="G520" s="476">
        <v>6099</v>
      </c>
      <c r="H520" s="476">
        <v>6103</v>
      </c>
      <c r="I520" s="476">
        <v>6106</v>
      </c>
      <c r="J520" s="476">
        <v>6109</v>
      </c>
      <c r="K520" s="476">
        <v>6113</v>
      </c>
    </row>
    <row r="521" spans="1:11">
      <c r="A521" s="479">
        <v>6717.7</v>
      </c>
      <c r="B521" s="476">
        <v>6116</v>
      </c>
      <c r="C521" s="476">
        <v>6120</v>
      </c>
      <c r="D521" s="476">
        <v>6123</v>
      </c>
      <c r="E521" s="476">
        <v>6127</v>
      </c>
      <c r="F521" s="476">
        <v>6130</v>
      </c>
      <c r="G521" s="476">
        <v>6133</v>
      </c>
      <c r="H521" s="476">
        <v>6137</v>
      </c>
      <c r="I521" s="476">
        <v>6140</v>
      </c>
      <c r="J521" s="476">
        <v>6144</v>
      </c>
      <c r="K521" s="476">
        <v>6147</v>
      </c>
    </row>
    <row r="522" spans="1:11">
      <c r="A522" s="479">
        <v>6717.8</v>
      </c>
      <c r="B522" s="476">
        <v>6151</v>
      </c>
      <c r="C522" s="476">
        <v>6154</v>
      </c>
      <c r="D522" s="476">
        <v>6157</v>
      </c>
      <c r="E522" s="476">
        <v>6161</v>
      </c>
      <c r="F522" s="476">
        <v>6164</v>
      </c>
      <c r="G522" s="476">
        <v>6168</v>
      </c>
      <c r="H522" s="476">
        <v>6171</v>
      </c>
      <c r="I522" s="476">
        <v>6175</v>
      </c>
      <c r="J522" s="476">
        <v>6178</v>
      </c>
      <c r="K522" s="476">
        <v>6181</v>
      </c>
    </row>
    <row r="523" spans="1:11">
      <c r="A523" s="479">
        <v>6717.9</v>
      </c>
      <c r="B523" s="476">
        <v>6185</v>
      </c>
      <c r="C523" s="476">
        <v>6188</v>
      </c>
      <c r="D523" s="476">
        <v>6192</v>
      </c>
      <c r="E523" s="476">
        <v>6195</v>
      </c>
      <c r="F523" s="476">
        <v>6199</v>
      </c>
      <c r="G523" s="476">
        <v>6202</v>
      </c>
      <c r="H523" s="476">
        <v>6205</v>
      </c>
      <c r="I523" s="476">
        <v>6209</v>
      </c>
      <c r="J523" s="476">
        <v>6212</v>
      </c>
      <c r="K523" s="476">
        <v>6216</v>
      </c>
    </row>
    <row r="524" spans="1:11">
      <c r="A524" s="479">
        <v>6718</v>
      </c>
      <c r="B524" s="476">
        <v>6219</v>
      </c>
      <c r="C524" s="476">
        <v>6223</v>
      </c>
      <c r="D524" s="476">
        <v>6226</v>
      </c>
      <c r="E524" s="476">
        <v>6230</v>
      </c>
      <c r="F524" s="476">
        <v>6233</v>
      </c>
      <c r="G524" s="476">
        <v>6237</v>
      </c>
      <c r="H524" s="476">
        <v>6241</v>
      </c>
      <c r="I524" s="476">
        <v>6244</v>
      </c>
      <c r="J524" s="476">
        <v>6248</v>
      </c>
      <c r="K524" s="476">
        <v>6251</v>
      </c>
    </row>
    <row r="525" spans="1:11">
      <c r="A525" s="479">
        <v>6718.1</v>
      </c>
      <c r="B525" s="476">
        <v>6255</v>
      </c>
      <c r="C525" s="476">
        <v>6258</v>
      </c>
      <c r="D525" s="476">
        <v>6262</v>
      </c>
      <c r="E525" s="476">
        <v>6266</v>
      </c>
      <c r="F525" s="476">
        <v>6269</v>
      </c>
      <c r="G525" s="476">
        <v>6273</v>
      </c>
      <c r="H525" s="476">
        <v>6276</v>
      </c>
      <c r="I525" s="476">
        <v>6280</v>
      </c>
      <c r="J525" s="476">
        <v>6283</v>
      </c>
      <c r="K525" s="476">
        <v>6287</v>
      </c>
    </row>
    <row r="526" spans="1:11">
      <c r="A526" s="479">
        <v>6718.2</v>
      </c>
      <c r="B526" s="476">
        <v>6291</v>
      </c>
      <c r="C526" s="476">
        <v>6294</v>
      </c>
      <c r="D526" s="476">
        <v>6298</v>
      </c>
      <c r="E526" s="476">
        <v>6301</v>
      </c>
      <c r="F526" s="476">
        <v>6305</v>
      </c>
      <c r="G526" s="476">
        <v>6308</v>
      </c>
      <c r="H526" s="476">
        <v>6312</v>
      </c>
      <c r="I526" s="476">
        <v>6316</v>
      </c>
      <c r="J526" s="476">
        <v>6319</v>
      </c>
      <c r="K526" s="476">
        <v>6323</v>
      </c>
    </row>
    <row r="527" spans="1:11">
      <c r="A527" s="479">
        <v>6718.3</v>
      </c>
      <c r="B527" s="476">
        <v>6326</v>
      </c>
      <c r="C527" s="476">
        <v>6330</v>
      </c>
      <c r="D527" s="476">
        <v>6333</v>
      </c>
      <c r="E527" s="476">
        <v>6337</v>
      </c>
      <c r="F527" s="476">
        <v>6341</v>
      </c>
      <c r="G527" s="476">
        <v>6344</v>
      </c>
      <c r="H527" s="476">
        <v>6348</v>
      </c>
      <c r="I527" s="476">
        <v>6351</v>
      </c>
      <c r="J527" s="476">
        <v>6355</v>
      </c>
      <c r="K527" s="476">
        <v>6358</v>
      </c>
    </row>
    <row r="528" spans="1:11">
      <c r="A528" s="479">
        <v>6718.4</v>
      </c>
      <c r="B528" s="476">
        <v>6362</v>
      </c>
      <c r="C528" s="476">
        <v>6366</v>
      </c>
      <c r="D528" s="476">
        <v>6369</v>
      </c>
      <c r="E528" s="476">
        <v>6373</v>
      </c>
      <c r="F528" s="476">
        <v>6376</v>
      </c>
      <c r="G528" s="476">
        <v>6380</v>
      </c>
      <c r="H528" s="476">
        <v>6384</v>
      </c>
      <c r="I528" s="476">
        <v>6387</v>
      </c>
      <c r="J528" s="476">
        <v>6391</v>
      </c>
      <c r="K528" s="476">
        <v>6394</v>
      </c>
    </row>
    <row r="529" spans="1:11">
      <c r="A529" s="479">
        <v>6718.5</v>
      </c>
      <c r="B529" s="476">
        <v>6398</v>
      </c>
      <c r="C529" s="476">
        <v>6401</v>
      </c>
      <c r="D529" s="476">
        <v>6405</v>
      </c>
      <c r="E529" s="476">
        <v>6409</v>
      </c>
      <c r="F529" s="476">
        <v>6412</v>
      </c>
      <c r="G529" s="476">
        <v>6416</v>
      </c>
      <c r="H529" s="476">
        <v>6419</v>
      </c>
      <c r="I529" s="476">
        <v>6423</v>
      </c>
      <c r="J529" s="476">
        <v>6426</v>
      </c>
      <c r="K529" s="476">
        <v>6430</v>
      </c>
    </row>
    <row r="530" spans="1:11">
      <c r="A530" s="479">
        <v>6718.6</v>
      </c>
      <c r="B530" s="476">
        <v>6434</v>
      </c>
      <c r="C530" s="476">
        <v>6437</v>
      </c>
      <c r="D530" s="476">
        <v>6441</v>
      </c>
      <c r="E530" s="476">
        <v>6444</v>
      </c>
      <c r="F530" s="476">
        <v>6448</v>
      </c>
      <c r="G530" s="476">
        <v>6451</v>
      </c>
      <c r="H530" s="476">
        <v>6455</v>
      </c>
      <c r="I530" s="476">
        <v>6459</v>
      </c>
      <c r="J530" s="476">
        <v>6462</v>
      </c>
      <c r="K530" s="476">
        <v>6466</v>
      </c>
    </row>
    <row r="531" spans="1:11">
      <c r="A531" s="479">
        <v>6718.7</v>
      </c>
      <c r="B531" s="476">
        <v>6469</v>
      </c>
      <c r="C531" s="476">
        <v>6473</v>
      </c>
      <c r="D531" s="476">
        <v>6476</v>
      </c>
      <c r="E531" s="476">
        <v>6480</v>
      </c>
      <c r="F531" s="476">
        <v>6484</v>
      </c>
      <c r="G531" s="476">
        <v>6487</v>
      </c>
      <c r="H531" s="476">
        <v>6491</v>
      </c>
      <c r="I531" s="476">
        <v>6494</v>
      </c>
      <c r="J531" s="476">
        <v>6498</v>
      </c>
      <c r="K531" s="476">
        <v>6501</v>
      </c>
    </row>
    <row r="532" spans="1:11">
      <c r="A532" s="479">
        <v>6718.8</v>
      </c>
      <c r="B532" s="476">
        <v>6505</v>
      </c>
      <c r="C532" s="476">
        <v>6509</v>
      </c>
      <c r="D532" s="476">
        <v>6512</v>
      </c>
      <c r="E532" s="476">
        <v>6516</v>
      </c>
      <c r="F532" s="476">
        <v>6519</v>
      </c>
      <c r="G532" s="476">
        <v>6523</v>
      </c>
      <c r="H532" s="476">
        <v>6526</v>
      </c>
      <c r="I532" s="476">
        <v>6530</v>
      </c>
      <c r="J532" s="476">
        <v>6534</v>
      </c>
      <c r="K532" s="476">
        <v>6537</v>
      </c>
    </row>
    <row r="533" spans="1:11">
      <c r="A533" s="479">
        <v>6718.9</v>
      </c>
      <c r="B533" s="476">
        <v>6541</v>
      </c>
      <c r="C533" s="476">
        <v>6544</v>
      </c>
      <c r="D533" s="476">
        <v>6548</v>
      </c>
      <c r="E533" s="476">
        <v>6552</v>
      </c>
      <c r="F533" s="476">
        <v>6555</v>
      </c>
      <c r="G533" s="476">
        <v>6559</v>
      </c>
      <c r="H533" s="476">
        <v>6562</v>
      </c>
      <c r="I533" s="476">
        <v>6566</v>
      </c>
      <c r="J533" s="476">
        <v>6569</v>
      </c>
      <c r="K533" s="476">
        <v>6573</v>
      </c>
    </row>
    <row r="534" spans="1:11">
      <c r="A534" s="479">
        <v>6719</v>
      </c>
      <c r="B534" s="476">
        <v>6577</v>
      </c>
      <c r="C534" s="476">
        <v>6580</v>
      </c>
      <c r="D534" s="476">
        <v>6584</v>
      </c>
      <c r="E534" s="476">
        <v>6588</v>
      </c>
      <c r="F534" s="476">
        <v>6591</v>
      </c>
      <c r="G534" s="476">
        <v>6595</v>
      </c>
      <c r="H534" s="476">
        <v>6599</v>
      </c>
      <c r="I534" s="476">
        <v>6603</v>
      </c>
      <c r="J534" s="476">
        <v>6606</v>
      </c>
      <c r="K534" s="476">
        <v>6610</v>
      </c>
    </row>
    <row r="535" spans="1:11">
      <c r="A535" s="479">
        <v>6719.1</v>
      </c>
      <c r="B535" s="476">
        <v>6614</v>
      </c>
      <c r="C535" s="476">
        <v>6618</v>
      </c>
      <c r="D535" s="476">
        <v>6621</v>
      </c>
      <c r="E535" s="476">
        <v>6625</v>
      </c>
      <c r="F535" s="476">
        <v>6629</v>
      </c>
      <c r="G535" s="476">
        <v>6632</v>
      </c>
      <c r="H535" s="476">
        <v>6636</v>
      </c>
      <c r="I535" s="476">
        <v>6640</v>
      </c>
      <c r="J535" s="476">
        <v>6644</v>
      </c>
      <c r="K535" s="476">
        <v>6647</v>
      </c>
    </row>
    <row r="536" spans="1:11">
      <c r="A536" s="479">
        <v>6719.2</v>
      </c>
      <c r="B536" s="476">
        <v>6651</v>
      </c>
      <c r="C536" s="476">
        <v>6655</v>
      </c>
      <c r="D536" s="476">
        <v>6659</v>
      </c>
      <c r="E536" s="476">
        <v>6662</v>
      </c>
      <c r="F536" s="476">
        <v>6666</v>
      </c>
      <c r="G536" s="476">
        <v>6670</v>
      </c>
      <c r="H536" s="476">
        <v>6674</v>
      </c>
      <c r="I536" s="476">
        <v>6677</v>
      </c>
      <c r="J536" s="476">
        <v>6681</v>
      </c>
      <c r="K536" s="476">
        <v>6685</v>
      </c>
    </row>
    <row r="537" spans="1:11">
      <c r="A537" s="479">
        <v>6719.3</v>
      </c>
      <c r="B537" s="476">
        <v>6688</v>
      </c>
      <c r="C537" s="476">
        <v>6692</v>
      </c>
      <c r="D537" s="476">
        <v>6696</v>
      </c>
      <c r="E537" s="476">
        <v>6700</v>
      </c>
      <c r="F537" s="476">
        <v>6703</v>
      </c>
      <c r="G537" s="476">
        <v>6707</v>
      </c>
      <c r="H537" s="476">
        <v>6711</v>
      </c>
      <c r="I537" s="476">
        <v>6715</v>
      </c>
      <c r="J537" s="476">
        <v>6718</v>
      </c>
      <c r="K537" s="476">
        <v>6722</v>
      </c>
    </row>
    <row r="538" spans="1:11">
      <c r="A538" s="479">
        <v>6719.4</v>
      </c>
      <c r="B538" s="476">
        <v>6726</v>
      </c>
      <c r="C538" s="476">
        <v>6729</v>
      </c>
      <c r="D538" s="476">
        <v>6733</v>
      </c>
      <c r="E538" s="476">
        <v>6737</v>
      </c>
      <c r="F538" s="476">
        <v>6741</v>
      </c>
      <c r="G538" s="476">
        <v>6744</v>
      </c>
      <c r="H538" s="476">
        <v>6748</v>
      </c>
      <c r="I538" s="476">
        <v>6752</v>
      </c>
      <c r="J538" s="476">
        <v>6756</v>
      </c>
      <c r="K538" s="476">
        <v>6759</v>
      </c>
    </row>
    <row r="539" spans="1:11">
      <c r="A539" s="479">
        <v>6719.5</v>
      </c>
      <c r="B539" s="476">
        <v>6763</v>
      </c>
      <c r="C539" s="476">
        <v>6767</v>
      </c>
      <c r="D539" s="476">
        <v>6771</v>
      </c>
      <c r="E539" s="476">
        <v>6774</v>
      </c>
      <c r="F539" s="476">
        <v>6778</v>
      </c>
      <c r="G539" s="476">
        <v>6782</v>
      </c>
      <c r="H539" s="476">
        <v>6785</v>
      </c>
      <c r="I539" s="476">
        <v>6789</v>
      </c>
      <c r="J539" s="476">
        <v>6793</v>
      </c>
      <c r="K539" s="476">
        <v>6797</v>
      </c>
    </row>
    <row r="540" spans="1:11">
      <c r="A540" s="479">
        <v>6719.6</v>
      </c>
      <c r="B540" s="476">
        <v>6800</v>
      </c>
      <c r="C540" s="476">
        <v>6804</v>
      </c>
      <c r="D540" s="476">
        <v>6808</v>
      </c>
      <c r="E540" s="476">
        <v>6812</v>
      </c>
      <c r="F540" s="476">
        <v>6815</v>
      </c>
      <c r="G540" s="476">
        <v>6819</v>
      </c>
      <c r="H540" s="476">
        <v>6823</v>
      </c>
      <c r="I540" s="476">
        <v>6826</v>
      </c>
      <c r="J540" s="476">
        <v>6830</v>
      </c>
      <c r="K540" s="476">
        <v>6834</v>
      </c>
    </row>
    <row r="541" spans="1:11">
      <c r="A541" s="479">
        <v>6719.7</v>
      </c>
      <c r="B541" s="476">
        <v>6838</v>
      </c>
      <c r="C541" s="476">
        <v>6841</v>
      </c>
      <c r="D541" s="476">
        <v>6845</v>
      </c>
      <c r="E541" s="476">
        <v>6849</v>
      </c>
      <c r="F541" s="476">
        <v>6853</v>
      </c>
      <c r="G541" s="476">
        <v>6856</v>
      </c>
      <c r="H541" s="476">
        <v>6860</v>
      </c>
      <c r="I541" s="476">
        <v>6864</v>
      </c>
      <c r="J541" s="476">
        <v>6867</v>
      </c>
      <c r="K541" s="476">
        <v>6871</v>
      </c>
    </row>
    <row r="542" spans="1:11">
      <c r="A542" s="479">
        <v>6719.8</v>
      </c>
      <c r="B542" s="476">
        <v>6875</v>
      </c>
      <c r="C542" s="476">
        <v>6879</v>
      </c>
      <c r="D542" s="476">
        <v>6882</v>
      </c>
      <c r="E542" s="476">
        <v>6886</v>
      </c>
      <c r="F542" s="476">
        <v>6890</v>
      </c>
      <c r="G542" s="476">
        <v>6894</v>
      </c>
      <c r="H542" s="476">
        <v>6897</v>
      </c>
      <c r="I542" s="476">
        <v>6901</v>
      </c>
      <c r="J542" s="476">
        <v>6905</v>
      </c>
      <c r="K542" s="476">
        <v>6909</v>
      </c>
    </row>
    <row r="543" spans="1:11">
      <c r="A543" s="479">
        <v>6719.9</v>
      </c>
      <c r="B543" s="476">
        <v>6912</v>
      </c>
      <c r="C543" s="476">
        <v>6916</v>
      </c>
      <c r="D543" s="476">
        <v>6920</v>
      </c>
      <c r="E543" s="476">
        <v>6923</v>
      </c>
      <c r="F543" s="476">
        <v>6927</v>
      </c>
      <c r="G543" s="476">
        <v>6931</v>
      </c>
      <c r="H543" s="476">
        <v>6935</v>
      </c>
      <c r="I543" s="476">
        <v>6938</v>
      </c>
      <c r="J543" s="476">
        <v>6942</v>
      </c>
      <c r="K543" s="476">
        <v>6946</v>
      </c>
    </row>
    <row r="544" spans="1:11">
      <c r="A544" s="479">
        <v>6720</v>
      </c>
      <c r="B544" s="476">
        <v>6950</v>
      </c>
      <c r="C544" s="476">
        <v>6953</v>
      </c>
      <c r="D544" s="476">
        <v>6957</v>
      </c>
      <c r="E544" s="476">
        <v>6961</v>
      </c>
      <c r="F544" s="476">
        <v>6965</v>
      </c>
      <c r="G544" s="476">
        <v>6969</v>
      </c>
      <c r="H544" s="476">
        <v>6973</v>
      </c>
      <c r="I544" s="476">
        <v>6976</v>
      </c>
      <c r="J544" s="476">
        <v>6980</v>
      </c>
      <c r="K544" s="476">
        <v>6984</v>
      </c>
    </row>
    <row r="545" spans="1:11">
      <c r="A545" s="479">
        <v>6720.1</v>
      </c>
      <c r="B545" s="476">
        <v>6988</v>
      </c>
      <c r="C545" s="476">
        <v>6992</v>
      </c>
      <c r="D545" s="476">
        <v>6996</v>
      </c>
      <c r="E545" s="476">
        <v>7000</v>
      </c>
      <c r="F545" s="476">
        <v>7003</v>
      </c>
      <c r="G545" s="476">
        <v>7007</v>
      </c>
      <c r="H545" s="476">
        <v>7011</v>
      </c>
      <c r="I545" s="476">
        <v>7015</v>
      </c>
      <c r="J545" s="476">
        <v>7019</v>
      </c>
      <c r="K545" s="476">
        <v>7023</v>
      </c>
    </row>
    <row r="546" spans="1:11">
      <c r="A546" s="479">
        <v>6720.2</v>
      </c>
      <c r="B546" s="476">
        <v>7026</v>
      </c>
      <c r="C546" s="476">
        <v>7030</v>
      </c>
      <c r="D546" s="476">
        <v>7034</v>
      </c>
      <c r="E546" s="476">
        <v>7038</v>
      </c>
      <c r="F546" s="476">
        <v>7042</v>
      </c>
      <c r="G546" s="476">
        <v>7046</v>
      </c>
      <c r="H546" s="476">
        <v>7050</v>
      </c>
      <c r="I546" s="476">
        <v>7053</v>
      </c>
      <c r="J546" s="476">
        <v>7057</v>
      </c>
      <c r="K546" s="476">
        <v>7061</v>
      </c>
    </row>
    <row r="547" spans="1:11">
      <c r="A547" s="479">
        <v>6720.3</v>
      </c>
      <c r="B547" s="476">
        <v>7065</v>
      </c>
      <c r="C547" s="476">
        <v>7069</v>
      </c>
      <c r="D547" s="476">
        <v>7073</v>
      </c>
      <c r="E547" s="476">
        <v>7076</v>
      </c>
      <c r="F547" s="476">
        <v>7080</v>
      </c>
      <c r="G547" s="476">
        <v>7084</v>
      </c>
      <c r="H547" s="476">
        <v>7088</v>
      </c>
      <c r="I547" s="476">
        <v>7092</v>
      </c>
      <c r="J547" s="476">
        <v>7096</v>
      </c>
      <c r="K547" s="476">
        <v>7100</v>
      </c>
    </row>
    <row r="548" spans="1:11">
      <c r="A548" s="479">
        <v>6720.4</v>
      </c>
      <c r="B548" s="476">
        <v>7103</v>
      </c>
      <c r="C548" s="476">
        <v>7107</v>
      </c>
      <c r="D548" s="476">
        <v>7111</v>
      </c>
      <c r="E548" s="476">
        <v>7115</v>
      </c>
      <c r="F548" s="476">
        <v>7119</v>
      </c>
      <c r="G548" s="476">
        <v>7123</v>
      </c>
      <c r="H548" s="476">
        <v>7126</v>
      </c>
      <c r="I548" s="476">
        <v>7130</v>
      </c>
      <c r="J548" s="476">
        <v>7134</v>
      </c>
      <c r="K548" s="476">
        <v>7138</v>
      </c>
    </row>
    <row r="549" spans="1:11">
      <c r="A549" s="479">
        <v>6720.5</v>
      </c>
      <c r="B549" s="476">
        <v>7142</v>
      </c>
      <c r="C549" s="476">
        <v>7146</v>
      </c>
      <c r="D549" s="476">
        <v>7150</v>
      </c>
      <c r="E549" s="476">
        <v>7153</v>
      </c>
      <c r="F549" s="476">
        <v>7157</v>
      </c>
      <c r="G549" s="476">
        <v>7161</v>
      </c>
      <c r="H549" s="476">
        <v>7165</v>
      </c>
      <c r="I549" s="476">
        <v>7169</v>
      </c>
      <c r="J549" s="476">
        <v>7173</v>
      </c>
      <c r="K549" s="476">
        <v>7176</v>
      </c>
    </row>
    <row r="550" spans="1:11">
      <c r="A550" s="479">
        <v>6720.6</v>
      </c>
      <c r="B550" s="476">
        <v>7180</v>
      </c>
      <c r="C550" s="476">
        <v>7184</v>
      </c>
      <c r="D550" s="476">
        <v>7188</v>
      </c>
      <c r="E550" s="476">
        <v>7192</v>
      </c>
      <c r="F550" s="476">
        <v>7196</v>
      </c>
      <c r="G550" s="476">
        <v>7200</v>
      </c>
      <c r="H550" s="476">
        <v>7203</v>
      </c>
      <c r="I550" s="476">
        <v>7207</v>
      </c>
      <c r="J550" s="476">
        <v>7211</v>
      </c>
      <c r="K550" s="476">
        <v>7215</v>
      </c>
    </row>
    <row r="551" spans="1:11">
      <c r="A551" s="479">
        <v>6720.7</v>
      </c>
      <c r="B551" s="476">
        <v>7219</v>
      </c>
      <c r="C551" s="476">
        <v>7223</v>
      </c>
      <c r="D551" s="476">
        <v>7226</v>
      </c>
      <c r="E551" s="476">
        <v>7230</v>
      </c>
      <c r="F551" s="476">
        <v>7234</v>
      </c>
      <c r="G551" s="476">
        <v>7238</v>
      </c>
      <c r="H551" s="476">
        <v>7242</v>
      </c>
      <c r="I551" s="476">
        <v>7246</v>
      </c>
      <c r="J551" s="476">
        <v>7250</v>
      </c>
      <c r="K551" s="476">
        <v>7253</v>
      </c>
    </row>
    <row r="552" spans="1:11">
      <c r="A552" s="479">
        <v>6720.8</v>
      </c>
      <c r="B552" s="476">
        <v>7257</v>
      </c>
      <c r="C552" s="476">
        <v>7261</v>
      </c>
      <c r="D552" s="476">
        <v>7265</v>
      </c>
      <c r="E552" s="476">
        <v>7269</v>
      </c>
      <c r="F552" s="476">
        <v>7273</v>
      </c>
      <c r="G552" s="476">
        <v>7276</v>
      </c>
      <c r="H552" s="476">
        <v>7280</v>
      </c>
      <c r="I552" s="476">
        <v>7284</v>
      </c>
      <c r="J552" s="476">
        <v>7288</v>
      </c>
      <c r="K552" s="476">
        <v>7292</v>
      </c>
    </row>
    <row r="553" spans="1:11">
      <c r="A553" s="479">
        <v>6720.9</v>
      </c>
      <c r="B553" s="476">
        <v>7296</v>
      </c>
      <c r="C553" s="476">
        <v>7300</v>
      </c>
      <c r="D553" s="476">
        <v>7303</v>
      </c>
      <c r="E553" s="476">
        <v>7307</v>
      </c>
      <c r="F553" s="476">
        <v>7311</v>
      </c>
      <c r="G553" s="476">
        <v>7315</v>
      </c>
      <c r="H553" s="476">
        <v>7319</v>
      </c>
      <c r="I553" s="476">
        <v>7323</v>
      </c>
      <c r="J553" s="476">
        <v>7326</v>
      </c>
      <c r="K553" s="476">
        <v>7330</v>
      </c>
    </row>
    <row r="554" spans="1:11">
      <c r="A554" s="479">
        <v>6721</v>
      </c>
      <c r="B554" s="476">
        <v>7334</v>
      </c>
      <c r="C554" s="476">
        <v>7338</v>
      </c>
      <c r="D554" s="476">
        <v>7342</v>
      </c>
      <c r="E554" s="476">
        <v>7346</v>
      </c>
      <c r="F554" s="476">
        <v>7350</v>
      </c>
      <c r="G554" s="476">
        <v>7354</v>
      </c>
      <c r="H554" s="476">
        <v>7358</v>
      </c>
      <c r="I554" s="476">
        <v>7362</v>
      </c>
      <c r="J554" s="476">
        <v>7365</v>
      </c>
      <c r="K554" s="476">
        <v>7369</v>
      </c>
    </row>
    <row r="555" spans="1:11">
      <c r="A555" s="479">
        <v>6721.1</v>
      </c>
      <c r="B555" s="476">
        <v>7373</v>
      </c>
      <c r="C555" s="476">
        <v>7377</v>
      </c>
      <c r="D555" s="476">
        <v>7381</v>
      </c>
      <c r="E555" s="476">
        <v>7385</v>
      </c>
      <c r="F555" s="476">
        <v>7389</v>
      </c>
      <c r="G555" s="476">
        <v>7393</v>
      </c>
      <c r="H555" s="476">
        <v>7397</v>
      </c>
      <c r="I555" s="476">
        <v>7401</v>
      </c>
      <c r="J555" s="476">
        <v>7405</v>
      </c>
      <c r="K555" s="476">
        <v>7409</v>
      </c>
    </row>
    <row r="556" spans="1:11">
      <c r="A556" s="479">
        <v>6721.2</v>
      </c>
      <c r="B556" s="476">
        <v>7412</v>
      </c>
      <c r="C556" s="476">
        <v>7416</v>
      </c>
      <c r="D556" s="476">
        <v>7420</v>
      </c>
      <c r="E556" s="476">
        <v>7424</v>
      </c>
      <c r="F556" s="476">
        <v>7428</v>
      </c>
      <c r="G556" s="476">
        <v>7432</v>
      </c>
      <c r="H556" s="476">
        <v>7436</v>
      </c>
      <c r="I556" s="476">
        <v>7440</v>
      </c>
      <c r="J556" s="476">
        <v>7444</v>
      </c>
      <c r="K556" s="476">
        <v>7448</v>
      </c>
    </row>
    <row r="557" spans="1:11">
      <c r="A557" s="479">
        <v>6721.3</v>
      </c>
      <c r="B557" s="476">
        <v>7452</v>
      </c>
      <c r="C557" s="476">
        <v>7456</v>
      </c>
      <c r="D557" s="476">
        <v>7459</v>
      </c>
      <c r="E557" s="476">
        <v>7463</v>
      </c>
      <c r="F557" s="476">
        <v>7467</v>
      </c>
      <c r="G557" s="476">
        <v>7471</v>
      </c>
      <c r="H557" s="476">
        <v>7475</v>
      </c>
      <c r="I557" s="476">
        <v>7479</v>
      </c>
      <c r="J557" s="476">
        <v>7483</v>
      </c>
      <c r="K557" s="476">
        <v>7487</v>
      </c>
    </row>
    <row r="558" spans="1:11">
      <c r="A558" s="479">
        <v>6721.4</v>
      </c>
      <c r="B558" s="476">
        <v>7491</v>
      </c>
      <c r="C558" s="476">
        <v>7495</v>
      </c>
      <c r="D558" s="476">
        <v>7499</v>
      </c>
      <c r="E558" s="476">
        <v>7503</v>
      </c>
      <c r="F558" s="476">
        <v>7506</v>
      </c>
      <c r="G558" s="476">
        <v>7510</v>
      </c>
      <c r="H558" s="476">
        <v>7514</v>
      </c>
      <c r="I558" s="476">
        <v>7518</v>
      </c>
      <c r="J558" s="476">
        <v>7522</v>
      </c>
      <c r="K558" s="476">
        <v>7526</v>
      </c>
    </row>
    <row r="559" spans="1:11">
      <c r="A559" s="479">
        <v>6721.5</v>
      </c>
      <c r="B559" s="476">
        <v>7530</v>
      </c>
      <c r="C559" s="476">
        <v>7534</v>
      </c>
      <c r="D559" s="476">
        <v>7538</v>
      </c>
      <c r="E559" s="476">
        <v>7542</v>
      </c>
      <c r="F559" s="476">
        <v>7546</v>
      </c>
      <c r="G559" s="476">
        <v>7550</v>
      </c>
      <c r="H559" s="476">
        <v>7553</v>
      </c>
      <c r="I559" s="476">
        <v>7557</v>
      </c>
      <c r="J559" s="476">
        <v>7561</v>
      </c>
      <c r="K559" s="476">
        <v>7565</v>
      </c>
    </row>
    <row r="560" spans="1:11">
      <c r="A560" s="479">
        <v>6721.6</v>
      </c>
      <c r="B560" s="476">
        <v>7569</v>
      </c>
      <c r="C560" s="476">
        <v>7573</v>
      </c>
      <c r="D560" s="476">
        <v>7577</v>
      </c>
      <c r="E560" s="476">
        <v>7581</v>
      </c>
      <c r="F560" s="476">
        <v>7585</v>
      </c>
      <c r="G560" s="476">
        <v>7589</v>
      </c>
      <c r="H560" s="476">
        <v>7593</v>
      </c>
      <c r="I560" s="476">
        <v>7597</v>
      </c>
      <c r="J560" s="476">
        <v>7600</v>
      </c>
      <c r="K560" s="476">
        <v>7604</v>
      </c>
    </row>
    <row r="561" spans="1:11">
      <c r="A561" s="479">
        <v>6721.7</v>
      </c>
      <c r="B561" s="476">
        <v>7608</v>
      </c>
      <c r="C561" s="476">
        <v>7612</v>
      </c>
      <c r="D561" s="476">
        <v>7616</v>
      </c>
      <c r="E561" s="476">
        <v>7620</v>
      </c>
      <c r="F561" s="476">
        <v>7624</v>
      </c>
      <c r="G561" s="476">
        <v>7628</v>
      </c>
      <c r="H561" s="476">
        <v>7632</v>
      </c>
      <c r="I561" s="476">
        <v>7636</v>
      </c>
      <c r="J561" s="476">
        <v>7640</v>
      </c>
      <c r="K561" s="476">
        <v>7644</v>
      </c>
    </row>
    <row r="562" spans="1:11">
      <c r="A562" s="479">
        <v>6721.8</v>
      </c>
      <c r="B562" s="476">
        <v>7647</v>
      </c>
      <c r="C562" s="476">
        <v>7651</v>
      </c>
      <c r="D562" s="476">
        <v>7655</v>
      </c>
      <c r="E562" s="476">
        <v>7659</v>
      </c>
      <c r="F562" s="476">
        <v>7663</v>
      </c>
      <c r="G562" s="476">
        <v>7667</v>
      </c>
      <c r="H562" s="476">
        <v>7671</v>
      </c>
      <c r="I562" s="476">
        <v>7675</v>
      </c>
      <c r="J562" s="476">
        <v>7679</v>
      </c>
      <c r="K562" s="476">
        <v>7683</v>
      </c>
    </row>
    <row r="563" spans="1:11">
      <c r="A563" s="479">
        <v>6721.9</v>
      </c>
      <c r="B563" s="476">
        <v>7687</v>
      </c>
      <c r="C563" s="476">
        <v>7691</v>
      </c>
      <c r="D563" s="476">
        <v>7694</v>
      </c>
      <c r="E563" s="476">
        <v>7698</v>
      </c>
      <c r="F563" s="476">
        <v>7702</v>
      </c>
      <c r="G563" s="476">
        <v>7706</v>
      </c>
      <c r="H563" s="476">
        <v>7710</v>
      </c>
      <c r="I563" s="476">
        <v>7714</v>
      </c>
      <c r="J563" s="476">
        <v>7718</v>
      </c>
      <c r="K563" s="476">
        <v>7722</v>
      </c>
    </row>
    <row r="564" spans="1:11">
      <c r="A564" s="479">
        <v>6722</v>
      </c>
      <c r="B564" s="476">
        <v>7726</v>
      </c>
      <c r="C564" s="476">
        <v>7730</v>
      </c>
      <c r="D564" s="476">
        <v>7734</v>
      </c>
      <c r="E564" s="476">
        <v>7738</v>
      </c>
      <c r="F564" s="476">
        <v>7742</v>
      </c>
      <c r="G564" s="476">
        <v>7746</v>
      </c>
      <c r="H564" s="476">
        <v>7750</v>
      </c>
      <c r="I564" s="476">
        <v>7754</v>
      </c>
      <c r="J564" s="476">
        <v>7758</v>
      </c>
      <c r="K564" s="476">
        <v>7762</v>
      </c>
    </row>
    <row r="565" spans="1:11">
      <c r="A565" s="479">
        <v>6722.1</v>
      </c>
      <c r="B565" s="476">
        <v>7766</v>
      </c>
      <c r="C565" s="476">
        <v>7770</v>
      </c>
      <c r="D565" s="476">
        <v>7774</v>
      </c>
      <c r="E565" s="476">
        <v>7778</v>
      </c>
      <c r="F565" s="476">
        <v>7782</v>
      </c>
      <c r="G565" s="476">
        <v>7786</v>
      </c>
      <c r="H565" s="476">
        <v>7790</v>
      </c>
      <c r="I565" s="476">
        <v>7794</v>
      </c>
      <c r="J565" s="476">
        <v>7797</v>
      </c>
      <c r="K565" s="476">
        <v>7801</v>
      </c>
    </row>
    <row r="566" spans="1:11">
      <c r="A566" s="479">
        <v>6722.2</v>
      </c>
      <c r="B566" s="476">
        <v>7805</v>
      </c>
      <c r="C566" s="476">
        <v>7809</v>
      </c>
      <c r="D566" s="476">
        <v>7813</v>
      </c>
      <c r="E566" s="476">
        <v>7817</v>
      </c>
      <c r="F566" s="476">
        <v>7821</v>
      </c>
      <c r="G566" s="476">
        <v>7825</v>
      </c>
      <c r="H566" s="476">
        <v>7829</v>
      </c>
      <c r="I566" s="476">
        <v>7833</v>
      </c>
      <c r="J566" s="476">
        <v>7837</v>
      </c>
      <c r="K566" s="476">
        <v>7841</v>
      </c>
    </row>
    <row r="567" spans="1:11">
      <c r="A567" s="479">
        <v>6722.3</v>
      </c>
      <c r="B567" s="476">
        <v>7845</v>
      </c>
      <c r="C567" s="476">
        <v>7849</v>
      </c>
      <c r="D567" s="476">
        <v>7853</v>
      </c>
      <c r="E567" s="476">
        <v>7857</v>
      </c>
      <c r="F567" s="476">
        <v>7861</v>
      </c>
      <c r="G567" s="476">
        <v>7865</v>
      </c>
      <c r="H567" s="476">
        <v>7869</v>
      </c>
      <c r="I567" s="476">
        <v>7873</v>
      </c>
      <c r="J567" s="476">
        <v>7877</v>
      </c>
      <c r="K567" s="476">
        <v>7881</v>
      </c>
    </row>
    <row r="568" spans="1:11">
      <c r="A568" s="479">
        <v>6722.4</v>
      </c>
      <c r="B568" s="476">
        <v>7885</v>
      </c>
      <c r="C568" s="476">
        <v>7889</v>
      </c>
      <c r="D568" s="476">
        <v>7893</v>
      </c>
      <c r="E568" s="476">
        <v>7897</v>
      </c>
      <c r="F568" s="476">
        <v>7901</v>
      </c>
      <c r="G568" s="476">
        <v>7905</v>
      </c>
      <c r="H568" s="476">
        <v>7909</v>
      </c>
      <c r="I568" s="476">
        <v>7913</v>
      </c>
      <c r="J568" s="476">
        <v>7917</v>
      </c>
      <c r="K568" s="476">
        <v>7921</v>
      </c>
    </row>
    <row r="569" spans="1:11">
      <c r="A569" s="479">
        <v>6722.5</v>
      </c>
      <c r="B569" s="476">
        <v>7925</v>
      </c>
      <c r="C569" s="476">
        <v>7929</v>
      </c>
      <c r="D569" s="476">
        <v>7933</v>
      </c>
      <c r="E569" s="476">
        <v>7937</v>
      </c>
      <c r="F569" s="476">
        <v>7941</v>
      </c>
      <c r="G569" s="476">
        <v>7945</v>
      </c>
      <c r="H569" s="476">
        <v>7949</v>
      </c>
      <c r="I569" s="476">
        <v>7953</v>
      </c>
      <c r="J569" s="476">
        <v>7957</v>
      </c>
      <c r="K569" s="476">
        <v>7961</v>
      </c>
    </row>
    <row r="570" spans="1:11">
      <c r="A570" s="479">
        <v>6722.6</v>
      </c>
      <c r="B570" s="476">
        <v>7965</v>
      </c>
      <c r="C570" s="476">
        <v>7969</v>
      </c>
      <c r="D570" s="476">
        <v>7973</v>
      </c>
      <c r="E570" s="476">
        <v>7977</v>
      </c>
      <c r="F570" s="476">
        <v>7981</v>
      </c>
      <c r="G570" s="476">
        <v>7985</v>
      </c>
      <c r="H570" s="476">
        <v>7989</v>
      </c>
      <c r="I570" s="476">
        <v>7993</v>
      </c>
      <c r="J570" s="476">
        <v>7997</v>
      </c>
      <c r="K570" s="476">
        <v>8001</v>
      </c>
    </row>
    <row r="571" spans="1:11">
      <c r="A571" s="479">
        <v>6722.7</v>
      </c>
      <c r="B571" s="476">
        <v>8005</v>
      </c>
      <c r="C571" s="476">
        <v>8009</v>
      </c>
      <c r="D571" s="476">
        <v>8013</v>
      </c>
      <c r="E571" s="476">
        <v>8017</v>
      </c>
      <c r="F571" s="476">
        <v>8021</v>
      </c>
      <c r="G571" s="476">
        <v>8025</v>
      </c>
      <c r="H571" s="476">
        <v>8029</v>
      </c>
      <c r="I571" s="476">
        <v>8033</v>
      </c>
      <c r="J571" s="476">
        <v>8037</v>
      </c>
      <c r="K571" s="476">
        <v>8041</v>
      </c>
    </row>
    <row r="572" spans="1:11">
      <c r="A572" s="479">
        <v>6722.8</v>
      </c>
      <c r="B572" s="476">
        <v>8045</v>
      </c>
      <c r="C572" s="476">
        <v>8049</v>
      </c>
      <c r="D572" s="476">
        <v>8053</v>
      </c>
      <c r="E572" s="476">
        <v>8057</v>
      </c>
      <c r="F572" s="476">
        <v>8061</v>
      </c>
      <c r="G572" s="476">
        <v>8064</v>
      </c>
      <c r="H572" s="476">
        <v>8068</v>
      </c>
      <c r="I572" s="476">
        <v>8072</v>
      </c>
      <c r="J572" s="476">
        <v>8076</v>
      </c>
      <c r="K572" s="476">
        <v>8080</v>
      </c>
    </row>
    <row r="573" spans="1:11">
      <c r="A573" s="479">
        <v>6722.9</v>
      </c>
      <c r="B573" s="476">
        <v>8084</v>
      </c>
      <c r="C573" s="476">
        <v>8088</v>
      </c>
      <c r="D573" s="476">
        <v>8092</v>
      </c>
      <c r="E573" s="476">
        <v>8096</v>
      </c>
      <c r="F573" s="476">
        <v>8100</v>
      </c>
      <c r="G573" s="476">
        <v>8104</v>
      </c>
      <c r="H573" s="476">
        <v>8108</v>
      </c>
      <c r="I573" s="476">
        <v>8112</v>
      </c>
      <c r="J573" s="476">
        <v>8116</v>
      </c>
      <c r="K573" s="476">
        <v>8120</v>
      </c>
    </row>
    <row r="574" spans="1:11">
      <c r="A574" s="479">
        <v>6723</v>
      </c>
      <c r="B574" s="476">
        <v>8124</v>
      </c>
      <c r="C574" s="476">
        <v>8128</v>
      </c>
      <c r="D574" s="476">
        <v>8132</v>
      </c>
      <c r="E574" s="476">
        <v>8136</v>
      </c>
      <c r="F574" s="476">
        <v>8140</v>
      </c>
      <c r="G574" s="476">
        <v>8145</v>
      </c>
      <c r="H574" s="476">
        <v>8149</v>
      </c>
      <c r="I574" s="476">
        <v>8153</v>
      </c>
      <c r="J574" s="476">
        <v>8157</v>
      </c>
      <c r="K574" s="476">
        <v>8161</v>
      </c>
    </row>
    <row r="575" spans="1:11">
      <c r="A575" s="479">
        <v>6723.1</v>
      </c>
      <c r="B575" s="476">
        <v>8165</v>
      </c>
      <c r="C575" s="476">
        <v>8169</v>
      </c>
      <c r="D575" s="476">
        <v>8173</v>
      </c>
      <c r="E575" s="476">
        <v>8177</v>
      </c>
      <c r="F575" s="476">
        <v>8181</v>
      </c>
      <c r="G575" s="476">
        <v>8185</v>
      </c>
      <c r="H575" s="476">
        <v>8189</v>
      </c>
      <c r="I575" s="476">
        <v>8193</v>
      </c>
      <c r="J575" s="476">
        <v>8197</v>
      </c>
      <c r="K575" s="476">
        <v>8201</v>
      </c>
    </row>
    <row r="576" spans="1:11">
      <c r="A576" s="479">
        <v>6723.2</v>
      </c>
      <c r="B576" s="476">
        <v>8205</v>
      </c>
      <c r="C576" s="476">
        <v>8209</v>
      </c>
      <c r="D576" s="476">
        <v>8213</v>
      </c>
      <c r="E576" s="476">
        <v>8217</v>
      </c>
      <c r="F576" s="476">
        <v>8222</v>
      </c>
      <c r="G576" s="476">
        <v>8226</v>
      </c>
      <c r="H576" s="476">
        <v>8230</v>
      </c>
      <c r="I576" s="476">
        <v>8234</v>
      </c>
      <c r="J576" s="476">
        <v>8238</v>
      </c>
      <c r="K576" s="476">
        <v>8242</v>
      </c>
    </row>
    <row r="577" spans="1:11">
      <c r="A577" s="479">
        <v>6723.3</v>
      </c>
      <c r="B577" s="476">
        <v>8246</v>
      </c>
      <c r="C577" s="476">
        <v>8250</v>
      </c>
      <c r="D577" s="476">
        <v>8254</v>
      </c>
      <c r="E577" s="476">
        <v>8258</v>
      </c>
      <c r="F577" s="476">
        <v>8262</v>
      </c>
      <c r="G577" s="476">
        <v>8266</v>
      </c>
      <c r="H577" s="476">
        <v>8270</v>
      </c>
      <c r="I577" s="476">
        <v>8274</v>
      </c>
      <c r="J577" s="476">
        <v>8278</v>
      </c>
      <c r="K577" s="476">
        <v>8282</v>
      </c>
    </row>
    <row r="578" spans="1:11">
      <c r="A578" s="479">
        <v>6723.4</v>
      </c>
      <c r="B578" s="476">
        <v>8286</v>
      </c>
      <c r="C578" s="476">
        <v>8290</v>
      </c>
      <c r="D578" s="476">
        <v>8294</v>
      </c>
      <c r="E578" s="476">
        <v>8299</v>
      </c>
      <c r="F578" s="476">
        <v>8303</v>
      </c>
      <c r="G578" s="476">
        <v>8307</v>
      </c>
      <c r="H578" s="476">
        <v>8311</v>
      </c>
      <c r="I578" s="476">
        <v>8315</v>
      </c>
      <c r="J578" s="476">
        <v>8319</v>
      </c>
      <c r="K578" s="476">
        <v>8323</v>
      </c>
    </row>
    <row r="579" spans="1:11">
      <c r="A579" s="479">
        <v>6723.5</v>
      </c>
      <c r="B579" s="476">
        <v>8327</v>
      </c>
      <c r="C579" s="476">
        <v>8331</v>
      </c>
      <c r="D579" s="476">
        <v>8335</v>
      </c>
      <c r="E579" s="476">
        <v>8339</v>
      </c>
      <c r="F579" s="476">
        <v>8343</v>
      </c>
      <c r="G579" s="476">
        <v>8347</v>
      </c>
      <c r="H579" s="476">
        <v>8351</v>
      </c>
      <c r="I579" s="476">
        <v>8355</v>
      </c>
      <c r="J579" s="476">
        <v>8359</v>
      </c>
      <c r="K579" s="476">
        <v>8363</v>
      </c>
    </row>
    <row r="580" spans="1:11">
      <c r="A580" s="479">
        <v>6723.6</v>
      </c>
      <c r="B580" s="476">
        <v>8367</v>
      </c>
      <c r="C580" s="476">
        <v>8371</v>
      </c>
      <c r="D580" s="476">
        <v>8375</v>
      </c>
      <c r="E580" s="476">
        <v>8380</v>
      </c>
      <c r="F580" s="476">
        <v>8384</v>
      </c>
      <c r="G580" s="476">
        <v>8388</v>
      </c>
      <c r="H580" s="476">
        <v>8392</v>
      </c>
      <c r="I580" s="476">
        <v>8396</v>
      </c>
      <c r="J580" s="476">
        <v>8400</v>
      </c>
      <c r="K580" s="476">
        <v>8404</v>
      </c>
    </row>
    <row r="581" spans="1:11">
      <c r="A581" s="479">
        <v>6723.7</v>
      </c>
      <c r="B581" s="476">
        <v>8408</v>
      </c>
      <c r="C581" s="476">
        <v>8412</v>
      </c>
      <c r="D581" s="476">
        <v>8416</v>
      </c>
      <c r="E581" s="476">
        <v>8420</v>
      </c>
      <c r="F581" s="476">
        <v>8424</v>
      </c>
      <c r="G581" s="476">
        <v>8428</v>
      </c>
      <c r="H581" s="476">
        <v>8432</v>
      </c>
      <c r="I581" s="476">
        <v>8436</v>
      </c>
      <c r="J581" s="476">
        <v>8440</v>
      </c>
      <c r="K581" s="476">
        <v>8444</v>
      </c>
    </row>
    <row r="582" spans="1:11">
      <c r="A582" s="479">
        <v>6723.8</v>
      </c>
      <c r="B582" s="476">
        <v>8448</v>
      </c>
      <c r="C582" s="476">
        <v>8452</v>
      </c>
      <c r="D582" s="476">
        <v>8457</v>
      </c>
      <c r="E582" s="476">
        <v>8461</v>
      </c>
      <c r="F582" s="476">
        <v>8465</v>
      </c>
      <c r="G582" s="476">
        <v>8469</v>
      </c>
      <c r="H582" s="476">
        <v>8473</v>
      </c>
      <c r="I582" s="476">
        <v>8477</v>
      </c>
      <c r="J582" s="476">
        <v>8481</v>
      </c>
      <c r="K582" s="476">
        <v>8485</v>
      </c>
    </row>
    <row r="583" spans="1:11">
      <c r="A583" s="479">
        <v>6723.9</v>
      </c>
      <c r="B583" s="476">
        <v>8489</v>
      </c>
      <c r="C583" s="476">
        <v>8493</v>
      </c>
      <c r="D583" s="476">
        <v>8497</v>
      </c>
      <c r="E583" s="476">
        <v>8501</v>
      </c>
      <c r="F583" s="476">
        <v>8505</v>
      </c>
      <c r="G583" s="476">
        <v>8509</v>
      </c>
      <c r="H583" s="476">
        <v>8513</v>
      </c>
      <c r="I583" s="476">
        <v>8517</v>
      </c>
      <c r="J583" s="476">
        <v>8521</v>
      </c>
      <c r="K583" s="476">
        <v>8525</v>
      </c>
    </row>
    <row r="584" spans="1:11">
      <c r="A584" s="479">
        <v>6724</v>
      </c>
      <c r="B584" s="476">
        <v>8529</v>
      </c>
      <c r="C584" s="476">
        <v>8534</v>
      </c>
      <c r="D584" s="476">
        <v>8538</v>
      </c>
      <c r="E584" s="476">
        <v>8542</v>
      </c>
      <c r="F584" s="476">
        <v>8546</v>
      </c>
      <c r="G584" s="476">
        <v>8550</v>
      </c>
      <c r="H584" s="476">
        <v>8554</v>
      </c>
      <c r="I584" s="476">
        <v>8558</v>
      </c>
      <c r="J584" s="476">
        <v>8562</v>
      </c>
      <c r="K584" s="476">
        <v>8567</v>
      </c>
    </row>
    <row r="585" spans="1:11">
      <c r="A585" s="479">
        <v>6724.1</v>
      </c>
      <c r="B585" s="476">
        <v>8571</v>
      </c>
      <c r="C585" s="476">
        <v>8575</v>
      </c>
      <c r="D585" s="476">
        <v>8579</v>
      </c>
      <c r="E585" s="476">
        <v>8583</v>
      </c>
      <c r="F585" s="476">
        <v>8587</v>
      </c>
      <c r="G585" s="476">
        <v>8591</v>
      </c>
      <c r="H585" s="476">
        <v>8595</v>
      </c>
      <c r="I585" s="476">
        <v>8599</v>
      </c>
      <c r="J585" s="476">
        <v>8604</v>
      </c>
      <c r="K585" s="476">
        <v>8608</v>
      </c>
    </row>
    <row r="586" spans="1:11">
      <c r="A586" s="479">
        <v>6724.2</v>
      </c>
      <c r="B586" s="476">
        <v>8612</v>
      </c>
      <c r="C586" s="476">
        <v>8616</v>
      </c>
      <c r="D586" s="476">
        <v>8620</v>
      </c>
      <c r="E586" s="476">
        <v>8624</v>
      </c>
      <c r="F586" s="476">
        <v>8628</v>
      </c>
      <c r="G586" s="476">
        <v>8632</v>
      </c>
      <c r="H586" s="476">
        <v>8637</v>
      </c>
      <c r="I586" s="476">
        <v>8641</v>
      </c>
      <c r="J586" s="476">
        <v>8645</v>
      </c>
      <c r="K586" s="476">
        <v>8649</v>
      </c>
    </row>
    <row r="587" spans="1:11">
      <c r="A587" s="479">
        <v>6724.3</v>
      </c>
      <c r="B587" s="476">
        <v>8653</v>
      </c>
      <c r="C587" s="476">
        <v>8657</v>
      </c>
      <c r="D587" s="476">
        <v>8661</v>
      </c>
      <c r="E587" s="476">
        <v>8665</v>
      </c>
      <c r="F587" s="476">
        <v>8669</v>
      </c>
      <c r="G587" s="476">
        <v>8674</v>
      </c>
      <c r="H587" s="476">
        <v>8678</v>
      </c>
      <c r="I587" s="476">
        <v>8682</v>
      </c>
      <c r="J587" s="476">
        <v>8686</v>
      </c>
      <c r="K587" s="476">
        <v>8690</v>
      </c>
    </row>
    <row r="588" spans="1:11">
      <c r="A588" s="479">
        <v>6724.4</v>
      </c>
      <c r="B588" s="476">
        <v>8694</v>
      </c>
      <c r="C588" s="476">
        <v>8698</v>
      </c>
      <c r="D588" s="476">
        <v>8702</v>
      </c>
      <c r="E588" s="476">
        <v>8707</v>
      </c>
      <c r="F588" s="476">
        <v>8711</v>
      </c>
      <c r="G588" s="476">
        <v>8715</v>
      </c>
      <c r="H588" s="476">
        <v>8719</v>
      </c>
      <c r="I588" s="476">
        <v>8723</v>
      </c>
      <c r="J588" s="476">
        <v>8727</v>
      </c>
      <c r="K588" s="476">
        <v>8731</v>
      </c>
    </row>
    <row r="589" spans="1:11">
      <c r="A589" s="479">
        <v>6724.5</v>
      </c>
      <c r="B589" s="476">
        <v>8735</v>
      </c>
      <c r="C589" s="476">
        <v>8739</v>
      </c>
      <c r="D589" s="476">
        <v>8744</v>
      </c>
      <c r="E589" s="476">
        <v>8748</v>
      </c>
      <c r="F589" s="476">
        <v>8752</v>
      </c>
      <c r="G589" s="476">
        <v>8756</v>
      </c>
      <c r="H589" s="476">
        <v>8760</v>
      </c>
      <c r="I589" s="476">
        <v>8764</v>
      </c>
      <c r="J589" s="476">
        <v>8768</v>
      </c>
      <c r="K589" s="476">
        <v>8772</v>
      </c>
    </row>
    <row r="590" spans="1:11">
      <c r="A590" s="479">
        <v>6724.6</v>
      </c>
      <c r="B590" s="476">
        <v>8777</v>
      </c>
      <c r="C590" s="476">
        <v>8781</v>
      </c>
      <c r="D590" s="476">
        <v>8785</v>
      </c>
      <c r="E590" s="476">
        <v>8789</v>
      </c>
      <c r="F590" s="476">
        <v>8793</v>
      </c>
      <c r="G590" s="476">
        <v>8797</v>
      </c>
      <c r="H590" s="476">
        <v>8801</v>
      </c>
      <c r="I590" s="476">
        <v>8805</v>
      </c>
      <c r="J590" s="476">
        <v>8809</v>
      </c>
      <c r="K590" s="476">
        <v>8814</v>
      </c>
    </row>
    <row r="591" spans="1:11">
      <c r="A591" s="479">
        <v>6724.7</v>
      </c>
      <c r="B591" s="476">
        <v>8818</v>
      </c>
      <c r="C591" s="476">
        <v>8822</v>
      </c>
      <c r="D591" s="476">
        <v>8826</v>
      </c>
      <c r="E591" s="476">
        <v>8830</v>
      </c>
      <c r="F591" s="476">
        <v>8834</v>
      </c>
      <c r="G591" s="476">
        <v>8838</v>
      </c>
      <c r="H591" s="476">
        <v>8842</v>
      </c>
      <c r="I591" s="476">
        <v>8847</v>
      </c>
      <c r="J591" s="476">
        <v>8851</v>
      </c>
      <c r="K591" s="476">
        <v>8855</v>
      </c>
    </row>
    <row r="592" spans="1:11">
      <c r="A592" s="479">
        <v>6724.8</v>
      </c>
      <c r="B592" s="476">
        <v>8859</v>
      </c>
      <c r="C592" s="476">
        <v>8863</v>
      </c>
      <c r="D592" s="476">
        <v>8867</v>
      </c>
      <c r="E592" s="476">
        <v>8871</v>
      </c>
      <c r="F592" s="476">
        <v>8875</v>
      </c>
      <c r="G592" s="476">
        <v>8879</v>
      </c>
      <c r="H592" s="476">
        <v>8884</v>
      </c>
      <c r="I592" s="476">
        <v>8888</v>
      </c>
      <c r="J592" s="476">
        <v>8892</v>
      </c>
      <c r="K592" s="476">
        <v>8896</v>
      </c>
    </row>
    <row r="593" spans="1:11">
      <c r="A593" s="479">
        <v>6724.9</v>
      </c>
      <c r="B593" s="476">
        <v>8900</v>
      </c>
      <c r="C593" s="476">
        <v>8904</v>
      </c>
      <c r="D593" s="476">
        <v>8908</v>
      </c>
      <c r="E593" s="476">
        <v>8912</v>
      </c>
      <c r="F593" s="476">
        <v>8916</v>
      </c>
      <c r="G593" s="476">
        <v>8921</v>
      </c>
      <c r="H593" s="476">
        <v>8925</v>
      </c>
      <c r="I593" s="476">
        <v>8929</v>
      </c>
      <c r="J593" s="476">
        <v>8933</v>
      </c>
      <c r="K593" s="476">
        <v>8937</v>
      </c>
    </row>
    <row r="594" spans="1:11">
      <c r="A594" s="479">
        <v>6725</v>
      </c>
      <c r="B594" s="476">
        <v>8941</v>
      </c>
      <c r="C594" s="476">
        <v>8945</v>
      </c>
      <c r="D594" s="476">
        <v>8950</v>
      </c>
      <c r="E594" s="476">
        <v>8954</v>
      </c>
      <c r="F594" s="476">
        <v>8958</v>
      </c>
      <c r="G594" s="476">
        <v>8962</v>
      </c>
      <c r="H594" s="476">
        <v>8966</v>
      </c>
      <c r="I594" s="476">
        <v>8970</v>
      </c>
      <c r="J594" s="476">
        <v>8975</v>
      </c>
      <c r="K594" s="476">
        <v>8979</v>
      </c>
    </row>
    <row r="595" spans="1:11">
      <c r="A595" s="479">
        <v>6725.1</v>
      </c>
      <c r="B595" s="476">
        <v>8983</v>
      </c>
      <c r="C595" s="476">
        <v>8987</v>
      </c>
      <c r="D595" s="476">
        <v>8991</v>
      </c>
      <c r="E595" s="476">
        <v>8996</v>
      </c>
      <c r="F595" s="476">
        <v>9000</v>
      </c>
      <c r="G595" s="476">
        <v>9004</v>
      </c>
      <c r="H595" s="476">
        <v>9008</v>
      </c>
      <c r="I595" s="476">
        <v>9012</v>
      </c>
      <c r="J595" s="476">
        <v>9016</v>
      </c>
      <c r="K595" s="476">
        <v>9021</v>
      </c>
    </row>
    <row r="596" spans="1:11">
      <c r="A596" s="479">
        <v>6725.2</v>
      </c>
      <c r="B596" s="476">
        <v>9025</v>
      </c>
      <c r="C596" s="476">
        <v>9029</v>
      </c>
      <c r="D596" s="476">
        <v>9033</v>
      </c>
      <c r="E596" s="476">
        <v>9037</v>
      </c>
      <c r="F596" s="476">
        <v>9042</v>
      </c>
      <c r="G596" s="476">
        <v>9046</v>
      </c>
      <c r="H596" s="476">
        <v>9050</v>
      </c>
      <c r="I596" s="476">
        <v>9054</v>
      </c>
      <c r="J596" s="476">
        <v>9058</v>
      </c>
      <c r="K596" s="476">
        <v>9062</v>
      </c>
    </row>
    <row r="597" spans="1:11">
      <c r="A597" s="479">
        <v>6725.3</v>
      </c>
      <c r="B597" s="476">
        <v>9067</v>
      </c>
      <c r="C597" s="476">
        <v>9071</v>
      </c>
      <c r="D597" s="476">
        <v>9075</v>
      </c>
      <c r="E597" s="476">
        <v>9079</v>
      </c>
      <c r="F597" s="476">
        <v>9083</v>
      </c>
      <c r="G597" s="476">
        <v>9088</v>
      </c>
      <c r="H597" s="476">
        <v>9092</v>
      </c>
      <c r="I597" s="476">
        <v>9096</v>
      </c>
      <c r="J597" s="476">
        <v>9100</v>
      </c>
      <c r="K597" s="476">
        <v>9104</v>
      </c>
    </row>
    <row r="598" spans="1:11">
      <c r="A598" s="479">
        <v>6725.4</v>
      </c>
      <c r="B598" s="476">
        <v>9108</v>
      </c>
      <c r="C598" s="476">
        <v>9113</v>
      </c>
      <c r="D598" s="476">
        <v>9117</v>
      </c>
      <c r="E598" s="476">
        <v>9121</v>
      </c>
      <c r="F598" s="476">
        <v>9125</v>
      </c>
      <c r="G598" s="476">
        <v>9129</v>
      </c>
      <c r="H598" s="476">
        <v>9134</v>
      </c>
      <c r="I598" s="476">
        <v>9138</v>
      </c>
      <c r="J598" s="476">
        <v>9142</v>
      </c>
      <c r="K598" s="476">
        <v>9146</v>
      </c>
    </row>
    <row r="599" spans="1:11">
      <c r="A599" s="479">
        <v>6725.5</v>
      </c>
      <c r="B599" s="476">
        <v>9150</v>
      </c>
      <c r="C599" s="476">
        <v>9154</v>
      </c>
      <c r="D599" s="476">
        <v>9159</v>
      </c>
      <c r="E599" s="476">
        <v>9163</v>
      </c>
      <c r="F599" s="476">
        <v>9167</v>
      </c>
      <c r="G599" s="476">
        <v>9171</v>
      </c>
      <c r="H599" s="476">
        <v>9175</v>
      </c>
      <c r="I599" s="476">
        <v>9180</v>
      </c>
      <c r="J599" s="476">
        <v>9184</v>
      </c>
      <c r="K599" s="476">
        <v>9188</v>
      </c>
    </row>
    <row r="600" spans="1:11">
      <c r="A600" s="479">
        <v>6725.6</v>
      </c>
      <c r="B600" s="476">
        <v>9192</v>
      </c>
      <c r="C600" s="476">
        <v>9196</v>
      </c>
      <c r="D600" s="476">
        <v>9200</v>
      </c>
      <c r="E600" s="476">
        <v>9205</v>
      </c>
      <c r="F600" s="476">
        <v>9209</v>
      </c>
      <c r="G600" s="476">
        <v>9213</v>
      </c>
      <c r="H600" s="476">
        <v>9217</v>
      </c>
      <c r="I600" s="476">
        <v>9221</v>
      </c>
      <c r="J600" s="476">
        <v>9226</v>
      </c>
      <c r="K600" s="476">
        <v>9230</v>
      </c>
    </row>
    <row r="601" spans="1:11">
      <c r="A601" s="479">
        <v>6725.7</v>
      </c>
      <c r="B601" s="476">
        <v>9234</v>
      </c>
      <c r="C601" s="476">
        <v>9238</v>
      </c>
      <c r="D601" s="476">
        <v>9242</v>
      </c>
      <c r="E601" s="476">
        <v>9246</v>
      </c>
      <c r="F601" s="476">
        <v>9251</v>
      </c>
      <c r="G601" s="476">
        <v>9255</v>
      </c>
      <c r="H601" s="476">
        <v>9259</v>
      </c>
      <c r="I601" s="476">
        <v>9263</v>
      </c>
      <c r="J601" s="476">
        <v>9267</v>
      </c>
      <c r="K601" s="476">
        <v>9272</v>
      </c>
    </row>
    <row r="602" spans="1:11">
      <c r="A602" s="479">
        <v>6725.8</v>
      </c>
      <c r="B602" s="476">
        <v>9276</v>
      </c>
      <c r="C602" s="476">
        <v>9280</v>
      </c>
      <c r="D602" s="476">
        <v>9284</v>
      </c>
      <c r="E602" s="476">
        <v>9288</v>
      </c>
      <c r="F602" s="476">
        <v>9292</v>
      </c>
      <c r="G602" s="476">
        <v>9297</v>
      </c>
      <c r="H602" s="476">
        <v>9301</v>
      </c>
      <c r="I602" s="476">
        <v>9305</v>
      </c>
      <c r="J602" s="476">
        <v>9309</v>
      </c>
      <c r="K602" s="476">
        <v>9313</v>
      </c>
    </row>
    <row r="603" spans="1:11">
      <c r="A603" s="479">
        <v>6725.9</v>
      </c>
      <c r="B603" s="476">
        <v>9317</v>
      </c>
      <c r="C603" s="476">
        <v>9322</v>
      </c>
      <c r="D603" s="476">
        <v>9326</v>
      </c>
      <c r="E603" s="476">
        <v>9330</v>
      </c>
      <c r="F603" s="476">
        <v>9334</v>
      </c>
      <c r="G603" s="476">
        <v>9338</v>
      </c>
      <c r="H603" s="476">
        <v>9343</v>
      </c>
      <c r="I603" s="476">
        <v>9347</v>
      </c>
      <c r="J603" s="476">
        <v>9351</v>
      </c>
      <c r="K603" s="476">
        <v>9355</v>
      </c>
    </row>
    <row r="604" spans="1:11">
      <c r="A604" s="479">
        <v>6726</v>
      </c>
      <c r="B604" s="476">
        <v>9359</v>
      </c>
      <c r="C604" s="476">
        <v>9364</v>
      </c>
      <c r="D604" s="476">
        <v>9368</v>
      </c>
      <c r="E604" s="476">
        <v>9372</v>
      </c>
      <c r="F604" s="476">
        <v>9376</v>
      </c>
      <c r="G604" s="476">
        <v>9381</v>
      </c>
      <c r="H604" s="476">
        <v>9385</v>
      </c>
      <c r="I604" s="476">
        <v>9389</v>
      </c>
      <c r="J604" s="476">
        <v>9393</v>
      </c>
      <c r="K604" s="476">
        <v>9397</v>
      </c>
    </row>
    <row r="605" spans="1:11">
      <c r="A605" s="479">
        <v>6726.1</v>
      </c>
      <c r="B605" s="476">
        <v>9402</v>
      </c>
      <c r="C605" s="476">
        <v>9406</v>
      </c>
      <c r="D605" s="476">
        <v>9410</v>
      </c>
      <c r="E605" s="476">
        <v>9414</v>
      </c>
      <c r="F605" s="476">
        <v>9419</v>
      </c>
      <c r="G605" s="476">
        <v>9423</v>
      </c>
      <c r="H605" s="476">
        <v>9427</v>
      </c>
      <c r="I605" s="476">
        <v>9431</v>
      </c>
      <c r="J605" s="476">
        <v>9436</v>
      </c>
      <c r="K605" s="476">
        <v>9440</v>
      </c>
    </row>
    <row r="606" spans="1:11">
      <c r="A606" s="479">
        <v>6726.2</v>
      </c>
      <c r="B606" s="476">
        <v>9444</v>
      </c>
      <c r="C606" s="476">
        <v>9448</v>
      </c>
      <c r="D606" s="476">
        <v>9453</v>
      </c>
      <c r="E606" s="476">
        <v>9457</v>
      </c>
      <c r="F606" s="476">
        <v>9461</v>
      </c>
      <c r="G606" s="476">
        <v>9465</v>
      </c>
      <c r="H606" s="476">
        <v>9470</v>
      </c>
      <c r="I606" s="476">
        <v>9474</v>
      </c>
      <c r="J606" s="476">
        <v>9478</v>
      </c>
      <c r="K606" s="476">
        <v>9482</v>
      </c>
    </row>
    <row r="607" spans="1:11">
      <c r="A607" s="479">
        <v>6726.3</v>
      </c>
      <c r="B607" s="476">
        <v>9487</v>
      </c>
      <c r="C607" s="476">
        <v>9491</v>
      </c>
      <c r="D607" s="476">
        <v>9495</v>
      </c>
      <c r="E607" s="476">
        <v>9499</v>
      </c>
      <c r="F607" s="476">
        <v>9504</v>
      </c>
      <c r="G607" s="476">
        <v>9508</v>
      </c>
      <c r="H607" s="476">
        <v>9512</v>
      </c>
      <c r="I607" s="476">
        <v>9516</v>
      </c>
      <c r="J607" s="476">
        <v>9521</v>
      </c>
      <c r="K607" s="476">
        <v>9525</v>
      </c>
    </row>
    <row r="608" spans="1:11">
      <c r="A608" s="479">
        <v>6726.4</v>
      </c>
      <c r="B608" s="476">
        <v>9529</v>
      </c>
      <c r="C608" s="476">
        <v>9533</v>
      </c>
      <c r="D608" s="476">
        <v>9538</v>
      </c>
      <c r="E608" s="476">
        <v>9542</v>
      </c>
      <c r="F608" s="476">
        <v>9546</v>
      </c>
      <c r="G608" s="476">
        <v>9550</v>
      </c>
      <c r="H608" s="476">
        <v>9554</v>
      </c>
      <c r="I608" s="476">
        <v>9559</v>
      </c>
      <c r="J608" s="476">
        <v>9563</v>
      </c>
      <c r="K608" s="476">
        <v>9567</v>
      </c>
    </row>
    <row r="609" spans="1:11">
      <c r="A609" s="479">
        <v>6726.5</v>
      </c>
      <c r="B609" s="476">
        <v>9571</v>
      </c>
      <c r="C609" s="476">
        <v>9576</v>
      </c>
      <c r="D609" s="476">
        <v>9580</v>
      </c>
      <c r="E609" s="476">
        <v>9584</v>
      </c>
      <c r="F609" s="476">
        <v>9588</v>
      </c>
      <c r="G609" s="476">
        <v>9593</v>
      </c>
      <c r="H609" s="476">
        <v>9597</v>
      </c>
      <c r="I609" s="476">
        <v>9601</v>
      </c>
      <c r="J609" s="476">
        <v>9605</v>
      </c>
      <c r="K609" s="476">
        <v>9610</v>
      </c>
    </row>
    <row r="610" spans="1:11">
      <c r="A610" s="479">
        <v>6726.6</v>
      </c>
      <c r="B610" s="476">
        <v>9614</v>
      </c>
      <c r="C610" s="476">
        <v>9618</v>
      </c>
      <c r="D610" s="476">
        <v>9622</v>
      </c>
      <c r="E610" s="476">
        <v>9627</v>
      </c>
      <c r="F610" s="476">
        <v>9631</v>
      </c>
      <c r="G610" s="476">
        <v>9635</v>
      </c>
      <c r="H610" s="476">
        <v>9639</v>
      </c>
      <c r="I610" s="476">
        <v>9644</v>
      </c>
      <c r="J610" s="476">
        <v>9648</v>
      </c>
      <c r="K610" s="476">
        <v>9652</v>
      </c>
    </row>
    <row r="611" spans="1:11">
      <c r="A611" s="479">
        <v>6726.7</v>
      </c>
      <c r="B611" s="476">
        <v>9656</v>
      </c>
      <c r="C611" s="476">
        <v>9661</v>
      </c>
      <c r="D611" s="476">
        <v>9665</v>
      </c>
      <c r="E611" s="476">
        <v>9669</v>
      </c>
      <c r="F611" s="476">
        <v>9673</v>
      </c>
      <c r="G611" s="476">
        <v>9678</v>
      </c>
      <c r="H611" s="476">
        <v>9682</v>
      </c>
      <c r="I611" s="476">
        <v>9686</v>
      </c>
      <c r="J611" s="476">
        <v>9690</v>
      </c>
      <c r="K611" s="476">
        <v>9695</v>
      </c>
    </row>
    <row r="612" spans="1:11">
      <c r="A612" s="479">
        <v>6726.8</v>
      </c>
      <c r="B612" s="476">
        <v>9699</v>
      </c>
      <c r="C612" s="476">
        <v>9703</v>
      </c>
      <c r="D612" s="476">
        <v>9707</v>
      </c>
      <c r="E612" s="476">
        <v>9712</v>
      </c>
      <c r="F612" s="476">
        <v>9716</v>
      </c>
      <c r="G612" s="476">
        <v>9720</v>
      </c>
      <c r="H612" s="476">
        <v>9724</v>
      </c>
      <c r="I612" s="476">
        <v>9728</v>
      </c>
      <c r="J612" s="476">
        <v>9733</v>
      </c>
      <c r="K612" s="476">
        <v>9737</v>
      </c>
    </row>
    <row r="613" spans="1:11">
      <c r="A613" s="479">
        <v>6726.9</v>
      </c>
      <c r="B613" s="476">
        <v>9741</v>
      </c>
      <c r="C613" s="476">
        <v>9745</v>
      </c>
      <c r="D613" s="476">
        <v>9750</v>
      </c>
      <c r="E613" s="476">
        <v>9754</v>
      </c>
      <c r="F613" s="476">
        <v>9758</v>
      </c>
      <c r="G613" s="476">
        <v>9762</v>
      </c>
      <c r="H613" s="476">
        <v>9767</v>
      </c>
      <c r="I613" s="476">
        <v>9771</v>
      </c>
      <c r="J613" s="476">
        <v>9775</v>
      </c>
      <c r="K613" s="476">
        <v>9779</v>
      </c>
    </row>
    <row r="614" spans="1:11">
      <c r="A614" s="479">
        <v>6727</v>
      </c>
      <c r="B614" s="476">
        <v>9784</v>
      </c>
      <c r="C614" s="476">
        <v>9788</v>
      </c>
      <c r="D614" s="476">
        <v>9792</v>
      </c>
      <c r="E614" s="476">
        <v>9797</v>
      </c>
      <c r="F614" s="476">
        <v>9801</v>
      </c>
      <c r="G614" s="476">
        <v>9805</v>
      </c>
      <c r="H614" s="476">
        <v>9809</v>
      </c>
      <c r="I614" s="476">
        <v>9814</v>
      </c>
      <c r="J614" s="476">
        <v>9818</v>
      </c>
      <c r="K614" s="476">
        <v>9822</v>
      </c>
    </row>
    <row r="615" spans="1:11">
      <c r="A615" s="479">
        <v>6727.1</v>
      </c>
      <c r="B615" s="476">
        <v>9827</v>
      </c>
      <c r="C615" s="476">
        <v>9831</v>
      </c>
      <c r="D615" s="476">
        <v>9835</v>
      </c>
      <c r="E615" s="476">
        <v>9840</v>
      </c>
      <c r="F615" s="476">
        <v>9844</v>
      </c>
      <c r="G615" s="476">
        <v>9848</v>
      </c>
      <c r="H615" s="476">
        <v>9853</v>
      </c>
      <c r="I615" s="476">
        <v>9857</v>
      </c>
      <c r="J615" s="476">
        <v>9861</v>
      </c>
      <c r="K615" s="476">
        <v>9865</v>
      </c>
    </row>
    <row r="616" spans="1:11">
      <c r="A616" s="479">
        <v>6727.2</v>
      </c>
      <c r="B616" s="476">
        <v>9870</v>
      </c>
      <c r="C616" s="476">
        <v>9874</v>
      </c>
      <c r="D616" s="476">
        <v>9878</v>
      </c>
      <c r="E616" s="476">
        <v>9883</v>
      </c>
      <c r="F616" s="476">
        <v>9887</v>
      </c>
      <c r="G616" s="476">
        <v>9891</v>
      </c>
      <c r="H616" s="476">
        <v>9896</v>
      </c>
      <c r="I616" s="476">
        <v>9900</v>
      </c>
      <c r="J616" s="476">
        <v>9904</v>
      </c>
      <c r="K616" s="476">
        <v>9908</v>
      </c>
    </row>
    <row r="617" spans="1:11">
      <c r="A617" s="479">
        <v>6727.3</v>
      </c>
      <c r="B617" s="476">
        <v>9913</v>
      </c>
      <c r="C617" s="476">
        <v>9917</v>
      </c>
      <c r="D617" s="476">
        <v>9921</v>
      </c>
      <c r="E617" s="476">
        <v>9926</v>
      </c>
      <c r="F617" s="476">
        <v>9930</v>
      </c>
      <c r="G617" s="476">
        <v>9934</v>
      </c>
      <c r="H617" s="476">
        <v>9939</v>
      </c>
      <c r="I617" s="476">
        <v>9943</v>
      </c>
      <c r="J617" s="476">
        <v>9947</v>
      </c>
      <c r="K617" s="476">
        <v>9951</v>
      </c>
    </row>
    <row r="618" spans="1:11">
      <c r="A618" s="479">
        <v>6727.4</v>
      </c>
      <c r="B618" s="476">
        <v>9956</v>
      </c>
      <c r="C618" s="476">
        <v>9960</v>
      </c>
      <c r="D618" s="476">
        <v>9964</v>
      </c>
      <c r="E618" s="476">
        <v>9969</v>
      </c>
      <c r="F618" s="476">
        <v>9973</v>
      </c>
      <c r="G618" s="476">
        <v>9977</v>
      </c>
      <c r="H618" s="476">
        <v>9982</v>
      </c>
      <c r="I618" s="476">
        <v>9986</v>
      </c>
      <c r="J618" s="476">
        <v>9990</v>
      </c>
      <c r="K618" s="476">
        <v>9995</v>
      </c>
    </row>
    <row r="619" spans="1:11">
      <c r="A619" s="479">
        <v>6727.5</v>
      </c>
      <c r="B619" s="476">
        <v>9999</v>
      </c>
      <c r="C619" s="476">
        <v>10003</v>
      </c>
      <c r="D619" s="476">
        <v>10007</v>
      </c>
      <c r="E619" s="476">
        <v>10012</v>
      </c>
      <c r="F619" s="476">
        <v>10016</v>
      </c>
      <c r="G619" s="476">
        <v>10020</v>
      </c>
      <c r="H619" s="476">
        <v>10025</v>
      </c>
      <c r="I619" s="476">
        <v>10029</v>
      </c>
      <c r="J619" s="476">
        <v>10033</v>
      </c>
      <c r="K619" s="476">
        <v>10038</v>
      </c>
    </row>
    <row r="620" spans="1:11">
      <c r="A620" s="479">
        <v>6727.6</v>
      </c>
      <c r="B620" s="476">
        <v>10042</v>
      </c>
      <c r="C620" s="476">
        <v>10046</v>
      </c>
      <c r="D620" s="476">
        <v>10050</v>
      </c>
      <c r="E620" s="476">
        <v>10055</v>
      </c>
      <c r="F620" s="476">
        <v>10059</v>
      </c>
      <c r="G620" s="476">
        <v>10063</v>
      </c>
      <c r="H620" s="476">
        <v>10068</v>
      </c>
      <c r="I620" s="476">
        <v>10072</v>
      </c>
      <c r="J620" s="476">
        <v>10076</v>
      </c>
      <c r="K620" s="476">
        <v>10081</v>
      </c>
    </row>
    <row r="621" spans="1:11">
      <c r="A621" s="479">
        <v>6727.7</v>
      </c>
      <c r="B621" s="476">
        <v>10085</v>
      </c>
      <c r="C621" s="476">
        <v>10089</v>
      </c>
      <c r="D621" s="476">
        <v>10094</v>
      </c>
      <c r="E621" s="476">
        <v>10098</v>
      </c>
      <c r="F621" s="476">
        <v>10102</v>
      </c>
      <c r="G621" s="476">
        <v>10106</v>
      </c>
      <c r="H621" s="476">
        <v>10111</v>
      </c>
      <c r="I621" s="476">
        <v>10115</v>
      </c>
      <c r="J621" s="476">
        <v>10119</v>
      </c>
      <c r="K621" s="476">
        <v>10124</v>
      </c>
    </row>
    <row r="622" spans="1:11">
      <c r="A622" s="479">
        <v>6727.8</v>
      </c>
      <c r="B622" s="476">
        <v>10128</v>
      </c>
      <c r="C622" s="476">
        <v>10132</v>
      </c>
      <c r="D622" s="476">
        <v>10137</v>
      </c>
      <c r="E622" s="476">
        <v>10141</v>
      </c>
      <c r="F622" s="476">
        <v>10145</v>
      </c>
      <c r="G622" s="476">
        <v>10149</v>
      </c>
      <c r="H622" s="476">
        <v>10154</v>
      </c>
      <c r="I622" s="476">
        <v>10158</v>
      </c>
      <c r="J622" s="476">
        <v>10162</v>
      </c>
      <c r="K622" s="476">
        <v>10167</v>
      </c>
    </row>
    <row r="623" spans="1:11">
      <c r="A623" s="479">
        <v>6727.9</v>
      </c>
      <c r="B623" s="476">
        <v>10171</v>
      </c>
      <c r="C623" s="476">
        <v>10175</v>
      </c>
      <c r="D623" s="476">
        <v>10180</v>
      </c>
      <c r="E623" s="476">
        <v>10184</v>
      </c>
      <c r="F623" s="476">
        <v>10188</v>
      </c>
      <c r="G623" s="476">
        <v>10193</v>
      </c>
      <c r="H623" s="476">
        <v>10197</v>
      </c>
      <c r="I623" s="476">
        <v>10201</v>
      </c>
      <c r="J623" s="476">
        <v>10205</v>
      </c>
      <c r="K623" s="476">
        <v>10210</v>
      </c>
    </row>
    <row r="624" spans="1:11">
      <c r="A624" s="479">
        <v>6728</v>
      </c>
      <c r="B624" s="476">
        <v>10214</v>
      </c>
      <c r="C624" s="476">
        <v>10218</v>
      </c>
      <c r="D624" s="476">
        <v>10223</v>
      </c>
      <c r="E624" s="476">
        <v>10227</v>
      </c>
      <c r="F624" s="476">
        <v>10231</v>
      </c>
      <c r="G624" s="476">
        <v>10236</v>
      </c>
      <c r="H624" s="476">
        <v>10240</v>
      </c>
      <c r="I624" s="476">
        <v>10245</v>
      </c>
      <c r="J624" s="476">
        <v>10249</v>
      </c>
      <c r="K624" s="476">
        <v>10253</v>
      </c>
    </row>
    <row r="625" spans="1:11">
      <c r="A625" s="479">
        <v>6728.1</v>
      </c>
      <c r="B625" s="476">
        <v>10258</v>
      </c>
      <c r="C625" s="476">
        <v>10262</v>
      </c>
      <c r="D625" s="476">
        <v>10266</v>
      </c>
      <c r="E625" s="476">
        <v>10271</v>
      </c>
      <c r="F625" s="476">
        <v>10275</v>
      </c>
      <c r="G625" s="476">
        <v>10279</v>
      </c>
      <c r="H625" s="476">
        <v>10284</v>
      </c>
      <c r="I625" s="476">
        <v>10288</v>
      </c>
      <c r="J625" s="476">
        <v>10293</v>
      </c>
      <c r="K625" s="476">
        <v>10297</v>
      </c>
    </row>
    <row r="626" spans="1:11">
      <c r="A626" s="479">
        <v>6728.2</v>
      </c>
      <c r="B626" s="476">
        <v>10301</v>
      </c>
      <c r="C626" s="476">
        <v>10306</v>
      </c>
      <c r="D626" s="476">
        <v>10310</v>
      </c>
      <c r="E626" s="476">
        <v>10314</v>
      </c>
      <c r="F626" s="476">
        <v>10319</v>
      </c>
      <c r="G626" s="476">
        <v>10323</v>
      </c>
      <c r="H626" s="476">
        <v>10327</v>
      </c>
      <c r="I626" s="476">
        <v>10332</v>
      </c>
      <c r="J626" s="476">
        <v>10336</v>
      </c>
      <c r="K626" s="476">
        <v>10341</v>
      </c>
    </row>
    <row r="627" spans="1:11">
      <c r="A627" s="479">
        <v>6728.3</v>
      </c>
      <c r="B627" s="476">
        <v>10345</v>
      </c>
      <c r="C627" s="476">
        <v>10349</v>
      </c>
      <c r="D627" s="476">
        <v>10354</v>
      </c>
      <c r="E627" s="476">
        <v>10358</v>
      </c>
      <c r="F627" s="476">
        <v>10362</v>
      </c>
      <c r="G627" s="476">
        <v>10367</v>
      </c>
      <c r="H627" s="476">
        <v>10371</v>
      </c>
      <c r="I627" s="476">
        <v>10375</v>
      </c>
      <c r="J627" s="476">
        <v>10380</v>
      </c>
      <c r="K627" s="476">
        <v>10384</v>
      </c>
    </row>
    <row r="628" spans="1:11">
      <c r="A628" s="479">
        <v>6728.4</v>
      </c>
      <c r="B628" s="476">
        <v>10389</v>
      </c>
      <c r="C628" s="476">
        <v>10393</v>
      </c>
      <c r="D628" s="476">
        <v>10397</v>
      </c>
      <c r="E628" s="476">
        <v>10402</v>
      </c>
      <c r="F628" s="476">
        <v>10406</v>
      </c>
      <c r="G628" s="476">
        <v>10410</v>
      </c>
      <c r="H628" s="476">
        <v>10515</v>
      </c>
      <c r="I628" s="476">
        <v>10419</v>
      </c>
      <c r="J628" s="476">
        <v>10423</v>
      </c>
      <c r="K628" s="476">
        <v>10428</v>
      </c>
    </row>
    <row r="629" spans="1:11">
      <c r="A629" s="479">
        <v>6728.5</v>
      </c>
      <c r="B629" s="476">
        <v>10432</v>
      </c>
      <c r="C629" s="476">
        <v>10437</v>
      </c>
      <c r="D629" s="476">
        <v>10441</v>
      </c>
      <c r="E629" s="476">
        <v>10445</v>
      </c>
      <c r="F629" s="476">
        <v>10450</v>
      </c>
      <c r="G629" s="476">
        <v>10454</v>
      </c>
      <c r="H629" s="476">
        <v>10458</v>
      </c>
      <c r="I629" s="476">
        <v>10463</v>
      </c>
      <c r="J629" s="476">
        <v>10467</v>
      </c>
      <c r="K629" s="476">
        <v>10471</v>
      </c>
    </row>
    <row r="630" spans="1:11">
      <c r="A630" s="479">
        <v>6728.6</v>
      </c>
      <c r="B630" s="476">
        <v>10476</v>
      </c>
      <c r="C630" s="476">
        <v>10480</v>
      </c>
      <c r="D630" s="476">
        <v>10485</v>
      </c>
      <c r="E630" s="476">
        <v>10489</v>
      </c>
      <c r="F630" s="476">
        <v>10493</v>
      </c>
      <c r="G630" s="476">
        <v>10498</v>
      </c>
      <c r="H630" s="476">
        <v>10502</v>
      </c>
      <c r="I630" s="476">
        <v>10506</v>
      </c>
      <c r="J630" s="476">
        <v>10511</v>
      </c>
      <c r="K630" s="476">
        <v>10515</v>
      </c>
    </row>
    <row r="631" spans="1:11">
      <c r="A631" s="479">
        <v>6728.7</v>
      </c>
      <c r="B631" s="476">
        <v>10519</v>
      </c>
      <c r="C631" s="476">
        <v>10524</v>
      </c>
      <c r="D631" s="476">
        <v>10528</v>
      </c>
      <c r="E631" s="476">
        <v>10533</v>
      </c>
      <c r="F631" s="476">
        <v>10537</v>
      </c>
      <c r="G631" s="476">
        <v>10541</v>
      </c>
      <c r="H631" s="476">
        <v>10546</v>
      </c>
      <c r="I631" s="476">
        <v>10550</v>
      </c>
      <c r="J631" s="476">
        <v>10554</v>
      </c>
      <c r="K631" s="476">
        <v>10559</v>
      </c>
    </row>
    <row r="632" spans="1:11">
      <c r="A632" s="479">
        <v>6728.8</v>
      </c>
      <c r="B632" s="476">
        <v>10563</v>
      </c>
      <c r="C632" s="476">
        <v>10567</v>
      </c>
      <c r="D632" s="476">
        <v>10572</v>
      </c>
      <c r="E632" s="476">
        <v>10576</v>
      </c>
      <c r="F632" s="476">
        <v>10581</v>
      </c>
      <c r="G632" s="476">
        <v>10585</v>
      </c>
      <c r="H632" s="476">
        <v>10589</v>
      </c>
      <c r="I632" s="476">
        <v>10594</v>
      </c>
      <c r="J632" s="476">
        <v>10598</v>
      </c>
      <c r="K632" s="476">
        <v>10602</v>
      </c>
    </row>
    <row r="633" spans="1:11">
      <c r="A633" s="479">
        <v>6728.9</v>
      </c>
      <c r="B633" s="476">
        <v>10607</v>
      </c>
      <c r="C633" s="476">
        <v>10611</v>
      </c>
      <c r="D633" s="476">
        <v>10615</v>
      </c>
      <c r="E633" s="476">
        <v>10620</v>
      </c>
      <c r="F633" s="476">
        <v>10624</v>
      </c>
      <c r="G633" s="476">
        <v>10629</v>
      </c>
      <c r="H633" s="476">
        <v>10633</v>
      </c>
      <c r="I633" s="476">
        <v>10637</v>
      </c>
      <c r="J633" s="476">
        <v>10642</v>
      </c>
      <c r="K633" s="476">
        <v>10646</v>
      </c>
    </row>
    <row r="634" spans="1:11">
      <c r="A634" s="479">
        <v>6729</v>
      </c>
      <c r="B634" s="476">
        <v>10650</v>
      </c>
      <c r="C634" s="476">
        <v>10655</v>
      </c>
      <c r="D634" s="476">
        <v>10659</v>
      </c>
      <c r="E634" s="476">
        <v>10664</v>
      </c>
      <c r="F634" s="476">
        <v>10668</v>
      </c>
      <c r="G634" s="476">
        <v>10672</v>
      </c>
      <c r="H634" s="476">
        <v>10677</v>
      </c>
      <c r="I634" s="476">
        <v>10681</v>
      </c>
      <c r="J634" s="476">
        <v>10686</v>
      </c>
      <c r="K634" s="476">
        <v>10690</v>
      </c>
    </row>
    <row r="635" spans="1:11">
      <c r="A635" s="479">
        <v>6729.1</v>
      </c>
      <c r="B635" s="476">
        <v>10695</v>
      </c>
      <c r="C635" s="476">
        <v>10699</v>
      </c>
      <c r="D635" s="476">
        <v>10703</v>
      </c>
      <c r="E635" s="476">
        <v>10708</v>
      </c>
      <c r="F635" s="476">
        <v>10712</v>
      </c>
      <c r="G635" s="476">
        <v>10717</v>
      </c>
      <c r="H635" s="476">
        <v>10721</v>
      </c>
      <c r="I635" s="476">
        <v>10726</v>
      </c>
      <c r="J635" s="476">
        <v>10730</v>
      </c>
      <c r="K635" s="476">
        <v>10734</v>
      </c>
    </row>
    <row r="636" spans="1:11">
      <c r="A636" s="479">
        <v>6729.2</v>
      </c>
      <c r="B636" s="476">
        <v>10739</v>
      </c>
      <c r="C636" s="476">
        <v>10743</v>
      </c>
      <c r="D636" s="476">
        <v>10748</v>
      </c>
      <c r="E636" s="476">
        <v>10752</v>
      </c>
      <c r="F636" s="476">
        <v>10757</v>
      </c>
      <c r="G636" s="476">
        <v>10761</v>
      </c>
      <c r="H636" s="476">
        <v>10765</v>
      </c>
      <c r="I636" s="476">
        <v>10770</v>
      </c>
      <c r="J636" s="476">
        <v>10774</v>
      </c>
      <c r="K636" s="476">
        <v>10779</v>
      </c>
    </row>
    <row r="637" spans="1:11">
      <c r="A637" s="479">
        <v>6729.3</v>
      </c>
      <c r="B637" s="476">
        <v>10783</v>
      </c>
      <c r="C637" s="476">
        <v>10787</v>
      </c>
      <c r="D637" s="476">
        <v>10792</v>
      </c>
      <c r="E637" s="476">
        <v>10796</v>
      </c>
      <c r="F637" s="476">
        <v>10801</v>
      </c>
      <c r="G637" s="476">
        <v>10805</v>
      </c>
      <c r="H637" s="476">
        <v>10810</v>
      </c>
      <c r="I637" s="476">
        <v>10814</v>
      </c>
      <c r="J637" s="476">
        <v>10818</v>
      </c>
      <c r="K637" s="476">
        <v>10823</v>
      </c>
    </row>
    <row r="638" spans="1:11">
      <c r="A638" s="479">
        <v>6729.4</v>
      </c>
      <c r="B638" s="476">
        <v>10827</v>
      </c>
      <c r="C638" s="476">
        <v>10832</v>
      </c>
      <c r="D638" s="476">
        <v>10836</v>
      </c>
      <c r="E638" s="476">
        <v>10841</v>
      </c>
      <c r="F638" s="476">
        <v>10845</v>
      </c>
      <c r="G638" s="476">
        <v>10849</v>
      </c>
      <c r="H638" s="476">
        <v>10854</v>
      </c>
      <c r="I638" s="476">
        <v>10858</v>
      </c>
      <c r="J638" s="476">
        <v>10863</v>
      </c>
      <c r="K638" s="476">
        <v>10867</v>
      </c>
    </row>
    <row r="639" spans="1:11">
      <c r="A639" s="479">
        <v>6729.5</v>
      </c>
      <c r="B639" s="476">
        <v>10871</v>
      </c>
      <c r="C639" s="476">
        <v>10876</v>
      </c>
      <c r="D639" s="476">
        <v>10880</v>
      </c>
      <c r="E639" s="476">
        <v>10885</v>
      </c>
      <c r="F639" s="476">
        <v>10889</v>
      </c>
      <c r="G639" s="476">
        <v>10894</v>
      </c>
      <c r="H639" s="476">
        <v>10898</v>
      </c>
      <c r="I639" s="476">
        <v>10902</v>
      </c>
      <c r="J639" s="476">
        <v>10907</v>
      </c>
      <c r="K639" s="476">
        <v>10911</v>
      </c>
    </row>
    <row r="640" spans="1:11">
      <c r="A640" s="479">
        <v>6729.6</v>
      </c>
      <c r="B640" s="476">
        <v>10916</v>
      </c>
      <c r="C640" s="476">
        <v>10920</v>
      </c>
      <c r="D640" s="476">
        <v>10925</v>
      </c>
      <c r="E640" s="476">
        <v>10929</v>
      </c>
      <c r="F640" s="476">
        <v>10933</v>
      </c>
      <c r="G640" s="476">
        <v>10938</v>
      </c>
      <c r="H640" s="476">
        <v>10942</v>
      </c>
      <c r="I640" s="476">
        <v>10947</v>
      </c>
      <c r="J640" s="476">
        <v>10951</v>
      </c>
      <c r="K640" s="476">
        <v>10955</v>
      </c>
    </row>
    <row r="641" spans="1:11">
      <c r="A641" s="479">
        <v>6729.7</v>
      </c>
      <c r="B641" s="476">
        <v>10960</v>
      </c>
      <c r="C641" s="476">
        <v>10964</v>
      </c>
      <c r="D641" s="476">
        <v>10969</v>
      </c>
      <c r="E641" s="476">
        <v>10973</v>
      </c>
      <c r="F641" s="476">
        <v>10978</v>
      </c>
      <c r="G641" s="476">
        <v>10982</v>
      </c>
      <c r="H641" s="476">
        <v>10986</v>
      </c>
      <c r="I641" s="476">
        <v>10991</v>
      </c>
      <c r="J641" s="476">
        <v>10995</v>
      </c>
      <c r="K641" s="476">
        <v>11000</v>
      </c>
    </row>
    <row r="642" spans="1:11">
      <c r="A642" s="479">
        <v>6729.8</v>
      </c>
      <c r="B642" s="476">
        <v>11004</v>
      </c>
      <c r="C642" s="476">
        <v>11009</v>
      </c>
      <c r="D642" s="476">
        <v>11013</v>
      </c>
      <c r="E642" s="476">
        <v>11017</v>
      </c>
      <c r="F642" s="476">
        <v>11022</v>
      </c>
      <c r="G642" s="476">
        <v>11026</v>
      </c>
      <c r="H642" s="476">
        <v>11031</v>
      </c>
      <c r="I642" s="476">
        <v>11035</v>
      </c>
      <c r="J642" s="476">
        <v>11039</v>
      </c>
      <c r="K642" s="476">
        <v>11044</v>
      </c>
    </row>
    <row r="643" spans="1:11">
      <c r="A643" s="479">
        <v>6729.9</v>
      </c>
      <c r="B643" s="476">
        <v>11048</v>
      </c>
      <c r="C643" s="476">
        <v>11053</v>
      </c>
      <c r="D643" s="476">
        <v>11057</v>
      </c>
      <c r="E643" s="476">
        <v>11062</v>
      </c>
      <c r="F643" s="476">
        <v>11066</v>
      </c>
      <c r="G643" s="476">
        <v>11070</v>
      </c>
      <c r="H643" s="476">
        <v>11075</v>
      </c>
      <c r="I643" s="476">
        <v>11079</v>
      </c>
      <c r="J643" s="476">
        <v>11084</v>
      </c>
      <c r="K643" s="476">
        <v>11088</v>
      </c>
    </row>
    <row r="644" spans="1:11">
      <c r="A644" s="479">
        <v>6730</v>
      </c>
      <c r="B644" s="476">
        <v>11093</v>
      </c>
      <c r="C644" s="476">
        <v>11097</v>
      </c>
      <c r="D644" s="476">
        <v>11101</v>
      </c>
      <c r="E644" s="476">
        <v>11106</v>
      </c>
      <c r="F644" s="476">
        <v>11110</v>
      </c>
      <c r="G644" s="476">
        <v>11115</v>
      </c>
      <c r="H644" s="476">
        <v>11119</v>
      </c>
      <c r="I644" s="476">
        <v>11124</v>
      </c>
      <c r="J644" s="476">
        <v>11128</v>
      </c>
      <c r="K644" s="476">
        <v>11133</v>
      </c>
    </row>
    <row r="645" spans="1:11">
      <c r="A645" s="479">
        <v>6730.1</v>
      </c>
      <c r="B645" s="476">
        <v>11137</v>
      </c>
      <c r="C645" s="476">
        <v>11142</v>
      </c>
      <c r="D645" s="476">
        <v>11146</v>
      </c>
      <c r="E645" s="476">
        <v>11151</v>
      </c>
      <c r="F645" s="476">
        <v>11155</v>
      </c>
      <c r="G645" s="476">
        <v>11160</v>
      </c>
      <c r="H645" s="476">
        <v>11164</v>
      </c>
      <c r="I645" s="476">
        <v>11169</v>
      </c>
      <c r="J645" s="476">
        <v>11173</v>
      </c>
      <c r="K645" s="476">
        <v>11178</v>
      </c>
    </row>
    <row r="646" spans="1:11">
      <c r="A646" s="479">
        <v>6730.2</v>
      </c>
      <c r="B646" s="476">
        <v>11182</v>
      </c>
      <c r="C646" s="476">
        <v>11187</v>
      </c>
      <c r="D646" s="476">
        <v>11191</v>
      </c>
      <c r="E646" s="476">
        <v>11196</v>
      </c>
      <c r="F646" s="476">
        <v>11200</v>
      </c>
      <c r="G646" s="476">
        <v>11204</v>
      </c>
      <c r="H646" s="476">
        <v>11209</v>
      </c>
      <c r="I646" s="476">
        <v>11213</v>
      </c>
      <c r="J646" s="476">
        <v>11218</v>
      </c>
      <c r="K646" s="476">
        <v>11222</v>
      </c>
    </row>
    <row r="647" spans="1:11">
      <c r="A647" s="479">
        <v>6730.3</v>
      </c>
      <c r="B647" s="476">
        <v>11227</v>
      </c>
      <c r="C647" s="476">
        <v>11231</v>
      </c>
      <c r="D647" s="476">
        <v>11236</v>
      </c>
      <c r="E647" s="476">
        <v>11240</v>
      </c>
      <c r="F647" s="476">
        <v>11245</v>
      </c>
      <c r="G647" s="476">
        <v>11249</v>
      </c>
      <c r="H647" s="476">
        <v>11254</v>
      </c>
      <c r="I647" s="476">
        <v>11258</v>
      </c>
      <c r="J647" s="476">
        <v>11263</v>
      </c>
      <c r="K647" s="476">
        <v>11267</v>
      </c>
    </row>
    <row r="648" spans="1:11">
      <c r="A648" s="479">
        <v>6730.4</v>
      </c>
      <c r="B648" s="476">
        <v>11272</v>
      </c>
      <c r="C648" s="476">
        <v>11276</v>
      </c>
      <c r="D648" s="476">
        <v>11281</v>
      </c>
      <c r="E648" s="476">
        <v>11285</v>
      </c>
      <c r="F648" s="476">
        <v>11290</v>
      </c>
      <c r="G648" s="476">
        <v>11294</v>
      </c>
      <c r="H648" s="476">
        <v>11299</v>
      </c>
      <c r="I648" s="476">
        <v>11303</v>
      </c>
      <c r="J648" s="476">
        <v>11307</v>
      </c>
      <c r="K648" s="476">
        <v>11312</v>
      </c>
    </row>
    <row r="649" spans="1:11">
      <c r="A649" s="479">
        <v>6730.5</v>
      </c>
      <c r="B649" s="476">
        <v>11316</v>
      </c>
      <c r="C649" s="476">
        <v>11321</v>
      </c>
      <c r="D649" s="476">
        <v>11325</v>
      </c>
      <c r="E649" s="476">
        <v>11330</v>
      </c>
      <c r="F649" s="476">
        <v>11334</v>
      </c>
      <c r="G649" s="476">
        <v>11339</v>
      </c>
      <c r="H649" s="476">
        <v>11343</v>
      </c>
      <c r="I649" s="476">
        <v>11348</v>
      </c>
      <c r="J649" s="476">
        <v>11352</v>
      </c>
      <c r="K649" s="476">
        <v>11357</v>
      </c>
    </row>
    <row r="650" spans="1:11">
      <c r="A650" s="479">
        <v>6730.6</v>
      </c>
      <c r="B650" s="476">
        <v>11361</v>
      </c>
      <c r="C650" s="476">
        <v>11366</v>
      </c>
      <c r="D650" s="476">
        <v>11370</v>
      </c>
      <c r="E650" s="476">
        <v>11375</v>
      </c>
      <c r="F650" s="476">
        <v>11379</v>
      </c>
      <c r="G650" s="476">
        <v>11384</v>
      </c>
      <c r="H650" s="476">
        <v>11388</v>
      </c>
      <c r="I650" s="476">
        <v>11393</v>
      </c>
      <c r="J650" s="476">
        <v>11397</v>
      </c>
      <c r="K650" s="476">
        <v>11402</v>
      </c>
    </row>
    <row r="651" spans="1:11">
      <c r="A651" s="479">
        <v>6730.7</v>
      </c>
      <c r="B651" s="476">
        <v>11406</v>
      </c>
      <c r="C651" s="476">
        <v>11410</v>
      </c>
      <c r="D651" s="476">
        <v>11415</v>
      </c>
      <c r="E651" s="476">
        <v>11419</v>
      </c>
      <c r="F651" s="476">
        <v>11424</v>
      </c>
      <c r="G651" s="476">
        <v>11428</v>
      </c>
      <c r="H651" s="476">
        <v>11433</v>
      </c>
      <c r="I651" s="476">
        <v>11437</v>
      </c>
      <c r="J651" s="476">
        <v>11442</v>
      </c>
      <c r="K651" s="476">
        <v>11446</v>
      </c>
    </row>
    <row r="652" spans="1:11">
      <c r="A652" s="479">
        <v>6730.8</v>
      </c>
      <c r="B652" s="476">
        <v>11451</v>
      </c>
      <c r="C652" s="476">
        <v>11455</v>
      </c>
      <c r="D652" s="476">
        <v>11460</v>
      </c>
      <c r="E652" s="476">
        <v>11464</v>
      </c>
      <c r="F652" s="476">
        <v>11469</v>
      </c>
      <c r="G652" s="476">
        <v>11473</v>
      </c>
      <c r="H652" s="476">
        <v>11478</v>
      </c>
      <c r="I652" s="476">
        <v>11482</v>
      </c>
      <c r="J652" s="476">
        <v>11487</v>
      </c>
      <c r="K652" s="476">
        <v>11491</v>
      </c>
    </row>
    <row r="653" spans="1:11">
      <c r="A653" s="479">
        <v>6730.9</v>
      </c>
      <c r="B653" s="476">
        <v>11496</v>
      </c>
      <c r="C653" s="476">
        <v>11500</v>
      </c>
      <c r="D653" s="476">
        <v>11505</v>
      </c>
      <c r="E653" s="476">
        <v>11509</v>
      </c>
      <c r="F653" s="476">
        <v>11513</v>
      </c>
      <c r="G653" s="476">
        <v>11518</v>
      </c>
      <c r="H653" s="476">
        <v>11522</v>
      </c>
      <c r="I653" s="476">
        <v>11527</v>
      </c>
      <c r="J653" s="476">
        <v>11531</v>
      </c>
      <c r="K653" s="476">
        <v>11536</v>
      </c>
    </row>
    <row r="654" spans="1:11">
      <c r="A654" s="479">
        <v>6731</v>
      </c>
      <c r="B654" s="476">
        <v>11540</v>
      </c>
      <c r="C654" s="476">
        <v>11545</v>
      </c>
      <c r="D654" s="476">
        <v>11549</v>
      </c>
      <c r="E654" s="476">
        <v>11554</v>
      </c>
      <c r="F654" s="476">
        <v>11558</v>
      </c>
      <c r="G654" s="476">
        <v>11563</v>
      </c>
      <c r="H654" s="476">
        <v>11568</v>
      </c>
      <c r="I654" s="476">
        <v>11572</v>
      </c>
      <c r="J654" s="476">
        <v>11577</v>
      </c>
      <c r="K654" s="476">
        <v>11581</v>
      </c>
    </row>
    <row r="655" spans="1:11">
      <c r="A655" s="479">
        <v>6731.1</v>
      </c>
      <c r="B655" s="476">
        <v>11586</v>
      </c>
      <c r="C655" s="476">
        <v>11590</v>
      </c>
      <c r="D655" s="476">
        <v>11595</v>
      </c>
      <c r="E655" s="476">
        <v>11599</v>
      </c>
      <c r="F655" s="476">
        <v>11604</v>
      </c>
      <c r="G655" s="476">
        <v>11608</v>
      </c>
      <c r="H655" s="476">
        <v>11613</v>
      </c>
      <c r="I655" s="476">
        <v>11617</v>
      </c>
      <c r="J655" s="476">
        <v>11622</v>
      </c>
      <c r="K655" s="476">
        <v>11626</v>
      </c>
    </row>
    <row r="656" spans="1:11">
      <c r="A656" s="479">
        <v>6731.2</v>
      </c>
      <c r="B656" s="476">
        <v>11631</v>
      </c>
      <c r="C656" s="476">
        <v>11636</v>
      </c>
      <c r="D656" s="476">
        <v>11640</v>
      </c>
      <c r="E656" s="476">
        <v>11645</v>
      </c>
      <c r="F656" s="476">
        <v>11649</v>
      </c>
      <c r="G656" s="476">
        <v>11654</v>
      </c>
      <c r="H656" s="476">
        <v>11658</v>
      </c>
      <c r="I656" s="476">
        <v>11663</v>
      </c>
      <c r="J656" s="476">
        <v>11667</v>
      </c>
      <c r="K656" s="476">
        <v>11672</v>
      </c>
    </row>
    <row r="657" spans="1:11">
      <c r="A657" s="479">
        <v>6731.3</v>
      </c>
      <c r="B657" s="476">
        <v>11676</v>
      </c>
      <c r="C657" s="476">
        <v>11681</v>
      </c>
      <c r="D657" s="476">
        <v>11685</v>
      </c>
      <c r="E657" s="476">
        <v>11690</v>
      </c>
      <c r="F657" s="476">
        <v>11694</v>
      </c>
      <c r="G657" s="476">
        <v>11699</v>
      </c>
      <c r="H657" s="476">
        <v>11704</v>
      </c>
      <c r="I657" s="476">
        <v>11708</v>
      </c>
      <c r="J657" s="476">
        <v>11713</v>
      </c>
      <c r="K657" s="476">
        <v>11717</v>
      </c>
    </row>
    <row r="658" spans="1:11">
      <c r="A658" s="479">
        <v>6731.4</v>
      </c>
      <c r="B658" s="476">
        <v>11722</v>
      </c>
      <c r="C658" s="476">
        <v>11726</v>
      </c>
      <c r="D658" s="476">
        <v>11731</v>
      </c>
      <c r="E658" s="476">
        <v>11735</v>
      </c>
      <c r="F658" s="476">
        <v>11740</v>
      </c>
      <c r="G658" s="476">
        <v>11744</v>
      </c>
      <c r="H658" s="476">
        <v>11749</v>
      </c>
      <c r="I658" s="476">
        <v>11753</v>
      </c>
      <c r="J658" s="476">
        <v>11758</v>
      </c>
      <c r="K658" s="476">
        <v>11762</v>
      </c>
    </row>
    <row r="659" spans="1:11">
      <c r="A659" s="479">
        <v>6731.5</v>
      </c>
      <c r="B659" s="476">
        <v>11767</v>
      </c>
      <c r="C659" s="476">
        <v>11772</v>
      </c>
      <c r="D659" s="476">
        <v>11776</v>
      </c>
      <c r="E659" s="476">
        <v>11781</v>
      </c>
      <c r="F659" s="476">
        <v>11785</v>
      </c>
      <c r="G659" s="476">
        <v>11790</v>
      </c>
      <c r="H659" s="476">
        <v>11794</v>
      </c>
      <c r="I659" s="476">
        <v>11799</v>
      </c>
      <c r="J659" s="476">
        <v>11803</v>
      </c>
      <c r="K659" s="476">
        <v>11808</v>
      </c>
    </row>
    <row r="660" spans="1:11">
      <c r="A660" s="479">
        <v>6731.6</v>
      </c>
      <c r="B660" s="476">
        <v>11812</v>
      </c>
      <c r="C660" s="476">
        <v>11817</v>
      </c>
      <c r="D660" s="476">
        <v>11821</v>
      </c>
      <c r="E660" s="476">
        <v>11826</v>
      </c>
      <c r="F660" s="476">
        <v>11830</v>
      </c>
      <c r="G660" s="476">
        <v>11835</v>
      </c>
      <c r="H660" s="476">
        <v>11840</v>
      </c>
      <c r="I660" s="476">
        <v>11844</v>
      </c>
      <c r="J660" s="476">
        <v>11849</v>
      </c>
      <c r="K660" s="476">
        <v>11853</v>
      </c>
    </row>
    <row r="661" spans="1:11">
      <c r="A661" s="479">
        <v>6731.7</v>
      </c>
      <c r="B661" s="476">
        <v>11858</v>
      </c>
      <c r="C661" s="476">
        <v>11862</v>
      </c>
      <c r="D661" s="476">
        <v>11867</v>
      </c>
      <c r="E661" s="476">
        <v>11871</v>
      </c>
      <c r="F661" s="476">
        <v>11876</v>
      </c>
      <c r="G661" s="476">
        <v>11880</v>
      </c>
      <c r="H661" s="476">
        <v>11885</v>
      </c>
      <c r="I661" s="476">
        <v>11889</v>
      </c>
      <c r="J661" s="476">
        <v>11894</v>
      </c>
      <c r="K661" s="476">
        <v>11898</v>
      </c>
    </row>
    <row r="662" spans="1:11">
      <c r="A662" s="479">
        <v>6731.8</v>
      </c>
      <c r="B662" s="476">
        <v>11903</v>
      </c>
      <c r="C662" s="476">
        <v>11908</v>
      </c>
      <c r="D662" s="476">
        <v>11912</v>
      </c>
      <c r="E662" s="476">
        <v>11917</v>
      </c>
      <c r="F662" s="476">
        <v>11921</v>
      </c>
      <c r="G662" s="476">
        <v>11926</v>
      </c>
      <c r="H662" s="476">
        <v>11930</v>
      </c>
      <c r="I662" s="476">
        <v>11935</v>
      </c>
      <c r="J662" s="476">
        <v>11939</v>
      </c>
      <c r="K662" s="476">
        <v>11944</v>
      </c>
    </row>
    <row r="663" spans="1:11">
      <c r="A663" s="479">
        <v>6731.9</v>
      </c>
      <c r="B663" s="476">
        <v>11948</v>
      </c>
      <c r="C663" s="476">
        <v>11953</v>
      </c>
      <c r="D663" s="476">
        <v>11957</v>
      </c>
      <c r="E663" s="476">
        <v>11962</v>
      </c>
      <c r="F663" s="476">
        <v>11967</v>
      </c>
      <c r="G663" s="476">
        <v>11971</v>
      </c>
      <c r="H663" s="476">
        <v>11976</v>
      </c>
      <c r="I663" s="476">
        <v>11980</v>
      </c>
      <c r="J663" s="476">
        <v>11985</v>
      </c>
      <c r="K663" s="476">
        <v>11989</v>
      </c>
    </row>
    <row r="664" spans="1:11">
      <c r="A664" s="479">
        <v>6732</v>
      </c>
      <c r="B664" s="476">
        <v>11994</v>
      </c>
      <c r="C664" s="476">
        <v>11998</v>
      </c>
      <c r="D664" s="476">
        <v>12003</v>
      </c>
      <c r="E664" s="476">
        <v>12007</v>
      </c>
      <c r="F664" s="476">
        <v>12012</v>
      </c>
      <c r="G664" s="476">
        <v>12017</v>
      </c>
      <c r="H664" s="476">
        <v>12021</v>
      </c>
      <c r="I664" s="476">
        <v>12026</v>
      </c>
      <c r="J664" s="476">
        <v>12030</v>
      </c>
      <c r="K664" s="476">
        <v>12035</v>
      </c>
    </row>
    <row r="665" spans="1:11">
      <c r="A665" s="479">
        <v>6732.1</v>
      </c>
      <c r="B665" s="476">
        <v>12040</v>
      </c>
      <c r="C665" s="476">
        <v>12044</v>
      </c>
      <c r="D665" s="476">
        <v>12049</v>
      </c>
      <c r="E665" s="476">
        <v>12053</v>
      </c>
      <c r="F665" s="476">
        <v>12058</v>
      </c>
      <c r="G665" s="476">
        <v>12063</v>
      </c>
      <c r="H665" s="476">
        <v>12067</v>
      </c>
      <c r="I665" s="476">
        <v>12072</v>
      </c>
      <c r="J665" s="476">
        <v>12076</v>
      </c>
      <c r="K665" s="476">
        <v>12081</v>
      </c>
    </row>
    <row r="666" spans="1:11">
      <c r="A666" s="479">
        <v>6732.2</v>
      </c>
      <c r="B666" s="476">
        <v>12085</v>
      </c>
      <c r="C666" s="476">
        <v>12090</v>
      </c>
      <c r="D666" s="476">
        <v>12095</v>
      </c>
      <c r="E666" s="476">
        <v>12099</v>
      </c>
      <c r="F666" s="476">
        <v>12104</v>
      </c>
      <c r="G666" s="476">
        <v>12108</v>
      </c>
      <c r="H666" s="476">
        <v>12113</v>
      </c>
      <c r="I666" s="476">
        <v>12118</v>
      </c>
      <c r="J666" s="476">
        <v>12122</v>
      </c>
      <c r="K666" s="476">
        <v>12127</v>
      </c>
    </row>
    <row r="667" spans="1:11">
      <c r="A667" s="479">
        <v>6732.3</v>
      </c>
      <c r="B667" s="476">
        <v>12131</v>
      </c>
      <c r="C667" s="476">
        <v>12136</v>
      </c>
      <c r="D667" s="476">
        <v>12141</v>
      </c>
      <c r="E667" s="476">
        <v>12145</v>
      </c>
      <c r="F667" s="476">
        <v>12150</v>
      </c>
      <c r="G667" s="476">
        <v>12154</v>
      </c>
      <c r="H667" s="476">
        <v>12159</v>
      </c>
      <c r="I667" s="476">
        <v>12163</v>
      </c>
      <c r="J667" s="476">
        <v>12168</v>
      </c>
      <c r="K667" s="476">
        <v>12173</v>
      </c>
    </row>
    <row r="668" spans="1:11">
      <c r="A668" s="479">
        <v>6732.4</v>
      </c>
      <c r="B668" s="476">
        <v>12177</v>
      </c>
      <c r="C668" s="476">
        <v>12182</v>
      </c>
      <c r="D668" s="476">
        <v>12186</v>
      </c>
      <c r="E668" s="476">
        <v>12191</v>
      </c>
      <c r="F668" s="476">
        <v>12196</v>
      </c>
      <c r="G668" s="476">
        <v>12200</v>
      </c>
      <c r="H668" s="476">
        <v>12205</v>
      </c>
      <c r="I668" s="476">
        <v>12209</v>
      </c>
      <c r="J668" s="476">
        <v>12214</v>
      </c>
      <c r="K668" s="476">
        <v>12219</v>
      </c>
    </row>
    <row r="669" spans="1:11">
      <c r="A669" s="479">
        <v>6732.5</v>
      </c>
      <c r="B669" s="476">
        <v>12223</v>
      </c>
      <c r="C669" s="476">
        <v>12228</v>
      </c>
      <c r="D669" s="476">
        <v>12232</v>
      </c>
      <c r="E669" s="476">
        <v>12237</v>
      </c>
      <c r="F669" s="476">
        <v>12241</v>
      </c>
      <c r="G669" s="476">
        <v>12246</v>
      </c>
      <c r="H669" s="476">
        <v>12251</v>
      </c>
      <c r="I669" s="476">
        <v>12255</v>
      </c>
      <c r="J669" s="476">
        <v>12260</v>
      </c>
      <c r="K669" s="476">
        <v>12264</v>
      </c>
    </row>
    <row r="670" spans="1:11">
      <c r="A670" s="479">
        <v>6732.6</v>
      </c>
      <c r="B670" s="476">
        <v>12269</v>
      </c>
      <c r="C670" s="476">
        <v>12274</v>
      </c>
      <c r="D670" s="476">
        <v>12278</v>
      </c>
      <c r="E670" s="476">
        <v>12283</v>
      </c>
      <c r="F670" s="476">
        <v>12287</v>
      </c>
      <c r="G670" s="476">
        <v>12292</v>
      </c>
      <c r="H670" s="476">
        <v>12296</v>
      </c>
      <c r="I670" s="476">
        <v>12301</v>
      </c>
      <c r="J670" s="476">
        <v>12306</v>
      </c>
      <c r="K670" s="476">
        <v>12310</v>
      </c>
    </row>
    <row r="671" spans="1:11">
      <c r="A671" s="479">
        <v>6732.7</v>
      </c>
      <c r="B671" s="476">
        <v>12315</v>
      </c>
      <c r="C671" s="476">
        <v>12319</v>
      </c>
      <c r="D671" s="476">
        <v>12324</v>
      </c>
      <c r="E671" s="476">
        <v>12329</v>
      </c>
      <c r="F671" s="476">
        <v>12333</v>
      </c>
      <c r="G671" s="476">
        <v>12338</v>
      </c>
      <c r="H671" s="476">
        <v>12342</v>
      </c>
      <c r="I671" s="476">
        <v>12347</v>
      </c>
      <c r="J671" s="476">
        <v>12352</v>
      </c>
      <c r="K671" s="476">
        <v>12356</v>
      </c>
    </row>
    <row r="672" spans="1:11">
      <c r="A672" s="479">
        <v>6732.8</v>
      </c>
      <c r="B672" s="476">
        <v>12361</v>
      </c>
      <c r="C672" s="476">
        <v>12365</v>
      </c>
      <c r="D672" s="476">
        <v>12370</v>
      </c>
      <c r="E672" s="476">
        <v>12374</v>
      </c>
      <c r="F672" s="476">
        <v>12379</v>
      </c>
      <c r="G672" s="476">
        <v>12384</v>
      </c>
      <c r="H672" s="476">
        <v>12388</v>
      </c>
      <c r="I672" s="476">
        <v>12393</v>
      </c>
      <c r="J672" s="476">
        <v>12397</v>
      </c>
      <c r="K672" s="476">
        <v>12402</v>
      </c>
    </row>
    <row r="673" spans="1:11">
      <c r="A673" s="479">
        <v>6732.9</v>
      </c>
      <c r="B673" s="476">
        <v>12407</v>
      </c>
      <c r="C673" s="476">
        <v>12411</v>
      </c>
      <c r="D673" s="476">
        <v>12416</v>
      </c>
      <c r="E673" s="476">
        <v>12420</v>
      </c>
      <c r="F673" s="476">
        <v>12425</v>
      </c>
      <c r="G673" s="476">
        <v>12430</v>
      </c>
      <c r="H673" s="476">
        <v>12434</v>
      </c>
      <c r="I673" s="476">
        <v>12439</v>
      </c>
      <c r="J673" s="476">
        <v>12443</v>
      </c>
      <c r="K673" s="476">
        <v>12448</v>
      </c>
    </row>
    <row r="674" spans="1:11">
      <c r="A674" s="479">
        <v>6733</v>
      </c>
      <c r="B674" s="476">
        <v>12452</v>
      </c>
      <c r="C674" s="476">
        <v>12457</v>
      </c>
      <c r="D674" s="476">
        <v>12462</v>
      </c>
      <c r="E674" s="476">
        <v>12466</v>
      </c>
      <c r="F674" s="476">
        <v>12471</v>
      </c>
      <c r="G674" s="476">
        <v>12476</v>
      </c>
      <c r="H674" s="476">
        <v>12480</v>
      </c>
      <c r="I674" s="476">
        <v>12485</v>
      </c>
      <c r="J674" s="476">
        <v>12490</v>
      </c>
      <c r="K674" s="476">
        <v>12494</v>
      </c>
    </row>
    <row r="675" spans="1:11">
      <c r="A675" s="479">
        <v>6733.1</v>
      </c>
      <c r="B675" s="476">
        <v>12499</v>
      </c>
      <c r="C675" s="476">
        <v>12504</v>
      </c>
      <c r="D675" s="476">
        <v>12508</v>
      </c>
      <c r="E675" s="476">
        <v>12513</v>
      </c>
      <c r="F675" s="476">
        <v>12517</v>
      </c>
      <c r="G675" s="476">
        <v>12522</v>
      </c>
      <c r="H675" s="476">
        <v>12527</v>
      </c>
      <c r="I675" s="476">
        <v>12531</v>
      </c>
      <c r="J675" s="476">
        <v>12536</v>
      </c>
      <c r="K675" s="476">
        <v>12541</v>
      </c>
    </row>
    <row r="676" spans="1:11">
      <c r="A676" s="479">
        <v>6733.2</v>
      </c>
      <c r="B676" s="476">
        <v>12545</v>
      </c>
      <c r="C676" s="476">
        <v>12550</v>
      </c>
      <c r="D676" s="476">
        <v>12555</v>
      </c>
      <c r="E676" s="476">
        <v>12559</v>
      </c>
      <c r="F676" s="476">
        <v>12564</v>
      </c>
      <c r="G676" s="476">
        <v>12569</v>
      </c>
      <c r="H676" s="476">
        <v>12573</v>
      </c>
      <c r="I676" s="476">
        <v>12578</v>
      </c>
      <c r="J676" s="476">
        <v>12582</v>
      </c>
      <c r="K676" s="476">
        <v>12587</v>
      </c>
    </row>
    <row r="677" spans="1:11">
      <c r="A677" s="479">
        <v>6733.3</v>
      </c>
      <c r="B677" s="476">
        <v>12592</v>
      </c>
      <c r="C677" s="476">
        <v>12596</v>
      </c>
      <c r="D677" s="476">
        <v>12601</v>
      </c>
      <c r="E677" s="476">
        <v>12606</v>
      </c>
      <c r="F677" s="476">
        <v>12610</v>
      </c>
      <c r="G677" s="476">
        <v>12615</v>
      </c>
      <c r="H677" s="476">
        <v>12620</v>
      </c>
      <c r="I677" s="476">
        <v>12624</v>
      </c>
      <c r="J677" s="476">
        <v>12629</v>
      </c>
      <c r="K677" s="476">
        <v>12633</v>
      </c>
    </row>
    <row r="678" spans="1:11">
      <c r="A678" s="479">
        <v>6733.4</v>
      </c>
      <c r="B678" s="476">
        <v>12638</v>
      </c>
      <c r="C678" s="476">
        <v>12643</v>
      </c>
      <c r="D678" s="476">
        <v>12647</v>
      </c>
      <c r="E678" s="476">
        <v>12652</v>
      </c>
      <c r="F678" s="476">
        <v>12657</v>
      </c>
      <c r="G678" s="476">
        <v>12661</v>
      </c>
      <c r="H678" s="476">
        <v>12666</v>
      </c>
      <c r="I678" s="476">
        <v>12671</v>
      </c>
      <c r="J678" s="476">
        <v>12675</v>
      </c>
      <c r="K678" s="476">
        <v>12680</v>
      </c>
    </row>
    <row r="679" spans="1:11">
      <c r="A679" s="479">
        <v>6733.5</v>
      </c>
      <c r="B679" s="476">
        <v>12685</v>
      </c>
      <c r="C679" s="476">
        <v>12689</v>
      </c>
      <c r="D679" s="476">
        <v>12694</v>
      </c>
      <c r="E679" s="476">
        <v>12698</v>
      </c>
      <c r="F679" s="476">
        <v>12703</v>
      </c>
      <c r="G679" s="476">
        <v>12708</v>
      </c>
      <c r="H679" s="476">
        <v>12712</v>
      </c>
      <c r="I679" s="476">
        <v>12717</v>
      </c>
      <c r="J679" s="476">
        <v>12722</v>
      </c>
      <c r="K679" s="476">
        <v>12726</v>
      </c>
    </row>
    <row r="680" spans="1:11">
      <c r="A680" s="479">
        <v>6733.6</v>
      </c>
      <c r="B680" s="476">
        <v>12731</v>
      </c>
      <c r="C680" s="476">
        <v>12736</v>
      </c>
      <c r="D680" s="476">
        <v>12740</v>
      </c>
      <c r="E680" s="476">
        <v>12745</v>
      </c>
      <c r="F680" s="476">
        <v>12750</v>
      </c>
      <c r="G680" s="476">
        <v>12754</v>
      </c>
      <c r="H680" s="476">
        <v>12759</v>
      </c>
      <c r="I680" s="476">
        <v>12763</v>
      </c>
      <c r="J680" s="476">
        <v>12768</v>
      </c>
      <c r="K680" s="476">
        <v>12773</v>
      </c>
    </row>
    <row r="681" spans="1:11">
      <c r="A681" s="479">
        <v>6733.7</v>
      </c>
      <c r="B681" s="476">
        <v>12777</v>
      </c>
      <c r="C681" s="476">
        <v>12782</v>
      </c>
      <c r="D681" s="476">
        <v>12787</v>
      </c>
      <c r="E681" s="476">
        <v>12791</v>
      </c>
      <c r="F681" s="476">
        <v>12796</v>
      </c>
      <c r="G681" s="476">
        <v>12801</v>
      </c>
      <c r="H681" s="476">
        <v>12805</v>
      </c>
      <c r="I681" s="476">
        <v>12810</v>
      </c>
      <c r="J681" s="476">
        <v>12814</v>
      </c>
      <c r="K681" s="476">
        <v>12819</v>
      </c>
    </row>
    <row r="682" spans="1:11">
      <c r="A682" s="479">
        <v>6733.8</v>
      </c>
      <c r="B682" s="476">
        <v>12824</v>
      </c>
      <c r="C682" s="476">
        <v>12828</v>
      </c>
      <c r="D682" s="476">
        <v>12833</v>
      </c>
      <c r="E682" s="476">
        <v>12838</v>
      </c>
      <c r="F682" s="476">
        <v>12842</v>
      </c>
      <c r="G682" s="476">
        <v>12847</v>
      </c>
      <c r="H682" s="476">
        <v>12852</v>
      </c>
      <c r="I682" s="476">
        <v>12856</v>
      </c>
      <c r="J682" s="476">
        <v>12861</v>
      </c>
      <c r="K682" s="476">
        <v>12866</v>
      </c>
    </row>
    <row r="683" spans="1:11">
      <c r="A683" s="479">
        <v>6733.9</v>
      </c>
      <c r="B683" s="476">
        <v>12870</v>
      </c>
      <c r="C683" s="476">
        <v>12875</v>
      </c>
      <c r="D683" s="476">
        <v>12879</v>
      </c>
      <c r="E683" s="476">
        <v>12884</v>
      </c>
      <c r="F683" s="476">
        <v>12889</v>
      </c>
      <c r="G683" s="476">
        <v>12893</v>
      </c>
      <c r="H683" s="476">
        <v>12898</v>
      </c>
      <c r="I683" s="476">
        <v>12903</v>
      </c>
      <c r="J683" s="476">
        <v>12907</v>
      </c>
      <c r="K683" s="476">
        <v>12912</v>
      </c>
    </row>
    <row r="684" spans="1:11">
      <c r="A684" s="479">
        <v>6734</v>
      </c>
      <c r="B684" s="476">
        <v>12917</v>
      </c>
      <c r="C684" s="476">
        <v>12921</v>
      </c>
      <c r="D684" s="476">
        <v>12926</v>
      </c>
      <c r="E684" s="476">
        <v>12931</v>
      </c>
      <c r="F684" s="476">
        <v>12935</v>
      </c>
      <c r="G684" s="476">
        <v>12940</v>
      </c>
      <c r="H684" s="476">
        <v>12945</v>
      </c>
      <c r="I684" s="476">
        <v>12949</v>
      </c>
      <c r="J684" s="476">
        <v>12954</v>
      </c>
      <c r="K684" s="476">
        <v>12959</v>
      </c>
    </row>
    <row r="685" spans="1:11">
      <c r="A685" s="479">
        <v>6734.1</v>
      </c>
      <c r="B685" s="476">
        <v>12964</v>
      </c>
      <c r="C685" s="476">
        <v>12968</v>
      </c>
      <c r="D685" s="476">
        <v>12973</v>
      </c>
      <c r="E685" s="476">
        <v>12978</v>
      </c>
      <c r="F685" s="476">
        <v>12982</v>
      </c>
      <c r="G685" s="476">
        <v>12987</v>
      </c>
      <c r="H685" s="476">
        <v>12992</v>
      </c>
      <c r="I685" s="476">
        <v>12996</v>
      </c>
      <c r="J685" s="476">
        <v>13001</v>
      </c>
      <c r="K685" s="476">
        <v>13006</v>
      </c>
    </row>
    <row r="686" spans="1:11">
      <c r="A686" s="479">
        <v>6734.2</v>
      </c>
      <c r="B686" s="476">
        <v>13010</v>
      </c>
      <c r="C686" s="476">
        <v>13015</v>
      </c>
      <c r="D686" s="476">
        <v>13020</v>
      </c>
      <c r="E686" s="476">
        <v>13025</v>
      </c>
      <c r="F686" s="476">
        <v>13029</v>
      </c>
      <c r="G686" s="476">
        <v>13034</v>
      </c>
      <c r="H686" s="476">
        <v>13039</v>
      </c>
      <c r="I686" s="476">
        <v>13043</v>
      </c>
      <c r="J686" s="476">
        <v>13048</v>
      </c>
      <c r="K686" s="476">
        <v>13053</v>
      </c>
    </row>
    <row r="687" spans="1:11">
      <c r="A687" s="479">
        <v>6734.3</v>
      </c>
      <c r="B687" s="476">
        <v>13057</v>
      </c>
      <c r="C687" s="476">
        <v>13062</v>
      </c>
      <c r="D687" s="476">
        <v>13067</v>
      </c>
      <c r="E687" s="476">
        <v>13071</v>
      </c>
      <c r="F687" s="476">
        <v>13076</v>
      </c>
      <c r="G687" s="476">
        <v>13081</v>
      </c>
      <c r="H687" s="476">
        <v>13086</v>
      </c>
      <c r="I687" s="476">
        <v>13090</v>
      </c>
      <c r="J687" s="476">
        <v>13095</v>
      </c>
      <c r="K687" s="476">
        <v>13100</v>
      </c>
    </row>
    <row r="688" spans="1:11">
      <c r="A688" s="479">
        <v>6734.4</v>
      </c>
      <c r="B688" s="476">
        <v>13104</v>
      </c>
      <c r="C688" s="476">
        <v>13109</v>
      </c>
      <c r="D688" s="476">
        <v>13114</v>
      </c>
      <c r="E688" s="476">
        <v>13118</v>
      </c>
      <c r="F688" s="476">
        <v>13123</v>
      </c>
      <c r="G688" s="476">
        <v>13128</v>
      </c>
      <c r="H688" s="476">
        <v>13132</v>
      </c>
      <c r="I688" s="476">
        <v>13137</v>
      </c>
      <c r="J688" s="476">
        <v>13142</v>
      </c>
      <c r="K688" s="476">
        <v>13147</v>
      </c>
    </row>
    <row r="689" spans="1:11">
      <c r="A689" s="479">
        <v>6734.5</v>
      </c>
      <c r="B689" s="476">
        <v>13151</v>
      </c>
      <c r="C689" s="476">
        <v>13156</v>
      </c>
      <c r="D689" s="476">
        <v>13161</v>
      </c>
      <c r="E689" s="476">
        <v>13165</v>
      </c>
      <c r="F689" s="476">
        <v>13170</v>
      </c>
      <c r="G689" s="476">
        <v>13175</v>
      </c>
      <c r="H689" s="476">
        <v>13179</v>
      </c>
      <c r="I689" s="476">
        <v>13184</v>
      </c>
      <c r="J689" s="476">
        <v>13189</v>
      </c>
      <c r="K689" s="476">
        <v>13193</v>
      </c>
    </row>
    <row r="690" spans="1:11">
      <c r="A690" s="479">
        <v>6734.6</v>
      </c>
      <c r="B690" s="476">
        <v>13198</v>
      </c>
      <c r="C690" s="476">
        <v>13203</v>
      </c>
      <c r="D690" s="476">
        <v>13208</v>
      </c>
      <c r="E690" s="476">
        <v>13212</v>
      </c>
      <c r="F690" s="476">
        <v>13217</v>
      </c>
      <c r="G690" s="476">
        <v>13222</v>
      </c>
      <c r="H690" s="476">
        <v>13226</v>
      </c>
      <c r="I690" s="476">
        <v>13231</v>
      </c>
      <c r="J690" s="476">
        <v>13236</v>
      </c>
      <c r="K690" s="476">
        <v>13240</v>
      </c>
    </row>
    <row r="691" spans="1:11">
      <c r="A691" s="479">
        <v>6734.7</v>
      </c>
      <c r="B691" s="476">
        <v>13245</v>
      </c>
      <c r="C691" s="476">
        <v>13250</v>
      </c>
      <c r="D691" s="476">
        <v>13254</v>
      </c>
      <c r="E691" s="476">
        <v>13259</v>
      </c>
      <c r="F691" s="476">
        <v>13264</v>
      </c>
      <c r="G691" s="476">
        <v>13269</v>
      </c>
      <c r="H691" s="476">
        <v>13273</v>
      </c>
      <c r="I691" s="476">
        <v>13278</v>
      </c>
      <c r="J691" s="476">
        <v>13283</v>
      </c>
      <c r="K691" s="476">
        <v>13287</v>
      </c>
    </row>
    <row r="692" spans="1:11">
      <c r="A692" s="479">
        <v>6734.8</v>
      </c>
      <c r="B692" s="476">
        <v>13292</v>
      </c>
      <c r="C692" s="476">
        <v>13297</v>
      </c>
      <c r="D692" s="476">
        <v>13301</v>
      </c>
      <c r="E692" s="476">
        <v>13306</v>
      </c>
      <c r="F692" s="476">
        <v>13311</v>
      </c>
      <c r="G692" s="476">
        <v>13315</v>
      </c>
      <c r="H692" s="476">
        <v>13320</v>
      </c>
      <c r="I692" s="476">
        <v>13325</v>
      </c>
      <c r="J692" s="476">
        <v>13330</v>
      </c>
      <c r="K692" s="476">
        <v>13334</v>
      </c>
    </row>
    <row r="693" spans="1:11">
      <c r="A693" s="479">
        <v>6734.9</v>
      </c>
      <c r="B693" s="476">
        <v>13339</v>
      </c>
      <c r="C693" s="476">
        <v>13344</v>
      </c>
      <c r="D693" s="476">
        <v>13348</v>
      </c>
      <c r="E693" s="476">
        <v>13353</v>
      </c>
      <c r="F693" s="476">
        <v>13358</v>
      </c>
      <c r="G693" s="476">
        <v>13362</v>
      </c>
      <c r="H693" s="476">
        <v>13367</v>
      </c>
      <c r="I693" s="476">
        <v>13372</v>
      </c>
      <c r="J693" s="476">
        <v>13376</v>
      </c>
      <c r="K693" s="476">
        <v>13381</v>
      </c>
    </row>
    <row r="694" spans="1:11">
      <c r="A694" s="479">
        <v>6735</v>
      </c>
      <c r="B694" s="476">
        <v>13386</v>
      </c>
      <c r="C694" s="476">
        <v>13391</v>
      </c>
      <c r="D694" s="476">
        <v>13395</v>
      </c>
      <c r="E694" s="476">
        <v>13400</v>
      </c>
      <c r="F694" s="476">
        <v>13405</v>
      </c>
      <c r="G694" s="476">
        <v>13410</v>
      </c>
      <c r="H694" s="476">
        <v>13414</v>
      </c>
      <c r="I694" s="476">
        <v>13419</v>
      </c>
      <c r="J694" s="476">
        <v>13424</v>
      </c>
      <c r="K694" s="476">
        <v>13429</v>
      </c>
    </row>
    <row r="695" spans="1:11">
      <c r="A695" s="479">
        <v>6735.1</v>
      </c>
      <c r="B695" s="476">
        <v>13433</v>
      </c>
      <c r="C695" s="476">
        <v>13438</v>
      </c>
      <c r="D695" s="476">
        <v>13443</v>
      </c>
      <c r="E695" s="476">
        <v>13448</v>
      </c>
      <c r="F695" s="476">
        <v>13452</v>
      </c>
      <c r="G695" s="476">
        <v>13457</v>
      </c>
      <c r="H695" s="476">
        <v>13462</v>
      </c>
      <c r="I695" s="476">
        <v>13466</v>
      </c>
      <c r="J695" s="476">
        <v>13471</v>
      </c>
      <c r="K695" s="476">
        <v>13476</v>
      </c>
    </row>
    <row r="696" spans="1:11">
      <c r="A696" s="479">
        <v>6735.2</v>
      </c>
      <c r="B696" s="476">
        <v>13481</v>
      </c>
      <c r="C696" s="476">
        <v>13485</v>
      </c>
      <c r="D696" s="476">
        <v>13490</v>
      </c>
      <c r="E696" s="476">
        <v>13495</v>
      </c>
      <c r="F696" s="476">
        <v>13500</v>
      </c>
      <c r="G696" s="476">
        <v>13504</v>
      </c>
      <c r="H696" s="476">
        <v>13509</v>
      </c>
      <c r="I696" s="476">
        <v>13514</v>
      </c>
      <c r="J696" s="476">
        <v>13519</v>
      </c>
      <c r="K696" s="476">
        <v>13523</v>
      </c>
    </row>
    <row r="697" spans="1:11">
      <c r="A697" s="479">
        <v>6735.3</v>
      </c>
      <c r="B697" s="476">
        <v>13528</v>
      </c>
      <c r="C697" s="476">
        <v>13533</v>
      </c>
      <c r="D697" s="476">
        <v>13538</v>
      </c>
      <c r="E697" s="476">
        <v>13542</v>
      </c>
      <c r="F697" s="476">
        <v>13547</v>
      </c>
      <c r="G697" s="476">
        <v>13552</v>
      </c>
      <c r="H697" s="476">
        <v>13557</v>
      </c>
      <c r="I697" s="476">
        <v>13561</v>
      </c>
      <c r="J697" s="476">
        <v>13566</v>
      </c>
      <c r="K697" s="476">
        <v>13571</v>
      </c>
    </row>
    <row r="698" spans="1:11">
      <c r="A698" s="479">
        <v>6735.4</v>
      </c>
      <c r="B698" s="476">
        <v>13576</v>
      </c>
      <c r="C698" s="476">
        <v>13580</v>
      </c>
      <c r="D698" s="476">
        <v>13585</v>
      </c>
      <c r="E698" s="476">
        <v>13590</v>
      </c>
      <c r="F698" s="476">
        <v>13595</v>
      </c>
      <c r="G698" s="476">
        <v>13599</v>
      </c>
      <c r="H698" s="476">
        <v>13604</v>
      </c>
      <c r="I698" s="476">
        <v>13609</v>
      </c>
      <c r="J698" s="476">
        <v>13614</v>
      </c>
      <c r="K698" s="476">
        <v>13618</v>
      </c>
    </row>
    <row r="699" spans="1:11">
      <c r="A699" s="479">
        <v>6735.5</v>
      </c>
      <c r="B699" s="476">
        <v>13623</v>
      </c>
      <c r="C699" s="476">
        <v>13628</v>
      </c>
      <c r="D699" s="476">
        <v>13633</v>
      </c>
      <c r="E699" s="476">
        <v>13637</v>
      </c>
      <c r="F699" s="476">
        <v>13642</v>
      </c>
      <c r="G699" s="476">
        <v>13647</v>
      </c>
      <c r="H699" s="476">
        <v>13652</v>
      </c>
      <c r="I699" s="476">
        <v>13656</v>
      </c>
      <c r="J699" s="476">
        <v>13661</v>
      </c>
      <c r="K699" s="476">
        <v>13666</v>
      </c>
    </row>
    <row r="700" spans="1:11">
      <c r="A700" s="479">
        <v>6735.6</v>
      </c>
      <c r="B700" s="476">
        <v>13670</v>
      </c>
      <c r="C700" s="476">
        <v>13675</v>
      </c>
      <c r="D700" s="476">
        <v>13680</v>
      </c>
      <c r="E700" s="476">
        <v>13685</v>
      </c>
      <c r="F700" s="476">
        <v>13689</v>
      </c>
      <c r="G700" s="476">
        <v>13694</v>
      </c>
      <c r="H700" s="476">
        <v>13699</v>
      </c>
      <c r="I700" s="476">
        <v>13704</v>
      </c>
      <c r="J700" s="476">
        <v>13708</v>
      </c>
      <c r="K700" s="476">
        <v>13713</v>
      </c>
    </row>
    <row r="701" spans="1:11">
      <c r="A701" s="479">
        <v>6735.7</v>
      </c>
      <c r="B701" s="476">
        <v>13718</v>
      </c>
      <c r="C701" s="476">
        <v>13723</v>
      </c>
      <c r="D701" s="476">
        <v>13727</v>
      </c>
      <c r="E701" s="476">
        <v>13732</v>
      </c>
      <c r="F701" s="476">
        <v>13737</v>
      </c>
      <c r="G701" s="476">
        <v>13742</v>
      </c>
      <c r="H701" s="476">
        <v>13746</v>
      </c>
      <c r="I701" s="476">
        <v>13751</v>
      </c>
      <c r="J701" s="476">
        <v>13756</v>
      </c>
      <c r="K701" s="476">
        <v>13761</v>
      </c>
    </row>
    <row r="702" spans="1:11">
      <c r="A702" s="479">
        <v>6735.8</v>
      </c>
      <c r="B702" s="476">
        <v>13765</v>
      </c>
      <c r="C702" s="476">
        <v>13770</v>
      </c>
      <c r="D702" s="476">
        <v>13775</v>
      </c>
      <c r="E702" s="476">
        <v>13780</v>
      </c>
      <c r="F702" s="476">
        <v>13784</v>
      </c>
      <c r="G702" s="476">
        <v>13789</v>
      </c>
      <c r="H702" s="476">
        <v>13794</v>
      </c>
      <c r="I702" s="476">
        <v>13799</v>
      </c>
      <c r="J702" s="476">
        <v>13803</v>
      </c>
      <c r="K702" s="476">
        <v>13808</v>
      </c>
    </row>
    <row r="703" spans="1:11">
      <c r="A703" s="479">
        <v>6735.9</v>
      </c>
      <c r="B703" s="476">
        <v>13813</v>
      </c>
      <c r="C703" s="476">
        <v>13818</v>
      </c>
      <c r="D703" s="476">
        <v>13822</v>
      </c>
      <c r="E703" s="476">
        <v>13827</v>
      </c>
      <c r="F703" s="476">
        <v>13832</v>
      </c>
      <c r="G703" s="476">
        <v>13837</v>
      </c>
      <c r="H703" s="476">
        <v>13841</v>
      </c>
      <c r="I703" s="476">
        <v>13846</v>
      </c>
      <c r="J703" s="476">
        <v>13851</v>
      </c>
      <c r="K703" s="476">
        <v>13855</v>
      </c>
    </row>
    <row r="704" spans="1:11">
      <c r="A704" s="479">
        <v>6736</v>
      </c>
      <c r="B704" s="476">
        <v>13860</v>
      </c>
      <c r="C704" s="476">
        <v>13865</v>
      </c>
      <c r="D704" s="476">
        <v>13870</v>
      </c>
      <c r="E704" s="476">
        <v>13875</v>
      </c>
      <c r="F704" s="476">
        <v>13879</v>
      </c>
      <c r="G704" s="476">
        <v>13884</v>
      </c>
      <c r="H704" s="476">
        <v>13889</v>
      </c>
      <c r="I704" s="476">
        <v>13894</v>
      </c>
      <c r="J704" s="476">
        <v>13899</v>
      </c>
      <c r="K704" s="476">
        <v>13903</v>
      </c>
    </row>
    <row r="705" spans="1:11">
      <c r="A705" s="479">
        <v>6736.1</v>
      </c>
      <c r="B705" s="476">
        <v>13908</v>
      </c>
      <c r="C705" s="476">
        <v>13913</v>
      </c>
      <c r="D705" s="476">
        <v>13918</v>
      </c>
      <c r="E705" s="476">
        <v>13923</v>
      </c>
      <c r="F705" s="476">
        <v>13927</v>
      </c>
      <c r="G705" s="476">
        <v>13932</v>
      </c>
      <c r="H705" s="476">
        <v>13937</v>
      </c>
      <c r="I705" s="476">
        <v>13942</v>
      </c>
      <c r="J705" s="476">
        <v>13947</v>
      </c>
      <c r="K705" s="476">
        <v>13951</v>
      </c>
    </row>
    <row r="706" spans="1:11">
      <c r="A706" s="479">
        <v>6736.2</v>
      </c>
      <c r="B706" s="476">
        <v>13956</v>
      </c>
      <c r="C706" s="476">
        <v>13961</v>
      </c>
      <c r="D706" s="476">
        <v>13966</v>
      </c>
      <c r="E706" s="476">
        <v>13970</v>
      </c>
      <c r="F706" s="476">
        <v>13975</v>
      </c>
      <c r="G706" s="476">
        <v>13980</v>
      </c>
      <c r="H706" s="476">
        <v>13985</v>
      </c>
      <c r="I706" s="476">
        <v>13990</v>
      </c>
      <c r="J706" s="476">
        <v>13994</v>
      </c>
      <c r="K706" s="476">
        <v>13999</v>
      </c>
    </row>
    <row r="707" spans="1:11">
      <c r="A707" s="479">
        <v>6736.3</v>
      </c>
      <c r="B707" s="476">
        <v>14004</v>
      </c>
      <c r="C707" s="476">
        <v>14009</v>
      </c>
      <c r="D707" s="476">
        <v>14014</v>
      </c>
      <c r="E707" s="476">
        <v>14018</v>
      </c>
      <c r="F707" s="476">
        <v>14023</v>
      </c>
      <c r="G707" s="476">
        <v>14028</v>
      </c>
      <c r="H707" s="476">
        <v>14033</v>
      </c>
      <c r="I707" s="476">
        <v>14038</v>
      </c>
      <c r="J707" s="476">
        <v>14042</v>
      </c>
      <c r="K707" s="476">
        <v>14047</v>
      </c>
    </row>
    <row r="708" spans="1:11">
      <c r="A708" s="479">
        <v>6736.4</v>
      </c>
      <c r="B708" s="476">
        <v>14052</v>
      </c>
      <c r="C708" s="476">
        <v>14057</v>
      </c>
      <c r="D708" s="476">
        <v>14062</v>
      </c>
      <c r="E708" s="476">
        <v>14066</v>
      </c>
      <c r="F708" s="476">
        <v>14071</v>
      </c>
      <c r="G708" s="476">
        <v>14076</v>
      </c>
      <c r="H708" s="476">
        <v>14081</v>
      </c>
      <c r="I708" s="476">
        <v>14086</v>
      </c>
      <c r="J708" s="476">
        <v>14090</v>
      </c>
      <c r="K708" s="476">
        <v>14095</v>
      </c>
    </row>
    <row r="709" spans="1:11">
      <c r="A709" s="479">
        <v>6736.5</v>
      </c>
      <c r="B709" s="476">
        <v>14100</v>
      </c>
      <c r="C709" s="476">
        <v>14105</v>
      </c>
      <c r="D709" s="476">
        <v>14109</v>
      </c>
      <c r="E709" s="476">
        <v>14114</v>
      </c>
      <c r="F709" s="476">
        <v>14119</v>
      </c>
      <c r="G709" s="476">
        <v>14124</v>
      </c>
      <c r="H709" s="476">
        <v>14129</v>
      </c>
      <c r="I709" s="476">
        <v>14133</v>
      </c>
      <c r="J709" s="476">
        <v>14138</v>
      </c>
      <c r="K709" s="476">
        <v>14143</v>
      </c>
    </row>
    <row r="710" spans="1:11">
      <c r="A710" s="479">
        <v>6736.6</v>
      </c>
      <c r="B710" s="476">
        <v>14148</v>
      </c>
      <c r="C710" s="476">
        <v>14153</v>
      </c>
      <c r="D710" s="476">
        <v>14157</v>
      </c>
      <c r="E710" s="476">
        <v>14162</v>
      </c>
      <c r="F710" s="476">
        <v>14167</v>
      </c>
      <c r="G710" s="476">
        <v>14172</v>
      </c>
      <c r="H710" s="476">
        <v>14177</v>
      </c>
      <c r="I710" s="476">
        <v>14181</v>
      </c>
      <c r="J710" s="476">
        <v>14186</v>
      </c>
      <c r="K710" s="476">
        <v>14191</v>
      </c>
    </row>
    <row r="711" spans="1:11">
      <c r="A711" s="479">
        <v>6736.7</v>
      </c>
      <c r="B711" s="476">
        <v>14196</v>
      </c>
      <c r="C711" s="476">
        <v>14201</v>
      </c>
      <c r="D711" s="476">
        <v>14205</v>
      </c>
      <c r="E711" s="476">
        <v>14210</v>
      </c>
      <c r="F711" s="476">
        <v>14215</v>
      </c>
      <c r="G711" s="476">
        <v>14220</v>
      </c>
      <c r="H711" s="476">
        <v>14225</v>
      </c>
      <c r="I711" s="476">
        <v>14229</v>
      </c>
      <c r="J711" s="476">
        <v>14234</v>
      </c>
      <c r="K711" s="476">
        <v>14239</v>
      </c>
    </row>
    <row r="712" spans="1:11">
      <c r="A712" s="479">
        <v>6736.8</v>
      </c>
      <c r="B712" s="476">
        <v>14244</v>
      </c>
      <c r="C712" s="476">
        <v>14248</v>
      </c>
      <c r="D712" s="476">
        <v>14253</v>
      </c>
      <c r="E712" s="476">
        <v>14258</v>
      </c>
      <c r="F712" s="476">
        <v>14263</v>
      </c>
      <c r="G712" s="476">
        <v>14268</v>
      </c>
      <c r="H712" s="476">
        <v>14272</v>
      </c>
      <c r="I712" s="476">
        <v>14277</v>
      </c>
      <c r="J712" s="476">
        <v>14282</v>
      </c>
      <c r="K712" s="476">
        <v>14287</v>
      </c>
    </row>
    <row r="713" spans="1:11">
      <c r="A713" s="479">
        <v>6736.9</v>
      </c>
      <c r="B713" s="476">
        <v>14292</v>
      </c>
      <c r="C713" s="476">
        <v>14296</v>
      </c>
      <c r="D713" s="476">
        <v>14301</v>
      </c>
      <c r="E713" s="476">
        <v>14306</v>
      </c>
      <c r="F713" s="476">
        <v>14311</v>
      </c>
      <c r="G713" s="476">
        <v>14316</v>
      </c>
      <c r="H713" s="476">
        <v>14320</v>
      </c>
      <c r="I713" s="476">
        <v>14325</v>
      </c>
      <c r="J713" s="476">
        <v>14330</v>
      </c>
      <c r="K713" s="476">
        <v>14335</v>
      </c>
    </row>
    <row r="714" spans="1:11">
      <c r="A714" s="479">
        <v>6737</v>
      </c>
      <c r="B714" s="476">
        <v>14340</v>
      </c>
      <c r="C714" s="476">
        <v>14344</v>
      </c>
      <c r="D714" s="476">
        <v>14349</v>
      </c>
      <c r="E714" s="476">
        <v>14354</v>
      </c>
      <c r="F714" s="476">
        <v>14359</v>
      </c>
      <c r="G714" s="476">
        <v>14364</v>
      </c>
      <c r="H714" s="476">
        <v>14369</v>
      </c>
      <c r="I714" s="476">
        <v>14373</v>
      </c>
      <c r="J714" s="476">
        <v>14378</v>
      </c>
      <c r="K714" s="476">
        <v>14383</v>
      </c>
    </row>
    <row r="715" spans="1:11">
      <c r="A715" s="479">
        <v>6737.1</v>
      </c>
      <c r="B715" s="476">
        <v>14388</v>
      </c>
      <c r="C715" s="476">
        <v>14393</v>
      </c>
      <c r="D715" s="476">
        <v>14398</v>
      </c>
      <c r="E715" s="476">
        <v>14403</v>
      </c>
      <c r="F715" s="476">
        <v>14407</v>
      </c>
      <c r="G715" s="476">
        <v>14412</v>
      </c>
      <c r="H715" s="476">
        <v>14417</v>
      </c>
      <c r="I715" s="476">
        <v>14422</v>
      </c>
      <c r="J715" s="476">
        <v>14427</v>
      </c>
      <c r="K715" s="476">
        <v>14432</v>
      </c>
    </row>
    <row r="716" spans="1:11">
      <c r="A716" s="479">
        <v>6737.2</v>
      </c>
      <c r="B716" s="476">
        <v>14436</v>
      </c>
      <c r="C716" s="476">
        <v>14441</v>
      </c>
      <c r="D716" s="476">
        <v>14446</v>
      </c>
      <c r="E716" s="476">
        <v>14451</v>
      </c>
      <c r="F716" s="476">
        <v>14456</v>
      </c>
      <c r="G716" s="476">
        <v>14461</v>
      </c>
      <c r="H716" s="476">
        <v>14465</v>
      </c>
      <c r="I716" s="476">
        <v>14470</v>
      </c>
      <c r="J716" s="476">
        <v>14475</v>
      </c>
      <c r="K716" s="476">
        <v>14480</v>
      </c>
    </row>
    <row r="717" spans="1:11">
      <c r="A717" s="479">
        <v>6737.3</v>
      </c>
      <c r="B717" s="476">
        <v>14485</v>
      </c>
      <c r="C717" s="476">
        <v>14490</v>
      </c>
      <c r="D717" s="476">
        <v>14495</v>
      </c>
      <c r="E717" s="476">
        <v>14499</v>
      </c>
      <c r="F717" s="476">
        <v>14504</v>
      </c>
      <c r="G717" s="476">
        <v>14509</v>
      </c>
      <c r="H717" s="476">
        <v>14514</v>
      </c>
      <c r="I717" s="476">
        <v>14519</v>
      </c>
      <c r="J717" s="476">
        <v>14524</v>
      </c>
      <c r="K717" s="476">
        <v>14528</v>
      </c>
    </row>
    <row r="718" spans="1:11">
      <c r="A718" s="479">
        <v>6737.4</v>
      </c>
      <c r="B718" s="476">
        <v>14533</v>
      </c>
      <c r="C718" s="476">
        <v>14538</v>
      </c>
      <c r="D718" s="476">
        <v>14543</v>
      </c>
      <c r="E718" s="476">
        <v>14548</v>
      </c>
      <c r="F718" s="476">
        <v>14553</v>
      </c>
      <c r="G718" s="476">
        <v>14557</v>
      </c>
      <c r="H718" s="476">
        <v>14562</v>
      </c>
      <c r="I718" s="476">
        <v>14567</v>
      </c>
      <c r="J718" s="476">
        <v>14572</v>
      </c>
      <c r="K718" s="476">
        <v>14577</v>
      </c>
    </row>
    <row r="719" spans="1:11">
      <c r="A719" s="479">
        <v>6737.5</v>
      </c>
      <c r="B719" s="476">
        <v>14582</v>
      </c>
      <c r="C719" s="476">
        <v>14587</v>
      </c>
      <c r="D719" s="476">
        <v>14591</v>
      </c>
      <c r="E719" s="476">
        <v>14596</v>
      </c>
      <c r="F719" s="476">
        <v>14601</v>
      </c>
      <c r="G719" s="476">
        <v>14606</v>
      </c>
      <c r="H719" s="476">
        <v>14611</v>
      </c>
      <c r="I719" s="476">
        <v>14616</v>
      </c>
      <c r="J719" s="476">
        <v>14620</v>
      </c>
      <c r="K719" s="476">
        <v>14625</v>
      </c>
    </row>
    <row r="720" spans="1:11">
      <c r="A720" s="479">
        <v>6737.6</v>
      </c>
      <c r="B720" s="476">
        <v>14630</v>
      </c>
      <c r="C720" s="476">
        <v>14635</v>
      </c>
      <c r="D720" s="476">
        <v>14640</v>
      </c>
      <c r="E720" s="476">
        <v>14645</v>
      </c>
      <c r="F720" s="476">
        <v>14649</v>
      </c>
      <c r="G720" s="476">
        <v>14654</v>
      </c>
      <c r="H720" s="476">
        <v>14659</v>
      </c>
      <c r="I720" s="476">
        <v>14664</v>
      </c>
      <c r="J720" s="476">
        <v>14669</v>
      </c>
      <c r="K720" s="476">
        <v>14674</v>
      </c>
    </row>
    <row r="721" spans="1:11">
      <c r="A721" s="479">
        <v>6737.7</v>
      </c>
      <c r="B721" s="476">
        <v>14679</v>
      </c>
      <c r="C721" s="476">
        <v>14683</v>
      </c>
      <c r="D721" s="476">
        <v>14688</v>
      </c>
      <c r="E721" s="476">
        <v>14693</v>
      </c>
      <c r="F721" s="476">
        <v>14698</v>
      </c>
      <c r="G721" s="476">
        <v>14703</v>
      </c>
      <c r="H721" s="476">
        <v>14708</v>
      </c>
      <c r="I721" s="476">
        <v>14712</v>
      </c>
      <c r="J721" s="476">
        <v>14717</v>
      </c>
      <c r="K721" s="476">
        <v>14722</v>
      </c>
    </row>
    <row r="722" spans="1:11">
      <c r="A722" s="479">
        <v>6737.8</v>
      </c>
      <c r="B722" s="476">
        <v>14727</v>
      </c>
      <c r="C722" s="476">
        <v>14732</v>
      </c>
      <c r="D722" s="476">
        <v>14737</v>
      </c>
      <c r="E722" s="476">
        <v>14741</v>
      </c>
      <c r="F722" s="476">
        <v>14746</v>
      </c>
      <c r="G722" s="476">
        <v>14751</v>
      </c>
      <c r="H722" s="476">
        <v>14756</v>
      </c>
      <c r="I722" s="476">
        <v>14761</v>
      </c>
      <c r="J722" s="476">
        <v>14766</v>
      </c>
      <c r="K722" s="476">
        <v>14771</v>
      </c>
    </row>
    <row r="723" spans="1:11">
      <c r="A723" s="479">
        <v>6737.9</v>
      </c>
      <c r="B723" s="476">
        <v>14775</v>
      </c>
      <c r="C723" s="476">
        <v>14780</v>
      </c>
      <c r="D723" s="476">
        <v>14785</v>
      </c>
      <c r="E723" s="476">
        <v>14790</v>
      </c>
      <c r="F723" s="476">
        <v>14795</v>
      </c>
      <c r="G723" s="476">
        <v>14800</v>
      </c>
      <c r="H723" s="476">
        <v>14804</v>
      </c>
      <c r="I723" s="476">
        <v>14809</v>
      </c>
      <c r="J723" s="476">
        <v>14814</v>
      </c>
      <c r="K723" s="476">
        <v>14819</v>
      </c>
    </row>
    <row r="724" spans="1:11">
      <c r="A724" s="479">
        <v>6738</v>
      </c>
      <c r="B724" s="476">
        <v>14824</v>
      </c>
      <c r="C724" s="476">
        <v>14829</v>
      </c>
      <c r="D724" s="476">
        <v>14834</v>
      </c>
      <c r="E724" s="476">
        <v>14838</v>
      </c>
      <c r="F724" s="476">
        <v>14843</v>
      </c>
      <c r="G724" s="476">
        <v>14848</v>
      </c>
      <c r="H724" s="476">
        <v>14853</v>
      </c>
      <c r="I724" s="476">
        <v>14858</v>
      </c>
      <c r="J724" s="476">
        <v>14863</v>
      </c>
      <c r="K724" s="476">
        <v>14868</v>
      </c>
    </row>
    <row r="725" spans="1:11">
      <c r="A725" s="479">
        <v>6738.1</v>
      </c>
      <c r="B725" s="476">
        <v>14873</v>
      </c>
      <c r="C725" s="476">
        <v>14878</v>
      </c>
      <c r="D725" s="476">
        <v>14882</v>
      </c>
      <c r="E725" s="476">
        <v>14887</v>
      </c>
      <c r="F725" s="476">
        <v>14892</v>
      </c>
      <c r="G725" s="476">
        <v>14897</v>
      </c>
      <c r="H725" s="476">
        <v>14902</v>
      </c>
      <c r="I725" s="476">
        <v>14907</v>
      </c>
      <c r="J725" s="476">
        <v>14912</v>
      </c>
      <c r="K725" s="476">
        <v>14917</v>
      </c>
    </row>
    <row r="726" spans="1:11">
      <c r="A726" s="479">
        <v>6738.2</v>
      </c>
      <c r="B726" s="476">
        <v>14922</v>
      </c>
      <c r="C726" s="476">
        <v>14926</v>
      </c>
      <c r="D726" s="476">
        <v>14931</v>
      </c>
      <c r="E726" s="476">
        <v>14936</v>
      </c>
      <c r="F726" s="476">
        <v>14941</v>
      </c>
      <c r="G726" s="476">
        <v>14946</v>
      </c>
      <c r="H726" s="476">
        <v>14951</v>
      </c>
      <c r="I726" s="476">
        <v>14956</v>
      </c>
      <c r="J726" s="476">
        <v>14961</v>
      </c>
      <c r="K726" s="476">
        <v>14966</v>
      </c>
    </row>
    <row r="727" spans="1:11">
      <c r="A727" s="479">
        <v>6738.3</v>
      </c>
      <c r="B727" s="476">
        <v>14970</v>
      </c>
      <c r="C727" s="476">
        <v>14975</v>
      </c>
      <c r="D727" s="476">
        <v>14980</v>
      </c>
      <c r="E727" s="476">
        <v>14985</v>
      </c>
      <c r="F727" s="476">
        <v>14990</v>
      </c>
      <c r="G727" s="476">
        <v>14995</v>
      </c>
      <c r="H727" s="476">
        <v>15000</v>
      </c>
      <c r="I727" s="476">
        <v>15005</v>
      </c>
      <c r="J727" s="476">
        <v>15010</v>
      </c>
      <c r="K727" s="476">
        <v>15015</v>
      </c>
    </row>
    <row r="728" spans="1:11">
      <c r="A728" s="479">
        <v>6738.4</v>
      </c>
      <c r="B728" s="476">
        <v>15019</v>
      </c>
      <c r="C728" s="476">
        <v>15024</v>
      </c>
      <c r="D728" s="476">
        <v>15029</v>
      </c>
      <c r="E728" s="476">
        <v>15034</v>
      </c>
      <c r="F728" s="476">
        <v>15039</v>
      </c>
      <c r="G728" s="476">
        <v>15044</v>
      </c>
      <c r="H728" s="476">
        <v>15049</v>
      </c>
      <c r="I728" s="476">
        <v>15054</v>
      </c>
      <c r="J728" s="476">
        <v>15059</v>
      </c>
      <c r="K728" s="476">
        <v>15063</v>
      </c>
    </row>
    <row r="729" spans="1:11">
      <c r="A729" s="479">
        <v>6738.5</v>
      </c>
      <c r="B729" s="476">
        <v>15068</v>
      </c>
      <c r="C729" s="476">
        <v>15073</v>
      </c>
      <c r="D729" s="476">
        <v>15078</v>
      </c>
      <c r="E729" s="476">
        <v>15083</v>
      </c>
      <c r="F729" s="476">
        <v>15088</v>
      </c>
      <c r="G729" s="476">
        <v>15093</v>
      </c>
      <c r="H729" s="476">
        <v>15098</v>
      </c>
      <c r="I729" s="476">
        <v>15103</v>
      </c>
      <c r="J729" s="476">
        <v>15107</v>
      </c>
      <c r="K729" s="476">
        <v>15111</v>
      </c>
    </row>
    <row r="730" spans="1:11">
      <c r="A730" s="479">
        <v>6738.6</v>
      </c>
      <c r="B730" s="476">
        <v>15117</v>
      </c>
      <c r="C730" s="476">
        <v>15122</v>
      </c>
      <c r="D730" s="476">
        <v>15127</v>
      </c>
      <c r="E730" s="476">
        <v>15132</v>
      </c>
      <c r="F730" s="476">
        <v>15137</v>
      </c>
      <c r="G730" s="476">
        <v>15142</v>
      </c>
      <c r="H730" s="476">
        <v>15147</v>
      </c>
      <c r="I730" s="476">
        <v>15151</v>
      </c>
      <c r="J730" s="476">
        <v>15156</v>
      </c>
      <c r="K730" s="476">
        <v>15161</v>
      </c>
    </row>
    <row r="731" spans="1:11">
      <c r="A731" s="479">
        <v>6738.7</v>
      </c>
      <c r="B731" s="476">
        <v>15166</v>
      </c>
      <c r="C731" s="476">
        <v>15171</v>
      </c>
      <c r="D731" s="476">
        <v>15176</v>
      </c>
      <c r="E731" s="476">
        <v>15181</v>
      </c>
      <c r="F731" s="476">
        <v>15186</v>
      </c>
      <c r="G731" s="476">
        <v>15191</v>
      </c>
      <c r="H731" s="476">
        <v>15195</v>
      </c>
      <c r="I731" s="476">
        <v>15200</v>
      </c>
      <c r="J731" s="476">
        <v>15205</v>
      </c>
      <c r="K731" s="476">
        <v>15210</v>
      </c>
    </row>
    <row r="732" spans="1:11">
      <c r="A732" s="479">
        <v>6738.8</v>
      </c>
      <c r="B732" s="476">
        <v>15215</v>
      </c>
      <c r="C732" s="476">
        <v>15220</v>
      </c>
      <c r="D732" s="476">
        <v>15225</v>
      </c>
      <c r="E732" s="476">
        <v>15230</v>
      </c>
      <c r="F732" s="476">
        <v>15235</v>
      </c>
      <c r="G732" s="476">
        <v>15239</v>
      </c>
      <c r="H732" s="476">
        <v>15244</v>
      </c>
      <c r="I732" s="476">
        <v>15249</v>
      </c>
      <c r="J732" s="476">
        <v>15254</v>
      </c>
      <c r="K732" s="476">
        <v>15259</v>
      </c>
    </row>
    <row r="733" spans="1:11">
      <c r="A733" s="479">
        <v>6738.9</v>
      </c>
      <c r="B733" s="476">
        <v>15264</v>
      </c>
      <c r="C733" s="476">
        <v>15269</v>
      </c>
      <c r="D733" s="476">
        <v>15274</v>
      </c>
      <c r="E733" s="476">
        <v>15279</v>
      </c>
      <c r="F733" s="476">
        <v>15283</v>
      </c>
      <c r="G733" s="476">
        <v>15288</v>
      </c>
      <c r="H733" s="476">
        <v>15293</v>
      </c>
      <c r="I733" s="476">
        <v>15298</v>
      </c>
      <c r="J733" s="476">
        <v>15303</v>
      </c>
      <c r="K733" s="476">
        <v>15308</v>
      </c>
    </row>
    <row r="734" spans="1:11">
      <c r="A734" s="479">
        <v>6739</v>
      </c>
      <c r="B734" s="476">
        <v>15313</v>
      </c>
      <c r="C734" s="476">
        <v>15318</v>
      </c>
      <c r="D734" s="476">
        <v>15323</v>
      </c>
      <c r="E734" s="476">
        <v>15328</v>
      </c>
      <c r="F734" s="476">
        <v>15333</v>
      </c>
      <c r="G734" s="476">
        <v>15337</v>
      </c>
      <c r="H734" s="476">
        <v>15342</v>
      </c>
      <c r="I734" s="476">
        <v>15347</v>
      </c>
      <c r="J734" s="476">
        <v>15352</v>
      </c>
      <c r="K734" s="476">
        <v>15357</v>
      </c>
    </row>
    <row r="735" spans="1:11">
      <c r="A735" s="479">
        <v>6739.1</v>
      </c>
      <c r="B735" s="476">
        <v>15362</v>
      </c>
      <c r="C735" s="476">
        <v>15367</v>
      </c>
      <c r="D735" s="476">
        <v>15372</v>
      </c>
      <c r="E735" s="476">
        <v>15377</v>
      </c>
      <c r="F735" s="476">
        <v>15382</v>
      </c>
      <c r="G735" s="476">
        <v>15387</v>
      </c>
      <c r="H735" s="476">
        <v>15392</v>
      </c>
      <c r="I735" s="476">
        <v>15397</v>
      </c>
      <c r="J735" s="476">
        <v>15402</v>
      </c>
      <c r="K735" s="476">
        <v>15407</v>
      </c>
    </row>
    <row r="736" spans="1:11">
      <c r="A736" s="479">
        <v>6739.2</v>
      </c>
      <c r="B736" s="476">
        <v>15412</v>
      </c>
      <c r="C736" s="476">
        <v>15416</v>
      </c>
      <c r="D736" s="476">
        <v>15421</v>
      </c>
      <c r="E736" s="476">
        <v>15426</v>
      </c>
      <c r="F736" s="476">
        <v>15431</v>
      </c>
      <c r="G736" s="476">
        <v>15436</v>
      </c>
      <c r="H736" s="476">
        <v>15441</v>
      </c>
      <c r="I736" s="476">
        <v>15446</v>
      </c>
      <c r="J736" s="476">
        <v>15451</v>
      </c>
      <c r="K736" s="476">
        <v>15456</v>
      </c>
    </row>
    <row r="737" spans="1:11">
      <c r="A737" s="479">
        <v>6739.3</v>
      </c>
      <c r="B737" s="476">
        <v>15461</v>
      </c>
      <c r="C737" s="476">
        <v>15466</v>
      </c>
      <c r="D737" s="476">
        <v>15471</v>
      </c>
      <c r="E737" s="476">
        <v>15476</v>
      </c>
      <c r="F737" s="476">
        <v>15481</v>
      </c>
      <c r="G737" s="476">
        <v>15486</v>
      </c>
      <c r="H737" s="476">
        <v>15491</v>
      </c>
      <c r="I737" s="476">
        <v>15495</v>
      </c>
      <c r="J737" s="476">
        <v>15500</v>
      </c>
      <c r="K737" s="476">
        <v>15505</v>
      </c>
    </row>
    <row r="738" spans="1:11">
      <c r="A738" s="479">
        <v>6739.4</v>
      </c>
      <c r="B738" s="476">
        <v>15510</v>
      </c>
      <c r="C738" s="476">
        <v>15515</v>
      </c>
      <c r="D738" s="476">
        <v>15520</v>
      </c>
      <c r="E738" s="476">
        <v>15525</v>
      </c>
      <c r="F738" s="476">
        <v>15530</v>
      </c>
      <c r="G738" s="476">
        <v>15535</v>
      </c>
      <c r="H738" s="476">
        <v>15540</v>
      </c>
      <c r="I738" s="476">
        <v>15545</v>
      </c>
      <c r="J738" s="476">
        <v>15550</v>
      </c>
      <c r="K738" s="476">
        <v>15555</v>
      </c>
    </row>
    <row r="739" spans="1:11">
      <c r="A739" s="479">
        <v>6739.5</v>
      </c>
      <c r="B739" s="476">
        <v>15560</v>
      </c>
      <c r="C739" s="476">
        <v>15565</v>
      </c>
      <c r="D739" s="476">
        <v>15570</v>
      </c>
      <c r="E739" s="476">
        <v>15574</v>
      </c>
      <c r="F739" s="476">
        <v>15579</v>
      </c>
      <c r="G739" s="476">
        <v>15584</v>
      </c>
      <c r="H739" s="476">
        <v>15589</v>
      </c>
      <c r="I739" s="476">
        <v>15594</v>
      </c>
      <c r="J739" s="476">
        <v>15599</v>
      </c>
      <c r="K739" s="476">
        <v>15604</v>
      </c>
    </row>
    <row r="740" spans="1:11">
      <c r="A740" s="479">
        <v>6739.6</v>
      </c>
      <c r="B740" s="476">
        <v>15609</v>
      </c>
      <c r="C740" s="476">
        <v>15614</v>
      </c>
      <c r="D740" s="476">
        <v>15619</v>
      </c>
      <c r="E740" s="476">
        <v>15624</v>
      </c>
      <c r="F740" s="476">
        <v>15629</v>
      </c>
      <c r="G740" s="476">
        <v>15634</v>
      </c>
      <c r="H740" s="476">
        <v>15639</v>
      </c>
      <c r="I740" s="476">
        <v>15644</v>
      </c>
      <c r="J740" s="476">
        <v>15649</v>
      </c>
      <c r="K740" s="476">
        <v>15653</v>
      </c>
    </row>
    <row r="741" spans="1:11">
      <c r="A741" s="479">
        <v>6739.7</v>
      </c>
      <c r="B741" s="476">
        <v>15658</v>
      </c>
      <c r="C741" s="476">
        <v>15663</v>
      </c>
      <c r="D741" s="476">
        <v>15668</v>
      </c>
      <c r="E741" s="476">
        <v>15673</v>
      </c>
      <c r="F741" s="476">
        <v>15678</v>
      </c>
      <c r="G741" s="476">
        <v>15683</v>
      </c>
      <c r="H741" s="476">
        <v>15688</v>
      </c>
      <c r="I741" s="476">
        <v>15693</v>
      </c>
      <c r="J741" s="476">
        <v>15698</v>
      </c>
      <c r="K741" s="476">
        <v>15703</v>
      </c>
    </row>
    <row r="742" spans="1:11">
      <c r="A742" s="479">
        <v>6739.8</v>
      </c>
      <c r="B742" s="476">
        <v>15708</v>
      </c>
      <c r="C742" s="476">
        <v>15713</v>
      </c>
      <c r="D742" s="476">
        <v>15718</v>
      </c>
      <c r="E742" s="476">
        <v>15723</v>
      </c>
      <c r="F742" s="476">
        <v>15728</v>
      </c>
      <c r="G742" s="476">
        <v>15732</v>
      </c>
      <c r="H742" s="476">
        <v>15737</v>
      </c>
      <c r="I742" s="476">
        <v>15742</v>
      </c>
      <c r="J742" s="476">
        <v>15747</v>
      </c>
      <c r="K742" s="476">
        <v>15752</v>
      </c>
    </row>
    <row r="743" spans="1:11">
      <c r="A743" s="479">
        <v>6739.9</v>
      </c>
      <c r="B743" s="476">
        <v>15757</v>
      </c>
      <c r="C743" s="476">
        <v>15762</v>
      </c>
      <c r="D743" s="476">
        <v>15767</v>
      </c>
      <c r="E743" s="476">
        <v>15772</v>
      </c>
      <c r="F743" s="476">
        <v>15777</v>
      </c>
      <c r="G743" s="476">
        <v>15782</v>
      </c>
      <c r="H743" s="476">
        <v>15787</v>
      </c>
      <c r="I743" s="476">
        <v>15792</v>
      </c>
      <c r="J743" s="476">
        <v>15797</v>
      </c>
      <c r="K743" s="476">
        <v>15802</v>
      </c>
    </row>
    <row r="744" spans="1:11">
      <c r="A744" s="479">
        <v>6740</v>
      </c>
      <c r="B744" s="476">
        <v>15806</v>
      </c>
      <c r="C744" s="476">
        <v>15811</v>
      </c>
      <c r="D744" s="476">
        <v>15816</v>
      </c>
      <c r="E744" s="476">
        <v>15822</v>
      </c>
      <c r="F744" s="476">
        <v>15827</v>
      </c>
      <c r="G744" s="476">
        <v>15832</v>
      </c>
      <c r="H744" s="476">
        <v>15837</v>
      </c>
      <c r="I744" s="476">
        <v>15842</v>
      </c>
      <c r="J744" s="476">
        <v>15847</v>
      </c>
      <c r="K744" s="476">
        <v>15852</v>
      </c>
    </row>
    <row r="745" spans="1:11">
      <c r="A745" s="479">
        <v>6740.1</v>
      </c>
      <c r="B745" s="476">
        <v>15857</v>
      </c>
      <c r="C745" s="476">
        <v>15862</v>
      </c>
      <c r="D745" s="476">
        <v>15867</v>
      </c>
      <c r="E745" s="476">
        <v>15872</v>
      </c>
      <c r="F745" s="476">
        <v>15877</v>
      </c>
      <c r="G745" s="476">
        <v>15882</v>
      </c>
      <c r="H745" s="476">
        <v>15887</v>
      </c>
      <c r="I745" s="476">
        <v>15892</v>
      </c>
      <c r="J745" s="476">
        <v>15897</v>
      </c>
      <c r="K745" s="476">
        <v>15902</v>
      </c>
    </row>
    <row r="746" spans="1:11">
      <c r="A746" s="479">
        <v>6740.2</v>
      </c>
      <c r="B746" s="476">
        <v>1507</v>
      </c>
      <c r="C746" s="476">
        <v>15912</v>
      </c>
      <c r="D746" s="476">
        <v>15917</v>
      </c>
      <c r="E746" s="476">
        <v>15922</v>
      </c>
      <c r="F746" s="476">
        <v>15927</v>
      </c>
      <c r="G746" s="476">
        <v>15932</v>
      </c>
      <c r="H746" s="476">
        <v>15937</v>
      </c>
      <c r="I746" s="476">
        <v>15942</v>
      </c>
      <c r="J746" s="476">
        <v>15947</v>
      </c>
      <c r="K746" s="476">
        <v>15952</v>
      </c>
    </row>
    <row r="747" spans="1:11">
      <c r="A747" s="479">
        <v>6740.3</v>
      </c>
      <c r="B747" s="476">
        <v>15957</v>
      </c>
      <c r="C747" s="476">
        <v>15962</v>
      </c>
      <c r="D747" s="476">
        <v>15967</v>
      </c>
      <c r="E747" s="476">
        <v>15972</v>
      </c>
      <c r="F747" s="476">
        <v>15977</v>
      </c>
      <c r="G747" s="476">
        <v>15982</v>
      </c>
      <c r="H747" s="476">
        <v>15987</v>
      </c>
      <c r="I747" s="476">
        <v>15992</v>
      </c>
      <c r="J747" s="476">
        <v>15997</v>
      </c>
      <c r="K747" s="476">
        <v>16002</v>
      </c>
    </row>
    <row r="748" spans="1:11">
      <c r="A748" s="479">
        <v>6740.4</v>
      </c>
      <c r="B748" s="476">
        <v>16007</v>
      </c>
      <c r="C748" s="476">
        <v>16012</v>
      </c>
      <c r="D748" s="476">
        <v>16017</v>
      </c>
      <c r="E748" s="476">
        <v>16022</v>
      </c>
      <c r="F748" s="476">
        <v>16027</v>
      </c>
      <c r="G748" s="476">
        <v>16032</v>
      </c>
      <c r="H748" s="476">
        <v>16037</v>
      </c>
      <c r="I748" s="476">
        <v>16042</v>
      </c>
      <c r="J748" s="476">
        <v>16047</v>
      </c>
      <c r="K748" s="476">
        <v>16052</v>
      </c>
    </row>
    <row r="749" spans="1:11">
      <c r="A749" s="479">
        <v>6740.5</v>
      </c>
      <c r="B749" s="476">
        <v>16057</v>
      </c>
      <c r="C749" s="476">
        <v>16062</v>
      </c>
      <c r="D749" s="476">
        <v>16067</v>
      </c>
      <c r="E749" s="476">
        <v>16072</v>
      </c>
      <c r="F749" s="476">
        <v>16077</v>
      </c>
      <c r="G749" s="476">
        <v>16082</v>
      </c>
      <c r="H749" s="476">
        <v>16087</v>
      </c>
      <c r="I749" s="476">
        <v>16092</v>
      </c>
      <c r="J749" s="476">
        <v>16097</v>
      </c>
      <c r="K749" s="476">
        <v>16102</v>
      </c>
    </row>
    <row r="750" spans="1:11">
      <c r="A750" s="479">
        <v>6740.6</v>
      </c>
      <c r="B750" s="476">
        <v>16107</v>
      </c>
      <c r="C750" s="476">
        <v>16112</v>
      </c>
      <c r="D750" s="476">
        <v>16117</v>
      </c>
      <c r="E750" s="476">
        <v>16122</v>
      </c>
      <c r="F750" s="476">
        <v>16127</v>
      </c>
      <c r="G750" s="476">
        <v>16132</v>
      </c>
      <c r="H750" s="476">
        <v>16137</v>
      </c>
      <c r="I750" s="476">
        <v>16142</v>
      </c>
      <c r="J750" s="476">
        <v>16147</v>
      </c>
      <c r="K750" s="476">
        <v>16152</v>
      </c>
    </row>
    <row r="751" spans="1:11">
      <c r="A751" s="479">
        <v>6740.7</v>
      </c>
      <c r="B751" s="476">
        <v>16157</v>
      </c>
      <c r="C751" s="476">
        <v>16162</v>
      </c>
      <c r="D751" s="476">
        <v>16167</v>
      </c>
      <c r="E751" s="476">
        <v>16172</v>
      </c>
      <c r="F751" s="476">
        <v>16177</v>
      </c>
      <c r="G751" s="476">
        <v>16182</v>
      </c>
      <c r="H751" s="476">
        <v>16187</v>
      </c>
      <c r="I751" s="476">
        <v>16192</v>
      </c>
      <c r="J751" s="476">
        <v>16197</v>
      </c>
      <c r="K751" s="476">
        <v>16202</v>
      </c>
    </row>
    <row r="752" spans="1:11">
      <c r="A752" s="479">
        <v>6740.8</v>
      </c>
      <c r="B752" s="476">
        <v>16207</v>
      </c>
      <c r="C752" s="476">
        <v>16212</v>
      </c>
      <c r="D752" s="476">
        <v>16217</v>
      </c>
      <c r="E752" s="476">
        <v>16222</v>
      </c>
      <c r="F752" s="476">
        <v>16227</v>
      </c>
      <c r="G752" s="476">
        <v>16232</v>
      </c>
      <c r="H752" s="476">
        <v>16237</v>
      </c>
      <c r="I752" s="476">
        <v>16242</v>
      </c>
      <c r="J752" s="476">
        <v>16247</v>
      </c>
      <c r="K752" s="476">
        <v>16252</v>
      </c>
    </row>
    <row r="753" spans="1:11">
      <c r="A753" s="479">
        <v>6740.9</v>
      </c>
      <c r="B753" s="476">
        <v>16257</v>
      </c>
      <c r="C753" s="476">
        <v>16262</v>
      </c>
      <c r="D753" s="476">
        <v>16267</v>
      </c>
      <c r="E753" s="476">
        <v>16272</v>
      </c>
      <c r="F753" s="476">
        <v>16277</v>
      </c>
      <c r="G753" s="476">
        <v>16282</v>
      </c>
      <c r="H753" s="476">
        <v>16287</v>
      </c>
      <c r="I753" s="476">
        <v>16292</v>
      </c>
      <c r="J753" s="476">
        <v>16297</v>
      </c>
      <c r="K753" s="476">
        <v>16302</v>
      </c>
    </row>
    <row r="754" spans="1:11">
      <c r="A754" s="479">
        <v>6741</v>
      </c>
      <c r="B754" s="476">
        <v>16307</v>
      </c>
      <c r="C754" s="476">
        <v>16312</v>
      </c>
      <c r="D754" s="476">
        <v>16317</v>
      </c>
      <c r="E754" s="476">
        <v>16322</v>
      </c>
      <c r="F754" s="476">
        <v>16327</v>
      </c>
      <c r="G754" s="476">
        <v>16332</v>
      </c>
      <c r="H754" s="476">
        <v>16337</v>
      </c>
      <c r="I754" s="476">
        <v>16342</v>
      </c>
      <c r="J754" s="476">
        <v>16348</v>
      </c>
      <c r="K754" s="476">
        <v>16353</v>
      </c>
    </row>
    <row r="755" spans="1:11">
      <c r="A755" s="479">
        <v>6741.1</v>
      </c>
      <c r="B755" s="476">
        <v>16358</v>
      </c>
      <c r="C755" s="476">
        <v>16363</v>
      </c>
      <c r="D755" s="476">
        <v>16368</v>
      </c>
      <c r="E755" s="476">
        <v>16373</v>
      </c>
      <c r="F755" s="476">
        <v>16378</v>
      </c>
      <c r="G755" s="476">
        <v>16383</v>
      </c>
      <c r="H755" s="476">
        <v>16388</v>
      </c>
      <c r="I755" s="476">
        <v>16393</v>
      </c>
      <c r="J755" s="476">
        <v>16398</v>
      </c>
      <c r="K755" s="476">
        <v>16403</v>
      </c>
    </row>
    <row r="756" spans="1:11">
      <c r="A756" s="479">
        <v>6741.2</v>
      </c>
      <c r="B756" s="476">
        <v>16409</v>
      </c>
      <c r="C756" s="476">
        <v>16414</v>
      </c>
      <c r="D756" s="476">
        <v>16419</v>
      </c>
      <c r="E756" s="476">
        <v>16424</v>
      </c>
      <c r="F756" s="476">
        <v>16429</v>
      </c>
      <c r="G756" s="476">
        <v>16434</v>
      </c>
      <c r="H756" s="476">
        <v>16439</v>
      </c>
      <c r="I756" s="476">
        <v>16444</v>
      </c>
      <c r="J756" s="476">
        <v>16449</v>
      </c>
      <c r="K756" s="476">
        <v>16454</v>
      </c>
    </row>
    <row r="757" spans="1:11">
      <c r="A757" s="479">
        <v>6741.3</v>
      </c>
      <c r="B757" s="476">
        <v>16459</v>
      </c>
      <c r="C757" s="476">
        <v>16465</v>
      </c>
      <c r="D757" s="476">
        <v>16470</v>
      </c>
      <c r="E757" s="476">
        <v>16475</v>
      </c>
      <c r="F757" s="476">
        <v>16480</v>
      </c>
      <c r="G757" s="476">
        <v>16485</v>
      </c>
      <c r="H757" s="476">
        <v>16490</v>
      </c>
      <c r="I757" s="476">
        <v>16495</v>
      </c>
      <c r="J757" s="476">
        <v>16500</v>
      </c>
      <c r="K757" s="476">
        <v>16505</v>
      </c>
    </row>
    <row r="758" spans="1:11">
      <c r="A758" s="479">
        <v>6741.4</v>
      </c>
      <c r="B758" s="476">
        <v>16510</v>
      </c>
      <c r="C758" s="476">
        <v>16515</v>
      </c>
      <c r="D758" s="476">
        <v>16521</v>
      </c>
      <c r="E758" s="476">
        <v>16526</v>
      </c>
      <c r="F758" s="476">
        <v>16531</v>
      </c>
      <c r="G758" s="476">
        <v>16536</v>
      </c>
      <c r="H758" s="476">
        <v>16541</v>
      </c>
      <c r="I758" s="476">
        <v>16546</v>
      </c>
      <c r="J758" s="476">
        <v>16551</v>
      </c>
      <c r="K758" s="476">
        <v>16556</v>
      </c>
    </row>
    <row r="759" spans="1:11">
      <c r="A759" s="479">
        <v>6741.5</v>
      </c>
      <c r="B759" s="476">
        <v>16561</v>
      </c>
      <c r="C759" s="476">
        <v>16566</v>
      </c>
      <c r="D759" s="476">
        <v>16571</v>
      </c>
      <c r="E759" s="476">
        <v>16577</v>
      </c>
      <c r="F759" s="476">
        <v>16582</v>
      </c>
      <c r="G759" s="476">
        <v>16587</v>
      </c>
      <c r="H759" s="476">
        <v>16592</v>
      </c>
      <c r="I759" s="476">
        <v>16597</v>
      </c>
      <c r="J759" s="476">
        <v>16602</v>
      </c>
      <c r="K759" s="476">
        <v>16607</v>
      </c>
    </row>
    <row r="760" spans="1:11">
      <c r="A760" s="479">
        <v>6741.6</v>
      </c>
      <c r="B760" s="476">
        <v>16612</v>
      </c>
      <c r="C760" s="476">
        <v>16617</v>
      </c>
      <c r="D760" s="476">
        <v>16622</v>
      </c>
      <c r="E760" s="476">
        <v>16627</v>
      </c>
      <c r="F760" s="476">
        <v>16633</v>
      </c>
      <c r="G760" s="476">
        <v>16638</v>
      </c>
      <c r="H760" s="476">
        <v>16643</v>
      </c>
      <c r="I760" s="476">
        <v>16648</v>
      </c>
      <c r="J760" s="476">
        <v>16653</v>
      </c>
      <c r="K760" s="476">
        <v>16658</v>
      </c>
    </row>
    <row r="761" spans="1:11">
      <c r="A761" s="479">
        <v>6741.7</v>
      </c>
      <c r="B761" s="476">
        <v>16663</v>
      </c>
      <c r="C761" s="476">
        <v>16668</v>
      </c>
      <c r="D761" s="476">
        <v>16673</v>
      </c>
      <c r="E761" s="476">
        <v>16678</v>
      </c>
      <c r="F761" s="476">
        <v>16683</v>
      </c>
      <c r="G761" s="476">
        <v>16689</v>
      </c>
      <c r="H761" s="476">
        <v>16694</v>
      </c>
      <c r="I761" s="476">
        <v>16699</v>
      </c>
      <c r="J761" s="476">
        <v>16704</v>
      </c>
      <c r="K761" s="476">
        <v>16709</v>
      </c>
    </row>
    <row r="762" spans="1:11">
      <c r="A762" s="479">
        <v>6741.8</v>
      </c>
      <c r="B762" s="476">
        <v>16714</v>
      </c>
      <c r="C762" s="476">
        <v>16719</v>
      </c>
      <c r="D762" s="476">
        <v>16724</v>
      </c>
      <c r="E762" s="476">
        <v>16729</v>
      </c>
      <c r="F762" s="476">
        <v>16734</v>
      </c>
      <c r="G762" s="476">
        <v>16739</v>
      </c>
      <c r="H762" s="476">
        <v>16745</v>
      </c>
      <c r="I762" s="476">
        <v>16750</v>
      </c>
      <c r="J762" s="476">
        <v>16755</v>
      </c>
      <c r="K762" s="476">
        <v>16760</v>
      </c>
    </row>
    <row r="763" spans="1:11">
      <c r="A763" s="479">
        <v>6741.9</v>
      </c>
      <c r="B763" s="476">
        <v>16765</v>
      </c>
      <c r="C763" s="476">
        <v>16770</v>
      </c>
      <c r="D763" s="476">
        <v>16775</v>
      </c>
      <c r="E763" s="476">
        <v>16780</v>
      </c>
      <c r="F763" s="476">
        <v>16785</v>
      </c>
      <c r="G763" s="476">
        <v>16790</v>
      </c>
      <c r="H763" s="476">
        <v>16795</v>
      </c>
      <c r="I763" s="476">
        <v>16801</v>
      </c>
      <c r="J763" s="476">
        <v>16806</v>
      </c>
      <c r="K763" s="476">
        <v>16811</v>
      </c>
    </row>
    <row r="764" spans="1:11">
      <c r="A764" s="479">
        <v>6742</v>
      </c>
      <c r="B764" s="476">
        <v>16816</v>
      </c>
      <c r="C764" s="476">
        <v>16821</v>
      </c>
      <c r="D764" s="476">
        <v>16826</v>
      </c>
      <c r="E764" s="476">
        <v>16831</v>
      </c>
      <c r="F764" s="476">
        <v>16836</v>
      </c>
      <c r="G764" s="476">
        <v>16842</v>
      </c>
      <c r="H764" s="476">
        <v>16847</v>
      </c>
      <c r="I764" s="476">
        <v>16852</v>
      </c>
      <c r="J764" s="476">
        <v>16857</v>
      </c>
      <c r="K764" s="476">
        <v>16562</v>
      </c>
    </row>
    <row r="765" spans="1:11">
      <c r="A765" s="479">
        <v>6742.1</v>
      </c>
      <c r="B765" s="476">
        <v>16868</v>
      </c>
      <c r="C765" s="476">
        <v>16873</v>
      </c>
      <c r="D765" s="476">
        <v>16878</v>
      </c>
      <c r="E765" s="476">
        <v>16883</v>
      </c>
      <c r="F765" s="476">
        <v>16888</v>
      </c>
      <c r="G765" s="476">
        <v>16893</v>
      </c>
      <c r="H765" s="476">
        <v>16899</v>
      </c>
      <c r="I765" s="476">
        <v>16904</v>
      </c>
      <c r="J765" s="476">
        <v>16909</v>
      </c>
      <c r="K765" s="476">
        <v>16914</v>
      </c>
    </row>
    <row r="766" spans="1:11">
      <c r="A766" s="479">
        <v>6742.2</v>
      </c>
      <c r="B766" s="476">
        <v>16919</v>
      </c>
      <c r="C766" s="476">
        <v>16925</v>
      </c>
      <c r="D766" s="476">
        <v>16930</v>
      </c>
      <c r="E766" s="476">
        <v>16935</v>
      </c>
      <c r="F766" s="476">
        <v>16940</v>
      </c>
      <c r="G766" s="476">
        <v>16945</v>
      </c>
      <c r="H766" s="476">
        <v>16950</v>
      </c>
      <c r="I766" s="476">
        <v>16956</v>
      </c>
      <c r="J766" s="476">
        <v>16961</v>
      </c>
      <c r="K766" s="476">
        <v>16366</v>
      </c>
    </row>
    <row r="767" spans="1:11">
      <c r="A767" s="479">
        <v>6742.3</v>
      </c>
      <c r="B767" s="476">
        <v>16971</v>
      </c>
      <c r="C767" s="476">
        <v>16976</v>
      </c>
      <c r="D767" s="476">
        <v>16981</v>
      </c>
      <c r="E767" s="476">
        <v>16987</v>
      </c>
      <c r="F767" s="476">
        <v>16992</v>
      </c>
      <c r="G767" s="476">
        <v>16997</v>
      </c>
      <c r="H767" s="476">
        <v>17002</v>
      </c>
      <c r="I767" s="476">
        <v>17007</v>
      </c>
      <c r="J767" s="476">
        <v>17013</v>
      </c>
      <c r="K767" s="476">
        <v>17018</v>
      </c>
    </row>
    <row r="768" spans="1:11">
      <c r="A768" s="479">
        <v>6742.4</v>
      </c>
      <c r="B768" s="476">
        <v>17023</v>
      </c>
      <c r="C768" s="476">
        <v>17028</v>
      </c>
      <c r="D768" s="476">
        <v>17033</v>
      </c>
      <c r="E768" s="476">
        <v>17038</v>
      </c>
      <c r="F768" s="476">
        <v>17044</v>
      </c>
      <c r="G768" s="476">
        <v>17049</v>
      </c>
      <c r="H768" s="476">
        <v>17054</v>
      </c>
      <c r="I768" s="476">
        <v>17059</v>
      </c>
      <c r="J768" s="476">
        <v>17064</v>
      </c>
      <c r="K768" s="476">
        <v>17070</v>
      </c>
    </row>
    <row r="769" spans="1:11">
      <c r="A769" s="479">
        <v>6742.5</v>
      </c>
      <c r="B769" s="476">
        <v>17075</v>
      </c>
      <c r="C769" s="476">
        <v>17080</v>
      </c>
      <c r="D769" s="476">
        <v>17085</v>
      </c>
      <c r="E769" s="476">
        <v>17090</v>
      </c>
      <c r="F769" s="476">
        <v>17095</v>
      </c>
      <c r="G769" s="476">
        <v>17101</v>
      </c>
      <c r="H769" s="476">
        <v>17106</v>
      </c>
      <c r="I769" s="476">
        <v>17111</v>
      </c>
      <c r="J769" s="476">
        <v>17116</v>
      </c>
      <c r="K769" s="476">
        <v>17111</v>
      </c>
    </row>
    <row r="770" spans="1:11">
      <c r="A770" s="479">
        <v>6742.6</v>
      </c>
      <c r="B770" s="476">
        <v>17126</v>
      </c>
      <c r="C770" s="476">
        <v>17132</v>
      </c>
      <c r="D770" s="476">
        <v>17137</v>
      </c>
      <c r="E770" s="476">
        <v>17142</v>
      </c>
      <c r="F770" s="476">
        <v>17147</v>
      </c>
      <c r="G770" s="476">
        <v>17152</v>
      </c>
      <c r="H770" s="476">
        <v>17158</v>
      </c>
      <c r="I770" s="476">
        <v>17163</v>
      </c>
      <c r="J770" s="476">
        <v>17168</v>
      </c>
      <c r="K770" s="476">
        <v>17173</v>
      </c>
    </row>
    <row r="771" spans="1:11">
      <c r="A771" s="479">
        <v>6742.7</v>
      </c>
      <c r="B771" s="476">
        <v>17178</v>
      </c>
      <c r="C771" s="476">
        <v>17183</v>
      </c>
      <c r="D771" s="476">
        <v>17189</v>
      </c>
      <c r="E771" s="476">
        <v>17194</v>
      </c>
      <c r="F771" s="476">
        <v>17199</v>
      </c>
      <c r="G771" s="476">
        <v>17204</v>
      </c>
      <c r="H771" s="476">
        <v>17209</v>
      </c>
      <c r="I771" s="476">
        <v>17214</v>
      </c>
      <c r="J771" s="476">
        <v>17220</v>
      </c>
      <c r="K771" s="476">
        <v>17225</v>
      </c>
    </row>
    <row r="772" spans="1:11">
      <c r="A772" s="479">
        <v>6742.8</v>
      </c>
      <c r="B772" s="476">
        <v>17230</v>
      </c>
      <c r="C772" s="476">
        <v>17235</v>
      </c>
      <c r="D772" s="476">
        <v>17240</v>
      </c>
      <c r="E772" s="476">
        <v>17246</v>
      </c>
      <c r="F772" s="476">
        <v>17251</v>
      </c>
      <c r="G772" s="476">
        <v>17256</v>
      </c>
      <c r="H772" s="476">
        <v>17261</v>
      </c>
      <c r="I772" s="476">
        <v>17266</v>
      </c>
      <c r="J772" s="476">
        <v>17271</v>
      </c>
      <c r="K772" s="476">
        <v>17277</v>
      </c>
    </row>
    <row r="773" spans="1:11">
      <c r="A773" s="479">
        <v>6742.9</v>
      </c>
      <c r="B773" s="476">
        <v>17282</v>
      </c>
      <c r="C773" s="476">
        <v>17287</v>
      </c>
      <c r="D773" s="476">
        <v>17292</v>
      </c>
      <c r="E773" s="476">
        <v>17297</v>
      </c>
      <c r="F773" s="476">
        <v>17303</v>
      </c>
      <c r="G773" s="476">
        <v>17308</v>
      </c>
      <c r="H773" s="476">
        <v>17313</v>
      </c>
      <c r="I773" s="476">
        <v>17318</v>
      </c>
      <c r="J773" s="476">
        <v>17323</v>
      </c>
      <c r="K773" s="476">
        <v>17328</v>
      </c>
    </row>
    <row r="774" spans="1:11">
      <c r="A774" s="479">
        <v>6743</v>
      </c>
      <c r="B774" s="476">
        <v>17334</v>
      </c>
      <c r="C774" s="476">
        <v>17339</v>
      </c>
      <c r="D774" s="476">
        <v>17344</v>
      </c>
      <c r="E774" s="476">
        <v>17349</v>
      </c>
      <c r="F774" s="476">
        <v>17355</v>
      </c>
      <c r="G774" s="476">
        <v>17360</v>
      </c>
      <c r="H774" s="476">
        <v>17365</v>
      </c>
      <c r="I774" s="476">
        <v>17370</v>
      </c>
      <c r="J774" s="476">
        <v>17376</v>
      </c>
      <c r="K774" s="476">
        <v>11381</v>
      </c>
    </row>
    <row r="775" spans="1:11">
      <c r="A775" s="479">
        <v>6743.1</v>
      </c>
      <c r="B775" s="476">
        <v>17386</v>
      </c>
      <c r="C775" s="476">
        <v>17392</v>
      </c>
      <c r="D775" s="476">
        <v>17397</v>
      </c>
      <c r="E775" s="476">
        <v>17402</v>
      </c>
      <c r="F775" s="476">
        <v>17407</v>
      </c>
      <c r="G775" s="476">
        <v>17413</v>
      </c>
      <c r="H775" s="476">
        <v>17418</v>
      </c>
      <c r="I775" s="476">
        <v>17423</v>
      </c>
      <c r="J775" s="476">
        <v>17428</v>
      </c>
      <c r="K775" s="476">
        <v>17134</v>
      </c>
    </row>
    <row r="776" spans="1:11">
      <c r="A776" s="479">
        <v>6743.2</v>
      </c>
      <c r="B776" s="476">
        <v>17439</v>
      </c>
      <c r="C776" s="476">
        <v>17444</v>
      </c>
      <c r="D776" s="476">
        <v>17449</v>
      </c>
      <c r="E776" s="476">
        <v>17455</v>
      </c>
      <c r="F776" s="476">
        <v>17460</v>
      </c>
      <c r="G776" s="476">
        <v>17465</v>
      </c>
      <c r="H776" s="476">
        <v>17471</v>
      </c>
      <c r="I776" s="476">
        <v>17476</v>
      </c>
      <c r="J776" s="476">
        <v>17481</v>
      </c>
      <c r="K776" s="476">
        <v>17486</v>
      </c>
    </row>
    <row r="777" spans="1:11">
      <c r="A777" s="479">
        <v>6743.3</v>
      </c>
      <c r="B777" s="476">
        <v>17492</v>
      </c>
      <c r="C777" s="476">
        <v>17497</v>
      </c>
      <c r="D777" s="476">
        <v>17502</v>
      </c>
      <c r="E777" s="476">
        <v>17507</v>
      </c>
      <c r="F777" s="476">
        <v>17513</v>
      </c>
      <c r="G777" s="476">
        <v>17518</v>
      </c>
      <c r="H777" s="476">
        <v>17523</v>
      </c>
      <c r="I777" s="476">
        <v>17528</v>
      </c>
      <c r="J777" s="476">
        <v>17534</v>
      </c>
      <c r="K777" s="476">
        <v>17539</v>
      </c>
    </row>
    <row r="778" spans="1:11">
      <c r="A778" s="479">
        <v>6743.4</v>
      </c>
      <c r="B778" s="476">
        <v>17544</v>
      </c>
      <c r="C778" s="476">
        <v>17550</v>
      </c>
      <c r="D778" s="476">
        <v>17555</v>
      </c>
      <c r="E778" s="476">
        <v>17560</v>
      </c>
      <c r="F778" s="476">
        <v>17565</v>
      </c>
      <c r="G778" s="476">
        <v>17571</v>
      </c>
      <c r="H778" s="476">
        <v>17576</v>
      </c>
      <c r="I778" s="476">
        <v>17581</v>
      </c>
      <c r="J778" s="476">
        <v>17586</v>
      </c>
      <c r="K778" s="476">
        <v>17592</v>
      </c>
    </row>
    <row r="779" spans="1:11">
      <c r="A779" s="479">
        <v>6743.5</v>
      </c>
      <c r="B779" s="476">
        <v>17597</v>
      </c>
      <c r="C779" s="476">
        <v>17602</v>
      </c>
      <c r="D779" s="476">
        <v>17607</v>
      </c>
      <c r="E779" s="476">
        <v>17613</v>
      </c>
      <c r="F779" s="476">
        <v>17618</v>
      </c>
      <c r="G779" s="476">
        <v>17623</v>
      </c>
      <c r="H779" s="476">
        <v>17629</v>
      </c>
      <c r="I779" s="476">
        <v>17634</v>
      </c>
      <c r="J779" s="476">
        <v>17639</v>
      </c>
      <c r="K779" s="476">
        <v>17644</v>
      </c>
    </row>
    <row r="780" spans="1:11">
      <c r="A780" s="479">
        <v>6743.6</v>
      </c>
      <c r="B780" s="476">
        <v>17650</v>
      </c>
      <c r="C780" s="476">
        <v>17655</v>
      </c>
      <c r="D780" s="476">
        <v>17660</v>
      </c>
      <c r="E780" s="476">
        <v>17665</v>
      </c>
      <c r="F780" s="476">
        <v>17671</v>
      </c>
      <c r="G780" s="476">
        <v>17676</v>
      </c>
      <c r="H780" s="476">
        <v>17681</v>
      </c>
      <c r="I780" s="476">
        <v>17686</v>
      </c>
      <c r="J780" s="476">
        <v>17692</v>
      </c>
      <c r="K780" s="476">
        <v>17597</v>
      </c>
    </row>
    <row r="781" spans="1:11">
      <c r="A781" s="479">
        <v>6743.7</v>
      </c>
      <c r="B781" s="476">
        <v>17702</v>
      </c>
      <c r="C781" s="476">
        <v>17708</v>
      </c>
      <c r="D781" s="476">
        <v>17713</v>
      </c>
      <c r="E781" s="476">
        <v>17718</v>
      </c>
      <c r="F781" s="476">
        <v>17723</v>
      </c>
      <c r="G781" s="476">
        <v>17729</v>
      </c>
      <c r="H781" s="476">
        <v>17734</v>
      </c>
      <c r="I781" s="476">
        <v>17739</v>
      </c>
      <c r="J781" s="476">
        <v>17744</v>
      </c>
      <c r="K781" s="476">
        <v>17750</v>
      </c>
    </row>
    <row r="782" spans="1:11">
      <c r="A782" s="479">
        <v>6743.8</v>
      </c>
      <c r="B782" s="476">
        <v>17755</v>
      </c>
      <c r="C782" s="476">
        <v>17760</v>
      </c>
      <c r="D782" s="476">
        <v>17766</v>
      </c>
      <c r="E782" s="476">
        <v>17771</v>
      </c>
      <c r="F782" s="476">
        <v>17776</v>
      </c>
      <c r="G782" s="476">
        <v>17781</v>
      </c>
      <c r="H782" s="476">
        <v>17787</v>
      </c>
      <c r="I782" s="476">
        <v>17792</v>
      </c>
      <c r="J782" s="476">
        <v>17797</v>
      </c>
      <c r="K782" s="476">
        <v>17502</v>
      </c>
    </row>
    <row r="783" spans="1:11">
      <c r="A783" s="479">
        <v>6743.9</v>
      </c>
      <c r="B783" s="476">
        <v>17808</v>
      </c>
      <c r="C783" s="476">
        <v>17813</v>
      </c>
      <c r="D783" s="476">
        <v>17818</v>
      </c>
      <c r="E783" s="476">
        <v>17823</v>
      </c>
      <c r="F783" s="476">
        <v>17829</v>
      </c>
      <c r="G783" s="476">
        <v>17834</v>
      </c>
      <c r="H783" s="476">
        <v>17839</v>
      </c>
      <c r="I783" s="476">
        <v>17845</v>
      </c>
      <c r="J783" s="476">
        <v>17850</v>
      </c>
      <c r="K783" s="476">
        <v>17855</v>
      </c>
    </row>
    <row r="784" spans="1:11">
      <c r="A784" s="479">
        <v>6744</v>
      </c>
      <c r="B784" s="476">
        <v>17860</v>
      </c>
      <c r="C784" s="476">
        <v>17866</v>
      </c>
      <c r="D784" s="476">
        <v>17871</v>
      </c>
      <c r="E784" s="476">
        <v>17876</v>
      </c>
      <c r="F784" s="476">
        <v>17882</v>
      </c>
      <c r="G784" s="476">
        <v>17887</v>
      </c>
      <c r="H784" s="476">
        <v>17892</v>
      </c>
      <c r="I784" s="476">
        <v>17898</v>
      </c>
      <c r="J784" s="476">
        <v>17903</v>
      </c>
      <c r="K784" s="476">
        <v>17909</v>
      </c>
    </row>
    <row r="785" spans="1:11">
      <c r="A785" s="479">
        <v>6744.1</v>
      </c>
      <c r="B785" s="476">
        <v>17914</v>
      </c>
      <c r="C785" s="476">
        <v>17919</v>
      </c>
      <c r="D785" s="476">
        <v>17925</v>
      </c>
      <c r="E785" s="476">
        <v>17930</v>
      </c>
      <c r="F785" s="476">
        <v>17935</v>
      </c>
      <c r="G785" s="476">
        <v>17941</v>
      </c>
      <c r="H785" s="476">
        <v>17946</v>
      </c>
      <c r="I785" s="476">
        <v>17951</v>
      </c>
      <c r="J785" s="476">
        <v>17957</v>
      </c>
      <c r="K785" s="476">
        <v>17962</v>
      </c>
    </row>
    <row r="786" spans="1:11">
      <c r="A786" s="479">
        <v>6744.2</v>
      </c>
      <c r="B786" s="476">
        <v>17967</v>
      </c>
      <c r="C786" s="476">
        <v>17973</v>
      </c>
      <c r="D786" s="476">
        <v>17978</v>
      </c>
      <c r="E786" s="476">
        <v>17984</v>
      </c>
      <c r="F786" s="476">
        <v>17989</v>
      </c>
      <c r="G786" s="476">
        <v>17994</v>
      </c>
      <c r="H786" s="476">
        <v>18000</v>
      </c>
      <c r="I786" s="476">
        <v>18005</v>
      </c>
      <c r="J786" s="476">
        <v>18010</v>
      </c>
      <c r="K786" s="476">
        <v>18016</v>
      </c>
    </row>
    <row r="787" spans="1:11">
      <c r="A787" s="479">
        <v>6744.3</v>
      </c>
      <c r="B787" s="476">
        <v>18021</v>
      </c>
      <c r="C787" s="476">
        <v>18026</v>
      </c>
      <c r="D787" s="476">
        <v>18032</v>
      </c>
      <c r="E787" s="476">
        <v>18037</v>
      </c>
      <c r="F787" s="476">
        <v>18043</v>
      </c>
      <c r="G787" s="476">
        <v>18048</v>
      </c>
      <c r="H787" s="476">
        <v>18053</v>
      </c>
      <c r="I787" s="476">
        <v>18059</v>
      </c>
      <c r="J787" s="476">
        <v>18064</v>
      </c>
      <c r="K787" s="476">
        <v>18369</v>
      </c>
    </row>
    <row r="788" spans="1:11">
      <c r="A788" s="479">
        <v>6744.4</v>
      </c>
      <c r="B788" s="476">
        <v>18075</v>
      </c>
      <c r="C788" s="476">
        <v>18080</v>
      </c>
      <c r="D788" s="476">
        <v>18085</v>
      </c>
      <c r="E788" s="476">
        <v>18091</v>
      </c>
      <c r="F788" s="476">
        <v>18096</v>
      </c>
      <c r="G788" s="476">
        <v>18101</v>
      </c>
      <c r="H788" s="476">
        <v>18107</v>
      </c>
      <c r="I788" s="476">
        <v>18112</v>
      </c>
      <c r="J788" s="476">
        <v>18118</v>
      </c>
      <c r="K788" s="476">
        <v>18123</v>
      </c>
    </row>
    <row r="789" spans="1:11">
      <c r="A789" s="479">
        <v>6744.5</v>
      </c>
      <c r="B789" s="476">
        <v>18128</v>
      </c>
      <c r="C789" s="476">
        <v>18134</v>
      </c>
      <c r="D789" s="476">
        <v>18139</v>
      </c>
      <c r="E789" s="476">
        <v>18144</v>
      </c>
      <c r="F789" s="476">
        <v>18150</v>
      </c>
      <c r="G789" s="476">
        <v>18155</v>
      </c>
      <c r="H789" s="476">
        <v>18160</v>
      </c>
      <c r="I789" s="476">
        <v>18166</v>
      </c>
      <c r="J789" s="476">
        <v>18171</v>
      </c>
      <c r="K789" s="476">
        <v>18176</v>
      </c>
    </row>
    <row r="790" spans="1:11">
      <c r="A790" s="479">
        <v>6744.6</v>
      </c>
      <c r="B790" s="476">
        <v>18182</v>
      </c>
      <c r="C790" s="476">
        <v>18187</v>
      </c>
      <c r="D790" s="476">
        <v>18193</v>
      </c>
      <c r="E790" s="476">
        <v>18198</v>
      </c>
      <c r="F790" s="476">
        <v>18203</v>
      </c>
      <c r="G790" s="476">
        <v>18209</v>
      </c>
      <c r="H790" s="476">
        <v>18214</v>
      </c>
      <c r="I790" s="476">
        <v>18219</v>
      </c>
      <c r="J790" s="476">
        <v>18225</v>
      </c>
      <c r="K790" s="476">
        <v>18230</v>
      </c>
    </row>
    <row r="791" spans="1:11">
      <c r="A791" s="479">
        <v>6744.7</v>
      </c>
      <c r="B791" s="476">
        <v>18235</v>
      </c>
      <c r="C791" s="476">
        <v>18241</v>
      </c>
      <c r="D791" s="476">
        <v>18246</v>
      </c>
      <c r="E791" s="476">
        <v>18251</v>
      </c>
      <c r="F791" s="476">
        <v>18257</v>
      </c>
      <c r="G791" s="476">
        <v>18262</v>
      </c>
      <c r="H791" s="476">
        <v>18268</v>
      </c>
      <c r="I791" s="476">
        <v>18273</v>
      </c>
      <c r="J791" s="476">
        <v>18278</v>
      </c>
      <c r="K791" s="476">
        <v>18284</v>
      </c>
    </row>
    <row r="792" spans="1:11">
      <c r="A792" s="479">
        <v>6744.8</v>
      </c>
      <c r="B792" s="476">
        <v>18289</v>
      </c>
      <c r="C792" s="476">
        <v>18294</v>
      </c>
      <c r="D792" s="476">
        <v>18300</v>
      </c>
      <c r="E792" s="476">
        <v>18305</v>
      </c>
      <c r="F792" s="476">
        <v>18310</v>
      </c>
      <c r="G792" s="476">
        <v>18316</v>
      </c>
      <c r="H792" s="476">
        <v>18321</v>
      </c>
      <c r="I792" s="476">
        <v>18326</v>
      </c>
      <c r="J792" s="476">
        <v>18332</v>
      </c>
      <c r="K792" s="476">
        <v>15337</v>
      </c>
    </row>
    <row r="793" spans="1:11">
      <c r="A793" s="479">
        <v>6744.9</v>
      </c>
      <c r="B793" s="476">
        <v>18343</v>
      </c>
      <c r="C793" s="476">
        <v>18348</v>
      </c>
      <c r="D793" s="476">
        <v>18353</v>
      </c>
      <c r="E793" s="476">
        <v>18359</v>
      </c>
      <c r="F793" s="476">
        <v>18364</v>
      </c>
      <c r="G793" s="476">
        <v>18369</v>
      </c>
      <c r="H793" s="476">
        <v>18375</v>
      </c>
      <c r="I793" s="476">
        <v>18380</v>
      </c>
      <c r="J793" s="476">
        <v>18385</v>
      </c>
      <c r="K793" s="476">
        <v>15391</v>
      </c>
    </row>
    <row r="794" spans="1:11">
      <c r="A794" s="479">
        <v>6745</v>
      </c>
      <c r="B794" s="476">
        <v>18396</v>
      </c>
      <c r="C794" s="476">
        <v>18402</v>
      </c>
      <c r="D794" s="476">
        <v>18407</v>
      </c>
      <c r="E794" s="476">
        <v>18412</v>
      </c>
      <c r="F794" s="476">
        <v>18418</v>
      </c>
      <c r="G794" s="476">
        <v>18423</v>
      </c>
      <c r="H794" s="476">
        <v>18429</v>
      </c>
      <c r="I794" s="476">
        <v>18434</v>
      </c>
      <c r="J794" s="476">
        <v>18440</v>
      </c>
      <c r="K794" s="476">
        <v>15445</v>
      </c>
    </row>
    <row r="795" spans="1:11">
      <c r="A795" s="479">
        <v>6745.1</v>
      </c>
      <c r="B795" s="476">
        <v>18451</v>
      </c>
      <c r="C795" s="476">
        <v>18456</v>
      </c>
      <c r="D795" s="476">
        <v>18462</v>
      </c>
      <c r="E795" s="476">
        <v>18467</v>
      </c>
      <c r="F795" s="476">
        <v>18472</v>
      </c>
      <c r="G795" s="476">
        <v>18478</v>
      </c>
      <c r="H795" s="476">
        <v>18483</v>
      </c>
      <c r="I795" s="476">
        <v>18489</v>
      </c>
      <c r="J795" s="476">
        <v>18494</v>
      </c>
      <c r="K795" s="476">
        <v>15500</v>
      </c>
    </row>
    <row r="796" spans="1:11">
      <c r="A796" s="479">
        <v>6745.2</v>
      </c>
      <c r="B796" s="476">
        <v>18505</v>
      </c>
      <c r="C796" s="476">
        <v>18511</v>
      </c>
      <c r="D796" s="476">
        <v>18516</v>
      </c>
      <c r="E796" s="476">
        <v>18521</v>
      </c>
      <c r="F796" s="476">
        <v>18527</v>
      </c>
      <c r="G796" s="476">
        <v>18532</v>
      </c>
      <c r="H796" s="476">
        <v>18538</v>
      </c>
      <c r="I796" s="476">
        <v>18543</v>
      </c>
      <c r="J796" s="476">
        <v>18549</v>
      </c>
      <c r="K796" s="476">
        <v>13554</v>
      </c>
    </row>
    <row r="797" spans="1:11">
      <c r="A797" s="479">
        <v>6745.3</v>
      </c>
      <c r="B797" s="476">
        <v>18560</v>
      </c>
      <c r="C797" s="476">
        <v>18565</v>
      </c>
      <c r="D797" s="476">
        <v>18571</v>
      </c>
      <c r="E797" s="476">
        <v>18576</v>
      </c>
      <c r="F797" s="476">
        <v>18581</v>
      </c>
      <c r="G797" s="476">
        <v>18587</v>
      </c>
      <c r="H797" s="476">
        <v>18592</v>
      </c>
      <c r="I797" s="476">
        <v>18598</v>
      </c>
      <c r="J797" s="476">
        <v>18603</v>
      </c>
      <c r="K797" s="476">
        <v>16609</v>
      </c>
    </row>
    <row r="798" spans="1:11">
      <c r="A798" s="479">
        <v>6745.4</v>
      </c>
      <c r="B798" s="476">
        <v>18614</v>
      </c>
      <c r="C798" s="476">
        <v>18620</v>
      </c>
      <c r="D798" s="476">
        <v>18625</v>
      </c>
      <c r="E798" s="476">
        <v>18630</v>
      </c>
      <c r="F798" s="476">
        <v>18636</v>
      </c>
      <c r="G798" s="476">
        <v>18641</v>
      </c>
      <c r="H798" s="476">
        <v>18647</v>
      </c>
      <c r="I798" s="476">
        <v>18652</v>
      </c>
      <c r="J798" s="476">
        <v>18658</v>
      </c>
      <c r="K798" s="476">
        <v>15663</v>
      </c>
    </row>
    <row r="799" spans="1:11">
      <c r="A799" s="479">
        <v>6745.5</v>
      </c>
      <c r="B799" s="476">
        <v>18669</v>
      </c>
      <c r="C799" s="476">
        <v>18674</v>
      </c>
      <c r="D799" s="476">
        <v>18680</v>
      </c>
      <c r="E799" s="476">
        <v>18685</v>
      </c>
      <c r="F799" s="476">
        <v>18690</v>
      </c>
      <c r="G799" s="476">
        <v>18696</v>
      </c>
      <c r="H799" s="476">
        <v>18701</v>
      </c>
      <c r="I799" s="476">
        <v>18707</v>
      </c>
      <c r="J799" s="476">
        <v>18712</v>
      </c>
      <c r="K799" s="476">
        <v>15718</v>
      </c>
    </row>
    <row r="800" spans="1:11">
      <c r="A800" s="479">
        <v>6745.6</v>
      </c>
      <c r="B800" s="476">
        <v>18723</v>
      </c>
      <c r="C800" s="476">
        <v>18729</v>
      </c>
      <c r="D800" s="476">
        <v>18734</v>
      </c>
      <c r="E800" s="476">
        <v>18739</v>
      </c>
      <c r="F800" s="476">
        <v>18745</v>
      </c>
      <c r="G800" s="476">
        <v>18750</v>
      </c>
      <c r="H800" s="476">
        <v>18756</v>
      </c>
      <c r="I800" s="476">
        <v>18761</v>
      </c>
      <c r="J800" s="476">
        <v>18767</v>
      </c>
      <c r="K800" s="476">
        <v>13772</v>
      </c>
    </row>
    <row r="801" spans="1:11">
      <c r="A801" s="479">
        <v>6745.7</v>
      </c>
      <c r="B801" s="476">
        <v>18778</v>
      </c>
      <c r="C801" s="476">
        <v>18783</v>
      </c>
      <c r="D801" s="476">
        <v>18789</v>
      </c>
      <c r="E801" s="476">
        <v>18794</v>
      </c>
      <c r="F801" s="476">
        <v>18799</v>
      </c>
      <c r="G801" s="476">
        <v>18805</v>
      </c>
      <c r="H801" s="476">
        <v>18810</v>
      </c>
      <c r="I801" s="476">
        <v>18816</v>
      </c>
      <c r="J801" s="476">
        <v>18821</v>
      </c>
      <c r="K801" s="476">
        <v>13827</v>
      </c>
    </row>
    <row r="802" spans="1:11">
      <c r="A802" s="479">
        <v>6745.8</v>
      </c>
      <c r="B802" s="476">
        <v>18832</v>
      </c>
      <c r="C802" s="476">
        <v>18838</v>
      </c>
      <c r="D802" s="476">
        <v>18843</v>
      </c>
      <c r="E802" s="476">
        <v>18848</v>
      </c>
      <c r="F802" s="476">
        <v>18854</v>
      </c>
      <c r="G802" s="476">
        <v>18859</v>
      </c>
      <c r="H802" s="476">
        <v>18865</v>
      </c>
      <c r="I802" s="476">
        <v>18870</v>
      </c>
      <c r="J802" s="476">
        <v>18876</v>
      </c>
      <c r="K802" s="476">
        <v>18881</v>
      </c>
    </row>
    <row r="803" spans="1:11">
      <c r="A803" s="479">
        <v>6745.9</v>
      </c>
      <c r="B803" s="476">
        <v>18887</v>
      </c>
      <c r="C803" s="476">
        <v>18892</v>
      </c>
      <c r="D803" s="476">
        <v>18898</v>
      </c>
      <c r="E803" s="476">
        <v>18903</v>
      </c>
      <c r="F803" s="476">
        <v>18908</v>
      </c>
      <c r="G803" s="476">
        <v>18914</v>
      </c>
      <c r="H803" s="476">
        <v>18919</v>
      </c>
      <c r="I803" s="476">
        <v>18925</v>
      </c>
      <c r="J803" s="476">
        <v>18930</v>
      </c>
      <c r="K803" s="476">
        <v>13936</v>
      </c>
    </row>
    <row r="804" spans="1:11">
      <c r="A804" s="479">
        <v>6746</v>
      </c>
      <c r="B804" s="476">
        <v>18941</v>
      </c>
      <c r="C804" s="476">
        <v>18947</v>
      </c>
      <c r="D804" s="476">
        <v>18952</v>
      </c>
      <c r="E804" s="476">
        <v>18958</v>
      </c>
      <c r="F804" s="476">
        <v>18963</v>
      </c>
      <c r="G804" s="476">
        <v>18969</v>
      </c>
      <c r="H804" s="476">
        <v>18974</v>
      </c>
      <c r="I804" s="476">
        <v>18980</v>
      </c>
      <c r="J804" s="476">
        <v>18985</v>
      </c>
      <c r="K804" s="476">
        <v>18991</v>
      </c>
    </row>
    <row r="805" spans="1:11">
      <c r="A805" s="479">
        <v>6746.1</v>
      </c>
      <c r="B805" s="476">
        <v>18997</v>
      </c>
      <c r="C805" s="476">
        <v>19002</v>
      </c>
      <c r="D805" s="476">
        <v>19008</v>
      </c>
      <c r="E805" s="476">
        <v>19013</v>
      </c>
      <c r="F805" s="476">
        <v>19019</v>
      </c>
      <c r="G805" s="476">
        <v>19024</v>
      </c>
      <c r="H805" s="476">
        <v>19030</v>
      </c>
      <c r="I805" s="476">
        <v>19035</v>
      </c>
      <c r="J805" s="476">
        <v>19041</v>
      </c>
      <c r="K805" s="476">
        <v>19046</v>
      </c>
    </row>
    <row r="806" spans="1:11">
      <c r="A806" s="479">
        <v>6746.2</v>
      </c>
      <c r="B806" s="476">
        <v>19052</v>
      </c>
      <c r="C806" s="476">
        <v>19058</v>
      </c>
      <c r="D806" s="476">
        <v>19063</v>
      </c>
      <c r="E806" s="476">
        <v>19069</v>
      </c>
      <c r="F806" s="476">
        <v>19074</v>
      </c>
      <c r="G806" s="476">
        <v>19080</v>
      </c>
      <c r="H806" s="476">
        <v>19085</v>
      </c>
      <c r="I806" s="476">
        <v>19091</v>
      </c>
      <c r="J806" s="476">
        <v>19096</v>
      </c>
      <c r="K806" s="476">
        <v>19102</v>
      </c>
    </row>
    <row r="807" spans="1:11">
      <c r="A807" s="479">
        <v>6746.3</v>
      </c>
      <c r="B807" s="476">
        <v>19107</v>
      </c>
      <c r="C807" s="476">
        <v>19113</v>
      </c>
      <c r="D807" s="476">
        <v>19119</v>
      </c>
      <c r="E807" s="476">
        <v>19124</v>
      </c>
      <c r="F807" s="476">
        <v>19130</v>
      </c>
      <c r="G807" s="476">
        <v>19135</v>
      </c>
      <c r="H807" s="476">
        <v>19141</v>
      </c>
      <c r="I807" s="476">
        <v>19146</v>
      </c>
      <c r="J807" s="476">
        <v>19152</v>
      </c>
      <c r="K807" s="476">
        <v>19157</v>
      </c>
    </row>
    <row r="808" spans="1:11">
      <c r="A808" s="479">
        <v>6746.4</v>
      </c>
      <c r="B808" s="476">
        <v>19163</v>
      </c>
      <c r="C808" s="476">
        <v>19168</v>
      </c>
      <c r="D808" s="476">
        <v>19174</v>
      </c>
      <c r="E808" s="476">
        <v>19180</v>
      </c>
      <c r="F808" s="476">
        <v>19185</v>
      </c>
      <c r="G808" s="476">
        <v>19191</v>
      </c>
      <c r="H808" s="476">
        <v>19196</v>
      </c>
      <c r="I808" s="476">
        <v>19202</v>
      </c>
      <c r="J808" s="476">
        <v>19207</v>
      </c>
      <c r="K808" s="476">
        <v>19213</v>
      </c>
    </row>
    <row r="809" spans="1:11">
      <c r="A809" s="479">
        <v>6746.5</v>
      </c>
      <c r="B809" s="476">
        <v>19218</v>
      </c>
      <c r="C809" s="476">
        <v>19224</v>
      </c>
      <c r="D809" s="476">
        <v>19229</v>
      </c>
      <c r="E809" s="476">
        <v>19235</v>
      </c>
      <c r="F809" s="476">
        <v>19240</v>
      </c>
      <c r="G809" s="476">
        <v>19246</v>
      </c>
      <c r="H809" s="476">
        <v>19252</v>
      </c>
      <c r="I809" s="476">
        <v>19257</v>
      </c>
      <c r="J809" s="476">
        <v>19263</v>
      </c>
      <c r="K809" s="476">
        <v>19268</v>
      </c>
    </row>
    <row r="810" spans="1:11">
      <c r="A810" s="479">
        <v>6746.6</v>
      </c>
      <c r="B810" s="476">
        <v>19274</v>
      </c>
      <c r="C810" s="476">
        <v>19279</v>
      </c>
      <c r="D810" s="476">
        <v>19285</v>
      </c>
      <c r="E810" s="476">
        <v>19290</v>
      </c>
      <c r="F810" s="476">
        <v>19296</v>
      </c>
      <c r="G810" s="476">
        <v>19301</v>
      </c>
      <c r="H810" s="476">
        <v>19307</v>
      </c>
      <c r="I810" s="476">
        <v>19313</v>
      </c>
      <c r="J810" s="476">
        <v>19318</v>
      </c>
      <c r="K810" s="476">
        <v>19324</v>
      </c>
    </row>
    <row r="811" spans="1:11">
      <c r="A811" s="479">
        <v>6746.7</v>
      </c>
      <c r="B811" s="476">
        <v>19329</v>
      </c>
      <c r="C811" s="476">
        <v>19335</v>
      </c>
      <c r="D811" s="476">
        <v>19340</v>
      </c>
      <c r="E811" s="476">
        <v>19346</v>
      </c>
      <c r="F811" s="476">
        <v>19351</v>
      </c>
      <c r="G811" s="476">
        <v>19357</v>
      </c>
      <c r="H811" s="476">
        <v>19362</v>
      </c>
      <c r="I811" s="476">
        <v>19368</v>
      </c>
      <c r="J811" s="476">
        <v>19374</v>
      </c>
      <c r="K811" s="476">
        <v>19379</v>
      </c>
    </row>
    <row r="812" spans="1:11">
      <c r="A812" s="479">
        <v>6746.8</v>
      </c>
      <c r="B812" s="476">
        <v>19385</v>
      </c>
      <c r="C812" s="476">
        <v>19390</v>
      </c>
      <c r="D812" s="476">
        <v>19396</v>
      </c>
      <c r="E812" s="476">
        <v>19401</v>
      </c>
      <c r="F812" s="476">
        <v>19407</v>
      </c>
      <c r="G812" s="476">
        <v>19412</v>
      </c>
      <c r="H812" s="476">
        <v>19418</v>
      </c>
      <c r="I812" s="476">
        <v>19423</v>
      </c>
      <c r="J812" s="476">
        <v>19429</v>
      </c>
      <c r="K812" s="476">
        <v>19435</v>
      </c>
    </row>
    <row r="813" spans="1:11">
      <c r="A813" s="479">
        <v>6746.9</v>
      </c>
      <c r="B813" s="476">
        <v>19440</v>
      </c>
      <c r="C813" s="476">
        <v>19446</v>
      </c>
      <c r="D813" s="476">
        <v>19451</v>
      </c>
      <c r="E813" s="476">
        <v>19457</v>
      </c>
      <c r="F813" s="476">
        <v>19462</v>
      </c>
      <c r="G813" s="476">
        <v>19468</v>
      </c>
      <c r="H813" s="476">
        <v>19473</v>
      </c>
      <c r="I813" s="476">
        <v>19479</v>
      </c>
      <c r="J813" s="476">
        <v>19484</v>
      </c>
      <c r="K813" s="476">
        <v>19490</v>
      </c>
    </row>
    <row r="814" spans="1:11">
      <c r="A814" s="479">
        <v>6747</v>
      </c>
      <c r="B814" s="476">
        <v>19495</v>
      </c>
      <c r="C814" s="476">
        <v>19501</v>
      </c>
      <c r="D814" s="476">
        <v>19507</v>
      </c>
      <c r="E814" s="476">
        <v>19512</v>
      </c>
      <c r="F814" s="476">
        <v>19518</v>
      </c>
      <c r="G814" s="476">
        <v>19524</v>
      </c>
      <c r="H814" s="476">
        <v>19529</v>
      </c>
      <c r="I814" s="476">
        <v>19535</v>
      </c>
      <c r="J814" s="476">
        <v>19541</v>
      </c>
      <c r="K814" s="476">
        <v>19546</v>
      </c>
    </row>
    <row r="815" spans="1:11">
      <c r="A815" s="479">
        <v>6747.1</v>
      </c>
      <c r="B815" s="476">
        <v>19552</v>
      </c>
      <c r="C815" s="476">
        <v>19558</v>
      </c>
      <c r="D815" s="476">
        <v>19563</v>
      </c>
      <c r="E815" s="476">
        <v>19569</v>
      </c>
      <c r="F815" s="476">
        <v>19574</v>
      </c>
      <c r="G815" s="476">
        <v>19580</v>
      </c>
      <c r="H815" s="476">
        <v>19586</v>
      </c>
      <c r="I815" s="476">
        <v>19591</v>
      </c>
      <c r="J815" s="476">
        <v>19597</v>
      </c>
      <c r="K815" s="476">
        <v>19603</v>
      </c>
    </row>
    <row r="816" spans="1:11">
      <c r="A816" s="479">
        <v>6747.2</v>
      </c>
      <c r="B816" s="476">
        <v>19608</v>
      </c>
      <c r="C816" s="476">
        <v>19614</v>
      </c>
      <c r="D816" s="476">
        <v>19620</v>
      </c>
      <c r="E816" s="476">
        <v>19625</v>
      </c>
      <c r="F816" s="476">
        <v>19631</v>
      </c>
      <c r="G816" s="476">
        <v>19636</v>
      </c>
      <c r="H816" s="476">
        <v>19642</v>
      </c>
      <c r="I816" s="476">
        <v>19648</v>
      </c>
      <c r="J816" s="476">
        <v>19653</v>
      </c>
      <c r="K816" s="476">
        <v>19659</v>
      </c>
    </row>
    <row r="817" spans="1:11">
      <c r="A817" s="479">
        <v>6747.3</v>
      </c>
      <c r="B817" s="476">
        <v>19665</v>
      </c>
      <c r="C817" s="476">
        <v>19670</v>
      </c>
      <c r="D817" s="476">
        <v>19676</v>
      </c>
      <c r="E817" s="476">
        <v>19682</v>
      </c>
      <c r="F817" s="476">
        <v>19687</v>
      </c>
      <c r="G817" s="476">
        <v>19693</v>
      </c>
      <c r="H817" s="476">
        <v>19698</v>
      </c>
      <c r="I817" s="476">
        <v>19704</v>
      </c>
      <c r="J817" s="476">
        <v>19710</v>
      </c>
      <c r="K817" s="476">
        <v>19715</v>
      </c>
    </row>
    <row r="818" spans="1:11">
      <c r="A818" s="479">
        <v>6747.4</v>
      </c>
      <c r="B818" s="476">
        <v>19721</v>
      </c>
      <c r="C818" s="476">
        <v>19727</v>
      </c>
      <c r="D818" s="476">
        <v>19732</v>
      </c>
      <c r="E818" s="476">
        <v>19738</v>
      </c>
      <c r="F818" s="476">
        <v>19744</v>
      </c>
      <c r="G818" s="476">
        <v>19749</v>
      </c>
      <c r="H818" s="476">
        <v>19755</v>
      </c>
      <c r="I818" s="476">
        <v>19760</v>
      </c>
      <c r="J818" s="476">
        <v>19766</v>
      </c>
      <c r="K818" s="476">
        <v>19772</v>
      </c>
    </row>
    <row r="819" spans="1:11">
      <c r="A819" s="479">
        <v>6747.5</v>
      </c>
      <c r="B819" s="476">
        <v>19777</v>
      </c>
      <c r="C819" s="476">
        <v>19783</v>
      </c>
      <c r="D819" s="476">
        <v>19789</v>
      </c>
      <c r="E819" s="476">
        <v>19794</v>
      </c>
      <c r="F819" s="476">
        <v>19800</v>
      </c>
      <c r="G819" s="476">
        <v>19806</v>
      </c>
      <c r="H819" s="476">
        <v>19811</v>
      </c>
      <c r="I819" s="476">
        <v>19817</v>
      </c>
      <c r="J819" s="476">
        <v>19822</v>
      </c>
      <c r="K819" s="476">
        <v>19828</v>
      </c>
    </row>
    <row r="820" spans="1:11">
      <c r="A820" s="479">
        <v>6747.6</v>
      </c>
      <c r="B820" s="476">
        <v>19834</v>
      </c>
      <c r="C820" s="476">
        <v>19839</v>
      </c>
      <c r="D820" s="476">
        <v>19845</v>
      </c>
      <c r="E820" s="476">
        <v>19851</v>
      </c>
      <c r="F820" s="476">
        <v>19856</v>
      </c>
      <c r="G820" s="476">
        <v>19862</v>
      </c>
      <c r="H820" s="476">
        <v>19868</v>
      </c>
      <c r="I820" s="476">
        <v>19873</v>
      </c>
      <c r="J820" s="476">
        <v>19879</v>
      </c>
      <c r="K820" s="476">
        <v>19885</v>
      </c>
    </row>
    <row r="821" spans="1:11">
      <c r="A821" s="479">
        <v>6747.7</v>
      </c>
      <c r="B821" s="476">
        <v>19890</v>
      </c>
      <c r="C821" s="476">
        <v>19896</v>
      </c>
      <c r="D821" s="476">
        <v>19901</v>
      </c>
      <c r="E821" s="476">
        <v>19907</v>
      </c>
      <c r="F821" s="476">
        <v>19913</v>
      </c>
      <c r="G821" s="476">
        <v>19918</v>
      </c>
      <c r="H821" s="476">
        <v>19924</v>
      </c>
      <c r="I821" s="476">
        <v>19930</v>
      </c>
      <c r="J821" s="476">
        <v>19935</v>
      </c>
      <c r="K821" s="476">
        <v>19941</v>
      </c>
    </row>
    <row r="822" spans="1:11">
      <c r="A822" s="479">
        <v>6747.8</v>
      </c>
      <c r="B822" s="476">
        <v>19947</v>
      </c>
      <c r="C822" s="476">
        <v>19952</v>
      </c>
      <c r="D822" s="476">
        <v>19958</v>
      </c>
      <c r="E822" s="476">
        <v>19963</v>
      </c>
      <c r="F822" s="476">
        <v>19969</v>
      </c>
      <c r="G822" s="476">
        <v>19975</v>
      </c>
      <c r="H822" s="476">
        <v>19980</v>
      </c>
      <c r="I822" s="476">
        <v>19986</v>
      </c>
      <c r="J822" s="476">
        <v>19992</v>
      </c>
      <c r="K822" s="476">
        <v>19997</v>
      </c>
    </row>
    <row r="823" spans="1:11">
      <c r="A823" s="479">
        <v>6747.9</v>
      </c>
      <c r="B823" s="476">
        <v>20003</v>
      </c>
      <c r="C823" s="476">
        <v>20009</v>
      </c>
      <c r="D823" s="476">
        <v>20014</v>
      </c>
      <c r="E823" s="476">
        <v>20020</v>
      </c>
      <c r="F823" s="476">
        <v>20025</v>
      </c>
      <c r="G823" s="476">
        <v>20031</v>
      </c>
      <c r="H823" s="476">
        <v>20037</v>
      </c>
      <c r="I823" s="476">
        <v>20042</v>
      </c>
      <c r="J823" s="476">
        <v>20048</v>
      </c>
      <c r="K823" s="476">
        <v>20054</v>
      </c>
    </row>
    <row r="824" spans="1:11">
      <c r="A824" s="479">
        <v>6748</v>
      </c>
      <c r="B824" s="476">
        <v>20059</v>
      </c>
      <c r="C824" s="476">
        <v>20065</v>
      </c>
      <c r="D824" s="476">
        <v>20071</v>
      </c>
      <c r="E824" s="476">
        <v>20076</v>
      </c>
      <c r="F824" s="476">
        <v>20082</v>
      </c>
      <c r="G824" s="476">
        <v>20088</v>
      </c>
      <c r="H824" s="476">
        <v>20094</v>
      </c>
      <c r="I824" s="476">
        <v>20099</v>
      </c>
      <c r="J824" s="476">
        <v>20105</v>
      </c>
      <c r="K824" s="476">
        <v>20111</v>
      </c>
    </row>
    <row r="825" spans="1:11">
      <c r="A825" s="479">
        <v>6748.1</v>
      </c>
      <c r="B825" s="476">
        <v>20117</v>
      </c>
      <c r="C825" s="476">
        <v>20122</v>
      </c>
      <c r="D825" s="476">
        <v>20128</v>
      </c>
      <c r="E825" s="476">
        <v>20134</v>
      </c>
      <c r="F825" s="476">
        <v>20140</v>
      </c>
      <c r="G825" s="476">
        <v>20145</v>
      </c>
      <c r="H825" s="476">
        <v>20151</v>
      </c>
      <c r="I825" s="476">
        <v>20157</v>
      </c>
      <c r="J825" s="476">
        <v>20162</v>
      </c>
      <c r="K825" s="476">
        <v>20168</v>
      </c>
    </row>
    <row r="826" spans="1:11">
      <c r="A826" s="479">
        <v>6748.2</v>
      </c>
      <c r="B826" s="476">
        <v>20174</v>
      </c>
      <c r="C826" s="476">
        <v>20180</v>
      </c>
      <c r="D826" s="476">
        <v>20185</v>
      </c>
      <c r="E826" s="476">
        <v>20191</v>
      </c>
      <c r="F826" s="476">
        <v>20197</v>
      </c>
      <c r="G826" s="476">
        <v>20203</v>
      </c>
      <c r="H826" s="476">
        <v>20208</v>
      </c>
      <c r="I826" s="476">
        <v>20211</v>
      </c>
      <c r="J826" s="476">
        <v>20220</v>
      </c>
      <c r="K826" s="476">
        <v>20226</v>
      </c>
    </row>
    <row r="827" spans="1:11">
      <c r="A827" s="479">
        <v>6748.3</v>
      </c>
      <c r="B827" s="476">
        <v>20231</v>
      </c>
      <c r="C827" s="476">
        <v>20237</v>
      </c>
      <c r="D827" s="476">
        <v>20243</v>
      </c>
      <c r="E827" s="476">
        <v>20249</v>
      </c>
      <c r="F827" s="476">
        <v>20254</v>
      </c>
      <c r="G827" s="476">
        <v>20260</v>
      </c>
      <c r="H827" s="476">
        <v>20266</v>
      </c>
      <c r="I827" s="476">
        <v>20271</v>
      </c>
      <c r="J827" s="476">
        <v>20277</v>
      </c>
      <c r="K827" s="476">
        <v>20283</v>
      </c>
    </row>
    <row r="828" spans="1:11">
      <c r="A828" s="479">
        <v>6748.4</v>
      </c>
      <c r="B828" s="476">
        <v>20289</v>
      </c>
      <c r="C828" s="476">
        <v>20294</v>
      </c>
      <c r="D828" s="476">
        <v>20300</v>
      </c>
      <c r="E828" s="476">
        <v>20306</v>
      </c>
      <c r="F828" s="476">
        <v>20312</v>
      </c>
      <c r="G828" s="476">
        <v>20317</v>
      </c>
      <c r="H828" s="476">
        <v>20323</v>
      </c>
      <c r="I828" s="476">
        <v>20329</v>
      </c>
      <c r="J828" s="476">
        <v>20335</v>
      </c>
      <c r="K828" s="476">
        <v>20340</v>
      </c>
    </row>
    <row r="829" spans="1:11">
      <c r="A829" s="479">
        <v>6748.5</v>
      </c>
      <c r="B829" s="476">
        <v>20346</v>
      </c>
      <c r="C829" s="476">
        <v>20352</v>
      </c>
      <c r="D829" s="476">
        <v>20357</v>
      </c>
      <c r="E829" s="476">
        <v>20363</v>
      </c>
      <c r="F829" s="476">
        <v>20369</v>
      </c>
      <c r="G829" s="476">
        <v>20375</v>
      </c>
      <c r="H829" s="476">
        <v>20380</v>
      </c>
      <c r="I829" s="476">
        <v>20386</v>
      </c>
      <c r="J829" s="476">
        <v>20392</v>
      </c>
      <c r="K829" s="476">
        <v>20398</v>
      </c>
    </row>
    <row r="830" spans="1:11">
      <c r="A830" s="479">
        <v>6748.6</v>
      </c>
      <c r="B830" s="476">
        <v>20403</v>
      </c>
      <c r="C830" s="476">
        <v>20409</v>
      </c>
      <c r="D830" s="476">
        <v>20415</v>
      </c>
      <c r="E830" s="476">
        <v>20421</v>
      </c>
      <c r="F830" s="476">
        <v>20426</v>
      </c>
      <c r="G830" s="476">
        <v>20432</v>
      </c>
      <c r="H830" s="476">
        <v>20438</v>
      </c>
      <c r="I830" s="476">
        <v>20443</v>
      </c>
      <c r="J830" s="476">
        <v>20449</v>
      </c>
      <c r="K830" s="476">
        <v>20455</v>
      </c>
    </row>
    <row r="831" spans="1:11">
      <c r="A831" s="479">
        <v>6748.7</v>
      </c>
      <c r="B831" s="476">
        <v>20461</v>
      </c>
      <c r="C831" s="476">
        <v>20466</v>
      </c>
      <c r="D831" s="476">
        <v>20472</v>
      </c>
      <c r="E831" s="476">
        <v>20478</v>
      </c>
      <c r="F831" s="476">
        <v>20484</v>
      </c>
      <c r="G831" s="476">
        <v>20489</v>
      </c>
      <c r="H831" s="476">
        <v>20495</v>
      </c>
      <c r="I831" s="476">
        <v>20501</v>
      </c>
      <c r="J831" s="476">
        <v>20507</v>
      </c>
      <c r="K831" s="476">
        <v>20512</v>
      </c>
    </row>
    <row r="832" spans="1:11">
      <c r="A832" s="479">
        <v>6748.8</v>
      </c>
      <c r="B832" s="476">
        <v>20518</v>
      </c>
      <c r="C832" s="476">
        <v>20524</v>
      </c>
      <c r="D832" s="476">
        <v>20529</v>
      </c>
      <c r="E832" s="476">
        <v>20535</v>
      </c>
      <c r="F832" s="476">
        <v>20541</v>
      </c>
      <c r="G832" s="476">
        <v>20547</v>
      </c>
      <c r="H832" s="476">
        <v>20552</v>
      </c>
      <c r="I832" s="476">
        <v>20558</v>
      </c>
      <c r="J832" s="476">
        <v>20564</v>
      </c>
      <c r="K832" s="476">
        <v>20570</v>
      </c>
    </row>
    <row r="833" spans="1:11">
      <c r="A833" s="479">
        <v>6748.9</v>
      </c>
      <c r="B833" s="476">
        <v>20575</v>
      </c>
      <c r="C833" s="476">
        <v>20581</v>
      </c>
      <c r="D833" s="476">
        <v>20587</v>
      </c>
      <c r="E833" s="476">
        <v>20593</v>
      </c>
      <c r="F833" s="476">
        <v>20598</v>
      </c>
      <c r="G833" s="476">
        <v>20604</v>
      </c>
      <c r="H833" s="476">
        <v>20610</v>
      </c>
      <c r="I833" s="476">
        <v>20615</v>
      </c>
      <c r="J833" s="476">
        <v>20621</v>
      </c>
      <c r="K833" s="476">
        <v>20627</v>
      </c>
    </row>
    <row r="834" spans="1:11">
      <c r="A834" s="479">
        <v>6749</v>
      </c>
      <c r="B834" s="476">
        <v>20633</v>
      </c>
      <c r="C834" s="476">
        <v>20639</v>
      </c>
      <c r="D834" s="476">
        <v>20644</v>
      </c>
      <c r="E834" s="476">
        <v>20650</v>
      </c>
      <c r="F834" s="476">
        <v>20656</v>
      </c>
      <c r="G834" s="476">
        <v>20662</v>
      </c>
      <c r="H834" s="476">
        <v>20668</v>
      </c>
      <c r="I834" s="476">
        <v>20673</v>
      </c>
      <c r="J834" s="476">
        <v>20679</v>
      </c>
      <c r="K834" s="476">
        <v>20685</v>
      </c>
    </row>
    <row r="835" spans="1:11">
      <c r="A835" s="479">
        <v>6749.1</v>
      </c>
      <c r="B835" s="476">
        <v>20691</v>
      </c>
      <c r="C835" s="476">
        <v>20697</v>
      </c>
      <c r="D835" s="476">
        <v>20703</v>
      </c>
      <c r="E835" s="476">
        <v>20708</v>
      </c>
      <c r="F835" s="476">
        <v>20714</v>
      </c>
      <c r="G835" s="476">
        <v>20720</v>
      </c>
      <c r="H835" s="476">
        <v>20726</v>
      </c>
      <c r="I835" s="476">
        <v>20732</v>
      </c>
      <c r="J835" s="476">
        <v>20738</v>
      </c>
      <c r="K835" s="476">
        <v>20743</v>
      </c>
    </row>
    <row r="836" spans="1:11">
      <c r="A836" s="479">
        <v>6749.2</v>
      </c>
      <c r="B836" s="476">
        <v>20749</v>
      </c>
      <c r="C836" s="476">
        <v>20755</v>
      </c>
      <c r="D836" s="476">
        <v>20761</v>
      </c>
      <c r="E836" s="476">
        <v>20767</v>
      </c>
      <c r="F836" s="476">
        <v>20773</v>
      </c>
      <c r="G836" s="476">
        <v>20778</v>
      </c>
      <c r="H836" s="476">
        <v>20784</v>
      </c>
      <c r="I836" s="476">
        <v>20790</v>
      </c>
      <c r="J836" s="476">
        <v>20796</v>
      </c>
      <c r="K836" s="476">
        <v>20802</v>
      </c>
    </row>
    <row r="837" spans="1:11">
      <c r="A837" s="479">
        <v>6749.3</v>
      </c>
      <c r="B837" s="476">
        <v>20808</v>
      </c>
      <c r="C837" s="476">
        <v>20813</v>
      </c>
      <c r="D837" s="476">
        <v>20819</v>
      </c>
      <c r="E837" s="476">
        <v>20825</v>
      </c>
      <c r="F837" s="476">
        <v>20831</v>
      </c>
      <c r="G837" s="476">
        <v>20837</v>
      </c>
      <c r="H837" s="476">
        <v>20843</v>
      </c>
      <c r="I837" s="476">
        <v>20848</v>
      </c>
      <c r="J837" s="476">
        <v>20854</v>
      </c>
      <c r="K837" s="476">
        <v>20860</v>
      </c>
    </row>
    <row r="838" spans="1:11">
      <c r="A838" s="479">
        <v>6749.4</v>
      </c>
      <c r="B838" s="476">
        <v>20866</v>
      </c>
      <c r="C838" s="476">
        <v>20872</v>
      </c>
      <c r="D838" s="476">
        <v>20878</v>
      </c>
      <c r="E838" s="476">
        <v>20883</v>
      </c>
      <c r="F838" s="476">
        <v>20889</v>
      </c>
      <c r="G838" s="476">
        <v>20895</v>
      </c>
      <c r="H838" s="476">
        <v>20901</v>
      </c>
      <c r="I838" s="476">
        <v>20907</v>
      </c>
      <c r="J838" s="476">
        <v>20913</v>
      </c>
      <c r="K838" s="476">
        <v>20918</v>
      </c>
    </row>
    <row r="839" spans="1:11">
      <c r="A839" s="479">
        <v>6749.5</v>
      </c>
      <c r="B839" s="476">
        <v>20924</v>
      </c>
      <c r="C839" s="476">
        <v>20930</v>
      </c>
      <c r="D839" s="476">
        <v>20936</v>
      </c>
      <c r="E839" s="476">
        <v>20942</v>
      </c>
      <c r="F839" s="476">
        <v>20948</v>
      </c>
      <c r="G839" s="476">
        <v>20953</v>
      </c>
      <c r="H839" s="476">
        <v>20959</v>
      </c>
      <c r="I839" s="476">
        <v>20965</v>
      </c>
      <c r="J839" s="476">
        <v>20971</v>
      </c>
      <c r="K839" s="476">
        <v>20977</v>
      </c>
    </row>
    <row r="840" spans="1:11">
      <c r="A840" s="479">
        <v>6749.6</v>
      </c>
      <c r="B840" s="476">
        <v>20983</v>
      </c>
      <c r="C840" s="476">
        <v>20988</v>
      </c>
      <c r="D840" s="476">
        <v>20994</v>
      </c>
      <c r="E840" s="476">
        <v>21000</v>
      </c>
      <c r="F840" s="476">
        <v>21006</v>
      </c>
      <c r="G840" s="476">
        <v>21012</v>
      </c>
      <c r="H840" s="476">
        <v>21018</v>
      </c>
      <c r="I840" s="476">
        <v>21023</v>
      </c>
      <c r="J840" s="476">
        <v>21029</v>
      </c>
      <c r="K840" s="476">
        <v>21035</v>
      </c>
    </row>
    <row r="841" spans="1:11">
      <c r="A841" s="479">
        <v>6749.7</v>
      </c>
      <c r="B841" s="476">
        <v>21041</v>
      </c>
      <c r="C841" s="476">
        <v>21047</v>
      </c>
      <c r="D841" s="476">
        <v>21053</v>
      </c>
      <c r="E841" s="476">
        <v>21058</v>
      </c>
      <c r="F841" s="476">
        <v>21064</v>
      </c>
      <c r="G841" s="476">
        <v>21070</v>
      </c>
      <c r="H841" s="476">
        <v>21076</v>
      </c>
      <c r="I841" s="476">
        <v>21082</v>
      </c>
      <c r="J841" s="476">
        <v>21087</v>
      </c>
      <c r="K841" s="476">
        <v>21093</v>
      </c>
    </row>
    <row r="842" spans="1:11">
      <c r="A842" s="479">
        <v>6749.8</v>
      </c>
      <c r="B842" s="476">
        <v>21099</v>
      </c>
      <c r="C842" s="476">
        <v>21105</v>
      </c>
      <c r="D842" s="476">
        <v>21111</v>
      </c>
      <c r="E842" s="476">
        <v>21117</v>
      </c>
      <c r="F842" s="476">
        <v>21122</v>
      </c>
      <c r="G842" s="476">
        <v>21128</v>
      </c>
      <c r="H842" s="476">
        <v>21134</v>
      </c>
      <c r="I842" s="476">
        <v>21140</v>
      </c>
      <c r="J842" s="476">
        <v>21146</v>
      </c>
      <c r="K842" s="476">
        <v>21152</v>
      </c>
    </row>
    <row r="843" spans="1:11">
      <c r="A843" s="479">
        <v>6749.9</v>
      </c>
      <c r="B843" s="476">
        <v>21157</v>
      </c>
      <c r="C843" s="476">
        <v>21163</v>
      </c>
      <c r="D843" s="476">
        <v>21169</v>
      </c>
      <c r="E843" s="476">
        <v>21175</v>
      </c>
      <c r="F843" s="476">
        <v>21181</v>
      </c>
      <c r="G843" s="476">
        <v>21187</v>
      </c>
      <c r="H843" s="476">
        <v>21192</v>
      </c>
      <c r="I843" s="476">
        <v>21198</v>
      </c>
      <c r="J843" s="476">
        <v>21204</v>
      </c>
      <c r="K843" s="476">
        <v>21210</v>
      </c>
    </row>
    <row r="844" spans="1:11">
      <c r="A844" s="479">
        <v>6750</v>
      </c>
      <c r="B844" s="476">
        <v>21216</v>
      </c>
      <c r="C844" s="476">
        <v>21222</v>
      </c>
      <c r="D844" s="476">
        <v>21228</v>
      </c>
      <c r="E844" s="476">
        <v>21234</v>
      </c>
      <c r="F844" s="476">
        <v>21239</v>
      </c>
      <c r="G844" s="476">
        <v>21245</v>
      </c>
      <c r="H844" s="476">
        <v>21251</v>
      </c>
      <c r="I844" s="476">
        <v>21257</v>
      </c>
      <c r="J844" s="476">
        <v>21263</v>
      </c>
      <c r="K844" s="476">
        <v>21269</v>
      </c>
    </row>
    <row r="845" spans="1:11">
      <c r="A845" s="479">
        <v>6750.1</v>
      </c>
      <c r="B845" s="476">
        <v>21275</v>
      </c>
      <c r="C845" s="476">
        <v>21281</v>
      </c>
      <c r="D845" s="476">
        <v>21287</v>
      </c>
      <c r="E845" s="476">
        <v>21293</v>
      </c>
      <c r="F845" s="476">
        <v>21299</v>
      </c>
      <c r="G845" s="476">
        <v>21305</v>
      </c>
      <c r="H845" s="476">
        <v>21311</v>
      </c>
      <c r="I845" s="476">
        <v>21317</v>
      </c>
      <c r="J845" s="476">
        <v>21323</v>
      </c>
      <c r="K845" s="476">
        <v>21328</v>
      </c>
    </row>
    <row r="846" spans="1:11">
      <c r="A846" s="479">
        <v>6750.2</v>
      </c>
      <c r="B846" s="476">
        <v>21334</v>
      </c>
      <c r="C846" s="476">
        <v>21340</v>
      </c>
      <c r="D846" s="476">
        <v>21346</v>
      </c>
      <c r="E846" s="476">
        <v>21352</v>
      </c>
      <c r="F846" s="476">
        <v>21358</v>
      </c>
      <c r="G846" s="476">
        <v>21364</v>
      </c>
      <c r="H846" s="476">
        <v>21370</v>
      </c>
      <c r="I846" s="476">
        <v>21376</v>
      </c>
      <c r="J846" s="476">
        <v>21382</v>
      </c>
      <c r="K846" s="476">
        <v>21388</v>
      </c>
    </row>
    <row r="847" spans="1:11">
      <c r="A847" s="479">
        <v>6750.3</v>
      </c>
      <c r="B847" s="476">
        <v>21394</v>
      </c>
      <c r="C847" s="476">
        <v>21400</v>
      </c>
      <c r="D847" s="476">
        <v>21406</v>
      </c>
      <c r="E847" s="476">
        <v>21411</v>
      </c>
      <c r="F847" s="476">
        <v>21417</v>
      </c>
      <c r="G847" s="476">
        <v>21423</v>
      </c>
      <c r="H847" s="476">
        <v>21429</v>
      </c>
      <c r="I847" s="476">
        <v>21435</v>
      </c>
      <c r="J847" s="476">
        <v>21441</v>
      </c>
      <c r="K847" s="476">
        <v>21447</v>
      </c>
    </row>
    <row r="848" spans="1:11">
      <c r="A848" s="479">
        <v>6750.4</v>
      </c>
      <c r="B848" s="476">
        <v>21453</v>
      </c>
      <c r="C848" s="476">
        <v>21459</v>
      </c>
      <c r="D848" s="476">
        <v>21465</v>
      </c>
      <c r="E848" s="476">
        <v>21471</v>
      </c>
      <c r="F848" s="476">
        <v>21477</v>
      </c>
      <c r="G848" s="476">
        <v>21483</v>
      </c>
      <c r="H848" s="476">
        <v>21489</v>
      </c>
      <c r="I848" s="476">
        <v>21494</v>
      </c>
      <c r="J848" s="476">
        <v>21500</v>
      </c>
      <c r="K848" s="476">
        <v>21506</v>
      </c>
    </row>
    <row r="849" spans="1:11">
      <c r="A849" s="479">
        <v>6750.5</v>
      </c>
      <c r="B849" s="476">
        <v>21512</v>
      </c>
      <c r="C849" s="476">
        <v>21518</v>
      </c>
      <c r="D849" s="476">
        <v>21524</v>
      </c>
      <c r="E849" s="476">
        <v>21530</v>
      </c>
      <c r="F849" s="476">
        <v>21536</v>
      </c>
      <c r="G849" s="476">
        <v>21542</v>
      </c>
      <c r="H849" s="476">
        <v>21548</v>
      </c>
      <c r="I849" s="476">
        <v>21554</v>
      </c>
      <c r="J849" s="476">
        <v>21560</v>
      </c>
      <c r="K849" s="476">
        <v>21566</v>
      </c>
    </row>
    <row r="850" spans="1:11">
      <c r="A850" s="479">
        <v>6750.6</v>
      </c>
      <c r="B850" s="476">
        <v>21572</v>
      </c>
      <c r="C850" s="476">
        <v>21577</v>
      </c>
      <c r="D850" s="476">
        <v>21583</v>
      </c>
      <c r="E850" s="476">
        <v>21589</v>
      </c>
      <c r="F850" s="476">
        <v>21595</v>
      </c>
      <c r="G850" s="476">
        <v>21601</v>
      </c>
      <c r="H850" s="476">
        <v>21607</v>
      </c>
      <c r="I850" s="476">
        <v>21613</v>
      </c>
      <c r="J850" s="476">
        <v>21619</v>
      </c>
      <c r="K850" s="476">
        <v>21625</v>
      </c>
    </row>
    <row r="851" spans="1:11">
      <c r="A851" s="479">
        <v>6750.7</v>
      </c>
      <c r="B851" s="476">
        <v>21631</v>
      </c>
      <c r="C851" s="476">
        <v>21637</v>
      </c>
      <c r="D851" s="476">
        <v>21643</v>
      </c>
      <c r="E851" s="476">
        <v>21649</v>
      </c>
      <c r="F851" s="476">
        <v>21655</v>
      </c>
      <c r="G851" s="476">
        <v>21660</v>
      </c>
      <c r="H851" s="476">
        <v>21666</v>
      </c>
      <c r="I851" s="476">
        <v>21672</v>
      </c>
      <c r="J851" s="476">
        <v>21678</v>
      </c>
      <c r="K851" s="476">
        <v>21684</v>
      </c>
    </row>
    <row r="852" spans="1:11">
      <c r="A852" s="479">
        <v>6750.8</v>
      </c>
      <c r="B852" s="476">
        <v>21690</v>
      </c>
      <c r="C852" s="476">
        <v>21696</v>
      </c>
      <c r="D852" s="476">
        <v>21702</v>
      </c>
      <c r="E852" s="476">
        <v>21708</v>
      </c>
      <c r="F852" s="476">
        <v>21714</v>
      </c>
      <c r="G852" s="476">
        <v>21720</v>
      </c>
      <c r="H852" s="476">
        <v>21726</v>
      </c>
      <c r="I852" s="476">
        <v>21732</v>
      </c>
      <c r="J852" s="476">
        <v>21738</v>
      </c>
      <c r="K852" s="476">
        <v>21743</v>
      </c>
    </row>
    <row r="853" spans="1:11">
      <c r="A853" s="479">
        <v>6750.9</v>
      </c>
      <c r="B853" s="476">
        <v>21749</v>
      </c>
      <c r="C853" s="476">
        <v>21755</v>
      </c>
      <c r="D853" s="476">
        <v>21761</v>
      </c>
      <c r="E853" s="476">
        <v>21767</v>
      </c>
      <c r="F853" s="476">
        <v>21773</v>
      </c>
      <c r="G853" s="476">
        <v>21779</v>
      </c>
      <c r="H853" s="476">
        <v>21785</v>
      </c>
      <c r="I853" s="476">
        <v>21791</v>
      </c>
      <c r="J853" s="476">
        <v>21797</v>
      </c>
      <c r="K853" s="476">
        <v>21803</v>
      </c>
    </row>
    <row r="854" spans="1:11">
      <c r="A854" s="479">
        <v>6751</v>
      </c>
      <c r="B854" s="476">
        <v>21809</v>
      </c>
      <c r="C854" s="476">
        <v>21815</v>
      </c>
      <c r="D854" s="476">
        <v>21821</v>
      </c>
      <c r="E854" s="476">
        <v>21827</v>
      </c>
      <c r="F854" s="476">
        <v>21833</v>
      </c>
      <c r="G854" s="476">
        <v>21839</v>
      </c>
      <c r="H854" s="476">
        <v>21845</v>
      </c>
      <c r="I854" s="476">
        <v>21851</v>
      </c>
      <c r="J854" s="476">
        <v>21857</v>
      </c>
      <c r="K854" s="476">
        <v>21863</v>
      </c>
    </row>
    <row r="855" spans="1:11">
      <c r="A855" s="479">
        <v>6751.1</v>
      </c>
      <c r="B855" s="476">
        <v>21869</v>
      </c>
      <c r="C855" s="476">
        <v>21875</v>
      </c>
      <c r="D855" s="476">
        <v>21881</v>
      </c>
      <c r="E855" s="476">
        <v>21887</v>
      </c>
      <c r="F855" s="476">
        <v>21893</v>
      </c>
      <c r="G855" s="476">
        <v>21899</v>
      </c>
      <c r="H855" s="476">
        <v>21905</v>
      </c>
      <c r="I855" s="476">
        <v>21911</v>
      </c>
      <c r="J855" s="476">
        <v>21917</v>
      </c>
      <c r="K855" s="476">
        <v>21923</v>
      </c>
    </row>
    <row r="856" spans="1:11">
      <c r="A856" s="479">
        <v>6751.2</v>
      </c>
      <c r="B856" s="476">
        <v>21929</v>
      </c>
      <c r="C856" s="476">
        <v>21935</v>
      </c>
      <c r="D856" s="476">
        <v>21941</v>
      </c>
      <c r="E856" s="476">
        <v>21947</v>
      </c>
      <c r="F856" s="476">
        <v>21953</v>
      </c>
      <c r="G856" s="476">
        <v>21959</v>
      </c>
      <c r="H856" s="476">
        <v>21965</v>
      </c>
      <c r="I856" s="476">
        <v>21972</v>
      </c>
      <c r="J856" s="476">
        <v>21978</v>
      </c>
      <c r="K856" s="476">
        <v>21984</v>
      </c>
    </row>
    <row r="857" spans="1:11">
      <c r="A857" s="479">
        <v>6751.3</v>
      </c>
      <c r="B857" s="476">
        <v>21990</v>
      </c>
      <c r="C857" s="476">
        <v>21996</v>
      </c>
      <c r="D857" s="476">
        <v>22002</v>
      </c>
      <c r="E857" s="476">
        <v>22008</v>
      </c>
      <c r="F857" s="476">
        <v>22014</v>
      </c>
      <c r="G857" s="476">
        <v>22020</v>
      </c>
      <c r="H857" s="476">
        <v>22026</v>
      </c>
      <c r="I857" s="476">
        <v>22032</v>
      </c>
      <c r="J857" s="476">
        <v>22038</v>
      </c>
      <c r="K857" s="476">
        <v>22044</v>
      </c>
    </row>
    <row r="858" spans="1:11">
      <c r="A858" s="479">
        <v>6751.4</v>
      </c>
      <c r="B858" s="476">
        <v>22050</v>
      </c>
      <c r="C858" s="476">
        <v>22056</v>
      </c>
      <c r="D858" s="476">
        <v>22062</v>
      </c>
      <c r="E858" s="476">
        <v>22068</v>
      </c>
      <c r="F858" s="476">
        <v>22074</v>
      </c>
      <c r="G858" s="476">
        <v>22080</v>
      </c>
      <c r="H858" s="476">
        <v>22086</v>
      </c>
      <c r="I858" s="476">
        <v>22092</v>
      </c>
      <c r="J858" s="476">
        <v>22098</v>
      </c>
      <c r="K858" s="476">
        <v>22104</v>
      </c>
    </row>
    <row r="859" spans="1:11">
      <c r="A859" s="479">
        <v>6751.5</v>
      </c>
      <c r="B859" s="476">
        <v>22110</v>
      </c>
      <c r="C859" s="476">
        <v>22116</v>
      </c>
      <c r="D859" s="476">
        <v>22122</v>
      </c>
      <c r="E859" s="476">
        <v>22128</v>
      </c>
      <c r="F859" s="476">
        <v>22134</v>
      </c>
      <c r="G859" s="476">
        <v>22140</v>
      </c>
      <c r="H859" s="476">
        <v>22146</v>
      </c>
      <c r="I859" s="476">
        <v>22152</v>
      </c>
      <c r="J859" s="476">
        <v>22158</v>
      </c>
      <c r="K859" s="476">
        <v>22164</v>
      </c>
    </row>
    <row r="860" spans="1:11">
      <c r="A860" s="479">
        <v>6751.6</v>
      </c>
      <c r="B860" s="476">
        <v>22170</v>
      </c>
      <c r="C860" s="476">
        <v>22176</v>
      </c>
      <c r="D860" s="476">
        <v>22183</v>
      </c>
      <c r="E860" s="476">
        <v>22189</v>
      </c>
      <c r="F860" s="476">
        <v>22195</v>
      </c>
      <c r="G860" s="476">
        <v>22201</v>
      </c>
      <c r="H860" s="476">
        <v>22207</v>
      </c>
      <c r="I860" s="476">
        <v>22213</v>
      </c>
      <c r="J860" s="476">
        <v>22219</v>
      </c>
      <c r="K860" s="476">
        <v>22225</v>
      </c>
    </row>
    <row r="861" spans="1:11">
      <c r="A861" s="479">
        <v>6751.7</v>
      </c>
      <c r="B861" s="476">
        <v>22231</v>
      </c>
      <c r="C861" s="476">
        <v>22237</v>
      </c>
      <c r="D861" s="476">
        <v>22243</v>
      </c>
      <c r="E861" s="476">
        <v>22249</v>
      </c>
      <c r="F861" s="476">
        <v>22255</v>
      </c>
      <c r="G861" s="476">
        <v>22261</v>
      </c>
      <c r="H861" s="476">
        <v>22267</v>
      </c>
      <c r="I861" s="476">
        <v>22273</v>
      </c>
      <c r="J861" s="476">
        <v>22279</v>
      </c>
      <c r="K861" s="476">
        <v>22285</v>
      </c>
    </row>
    <row r="862" spans="1:11">
      <c r="A862" s="479">
        <v>6751.8</v>
      </c>
      <c r="B862" s="476">
        <v>22291</v>
      </c>
      <c r="C862" s="476">
        <v>22297</v>
      </c>
      <c r="D862" s="476">
        <v>22303</v>
      </c>
      <c r="E862" s="476">
        <v>22309</v>
      </c>
      <c r="F862" s="476">
        <v>22315</v>
      </c>
      <c r="G862" s="476">
        <v>22321</v>
      </c>
      <c r="H862" s="476">
        <v>22327</v>
      </c>
      <c r="I862" s="476">
        <v>22333</v>
      </c>
      <c r="J862" s="476">
        <v>22339</v>
      </c>
      <c r="K862" s="476">
        <v>22345</v>
      </c>
    </row>
    <row r="863" spans="1:11">
      <c r="A863" s="479">
        <v>6751.9</v>
      </c>
      <c r="B863" s="476">
        <v>22351</v>
      </c>
      <c r="C863" s="476">
        <v>22357</v>
      </c>
      <c r="D863" s="476">
        <v>22363</v>
      </c>
      <c r="E863" s="476">
        <v>22369</v>
      </c>
      <c r="F863" s="476">
        <v>22375</v>
      </c>
      <c r="G863" s="476">
        <v>22381</v>
      </c>
      <c r="H863" s="476">
        <v>22388</v>
      </c>
      <c r="I863" s="476">
        <v>22394</v>
      </c>
      <c r="J863" s="476">
        <v>22400</v>
      </c>
      <c r="K863" s="476">
        <v>22406</v>
      </c>
    </row>
    <row r="864" spans="1:11">
      <c r="A864" s="479">
        <v>6752</v>
      </c>
      <c r="B864" s="476">
        <v>22412</v>
      </c>
      <c r="C864" s="476">
        <v>22418</v>
      </c>
      <c r="D864" s="476">
        <v>22424</v>
      </c>
      <c r="E864" s="476">
        <v>22430</v>
      </c>
      <c r="F864" s="476">
        <v>22436</v>
      </c>
      <c r="G864" s="476">
        <v>22442</v>
      </c>
      <c r="H864" s="476">
        <v>22448</v>
      </c>
      <c r="I864" s="476">
        <v>22455</v>
      </c>
      <c r="J864" s="476">
        <v>22461</v>
      </c>
      <c r="K864" s="476">
        <v>22567</v>
      </c>
    </row>
    <row r="865" spans="1:11">
      <c r="A865" s="479">
        <v>6752.1</v>
      </c>
      <c r="B865" s="476">
        <v>22473</v>
      </c>
      <c r="C865" s="476">
        <v>22479</v>
      </c>
      <c r="D865" s="476">
        <v>22485</v>
      </c>
      <c r="E865" s="476">
        <v>22491</v>
      </c>
      <c r="F865" s="476">
        <v>22497</v>
      </c>
      <c r="G865" s="476">
        <v>22504</v>
      </c>
      <c r="H865" s="476">
        <v>22510</v>
      </c>
      <c r="I865" s="476">
        <v>22516</v>
      </c>
      <c r="J865" s="476">
        <v>22522</v>
      </c>
      <c r="K865" s="476">
        <v>22528</v>
      </c>
    </row>
    <row r="866" spans="1:11">
      <c r="A866" s="479">
        <v>6752.2</v>
      </c>
      <c r="B866" s="476">
        <v>22534</v>
      </c>
      <c r="C866" s="476">
        <v>22540</v>
      </c>
      <c r="D866" s="476">
        <v>22547</v>
      </c>
      <c r="E866" s="476">
        <v>22553</v>
      </c>
      <c r="F866" s="476">
        <v>22559</v>
      </c>
      <c r="G866" s="476">
        <v>22565</v>
      </c>
      <c r="H866" s="476">
        <v>22571</v>
      </c>
      <c r="I866" s="476">
        <v>22577</v>
      </c>
      <c r="J866" s="476">
        <v>22583</v>
      </c>
      <c r="K866" s="476">
        <v>22589</v>
      </c>
    </row>
    <row r="867" spans="1:11">
      <c r="A867" s="479">
        <v>6752.3</v>
      </c>
      <c r="B867" s="476">
        <v>22596</v>
      </c>
      <c r="C867" s="476">
        <v>22602</v>
      </c>
      <c r="D867" s="476">
        <v>22608</v>
      </c>
      <c r="E867" s="476">
        <v>22614</v>
      </c>
      <c r="F867" s="476">
        <v>22620</v>
      </c>
      <c r="G867" s="476">
        <v>22626</v>
      </c>
      <c r="H867" s="476">
        <v>22632</v>
      </c>
      <c r="I867" s="476">
        <v>22638</v>
      </c>
      <c r="J867" s="476">
        <v>22645</v>
      </c>
      <c r="K867" s="476">
        <v>22651</v>
      </c>
    </row>
    <row r="868" spans="1:11">
      <c r="A868" s="479">
        <v>6752.4</v>
      </c>
      <c r="B868" s="476">
        <v>22657</v>
      </c>
      <c r="C868" s="476">
        <v>22663</v>
      </c>
      <c r="D868" s="476">
        <v>22669</v>
      </c>
      <c r="E868" s="476">
        <v>22675</v>
      </c>
      <c r="F868" s="476">
        <v>22681</v>
      </c>
      <c r="G868" s="476">
        <v>22687</v>
      </c>
      <c r="H868" s="476">
        <v>22694</v>
      </c>
      <c r="I868" s="476">
        <v>22700</v>
      </c>
      <c r="J868" s="476">
        <v>22706</v>
      </c>
      <c r="K868" s="476">
        <v>22712</v>
      </c>
    </row>
    <row r="869" spans="1:11">
      <c r="A869" s="479">
        <v>6752.5</v>
      </c>
      <c r="B869" s="476">
        <v>22718</v>
      </c>
      <c r="C869" s="476">
        <v>22724</v>
      </c>
      <c r="D869" s="476">
        <v>22730</v>
      </c>
      <c r="E869" s="476">
        <v>22737</v>
      </c>
      <c r="F869" s="476">
        <v>22743</v>
      </c>
      <c r="G869" s="476">
        <v>22749</v>
      </c>
      <c r="H869" s="476">
        <v>22755</v>
      </c>
      <c r="I869" s="476">
        <v>22761</v>
      </c>
      <c r="J869" s="476">
        <v>22767</v>
      </c>
      <c r="K869" s="476">
        <v>22773</v>
      </c>
    </row>
    <row r="870" spans="1:11">
      <c r="A870" s="479">
        <v>6752.6</v>
      </c>
      <c r="B870" s="476">
        <v>22779</v>
      </c>
      <c r="C870" s="476">
        <v>22786</v>
      </c>
      <c r="D870" s="476">
        <v>22792</v>
      </c>
      <c r="E870" s="476">
        <v>22798</v>
      </c>
      <c r="F870" s="476">
        <v>22804</v>
      </c>
      <c r="G870" s="476">
        <v>22810</v>
      </c>
      <c r="H870" s="476">
        <v>22816</v>
      </c>
      <c r="I870" s="476">
        <v>22822</v>
      </c>
      <c r="J870" s="476">
        <v>22828</v>
      </c>
      <c r="K870" s="476">
        <v>22835</v>
      </c>
    </row>
    <row r="871" spans="1:11">
      <c r="A871" s="479">
        <v>6752.7</v>
      </c>
      <c r="B871" s="476">
        <v>22841</v>
      </c>
      <c r="C871" s="476">
        <v>22847</v>
      </c>
      <c r="D871" s="476">
        <v>22853</v>
      </c>
      <c r="E871" s="476">
        <v>22859</v>
      </c>
      <c r="F871" s="476">
        <v>22865</v>
      </c>
      <c r="G871" s="476">
        <v>22871</v>
      </c>
      <c r="H871" s="476">
        <v>22878</v>
      </c>
      <c r="I871" s="476">
        <v>22884</v>
      </c>
      <c r="J871" s="476">
        <v>22890</v>
      </c>
      <c r="K871" s="476">
        <v>22896</v>
      </c>
    </row>
    <row r="872" spans="1:11">
      <c r="A872" s="479">
        <v>6752.8</v>
      </c>
      <c r="B872" s="476">
        <v>22902</v>
      </c>
      <c r="C872" s="476">
        <v>22908</v>
      </c>
      <c r="D872" s="476">
        <v>22914</v>
      </c>
      <c r="E872" s="476">
        <v>22920</v>
      </c>
      <c r="F872" s="476">
        <v>22927</v>
      </c>
      <c r="G872" s="476">
        <v>22933</v>
      </c>
      <c r="H872" s="476">
        <v>22939</v>
      </c>
      <c r="I872" s="476">
        <v>22945</v>
      </c>
      <c r="J872" s="476">
        <v>22951</v>
      </c>
      <c r="K872" s="476">
        <v>22957</v>
      </c>
    </row>
    <row r="873" spans="1:11">
      <c r="A873" s="479">
        <v>6752.9</v>
      </c>
      <c r="B873" s="476">
        <v>22963</v>
      </c>
      <c r="C873" s="476">
        <v>22969</v>
      </c>
      <c r="D873" s="476">
        <v>22976</v>
      </c>
      <c r="E873" s="476">
        <v>22982</v>
      </c>
      <c r="F873" s="476">
        <v>22988</v>
      </c>
      <c r="G873" s="476">
        <v>22994</v>
      </c>
      <c r="H873" s="476">
        <v>23000</v>
      </c>
      <c r="I873" s="476">
        <v>23006</v>
      </c>
      <c r="J873" s="476">
        <v>23012</v>
      </c>
      <c r="K873" s="476">
        <v>23019</v>
      </c>
    </row>
    <row r="874" spans="1:11">
      <c r="A874" s="479">
        <v>6753</v>
      </c>
      <c r="B874" s="476">
        <v>23025</v>
      </c>
      <c r="C874" s="476">
        <v>23031</v>
      </c>
      <c r="D874" s="476">
        <v>23037</v>
      </c>
      <c r="E874" s="476">
        <v>23043</v>
      </c>
      <c r="F874" s="476">
        <v>23050</v>
      </c>
      <c r="G874" s="476">
        <v>23056</v>
      </c>
      <c r="H874" s="476">
        <v>23062</v>
      </c>
      <c r="I874" s="476">
        <v>23068</v>
      </c>
      <c r="J874" s="476">
        <v>23075</v>
      </c>
      <c r="K874" s="476">
        <v>23081</v>
      </c>
    </row>
    <row r="875" spans="1:11">
      <c r="A875" s="479">
        <v>6753.1</v>
      </c>
      <c r="B875" s="476">
        <v>23087</v>
      </c>
      <c r="C875" s="476">
        <v>23093</v>
      </c>
      <c r="D875" s="476">
        <v>23099</v>
      </c>
      <c r="E875" s="476">
        <v>23106</v>
      </c>
      <c r="F875" s="476">
        <v>23112</v>
      </c>
      <c r="G875" s="476">
        <v>23118</v>
      </c>
      <c r="H875" s="476">
        <v>23124</v>
      </c>
      <c r="I875" s="476">
        <v>23131</v>
      </c>
      <c r="J875" s="476">
        <v>23137</v>
      </c>
      <c r="K875" s="476">
        <v>23143</v>
      </c>
    </row>
    <row r="876" spans="1:11">
      <c r="A876" s="479">
        <v>6753.2</v>
      </c>
      <c r="B876" s="476">
        <v>23149</v>
      </c>
      <c r="C876" s="476">
        <v>23156</v>
      </c>
      <c r="D876" s="476">
        <v>23162</v>
      </c>
      <c r="E876" s="476">
        <v>23168</v>
      </c>
      <c r="F876" s="476">
        <v>23174</v>
      </c>
      <c r="G876" s="476">
        <v>23180</v>
      </c>
      <c r="H876" s="476">
        <v>23187</v>
      </c>
      <c r="I876" s="476">
        <v>23193</v>
      </c>
      <c r="J876" s="476">
        <v>23199</v>
      </c>
      <c r="K876" s="476">
        <v>23205</v>
      </c>
    </row>
    <row r="877" spans="1:11">
      <c r="A877" s="479">
        <v>6753.3</v>
      </c>
      <c r="B877" s="476">
        <v>23212</v>
      </c>
      <c r="C877" s="476">
        <v>23218</v>
      </c>
      <c r="D877" s="476">
        <v>23224</v>
      </c>
      <c r="E877" s="476">
        <v>23230</v>
      </c>
      <c r="F877" s="476">
        <v>23237</v>
      </c>
      <c r="G877" s="476">
        <v>23243</v>
      </c>
      <c r="H877" s="476">
        <v>23249</v>
      </c>
      <c r="I877" s="476">
        <v>23255</v>
      </c>
      <c r="J877" s="476">
        <v>23262</v>
      </c>
      <c r="K877" s="476">
        <v>23268</v>
      </c>
    </row>
    <row r="878" spans="1:11">
      <c r="A878" s="479">
        <v>6753.4</v>
      </c>
      <c r="B878" s="476">
        <v>23274</v>
      </c>
      <c r="C878" s="476">
        <v>23280</v>
      </c>
      <c r="D878" s="476">
        <v>23286</v>
      </c>
      <c r="E878" s="476">
        <v>23293</v>
      </c>
      <c r="F878" s="476">
        <v>23299</v>
      </c>
      <c r="G878" s="476">
        <v>23305</v>
      </c>
      <c r="H878" s="476">
        <v>23311</v>
      </c>
      <c r="I878" s="476">
        <v>23318</v>
      </c>
      <c r="J878" s="476">
        <v>23324</v>
      </c>
      <c r="K878" s="476">
        <v>23330</v>
      </c>
    </row>
    <row r="879" spans="1:11">
      <c r="A879" s="479">
        <v>6753.5</v>
      </c>
      <c r="B879" s="476">
        <v>23336</v>
      </c>
      <c r="C879" s="476">
        <v>23343</v>
      </c>
      <c r="D879" s="476">
        <v>23349</v>
      </c>
      <c r="E879" s="476">
        <v>23355</v>
      </c>
      <c r="F879" s="476">
        <v>23361</v>
      </c>
      <c r="G879" s="476">
        <v>23367</v>
      </c>
      <c r="H879" s="476">
        <v>23374</v>
      </c>
      <c r="I879" s="476">
        <v>23380</v>
      </c>
      <c r="J879" s="476">
        <v>23386</v>
      </c>
      <c r="K879" s="476">
        <v>23392</v>
      </c>
    </row>
    <row r="880" spans="1:11">
      <c r="A880" s="479">
        <v>6753.6</v>
      </c>
      <c r="B880" s="476">
        <v>23399</v>
      </c>
      <c r="C880" s="476">
        <v>23405</v>
      </c>
      <c r="D880" s="476">
        <v>23411</v>
      </c>
      <c r="E880" s="476">
        <v>23417</v>
      </c>
      <c r="F880" s="476">
        <v>23424</v>
      </c>
      <c r="G880" s="476">
        <v>23430</v>
      </c>
      <c r="H880" s="476">
        <v>23436</v>
      </c>
      <c r="I880" s="476">
        <v>23442</v>
      </c>
      <c r="J880" s="476">
        <v>23448</v>
      </c>
      <c r="K880" s="476">
        <v>23455</v>
      </c>
    </row>
    <row r="881" spans="1:11">
      <c r="A881" s="479">
        <v>6753.7</v>
      </c>
      <c r="B881" s="476">
        <v>23461</v>
      </c>
      <c r="C881" s="476">
        <v>23467</v>
      </c>
      <c r="D881" s="476">
        <v>23473</v>
      </c>
      <c r="E881" s="476">
        <v>23480</v>
      </c>
      <c r="F881" s="476">
        <v>23486</v>
      </c>
      <c r="G881" s="476">
        <v>23492</v>
      </c>
      <c r="H881" s="476">
        <v>23498</v>
      </c>
      <c r="I881" s="476">
        <v>23505</v>
      </c>
      <c r="J881" s="476">
        <v>23511</v>
      </c>
      <c r="K881" s="476">
        <v>23517</v>
      </c>
    </row>
    <row r="882" spans="1:11">
      <c r="A882" s="479">
        <v>6753.8</v>
      </c>
      <c r="B882" s="476">
        <v>23523</v>
      </c>
      <c r="C882" s="476">
        <v>23530</v>
      </c>
      <c r="D882" s="476">
        <v>23536</v>
      </c>
      <c r="E882" s="476">
        <v>23542</v>
      </c>
      <c r="F882" s="476">
        <v>23548</v>
      </c>
      <c r="G882" s="476">
        <v>23554</v>
      </c>
      <c r="H882" s="476">
        <v>23561</v>
      </c>
      <c r="I882" s="476">
        <v>23567</v>
      </c>
      <c r="J882" s="476">
        <v>23573</v>
      </c>
      <c r="K882" s="476">
        <v>23579</v>
      </c>
    </row>
    <row r="883" spans="1:11">
      <c r="A883" s="479">
        <v>6753.9</v>
      </c>
      <c r="B883" s="476">
        <v>23586</v>
      </c>
      <c r="C883" s="476">
        <v>23592</v>
      </c>
      <c r="D883" s="476">
        <v>23598</v>
      </c>
      <c r="E883" s="476">
        <v>23604</v>
      </c>
      <c r="F883" s="476">
        <v>23611</v>
      </c>
      <c r="G883" s="476">
        <v>23617</v>
      </c>
      <c r="H883" s="476">
        <v>23623</v>
      </c>
      <c r="I883" s="476">
        <v>23629</v>
      </c>
      <c r="J883" s="476">
        <v>23635</v>
      </c>
      <c r="K883" s="476">
        <v>23642</v>
      </c>
    </row>
    <row r="884" spans="1:11">
      <c r="A884" s="479">
        <v>6754</v>
      </c>
      <c r="B884" s="476">
        <v>23648</v>
      </c>
      <c r="C884" s="476">
        <v>23654</v>
      </c>
      <c r="D884" s="476">
        <v>23661</v>
      </c>
      <c r="E884" s="476">
        <v>23667</v>
      </c>
      <c r="F884" s="476">
        <v>23673</v>
      </c>
      <c r="G884" s="476">
        <v>23680</v>
      </c>
      <c r="H884" s="476">
        <v>23686</v>
      </c>
      <c r="I884" s="476">
        <v>23692</v>
      </c>
      <c r="J884" s="476">
        <v>23699</v>
      </c>
      <c r="K884" s="476">
        <v>23705</v>
      </c>
    </row>
    <row r="885" spans="1:11">
      <c r="A885" s="479">
        <v>6754.1</v>
      </c>
      <c r="B885" s="476">
        <v>23711</v>
      </c>
      <c r="C885" s="476">
        <v>23718</v>
      </c>
      <c r="D885" s="476">
        <v>23724</v>
      </c>
      <c r="E885" s="476">
        <v>23730</v>
      </c>
      <c r="F885" s="476">
        <v>23737</v>
      </c>
      <c r="G885" s="476">
        <v>23743</v>
      </c>
      <c r="H885" s="476">
        <v>23749</v>
      </c>
      <c r="I885" s="476">
        <v>23756</v>
      </c>
      <c r="J885" s="476">
        <v>23762</v>
      </c>
      <c r="K885" s="476">
        <v>23768</v>
      </c>
    </row>
    <row r="886" spans="1:11">
      <c r="A886" s="479">
        <v>6754.2</v>
      </c>
      <c r="B886" s="476">
        <v>23775</v>
      </c>
      <c r="C886" s="476">
        <v>23781</v>
      </c>
      <c r="D886" s="476">
        <v>23787</v>
      </c>
      <c r="E886" s="476">
        <v>23794</v>
      </c>
      <c r="F886" s="476">
        <v>23800</v>
      </c>
      <c r="G886" s="476">
        <v>23806</v>
      </c>
      <c r="H886" s="476">
        <v>23813</v>
      </c>
      <c r="I886" s="476">
        <v>23819</v>
      </c>
      <c r="J886" s="476">
        <v>23825</v>
      </c>
      <c r="K886" s="476">
        <v>23832</v>
      </c>
    </row>
    <row r="887" spans="1:11">
      <c r="A887" s="479">
        <v>6754.3</v>
      </c>
      <c r="B887" s="476">
        <v>23838</v>
      </c>
      <c r="C887" s="476">
        <v>23844</v>
      </c>
      <c r="D887" s="476">
        <v>23851</v>
      </c>
      <c r="E887" s="476">
        <v>23857</v>
      </c>
      <c r="F887" s="476">
        <v>23863</v>
      </c>
      <c r="G887" s="476">
        <v>23870</v>
      </c>
      <c r="H887" s="476">
        <v>23876</v>
      </c>
      <c r="I887" s="476">
        <v>23882</v>
      </c>
      <c r="J887" s="476">
        <v>23889</v>
      </c>
      <c r="K887" s="476">
        <v>23895</v>
      </c>
    </row>
    <row r="888" spans="1:11">
      <c r="A888" s="479">
        <v>6754.4</v>
      </c>
      <c r="B888" s="476">
        <v>23901</v>
      </c>
      <c r="C888" s="476">
        <v>23908</v>
      </c>
      <c r="D888" s="476">
        <v>23914</v>
      </c>
      <c r="E888" s="476">
        <v>23920</v>
      </c>
      <c r="F888" s="476">
        <v>23927</v>
      </c>
      <c r="G888" s="476">
        <v>23933</v>
      </c>
      <c r="H888" s="476">
        <v>23939</v>
      </c>
      <c r="I888" s="476">
        <v>23946</v>
      </c>
      <c r="J888" s="476">
        <v>23952</v>
      </c>
      <c r="K888" s="476">
        <v>23958</v>
      </c>
    </row>
    <row r="889" spans="1:11">
      <c r="A889" s="479">
        <v>6754.5</v>
      </c>
      <c r="B889" s="476">
        <v>23965</v>
      </c>
      <c r="C889" s="476">
        <v>23971</v>
      </c>
      <c r="D889" s="476">
        <v>23977</v>
      </c>
      <c r="E889" s="476">
        <v>23984</v>
      </c>
      <c r="F889" s="476">
        <v>23990</v>
      </c>
      <c r="G889" s="476">
        <v>23996</v>
      </c>
      <c r="H889" s="476">
        <v>24003</v>
      </c>
      <c r="I889" s="476">
        <v>24009</v>
      </c>
      <c r="J889" s="476">
        <v>24015</v>
      </c>
      <c r="K889" s="476">
        <v>24022</v>
      </c>
    </row>
    <row r="890" spans="1:11">
      <c r="A890" s="479">
        <v>6754.6</v>
      </c>
      <c r="B890" s="476">
        <v>24028</v>
      </c>
      <c r="C890" s="476">
        <v>24034</v>
      </c>
      <c r="D890" s="476">
        <v>24041</v>
      </c>
      <c r="E890" s="476">
        <v>24047</v>
      </c>
      <c r="F890" s="476">
        <v>24053</v>
      </c>
      <c r="G890" s="476">
        <v>24060</v>
      </c>
      <c r="H890" s="476">
        <v>24066</v>
      </c>
      <c r="I890" s="476">
        <v>24072</v>
      </c>
      <c r="J890" s="476">
        <v>24079</v>
      </c>
      <c r="K890" s="476">
        <v>24085</v>
      </c>
    </row>
    <row r="891" spans="1:11">
      <c r="A891" s="479">
        <v>6754.7</v>
      </c>
      <c r="B891" s="476">
        <v>24091</v>
      </c>
      <c r="C891" s="476">
        <v>24098</v>
      </c>
      <c r="D891" s="476">
        <v>24104</v>
      </c>
      <c r="E891" s="476">
        <v>24110</v>
      </c>
      <c r="F891" s="476">
        <v>24117</v>
      </c>
      <c r="G891" s="476">
        <v>24123</v>
      </c>
      <c r="H891" s="476">
        <v>24129</v>
      </c>
      <c r="I891" s="476">
        <v>24136</v>
      </c>
      <c r="J891" s="476">
        <v>24142</v>
      </c>
      <c r="K891" s="476">
        <v>24148</v>
      </c>
    </row>
    <row r="892" spans="1:11">
      <c r="A892" s="479">
        <v>6754.8</v>
      </c>
      <c r="B892" s="476">
        <v>24155</v>
      </c>
      <c r="C892" s="476">
        <v>24161</v>
      </c>
      <c r="D892" s="476">
        <v>24168</v>
      </c>
      <c r="E892" s="476">
        <v>24174</v>
      </c>
      <c r="F892" s="476">
        <v>24180</v>
      </c>
      <c r="G892" s="476">
        <v>24187</v>
      </c>
      <c r="H892" s="476">
        <v>24193</v>
      </c>
      <c r="I892" s="476">
        <v>24199</v>
      </c>
      <c r="J892" s="476">
        <v>24206</v>
      </c>
      <c r="K892" s="476">
        <v>24212</v>
      </c>
    </row>
    <row r="893" spans="1:11">
      <c r="A893" s="479">
        <v>6754.9</v>
      </c>
      <c r="B893" s="476">
        <v>24218</v>
      </c>
      <c r="C893" s="476">
        <v>24225</v>
      </c>
      <c r="D893" s="476">
        <v>24231</v>
      </c>
      <c r="E893" s="476">
        <v>24237</v>
      </c>
      <c r="F893" s="476">
        <v>24244</v>
      </c>
      <c r="G893" s="476">
        <v>24250</v>
      </c>
      <c r="H893" s="476">
        <v>24256</v>
      </c>
      <c r="I893" s="476">
        <v>24263</v>
      </c>
      <c r="J893" s="476">
        <v>24269</v>
      </c>
      <c r="K893" s="476">
        <v>24275</v>
      </c>
    </row>
    <row r="894" spans="1:11">
      <c r="A894" s="479">
        <v>6755</v>
      </c>
      <c r="B894" s="476">
        <v>24282</v>
      </c>
      <c r="C894" s="476">
        <v>24288</v>
      </c>
      <c r="D894" s="476">
        <v>24294</v>
      </c>
      <c r="E894" s="476">
        <v>24301</v>
      </c>
      <c r="F894" s="476">
        <v>24307</v>
      </c>
      <c r="G894" s="476">
        <v>24314</v>
      </c>
      <c r="H894" s="476">
        <v>24320</v>
      </c>
      <c r="I894" s="476">
        <v>24327</v>
      </c>
      <c r="J894" s="476">
        <v>24333</v>
      </c>
      <c r="K894" s="476">
        <v>24340</v>
      </c>
    </row>
    <row r="895" spans="1:11">
      <c r="A895" s="479">
        <v>6755.1</v>
      </c>
      <c r="B895" s="476">
        <v>24346</v>
      </c>
      <c r="C895" s="476">
        <v>24352</v>
      </c>
      <c r="D895" s="476">
        <v>24359</v>
      </c>
      <c r="E895" s="476">
        <v>24365</v>
      </c>
      <c r="F895" s="476">
        <v>24372</v>
      </c>
      <c r="G895" s="476">
        <v>24378</v>
      </c>
      <c r="H895" s="476">
        <v>24385</v>
      </c>
      <c r="I895" s="476">
        <v>24391</v>
      </c>
      <c r="J895" s="476">
        <v>24397</v>
      </c>
      <c r="K895" s="476">
        <v>24404</v>
      </c>
    </row>
    <row r="896" spans="1:11">
      <c r="A896" s="479">
        <v>6755.2</v>
      </c>
      <c r="B896" s="476">
        <v>24410</v>
      </c>
      <c r="C896" s="476">
        <v>24417</v>
      </c>
      <c r="D896" s="476">
        <v>24423</v>
      </c>
      <c r="E896" s="476">
        <v>24430</v>
      </c>
      <c r="F896" s="476">
        <v>24436</v>
      </c>
      <c r="G896" s="476">
        <v>24443</v>
      </c>
      <c r="H896" s="476">
        <v>24449</v>
      </c>
      <c r="I896" s="476">
        <v>24455</v>
      </c>
      <c r="J896" s="476">
        <v>24462</v>
      </c>
      <c r="K896" s="476">
        <v>24468</v>
      </c>
    </row>
    <row r="897" spans="1:11">
      <c r="A897" s="479">
        <v>6755.3</v>
      </c>
      <c r="B897" s="476">
        <v>24475</v>
      </c>
      <c r="C897" s="476">
        <v>24481</v>
      </c>
      <c r="D897" s="476">
        <v>24488</v>
      </c>
      <c r="E897" s="476">
        <v>24494</v>
      </c>
      <c r="F897" s="476">
        <v>24501</v>
      </c>
      <c r="G897" s="476">
        <v>24507</v>
      </c>
      <c r="H897" s="476">
        <v>24513</v>
      </c>
      <c r="I897" s="476">
        <v>24520</v>
      </c>
      <c r="J897" s="476">
        <v>24526</v>
      </c>
      <c r="K897" s="476">
        <v>24533</v>
      </c>
    </row>
    <row r="898" spans="1:11">
      <c r="A898" s="479">
        <v>6755.4</v>
      </c>
      <c r="B898" s="476">
        <v>24539</v>
      </c>
      <c r="C898" s="476">
        <v>24546</v>
      </c>
      <c r="D898" s="476">
        <v>24552</v>
      </c>
      <c r="E898" s="476">
        <v>24559</v>
      </c>
      <c r="F898" s="476">
        <v>24565</v>
      </c>
      <c r="G898" s="476">
        <v>24571</v>
      </c>
      <c r="H898" s="476">
        <v>24578</v>
      </c>
      <c r="I898" s="476">
        <v>24584</v>
      </c>
      <c r="J898" s="476">
        <v>24591</v>
      </c>
      <c r="K898" s="476">
        <v>24597</v>
      </c>
    </row>
    <row r="899" spans="1:11">
      <c r="A899" s="479">
        <v>6755.5</v>
      </c>
      <c r="B899" s="476">
        <v>24604</v>
      </c>
      <c r="C899" s="476">
        <v>24610</v>
      </c>
      <c r="D899" s="476">
        <v>24617</v>
      </c>
      <c r="E899" s="476">
        <v>24623</v>
      </c>
      <c r="F899" s="476">
        <v>24629</v>
      </c>
      <c r="G899" s="476">
        <v>24636</v>
      </c>
      <c r="H899" s="476">
        <v>24642</v>
      </c>
      <c r="I899" s="476">
        <v>24649</v>
      </c>
      <c r="J899" s="476">
        <v>24655</v>
      </c>
      <c r="K899" s="476">
        <v>24662</v>
      </c>
    </row>
    <row r="900" spans="1:11">
      <c r="A900" s="479">
        <v>6755.6</v>
      </c>
      <c r="B900" s="476">
        <v>24668</v>
      </c>
      <c r="C900" s="476">
        <v>24674</v>
      </c>
      <c r="D900" s="476">
        <v>24681</v>
      </c>
      <c r="E900" s="476">
        <v>24687</v>
      </c>
      <c r="F900" s="476">
        <v>24694</v>
      </c>
      <c r="G900" s="476">
        <v>24700</v>
      </c>
      <c r="H900" s="476">
        <v>24707</v>
      </c>
      <c r="I900" s="476">
        <v>24713</v>
      </c>
      <c r="J900" s="476">
        <v>24720</v>
      </c>
      <c r="K900" s="476">
        <v>24726</v>
      </c>
    </row>
    <row r="901" spans="1:11">
      <c r="A901" s="479">
        <v>6755.7</v>
      </c>
      <c r="B901" s="476">
        <v>24732</v>
      </c>
      <c r="C901" s="476">
        <v>24739</v>
      </c>
      <c r="D901" s="476">
        <v>24745</v>
      </c>
      <c r="E901" s="476">
        <v>24752</v>
      </c>
      <c r="F901" s="476">
        <v>24758</v>
      </c>
      <c r="G901" s="476">
        <v>24765</v>
      </c>
      <c r="H901" s="476">
        <v>24771</v>
      </c>
      <c r="I901" s="476">
        <v>24778</v>
      </c>
      <c r="J901" s="476">
        <v>24784</v>
      </c>
      <c r="K901" s="476">
        <v>24790</v>
      </c>
    </row>
    <row r="902" spans="1:11">
      <c r="A902" s="479">
        <v>6755.8</v>
      </c>
      <c r="B902" s="476">
        <v>24797</v>
      </c>
      <c r="C902" s="476">
        <v>24803</v>
      </c>
      <c r="D902" s="476">
        <v>24810</v>
      </c>
      <c r="E902" s="476">
        <v>24816</v>
      </c>
      <c r="F902" s="476">
        <v>24823</v>
      </c>
      <c r="G902" s="476">
        <v>24829</v>
      </c>
      <c r="H902" s="476">
        <v>24836</v>
      </c>
      <c r="I902" s="476">
        <v>24842</v>
      </c>
      <c r="J902" s="476">
        <v>24848</v>
      </c>
      <c r="K902" s="476">
        <v>24855</v>
      </c>
    </row>
    <row r="903" spans="1:11">
      <c r="A903" s="479">
        <v>6755.9</v>
      </c>
      <c r="B903" s="476">
        <v>24861</v>
      </c>
      <c r="C903" s="476">
        <v>24868</v>
      </c>
      <c r="D903" s="476">
        <v>24874</v>
      </c>
      <c r="E903" s="476">
        <v>24881</v>
      </c>
      <c r="F903" s="476">
        <v>24887</v>
      </c>
      <c r="G903" s="476">
        <v>24893</v>
      </c>
      <c r="H903" s="476">
        <v>24900</v>
      </c>
      <c r="I903" s="476">
        <v>24906</v>
      </c>
      <c r="J903" s="476">
        <v>24913</v>
      </c>
      <c r="K903" s="476">
        <v>24919</v>
      </c>
    </row>
    <row r="904" spans="1:11">
      <c r="A904" s="479">
        <v>6756</v>
      </c>
      <c r="B904" s="476">
        <v>24926</v>
      </c>
      <c r="C904" s="476">
        <v>24932</v>
      </c>
      <c r="D904" s="476">
        <v>24939</v>
      </c>
      <c r="E904" s="476">
        <v>24945</v>
      </c>
      <c r="F904" s="476">
        <v>24952</v>
      </c>
      <c r="G904" s="476">
        <v>24958</v>
      </c>
      <c r="H904" s="476">
        <v>24965</v>
      </c>
      <c r="I904" s="476">
        <v>24972</v>
      </c>
      <c r="J904" s="476">
        <v>24978</v>
      </c>
      <c r="K904" s="476">
        <v>24985</v>
      </c>
    </row>
    <row r="905" spans="1:11">
      <c r="A905" s="479">
        <v>6756.1</v>
      </c>
      <c r="B905" s="476">
        <v>24991</v>
      </c>
      <c r="C905" s="476">
        <v>24998</v>
      </c>
      <c r="D905" s="476">
        <v>25004</v>
      </c>
      <c r="E905" s="476">
        <v>25011</v>
      </c>
      <c r="F905" s="476">
        <v>25017</v>
      </c>
      <c r="G905" s="476">
        <v>25024</v>
      </c>
      <c r="H905" s="476">
        <v>25030</v>
      </c>
      <c r="I905" s="476">
        <v>25037</v>
      </c>
      <c r="J905" s="476">
        <v>25044</v>
      </c>
      <c r="K905" s="476">
        <v>25050</v>
      </c>
    </row>
    <row r="906" spans="1:11">
      <c r="A906" s="479">
        <v>6756.2</v>
      </c>
      <c r="B906" s="476">
        <v>25057</v>
      </c>
      <c r="C906" s="476">
        <v>25063</v>
      </c>
      <c r="D906" s="476">
        <v>25070</v>
      </c>
      <c r="E906" s="476">
        <v>25076</v>
      </c>
      <c r="F906" s="476">
        <v>25083</v>
      </c>
      <c r="G906" s="476">
        <v>25089</v>
      </c>
      <c r="H906" s="476">
        <v>25096</v>
      </c>
      <c r="I906" s="476">
        <v>25102</v>
      </c>
      <c r="J906" s="476">
        <v>25109</v>
      </c>
      <c r="K906" s="476">
        <v>25116</v>
      </c>
    </row>
    <row r="907" spans="1:11">
      <c r="A907" s="479">
        <v>6756.3</v>
      </c>
      <c r="B907" s="476">
        <v>25122</v>
      </c>
      <c r="C907" s="476">
        <v>25129</v>
      </c>
      <c r="D907" s="476">
        <v>25135</v>
      </c>
      <c r="E907" s="476">
        <v>25142</v>
      </c>
      <c r="F907" s="476">
        <v>25148</v>
      </c>
      <c r="G907" s="476">
        <v>25155</v>
      </c>
      <c r="H907" s="476">
        <v>25161</v>
      </c>
      <c r="I907" s="476">
        <v>25168</v>
      </c>
      <c r="J907" s="476">
        <v>25174</v>
      </c>
      <c r="K907" s="476">
        <v>25181</v>
      </c>
    </row>
    <row r="908" spans="1:11">
      <c r="A908" s="479">
        <v>6756.4</v>
      </c>
      <c r="B908" s="476">
        <v>25188</v>
      </c>
      <c r="C908" s="476">
        <v>25194</v>
      </c>
      <c r="D908" s="476">
        <v>25201</v>
      </c>
      <c r="E908" s="476">
        <v>25207</v>
      </c>
      <c r="F908" s="476">
        <v>25214</v>
      </c>
      <c r="G908" s="476">
        <v>25220</v>
      </c>
      <c r="H908" s="476">
        <v>25227</v>
      </c>
      <c r="I908" s="476">
        <v>25233</v>
      </c>
      <c r="J908" s="476">
        <v>25240</v>
      </c>
      <c r="K908" s="476">
        <v>25247</v>
      </c>
    </row>
    <row r="909" spans="1:11">
      <c r="A909" s="479">
        <v>6756.5</v>
      </c>
      <c r="B909" s="476">
        <v>25253</v>
      </c>
      <c r="C909" s="476">
        <v>25260</v>
      </c>
      <c r="D909" s="476">
        <v>25266</v>
      </c>
      <c r="E909" s="476">
        <v>25273</v>
      </c>
      <c r="F909" s="476">
        <v>25279</v>
      </c>
      <c r="G909" s="476">
        <v>25286</v>
      </c>
      <c r="H909" s="476">
        <v>25292</v>
      </c>
      <c r="I909" s="476">
        <v>25299</v>
      </c>
      <c r="J909" s="476">
        <v>25305</v>
      </c>
      <c r="K909" s="476">
        <v>25312</v>
      </c>
    </row>
    <row r="910" spans="1:11">
      <c r="A910" s="479">
        <v>6756.6</v>
      </c>
      <c r="B910" s="476">
        <v>25319</v>
      </c>
      <c r="C910" s="476">
        <v>25325</v>
      </c>
      <c r="D910" s="476">
        <v>25332</v>
      </c>
      <c r="E910" s="476">
        <v>25338</v>
      </c>
      <c r="F910" s="476">
        <v>25345</v>
      </c>
      <c r="G910" s="476">
        <v>25351</v>
      </c>
      <c r="H910" s="476">
        <v>25358</v>
      </c>
      <c r="I910" s="476">
        <v>25364</v>
      </c>
      <c r="J910" s="476">
        <v>25371</v>
      </c>
      <c r="K910" s="476">
        <v>25377</v>
      </c>
    </row>
    <row r="911" spans="1:11">
      <c r="A911" s="479">
        <v>6756.7</v>
      </c>
      <c r="B911" s="476">
        <v>25384</v>
      </c>
      <c r="C911" s="476">
        <v>25391</v>
      </c>
      <c r="D911" s="476">
        <v>25397</v>
      </c>
      <c r="E911" s="476">
        <v>25404</v>
      </c>
      <c r="F911" s="476">
        <v>25410</v>
      </c>
      <c r="G911" s="476">
        <v>25417</v>
      </c>
      <c r="H911" s="476">
        <v>25423</v>
      </c>
      <c r="I911" s="476">
        <v>25430</v>
      </c>
      <c r="J911" s="476">
        <v>25436</v>
      </c>
      <c r="K911" s="476">
        <v>25443</v>
      </c>
    </row>
    <row r="912" spans="1:11">
      <c r="A912" s="479">
        <v>6756.8</v>
      </c>
      <c r="B912" s="476">
        <v>25449</v>
      </c>
      <c r="C912" s="476">
        <v>25456</v>
      </c>
      <c r="D912" s="476">
        <v>25463</v>
      </c>
      <c r="E912" s="476">
        <v>25469</v>
      </c>
      <c r="F912" s="476">
        <v>25476</v>
      </c>
      <c r="G912" s="476">
        <v>25482</v>
      </c>
      <c r="H912" s="476">
        <v>25489</v>
      </c>
      <c r="I912" s="476">
        <v>25495</v>
      </c>
      <c r="J912" s="476">
        <v>25502</v>
      </c>
      <c r="K912" s="476">
        <v>25508</v>
      </c>
    </row>
    <row r="913" spans="1:11">
      <c r="A913" s="479">
        <v>6756.9</v>
      </c>
      <c r="B913" s="476">
        <v>25515</v>
      </c>
      <c r="C913" s="476">
        <v>25522</v>
      </c>
      <c r="D913" s="476">
        <v>25528</v>
      </c>
      <c r="E913" s="476">
        <v>25535</v>
      </c>
      <c r="F913" s="476">
        <v>25541</v>
      </c>
      <c r="G913" s="476">
        <v>25548</v>
      </c>
      <c r="H913" s="476">
        <v>25554</v>
      </c>
      <c r="I913" s="476">
        <v>25561</v>
      </c>
      <c r="J913" s="476">
        <v>25567</v>
      </c>
      <c r="K913" s="476">
        <v>25574</v>
      </c>
    </row>
    <row r="914" spans="1:11">
      <c r="A914" s="479">
        <v>6757</v>
      </c>
      <c r="B914" s="476">
        <v>25580</v>
      </c>
      <c r="C914" s="476">
        <v>25587</v>
      </c>
      <c r="D914" s="476">
        <v>25594</v>
      </c>
      <c r="E914" s="476">
        <v>25600</v>
      </c>
      <c r="F914" s="476">
        <v>25607</v>
      </c>
      <c r="G914" s="476">
        <v>25614</v>
      </c>
      <c r="H914" s="476">
        <v>25620</v>
      </c>
      <c r="I914" s="476">
        <v>25627</v>
      </c>
      <c r="J914" s="476">
        <v>25634</v>
      </c>
      <c r="K914" s="476">
        <v>25640</v>
      </c>
    </row>
    <row r="915" spans="1:11">
      <c r="A915" s="479">
        <v>6757.1</v>
      </c>
      <c r="B915" s="476">
        <v>25647</v>
      </c>
      <c r="C915" s="476">
        <v>25654</v>
      </c>
      <c r="D915" s="476">
        <v>25660</v>
      </c>
      <c r="E915" s="476">
        <v>25667</v>
      </c>
      <c r="F915" s="476">
        <v>25674</v>
      </c>
      <c r="G915" s="476">
        <v>25680</v>
      </c>
      <c r="H915" s="476">
        <v>25687</v>
      </c>
      <c r="I915" s="476">
        <v>25694</v>
      </c>
      <c r="J915" s="476">
        <v>25700</v>
      </c>
      <c r="K915" s="476">
        <v>25707</v>
      </c>
    </row>
    <row r="916" spans="1:11">
      <c r="A916" s="479">
        <v>6757.2</v>
      </c>
      <c r="B916" s="476">
        <v>25714</v>
      </c>
      <c r="C916" s="476">
        <v>25720</v>
      </c>
      <c r="D916" s="476">
        <v>25727</v>
      </c>
      <c r="E916" s="476">
        <v>25734</v>
      </c>
      <c r="F916" s="476">
        <v>25740</v>
      </c>
      <c r="G916" s="476">
        <v>25747</v>
      </c>
      <c r="H916" s="476">
        <v>25753</v>
      </c>
      <c r="I916" s="476">
        <v>25760</v>
      </c>
      <c r="J916" s="476">
        <v>25767</v>
      </c>
      <c r="K916" s="476">
        <v>25773</v>
      </c>
    </row>
    <row r="917" spans="1:11">
      <c r="A917" s="479">
        <v>6757.3</v>
      </c>
      <c r="B917" s="476">
        <v>25780</v>
      </c>
      <c r="C917" s="476">
        <v>25787</v>
      </c>
      <c r="D917" s="476">
        <v>25793</v>
      </c>
      <c r="E917" s="476">
        <v>25800</v>
      </c>
      <c r="F917" s="476">
        <v>25807</v>
      </c>
      <c r="G917" s="476">
        <v>25813</v>
      </c>
      <c r="H917" s="476">
        <v>25820</v>
      </c>
      <c r="I917" s="476">
        <v>25827</v>
      </c>
      <c r="J917" s="476">
        <v>25833</v>
      </c>
      <c r="K917" s="476">
        <v>25840</v>
      </c>
    </row>
    <row r="918" spans="1:11">
      <c r="A918" s="479">
        <v>6757.4</v>
      </c>
      <c r="B918" s="476">
        <v>25847</v>
      </c>
      <c r="C918" s="476">
        <v>25853</v>
      </c>
      <c r="D918" s="476">
        <v>25860</v>
      </c>
      <c r="E918" s="476">
        <v>25867</v>
      </c>
      <c r="F918" s="476">
        <v>25873</v>
      </c>
      <c r="G918" s="476">
        <v>25880</v>
      </c>
      <c r="H918" s="476">
        <v>25887</v>
      </c>
      <c r="I918" s="476">
        <v>25893</v>
      </c>
      <c r="J918" s="476">
        <v>25900</v>
      </c>
      <c r="K918" s="476">
        <v>25907</v>
      </c>
    </row>
    <row r="919" spans="1:11">
      <c r="A919" s="479">
        <v>6757.5</v>
      </c>
      <c r="B919" s="476">
        <v>25913</v>
      </c>
      <c r="C919" s="476">
        <v>25920</v>
      </c>
      <c r="D919" s="476">
        <v>25927</v>
      </c>
      <c r="E919" s="476">
        <v>25933</v>
      </c>
      <c r="F919" s="476">
        <v>25940</v>
      </c>
      <c r="G919" s="476">
        <v>25946</v>
      </c>
      <c r="H919" s="476">
        <v>25953</v>
      </c>
      <c r="I919" s="476">
        <v>25960</v>
      </c>
      <c r="J919" s="476">
        <v>25966</v>
      </c>
      <c r="K919" s="476">
        <v>25973</v>
      </c>
    </row>
    <row r="920" spans="1:11">
      <c r="A920" s="479">
        <v>6757.6</v>
      </c>
      <c r="B920" s="476">
        <v>25980</v>
      </c>
      <c r="C920" s="476">
        <v>25986</v>
      </c>
      <c r="D920" s="476">
        <v>25993</v>
      </c>
      <c r="E920" s="476">
        <v>26000</v>
      </c>
      <c r="F920" s="476">
        <v>26006</v>
      </c>
      <c r="G920" s="476">
        <v>26013</v>
      </c>
      <c r="H920" s="476">
        <v>26020</v>
      </c>
      <c r="I920" s="476">
        <v>26026</v>
      </c>
      <c r="J920" s="476">
        <v>26033</v>
      </c>
      <c r="K920" s="476">
        <v>26040</v>
      </c>
    </row>
    <row r="921" spans="1:11">
      <c r="A921" s="479">
        <v>6757.7</v>
      </c>
      <c r="B921" s="476">
        <v>26046</v>
      </c>
      <c r="C921" s="476">
        <v>26053</v>
      </c>
      <c r="D921" s="476">
        <v>26060</v>
      </c>
      <c r="E921" s="476">
        <v>26066</v>
      </c>
      <c r="F921" s="476">
        <v>26073</v>
      </c>
      <c r="G921" s="476">
        <v>26080</v>
      </c>
      <c r="H921" s="476">
        <v>26086</v>
      </c>
      <c r="I921" s="476">
        <v>26093</v>
      </c>
      <c r="J921" s="476">
        <v>26100</v>
      </c>
      <c r="K921" s="476">
        <v>26106</v>
      </c>
    </row>
    <row r="922" spans="1:11">
      <c r="A922" s="479">
        <v>6757.8</v>
      </c>
      <c r="B922" s="476">
        <v>26113</v>
      </c>
      <c r="C922" s="476">
        <v>26120</v>
      </c>
      <c r="D922" s="476">
        <v>26126</v>
      </c>
      <c r="E922" s="476">
        <v>26133</v>
      </c>
      <c r="F922" s="476">
        <v>26139</v>
      </c>
      <c r="G922" s="476">
        <v>26146</v>
      </c>
      <c r="H922" s="476">
        <v>26153</v>
      </c>
      <c r="I922" s="476">
        <v>26159</v>
      </c>
      <c r="J922" s="476">
        <v>26166</v>
      </c>
      <c r="K922" s="476">
        <v>26173</v>
      </c>
    </row>
    <row r="923" spans="1:11">
      <c r="A923" s="479">
        <v>6757.9</v>
      </c>
      <c r="B923" s="476">
        <v>26179</v>
      </c>
      <c r="C923" s="476">
        <v>26186</v>
      </c>
      <c r="D923" s="476">
        <v>26193</v>
      </c>
      <c r="E923" s="476">
        <v>26199</v>
      </c>
      <c r="F923" s="476">
        <v>26206</v>
      </c>
      <c r="G923" s="476">
        <v>26213</v>
      </c>
      <c r="H923" s="476">
        <v>26219</v>
      </c>
      <c r="I923" s="476">
        <v>26226</v>
      </c>
      <c r="J923" s="476">
        <v>26233</v>
      </c>
      <c r="K923" s="476">
        <v>26239</v>
      </c>
    </row>
    <row r="924" spans="1:11">
      <c r="A924" s="479">
        <v>6758</v>
      </c>
      <c r="B924" s="476">
        <v>26246</v>
      </c>
      <c r="C924" s="476">
        <v>26253</v>
      </c>
      <c r="D924" s="476">
        <v>26259</v>
      </c>
      <c r="E924" s="476">
        <v>26266</v>
      </c>
      <c r="F924" s="476">
        <v>26273</v>
      </c>
      <c r="G924" s="476">
        <v>26280</v>
      </c>
      <c r="H924" s="476">
        <v>26287</v>
      </c>
      <c r="I924" s="476">
        <v>26293</v>
      </c>
      <c r="J924" s="476">
        <v>26300</v>
      </c>
      <c r="K924" s="476">
        <v>26307</v>
      </c>
    </row>
    <row r="925" spans="1:11">
      <c r="A925" s="479">
        <v>6758.1</v>
      </c>
      <c r="B925" s="476">
        <v>26314</v>
      </c>
      <c r="C925" s="476">
        <v>26320</v>
      </c>
      <c r="D925" s="476">
        <v>26327</v>
      </c>
      <c r="E925" s="476">
        <v>26334</v>
      </c>
      <c r="F925" s="476">
        <v>26341</v>
      </c>
      <c r="G925" s="476">
        <v>26347</v>
      </c>
      <c r="H925" s="476">
        <v>26354</v>
      </c>
      <c r="I925" s="476">
        <v>26361</v>
      </c>
      <c r="J925" s="476">
        <v>26368</v>
      </c>
      <c r="K925" s="476">
        <v>26374</v>
      </c>
    </row>
    <row r="926" spans="1:11">
      <c r="A926" s="479">
        <v>6758.2</v>
      </c>
      <c r="B926" s="476">
        <v>26381</v>
      </c>
      <c r="C926" s="476">
        <v>26388</v>
      </c>
      <c r="D926" s="476">
        <v>26395</v>
      </c>
      <c r="E926" s="476">
        <v>26402</v>
      </c>
      <c r="F926" s="476">
        <v>26408</v>
      </c>
      <c r="G926" s="476">
        <v>26415</v>
      </c>
      <c r="H926" s="476">
        <v>26422</v>
      </c>
      <c r="I926" s="476">
        <v>26429</v>
      </c>
      <c r="J926" s="476">
        <v>26435</v>
      </c>
      <c r="K926" s="476">
        <v>26442</v>
      </c>
    </row>
    <row r="927" spans="1:11">
      <c r="A927" s="479">
        <v>6758.3</v>
      </c>
      <c r="B927" s="476">
        <v>26449</v>
      </c>
      <c r="C927" s="476">
        <v>26456</v>
      </c>
      <c r="D927" s="476">
        <v>26462</v>
      </c>
      <c r="E927" s="476">
        <v>26469</v>
      </c>
      <c r="F927" s="476">
        <v>26476</v>
      </c>
      <c r="G927" s="476">
        <v>26483</v>
      </c>
      <c r="H927" s="476">
        <v>26489</v>
      </c>
      <c r="I927" s="476">
        <v>26496</v>
      </c>
      <c r="J927" s="476">
        <v>26503</v>
      </c>
      <c r="K927" s="476">
        <v>26510</v>
      </c>
    </row>
    <row r="928" spans="1:11">
      <c r="A928" s="479">
        <v>6758.4</v>
      </c>
      <c r="B928" s="476">
        <v>26517</v>
      </c>
      <c r="C928" s="476">
        <v>26523</v>
      </c>
      <c r="D928" s="476">
        <v>26530</v>
      </c>
      <c r="E928" s="476">
        <v>26537</v>
      </c>
      <c r="F928" s="476">
        <v>26544</v>
      </c>
      <c r="G928" s="476">
        <v>26550</v>
      </c>
      <c r="H928" s="476">
        <v>26557</v>
      </c>
      <c r="I928" s="476">
        <v>26564</v>
      </c>
      <c r="J928" s="476">
        <v>26571</v>
      </c>
      <c r="K928" s="476">
        <v>26577</v>
      </c>
    </row>
    <row r="929" spans="1:11">
      <c r="A929" s="479">
        <v>6758.5</v>
      </c>
      <c r="B929" s="476">
        <v>26584</v>
      </c>
      <c r="C929" s="476">
        <v>26591</v>
      </c>
      <c r="D929" s="476">
        <v>26598</v>
      </c>
      <c r="E929" s="476">
        <v>26604</v>
      </c>
      <c r="F929" s="476">
        <v>26611</v>
      </c>
      <c r="G929" s="476">
        <v>26618</v>
      </c>
      <c r="H929" s="476">
        <v>26625</v>
      </c>
      <c r="I929" s="476">
        <v>26632</v>
      </c>
      <c r="J929" s="476">
        <v>26638</v>
      </c>
      <c r="K929" s="476">
        <v>26645</v>
      </c>
    </row>
    <row r="930" spans="1:11">
      <c r="A930" s="479">
        <v>6758.6</v>
      </c>
      <c r="B930" s="476">
        <v>26652</v>
      </c>
      <c r="C930" s="476">
        <v>26659</v>
      </c>
      <c r="D930" s="476">
        <v>26665</v>
      </c>
      <c r="E930" s="476">
        <v>26672</v>
      </c>
      <c r="F930" s="476">
        <v>26679</v>
      </c>
      <c r="G930" s="476">
        <v>26686</v>
      </c>
      <c r="H930" s="476">
        <v>26692</v>
      </c>
      <c r="I930" s="476">
        <v>26699</v>
      </c>
      <c r="J930" s="476">
        <v>26706</v>
      </c>
      <c r="K930" s="476">
        <v>26713</v>
      </c>
    </row>
    <row r="931" spans="1:11">
      <c r="A931" s="479">
        <v>6758.7</v>
      </c>
      <c r="B931" s="476">
        <v>26719</v>
      </c>
      <c r="C931" s="476">
        <v>26726</v>
      </c>
      <c r="D931" s="476">
        <v>26733</v>
      </c>
      <c r="E931" s="476">
        <v>26740</v>
      </c>
      <c r="F931" s="476">
        <v>26747</v>
      </c>
      <c r="G931" s="476">
        <v>26753</v>
      </c>
      <c r="H931" s="476">
        <v>26760</v>
      </c>
      <c r="I931" s="476">
        <v>26767</v>
      </c>
      <c r="J931" s="476">
        <v>26774</v>
      </c>
      <c r="K931" s="476">
        <v>26780</v>
      </c>
    </row>
    <row r="932" spans="1:11">
      <c r="A932" s="479">
        <v>6758.8</v>
      </c>
      <c r="B932" s="476">
        <v>26787</v>
      </c>
      <c r="C932" s="476">
        <v>26794</v>
      </c>
      <c r="D932" s="476">
        <v>26801</v>
      </c>
      <c r="E932" s="476">
        <v>26807</v>
      </c>
      <c r="F932" s="476">
        <v>26814</v>
      </c>
      <c r="G932" s="476">
        <v>26821</v>
      </c>
      <c r="H932" s="476">
        <v>26828</v>
      </c>
      <c r="I932" s="476">
        <v>26834</v>
      </c>
      <c r="J932" s="476">
        <v>26841</v>
      </c>
      <c r="K932" s="476">
        <v>26848</v>
      </c>
    </row>
    <row r="933" spans="1:11">
      <c r="A933" s="479">
        <v>6758.9</v>
      </c>
      <c r="B933" s="476">
        <v>26855</v>
      </c>
      <c r="C933" s="476">
        <v>26862</v>
      </c>
      <c r="D933" s="476">
        <v>26868</v>
      </c>
      <c r="E933" s="476">
        <v>26875</v>
      </c>
      <c r="F933" s="476">
        <v>26882</v>
      </c>
      <c r="G933" s="476">
        <v>26889</v>
      </c>
      <c r="H933" s="476">
        <v>26895</v>
      </c>
      <c r="I933" s="476">
        <v>26902</v>
      </c>
      <c r="J933" s="476">
        <v>26909</v>
      </c>
      <c r="K933" s="476">
        <v>26916</v>
      </c>
    </row>
    <row r="934" spans="1:11">
      <c r="A934" s="479">
        <v>6759</v>
      </c>
      <c r="B934" s="476">
        <v>26922</v>
      </c>
      <c r="C934" s="476">
        <v>26929</v>
      </c>
      <c r="D934" s="476">
        <v>26936</v>
      </c>
      <c r="E934" s="476">
        <v>26943</v>
      </c>
      <c r="F934" s="476">
        <v>26950</v>
      </c>
      <c r="G934" s="476">
        <v>26957</v>
      </c>
      <c r="H934" s="476">
        <v>26964</v>
      </c>
      <c r="I934" s="476">
        <v>26971</v>
      </c>
      <c r="J934" s="476">
        <v>26977</v>
      </c>
      <c r="K934" s="476">
        <v>26984</v>
      </c>
    </row>
    <row r="935" spans="1:11">
      <c r="A935" s="479">
        <v>6759.1</v>
      </c>
      <c r="B935" s="476">
        <v>26991</v>
      </c>
      <c r="C935" s="476">
        <v>26998</v>
      </c>
      <c r="D935" s="476">
        <v>27005</v>
      </c>
      <c r="E935" s="476">
        <v>27012</v>
      </c>
      <c r="F935" s="476">
        <v>27019</v>
      </c>
      <c r="G935" s="476">
        <v>27026</v>
      </c>
      <c r="H935" s="476">
        <v>27032</v>
      </c>
      <c r="I935" s="476">
        <v>27039</v>
      </c>
      <c r="J935" s="476">
        <v>27046</v>
      </c>
      <c r="K935" s="476">
        <v>27053</v>
      </c>
    </row>
    <row r="936" spans="1:11">
      <c r="A936" s="479">
        <v>6759.2</v>
      </c>
      <c r="B936" s="476">
        <v>27060</v>
      </c>
      <c r="C936" s="476">
        <v>27067</v>
      </c>
      <c r="D936" s="476">
        <v>27074</v>
      </c>
      <c r="E936" s="476">
        <v>27080</v>
      </c>
      <c r="F936" s="476">
        <v>27087</v>
      </c>
      <c r="G936" s="476">
        <v>27094</v>
      </c>
      <c r="H936" s="476">
        <v>27101</v>
      </c>
      <c r="I936" s="476">
        <v>27108</v>
      </c>
      <c r="J936" s="476">
        <v>27115</v>
      </c>
      <c r="K936" s="476">
        <v>27122</v>
      </c>
    </row>
    <row r="937" spans="1:11">
      <c r="A937" s="479">
        <v>6759.3</v>
      </c>
      <c r="B937" s="476">
        <v>27129</v>
      </c>
      <c r="C937" s="476">
        <v>27135</v>
      </c>
      <c r="D937" s="476">
        <v>27142</v>
      </c>
      <c r="E937" s="476">
        <v>27149</v>
      </c>
      <c r="F937" s="476">
        <v>27156</v>
      </c>
      <c r="G937" s="476">
        <v>27163</v>
      </c>
      <c r="H937" s="476">
        <v>27170</v>
      </c>
      <c r="I937" s="476">
        <v>27177</v>
      </c>
      <c r="J937" s="476">
        <v>27184</v>
      </c>
      <c r="K937" s="476">
        <v>27190</v>
      </c>
    </row>
    <row r="938" spans="1:11">
      <c r="A938" s="479">
        <v>6759.4</v>
      </c>
      <c r="B938" s="476">
        <v>27197</v>
      </c>
      <c r="C938" s="476">
        <v>27204</v>
      </c>
      <c r="D938" s="476">
        <v>27211</v>
      </c>
      <c r="E938" s="476">
        <v>27218</v>
      </c>
      <c r="F938" s="476">
        <v>27225</v>
      </c>
      <c r="G938" s="476">
        <v>27232</v>
      </c>
      <c r="H938" s="476">
        <v>27239</v>
      </c>
      <c r="I938" s="476">
        <v>27245</v>
      </c>
      <c r="J938" s="476">
        <v>27252</v>
      </c>
      <c r="K938" s="476">
        <v>27259</v>
      </c>
    </row>
    <row r="939" spans="1:11">
      <c r="A939" s="479">
        <v>6759.5</v>
      </c>
      <c r="B939" s="476">
        <v>27266</v>
      </c>
      <c r="C939" s="476">
        <v>27273</v>
      </c>
      <c r="D939" s="476">
        <v>27280</v>
      </c>
      <c r="E939" s="476">
        <v>27287</v>
      </c>
      <c r="F939" s="476">
        <v>27294</v>
      </c>
      <c r="G939" s="476">
        <v>27300</v>
      </c>
      <c r="H939" s="476">
        <v>27307</v>
      </c>
      <c r="I939" s="476">
        <v>27314</v>
      </c>
      <c r="J939" s="476">
        <v>27321</v>
      </c>
      <c r="K939" s="476">
        <v>27328</v>
      </c>
    </row>
    <row r="940" spans="1:11">
      <c r="A940" s="479">
        <v>6759.6</v>
      </c>
      <c r="B940" s="476">
        <v>27335</v>
      </c>
      <c r="C940" s="476">
        <v>27342</v>
      </c>
      <c r="D940" s="476">
        <v>27349</v>
      </c>
      <c r="E940" s="476">
        <v>27355</v>
      </c>
      <c r="F940" s="476">
        <v>27362</v>
      </c>
      <c r="G940" s="476">
        <v>27369</v>
      </c>
      <c r="H940" s="476">
        <v>27376</v>
      </c>
      <c r="I940" s="476">
        <v>27383</v>
      </c>
      <c r="J940" s="476">
        <v>27390</v>
      </c>
      <c r="K940" s="476">
        <v>27397</v>
      </c>
    </row>
    <row r="941" spans="1:11">
      <c r="A941" s="479">
        <v>6759.7</v>
      </c>
      <c r="B941" s="476">
        <v>27404</v>
      </c>
      <c r="C941" s="476">
        <v>27410</v>
      </c>
      <c r="D941" s="476">
        <v>27417</v>
      </c>
      <c r="E941" s="476">
        <v>27424</v>
      </c>
      <c r="F941" s="476">
        <v>27431</v>
      </c>
      <c r="G941" s="476">
        <v>27438</v>
      </c>
      <c r="H941" s="476">
        <v>27445</v>
      </c>
      <c r="I941" s="476">
        <v>27452</v>
      </c>
      <c r="J941" s="476">
        <v>27459</v>
      </c>
      <c r="K941" s="476">
        <v>27465</v>
      </c>
    </row>
    <row r="942" spans="1:11">
      <c r="A942" s="479">
        <v>6759.8</v>
      </c>
      <c r="B942" s="476">
        <v>27472</v>
      </c>
      <c r="C942" s="476">
        <v>27479</v>
      </c>
      <c r="D942" s="476">
        <v>27486</v>
      </c>
      <c r="E942" s="476">
        <v>27493</v>
      </c>
      <c r="F942" s="476">
        <v>27500</v>
      </c>
      <c r="G942" s="476">
        <v>27507</v>
      </c>
      <c r="H942" s="476">
        <v>27514</v>
      </c>
      <c r="I942" s="476">
        <v>27520</v>
      </c>
      <c r="J942" s="476">
        <v>27527</v>
      </c>
      <c r="K942" s="476">
        <v>27534</v>
      </c>
    </row>
    <row r="943" spans="1:11">
      <c r="A943" s="479">
        <v>6759.9</v>
      </c>
      <c r="B943" s="476">
        <v>27541</v>
      </c>
      <c r="C943" s="476">
        <v>27548</v>
      </c>
      <c r="D943" s="476">
        <v>27555</v>
      </c>
      <c r="E943" s="476">
        <v>27562</v>
      </c>
      <c r="F943" s="476">
        <v>27569</v>
      </c>
      <c r="G943" s="476">
        <v>27575</v>
      </c>
      <c r="H943" s="476">
        <v>27582</v>
      </c>
      <c r="I943" s="476">
        <v>27589</v>
      </c>
      <c r="J943" s="476">
        <v>27596</v>
      </c>
      <c r="K943" s="476">
        <v>27603</v>
      </c>
    </row>
    <row r="944" spans="1:11">
      <c r="A944" s="479">
        <v>6760</v>
      </c>
      <c r="B944" s="476">
        <v>27610</v>
      </c>
      <c r="C944" s="476">
        <v>27617</v>
      </c>
      <c r="D944" s="476">
        <v>27624</v>
      </c>
      <c r="E944" s="476">
        <v>27631</v>
      </c>
      <c r="F944" s="476">
        <v>27638</v>
      </c>
      <c r="G944" s="476">
        <v>27645</v>
      </c>
      <c r="H944" s="476">
        <v>27652</v>
      </c>
      <c r="I944" s="476">
        <v>27659</v>
      </c>
      <c r="J944" s="476">
        <v>27666</v>
      </c>
      <c r="K944" s="476">
        <v>27673</v>
      </c>
    </row>
    <row r="945" spans="1:11">
      <c r="A945" s="479">
        <v>6760.1</v>
      </c>
      <c r="B945" s="476">
        <v>27679</v>
      </c>
      <c r="C945" s="476">
        <v>27686</v>
      </c>
      <c r="D945" s="476">
        <v>27693</v>
      </c>
      <c r="E945" s="476">
        <v>27700</v>
      </c>
      <c r="F945" s="476">
        <v>27707</v>
      </c>
      <c r="G945" s="476">
        <v>27714</v>
      </c>
      <c r="H945" s="476">
        <v>27721</v>
      </c>
      <c r="I945" s="476">
        <v>27728</v>
      </c>
      <c r="J945" s="476">
        <v>27735</v>
      </c>
      <c r="K945" s="476">
        <v>27742</v>
      </c>
    </row>
    <row r="946" spans="1:11">
      <c r="A946" s="479">
        <v>6760.2</v>
      </c>
      <c r="B946" s="476">
        <v>27749</v>
      </c>
      <c r="C946" s="476">
        <v>27756</v>
      </c>
      <c r="D946" s="476">
        <v>27763</v>
      </c>
      <c r="E946" s="476">
        <v>27770</v>
      </c>
      <c r="F946" s="476">
        <v>27777</v>
      </c>
      <c r="G946" s="476">
        <v>27784</v>
      </c>
      <c r="H946" s="476">
        <v>27791</v>
      </c>
      <c r="I946" s="476">
        <v>27798</v>
      </c>
      <c r="J946" s="476">
        <v>27805</v>
      </c>
      <c r="K946" s="476">
        <v>27812</v>
      </c>
    </row>
    <row r="947" spans="1:11">
      <c r="A947" s="479">
        <v>6760.3</v>
      </c>
      <c r="B947" s="476">
        <v>27819</v>
      </c>
      <c r="C947" s="476">
        <v>27826</v>
      </c>
      <c r="D947" s="476">
        <v>27833</v>
      </c>
      <c r="E947" s="476">
        <v>27840</v>
      </c>
      <c r="F947" s="476">
        <v>27847</v>
      </c>
      <c r="G947" s="476">
        <v>27854</v>
      </c>
      <c r="H947" s="476">
        <v>27861</v>
      </c>
      <c r="I947" s="476">
        <v>27868</v>
      </c>
      <c r="J947" s="476">
        <v>27874</v>
      </c>
      <c r="K947" s="476">
        <v>27881</v>
      </c>
    </row>
    <row r="948" spans="1:11">
      <c r="A948" s="479">
        <v>6760.4</v>
      </c>
      <c r="B948" s="476">
        <v>27888</v>
      </c>
      <c r="C948" s="476">
        <v>27895</v>
      </c>
      <c r="D948" s="476">
        <v>27902</v>
      </c>
      <c r="E948" s="476">
        <v>27909</v>
      </c>
      <c r="F948" s="476">
        <v>27916</v>
      </c>
      <c r="G948" s="476">
        <v>27923</v>
      </c>
      <c r="H948" s="476">
        <v>27930</v>
      </c>
      <c r="I948" s="476">
        <v>27937</v>
      </c>
      <c r="J948" s="476">
        <v>27944</v>
      </c>
      <c r="K948" s="476">
        <v>27951</v>
      </c>
    </row>
    <row r="949" spans="1:11">
      <c r="A949" s="479">
        <v>6760.5</v>
      </c>
      <c r="B949" s="476">
        <v>27958</v>
      </c>
      <c r="C949" s="476">
        <v>27965</v>
      </c>
      <c r="D949" s="476">
        <v>27972</v>
      </c>
      <c r="E949" s="476">
        <v>27979</v>
      </c>
      <c r="F949" s="476">
        <v>27986</v>
      </c>
      <c r="G949" s="476">
        <v>27993</v>
      </c>
      <c r="H949" s="476">
        <v>28000</v>
      </c>
      <c r="I949" s="476">
        <v>28007</v>
      </c>
      <c r="J949" s="476">
        <v>28014</v>
      </c>
      <c r="K949" s="476">
        <v>28021</v>
      </c>
    </row>
    <row r="950" spans="1:11">
      <c r="A950" s="479">
        <v>6760.6</v>
      </c>
      <c r="B950" s="476">
        <v>28028</v>
      </c>
      <c r="C950" s="476">
        <v>28035</v>
      </c>
      <c r="D950" s="476">
        <v>28042</v>
      </c>
      <c r="E950" s="476">
        <v>28049</v>
      </c>
      <c r="F950" s="476">
        <v>28056</v>
      </c>
      <c r="G950" s="476">
        <v>28063</v>
      </c>
      <c r="H950" s="476">
        <v>28070</v>
      </c>
      <c r="I950" s="476">
        <v>28076</v>
      </c>
      <c r="J950" s="476">
        <v>28083</v>
      </c>
      <c r="K950" s="476">
        <v>28090</v>
      </c>
    </row>
    <row r="951" spans="1:11">
      <c r="A951" s="479">
        <v>6760.7</v>
      </c>
      <c r="B951" s="476">
        <v>28097</v>
      </c>
      <c r="C951" s="476">
        <v>28104</v>
      </c>
      <c r="D951" s="476">
        <v>28111</v>
      </c>
      <c r="E951" s="476">
        <v>28118</v>
      </c>
      <c r="F951" s="476">
        <v>28125</v>
      </c>
      <c r="G951" s="476">
        <v>28132</v>
      </c>
      <c r="H951" s="476">
        <v>28139</v>
      </c>
      <c r="I951" s="476">
        <v>28146</v>
      </c>
      <c r="J951" s="476">
        <v>28153</v>
      </c>
      <c r="K951" s="476">
        <v>28160</v>
      </c>
    </row>
    <row r="952" spans="1:11">
      <c r="A952" s="479">
        <v>6760.8</v>
      </c>
      <c r="B952" s="476">
        <v>28167</v>
      </c>
      <c r="C952" s="476">
        <v>28174</v>
      </c>
      <c r="D952" s="476">
        <v>28181</v>
      </c>
      <c r="E952" s="476">
        <v>28188</v>
      </c>
      <c r="F952" s="476">
        <v>28195</v>
      </c>
      <c r="G952" s="476">
        <v>28202</v>
      </c>
      <c r="H952" s="476">
        <v>28209</v>
      </c>
      <c r="I952" s="476">
        <v>28216</v>
      </c>
      <c r="J952" s="476">
        <v>28223</v>
      </c>
      <c r="K952" s="476">
        <v>28230</v>
      </c>
    </row>
    <row r="953" spans="1:11">
      <c r="A953" s="479">
        <v>6760.9</v>
      </c>
      <c r="B953" s="476">
        <v>28237</v>
      </c>
      <c r="C953" s="476">
        <v>28244</v>
      </c>
      <c r="D953" s="476">
        <v>28251</v>
      </c>
      <c r="E953" s="476">
        <v>28258</v>
      </c>
      <c r="F953" s="476">
        <v>28265</v>
      </c>
      <c r="G953" s="476">
        <v>28271</v>
      </c>
      <c r="H953" s="476">
        <v>28278</v>
      </c>
      <c r="I953" s="476">
        <v>28285</v>
      </c>
      <c r="J953" s="476">
        <v>28292</v>
      </c>
      <c r="K953" s="476">
        <v>28299</v>
      </c>
    </row>
    <row r="954" spans="1:11">
      <c r="A954" s="479">
        <v>6761</v>
      </c>
      <c r="B954" s="476">
        <v>28306</v>
      </c>
      <c r="C954" s="476">
        <v>28313</v>
      </c>
      <c r="D954" s="476">
        <v>28320</v>
      </c>
      <c r="E954" s="476">
        <v>28327</v>
      </c>
      <c r="F954" s="476">
        <v>28334</v>
      </c>
      <c r="G954" s="476">
        <v>28341</v>
      </c>
      <c r="H954" s="476">
        <v>28349</v>
      </c>
      <c r="I954" s="476">
        <v>28356</v>
      </c>
      <c r="J954" s="476">
        <v>28363</v>
      </c>
      <c r="K954" s="476">
        <v>28370</v>
      </c>
    </row>
    <row r="955" spans="1:11">
      <c r="A955" s="479">
        <v>6761.1</v>
      </c>
      <c r="B955" s="476">
        <v>28377</v>
      </c>
      <c r="C955" s="476">
        <v>28384</v>
      </c>
      <c r="D955" s="476">
        <v>28391</v>
      </c>
      <c r="E955" s="476">
        <v>28398</v>
      </c>
      <c r="F955" s="476">
        <v>28405</v>
      </c>
      <c r="G955" s="476">
        <v>28412</v>
      </c>
      <c r="H955" s="476">
        <v>28419</v>
      </c>
      <c r="I955" s="476">
        <v>28426</v>
      </c>
      <c r="J955" s="476">
        <v>28433</v>
      </c>
      <c r="K955" s="476">
        <v>28440</v>
      </c>
    </row>
    <row r="956" spans="1:11">
      <c r="A956" s="479">
        <v>6761.2</v>
      </c>
      <c r="B956" s="476">
        <v>28447</v>
      </c>
      <c r="C956" s="476">
        <v>28454</v>
      </c>
      <c r="D956" s="476">
        <v>28461</v>
      </c>
      <c r="E956" s="476">
        <v>28468</v>
      </c>
      <c r="F956" s="476">
        <v>28475</v>
      </c>
      <c r="G956" s="476">
        <v>28482</v>
      </c>
      <c r="H956" s="476">
        <v>28489</v>
      </c>
      <c r="I956" s="476">
        <v>28496</v>
      </c>
      <c r="J956" s="476">
        <v>28503</v>
      </c>
      <c r="K956" s="476">
        <v>28510</v>
      </c>
    </row>
    <row r="957" spans="1:11">
      <c r="A957" s="479">
        <v>6761.3</v>
      </c>
      <c r="B957" s="476">
        <v>28517</v>
      </c>
      <c r="C957" s="476">
        <v>28524</v>
      </c>
      <c r="D957" s="476">
        <v>28531</v>
      </c>
      <c r="E957" s="476">
        <v>28538</v>
      </c>
      <c r="F957" s="476">
        <v>28546</v>
      </c>
      <c r="G957" s="476">
        <v>28553</v>
      </c>
      <c r="H957" s="476">
        <v>28560</v>
      </c>
      <c r="I957" s="476">
        <v>28567</v>
      </c>
      <c r="J957" s="476">
        <v>28574</v>
      </c>
      <c r="K957" s="476">
        <v>28581</v>
      </c>
    </row>
    <row r="958" spans="1:11">
      <c r="A958" s="479">
        <v>6761.4</v>
      </c>
      <c r="B958" s="476">
        <v>28588</v>
      </c>
      <c r="C958" s="476">
        <v>28595</v>
      </c>
      <c r="D958" s="476">
        <v>28602</v>
      </c>
      <c r="E958" s="476">
        <v>28609</v>
      </c>
      <c r="F958" s="476">
        <v>28616</v>
      </c>
      <c r="G958" s="476">
        <v>28623</v>
      </c>
      <c r="H958" s="476">
        <v>28630</v>
      </c>
      <c r="I958" s="476">
        <v>28637</v>
      </c>
      <c r="J958" s="476">
        <v>28644</v>
      </c>
      <c r="K958" s="476">
        <v>28651</v>
      </c>
    </row>
    <row r="959" spans="1:11">
      <c r="A959" s="479">
        <v>6761.5</v>
      </c>
      <c r="B959" s="476">
        <v>28658</v>
      </c>
      <c r="C959" s="476">
        <v>28665</v>
      </c>
      <c r="D959" s="476">
        <v>28672</v>
      </c>
      <c r="E959" s="476">
        <v>28679</v>
      </c>
      <c r="F959" s="476">
        <v>28686</v>
      </c>
      <c r="G959" s="476">
        <v>28693</v>
      </c>
      <c r="H959" s="476">
        <v>28700</v>
      </c>
      <c r="I959" s="476">
        <v>28707</v>
      </c>
      <c r="J959" s="476">
        <v>28714</v>
      </c>
      <c r="K959" s="476">
        <v>28721</v>
      </c>
    </row>
    <row r="960" spans="1:11">
      <c r="A960" s="479">
        <v>6761.6</v>
      </c>
      <c r="B960" s="476">
        <v>28728</v>
      </c>
      <c r="C960" s="476">
        <v>28736</v>
      </c>
      <c r="D960" s="476">
        <v>28743</v>
      </c>
      <c r="E960" s="476">
        <v>28750</v>
      </c>
      <c r="F960" s="476">
        <v>28757</v>
      </c>
      <c r="G960" s="476">
        <v>28764</v>
      </c>
      <c r="H960" s="476">
        <v>28771</v>
      </c>
      <c r="I960" s="476">
        <v>28778</v>
      </c>
      <c r="J960" s="476">
        <v>28785</v>
      </c>
      <c r="K960" s="476">
        <v>28792</v>
      </c>
    </row>
    <row r="961" spans="1:11">
      <c r="A961" s="479">
        <v>6761.7</v>
      </c>
      <c r="B961" s="476">
        <v>28799</v>
      </c>
      <c r="C961" s="476">
        <v>28806</v>
      </c>
      <c r="D961" s="476">
        <v>28813</v>
      </c>
      <c r="E961" s="476">
        <v>28820</v>
      </c>
      <c r="F961" s="476">
        <v>28827</v>
      </c>
      <c r="G961" s="476">
        <v>28834</v>
      </c>
      <c r="H961" s="476">
        <v>28841</v>
      </c>
      <c r="I961" s="476">
        <v>28848</v>
      </c>
      <c r="J961" s="476">
        <v>28855</v>
      </c>
      <c r="K961" s="476">
        <v>28862</v>
      </c>
    </row>
    <row r="962" spans="1:11">
      <c r="A962" s="479">
        <v>6761.8</v>
      </c>
      <c r="B962" s="476">
        <v>28869</v>
      </c>
      <c r="C962" s="476">
        <v>28876</v>
      </c>
      <c r="D962" s="476">
        <v>28883</v>
      </c>
      <c r="E962" s="476">
        <v>28890</v>
      </c>
      <c r="F962" s="476">
        <v>28897</v>
      </c>
      <c r="G962" s="476">
        <v>28904</v>
      </c>
      <c r="H962" s="476">
        <v>28911</v>
      </c>
      <c r="I962" s="476">
        <v>28918</v>
      </c>
      <c r="J962" s="476">
        <v>28925</v>
      </c>
      <c r="K962" s="476">
        <v>28933</v>
      </c>
    </row>
    <row r="963" spans="1:11">
      <c r="A963" s="479">
        <v>6761.9</v>
      </c>
      <c r="B963" s="476">
        <v>28940</v>
      </c>
      <c r="C963" s="476">
        <v>28947</v>
      </c>
      <c r="D963" s="476">
        <v>28954</v>
      </c>
      <c r="E963" s="476">
        <v>28961</v>
      </c>
      <c r="F963" s="476">
        <v>28968</v>
      </c>
      <c r="G963" s="476">
        <v>28975</v>
      </c>
      <c r="H963" s="476">
        <v>28982</v>
      </c>
      <c r="I963" s="476">
        <v>28989</v>
      </c>
      <c r="J963" s="476">
        <v>28996</v>
      </c>
      <c r="K963" s="476">
        <v>29003</v>
      </c>
    </row>
    <row r="964" spans="1:11">
      <c r="A964" s="479">
        <v>6762</v>
      </c>
      <c r="B964" s="476"/>
      <c r="C964" s="476"/>
      <c r="D964" s="476"/>
      <c r="E964" s="476"/>
      <c r="F964" s="476"/>
      <c r="G964" s="476"/>
      <c r="H964" s="476"/>
      <c r="I964" s="476"/>
      <c r="J964" s="476"/>
      <c r="K964" s="476"/>
    </row>
    <row r="965" spans="1:11">
      <c r="A965" s="479">
        <v>6762.1</v>
      </c>
      <c r="B965" s="476"/>
      <c r="C965" s="476"/>
      <c r="D965" s="476"/>
      <c r="E965" s="476"/>
      <c r="F965" s="476"/>
      <c r="G965" s="476"/>
      <c r="H965" s="476"/>
      <c r="I965" s="476"/>
      <c r="J965" s="476"/>
      <c r="K965" s="476"/>
    </row>
    <row r="966" spans="1:11">
      <c r="A966" s="479">
        <v>6762.2</v>
      </c>
      <c r="B966" s="476"/>
      <c r="C966" s="476"/>
      <c r="D966" s="476"/>
      <c r="E966" s="476"/>
      <c r="F966" s="476"/>
      <c r="G966" s="476"/>
      <c r="H966" s="476"/>
      <c r="I966" s="476"/>
      <c r="J966" s="476"/>
      <c r="K966" s="476"/>
    </row>
    <row r="967" spans="1:11">
      <c r="A967" s="479">
        <v>6762.3</v>
      </c>
      <c r="B967" s="476"/>
      <c r="C967" s="476"/>
      <c r="D967" s="476"/>
      <c r="E967" s="476"/>
      <c r="F967" s="476"/>
      <c r="G967" s="476"/>
      <c r="H967" s="476"/>
      <c r="I967" s="476"/>
      <c r="J967" s="476"/>
      <c r="K967" s="476"/>
    </row>
    <row r="968" spans="1:11">
      <c r="A968" s="479">
        <v>6762.4</v>
      </c>
      <c r="B968" s="476"/>
      <c r="C968" s="476"/>
      <c r="D968" s="476"/>
      <c r="E968" s="476"/>
      <c r="F968" s="476"/>
      <c r="G968" s="476"/>
      <c r="H968" s="476"/>
      <c r="I968" s="476"/>
      <c r="J968" s="476"/>
      <c r="K968" s="476"/>
    </row>
    <row r="969" spans="1:11">
      <c r="A969" s="479">
        <v>6762.5</v>
      </c>
      <c r="B969" s="476"/>
      <c r="C969" s="476"/>
      <c r="D969" s="476"/>
      <c r="E969" s="476"/>
      <c r="F969" s="476"/>
      <c r="G969" s="476"/>
      <c r="H969" s="476"/>
      <c r="I969" s="476"/>
      <c r="J969" s="476"/>
      <c r="K969" s="476"/>
    </row>
    <row r="970" spans="1:11">
      <c r="A970" s="479">
        <v>6762.6</v>
      </c>
      <c r="B970" s="476"/>
      <c r="C970" s="476"/>
      <c r="D970" s="476"/>
      <c r="E970" s="476"/>
      <c r="F970" s="476"/>
      <c r="G970" s="476"/>
      <c r="H970" s="476"/>
      <c r="I970" s="476"/>
      <c r="J970" s="476"/>
      <c r="K970" s="476"/>
    </row>
    <row r="971" spans="1:11">
      <c r="A971" s="479">
        <v>6762.7</v>
      </c>
      <c r="B971" s="476"/>
      <c r="C971" s="476"/>
      <c r="D971" s="476"/>
      <c r="E971" s="476"/>
      <c r="F971" s="476"/>
      <c r="G971" s="476"/>
      <c r="H971" s="476"/>
      <c r="I971" s="476"/>
      <c r="J971" s="476"/>
      <c r="K971" s="476"/>
    </row>
    <row r="972" spans="1:11">
      <c r="A972" s="479">
        <v>6762.8</v>
      </c>
      <c r="B972" s="476"/>
      <c r="C972" s="476"/>
      <c r="D972" s="476"/>
      <c r="E972" s="476"/>
      <c r="F972" s="476"/>
      <c r="G972" s="476"/>
      <c r="H972" s="476"/>
      <c r="I972" s="476"/>
      <c r="J972" s="476"/>
      <c r="K972" s="476"/>
    </row>
    <row r="973" spans="1:11">
      <c r="A973" s="479">
        <v>6762.9</v>
      </c>
      <c r="B973" s="476"/>
      <c r="C973" s="476"/>
      <c r="D973" s="476"/>
      <c r="E973" s="476"/>
      <c r="F973" s="476"/>
      <c r="G973" s="476"/>
      <c r="H973" s="476"/>
      <c r="I973" s="476"/>
      <c r="J973" s="476"/>
      <c r="K973" s="476"/>
    </row>
    <row r="974" spans="1:11">
      <c r="A974" s="479">
        <v>6763</v>
      </c>
      <c r="B974" s="476"/>
      <c r="C974" s="476"/>
      <c r="D974" s="476"/>
      <c r="E974" s="476"/>
      <c r="F974" s="476"/>
      <c r="G974" s="476"/>
      <c r="H974" s="476"/>
      <c r="I974" s="476"/>
      <c r="J974" s="476"/>
      <c r="K974" s="476"/>
    </row>
    <row r="975" spans="1:11">
      <c r="A975" s="479">
        <v>6763.1</v>
      </c>
      <c r="B975" s="476"/>
      <c r="C975" s="476"/>
      <c r="D975" s="476"/>
      <c r="E975" s="476"/>
      <c r="F975" s="476"/>
      <c r="G975" s="476"/>
      <c r="H975" s="476"/>
      <c r="I975" s="476"/>
      <c r="J975" s="476"/>
      <c r="K975" s="476"/>
    </row>
    <row r="976" spans="1:11">
      <c r="A976" s="479">
        <v>6763.2</v>
      </c>
      <c r="B976" s="476"/>
      <c r="C976" s="476"/>
      <c r="D976" s="476"/>
      <c r="E976" s="476"/>
      <c r="F976" s="476"/>
      <c r="G976" s="476"/>
      <c r="H976" s="476"/>
      <c r="I976" s="476"/>
      <c r="J976" s="476"/>
      <c r="K976" s="476"/>
    </row>
    <row r="977" spans="1:11">
      <c r="A977" s="479">
        <v>6763.3</v>
      </c>
      <c r="B977" s="476"/>
      <c r="C977" s="476"/>
      <c r="D977" s="476"/>
      <c r="E977" s="476"/>
      <c r="F977" s="476"/>
      <c r="G977" s="476"/>
      <c r="H977" s="476"/>
      <c r="I977" s="476"/>
      <c r="J977" s="476"/>
      <c r="K977" s="476"/>
    </row>
    <row r="978" spans="1:11">
      <c r="A978" s="479">
        <v>6763.4</v>
      </c>
      <c r="B978" s="476"/>
      <c r="C978" s="476"/>
      <c r="D978" s="476"/>
      <c r="E978" s="476"/>
      <c r="F978" s="476"/>
      <c r="G978" s="476"/>
      <c r="H978" s="476"/>
      <c r="I978" s="476"/>
      <c r="J978" s="476"/>
      <c r="K978" s="476"/>
    </row>
    <row r="979" spans="1:11">
      <c r="A979" s="479">
        <v>6763.5</v>
      </c>
      <c r="B979" s="476"/>
      <c r="C979" s="476"/>
      <c r="D979" s="476"/>
      <c r="E979" s="476"/>
      <c r="F979" s="476"/>
      <c r="G979" s="476"/>
      <c r="H979" s="476"/>
      <c r="I979" s="476"/>
      <c r="J979" s="476"/>
      <c r="K979" s="476"/>
    </row>
    <row r="980" spans="1:11">
      <c r="A980" s="479">
        <v>6763.6</v>
      </c>
      <c r="B980" s="476"/>
      <c r="C980" s="476"/>
      <c r="D980" s="476"/>
      <c r="E980" s="476"/>
      <c r="F980" s="476"/>
      <c r="G980" s="476"/>
      <c r="H980" s="476"/>
      <c r="I980" s="476"/>
      <c r="J980" s="476"/>
      <c r="K980" s="476"/>
    </row>
    <row r="981" spans="1:11">
      <c r="A981" s="479">
        <v>6763.7</v>
      </c>
      <c r="B981" s="476"/>
      <c r="C981" s="476"/>
      <c r="D981" s="476"/>
      <c r="E981" s="476"/>
      <c r="F981" s="476"/>
      <c r="G981" s="476"/>
      <c r="H981" s="476"/>
      <c r="I981" s="476"/>
      <c r="J981" s="476"/>
      <c r="K981" s="476"/>
    </row>
    <row r="982" spans="1:11">
      <c r="A982" s="479">
        <v>6763.8</v>
      </c>
      <c r="B982" s="476"/>
      <c r="C982" s="476"/>
      <c r="D982" s="476"/>
      <c r="E982" s="476"/>
      <c r="F982" s="476"/>
      <c r="G982" s="476"/>
      <c r="H982" s="476"/>
      <c r="I982" s="476"/>
      <c r="J982" s="476"/>
      <c r="K982" s="476"/>
    </row>
    <row r="983" spans="1:11">
      <c r="A983" s="479">
        <v>6763.9</v>
      </c>
      <c r="B983" s="476"/>
      <c r="C983" s="476"/>
      <c r="D983" s="476"/>
      <c r="E983" s="476"/>
      <c r="F983" s="476"/>
      <c r="G983" s="476"/>
      <c r="H983" s="476"/>
      <c r="I983" s="476"/>
      <c r="J983" s="476"/>
      <c r="K983" s="476"/>
    </row>
    <row r="984" spans="1:11">
      <c r="A984" s="479">
        <v>6764</v>
      </c>
      <c r="B984" s="476"/>
      <c r="C984" s="476"/>
      <c r="D984" s="476"/>
      <c r="E984" s="476"/>
      <c r="F984" s="476"/>
      <c r="G984" s="476"/>
      <c r="H984" s="476"/>
      <c r="I984" s="476"/>
      <c r="J984" s="476"/>
      <c r="K984" s="476"/>
    </row>
    <row r="985" spans="1:11">
      <c r="A985" s="479">
        <v>6764.1</v>
      </c>
      <c r="B985" s="476"/>
      <c r="C985" s="476"/>
      <c r="D985" s="476"/>
      <c r="E985" s="476"/>
      <c r="F985" s="476"/>
      <c r="G985" s="476"/>
      <c r="H985" s="476"/>
      <c r="I985" s="476"/>
      <c r="J985" s="476"/>
      <c r="K985" s="476"/>
    </row>
    <row r="986" spans="1:11">
      <c r="A986" s="479">
        <v>6764.2</v>
      </c>
      <c r="B986" s="476"/>
      <c r="C986" s="476"/>
      <c r="D986" s="476"/>
      <c r="E986" s="476"/>
      <c r="F986" s="476"/>
      <c r="G986" s="476"/>
      <c r="H986" s="476"/>
      <c r="I986" s="476"/>
      <c r="J986" s="476"/>
      <c r="K986" s="476"/>
    </row>
    <row r="987" spans="1:11">
      <c r="A987" s="479">
        <v>6764.3</v>
      </c>
      <c r="B987" s="476"/>
      <c r="C987" s="476"/>
      <c r="D987" s="476"/>
      <c r="E987" s="476"/>
      <c r="F987" s="476"/>
      <c r="G987" s="476"/>
      <c r="H987" s="476"/>
      <c r="I987" s="476"/>
      <c r="J987" s="476"/>
      <c r="K987" s="476"/>
    </row>
    <row r="988" spans="1:11">
      <c r="A988" s="479">
        <v>6764.4</v>
      </c>
      <c r="B988" s="476"/>
      <c r="C988" s="476"/>
      <c r="D988" s="476"/>
      <c r="E988" s="476"/>
      <c r="F988" s="476"/>
      <c r="G988" s="476"/>
      <c r="H988" s="476"/>
      <c r="I988" s="476"/>
      <c r="J988" s="476"/>
      <c r="K988" s="476"/>
    </row>
    <row r="989" spans="1:11">
      <c r="A989" s="479">
        <v>6764.5</v>
      </c>
      <c r="B989" s="476"/>
      <c r="C989" s="476"/>
      <c r="D989" s="476"/>
      <c r="E989" s="476"/>
      <c r="F989" s="476"/>
      <c r="G989" s="476"/>
      <c r="H989" s="476"/>
      <c r="I989" s="476"/>
      <c r="J989" s="476"/>
      <c r="K989" s="476"/>
    </row>
    <row r="990" spans="1:11">
      <c r="A990" s="479">
        <v>6764.6</v>
      </c>
      <c r="B990" s="476"/>
      <c r="C990" s="476"/>
      <c r="D990" s="476"/>
      <c r="E990" s="476"/>
      <c r="F990" s="476"/>
      <c r="G990" s="476"/>
      <c r="H990" s="476"/>
      <c r="I990" s="476"/>
      <c r="J990" s="476"/>
      <c r="K990" s="476"/>
    </row>
    <row r="991" spans="1:11">
      <c r="A991" s="479">
        <v>6764.7</v>
      </c>
      <c r="B991" s="476"/>
      <c r="C991" s="476"/>
      <c r="D991" s="476"/>
      <c r="E991" s="476"/>
      <c r="F991" s="476"/>
      <c r="G991" s="476"/>
      <c r="H991" s="476"/>
      <c r="I991" s="476"/>
      <c r="J991" s="476"/>
      <c r="K991" s="476"/>
    </row>
    <row r="992" spans="1:11">
      <c r="A992" s="479">
        <v>6764.8</v>
      </c>
      <c r="B992" s="476"/>
      <c r="C992" s="476"/>
      <c r="D992" s="476"/>
      <c r="E992" s="476"/>
      <c r="F992" s="476"/>
      <c r="G992" s="476"/>
      <c r="H992" s="476"/>
      <c r="I992" s="476"/>
      <c r="J992" s="476"/>
      <c r="K992" s="476"/>
    </row>
    <row r="993" spans="1:11">
      <c r="A993" s="479">
        <v>6764.9</v>
      </c>
      <c r="B993" s="476"/>
      <c r="C993" s="476"/>
      <c r="D993" s="476"/>
      <c r="E993" s="476"/>
      <c r="F993" s="476"/>
      <c r="G993" s="476"/>
      <c r="H993" s="476"/>
      <c r="I993" s="476"/>
      <c r="J993" s="476"/>
      <c r="K993" s="476"/>
    </row>
    <row r="994" spans="1:11">
      <c r="A994" s="479">
        <v>6765</v>
      </c>
      <c r="B994" s="476"/>
      <c r="C994" s="476"/>
      <c r="D994" s="476"/>
      <c r="E994" s="476"/>
      <c r="F994" s="476"/>
      <c r="G994" s="476"/>
      <c r="H994" s="476"/>
      <c r="I994" s="476"/>
      <c r="J994" s="476"/>
      <c r="K994" s="476"/>
    </row>
    <row r="995" spans="1:11">
      <c r="A995" s="479">
        <v>6765.1</v>
      </c>
      <c r="B995" s="476"/>
      <c r="C995" s="476"/>
      <c r="D995" s="476"/>
      <c r="E995" s="476"/>
      <c r="F995" s="476"/>
      <c r="G995" s="476"/>
      <c r="H995" s="476"/>
      <c r="I995" s="476"/>
      <c r="J995" s="476"/>
      <c r="K995" s="476"/>
    </row>
    <row r="996" spans="1:11">
      <c r="A996" s="479">
        <v>6765.2</v>
      </c>
      <c r="B996" s="476"/>
      <c r="C996" s="476"/>
      <c r="D996" s="476"/>
      <c r="E996" s="476"/>
      <c r="F996" s="476"/>
      <c r="G996" s="476"/>
      <c r="H996" s="476"/>
      <c r="I996" s="476"/>
      <c r="J996" s="476"/>
      <c r="K996" s="476"/>
    </row>
    <row r="997" spans="1:11">
      <c r="A997" s="479">
        <v>6765.3</v>
      </c>
      <c r="B997" s="476"/>
      <c r="C997" s="476"/>
      <c r="D997" s="476"/>
      <c r="E997" s="476"/>
      <c r="F997" s="476"/>
      <c r="G997" s="476"/>
      <c r="H997" s="476"/>
      <c r="I997" s="476"/>
      <c r="J997" s="476"/>
      <c r="K997" s="476"/>
    </row>
    <row r="998" spans="1:11">
      <c r="A998" s="479">
        <v>6765.4</v>
      </c>
      <c r="B998" s="476"/>
      <c r="C998" s="476"/>
      <c r="D998" s="476"/>
      <c r="E998" s="476"/>
      <c r="F998" s="476"/>
      <c r="G998" s="476"/>
      <c r="H998" s="476"/>
      <c r="I998" s="476"/>
      <c r="J998" s="476"/>
      <c r="K998" s="476"/>
    </row>
    <row r="999" spans="1:11">
      <c r="A999" s="479">
        <v>6765.5</v>
      </c>
      <c r="B999" s="476"/>
      <c r="C999" s="476"/>
      <c r="D999" s="476"/>
      <c r="E999" s="476"/>
      <c r="F999" s="476"/>
      <c r="G999" s="476"/>
      <c r="H999" s="476"/>
      <c r="I999" s="476"/>
      <c r="J999" s="476"/>
      <c r="K999" s="476"/>
    </row>
    <row r="1000" spans="1:11">
      <c r="A1000" s="479">
        <v>6765.6</v>
      </c>
      <c r="B1000" s="476"/>
      <c r="C1000" s="476"/>
      <c r="D1000" s="476"/>
      <c r="E1000" s="476"/>
      <c r="F1000" s="476"/>
      <c r="G1000" s="476"/>
      <c r="H1000" s="476"/>
      <c r="I1000" s="476"/>
      <c r="J1000" s="476"/>
      <c r="K1000" s="476"/>
    </row>
    <row r="1001" spans="1:11">
      <c r="A1001" s="479">
        <v>6765.7</v>
      </c>
      <c r="B1001" s="476"/>
      <c r="C1001" s="476"/>
      <c r="D1001" s="476"/>
      <c r="E1001" s="476"/>
      <c r="F1001" s="476"/>
      <c r="G1001" s="476"/>
      <c r="H1001" s="476"/>
      <c r="I1001" s="476"/>
      <c r="J1001" s="476"/>
      <c r="K1001" s="476"/>
    </row>
    <row r="1002" spans="1:11">
      <c r="A1002" s="479">
        <v>6765.8</v>
      </c>
      <c r="B1002" s="476"/>
      <c r="C1002" s="476"/>
      <c r="D1002" s="476"/>
      <c r="E1002" s="476"/>
      <c r="F1002" s="476"/>
      <c r="G1002" s="476"/>
      <c r="H1002" s="476"/>
      <c r="I1002" s="476"/>
      <c r="J1002" s="476"/>
      <c r="K1002" s="476"/>
    </row>
    <row r="1003" spans="1:11">
      <c r="A1003" s="479">
        <v>6765.9</v>
      </c>
      <c r="B1003" s="476"/>
      <c r="C1003" s="476"/>
      <c r="D1003" s="476"/>
      <c r="E1003" s="476"/>
      <c r="F1003" s="476"/>
      <c r="G1003" s="476"/>
      <c r="H1003" s="476"/>
      <c r="I1003" s="476"/>
      <c r="J1003" s="476"/>
      <c r="K1003" s="476"/>
    </row>
    <row r="1004" spans="1:11">
      <c r="A1004" s="479">
        <v>6766</v>
      </c>
      <c r="B1004" s="476">
        <v>31900</v>
      </c>
      <c r="C1004" s="476">
        <v>31908</v>
      </c>
      <c r="D1004" s="476">
        <v>31915</v>
      </c>
      <c r="E1004" s="476">
        <v>31922</v>
      </c>
      <c r="F1004" s="476">
        <v>31930</v>
      </c>
      <c r="G1004" s="476">
        <v>31937</v>
      </c>
      <c r="H1004" s="476">
        <v>31945</v>
      </c>
      <c r="I1004" s="476">
        <v>31952</v>
      </c>
      <c r="J1004" s="476">
        <v>31960</v>
      </c>
      <c r="K1004" s="476">
        <v>31967</v>
      </c>
    </row>
    <row r="1005" spans="1:11">
      <c r="A1005" s="479">
        <v>6766.1</v>
      </c>
      <c r="B1005" s="476">
        <v>31974</v>
      </c>
      <c r="C1005" s="476">
        <v>31982</v>
      </c>
      <c r="D1005" s="476">
        <v>31989</v>
      </c>
      <c r="E1005" s="476">
        <v>31997</v>
      </c>
      <c r="F1005" s="476">
        <v>32004</v>
      </c>
      <c r="G1005" s="476">
        <v>32012</v>
      </c>
      <c r="H1005" s="476">
        <v>32019</v>
      </c>
      <c r="I1005" s="476">
        <v>32026</v>
      </c>
      <c r="J1005" s="476">
        <v>32034</v>
      </c>
      <c r="K1005" s="476">
        <v>32041</v>
      </c>
    </row>
    <row r="1006" spans="1:11">
      <c r="A1006" s="479">
        <v>6766.2</v>
      </c>
      <c r="B1006" s="476">
        <v>32049</v>
      </c>
      <c r="C1006" s="476">
        <v>32056</v>
      </c>
      <c r="D1006" s="476">
        <v>32064</v>
      </c>
      <c r="E1006" s="476">
        <v>32071</v>
      </c>
      <c r="F1006" s="476">
        <v>32078</v>
      </c>
      <c r="G1006" s="476">
        <v>32086</v>
      </c>
      <c r="H1006" s="476">
        <v>32093</v>
      </c>
      <c r="I1006" s="476">
        <v>32101</v>
      </c>
      <c r="J1006" s="476">
        <v>32108</v>
      </c>
      <c r="K1006" s="476">
        <v>32116</v>
      </c>
    </row>
    <row r="1007" spans="1:11">
      <c r="A1007" s="479">
        <v>6766.3</v>
      </c>
      <c r="B1007" s="476">
        <v>32123</v>
      </c>
      <c r="C1007" s="476">
        <v>32130</v>
      </c>
      <c r="D1007" s="476">
        <v>32138</v>
      </c>
      <c r="E1007" s="476">
        <v>32145</v>
      </c>
      <c r="F1007" s="476">
        <v>32153</v>
      </c>
      <c r="G1007" s="476">
        <v>32160</v>
      </c>
      <c r="H1007" s="476">
        <v>32168</v>
      </c>
      <c r="I1007" s="476">
        <v>32175</v>
      </c>
      <c r="J1007" s="476">
        <v>32182</v>
      </c>
      <c r="K1007" s="476">
        <v>32190</v>
      </c>
    </row>
    <row r="1008" spans="1:11">
      <c r="A1008" s="479">
        <v>6766.4</v>
      </c>
      <c r="B1008" s="476">
        <v>32197</v>
      </c>
      <c r="C1008" s="476">
        <v>32205</v>
      </c>
      <c r="D1008" s="476">
        <v>32212</v>
      </c>
      <c r="E1008" s="476">
        <v>32220</v>
      </c>
      <c r="F1008" s="476">
        <v>32227</v>
      </c>
      <c r="G1008" s="476">
        <v>32234</v>
      </c>
      <c r="H1008" s="476">
        <v>32242</v>
      </c>
      <c r="I1008" s="476">
        <v>32249</v>
      </c>
      <c r="J1008" s="476">
        <v>32257</v>
      </c>
      <c r="K1008" s="476">
        <v>32264</v>
      </c>
    </row>
    <row r="1009" spans="1:11">
      <c r="A1009" s="479">
        <v>6766.5</v>
      </c>
      <c r="B1009" s="476">
        <v>32272</v>
      </c>
      <c r="C1009" s="476">
        <v>32279</v>
      </c>
      <c r="D1009" s="476">
        <v>32286</v>
      </c>
      <c r="E1009" s="476">
        <v>32294</v>
      </c>
      <c r="F1009" s="476">
        <v>32301</v>
      </c>
      <c r="G1009" s="476">
        <v>32309</v>
      </c>
      <c r="H1009" s="476">
        <v>32316</v>
      </c>
      <c r="I1009" s="476">
        <v>32324</v>
      </c>
      <c r="J1009" s="476">
        <v>32331</v>
      </c>
      <c r="K1009" s="476">
        <v>32338</v>
      </c>
    </row>
    <row r="1010" spans="1:11">
      <c r="A1010" s="479">
        <v>6766.6</v>
      </c>
      <c r="B1010" s="476">
        <v>32346</v>
      </c>
      <c r="C1010" s="476">
        <v>32353</v>
      </c>
      <c r="D1010" s="476">
        <v>32361</v>
      </c>
      <c r="E1010" s="476">
        <v>32368</v>
      </c>
      <c r="F1010" s="476">
        <v>32376</v>
      </c>
      <c r="G1010" s="476">
        <v>32383</v>
      </c>
      <c r="H1010" s="476">
        <v>32390</v>
      </c>
      <c r="I1010" s="476">
        <v>32398</v>
      </c>
      <c r="J1010" s="476">
        <v>32405</v>
      </c>
      <c r="K1010" s="476">
        <v>32413</v>
      </c>
    </row>
    <row r="1011" spans="1:11">
      <c r="A1011" s="479">
        <v>6766.7</v>
      </c>
      <c r="B1011" s="476">
        <v>32420</v>
      </c>
      <c r="C1011" s="476">
        <v>32428</v>
      </c>
      <c r="D1011" s="476">
        <v>32435</v>
      </c>
      <c r="E1011" s="476">
        <v>32442</v>
      </c>
      <c r="F1011" s="476">
        <v>32450</v>
      </c>
      <c r="G1011" s="476">
        <v>32457</v>
      </c>
      <c r="H1011" s="476">
        <v>32465</v>
      </c>
      <c r="I1011" s="476">
        <v>32472</v>
      </c>
      <c r="J1011" s="476">
        <v>32480</v>
      </c>
      <c r="K1011" s="476">
        <v>32487</v>
      </c>
    </row>
    <row r="1012" spans="1:11">
      <c r="A1012" s="479">
        <v>6766.8</v>
      </c>
      <c r="B1012" s="476">
        <v>32494</v>
      </c>
      <c r="C1012" s="476">
        <v>32502</v>
      </c>
      <c r="D1012" s="476">
        <v>32509</v>
      </c>
      <c r="E1012" s="476">
        <v>32517</v>
      </c>
      <c r="F1012" s="476">
        <v>32524</v>
      </c>
      <c r="G1012" s="476">
        <v>32532</v>
      </c>
      <c r="H1012" s="476">
        <v>32539</v>
      </c>
      <c r="I1012" s="476">
        <v>32546</v>
      </c>
      <c r="J1012" s="476">
        <v>32554</v>
      </c>
      <c r="K1012" s="476">
        <v>32561</v>
      </c>
    </row>
    <row r="1013" spans="1:11">
      <c r="A1013" s="479">
        <v>6766.9</v>
      </c>
      <c r="B1013" s="476">
        <v>32569</v>
      </c>
      <c r="C1013" s="476">
        <v>32576</v>
      </c>
      <c r="D1013" s="476">
        <v>32584</v>
      </c>
      <c r="E1013" s="476">
        <v>32591</v>
      </c>
      <c r="F1013" s="476">
        <v>32598</v>
      </c>
      <c r="G1013" s="476">
        <v>32606</v>
      </c>
      <c r="H1013" s="476">
        <v>32613</v>
      </c>
      <c r="I1013" s="476">
        <v>32621</v>
      </c>
      <c r="J1013" s="476">
        <v>32628</v>
      </c>
      <c r="K1013" s="476">
        <v>32636</v>
      </c>
    </row>
    <row r="1014" spans="1:11">
      <c r="A1014" s="479">
        <v>6767</v>
      </c>
      <c r="B1014" s="476">
        <v>32643</v>
      </c>
      <c r="C1014" s="476">
        <v>32650</v>
      </c>
      <c r="D1014" s="476">
        <v>32658</v>
      </c>
      <c r="E1014" s="476">
        <v>32665</v>
      </c>
      <c r="F1014" s="476">
        <v>32673</v>
      </c>
      <c r="G1014" s="476">
        <v>32681</v>
      </c>
      <c r="H1014" s="476">
        <v>32688</v>
      </c>
      <c r="I1014" s="476">
        <v>32696</v>
      </c>
      <c r="J1014" s="476">
        <v>32703</v>
      </c>
      <c r="K1014" s="476">
        <v>32711</v>
      </c>
    </row>
    <row r="1015" spans="1:11">
      <c r="A1015" s="479">
        <v>6767.1</v>
      </c>
      <c r="B1015" s="476">
        <v>32718</v>
      </c>
      <c r="C1015" s="476">
        <v>32726</v>
      </c>
      <c r="D1015" s="476">
        <v>32733</v>
      </c>
      <c r="E1015" s="476">
        <v>32741</v>
      </c>
      <c r="F1015" s="476">
        <v>32748</v>
      </c>
      <c r="G1015" s="476">
        <v>32756</v>
      </c>
      <c r="H1015" s="476">
        <v>32763</v>
      </c>
      <c r="I1015" s="476">
        <v>32771</v>
      </c>
      <c r="J1015" s="476">
        <v>32778</v>
      </c>
      <c r="K1015" s="476">
        <v>32786</v>
      </c>
    </row>
    <row r="1016" spans="1:11">
      <c r="A1016" s="479">
        <v>6767.2</v>
      </c>
      <c r="B1016" s="476">
        <v>32793</v>
      </c>
      <c r="C1016" s="476">
        <v>32801</v>
      </c>
      <c r="D1016" s="476">
        <v>32808</v>
      </c>
      <c r="E1016" s="476">
        <v>32816</v>
      </c>
      <c r="F1016" s="476">
        <v>32823</v>
      </c>
      <c r="G1016" s="476">
        <v>32831</v>
      </c>
      <c r="H1016" s="476">
        <v>32838</v>
      </c>
      <c r="I1016" s="476">
        <v>32846</v>
      </c>
      <c r="J1016" s="476">
        <v>32853</v>
      </c>
      <c r="K1016" s="476">
        <v>32861</v>
      </c>
    </row>
    <row r="1017" spans="1:11">
      <c r="A1017" s="479">
        <v>6767.3</v>
      </c>
      <c r="B1017" s="476">
        <v>32868</v>
      </c>
      <c r="C1017" s="476">
        <v>32876</v>
      </c>
      <c r="D1017" s="476">
        <v>32883</v>
      </c>
      <c r="E1017" s="476">
        <v>32891</v>
      </c>
      <c r="F1017" s="476">
        <v>32898</v>
      </c>
      <c r="G1017" s="476">
        <v>32906</v>
      </c>
      <c r="H1017" s="476">
        <v>32913</v>
      </c>
      <c r="I1017" s="476">
        <v>32921</v>
      </c>
      <c r="J1017" s="476">
        <v>32928</v>
      </c>
      <c r="K1017" s="476">
        <v>32936</v>
      </c>
    </row>
    <row r="1018" spans="1:11">
      <c r="A1018" s="479">
        <v>6767.4</v>
      </c>
      <c r="B1018" s="476">
        <v>32943</v>
      </c>
      <c r="C1018" s="476">
        <v>32951</v>
      </c>
      <c r="D1018" s="476">
        <v>32959</v>
      </c>
      <c r="E1018" s="476">
        <v>32966</v>
      </c>
      <c r="F1018" s="476">
        <v>32974</v>
      </c>
      <c r="G1018" s="476">
        <v>32981</v>
      </c>
      <c r="H1018" s="476">
        <v>32989</v>
      </c>
      <c r="I1018" s="476">
        <v>32996</v>
      </c>
      <c r="J1018" s="476">
        <v>33004</v>
      </c>
      <c r="K1018" s="476">
        <v>33011</v>
      </c>
    </row>
    <row r="1019" spans="1:11">
      <c r="A1019" s="479">
        <v>6767.5</v>
      </c>
      <c r="B1019" s="476">
        <v>33019</v>
      </c>
      <c r="C1019" s="476">
        <v>33026</v>
      </c>
      <c r="D1019" s="476">
        <v>33034</v>
      </c>
      <c r="E1019" s="476">
        <v>33041</v>
      </c>
      <c r="F1019" s="476">
        <v>33049</v>
      </c>
      <c r="G1019" s="476">
        <v>33056</v>
      </c>
      <c r="H1019" s="476">
        <v>33064</v>
      </c>
      <c r="I1019" s="476">
        <v>33071</v>
      </c>
      <c r="J1019" s="476">
        <v>33079</v>
      </c>
      <c r="K1019" s="476">
        <v>33086</v>
      </c>
    </row>
    <row r="1020" spans="1:11">
      <c r="A1020" s="479">
        <v>6767.6</v>
      </c>
      <c r="B1020" s="476">
        <v>33094</v>
      </c>
      <c r="C1020" s="476">
        <v>33101</v>
      </c>
      <c r="D1020" s="476">
        <v>33109</v>
      </c>
      <c r="E1020" s="476">
        <v>33116</v>
      </c>
      <c r="F1020" s="476">
        <v>33124</v>
      </c>
      <c r="G1020" s="476">
        <v>33131</v>
      </c>
      <c r="H1020" s="476">
        <v>33139</v>
      </c>
      <c r="I1020" s="476">
        <v>33146</v>
      </c>
      <c r="J1020" s="476">
        <v>33154</v>
      </c>
      <c r="K1020" s="476">
        <v>33161</v>
      </c>
    </row>
    <row r="1021" spans="1:11">
      <c r="A1021" s="479">
        <v>6767.7</v>
      </c>
      <c r="B1021" s="476">
        <v>33169</v>
      </c>
      <c r="C1021" s="476">
        <v>33176</v>
      </c>
      <c r="D1021" s="476">
        <v>33184</v>
      </c>
      <c r="E1021" s="476">
        <v>33191</v>
      </c>
      <c r="F1021" s="476">
        <v>33199</v>
      </c>
      <c r="G1021" s="476">
        <v>33206</v>
      </c>
      <c r="H1021" s="476">
        <v>33214</v>
      </c>
      <c r="I1021" s="476">
        <v>33221</v>
      </c>
      <c r="J1021" s="476">
        <v>33229</v>
      </c>
      <c r="K1021" s="476">
        <v>33237</v>
      </c>
    </row>
    <row r="1022" spans="1:11">
      <c r="A1022" s="479">
        <v>6767.8</v>
      </c>
      <c r="B1022" s="476">
        <v>33244</v>
      </c>
      <c r="C1022" s="476">
        <v>33252</v>
      </c>
      <c r="D1022" s="476">
        <v>33259</v>
      </c>
      <c r="E1022" s="476">
        <v>33267</v>
      </c>
      <c r="F1022" s="476">
        <v>33274</v>
      </c>
      <c r="G1022" s="476">
        <v>33282</v>
      </c>
      <c r="H1022" s="476">
        <v>33289</v>
      </c>
      <c r="I1022" s="476">
        <v>33297</v>
      </c>
      <c r="J1022" s="476">
        <v>33304</v>
      </c>
      <c r="K1022" s="476">
        <v>33312</v>
      </c>
    </row>
    <row r="1023" spans="1:11">
      <c r="A1023" s="479">
        <v>6767.9</v>
      </c>
      <c r="B1023" s="476">
        <v>33319</v>
      </c>
      <c r="C1023" s="476">
        <v>33327</v>
      </c>
      <c r="D1023" s="476">
        <v>33334</v>
      </c>
      <c r="E1023" s="476">
        <v>33342</v>
      </c>
      <c r="F1023" s="476">
        <v>33349</v>
      </c>
      <c r="G1023" s="476">
        <v>33357</v>
      </c>
      <c r="H1023" s="476">
        <v>33364</v>
      </c>
      <c r="I1023" s="476">
        <v>33372</v>
      </c>
      <c r="J1023" s="476">
        <v>33379</v>
      </c>
      <c r="K1023" s="476">
        <v>33387</v>
      </c>
    </row>
    <row r="1024" spans="1:11">
      <c r="A1024" s="479">
        <v>6768</v>
      </c>
      <c r="B1024" s="476">
        <v>33394</v>
      </c>
      <c r="C1024" s="476">
        <v>33402</v>
      </c>
      <c r="D1024" s="476">
        <v>33410</v>
      </c>
      <c r="E1024" s="476">
        <v>33417</v>
      </c>
      <c r="F1024" s="476">
        <v>33425</v>
      </c>
      <c r="G1024" s="476">
        <v>33432</v>
      </c>
      <c r="H1024" s="476">
        <v>33440</v>
      </c>
      <c r="I1024" s="476">
        <v>33448</v>
      </c>
      <c r="J1024" s="476">
        <v>33455</v>
      </c>
      <c r="K1024" s="476">
        <v>33463</v>
      </c>
    </row>
    <row r="1025" spans="1:11">
      <c r="A1025" s="479">
        <v>6768.1</v>
      </c>
      <c r="B1025" s="476">
        <v>33470</v>
      </c>
      <c r="C1025" s="476">
        <v>33478</v>
      </c>
      <c r="D1025" s="476">
        <v>33486</v>
      </c>
      <c r="E1025" s="476">
        <v>33493</v>
      </c>
      <c r="F1025" s="476">
        <v>33501</v>
      </c>
      <c r="G1025" s="476">
        <v>33508</v>
      </c>
      <c r="H1025" s="476">
        <v>33516</v>
      </c>
      <c r="I1025" s="476">
        <v>33524</v>
      </c>
      <c r="J1025" s="476">
        <v>33531</v>
      </c>
      <c r="K1025" s="476">
        <v>33539</v>
      </c>
    </row>
    <row r="1026" spans="1:11">
      <c r="A1026" s="479">
        <v>6768.2</v>
      </c>
      <c r="B1026" s="476">
        <v>33546</v>
      </c>
      <c r="C1026" s="476">
        <v>33554</v>
      </c>
      <c r="D1026" s="476">
        <v>33562</v>
      </c>
      <c r="E1026" s="476">
        <v>33569</v>
      </c>
      <c r="F1026" s="476">
        <v>33577</v>
      </c>
      <c r="G1026" s="476">
        <v>33584</v>
      </c>
      <c r="H1026" s="476">
        <v>33592</v>
      </c>
      <c r="I1026" s="476">
        <v>33600</v>
      </c>
      <c r="J1026" s="476">
        <v>33607</v>
      </c>
      <c r="K1026" s="476">
        <v>33615</v>
      </c>
    </row>
    <row r="1027" spans="1:11">
      <c r="A1027" s="479">
        <v>6768.3</v>
      </c>
      <c r="B1027" s="476">
        <v>33622</v>
      </c>
      <c r="C1027" s="476">
        <v>33630</v>
      </c>
      <c r="D1027" s="476">
        <v>33638</v>
      </c>
      <c r="E1027" s="476">
        <v>33645</v>
      </c>
      <c r="F1027" s="476">
        <v>33653</v>
      </c>
      <c r="G1027" s="476">
        <v>33660</v>
      </c>
      <c r="H1027" s="476">
        <v>33668</v>
      </c>
      <c r="I1027" s="476">
        <v>33676</v>
      </c>
      <c r="J1027" s="476">
        <v>33683</v>
      </c>
      <c r="K1027" s="476">
        <v>33691</v>
      </c>
    </row>
    <row r="1028" spans="1:11">
      <c r="A1028" s="479">
        <v>6768.4</v>
      </c>
      <c r="B1028" s="476">
        <v>33698</v>
      </c>
      <c r="C1028" s="476">
        <v>33706</v>
      </c>
      <c r="D1028" s="476">
        <v>33714</v>
      </c>
      <c r="E1028" s="476">
        <v>33721</v>
      </c>
      <c r="F1028" s="476">
        <v>33729</v>
      </c>
      <c r="G1028" s="476">
        <v>33736</v>
      </c>
      <c r="H1028" s="476">
        <v>33744</v>
      </c>
      <c r="I1028" s="476">
        <v>33752</v>
      </c>
      <c r="J1028" s="476">
        <v>33759</v>
      </c>
      <c r="K1028" s="476">
        <v>33767</v>
      </c>
    </row>
    <row r="1029" spans="1:11">
      <c r="A1029" s="479">
        <v>6768.5</v>
      </c>
      <c r="B1029" s="476">
        <v>33774</v>
      </c>
      <c r="C1029" s="476">
        <v>33782</v>
      </c>
      <c r="D1029" s="476">
        <v>33790</v>
      </c>
      <c r="E1029" s="476">
        <v>33797</v>
      </c>
      <c r="F1029" s="476">
        <v>33805</v>
      </c>
      <c r="G1029" s="476">
        <v>33812</v>
      </c>
      <c r="H1029" s="476">
        <v>33820</v>
      </c>
      <c r="I1029" s="476">
        <v>33828</v>
      </c>
      <c r="J1029" s="476">
        <v>33835</v>
      </c>
      <c r="K1029" s="476">
        <v>33843</v>
      </c>
    </row>
    <row r="1030" spans="1:11">
      <c r="A1030" s="479">
        <v>6768.6</v>
      </c>
      <c r="B1030" s="476">
        <v>33850</v>
      </c>
      <c r="C1030" s="476">
        <v>33858</v>
      </c>
      <c r="D1030" s="476">
        <v>33866</v>
      </c>
      <c r="E1030" s="476">
        <v>33873</v>
      </c>
      <c r="F1030" s="476">
        <v>33881</v>
      </c>
      <c r="G1030" s="476">
        <v>33888</v>
      </c>
      <c r="H1030" s="476">
        <v>33896</v>
      </c>
      <c r="I1030" s="476">
        <v>33904</v>
      </c>
      <c r="J1030" s="476">
        <v>33911</v>
      </c>
      <c r="K1030" s="476">
        <v>33919</v>
      </c>
    </row>
    <row r="1031" spans="1:11">
      <c r="A1031" s="479">
        <v>6768.7</v>
      </c>
      <c r="B1031" s="476">
        <v>33926</v>
      </c>
      <c r="C1031" s="476">
        <v>33934</v>
      </c>
      <c r="D1031" s="476">
        <v>33942</v>
      </c>
      <c r="E1031" s="476">
        <v>33949</v>
      </c>
      <c r="F1031" s="476">
        <v>33957</v>
      </c>
      <c r="G1031" s="476">
        <v>33964</v>
      </c>
      <c r="H1031" s="476">
        <v>33972</v>
      </c>
      <c r="I1031" s="476">
        <v>33980</v>
      </c>
      <c r="J1031" s="476">
        <v>33987</v>
      </c>
      <c r="K1031" s="476">
        <v>33995</v>
      </c>
    </row>
    <row r="1032" spans="1:11">
      <c r="A1032" s="479">
        <v>6768.8</v>
      </c>
      <c r="B1032" s="476">
        <v>34002</v>
      </c>
      <c r="C1032" s="476">
        <v>34010</v>
      </c>
      <c r="D1032" s="476">
        <v>34018</v>
      </c>
      <c r="E1032" s="476">
        <v>34025</v>
      </c>
      <c r="F1032" s="476">
        <v>34033</v>
      </c>
      <c r="G1032" s="476">
        <v>34040</v>
      </c>
      <c r="H1032" s="476">
        <v>34048</v>
      </c>
      <c r="I1032" s="476">
        <v>34056</v>
      </c>
      <c r="J1032" s="476">
        <v>34063</v>
      </c>
      <c r="K1032" s="476">
        <v>34071</v>
      </c>
    </row>
    <row r="1033" spans="1:11">
      <c r="A1033" s="479">
        <v>6768.9</v>
      </c>
      <c r="B1033" s="476">
        <v>34078</v>
      </c>
      <c r="C1033" s="476">
        <v>34086</v>
      </c>
      <c r="D1033" s="476">
        <v>34094</v>
      </c>
      <c r="E1033" s="476">
        <v>34101</v>
      </c>
      <c r="F1033" s="476">
        <v>34109</v>
      </c>
      <c r="G1033" s="476">
        <v>34117</v>
      </c>
      <c r="H1033" s="476">
        <v>34124</v>
      </c>
      <c r="I1033" s="476">
        <v>34132</v>
      </c>
      <c r="J1033" s="476">
        <v>34139</v>
      </c>
      <c r="K1033" s="476">
        <v>34147</v>
      </c>
    </row>
    <row r="1034" spans="1:11">
      <c r="A1034" s="479">
        <v>6769</v>
      </c>
      <c r="B1034" s="476">
        <v>34155</v>
      </c>
      <c r="C1034" s="476">
        <v>34162</v>
      </c>
      <c r="D1034" s="476">
        <v>34170</v>
      </c>
      <c r="E1034" s="476">
        <v>34178</v>
      </c>
      <c r="F1034" s="476">
        <v>34185</v>
      </c>
      <c r="G1034" s="476">
        <v>34193</v>
      </c>
      <c r="H1034" s="476">
        <v>34201</v>
      </c>
      <c r="I1034" s="476">
        <v>34208</v>
      </c>
      <c r="J1034" s="476">
        <v>34216</v>
      </c>
      <c r="K1034" s="476">
        <v>34221</v>
      </c>
    </row>
    <row r="1035" spans="1:11">
      <c r="A1035" s="479">
        <v>6769.1</v>
      </c>
      <c r="B1035" s="476">
        <v>34231</v>
      </c>
      <c r="C1035" s="476">
        <v>34239</v>
      </c>
      <c r="D1035" s="476">
        <v>34247</v>
      </c>
      <c r="E1035" s="476">
        <v>34255</v>
      </c>
      <c r="F1035" s="476">
        <v>34262</v>
      </c>
      <c r="G1035" s="476">
        <v>34270</v>
      </c>
      <c r="H1035" s="476">
        <v>34278</v>
      </c>
      <c r="I1035" s="476">
        <v>34285</v>
      </c>
      <c r="J1035" s="476">
        <v>34293</v>
      </c>
      <c r="K1035" s="476">
        <v>34301</v>
      </c>
    </row>
    <row r="1036" spans="1:11">
      <c r="A1036" s="479">
        <v>6769.2</v>
      </c>
      <c r="B1036" s="476">
        <v>34308</v>
      </c>
      <c r="C1036" s="476">
        <v>34316</v>
      </c>
      <c r="D1036" s="476">
        <v>34324</v>
      </c>
      <c r="E1036" s="476">
        <v>34331</v>
      </c>
      <c r="F1036" s="476">
        <v>34339</v>
      </c>
      <c r="G1036" s="476">
        <v>34347</v>
      </c>
      <c r="H1036" s="476">
        <v>34355</v>
      </c>
      <c r="I1036" s="476">
        <v>34362</v>
      </c>
      <c r="J1036" s="476">
        <v>34370</v>
      </c>
      <c r="K1036" s="476">
        <v>34373</v>
      </c>
    </row>
    <row r="1037" spans="1:11">
      <c r="A1037" s="479">
        <v>6769.3</v>
      </c>
      <c r="B1037" s="476">
        <v>34385</v>
      </c>
      <c r="C1037" s="476">
        <v>34393</v>
      </c>
      <c r="D1037" s="476">
        <v>34401</v>
      </c>
      <c r="E1037" s="476">
        <v>34408</v>
      </c>
      <c r="F1037" s="476">
        <v>34416</v>
      </c>
      <c r="G1037" s="476">
        <v>34424</v>
      </c>
      <c r="H1037" s="476">
        <v>34431</v>
      </c>
      <c r="I1037" s="476">
        <v>34439</v>
      </c>
      <c r="J1037" s="476">
        <v>34447</v>
      </c>
      <c r="K1037" s="476">
        <v>34455</v>
      </c>
    </row>
    <row r="1038" spans="1:11">
      <c r="A1038" s="479">
        <v>6769.4</v>
      </c>
      <c r="B1038" s="476">
        <v>34462</v>
      </c>
      <c r="C1038" s="476">
        <v>34470</v>
      </c>
      <c r="D1038" s="476">
        <v>34478</v>
      </c>
      <c r="E1038" s="476">
        <v>34485</v>
      </c>
      <c r="F1038" s="476">
        <v>34493</v>
      </c>
      <c r="G1038" s="476">
        <v>34501</v>
      </c>
      <c r="H1038" s="476">
        <v>34508</v>
      </c>
      <c r="I1038" s="476">
        <v>34516</v>
      </c>
      <c r="J1038" s="476">
        <v>34524</v>
      </c>
      <c r="K1038" s="476">
        <v>34531</v>
      </c>
    </row>
    <row r="1039" spans="1:11">
      <c r="A1039" s="479">
        <v>6769.5</v>
      </c>
      <c r="B1039" s="476">
        <v>34539</v>
      </c>
      <c r="C1039" s="476">
        <v>34547</v>
      </c>
      <c r="D1039" s="476">
        <v>34555</v>
      </c>
      <c r="E1039" s="476">
        <v>34562</v>
      </c>
      <c r="F1039" s="476">
        <v>34570</v>
      </c>
      <c r="G1039" s="476">
        <v>34578</v>
      </c>
      <c r="H1039" s="476">
        <v>34585</v>
      </c>
      <c r="I1039" s="476">
        <v>34593</v>
      </c>
      <c r="J1039" s="476">
        <v>34601</v>
      </c>
      <c r="K1039" s="476">
        <v>34608</v>
      </c>
    </row>
    <row r="1040" spans="1:11">
      <c r="A1040" s="479">
        <v>6769.6</v>
      </c>
      <c r="B1040" s="476">
        <v>34616</v>
      </c>
      <c r="C1040" s="476">
        <v>34624</v>
      </c>
      <c r="D1040" s="476">
        <v>34632</v>
      </c>
      <c r="E1040" s="476">
        <v>34639</v>
      </c>
      <c r="F1040" s="476">
        <v>34647</v>
      </c>
      <c r="G1040" s="476">
        <v>34655</v>
      </c>
      <c r="H1040" s="476">
        <v>34662</v>
      </c>
      <c r="I1040" s="476">
        <v>34670</v>
      </c>
      <c r="J1040" s="476">
        <v>34678</v>
      </c>
      <c r="K1040" s="476">
        <v>34685</v>
      </c>
    </row>
    <row r="1041" spans="1:11">
      <c r="A1041" s="479">
        <v>6769.7</v>
      </c>
      <c r="B1041" s="476">
        <v>34693</v>
      </c>
      <c r="C1041" s="476">
        <v>34701</v>
      </c>
      <c r="D1041" s="476">
        <v>34708</v>
      </c>
      <c r="E1041" s="476">
        <v>34716</v>
      </c>
      <c r="F1041" s="476">
        <v>34724</v>
      </c>
      <c r="G1041" s="476">
        <v>34732</v>
      </c>
      <c r="H1041" s="476">
        <v>34739</v>
      </c>
      <c r="I1041" s="476">
        <v>34747</v>
      </c>
      <c r="J1041" s="476">
        <v>34755</v>
      </c>
      <c r="K1041" s="476">
        <v>34761</v>
      </c>
    </row>
    <row r="1042" spans="1:11">
      <c r="A1042" s="479">
        <v>6769.8</v>
      </c>
      <c r="B1042" s="476">
        <v>34770</v>
      </c>
      <c r="C1042" s="476">
        <v>34778</v>
      </c>
      <c r="D1042" s="476">
        <v>34785</v>
      </c>
      <c r="E1042" s="476">
        <v>34793</v>
      </c>
      <c r="F1042" s="476">
        <v>34801</v>
      </c>
      <c r="G1042" s="476">
        <v>34808</v>
      </c>
      <c r="H1042" s="476">
        <v>34816</v>
      </c>
      <c r="I1042" s="476">
        <v>34824</v>
      </c>
      <c r="J1042" s="476">
        <v>34832</v>
      </c>
      <c r="K1042" s="476">
        <v>34839</v>
      </c>
    </row>
    <row r="1043" spans="1:11">
      <c r="A1043" s="479">
        <v>6769.9</v>
      </c>
      <c r="B1043" s="476">
        <v>34847</v>
      </c>
      <c r="C1043" s="476">
        <v>34855</v>
      </c>
      <c r="D1043" s="476">
        <v>34862</v>
      </c>
      <c r="E1043" s="476">
        <v>34870</v>
      </c>
      <c r="F1043" s="476">
        <v>34878</v>
      </c>
      <c r="G1043" s="476">
        <v>34885</v>
      </c>
      <c r="H1043" s="476">
        <v>34893</v>
      </c>
      <c r="I1043" s="476">
        <v>34901</v>
      </c>
      <c r="J1043" s="476">
        <v>34908</v>
      </c>
      <c r="K1043" s="476">
        <v>34915</v>
      </c>
    </row>
    <row r="1044" spans="1:11">
      <c r="A1044" s="479">
        <v>6770</v>
      </c>
      <c r="B1044" s="476">
        <v>34924</v>
      </c>
      <c r="C1044" s="476">
        <v>34932</v>
      </c>
      <c r="D1044" s="476">
        <v>34939</v>
      </c>
      <c r="E1044" s="476">
        <v>34947</v>
      </c>
      <c r="F1044" s="476">
        <v>34955</v>
      </c>
      <c r="G1044" s="476">
        <v>34963</v>
      </c>
      <c r="H1044" s="476">
        <v>34971</v>
      </c>
      <c r="I1044" s="476">
        <v>34978</v>
      </c>
      <c r="J1044" s="476">
        <v>34986</v>
      </c>
      <c r="K1044" s="476">
        <v>34994</v>
      </c>
    </row>
    <row r="1045" spans="1:11">
      <c r="A1045" s="479">
        <v>6770.1</v>
      </c>
      <c r="B1045" s="476">
        <v>35002</v>
      </c>
      <c r="C1045" s="476">
        <v>35010</v>
      </c>
      <c r="D1045" s="476">
        <v>35017</v>
      </c>
      <c r="E1045" s="476">
        <v>35025</v>
      </c>
      <c r="F1045" s="476">
        <v>35033</v>
      </c>
      <c r="G1045" s="476">
        <v>35041</v>
      </c>
      <c r="H1045" s="476">
        <v>35048</v>
      </c>
      <c r="I1045" s="476">
        <v>35056</v>
      </c>
      <c r="J1045" s="476">
        <v>35064</v>
      </c>
      <c r="K1045" s="476">
        <v>35072</v>
      </c>
    </row>
    <row r="1046" spans="1:11">
      <c r="A1046" s="479">
        <v>6770.2</v>
      </c>
      <c r="B1046" s="476">
        <v>35080</v>
      </c>
      <c r="C1046" s="476">
        <v>35087</v>
      </c>
      <c r="D1046" s="476">
        <v>35095</v>
      </c>
      <c r="E1046" s="476">
        <v>35103</v>
      </c>
      <c r="F1046" s="476">
        <v>35111</v>
      </c>
      <c r="G1046" s="476">
        <v>35119</v>
      </c>
      <c r="H1046" s="476">
        <v>35126</v>
      </c>
      <c r="I1046" s="476">
        <v>35134</v>
      </c>
      <c r="J1046" s="476">
        <v>35142</v>
      </c>
      <c r="K1046" s="476">
        <v>35150</v>
      </c>
    </row>
    <row r="1047" spans="1:11">
      <c r="A1047" s="479">
        <v>6770.3</v>
      </c>
      <c r="B1047" s="476">
        <v>35157</v>
      </c>
      <c r="C1047" s="476">
        <v>35165</v>
      </c>
      <c r="D1047" s="476">
        <v>35173</v>
      </c>
      <c r="E1047" s="476">
        <v>35181</v>
      </c>
      <c r="F1047" s="476">
        <v>35189</v>
      </c>
      <c r="G1047" s="476">
        <v>35196</v>
      </c>
      <c r="H1047" s="476">
        <v>35204</v>
      </c>
      <c r="I1047" s="476">
        <v>35212</v>
      </c>
      <c r="J1047" s="476">
        <v>35220</v>
      </c>
      <c r="K1047" s="476">
        <v>35228</v>
      </c>
    </row>
    <row r="1048" spans="1:11">
      <c r="A1048" s="479">
        <v>6770.4</v>
      </c>
      <c r="B1048" s="476">
        <v>35235</v>
      </c>
      <c r="C1048" s="476">
        <v>35243</v>
      </c>
      <c r="D1048" s="476">
        <v>35251</v>
      </c>
      <c r="E1048" s="476">
        <v>35259</v>
      </c>
      <c r="F1048" s="476">
        <v>35267</v>
      </c>
      <c r="G1048" s="476">
        <v>35274</v>
      </c>
      <c r="H1048" s="476">
        <v>35282</v>
      </c>
      <c r="I1048" s="476">
        <v>35290</v>
      </c>
      <c r="J1048" s="476">
        <v>35298</v>
      </c>
      <c r="K1048" s="476">
        <v>35305</v>
      </c>
    </row>
    <row r="1049" spans="1:11">
      <c r="A1049" s="479">
        <v>6770.5</v>
      </c>
      <c r="B1049" s="476">
        <v>35313</v>
      </c>
      <c r="C1049" s="476">
        <v>35321</v>
      </c>
      <c r="D1049" s="476">
        <v>35329</v>
      </c>
      <c r="E1049" s="476">
        <v>35337</v>
      </c>
      <c r="F1049" s="476">
        <v>35344</v>
      </c>
      <c r="G1049" s="476">
        <v>35352</v>
      </c>
      <c r="H1049" s="476">
        <v>35360</v>
      </c>
      <c r="I1049" s="476">
        <v>35368</v>
      </c>
      <c r="J1049" s="476">
        <v>35376</v>
      </c>
      <c r="K1049" s="476">
        <v>35383</v>
      </c>
    </row>
    <row r="1050" spans="1:11">
      <c r="A1050" s="479">
        <v>6770.6</v>
      </c>
      <c r="B1050" s="476">
        <v>35391</v>
      </c>
      <c r="C1050" s="476">
        <v>35399</v>
      </c>
      <c r="D1050" s="476">
        <v>35407</v>
      </c>
      <c r="E1050" s="476">
        <v>35414</v>
      </c>
      <c r="F1050" s="476">
        <v>35422</v>
      </c>
      <c r="G1050" s="476">
        <v>35430</v>
      </c>
      <c r="H1050" s="476">
        <v>35438</v>
      </c>
      <c r="I1050" s="476">
        <v>35446</v>
      </c>
      <c r="J1050" s="476">
        <v>35453</v>
      </c>
      <c r="K1050" s="476">
        <v>35461</v>
      </c>
    </row>
    <row r="1051" spans="1:11">
      <c r="A1051" s="479">
        <v>6770.7</v>
      </c>
      <c r="B1051" s="476">
        <v>35469</v>
      </c>
      <c r="C1051" s="476">
        <v>35477</v>
      </c>
      <c r="D1051" s="476">
        <v>35485</v>
      </c>
      <c r="E1051" s="476">
        <v>35492</v>
      </c>
      <c r="F1051" s="476">
        <v>35500</v>
      </c>
      <c r="G1051" s="476">
        <v>35508</v>
      </c>
      <c r="H1051" s="476">
        <v>35516</v>
      </c>
      <c r="I1051" s="476">
        <v>35523</v>
      </c>
      <c r="J1051" s="476">
        <v>35531</v>
      </c>
      <c r="K1051" s="476">
        <v>35539</v>
      </c>
    </row>
    <row r="1052" spans="1:11">
      <c r="A1052" s="479">
        <v>6770.8</v>
      </c>
      <c r="B1052" s="476">
        <v>35547</v>
      </c>
      <c r="C1052" s="476">
        <v>35555</v>
      </c>
      <c r="D1052" s="476">
        <v>35562</v>
      </c>
      <c r="E1052" s="476">
        <v>35570</v>
      </c>
      <c r="F1052" s="476">
        <v>35578</v>
      </c>
      <c r="G1052" s="476">
        <v>35586</v>
      </c>
      <c r="H1052" s="476">
        <v>35594</v>
      </c>
      <c r="I1052" s="476">
        <v>35601</v>
      </c>
      <c r="J1052" s="476">
        <v>35609</v>
      </c>
      <c r="K1052" s="476">
        <v>35617</v>
      </c>
    </row>
    <row r="1053" spans="1:11">
      <c r="A1053" s="479">
        <v>6770.9</v>
      </c>
      <c r="B1053" s="476">
        <v>35625</v>
      </c>
      <c r="C1053" s="476">
        <v>35633</v>
      </c>
      <c r="D1053" s="476">
        <v>35640</v>
      </c>
      <c r="E1053" s="476">
        <v>35648</v>
      </c>
      <c r="F1053" s="476">
        <v>35656</v>
      </c>
      <c r="G1053" s="476">
        <v>35664</v>
      </c>
      <c r="H1053" s="476">
        <v>35671</v>
      </c>
      <c r="I1053" s="476">
        <v>35679</v>
      </c>
      <c r="J1053" s="476">
        <v>35687</v>
      </c>
      <c r="K1053" s="476">
        <v>35695</v>
      </c>
    </row>
    <row r="1054" spans="1:11">
      <c r="A1054" s="479">
        <v>6771</v>
      </c>
      <c r="B1054" s="476">
        <v>35703</v>
      </c>
      <c r="C1054" s="476">
        <v>35710</v>
      </c>
      <c r="D1054" s="476">
        <v>35718</v>
      </c>
      <c r="E1054" s="476">
        <v>35726</v>
      </c>
      <c r="F1054" s="476">
        <v>35734</v>
      </c>
      <c r="G1054" s="476">
        <v>35742</v>
      </c>
      <c r="H1054" s="476">
        <v>35750</v>
      </c>
      <c r="I1054" s="476">
        <v>35758</v>
      </c>
      <c r="J1054" s="476">
        <v>35766</v>
      </c>
      <c r="K1054" s="476">
        <v>35774</v>
      </c>
    </row>
    <row r="1055" spans="1:11">
      <c r="A1055" s="479">
        <v>6771.1</v>
      </c>
      <c r="B1055" s="476">
        <v>35781</v>
      </c>
      <c r="C1055" s="476">
        <v>35789</v>
      </c>
      <c r="D1055" s="476">
        <v>35797</v>
      </c>
      <c r="E1055" s="476">
        <v>35805</v>
      </c>
      <c r="F1055" s="476">
        <v>35813</v>
      </c>
      <c r="G1055" s="476">
        <v>35821</v>
      </c>
      <c r="H1055" s="476">
        <v>35829</v>
      </c>
      <c r="I1055" s="476">
        <v>35837</v>
      </c>
      <c r="J1055" s="476">
        <v>35845</v>
      </c>
      <c r="K1055" s="476">
        <v>35852</v>
      </c>
    </row>
    <row r="1056" spans="1:11">
      <c r="A1056" s="479">
        <v>6771.2</v>
      </c>
      <c r="B1056" s="476">
        <v>35860</v>
      </c>
      <c r="C1056" s="476">
        <v>35868</v>
      </c>
      <c r="D1056" s="476">
        <v>35876</v>
      </c>
      <c r="E1056" s="476">
        <v>35884</v>
      </c>
      <c r="F1056" s="476">
        <v>35892</v>
      </c>
      <c r="G1056" s="476">
        <v>35900</v>
      </c>
      <c r="H1056" s="476">
        <v>35908</v>
      </c>
      <c r="I1056" s="476">
        <v>35915</v>
      </c>
      <c r="J1056" s="476">
        <v>35923</v>
      </c>
      <c r="K1056" s="476">
        <v>35931</v>
      </c>
    </row>
    <row r="1057" spans="1:11">
      <c r="A1057" s="479">
        <v>6771.3</v>
      </c>
      <c r="B1057" s="476">
        <v>35939</v>
      </c>
      <c r="C1057" s="476">
        <v>35947</v>
      </c>
      <c r="D1057" s="476">
        <v>35955</v>
      </c>
      <c r="E1057" s="476">
        <v>35963</v>
      </c>
      <c r="F1057" s="476">
        <v>35971</v>
      </c>
      <c r="G1057" s="476">
        <v>35979</v>
      </c>
      <c r="H1057" s="476">
        <v>35986</v>
      </c>
      <c r="I1057" s="476">
        <v>35994</v>
      </c>
      <c r="J1057" s="476">
        <v>36002</v>
      </c>
      <c r="K1057" s="476">
        <v>36010</v>
      </c>
    </row>
    <row r="1058" spans="1:11">
      <c r="A1058" s="479">
        <v>6771.4</v>
      </c>
      <c r="B1058" s="476">
        <v>36018</v>
      </c>
      <c r="C1058" s="476">
        <v>36026</v>
      </c>
      <c r="D1058" s="476">
        <v>36034</v>
      </c>
      <c r="E1058" s="476">
        <v>36042</v>
      </c>
      <c r="F1058" s="476">
        <v>36050</v>
      </c>
      <c r="G1058" s="476">
        <v>36057</v>
      </c>
      <c r="H1058" s="476">
        <v>36065</v>
      </c>
      <c r="I1058" s="476">
        <v>36073</v>
      </c>
      <c r="J1058" s="476">
        <v>36081</v>
      </c>
      <c r="K1058" s="476">
        <v>36089</v>
      </c>
    </row>
    <row r="1059" spans="1:11">
      <c r="A1059" s="479">
        <v>6771.5</v>
      </c>
      <c r="B1059" s="476">
        <v>36097</v>
      </c>
      <c r="C1059" s="476">
        <v>36105</v>
      </c>
      <c r="D1059" s="476">
        <v>36113</v>
      </c>
      <c r="E1059" s="476">
        <v>36120</v>
      </c>
      <c r="F1059" s="476">
        <v>36128</v>
      </c>
      <c r="G1059" s="476">
        <v>36136</v>
      </c>
      <c r="H1059" s="476">
        <v>36144</v>
      </c>
      <c r="I1059" s="476">
        <v>36152</v>
      </c>
      <c r="J1059" s="476">
        <v>36160</v>
      </c>
      <c r="K1059" s="476">
        <v>36168</v>
      </c>
    </row>
    <row r="1060" spans="1:11">
      <c r="A1060" s="479">
        <v>6771.6</v>
      </c>
      <c r="B1060" s="476">
        <v>36176</v>
      </c>
      <c r="C1060" s="476">
        <v>36184</v>
      </c>
      <c r="D1060" s="476">
        <v>36191</v>
      </c>
      <c r="E1060" s="476">
        <v>36199</v>
      </c>
      <c r="F1060" s="476">
        <v>36207</v>
      </c>
      <c r="G1060" s="476">
        <v>36215</v>
      </c>
      <c r="H1060" s="476">
        <v>36223</v>
      </c>
      <c r="I1060" s="476">
        <v>36231</v>
      </c>
      <c r="J1060" s="476">
        <v>36239</v>
      </c>
      <c r="K1060" s="476">
        <v>36247</v>
      </c>
    </row>
    <row r="1061" spans="1:11">
      <c r="A1061" s="479">
        <v>6771.7</v>
      </c>
      <c r="B1061" s="476">
        <v>36255</v>
      </c>
      <c r="C1061" s="476">
        <v>36262</v>
      </c>
      <c r="D1061" s="476">
        <v>36270</v>
      </c>
      <c r="E1061" s="476">
        <v>36278</v>
      </c>
      <c r="F1061" s="476">
        <v>36286</v>
      </c>
      <c r="G1061" s="476">
        <v>36294</v>
      </c>
      <c r="H1061" s="476">
        <v>36302</v>
      </c>
      <c r="I1061" s="476">
        <v>36310</v>
      </c>
      <c r="J1061" s="476">
        <v>36318</v>
      </c>
      <c r="K1061" s="476">
        <v>36325</v>
      </c>
    </row>
    <row r="1062" spans="1:11">
      <c r="A1062" s="479">
        <v>6771.8</v>
      </c>
      <c r="B1062" s="476">
        <v>36333</v>
      </c>
      <c r="C1062" s="476">
        <v>36341</v>
      </c>
      <c r="D1062" s="476">
        <v>36349</v>
      </c>
      <c r="E1062" s="476">
        <v>36357</v>
      </c>
      <c r="F1062" s="476">
        <v>36365</v>
      </c>
      <c r="G1062" s="476">
        <v>36373</v>
      </c>
      <c r="H1062" s="476">
        <v>36381</v>
      </c>
      <c r="I1062" s="476">
        <v>36389</v>
      </c>
      <c r="J1062" s="476">
        <v>36396</v>
      </c>
      <c r="K1062" s="476">
        <v>36404</v>
      </c>
    </row>
    <row r="1063" spans="1:11">
      <c r="A1063" s="479">
        <v>6771.9</v>
      </c>
      <c r="B1063" s="476">
        <v>36412</v>
      </c>
      <c r="C1063" s="476">
        <v>36420</v>
      </c>
      <c r="D1063" s="476">
        <v>36428</v>
      </c>
      <c r="E1063" s="476">
        <v>36436</v>
      </c>
      <c r="F1063" s="476">
        <v>36444</v>
      </c>
      <c r="G1063" s="476">
        <v>36452</v>
      </c>
      <c r="H1063" s="476">
        <v>36460</v>
      </c>
      <c r="I1063" s="476">
        <v>36467</v>
      </c>
      <c r="J1063" s="476">
        <v>36475</v>
      </c>
      <c r="K1063" s="476">
        <v>36483</v>
      </c>
    </row>
    <row r="1064" spans="1:11">
      <c r="A1064" s="479">
        <v>6772</v>
      </c>
      <c r="B1064" s="476">
        <v>36491</v>
      </c>
      <c r="C1064" s="476">
        <v>36499</v>
      </c>
      <c r="D1064" s="476">
        <v>36507</v>
      </c>
      <c r="E1064" s="476">
        <v>36515</v>
      </c>
      <c r="F1064" s="476">
        <v>36523</v>
      </c>
      <c r="G1064" s="476">
        <v>36531</v>
      </c>
      <c r="H1064" s="476">
        <v>36539</v>
      </c>
      <c r="I1064" s="476">
        <v>36547</v>
      </c>
      <c r="J1064" s="476">
        <v>36555</v>
      </c>
      <c r="K1064" s="476">
        <v>36563</v>
      </c>
    </row>
    <row r="1065" spans="1:11">
      <c r="A1065" s="479">
        <v>6772.1</v>
      </c>
      <c r="B1065" s="476">
        <v>36571</v>
      </c>
      <c r="C1065" s="476">
        <v>36579</v>
      </c>
      <c r="D1065" s="476">
        <v>36587</v>
      </c>
      <c r="E1065" s="476">
        <v>36595</v>
      </c>
      <c r="F1065" s="476">
        <v>36603</v>
      </c>
      <c r="G1065" s="476">
        <v>36611</v>
      </c>
      <c r="H1065" s="476">
        <v>36619</v>
      </c>
      <c r="I1065" s="476">
        <v>36627</v>
      </c>
      <c r="J1065" s="476">
        <v>36635</v>
      </c>
      <c r="K1065" s="476">
        <v>36643</v>
      </c>
    </row>
    <row r="1066" spans="1:11">
      <c r="A1066" s="479">
        <v>6772.2</v>
      </c>
      <c r="B1066" s="476">
        <v>36651</v>
      </c>
      <c r="C1066" s="476">
        <v>36659</v>
      </c>
      <c r="D1066" s="476">
        <v>36667</v>
      </c>
      <c r="E1066" s="476">
        <v>36675</v>
      </c>
      <c r="F1066" s="476">
        <v>36683</v>
      </c>
      <c r="G1066" s="476">
        <v>36691</v>
      </c>
      <c r="H1066" s="476">
        <v>36699</v>
      </c>
      <c r="I1066" s="476">
        <v>36707</v>
      </c>
      <c r="J1066" s="476">
        <v>36715</v>
      </c>
      <c r="K1066" s="476">
        <v>36723</v>
      </c>
    </row>
    <row r="1067" spans="1:11">
      <c r="A1067" s="479">
        <v>6772.3</v>
      </c>
      <c r="B1067" s="476">
        <v>36731</v>
      </c>
      <c r="C1067" s="476">
        <v>36739</v>
      </c>
      <c r="D1067" s="476">
        <v>36747</v>
      </c>
      <c r="E1067" s="476">
        <v>36755</v>
      </c>
      <c r="F1067" s="476">
        <v>36763</v>
      </c>
      <c r="G1067" s="476">
        <v>36770</v>
      </c>
      <c r="H1067" s="476">
        <v>36778</v>
      </c>
      <c r="I1067" s="476">
        <v>36786</v>
      </c>
      <c r="J1067" s="476">
        <v>36794</v>
      </c>
      <c r="K1067" s="476">
        <v>36802</v>
      </c>
    </row>
    <row r="1068" spans="1:11">
      <c r="A1068" s="479">
        <v>6772.4</v>
      </c>
      <c r="B1068" s="476">
        <v>36810</v>
      </c>
      <c r="C1068" s="476">
        <v>36818</v>
      </c>
      <c r="D1068" s="476">
        <v>36826</v>
      </c>
      <c r="E1068" s="476">
        <v>36834</v>
      </c>
      <c r="F1068" s="476">
        <v>36842</v>
      </c>
      <c r="G1068" s="476">
        <v>36850</v>
      </c>
      <c r="H1068" s="476">
        <v>36858</v>
      </c>
      <c r="I1068" s="476">
        <v>36866</v>
      </c>
      <c r="J1068" s="476">
        <v>36874</v>
      </c>
      <c r="K1068" s="476">
        <v>36882</v>
      </c>
    </row>
    <row r="1069" spans="1:11">
      <c r="A1069" s="479">
        <v>6772.5</v>
      </c>
      <c r="B1069" s="476">
        <v>36890</v>
      </c>
      <c r="C1069" s="476">
        <v>36898</v>
      </c>
      <c r="D1069" s="476">
        <v>36906</v>
      </c>
      <c r="E1069" s="476">
        <v>36914</v>
      </c>
      <c r="F1069" s="476">
        <v>36922</v>
      </c>
      <c r="G1069" s="476">
        <v>36930</v>
      </c>
      <c r="H1069" s="476">
        <v>36938</v>
      </c>
      <c r="I1069" s="476">
        <v>36946</v>
      </c>
      <c r="J1069" s="476">
        <v>36954</v>
      </c>
      <c r="K1069" s="476">
        <v>36962</v>
      </c>
    </row>
    <row r="1070" spans="1:11">
      <c r="A1070" s="479">
        <v>6772.6</v>
      </c>
      <c r="B1070" s="476">
        <v>36970</v>
      </c>
      <c r="C1070" s="476">
        <v>36978</v>
      </c>
      <c r="D1070" s="476">
        <v>36986</v>
      </c>
      <c r="E1070" s="476">
        <v>36994</v>
      </c>
      <c r="F1070" s="476">
        <v>37002</v>
      </c>
      <c r="G1070" s="476">
        <v>37010</v>
      </c>
      <c r="H1070" s="476">
        <v>37018</v>
      </c>
      <c r="I1070" s="476">
        <v>37026</v>
      </c>
      <c r="J1070" s="476">
        <v>37034</v>
      </c>
      <c r="K1070" s="476">
        <v>37042</v>
      </c>
    </row>
    <row r="1071" spans="1:11">
      <c r="A1071" s="479">
        <v>6772.7</v>
      </c>
      <c r="B1071" s="476">
        <v>37050</v>
      </c>
      <c r="C1071" s="476">
        <v>37058</v>
      </c>
      <c r="D1071" s="476">
        <v>37066</v>
      </c>
      <c r="E1071" s="476">
        <v>37074</v>
      </c>
      <c r="F1071" s="476">
        <v>37082</v>
      </c>
      <c r="G1071" s="476">
        <v>37090</v>
      </c>
      <c r="H1071" s="476">
        <v>37098</v>
      </c>
      <c r="I1071" s="476">
        <v>37106</v>
      </c>
      <c r="J1071" s="476">
        <v>37114</v>
      </c>
      <c r="K1071" s="476">
        <v>37122</v>
      </c>
    </row>
    <row r="1072" spans="1:11">
      <c r="A1072" s="479">
        <v>6772.8</v>
      </c>
      <c r="B1072" s="476">
        <v>37130</v>
      </c>
      <c r="C1072" s="476">
        <v>37138</v>
      </c>
      <c r="D1072" s="476">
        <v>37146</v>
      </c>
      <c r="E1072" s="476">
        <v>37154</v>
      </c>
      <c r="F1072" s="476">
        <v>37162</v>
      </c>
      <c r="G1072" s="476">
        <v>37170</v>
      </c>
      <c r="H1072" s="476">
        <v>37178</v>
      </c>
      <c r="I1072" s="476">
        <v>37186</v>
      </c>
      <c r="J1072" s="476">
        <v>37194</v>
      </c>
      <c r="K1072" s="476">
        <v>37202</v>
      </c>
    </row>
    <row r="1073" spans="1:11">
      <c r="A1073" s="479">
        <v>6772.9</v>
      </c>
      <c r="B1073" s="476">
        <v>37210</v>
      </c>
      <c r="C1073" s="476">
        <v>37218</v>
      </c>
      <c r="D1073" s="476">
        <v>37226</v>
      </c>
      <c r="E1073" s="476">
        <v>37234</v>
      </c>
      <c r="F1073" s="476">
        <v>37242</v>
      </c>
      <c r="G1073" s="476">
        <v>37250</v>
      </c>
      <c r="H1073" s="476">
        <v>37258</v>
      </c>
      <c r="I1073" s="476">
        <v>37266</v>
      </c>
      <c r="J1073" s="476">
        <v>37273</v>
      </c>
      <c r="K1073" s="476">
        <v>37281</v>
      </c>
    </row>
    <row r="1074" spans="1:11">
      <c r="A1074" s="479">
        <v>6773</v>
      </c>
      <c r="B1074" s="476">
        <v>37289</v>
      </c>
      <c r="C1074" s="476">
        <v>37298</v>
      </c>
      <c r="D1074" s="476">
        <v>37306</v>
      </c>
      <c r="E1074" s="476">
        <v>37314</v>
      </c>
      <c r="F1074" s="476">
        <v>37322</v>
      </c>
      <c r="G1074" s="476">
        <v>37330</v>
      </c>
      <c r="H1074" s="476">
        <v>37338</v>
      </c>
      <c r="I1074" s="476">
        <v>37346</v>
      </c>
      <c r="J1074" s="476">
        <v>37354</v>
      </c>
      <c r="K1074" s="476">
        <v>37362</v>
      </c>
    </row>
    <row r="1075" spans="1:11">
      <c r="A1075" s="479">
        <v>6773.1</v>
      </c>
      <c r="B1075" s="476">
        <v>37370</v>
      </c>
      <c r="C1075" s="476">
        <v>37378</v>
      </c>
      <c r="D1075" s="476">
        <v>37386</v>
      </c>
      <c r="E1075" s="476">
        <v>37395</v>
      </c>
      <c r="F1075" s="476">
        <v>37403</v>
      </c>
      <c r="G1075" s="476">
        <v>37411</v>
      </c>
      <c r="H1075" s="476">
        <v>37419</v>
      </c>
      <c r="I1075" s="476">
        <v>37427</v>
      </c>
      <c r="J1075" s="476">
        <v>37435</v>
      </c>
      <c r="K1075" s="476">
        <v>37443</v>
      </c>
    </row>
    <row r="1076" spans="1:11">
      <c r="A1076" s="479">
        <v>6773.2</v>
      </c>
      <c r="B1076" s="476">
        <v>37451</v>
      </c>
      <c r="C1076" s="476">
        <v>37459</v>
      </c>
      <c r="D1076" s="476">
        <v>37467</v>
      </c>
      <c r="E1076" s="476">
        <v>37475</v>
      </c>
      <c r="F1076" s="476">
        <v>37484</v>
      </c>
      <c r="G1076" s="476">
        <v>37492</v>
      </c>
      <c r="H1076" s="476">
        <v>37500</v>
      </c>
      <c r="I1076" s="476">
        <v>37508</v>
      </c>
      <c r="J1076" s="476">
        <v>37516</v>
      </c>
      <c r="K1076" s="476">
        <v>37524</v>
      </c>
    </row>
    <row r="1077" spans="1:11">
      <c r="A1077" s="479">
        <v>6773.3</v>
      </c>
      <c r="B1077" s="476">
        <v>37532</v>
      </c>
      <c r="C1077" s="476">
        <v>37540</v>
      </c>
      <c r="D1077" s="476">
        <v>37548</v>
      </c>
      <c r="E1077" s="476">
        <v>37556</v>
      </c>
      <c r="F1077" s="476">
        <v>37564</v>
      </c>
      <c r="G1077" s="476">
        <v>37572</v>
      </c>
      <c r="H1077" s="476">
        <v>37581</v>
      </c>
      <c r="I1077" s="476">
        <v>37589</v>
      </c>
      <c r="J1077" s="476">
        <v>37597</v>
      </c>
      <c r="K1077" s="476">
        <v>37605</v>
      </c>
    </row>
    <row r="1078" spans="1:11">
      <c r="A1078" s="479">
        <v>6773.4</v>
      </c>
      <c r="B1078" s="476">
        <v>37613</v>
      </c>
      <c r="C1078" s="476">
        <v>37621</v>
      </c>
      <c r="D1078" s="476">
        <v>37629</v>
      </c>
      <c r="E1078" s="476">
        <v>37637</v>
      </c>
      <c r="F1078" s="476">
        <v>37645</v>
      </c>
      <c r="G1078" s="476">
        <v>37653</v>
      </c>
      <c r="H1078" s="476">
        <v>37661</v>
      </c>
      <c r="I1078" s="476">
        <v>37670</v>
      </c>
      <c r="J1078" s="476">
        <v>37678</v>
      </c>
      <c r="K1078" s="476">
        <v>37686</v>
      </c>
    </row>
    <row r="1079" spans="1:11">
      <c r="A1079" s="479">
        <v>6773.5</v>
      </c>
      <c r="B1079" s="476">
        <v>37694</v>
      </c>
      <c r="C1079" s="476">
        <v>37702</v>
      </c>
      <c r="D1079" s="476">
        <v>37710</v>
      </c>
      <c r="E1079" s="476">
        <v>37718</v>
      </c>
      <c r="F1079" s="476">
        <v>37726</v>
      </c>
      <c r="G1079" s="476">
        <v>37734</v>
      </c>
      <c r="H1079" s="476">
        <v>37742</v>
      </c>
      <c r="I1079" s="476">
        <v>37750</v>
      </c>
      <c r="J1079" s="476">
        <v>37758</v>
      </c>
      <c r="K1079" s="476">
        <v>37767</v>
      </c>
    </row>
    <row r="1080" spans="1:11">
      <c r="A1080" s="479">
        <v>6773.6</v>
      </c>
      <c r="B1080" s="476">
        <v>37775</v>
      </c>
      <c r="C1080" s="476">
        <v>37783</v>
      </c>
      <c r="D1080" s="476">
        <v>37791</v>
      </c>
      <c r="E1080" s="476">
        <v>37799</v>
      </c>
      <c r="F1080" s="476">
        <v>37807</v>
      </c>
      <c r="G1080" s="476">
        <v>37815</v>
      </c>
      <c r="H1080" s="476">
        <v>37823</v>
      </c>
      <c r="I1080" s="476">
        <v>37831</v>
      </c>
      <c r="J1080" s="476">
        <v>37839</v>
      </c>
      <c r="K1080" s="476">
        <v>37847</v>
      </c>
    </row>
    <row r="1081" spans="1:11">
      <c r="A1081" s="479">
        <v>6773.7</v>
      </c>
      <c r="B1081" s="476">
        <v>37856</v>
      </c>
      <c r="C1081" s="476">
        <v>37864</v>
      </c>
      <c r="D1081" s="476">
        <v>37872</v>
      </c>
      <c r="E1081" s="476">
        <v>37880</v>
      </c>
      <c r="F1081" s="476">
        <v>37888</v>
      </c>
      <c r="G1081" s="476">
        <v>37896</v>
      </c>
      <c r="H1081" s="476">
        <v>37904</v>
      </c>
      <c r="I1081" s="476">
        <v>37912</v>
      </c>
      <c r="J1081" s="476">
        <v>37920</v>
      </c>
      <c r="K1081" s="476">
        <v>37928</v>
      </c>
    </row>
    <row r="1082" spans="1:11">
      <c r="A1082" s="479">
        <v>6773.8</v>
      </c>
      <c r="B1082" s="476">
        <v>37936</v>
      </c>
      <c r="C1082" s="476">
        <v>37944</v>
      </c>
      <c r="D1082" s="476">
        <v>37953</v>
      </c>
      <c r="E1082" s="476">
        <v>37961</v>
      </c>
      <c r="F1082" s="476">
        <v>37969</v>
      </c>
      <c r="G1082" s="476">
        <v>37977</v>
      </c>
      <c r="H1082" s="476">
        <v>37985</v>
      </c>
      <c r="I1082" s="476">
        <v>37993</v>
      </c>
      <c r="J1082" s="476">
        <v>38001</v>
      </c>
      <c r="K1082" s="476">
        <v>38009</v>
      </c>
    </row>
    <row r="1083" spans="1:11">
      <c r="A1083" s="479">
        <v>6773.9</v>
      </c>
      <c r="B1083" s="476">
        <v>38017</v>
      </c>
      <c r="C1083" s="476">
        <v>38025</v>
      </c>
      <c r="D1083" s="476">
        <v>38033</v>
      </c>
      <c r="E1083" s="476">
        <v>38042</v>
      </c>
      <c r="F1083" s="476">
        <v>38050</v>
      </c>
      <c r="G1083" s="476">
        <v>38058</v>
      </c>
      <c r="H1083" s="476">
        <v>38066</v>
      </c>
      <c r="I1083" s="476">
        <v>38074</v>
      </c>
      <c r="J1083" s="476">
        <v>38082</v>
      </c>
      <c r="K1083" s="476">
        <v>38090</v>
      </c>
    </row>
    <row r="1084" spans="1:11">
      <c r="A1084" s="479">
        <v>6774</v>
      </c>
      <c r="B1084" s="476">
        <v>38098</v>
      </c>
      <c r="C1084" s="476">
        <v>38106</v>
      </c>
      <c r="D1084" s="476">
        <v>38115</v>
      </c>
      <c r="E1084" s="476">
        <v>38123</v>
      </c>
      <c r="F1084" s="476">
        <v>38131</v>
      </c>
      <c r="G1084" s="476">
        <v>38139</v>
      </c>
      <c r="H1084" s="476">
        <v>38147</v>
      </c>
      <c r="I1084" s="476">
        <v>38155</v>
      </c>
      <c r="J1084" s="476">
        <v>38164</v>
      </c>
      <c r="K1084" s="476">
        <v>38172</v>
      </c>
    </row>
    <row r="1085" spans="1:11">
      <c r="A1085" s="479">
        <v>6774.1</v>
      </c>
      <c r="B1085" s="476">
        <v>38180</v>
      </c>
      <c r="C1085" s="476">
        <v>38188</v>
      </c>
      <c r="D1085" s="476">
        <v>38196</v>
      </c>
      <c r="E1085" s="476">
        <v>38205</v>
      </c>
      <c r="F1085" s="476">
        <v>38213</v>
      </c>
      <c r="G1085" s="476">
        <v>38221</v>
      </c>
      <c r="H1085" s="476">
        <v>38229</v>
      </c>
      <c r="I1085" s="476">
        <v>38237</v>
      </c>
      <c r="J1085" s="476">
        <v>38246</v>
      </c>
      <c r="K1085" s="476">
        <v>38254</v>
      </c>
    </row>
    <row r="1086" spans="1:11">
      <c r="A1086" s="479">
        <v>6774.2</v>
      </c>
      <c r="B1086" s="476">
        <v>38262</v>
      </c>
      <c r="C1086" s="476">
        <v>38270</v>
      </c>
      <c r="D1086" s="476">
        <v>38278</v>
      </c>
      <c r="E1086" s="476">
        <v>38287</v>
      </c>
      <c r="F1086" s="476">
        <v>38295</v>
      </c>
      <c r="G1086" s="476">
        <v>38303</v>
      </c>
      <c r="H1086" s="476">
        <v>38311</v>
      </c>
      <c r="I1086" s="476">
        <v>38319</v>
      </c>
      <c r="J1086" s="476">
        <v>38328</v>
      </c>
      <c r="K1086" s="476">
        <v>38336</v>
      </c>
    </row>
    <row r="1087" spans="1:11">
      <c r="A1087" s="479">
        <v>6774.3</v>
      </c>
      <c r="B1087" s="476">
        <v>38344</v>
      </c>
      <c r="C1087" s="476">
        <v>38352</v>
      </c>
      <c r="D1087" s="476">
        <v>38360</v>
      </c>
      <c r="E1087" s="476">
        <v>38368</v>
      </c>
      <c r="F1087" s="476">
        <v>38377</v>
      </c>
      <c r="G1087" s="476">
        <v>38385</v>
      </c>
      <c r="H1087" s="476">
        <v>38393</v>
      </c>
      <c r="I1087" s="476">
        <v>38401</v>
      </c>
      <c r="J1087" s="476">
        <v>38409</v>
      </c>
      <c r="K1087" s="476">
        <v>38418</v>
      </c>
    </row>
    <row r="1088" spans="1:11">
      <c r="A1088" s="479">
        <v>6774.4</v>
      </c>
      <c r="B1088" s="476">
        <v>38426</v>
      </c>
      <c r="C1088" s="476">
        <v>38434</v>
      </c>
      <c r="D1088" s="476">
        <v>38442</v>
      </c>
      <c r="E1088" s="476">
        <v>38450</v>
      </c>
      <c r="F1088" s="476">
        <v>38459</v>
      </c>
      <c r="G1088" s="476">
        <v>38467</v>
      </c>
      <c r="H1088" s="476">
        <v>38475</v>
      </c>
      <c r="I1088" s="476">
        <v>38483</v>
      </c>
      <c r="J1088" s="476">
        <v>38491</v>
      </c>
      <c r="K1088" s="476">
        <v>38500</v>
      </c>
    </row>
    <row r="1089" spans="1:11">
      <c r="A1089" s="479">
        <v>6774.5</v>
      </c>
      <c r="B1089" s="476">
        <v>38508</v>
      </c>
      <c r="C1089" s="476">
        <v>38516</v>
      </c>
      <c r="D1089" s="476">
        <v>38524</v>
      </c>
      <c r="E1089" s="476">
        <v>38532</v>
      </c>
      <c r="F1089" s="476">
        <v>38541</v>
      </c>
      <c r="G1089" s="476">
        <v>38549</v>
      </c>
      <c r="H1089" s="476">
        <v>38557</v>
      </c>
      <c r="I1089" s="476">
        <v>38565</v>
      </c>
      <c r="J1089" s="476">
        <v>38573</v>
      </c>
      <c r="K1089" s="476">
        <v>38581</v>
      </c>
    </row>
    <row r="1090" spans="1:11">
      <c r="A1090" s="479">
        <v>6774.6</v>
      </c>
      <c r="B1090" s="476">
        <v>38590</v>
      </c>
      <c r="C1090" s="476">
        <v>38598</v>
      </c>
      <c r="D1090" s="476">
        <v>38606</v>
      </c>
      <c r="E1090" s="476">
        <v>38614</v>
      </c>
      <c r="F1090" s="476">
        <v>38622</v>
      </c>
      <c r="G1090" s="476">
        <v>38631</v>
      </c>
      <c r="H1090" s="476">
        <v>38639</v>
      </c>
      <c r="I1090" s="476">
        <v>38647</v>
      </c>
      <c r="J1090" s="476">
        <v>38655</v>
      </c>
      <c r="K1090" s="476">
        <v>38663</v>
      </c>
    </row>
    <row r="1091" spans="1:11">
      <c r="A1091" s="479">
        <v>6774.7</v>
      </c>
      <c r="B1091" s="476">
        <v>38672</v>
      </c>
      <c r="C1091" s="476">
        <v>38680</v>
      </c>
      <c r="D1091" s="476">
        <v>38688</v>
      </c>
      <c r="E1091" s="476">
        <v>38696</v>
      </c>
      <c r="F1091" s="476">
        <v>38704</v>
      </c>
      <c r="G1091" s="476">
        <v>38713</v>
      </c>
      <c r="H1091" s="476">
        <v>38721</v>
      </c>
      <c r="I1091" s="476">
        <v>38729</v>
      </c>
      <c r="J1091" s="476">
        <v>38737</v>
      </c>
      <c r="K1091" s="476">
        <v>38745</v>
      </c>
    </row>
    <row r="1092" spans="1:11">
      <c r="A1092" s="479">
        <v>6774.8</v>
      </c>
      <c r="B1092" s="476">
        <v>38754</v>
      </c>
      <c r="C1092" s="476">
        <v>38762</v>
      </c>
      <c r="D1092" s="476">
        <v>38770</v>
      </c>
      <c r="E1092" s="476">
        <v>38778</v>
      </c>
      <c r="F1092" s="476">
        <v>38786</v>
      </c>
      <c r="G1092" s="476">
        <v>38794</v>
      </c>
      <c r="H1092" s="476">
        <v>38803</v>
      </c>
      <c r="I1092" s="476">
        <v>38811</v>
      </c>
      <c r="J1092" s="476">
        <v>38819</v>
      </c>
      <c r="K1092" s="476">
        <v>38827</v>
      </c>
    </row>
    <row r="1093" spans="1:11">
      <c r="A1093" s="479">
        <v>6774.9</v>
      </c>
      <c r="B1093" s="476">
        <v>38835</v>
      </c>
      <c r="C1093" s="476">
        <v>38844</v>
      </c>
      <c r="D1093" s="476">
        <v>38852</v>
      </c>
      <c r="E1093" s="476">
        <v>38860</v>
      </c>
      <c r="F1093" s="476">
        <v>38868</v>
      </c>
      <c r="G1093" s="476">
        <v>38876</v>
      </c>
      <c r="H1093" s="476">
        <v>38885</v>
      </c>
      <c r="I1093" s="476">
        <v>38893</v>
      </c>
      <c r="J1093" s="476">
        <v>38901</v>
      </c>
      <c r="K1093" s="476">
        <v>38909</v>
      </c>
    </row>
    <row r="1094" spans="1:11">
      <c r="A1094" s="479">
        <v>6775</v>
      </c>
      <c r="B1094" s="476">
        <v>38917</v>
      </c>
      <c r="C1094" s="476">
        <v>38926</v>
      </c>
      <c r="D1094" s="476">
        <v>38934</v>
      </c>
      <c r="E1094" s="476">
        <v>38942</v>
      </c>
      <c r="F1094" s="476">
        <v>38951</v>
      </c>
      <c r="G1094" s="476">
        <v>38959</v>
      </c>
      <c r="H1094" s="476">
        <v>38967</v>
      </c>
      <c r="I1094" s="476">
        <v>38975</v>
      </c>
      <c r="J1094" s="476">
        <v>38984</v>
      </c>
      <c r="K1094" s="476">
        <v>38992</v>
      </c>
    </row>
    <row r="1095" spans="1:11">
      <c r="A1095" s="479">
        <v>6775.1</v>
      </c>
      <c r="B1095" s="476">
        <v>39000</v>
      </c>
      <c r="C1095" s="476">
        <v>39009</v>
      </c>
      <c r="D1095" s="476">
        <v>39017</v>
      </c>
      <c r="E1095" s="476">
        <v>39025</v>
      </c>
      <c r="F1095" s="476">
        <v>39034</v>
      </c>
      <c r="G1095" s="476">
        <v>39042</v>
      </c>
      <c r="H1095" s="476">
        <v>39050</v>
      </c>
      <c r="I1095" s="476">
        <v>39059</v>
      </c>
      <c r="J1095" s="476">
        <v>39067</v>
      </c>
      <c r="K1095" s="476">
        <v>39075</v>
      </c>
    </row>
    <row r="1096" spans="1:11">
      <c r="A1096" s="479">
        <v>6775.2</v>
      </c>
      <c r="B1096" s="476">
        <v>39083</v>
      </c>
      <c r="C1096" s="476">
        <v>39092</v>
      </c>
      <c r="D1096" s="476">
        <v>39100</v>
      </c>
      <c r="E1096" s="476">
        <v>39108</v>
      </c>
      <c r="F1096" s="476">
        <v>39117</v>
      </c>
      <c r="G1096" s="476">
        <v>39125</v>
      </c>
      <c r="H1096" s="476">
        <v>39133</v>
      </c>
      <c r="I1096" s="476">
        <v>39142</v>
      </c>
      <c r="J1096" s="476">
        <v>39150</v>
      </c>
      <c r="K1096" s="476">
        <v>39158</v>
      </c>
    </row>
    <row r="1097" spans="1:11">
      <c r="A1097" s="479">
        <v>6775.3</v>
      </c>
      <c r="B1097" s="476">
        <v>39166</v>
      </c>
      <c r="C1097" s="476">
        <v>39175</v>
      </c>
      <c r="D1097" s="476">
        <v>39183</v>
      </c>
      <c r="E1097" s="476">
        <v>39191</v>
      </c>
      <c r="F1097" s="476">
        <v>39200</v>
      </c>
      <c r="G1097" s="476">
        <v>39208</v>
      </c>
      <c r="H1097" s="476">
        <v>39216</v>
      </c>
      <c r="I1097" s="476">
        <v>39225</v>
      </c>
      <c r="J1097" s="476">
        <v>39233</v>
      </c>
      <c r="K1097" s="476">
        <v>39241</v>
      </c>
    </row>
    <row r="1098" spans="1:11">
      <c r="A1098" s="479">
        <v>6775.4</v>
      </c>
      <c r="B1098" s="476">
        <v>39249</v>
      </c>
      <c r="C1098" s="476">
        <v>39258</v>
      </c>
      <c r="D1098" s="476">
        <v>39266</v>
      </c>
      <c r="E1098" s="476">
        <v>39274</v>
      </c>
      <c r="F1098" s="476">
        <v>39283</v>
      </c>
      <c r="G1098" s="476">
        <v>39291</v>
      </c>
      <c r="H1098" s="476">
        <v>39299</v>
      </c>
      <c r="I1098" s="476">
        <v>39308</v>
      </c>
      <c r="J1098" s="476">
        <v>39316</v>
      </c>
      <c r="K1098" s="476">
        <v>39324</v>
      </c>
    </row>
    <row r="1099" spans="1:11">
      <c r="A1099" s="479">
        <v>6775.5</v>
      </c>
      <c r="B1099" s="476">
        <v>39332</v>
      </c>
      <c r="C1099" s="476">
        <v>39341</v>
      </c>
      <c r="D1099" s="476">
        <v>39349</v>
      </c>
      <c r="E1099" s="476">
        <v>39357</v>
      </c>
      <c r="F1099" s="476">
        <v>39366</v>
      </c>
      <c r="G1099" s="476">
        <v>39374</v>
      </c>
      <c r="H1099" s="476">
        <v>39382</v>
      </c>
      <c r="I1099" s="476">
        <v>39391</v>
      </c>
      <c r="J1099" s="476">
        <v>39399</v>
      </c>
      <c r="K1099" s="476">
        <v>39407</v>
      </c>
    </row>
    <row r="1100" spans="1:11">
      <c r="A1100" s="479">
        <v>6775.6</v>
      </c>
      <c r="B1100" s="476">
        <v>39415</v>
      </c>
      <c r="C1100" s="476">
        <v>39424</v>
      </c>
      <c r="D1100" s="476">
        <v>39432</v>
      </c>
      <c r="E1100" s="476">
        <v>39440</v>
      </c>
      <c r="F1100" s="476">
        <v>39449</v>
      </c>
      <c r="G1100" s="476">
        <v>39457</v>
      </c>
      <c r="H1100" s="476">
        <v>39465</v>
      </c>
      <c r="I1100" s="476">
        <v>39474</v>
      </c>
      <c r="J1100" s="476">
        <v>39482</v>
      </c>
      <c r="K1100" s="476">
        <v>39490</v>
      </c>
    </row>
    <row r="1101" spans="1:11">
      <c r="A1101" s="479">
        <v>6775.7</v>
      </c>
      <c r="B1101" s="476">
        <v>39498</v>
      </c>
      <c r="C1101" s="476">
        <v>39507</v>
      </c>
      <c r="D1101" s="476">
        <v>39515</v>
      </c>
      <c r="E1101" s="476">
        <v>39523</v>
      </c>
      <c r="F1101" s="476">
        <v>39532</v>
      </c>
      <c r="G1101" s="476">
        <v>39540</v>
      </c>
      <c r="H1101" s="476">
        <v>39548</v>
      </c>
      <c r="I1101" s="476">
        <v>39557</v>
      </c>
      <c r="J1101" s="476">
        <v>39565</v>
      </c>
      <c r="K1101" s="476">
        <v>39573</v>
      </c>
    </row>
    <row r="1102" spans="1:11">
      <c r="A1102" s="479">
        <v>6775.8</v>
      </c>
      <c r="B1102" s="476">
        <v>39581</v>
      </c>
      <c r="C1102" s="476">
        <v>39590</v>
      </c>
      <c r="D1102" s="476">
        <v>39598</v>
      </c>
      <c r="E1102" s="476">
        <v>39606</v>
      </c>
      <c r="F1102" s="476">
        <v>39615</v>
      </c>
      <c r="G1102" s="476">
        <v>39623</v>
      </c>
      <c r="H1102" s="476">
        <v>39631</v>
      </c>
      <c r="I1102" s="476">
        <v>39640</v>
      </c>
      <c r="J1102" s="476">
        <v>39648</v>
      </c>
      <c r="K1102" s="476">
        <v>39656</v>
      </c>
    </row>
    <row r="1103" spans="1:11">
      <c r="A1103" s="479">
        <v>6775.9</v>
      </c>
      <c r="B1103" s="476">
        <v>39664</v>
      </c>
      <c r="C1103" s="476">
        <v>39673</v>
      </c>
      <c r="D1103" s="476">
        <v>39681</v>
      </c>
      <c r="E1103" s="476">
        <v>39689</v>
      </c>
      <c r="F1103" s="476">
        <v>39698</v>
      </c>
      <c r="G1103" s="476">
        <v>39706</v>
      </c>
      <c r="H1103" s="476">
        <v>39714</v>
      </c>
      <c r="I1103" s="476">
        <v>39723</v>
      </c>
      <c r="J1103" s="476">
        <v>39731</v>
      </c>
      <c r="K1103" s="476">
        <v>39739</v>
      </c>
    </row>
    <row r="1104" spans="1:11">
      <c r="A1104" s="479">
        <v>6776</v>
      </c>
      <c r="B1104" s="476">
        <v>39748</v>
      </c>
      <c r="C1104" s="476">
        <v>39756</v>
      </c>
      <c r="D1104" s="476">
        <v>39764</v>
      </c>
      <c r="E1104" s="476">
        <v>39773</v>
      </c>
      <c r="F1104" s="476">
        <v>39781</v>
      </c>
      <c r="G1104" s="476">
        <v>39790</v>
      </c>
      <c r="H1104" s="476">
        <v>39798</v>
      </c>
      <c r="I1104" s="476">
        <v>39806</v>
      </c>
      <c r="J1104" s="476">
        <v>39815</v>
      </c>
      <c r="K1104" s="476">
        <v>39823</v>
      </c>
    </row>
    <row r="1105" spans="1:11">
      <c r="A1105" s="479">
        <v>6776.1</v>
      </c>
      <c r="B1105" s="476">
        <v>39832</v>
      </c>
      <c r="C1105" s="476">
        <v>39840</v>
      </c>
      <c r="D1105" s="476">
        <v>39848</v>
      </c>
      <c r="E1105" s="476">
        <v>39857</v>
      </c>
      <c r="F1105" s="476">
        <v>39865</v>
      </c>
      <c r="G1105" s="476">
        <v>39874</v>
      </c>
      <c r="H1105" s="476">
        <v>39882</v>
      </c>
      <c r="I1105" s="476">
        <v>39891</v>
      </c>
      <c r="J1105" s="476">
        <v>39899</v>
      </c>
      <c r="K1105" s="476">
        <v>39907</v>
      </c>
    </row>
    <row r="1106" spans="1:11">
      <c r="A1106" s="479">
        <v>6776.2</v>
      </c>
      <c r="B1106" s="476">
        <v>39916</v>
      </c>
      <c r="C1106" s="476">
        <v>39924</v>
      </c>
      <c r="D1106" s="476">
        <v>39933</v>
      </c>
      <c r="E1106" s="476">
        <v>39941</v>
      </c>
      <c r="F1106" s="476">
        <v>39949</v>
      </c>
      <c r="G1106" s="476">
        <v>39958</v>
      </c>
      <c r="H1106" s="476">
        <v>39966</v>
      </c>
      <c r="I1106" s="476">
        <v>39975</v>
      </c>
      <c r="J1106" s="476">
        <v>39983</v>
      </c>
      <c r="K1106" s="476">
        <v>39991</v>
      </c>
    </row>
    <row r="1107" spans="1:11">
      <c r="A1107" s="479">
        <v>6776.3</v>
      </c>
      <c r="B1107" s="476">
        <v>40000</v>
      </c>
      <c r="C1107" s="476">
        <v>40008</v>
      </c>
      <c r="D1107" s="476">
        <v>40017</v>
      </c>
      <c r="E1107" s="476">
        <v>40025</v>
      </c>
      <c r="F1107" s="476">
        <v>40034</v>
      </c>
      <c r="G1107" s="476">
        <v>40042</v>
      </c>
      <c r="H1107" s="476">
        <v>40050</v>
      </c>
      <c r="I1107" s="476">
        <v>40059</v>
      </c>
      <c r="J1107" s="476">
        <v>40067</v>
      </c>
      <c r="K1107" s="476">
        <v>40076</v>
      </c>
    </row>
    <row r="1108" spans="1:11">
      <c r="A1108" s="479">
        <v>6776.4</v>
      </c>
      <c r="B1108" s="476">
        <v>40084</v>
      </c>
      <c r="C1108" s="476">
        <v>40092</v>
      </c>
      <c r="D1108" s="476">
        <v>40101</v>
      </c>
      <c r="E1108" s="476">
        <v>40109</v>
      </c>
      <c r="F1108" s="476">
        <v>40118</v>
      </c>
      <c r="G1108" s="476">
        <v>40126</v>
      </c>
      <c r="H1108" s="476">
        <v>40135</v>
      </c>
      <c r="I1108" s="476">
        <v>40143</v>
      </c>
      <c r="J1108" s="476">
        <v>40151</v>
      </c>
      <c r="K1108" s="476">
        <v>40160</v>
      </c>
    </row>
    <row r="1109" spans="1:11">
      <c r="A1109" s="479">
        <v>6776.5</v>
      </c>
      <c r="B1109" s="476">
        <v>40168</v>
      </c>
      <c r="C1109" s="476">
        <v>40177</v>
      </c>
      <c r="D1109" s="476">
        <v>40185</v>
      </c>
      <c r="E1109" s="476">
        <v>40193</v>
      </c>
      <c r="F1109" s="476">
        <v>40202</v>
      </c>
      <c r="G1109" s="476">
        <v>40210</v>
      </c>
      <c r="H1109" s="476">
        <v>40219</v>
      </c>
      <c r="I1109" s="476">
        <v>40227</v>
      </c>
      <c r="J1109" s="476">
        <v>40235</v>
      </c>
      <c r="K1109" s="476">
        <v>40244</v>
      </c>
    </row>
    <row r="1110" spans="1:11">
      <c r="A1110" s="479">
        <v>6776.6</v>
      </c>
      <c r="B1110" s="476">
        <v>40252</v>
      </c>
      <c r="C1110" s="476">
        <v>40261</v>
      </c>
      <c r="D1110" s="476">
        <v>40269</v>
      </c>
      <c r="E1110" s="476">
        <v>40278</v>
      </c>
      <c r="F1110" s="476">
        <v>40286</v>
      </c>
      <c r="G1110" s="476">
        <v>40294</v>
      </c>
      <c r="H1110" s="476">
        <v>40303</v>
      </c>
      <c r="I1110" s="476">
        <v>40311</v>
      </c>
      <c r="J1110" s="476">
        <v>40320</v>
      </c>
      <c r="K1110" s="476">
        <v>40328</v>
      </c>
    </row>
    <row r="1111" spans="1:11">
      <c r="A1111" s="479">
        <v>6776.7</v>
      </c>
      <c r="B1111" s="476">
        <v>40336</v>
      </c>
      <c r="C1111" s="476">
        <v>40345</v>
      </c>
      <c r="D1111" s="476">
        <v>40353</v>
      </c>
      <c r="E1111" s="476">
        <v>40362</v>
      </c>
      <c r="F1111" s="476">
        <v>40370</v>
      </c>
      <c r="G1111" s="476">
        <v>40378</v>
      </c>
      <c r="H1111" s="476">
        <v>40387</v>
      </c>
      <c r="I1111" s="476">
        <v>40395</v>
      </c>
      <c r="J1111" s="476">
        <v>40404</v>
      </c>
      <c r="K1111" s="476">
        <v>40412</v>
      </c>
    </row>
    <row r="1112" spans="1:11">
      <c r="A1112" s="479">
        <v>6776.8</v>
      </c>
      <c r="B1112" s="476">
        <v>40421</v>
      </c>
      <c r="C1112" s="476">
        <v>40429</v>
      </c>
      <c r="D1112" s="476">
        <v>40437</v>
      </c>
      <c r="E1112" s="476">
        <v>40446</v>
      </c>
      <c r="F1112" s="476">
        <v>40454</v>
      </c>
      <c r="G1112" s="476">
        <v>40463</v>
      </c>
      <c r="H1112" s="476">
        <v>40471</v>
      </c>
      <c r="I1112" s="476">
        <v>40479</v>
      </c>
      <c r="J1112" s="476">
        <v>40488</v>
      </c>
      <c r="K1112" s="476">
        <v>40496</v>
      </c>
    </row>
    <row r="1113" spans="1:11">
      <c r="A1113" s="479">
        <v>6776.9</v>
      </c>
      <c r="B1113" s="476">
        <v>40505</v>
      </c>
      <c r="C1113" s="476">
        <v>40513</v>
      </c>
      <c r="D1113" s="476">
        <v>40522</v>
      </c>
      <c r="E1113" s="476">
        <v>40530</v>
      </c>
      <c r="F1113" s="476">
        <v>40538</v>
      </c>
      <c r="G1113" s="476">
        <v>40547</v>
      </c>
      <c r="H1113" s="476">
        <v>40555</v>
      </c>
      <c r="I1113" s="476">
        <v>40564</v>
      </c>
      <c r="J1113" s="476">
        <v>40572</v>
      </c>
      <c r="K1113" s="476">
        <v>40580</v>
      </c>
    </row>
    <row r="1114" spans="1:11">
      <c r="A1114" s="479">
        <v>6777</v>
      </c>
      <c r="B1114" s="476">
        <v>40589</v>
      </c>
      <c r="C1114" s="476">
        <v>40597</v>
      </c>
      <c r="D1114" s="476">
        <v>40606</v>
      </c>
      <c r="E1114" s="476">
        <v>40614</v>
      </c>
      <c r="F1114" s="476">
        <v>40623</v>
      </c>
      <c r="G1114" s="476">
        <v>40631</v>
      </c>
      <c r="H1114" s="476">
        <v>40640</v>
      </c>
      <c r="I1114" s="476">
        <v>40649</v>
      </c>
      <c r="J1114" s="476">
        <v>40657</v>
      </c>
      <c r="K1114" s="476">
        <v>40666</v>
      </c>
    </row>
    <row r="1115" spans="1:11">
      <c r="A1115" s="479">
        <v>6777.1</v>
      </c>
      <c r="B1115" s="476">
        <v>40674</v>
      </c>
      <c r="C1115" s="476">
        <v>40683</v>
      </c>
      <c r="D1115" s="476">
        <v>40691</v>
      </c>
      <c r="E1115" s="476">
        <v>40700</v>
      </c>
      <c r="F1115" s="476">
        <v>40708</v>
      </c>
      <c r="G1115" s="476">
        <v>40717</v>
      </c>
      <c r="H1115" s="476">
        <v>40725</v>
      </c>
      <c r="I1115" s="476">
        <v>40734</v>
      </c>
      <c r="J1115" s="476">
        <v>40742</v>
      </c>
      <c r="K1115" s="476">
        <v>40751</v>
      </c>
    </row>
    <row r="1116" spans="1:11">
      <c r="A1116" s="479">
        <v>6777.2</v>
      </c>
      <c r="B1116" s="476">
        <v>40759</v>
      </c>
      <c r="C1116" s="476">
        <v>40768</v>
      </c>
      <c r="D1116" s="476">
        <v>40776</v>
      </c>
      <c r="E1116" s="476">
        <v>40785</v>
      </c>
      <c r="F1116" s="476">
        <v>40793</v>
      </c>
      <c r="G1116" s="476">
        <v>40802</v>
      </c>
      <c r="H1116" s="476">
        <v>40811</v>
      </c>
      <c r="I1116" s="476">
        <v>40819</v>
      </c>
      <c r="J1116" s="476">
        <v>40828</v>
      </c>
      <c r="K1116" s="476">
        <v>40836</v>
      </c>
    </row>
    <row r="1117" spans="1:11">
      <c r="A1117" s="479">
        <v>6777.3</v>
      </c>
      <c r="B1117" s="476">
        <v>40845</v>
      </c>
      <c r="C1117" s="476">
        <v>40853</v>
      </c>
      <c r="D1117" s="476">
        <v>40862</v>
      </c>
      <c r="E1117" s="476">
        <v>40870</v>
      </c>
      <c r="F1117" s="476">
        <v>40879</v>
      </c>
      <c r="G1117" s="476">
        <v>40887</v>
      </c>
      <c r="H1117" s="476">
        <v>40896</v>
      </c>
      <c r="I1117" s="476">
        <v>40904</v>
      </c>
      <c r="J1117" s="476">
        <v>40913</v>
      </c>
      <c r="K1117" s="476">
        <v>40921</v>
      </c>
    </row>
    <row r="1118" spans="1:11">
      <c r="A1118" s="479">
        <v>6777.4</v>
      </c>
      <c r="B1118" s="476">
        <v>40930</v>
      </c>
      <c r="C1118" s="476">
        <v>40938</v>
      </c>
      <c r="D1118" s="476">
        <v>40947</v>
      </c>
      <c r="E1118" s="476">
        <v>40956</v>
      </c>
      <c r="F1118" s="476">
        <v>40964</v>
      </c>
      <c r="G1118" s="476">
        <v>40973</v>
      </c>
      <c r="H1118" s="476">
        <v>40981</v>
      </c>
      <c r="I1118" s="476">
        <v>40990</v>
      </c>
      <c r="J1118" s="476">
        <v>40998</v>
      </c>
      <c r="K1118" s="476">
        <v>41007</v>
      </c>
    </row>
    <row r="1119" spans="1:11">
      <c r="A1119" s="479">
        <v>6777.5</v>
      </c>
      <c r="B1119" s="476">
        <v>41015</v>
      </c>
      <c r="C1119" s="476">
        <v>41024</v>
      </c>
      <c r="D1119" s="476">
        <v>41032</v>
      </c>
      <c r="E1119" s="476">
        <v>41041</v>
      </c>
      <c r="F1119" s="476">
        <v>41049</v>
      </c>
      <c r="G1119" s="476">
        <v>41058</v>
      </c>
      <c r="H1119" s="476">
        <v>41066</v>
      </c>
      <c r="I1119" s="476">
        <v>41075</v>
      </c>
      <c r="J1119" s="476">
        <v>41083</v>
      </c>
      <c r="K1119" s="476">
        <v>41092</v>
      </c>
    </row>
    <row r="1120" spans="1:11">
      <c r="A1120" s="479">
        <v>6777.6</v>
      </c>
      <c r="B1120" s="476">
        <v>41101</v>
      </c>
      <c r="C1120" s="476">
        <v>41109</v>
      </c>
      <c r="D1120" s="476">
        <v>41118</v>
      </c>
      <c r="E1120" s="476">
        <v>41126</v>
      </c>
      <c r="F1120" s="476">
        <v>41135</v>
      </c>
      <c r="G1120" s="476">
        <v>41143</v>
      </c>
      <c r="H1120" s="476">
        <v>41152</v>
      </c>
      <c r="I1120" s="476">
        <v>41160</v>
      </c>
      <c r="J1120" s="476">
        <v>41169</v>
      </c>
      <c r="K1120" s="476">
        <v>41177</v>
      </c>
    </row>
    <row r="1121" spans="1:11">
      <c r="A1121" s="479">
        <v>6777.7</v>
      </c>
      <c r="B1121" s="476">
        <v>41186</v>
      </c>
      <c r="C1121" s="476">
        <v>41194</v>
      </c>
      <c r="D1121" s="476">
        <v>41203</v>
      </c>
      <c r="E1121" s="476">
        <v>41211</v>
      </c>
      <c r="F1121" s="476">
        <v>41220</v>
      </c>
      <c r="G1121" s="476">
        <v>41228</v>
      </c>
      <c r="H1121" s="476">
        <v>41237</v>
      </c>
      <c r="I1121" s="476">
        <v>41245</v>
      </c>
      <c r="J1121" s="476">
        <v>41254</v>
      </c>
      <c r="K1121" s="476">
        <v>41263</v>
      </c>
    </row>
    <row r="1122" spans="1:11">
      <c r="A1122" s="479">
        <v>6777.8</v>
      </c>
      <c r="B1122" s="476">
        <v>41271</v>
      </c>
      <c r="C1122" s="476">
        <v>41280</v>
      </c>
      <c r="D1122" s="476">
        <v>41288</v>
      </c>
      <c r="E1122" s="476">
        <v>41297</v>
      </c>
      <c r="F1122" s="476">
        <v>41305</v>
      </c>
      <c r="G1122" s="476">
        <v>41314</v>
      </c>
      <c r="H1122" s="476">
        <v>41322</v>
      </c>
      <c r="I1122" s="476">
        <v>41331</v>
      </c>
      <c r="J1122" s="476">
        <v>41339</v>
      </c>
      <c r="K1122" s="476">
        <v>41348</v>
      </c>
    </row>
    <row r="1123" spans="1:11">
      <c r="A1123" s="479">
        <v>6777.9</v>
      </c>
      <c r="B1123" s="476">
        <v>41356</v>
      </c>
      <c r="C1123" s="476">
        <v>41365</v>
      </c>
      <c r="D1123" s="476">
        <v>41373</v>
      </c>
      <c r="E1123" s="476">
        <v>41382</v>
      </c>
      <c r="F1123" s="476">
        <v>41390</v>
      </c>
      <c r="G1123" s="476">
        <v>41399</v>
      </c>
      <c r="H1123" s="476">
        <v>41408</v>
      </c>
      <c r="I1123" s="476">
        <v>41416</v>
      </c>
      <c r="J1123" s="476">
        <v>41425</v>
      </c>
      <c r="K1123" s="476">
        <v>41433</v>
      </c>
    </row>
    <row r="1124" spans="1:11">
      <c r="A1124" s="479">
        <v>6778</v>
      </c>
      <c r="B1124" s="476">
        <v>41442</v>
      </c>
      <c r="C1124" s="476">
        <v>41450</v>
      </c>
      <c r="D1124" s="476">
        <v>41459</v>
      </c>
      <c r="E1124" s="476">
        <v>41468</v>
      </c>
      <c r="F1124" s="476">
        <v>41476</v>
      </c>
      <c r="G1124" s="476">
        <v>41485</v>
      </c>
      <c r="H1124" s="476">
        <v>41494</v>
      </c>
      <c r="I1124" s="476">
        <v>41502</v>
      </c>
      <c r="J1124" s="476">
        <v>41511</v>
      </c>
      <c r="K1124" s="476">
        <v>41519</v>
      </c>
    </row>
    <row r="1125" spans="1:11">
      <c r="A1125" s="479">
        <v>6778.1</v>
      </c>
      <c r="B1125" s="476">
        <v>41528</v>
      </c>
      <c r="C1125" s="476">
        <v>41537</v>
      </c>
      <c r="D1125" s="476">
        <v>41545</v>
      </c>
      <c r="E1125" s="476">
        <v>41554</v>
      </c>
      <c r="F1125" s="476">
        <v>41563</v>
      </c>
      <c r="G1125" s="476">
        <v>41571</v>
      </c>
      <c r="H1125" s="476">
        <v>41580</v>
      </c>
      <c r="I1125" s="476">
        <v>41589</v>
      </c>
      <c r="J1125" s="476">
        <v>41597</v>
      </c>
      <c r="K1125" s="476">
        <v>41606</v>
      </c>
    </row>
    <row r="1126" spans="1:11">
      <c r="A1126" s="479">
        <v>6778.2</v>
      </c>
      <c r="B1126" s="476">
        <v>41615</v>
      </c>
      <c r="C1126" s="476">
        <v>41623</v>
      </c>
      <c r="D1126" s="476">
        <v>41632</v>
      </c>
      <c r="E1126" s="476">
        <v>41641</v>
      </c>
      <c r="F1126" s="476">
        <v>41649</v>
      </c>
      <c r="G1126" s="476">
        <v>41658</v>
      </c>
      <c r="H1126" s="476">
        <v>41666</v>
      </c>
      <c r="I1126" s="476">
        <v>41675</v>
      </c>
      <c r="J1126" s="476">
        <v>41684</v>
      </c>
      <c r="K1126" s="476">
        <v>41692</v>
      </c>
    </row>
    <row r="1127" spans="1:11">
      <c r="A1127" s="479">
        <v>6778.3</v>
      </c>
      <c r="B1127" s="476">
        <v>41701</v>
      </c>
      <c r="C1127" s="476">
        <v>41710</v>
      </c>
      <c r="D1127" s="476">
        <v>41718</v>
      </c>
      <c r="E1127" s="476">
        <v>41727</v>
      </c>
      <c r="F1127" s="476">
        <v>41736</v>
      </c>
      <c r="G1127" s="476">
        <v>41744</v>
      </c>
      <c r="H1127" s="476">
        <v>41753</v>
      </c>
      <c r="I1127" s="476">
        <v>41762</v>
      </c>
      <c r="J1127" s="476">
        <v>41770</v>
      </c>
      <c r="K1127" s="476">
        <v>41779</v>
      </c>
    </row>
    <row r="1128" spans="1:11">
      <c r="A1128" s="479">
        <v>6778.4</v>
      </c>
      <c r="B1128" s="476">
        <v>41787</v>
      </c>
      <c r="C1128" s="476">
        <v>41796</v>
      </c>
      <c r="D1128" s="476">
        <v>41805</v>
      </c>
      <c r="E1128" s="476">
        <v>41813</v>
      </c>
      <c r="F1128" s="476">
        <v>41822</v>
      </c>
      <c r="G1128" s="476">
        <v>41831</v>
      </c>
      <c r="H1128" s="476">
        <v>41839</v>
      </c>
      <c r="I1128" s="476">
        <v>41848</v>
      </c>
      <c r="J1128" s="476">
        <v>41857</v>
      </c>
      <c r="K1128" s="476">
        <v>41865</v>
      </c>
    </row>
    <row r="1129" spans="1:11">
      <c r="A1129" s="479">
        <v>6778.5</v>
      </c>
      <c r="B1129" s="476">
        <v>41874</v>
      </c>
      <c r="C1129" s="476">
        <v>41883</v>
      </c>
      <c r="D1129" s="476">
        <v>41891</v>
      </c>
      <c r="E1129" s="476">
        <v>41900</v>
      </c>
      <c r="F1129" s="476">
        <v>41909</v>
      </c>
      <c r="G1129" s="476">
        <v>41917</v>
      </c>
      <c r="H1129" s="476">
        <v>41926</v>
      </c>
      <c r="I1129" s="476">
        <v>41934</v>
      </c>
      <c r="J1129" s="476">
        <v>41943</v>
      </c>
      <c r="K1129" s="476">
        <v>41452</v>
      </c>
    </row>
    <row r="1130" spans="1:11">
      <c r="A1130" s="479">
        <v>6778.6</v>
      </c>
      <c r="B1130" s="476">
        <v>41960</v>
      </c>
      <c r="C1130" s="476">
        <v>41969</v>
      </c>
      <c r="D1130" s="476">
        <v>41978</v>
      </c>
      <c r="E1130" s="476">
        <v>41986</v>
      </c>
      <c r="F1130" s="476">
        <v>41995</v>
      </c>
      <c r="G1130" s="476">
        <v>42004</v>
      </c>
      <c r="H1130" s="476">
        <v>42012</v>
      </c>
      <c r="I1130" s="476">
        <v>42021</v>
      </c>
      <c r="J1130" s="476">
        <v>42030</v>
      </c>
      <c r="K1130" s="476">
        <v>22038</v>
      </c>
    </row>
    <row r="1131" spans="1:11">
      <c r="A1131" s="479">
        <v>6778.7</v>
      </c>
      <c r="B1131" s="476">
        <v>42047</v>
      </c>
      <c r="C1131" s="476">
        <v>42056</v>
      </c>
      <c r="D1131" s="476">
        <v>42064</v>
      </c>
      <c r="E1131" s="476">
        <v>42073</v>
      </c>
      <c r="F1131" s="476">
        <v>42081</v>
      </c>
      <c r="G1131" s="476">
        <v>42090</v>
      </c>
      <c r="H1131" s="476">
        <v>42099</v>
      </c>
      <c r="I1131" s="476">
        <v>42107</v>
      </c>
      <c r="J1131" s="476">
        <v>42116</v>
      </c>
      <c r="K1131" s="476">
        <v>42125</v>
      </c>
    </row>
    <row r="1132" spans="1:11">
      <c r="A1132" s="479">
        <v>6778.8</v>
      </c>
      <c r="B1132" s="476">
        <v>42133</v>
      </c>
      <c r="C1132" s="476">
        <v>42142</v>
      </c>
      <c r="D1132" s="476">
        <v>42151</v>
      </c>
      <c r="E1132" s="476">
        <v>42159</v>
      </c>
      <c r="F1132" s="476">
        <v>42168</v>
      </c>
      <c r="G1132" s="476">
        <v>42177</v>
      </c>
      <c r="H1132" s="476">
        <v>42185</v>
      </c>
      <c r="I1132" s="476">
        <v>42194</v>
      </c>
      <c r="J1132" s="476">
        <v>42203</v>
      </c>
      <c r="K1132" s="476">
        <v>42211</v>
      </c>
    </row>
    <row r="1133" spans="1:11">
      <c r="A1133" s="479">
        <v>6778.9</v>
      </c>
      <c r="B1133" s="476">
        <v>42220</v>
      </c>
      <c r="C1133" s="476">
        <v>42228</v>
      </c>
      <c r="D1133" s="476">
        <v>42237</v>
      </c>
      <c r="E1133" s="476">
        <v>42246</v>
      </c>
      <c r="F1133" s="476">
        <v>42254</v>
      </c>
      <c r="G1133" s="476">
        <v>42263</v>
      </c>
      <c r="H1133" s="476">
        <v>42272</v>
      </c>
      <c r="I1133" s="476">
        <v>42280</v>
      </c>
      <c r="J1133" s="476">
        <v>42289</v>
      </c>
      <c r="K1133" s="476">
        <v>42296</v>
      </c>
    </row>
    <row r="1134" spans="1:11">
      <c r="A1134" s="479">
        <v>6779</v>
      </c>
      <c r="B1134" s="476">
        <v>42306</v>
      </c>
      <c r="C1134" s="476">
        <v>42315</v>
      </c>
      <c r="D1134" s="476">
        <v>42324</v>
      </c>
      <c r="E1134" s="476">
        <v>42333</v>
      </c>
      <c r="F1134" s="476">
        <v>42341</v>
      </c>
      <c r="G1134" s="476">
        <v>42350</v>
      </c>
      <c r="H1134" s="476">
        <v>42359</v>
      </c>
      <c r="I1134" s="476">
        <v>42368</v>
      </c>
      <c r="J1134" s="476">
        <v>42376</v>
      </c>
      <c r="K1134" s="476">
        <v>42385</v>
      </c>
    </row>
    <row r="1135" spans="1:11">
      <c r="A1135" s="479">
        <v>6779.1</v>
      </c>
      <c r="B1135" s="476">
        <v>42394</v>
      </c>
      <c r="C1135" s="476">
        <v>42403</v>
      </c>
      <c r="D1135" s="476">
        <v>42411</v>
      </c>
      <c r="E1135" s="476">
        <v>42420</v>
      </c>
      <c r="F1135" s="476">
        <v>42429</v>
      </c>
      <c r="G1135" s="476">
        <v>42438</v>
      </c>
      <c r="H1135" s="476">
        <v>42447</v>
      </c>
      <c r="I1135" s="476">
        <v>42455</v>
      </c>
      <c r="J1135" s="476">
        <v>42464</v>
      </c>
      <c r="K1135" s="476">
        <v>42413</v>
      </c>
    </row>
    <row r="1136" spans="1:11">
      <c r="A1136" s="479">
        <v>6779.2</v>
      </c>
      <c r="B1136" s="476">
        <v>42482</v>
      </c>
      <c r="C1136" s="476">
        <v>42490</v>
      </c>
      <c r="D1136" s="476">
        <v>42499</v>
      </c>
      <c r="E1136" s="476">
        <v>42508</v>
      </c>
      <c r="F1136" s="476">
        <v>42517</v>
      </c>
      <c r="G1136" s="476">
        <v>42525</v>
      </c>
      <c r="H1136" s="476">
        <v>42534</v>
      </c>
      <c r="I1136" s="476">
        <v>42543</v>
      </c>
      <c r="J1136" s="476">
        <v>42552</v>
      </c>
      <c r="K1136" s="476">
        <v>42561</v>
      </c>
    </row>
    <row r="1137" spans="1:11">
      <c r="A1137" s="479">
        <v>6779.3</v>
      </c>
      <c r="B1137" s="476">
        <v>42569</v>
      </c>
      <c r="C1137" s="476">
        <v>42578</v>
      </c>
      <c r="D1137" s="476">
        <v>42587</v>
      </c>
      <c r="E1137" s="476">
        <v>42596</v>
      </c>
      <c r="F1137" s="476">
        <v>42604</v>
      </c>
      <c r="G1137" s="476">
        <v>42613</v>
      </c>
      <c r="H1137" s="476">
        <v>42622</v>
      </c>
      <c r="I1137" s="476">
        <v>42631</v>
      </c>
      <c r="J1137" s="476">
        <v>42639</v>
      </c>
      <c r="K1137" s="476">
        <v>42646</v>
      </c>
    </row>
    <row r="1138" spans="1:11">
      <c r="A1138" s="479">
        <v>6779.4</v>
      </c>
      <c r="B1138" s="476">
        <v>42657</v>
      </c>
      <c r="C1138" s="476">
        <v>42666</v>
      </c>
      <c r="D1138" s="476">
        <v>42675</v>
      </c>
      <c r="E1138" s="476">
        <v>42683</v>
      </c>
      <c r="F1138" s="476">
        <v>42692</v>
      </c>
      <c r="G1138" s="476">
        <v>42701</v>
      </c>
      <c r="H1138" s="476">
        <v>42710</v>
      </c>
      <c r="I1138" s="476">
        <v>42718</v>
      </c>
      <c r="J1138" s="476">
        <v>42727</v>
      </c>
      <c r="K1138" s="476">
        <v>42136</v>
      </c>
    </row>
    <row r="1139" spans="1:11">
      <c r="A1139" s="479">
        <v>6779.5</v>
      </c>
      <c r="B1139" s="476">
        <v>42745</v>
      </c>
      <c r="C1139" s="476">
        <v>42753</v>
      </c>
      <c r="D1139" s="476">
        <v>42162</v>
      </c>
      <c r="E1139" s="476">
        <v>42771</v>
      </c>
      <c r="F1139" s="476">
        <v>42780</v>
      </c>
      <c r="G1139" s="476">
        <v>42789</v>
      </c>
      <c r="H1139" s="476">
        <v>42797</v>
      </c>
      <c r="I1139" s="476">
        <v>42806</v>
      </c>
      <c r="J1139" s="476">
        <v>42815</v>
      </c>
      <c r="K1139" s="476">
        <v>42824</v>
      </c>
    </row>
    <row r="1140" spans="1:11">
      <c r="A1140" s="479">
        <v>6779.6</v>
      </c>
      <c r="B1140" s="476">
        <v>42832</v>
      </c>
      <c r="C1140" s="476">
        <v>42841</v>
      </c>
      <c r="D1140" s="476">
        <v>42850</v>
      </c>
      <c r="E1140" s="476">
        <v>42859</v>
      </c>
      <c r="F1140" s="476">
        <v>42867</v>
      </c>
      <c r="G1140" s="476">
        <v>42876</v>
      </c>
      <c r="H1140" s="476">
        <v>42885</v>
      </c>
      <c r="I1140" s="476">
        <v>42894</v>
      </c>
      <c r="J1140" s="476">
        <v>42903</v>
      </c>
      <c r="K1140" s="476">
        <v>42911</v>
      </c>
    </row>
    <row r="1141" spans="1:11">
      <c r="A1141" s="479">
        <v>6779.7</v>
      </c>
      <c r="B1141" s="476">
        <v>42920</v>
      </c>
      <c r="C1141" s="476">
        <v>42929</v>
      </c>
      <c r="D1141" s="476">
        <v>42938</v>
      </c>
      <c r="E1141" s="476">
        <v>42946</v>
      </c>
      <c r="F1141" s="476">
        <v>42955</v>
      </c>
      <c r="G1141" s="476">
        <v>42964</v>
      </c>
      <c r="H1141" s="476">
        <v>42973</v>
      </c>
      <c r="I1141" s="476">
        <v>42981</v>
      </c>
      <c r="J1141" s="476">
        <v>42990</v>
      </c>
      <c r="K1141" s="476">
        <v>42999</v>
      </c>
    </row>
    <row r="1142" spans="1:11">
      <c r="A1142" s="479">
        <v>6779.8</v>
      </c>
      <c r="B1142" s="476">
        <v>43008</v>
      </c>
      <c r="C1142" s="476">
        <v>43016</v>
      </c>
      <c r="D1142" s="476">
        <v>43025</v>
      </c>
      <c r="E1142" s="476">
        <v>43034</v>
      </c>
      <c r="F1142" s="476">
        <v>43043</v>
      </c>
      <c r="G1142" s="476">
        <v>43052</v>
      </c>
      <c r="H1142" s="476">
        <v>43060</v>
      </c>
      <c r="I1142" s="476">
        <v>43069</v>
      </c>
      <c r="J1142" s="476">
        <v>43078</v>
      </c>
      <c r="K1142" s="476">
        <v>43087</v>
      </c>
    </row>
    <row r="1143" spans="1:11">
      <c r="A1143" s="479">
        <v>6779.9</v>
      </c>
      <c r="B1143" s="476">
        <v>43095</v>
      </c>
      <c r="C1143" s="476">
        <v>43104</v>
      </c>
      <c r="D1143" s="476">
        <v>43113</v>
      </c>
      <c r="E1143" s="476">
        <v>43122</v>
      </c>
      <c r="F1143" s="476">
        <v>43130</v>
      </c>
      <c r="G1143" s="476">
        <v>43139</v>
      </c>
      <c r="H1143" s="476">
        <v>43148</v>
      </c>
      <c r="I1143" s="476">
        <v>43257</v>
      </c>
      <c r="J1143" s="476">
        <v>43166</v>
      </c>
      <c r="K1143" s="476">
        <v>43174</v>
      </c>
    </row>
    <row r="1144" spans="1:11">
      <c r="A1144" s="479">
        <v>6780</v>
      </c>
      <c r="B1144" s="476">
        <v>43183</v>
      </c>
      <c r="C1144" s="476">
        <v>43192</v>
      </c>
      <c r="D1144" s="476">
        <v>43201</v>
      </c>
      <c r="E1144" s="476">
        <v>43210</v>
      </c>
      <c r="F1144" s="476">
        <v>43219</v>
      </c>
      <c r="G1144" s="476">
        <v>43228</v>
      </c>
      <c r="H1144" s="476">
        <v>43236</v>
      </c>
      <c r="I1144" s="476">
        <v>43245</v>
      </c>
      <c r="J1144" s="476">
        <v>43254</v>
      </c>
      <c r="K1144" s="476">
        <v>43263</v>
      </c>
    </row>
    <row r="1145" spans="1:11">
      <c r="A1145" s="479">
        <v>6780.1</v>
      </c>
      <c r="B1145" s="476">
        <v>43272</v>
      </c>
      <c r="C1145" s="476">
        <v>43281</v>
      </c>
      <c r="D1145" s="476">
        <v>43290</v>
      </c>
      <c r="E1145" s="476">
        <v>43299</v>
      </c>
      <c r="F1145" s="476">
        <v>43308</v>
      </c>
      <c r="G1145" s="476">
        <v>43317</v>
      </c>
      <c r="H1145" s="476">
        <v>43325</v>
      </c>
      <c r="I1145" s="476">
        <v>43334</v>
      </c>
      <c r="J1145" s="476">
        <v>43343</v>
      </c>
      <c r="K1145" s="476">
        <v>43352</v>
      </c>
    </row>
    <row r="1146" spans="1:11">
      <c r="A1146" s="479">
        <v>6780.2</v>
      </c>
      <c r="B1146" s="476">
        <v>43361</v>
      </c>
      <c r="C1146" s="476">
        <v>43370</v>
      </c>
      <c r="D1146" s="476">
        <v>43379</v>
      </c>
      <c r="E1146" s="476">
        <v>43388</v>
      </c>
      <c r="F1146" s="476">
        <v>43397</v>
      </c>
      <c r="G1146" s="476">
        <v>43406</v>
      </c>
      <c r="H1146" s="476">
        <v>43414</v>
      </c>
      <c r="I1146" s="476">
        <v>43423</v>
      </c>
      <c r="J1146" s="476">
        <v>43432</v>
      </c>
      <c r="K1146" s="476">
        <v>43441</v>
      </c>
    </row>
    <row r="1147" spans="1:11">
      <c r="A1147" s="479">
        <v>6780.3</v>
      </c>
      <c r="B1147" s="476">
        <v>43450</v>
      </c>
      <c r="C1147" s="476">
        <v>43459</v>
      </c>
      <c r="D1147" s="476">
        <v>43468</v>
      </c>
      <c r="E1147" s="476">
        <v>43477</v>
      </c>
      <c r="F1147" s="476">
        <v>43486</v>
      </c>
      <c r="G1147" s="476">
        <v>43495</v>
      </c>
      <c r="H1147" s="476">
        <v>43503</v>
      </c>
      <c r="I1147" s="476">
        <v>43512</v>
      </c>
      <c r="J1147" s="476">
        <v>43521</v>
      </c>
      <c r="K1147" s="476">
        <v>43530</v>
      </c>
    </row>
    <row r="1148" spans="1:11">
      <c r="A1148" s="479">
        <v>6780.4</v>
      </c>
      <c r="B1148" s="476">
        <v>43539</v>
      </c>
      <c r="C1148" s="476">
        <v>43548</v>
      </c>
      <c r="D1148" s="476">
        <v>43557</v>
      </c>
      <c r="E1148" s="476">
        <v>43566</v>
      </c>
      <c r="F1148" s="476">
        <v>43575</v>
      </c>
      <c r="G1148" s="476">
        <v>43584</v>
      </c>
      <c r="H1148" s="476">
        <v>43593</v>
      </c>
      <c r="I1148" s="476">
        <v>43601</v>
      </c>
      <c r="J1148" s="476">
        <v>43610</v>
      </c>
      <c r="K1148" s="476">
        <v>43619</v>
      </c>
    </row>
    <row r="1149" spans="1:11">
      <c r="A1149" s="479">
        <v>6780.5</v>
      </c>
      <c r="B1149" s="476">
        <v>43628</v>
      </c>
      <c r="C1149" s="476">
        <v>43637</v>
      </c>
      <c r="D1149" s="476">
        <v>43646</v>
      </c>
      <c r="E1149" s="476">
        <v>43655</v>
      </c>
      <c r="F1149" s="476">
        <v>43664</v>
      </c>
      <c r="G1149" s="476">
        <v>43673</v>
      </c>
      <c r="H1149" s="476">
        <v>43682</v>
      </c>
      <c r="I1149" s="476">
        <v>43690</v>
      </c>
      <c r="J1149" s="476">
        <v>43699</v>
      </c>
      <c r="K1149" s="476">
        <v>43708</v>
      </c>
    </row>
    <row r="1150" spans="1:11">
      <c r="A1150" s="479">
        <v>6780.6</v>
      </c>
      <c r="B1150" s="476">
        <v>43717</v>
      </c>
      <c r="C1150" s="476">
        <v>43726</v>
      </c>
      <c r="D1150" s="476">
        <v>43735</v>
      </c>
      <c r="E1150" s="476">
        <v>43744</v>
      </c>
      <c r="F1150" s="476">
        <v>43753</v>
      </c>
      <c r="G1150" s="476">
        <v>43762</v>
      </c>
      <c r="H1150" s="476">
        <v>43771</v>
      </c>
      <c r="I1150" s="476">
        <v>43779</v>
      </c>
      <c r="J1150" s="476">
        <v>43788</v>
      </c>
      <c r="K1150" s="476">
        <v>43797</v>
      </c>
    </row>
    <row r="1151" spans="1:11">
      <c r="A1151" s="479">
        <v>6780.7</v>
      </c>
      <c r="B1151" s="476">
        <v>43806</v>
      </c>
      <c r="C1151" s="476">
        <v>43815</v>
      </c>
      <c r="D1151" s="476">
        <v>43824</v>
      </c>
      <c r="E1151" s="476">
        <v>43833</v>
      </c>
      <c r="F1151" s="476">
        <v>43842</v>
      </c>
      <c r="G1151" s="476">
        <v>43851</v>
      </c>
      <c r="H1151" s="476">
        <v>43860</v>
      </c>
      <c r="I1151" s="476">
        <v>43868</v>
      </c>
      <c r="J1151" s="476">
        <v>43877</v>
      </c>
      <c r="K1151" s="476">
        <v>43886</v>
      </c>
    </row>
    <row r="1152" spans="1:11">
      <c r="A1152" s="479">
        <v>6780.8</v>
      </c>
      <c r="B1152" s="476">
        <v>43895</v>
      </c>
      <c r="C1152" s="476">
        <v>43904</v>
      </c>
      <c r="D1152" s="476">
        <v>43913</v>
      </c>
      <c r="E1152" s="476">
        <v>43922</v>
      </c>
      <c r="F1152" s="476">
        <v>43931</v>
      </c>
      <c r="G1152" s="476">
        <v>43940</v>
      </c>
      <c r="H1152" s="476">
        <v>43949</v>
      </c>
      <c r="I1152" s="476">
        <v>43957</v>
      </c>
      <c r="J1152" s="476">
        <v>43966</v>
      </c>
      <c r="K1152" s="476">
        <v>43975</v>
      </c>
    </row>
    <row r="1153" spans="1:11">
      <c r="A1153" s="479">
        <v>6780.9</v>
      </c>
      <c r="B1153" s="476">
        <v>43984</v>
      </c>
      <c r="C1153" s="476">
        <v>43993</v>
      </c>
      <c r="D1153" s="476">
        <v>44002</v>
      </c>
      <c r="E1153" s="476">
        <v>44011</v>
      </c>
      <c r="F1153" s="476">
        <v>44020</v>
      </c>
      <c r="G1153" s="476">
        <v>44029</v>
      </c>
      <c r="H1153" s="476">
        <v>44038</v>
      </c>
      <c r="I1153" s="476">
        <v>44046</v>
      </c>
      <c r="J1153" s="476">
        <v>44055</v>
      </c>
      <c r="K1153" s="476">
        <v>44064</v>
      </c>
    </row>
    <row r="1154" spans="1:11">
      <c r="A1154" s="479">
        <v>6781</v>
      </c>
      <c r="B1154" s="476">
        <v>44073</v>
      </c>
      <c r="C1154" s="476">
        <v>44082</v>
      </c>
      <c r="D1154" s="476">
        <v>44091</v>
      </c>
      <c r="E1154" s="476">
        <v>44100</v>
      </c>
      <c r="F1154" s="476">
        <v>44109</v>
      </c>
      <c r="G1154" s="476">
        <v>44118</v>
      </c>
      <c r="H1154" s="476">
        <v>44127</v>
      </c>
      <c r="I1154" s="476">
        <v>44136</v>
      </c>
      <c r="J1154" s="476">
        <v>44145</v>
      </c>
      <c r="K1154" s="476">
        <v>44154</v>
      </c>
    </row>
    <row r="1155" spans="1:11">
      <c r="A1155" s="479">
        <v>6781.1</v>
      </c>
      <c r="B1155" s="476">
        <v>44164</v>
      </c>
      <c r="C1155" s="476">
        <v>44173</v>
      </c>
      <c r="D1155" s="476">
        <v>44182</v>
      </c>
      <c r="E1155" s="476">
        <v>44191</v>
      </c>
      <c r="F1155" s="476">
        <v>44200</v>
      </c>
      <c r="G1155" s="476">
        <v>44209</v>
      </c>
      <c r="H1155" s="476">
        <v>44218</v>
      </c>
      <c r="I1155" s="476">
        <v>44227</v>
      </c>
      <c r="J1155" s="476">
        <v>44236</v>
      </c>
      <c r="K1155" s="476">
        <v>44245</v>
      </c>
    </row>
    <row r="1156" spans="1:11">
      <c r="A1156" s="479">
        <v>6781.2</v>
      </c>
      <c r="B1156" s="476">
        <v>44254</v>
      </c>
      <c r="C1156" s="476">
        <v>44263</v>
      </c>
      <c r="D1156" s="476">
        <v>44272</v>
      </c>
      <c r="E1156" s="476">
        <v>44281</v>
      </c>
      <c r="F1156" s="476">
        <v>44290</v>
      </c>
      <c r="G1156" s="476">
        <v>44299</v>
      </c>
      <c r="H1156" s="476">
        <v>44308</v>
      </c>
      <c r="I1156" s="476">
        <v>44317</v>
      </c>
      <c r="J1156" s="476">
        <v>44326</v>
      </c>
      <c r="K1156" s="476">
        <v>44335</v>
      </c>
    </row>
    <row r="1157" spans="1:11">
      <c r="A1157" s="479">
        <v>6781.3</v>
      </c>
      <c r="B1157" s="476">
        <v>44344</v>
      </c>
      <c r="C1157" s="476">
        <v>44353</v>
      </c>
      <c r="D1157" s="476">
        <v>44362</v>
      </c>
      <c r="E1157" s="476">
        <v>44371</v>
      </c>
      <c r="F1157" s="476">
        <v>44380</v>
      </c>
      <c r="G1157" s="476">
        <v>44390</v>
      </c>
      <c r="H1157" s="476">
        <v>44399</v>
      </c>
      <c r="I1157" s="476">
        <v>44408</v>
      </c>
      <c r="J1157" s="476">
        <v>44417</v>
      </c>
      <c r="K1157" s="476">
        <v>44426</v>
      </c>
    </row>
    <row r="1158" spans="1:11">
      <c r="A1158" s="479">
        <v>6781.4</v>
      </c>
      <c r="B1158" s="476">
        <v>44435</v>
      </c>
      <c r="C1158" s="476">
        <v>44444</v>
      </c>
      <c r="D1158" s="476">
        <v>44453</v>
      </c>
      <c r="E1158" s="476">
        <v>44462</v>
      </c>
      <c r="F1158" s="476">
        <v>44471</v>
      </c>
      <c r="G1158" s="476">
        <v>44480</v>
      </c>
      <c r="H1158" s="476">
        <v>44489</v>
      </c>
      <c r="I1158" s="476">
        <v>44498</v>
      </c>
      <c r="J1158" s="476">
        <v>44507</v>
      </c>
      <c r="K1158" s="476">
        <v>44516</v>
      </c>
    </row>
    <row r="1159" spans="1:11">
      <c r="A1159" s="479">
        <v>6781.5</v>
      </c>
      <c r="B1159" s="476">
        <v>44525</v>
      </c>
      <c r="C1159" s="476">
        <v>44534</v>
      </c>
      <c r="D1159" s="476">
        <v>44543</v>
      </c>
      <c r="E1159" s="476">
        <v>44552</v>
      </c>
      <c r="F1159" s="476">
        <v>44561</v>
      </c>
      <c r="G1159" s="476">
        <v>44570</v>
      </c>
      <c r="H1159" s="476">
        <v>44579</v>
      </c>
      <c r="I1159" s="476">
        <v>44588</v>
      </c>
      <c r="J1159" s="476">
        <v>44597</v>
      </c>
      <c r="K1159" s="476">
        <v>44606</v>
      </c>
    </row>
    <row r="1160" spans="1:11">
      <c r="A1160" s="479">
        <v>6781.6</v>
      </c>
      <c r="B1160" s="476">
        <v>44615</v>
      </c>
      <c r="C1160" s="476">
        <v>44625</v>
      </c>
      <c r="D1160" s="476">
        <v>44634</v>
      </c>
      <c r="E1160" s="476">
        <v>44643</v>
      </c>
      <c r="F1160" s="476">
        <v>44652</v>
      </c>
      <c r="G1160" s="476">
        <v>44661</v>
      </c>
      <c r="H1160" s="476">
        <v>44670</v>
      </c>
      <c r="I1160" s="476">
        <v>44679</v>
      </c>
      <c r="J1160" s="476">
        <v>44688</v>
      </c>
      <c r="K1160" s="476">
        <v>44697</v>
      </c>
    </row>
    <row r="1161" spans="1:11">
      <c r="A1161" s="479">
        <v>6781.7</v>
      </c>
      <c r="B1161" s="476">
        <v>44706</v>
      </c>
      <c r="C1161" s="476">
        <v>44715</v>
      </c>
      <c r="D1161" s="476">
        <v>44724</v>
      </c>
      <c r="E1161" s="476">
        <v>44733</v>
      </c>
      <c r="F1161" s="476">
        <v>44742</v>
      </c>
      <c r="G1161" s="476">
        <v>44751</v>
      </c>
      <c r="H1161" s="476">
        <v>44760</v>
      </c>
      <c r="I1161" s="476">
        <v>44769</v>
      </c>
      <c r="J1161" s="476">
        <v>44778</v>
      </c>
      <c r="K1161" s="476">
        <v>44787</v>
      </c>
    </row>
    <row r="1162" spans="1:11">
      <c r="A1162" s="479">
        <v>6781.8</v>
      </c>
      <c r="B1162" s="476">
        <v>44796</v>
      </c>
      <c r="C1162" s="476">
        <v>44805</v>
      </c>
      <c r="D1162" s="476">
        <v>44814</v>
      </c>
      <c r="E1162" s="476">
        <v>44823</v>
      </c>
      <c r="F1162" s="476">
        <v>44832</v>
      </c>
      <c r="G1162" s="476">
        <v>44841</v>
      </c>
      <c r="H1162" s="476">
        <v>44851</v>
      </c>
      <c r="I1162" s="476">
        <v>44860</v>
      </c>
      <c r="J1162" s="476">
        <v>44869</v>
      </c>
      <c r="K1162" s="476">
        <v>44878</v>
      </c>
    </row>
    <row r="1163" spans="1:11">
      <c r="A1163" s="479">
        <v>6781.9</v>
      </c>
      <c r="B1163" s="476">
        <v>44887</v>
      </c>
      <c r="C1163" s="476">
        <v>44896</v>
      </c>
      <c r="D1163" s="476">
        <v>44905</v>
      </c>
      <c r="E1163" s="476">
        <v>44914</v>
      </c>
      <c r="F1163" s="476">
        <v>44923</v>
      </c>
      <c r="G1163" s="476">
        <v>44932</v>
      </c>
      <c r="H1163" s="476">
        <v>44941</v>
      </c>
      <c r="I1163" s="476">
        <v>44950</v>
      </c>
      <c r="J1163" s="476">
        <v>44959</v>
      </c>
      <c r="K1163" s="476">
        <v>44968</v>
      </c>
    </row>
    <row r="1164" spans="1:11">
      <c r="A1164" s="479">
        <v>6782</v>
      </c>
      <c r="B1164" s="476">
        <v>44977</v>
      </c>
      <c r="C1164" s="476">
        <v>44986</v>
      </c>
      <c r="D1164" s="476">
        <v>44995</v>
      </c>
      <c r="E1164" s="476">
        <v>45005</v>
      </c>
      <c r="F1164" s="476">
        <v>45014</v>
      </c>
      <c r="G1164" s="476">
        <v>45023</v>
      </c>
      <c r="H1164" s="476">
        <v>45032</v>
      </c>
      <c r="I1164" s="476">
        <v>45041</v>
      </c>
      <c r="J1164" s="476">
        <v>45050</v>
      </c>
      <c r="K1164" s="476">
        <v>45060</v>
      </c>
    </row>
    <row r="1165" spans="1:11">
      <c r="A1165" s="479">
        <v>6782.1</v>
      </c>
      <c r="B1165" s="476">
        <v>45069</v>
      </c>
      <c r="C1165" s="476">
        <v>45078</v>
      </c>
      <c r="D1165" s="476">
        <v>45087</v>
      </c>
      <c r="E1165" s="476">
        <v>45096</v>
      </c>
      <c r="F1165" s="476">
        <v>45106</v>
      </c>
      <c r="G1165" s="476">
        <v>45115</v>
      </c>
      <c r="H1165" s="476">
        <v>45124</v>
      </c>
      <c r="I1165" s="476">
        <v>45133</v>
      </c>
      <c r="J1165" s="476">
        <v>45142</v>
      </c>
      <c r="K1165" s="476">
        <v>45151</v>
      </c>
    </row>
    <row r="1166" spans="1:11">
      <c r="A1166" s="479">
        <v>6782.2</v>
      </c>
      <c r="B1166" s="476">
        <v>45161</v>
      </c>
      <c r="C1166" s="476">
        <v>45170</v>
      </c>
      <c r="D1166" s="476">
        <v>45179</v>
      </c>
      <c r="E1166" s="476">
        <v>45188</v>
      </c>
      <c r="F1166" s="476">
        <v>45197</v>
      </c>
      <c r="G1166" s="476">
        <v>45206</v>
      </c>
      <c r="H1166" s="476">
        <v>45216</v>
      </c>
      <c r="I1166" s="476">
        <v>45225</v>
      </c>
      <c r="J1166" s="476">
        <v>45234</v>
      </c>
      <c r="K1166" s="476">
        <v>45243</v>
      </c>
    </row>
    <row r="1167" spans="1:11">
      <c r="A1167" s="479">
        <v>6782.3</v>
      </c>
      <c r="B1167" s="476">
        <v>45252</v>
      </c>
      <c r="C1167" s="476">
        <v>45262</v>
      </c>
      <c r="D1167" s="476">
        <v>45271</v>
      </c>
      <c r="E1167" s="476">
        <v>45280</v>
      </c>
      <c r="F1167" s="476">
        <v>45289</v>
      </c>
      <c r="G1167" s="476">
        <v>45298</v>
      </c>
      <c r="H1167" s="476">
        <v>45307</v>
      </c>
      <c r="I1167" s="476">
        <v>45317</v>
      </c>
      <c r="J1167" s="476">
        <v>45326</v>
      </c>
      <c r="K1167" s="476">
        <v>45335</v>
      </c>
    </row>
    <row r="1168" spans="1:11">
      <c r="A1168" s="479">
        <v>6782.4</v>
      </c>
      <c r="B1168" s="476">
        <v>45344</v>
      </c>
      <c r="C1168" s="476">
        <v>45353</v>
      </c>
      <c r="D1168" s="476">
        <v>45362</v>
      </c>
      <c r="E1168" s="476">
        <v>45372</v>
      </c>
      <c r="F1168" s="476">
        <v>45381</v>
      </c>
      <c r="G1168" s="476">
        <v>45390</v>
      </c>
      <c r="H1168" s="476">
        <v>45399</v>
      </c>
      <c r="I1168" s="476">
        <v>45408</v>
      </c>
      <c r="J1168" s="476">
        <v>45418</v>
      </c>
      <c r="K1168" s="476">
        <v>45427</v>
      </c>
    </row>
    <row r="1169" spans="1:11">
      <c r="A1169" s="479">
        <v>6782.5</v>
      </c>
      <c r="B1169" s="476">
        <v>45436</v>
      </c>
      <c r="C1169" s="476">
        <v>45445</v>
      </c>
      <c r="D1169" s="476">
        <v>45454</v>
      </c>
      <c r="E1169" s="476">
        <v>45463</v>
      </c>
      <c r="F1169" s="476">
        <v>45473</v>
      </c>
      <c r="G1169" s="476">
        <v>45482</v>
      </c>
      <c r="H1169" s="476">
        <v>45491</v>
      </c>
      <c r="I1169" s="476">
        <v>45500</v>
      </c>
      <c r="J1169" s="476">
        <v>45509</v>
      </c>
      <c r="K1169" s="476">
        <v>45518</v>
      </c>
    </row>
    <row r="1170" spans="1:11">
      <c r="A1170" s="479">
        <v>6782.6</v>
      </c>
      <c r="B1170" s="476">
        <v>45528</v>
      </c>
      <c r="C1170" s="476">
        <v>45537</v>
      </c>
      <c r="D1170" s="476">
        <v>45546</v>
      </c>
      <c r="E1170" s="476">
        <v>45555</v>
      </c>
      <c r="F1170" s="476">
        <v>45564</v>
      </c>
      <c r="G1170" s="476">
        <v>45574</v>
      </c>
      <c r="H1170" s="476">
        <v>45583</v>
      </c>
      <c r="I1170" s="476">
        <v>45592</v>
      </c>
      <c r="J1170" s="476">
        <v>45601</v>
      </c>
      <c r="K1170" s="476">
        <v>45610</v>
      </c>
    </row>
    <row r="1171" spans="1:11">
      <c r="A1171" s="479">
        <v>6782.7</v>
      </c>
      <c r="B1171" s="476">
        <v>45619</v>
      </c>
      <c r="C1171" s="476">
        <v>45629</v>
      </c>
      <c r="D1171" s="476">
        <v>45638</v>
      </c>
      <c r="E1171" s="476">
        <v>45647</v>
      </c>
      <c r="F1171" s="476">
        <v>45656</v>
      </c>
      <c r="G1171" s="476">
        <v>45665</v>
      </c>
      <c r="H1171" s="476">
        <v>45674</v>
      </c>
      <c r="I1171" s="476">
        <v>45684</v>
      </c>
      <c r="J1171" s="476">
        <v>45693</v>
      </c>
      <c r="K1171" s="476">
        <v>45702</v>
      </c>
    </row>
    <row r="1172" spans="1:11">
      <c r="A1172" s="479">
        <v>6782.8</v>
      </c>
      <c r="B1172" s="476">
        <v>45711</v>
      </c>
      <c r="C1172" s="476">
        <v>45720</v>
      </c>
      <c r="D1172" s="476">
        <v>45730</v>
      </c>
      <c r="E1172" s="476">
        <v>45739</v>
      </c>
      <c r="F1172" s="476">
        <v>45748</v>
      </c>
      <c r="G1172" s="476">
        <v>45757</v>
      </c>
      <c r="H1172" s="476">
        <v>45766</v>
      </c>
      <c r="I1172" s="476">
        <v>45775</v>
      </c>
      <c r="J1172" s="476">
        <v>45785</v>
      </c>
      <c r="K1172" s="476">
        <v>45794</v>
      </c>
    </row>
    <row r="1173" spans="1:11">
      <c r="A1173" s="479">
        <v>6782.9</v>
      </c>
      <c r="B1173" s="476">
        <v>45803</v>
      </c>
      <c r="C1173" s="476">
        <v>45812</v>
      </c>
      <c r="D1173" s="476">
        <v>45821</v>
      </c>
      <c r="E1173" s="476">
        <v>45830</v>
      </c>
      <c r="F1173" s="476">
        <v>45840</v>
      </c>
      <c r="G1173" s="476">
        <v>45849</v>
      </c>
      <c r="H1173" s="476">
        <v>45858</v>
      </c>
      <c r="I1173" s="476">
        <v>45867</v>
      </c>
      <c r="J1173" s="476">
        <v>45876</v>
      </c>
      <c r="K1173" s="476">
        <v>45886</v>
      </c>
    </row>
    <row r="1174" spans="1:11">
      <c r="A1174" s="479">
        <v>6783</v>
      </c>
      <c r="B1174" s="476">
        <v>45895</v>
      </c>
      <c r="C1174" s="476">
        <v>45904</v>
      </c>
      <c r="D1174" s="476">
        <v>45913</v>
      </c>
      <c r="E1174" s="476">
        <v>45923</v>
      </c>
      <c r="F1174" s="476">
        <v>45932</v>
      </c>
      <c r="G1174" s="476">
        <v>45941</v>
      </c>
      <c r="H1174" s="476">
        <v>45951</v>
      </c>
      <c r="I1174" s="476">
        <v>45960</v>
      </c>
      <c r="J1174" s="476">
        <v>45969</v>
      </c>
      <c r="K1174" s="476">
        <v>45579</v>
      </c>
    </row>
    <row r="1175" spans="1:11">
      <c r="A1175" s="479">
        <v>6783.1</v>
      </c>
      <c r="B1175" s="476">
        <v>45988</v>
      </c>
      <c r="C1175" s="476">
        <v>45997</v>
      </c>
      <c r="D1175" s="476">
        <v>46006</v>
      </c>
      <c r="E1175" s="476">
        <v>46016</v>
      </c>
      <c r="F1175" s="476">
        <v>46025</v>
      </c>
      <c r="G1175" s="476">
        <v>46034</v>
      </c>
      <c r="H1175" s="476">
        <v>46044</v>
      </c>
      <c r="I1175" s="476">
        <v>46053</v>
      </c>
      <c r="J1175" s="476">
        <v>46062</v>
      </c>
      <c r="K1175" s="476">
        <v>46072</v>
      </c>
    </row>
    <row r="1176" spans="1:11">
      <c r="A1176" s="479">
        <v>6783.2</v>
      </c>
      <c r="B1176" s="476">
        <v>46081</v>
      </c>
      <c r="C1176" s="476">
        <v>46090</v>
      </c>
      <c r="D1176" s="476">
        <v>46100</v>
      </c>
      <c r="E1176" s="476">
        <v>46109</v>
      </c>
      <c r="F1176" s="476">
        <v>46118</v>
      </c>
      <c r="G1176" s="476">
        <v>46128</v>
      </c>
      <c r="H1176" s="476">
        <v>46137</v>
      </c>
      <c r="I1176" s="476">
        <v>46146</v>
      </c>
      <c r="J1176" s="476">
        <v>46155</v>
      </c>
      <c r="K1176" s="476">
        <v>46165</v>
      </c>
    </row>
    <row r="1177" spans="1:11">
      <c r="A1177" s="479">
        <v>6783.3</v>
      </c>
      <c r="B1177" s="476">
        <v>46174</v>
      </c>
      <c r="C1177" s="476">
        <v>46183</v>
      </c>
      <c r="D1177" s="476">
        <v>46193</v>
      </c>
      <c r="E1177" s="476">
        <v>46202</v>
      </c>
      <c r="F1177" s="476">
        <v>46211</v>
      </c>
      <c r="G1177" s="476">
        <v>46221</v>
      </c>
      <c r="H1177" s="476">
        <v>46230</v>
      </c>
      <c r="I1177" s="476">
        <v>46239</v>
      </c>
      <c r="J1177" s="476">
        <v>46249</v>
      </c>
      <c r="K1177" s="476">
        <v>46258</v>
      </c>
    </row>
    <row r="1178" spans="1:11">
      <c r="A1178" s="479">
        <v>6783.4</v>
      </c>
      <c r="B1178" s="476">
        <v>46267</v>
      </c>
      <c r="C1178" s="476">
        <v>46276</v>
      </c>
      <c r="D1178" s="476">
        <v>46286</v>
      </c>
      <c r="E1178" s="476">
        <v>46295</v>
      </c>
      <c r="F1178" s="476">
        <v>46304</v>
      </c>
      <c r="G1178" s="476">
        <v>46314</v>
      </c>
      <c r="H1178" s="476">
        <v>46323</v>
      </c>
      <c r="I1178" s="476">
        <v>46332</v>
      </c>
      <c r="J1178" s="476">
        <v>46342</v>
      </c>
      <c r="K1178" s="476">
        <v>46351</v>
      </c>
    </row>
    <row r="1179" spans="1:11">
      <c r="A1179" s="479">
        <v>6783.5</v>
      </c>
      <c r="B1179" s="476">
        <v>46360</v>
      </c>
      <c r="C1179" s="476">
        <v>46370</v>
      </c>
      <c r="D1179" s="476">
        <v>46379</v>
      </c>
      <c r="E1179" s="476">
        <v>46388</v>
      </c>
      <c r="F1179" s="476">
        <v>46398</v>
      </c>
      <c r="G1179" s="476">
        <v>46407</v>
      </c>
      <c r="H1179" s="476">
        <v>46416</v>
      </c>
      <c r="I1179" s="476">
        <v>46425</v>
      </c>
      <c r="J1179" s="476">
        <v>46435</v>
      </c>
      <c r="K1179" s="476">
        <v>46444</v>
      </c>
    </row>
    <row r="1180" spans="1:11">
      <c r="A1180" s="479">
        <v>6783.6</v>
      </c>
      <c r="B1180" s="476">
        <v>46453</v>
      </c>
      <c r="C1180" s="476">
        <v>46463</v>
      </c>
      <c r="D1180" s="476">
        <v>46472</v>
      </c>
      <c r="E1180" s="476">
        <v>46481</v>
      </c>
      <c r="F1180" s="476">
        <v>46491</v>
      </c>
      <c r="G1180" s="476">
        <v>46500</v>
      </c>
      <c r="H1180" s="476">
        <v>46509</v>
      </c>
      <c r="I1180" s="476">
        <v>46519</v>
      </c>
      <c r="J1180" s="476">
        <v>46528</v>
      </c>
      <c r="K1180" s="476">
        <v>46537</v>
      </c>
    </row>
    <row r="1181" spans="1:11">
      <c r="A1181" s="479">
        <v>6783.7</v>
      </c>
      <c r="B1181" s="476">
        <v>46547</v>
      </c>
      <c r="C1181" s="476">
        <v>46556</v>
      </c>
      <c r="D1181" s="476">
        <v>46565</v>
      </c>
      <c r="E1181" s="476">
        <v>46574</v>
      </c>
      <c r="F1181" s="476">
        <v>46584</v>
      </c>
      <c r="G1181" s="476">
        <v>46593</v>
      </c>
      <c r="H1181" s="476">
        <v>46602</v>
      </c>
      <c r="I1181" s="476">
        <v>46612</v>
      </c>
      <c r="J1181" s="476">
        <v>46621</v>
      </c>
      <c r="K1181" s="476">
        <v>46630</v>
      </c>
    </row>
    <row r="1182" spans="1:11">
      <c r="A1182" s="479">
        <v>6783.8</v>
      </c>
      <c r="B1182" s="476">
        <v>46640</v>
      </c>
      <c r="C1182" s="476">
        <v>46649</v>
      </c>
      <c r="D1182" s="476">
        <v>46658</v>
      </c>
      <c r="E1182" s="476">
        <v>46668</v>
      </c>
      <c r="F1182" s="476">
        <v>46677</v>
      </c>
      <c r="G1182" s="476">
        <v>46686</v>
      </c>
      <c r="H1182" s="476">
        <v>46696</v>
      </c>
      <c r="I1182" s="476">
        <v>46705</v>
      </c>
      <c r="J1182" s="476">
        <v>46714</v>
      </c>
      <c r="K1182" s="476">
        <v>46723</v>
      </c>
    </row>
    <row r="1183" spans="1:11">
      <c r="A1183" s="479">
        <v>6783.9</v>
      </c>
      <c r="B1183" s="476">
        <v>46733</v>
      </c>
      <c r="C1183" s="476">
        <v>46742</v>
      </c>
      <c r="D1183" s="476">
        <v>46751</v>
      </c>
      <c r="E1183" s="476">
        <v>46761</v>
      </c>
      <c r="F1183" s="476">
        <v>46770</v>
      </c>
      <c r="G1183" s="476">
        <v>46779</v>
      </c>
      <c r="H1183" s="476">
        <v>46789</v>
      </c>
      <c r="I1183" s="476">
        <v>46798</v>
      </c>
      <c r="J1183" s="476">
        <v>46807</v>
      </c>
      <c r="K1183" s="476">
        <v>46817</v>
      </c>
    </row>
    <row r="1184" spans="1:11">
      <c r="A1184" s="479">
        <v>6784</v>
      </c>
      <c r="B1184" s="476">
        <v>46826</v>
      </c>
      <c r="C1184" s="476">
        <v>46835</v>
      </c>
      <c r="D1184" s="476">
        <v>46845</v>
      </c>
      <c r="E1184" s="476">
        <v>46854</v>
      </c>
      <c r="F1184" s="476">
        <v>46864</v>
      </c>
      <c r="G1184" s="476">
        <v>46873</v>
      </c>
      <c r="H1184" s="476">
        <v>46883</v>
      </c>
      <c r="I1184" s="476">
        <v>46892</v>
      </c>
      <c r="J1184" s="476">
        <v>46901</v>
      </c>
      <c r="K1184" s="476">
        <v>46911</v>
      </c>
    </row>
    <row r="1185" spans="1:11">
      <c r="A1185" s="479">
        <v>6784.1</v>
      </c>
      <c r="B1185" s="476">
        <v>46920</v>
      </c>
      <c r="C1185" s="476">
        <v>46930</v>
      </c>
      <c r="D1185" s="476">
        <v>46939</v>
      </c>
      <c r="E1185" s="476">
        <v>46949</v>
      </c>
      <c r="F1185" s="476">
        <v>46958</v>
      </c>
      <c r="G1185" s="476">
        <v>46968</v>
      </c>
      <c r="H1185" s="476">
        <v>46977</v>
      </c>
      <c r="I1185" s="476">
        <v>46986</v>
      </c>
      <c r="J1185" s="476">
        <v>46996</v>
      </c>
      <c r="K1185" s="476">
        <v>47005</v>
      </c>
    </row>
    <row r="1186" spans="1:11">
      <c r="A1186" s="479">
        <v>6784.2</v>
      </c>
      <c r="B1186" s="476">
        <v>47015</v>
      </c>
      <c r="C1186" s="476">
        <v>47024</v>
      </c>
      <c r="D1186" s="476">
        <v>47034</v>
      </c>
      <c r="E1186" s="476">
        <v>47043</v>
      </c>
      <c r="F1186" s="476">
        <v>67053</v>
      </c>
      <c r="G1186" s="476">
        <v>47062</v>
      </c>
      <c r="H1186" s="476">
        <v>47071</v>
      </c>
      <c r="I1186" s="476">
        <v>47081</v>
      </c>
      <c r="J1186" s="476">
        <v>47090</v>
      </c>
      <c r="K1186" s="476">
        <v>47100</v>
      </c>
    </row>
    <row r="1187" spans="1:11">
      <c r="A1187" s="479">
        <v>6784.3</v>
      </c>
      <c r="B1187" s="476">
        <v>47109</v>
      </c>
      <c r="C1187" s="476">
        <v>47119</v>
      </c>
      <c r="D1187" s="476">
        <v>47128</v>
      </c>
      <c r="E1187" s="476">
        <v>47138</v>
      </c>
      <c r="F1187" s="476">
        <v>47147</v>
      </c>
      <c r="G1187" s="476">
        <v>47156</v>
      </c>
      <c r="H1187" s="476">
        <v>47166</v>
      </c>
      <c r="I1187" s="476">
        <v>47175</v>
      </c>
      <c r="J1187" s="476">
        <v>47185</v>
      </c>
      <c r="K1187" s="476">
        <v>47194</v>
      </c>
    </row>
    <row r="1188" spans="1:11">
      <c r="A1188" s="479">
        <v>6784.4</v>
      </c>
      <c r="B1188" s="476">
        <v>47204</v>
      </c>
      <c r="C1188" s="476">
        <v>47213</v>
      </c>
      <c r="D1188" s="476">
        <v>47223</v>
      </c>
      <c r="E1188" s="476">
        <v>47232</v>
      </c>
      <c r="F1188" s="476">
        <v>47241</v>
      </c>
      <c r="G1188" s="476">
        <v>47251</v>
      </c>
      <c r="H1188" s="476">
        <v>47260</v>
      </c>
      <c r="I1188" s="476">
        <v>47270</v>
      </c>
      <c r="J1188" s="476">
        <v>47279</v>
      </c>
      <c r="K1188" s="476">
        <v>47289</v>
      </c>
    </row>
    <row r="1189" spans="1:11">
      <c r="A1189" s="479">
        <v>6784.5</v>
      </c>
      <c r="B1189" s="476">
        <v>47298</v>
      </c>
      <c r="C1189" s="476">
        <v>47308</v>
      </c>
      <c r="D1189" s="476">
        <v>47317</v>
      </c>
      <c r="E1189" s="476">
        <v>47326</v>
      </c>
      <c r="F1189" s="476">
        <v>47336</v>
      </c>
      <c r="G1189" s="476">
        <v>47345</v>
      </c>
      <c r="H1189" s="476">
        <v>47355</v>
      </c>
      <c r="I1189" s="476">
        <v>47364</v>
      </c>
      <c r="J1189" s="476">
        <v>47374</v>
      </c>
      <c r="K1189" s="476">
        <v>47383</v>
      </c>
    </row>
    <row r="1190" spans="1:11">
      <c r="A1190" s="479">
        <v>6784.6</v>
      </c>
      <c r="B1190" s="476">
        <v>47393</v>
      </c>
      <c r="C1190" s="476">
        <v>47402</v>
      </c>
      <c r="D1190" s="476">
        <v>47411</v>
      </c>
      <c r="E1190" s="476">
        <v>47421</v>
      </c>
      <c r="F1190" s="476">
        <v>47430</v>
      </c>
      <c r="G1190" s="476">
        <v>47440</v>
      </c>
      <c r="H1190" s="476">
        <v>47449</v>
      </c>
      <c r="I1190" s="476">
        <v>47459</v>
      </c>
      <c r="J1190" s="476">
        <v>47468</v>
      </c>
      <c r="K1190" s="476">
        <v>47478</v>
      </c>
    </row>
    <row r="1191" spans="1:11">
      <c r="A1191" s="479">
        <v>6784.7</v>
      </c>
      <c r="B1191" s="476">
        <v>47487</v>
      </c>
      <c r="C1191" s="476">
        <v>47496</v>
      </c>
      <c r="D1191" s="476">
        <v>47506</v>
      </c>
      <c r="E1191" s="476">
        <v>47515</v>
      </c>
      <c r="F1191" s="476">
        <v>47525</v>
      </c>
      <c r="G1191" s="476">
        <v>47534</v>
      </c>
      <c r="H1191" s="476">
        <v>47544</v>
      </c>
      <c r="I1191" s="476">
        <v>47553</v>
      </c>
      <c r="J1191" s="476">
        <v>47563</v>
      </c>
      <c r="K1191" s="476">
        <v>47572</v>
      </c>
    </row>
    <row r="1192" spans="1:11">
      <c r="A1192" s="479">
        <v>6784.8</v>
      </c>
      <c r="B1192" s="476">
        <v>47581</v>
      </c>
      <c r="C1192" s="476">
        <v>47591</v>
      </c>
      <c r="D1192" s="476">
        <v>47600</v>
      </c>
      <c r="E1192" s="476">
        <v>47610</v>
      </c>
      <c r="F1192" s="476">
        <v>47619</v>
      </c>
      <c r="G1192" s="476">
        <v>47629</v>
      </c>
      <c r="H1192" s="476">
        <v>47638</v>
      </c>
      <c r="I1192" s="476">
        <v>47648</v>
      </c>
      <c r="J1192" s="476">
        <v>47657</v>
      </c>
      <c r="K1192" s="476">
        <v>47666</v>
      </c>
    </row>
    <row r="1193" spans="1:11">
      <c r="A1193" s="479">
        <v>6784.9</v>
      </c>
      <c r="B1193" s="476">
        <v>47676</v>
      </c>
      <c r="C1193" s="476">
        <v>47685</v>
      </c>
      <c r="D1193" s="476">
        <v>47695</v>
      </c>
      <c r="E1193" s="476">
        <v>47704</v>
      </c>
      <c r="F1193" s="476">
        <v>47714</v>
      </c>
      <c r="G1193" s="476">
        <v>47723</v>
      </c>
      <c r="H1193" s="476">
        <v>47733</v>
      </c>
      <c r="I1193" s="476">
        <v>47742</v>
      </c>
      <c r="J1193" s="476">
        <v>47751</v>
      </c>
      <c r="K1193" s="476">
        <v>47761</v>
      </c>
    </row>
    <row r="1194" spans="1:11">
      <c r="A1194" s="479">
        <v>6785</v>
      </c>
      <c r="B1194" s="476">
        <v>47770</v>
      </c>
      <c r="C1194" s="476">
        <v>47780</v>
      </c>
      <c r="D1194" s="476">
        <v>47789</v>
      </c>
      <c r="E1194" s="476">
        <v>47799</v>
      </c>
      <c r="F1194" s="476">
        <v>67309</v>
      </c>
      <c r="G1194" s="476">
        <v>47818</v>
      </c>
      <c r="H1194" s="476">
        <v>47828</v>
      </c>
      <c r="I1194" s="476">
        <v>47837</v>
      </c>
      <c r="J1194" s="476">
        <v>47847</v>
      </c>
      <c r="K1194" s="476">
        <v>47856</v>
      </c>
    </row>
    <row r="1195" spans="1:11">
      <c r="A1195" s="479">
        <v>6785.1</v>
      </c>
      <c r="B1195" s="476">
        <v>47866</v>
      </c>
      <c r="C1195" s="476">
        <v>47876</v>
      </c>
      <c r="D1195" s="476">
        <v>47885</v>
      </c>
      <c r="E1195" s="476">
        <v>47895</v>
      </c>
      <c r="F1195" s="476">
        <v>47904</v>
      </c>
      <c r="G1195" s="476">
        <v>47914</v>
      </c>
      <c r="H1195" s="476">
        <v>47923</v>
      </c>
      <c r="I1195" s="476">
        <v>47933</v>
      </c>
      <c r="J1195" s="476">
        <v>47943</v>
      </c>
      <c r="K1195" s="476">
        <v>47952</v>
      </c>
    </row>
    <row r="1196" spans="1:11">
      <c r="A1196" s="479">
        <v>6785.2</v>
      </c>
      <c r="B1196" s="476">
        <v>47962</v>
      </c>
      <c r="C1196" s="476">
        <v>47971</v>
      </c>
      <c r="D1196" s="476">
        <v>47981</v>
      </c>
      <c r="E1196" s="476">
        <v>47991</v>
      </c>
      <c r="F1196" s="476">
        <v>43000</v>
      </c>
      <c r="G1196" s="476">
        <v>48010</v>
      </c>
      <c r="H1196" s="476">
        <v>48019</v>
      </c>
      <c r="I1196" s="476">
        <v>48029</v>
      </c>
      <c r="J1196" s="476">
        <v>48038</v>
      </c>
      <c r="K1196" s="476">
        <v>48048</v>
      </c>
    </row>
    <row r="1197" spans="1:11">
      <c r="A1197" s="479">
        <v>6785.3</v>
      </c>
      <c r="B1197" s="476">
        <v>48058</v>
      </c>
      <c r="C1197" s="476">
        <v>48067</v>
      </c>
      <c r="D1197" s="476">
        <v>48077</v>
      </c>
      <c r="E1197" s="476">
        <v>48086</v>
      </c>
      <c r="F1197" s="476">
        <v>48096</v>
      </c>
      <c r="G1197" s="476">
        <v>48105</v>
      </c>
      <c r="H1197" s="476">
        <v>48115</v>
      </c>
      <c r="I1197" s="476">
        <v>48125</v>
      </c>
      <c r="J1197" s="476">
        <v>48134</v>
      </c>
      <c r="K1197" s="476">
        <v>48144</v>
      </c>
    </row>
    <row r="1198" spans="1:11">
      <c r="A1198" s="479">
        <v>6785.4</v>
      </c>
      <c r="B1198" s="476">
        <v>48153</v>
      </c>
      <c r="C1198" s="476">
        <v>48163</v>
      </c>
      <c r="D1198" s="476">
        <v>48172</v>
      </c>
      <c r="E1198" s="476">
        <v>48182</v>
      </c>
      <c r="F1198" s="476">
        <v>48192</v>
      </c>
      <c r="G1198" s="476">
        <v>48201</v>
      </c>
      <c r="H1198" s="476">
        <v>48211</v>
      </c>
      <c r="I1198" s="476">
        <v>48220</v>
      </c>
      <c r="J1198" s="476">
        <v>48230</v>
      </c>
      <c r="K1198" s="476">
        <v>48239</v>
      </c>
    </row>
    <row r="1199" spans="1:11">
      <c r="A1199" s="479">
        <v>6785.5</v>
      </c>
      <c r="B1199" s="476">
        <v>48249</v>
      </c>
      <c r="C1199" s="476">
        <v>48259</v>
      </c>
      <c r="D1199" s="476">
        <v>48268</v>
      </c>
      <c r="E1199" s="476">
        <v>48278</v>
      </c>
      <c r="F1199" s="476">
        <v>48287</v>
      </c>
      <c r="G1199" s="476">
        <v>48297</v>
      </c>
      <c r="H1199" s="476">
        <v>48306</v>
      </c>
      <c r="I1199" s="476">
        <v>48316</v>
      </c>
      <c r="J1199" s="476">
        <v>48326</v>
      </c>
      <c r="K1199" s="476">
        <v>48335</v>
      </c>
    </row>
    <row r="1200" spans="1:11">
      <c r="A1200" s="479">
        <v>6785.6</v>
      </c>
      <c r="B1200" s="476">
        <v>48345</v>
      </c>
      <c r="C1200" s="476">
        <v>48354</v>
      </c>
      <c r="D1200" s="476">
        <v>48364</v>
      </c>
      <c r="E1200" s="476">
        <v>48374</v>
      </c>
      <c r="F1200" s="476">
        <v>48383</v>
      </c>
      <c r="G1200" s="476">
        <v>48393</v>
      </c>
      <c r="H1200" s="476">
        <v>48402</v>
      </c>
      <c r="I1200" s="476">
        <v>48412</v>
      </c>
      <c r="J1200" s="476">
        <v>48421</v>
      </c>
      <c r="K1200" s="476">
        <v>48431</v>
      </c>
    </row>
    <row r="1201" spans="1:11">
      <c r="A1201" s="479">
        <v>6785.7</v>
      </c>
      <c r="B1201" s="476">
        <v>48441</v>
      </c>
      <c r="C1201" s="476">
        <v>48450</v>
      </c>
      <c r="D1201" s="476">
        <v>48460</v>
      </c>
      <c r="E1201" s="476">
        <v>48469</v>
      </c>
      <c r="F1201" s="476">
        <v>48479</v>
      </c>
      <c r="G1201" s="476">
        <v>48488</v>
      </c>
      <c r="H1201" s="476">
        <v>48498</v>
      </c>
      <c r="I1201" s="476">
        <v>48508</v>
      </c>
      <c r="J1201" s="476">
        <v>48517</v>
      </c>
      <c r="K1201" s="476">
        <v>48527</v>
      </c>
    </row>
    <row r="1202" spans="1:11">
      <c r="A1202" s="479">
        <v>6785.8</v>
      </c>
      <c r="B1202" s="476">
        <v>48536</v>
      </c>
      <c r="C1202" s="476">
        <v>48546</v>
      </c>
      <c r="D1202" s="476">
        <v>48555</v>
      </c>
      <c r="E1202" s="476">
        <v>48565</v>
      </c>
      <c r="F1202" s="476">
        <v>48575</v>
      </c>
      <c r="G1202" s="476">
        <v>48584</v>
      </c>
      <c r="H1202" s="476">
        <v>48594</v>
      </c>
      <c r="I1202" s="476">
        <v>48603</v>
      </c>
      <c r="J1202" s="476">
        <v>48613</v>
      </c>
      <c r="K1202" s="476">
        <v>48622</v>
      </c>
    </row>
    <row r="1203" spans="1:11">
      <c r="A1203" s="479">
        <v>6785.9</v>
      </c>
      <c r="B1203" s="476">
        <v>48632</v>
      </c>
      <c r="C1203" s="476">
        <v>48642</v>
      </c>
      <c r="D1203" s="476">
        <v>48651</v>
      </c>
      <c r="E1203" s="476">
        <v>48661</v>
      </c>
      <c r="F1203" s="476">
        <v>48670</v>
      </c>
      <c r="G1203" s="476">
        <v>48680</v>
      </c>
      <c r="H1203" s="476">
        <v>48689</v>
      </c>
      <c r="I1203" s="476">
        <v>48699</v>
      </c>
      <c r="J1203" s="476">
        <v>48709</v>
      </c>
      <c r="K1203" s="476">
        <v>48718</v>
      </c>
    </row>
    <row r="1204" spans="1:11">
      <c r="A1204" s="479">
        <v>6786</v>
      </c>
      <c r="B1204" s="476">
        <v>48728</v>
      </c>
      <c r="C1204" s="476">
        <v>48738</v>
      </c>
      <c r="D1204" s="476">
        <v>48747</v>
      </c>
      <c r="E1204" s="476">
        <v>48757</v>
      </c>
      <c r="F1204" s="476">
        <v>48767</v>
      </c>
      <c r="G1204" s="476">
        <v>48776</v>
      </c>
      <c r="H1204" s="476">
        <v>48786</v>
      </c>
      <c r="I1204" s="476">
        <v>48796</v>
      </c>
      <c r="J1204" s="476">
        <v>48805</v>
      </c>
      <c r="K1204" s="476">
        <v>48815</v>
      </c>
    </row>
    <row r="1205" spans="1:11">
      <c r="A1205" s="479">
        <v>6786.1</v>
      </c>
      <c r="B1205" s="476">
        <v>48825</v>
      </c>
      <c r="C1205" s="476">
        <v>48835</v>
      </c>
      <c r="D1205" s="476">
        <v>48844</v>
      </c>
      <c r="E1205" s="476">
        <v>48854</v>
      </c>
      <c r="F1205" s="476">
        <v>48864</v>
      </c>
      <c r="G1205" s="476">
        <v>48873</v>
      </c>
      <c r="H1205" s="476">
        <v>48883</v>
      </c>
      <c r="I1205" s="476">
        <v>48893</v>
      </c>
      <c r="J1205" s="476">
        <v>48902</v>
      </c>
      <c r="K1205" s="476">
        <v>48912</v>
      </c>
    </row>
    <row r="1206" spans="1:11">
      <c r="A1206" s="479">
        <v>6786.2</v>
      </c>
      <c r="B1206" s="476">
        <v>48922</v>
      </c>
      <c r="C1206" s="476">
        <v>48932</v>
      </c>
      <c r="D1206" s="476">
        <v>48941</v>
      </c>
      <c r="E1206" s="476">
        <v>48951</v>
      </c>
      <c r="F1206" s="476">
        <v>48961</v>
      </c>
      <c r="G1206" s="476">
        <v>48970</v>
      </c>
      <c r="H1206" s="476">
        <v>48980</v>
      </c>
      <c r="I1206" s="476">
        <v>48990</v>
      </c>
      <c r="J1206" s="476">
        <v>49000</v>
      </c>
      <c r="K1206" s="476">
        <v>49009</v>
      </c>
    </row>
    <row r="1207" spans="1:11">
      <c r="A1207" s="479">
        <v>6786.3</v>
      </c>
      <c r="B1207" s="476">
        <v>49019</v>
      </c>
      <c r="C1207" s="476">
        <v>49029</v>
      </c>
      <c r="D1207" s="476">
        <v>49038</v>
      </c>
      <c r="E1207" s="476">
        <v>49048</v>
      </c>
      <c r="F1207" s="476">
        <v>49058</v>
      </c>
      <c r="G1207" s="476">
        <v>49067</v>
      </c>
      <c r="H1207" s="476">
        <v>49077</v>
      </c>
      <c r="I1207" s="476">
        <v>49087</v>
      </c>
      <c r="J1207" s="476">
        <v>49097</v>
      </c>
      <c r="K1207" s="476">
        <v>49106</v>
      </c>
    </row>
    <row r="1208" spans="1:11">
      <c r="A1208" s="479">
        <v>6786.4</v>
      </c>
      <c r="B1208" s="476">
        <v>49116</v>
      </c>
      <c r="C1208" s="476">
        <v>49126</v>
      </c>
      <c r="D1208" s="476">
        <v>49135</v>
      </c>
      <c r="E1208" s="476">
        <v>49145</v>
      </c>
      <c r="F1208" s="476">
        <v>49155</v>
      </c>
      <c r="G1208" s="476">
        <v>49164</v>
      </c>
      <c r="H1208" s="476">
        <v>49174</v>
      </c>
      <c r="I1208" s="476">
        <v>49184</v>
      </c>
      <c r="J1208" s="476">
        <v>49194</v>
      </c>
      <c r="K1208" s="476">
        <v>49203</v>
      </c>
    </row>
    <row r="1209" spans="1:11">
      <c r="A1209" s="479">
        <v>6786.5</v>
      </c>
      <c r="B1209" s="476">
        <v>49213</v>
      </c>
      <c r="C1209" s="476">
        <v>49223</v>
      </c>
      <c r="D1209" s="476">
        <v>49232</v>
      </c>
      <c r="E1209" s="476">
        <v>49242</v>
      </c>
      <c r="F1209" s="476">
        <v>49252</v>
      </c>
      <c r="G1209" s="476">
        <v>49262</v>
      </c>
      <c r="H1209" s="476">
        <v>49271</v>
      </c>
      <c r="I1209" s="476">
        <v>49281</v>
      </c>
      <c r="J1209" s="476">
        <v>49291</v>
      </c>
      <c r="K1209" s="476">
        <v>49300</v>
      </c>
    </row>
    <row r="1210" spans="1:11">
      <c r="A1210" s="479">
        <v>6786.6</v>
      </c>
      <c r="B1210" s="476">
        <v>49310</v>
      </c>
      <c r="C1210" s="476">
        <v>49320</v>
      </c>
      <c r="D1210" s="476">
        <v>49329</v>
      </c>
      <c r="E1210" s="476">
        <v>49339</v>
      </c>
      <c r="F1210" s="476">
        <v>49349</v>
      </c>
      <c r="G1210" s="476">
        <v>49359</v>
      </c>
      <c r="H1210" s="476">
        <v>49368</v>
      </c>
      <c r="I1210" s="476">
        <v>49378</v>
      </c>
      <c r="J1210" s="476">
        <v>49388</v>
      </c>
      <c r="K1210" s="476">
        <v>49391</v>
      </c>
    </row>
    <row r="1211" spans="1:11">
      <c r="A1211" s="479">
        <v>6786.7</v>
      </c>
      <c r="B1211" s="476">
        <v>49407</v>
      </c>
      <c r="C1211" s="476">
        <v>49417</v>
      </c>
      <c r="D1211" s="476">
        <v>49426</v>
      </c>
      <c r="E1211" s="476">
        <v>49436</v>
      </c>
      <c r="F1211" s="476">
        <v>49446</v>
      </c>
      <c r="G1211" s="476">
        <v>49456</v>
      </c>
      <c r="H1211" s="476">
        <v>49465</v>
      </c>
      <c r="I1211" s="476">
        <v>49475</v>
      </c>
      <c r="J1211" s="476">
        <v>49485</v>
      </c>
      <c r="K1211" s="476">
        <v>49494</v>
      </c>
    </row>
    <row r="1212" spans="1:11">
      <c r="A1212" s="479">
        <v>6786.8</v>
      </c>
      <c r="B1212" s="476">
        <v>49504</v>
      </c>
      <c r="C1212" s="476">
        <v>49514</v>
      </c>
      <c r="D1212" s="476">
        <v>49524</v>
      </c>
      <c r="E1212" s="476">
        <v>49533</v>
      </c>
      <c r="F1212" s="476">
        <v>49543</v>
      </c>
      <c r="G1212" s="476">
        <v>49553</v>
      </c>
      <c r="H1212" s="476">
        <v>49562</v>
      </c>
      <c r="I1212" s="476">
        <v>49572</v>
      </c>
      <c r="J1212" s="476">
        <v>49582</v>
      </c>
      <c r="K1212" s="476">
        <v>49591</v>
      </c>
    </row>
    <row r="1213" spans="1:11">
      <c r="A1213" s="479">
        <v>6786.9</v>
      </c>
      <c r="B1213" s="476">
        <v>49601</v>
      </c>
      <c r="C1213" s="476">
        <v>49611</v>
      </c>
      <c r="D1213" s="476">
        <v>49621</v>
      </c>
      <c r="E1213" s="476">
        <v>49630</v>
      </c>
      <c r="F1213" s="476">
        <v>49640</v>
      </c>
      <c r="G1213" s="476">
        <v>49650</v>
      </c>
      <c r="H1213" s="476">
        <v>49659</v>
      </c>
      <c r="I1213" s="476">
        <v>49669</v>
      </c>
      <c r="J1213" s="476">
        <v>49679</v>
      </c>
      <c r="K1213" s="476">
        <v>49698</v>
      </c>
    </row>
    <row r="1214" spans="1:11">
      <c r="A1214" s="479">
        <v>6787</v>
      </c>
      <c r="B1214" s="476">
        <v>49698</v>
      </c>
      <c r="C1214" s="476">
        <v>49708</v>
      </c>
      <c r="D1214" s="476">
        <v>49718</v>
      </c>
      <c r="E1214" s="476">
        <v>49728</v>
      </c>
      <c r="F1214" s="476">
        <v>49738</v>
      </c>
      <c r="G1214" s="476">
        <v>49747</v>
      </c>
      <c r="H1214" s="476">
        <v>49757</v>
      </c>
      <c r="I1214" s="476">
        <v>49767</v>
      </c>
      <c r="J1214" s="476">
        <v>49777</v>
      </c>
      <c r="K1214" s="476">
        <v>49727</v>
      </c>
    </row>
    <row r="1215" spans="1:11">
      <c r="A1215" s="479">
        <v>6787.1</v>
      </c>
      <c r="B1215" s="476">
        <v>49796</v>
      </c>
      <c r="C1215" s="476">
        <v>49806</v>
      </c>
      <c r="D1215" s="476">
        <v>49816</v>
      </c>
      <c r="E1215" s="476">
        <v>49826</v>
      </c>
      <c r="F1215" s="476">
        <v>49836</v>
      </c>
      <c r="G1215" s="476">
        <v>49846</v>
      </c>
      <c r="H1215" s="476">
        <v>49855</v>
      </c>
      <c r="I1215" s="476">
        <v>49865</v>
      </c>
      <c r="J1215" s="476">
        <v>49875</v>
      </c>
      <c r="K1215" s="476">
        <v>49595</v>
      </c>
    </row>
    <row r="1216" spans="1:11">
      <c r="A1216" s="479">
        <v>6787.2</v>
      </c>
      <c r="B1216" s="476">
        <v>49895</v>
      </c>
      <c r="C1216" s="476">
        <v>49905</v>
      </c>
      <c r="D1216" s="476">
        <v>49914</v>
      </c>
      <c r="E1216" s="476">
        <v>49924</v>
      </c>
      <c r="F1216" s="476">
        <v>49934</v>
      </c>
      <c r="G1216" s="476">
        <v>49944</v>
      </c>
      <c r="H1216" s="476">
        <v>49954</v>
      </c>
      <c r="I1216" s="476">
        <v>49964</v>
      </c>
      <c r="J1216" s="476">
        <v>49973</v>
      </c>
      <c r="K1216" s="476">
        <v>49955</v>
      </c>
    </row>
    <row r="1217" spans="1:11">
      <c r="A1217" s="479">
        <v>6787.3</v>
      </c>
      <c r="B1217" s="476">
        <v>49993</v>
      </c>
      <c r="C1217" s="476">
        <v>50003</v>
      </c>
      <c r="D1217" s="476">
        <v>50013</v>
      </c>
      <c r="E1217" s="476">
        <v>50023</v>
      </c>
      <c r="F1217" s="476">
        <v>50032</v>
      </c>
      <c r="G1217" s="476">
        <v>50042</v>
      </c>
      <c r="H1217" s="476">
        <v>50052</v>
      </c>
      <c r="I1217" s="476">
        <v>50062</v>
      </c>
      <c r="J1217" s="476">
        <v>50072</v>
      </c>
      <c r="K1217" s="476">
        <v>50092</v>
      </c>
    </row>
    <row r="1218" spans="1:11">
      <c r="A1218" s="479">
        <v>6787.4</v>
      </c>
      <c r="B1218" s="476">
        <v>50091</v>
      </c>
      <c r="C1218" s="476">
        <v>50101</v>
      </c>
      <c r="D1218" s="476">
        <v>50111</v>
      </c>
      <c r="E1218" s="476">
        <v>50121</v>
      </c>
      <c r="F1218" s="476">
        <v>50131</v>
      </c>
      <c r="G1218" s="476">
        <v>50141</v>
      </c>
      <c r="H1218" s="476">
        <v>50150</v>
      </c>
      <c r="I1218" s="476">
        <v>50160</v>
      </c>
      <c r="J1218" s="476">
        <v>50170</v>
      </c>
      <c r="K1218" s="476">
        <v>50190</v>
      </c>
    </row>
    <row r="1219" spans="1:11">
      <c r="A1219" s="479">
        <v>6787.5</v>
      </c>
      <c r="B1219" s="476">
        <v>50190</v>
      </c>
      <c r="C1219" s="476">
        <v>50200</v>
      </c>
      <c r="D1219" s="476">
        <v>50209</v>
      </c>
      <c r="E1219" s="476">
        <v>50219</v>
      </c>
      <c r="F1219" s="476">
        <v>50229</v>
      </c>
      <c r="G1219" s="476">
        <v>50239</v>
      </c>
      <c r="H1219" s="476">
        <v>50249</v>
      </c>
      <c r="I1219" s="476">
        <v>50259</v>
      </c>
      <c r="J1219" s="476">
        <v>50268</v>
      </c>
      <c r="K1219" s="476">
        <v>50278</v>
      </c>
    </row>
    <row r="1220" spans="1:11">
      <c r="A1220" s="479">
        <v>6787.6</v>
      </c>
      <c r="B1220" s="476">
        <v>50288</v>
      </c>
      <c r="C1220" s="476">
        <v>50298</v>
      </c>
      <c r="D1220" s="476">
        <v>50308</v>
      </c>
      <c r="E1220" s="476">
        <v>50318</v>
      </c>
      <c r="F1220" s="476">
        <v>50327</v>
      </c>
      <c r="G1220" s="476">
        <v>50337</v>
      </c>
      <c r="H1220" s="476">
        <v>50347</v>
      </c>
      <c r="I1220" s="476">
        <v>50357</v>
      </c>
      <c r="J1220" s="476">
        <v>50367</v>
      </c>
      <c r="K1220" s="476">
        <v>50377</v>
      </c>
    </row>
    <row r="1221" spans="1:11">
      <c r="A1221" s="479">
        <v>6787.7</v>
      </c>
      <c r="B1221" s="476">
        <v>50386</v>
      </c>
      <c r="C1221" s="476">
        <v>50396</v>
      </c>
      <c r="D1221" s="476">
        <v>50406</v>
      </c>
      <c r="E1221" s="476">
        <v>50416</v>
      </c>
      <c r="F1221" s="476">
        <v>50426</v>
      </c>
      <c r="G1221" s="476">
        <v>50436</v>
      </c>
      <c r="H1221" s="476">
        <v>50445</v>
      </c>
      <c r="I1221" s="476">
        <v>50455</v>
      </c>
      <c r="J1221" s="476">
        <v>50465</v>
      </c>
      <c r="K1221" s="476">
        <v>50475</v>
      </c>
    </row>
    <row r="1222" spans="1:11">
      <c r="A1222" s="479">
        <v>6787.8</v>
      </c>
      <c r="B1222" s="476">
        <v>50485</v>
      </c>
      <c r="C1222" s="476">
        <v>50494</v>
      </c>
      <c r="D1222" s="476">
        <v>50504</v>
      </c>
      <c r="E1222" s="476">
        <v>50514</v>
      </c>
      <c r="F1222" s="476">
        <v>50524</v>
      </c>
      <c r="G1222" s="476">
        <v>50534</v>
      </c>
      <c r="H1222" s="476">
        <v>50544</v>
      </c>
      <c r="I1222" s="476">
        <v>50553</v>
      </c>
      <c r="J1222" s="476">
        <v>50563</v>
      </c>
      <c r="K1222" s="476">
        <v>50573</v>
      </c>
    </row>
    <row r="1223" spans="1:11">
      <c r="A1223" s="479">
        <v>6787.9</v>
      </c>
      <c r="B1223" s="476">
        <v>50583</v>
      </c>
      <c r="C1223" s="476">
        <v>50593</v>
      </c>
      <c r="D1223" s="476">
        <v>50603</v>
      </c>
      <c r="E1223" s="476">
        <v>50612</v>
      </c>
      <c r="F1223" s="476">
        <v>50622</v>
      </c>
      <c r="G1223" s="476">
        <v>50632</v>
      </c>
      <c r="H1223" s="476">
        <v>50642</v>
      </c>
      <c r="I1223" s="476">
        <v>50652</v>
      </c>
      <c r="J1223" s="476">
        <v>50662</v>
      </c>
      <c r="K1223" s="476">
        <v>50671</v>
      </c>
    </row>
    <row r="1224" spans="1:11">
      <c r="A1224" s="479">
        <v>6788</v>
      </c>
      <c r="B1224" s="476">
        <v>50681</v>
      </c>
      <c r="C1224" s="476">
        <v>50691</v>
      </c>
      <c r="D1224" s="476">
        <v>50701</v>
      </c>
      <c r="E1224" s="476">
        <v>50711</v>
      </c>
      <c r="F1224" s="476">
        <v>50721</v>
      </c>
      <c r="G1224" s="476">
        <v>50731</v>
      </c>
      <c r="H1224" s="476">
        <v>50741</v>
      </c>
      <c r="I1224" s="476">
        <v>50751</v>
      </c>
      <c r="J1224" s="476">
        <v>50761</v>
      </c>
      <c r="K1224" s="476">
        <v>50771</v>
      </c>
    </row>
    <row r="1225" spans="1:11">
      <c r="A1225" s="479">
        <v>6788.1</v>
      </c>
      <c r="B1225" s="476">
        <v>50781</v>
      </c>
      <c r="C1225" s="476">
        <v>50791</v>
      </c>
      <c r="D1225" s="476">
        <v>50801</v>
      </c>
      <c r="E1225" s="476">
        <v>50811</v>
      </c>
      <c r="F1225" s="476">
        <v>50821</v>
      </c>
      <c r="G1225" s="476">
        <v>50831</v>
      </c>
      <c r="H1225" s="476">
        <v>50841</v>
      </c>
      <c r="I1225" s="476">
        <v>50851</v>
      </c>
      <c r="J1225" s="476">
        <v>50860</v>
      </c>
      <c r="K1225" s="476">
        <v>50870</v>
      </c>
    </row>
    <row r="1226" spans="1:11">
      <c r="A1226" s="479">
        <v>6788.2</v>
      </c>
      <c r="B1226" s="476">
        <v>50880</v>
      </c>
      <c r="C1226" s="476">
        <v>50890</v>
      </c>
      <c r="D1226" s="476">
        <v>50900</v>
      </c>
      <c r="E1226" s="476">
        <v>50910</v>
      </c>
      <c r="F1226" s="476">
        <v>50920</v>
      </c>
      <c r="G1226" s="476">
        <v>50930</v>
      </c>
      <c r="H1226" s="476">
        <v>50940</v>
      </c>
      <c r="I1226" s="476">
        <v>50950</v>
      </c>
      <c r="J1226" s="476">
        <v>50960</v>
      </c>
      <c r="K1226" s="476">
        <v>50970</v>
      </c>
    </row>
    <row r="1227" spans="1:11">
      <c r="A1227" s="479">
        <v>6788.3</v>
      </c>
      <c r="B1227" s="476">
        <v>50980</v>
      </c>
      <c r="C1227" s="476">
        <v>50990</v>
      </c>
      <c r="D1227" s="476">
        <v>51000</v>
      </c>
      <c r="E1227" s="476">
        <v>51010</v>
      </c>
      <c r="F1227" s="476">
        <v>51020</v>
      </c>
      <c r="G1227" s="476">
        <v>51030</v>
      </c>
      <c r="H1227" s="476">
        <v>51040</v>
      </c>
      <c r="I1227" s="476">
        <v>51050</v>
      </c>
      <c r="J1227" s="476">
        <v>51060</v>
      </c>
      <c r="K1227" s="476">
        <v>51070</v>
      </c>
    </row>
    <row r="1228" spans="1:11">
      <c r="A1228" s="479">
        <v>6788.4</v>
      </c>
      <c r="B1228" s="476">
        <v>51080</v>
      </c>
      <c r="C1228" s="476">
        <v>51089</v>
      </c>
      <c r="D1228" s="476">
        <v>51099</v>
      </c>
      <c r="E1228" s="476">
        <v>51109</v>
      </c>
      <c r="F1228" s="476">
        <v>51119</v>
      </c>
      <c r="G1228" s="476">
        <v>51129</v>
      </c>
      <c r="H1228" s="476">
        <v>51139</v>
      </c>
      <c r="I1228" s="476">
        <v>51149</v>
      </c>
      <c r="J1228" s="476">
        <v>51159</v>
      </c>
      <c r="K1228" s="476">
        <v>51169</v>
      </c>
    </row>
    <row r="1229" spans="1:11">
      <c r="A1229" s="479">
        <v>6788.5</v>
      </c>
      <c r="B1229" s="476">
        <v>51179</v>
      </c>
      <c r="C1229" s="476">
        <v>51189</v>
      </c>
      <c r="D1229" s="476">
        <v>51199</v>
      </c>
      <c r="E1229" s="476">
        <v>51209</v>
      </c>
      <c r="F1229" s="476">
        <v>51219</v>
      </c>
      <c r="G1229" s="476">
        <v>51229</v>
      </c>
      <c r="H1229" s="476">
        <v>51239</v>
      </c>
      <c r="I1229" s="476">
        <v>51249</v>
      </c>
      <c r="J1229" s="476">
        <v>51259</v>
      </c>
      <c r="K1229" s="476">
        <v>51269</v>
      </c>
    </row>
    <row r="1230" spans="1:11">
      <c r="A1230" s="479">
        <v>6788.6</v>
      </c>
      <c r="B1230" s="476">
        <v>51279</v>
      </c>
      <c r="C1230" s="476">
        <v>51289</v>
      </c>
      <c r="D1230" s="476">
        <v>51299</v>
      </c>
      <c r="E1230" s="476">
        <v>51308</v>
      </c>
      <c r="F1230" s="476">
        <v>51318</v>
      </c>
      <c r="G1230" s="476">
        <v>51328</v>
      </c>
      <c r="H1230" s="476">
        <v>51338</v>
      </c>
      <c r="I1230" s="476">
        <v>51348</v>
      </c>
      <c r="J1230" s="476">
        <v>51358</v>
      </c>
      <c r="K1230" s="476">
        <v>51368</v>
      </c>
    </row>
    <row r="1231" spans="1:11">
      <c r="A1231" s="479">
        <v>6788.7</v>
      </c>
      <c r="B1231" s="476">
        <v>51378</v>
      </c>
      <c r="C1231" s="476">
        <v>51388</v>
      </c>
      <c r="D1231" s="476">
        <v>51398</v>
      </c>
      <c r="E1231" s="476">
        <v>51408</v>
      </c>
      <c r="F1231" s="476">
        <v>51418</v>
      </c>
      <c r="G1231" s="476">
        <v>51428</v>
      </c>
      <c r="H1231" s="476">
        <v>51438</v>
      </c>
      <c r="I1231" s="476">
        <v>51448</v>
      </c>
      <c r="J1231" s="476">
        <v>51458</v>
      </c>
      <c r="K1231" s="476">
        <v>51468</v>
      </c>
    </row>
    <row r="1232" spans="1:11">
      <c r="A1232" s="479">
        <v>6788.8</v>
      </c>
      <c r="B1232" s="476">
        <v>51478</v>
      </c>
      <c r="C1232" s="476">
        <v>51488</v>
      </c>
      <c r="D1232" s="476">
        <v>51498</v>
      </c>
      <c r="E1232" s="476">
        <v>51508</v>
      </c>
      <c r="F1232" s="476">
        <v>51518</v>
      </c>
      <c r="G1232" s="476">
        <v>51528</v>
      </c>
      <c r="H1232" s="476">
        <v>51537</v>
      </c>
      <c r="I1232" s="476">
        <v>51547</v>
      </c>
      <c r="J1232" s="476">
        <v>51557</v>
      </c>
      <c r="K1232" s="476">
        <v>51567</v>
      </c>
    </row>
    <row r="1233" spans="1:11">
      <c r="A1233" s="479">
        <v>6788.9</v>
      </c>
      <c r="B1233" s="476">
        <v>51577</v>
      </c>
      <c r="C1233" s="476">
        <v>51587</v>
      </c>
      <c r="D1233" s="476">
        <v>51597</v>
      </c>
      <c r="E1233" s="476">
        <v>51607</v>
      </c>
      <c r="F1233" s="476">
        <v>51617</v>
      </c>
      <c r="G1233" s="476">
        <v>51627</v>
      </c>
      <c r="H1233" s="476">
        <v>51637</v>
      </c>
      <c r="I1233" s="476">
        <v>51647</v>
      </c>
      <c r="J1233" s="476">
        <v>51657</v>
      </c>
      <c r="K1233" s="476">
        <v>51667</v>
      </c>
    </row>
    <row r="1234" spans="1:11">
      <c r="A1234" s="479">
        <v>6789</v>
      </c>
      <c r="B1234" s="476">
        <v>51677</v>
      </c>
      <c r="C1234" s="476">
        <v>51687</v>
      </c>
      <c r="D1234" s="476">
        <v>51697</v>
      </c>
      <c r="E1234" s="476">
        <v>51707</v>
      </c>
      <c r="F1234" s="476">
        <v>51717</v>
      </c>
      <c r="G1234" s="476">
        <v>51727</v>
      </c>
      <c r="H1234" s="476">
        <v>51737</v>
      </c>
      <c r="I1234" s="476">
        <v>51747</v>
      </c>
      <c r="J1234" s="476">
        <v>51757</v>
      </c>
      <c r="K1234" s="476">
        <v>51768</v>
      </c>
    </row>
    <row r="1235" spans="1:11">
      <c r="A1235" s="479">
        <v>6789.1</v>
      </c>
      <c r="B1235" s="476">
        <v>51778</v>
      </c>
      <c r="C1235" s="476">
        <v>51788</v>
      </c>
      <c r="D1235" s="476">
        <v>51798</v>
      </c>
      <c r="E1235" s="476">
        <v>51808</v>
      </c>
      <c r="F1235" s="476">
        <v>51818</v>
      </c>
      <c r="G1235" s="476">
        <v>51828</v>
      </c>
      <c r="H1235" s="476">
        <v>51838</v>
      </c>
      <c r="I1235" s="476">
        <v>51848</v>
      </c>
      <c r="J1235" s="476">
        <v>51858</v>
      </c>
      <c r="K1235" s="476">
        <v>51868</v>
      </c>
    </row>
    <row r="1236" spans="1:11">
      <c r="A1236" s="479">
        <v>6789.2</v>
      </c>
      <c r="B1236" s="476">
        <v>51878</v>
      </c>
      <c r="C1236" s="476">
        <v>51889</v>
      </c>
      <c r="D1236" s="476">
        <v>51899</v>
      </c>
      <c r="E1236" s="476">
        <v>51909</v>
      </c>
      <c r="F1236" s="476">
        <v>51919</v>
      </c>
      <c r="G1236" s="476">
        <v>51929</v>
      </c>
      <c r="H1236" s="476">
        <v>51939</v>
      </c>
      <c r="I1236" s="476">
        <v>51949</v>
      </c>
      <c r="J1236" s="476">
        <v>51959</v>
      </c>
      <c r="K1236" s="476">
        <v>51969</v>
      </c>
    </row>
    <row r="1237" spans="1:11">
      <c r="A1237" s="479">
        <v>6789.3</v>
      </c>
      <c r="B1237" s="476">
        <v>51979</v>
      </c>
      <c r="C1237" s="476">
        <v>51989</v>
      </c>
      <c r="D1237" s="476">
        <v>51999</v>
      </c>
      <c r="E1237" s="476">
        <v>52009</v>
      </c>
      <c r="F1237" s="476">
        <v>52020</v>
      </c>
      <c r="G1237" s="476">
        <v>52030</v>
      </c>
      <c r="H1237" s="476">
        <v>52040</v>
      </c>
      <c r="I1237" s="476">
        <v>52050</v>
      </c>
      <c r="J1237" s="476">
        <v>52060</v>
      </c>
      <c r="K1237" s="476">
        <v>52070</v>
      </c>
    </row>
    <row r="1238" spans="1:11">
      <c r="A1238" s="479">
        <v>6789.4</v>
      </c>
      <c r="B1238" s="476">
        <v>52080</v>
      </c>
      <c r="C1238" s="476">
        <v>52090</v>
      </c>
      <c r="D1238" s="476">
        <v>52100</v>
      </c>
      <c r="E1238" s="476">
        <v>52110</v>
      </c>
      <c r="F1238" s="476">
        <v>52120</v>
      </c>
      <c r="G1238" s="476">
        <v>52130</v>
      </c>
      <c r="H1238" s="476">
        <v>52140</v>
      </c>
      <c r="I1238" s="476">
        <v>52151</v>
      </c>
      <c r="J1238" s="476">
        <v>52161</v>
      </c>
      <c r="K1238" s="476">
        <v>52171</v>
      </c>
    </row>
    <row r="1239" spans="1:11">
      <c r="A1239" s="479">
        <v>6789.5</v>
      </c>
      <c r="B1239" s="476">
        <v>52181</v>
      </c>
      <c r="C1239" s="476">
        <v>52191</v>
      </c>
      <c r="D1239" s="476">
        <v>52201</v>
      </c>
      <c r="E1239" s="476">
        <v>52211</v>
      </c>
      <c r="F1239" s="476">
        <v>52221</v>
      </c>
      <c r="G1239" s="476">
        <v>52231</v>
      </c>
      <c r="H1239" s="476">
        <v>52241</v>
      </c>
      <c r="I1239" s="476">
        <v>52251</v>
      </c>
      <c r="J1239" s="476">
        <v>52261</v>
      </c>
      <c r="K1239" s="476">
        <v>52272</v>
      </c>
    </row>
    <row r="1240" spans="1:11">
      <c r="A1240" s="479">
        <v>6789.6</v>
      </c>
      <c r="B1240" s="476">
        <v>52282</v>
      </c>
      <c r="C1240" s="476">
        <v>52292</v>
      </c>
      <c r="D1240" s="476">
        <v>52302</v>
      </c>
      <c r="E1240" s="476">
        <v>52312</v>
      </c>
      <c r="F1240" s="476">
        <v>52322</v>
      </c>
      <c r="G1240" s="476">
        <v>52332</v>
      </c>
      <c r="H1240" s="476">
        <v>52342</v>
      </c>
      <c r="I1240" s="476">
        <v>52352</v>
      </c>
      <c r="J1240" s="476">
        <v>52362</v>
      </c>
      <c r="K1240" s="476">
        <v>52372</v>
      </c>
    </row>
    <row r="1241" spans="1:11">
      <c r="A1241" s="479">
        <v>6789.7</v>
      </c>
      <c r="B1241" s="476">
        <v>52382</v>
      </c>
      <c r="C1241" s="476">
        <v>52392</v>
      </c>
      <c r="D1241" s="476">
        <v>52403</v>
      </c>
      <c r="E1241" s="476">
        <v>52413</v>
      </c>
      <c r="F1241" s="476">
        <v>52423</v>
      </c>
      <c r="G1241" s="476">
        <v>52433</v>
      </c>
      <c r="H1241" s="476">
        <v>52443</v>
      </c>
      <c r="I1241" s="476">
        <v>52453</v>
      </c>
      <c r="J1241" s="476">
        <v>52463</v>
      </c>
      <c r="K1241" s="476">
        <v>52473</v>
      </c>
    </row>
    <row r="1242" spans="1:11">
      <c r="A1242" s="479">
        <v>6789.8</v>
      </c>
      <c r="B1242" s="476">
        <v>52483</v>
      </c>
      <c r="C1242" s="476">
        <v>52493</v>
      </c>
      <c r="D1242" s="476">
        <v>52503</v>
      </c>
      <c r="E1242" s="476">
        <v>52513</v>
      </c>
      <c r="F1242" s="476">
        <v>52523</v>
      </c>
      <c r="G1242" s="476">
        <v>52534</v>
      </c>
      <c r="H1242" s="476">
        <v>52544</v>
      </c>
      <c r="I1242" s="476">
        <v>52554</v>
      </c>
      <c r="J1242" s="476">
        <v>52564</v>
      </c>
      <c r="K1242" s="476">
        <v>52574</v>
      </c>
    </row>
    <row r="1243" spans="1:11">
      <c r="A1243" s="479">
        <v>6789.9</v>
      </c>
      <c r="B1243" s="476">
        <v>52584</v>
      </c>
      <c r="C1243" s="476">
        <v>52594</v>
      </c>
      <c r="D1243" s="476">
        <v>52604</v>
      </c>
      <c r="E1243" s="476">
        <v>52614</v>
      </c>
      <c r="F1243" s="476">
        <v>52624</v>
      </c>
      <c r="G1243" s="476">
        <v>52634</v>
      </c>
      <c r="H1243" s="476">
        <v>52644</v>
      </c>
      <c r="I1243" s="476">
        <v>52655</v>
      </c>
      <c r="J1243" s="476">
        <v>52665</v>
      </c>
      <c r="K1243" s="476">
        <v>52675</v>
      </c>
    </row>
    <row r="1244" spans="1:11">
      <c r="A1244" s="479">
        <v>6790</v>
      </c>
      <c r="B1244" s="476">
        <v>52685</v>
      </c>
      <c r="C1244" s="476">
        <v>52695</v>
      </c>
      <c r="D1244" s="476">
        <v>52705</v>
      </c>
      <c r="E1244" s="476">
        <v>52715</v>
      </c>
      <c r="F1244" s="476">
        <v>52726</v>
      </c>
      <c r="G1244" s="476">
        <v>52736</v>
      </c>
      <c r="H1244" s="476">
        <v>52746</v>
      </c>
      <c r="I1244" s="476">
        <v>52756</v>
      </c>
      <c r="J1244" s="476">
        <v>52766</v>
      </c>
      <c r="K1244" s="476">
        <v>52777</v>
      </c>
    </row>
    <row r="1245" spans="1:11">
      <c r="A1245" s="479">
        <v>6790.1</v>
      </c>
      <c r="B1245" s="476">
        <v>52787</v>
      </c>
      <c r="C1245" s="476">
        <v>52797</v>
      </c>
      <c r="D1245" s="476">
        <v>52807</v>
      </c>
      <c r="E1245" s="476">
        <v>52817</v>
      </c>
      <c r="F1245" s="476">
        <v>52828</v>
      </c>
      <c r="G1245" s="476">
        <v>52838</v>
      </c>
      <c r="H1245" s="476">
        <v>52848</v>
      </c>
      <c r="I1245" s="476">
        <v>52853</v>
      </c>
      <c r="J1245" s="476">
        <v>52868</v>
      </c>
      <c r="K1245" s="476">
        <v>52879</v>
      </c>
    </row>
    <row r="1246" spans="1:11">
      <c r="A1246" s="479">
        <v>6790.2</v>
      </c>
      <c r="B1246" s="476">
        <v>52889</v>
      </c>
      <c r="C1246" s="476">
        <v>52899</v>
      </c>
      <c r="D1246" s="476">
        <v>52909</v>
      </c>
      <c r="E1246" s="476">
        <v>52919</v>
      </c>
      <c r="F1246" s="476">
        <v>52930</v>
      </c>
      <c r="G1246" s="476">
        <v>52940</v>
      </c>
      <c r="H1246" s="476">
        <v>52950</v>
      </c>
      <c r="I1246" s="476">
        <v>52960</v>
      </c>
      <c r="J1246" s="476">
        <v>52970</v>
      </c>
      <c r="K1246" s="476">
        <v>52981</v>
      </c>
    </row>
    <row r="1247" spans="1:11">
      <c r="A1247" s="479">
        <v>6790.3</v>
      </c>
      <c r="B1247" s="476">
        <v>52991</v>
      </c>
      <c r="C1247" s="476">
        <v>53001</v>
      </c>
      <c r="D1247" s="476">
        <v>53011</v>
      </c>
      <c r="E1247" s="476">
        <v>53021</v>
      </c>
      <c r="F1247" s="476">
        <v>53032</v>
      </c>
      <c r="G1247" s="476">
        <v>53042</v>
      </c>
      <c r="H1247" s="476">
        <v>53052</v>
      </c>
      <c r="I1247" s="476">
        <v>53062</v>
      </c>
      <c r="J1247" s="476">
        <v>53072</v>
      </c>
      <c r="K1247" s="476">
        <v>53083</v>
      </c>
    </row>
    <row r="1248" spans="1:11">
      <c r="A1248" s="479">
        <v>6790.4</v>
      </c>
      <c r="B1248" s="476">
        <v>53093</v>
      </c>
      <c r="C1248" s="476">
        <v>53103</v>
      </c>
      <c r="D1248" s="476">
        <v>53113</v>
      </c>
      <c r="E1248" s="476">
        <v>53123</v>
      </c>
      <c r="F1248" s="476">
        <v>53134</v>
      </c>
      <c r="G1248" s="476">
        <v>53144</v>
      </c>
      <c r="H1248" s="476">
        <v>53154</v>
      </c>
      <c r="I1248" s="476">
        <v>53164</v>
      </c>
      <c r="J1248" s="476">
        <v>53174</v>
      </c>
      <c r="K1248" s="476">
        <v>53185</v>
      </c>
    </row>
    <row r="1249" spans="1:11">
      <c r="A1249" s="479">
        <v>6790.5</v>
      </c>
      <c r="B1249" s="476">
        <v>53195</v>
      </c>
      <c r="C1249" s="476">
        <v>53205</v>
      </c>
      <c r="D1249" s="476">
        <v>53215</v>
      </c>
      <c r="E1249" s="476">
        <v>53225</v>
      </c>
      <c r="F1249" s="476">
        <v>53236</v>
      </c>
      <c r="G1249" s="476">
        <v>53246</v>
      </c>
      <c r="H1249" s="476">
        <v>53256</v>
      </c>
      <c r="I1249" s="476">
        <v>53266</v>
      </c>
      <c r="J1249" s="476">
        <v>53276</v>
      </c>
      <c r="K1249" s="476">
        <v>53287</v>
      </c>
    </row>
    <row r="1250" spans="1:11">
      <c r="A1250" s="479">
        <v>6790.6</v>
      </c>
      <c r="B1250" s="476">
        <v>53297</v>
      </c>
      <c r="C1250" s="476">
        <v>53307</v>
      </c>
      <c r="D1250" s="476">
        <v>53317</v>
      </c>
      <c r="E1250" s="476">
        <v>53327</v>
      </c>
      <c r="F1250" s="476">
        <v>53338</v>
      </c>
      <c r="G1250" s="476">
        <v>53348</v>
      </c>
      <c r="H1250" s="476">
        <v>53358</v>
      </c>
      <c r="I1250" s="476">
        <v>53368</v>
      </c>
      <c r="J1250" s="476">
        <v>53378</v>
      </c>
      <c r="K1250" s="476">
        <v>53389</v>
      </c>
    </row>
    <row r="1251" spans="1:11">
      <c r="A1251" s="479">
        <v>6790.7</v>
      </c>
      <c r="B1251" s="476">
        <v>53399</v>
      </c>
      <c r="C1251" s="476">
        <v>53409</v>
      </c>
      <c r="D1251" s="476">
        <v>53419</v>
      </c>
      <c r="E1251" s="476">
        <v>53429</v>
      </c>
      <c r="F1251" s="476">
        <v>53440</v>
      </c>
      <c r="G1251" s="476">
        <v>53450</v>
      </c>
      <c r="H1251" s="476">
        <v>53460</v>
      </c>
      <c r="I1251" s="476">
        <v>53470</v>
      </c>
      <c r="J1251" s="476">
        <v>53480</v>
      </c>
      <c r="K1251" s="476">
        <v>53491</v>
      </c>
    </row>
    <row r="1252" spans="1:11">
      <c r="A1252" s="479">
        <v>6790.8</v>
      </c>
      <c r="B1252" s="476">
        <v>53501</v>
      </c>
      <c r="C1252" s="476">
        <v>53511</v>
      </c>
      <c r="D1252" s="476">
        <v>53521</v>
      </c>
      <c r="E1252" s="476">
        <v>53531</v>
      </c>
      <c r="F1252" s="476">
        <v>53542</v>
      </c>
      <c r="G1252" s="476">
        <v>53552</v>
      </c>
      <c r="H1252" s="476">
        <v>53562</v>
      </c>
      <c r="I1252" s="476">
        <v>53572</v>
      </c>
      <c r="J1252" s="476">
        <v>53582</v>
      </c>
      <c r="K1252" s="476">
        <v>53593</v>
      </c>
    </row>
    <row r="1253" spans="1:11">
      <c r="A1253" s="479">
        <v>6790.9</v>
      </c>
      <c r="B1253" s="476">
        <v>53603</v>
      </c>
      <c r="C1253" s="476">
        <v>53613</v>
      </c>
      <c r="D1253" s="476">
        <v>53623</v>
      </c>
      <c r="E1253" s="476">
        <v>53633</v>
      </c>
      <c r="F1253" s="476">
        <v>53644</v>
      </c>
      <c r="G1253" s="476">
        <v>53654</v>
      </c>
      <c r="H1253" s="476">
        <v>53664</v>
      </c>
      <c r="I1253" s="476">
        <v>53674</v>
      </c>
      <c r="J1253" s="476">
        <v>53684</v>
      </c>
      <c r="K1253" s="476">
        <v>53695</v>
      </c>
    </row>
    <row r="1254" spans="1:11">
      <c r="A1254" s="479">
        <v>6791</v>
      </c>
      <c r="B1254" s="476">
        <v>53705</v>
      </c>
      <c r="C1254" s="476">
        <v>53715</v>
      </c>
      <c r="D1254" s="476">
        <v>53726</v>
      </c>
      <c r="E1254" s="476">
        <v>53736</v>
      </c>
      <c r="F1254" s="476">
        <v>53746</v>
      </c>
      <c r="G1254" s="476">
        <v>53757</v>
      </c>
      <c r="H1254" s="476">
        <v>53767</v>
      </c>
      <c r="I1254" s="476">
        <v>53777</v>
      </c>
      <c r="J1254" s="476">
        <v>53787</v>
      </c>
      <c r="K1254" s="476">
        <v>53798</v>
      </c>
    </row>
    <row r="1255" spans="1:11">
      <c r="A1255" s="479">
        <v>6791.1</v>
      </c>
      <c r="B1255" s="476">
        <v>53808</v>
      </c>
      <c r="C1255" s="476">
        <v>53818</v>
      </c>
      <c r="D1255" s="476">
        <v>53829</v>
      </c>
      <c r="E1255" s="476">
        <v>53839</v>
      </c>
      <c r="F1255" s="476">
        <v>53849</v>
      </c>
      <c r="G1255" s="476">
        <v>53860</v>
      </c>
      <c r="H1255" s="476">
        <v>53870</v>
      </c>
      <c r="I1255" s="476">
        <v>53880</v>
      </c>
      <c r="J1255" s="476">
        <v>53891</v>
      </c>
      <c r="K1255" s="476">
        <v>53901</v>
      </c>
    </row>
    <row r="1256" spans="1:11">
      <c r="A1256" s="479">
        <v>6791.2</v>
      </c>
      <c r="B1256" s="476">
        <v>53911</v>
      </c>
      <c r="C1256" s="476">
        <v>53922</v>
      </c>
      <c r="D1256" s="476">
        <v>53932</v>
      </c>
      <c r="E1256" s="476">
        <v>53942</v>
      </c>
      <c r="F1256" s="476">
        <v>53953</v>
      </c>
      <c r="G1256" s="476">
        <v>53963</v>
      </c>
      <c r="H1256" s="476">
        <v>53973</v>
      </c>
      <c r="I1256" s="476">
        <v>53984</v>
      </c>
      <c r="J1256" s="476">
        <v>53994</v>
      </c>
      <c r="K1256" s="476">
        <v>54004</v>
      </c>
    </row>
    <row r="1257" spans="1:11">
      <c r="A1257" s="479">
        <v>6791.3</v>
      </c>
      <c r="B1257" s="476">
        <v>54015</v>
      </c>
      <c r="C1257" s="476">
        <v>54025</v>
      </c>
      <c r="D1257" s="476">
        <v>54035</v>
      </c>
      <c r="E1257" s="476">
        <v>54046</v>
      </c>
      <c r="F1257" s="476">
        <v>54056</v>
      </c>
      <c r="G1257" s="476">
        <v>54066</v>
      </c>
      <c r="H1257" s="476">
        <v>54077</v>
      </c>
      <c r="I1257" s="476">
        <v>54087</v>
      </c>
      <c r="J1257" s="476">
        <v>54097</v>
      </c>
      <c r="K1257" s="476">
        <v>54107</v>
      </c>
    </row>
    <row r="1258" spans="1:11">
      <c r="A1258" s="479">
        <v>6791.4</v>
      </c>
      <c r="B1258" s="476">
        <v>54118</v>
      </c>
      <c r="C1258" s="476">
        <v>54128</v>
      </c>
      <c r="D1258" s="476">
        <v>54138</v>
      </c>
      <c r="E1258" s="476">
        <v>54149</v>
      </c>
      <c r="F1258" s="476">
        <v>54159</v>
      </c>
      <c r="G1258" s="476">
        <v>54169</v>
      </c>
      <c r="H1258" s="476">
        <v>54180</v>
      </c>
      <c r="I1258" s="476">
        <v>54190</v>
      </c>
      <c r="J1258" s="476">
        <v>54200</v>
      </c>
      <c r="K1258" s="476">
        <v>54211</v>
      </c>
    </row>
    <row r="1259" spans="1:11">
      <c r="A1259" s="479">
        <v>6791.5</v>
      </c>
      <c r="B1259" s="476">
        <v>54221</v>
      </c>
      <c r="C1259" s="476">
        <v>54231</v>
      </c>
      <c r="D1259" s="476">
        <v>54242</v>
      </c>
      <c r="E1259" s="476">
        <v>54252</v>
      </c>
      <c r="F1259" s="476">
        <v>54262</v>
      </c>
      <c r="G1259" s="476">
        <v>54273</v>
      </c>
      <c r="H1259" s="476">
        <v>54283</v>
      </c>
      <c r="I1259" s="476">
        <v>54293</v>
      </c>
      <c r="J1259" s="476">
        <v>54304</v>
      </c>
      <c r="K1259" s="476">
        <v>54314</v>
      </c>
    </row>
    <row r="1260" spans="1:11">
      <c r="A1260" s="479">
        <v>6791.6</v>
      </c>
      <c r="B1260" s="476">
        <v>54324</v>
      </c>
      <c r="C1260" s="476">
        <v>54335</v>
      </c>
      <c r="D1260" s="476">
        <v>54345</v>
      </c>
      <c r="E1260" s="476">
        <v>54355</v>
      </c>
      <c r="F1260" s="476">
        <v>54366</v>
      </c>
      <c r="G1260" s="476">
        <v>54376</v>
      </c>
      <c r="H1260" s="476">
        <v>54386</v>
      </c>
      <c r="I1260" s="476">
        <v>54397</v>
      </c>
      <c r="J1260" s="476">
        <v>54407</v>
      </c>
      <c r="K1260" s="476">
        <v>54417</v>
      </c>
    </row>
    <row r="1261" spans="1:11">
      <c r="A1261" s="479">
        <v>6791.7</v>
      </c>
      <c r="B1261" s="476">
        <v>54427</v>
      </c>
      <c r="C1261" s="476">
        <v>54438</v>
      </c>
      <c r="D1261" s="476">
        <v>54448</v>
      </c>
      <c r="E1261" s="476">
        <v>54458</v>
      </c>
      <c r="F1261" s="476">
        <v>54469</v>
      </c>
      <c r="G1261" s="476">
        <v>54479</v>
      </c>
      <c r="H1261" s="476">
        <v>54489</v>
      </c>
      <c r="I1261" s="476">
        <v>54500</v>
      </c>
      <c r="J1261" s="476">
        <v>54510</v>
      </c>
      <c r="K1261" s="476">
        <v>54520</v>
      </c>
    </row>
    <row r="1262" spans="1:11">
      <c r="A1262" s="479">
        <v>6791.8</v>
      </c>
      <c r="B1262" s="476">
        <v>54531</v>
      </c>
      <c r="C1262" s="476">
        <v>54541</v>
      </c>
      <c r="D1262" s="476">
        <v>54551</v>
      </c>
      <c r="E1262" s="476">
        <v>54562</v>
      </c>
      <c r="F1262" s="476">
        <v>54572</v>
      </c>
      <c r="G1262" s="476">
        <v>54582</v>
      </c>
      <c r="H1262" s="476">
        <v>54593</v>
      </c>
      <c r="I1262" s="476">
        <v>54603</v>
      </c>
      <c r="J1262" s="476">
        <v>54613</v>
      </c>
      <c r="K1262" s="476">
        <v>54624</v>
      </c>
    </row>
    <row r="1263" spans="1:11">
      <c r="A1263" s="479">
        <v>6791.9</v>
      </c>
      <c r="B1263" s="476">
        <v>54634</v>
      </c>
      <c r="C1263" s="476">
        <v>54644</v>
      </c>
      <c r="D1263" s="476">
        <v>54655</v>
      </c>
      <c r="E1263" s="476">
        <v>54665</v>
      </c>
      <c r="F1263" s="476">
        <v>54675</v>
      </c>
      <c r="G1263" s="476">
        <v>54686</v>
      </c>
      <c r="H1263" s="476">
        <v>54696</v>
      </c>
      <c r="I1263" s="476">
        <v>54706</v>
      </c>
      <c r="J1263" s="476">
        <v>54717</v>
      </c>
      <c r="K1263" s="476">
        <v>54727</v>
      </c>
    </row>
    <row r="1264" spans="1:11">
      <c r="A1264" s="479">
        <v>6792</v>
      </c>
      <c r="B1264" s="476">
        <v>54737</v>
      </c>
      <c r="C1264" s="476">
        <v>54748</v>
      </c>
      <c r="D1264" s="476">
        <v>54758</v>
      </c>
      <c r="E1264" s="476">
        <v>54768</v>
      </c>
      <c r="F1264" s="476">
        <v>54779</v>
      </c>
      <c r="G1264" s="476">
        <v>54789</v>
      </c>
      <c r="H1264" s="476">
        <v>54800</v>
      </c>
      <c r="I1264" s="476">
        <v>54810</v>
      </c>
      <c r="J1264" s="476">
        <v>54821</v>
      </c>
      <c r="K1264" s="476">
        <v>54831</v>
      </c>
    </row>
    <row r="1265" spans="1:11">
      <c r="A1265" s="479">
        <v>6792.1</v>
      </c>
      <c r="B1265" s="476">
        <v>54842</v>
      </c>
      <c r="C1265" s="476">
        <v>54852</v>
      </c>
      <c r="D1265" s="476">
        <v>54862</v>
      </c>
      <c r="E1265" s="476">
        <v>54873</v>
      </c>
      <c r="F1265" s="476">
        <v>54883</v>
      </c>
      <c r="G1265" s="476">
        <v>54894</v>
      </c>
      <c r="H1265" s="476">
        <v>54904</v>
      </c>
      <c r="I1265" s="476">
        <v>54915</v>
      </c>
      <c r="J1265" s="476">
        <v>54925</v>
      </c>
      <c r="K1265" s="476">
        <v>54936</v>
      </c>
    </row>
    <row r="1266" spans="1:11">
      <c r="A1266" s="479">
        <v>6792.2</v>
      </c>
      <c r="B1266" s="476">
        <v>54946</v>
      </c>
      <c r="C1266" s="476">
        <v>54956</v>
      </c>
      <c r="D1266" s="476">
        <v>54967</v>
      </c>
      <c r="E1266" s="476">
        <v>54977</v>
      </c>
      <c r="F1266" s="476">
        <v>54988</v>
      </c>
      <c r="G1266" s="476">
        <v>54998</v>
      </c>
      <c r="H1266" s="476">
        <v>55009</v>
      </c>
      <c r="I1266" s="476">
        <v>55019</v>
      </c>
      <c r="J1266" s="476">
        <v>55030</v>
      </c>
      <c r="K1266" s="476">
        <v>55040</v>
      </c>
    </row>
    <row r="1267" spans="1:11">
      <c r="A1267" s="479">
        <v>6792.3</v>
      </c>
      <c r="B1267" s="476">
        <v>55050</v>
      </c>
      <c r="C1267" s="476">
        <v>55061</v>
      </c>
      <c r="D1267" s="476">
        <v>55071</v>
      </c>
      <c r="E1267" s="476">
        <v>55082</v>
      </c>
      <c r="F1267" s="476">
        <v>55092</v>
      </c>
      <c r="G1267" s="476">
        <v>55103</v>
      </c>
      <c r="H1267" s="476">
        <v>55113</v>
      </c>
      <c r="I1267" s="476">
        <v>55123</v>
      </c>
      <c r="J1267" s="476">
        <v>55134</v>
      </c>
      <c r="K1267" s="476">
        <v>55144</v>
      </c>
    </row>
    <row r="1268" spans="1:11">
      <c r="A1268" s="479">
        <v>6792.4</v>
      </c>
      <c r="B1268" s="476">
        <v>55155</v>
      </c>
      <c r="C1268" s="476">
        <v>55165</v>
      </c>
      <c r="D1268" s="476">
        <v>55176</v>
      </c>
      <c r="E1268" s="476">
        <v>55186</v>
      </c>
      <c r="F1268" s="476">
        <v>55197</v>
      </c>
      <c r="G1268" s="476">
        <v>55207</v>
      </c>
      <c r="H1268" s="476">
        <v>55217</v>
      </c>
      <c r="I1268" s="476">
        <v>55228</v>
      </c>
      <c r="J1268" s="476">
        <v>55238</v>
      </c>
      <c r="K1268" s="476">
        <v>55249</v>
      </c>
    </row>
    <row r="1269" spans="1:11">
      <c r="A1269" s="479">
        <v>6792.5</v>
      </c>
      <c r="B1269" s="476">
        <v>55259</v>
      </c>
      <c r="C1269" s="476">
        <v>55270</v>
      </c>
      <c r="D1269" s="476">
        <v>55280</v>
      </c>
      <c r="E1269" s="476">
        <v>55291</v>
      </c>
      <c r="F1269" s="476">
        <v>55301</v>
      </c>
      <c r="G1269" s="476">
        <v>55311</v>
      </c>
      <c r="H1269" s="476">
        <v>55322</v>
      </c>
      <c r="I1269" s="476">
        <v>55332</v>
      </c>
      <c r="J1269" s="476">
        <v>55343</v>
      </c>
      <c r="K1269" s="476">
        <v>55353</v>
      </c>
    </row>
    <row r="1270" spans="1:11">
      <c r="A1270" s="479">
        <v>6792.6</v>
      </c>
      <c r="B1270" s="476">
        <v>55364</v>
      </c>
      <c r="C1270" s="476">
        <v>55374</v>
      </c>
      <c r="D1270" s="476">
        <v>55385</v>
      </c>
      <c r="E1270" s="476">
        <v>55395</v>
      </c>
      <c r="F1270" s="476">
        <v>55405</v>
      </c>
      <c r="G1270" s="476">
        <v>55416</v>
      </c>
      <c r="H1270" s="476">
        <v>55426</v>
      </c>
      <c r="I1270" s="476">
        <v>55437</v>
      </c>
      <c r="J1270" s="476">
        <v>55447</v>
      </c>
      <c r="K1270" s="476">
        <v>55458</v>
      </c>
    </row>
    <row r="1271" spans="1:11">
      <c r="A1271" s="479">
        <v>6792.7</v>
      </c>
      <c r="B1271" s="476">
        <v>55468</v>
      </c>
      <c r="C1271" s="476">
        <v>55478</v>
      </c>
      <c r="D1271" s="476">
        <v>55489</v>
      </c>
      <c r="E1271" s="476">
        <v>55499</v>
      </c>
      <c r="F1271" s="476">
        <v>55510</v>
      </c>
      <c r="G1271" s="476">
        <v>55520</v>
      </c>
      <c r="H1271" s="476">
        <v>55531</v>
      </c>
      <c r="I1271" s="476">
        <v>55541</v>
      </c>
      <c r="J1271" s="476">
        <v>55552</v>
      </c>
      <c r="K1271" s="476">
        <v>55562</v>
      </c>
    </row>
    <row r="1272" spans="1:11">
      <c r="A1272" s="479">
        <v>6792.8</v>
      </c>
      <c r="B1272" s="476">
        <v>55572</v>
      </c>
      <c r="C1272" s="476">
        <v>55583</v>
      </c>
      <c r="D1272" s="476">
        <v>55593</v>
      </c>
      <c r="E1272" s="476">
        <v>55604</v>
      </c>
      <c r="F1272" s="476">
        <v>55614</v>
      </c>
      <c r="G1272" s="476">
        <v>55625</v>
      </c>
      <c r="H1272" s="476">
        <v>55635</v>
      </c>
      <c r="I1272" s="476">
        <v>55646</v>
      </c>
      <c r="J1272" s="476">
        <v>55656</v>
      </c>
      <c r="K1272" s="476">
        <v>55666</v>
      </c>
    </row>
    <row r="1273" spans="1:11">
      <c r="A1273" s="479">
        <v>6792.9</v>
      </c>
      <c r="B1273" s="476">
        <v>55677</v>
      </c>
      <c r="C1273" s="476">
        <v>55687</v>
      </c>
      <c r="D1273" s="476">
        <v>55698</v>
      </c>
      <c r="E1273" s="476">
        <v>55708</v>
      </c>
      <c r="F1273" s="476">
        <v>55719</v>
      </c>
      <c r="G1273" s="476">
        <v>55729</v>
      </c>
      <c r="H1273" s="476">
        <v>55740</v>
      </c>
      <c r="I1273" s="476">
        <v>55750</v>
      </c>
      <c r="J1273" s="476">
        <v>55760</v>
      </c>
      <c r="K1273" s="476">
        <v>55771</v>
      </c>
    </row>
    <row r="1274" spans="1:11">
      <c r="A1274" s="479">
        <v>6793</v>
      </c>
      <c r="B1274" s="476">
        <v>55781</v>
      </c>
      <c r="C1274" s="476">
        <v>55792</v>
      </c>
      <c r="D1274" s="476">
        <v>55802</v>
      </c>
      <c r="E1274" s="476">
        <v>55813</v>
      </c>
      <c r="F1274" s="476">
        <v>55824</v>
      </c>
      <c r="G1274" s="476">
        <v>55834</v>
      </c>
      <c r="H1274" s="476">
        <v>55845</v>
      </c>
      <c r="I1274" s="476">
        <v>55855</v>
      </c>
      <c r="J1274" s="476">
        <v>55866</v>
      </c>
      <c r="K1274" s="476">
        <v>55876</v>
      </c>
    </row>
    <row r="1275" spans="1:11">
      <c r="A1275" s="479">
        <v>6793.1</v>
      </c>
      <c r="B1275" s="476">
        <v>55887</v>
      </c>
      <c r="C1275" s="476">
        <v>55897</v>
      </c>
      <c r="D1275" s="476">
        <v>55908</v>
      </c>
      <c r="E1275" s="476">
        <v>55919</v>
      </c>
      <c r="F1275" s="476">
        <v>55929</v>
      </c>
      <c r="G1275" s="476">
        <v>55940</v>
      </c>
      <c r="H1275" s="476">
        <v>55950</v>
      </c>
      <c r="I1275" s="476">
        <v>55961</v>
      </c>
      <c r="J1275" s="476">
        <v>55971</v>
      </c>
      <c r="K1275" s="476">
        <v>55982</v>
      </c>
    </row>
    <row r="1276" spans="1:11">
      <c r="A1276" s="479">
        <v>6793.2</v>
      </c>
      <c r="B1276" s="476">
        <v>55992</v>
      </c>
      <c r="C1276" s="476">
        <v>56003</v>
      </c>
      <c r="D1276" s="476">
        <v>56014</v>
      </c>
      <c r="E1276" s="476">
        <v>56024</v>
      </c>
      <c r="F1276" s="476">
        <v>56035</v>
      </c>
      <c r="G1276" s="476">
        <v>56045</v>
      </c>
      <c r="H1276" s="476">
        <v>56056</v>
      </c>
      <c r="I1276" s="476">
        <v>56066</v>
      </c>
      <c r="J1276" s="476">
        <v>56077</v>
      </c>
      <c r="K1276" s="476">
        <v>56087</v>
      </c>
    </row>
    <row r="1277" spans="1:11">
      <c r="A1277" s="479">
        <v>6793.3</v>
      </c>
      <c r="B1277" s="476">
        <v>56098</v>
      </c>
      <c r="C1277" s="476">
        <v>56109</v>
      </c>
      <c r="D1277" s="476">
        <v>56119</v>
      </c>
      <c r="E1277" s="476">
        <v>56130</v>
      </c>
      <c r="F1277" s="476">
        <v>56140</v>
      </c>
      <c r="G1277" s="476">
        <v>56151</v>
      </c>
      <c r="H1277" s="476">
        <v>56161</v>
      </c>
      <c r="I1277" s="476">
        <v>56172</v>
      </c>
      <c r="J1277" s="476">
        <v>56183</v>
      </c>
      <c r="K1277" s="476">
        <v>56193</v>
      </c>
    </row>
    <row r="1278" spans="1:11">
      <c r="A1278" s="479">
        <v>6793.4</v>
      </c>
      <c r="B1278" s="476">
        <v>56204</v>
      </c>
      <c r="C1278" s="476">
        <v>56214</v>
      </c>
      <c r="D1278" s="476">
        <v>56225</v>
      </c>
      <c r="E1278" s="476">
        <v>56235</v>
      </c>
      <c r="F1278" s="476">
        <v>56246</v>
      </c>
      <c r="G1278" s="476">
        <v>56256</v>
      </c>
      <c r="H1278" s="476">
        <v>56267</v>
      </c>
      <c r="I1278" s="476">
        <v>56278</v>
      </c>
      <c r="J1278" s="476">
        <v>56288</v>
      </c>
      <c r="K1278" s="476">
        <v>56299</v>
      </c>
    </row>
    <row r="1279" spans="1:11">
      <c r="A1279" s="479">
        <v>6793.5</v>
      </c>
      <c r="B1279" s="476">
        <v>56309</v>
      </c>
      <c r="C1279" s="476">
        <v>56320</v>
      </c>
      <c r="D1279" s="476">
        <v>56330</v>
      </c>
      <c r="E1279" s="476">
        <v>56341</v>
      </c>
      <c r="F1279" s="476">
        <v>56351</v>
      </c>
      <c r="G1279" s="476">
        <v>56362</v>
      </c>
      <c r="H1279" s="476">
        <v>56373</v>
      </c>
      <c r="I1279" s="476">
        <v>56383</v>
      </c>
      <c r="J1279" s="476">
        <v>56394</v>
      </c>
      <c r="K1279" s="476">
        <v>56404</v>
      </c>
    </row>
    <row r="1280" spans="1:11">
      <c r="A1280" s="479">
        <v>6793.6</v>
      </c>
      <c r="B1280" s="476">
        <v>56415</v>
      </c>
      <c r="C1280" s="476">
        <v>56425</v>
      </c>
      <c r="D1280" s="476">
        <v>56436</v>
      </c>
      <c r="E1280" s="476">
        <v>56446</v>
      </c>
      <c r="F1280" s="476">
        <v>56457</v>
      </c>
      <c r="G1280" s="476">
        <v>56468</v>
      </c>
      <c r="H1280" s="476">
        <v>56478</v>
      </c>
      <c r="I1280" s="476">
        <v>56489</v>
      </c>
      <c r="J1280" s="476">
        <v>56499</v>
      </c>
      <c r="K1280" s="476">
        <v>56510</v>
      </c>
    </row>
    <row r="1281" spans="1:11">
      <c r="A1281" s="479">
        <v>6793.7</v>
      </c>
      <c r="B1281" s="476">
        <v>56520</v>
      </c>
      <c r="C1281" s="476">
        <v>56531</v>
      </c>
      <c r="D1281" s="476">
        <v>56542</v>
      </c>
      <c r="E1281" s="476">
        <v>56552</v>
      </c>
      <c r="F1281" s="476">
        <v>56563</v>
      </c>
      <c r="G1281" s="476">
        <v>56573</v>
      </c>
      <c r="H1281" s="476">
        <v>56584</v>
      </c>
      <c r="I1281" s="476">
        <v>56594</v>
      </c>
      <c r="J1281" s="476">
        <v>56605</v>
      </c>
      <c r="K1281" s="476">
        <v>56615</v>
      </c>
    </row>
    <row r="1282" spans="1:11">
      <c r="A1282" s="479">
        <v>6793.8</v>
      </c>
      <c r="B1282" s="476">
        <v>56626</v>
      </c>
      <c r="C1282" s="476">
        <v>56637</v>
      </c>
      <c r="D1282" s="476">
        <v>56647</v>
      </c>
      <c r="E1282" s="476">
        <v>56658</v>
      </c>
      <c r="F1282" s="476">
        <v>56668</v>
      </c>
      <c r="G1282" s="476">
        <v>56679</v>
      </c>
      <c r="H1282" s="476">
        <v>56689</v>
      </c>
      <c r="I1282" s="476">
        <v>56700</v>
      </c>
      <c r="J1282" s="476">
        <v>56710</v>
      </c>
      <c r="K1282" s="476">
        <v>56721</v>
      </c>
    </row>
    <row r="1283" spans="1:11">
      <c r="A1283" s="479">
        <v>6793.9</v>
      </c>
      <c r="B1283" s="476">
        <v>56732</v>
      </c>
      <c r="C1283" s="476">
        <v>56742</v>
      </c>
      <c r="D1283" s="476">
        <v>56753</v>
      </c>
      <c r="E1283" s="476">
        <v>56763</v>
      </c>
      <c r="F1283" s="476">
        <v>56774</v>
      </c>
      <c r="G1283" s="476">
        <v>56784</v>
      </c>
      <c r="H1283" s="476">
        <v>56795</v>
      </c>
      <c r="I1283" s="476">
        <v>56805</v>
      </c>
      <c r="J1283" s="476">
        <v>56816</v>
      </c>
      <c r="K1283" s="476">
        <v>56827</v>
      </c>
    </row>
    <row r="1284" spans="1:11">
      <c r="A1284" s="479">
        <v>6794</v>
      </c>
      <c r="B1284" s="476">
        <v>56837</v>
      </c>
      <c r="C1284" s="476">
        <v>56848</v>
      </c>
      <c r="D1284" s="476">
        <v>56858</v>
      </c>
      <c r="E1284" s="476">
        <v>56869</v>
      </c>
      <c r="F1284" s="476">
        <v>56880</v>
      </c>
      <c r="G1284" s="476">
        <v>56891</v>
      </c>
      <c r="H1284" s="476">
        <v>56901</v>
      </c>
      <c r="I1284" s="476">
        <v>56912</v>
      </c>
      <c r="J1284" s="476">
        <v>56923</v>
      </c>
      <c r="K1284" s="476">
        <v>56933</v>
      </c>
    </row>
    <row r="1285" spans="1:11">
      <c r="A1285" s="479">
        <v>6794.1</v>
      </c>
      <c r="B1285" s="476">
        <v>56944</v>
      </c>
      <c r="C1285" s="476">
        <v>56955</v>
      </c>
      <c r="D1285" s="476">
        <v>56965</v>
      </c>
      <c r="E1285" s="476">
        <v>56976</v>
      </c>
      <c r="F1285" s="476">
        <v>56987</v>
      </c>
      <c r="G1285" s="476">
        <v>56997</v>
      </c>
      <c r="H1285" s="476">
        <v>57008</v>
      </c>
      <c r="I1285" s="476">
        <v>57019</v>
      </c>
      <c r="J1285" s="476">
        <v>57029</v>
      </c>
      <c r="K1285" s="476">
        <v>57040</v>
      </c>
    </row>
    <row r="1286" spans="1:11">
      <c r="A1286" s="479">
        <v>6794.2</v>
      </c>
      <c r="B1286" s="476">
        <v>57051</v>
      </c>
      <c r="C1286" s="476">
        <v>57061</v>
      </c>
      <c r="D1286" s="476">
        <v>57072</v>
      </c>
      <c r="E1286" s="476">
        <v>57083</v>
      </c>
      <c r="F1286" s="476">
        <v>57093</v>
      </c>
      <c r="G1286" s="476">
        <v>57104</v>
      </c>
      <c r="H1286" s="476">
        <v>57115</v>
      </c>
      <c r="I1286" s="476">
        <v>57125</v>
      </c>
      <c r="J1286" s="476">
        <v>57136</v>
      </c>
      <c r="K1286" s="476">
        <v>57147</v>
      </c>
    </row>
    <row r="1287" spans="1:11">
      <c r="A1287" s="479">
        <v>6794.3</v>
      </c>
      <c r="B1287" s="476">
        <v>57157</v>
      </c>
      <c r="C1287" s="476">
        <v>57168</v>
      </c>
      <c r="D1287" s="476">
        <v>57179</v>
      </c>
      <c r="E1287" s="476">
        <v>57189</v>
      </c>
      <c r="F1287" s="476">
        <v>57200</v>
      </c>
      <c r="G1287" s="476">
        <v>57211</v>
      </c>
      <c r="H1287" s="476">
        <v>57221</v>
      </c>
      <c r="I1287" s="476">
        <v>57232</v>
      </c>
      <c r="J1287" s="476">
        <v>57243</v>
      </c>
      <c r="K1287" s="476">
        <v>57253</v>
      </c>
    </row>
    <row r="1288" spans="1:11">
      <c r="A1288" s="479">
        <v>6794.4</v>
      </c>
      <c r="B1288" s="476">
        <v>57264</v>
      </c>
      <c r="C1288" s="476">
        <v>57275</v>
      </c>
      <c r="D1288" s="476">
        <v>57285</v>
      </c>
      <c r="E1288" s="476">
        <v>57296</v>
      </c>
      <c r="F1288" s="476">
        <v>57307</v>
      </c>
      <c r="G1288" s="476">
        <v>57317</v>
      </c>
      <c r="H1288" s="476">
        <v>57328</v>
      </c>
      <c r="I1288" s="476">
        <v>57339</v>
      </c>
      <c r="J1288" s="476">
        <v>57349</v>
      </c>
      <c r="K1288" s="476">
        <v>57360</v>
      </c>
    </row>
    <row r="1289" spans="1:11">
      <c r="A1289" s="479">
        <v>6794.5</v>
      </c>
      <c r="B1289" s="476">
        <v>57371</v>
      </c>
      <c r="C1289" s="476">
        <v>57381</v>
      </c>
      <c r="D1289" s="476">
        <v>57392</v>
      </c>
      <c r="E1289" s="476">
        <v>57403</v>
      </c>
      <c r="F1289" s="476">
        <v>57414</v>
      </c>
      <c r="G1289" s="476">
        <v>57424</v>
      </c>
      <c r="H1289" s="476">
        <v>57435</v>
      </c>
      <c r="I1289" s="476">
        <v>57446</v>
      </c>
      <c r="J1289" s="476">
        <v>57456</v>
      </c>
      <c r="K1289" s="476">
        <v>57467</v>
      </c>
    </row>
    <row r="1290" spans="1:11">
      <c r="A1290" s="479">
        <v>6794.6</v>
      </c>
      <c r="B1290" s="476">
        <v>57478</v>
      </c>
      <c r="C1290" s="476">
        <v>57488</v>
      </c>
      <c r="D1290" s="476">
        <v>57499</v>
      </c>
      <c r="E1290" s="476">
        <v>57510</v>
      </c>
      <c r="F1290" s="476">
        <v>57520</v>
      </c>
      <c r="G1290" s="476">
        <v>57531</v>
      </c>
      <c r="H1290" s="476">
        <v>57542</v>
      </c>
      <c r="I1290" s="476">
        <v>57552</v>
      </c>
      <c r="J1290" s="476">
        <v>57563</v>
      </c>
      <c r="K1290" s="476">
        <v>57574</v>
      </c>
    </row>
    <row r="1291" spans="1:11">
      <c r="A1291" s="479">
        <v>6794.7</v>
      </c>
      <c r="B1291" s="476">
        <v>57584</v>
      </c>
      <c r="C1291" s="476">
        <v>57595</v>
      </c>
      <c r="D1291" s="476">
        <v>57606</v>
      </c>
      <c r="E1291" s="476">
        <v>57616</v>
      </c>
      <c r="F1291" s="476">
        <v>57627</v>
      </c>
      <c r="G1291" s="476">
        <v>57638</v>
      </c>
      <c r="H1291" s="476">
        <v>57648</v>
      </c>
      <c r="I1291" s="476">
        <v>57659</v>
      </c>
      <c r="J1291" s="476">
        <v>57670</v>
      </c>
      <c r="K1291" s="476">
        <v>57680</v>
      </c>
    </row>
    <row r="1292" spans="1:11">
      <c r="A1292" s="479">
        <v>6794.8</v>
      </c>
      <c r="B1292" s="476">
        <v>57691</v>
      </c>
      <c r="C1292" s="476">
        <v>57702</v>
      </c>
      <c r="D1292" s="476">
        <v>57712</v>
      </c>
      <c r="E1292" s="476">
        <v>57723</v>
      </c>
      <c r="F1292" s="476">
        <v>57734</v>
      </c>
      <c r="G1292" s="476">
        <v>57744</v>
      </c>
      <c r="H1292" s="476">
        <v>57755</v>
      </c>
      <c r="I1292" s="476">
        <v>57766</v>
      </c>
      <c r="J1292" s="476">
        <v>57776</v>
      </c>
      <c r="K1292" s="476">
        <v>57787</v>
      </c>
    </row>
    <row r="1293" spans="1:11">
      <c r="A1293" s="479">
        <v>6794.9</v>
      </c>
      <c r="B1293" s="476">
        <v>57798</v>
      </c>
      <c r="C1293" s="476">
        <v>57808</v>
      </c>
      <c r="D1293" s="476">
        <v>57819</v>
      </c>
      <c r="E1293" s="476">
        <v>57830</v>
      </c>
      <c r="F1293" s="476">
        <v>57840</v>
      </c>
      <c r="G1293" s="476">
        <v>57851</v>
      </c>
      <c r="H1293" s="476">
        <v>57862</v>
      </c>
      <c r="I1293" s="476">
        <v>57872</v>
      </c>
      <c r="J1293" s="476">
        <v>57883</v>
      </c>
      <c r="K1293" s="476">
        <v>57894</v>
      </c>
    </row>
    <row r="1294" spans="1:11">
      <c r="A1294" s="479">
        <v>6795</v>
      </c>
      <c r="B1294" s="476">
        <v>57904</v>
      </c>
      <c r="C1294" s="476">
        <v>57915</v>
      </c>
      <c r="D1294" s="476">
        <v>57926</v>
      </c>
      <c r="E1294" s="476">
        <v>57937</v>
      </c>
      <c r="F1294" s="476">
        <v>57948</v>
      </c>
      <c r="G1294" s="476">
        <v>57958</v>
      </c>
      <c r="H1294" s="476">
        <v>57969</v>
      </c>
      <c r="I1294" s="476">
        <v>57980</v>
      </c>
      <c r="J1294" s="476">
        <v>57991</v>
      </c>
      <c r="K1294" s="476">
        <v>58002</v>
      </c>
    </row>
    <row r="1295" spans="1:11">
      <c r="A1295" s="479">
        <v>6795.1</v>
      </c>
      <c r="B1295" s="476">
        <v>58012</v>
      </c>
      <c r="C1295" s="476">
        <v>58023</v>
      </c>
      <c r="D1295" s="476">
        <v>58034</v>
      </c>
      <c r="E1295" s="476">
        <v>58045</v>
      </c>
      <c r="F1295" s="476">
        <v>58055</v>
      </c>
      <c r="G1295" s="476">
        <v>58066</v>
      </c>
      <c r="H1295" s="476">
        <v>58077</v>
      </c>
      <c r="I1295" s="476">
        <v>58088</v>
      </c>
      <c r="J1295" s="476">
        <v>58099</v>
      </c>
      <c r="K1295" s="476">
        <v>58109</v>
      </c>
    </row>
    <row r="1296" spans="1:11">
      <c r="A1296" s="479">
        <v>6795.2</v>
      </c>
      <c r="B1296" s="476">
        <v>58120</v>
      </c>
      <c r="C1296" s="476">
        <v>58131</v>
      </c>
      <c r="D1296" s="476">
        <v>58142</v>
      </c>
      <c r="E1296" s="476">
        <v>58153</v>
      </c>
      <c r="F1296" s="476">
        <v>58163</v>
      </c>
      <c r="G1296" s="476">
        <v>58174</v>
      </c>
      <c r="H1296" s="476">
        <v>58185</v>
      </c>
      <c r="I1296" s="476">
        <v>58196</v>
      </c>
      <c r="J1296" s="476">
        <v>58206</v>
      </c>
      <c r="K1296" s="476">
        <v>58217</v>
      </c>
    </row>
    <row r="1297" spans="1:11">
      <c r="A1297" s="479">
        <v>6795.3</v>
      </c>
      <c r="B1297" s="476">
        <v>58228</v>
      </c>
      <c r="C1297" s="476">
        <v>58239</v>
      </c>
      <c r="D1297" s="476">
        <v>58250</v>
      </c>
      <c r="E1297" s="476">
        <v>58260</v>
      </c>
      <c r="F1297" s="476">
        <v>58271</v>
      </c>
      <c r="G1297" s="476">
        <v>58282</v>
      </c>
      <c r="H1297" s="476">
        <v>58293</v>
      </c>
      <c r="I1297" s="476">
        <v>58304</v>
      </c>
      <c r="J1297" s="476">
        <v>58314</v>
      </c>
      <c r="K1297" s="476">
        <v>58325</v>
      </c>
    </row>
    <row r="1298" spans="1:11">
      <c r="A1298" s="479">
        <v>6795.4</v>
      </c>
      <c r="B1298" s="476">
        <v>58336</v>
      </c>
      <c r="C1298" s="476">
        <v>58347</v>
      </c>
      <c r="D1298" s="476">
        <v>58357</v>
      </c>
      <c r="E1298" s="476">
        <v>58368</v>
      </c>
      <c r="F1298" s="476">
        <v>58379</v>
      </c>
      <c r="G1298" s="476">
        <v>58390</v>
      </c>
      <c r="H1298" s="476">
        <v>58401</v>
      </c>
      <c r="I1298" s="476">
        <v>58411</v>
      </c>
      <c r="J1298" s="476">
        <v>58422</v>
      </c>
      <c r="K1298" s="476">
        <v>58433</v>
      </c>
    </row>
    <row r="1299" spans="1:11">
      <c r="A1299" s="479">
        <v>6795.5</v>
      </c>
      <c r="B1299" s="476">
        <v>58444</v>
      </c>
      <c r="C1299" s="476">
        <v>58455</v>
      </c>
      <c r="D1299" s="476">
        <v>58465</v>
      </c>
      <c r="E1299" s="476">
        <v>58476</v>
      </c>
      <c r="F1299" s="476">
        <v>58487</v>
      </c>
      <c r="G1299" s="476">
        <v>58498</v>
      </c>
      <c r="H1299" s="476">
        <v>58508</v>
      </c>
      <c r="I1299" s="476">
        <v>58519</v>
      </c>
      <c r="J1299" s="476">
        <v>58530</v>
      </c>
      <c r="K1299" s="476">
        <v>58541</v>
      </c>
    </row>
    <row r="1300" spans="1:11">
      <c r="A1300" s="479">
        <v>6795.6</v>
      </c>
      <c r="B1300" s="476">
        <v>58552</v>
      </c>
      <c r="C1300" s="476">
        <v>58562</v>
      </c>
      <c r="D1300" s="476">
        <v>58573</v>
      </c>
      <c r="E1300" s="476">
        <v>58584</v>
      </c>
      <c r="F1300" s="476">
        <v>58595</v>
      </c>
      <c r="G1300" s="476">
        <v>58606</v>
      </c>
      <c r="H1300" s="476">
        <v>58616</v>
      </c>
      <c r="I1300" s="476">
        <v>58627</v>
      </c>
      <c r="J1300" s="476">
        <v>58638</v>
      </c>
      <c r="K1300" s="476">
        <v>58649</v>
      </c>
    </row>
    <row r="1301" spans="1:11">
      <c r="A1301" s="479">
        <v>6795.7</v>
      </c>
      <c r="B1301" s="476">
        <v>58659</v>
      </c>
      <c r="C1301" s="476">
        <v>58670</v>
      </c>
      <c r="D1301" s="476">
        <v>58681</v>
      </c>
      <c r="E1301" s="476">
        <v>58692</v>
      </c>
      <c r="F1301" s="476">
        <v>58703</v>
      </c>
      <c r="G1301" s="476">
        <v>58713</v>
      </c>
      <c r="H1301" s="476">
        <v>58724</v>
      </c>
      <c r="I1301" s="476">
        <v>58735</v>
      </c>
      <c r="J1301" s="476">
        <v>58746</v>
      </c>
      <c r="K1301" s="476">
        <v>58757</v>
      </c>
    </row>
    <row r="1302" spans="1:11">
      <c r="A1302" s="479">
        <v>6795.8</v>
      </c>
      <c r="B1302" s="476">
        <v>58767</v>
      </c>
      <c r="C1302" s="476">
        <v>58778</v>
      </c>
      <c r="D1302" s="476">
        <v>58789</v>
      </c>
      <c r="E1302" s="476">
        <v>58800</v>
      </c>
      <c r="F1302" s="476">
        <v>58811</v>
      </c>
      <c r="G1302" s="476">
        <v>58821</v>
      </c>
      <c r="H1302" s="476">
        <v>58832</v>
      </c>
      <c r="I1302" s="476">
        <v>58843</v>
      </c>
      <c r="J1302" s="476">
        <v>58854</v>
      </c>
      <c r="K1302" s="476">
        <v>58864</v>
      </c>
    </row>
    <row r="1303" spans="1:11">
      <c r="A1303" s="479">
        <v>6795.9</v>
      </c>
      <c r="B1303" s="476">
        <v>58875</v>
      </c>
      <c r="C1303" s="476">
        <v>58886</v>
      </c>
      <c r="D1303" s="476">
        <v>58897</v>
      </c>
      <c r="E1303" s="476">
        <v>58908</v>
      </c>
      <c r="F1303" s="476">
        <v>58918</v>
      </c>
      <c r="G1303" s="476">
        <v>58929</v>
      </c>
      <c r="H1303" s="476">
        <v>58940</v>
      </c>
      <c r="I1303" s="476">
        <v>58951</v>
      </c>
      <c r="J1303" s="476">
        <v>58962</v>
      </c>
      <c r="K1303" s="476">
        <v>58972</v>
      </c>
    </row>
    <row r="1304" spans="1:11">
      <c r="A1304" s="479">
        <v>6796</v>
      </c>
      <c r="B1304" s="476">
        <v>58983</v>
      </c>
      <c r="C1304" s="476">
        <v>58994</v>
      </c>
      <c r="D1304" s="476">
        <v>59005</v>
      </c>
      <c r="E1304" s="476">
        <v>59016</v>
      </c>
      <c r="F1304" s="476">
        <v>59027</v>
      </c>
      <c r="G1304" s="476">
        <v>59038</v>
      </c>
      <c r="H1304" s="476">
        <v>59048</v>
      </c>
      <c r="I1304" s="476">
        <v>59059</v>
      </c>
      <c r="J1304" s="476">
        <v>59070</v>
      </c>
      <c r="K1304" s="476">
        <v>59081</v>
      </c>
    </row>
    <row r="1305" spans="1:11">
      <c r="A1305" s="479">
        <v>6796.1</v>
      </c>
      <c r="B1305" s="476">
        <v>59092</v>
      </c>
      <c r="C1305" s="476">
        <v>59103</v>
      </c>
      <c r="D1305" s="476">
        <v>59114</v>
      </c>
      <c r="E1305" s="476">
        <v>59125</v>
      </c>
      <c r="F1305" s="476">
        <v>59136</v>
      </c>
      <c r="G1305" s="476">
        <v>59147</v>
      </c>
      <c r="H1305" s="476">
        <v>59157</v>
      </c>
      <c r="I1305" s="476">
        <v>59168</v>
      </c>
      <c r="J1305" s="476">
        <v>59179</v>
      </c>
      <c r="K1305" s="476">
        <v>59190</v>
      </c>
    </row>
    <row r="1306" spans="1:11">
      <c r="A1306" s="479">
        <v>6796.2</v>
      </c>
      <c r="B1306" s="476">
        <v>59201</v>
      </c>
      <c r="C1306" s="476">
        <v>59212</v>
      </c>
      <c r="D1306" s="476">
        <v>59223</v>
      </c>
      <c r="E1306" s="476">
        <v>59234</v>
      </c>
      <c r="F1306" s="476">
        <v>59245</v>
      </c>
      <c r="G1306" s="476">
        <v>59256</v>
      </c>
      <c r="H1306" s="476">
        <v>59266</v>
      </c>
      <c r="I1306" s="476">
        <v>59277</v>
      </c>
      <c r="J1306" s="476">
        <v>59288</v>
      </c>
      <c r="K1306" s="476">
        <v>59299</v>
      </c>
    </row>
    <row r="1307" spans="1:11">
      <c r="A1307" s="479">
        <v>6796.3</v>
      </c>
      <c r="B1307" s="476">
        <v>59310</v>
      </c>
      <c r="C1307" s="476">
        <v>59321</v>
      </c>
      <c r="D1307" s="476">
        <v>59332</v>
      </c>
      <c r="E1307" s="476">
        <v>59343</v>
      </c>
      <c r="F1307" s="476">
        <v>59354</v>
      </c>
      <c r="G1307" s="476">
        <v>59364</v>
      </c>
      <c r="H1307" s="476">
        <v>59375</v>
      </c>
      <c r="I1307" s="476">
        <v>59386</v>
      </c>
      <c r="J1307" s="476">
        <v>59397</v>
      </c>
      <c r="K1307" s="476">
        <v>59408</v>
      </c>
    </row>
    <row r="1308" spans="1:11">
      <c r="A1308" s="479">
        <v>6796.4</v>
      </c>
      <c r="B1308" s="476">
        <v>59419</v>
      </c>
      <c r="C1308" s="476">
        <v>59430</v>
      </c>
      <c r="D1308" s="476">
        <v>59441</v>
      </c>
      <c r="E1308" s="476">
        <v>59452</v>
      </c>
      <c r="F1308" s="476">
        <v>59463</v>
      </c>
      <c r="G1308" s="476">
        <v>59473</v>
      </c>
      <c r="H1308" s="476">
        <v>59484</v>
      </c>
      <c r="I1308" s="476">
        <v>59495</v>
      </c>
      <c r="J1308" s="476">
        <v>59506</v>
      </c>
      <c r="K1308" s="476">
        <v>59517</v>
      </c>
    </row>
    <row r="1309" spans="1:11">
      <c r="A1309" s="479">
        <v>6796.5</v>
      </c>
      <c r="B1309" s="476">
        <v>59528</v>
      </c>
      <c r="C1309" s="476">
        <v>59539</v>
      </c>
      <c r="D1309" s="476">
        <v>59550</v>
      </c>
      <c r="E1309" s="476">
        <v>59561</v>
      </c>
      <c r="F1309" s="476">
        <v>59572</v>
      </c>
      <c r="G1309" s="476">
        <v>59582</v>
      </c>
      <c r="H1309" s="476">
        <v>59593</v>
      </c>
      <c r="I1309" s="476">
        <v>59604</v>
      </c>
      <c r="J1309" s="476">
        <v>59615</v>
      </c>
      <c r="K1309" s="476">
        <v>59626</v>
      </c>
    </row>
    <row r="1310" spans="1:11">
      <c r="A1310" s="479">
        <v>6796.6</v>
      </c>
      <c r="B1310" s="476">
        <v>59637</v>
      </c>
      <c r="C1310" s="476">
        <v>59648</v>
      </c>
      <c r="D1310" s="476">
        <v>59659</v>
      </c>
      <c r="E1310" s="476">
        <v>59670</v>
      </c>
      <c r="F1310" s="476">
        <v>59680</v>
      </c>
      <c r="G1310" s="476">
        <v>59691</v>
      </c>
      <c r="H1310" s="476">
        <v>59702</v>
      </c>
      <c r="I1310" s="476">
        <v>59713</v>
      </c>
      <c r="J1310" s="476">
        <v>59724</v>
      </c>
      <c r="K1310" s="476">
        <v>59735</v>
      </c>
    </row>
    <row r="1311" spans="1:11">
      <c r="A1311" s="479">
        <v>6796.7</v>
      </c>
      <c r="B1311" s="476">
        <v>59746</v>
      </c>
      <c r="C1311" s="476">
        <v>59757</v>
      </c>
      <c r="D1311" s="476">
        <v>59768</v>
      </c>
      <c r="E1311" s="476">
        <v>59779</v>
      </c>
      <c r="F1311" s="476">
        <v>59789</v>
      </c>
      <c r="G1311" s="476">
        <v>59800</v>
      </c>
      <c r="H1311" s="476">
        <v>59811</v>
      </c>
      <c r="I1311" s="476">
        <v>59822</v>
      </c>
      <c r="J1311" s="476">
        <v>59833</v>
      </c>
      <c r="K1311" s="476">
        <v>59844</v>
      </c>
    </row>
    <row r="1312" spans="1:11">
      <c r="A1312" s="479">
        <v>6796.8</v>
      </c>
      <c r="B1312" s="476">
        <v>59855</v>
      </c>
      <c r="C1312" s="476">
        <v>59866</v>
      </c>
      <c r="D1312" s="476">
        <v>59877</v>
      </c>
      <c r="E1312" s="476">
        <v>59888</v>
      </c>
      <c r="F1312" s="476">
        <v>59898</v>
      </c>
      <c r="G1312" s="476">
        <v>59909</v>
      </c>
      <c r="H1312" s="476">
        <v>59920</v>
      </c>
      <c r="I1312" s="476">
        <v>59931</v>
      </c>
      <c r="J1312" s="476">
        <v>59942</v>
      </c>
      <c r="K1312" s="476">
        <v>59953</v>
      </c>
    </row>
    <row r="1313" spans="1:11">
      <c r="A1313" s="479">
        <v>6796.9</v>
      </c>
      <c r="B1313" s="476">
        <v>59964</v>
      </c>
      <c r="C1313" s="476">
        <v>59975</v>
      </c>
      <c r="D1313" s="476">
        <v>59986</v>
      </c>
      <c r="E1313" s="476">
        <v>59996</v>
      </c>
      <c r="F1313" s="476">
        <v>60007</v>
      </c>
      <c r="G1313" s="476">
        <v>60018</v>
      </c>
      <c r="H1313" s="476">
        <v>60029</v>
      </c>
      <c r="I1313" s="476">
        <v>60040</v>
      </c>
      <c r="J1313" s="476">
        <v>60051</v>
      </c>
      <c r="K1313" s="476">
        <v>60062</v>
      </c>
    </row>
    <row r="1314" spans="1:11">
      <c r="A1314" s="479">
        <v>6797</v>
      </c>
      <c r="B1314" s="476">
        <v>60073</v>
      </c>
      <c r="C1314" s="476">
        <v>60084</v>
      </c>
      <c r="D1314" s="476">
        <v>60095</v>
      </c>
      <c r="E1314" s="476">
        <v>60106</v>
      </c>
      <c r="F1314" s="476">
        <v>60117</v>
      </c>
      <c r="G1314" s="476">
        <v>60128</v>
      </c>
      <c r="H1314" s="476">
        <v>60139</v>
      </c>
      <c r="I1314" s="476">
        <v>60150</v>
      </c>
      <c r="J1314" s="476">
        <v>60161</v>
      </c>
      <c r="K1314" s="476">
        <v>60172</v>
      </c>
    </row>
    <row r="1315" spans="1:11">
      <c r="A1315" s="479">
        <v>6797.1</v>
      </c>
      <c r="B1315" s="476">
        <v>60183</v>
      </c>
      <c r="C1315" s="476">
        <v>60194</v>
      </c>
      <c r="D1315" s="476">
        <v>60205</v>
      </c>
      <c r="E1315" s="476">
        <v>60216</v>
      </c>
      <c r="F1315" s="476">
        <v>60227</v>
      </c>
      <c r="G1315" s="476">
        <v>60238</v>
      </c>
      <c r="H1315" s="476">
        <v>60249</v>
      </c>
      <c r="I1315" s="476">
        <v>60260</v>
      </c>
      <c r="J1315" s="476">
        <v>60271</v>
      </c>
      <c r="K1315" s="476">
        <v>60282</v>
      </c>
    </row>
    <row r="1316" spans="1:11">
      <c r="A1316" s="479">
        <v>6797.2</v>
      </c>
      <c r="B1316" s="476">
        <v>60293</v>
      </c>
      <c r="C1316" s="476">
        <v>60304</v>
      </c>
      <c r="D1316" s="476">
        <v>60315</v>
      </c>
      <c r="E1316" s="476">
        <v>60326</v>
      </c>
      <c r="F1316" s="476">
        <v>60337</v>
      </c>
      <c r="G1316" s="476">
        <v>60348</v>
      </c>
      <c r="H1316" s="476">
        <v>60359</v>
      </c>
      <c r="I1316" s="476">
        <v>60370</v>
      </c>
      <c r="J1316" s="476">
        <v>60381</v>
      </c>
      <c r="K1316" s="476">
        <v>60392</v>
      </c>
    </row>
    <row r="1317" spans="1:11">
      <c r="A1317" s="479">
        <v>6797.3</v>
      </c>
      <c r="B1317" s="476">
        <v>60403</v>
      </c>
      <c r="C1317" s="476">
        <v>60414</v>
      </c>
      <c r="D1317" s="476">
        <v>60425</v>
      </c>
      <c r="E1317" s="476">
        <v>60436</v>
      </c>
      <c r="F1317" s="476">
        <v>60447</v>
      </c>
      <c r="G1317" s="476">
        <v>60458</v>
      </c>
      <c r="H1317" s="476">
        <v>60469</v>
      </c>
      <c r="I1317" s="476">
        <v>60480</v>
      </c>
      <c r="J1317" s="476">
        <v>60491</v>
      </c>
      <c r="K1317" s="476">
        <v>60502</v>
      </c>
    </row>
    <row r="1318" spans="1:11">
      <c r="A1318" s="479">
        <v>6797.4</v>
      </c>
      <c r="B1318" s="476">
        <v>60513</v>
      </c>
      <c r="C1318" s="476">
        <v>60524</v>
      </c>
      <c r="D1318" s="476">
        <v>60535</v>
      </c>
      <c r="E1318" s="476">
        <v>60546</v>
      </c>
      <c r="F1318" s="476">
        <v>60557</v>
      </c>
      <c r="G1318" s="476">
        <v>60568</v>
      </c>
      <c r="H1318" s="476">
        <v>60579</v>
      </c>
      <c r="I1318" s="476">
        <v>60590</v>
      </c>
      <c r="J1318" s="476">
        <v>60601</v>
      </c>
      <c r="K1318" s="476">
        <v>60612</v>
      </c>
    </row>
    <row r="1319" spans="1:11">
      <c r="A1319" s="479">
        <v>6797.5</v>
      </c>
      <c r="B1319" s="476">
        <v>60623</v>
      </c>
      <c r="C1319" s="476">
        <v>60634</v>
      </c>
      <c r="D1319" s="476">
        <v>60645</v>
      </c>
      <c r="E1319" s="476">
        <v>60656</v>
      </c>
      <c r="F1319" s="476">
        <v>60667</v>
      </c>
      <c r="G1319" s="476">
        <v>60678</v>
      </c>
      <c r="H1319" s="476">
        <v>60689</v>
      </c>
      <c r="I1319" s="476">
        <v>60700</v>
      </c>
      <c r="J1319" s="476">
        <v>60711</v>
      </c>
      <c r="K1319" s="476">
        <v>60722</v>
      </c>
    </row>
    <row r="1320" spans="1:11">
      <c r="A1320" s="479">
        <v>6797.6</v>
      </c>
      <c r="B1320" s="476">
        <v>60733</v>
      </c>
      <c r="C1320" s="476">
        <v>60744</v>
      </c>
      <c r="D1320" s="476">
        <v>60755</v>
      </c>
      <c r="E1320" s="476">
        <v>60766</v>
      </c>
      <c r="F1320" s="476">
        <v>60777</v>
      </c>
      <c r="G1320" s="476">
        <v>60788</v>
      </c>
      <c r="H1320" s="476">
        <v>60799</v>
      </c>
      <c r="I1320" s="476">
        <v>60810</v>
      </c>
      <c r="J1320" s="476">
        <v>60821</v>
      </c>
      <c r="K1320" s="476">
        <v>60832</v>
      </c>
    </row>
    <row r="1321" spans="1:11">
      <c r="A1321" s="479">
        <v>6797.7</v>
      </c>
      <c r="B1321" s="476">
        <v>60843</v>
      </c>
      <c r="C1321" s="476">
        <v>60854</v>
      </c>
      <c r="D1321" s="476">
        <v>60865</v>
      </c>
      <c r="E1321" s="476">
        <v>60876</v>
      </c>
      <c r="F1321" s="476">
        <v>60887</v>
      </c>
      <c r="G1321" s="476">
        <v>60898</v>
      </c>
      <c r="H1321" s="476">
        <v>60909</v>
      </c>
      <c r="I1321" s="476">
        <v>60920</v>
      </c>
      <c r="J1321" s="476">
        <v>60931</v>
      </c>
      <c r="K1321" s="476">
        <v>60942</v>
      </c>
    </row>
    <row r="1322" spans="1:11">
      <c r="A1322" s="479">
        <v>6797.8</v>
      </c>
      <c r="B1322" s="476">
        <v>60953</v>
      </c>
      <c r="C1322" s="476">
        <v>60964</v>
      </c>
      <c r="D1322" s="476">
        <v>60975</v>
      </c>
      <c r="E1322" s="476">
        <v>60986</v>
      </c>
      <c r="F1322" s="476">
        <v>60997</v>
      </c>
      <c r="G1322" s="476">
        <v>61008</v>
      </c>
      <c r="H1322" s="476">
        <v>61019</v>
      </c>
      <c r="I1322" s="476">
        <v>61030</v>
      </c>
      <c r="J1322" s="476">
        <v>61041</v>
      </c>
      <c r="K1322" s="476">
        <v>61052</v>
      </c>
    </row>
    <row r="1323" spans="1:11">
      <c r="A1323" s="479">
        <v>6797.9</v>
      </c>
      <c r="B1323" s="476">
        <v>61063</v>
      </c>
      <c r="C1323" s="476">
        <v>61074</v>
      </c>
      <c r="D1323" s="476">
        <v>61085</v>
      </c>
      <c r="E1323" s="476">
        <v>61096</v>
      </c>
      <c r="F1323" s="476">
        <v>61107</v>
      </c>
      <c r="G1323" s="476">
        <v>61118</v>
      </c>
      <c r="H1323" s="476">
        <v>61129</v>
      </c>
      <c r="I1323" s="476">
        <v>61140</v>
      </c>
      <c r="J1323" s="476">
        <v>61151</v>
      </c>
      <c r="K1323" s="476">
        <v>61162</v>
      </c>
    </row>
    <row r="1324" spans="1:11">
      <c r="A1324" s="479">
        <v>6798</v>
      </c>
      <c r="B1324" s="476">
        <v>61173</v>
      </c>
      <c r="C1324" s="476">
        <v>61184</v>
      </c>
      <c r="D1324" s="476">
        <v>61196</v>
      </c>
      <c r="E1324" s="476">
        <v>61207</v>
      </c>
      <c r="F1324" s="476">
        <v>61218</v>
      </c>
      <c r="G1324" s="476">
        <v>61229</v>
      </c>
      <c r="H1324" s="476">
        <v>61240</v>
      </c>
      <c r="I1324" s="476">
        <v>61251</v>
      </c>
      <c r="J1324" s="476">
        <v>61262</v>
      </c>
      <c r="K1324" s="476">
        <v>61273</v>
      </c>
    </row>
    <row r="1325" spans="1:11">
      <c r="A1325" s="479">
        <v>6798.1</v>
      </c>
      <c r="B1325" s="476">
        <v>61284</v>
      </c>
      <c r="C1325" s="476">
        <v>61296</v>
      </c>
      <c r="D1325" s="476">
        <v>61307</v>
      </c>
      <c r="E1325" s="476">
        <v>61318</v>
      </c>
      <c r="F1325" s="476">
        <v>61329</v>
      </c>
      <c r="G1325" s="476">
        <v>61340</v>
      </c>
      <c r="H1325" s="476">
        <v>61351</v>
      </c>
      <c r="I1325" s="476">
        <v>61362</v>
      </c>
      <c r="J1325" s="476">
        <v>61373</v>
      </c>
      <c r="K1325" s="476">
        <v>61384</v>
      </c>
    </row>
    <row r="1326" spans="1:11">
      <c r="A1326" s="479">
        <v>6798.2</v>
      </c>
      <c r="B1326" s="476">
        <v>61396</v>
      </c>
      <c r="C1326" s="476">
        <v>61407</v>
      </c>
      <c r="D1326" s="476">
        <v>61418</v>
      </c>
      <c r="E1326" s="476">
        <v>61429</v>
      </c>
      <c r="F1326" s="476">
        <v>61440</v>
      </c>
      <c r="G1326" s="476">
        <v>61451</v>
      </c>
      <c r="H1326" s="476">
        <v>61462</v>
      </c>
      <c r="I1326" s="476">
        <v>61473</v>
      </c>
      <c r="J1326" s="476">
        <v>61485</v>
      </c>
      <c r="K1326" s="476">
        <v>61496</v>
      </c>
    </row>
    <row r="1327" spans="1:11">
      <c r="A1327" s="479">
        <v>6798.3</v>
      </c>
      <c r="B1327" s="476">
        <v>61507</v>
      </c>
      <c r="C1327" s="476">
        <v>61518</v>
      </c>
      <c r="D1327" s="476">
        <v>61529</v>
      </c>
      <c r="E1327" s="476">
        <v>61540</v>
      </c>
      <c r="F1327" s="476">
        <v>61551</v>
      </c>
      <c r="G1327" s="476">
        <v>61562</v>
      </c>
      <c r="H1327" s="476">
        <v>61573</v>
      </c>
      <c r="I1327" s="476">
        <v>61585</v>
      </c>
      <c r="J1327" s="476">
        <v>61596</v>
      </c>
      <c r="K1327" s="476">
        <v>61607</v>
      </c>
    </row>
    <row r="1328" spans="1:11">
      <c r="A1328" s="479">
        <v>6798.4</v>
      </c>
      <c r="B1328" s="476">
        <v>61618</v>
      </c>
      <c r="C1328" s="476">
        <v>61629</v>
      </c>
      <c r="D1328" s="476">
        <v>61640</v>
      </c>
      <c r="E1328" s="476">
        <v>61651</v>
      </c>
      <c r="F1328" s="476">
        <v>61662</v>
      </c>
      <c r="G1328" s="476">
        <v>61673</v>
      </c>
      <c r="H1328" s="476">
        <v>61685</v>
      </c>
      <c r="I1328" s="476">
        <v>61696</v>
      </c>
      <c r="J1328" s="476">
        <v>61707</v>
      </c>
      <c r="K1328" s="476">
        <v>61718</v>
      </c>
    </row>
    <row r="1329" spans="1:11">
      <c r="A1329" s="479">
        <v>6798.5</v>
      </c>
      <c r="B1329" s="476">
        <v>61729</v>
      </c>
      <c r="C1329" s="476">
        <v>61740</v>
      </c>
      <c r="D1329" s="476">
        <v>61751</v>
      </c>
      <c r="E1329" s="476">
        <v>61762</v>
      </c>
      <c r="F1329" s="476">
        <v>61773</v>
      </c>
      <c r="G1329" s="476">
        <v>61785</v>
      </c>
      <c r="H1329" s="476">
        <v>61796</v>
      </c>
      <c r="I1329" s="476">
        <v>61807</v>
      </c>
      <c r="J1329" s="476">
        <v>61818</v>
      </c>
      <c r="K1329" s="476">
        <v>61829</v>
      </c>
    </row>
    <row r="1330" spans="1:11">
      <c r="A1330" s="479">
        <v>6798.6</v>
      </c>
      <c r="B1330" s="476">
        <v>61840</v>
      </c>
      <c r="C1330" s="476">
        <v>61851</v>
      </c>
      <c r="D1330" s="476">
        <v>61862</v>
      </c>
      <c r="E1330" s="476">
        <v>61873</v>
      </c>
      <c r="F1330" s="476">
        <v>61885</v>
      </c>
      <c r="G1330" s="476">
        <v>61896</v>
      </c>
      <c r="H1330" s="476">
        <v>61907</v>
      </c>
      <c r="I1330" s="476">
        <v>61918</v>
      </c>
      <c r="J1330" s="476">
        <v>61929</v>
      </c>
      <c r="K1330" s="476">
        <v>61940</v>
      </c>
    </row>
    <row r="1331" spans="1:11">
      <c r="A1331" s="479">
        <v>6798.7</v>
      </c>
      <c r="B1331" s="476">
        <v>61951</v>
      </c>
      <c r="C1331" s="476">
        <v>61962</v>
      </c>
      <c r="D1331" s="476">
        <v>61973</v>
      </c>
      <c r="E1331" s="476">
        <v>61985</v>
      </c>
      <c r="F1331" s="476">
        <v>61996</v>
      </c>
      <c r="G1331" s="476">
        <v>62007</v>
      </c>
      <c r="H1331" s="476">
        <v>62018</v>
      </c>
      <c r="I1331" s="476">
        <v>62029</v>
      </c>
      <c r="J1331" s="476">
        <v>62040</v>
      </c>
      <c r="K1331" s="476">
        <v>62051</v>
      </c>
    </row>
    <row r="1332" spans="1:11">
      <c r="A1332" s="479">
        <v>6798.8</v>
      </c>
      <c r="B1332" s="476">
        <v>62062</v>
      </c>
      <c r="C1332" s="476">
        <v>62073</v>
      </c>
      <c r="D1332" s="476">
        <v>62085</v>
      </c>
      <c r="E1332" s="476">
        <v>62096</v>
      </c>
      <c r="F1332" s="476">
        <v>62107</v>
      </c>
      <c r="G1332" s="476">
        <v>62118</v>
      </c>
      <c r="H1332" s="476">
        <v>62129</v>
      </c>
      <c r="I1332" s="476">
        <v>62140</v>
      </c>
      <c r="J1332" s="476">
        <v>62151</v>
      </c>
      <c r="K1332" s="476">
        <v>62162</v>
      </c>
    </row>
    <row r="1333" spans="1:11">
      <c r="A1333" s="479">
        <v>6798.9</v>
      </c>
      <c r="B1333" s="476">
        <v>62174</v>
      </c>
      <c r="C1333" s="476">
        <v>62185</v>
      </c>
      <c r="D1333" s="476">
        <v>62196</v>
      </c>
      <c r="E1333" s="476">
        <v>62207</v>
      </c>
      <c r="F1333" s="476">
        <v>62218</v>
      </c>
      <c r="G1333" s="476">
        <v>62229</v>
      </c>
      <c r="H1333" s="476">
        <v>62240</v>
      </c>
      <c r="I1333" s="476">
        <v>62251</v>
      </c>
      <c r="J1333" s="476">
        <v>62262</v>
      </c>
      <c r="K1333" s="476">
        <v>62274</v>
      </c>
    </row>
    <row r="1334" spans="1:11">
      <c r="A1334" s="479">
        <v>6799</v>
      </c>
      <c r="B1334" s="476">
        <v>62285</v>
      </c>
      <c r="C1334" s="476">
        <v>62296</v>
      </c>
      <c r="D1334" s="476">
        <v>62307</v>
      </c>
      <c r="E1334" s="476">
        <v>62318</v>
      </c>
      <c r="F1334" s="476">
        <v>62330</v>
      </c>
      <c r="G1334" s="476">
        <v>62341</v>
      </c>
      <c r="H1334" s="476">
        <v>62352</v>
      </c>
      <c r="I1334" s="476">
        <v>62363</v>
      </c>
      <c r="J1334" s="476">
        <v>62374</v>
      </c>
      <c r="K1334" s="476">
        <v>62386</v>
      </c>
    </row>
    <row r="1335" spans="1:11">
      <c r="A1335" s="479">
        <v>6799.1</v>
      </c>
      <c r="B1335" s="476">
        <v>62397</v>
      </c>
      <c r="C1335" s="476">
        <v>62408</v>
      </c>
      <c r="D1335" s="476">
        <v>62419</v>
      </c>
      <c r="E1335" s="476">
        <v>62430</v>
      </c>
      <c r="F1335" s="476">
        <v>62442</v>
      </c>
      <c r="G1335" s="476">
        <v>62453</v>
      </c>
      <c r="H1335" s="476">
        <v>62464</v>
      </c>
      <c r="I1335" s="476">
        <v>62475</v>
      </c>
      <c r="J1335" s="476">
        <v>62487</v>
      </c>
      <c r="K1335" s="476">
        <v>62498</v>
      </c>
    </row>
    <row r="1336" spans="1:11">
      <c r="A1336" s="479">
        <v>6799.2</v>
      </c>
      <c r="B1336" s="476">
        <v>62509</v>
      </c>
      <c r="C1336" s="476">
        <v>62520</v>
      </c>
      <c r="D1336" s="476">
        <v>62531</v>
      </c>
      <c r="E1336" s="476">
        <v>62543</v>
      </c>
      <c r="F1336" s="476">
        <v>62554</v>
      </c>
      <c r="G1336" s="476">
        <v>62565</v>
      </c>
      <c r="H1336" s="476">
        <v>62576</v>
      </c>
      <c r="I1336" s="476">
        <v>62588</v>
      </c>
      <c r="J1336" s="476">
        <v>62599</v>
      </c>
      <c r="K1336" s="476">
        <v>62610</v>
      </c>
    </row>
    <row r="1337" spans="1:11">
      <c r="A1337" s="479">
        <v>6799.3</v>
      </c>
      <c r="B1337" s="476">
        <v>62621</v>
      </c>
      <c r="C1337" s="476">
        <v>62632</v>
      </c>
      <c r="D1337" s="476">
        <v>62644</v>
      </c>
      <c r="E1337" s="476">
        <v>62655</v>
      </c>
      <c r="F1337" s="476">
        <v>62666</v>
      </c>
      <c r="G1337" s="476">
        <v>62677</v>
      </c>
      <c r="H1337" s="476">
        <v>62688</v>
      </c>
      <c r="I1337" s="476">
        <v>62700</v>
      </c>
      <c r="J1337" s="476">
        <v>62711</v>
      </c>
      <c r="K1337" s="476">
        <v>62722</v>
      </c>
    </row>
    <row r="1338" spans="1:11">
      <c r="A1338" s="479">
        <v>6799.4</v>
      </c>
      <c r="B1338" s="476">
        <v>62733</v>
      </c>
      <c r="C1338" s="476">
        <v>62745</v>
      </c>
      <c r="D1338" s="476">
        <v>62756</v>
      </c>
      <c r="E1338" s="476">
        <v>62767</v>
      </c>
      <c r="F1338" s="476">
        <v>62778</v>
      </c>
      <c r="G1338" s="476">
        <v>62789</v>
      </c>
      <c r="H1338" s="476">
        <v>62801</v>
      </c>
      <c r="I1338" s="476">
        <v>62812</v>
      </c>
      <c r="J1338" s="476">
        <v>62823</v>
      </c>
      <c r="K1338" s="476">
        <v>62834</v>
      </c>
    </row>
    <row r="1339" spans="1:11">
      <c r="A1339" s="479">
        <v>6799.5</v>
      </c>
      <c r="B1339" s="476">
        <v>62846</v>
      </c>
      <c r="C1339" s="476">
        <v>62857</v>
      </c>
      <c r="D1339" s="476">
        <v>62868</v>
      </c>
      <c r="E1339" s="476">
        <v>62879</v>
      </c>
      <c r="F1339" s="476">
        <v>62890</v>
      </c>
      <c r="G1339" s="476">
        <v>62902</v>
      </c>
      <c r="H1339" s="476">
        <v>62913</v>
      </c>
      <c r="I1339" s="476">
        <v>62924</v>
      </c>
      <c r="J1339" s="476">
        <v>62935</v>
      </c>
      <c r="K1339" s="476">
        <v>62946</v>
      </c>
    </row>
    <row r="1340" spans="1:11">
      <c r="A1340" s="479">
        <v>6799.6</v>
      </c>
      <c r="B1340" s="476">
        <v>62958</v>
      </c>
      <c r="C1340" s="476">
        <v>62969</v>
      </c>
      <c r="D1340" s="476">
        <v>62980</v>
      </c>
      <c r="E1340" s="476">
        <v>62991</v>
      </c>
      <c r="F1340" s="476">
        <v>63003</v>
      </c>
      <c r="G1340" s="476">
        <v>63014</v>
      </c>
      <c r="H1340" s="476">
        <v>63025</v>
      </c>
      <c r="I1340" s="476">
        <v>63036</v>
      </c>
      <c r="J1340" s="476">
        <v>63047</v>
      </c>
      <c r="K1340" s="476">
        <v>63059</v>
      </c>
    </row>
    <row r="1341" spans="1:11">
      <c r="A1341" s="479">
        <v>6799.7</v>
      </c>
      <c r="B1341" s="476">
        <v>63070</v>
      </c>
      <c r="C1341" s="476">
        <v>63081</v>
      </c>
      <c r="D1341" s="476">
        <v>63092</v>
      </c>
      <c r="E1341" s="476">
        <v>63104</v>
      </c>
      <c r="F1341" s="476">
        <v>63115</v>
      </c>
      <c r="G1341" s="476">
        <v>63126</v>
      </c>
      <c r="H1341" s="476">
        <v>63137</v>
      </c>
      <c r="I1341" s="476">
        <v>63148</v>
      </c>
      <c r="J1341" s="476">
        <v>63160</v>
      </c>
      <c r="K1341" s="476">
        <v>63171</v>
      </c>
    </row>
    <row r="1342" spans="1:11">
      <c r="A1342" s="479">
        <v>6799.8</v>
      </c>
      <c r="B1342" s="476">
        <v>63182</v>
      </c>
      <c r="C1342" s="476">
        <v>63193</v>
      </c>
      <c r="D1342" s="476">
        <v>63205</v>
      </c>
      <c r="E1342" s="476">
        <v>63216</v>
      </c>
      <c r="F1342" s="476">
        <v>63227</v>
      </c>
      <c r="G1342" s="476">
        <v>63238</v>
      </c>
      <c r="H1342" s="476">
        <v>63249</v>
      </c>
      <c r="I1342" s="476">
        <v>63261</v>
      </c>
      <c r="J1342" s="476">
        <v>63272</v>
      </c>
      <c r="K1342" s="476">
        <v>63283</v>
      </c>
    </row>
    <row r="1343" spans="1:11">
      <c r="A1343" s="479">
        <v>6799.9</v>
      </c>
      <c r="B1343" s="476">
        <v>63294</v>
      </c>
      <c r="C1343" s="476">
        <v>63305</v>
      </c>
      <c r="D1343" s="476">
        <v>63317</v>
      </c>
      <c r="E1343" s="476">
        <v>63328</v>
      </c>
      <c r="F1343" s="476">
        <v>63339</v>
      </c>
      <c r="G1343" s="476">
        <v>63350</v>
      </c>
      <c r="H1343" s="476">
        <v>63362</v>
      </c>
      <c r="I1343" s="476">
        <v>63373</v>
      </c>
      <c r="J1343" s="476">
        <v>63384</v>
      </c>
      <c r="K1343" s="476">
        <v>63395</v>
      </c>
    </row>
    <row r="1344" spans="1:11">
      <c r="A1344" s="479">
        <v>6800</v>
      </c>
      <c r="B1344" s="476">
        <v>63406</v>
      </c>
      <c r="C1344" s="476">
        <v>63418</v>
      </c>
      <c r="D1344" s="476">
        <v>63429</v>
      </c>
      <c r="E1344" s="476">
        <v>63440</v>
      </c>
      <c r="F1344" s="476">
        <v>63452</v>
      </c>
      <c r="G1344" s="476">
        <v>63463</v>
      </c>
      <c r="H1344" s="476">
        <v>63474</v>
      </c>
      <c r="I1344" s="476">
        <v>63486</v>
      </c>
      <c r="J1344" s="476">
        <v>63497</v>
      </c>
      <c r="K1344" s="476">
        <v>63508</v>
      </c>
    </row>
    <row r="1345" spans="1:11">
      <c r="A1345" s="479">
        <v>6800.1</v>
      </c>
      <c r="B1345" s="476">
        <v>63520</v>
      </c>
      <c r="C1345" s="476">
        <v>63531</v>
      </c>
      <c r="D1345" s="476">
        <v>63542</v>
      </c>
      <c r="E1345" s="476">
        <v>63554</v>
      </c>
      <c r="F1345" s="476">
        <v>63565</v>
      </c>
      <c r="G1345" s="476">
        <v>63576</v>
      </c>
      <c r="H1345" s="476">
        <v>63588</v>
      </c>
      <c r="I1345" s="476">
        <v>63599</v>
      </c>
      <c r="J1345" s="476">
        <v>63610</v>
      </c>
      <c r="K1345" s="476">
        <v>63622</v>
      </c>
    </row>
    <row r="1346" spans="1:11">
      <c r="A1346" s="479">
        <v>6800.2</v>
      </c>
      <c r="B1346" s="476">
        <v>63633</v>
      </c>
      <c r="C1346" s="476">
        <v>63644</v>
      </c>
      <c r="D1346" s="476">
        <v>63656</v>
      </c>
      <c r="E1346" s="476">
        <v>63667</v>
      </c>
      <c r="F1346" s="476">
        <v>63678</v>
      </c>
      <c r="G1346" s="476">
        <v>63689</v>
      </c>
      <c r="H1346" s="476">
        <v>63701</v>
      </c>
      <c r="I1346" s="476">
        <v>63712</v>
      </c>
      <c r="J1346" s="476">
        <v>63723</v>
      </c>
      <c r="K1346" s="476">
        <v>63735</v>
      </c>
    </row>
    <row r="1347" spans="1:11">
      <c r="A1347" s="479">
        <v>6800.3</v>
      </c>
      <c r="B1347" s="476">
        <v>63746</v>
      </c>
      <c r="C1347" s="476">
        <v>63757</v>
      </c>
      <c r="D1347" s="476">
        <v>63769</v>
      </c>
      <c r="E1347" s="476">
        <v>63780</v>
      </c>
      <c r="F1347" s="476">
        <v>63791</v>
      </c>
      <c r="G1347" s="476">
        <v>63803</v>
      </c>
      <c r="H1347" s="476">
        <v>63814</v>
      </c>
      <c r="I1347" s="476">
        <v>63825</v>
      </c>
      <c r="J1347" s="476">
        <v>63837</v>
      </c>
      <c r="K1347" s="476">
        <v>63848</v>
      </c>
    </row>
    <row r="1348" spans="1:11">
      <c r="A1348" s="479">
        <v>6800.4</v>
      </c>
      <c r="B1348" s="476">
        <v>63859</v>
      </c>
      <c r="C1348" s="476">
        <v>63871</v>
      </c>
      <c r="D1348" s="476">
        <v>63882</v>
      </c>
      <c r="E1348" s="476">
        <v>63893</v>
      </c>
      <c r="F1348" s="476">
        <v>63905</v>
      </c>
      <c r="G1348" s="476">
        <v>63916</v>
      </c>
      <c r="H1348" s="476">
        <v>63927</v>
      </c>
      <c r="I1348" s="476">
        <v>63939</v>
      </c>
      <c r="J1348" s="476">
        <v>63950</v>
      </c>
      <c r="K1348" s="476">
        <v>63961</v>
      </c>
    </row>
    <row r="1349" spans="1:11">
      <c r="A1349" s="479">
        <v>6800.5</v>
      </c>
      <c r="B1349" s="476">
        <v>63973</v>
      </c>
      <c r="C1349" s="476">
        <v>63984</v>
      </c>
      <c r="D1349" s="476">
        <v>63995</v>
      </c>
      <c r="E1349" s="476">
        <v>64006</v>
      </c>
      <c r="F1349" s="476">
        <v>64018</v>
      </c>
      <c r="G1349" s="476">
        <v>64029</v>
      </c>
      <c r="H1349" s="476">
        <v>64040</v>
      </c>
      <c r="I1349" s="476">
        <v>64052</v>
      </c>
      <c r="J1349" s="476">
        <v>64063</v>
      </c>
      <c r="K1349" s="476">
        <v>64074</v>
      </c>
    </row>
    <row r="1350" spans="1:11">
      <c r="A1350" s="479">
        <v>6800.6</v>
      </c>
      <c r="B1350" s="476">
        <v>64086</v>
      </c>
      <c r="C1350" s="476">
        <v>64097</v>
      </c>
      <c r="D1350" s="476">
        <v>64108</v>
      </c>
      <c r="E1350" s="476">
        <v>64120</v>
      </c>
      <c r="F1350" s="476">
        <v>64131</v>
      </c>
      <c r="G1350" s="476">
        <v>64142</v>
      </c>
      <c r="H1350" s="476">
        <v>64154</v>
      </c>
      <c r="I1350" s="476">
        <v>64165</v>
      </c>
      <c r="J1350" s="476">
        <v>64176</v>
      </c>
      <c r="K1350" s="476">
        <v>64188</v>
      </c>
    </row>
    <row r="1351" spans="1:11">
      <c r="A1351" s="479">
        <v>6800.7</v>
      </c>
      <c r="B1351" s="476">
        <v>64199</v>
      </c>
      <c r="C1351" s="476">
        <v>64210</v>
      </c>
      <c r="D1351" s="476">
        <v>64222</v>
      </c>
      <c r="E1351" s="476">
        <v>64233</v>
      </c>
      <c r="F1351" s="476">
        <v>64244</v>
      </c>
      <c r="G1351" s="476">
        <v>64256</v>
      </c>
      <c r="H1351" s="476">
        <v>64267</v>
      </c>
      <c r="I1351" s="476">
        <v>64278</v>
      </c>
      <c r="J1351" s="476">
        <v>64290</v>
      </c>
      <c r="K1351" s="476">
        <v>64301</v>
      </c>
    </row>
    <row r="1352" spans="1:11">
      <c r="A1352" s="479">
        <v>6800.8</v>
      </c>
      <c r="B1352" s="476">
        <v>64312</v>
      </c>
      <c r="C1352" s="476">
        <v>64323</v>
      </c>
      <c r="D1352" s="476">
        <v>64335</v>
      </c>
      <c r="E1352" s="476">
        <v>64346</v>
      </c>
      <c r="F1352" s="476">
        <v>64357</v>
      </c>
      <c r="G1352" s="476">
        <v>64369</v>
      </c>
      <c r="H1352" s="476">
        <v>64380</v>
      </c>
      <c r="I1352" s="476">
        <v>64391</v>
      </c>
      <c r="J1352" s="476">
        <v>64403</v>
      </c>
      <c r="K1352" s="476">
        <v>64414</v>
      </c>
    </row>
    <row r="1353" spans="1:11">
      <c r="A1353" s="479">
        <v>6800.9</v>
      </c>
      <c r="B1353" s="476">
        <v>64425</v>
      </c>
      <c r="C1353" s="476">
        <v>64437</v>
      </c>
      <c r="D1353" s="476">
        <v>64448</v>
      </c>
      <c r="E1353" s="476">
        <v>64459</v>
      </c>
      <c r="F1353" s="476">
        <v>64471</v>
      </c>
      <c r="G1353" s="476">
        <v>64482</v>
      </c>
      <c r="H1353" s="476">
        <v>64493</v>
      </c>
      <c r="I1353" s="476">
        <v>64505</v>
      </c>
      <c r="J1353" s="476">
        <v>64516</v>
      </c>
      <c r="K1353" s="476">
        <v>64527</v>
      </c>
    </row>
    <row r="1354" spans="1:11">
      <c r="A1354" s="479">
        <v>6801</v>
      </c>
      <c r="B1354" s="476">
        <v>64539</v>
      </c>
      <c r="C1354" s="476">
        <v>64550</v>
      </c>
      <c r="D1354" s="476">
        <v>64561</v>
      </c>
      <c r="E1354" s="476">
        <v>64573</v>
      </c>
      <c r="F1354" s="476">
        <v>64584</v>
      </c>
      <c r="G1354" s="476">
        <v>64596</v>
      </c>
      <c r="H1354" s="476">
        <v>64607</v>
      </c>
      <c r="I1354" s="476">
        <v>64619</v>
      </c>
      <c r="J1354" s="476">
        <v>64630</v>
      </c>
      <c r="K1354" s="476">
        <v>64641</v>
      </c>
    </row>
    <row r="1355" spans="1:11">
      <c r="A1355" s="479">
        <v>6801.1</v>
      </c>
      <c r="B1355" s="476">
        <v>64653</v>
      </c>
      <c r="C1355" s="476">
        <v>64664</v>
      </c>
      <c r="D1355" s="476">
        <v>64676</v>
      </c>
      <c r="E1355" s="476">
        <v>64687</v>
      </c>
      <c r="F1355" s="476">
        <v>64699</v>
      </c>
      <c r="G1355" s="476">
        <v>64710</v>
      </c>
      <c r="H1355" s="476">
        <v>64721</v>
      </c>
      <c r="I1355" s="476">
        <v>64733</v>
      </c>
      <c r="J1355" s="476">
        <v>64744</v>
      </c>
      <c r="K1355" s="476">
        <v>64756</v>
      </c>
    </row>
    <row r="1356" spans="1:11">
      <c r="A1356" s="479">
        <v>6801.2</v>
      </c>
      <c r="B1356" s="476">
        <v>64767</v>
      </c>
      <c r="C1356" s="476">
        <v>64779</v>
      </c>
      <c r="D1356" s="476">
        <v>64790</v>
      </c>
      <c r="E1356" s="476">
        <v>64801</v>
      </c>
      <c r="F1356" s="476">
        <v>64813</v>
      </c>
      <c r="G1356" s="476">
        <v>64824</v>
      </c>
      <c r="H1356" s="476">
        <v>64836</v>
      </c>
      <c r="I1356" s="476">
        <v>64847</v>
      </c>
      <c r="J1356" s="476">
        <v>64859</v>
      </c>
      <c r="K1356" s="476">
        <v>64870</v>
      </c>
    </row>
    <row r="1357" spans="1:11">
      <c r="A1357" s="479">
        <v>6801.3</v>
      </c>
      <c r="B1357" s="476">
        <v>64881</v>
      </c>
      <c r="C1357" s="476">
        <v>64893</v>
      </c>
      <c r="D1357" s="476">
        <v>64904</v>
      </c>
      <c r="E1357" s="476">
        <v>64916</v>
      </c>
      <c r="F1357" s="476">
        <v>64927</v>
      </c>
      <c r="G1357" s="476">
        <v>64939</v>
      </c>
      <c r="H1357" s="476">
        <v>64950</v>
      </c>
      <c r="I1357" s="476">
        <v>64961</v>
      </c>
      <c r="J1357" s="476">
        <v>64973</v>
      </c>
      <c r="K1357" s="476">
        <v>64984</v>
      </c>
    </row>
    <row r="1358" spans="1:11">
      <c r="A1358" s="479">
        <v>6801.4</v>
      </c>
      <c r="B1358" s="476">
        <v>64996</v>
      </c>
      <c r="C1358" s="476">
        <v>65007</v>
      </c>
      <c r="D1358" s="476">
        <v>65019</v>
      </c>
      <c r="E1358" s="476">
        <v>65030</v>
      </c>
      <c r="F1358" s="476">
        <v>65041</v>
      </c>
      <c r="G1358" s="476">
        <v>65053</v>
      </c>
      <c r="H1358" s="476">
        <v>65064</v>
      </c>
      <c r="I1358" s="476">
        <v>65076</v>
      </c>
      <c r="J1358" s="476">
        <v>65087</v>
      </c>
      <c r="K1358" s="476">
        <v>65099</v>
      </c>
    </row>
    <row r="1359" spans="1:11">
      <c r="A1359" s="479">
        <v>6801.5</v>
      </c>
      <c r="B1359" s="476">
        <v>65110</v>
      </c>
      <c r="C1359" s="476">
        <v>65121</v>
      </c>
      <c r="D1359" s="476">
        <v>65133</v>
      </c>
      <c r="E1359" s="476">
        <v>65144</v>
      </c>
      <c r="F1359" s="476">
        <v>65156</v>
      </c>
      <c r="G1359" s="476">
        <v>65167</v>
      </c>
      <c r="H1359" s="476">
        <v>65179</v>
      </c>
      <c r="I1359" s="476">
        <v>65190</v>
      </c>
      <c r="J1359" s="476">
        <v>65201</v>
      </c>
      <c r="K1359" s="476">
        <v>65213</v>
      </c>
    </row>
    <row r="1360" spans="1:11">
      <c r="A1360" s="479">
        <v>6801.6</v>
      </c>
      <c r="B1360" s="476">
        <v>65224</v>
      </c>
      <c r="C1360" s="476">
        <v>65236</v>
      </c>
      <c r="D1360" s="476">
        <v>65247</v>
      </c>
      <c r="E1360" s="476">
        <v>65259</v>
      </c>
      <c r="F1360" s="476">
        <v>65270</v>
      </c>
      <c r="G1360" s="476">
        <v>65281</v>
      </c>
      <c r="H1360" s="476">
        <v>65293</v>
      </c>
      <c r="I1360" s="476">
        <v>65304</v>
      </c>
      <c r="J1360" s="476">
        <v>65316</v>
      </c>
      <c r="K1360" s="476">
        <v>65327</v>
      </c>
    </row>
    <row r="1361" spans="1:11">
      <c r="A1361" s="479">
        <v>6801.7</v>
      </c>
      <c r="B1361" s="476">
        <v>65339</v>
      </c>
      <c r="C1361" s="476">
        <v>65350</v>
      </c>
      <c r="D1361" s="476">
        <v>65361</v>
      </c>
      <c r="E1361" s="476">
        <v>65373</v>
      </c>
      <c r="F1361" s="476">
        <v>65384</v>
      </c>
      <c r="G1361" s="476">
        <v>65396</v>
      </c>
      <c r="H1361" s="476">
        <v>65407</v>
      </c>
      <c r="I1361" s="476">
        <v>65419</v>
      </c>
      <c r="J1361" s="476">
        <v>65430</v>
      </c>
      <c r="K1361" s="476">
        <v>65441</v>
      </c>
    </row>
    <row r="1362" spans="1:11">
      <c r="A1362" s="479">
        <v>6801.8</v>
      </c>
      <c r="B1362" s="476">
        <v>65453</v>
      </c>
      <c r="C1362" s="476">
        <v>65464</v>
      </c>
      <c r="D1362" s="476">
        <v>65476</v>
      </c>
      <c r="E1362" s="476">
        <v>65487</v>
      </c>
      <c r="F1362" s="476">
        <v>65499</v>
      </c>
      <c r="G1362" s="476">
        <v>65510</v>
      </c>
      <c r="H1362" s="476">
        <v>65521</v>
      </c>
      <c r="I1362" s="476">
        <v>65533</v>
      </c>
      <c r="J1362" s="476">
        <v>65544</v>
      </c>
      <c r="K1362" s="476">
        <v>65556</v>
      </c>
    </row>
    <row r="1363" spans="1:11">
      <c r="A1363" s="479">
        <v>6801.9</v>
      </c>
      <c r="B1363" s="476">
        <v>65567</v>
      </c>
      <c r="C1363" s="476">
        <v>65579</v>
      </c>
      <c r="D1363" s="476">
        <v>65590</v>
      </c>
      <c r="E1363" s="476">
        <v>65601</v>
      </c>
      <c r="F1363" s="476">
        <v>65613</v>
      </c>
      <c r="G1363" s="476">
        <v>65624</v>
      </c>
      <c r="H1363" s="476">
        <v>65636</v>
      </c>
      <c r="I1363" s="476">
        <v>65647</v>
      </c>
      <c r="J1363" s="476">
        <v>65659</v>
      </c>
      <c r="K1363" s="476">
        <v>65670</v>
      </c>
    </row>
    <row r="1364" spans="1:11">
      <c r="A1364" s="479">
        <v>6802</v>
      </c>
      <c r="B1364" s="476">
        <v>65681</v>
      </c>
      <c r="C1364" s="476">
        <v>65693</v>
      </c>
      <c r="D1364" s="476">
        <v>65704</v>
      </c>
      <c r="E1364" s="476">
        <v>65716</v>
      </c>
      <c r="F1364" s="476">
        <v>65728</v>
      </c>
      <c r="G1364" s="476">
        <v>65739</v>
      </c>
      <c r="H1364" s="476">
        <v>65751</v>
      </c>
      <c r="I1364" s="476">
        <v>65762</v>
      </c>
      <c r="J1364" s="476">
        <v>65774</v>
      </c>
      <c r="K1364" s="476">
        <v>65785</v>
      </c>
    </row>
    <row r="1365" spans="1:11">
      <c r="A1365" s="479">
        <v>6802.1</v>
      </c>
      <c r="B1365" s="476">
        <v>65797</v>
      </c>
      <c r="C1365" s="476">
        <v>65808</v>
      </c>
      <c r="D1365" s="476">
        <v>65820</v>
      </c>
      <c r="E1365" s="476">
        <v>65831</v>
      </c>
      <c r="F1365" s="476">
        <v>65843</v>
      </c>
      <c r="G1365" s="476">
        <v>65854</v>
      </c>
      <c r="H1365" s="476">
        <v>65866</v>
      </c>
      <c r="I1365" s="476">
        <v>65878</v>
      </c>
      <c r="J1365" s="476">
        <v>65889</v>
      </c>
      <c r="K1365" s="476">
        <v>65901</v>
      </c>
    </row>
    <row r="1366" spans="1:11">
      <c r="A1366" s="479">
        <v>6802.2</v>
      </c>
      <c r="B1366" s="476">
        <v>65912</v>
      </c>
      <c r="C1366" s="476">
        <v>65924</v>
      </c>
      <c r="D1366" s="476">
        <v>65935</v>
      </c>
      <c r="E1366" s="476">
        <v>65947</v>
      </c>
      <c r="F1366" s="476">
        <v>65958</v>
      </c>
      <c r="G1366" s="476">
        <v>65970</v>
      </c>
      <c r="H1366" s="476">
        <v>65981</v>
      </c>
      <c r="I1366" s="476">
        <v>65993</v>
      </c>
      <c r="J1366" s="476">
        <v>66004</v>
      </c>
      <c r="K1366" s="476">
        <v>66016</v>
      </c>
    </row>
    <row r="1367" spans="1:11">
      <c r="A1367" s="479">
        <v>6802.3</v>
      </c>
      <c r="B1367" s="476">
        <v>66028</v>
      </c>
      <c r="C1367" s="476">
        <v>66039</v>
      </c>
      <c r="D1367" s="476">
        <v>66051</v>
      </c>
      <c r="E1367" s="476">
        <v>66062</v>
      </c>
      <c r="F1367" s="476">
        <v>66074</v>
      </c>
      <c r="G1367" s="476">
        <v>66085</v>
      </c>
      <c r="H1367" s="476">
        <v>66097</v>
      </c>
      <c r="I1367" s="476">
        <v>66108</v>
      </c>
      <c r="J1367" s="476">
        <v>66120</v>
      </c>
      <c r="K1367" s="476">
        <v>66131</v>
      </c>
    </row>
    <row r="1368" spans="1:11">
      <c r="A1368" s="479">
        <v>6802.4</v>
      </c>
      <c r="B1368" s="476">
        <v>66143</v>
      </c>
      <c r="C1368" s="476">
        <v>66155</v>
      </c>
      <c r="D1368" s="476">
        <v>66166</v>
      </c>
      <c r="E1368" s="476">
        <v>66178</v>
      </c>
      <c r="F1368" s="476">
        <v>66189</v>
      </c>
      <c r="G1368" s="476">
        <v>66201</v>
      </c>
      <c r="H1368" s="476">
        <v>66212</v>
      </c>
      <c r="I1368" s="476">
        <v>66224</v>
      </c>
      <c r="J1368" s="476">
        <v>66235</v>
      </c>
      <c r="K1368" s="476">
        <v>66247</v>
      </c>
    </row>
    <row r="1369" spans="1:11">
      <c r="A1369" s="479">
        <v>6802.5</v>
      </c>
      <c r="B1369" s="476">
        <v>66258</v>
      </c>
      <c r="C1369" s="476">
        <v>66270</v>
      </c>
      <c r="D1369" s="476">
        <v>66281</v>
      </c>
      <c r="E1369" s="476">
        <v>66293</v>
      </c>
      <c r="F1369" s="476">
        <v>66305</v>
      </c>
      <c r="G1369" s="476">
        <v>66316</v>
      </c>
      <c r="H1369" s="476">
        <v>66328</v>
      </c>
      <c r="I1369" s="476">
        <v>66339</v>
      </c>
      <c r="J1369" s="476">
        <v>66351</v>
      </c>
      <c r="K1369" s="476">
        <v>66362</v>
      </c>
    </row>
    <row r="1370" spans="1:11">
      <c r="A1370" s="479">
        <v>6802.6</v>
      </c>
      <c r="B1370" s="476">
        <v>66374</v>
      </c>
      <c r="C1370" s="476">
        <v>66385</v>
      </c>
      <c r="D1370" s="476">
        <v>66397</v>
      </c>
      <c r="E1370" s="476">
        <v>66408</v>
      </c>
      <c r="F1370" s="476">
        <v>66420</v>
      </c>
      <c r="G1370" s="476">
        <v>66431</v>
      </c>
      <c r="H1370" s="476">
        <v>66443</v>
      </c>
      <c r="I1370" s="476">
        <v>66455</v>
      </c>
      <c r="J1370" s="476">
        <v>66466</v>
      </c>
      <c r="K1370" s="476">
        <v>66476</v>
      </c>
    </row>
    <row r="1371" spans="1:11">
      <c r="A1371" s="479">
        <v>6802.7</v>
      </c>
      <c r="B1371" s="476">
        <v>66489</v>
      </c>
      <c r="C1371" s="476">
        <v>66501</v>
      </c>
      <c r="D1371" s="476">
        <v>66512</v>
      </c>
      <c r="E1371" s="476">
        <v>66524</v>
      </c>
      <c r="F1371" s="476">
        <v>66535</v>
      </c>
      <c r="G1371" s="476">
        <v>66547</v>
      </c>
      <c r="H1371" s="476">
        <v>66558</v>
      </c>
      <c r="I1371" s="476">
        <v>66570</v>
      </c>
      <c r="J1371" s="476">
        <v>66581</v>
      </c>
      <c r="K1371" s="476">
        <v>66593</v>
      </c>
    </row>
    <row r="1372" spans="1:11">
      <c r="A1372" s="479">
        <v>6802.8</v>
      </c>
      <c r="B1372" s="476">
        <v>66605</v>
      </c>
      <c r="C1372" s="476">
        <v>66616</v>
      </c>
      <c r="D1372" s="476">
        <v>66628</v>
      </c>
      <c r="E1372" s="476">
        <v>66639</v>
      </c>
      <c r="F1372" s="476">
        <v>66651</v>
      </c>
      <c r="G1372" s="476">
        <v>66662</v>
      </c>
      <c r="H1372" s="476">
        <v>66674</v>
      </c>
      <c r="I1372" s="476">
        <v>66685</v>
      </c>
      <c r="J1372" s="476">
        <v>66697</v>
      </c>
      <c r="K1372" s="476">
        <v>66708</v>
      </c>
    </row>
    <row r="1373" spans="1:11">
      <c r="A1373" s="479">
        <v>6802.9</v>
      </c>
      <c r="B1373" s="476">
        <v>66720</v>
      </c>
      <c r="C1373" s="476">
        <v>66731</v>
      </c>
      <c r="D1373" s="476">
        <v>66743</v>
      </c>
      <c r="E1373" s="476">
        <v>66755</v>
      </c>
      <c r="F1373" s="476">
        <v>66766</v>
      </c>
      <c r="G1373" s="476">
        <v>66778</v>
      </c>
      <c r="H1373" s="476">
        <v>66789</v>
      </c>
      <c r="I1373" s="476">
        <v>66801</v>
      </c>
      <c r="J1373" s="476">
        <v>66812</v>
      </c>
      <c r="K1373" s="476">
        <v>66826</v>
      </c>
    </row>
    <row r="1374" spans="1:11">
      <c r="A1374" s="479">
        <v>6803</v>
      </c>
      <c r="B1374" s="476">
        <v>66835</v>
      </c>
      <c r="C1374" s="476">
        <v>66847</v>
      </c>
      <c r="D1374" s="476">
        <v>66859</v>
      </c>
      <c r="E1374" s="476">
        <v>66870</v>
      </c>
      <c r="F1374" s="476">
        <v>66882</v>
      </c>
      <c r="G1374" s="476">
        <v>66894</v>
      </c>
      <c r="H1374" s="476">
        <v>66905</v>
      </c>
      <c r="I1374" s="476">
        <v>66917</v>
      </c>
      <c r="J1374" s="476">
        <v>66929</v>
      </c>
      <c r="K1374" s="476">
        <v>66960</v>
      </c>
    </row>
    <row r="1375" spans="1:11">
      <c r="A1375" s="479">
        <v>6803.1</v>
      </c>
      <c r="B1375" s="476">
        <v>66952</v>
      </c>
      <c r="C1375" s="476">
        <v>66964</v>
      </c>
      <c r="D1375" s="476">
        <v>66975</v>
      </c>
      <c r="E1375" s="476">
        <v>66987</v>
      </c>
      <c r="F1375" s="476">
        <v>66999</v>
      </c>
      <c r="G1375" s="476">
        <v>67010</v>
      </c>
      <c r="H1375" s="476">
        <v>67022</v>
      </c>
      <c r="I1375" s="476">
        <v>67033</v>
      </c>
      <c r="J1375" s="476">
        <v>67045</v>
      </c>
      <c r="K1375" s="476">
        <v>67057</v>
      </c>
    </row>
    <row r="1376" spans="1:11">
      <c r="A1376" s="479">
        <v>6803.2</v>
      </c>
      <c r="B1376" s="476">
        <v>67068</v>
      </c>
      <c r="C1376" s="476">
        <v>67080</v>
      </c>
      <c r="D1376" s="476">
        <v>67092</v>
      </c>
      <c r="E1376" s="476">
        <v>67103</v>
      </c>
      <c r="F1376" s="476">
        <v>67115</v>
      </c>
      <c r="G1376" s="476">
        <v>67127</v>
      </c>
      <c r="H1376" s="476">
        <v>67138</v>
      </c>
      <c r="I1376" s="476">
        <v>67150</v>
      </c>
      <c r="J1376" s="476">
        <v>67162</v>
      </c>
      <c r="K1376" s="476">
        <v>67173</v>
      </c>
    </row>
    <row r="1377" spans="1:11">
      <c r="A1377" s="479">
        <v>6803.3</v>
      </c>
      <c r="B1377" s="476">
        <v>67185</v>
      </c>
      <c r="C1377" s="476">
        <v>67197</v>
      </c>
      <c r="D1377" s="476">
        <v>67208</v>
      </c>
      <c r="E1377" s="476">
        <v>67220</v>
      </c>
      <c r="F1377" s="476">
        <v>67232</v>
      </c>
      <c r="G1377" s="476">
        <v>67243</v>
      </c>
      <c r="H1377" s="476">
        <v>67255</v>
      </c>
      <c r="I1377" s="476">
        <v>67267</v>
      </c>
      <c r="J1377" s="476">
        <v>67278</v>
      </c>
      <c r="K1377" s="476">
        <v>67290</v>
      </c>
    </row>
    <row r="1378" spans="1:11">
      <c r="A1378" s="479">
        <v>6803.4</v>
      </c>
      <c r="B1378" s="476">
        <v>67302</v>
      </c>
      <c r="C1378" s="476">
        <v>67313</v>
      </c>
      <c r="D1378" s="476">
        <v>67325</v>
      </c>
      <c r="E1378" s="476">
        <v>67337</v>
      </c>
      <c r="F1378" s="476">
        <v>67348</v>
      </c>
      <c r="G1378" s="476">
        <v>67360</v>
      </c>
      <c r="H1378" s="476">
        <v>67371</v>
      </c>
      <c r="I1378" s="476">
        <v>67383</v>
      </c>
      <c r="J1378" s="476">
        <v>67395</v>
      </c>
      <c r="K1378" s="476">
        <v>67606</v>
      </c>
    </row>
    <row r="1379" spans="1:11">
      <c r="A1379" s="479">
        <v>6803.5</v>
      </c>
      <c r="B1379" s="476">
        <v>67418</v>
      </c>
      <c r="C1379" s="476">
        <v>67430</v>
      </c>
      <c r="D1379" s="476">
        <v>67441</v>
      </c>
      <c r="E1379" s="476">
        <v>67453</v>
      </c>
      <c r="F1379" s="476">
        <v>67465</v>
      </c>
      <c r="G1379" s="476">
        <v>67476</v>
      </c>
      <c r="H1379" s="476">
        <v>67488</v>
      </c>
      <c r="I1379" s="476">
        <v>67500</v>
      </c>
      <c r="J1379" s="476">
        <v>67511</v>
      </c>
      <c r="K1379" s="476">
        <v>67523</v>
      </c>
    </row>
    <row r="1380" spans="1:11">
      <c r="A1380" s="479">
        <v>6803.6</v>
      </c>
      <c r="B1380" s="476">
        <v>67535</v>
      </c>
      <c r="C1380" s="476">
        <v>67546</v>
      </c>
      <c r="D1380" s="476">
        <v>67558</v>
      </c>
      <c r="E1380" s="476">
        <v>67570</v>
      </c>
      <c r="F1380" s="476">
        <v>67581</v>
      </c>
      <c r="G1380" s="476">
        <v>67593</v>
      </c>
      <c r="H1380" s="476">
        <v>67605</v>
      </c>
      <c r="I1380" s="476">
        <v>67616</v>
      </c>
      <c r="J1380" s="476">
        <v>67628</v>
      </c>
      <c r="K1380" s="476">
        <v>67640</v>
      </c>
    </row>
    <row r="1381" spans="1:11">
      <c r="A1381" s="479">
        <v>6803.7</v>
      </c>
      <c r="B1381" s="476">
        <v>67651</v>
      </c>
      <c r="C1381" s="476">
        <v>67663</v>
      </c>
      <c r="D1381" s="476">
        <v>67675</v>
      </c>
      <c r="E1381" s="476">
        <v>67686</v>
      </c>
      <c r="F1381" s="476">
        <v>67698</v>
      </c>
      <c r="G1381" s="476">
        <v>67709</v>
      </c>
      <c r="H1381" s="476">
        <v>67721</v>
      </c>
      <c r="I1381" s="476">
        <v>67733</v>
      </c>
      <c r="J1381" s="476">
        <v>67744</v>
      </c>
      <c r="K1381" s="476">
        <v>67756</v>
      </c>
    </row>
    <row r="1382" spans="1:11">
      <c r="A1382" s="479">
        <v>6803.8</v>
      </c>
      <c r="B1382" s="476">
        <v>67768</v>
      </c>
      <c r="C1382" s="476">
        <v>67779</v>
      </c>
      <c r="D1382" s="476">
        <v>67791</v>
      </c>
      <c r="E1382" s="476">
        <v>67803</v>
      </c>
      <c r="F1382" s="476">
        <v>67814</v>
      </c>
      <c r="G1382" s="476">
        <v>67826</v>
      </c>
      <c r="H1382" s="476">
        <v>67838</v>
      </c>
      <c r="I1382" s="476">
        <v>67849</v>
      </c>
      <c r="J1382" s="476">
        <v>67861</v>
      </c>
      <c r="K1382" s="476">
        <v>67873</v>
      </c>
    </row>
    <row r="1383" spans="1:11">
      <c r="A1383" s="479">
        <v>6803.9</v>
      </c>
      <c r="B1383" s="476">
        <v>67884</v>
      </c>
      <c r="C1383" s="476">
        <v>67896</v>
      </c>
      <c r="D1383" s="476">
        <v>67908</v>
      </c>
      <c r="E1383" s="476">
        <v>67919</v>
      </c>
      <c r="F1383" s="476">
        <v>67931</v>
      </c>
      <c r="G1383" s="476">
        <v>67943</v>
      </c>
      <c r="H1383" s="476">
        <v>67954</v>
      </c>
      <c r="I1383" s="476">
        <v>67966</v>
      </c>
      <c r="J1383" s="476">
        <v>67978</v>
      </c>
      <c r="K1383" s="476">
        <v>67989</v>
      </c>
    </row>
    <row r="1384" spans="1:11">
      <c r="A1384" s="479">
        <v>6804</v>
      </c>
      <c r="B1384" s="476">
        <v>68001</v>
      </c>
      <c r="C1384" s="476">
        <v>68013</v>
      </c>
      <c r="D1384" s="476">
        <v>68024</v>
      </c>
      <c r="E1384" s="476">
        <v>68036</v>
      </c>
      <c r="F1384" s="476">
        <v>68048</v>
      </c>
      <c r="G1384" s="476">
        <v>68060</v>
      </c>
      <c r="H1384" s="476">
        <v>68072</v>
      </c>
      <c r="I1384" s="476">
        <v>68083</v>
      </c>
      <c r="J1384" s="476">
        <v>68095</v>
      </c>
      <c r="K1384" s="476">
        <v>68107</v>
      </c>
    </row>
    <row r="1385" spans="1:11">
      <c r="A1385" s="479">
        <v>6804.1</v>
      </c>
      <c r="B1385" s="476">
        <v>68119</v>
      </c>
      <c r="C1385" s="476">
        <v>68130</v>
      </c>
      <c r="D1385" s="476">
        <v>68142</v>
      </c>
      <c r="E1385" s="476">
        <v>68154</v>
      </c>
      <c r="F1385" s="476">
        <v>68166</v>
      </c>
      <c r="G1385" s="476">
        <v>68178</v>
      </c>
      <c r="H1385" s="476">
        <v>68189</v>
      </c>
      <c r="I1385" s="476">
        <v>68201</v>
      </c>
      <c r="J1385" s="476">
        <v>68213</v>
      </c>
      <c r="K1385" s="476">
        <v>68225</v>
      </c>
    </row>
    <row r="1386" spans="1:11">
      <c r="A1386" s="479">
        <v>6804.2</v>
      </c>
      <c r="B1386" s="476">
        <v>68236</v>
      </c>
      <c r="C1386" s="476">
        <v>68248</v>
      </c>
      <c r="D1386" s="476">
        <v>68260</v>
      </c>
      <c r="E1386" s="476">
        <v>68272</v>
      </c>
      <c r="F1386" s="476">
        <v>68284</v>
      </c>
      <c r="G1386" s="476">
        <v>68295</v>
      </c>
      <c r="H1386" s="476">
        <v>68307</v>
      </c>
      <c r="I1386" s="476">
        <v>68319</v>
      </c>
      <c r="J1386" s="476">
        <v>68331</v>
      </c>
      <c r="K1386" s="476">
        <v>68342</v>
      </c>
    </row>
    <row r="1387" spans="1:11">
      <c r="A1387" s="479">
        <v>6804.3</v>
      </c>
      <c r="B1387" s="476">
        <v>68354</v>
      </c>
      <c r="C1387" s="476">
        <v>68366</v>
      </c>
      <c r="D1387" s="476">
        <v>68378</v>
      </c>
      <c r="E1387" s="476">
        <v>68390</v>
      </c>
      <c r="F1387" s="476">
        <v>68401</v>
      </c>
      <c r="G1387" s="476">
        <v>68413</v>
      </c>
      <c r="H1387" s="476">
        <v>68425</v>
      </c>
      <c r="I1387" s="476">
        <v>68437</v>
      </c>
      <c r="J1387" s="476">
        <v>68448</v>
      </c>
      <c r="K1387" s="476">
        <v>68460</v>
      </c>
    </row>
    <row r="1388" spans="1:11">
      <c r="A1388" s="479">
        <v>6804.4</v>
      </c>
      <c r="B1388" s="476">
        <v>68472</v>
      </c>
      <c r="C1388" s="476">
        <v>68484</v>
      </c>
      <c r="D1388" s="476">
        <v>68496</v>
      </c>
      <c r="E1388" s="476">
        <v>68507</v>
      </c>
      <c r="F1388" s="476">
        <v>68519</v>
      </c>
      <c r="G1388" s="476">
        <v>68531</v>
      </c>
      <c r="H1388" s="476">
        <v>68543</v>
      </c>
      <c r="I1388" s="476">
        <v>68554</v>
      </c>
      <c r="J1388" s="476">
        <v>68566</v>
      </c>
      <c r="K1388" s="476">
        <v>68578</v>
      </c>
    </row>
    <row r="1389" spans="1:11">
      <c r="A1389" s="479">
        <v>6804.5</v>
      </c>
      <c r="B1389" s="476">
        <v>68590</v>
      </c>
      <c r="C1389" s="476">
        <v>68602</v>
      </c>
      <c r="D1389" s="476">
        <v>68613</v>
      </c>
      <c r="E1389" s="476">
        <v>68625</v>
      </c>
      <c r="F1389" s="476">
        <v>68637</v>
      </c>
      <c r="G1389" s="476">
        <v>68649</v>
      </c>
      <c r="H1389" s="476">
        <v>68660</v>
      </c>
      <c r="I1389" s="476">
        <v>68672</v>
      </c>
      <c r="J1389" s="476">
        <v>68684</v>
      </c>
      <c r="K1389" s="476">
        <v>68696</v>
      </c>
    </row>
    <row r="1390" spans="1:11">
      <c r="A1390" s="479">
        <v>6804.6</v>
      </c>
      <c r="B1390" s="476">
        <v>68708</v>
      </c>
      <c r="C1390" s="476">
        <v>68719</v>
      </c>
      <c r="D1390" s="476">
        <v>68731</v>
      </c>
      <c r="E1390" s="476">
        <v>68743</v>
      </c>
      <c r="F1390" s="476">
        <v>68755</v>
      </c>
      <c r="G1390" s="476">
        <v>68766</v>
      </c>
      <c r="H1390" s="476">
        <v>68778</v>
      </c>
      <c r="I1390" s="476">
        <v>68790</v>
      </c>
      <c r="J1390" s="476">
        <v>68802</v>
      </c>
      <c r="K1390" s="476">
        <v>68814</v>
      </c>
    </row>
    <row r="1391" spans="1:11">
      <c r="A1391" s="479">
        <v>6804.7</v>
      </c>
      <c r="B1391" s="476">
        <v>68825</v>
      </c>
      <c r="C1391" s="476">
        <v>68837</v>
      </c>
      <c r="D1391" s="476">
        <v>68849</v>
      </c>
      <c r="E1391" s="476">
        <v>68861</v>
      </c>
      <c r="F1391" s="476">
        <v>68872</v>
      </c>
      <c r="G1391" s="476">
        <v>68884</v>
      </c>
      <c r="H1391" s="476">
        <v>68896</v>
      </c>
      <c r="I1391" s="476">
        <v>68908</v>
      </c>
      <c r="J1391" s="476">
        <v>68920</v>
      </c>
      <c r="K1391" s="476">
        <v>68931</v>
      </c>
    </row>
    <row r="1392" spans="1:11">
      <c r="A1392" s="479">
        <v>6804.8</v>
      </c>
      <c r="B1392" s="476">
        <v>68943</v>
      </c>
      <c r="C1392" s="476">
        <v>68955</v>
      </c>
      <c r="D1392" s="476">
        <v>68967</v>
      </c>
      <c r="E1392" s="476">
        <v>68978</v>
      </c>
      <c r="F1392" s="476">
        <v>68990</v>
      </c>
      <c r="G1392" s="476">
        <v>69002</v>
      </c>
      <c r="H1392" s="476">
        <v>69014</v>
      </c>
      <c r="I1392" s="476">
        <v>69026</v>
      </c>
      <c r="J1392" s="476">
        <v>69037</v>
      </c>
      <c r="K1392" s="476">
        <v>69049</v>
      </c>
    </row>
    <row r="1393" spans="1:11">
      <c r="A1393" s="479">
        <v>6804.9</v>
      </c>
      <c r="B1393" s="476">
        <v>69061</v>
      </c>
      <c r="C1393" s="476">
        <v>69073</v>
      </c>
      <c r="D1393" s="476">
        <v>69084</v>
      </c>
      <c r="E1393" s="476">
        <v>69096</v>
      </c>
      <c r="F1393" s="476">
        <v>69108</v>
      </c>
      <c r="G1393" s="476">
        <v>69120</v>
      </c>
      <c r="H1393" s="476">
        <v>69132</v>
      </c>
      <c r="I1393" s="476">
        <v>69143</v>
      </c>
      <c r="J1393" s="476">
        <v>69155</v>
      </c>
      <c r="K1393" s="476">
        <v>69167</v>
      </c>
    </row>
    <row r="1394" spans="1:11">
      <c r="A1394" s="479">
        <v>6805</v>
      </c>
      <c r="B1394" s="476">
        <v>69179</v>
      </c>
      <c r="C1394" s="476">
        <v>69191</v>
      </c>
      <c r="D1394" s="476">
        <v>69202</v>
      </c>
      <c r="E1394" s="476">
        <v>69214</v>
      </c>
      <c r="F1394" s="476">
        <v>69226</v>
      </c>
      <c r="G1394" s="476">
        <v>69238</v>
      </c>
      <c r="H1394" s="476">
        <v>69250</v>
      </c>
      <c r="I1394" s="476">
        <v>69262</v>
      </c>
      <c r="J1394" s="476">
        <v>69274</v>
      </c>
      <c r="K1394" s="476">
        <v>69286</v>
      </c>
    </row>
    <row r="1395" spans="1:11">
      <c r="A1395" s="479">
        <v>6805.1</v>
      </c>
      <c r="B1395" s="476">
        <v>69298</v>
      </c>
      <c r="C1395" s="476">
        <v>69310</v>
      </c>
      <c r="D1395" s="476">
        <v>69321</v>
      </c>
      <c r="E1395" s="476">
        <v>69333</v>
      </c>
      <c r="F1395" s="476">
        <v>69345</v>
      </c>
      <c r="G1395" s="476">
        <v>69357</v>
      </c>
      <c r="H1395" s="476">
        <v>69369</v>
      </c>
      <c r="I1395" s="476">
        <v>69381</v>
      </c>
      <c r="J1395" s="476">
        <v>69393</v>
      </c>
      <c r="K1395" s="476">
        <v>69405</v>
      </c>
    </row>
    <row r="1396" spans="1:11">
      <c r="A1396" s="479">
        <v>6805.2</v>
      </c>
      <c r="B1396" s="476">
        <v>69417</v>
      </c>
      <c r="C1396" s="476">
        <v>69429</v>
      </c>
      <c r="D1396" s="476">
        <v>69441</v>
      </c>
      <c r="E1396" s="476">
        <v>69452</v>
      </c>
      <c r="F1396" s="476">
        <v>69464</v>
      </c>
      <c r="G1396" s="476">
        <v>69476</v>
      </c>
      <c r="H1396" s="476">
        <v>69488</v>
      </c>
      <c r="I1396" s="476">
        <v>69500</v>
      </c>
      <c r="J1396" s="476">
        <v>69512</v>
      </c>
      <c r="K1396" s="476">
        <v>69524</v>
      </c>
    </row>
    <row r="1397" spans="1:11">
      <c r="A1397" s="479">
        <v>6805.3</v>
      </c>
      <c r="B1397" s="476">
        <v>69536</v>
      </c>
      <c r="C1397" s="476">
        <v>69548</v>
      </c>
      <c r="D1397" s="476">
        <v>69560</v>
      </c>
      <c r="E1397" s="476">
        <v>69571</v>
      </c>
      <c r="F1397" s="476">
        <v>69583</v>
      </c>
      <c r="G1397" s="476">
        <v>69595</v>
      </c>
      <c r="H1397" s="476">
        <v>69607</v>
      </c>
      <c r="I1397" s="476">
        <v>69619</v>
      </c>
      <c r="J1397" s="476">
        <v>69631</v>
      </c>
      <c r="K1397" s="476">
        <v>69643</v>
      </c>
    </row>
    <row r="1398" spans="1:11">
      <c r="A1398" s="479">
        <v>6805.4</v>
      </c>
      <c r="B1398" s="476">
        <v>69655</v>
      </c>
      <c r="C1398" s="476">
        <v>69667</v>
      </c>
      <c r="D1398" s="476">
        <v>69679</v>
      </c>
      <c r="E1398" s="476">
        <v>69691</v>
      </c>
      <c r="F1398" s="476">
        <v>69702</v>
      </c>
      <c r="G1398" s="476">
        <v>69714</v>
      </c>
      <c r="H1398" s="476">
        <v>69726</v>
      </c>
      <c r="I1398" s="476">
        <v>69738</v>
      </c>
      <c r="J1398" s="476">
        <v>69750</v>
      </c>
      <c r="K1398" s="476">
        <v>69762</v>
      </c>
    </row>
    <row r="1399" spans="1:11">
      <c r="A1399" s="479">
        <v>6805.5</v>
      </c>
      <c r="B1399" s="476">
        <v>69774</v>
      </c>
      <c r="C1399" s="476">
        <v>69786</v>
      </c>
      <c r="D1399" s="476">
        <v>69798</v>
      </c>
      <c r="E1399" s="476">
        <v>69810</v>
      </c>
      <c r="F1399" s="476">
        <v>69821</v>
      </c>
      <c r="G1399" s="476">
        <v>69833</v>
      </c>
      <c r="H1399" s="476">
        <v>69845</v>
      </c>
      <c r="I1399" s="476">
        <v>69857</v>
      </c>
      <c r="J1399" s="476">
        <v>69869</v>
      </c>
      <c r="K1399" s="476">
        <v>69881</v>
      </c>
    </row>
    <row r="1400" spans="1:11">
      <c r="A1400" s="479">
        <v>6805.6</v>
      </c>
      <c r="B1400" s="476">
        <v>69893</v>
      </c>
      <c r="C1400" s="476">
        <v>69905</v>
      </c>
      <c r="D1400" s="476">
        <v>69917</v>
      </c>
      <c r="E1400" s="476">
        <v>69929</v>
      </c>
      <c r="F1400" s="476">
        <v>69941</v>
      </c>
      <c r="G1400" s="476">
        <v>69952</v>
      </c>
      <c r="H1400" s="476">
        <v>69964</v>
      </c>
      <c r="I1400" s="476">
        <v>69976</v>
      </c>
      <c r="J1400" s="476">
        <v>69988</v>
      </c>
      <c r="K1400" s="476">
        <v>70000</v>
      </c>
    </row>
    <row r="1401" spans="1:11">
      <c r="A1401" s="479">
        <v>6805.7</v>
      </c>
      <c r="B1401" s="476">
        <v>70012</v>
      </c>
      <c r="C1401" s="476">
        <v>70024</v>
      </c>
      <c r="D1401" s="476">
        <v>70036</v>
      </c>
      <c r="E1401" s="476">
        <v>70048</v>
      </c>
      <c r="F1401" s="476">
        <v>70060</v>
      </c>
      <c r="G1401" s="476">
        <v>70071</v>
      </c>
      <c r="H1401" s="476">
        <v>70083</v>
      </c>
      <c r="I1401" s="476">
        <v>70095</v>
      </c>
      <c r="J1401" s="476">
        <v>70107</v>
      </c>
      <c r="K1401" s="476">
        <v>70119</v>
      </c>
    </row>
    <row r="1402" spans="1:11">
      <c r="A1402" s="479">
        <v>6805.8</v>
      </c>
      <c r="B1402" s="476">
        <v>70131</v>
      </c>
      <c r="C1402" s="476">
        <v>70143</v>
      </c>
      <c r="D1402" s="476">
        <v>70155</v>
      </c>
      <c r="E1402" s="476">
        <v>70167</v>
      </c>
      <c r="F1402" s="476">
        <v>70179</v>
      </c>
      <c r="G1402" s="476">
        <v>70191</v>
      </c>
      <c r="H1402" s="476">
        <v>70202</v>
      </c>
      <c r="I1402" s="476">
        <v>70214</v>
      </c>
      <c r="J1402" s="476">
        <v>70226</v>
      </c>
      <c r="K1402" s="476">
        <v>70238</v>
      </c>
    </row>
    <row r="1403" spans="1:11">
      <c r="A1403" s="479">
        <v>6805.9</v>
      </c>
      <c r="B1403" s="476">
        <v>70250</v>
      </c>
      <c r="C1403" s="476">
        <v>70262</v>
      </c>
      <c r="D1403" s="476">
        <v>70274</v>
      </c>
      <c r="E1403" s="476">
        <v>70286</v>
      </c>
      <c r="F1403" s="476">
        <v>70298</v>
      </c>
      <c r="G1403" s="476">
        <v>70310</v>
      </c>
      <c r="H1403" s="476">
        <v>70321</v>
      </c>
      <c r="I1403" s="476">
        <v>70333</v>
      </c>
      <c r="J1403" s="476">
        <v>70345</v>
      </c>
      <c r="K1403" s="476">
        <v>70357</v>
      </c>
    </row>
    <row r="1404" spans="1:11">
      <c r="A1404" s="479">
        <v>6806</v>
      </c>
      <c r="B1404" s="476">
        <v>70369</v>
      </c>
      <c r="C1404" s="476">
        <v>70381</v>
      </c>
      <c r="D1404" s="476">
        <v>70393</v>
      </c>
      <c r="E1404" s="476">
        <v>70405</v>
      </c>
      <c r="F1404" s="476">
        <v>70417</v>
      </c>
      <c r="G1404" s="476">
        <v>70429</v>
      </c>
      <c r="H1404" s="476">
        <v>70441</v>
      </c>
      <c r="I1404" s="476">
        <v>70453</v>
      </c>
      <c r="J1404" s="476">
        <v>70465</v>
      </c>
      <c r="K1404" s="476">
        <v>70477</v>
      </c>
    </row>
    <row r="1405" spans="1:11">
      <c r="A1405" s="479">
        <v>6806.1</v>
      </c>
      <c r="B1405" s="476">
        <v>70489</v>
      </c>
      <c r="C1405" s="476">
        <v>70501</v>
      </c>
      <c r="D1405" s="476">
        <v>70514</v>
      </c>
      <c r="E1405" s="476">
        <v>70526</v>
      </c>
      <c r="F1405" s="476">
        <v>70538</v>
      </c>
      <c r="G1405" s="476">
        <v>70550</v>
      </c>
      <c r="H1405" s="476">
        <v>70562</v>
      </c>
      <c r="I1405" s="476">
        <v>70574</v>
      </c>
      <c r="J1405" s="476">
        <v>70586</v>
      </c>
      <c r="K1405" s="476">
        <v>70598</v>
      </c>
    </row>
    <row r="1406" spans="1:11">
      <c r="A1406" s="479">
        <v>6806.2</v>
      </c>
      <c r="B1406" s="476">
        <v>70610</v>
      </c>
      <c r="C1406" s="476">
        <v>70622</v>
      </c>
      <c r="D1406" s="476">
        <v>70634</v>
      </c>
      <c r="E1406" s="476">
        <v>70646</v>
      </c>
      <c r="F1406" s="476">
        <v>70658</v>
      </c>
      <c r="G1406" s="476">
        <v>70670</v>
      </c>
      <c r="H1406" s="476">
        <v>70682</v>
      </c>
      <c r="I1406" s="476">
        <v>70694</v>
      </c>
      <c r="J1406" s="476">
        <v>70706</v>
      </c>
      <c r="K1406" s="476">
        <v>70718</v>
      </c>
    </row>
    <row r="1407" spans="1:11">
      <c r="A1407" s="479">
        <v>6806.3</v>
      </c>
      <c r="B1407" s="476">
        <v>70730</v>
      </c>
      <c r="C1407" s="476">
        <v>70742</v>
      </c>
      <c r="D1407" s="476">
        <v>70754</v>
      </c>
      <c r="E1407" s="476">
        <v>70766</v>
      </c>
      <c r="F1407" s="476">
        <v>70778</v>
      </c>
      <c r="G1407" s="476">
        <v>70790</v>
      </c>
      <c r="H1407" s="476">
        <v>70802</v>
      </c>
      <c r="I1407" s="476">
        <v>70814</v>
      </c>
      <c r="J1407" s="476">
        <v>70826</v>
      </c>
      <c r="K1407" s="476">
        <v>70839</v>
      </c>
    </row>
    <row r="1408" spans="1:11">
      <c r="A1408" s="479">
        <v>6806.4</v>
      </c>
      <c r="B1408" s="476">
        <v>70851</v>
      </c>
      <c r="C1408" s="476">
        <v>70863</v>
      </c>
      <c r="D1408" s="476">
        <v>70875</v>
      </c>
      <c r="E1408" s="476">
        <v>70887</v>
      </c>
      <c r="F1408" s="476">
        <v>70899</v>
      </c>
      <c r="G1408" s="476">
        <v>70911</v>
      </c>
      <c r="H1408" s="476">
        <v>70923</v>
      </c>
      <c r="I1408" s="476">
        <v>70935</v>
      </c>
      <c r="J1408" s="476">
        <v>70947</v>
      </c>
      <c r="K1408" s="476">
        <v>70959</v>
      </c>
    </row>
    <row r="1409" spans="1:11">
      <c r="A1409" s="479">
        <v>6806.5</v>
      </c>
      <c r="B1409" s="476">
        <v>70971</v>
      </c>
      <c r="C1409" s="476">
        <v>70983</v>
      </c>
      <c r="D1409" s="476">
        <v>70995</v>
      </c>
      <c r="E1409" s="476">
        <v>71007</v>
      </c>
      <c r="F1409" s="476">
        <v>71019</v>
      </c>
      <c r="G1409" s="476">
        <v>71031</v>
      </c>
      <c r="H1409" s="476">
        <v>71043</v>
      </c>
      <c r="I1409" s="476">
        <v>71055</v>
      </c>
      <c r="J1409" s="476">
        <v>71067</v>
      </c>
      <c r="K1409" s="476">
        <v>71079</v>
      </c>
    </row>
    <row r="1410" spans="1:11">
      <c r="A1410" s="479">
        <v>6806.6</v>
      </c>
      <c r="B1410" s="476">
        <v>71091</v>
      </c>
      <c r="C1410" s="476">
        <v>71103</v>
      </c>
      <c r="D1410" s="476">
        <v>71115</v>
      </c>
      <c r="E1410" s="476">
        <v>71127</v>
      </c>
      <c r="F1410" s="476">
        <v>71139</v>
      </c>
      <c r="G1410" s="476">
        <v>71152</v>
      </c>
      <c r="H1410" s="476">
        <v>71164</v>
      </c>
      <c r="I1410" s="476">
        <v>71176</v>
      </c>
      <c r="J1410" s="476">
        <v>71188</v>
      </c>
      <c r="K1410" s="476">
        <v>71200</v>
      </c>
    </row>
    <row r="1411" spans="1:11">
      <c r="A1411" s="479">
        <v>6806.7</v>
      </c>
      <c r="B1411" s="476">
        <v>71212</v>
      </c>
      <c r="C1411" s="476">
        <v>71224</v>
      </c>
      <c r="D1411" s="476">
        <v>71236</v>
      </c>
      <c r="E1411" s="476">
        <v>71248</v>
      </c>
      <c r="F1411" s="476">
        <v>71260</v>
      </c>
      <c r="G1411" s="476">
        <v>71272</v>
      </c>
      <c r="H1411" s="476">
        <v>71284</v>
      </c>
      <c r="I1411" s="476">
        <v>71296</v>
      </c>
      <c r="J1411" s="476">
        <v>71308</v>
      </c>
      <c r="K1411" s="476">
        <v>71320</v>
      </c>
    </row>
    <row r="1412" spans="1:11">
      <c r="A1412" s="479">
        <v>6806.8</v>
      </c>
      <c r="B1412" s="476">
        <v>71332</v>
      </c>
      <c r="C1412" s="476">
        <v>71344</v>
      </c>
      <c r="D1412" s="476">
        <v>71356</v>
      </c>
      <c r="E1412" s="476">
        <v>71368</v>
      </c>
      <c r="F1412" s="476">
        <v>71380</v>
      </c>
      <c r="G1412" s="476">
        <v>71392</v>
      </c>
      <c r="H1412" s="476">
        <v>71404</v>
      </c>
      <c r="I1412" s="476">
        <v>71416</v>
      </c>
      <c r="J1412" s="476">
        <v>71428</v>
      </c>
      <c r="K1412" s="476">
        <v>71440</v>
      </c>
    </row>
    <row r="1413" spans="1:11">
      <c r="A1413" s="479">
        <v>6806.9</v>
      </c>
      <c r="B1413" s="476">
        <v>71452</v>
      </c>
      <c r="C1413" s="476">
        <v>71464</v>
      </c>
      <c r="D1413" s="476">
        <v>71477</v>
      </c>
      <c r="E1413" s="476">
        <v>71489</v>
      </c>
      <c r="F1413" s="476">
        <v>71501</v>
      </c>
      <c r="G1413" s="476">
        <v>71513</v>
      </c>
      <c r="H1413" s="476">
        <v>71525</v>
      </c>
      <c r="I1413" s="476">
        <v>71537</v>
      </c>
      <c r="J1413" s="476">
        <v>71549</v>
      </c>
      <c r="K1413" s="476">
        <v>71561</v>
      </c>
    </row>
    <row r="1414" spans="1:11">
      <c r="A1414" s="479">
        <v>6807</v>
      </c>
      <c r="B1414" s="476">
        <v>71573</v>
      </c>
      <c r="C1414" s="476">
        <v>71585</v>
      </c>
      <c r="D1414" s="476">
        <v>71597</v>
      </c>
      <c r="E1414" s="476">
        <v>71609</v>
      </c>
      <c r="F1414" s="476">
        <v>71622</v>
      </c>
      <c r="G1414" s="476">
        <v>71634</v>
      </c>
      <c r="H1414" s="476">
        <v>71646</v>
      </c>
      <c r="I1414" s="476">
        <v>71658</v>
      </c>
      <c r="J1414" s="476">
        <v>71670</v>
      </c>
      <c r="K1414" s="476">
        <v>71682</v>
      </c>
    </row>
    <row r="1415" spans="1:11">
      <c r="A1415" s="479">
        <v>6807.1</v>
      </c>
      <c r="B1415" s="476">
        <v>71695</v>
      </c>
      <c r="C1415" s="476">
        <v>71707</v>
      </c>
      <c r="D1415" s="476">
        <v>71719</v>
      </c>
      <c r="E1415" s="476">
        <v>71731</v>
      </c>
      <c r="F1415" s="476">
        <v>71743</v>
      </c>
      <c r="G1415" s="476">
        <v>71755</v>
      </c>
      <c r="H1415" s="476">
        <v>71768</v>
      </c>
      <c r="I1415" s="476">
        <v>71780</v>
      </c>
      <c r="J1415" s="476">
        <v>71792</v>
      </c>
      <c r="K1415" s="476">
        <v>71804</v>
      </c>
    </row>
    <row r="1416" spans="1:11">
      <c r="A1416" s="479">
        <v>6807.2</v>
      </c>
      <c r="B1416" s="476">
        <v>71816</v>
      </c>
      <c r="C1416" s="476">
        <v>71829</v>
      </c>
      <c r="D1416" s="476">
        <v>71841</v>
      </c>
      <c r="E1416" s="476">
        <v>71853</v>
      </c>
      <c r="F1416" s="476">
        <v>71865</v>
      </c>
      <c r="G1416" s="476">
        <v>71877</v>
      </c>
      <c r="H1416" s="476">
        <v>71889</v>
      </c>
      <c r="I1416" s="476">
        <v>71902</v>
      </c>
      <c r="J1416" s="476">
        <v>71914</v>
      </c>
      <c r="K1416" s="476">
        <v>71926</v>
      </c>
    </row>
    <row r="1417" spans="1:11">
      <c r="A1417" s="479">
        <v>6807.3</v>
      </c>
      <c r="B1417" s="476">
        <v>71938</v>
      </c>
      <c r="C1417" s="476">
        <v>71950</v>
      </c>
      <c r="D1417" s="476">
        <v>71962</v>
      </c>
      <c r="E1417" s="476">
        <v>71975</v>
      </c>
      <c r="F1417" s="476">
        <v>71987</v>
      </c>
      <c r="G1417" s="476">
        <v>71999</v>
      </c>
      <c r="H1417" s="476">
        <v>72011</v>
      </c>
      <c r="I1417" s="476">
        <v>72023</v>
      </c>
      <c r="J1417" s="476">
        <v>72036</v>
      </c>
      <c r="K1417" s="476">
        <v>72048</v>
      </c>
    </row>
    <row r="1418" spans="1:11">
      <c r="A1418" s="479">
        <v>6807.4</v>
      </c>
      <c r="B1418" s="476">
        <v>72060</v>
      </c>
      <c r="C1418" s="476">
        <v>72072</v>
      </c>
      <c r="D1418" s="476">
        <v>72084</v>
      </c>
      <c r="E1418" s="476">
        <v>72096</v>
      </c>
      <c r="F1418" s="476">
        <v>72109</v>
      </c>
      <c r="G1418" s="476">
        <v>72121</v>
      </c>
      <c r="H1418" s="476">
        <v>72133</v>
      </c>
      <c r="I1418" s="476">
        <v>72145</v>
      </c>
      <c r="J1418" s="476">
        <v>72157</v>
      </c>
      <c r="K1418" s="476">
        <v>72169</v>
      </c>
    </row>
    <row r="1419" spans="1:11">
      <c r="A1419" s="479">
        <v>6807.5</v>
      </c>
      <c r="B1419" s="476">
        <v>72182</v>
      </c>
      <c r="C1419" s="476">
        <v>72194</v>
      </c>
      <c r="D1419" s="476">
        <v>72206</v>
      </c>
      <c r="E1419" s="476">
        <v>72218</v>
      </c>
      <c r="F1419" s="476">
        <v>72230</v>
      </c>
      <c r="G1419" s="476">
        <v>72242</v>
      </c>
      <c r="H1419" s="476">
        <v>72255</v>
      </c>
      <c r="I1419" s="476">
        <v>72267</v>
      </c>
      <c r="J1419" s="476">
        <v>72279</v>
      </c>
      <c r="K1419" s="476">
        <v>72291</v>
      </c>
    </row>
    <row r="1420" spans="1:11">
      <c r="A1420" s="479">
        <v>6807.6</v>
      </c>
      <c r="B1420" s="476">
        <v>72303</v>
      </c>
      <c r="C1420" s="476">
        <v>72316</v>
      </c>
      <c r="D1420" s="476">
        <v>72328</v>
      </c>
      <c r="E1420" s="476">
        <v>72340</v>
      </c>
      <c r="F1420" s="476">
        <v>72352</v>
      </c>
      <c r="G1420" s="476">
        <v>72364</v>
      </c>
      <c r="H1420" s="476">
        <v>72376</v>
      </c>
      <c r="I1420" s="476">
        <v>72389</v>
      </c>
      <c r="J1420" s="476">
        <v>72401</v>
      </c>
      <c r="K1420" s="476">
        <v>72413</v>
      </c>
    </row>
    <row r="1421" spans="1:11">
      <c r="A1421" s="479">
        <v>6807.7</v>
      </c>
      <c r="B1421" s="476">
        <v>72425</v>
      </c>
      <c r="C1421" s="476">
        <v>72437</v>
      </c>
      <c r="D1421" s="476">
        <v>72449</v>
      </c>
      <c r="E1421" s="476">
        <v>72462</v>
      </c>
      <c r="F1421" s="476">
        <v>72474</v>
      </c>
      <c r="G1421" s="476">
        <v>72486</v>
      </c>
      <c r="H1421" s="476">
        <v>72498</v>
      </c>
      <c r="I1421" s="476">
        <v>72510</v>
      </c>
      <c r="J1421" s="476">
        <v>72523</v>
      </c>
      <c r="K1421" s="476">
        <v>72535</v>
      </c>
    </row>
    <row r="1422" spans="1:11">
      <c r="A1422" s="479">
        <v>6807.8</v>
      </c>
      <c r="B1422" s="476">
        <v>72547</v>
      </c>
      <c r="C1422" s="476">
        <v>72559</v>
      </c>
      <c r="D1422" s="476">
        <v>72571</v>
      </c>
      <c r="E1422" s="476">
        <v>72583</v>
      </c>
      <c r="F1422" s="476">
        <v>72596</v>
      </c>
      <c r="G1422" s="476">
        <v>72608</v>
      </c>
      <c r="H1422" s="476">
        <v>72620</v>
      </c>
      <c r="I1422" s="476">
        <v>72632</v>
      </c>
      <c r="J1422" s="476">
        <v>72644</v>
      </c>
      <c r="K1422" s="476">
        <v>72656</v>
      </c>
    </row>
    <row r="1423" spans="1:11">
      <c r="A1423" s="479">
        <v>6807.9</v>
      </c>
      <c r="B1423" s="476">
        <v>72669</v>
      </c>
      <c r="C1423" s="476">
        <v>72681</v>
      </c>
      <c r="D1423" s="476">
        <v>72693</v>
      </c>
      <c r="E1423" s="476">
        <v>72705</v>
      </c>
      <c r="F1423" s="476">
        <v>72717</v>
      </c>
      <c r="G1423" s="476">
        <v>72730</v>
      </c>
      <c r="H1423" s="476">
        <v>72742</v>
      </c>
      <c r="I1423" s="476">
        <v>72754</v>
      </c>
      <c r="J1423" s="476">
        <v>72766</v>
      </c>
      <c r="K1423" s="476">
        <v>72778</v>
      </c>
    </row>
    <row r="1424" spans="1:11">
      <c r="A1424" s="479">
        <v>6808</v>
      </c>
      <c r="B1424" s="476">
        <v>72790</v>
      </c>
      <c r="C1424" s="476">
        <v>72803</v>
      </c>
      <c r="D1424" s="476">
        <v>72815</v>
      </c>
      <c r="E1424" s="476">
        <v>72827</v>
      </c>
      <c r="F1424" s="476">
        <v>72840</v>
      </c>
      <c r="G1424" s="476">
        <v>72852</v>
      </c>
      <c r="H1424" s="476">
        <v>72864</v>
      </c>
      <c r="I1424" s="476">
        <v>72877</v>
      </c>
      <c r="J1424" s="476">
        <v>72889</v>
      </c>
      <c r="K1424" s="476">
        <v>72901</v>
      </c>
    </row>
    <row r="1425" spans="1:11">
      <c r="A1425" s="479">
        <v>6808.1</v>
      </c>
      <c r="B1425" s="476">
        <v>72914</v>
      </c>
      <c r="C1425" s="476">
        <v>72926</v>
      </c>
      <c r="D1425" s="476">
        <v>72938</v>
      </c>
      <c r="E1425" s="476">
        <v>72951</v>
      </c>
      <c r="F1425" s="476">
        <v>72963</v>
      </c>
      <c r="G1425" s="476">
        <v>72975</v>
      </c>
      <c r="H1425" s="476">
        <v>72988</v>
      </c>
      <c r="I1425" s="476">
        <v>73000</v>
      </c>
      <c r="J1425" s="476">
        <v>73012</v>
      </c>
      <c r="K1425" s="476">
        <v>73025</v>
      </c>
    </row>
    <row r="1426" spans="1:11">
      <c r="A1426" s="479">
        <v>6808.2</v>
      </c>
      <c r="B1426" s="476">
        <v>73037</v>
      </c>
      <c r="C1426" s="476">
        <v>73049</v>
      </c>
      <c r="D1426" s="476">
        <v>73061</v>
      </c>
      <c r="E1426" s="476">
        <v>73074</v>
      </c>
      <c r="F1426" s="476">
        <v>73086</v>
      </c>
      <c r="G1426" s="476">
        <v>73098</v>
      </c>
      <c r="H1426" s="476">
        <v>73111</v>
      </c>
      <c r="I1426" s="476">
        <v>73123</v>
      </c>
      <c r="J1426" s="476">
        <v>73135</v>
      </c>
      <c r="K1426" s="476">
        <v>73148</v>
      </c>
    </row>
    <row r="1427" spans="1:11">
      <c r="A1427" s="479">
        <v>6808.3</v>
      </c>
      <c r="B1427" s="476">
        <v>73160</v>
      </c>
      <c r="C1427" s="476">
        <v>73172</v>
      </c>
      <c r="D1427" s="476">
        <v>73185</v>
      </c>
      <c r="E1427" s="476">
        <v>73197</v>
      </c>
      <c r="F1427" s="476">
        <v>73209</v>
      </c>
      <c r="G1427" s="476">
        <v>73222</v>
      </c>
      <c r="H1427" s="476">
        <v>73234</v>
      </c>
      <c r="I1427" s="476">
        <v>73246</v>
      </c>
      <c r="J1427" s="476">
        <v>73259</v>
      </c>
      <c r="K1427" s="476">
        <v>73271</v>
      </c>
    </row>
    <row r="1428" spans="1:11">
      <c r="A1428" s="479">
        <v>6808.4</v>
      </c>
      <c r="B1428" s="476">
        <v>73283</v>
      </c>
      <c r="C1428" s="476">
        <v>73296</v>
      </c>
      <c r="D1428" s="476">
        <v>73308</v>
      </c>
      <c r="E1428" s="476">
        <v>73320</v>
      </c>
      <c r="F1428" s="476">
        <v>73333</v>
      </c>
      <c r="G1428" s="476">
        <v>73345</v>
      </c>
      <c r="H1428" s="476">
        <v>73357</v>
      </c>
      <c r="I1428" s="476">
        <v>73370</v>
      </c>
      <c r="J1428" s="476">
        <v>73382</v>
      </c>
      <c r="K1428" s="476">
        <v>73394</v>
      </c>
    </row>
    <row r="1429" spans="1:11">
      <c r="A1429" s="479">
        <v>6808.5</v>
      </c>
      <c r="B1429" s="476">
        <v>73406</v>
      </c>
      <c r="C1429" s="476">
        <v>73419</v>
      </c>
      <c r="D1429" s="476">
        <v>73431</v>
      </c>
      <c r="E1429" s="476">
        <v>73443</v>
      </c>
      <c r="F1429" s="476">
        <v>73456</v>
      </c>
      <c r="G1429" s="476">
        <v>73468</v>
      </c>
      <c r="H1429" s="476">
        <v>73480</v>
      </c>
      <c r="I1429" s="476">
        <v>73493</v>
      </c>
      <c r="J1429" s="476">
        <v>73505</v>
      </c>
      <c r="K1429" s="476">
        <v>73517</v>
      </c>
    </row>
    <row r="1430" spans="1:11">
      <c r="A1430" s="479">
        <v>6808.6</v>
      </c>
      <c r="B1430" s="476">
        <v>73530</v>
      </c>
      <c r="C1430" s="476">
        <v>73542</v>
      </c>
      <c r="D1430" s="476">
        <v>73554</v>
      </c>
      <c r="E1430" s="476">
        <v>73567</v>
      </c>
      <c r="F1430" s="476">
        <v>73579</v>
      </c>
      <c r="G1430" s="476">
        <v>73591</v>
      </c>
      <c r="H1430" s="476">
        <v>73604</v>
      </c>
      <c r="I1430" s="476">
        <v>73616</v>
      </c>
      <c r="J1430" s="476">
        <v>73628</v>
      </c>
      <c r="K1430" s="476">
        <v>73641</v>
      </c>
    </row>
    <row r="1431" spans="1:11">
      <c r="A1431" s="479">
        <v>6808.7</v>
      </c>
      <c r="B1431" s="476">
        <v>73653</v>
      </c>
      <c r="C1431" s="476">
        <v>73665</v>
      </c>
      <c r="D1431" s="476">
        <v>73678</v>
      </c>
      <c r="E1431" s="476">
        <v>73690</v>
      </c>
      <c r="F1431" s="476">
        <v>73702</v>
      </c>
      <c r="G1431" s="476">
        <v>73714</v>
      </c>
      <c r="H1431" s="476">
        <v>73727</v>
      </c>
      <c r="I1431" s="476">
        <v>73739</v>
      </c>
      <c r="J1431" s="476">
        <v>73751</v>
      </c>
      <c r="K1431" s="476">
        <v>73764</v>
      </c>
    </row>
    <row r="1432" spans="1:11">
      <c r="A1432" s="479">
        <v>6808.8</v>
      </c>
      <c r="B1432" s="476">
        <v>73776</v>
      </c>
      <c r="C1432" s="476">
        <v>73788</v>
      </c>
      <c r="D1432" s="476">
        <v>73801</v>
      </c>
      <c r="E1432" s="476">
        <v>73813</v>
      </c>
      <c r="F1432" s="476">
        <v>73825</v>
      </c>
      <c r="G1432" s="476">
        <v>73838</v>
      </c>
      <c r="H1432" s="476">
        <v>73850</v>
      </c>
      <c r="I1432" s="476">
        <v>73862</v>
      </c>
      <c r="J1432" s="476">
        <v>73875</v>
      </c>
      <c r="K1432" s="476">
        <v>73887</v>
      </c>
    </row>
    <row r="1433" spans="1:11">
      <c r="A1433" s="479">
        <v>6808.9</v>
      </c>
      <c r="B1433" s="476">
        <v>73899</v>
      </c>
      <c r="C1433" s="476">
        <v>73912</v>
      </c>
      <c r="D1433" s="476">
        <v>73924</v>
      </c>
      <c r="E1433" s="476">
        <v>73936</v>
      </c>
      <c r="F1433" s="476">
        <v>73949</v>
      </c>
      <c r="G1433" s="476">
        <v>73961</v>
      </c>
      <c r="H1433" s="476">
        <v>73973</v>
      </c>
      <c r="I1433" s="476">
        <v>73986</v>
      </c>
      <c r="J1433" s="476">
        <v>73998</v>
      </c>
      <c r="K1433" s="476">
        <v>74010</v>
      </c>
    </row>
    <row r="1434" spans="1:11">
      <c r="A1434" s="479">
        <v>6809</v>
      </c>
      <c r="B1434" s="476">
        <v>74023</v>
      </c>
      <c r="C1434" s="476">
        <v>74035</v>
      </c>
      <c r="D1434" s="476">
        <v>74047</v>
      </c>
      <c r="E1434" s="476">
        <v>74060</v>
      </c>
      <c r="F1434" s="476">
        <v>74072</v>
      </c>
      <c r="G1434" s="476">
        <v>74085</v>
      </c>
      <c r="H1434" s="476">
        <v>74097</v>
      </c>
      <c r="I1434" s="476">
        <v>74110</v>
      </c>
      <c r="J1434" s="476">
        <v>74122</v>
      </c>
      <c r="K1434" s="476">
        <v>74135</v>
      </c>
    </row>
    <row r="1435" spans="1:11">
      <c r="A1435" s="479">
        <v>6809.1</v>
      </c>
      <c r="B1435" s="476">
        <v>74147</v>
      </c>
      <c r="C1435" s="476">
        <v>74160</v>
      </c>
      <c r="D1435" s="476">
        <v>74171</v>
      </c>
      <c r="E1435" s="476">
        <v>74185</v>
      </c>
      <c r="F1435" s="476">
        <v>74197</v>
      </c>
      <c r="G1435" s="476">
        <v>74210</v>
      </c>
      <c r="H1435" s="476">
        <v>74222</v>
      </c>
      <c r="I1435" s="476">
        <v>74235</v>
      </c>
      <c r="J1435" s="476">
        <v>74247</v>
      </c>
      <c r="K1435" s="476">
        <v>74259</v>
      </c>
    </row>
    <row r="1436" spans="1:11">
      <c r="A1436" s="479">
        <v>6809.2</v>
      </c>
      <c r="B1436" s="476">
        <v>74272</v>
      </c>
      <c r="C1436" s="476">
        <v>74284</v>
      </c>
      <c r="D1436" s="476">
        <v>74297</v>
      </c>
      <c r="E1436" s="476">
        <v>74309</v>
      </c>
      <c r="F1436" s="476">
        <v>74322</v>
      </c>
      <c r="G1436" s="476">
        <v>74334</v>
      </c>
      <c r="H1436" s="476">
        <v>74347</v>
      </c>
      <c r="I1436" s="476">
        <v>74359</v>
      </c>
      <c r="J1436" s="476">
        <v>74372</v>
      </c>
      <c r="K1436" s="476">
        <v>74384</v>
      </c>
    </row>
    <row r="1437" spans="1:11">
      <c r="A1437" s="479">
        <v>6809.3</v>
      </c>
      <c r="B1437" s="476">
        <v>74397</v>
      </c>
      <c r="C1437" s="476">
        <v>74409</v>
      </c>
      <c r="D1437" s="476">
        <v>74422</v>
      </c>
      <c r="E1437" s="476">
        <v>74434</v>
      </c>
      <c r="F1437" s="476">
        <v>74447</v>
      </c>
      <c r="G1437" s="476">
        <v>74459</v>
      </c>
      <c r="H1437" s="476">
        <v>74472</v>
      </c>
      <c r="I1437" s="476">
        <v>74484</v>
      </c>
      <c r="J1437" s="476">
        <v>74496</v>
      </c>
      <c r="K1437" s="476">
        <v>74509</v>
      </c>
    </row>
    <row r="1438" spans="1:11">
      <c r="A1438" s="479">
        <v>6809.4</v>
      </c>
      <c r="B1438" s="476">
        <v>74521</v>
      </c>
      <c r="C1438" s="476">
        <v>74534</v>
      </c>
      <c r="D1438" s="476">
        <v>74546</v>
      </c>
      <c r="E1438" s="476">
        <v>74559</v>
      </c>
      <c r="F1438" s="476">
        <v>74571</v>
      </c>
      <c r="G1438" s="476">
        <v>74584</v>
      </c>
      <c r="H1438" s="476">
        <v>74596</v>
      </c>
      <c r="I1438" s="476">
        <v>74609</v>
      </c>
      <c r="J1438" s="476">
        <v>74621</v>
      </c>
      <c r="K1438" s="476">
        <v>74634</v>
      </c>
    </row>
    <row r="1439" spans="1:11">
      <c r="A1439" s="479">
        <v>6809.5</v>
      </c>
      <c r="B1439" s="476">
        <v>74646</v>
      </c>
      <c r="C1439" s="476">
        <v>74659</v>
      </c>
      <c r="D1439" s="476">
        <v>74671</v>
      </c>
      <c r="E1439" s="476">
        <v>74684</v>
      </c>
      <c r="F1439" s="476">
        <v>74696</v>
      </c>
      <c r="G1439" s="476">
        <v>74708</v>
      </c>
      <c r="H1439" s="476">
        <v>74721</v>
      </c>
      <c r="I1439" s="476">
        <v>74733</v>
      </c>
      <c r="J1439" s="476">
        <v>74746</v>
      </c>
      <c r="K1439" s="476">
        <v>74758</v>
      </c>
    </row>
    <row r="1440" spans="1:11">
      <c r="A1440" s="479">
        <v>6809.6</v>
      </c>
      <c r="B1440" s="476">
        <v>74771</v>
      </c>
      <c r="C1440" s="476">
        <v>74783</v>
      </c>
      <c r="D1440" s="476">
        <v>74796</v>
      </c>
      <c r="E1440" s="476">
        <v>74808</v>
      </c>
      <c r="F1440" s="476">
        <v>74821</v>
      </c>
      <c r="G1440" s="476">
        <v>74833</v>
      </c>
      <c r="H1440" s="476">
        <v>74846</v>
      </c>
      <c r="I1440" s="476">
        <v>74858</v>
      </c>
      <c r="J1440" s="476">
        <v>74871</v>
      </c>
      <c r="K1440" s="476">
        <v>74883</v>
      </c>
    </row>
    <row r="1441" spans="1:11">
      <c r="A1441" s="479">
        <v>6809.7</v>
      </c>
      <c r="B1441" s="476">
        <v>74896</v>
      </c>
      <c r="C1441" s="476">
        <v>74908</v>
      </c>
      <c r="D1441" s="476">
        <v>74921</v>
      </c>
      <c r="E1441" s="476">
        <v>74933</v>
      </c>
      <c r="F1441" s="476">
        <v>74945</v>
      </c>
      <c r="G1441" s="476">
        <v>74958</v>
      </c>
      <c r="H1441" s="476">
        <v>74970</v>
      </c>
      <c r="I1441" s="476">
        <v>74983</v>
      </c>
      <c r="J1441" s="476">
        <v>74995</v>
      </c>
      <c r="K1441" s="476">
        <v>75008</v>
      </c>
    </row>
    <row r="1442" spans="1:11">
      <c r="A1442" s="479">
        <v>6809.8</v>
      </c>
      <c r="B1442" s="476">
        <v>75020</v>
      </c>
      <c r="C1442" s="476">
        <v>75033</v>
      </c>
      <c r="D1442" s="476">
        <v>75045</v>
      </c>
      <c r="E1442" s="476">
        <v>75058</v>
      </c>
      <c r="F1442" s="476">
        <v>75070</v>
      </c>
      <c r="G1442" s="476">
        <v>75083</v>
      </c>
      <c r="H1442" s="476">
        <v>75095</v>
      </c>
      <c r="I1442" s="476">
        <v>75108</v>
      </c>
      <c r="J1442" s="476">
        <v>75120</v>
      </c>
      <c r="K1442" s="476">
        <v>75133</v>
      </c>
    </row>
    <row r="1443" spans="1:11">
      <c r="A1443" s="479">
        <v>6809.9</v>
      </c>
      <c r="B1443" s="476">
        <v>75145</v>
      </c>
      <c r="C1443" s="476">
        <v>75157</v>
      </c>
      <c r="D1443" s="476">
        <v>75170</v>
      </c>
      <c r="E1443" s="476">
        <v>75182</v>
      </c>
      <c r="F1443" s="476">
        <v>75195</v>
      </c>
      <c r="G1443" s="476">
        <v>75207</v>
      </c>
      <c r="H1443" s="476">
        <v>75220</v>
      </c>
      <c r="I1443" s="476">
        <v>75232</v>
      </c>
      <c r="J1443" s="476">
        <v>75245</v>
      </c>
      <c r="K1443" s="476">
        <v>75257</v>
      </c>
    </row>
    <row r="1444" spans="1:11">
      <c r="A1444" s="479">
        <v>6810</v>
      </c>
      <c r="B1444" s="476">
        <v>75270</v>
      </c>
      <c r="C1444" s="476">
        <v>75282</v>
      </c>
      <c r="D1444" s="476">
        <v>75295</v>
      </c>
      <c r="E1444" s="476">
        <v>75308</v>
      </c>
      <c r="F1444" s="476">
        <v>75320</v>
      </c>
      <c r="G1444" s="476">
        <v>75333</v>
      </c>
      <c r="H1444" s="476">
        <v>75346</v>
      </c>
      <c r="I1444" s="476">
        <v>75358</v>
      </c>
      <c r="J1444" s="476">
        <v>75371</v>
      </c>
      <c r="K1444" s="476">
        <v>75383</v>
      </c>
    </row>
    <row r="1445" spans="1:11">
      <c r="A1445" s="479">
        <v>6810.1</v>
      </c>
      <c r="B1445" s="476">
        <v>75396</v>
      </c>
      <c r="C1445" s="476">
        <v>75409</v>
      </c>
      <c r="D1445" s="476">
        <v>75421</v>
      </c>
      <c r="E1445" s="476">
        <v>75434</v>
      </c>
      <c r="F1445" s="476">
        <v>75447</v>
      </c>
      <c r="G1445" s="476">
        <v>75459</v>
      </c>
      <c r="H1445" s="476">
        <v>75472</v>
      </c>
      <c r="I1445" s="476">
        <v>75484</v>
      </c>
      <c r="J1445" s="476">
        <v>75497</v>
      </c>
      <c r="K1445" s="476">
        <v>75510</v>
      </c>
    </row>
    <row r="1446" spans="1:11">
      <c r="A1446" s="479">
        <v>6810.2</v>
      </c>
      <c r="B1446" s="476">
        <v>75522</v>
      </c>
      <c r="C1446" s="476">
        <v>75535</v>
      </c>
      <c r="D1446" s="476">
        <v>75548</v>
      </c>
      <c r="E1446" s="476">
        <v>75560</v>
      </c>
      <c r="F1446" s="476">
        <v>75573</v>
      </c>
      <c r="G1446" s="476">
        <v>75586</v>
      </c>
      <c r="H1446" s="476">
        <v>75598</v>
      </c>
      <c r="I1446" s="476">
        <v>75611</v>
      </c>
      <c r="J1446" s="476">
        <v>75623</v>
      </c>
      <c r="K1446" s="476">
        <v>75636</v>
      </c>
    </row>
    <row r="1447" spans="1:11">
      <c r="A1447" s="479">
        <v>6810.3</v>
      </c>
      <c r="B1447" s="476">
        <v>75649</v>
      </c>
      <c r="C1447" s="476">
        <v>75661</v>
      </c>
      <c r="D1447" s="476">
        <v>75674</v>
      </c>
      <c r="E1447" s="476">
        <v>75687</v>
      </c>
      <c r="F1447" s="476">
        <v>75699</v>
      </c>
      <c r="G1447" s="476">
        <v>75712</v>
      </c>
      <c r="H1447" s="476">
        <v>75724</v>
      </c>
      <c r="I1447" s="476">
        <v>75737</v>
      </c>
      <c r="J1447" s="476">
        <v>75750</v>
      </c>
      <c r="K1447" s="476">
        <v>75762</v>
      </c>
    </row>
    <row r="1448" spans="1:11">
      <c r="A1448" s="479">
        <v>6810.4</v>
      </c>
      <c r="B1448" s="476">
        <v>75775</v>
      </c>
      <c r="C1448" s="476">
        <v>75788</v>
      </c>
      <c r="D1448" s="476">
        <v>75800</v>
      </c>
      <c r="E1448" s="476">
        <v>75813</v>
      </c>
      <c r="F1448" s="476">
        <v>75826</v>
      </c>
      <c r="G1448" s="476">
        <v>75838</v>
      </c>
      <c r="H1448" s="476">
        <v>75851</v>
      </c>
      <c r="I1448" s="476">
        <v>75863</v>
      </c>
      <c r="J1448" s="476">
        <v>75876</v>
      </c>
      <c r="K1448" s="476">
        <v>75889</v>
      </c>
    </row>
    <row r="1449" spans="1:11">
      <c r="A1449" s="479">
        <v>6810.5</v>
      </c>
      <c r="B1449" s="476">
        <v>75901</v>
      </c>
      <c r="C1449" s="476">
        <v>75914</v>
      </c>
      <c r="D1449" s="476">
        <v>75927</v>
      </c>
      <c r="E1449" s="476">
        <v>75939</v>
      </c>
      <c r="F1449" s="476">
        <v>75952</v>
      </c>
      <c r="G1449" s="476">
        <v>75964</v>
      </c>
      <c r="H1449" s="476">
        <v>75977</v>
      </c>
      <c r="I1449" s="476">
        <v>75990</v>
      </c>
      <c r="J1449" s="476">
        <v>76002</v>
      </c>
      <c r="K1449" s="476">
        <v>76015</v>
      </c>
    </row>
    <row r="1450" spans="1:11">
      <c r="A1450" s="479">
        <v>6810.6</v>
      </c>
      <c r="B1450" s="476">
        <v>76028</v>
      </c>
      <c r="C1450" s="476">
        <v>76040</v>
      </c>
      <c r="D1450" s="476">
        <v>76053</v>
      </c>
      <c r="E1450" s="476">
        <v>76066</v>
      </c>
      <c r="F1450" s="476">
        <v>76078</v>
      </c>
      <c r="G1450" s="476">
        <v>76091</v>
      </c>
      <c r="H1450" s="476">
        <v>76103</v>
      </c>
      <c r="I1450" s="476">
        <v>76116</v>
      </c>
      <c r="J1450" s="476">
        <v>76129</v>
      </c>
      <c r="K1450" s="476">
        <v>76141</v>
      </c>
    </row>
    <row r="1451" spans="1:11">
      <c r="A1451" s="479">
        <v>6810.7</v>
      </c>
      <c r="B1451" s="476">
        <v>76154</v>
      </c>
      <c r="C1451" s="476">
        <v>76167</v>
      </c>
      <c r="D1451" s="476">
        <v>76179</v>
      </c>
      <c r="E1451" s="476">
        <v>76192</v>
      </c>
      <c r="F1451" s="476">
        <v>76204</v>
      </c>
      <c r="G1451" s="476">
        <v>76217</v>
      </c>
      <c r="H1451" s="476">
        <v>76230</v>
      </c>
      <c r="I1451" s="476">
        <v>76242</v>
      </c>
      <c r="J1451" s="476">
        <v>76255</v>
      </c>
      <c r="K1451" s="476">
        <v>76268</v>
      </c>
    </row>
    <row r="1452" spans="1:11">
      <c r="A1452" s="479">
        <v>6810.8</v>
      </c>
      <c r="B1452" s="476">
        <v>76280</v>
      </c>
      <c r="C1452" s="476">
        <v>76293</v>
      </c>
      <c r="D1452" s="476">
        <v>76306</v>
      </c>
      <c r="E1452" s="476">
        <v>76318</v>
      </c>
      <c r="F1452" s="476">
        <v>76331</v>
      </c>
      <c r="G1452" s="476">
        <v>76343</v>
      </c>
      <c r="H1452" s="476">
        <v>76356</v>
      </c>
      <c r="I1452" s="476">
        <v>76369</v>
      </c>
      <c r="J1452" s="476">
        <v>76381</v>
      </c>
      <c r="K1452" s="476">
        <v>76394</v>
      </c>
    </row>
    <row r="1453" spans="1:11">
      <c r="A1453" s="479">
        <v>6810.9</v>
      </c>
      <c r="B1453" s="476">
        <v>76407</v>
      </c>
      <c r="C1453" s="476">
        <v>76419</v>
      </c>
      <c r="D1453" s="476">
        <v>76432</v>
      </c>
      <c r="E1453" s="476">
        <v>76444</v>
      </c>
      <c r="F1453" s="476">
        <v>76457</v>
      </c>
      <c r="G1453" s="476">
        <v>76470</v>
      </c>
      <c r="H1453" s="476">
        <v>76482</v>
      </c>
      <c r="I1453" s="476">
        <v>76495</v>
      </c>
      <c r="J1453" s="476">
        <v>76508</v>
      </c>
      <c r="K1453" s="476">
        <v>76520</v>
      </c>
    </row>
    <row r="1454" spans="1:11">
      <c r="A1454" s="479">
        <v>6811</v>
      </c>
      <c r="B1454" s="476">
        <v>76533</v>
      </c>
      <c r="C1454" s="476">
        <v>76546</v>
      </c>
      <c r="D1454" s="476">
        <v>76558</v>
      </c>
      <c r="E1454" s="476">
        <v>76571</v>
      </c>
      <c r="F1454" s="476">
        <v>76584</v>
      </c>
      <c r="G1454" s="476">
        <v>76597</v>
      </c>
      <c r="H1454" s="476">
        <v>76610</v>
      </c>
      <c r="I1454" s="476">
        <v>76622</v>
      </c>
      <c r="J1454" s="476">
        <v>76635</v>
      </c>
      <c r="K1454" s="476">
        <v>76648</v>
      </c>
    </row>
    <row r="1455" spans="1:11">
      <c r="A1455" s="479">
        <v>6811.1</v>
      </c>
      <c r="B1455" s="476">
        <v>76661</v>
      </c>
      <c r="C1455" s="476">
        <v>76674</v>
      </c>
      <c r="D1455" s="476">
        <v>76686</v>
      </c>
      <c r="E1455" s="476">
        <v>76699</v>
      </c>
      <c r="F1455" s="476">
        <v>76712</v>
      </c>
      <c r="G1455" s="476">
        <v>76725</v>
      </c>
      <c r="H1455" s="476">
        <v>76738</v>
      </c>
      <c r="I1455" s="476">
        <v>76750</v>
      </c>
      <c r="J1455" s="476">
        <v>76763</v>
      </c>
      <c r="K1455" s="476">
        <v>76776</v>
      </c>
    </row>
    <row r="1456" spans="1:11">
      <c r="A1456" s="479">
        <v>6811.2</v>
      </c>
      <c r="B1456" s="476">
        <v>76789</v>
      </c>
      <c r="C1456" s="476">
        <v>76802</v>
      </c>
      <c r="D1456" s="476">
        <v>76814</v>
      </c>
      <c r="E1456" s="476">
        <v>76827</v>
      </c>
      <c r="F1456" s="476">
        <v>76840</v>
      </c>
      <c r="G1456" s="476">
        <v>76853</v>
      </c>
      <c r="H1456" s="476">
        <v>76866</v>
      </c>
      <c r="I1456" s="476">
        <v>76878</v>
      </c>
      <c r="J1456" s="476">
        <v>76891</v>
      </c>
      <c r="K1456" s="476">
        <v>76904</v>
      </c>
    </row>
    <row r="1457" spans="1:11">
      <c r="A1457" s="479">
        <v>6811.3</v>
      </c>
      <c r="B1457" s="476">
        <v>76917</v>
      </c>
      <c r="C1457" s="476">
        <v>76930</v>
      </c>
      <c r="D1457" s="476">
        <v>76942</v>
      </c>
      <c r="E1457" s="476">
        <v>76955</v>
      </c>
      <c r="F1457" s="476">
        <v>76968</v>
      </c>
      <c r="G1457" s="476">
        <v>76981</v>
      </c>
      <c r="H1457" s="476">
        <v>76994</v>
      </c>
      <c r="I1457" s="476">
        <v>77006</v>
      </c>
      <c r="J1457" s="476">
        <v>77019</v>
      </c>
      <c r="K1457" s="476">
        <v>77032</v>
      </c>
    </row>
    <row r="1458" spans="1:11">
      <c r="A1458" s="479">
        <v>6811.4</v>
      </c>
      <c r="B1458" s="476">
        <v>77045</v>
      </c>
      <c r="C1458" s="476">
        <v>77058</v>
      </c>
      <c r="D1458" s="476">
        <v>77070</v>
      </c>
      <c r="E1458" s="476">
        <v>77083</v>
      </c>
      <c r="F1458" s="476">
        <v>77096</v>
      </c>
      <c r="G1458" s="476">
        <v>77109</v>
      </c>
      <c r="H1458" s="476">
        <v>77122</v>
      </c>
      <c r="I1458" s="476">
        <v>77134</v>
      </c>
      <c r="J1458" s="476">
        <v>77147</v>
      </c>
      <c r="K1458" s="476">
        <v>77160</v>
      </c>
    </row>
    <row r="1459" spans="1:11">
      <c r="A1459" s="479">
        <v>6811.5</v>
      </c>
      <c r="B1459" s="476">
        <v>77173</v>
      </c>
      <c r="C1459" s="476">
        <v>77186</v>
      </c>
      <c r="D1459" s="476">
        <v>77198</v>
      </c>
      <c r="E1459" s="476">
        <v>77211</v>
      </c>
      <c r="F1459" s="476">
        <v>77224</v>
      </c>
      <c r="G1459" s="476">
        <v>77237</v>
      </c>
      <c r="H1459" s="476">
        <v>77250</v>
      </c>
      <c r="I1459" s="476">
        <v>77262</v>
      </c>
      <c r="J1459" s="476">
        <v>77275</v>
      </c>
      <c r="K1459" s="476">
        <v>77288</v>
      </c>
    </row>
    <row r="1460" spans="1:11">
      <c r="A1460" s="479">
        <v>6811.6</v>
      </c>
      <c r="B1460" s="476">
        <v>77301</v>
      </c>
      <c r="C1460" s="476">
        <v>77314</v>
      </c>
      <c r="D1460" s="476">
        <v>77326</v>
      </c>
      <c r="E1460" s="476">
        <v>77339</v>
      </c>
      <c r="F1460" s="476">
        <v>77352</v>
      </c>
      <c r="G1460" s="476">
        <v>77365</v>
      </c>
      <c r="H1460" s="476">
        <v>77378</v>
      </c>
      <c r="I1460" s="476">
        <v>77390</v>
      </c>
      <c r="J1460" s="476">
        <v>77403</v>
      </c>
      <c r="K1460" s="476">
        <v>77416</v>
      </c>
    </row>
    <row r="1461" spans="1:11">
      <c r="A1461" s="479">
        <v>6811.7</v>
      </c>
      <c r="B1461" s="476">
        <v>77429</v>
      </c>
      <c r="C1461" s="476">
        <v>77442</v>
      </c>
      <c r="D1461" s="476">
        <v>77454</v>
      </c>
      <c r="E1461" s="476">
        <v>77467</v>
      </c>
      <c r="F1461" s="476">
        <v>77480</v>
      </c>
      <c r="G1461" s="476">
        <v>77493</v>
      </c>
      <c r="H1461" s="476">
        <v>77506</v>
      </c>
      <c r="I1461" s="476">
        <v>77518</v>
      </c>
      <c r="J1461" s="476">
        <v>77531</v>
      </c>
      <c r="K1461" s="476">
        <v>77544</v>
      </c>
    </row>
    <row r="1462" spans="1:11">
      <c r="A1462" s="479">
        <v>6811.8</v>
      </c>
      <c r="B1462" s="476">
        <v>77557</v>
      </c>
      <c r="C1462" s="476">
        <v>77570</v>
      </c>
      <c r="D1462" s="476">
        <v>77582</v>
      </c>
      <c r="E1462" s="476">
        <v>77595</v>
      </c>
      <c r="F1462" s="476">
        <v>77608</v>
      </c>
      <c r="G1462" s="476">
        <v>77621</v>
      </c>
      <c r="H1462" s="476">
        <v>77634</v>
      </c>
      <c r="I1462" s="476">
        <v>77646</v>
      </c>
      <c r="J1462" s="476">
        <v>77659</v>
      </c>
      <c r="K1462" s="476">
        <v>77672</v>
      </c>
    </row>
    <row r="1463" spans="1:11">
      <c r="A1463" s="479">
        <v>6811.9</v>
      </c>
      <c r="B1463" s="476">
        <v>77685</v>
      </c>
      <c r="C1463" s="476">
        <v>77698</v>
      </c>
      <c r="D1463" s="476">
        <v>77710</v>
      </c>
      <c r="E1463" s="476">
        <v>77723</v>
      </c>
      <c r="F1463" s="476">
        <v>77736</v>
      </c>
      <c r="G1463" s="476">
        <v>77749</v>
      </c>
      <c r="H1463" s="476">
        <v>77761</v>
      </c>
      <c r="I1463" s="476">
        <v>77774</v>
      </c>
      <c r="J1463" s="476">
        <v>77787</v>
      </c>
      <c r="K1463" s="476">
        <v>77800</v>
      </c>
    </row>
    <row r="1464" spans="1:11">
      <c r="A1464" s="479">
        <v>6812</v>
      </c>
      <c r="B1464" s="476">
        <v>77813</v>
      </c>
      <c r="C1464" s="476">
        <v>77826</v>
      </c>
      <c r="D1464" s="476">
        <v>77839</v>
      </c>
      <c r="E1464" s="476">
        <v>77852</v>
      </c>
      <c r="F1464" s="476">
        <v>77865</v>
      </c>
      <c r="G1464" s="476">
        <v>77878</v>
      </c>
      <c r="H1464" s="476">
        <v>77891</v>
      </c>
      <c r="I1464" s="476">
        <v>77903</v>
      </c>
      <c r="J1464" s="476">
        <v>77916</v>
      </c>
      <c r="K1464" s="476">
        <v>77929</v>
      </c>
    </row>
    <row r="1465" spans="1:11">
      <c r="A1465" s="479">
        <v>6812.1</v>
      </c>
      <c r="B1465" s="476">
        <v>77942</v>
      </c>
      <c r="C1465" s="476">
        <v>77955</v>
      </c>
      <c r="D1465" s="476">
        <v>77968</v>
      </c>
      <c r="E1465" s="476">
        <v>77981</v>
      </c>
      <c r="F1465" s="476">
        <v>77994</v>
      </c>
      <c r="G1465" s="476">
        <v>78007</v>
      </c>
      <c r="H1465" s="476">
        <v>78020</v>
      </c>
      <c r="I1465" s="476">
        <v>78033</v>
      </c>
      <c r="J1465" s="476">
        <v>78046</v>
      </c>
      <c r="K1465" s="476">
        <v>78059</v>
      </c>
    </row>
    <row r="1466" spans="1:11">
      <c r="A1466" s="479">
        <v>6812.2</v>
      </c>
      <c r="B1466" s="476">
        <v>78072</v>
      </c>
      <c r="C1466" s="476">
        <v>78085</v>
      </c>
      <c r="D1466" s="476">
        <v>78098</v>
      </c>
      <c r="E1466" s="476">
        <v>78111</v>
      </c>
      <c r="F1466" s="476">
        <v>78124</v>
      </c>
      <c r="G1466" s="476">
        <v>78137</v>
      </c>
      <c r="H1466" s="476">
        <v>78150</v>
      </c>
      <c r="I1466" s="476">
        <v>78163</v>
      </c>
      <c r="J1466" s="476">
        <v>78176</v>
      </c>
      <c r="K1466" s="476">
        <v>78189</v>
      </c>
    </row>
    <row r="1467" spans="1:11">
      <c r="A1467" s="479">
        <v>6812.3</v>
      </c>
      <c r="B1467" s="476">
        <v>78202</v>
      </c>
      <c r="C1467" s="476">
        <v>78215</v>
      </c>
      <c r="D1467" s="476">
        <v>78228</v>
      </c>
      <c r="E1467" s="476">
        <v>78241</v>
      </c>
      <c r="F1467" s="476">
        <v>78254</v>
      </c>
      <c r="G1467" s="476">
        <v>78267</v>
      </c>
      <c r="H1467" s="476">
        <v>78280</v>
      </c>
      <c r="I1467" s="476">
        <v>78293</v>
      </c>
      <c r="J1467" s="476">
        <v>78306</v>
      </c>
      <c r="K1467" s="476">
        <v>78319</v>
      </c>
    </row>
    <row r="1468" spans="1:11">
      <c r="A1468" s="479">
        <v>6812.4</v>
      </c>
      <c r="B1468" s="476">
        <v>78332</v>
      </c>
      <c r="C1468" s="476">
        <v>78345</v>
      </c>
      <c r="D1468" s="476">
        <v>78358</v>
      </c>
      <c r="E1468" s="476">
        <v>78371</v>
      </c>
      <c r="F1468" s="476">
        <v>78383</v>
      </c>
      <c r="G1468" s="476">
        <v>78396</v>
      </c>
      <c r="H1468" s="476">
        <v>78409</v>
      </c>
      <c r="I1468" s="476">
        <v>78422</v>
      </c>
      <c r="J1468" s="476">
        <v>78435</v>
      </c>
      <c r="K1468" s="476">
        <v>78448</v>
      </c>
    </row>
    <row r="1469" spans="1:11">
      <c r="A1469" s="479">
        <v>6812.5</v>
      </c>
      <c r="B1469" s="476">
        <v>78461</v>
      </c>
      <c r="C1469" s="476">
        <v>78474</v>
      </c>
      <c r="D1469" s="476">
        <v>78487</v>
      </c>
      <c r="E1469" s="476">
        <v>78500</v>
      </c>
      <c r="F1469" s="476">
        <v>78513</v>
      </c>
      <c r="G1469" s="476">
        <v>78526</v>
      </c>
      <c r="H1469" s="476">
        <v>78539</v>
      </c>
      <c r="I1469" s="476">
        <v>78552</v>
      </c>
      <c r="J1469" s="476">
        <v>78565</v>
      </c>
      <c r="K1469" s="476">
        <v>78578</v>
      </c>
    </row>
    <row r="1470" spans="1:11">
      <c r="A1470" s="479">
        <v>6812.6</v>
      </c>
      <c r="B1470" s="476">
        <v>78591</v>
      </c>
      <c r="C1470" s="476">
        <v>78604</v>
      </c>
      <c r="D1470" s="476">
        <v>78617</v>
      </c>
      <c r="E1470" s="476">
        <v>78630</v>
      </c>
      <c r="F1470" s="476">
        <v>78643</v>
      </c>
      <c r="G1470" s="476">
        <v>78656</v>
      </c>
      <c r="H1470" s="476">
        <v>78669</v>
      </c>
      <c r="I1470" s="476">
        <v>78682</v>
      </c>
      <c r="J1470" s="476">
        <v>78695</v>
      </c>
      <c r="K1470" s="476">
        <v>78708</v>
      </c>
    </row>
    <row r="1471" spans="1:11">
      <c r="A1471" s="479">
        <v>6812.7</v>
      </c>
      <c r="B1471" s="476">
        <v>78721</v>
      </c>
      <c r="C1471" s="476">
        <v>78734</v>
      </c>
      <c r="D1471" s="476">
        <v>78747</v>
      </c>
      <c r="E1471" s="476">
        <v>78760</v>
      </c>
      <c r="F1471" s="476">
        <v>78773</v>
      </c>
      <c r="G1471" s="476">
        <v>78786</v>
      </c>
      <c r="H1471" s="476">
        <v>78799</v>
      </c>
      <c r="I1471" s="476">
        <v>78812</v>
      </c>
      <c r="J1471" s="476">
        <v>78825</v>
      </c>
      <c r="K1471" s="476">
        <v>78838</v>
      </c>
    </row>
    <row r="1472" spans="1:11">
      <c r="A1472" s="479">
        <v>6812.8</v>
      </c>
      <c r="B1472" s="476">
        <v>78850</v>
      </c>
      <c r="C1472" s="476">
        <v>78863</v>
      </c>
      <c r="D1472" s="476">
        <v>78876</v>
      </c>
      <c r="E1472" s="476">
        <v>78889</v>
      </c>
      <c r="F1472" s="476">
        <v>78902</v>
      </c>
      <c r="G1472" s="476">
        <v>78915</v>
      </c>
      <c r="H1472" s="476">
        <v>78928</v>
      </c>
      <c r="I1472" s="476">
        <v>78941</v>
      </c>
      <c r="J1472" s="476">
        <v>78954</v>
      </c>
      <c r="K1472" s="476">
        <v>78967</v>
      </c>
    </row>
    <row r="1473" spans="1:11">
      <c r="A1473" s="479">
        <v>6812.9</v>
      </c>
      <c r="B1473" s="476">
        <v>78980</v>
      </c>
      <c r="C1473" s="476">
        <v>78993</v>
      </c>
      <c r="D1473" s="476">
        <v>79006</v>
      </c>
      <c r="E1473" s="476">
        <v>79019</v>
      </c>
      <c r="F1473" s="476">
        <v>79032</v>
      </c>
      <c r="G1473" s="476">
        <v>79045</v>
      </c>
      <c r="H1473" s="476">
        <v>79058</v>
      </c>
      <c r="I1473" s="476">
        <v>79071</v>
      </c>
      <c r="J1473" s="476">
        <v>79084</v>
      </c>
      <c r="K1473" s="476">
        <v>79097</v>
      </c>
    </row>
    <row r="1474" spans="1:11">
      <c r="A1474" s="479">
        <v>6813</v>
      </c>
      <c r="B1474" s="476">
        <v>79110</v>
      </c>
      <c r="C1474" s="476">
        <v>79123</v>
      </c>
      <c r="D1474" s="476">
        <v>79136</v>
      </c>
      <c r="E1474" s="476">
        <v>79149</v>
      </c>
      <c r="F1474" s="476">
        <v>79163</v>
      </c>
      <c r="G1474" s="476">
        <v>79176</v>
      </c>
      <c r="H1474" s="476">
        <v>79189</v>
      </c>
      <c r="I1474" s="476">
        <v>79202</v>
      </c>
      <c r="J1474" s="476">
        <v>79215</v>
      </c>
      <c r="K1474" s="476">
        <v>79228</v>
      </c>
    </row>
    <row r="1475" spans="1:11">
      <c r="A1475" s="479">
        <v>6813.1</v>
      </c>
      <c r="B1475" s="476">
        <v>79241</v>
      </c>
      <c r="C1475" s="476">
        <v>79255</v>
      </c>
      <c r="D1475" s="476">
        <v>79268</v>
      </c>
      <c r="E1475" s="476">
        <v>79281</v>
      </c>
      <c r="F1475" s="476">
        <v>79294</v>
      </c>
      <c r="G1475" s="476">
        <v>79307</v>
      </c>
      <c r="H1475" s="476">
        <v>79320</v>
      </c>
      <c r="I1475" s="476">
        <v>79334</v>
      </c>
      <c r="J1475" s="476">
        <v>79347</v>
      </c>
      <c r="K1475" s="476">
        <v>79360</v>
      </c>
    </row>
    <row r="1476" spans="1:11">
      <c r="A1476" s="479">
        <v>6813.2</v>
      </c>
      <c r="B1476" s="476">
        <v>79373</v>
      </c>
      <c r="C1476" s="476">
        <v>79386</v>
      </c>
      <c r="D1476" s="476">
        <v>79399</v>
      </c>
      <c r="E1476" s="476">
        <v>79412</v>
      </c>
      <c r="F1476" s="476">
        <v>79426</v>
      </c>
      <c r="G1476" s="476">
        <v>79439</v>
      </c>
      <c r="H1476" s="476">
        <v>79452</v>
      </c>
      <c r="I1476" s="476">
        <v>79465</v>
      </c>
      <c r="J1476" s="476">
        <v>79478</v>
      </c>
      <c r="K1476" s="476">
        <v>79491</v>
      </c>
    </row>
    <row r="1477" spans="1:11">
      <c r="A1477" s="479">
        <v>6813.3</v>
      </c>
      <c r="B1477" s="476">
        <v>79505</v>
      </c>
      <c r="C1477" s="476">
        <v>79518</v>
      </c>
      <c r="D1477" s="476">
        <v>79531</v>
      </c>
      <c r="E1477" s="476">
        <v>79544</v>
      </c>
      <c r="F1477" s="476">
        <v>79557</v>
      </c>
      <c r="G1477" s="476">
        <v>79570</v>
      </c>
      <c r="H1477" s="476">
        <v>79583</v>
      </c>
      <c r="I1477" s="476">
        <v>79597</v>
      </c>
      <c r="J1477" s="476">
        <v>79610</v>
      </c>
      <c r="K1477" s="476">
        <v>79623</v>
      </c>
    </row>
    <row r="1478" spans="1:11">
      <c r="A1478" s="479">
        <v>6813.4</v>
      </c>
      <c r="B1478" s="476">
        <v>79636</v>
      </c>
      <c r="C1478" s="476">
        <v>79649</v>
      </c>
      <c r="D1478" s="476">
        <v>79662</v>
      </c>
      <c r="E1478" s="476">
        <v>79676</v>
      </c>
      <c r="F1478" s="476">
        <v>79689</v>
      </c>
      <c r="G1478" s="476">
        <v>79702</v>
      </c>
      <c r="H1478" s="476">
        <v>79715</v>
      </c>
      <c r="I1478" s="476">
        <v>79728</v>
      </c>
      <c r="J1478" s="476">
        <v>79741</v>
      </c>
      <c r="K1478" s="476">
        <v>79754</v>
      </c>
    </row>
    <row r="1479" spans="1:11">
      <c r="A1479" s="479">
        <v>6813.5</v>
      </c>
      <c r="B1479" s="476">
        <v>79768</v>
      </c>
      <c r="C1479" s="476">
        <v>79781</v>
      </c>
      <c r="D1479" s="476">
        <v>79794</v>
      </c>
      <c r="E1479" s="476">
        <v>79807</v>
      </c>
      <c r="F1479" s="476">
        <v>79820</v>
      </c>
      <c r="G1479" s="476">
        <v>79833</v>
      </c>
      <c r="H1479" s="476">
        <v>79847</v>
      </c>
      <c r="I1479" s="476">
        <v>79860</v>
      </c>
      <c r="J1479" s="476">
        <v>79873</v>
      </c>
      <c r="K1479" s="476">
        <v>79886</v>
      </c>
    </row>
    <row r="1480" spans="1:11">
      <c r="A1480" s="479">
        <v>6813.6</v>
      </c>
      <c r="B1480" s="476">
        <v>79899</v>
      </c>
      <c r="C1480" s="476">
        <v>79912</v>
      </c>
      <c r="D1480" s="476">
        <v>79925</v>
      </c>
      <c r="E1480" s="476">
        <v>79939</v>
      </c>
      <c r="F1480" s="476">
        <v>79952</v>
      </c>
      <c r="G1480" s="476">
        <v>79965</v>
      </c>
      <c r="H1480" s="476">
        <v>79978</v>
      </c>
      <c r="I1480" s="476">
        <v>79991</v>
      </c>
      <c r="J1480" s="476">
        <v>80004</v>
      </c>
      <c r="K1480" s="476">
        <v>80018</v>
      </c>
    </row>
    <row r="1481" spans="1:11">
      <c r="A1481" s="479">
        <v>6813.7</v>
      </c>
      <c r="B1481" s="476">
        <v>80031</v>
      </c>
      <c r="C1481" s="476">
        <v>80044</v>
      </c>
      <c r="D1481" s="476">
        <v>80057</v>
      </c>
      <c r="E1481" s="476">
        <v>80070</v>
      </c>
      <c r="F1481" s="476">
        <v>80083</v>
      </c>
      <c r="G1481" s="476">
        <v>80096</v>
      </c>
      <c r="H1481" s="476">
        <v>80110</v>
      </c>
      <c r="I1481" s="476">
        <v>80123</v>
      </c>
      <c r="J1481" s="476">
        <v>80136</v>
      </c>
      <c r="K1481" s="476">
        <v>80149</v>
      </c>
    </row>
    <row r="1482" spans="1:11">
      <c r="A1482" s="479">
        <v>6813.8</v>
      </c>
      <c r="B1482" s="476">
        <v>80162</v>
      </c>
      <c r="C1482" s="476">
        <v>80175</v>
      </c>
      <c r="D1482" s="476">
        <v>80189</v>
      </c>
      <c r="E1482" s="476">
        <v>80202</v>
      </c>
      <c r="F1482" s="476">
        <v>80215</v>
      </c>
      <c r="G1482" s="476">
        <v>80228</v>
      </c>
      <c r="H1482" s="476">
        <v>80241</v>
      </c>
      <c r="I1482" s="476">
        <v>80254</v>
      </c>
      <c r="J1482" s="476">
        <v>80267</v>
      </c>
      <c r="K1482" s="476">
        <v>80281</v>
      </c>
    </row>
    <row r="1483" spans="1:11">
      <c r="A1483" s="479">
        <v>6813.9</v>
      </c>
      <c r="B1483" s="476">
        <v>80294</v>
      </c>
      <c r="C1483" s="476">
        <v>80307</v>
      </c>
      <c r="D1483" s="476">
        <v>80320</v>
      </c>
      <c r="E1483" s="476">
        <v>80333</v>
      </c>
      <c r="F1483" s="476">
        <v>80346</v>
      </c>
      <c r="G1483" s="476">
        <v>80360</v>
      </c>
      <c r="H1483" s="476">
        <v>80373</v>
      </c>
      <c r="I1483" s="476">
        <v>80386</v>
      </c>
      <c r="J1483" s="476">
        <v>80399</v>
      </c>
      <c r="K1483" s="476">
        <v>80412</v>
      </c>
    </row>
    <row r="1484" spans="1:11">
      <c r="A1484" s="479">
        <v>6814</v>
      </c>
      <c r="B1484" s="476">
        <v>80425</v>
      </c>
      <c r="C1484" s="476">
        <v>80439</v>
      </c>
      <c r="D1484" s="476">
        <v>80452</v>
      </c>
      <c r="E1484" s="476">
        <v>80465</v>
      </c>
      <c r="F1484" s="476">
        <v>80479</v>
      </c>
      <c r="G1484" s="476">
        <v>80492</v>
      </c>
      <c r="H1484" s="476">
        <v>80505</v>
      </c>
      <c r="I1484" s="476">
        <v>80519</v>
      </c>
      <c r="J1484" s="476">
        <v>80532</v>
      </c>
      <c r="K1484" s="476">
        <v>80545</v>
      </c>
    </row>
    <row r="1485" spans="1:11">
      <c r="A1485" s="479">
        <v>6814.1</v>
      </c>
      <c r="B1485" s="476">
        <v>80559</v>
      </c>
      <c r="C1485" s="476">
        <v>80572</v>
      </c>
      <c r="D1485" s="476">
        <v>80585</v>
      </c>
      <c r="E1485" s="476">
        <v>80599</v>
      </c>
      <c r="F1485" s="476">
        <v>80612</v>
      </c>
      <c r="G1485" s="476">
        <v>80625</v>
      </c>
      <c r="H1485" s="476">
        <v>80639</v>
      </c>
      <c r="I1485" s="476">
        <v>80652</v>
      </c>
      <c r="J1485" s="476">
        <v>80665</v>
      </c>
      <c r="K1485" s="476">
        <v>80679</v>
      </c>
    </row>
    <row r="1486" spans="1:11">
      <c r="A1486" s="479">
        <v>6814.2</v>
      </c>
      <c r="B1486" s="476">
        <v>80692</v>
      </c>
      <c r="C1486" s="476">
        <v>80706</v>
      </c>
      <c r="D1486" s="476">
        <v>80719</v>
      </c>
      <c r="E1486" s="476">
        <v>80732</v>
      </c>
      <c r="F1486" s="476">
        <v>80746</v>
      </c>
      <c r="G1486" s="476">
        <v>80759</v>
      </c>
      <c r="H1486" s="476">
        <v>80772</v>
      </c>
      <c r="I1486" s="476">
        <v>80786</v>
      </c>
      <c r="J1486" s="476">
        <v>80799</v>
      </c>
      <c r="K1486" s="476">
        <v>80812</v>
      </c>
    </row>
    <row r="1487" spans="1:11">
      <c r="A1487" s="479">
        <v>6814.3</v>
      </c>
      <c r="B1487" s="476">
        <v>80826</v>
      </c>
      <c r="C1487" s="476">
        <v>80839</v>
      </c>
      <c r="D1487" s="476">
        <v>80852</v>
      </c>
      <c r="E1487" s="476">
        <v>80866</v>
      </c>
      <c r="F1487" s="476">
        <v>80879</v>
      </c>
      <c r="G1487" s="476">
        <v>80892</v>
      </c>
      <c r="H1487" s="476">
        <v>80906</v>
      </c>
      <c r="I1487" s="476">
        <v>80919</v>
      </c>
      <c r="J1487" s="476">
        <v>80932</v>
      </c>
      <c r="K1487" s="476">
        <v>80946</v>
      </c>
    </row>
    <row r="1488" spans="1:11">
      <c r="A1488" s="479">
        <v>6814.4</v>
      </c>
      <c r="B1488" s="476">
        <v>80959</v>
      </c>
      <c r="C1488" s="476">
        <v>80972</v>
      </c>
      <c r="D1488" s="476">
        <v>80986</v>
      </c>
      <c r="E1488" s="476">
        <v>80999</v>
      </c>
      <c r="F1488" s="476">
        <v>81012</v>
      </c>
      <c r="G1488" s="476">
        <v>81026</v>
      </c>
      <c r="H1488" s="476">
        <v>81039</v>
      </c>
      <c r="I1488" s="476">
        <v>81052</v>
      </c>
      <c r="J1488" s="476">
        <v>81066</v>
      </c>
      <c r="K1488" s="476">
        <v>81079</v>
      </c>
    </row>
    <row r="1489" spans="1:11">
      <c r="A1489" s="479">
        <v>6814.5</v>
      </c>
      <c r="B1489" s="476">
        <v>81092</v>
      </c>
      <c r="C1489" s="476">
        <v>81106</v>
      </c>
      <c r="D1489" s="476">
        <v>81119</v>
      </c>
      <c r="E1489" s="476">
        <v>81132</v>
      </c>
      <c r="F1489" s="476">
        <v>81146</v>
      </c>
      <c r="G1489" s="476">
        <v>81159</v>
      </c>
      <c r="H1489" s="476">
        <v>81173</v>
      </c>
      <c r="I1489" s="476">
        <v>81186</v>
      </c>
      <c r="J1489" s="476">
        <v>81199</v>
      </c>
      <c r="K1489" s="476">
        <v>81213</v>
      </c>
    </row>
    <row r="1490" spans="1:11">
      <c r="A1490" s="479">
        <v>6814.6</v>
      </c>
      <c r="B1490" s="476">
        <v>81226</v>
      </c>
      <c r="C1490" s="476">
        <v>81239</v>
      </c>
      <c r="D1490" s="476">
        <v>81253</v>
      </c>
      <c r="E1490" s="476">
        <v>81266</v>
      </c>
      <c r="F1490" s="476">
        <v>81279</v>
      </c>
      <c r="G1490" s="476">
        <v>81293</v>
      </c>
      <c r="H1490" s="476">
        <v>81306</v>
      </c>
      <c r="I1490" s="476">
        <v>81319</v>
      </c>
      <c r="J1490" s="476">
        <v>81333</v>
      </c>
      <c r="K1490" s="476">
        <v>81346</v>
      </c>
    </row>
    <row r="1491" spans="1:11">
      <c r="A1491" s="479">
        <v>6814.7</v>
      </c>
      <c r="B1491" s="476">
        <v>81359</v>
      </c>
      <c r="C1491" s="476">
        <v>81373</v>
      </c>
      <c r="D1491" s="476">
        <v>81386</v>
      </c>
      <c r="E1491" s="476">
        <v>81399</v>
      </c>
      <c r="F1491" s="476">
        <v>81413</v>
      </c>
      <c r="G1491" s="476">
        <v>81426</v>
      </c>
      <c r="H1491" s="476">
        <v>81439</v>
      </c>
      <c r="I1491" s="476">
        <v>81453</v>
      </c>
      <c r="J1491" s="476">
        <v>81466</v>
      </c>
      <c r="K1491" s="476">
        <v>81479</v>
      </c>
    </row>
    <row r="1492" spans="1:11">
      <c r="A1492" s="479">
        <v>6814.8</v>
      </c>
      <c r="B1492" s="476">
        <v>81493</v>
      </c>
      <c r="C1492" s="476">
        <v>81506</v>
      </c>
      <c r="D1492" s="476">
        <v>81519</v>
      </c>
      <c r="E1492" s="476">
        <v>81533</v>
      </c>
      <c r="F1492" s="476">
        <v>81546</v>
      </c>
      <c r="G1492" s="476">
        <v>81559</v>
      </c>
      <c r="H1492" s="476">
        <v>81573</v>
      </c>
      <c r="I1492" s="476">
        <v>81586</v>
      </c>
      <c r="J1492" s="476">
        <v>81599</v>
      </c>
      <c r="K1492" s="476">
        <v>81613</v>
      </c>
    </row>
    <row r="1493" spans="1:11">
      <c r="A1493" s="479">
        <v>6814.9</v>
      </c>
      <c r="B1493" s="476">
        <v>81626</v>
      </c>
      <c r="C1493" s="476">
        <v>81640</v>
      </c>
      <c r="D1493" s="476">
        <v>81653</v>
      </c>
      <c r="E1493" s="476">
        <v>81666</v>
      </c>
      <c r="F1493" s="476">
        <v>81680</v>
      </c>
      <c r="G1493" s="476">
        <v>81693</v>
      </c>
      <c r="H1493" s="476">
        <v>81706</v>
      </c>
      <c r="I1493" s="476">
        <v>81720</v>
      </c>
      <c r="J1493" s="476">
        <v>81733</v>
      </c>
      <c r="K1493" s="476">
        <v>81746</v>
      </c>
    </row>
    <row r="1494" spans="1:11">
      <c r="A1494" s="479">
        <v>6815</v>
      </c>
      <c r="B1494" s="476">
        <v>81760</v>
      </c>
      <c r="C1494" s="476">
        <v>81773</v>
      </c>
      <c r="D1494" s="476">
        <v>81787</v>
      </c>
      <c r="E1494" s="476">
        <v>81800</v>
      </c>
      <c r="F1494" s="476">
        <v>81814</v>
      </c>
      <c r="G1494" s="476">
        <v>81827</v>
      </c>
      <c r="H1494" s="476">
        <v>81841</v>
      </c>
      <c r="I1494" s="476">
        <v>81854</v>
      </c>
      <c r="J1494" s="476">
        <v>81868</v>
      </c>
      <c r="K1494" s="476">
        <v>81881</v>
      </c>
    </row>
    <row r="1495" spans="1:11">
      <c r="A1495" s="479">
        <v>6815.1</v>
      </c>
      <c r="B1495" s="476">
        <v>81895</v>
      </c>
      <c r="C1495" s="476">
        <v>81909</v>
      </c>
      <c r="D1495" s="476">
        <v>81922</v>
      </c>
      <c r="E1495" s="476">
        <v>81936</v>
      </c>
      <c r="F1495" s="476">
        <v>81949</v>
      </c>
      <c r="G1495" s="476">
        <v>81963</v>
      </c>
      <c r="H1495" s="476">
        <v>81976</v>
      </c>
      <c r="I1495" s="476">
        <v>81990</v>
      </c>
      <c r="J1495" s="476">
        <v>82003</v>
      </c>
      <c r="K1495" s="476">
        <v>82017</v>
      </c>
    </row>
    <row r="1496" spans="1:11">
      <c r="A1496" s="479">
        <v>6815.2</v>
      </c>
      <c r="B1496" s="476">
        <v>82030</v>
      </c>
      <c r="C1496" s="476">
        <v>82044</v>
      </c>
      <c r="D1496" s="476">
        <v>82057</v>
      </c>
      <c r="E1496" s="476">
        <v>82071</v>
      </c>
      <c r="F1496" s="476">
        <v>82085</v>
      </c>
      <c r="G1496" s="476">
        <v>82098</v>
      </c>
      <c r="H1496" s="476">
        <v>82112</v>
      </c>
      <c r="I1496" s="476">
        <v>82125</v>
      </c>
      <c r="J1496" s="476">
        <v>82139</v>
      </c>
      <c r="K1496" s="476">
        <v>82152</v>
      </c>
    </row>
    <row r="1497" spans="1:11">
      <c r="A1497" s="479">
        <v>6815.3</v>
      </c>
      <c r="B1497" s="476">
        <v>82166</v>
      </c>
      <c r="C1497" s="476">
        <v>82179</v>
      </c>
      <c r="D1497" s="476">
        <v>82193</v>
      </c>
      <c r="E1497" s="476">
        <v>82206</v>
      </c>
      <c r="F1497" s="476">
        <v>82220</v>
      </c>
      <c r="G1497" s="476">
        <v>82233</v>
      </c>
      <c r="H1497" s="476">
        <v>82247</v>
      </c>
      <c r="I1497" s="476">
        <v>82261</v>
      </c>
      <c r="J1497" s="476">
        <v>82274</v>
      </c>
      <c r="K1497" s="476">
        <v>82288</v>
      </c>
    </row>
    <row r="1498" spans="1:11">
      <c r="A1498" s="479">
        <v>6815.4</v>
      </c>
      <c r="B1498" s="476">
        <v>82301</v>
      </c>
      <c r="C1498" s="476">
        <v>82315</v>
      </c>
      <c r="D1498" s="476">
        <v>82328</v>
      </c>
      <c r="E1498" s="476">
        <v>82342</v>
      </c>
      <c r="F1498" s="476">
        <v>82355</v>
      </c>
      <c r="G1498" s="476">
        <v>82369</v>
      </c>
      <c r="H1498" s="476">
        <v>82382</v>
      </c>
      <c r="I1498" s="476">
        <v>82396</v>
      </c>
      <c r="J1498" s="476">
        <v>82410</v>
      </c>
      <c r="K1498" s="476">
        <v>82423</v>
      </c>
    </row>
    <row r="1499" spans="1:11">
      <c r="A1499" s="479">
        <v>6815.5</v>
      </c>
      <c r="B1499" s="476">
        <v>82437</v>
      </c>
      <c r="C1499" s="476">
        <v>82450</v>
      </c>
      <c r="D1499" s="476">
        <v>82464</v>
      </c>
      <c r="E1499" s="476">
        <v>82477</v>
      </c>
      <c r="F1499" s="476">
        <v>82491</v>
      </c>
      <c r="G1499" s="476">
        <v>82504</v>
      </c>
      <c r="H1499" s="476">
        <v>82518</v>
      </c>
      <c r="I1499" s="476">
        <v>82531</v>
      </c>
      <c r="J1499" s="476">
        <v>82545</v>
      </c>
      <c r="K1499" s="476">
        <v>82553</v>
      </c>
    </row>
    <row r="1500" spans="1:11">
      <c r="A1500" s="479">
        <v>6815.6</v>
      </c>
      <c r="B1500" s="476">
        <v>82572</v>
      </c>
      <c r="C1500" s="476">
        <v>82586</v>
      </c>
      <c r="D1500" s="476">
        <v>82599</v>
      </c>
      <c r="E1500" s="476">
        <v>82613</v>
      </c>
      <c r="F1500" s="476">
        <v>82626</v>
      </c>
      <c r="G1500" s="476">
        <v>82640</v>
      </c>
      <c r="H1500" s="476">
        <v>82653</v>
      </c>
      <c r="I1500" s="476">
        <v>82667</v>
      </c>
      <c r="J1500" s="476">
        <v>82680</v>
      </c>
      <c r="K1500" s="476">
        <v>82694</v>
      </c>
    </row>
    <row r="1501" spans="1:11">
      <c r="A1501" s="479">
        <v>6815.7</v>
      </c>
      <c r="B1501" s="476">
        <v>82707</v>
      </c>
      <c r="C1501" s="476">
        <v>82721</v>
      </c>
      <c r="D1501" s="476">
        <v>82734</v>
      </c>
      <c r="E1501" s="476">
        <v>82748</v>
      </c>
      <c r="F1501" s="476">
        <v>82762</v>
      </c>
      <c r="G1501" s="476">
        <v>82775</v>
      </c>
      <c r="H1501" s="476">
        <v>82789</v>
      </c>
      <c r="I1501" s="476">
        <v>82802</v>
      </c>
      <c r="J1501" s="476">
        <v>82816</v>
      </c>
      <c r="K1501" s="476">
        <v>82829</v>
      </c>
    </row>
    <row r="1502" spans="1:11">
      <c r="A1502" s="479">
        <v>6815.8</v>
      </c>
      <c r="B1502" s="476">
        <v>82843</v>
      </c>
      <c r="C1502" s="476">
        <v>82856</v>
      </c>
      <c r="D1502" s="476">
        <v>82870</v>
      </c>
      <c r="E1502" s="476">
        <v>82883</v>
      </c>
      <c r="F1502" s="476">
        <v>82897</v>
      </c>
      <c r="G1502" s="476">
        <v>82910</v>
      </c>
      <c r="H1502" s="476">
        <v>82924</v>
      </c>
      <c r="I1502" s="476">
        <v>82938</v>
      </c>
      <c r="J1502" s="476">
        <v>82951</v>
      </c>
      <c r="K1502" s="476">
        <v>82965</v>
      </c>
    </row>
    <row r="1503" spans="1:11">
      <c r="A1503" s="479">
        <v>6815.9</v>
      </c>
      <c r="B1503" s="476">
        <v>82978</v>
      </c>
      <c r="C1503" s="476">
        <v>82992</v>
      </c>
      <c r="D1503" s="476">
        <v>83005</v>
      </c>
      <c r="E1503" s="476">
        <v>83019</v>
      </c>
      <c r="F1503" s="476">
        <v>83032</v>
      </c>
      <c r="G1503" s="476">
        <v>83046</v>
      </c>
      <c r="H1503" s="476">
        <v>83059</v>
      </c>
      <c r="I1503" s="476">
        <v>83073</v>
      </c>
      <c r="J1503" s="476">
        <v>83087</v>
      </c>
      <c r="K1503" s="476">
        <v>83100</v>
      </c>
    </row>
    <row r="1504" spans="1:11">
      <c r="A1504" s="479">
        <v>6816</v>
      </c>
      <c r="B1504" s="476">
        <v>83114</v>
      </c>
      <c r="C1504" s="476">
        <v>83127</v>
      </c>
      <c r="D1504" s="476">
        <v>83141</v>
      </c>
      <c r="E1504" s="476">
        <v>83155</v>
      </c>
      <c r="F1504" s="476">
        <v>83169</v>
      </c>
      <c r="G1504" s="476">
        <v>83182</v>
      </c>
      <c r="H1504" s="476">
        <v>83196</v>
      </c>
      <c r="I1504" s="476">
        <v>83210</v>
      </c>
      <c r="J1504" s="476">
        <v>83224</v>
      </c>
      <c r="K1504" s="476">
        <v>83237</v>
      </c>
    </row>
    <row r="1505" spans="1:11">
      <c r="A1505" s="479">
        <v>6816.1</v>
      </c>
      <c r="B1505" s="476">
        <v>83251</v>
      </c>
      <c r="C1505" s="476">
        <v>83265</v>
      </c>
      <c r="D1505" s="476">
        <v>83279</v>
      </c>
      <c r="E1505" s="476">
        <v>83292</v>
      </c>
      <c r="F1505" s="476">
        <v>83306</v>
      </c>
      <c r="G1505" s="476">
        <v>83320</v>
      </c>
      <c r="H1505" s="476">
        <v>83333</v>
      </c>
      <c r="I1505" s="476">
        <v>83347</v>
      </c>
      <c r="J1505" s="476">
        <v>83361</v>
      </c>
      <c r="K1505" s="476">
        <v>83375</v>
      </c>
    </row>
    <row r="1506" spans="1:11">
      <c r="A1506" s="479">
        <v>6816.2</v>
      </c>
      <c r="B1506" s="476">
        <v>83388</v>
      </c>
      <c r="C1506" s="476">
        <v>83402</v>
      </c>
      <c r="D1506" s="476">
        <v>83416</v>
      </c>
      <c r="E1506" s="476">
        <v>83430</v>
      </c>
      <c r="F1506" s="476">
        <v>83443</v>
      </c>
      <c r="G1506" s="476">
        <v>83457</v>
      </c>
      <c r="H1506" s="476">
        <v>83471</v>
      </c>
      <c r="I1506" s="476">
        <v>83485</v>
      </c>
      <c r="J1506" s="476">
        <v>83498</v>
      </c>
      <c r="K1506" s="476">
        <v>83512</v>
      </c>
    </row>
    <row r="1507" spans="1:11">
      <c r="A1507" s="479">
        <v>6816.3</v>
      </c>
      <c r="B1507" s="476">
        <v>83526</v>
      </c>
      <c r="C1507" s="476">
        <v>83540</v>
      </c>
      <c r="D1507" s="476">
        <v>83553</v>
      </c>
      <c r="E1507" s="476">
        <v>83567</v>
      </c>
      <c r="F1507" s="476">
        <v>83581</v>
      </c>
      <c r="G1507" s="476">
        <v>83595</v>
      </c>
      <c r="H1507" s="476">
        <v>83608</v>
      </c>
      <c r="I1507" s="476">
        <v>83622</v>
      </c>
      <c r="J1507" s="476">
        <v>83636</v>
      </c>
      <c r="K1507" s="476">
        <v>83650</v>
      </c>
    </row>
    <row r="1508" spans="1:11">
      <c r="A1508" s="479">
        <v>6816.4</v>
      </c>
      <c r="B1508" s="476">
        <v>83663</v>
      </c>
      <c r="C1508" s="476">
        <v>83677</v>
      </c>
      <c r="D1508" s="476">
        <v>83691</v>
      </c>
      <c r="E1508" s="476">
        <v>83705</v>
      </c>
      <c r="F1508" s="476">
        <v>83718</v>
      </c>
      <c r="G1508" s="476">
        <v>83732</v>
      </c>
      <c r="H1508" s="476">
        <v>83746</v>
      </c>
      <c r="I1508" s="476">
        <v>83760</v>
      </c>
      <c r="J1508" s="476">
        <v>83773</v>
      </c>
      <c r="K1508" s="476">
        <v>83787</v>
      </c>
    </row>
    <row r="1509" spans="1:11">
      <c r="A1509" s="479">
        <v>6816.5</v>
      </c>
      <c r="B1509" s="476">
        <v>83801</v>
      </c>
      <c r="C1509" s="476">
        <v>83815</v>
      </c>
      <c r="D1509" s="476">
        <v>83828</v>
      </c>
      <c r="E1509" s="476">
        <v>83842</v>
      </c>
      <c r="F1509" s="476">
        <v>83856</v>
      </c>
      <c r="G1509" s="476">
        <v>83870</v>
      </c>
      <c r="H1509" s="476">
        <v>83883</v>
      </c>
      <c r="I1509" s="476">
        <v>83897</v>
      </c>
      <c r="J1509" s="476">
        <v>83911</v>
      </c>
      <c r="K1509" s="476">
        <v>83925</v>
      </c>
    </row>
    <row r="1510" spans="1:11">
      <c r="A1510" s="479">
        <v>6816.6</v>
      </c>
      <c r="B1510" s="476">
        <v>83938</v>
      </c>
      <c r="C1510" s="476">
        <v>83952</v>
      </c>
      <c r="D1510" s="476">
        <v>83966</v>
      </c>
      <c r="E1510" s="476">
        <v>83980</v>
      </c>
      <c r="F1510" s="476">
        <v>83993</v>
      </c>
      <c r="G1510" s="476">
        <v>84007</v>
      </c>
      <c r="H1510" s="476">
        <v>84021</v>
      </c>
      <c r="I1510" s="476">
        <v>84034</v>
      </c>
      <c r="J1510" s="476">
        <v>84048</v>
      </c>
      <c r="K1510" s="476">
        <v>84062</v>
      </c>
    </row>
    <row r="1511" spans="1:11">
      <c r="A1511" s="479">
        <v>6816.7</v>
      </c>
      <c r="B1511" s="476">
        <v>84076</v>
      </c>
      <c r="C1511" s="476">
        <v>84089</v>
      </c>
      <c r="D1511" s="476">
        <v>84103</v>
      </c>
      <c r="E1511" s="476">
        <v>84117</v>
      </c>
      <c r="F1511" s="476">
        <v>84131</v>
      </c>
      <c r="G1511" s="476">
        <v>84144</v>
      </c>
      <c r="H1511" s="476">
        <v>84158</v>
      </c>
      <c r="I1511" s="476">
        <v>84172</v>
      </c>
      <c r="J1511" s="476">
        <v>84186</v>
      </c>
      <c r="K1511" s="476">
        <v>84199</v>
      </c>
    </row>
    <row r="1512" spans="1:11">
      <c r="A1512" s="479">
        <v>6816.8</v>
      </c>
      <c r="B1512" s="476">
        <v>84213</v>
      </c>
      <c r="C1512" s="476">
        <v>84227</v>
      </c>
      <c r="D1512" s="476">
        <v>84241</v>
      </c>
      <c r="E1512" s="476">
        <v>84254</v>
      </c>
      <c r="F1512" s="476">
        <v>84268</v>
      </c>
      <c r="G1512" s="476">
        <v>84282</v>
      </c>
      <c r="H1512" s="476">
        <v>84296</v>
      </c>
      <c r="I1512" s="476">
        <v>84309</v>
      </c>
      <c r="J1512" s="476">
        <v>84323</v>
      </c>
      <c r="K1512" s="476">
        <v>84337</v>
      </c>
    </row>
    <row r="1513" spans="1:11">
      <c r="A1513" s="479">
        <v>6816.9</v>
      </c>
      <c r="B1513" s="476">
        <v>84351</v>
      </c>
      <c r="C1513" s="476">
        <v>84364</v>
      </c>
      <c r="D1513" s="476">
        <v>84378</v>
      </c>
      <c r="E1513" s="476">
        <v>84392</v>
      </c>
      <c r="F1513" s="476">
        <v>84406</v>
      </c>
      <c r="G1513" s="476">
        <v>84419</v>
      </c>
      <c r="H1513" s="476">
        <v>84433</v>
      </c>
      <c r="I1513" s="476">
        <v>84447</v>
      </c>
      <c r="J1513" s="476">
        <v>84461</v>
      </c>
      <c r="K1513" s="476">
        <v>84471</v>
      </c>
    </row>
    <row r="1514" spans="1:11">
      <c r="A1514" s="479">
        <v>6817</v>
      </c>
      <c r="B1514" s="476">
        <v>84488</v>
      </c>
      <c r="C1514" s="476">
        <v>84502</v>
      </c>
      <c r="D1514" s="476">
        <v>84516</v>
      </c>
      <c r="E1514" s="476">
        <v>84530</v>
      </c>
      <c r="F1514" s="476">
        <v>84544</v>
      </c>
      <c r="G1514" s="476">
        <v>84558</v>
      </c>
      <c r="H1514" s="476">
        <v>84572</v>
      </c>
      <c r="I1514" s="476">
        <v>84586</v>
      </c>
      <c r="J1514" s="476">
        <v>84600</v>
      </c>
      <c r="K1514" s="476">
        <v>84612</v>
      </c>
    </row>
    <row r="1515" spans="1:11">
      <c r="A1515" s="479">
        <v>6817.1</v>
      </c>
      <c r="B1515" s="476">
        <v>84628</v>
      </c>
      <c r="C1515" s="476">
        <v>84642</v>
      </c>
      <c r="D1515" s="476">
        <v>84656</v>
      </c>
      <c r="E1515" s="476">
        <v>84670</v>
      </c>
      <c r="F1515" s="476">
        <v>84683</v>
      </c>
      <c r="G1515" s="476">
        <v>84697</v>
      </c>
      <c r="H1515" s="476">
        <v>84711</v>
      </c>
      <c r="I1515" s="476">
        <v>84725</v>
      </c>
      <c r="J1515" s="476">
        <v>84739</v>
      </c>
      <c r="K1515" s="476">
        <v>84753</v>
      </c>
    </row>
    <row r="1516" spans="1:11">
      <c r="A1516" s="479">
        <v>6817.2</v>
      </c>
      <c r="B1516" s="476">
        <v>84767</v>
      </c>
      <c r="C1516" s="476">
        <v>84781</v>
      </c>
      <c r="D1516" s="476">
        <v>84795</v>
      </c>
      <c r="E1516" s="476">
        <v>84809</v>
      </c>
      <c r="F1516" s="476">
        <v>84823</v>
      </c>
      <c r="G1516" s="476">
        <v>84837</v>
      </c>
      <c r="H1516" s="476">
        <v>84851</v>
      </c>
      <c r="I1516" s="476">
        <v>84865</v>
      </c>
      <c r="J1516" s="476">
        <v>84879</v>
      </c>
      <c r="K1516" s="476">
        <v>84893</v>
      </c>
    </row>
    <row r="1517" spans="1:11">
      <c r="A1517" s="479">
        <v>6817.3</v>
      </c>
      <c r="B1517" s="476">
        <v>84907</v>
      </c>
      <c r="C1517" s="476">
        <v>84921</v>
      </c>
      <c r="D1517" s="476">
        <v>84935</v>
      </c>
      <c r="E1517" s="476">
        <v>84949</v>
      </c>
      <c r="F1517" s="476">
        <v>84963</v>
      </c>
      <c r="G1517" s="476">
        <v>84977</v>
      </c>
      <c r="H1517" s="476">
        <v>84991</v>
      </c>
      <c r="I1517" s="476">
        <v>85005</v>
      </c>
      <c r="J1517" s="476">
        <v>85018</v>
      </c>
      <c r="K1517" s="476">
        <v>85031</v>
      </c>
    </row>
    <row r="1518" spans="1:11">
      <c r="A1518" s="479">
        <v>6817.4</v>
      </c>
      <c r="B1518" s="476">
        <v>85046</v>
      </c>
      <c r="C1518" s="476">
        <v>85060</v>
      </c>
      <c r="D1518" s="476">
        <v>85074</v>
      </c>
      <c r="E1518" s="476">
        <v>85088</v>
      </c>
      <c r="F1518" s="476">
        <v>85102</v>
      </c>
      <c r="G1518" s="476">
        <v>85116</v>
      </c>
      <c r="H1518" s="476">
        <v>85130</v>
      </c>
      <c r="I1518" s="476">
        <v>85144</v>
      </c>
      <c r="J1518" s="476">
        <v>85158</v>
      </c>
      <c r="K1518" s="476">
        <v>85171</v>
      </c>
    </row>
    <row r="1519" spans="1:11">
      <c r="A1519" s="479">
        <v>6817.5</v>
      </c>
      <c r="B1519" s="476">
        <v>85186</v>
      </c>
      <c r="C1519" s="476">
        <v>85200</v>
      </c>
      <c r="D1519" s="476">
        <v>85214</v>
      </c>
      <c r="E1519" s="476">
        <v>85228</v>
      </c>
      <c r="F1519" s="476">
        <v>85242</v>
      </c>
      <c r="G1519" s="476">
        <v>85256</v>
      </c>
      <c r="H1519" s="476">
        <v>85270</v>
      </c>
      <c r="I1519" s="476">
        <v>85284</v>
      </c>
      <c r="J1519" s="476">
        <v>85298</v>
      </c>
      <c r="K1519" s="476">
        <v>85311</v>
      </c>
    </row>
    <row r="1520" spans="1:11">
      <c r="A1520" s="479">
        <v>6817.6</v>
      </c>
      <c r="B1520" s="476">
        <v>85326</v>
      </c>
      <c r="C1520" s="476">
        <v>85340</v>
      </c>
      <c r="D1520" s="476">
        <v>85353</v>
      </c>
      <c r="E1520" s="476">
        <v>85367</v>
      </c>
      <c r="F1520" s="476">
        <v>85381</v>
      </c>
      <c r="G1520" s="476">
        <v>85395</v>
      </c>
      <c r="H1520" s="476">
        <v>85409</v>
      </c>
      <c r="I1520" s="476">
        <v>85423</v>
      </c>
      <c r="J1520" s="476">
        <v>85437</v>
      </c>
      <c r="K1520" s="476">
        <v>85451</v>
      </c>
    </row>
    <row r="1521" spans="1:11">
      <c r="A1521" s="479">
        <v>6817.7</v>
      </c>
      <c r="B1521" s="476">
        <v>85465</v>
      </c>
      <c r="C1521" s="476">
        <v>85479</v>
      </c>
      <c r="D1521" s="476">
        <v>85493</v>
      </c>
      <c r="E1521" s="476">
        <v>85507</v>
      </c>
      <c r="F1521" s="476">
        <v>85521</v>
      </c>
      <c r="G1521" s="476">
        <v>85535</v>
      </c>
      <c r="H1521" s="476">
        <v>85549</v>
      </c>
      <c r="I1521" s="476">
        <v>85563</v>
      </c>
      <c r="J1521" s="476">
        <v>85577</v>
      </c>
      <c r="K1521" s="476">
        <v>85591</v>
      </c>
    </row>
    <row r="1522" spans="1:11">
      <c r="A1522" s="479">
        <v>6817.8</v>
      </c>
      <c r="B1522" s="476">
        <v>85605</v>
      </c>
      <c r="C1522" s="476">
        <v>85619</v>
      </c>
      <c r="D1522" s="476">
        <v>85633</v>
      </c>
      <c r="E1522" s="476">
        <v>85647</v>
      </c>
      <c r="F1522" s="476">
        <v>85661</v>
      </c>
      <c r="G1522" s="476">
        <v>85675</v>
      </c>
      <c r="H1522" s="476">
        <v>85688</v>
      </c>
      <c r="I1522" s="476">
        <v>85702</v>
      </c>
      <c r="J1522" s="476">
        <v>85716</v>
      </c>
      <c r="K1522" s="476">
        <v>85733</v>
      </c>
    </row>
    <row r="1523" spans="1:11">
      <c r="A1523" s="479">
        <v>6817.9</v>
      </c>
      <c r="B1523" s="476">
        <v>85744</v>
      </c>
      <c r="C1523" s="476">
        <v>85758</v>
      </c>
      <c r="D1523" s="476">
        <v>85772</v>
      </c>
      <c r="E1523" s="476">
        <v>85786</v>
      </c>
      <c r="F1523" s="476">
        <v>85800</v>
      </c>
      <c r="G1523" s="476">
        <v>85814</v>
      </c>
      <c r="H1523" s="476">
        <v>85828</v>
      </c>
      <c r="I1523" s="476">
        <v>85842</v>
      </c>
      <c r="J1523" s="476">
        <v>85856</v>
      </c>
      <c r="K1523" s="476">
        <v>85873</v>
      </c>
    </row>
    <row r="1524" spans="1:11">
      <c r="A1524" s="479">
        <v>6818</v>
      </c>
      <c r="B1524" s="476">
        <v>85884</v>
      </c>
      <c r="C1524" s="476">
        <v>85898</v>
      </c>
      <c r="D1524" s="476">
        <v>85912</v>
      </c>
      <c r="E1524" s="476">
        <v>85926</v>
      </c>
      <c r="F1524" s="476">
        <v>85941</v>
      </c>
      <c r="G1524" s="476">
        <v>85955</v>
      </c>
      <c r="H1524" s="476">
        <v>85969</v>
      </c>
      <c r="I1524" s="476">
        <v>85983</v>
      </c>
      <c r="J1524" s="476">
        <v>85997</v>
      </c>
      <c r="K1524" s="476">
        <v>86012</v>
      </c>
    </row>
    <row r="1525" spans="1:11">
      <c r="A1525" s="479">
        <v>6818.1</v>
      </c>
      <c r="B1525" s="476">
        <v>86026</v>
      </c>
      <c r="C1525" s="476">
        <v>86040</v>
      </c>
      <c r="D1525" s="476">
        <v>86054</v>
      </c>
      <c r="E1525" s="476">
        <v>86068</v>
      </c>
      <c r="F1525" s="476">
        <v>86082</v>
      </c>
      <c r="G1525" s="476">
        <v>86097</v>
      </c>
      <c r="H1525" s="476">
        <v>86111</v>
      </c>
      <c r="I1525" s="476">
        <v>86125</v>
      </c>
      <c r="J1525" s="476">
        <v>86139</v>
      </c>
      <c r="K1525" s="476">
        <v>86153</v>
      </c>
    </row>
    <row r="1526" spans="1:11">
      <c r="A1526" s="479">
        <v>6818.2</v>
      </c>
      <c r="B1526" s="476">
        <v>86167</v>
      </c>
      <c r="C1526" s="476">
        <v>86182</v>
      </c>
      <c r="D1526" s="476">
        <v>86196</v>
      </c>
      <c r="E1526" s="476">
        <v>86210</v>
      </c>
      <c r="F1526" s="476">
        <v>86224</v>
      </c>
      <c r="G1526" s="476">
        <v>86238</v>
      </c>
      <c r="H1526" s="476">
        <v>86253</v>
      </c>
      <c r="I1526" s="476">
        <v>86267</v>
      </c>
      <c r="J1526" s="476">
        <v>86281</v>
      </c>
      <c r="K1526" s="476">
        <v>86295</v>
      </c>
    </row>
    <row r="1527" spans="1:11">
      <c r="A1527" s="479">
        <v>6818.3</v>
      </c>
      <c r="B1527" s="476">
        <v>86309</v>
      </c>
      <c r="C1527" s="476">
        <v>86323</v>
      </c>
      <c r="D1527" s="476">
        <v>86338</v>
      </c>
      <c r="E1527" s="476">
        <v>86352</v>
      </c>
      <c r="F1527" s="476">
        <v>86366</v>
      </c>
      <c r="G1527" s="476">
        <v>86380</v>
      </c>
      <c r="H1527" s="476">
        <v>86394</v>
      </c>
      <c r="I1527" s="476">
        <v>86409</v>
      </c>
      <c r="J1527" s="476">
        <v>86423</v>
      </c>
      <c r="K1527" s="476">
        <v>86437</v>
      </c>
    </row>
    <row r="1528" spans="1:11">
      <c r="A1528" s="479">
        <v>6818.4</v>
      </c>
      <c r="B1528" s="476">
        <v>86451</v>
      </c>
      <c r="C1528" s="476">
        <v>86465</v>
      </c>
      <c r="D1528" s="476">
        <v>86479</v>
      </c>
      <c r="E1528" s="476">
        <v>86494</v>
      </c>
      <c r="F1528" s="476">
        <v>86508</v>
      </c>
      <c r="G1528" s="476">
        <v>86522</v>
      </c>
      <c r="H1528" s="476">
        <v>86536</v>
      </c>
      <c r="I1528" s="476">
        <v>86550</v>
      </c>
      <c r="J1528" s="476">
        <v>86565</v>
      </c>
      <c r="K1528" s="476">
        <v>86579</v>
      </c>
    </row>
    <row r="1529" spans="1:11">
      <c r="A1529" s="479">
        <v>6818.5</v>
      </c>
      <c r="B1529" s="476">
        <v>86593</v>
      </c>
      <c r="C1529" s="476">
        <v>86607</v>
      </c>
      <c r="D1529" s="476">
        <v>86621</v>
      </c>
      <c r="E1529" s="476">
        <v>86635</v>
      </c>
      <c r="F1529" s="476">
        <v>86650</v>
      </c>
      <c r="G1529" s="476">
        <v>86664</v>
      </c>
      <c r="H1529" s="476">
        <v>86678</v>
      </c>
      <c r="I1529" s="476">
        <v>86692</v>
      </c>
      <c r="J1529" s="476">
        <v>86706</v>
      </c>
      <c r="K1529" s="476">
        <v>86721</v>
      </c>
    </row>
    <row r="1530" spans="1:11">
      <c r="A1530" s="479">
        <v>6818.6</v>
      </c>
      <c r="B1530" s="476">
        <v>86735</v>
      </c>
      <c r="C1530" s="476">
        <v>86749</v>
      </c>
      <c r="D1530" s="476">
        <v>86763</v>
      </c>
      <c r="E1530" s="476">
        <v>86777</v>
      </c>
      <c r="F1530" s="476">
        <v>86791</v>
      </c>
      <c r="G1530" s="476">
        <v>86806</v>
      </c>
      <c r="H1530" s="476">
        <v>86820</v>
      </c>
      <c r="I1530" s="476">
        <v>86834</v>
      </c>
      <c r="J1530" s="476">
        <v>86848</v>
      </c>
      <c r="K1530" s="476">
        <v>86862</v>
      </c>
    </row>
    <row r="1531" spans="1:11">
      <c r="A1531" s="479">
        <v>6818.7</v>
      </c>
      <c r="B1531" s="476">
        <v>86877</v>
      </c>
      <c r="C1531" s="476">
        <v>86891</v>
      </c>
      <c r="D1531" s="476">
        <v>86905</v>
      </c>
      <c r="E1531" s="476">
        <v>86919</v>
      </c>
      <c r="F1531" s="476">
        <v>86933</v>
      </c>
      <c r="G1531" s="476">
        <v>86947</v>
      </c>
      <c r="H1531" s="476">
        <v>86962</v>
      </c>
      <c r="I1531" s="476">
        <v>86976</v>
      </c>
      <c r="J1531" s="476">
        <v>86990</v>
      </c>
      <c r="K1531" s="476">
        <v>87004</v>
      </c>
    </row>
    <row r="1532" spans="1:11">
      <c r="A1532" s="479">
        <v>6818.8</v>
      </c>
      <c r="B1532" s="476">
        <v>87018</v>
      </c>
      <c r="C1532" s="476">
        <v>87032</v>
      </c>
      <c r="D1532" s="476">
        <v>87047</v>
      </c>
      <c r="E1532" s="476">
        <v>87061</v>
      </c>
      <c r="F1532" s="476">
        <v>87075</v>
      </c>
      <c r="G1532" s="476">
        <v>87089</v>
      </c>
      <c r="H1532" s="476">
        <v>87103</v>
      </c>
      <c r="I1532" s="476">
        <v>87118</v>
      </c>
      <c r="J1532" s="476">
        <v>87132</v>
      </c>
      <c r="K1532" s="476">
        <v>87146</v>
      </c>
    </row>
    <row r="1533" spans="1:11">
      <c r="A1533" s="479">
        <v>6818.9</v>
      </c>
      <c r="B1533" s="476">
        <v>87160</v>
      </c>
      <c r="C1533" s="476">
        <v>87174</v>
      </c>
      <c r="D1533" s="476">
        <v>87188</v>
      </c>
      <c r="E1533" s="476">
        <v>87203</v>
      </c>
      <c r="F1533" s="476">
        <v>87217</v>
      </c>
      <c r="G1533" s="476">
        <v>87231</v>
      </c>
      <c r="H1533" s="476">
        <v>87245</v>
      </c>
      <c r="I1533" s="476">
        <v>87259</v>
      </c>
      <c r="J1533" s="476">
        <v>87274</v>
      </c>
      <c r="K1533" s="476">
        <v>87288</v>
      </c>
    </row>
    <row r="1534" spans="1:11">
      <c r="A1534" s="479">
        <v>6819</v>
      </c>
      <c r="B1534" s="476">
        <v>87302</v>
      </c>
      <c r="C1534" s="476">
        <v>87316</v>
      </c>
      <c r="D1534" s="476">
        <v>87331</v>
      </c>
      <c r="E1534" s="476">
        <v>87345</v>
      </c>
      <c r="F1534" s="476">
        <v>87360</v>
      </c>
      <c r="G1534" s="476">
        <v>87374</v>
      </c>
      <c r="H1534" s="476">
        <v>87388</v>
      </c>
      <c r="I1534" s="476">
        <v>87403</v>
      </c>
      <c r="J1534" s="476">
        <v>87417</v>
      </c>
      <c r="K1534" s="476">
        <v>87432</v>
      </c>
    </row>
    <row r="1535" spans="1:11">
      <c r="A1535" s="479">
        <v>6819.1</v>
      </c>
      <c r="B1535" s="476">
        <v>87446</v>
      </c>
      <c r="C1535" s="476">
        <v>87460</v>
      </c>
      <c r="D1535" s="476">
        <v>87475</v>
      </c>
      <c r="E1535" s="476">
        <v>87489</v>
      </c>
      <c r="F1535" s="476">
        <v>87504</v>
      </c>
      <c r="G1535" s="476">
        <v>87518</v>
      </c>
      <c r="H1535" s="476">
        <v>87532</v>
      </c>
      <c r="I1535" s="476">
        <v>87547</v>
      </c>
      <c r="J1535" s="476">
        <v>87561</v>
      </c>
      <c r="K1535" s="476">
        <v>87576</v>
      </c>
    </row>
    <row r="1536" spans="1:11">
      <c r="A1536" s="479">
        <v>6819.2</v>
      </c>
      <c r="B1536" s="476">
        <v>87590</v>
      </c>
      <c r="C1536" s="476">
        <v>87605</v>
      </c>
      <c r="D1536" s="476">
        <v>87619</v>
      </c>
      <c r="E1536" s="476">
        <v>87633</v>
      </c>
      <c r="F1536" s="476">
        <v>87648</v>
      </c>
      <c r="G1536" s="476">
        <v>87662</v>
      </c>
      <c r="H1536" s="476">
        <v>87677</v>
      </c>
      <c r="I1536" s="476">
        <v>87691</v>
      </c>
      <c r="J1536" s="476">
        <v>87705</v>
      </c>
      <c r="K1536" s="476">
        <v>87720</v>
      </c>
    </row>
    <row r="1537" spans="1:11">
      <c r="A1537" s="479">
        <v>6819.3</v>
      </c>
      <c r="B1537" s="476">
        <v>87734</v>
      </c>
      <c r="C1537" s="476">
        <v>87749</v>
      </c>
      <c r="D1537" s="476">
        <v>87763</v>
      </c>
      <c r="E1537" s="476">
        <v>87777</v>
      </c>
      <c r="F1537" s="476">
        <v>87792</v>
      </c>
      <c r="G1537" s="476">
        <v>87806</v>
      </c>
      <c r="H1537" s="476">
        <v>87821</v>
      </c>
      <c r="I1537" s="476">
        <v>87835</v>
      </c>
      <c r="J1537" s="476">
        <v>87850</v>
      </c>
      <c r="K1537" s="476">
        <v>87864</v>
      </c>
    </row>
    <row r="1538" spans="1:11">
      <c r="A1538" s="479">
        <v>6819.4</v>
      </c>
      <c r="B1538" s="476">
        <v>87878</v>
      </c>
      <c r="C1538" s="476">
        <v>87893</v>
      </c>
      <c r="D1538" s="476">
        <v>87907</v>
      </c>
      <c r="E1538" s="476">
        <v>87922</v>
      </c>
      <c r="F1538" s="476">
        <v>87936</v>
      </c>
      <c r="G1538" s="476">
        <v>87950</v>
      </c>
      <c r="H1538" s="476">
        <v>87965</v>
      </c>
      <c r="I1538" s="476">
        <v>87979</v>
      </c>
      <c r="J1538" s="476">
        <v>87994</v>
      </c>
      <c r="K1538" s="476">
        <v>88008</v>
      </c>
    </row>
    <row r="1539" spans="1:11">
      <c r="A1539" s="479">
        <v>6819.5</v>
      </c>
      <c r="B1539" s="476">
        <v>88022</v>
      </c>
      <c r="C1539" s="476">
        <v>88037</v>
      </c>
      <c r="D1539" s="476">
        <v>88051</v>
      </c>
      <c r="E1539" s="476">
        <v>88066</v>
      </c>
      <c r="F1539" s="476">
        <v>88080</v>
      </c>
      <c r="G1539" s="476">
        <v>88095</v>
      </c>
      <c r="H1539" s="476">
        <v>88109</v>
      </c>
      <c r="I1539" s="476">
        <v>88123</v>
      </c>
      <c r="J1539" s="476">
        <v>88138</v>
      </c>
      <c r="K1539" s="476">
        <v>88152</v>
      </c>
    </row>
    <row r="1540" spans="1:11">
      <c r="A1540" s="479">
        <v>6819.6</v>
      </c>
      <c r="B1540" s="476">
        <v>88167</v>
      </c>
      <c r="C1540" s="476">
        <v>88181</v>
      </c>
      <c r="D1540" s="476">
        <v>88195</v>
      </c>
      <c r="E1540" s="476">
        <v>88210</v>
      </c>
      <c r="F1540" s="476">
        <v>88224</v>
      </c>
      <c r="G1540" s="476">
        <v>88239</v>
      </c>
      <c r="H1540" s="476">
        <v>88253</v>
      </c>
      <c r="I1540" s="476">
        <v>88267</v>
      </c>
      <c r="J1540" s="476">
        <v>88282</v>
      </c>
      <c r="K1540" s="476">
        <v>88296</v>
      </c>
    </row>
    <row r="1541" spans="1:11">
      <c r="A1541" s="479">
        <v>6819.7</v>
      </c>
      <c r="B1541" s="476">
        <v>88311</v>
      </c>
      <c r="C1541" s="476">
        <v>88325</v>
      </c>
      <c r="D1541" s="476">
        <v>88340</v>
      </c>
      <c r="E1541" s="476">
        <v>88354</v>
      </c>
      <c r="F1541" s="476">
        <v>88368</v>
      </c>
      <c r="G1541" s="476">
        <v>88383</v>
      </c>
      <c r="H1541" s="476">
        <v>88397</v>
      </c>
      <c r="I1541" s="476">
        <v>88412</v>
      </c>
      <c r="J1541" s="476">
        <v>88426</v>
      </c>
      <c r="K1541" s="476">
        <v>88440</v>
      </c>
    </row>
    <row r="1542" spans="1:11">
      <c r="A1542" s="479">
        <v>6819.8</v>
      </c>
      <c r="B1542" s="476">
        <v>88455</v>
      </c>
      <c r="C1542" s="476">
        <v>88469</v>
      </c>
      <c r="D1542" s="476">
        <v>88484</v>
      </c>
      <c r="E1542" s="476">
        <v>88498</v>
      </c>
      <c r="F1542" s="476">
        <v>88512</v>
      </c>
      <c r="G1542" s="476">
        <v>88527</v>
      </c>
      <c r="H1542" s="476">
        <v>88541</v>
      </c>
      <c r="I1542" s="476">
        <v>88556</v>
      </c>
      <c r="J1542" s="476">
        <v>88570</v>
      </c>
      <c r="K1542" s="476">
        <v>88585</v>
      </c>
    </row>
    <row r="1543" spans="1:11">
      <c r="A1543" s="479">
        <v>6819.9</v>
      </c>
      <c r="B1543" s="476">
        <v>88599</v>
      </c>
      <c r="C1543" s="476">
        <v>88613</v>
      </c>
      <c r="D1543" s="476">
        <v>88628</v>
      </c>
      <c r="E1543" s="476">
        <v>88642</v>
      </c>
      <c r="F1543" s="476">
        <v>88657</v>
      </c>
      <c r="G1543" s="476">
        <v>88671</v>
      </c>
      <c r="H1543" s="476">
        <v>88685</v>
      </c>
      <c r="I1543" s="476">
        <v>88700</v>
      </c>
      <c r="J1543" s="476">
        <v>88714</v>
      </c>
      <c r="K1543" s="476">
        <v>88729</v>
      </c>
    </row>
    <row r="1544" spans="1:11">
      <c r="A1544" s="479">
        <v>6820</v>
      </c>
      <c r="B1544" s="476">
        <v>88743</v>
      </c>
      <c r="C1544" s="476">
        <v>88758</v>
      </c>
      <c r="D1544" s="476">
        <v>88772</v>
      </c>
      <c r="E1544" s="476">
        <v>88787</v>
      </c>
      <c r="F1544" s="476">
        <v>88802</v>
      </c>
      <c r="G1544" s="476">
        <v>88816</v>
      </c>
      <c r="H1544" s="476">
        <v>88831</v>
      </c>
      <c r="I1544" s="476">
        <v>88846</v>
      </c>
      <c r="J1544" s="476">
        <v>88860</v>
      </c>
      <c r="K1544" s="476">
        <v>88875</v>
      </c>
    </row>
    <row r="1545" spans="1:11">
      <c r="A1545" s="479">
        <v>6820.1</v>
      </c>
      <c r="B1545" s="476">
        <v>88889</v>
      </c>
      <c r="C1545" s="476">
        <v>88904</v>
      </c>
      <c r="D1545" s="476">
        <v>88919</v>
      </c>
      <c r="E1545" s="476">
        <v>88933</v>
      </c>
      <c r="F1545" s="476">
        <v>88948</v>
      </c>
      <c r="G1545" s="476">
        <v>88963</v>
      </c>
      <c r="H1545" s="476">
        <v>88977</v>
      </c>
      <c r="I1545" s="476">
        <v>88992</v>
      </c>
      <c r="J1545" s="476">
        <v>89007</v>
      </c>
      <c r="K1545" s="476">
        <v>89021</v>
      </c>
    </row>
    <row r="1546" spans="1:11">
      <c r="A1546" s="479">
        <v>6820.2</v>
      </c>
      <c r="B1546" s="476">
        <v>89036</v>
      </c>
      <c r="C1546" s="476">
        <v>89051</v>
      </c>
      <c r="D1546" s="476">
        <v>89065</v>
      </c>
      <c r="E1546" s="476">
        <v>89080</v>
      </c>
      <c r="F1546" s="476">
        <v>89094</v>
      </c>
      <c r="G1546" s="476">
        <v>89109</v>
      </c>
      <c r="H1546" s="476">
        <v>89124</v>
      </c>
      <c r="I1546" s="476">
        <v>89138</v>
      </c>
      <c r="J1546" s="476">
        <v>89153</v>
      </c>
      <c r="K1546" s="476">
        <v>89168</v>
      </c>
    </row>
    <row r="1547" spans="1:11">
      <c r="A1547" s="479">
        <v>6820.3</v>
      </c>
      <c r="B1547" s="476">
        <v>89182</v>
      </c>
      <c r="C1547" s="476">
        <v>89197</v>
      </c>
      <c r="D1547" s="476">
        <v>89212</v>
      </c>
      <c r="E1547" s="476">
        <v>89226</v>
      </c>
      <c r="F1547" s="476">
        <v>89241</v>
      </c>
      <c r="G1547" s="476">
        <v>89256</v>
      </c>
      <c r="H1547" s="476">
        <v>89270</v>
      </c>
      <c r="I1547" s="476">
        <v>89285</v>
      </c>
      <c r="J1547" s="476">
        <v>89300</v>
      </c>
      <c r="K1547" s="476">
        <v>89314</v>
      </c>
    </row>
    <row r="1548" spans="1:11">
      <c r="A1548" s="479">
        <v>6820.4</v>
      </c>
      <c r="B1548" s="476">
        <v>89329</v>
      </c>
      <c r="C1548" s="476">
        <v>89343</v>
      </c>
      <c r="D1548" s="476">
        <v>89358</v>
      </c>
      <c r="E1548" s="476">
        <v>89373</v>
      </c>
      <c r="F1548" s="476">
        <v>89387</v>
      </c>
      <c r="G1548" s="476">
        <v>89402</v>
      </c>
      <c r="H1548" s="476">
        <v>89417</v>
      </c>
      <c r="I1548" s="476">
        <v>89431</v>
      </c>
      <c r="J1548" s="476">
        <v>89446</v>
      </c>
      <c r="K1548" s="476">
        <v>89461</v>
      </c>
    </row>
    <row r="1549" spans="1:11">
      <c r="A1549" s="479">
        <v>6820.5</v>
      </c>
      <c r="B1549" s="476">
        <v>89475</v>
      </c>
      <c r="C1549" s="476">
        <v>89490</v>
      </c>
      <c r="D1549" s="476">
        <v>89505</v>
      </c>
      <c r="E1549" s="476">
        <v>89519</v>
      </c>
      <c r="F1549" s="476">
        <v>89534</v>
      </c>
      <c r="G1549" s="476">
        <v>89548</v>
      </c>
      <c r="H1549" s="476">
        <v>89563</v>
      </c>
      <c r="I1549" s="476">
        <v>89578</v>
      </c>
      <c r="J1549" s="476">
        <v>89592</v>
      </c>
      <c r="K1549" s="476">
        <v>89607</v>
      </c>
    </row>
    <row r="1550" spans="1:11">
      <c r="A1550" s="479">
        <v>6820.6</v>
      </c>
      <c r="B1550" s="476">
        <v>89622</v>
      </c>
      <c r="C1550" s="476">
        <v>89636</v>
      </c>
      <c r="D1550" s="476">
        <v>89651</v>
      </c>
      <c r="E1550" s="476">
        <v>89666</v>
      </c>
      <c r="F1550" s="476">
        <v>89680</v>
      </c>
      <c r="G1550" s="476">
        <v>89695</v>
      </c>
      <c r="H1550" s="476">
        <v>89710</v>
      </c>
      <c r="I1550" s="476">
        <v>89724</v>
      </c>
      <c r="J1550" s="476">
        <v>89739</v>
      </c>
      <c r="K1550" s="476">
        <v>89753</v>
      </c>
    </row>
    <row r="1551" spans="1:11">
      <c r="A1551" s="479">
        <v>6820.7</v>
      </c>
      <c r="B1551" s="476">
        <v>89768</v>
      </c>
      <c r="C1551" s="476">
        <v>89783</v>
      </c>
      <c r="D1551" s="476">
        <v>89797</v>
      </c>
      <c r="E1551" s="476">
        <v>89812</v>
      </c>
      <c r="F1551" s="476">
        <v>89827</v>
      </c>
      <c r="G1551" s="476">
        <v>89841</v>
      </c>
      <c r="H1551" s="476">
        <v>89856</v>
      </c>
      <c r="I1551" s="476">
        <v>89871</v>
      </c>
      <c r="J1551" s="476">
        <v>89885</v>
      </c>
      <c r="K1551" s="476">
        <v>89900</v>
      </c>
    </row>
    <row r="1552" spans="1:11">
      <c r="A1552" s="479">
        <v>6820.8</v>
      </c>
      <c r="B1552" s="476">
        <v>89915</v>
      </c>
      <c r="C1552" s="476">
        <v>89929</v>
      </c>
      <c r="D1552" s="476">
        <v>89944</v>
      </c>
      <c r="E1552" s="476">
        <v>89958</v>
      </c>
      <c r="F1552" s="476">
        <v>89973</v>
      </c>
      <c r="G1552" s="476">
        <v>89988</v>
      </c>
      <c r="H1552" s="476">
        <v>90002</v>
      </c>
      <c r="I1552" s="476">
        <v>90017</v>
      </c>
      <c r="J1552" s="476">
        <v>90032</v>
      </c>
      <c r="K1552" s="476">
        <v>90046</v>
      </c>
    </row>
    <row r="1553" spans="1:11">
      <c r="A1553" s="479">
        <v>6820.9</v>
      </c>
      <c r="B1553" s="476">
        <v>90061</v>
      </c>
      <c r="C1553" s="476">
        <v>90076</v>
      </c>
      <c r="D1553" s="476">
        <v>90090</v>
      </c>
      <c r="E1553" s="476">
        <v>90105</v>
      </c>
      <c r="F1553" s="476">
        <v>90120</v>
      </c>
      <c r="G1553" s="476">
        <v>90134</v>
      </c>
      <c r="H1553" s="476">
        <v>90149</v>
      </c>
      <c r="I1553" s="476">
        <v>90163</v>
      </c>
      <c r="J1553" s="476">
        <v>90178</v>
      </c>
      <c r="K1553" s="476">
        <v>90193</v>
      </c>
    </row>
    <row r="1554" spans="1:11">
      <c r="A1554" s="479">
        <v>6821</v>
      </c>
      <c r="B1554" s="476">
        <v>90207</v>
      </c>
      <c r="C1554" s="476">
        <v>90222</v>
      </c>
      <c r="D1554" s="476">
        <v>90237</v>
      </c>
      <c r="E1554" s="476">
        <v>90252</v>
      </c>
      <c r="F1554" s="476">
        <v>90267</v>
      </c>
      <c r="G1554" s="476">
        <v>90282</v>
      </c>
      <c r="H1554" s="476">
        <v>90297</v>
      </c>
      <c r="I1554" s="476">
        <v>90312</v>
      </c>
      <c r="J1554" s="476">
        <v>90326</v>
      </c>
      <c r="K1554" s="476">
        <v>90341</v>
      </c>
    </row>
    <row r="1555" spans="1:11">
      <c r="A1555" s="479">
        <v>6821.1</v>
      </c>
      <c r="B1555" s="476">
        <v>90356</v>
      </c>
      <c r="C1555" s="476">
        <v>90371</v>
      </c>
      <c r="D1555" s="476">
        <v>90386</v>
      </c>
      <c r="E1555" s="476">
        <v>90401</v>
      </c>
      <c r="F1555" s="476">
        <v>90416</v>
      </c>
      <c r="G1555" s="476">
        <v>90430</v>
      </c>
      <c r="H1555" s="476">
        <v>90445</v>
      </c>
      <c r="I1555" s="476">
        <v>90460</v>
      </c>
      <c r="J1555" s="476">
        <v>90475</v>
      </c>
      <c r="K1555" s="476">
        <v>90490</v>
      </c>
    </row>
    <row r="1556" spans="1:11">
      <c r="A1556" s="479">
        <v>6821.2</v>
      </c>
      <c r="B1556" s="476">
        <v>90505</v>
      </c>
      <c r="C1556" s="476">
        <v>90520</v>
      </c>
      <c r="D1556" s="476">
        <v>90535</v>
      </c>
      <c r="E1556" s="476">
        <v>90549</v>
      </c>
      <c r="F1556" s="476">
        <v>90564</v>
      </c>
      <c r="G1556" s="476">
        <v>90579</v>
      </c>
      <c r="H1556" s="476">
        <v>90594</v>
      </c>
      <c r="I1556" s="476">
        <v>90609</v>
      </c>
      <c r="J1556" s="476">
        <v>90624</v>
      </c>
      <c r="K1556" s="476">
        <v>90639</v>
      </c>
    </row>
    <row r="1557" spans="1:11">
      <c r="A1557" s="479">
        <v>6821.3</v>
      </c>
      <c r="B1557" s="476">
        <v>90653</v>
      </c>
      <c r="C1557" s="476">
        <v>90668</v>
      </c>
      <c r="D1557" s="476">
        <v>90683</v>
      </c>
      <c r="E1557" s="476">
        <v>90698</v>
      </c>
      <c r="F1557" s="476">
        <v>90713</v>
      </c>
      <c r="G1557" s="476">
        <v>90728</v>
      </c>
      <c r="H1557" s="476">
        <v>90743</v>
      </c>
      <c r="I1557" s="476">
        <v>90758</v>
      </c>
      <c r="J1557" s="476">
        <v>90772</v>
      </c>
      <c r="K1557" s="476">
        <v>90787</v>
      </c>
    </row>
    <row r="1558" spans="1:11">
      <c r="A1558" s="479">
        <v>6821.4</v>
      </c>
      <c r="B1558" s="476">
        <v>90802</v>
      </c>
      <c r="C1558" s="476">
        <v>90817</v>
      </c>
      <c r="D1558" s="476">
        <v>90832</v>
      </c>
      <c r="E1558" s="476">
        <v>90847</v>
      </c>
      <c r="F1558" s="476">
        <v>90862</v>
      </c>
      <c r="G1558" s="476">
        <v>90877</v>
      </c>
      <c r="H1558" s="476">
        <v>90891</v>
      </c>
      <c r="I1558" s="476">
        <v>90906</v>
      </c>
      <c r="J1558" s="476">
        <v>90921</v>
      </c>
      <c r="K1558" s="476">
        <v>90936</v>
      </c>
    </row>
    <row r="1559" spans="1:11">
      <c r="A1559" s="479">
        <v>6821.5</v>
      </c>
      <c r="B1559" s="476">
        <v>90951</v>
      </c>
      <c r="C1559" s="476">
        <v>90966</v>
      </c>
      <c r="D1559" s="476">
        <v>90981</v>
      </c>
      <c r="E1559" s="476">
        <v>90995</v>
      </c>
      <c r="F1559" s="476">
        <v>91010</v>
      </c>
      <c r="G1559" s="476">
        <v>91025</v>
      </c>
      <c r="H1559" s="476">
        <v>91040</v>
      </c>
      <c r="I1559" s="476">
        <v>91055</v>
      </c>
      <c r="J1559" s="476">
        <v>91070</v>
      </c>
      <c r="K1559" s="476">
        <v>91085</v>
      </c>
    </row>
    <row r="1560" spans="1:11">
      <c r="A1560" s="479">
        <v>6821.6</v>
      </c>
      <c r="B1560" s="476">
        <v>91100</v>
      </c>
      <c r="C1560" s="476">
        <v>91114</v>
      </c>
      <c r="D1560" s="476">
        <v>91129</v>
      </c>
      <c r="E1560" s="476">
        <v>91144</v>
      </c>
      <c r="F1560" s="476">
        <v>91159</v>
      </c>
      <c r="G1560" s="476">
        <v>91174</v>
      </c>
      <c r="H1560" s="476">
        <v>91189</v>
      </c>
      <c r="I1560" s="476">
        <v>91204</v>
      </c>
      <c r="J1560" s="476">
        <v>91218</v>
      </c>
      <c r="K1560" s="476">
        <v>91233</v>
      </c>
    </row>
    <row r="1561" spans="1:11">
      <c r="A1561" s="479">
        <v>6821.7</v>
      </c>
      <c r="B1561" s="476">
        <v>91248</v>
      </c>
      <c r="C1561" s="476">
        <v>91263</v>
      </c>
      <c r="D1561" s="476">
        <v>91278</v>
      </c>
      <c r="E1561" s="476">
        <v>91293</v>
      </c>
      <c r="F1561" s="476">
        <v>91308</v>
      </c>
      <c r="G1561" s="476">
        <v>91323</v>
      </c>
      <c r="H1561" s="476">
        <v>91337</v>
      </c>
      <c r="I1561" s="476">
        <v>91352</v>
      </c>
      <c r="J1561" s="476">
        <v>91367</v>
      </c>
      <c r="K1561" s="476">
        <v>91382</v>
      </c>
    </row>
    <row r="1562" spans="1:11">
      <c r="A1562" s="479">
        <v>6821.8</v>
      </c>
      <c r="B1562" s="476">
        <v>91397</v>
      </c>
      <c r="C1562" s="476">
        <v>91412</v>
      </c>
      <c r="D1562" s="476">
        <v>91427</v>
      </c>
      <c r="E1562" s="476">
        <v>91442</v>
      </c>
      <c r="F1562" s="476">
        <v>91456</v>
      </c>
      <c r="G1562" s="476">
        <v>91471</v>
      </c>
      <c r="H1562" s="476">
        <v>91486</v>
      </c>
      <c r="I1562" s="476">
        <v>91501</v>
      </c>
      <c r="J1562" s="476">
        <v>91516</v>
      </c>
      <c r="K1562" s="476">
        <v>91531</v>
      </c>
    </row>
    <row r="1563" spans="1:11">
      <c r="A1563" s="479">
        <v>6821.9</v>
      </c>
      <c r="B1563" s="476">
        <v>91546</v>
      </c>
      <c r="C1563" s="476">
        <v>91560</v>
      </c>
      <c r="D1563" s="476">
        <v>91575</v>
      </c>
      <c r="E1563" s="476">
        <v>91590</v>
      </c>
      <c r="F1563" s="476">
        <v>91605</v>
      </c>
      <c r="G1563" s="476">
        <v>91620</v>
      </c>
      <c r="H1563" s="476">
        <v>91635</v>
      </c>
      <c r="I1563" s="476">
        <v>91650</v>
      </c>
      <c r="J1563" s="476">
        <v>91665</v>
      </c>
      <c r="K1563" s="476">
        <v>91679</v>
      </c>
    </row>
    <row r="1564" spans="1:11">
      <c r="A1564" s="479">
        <v>6822</v>
      </c>
      <c r="B1564" s="476">
        <v>91694</v>
      </c>
      <c r="C1564" s="476">
        <v>91709</v>
      </c>
      <c r="D1564" s="476">
        <v>91724</v>
      </c>
      <c r="E1564" s="476">
        <v>91740</v>
      </c>
      <c r="F1564" s="476">
        <v>91755</v>
      </c>
      <c r="G1564" s="476">
        <v>91770</v>
      </c>
      <c r="H1564" s="476">
        <v>91785</v>
      </c>
      <c r="I1564" s="476">
        <v>91800</v>
      </c>
      <c r="J1564" s="476">
        <v>91815</v>
      </c>
      <c r="K1564" s="476">
        <v>91830</v>
      </c>
    </row>
    <row r="1565" spans="1:11">
      <c r="A1565" s="479">
        <v>6822.1</v>
      </c>
      <c r="B1565" s="476">
        <v>91845</v>
      </c>
      <c r="C1565" s="476">
        <v>91860</v>
      </c>
      <c r="D1565" s="476">
        <v>91875</v>
      </c>
      <c r="E1565" s="476">
        <v>91890</v>
      </c>
      <c r="F1565" s="476">
        <v>91906</v>
      </c>
      <c r="G1565" s="476">
        <v>91921</v>
      </c>
      <c r="H1565" s="476">
        <v>91936</v>
      </c>
      <c r="I1565" s="476">
        <v>91951</v>
      </c>
      <c r="J1565" s="476">
        <v>91966</v>
      </c>
      <c r="K1565" s="476">
        <v>91981</v>
      </c>
    </row>
    <row r="1566" spans="1:11">
      <c r="A1566" s="479">
        <v>6822.2</v>
      </c>
      <c r="B1566" s="476">
        <v>91996</v>
      </c>
      <c r="C1566" s="476">
        <v>92011</v>
      </c>
      <c r="D1566" s="476">
        <v>92026</v>
      </c>
      <c r="E1566" s="476">
        <v>92041</v>
      </c>
      <c r="F1566" s="476">
        <v>92056</v>
      </c>
      <c r="G1566" s="476">
        <v>92072</v>
      </c>
      <c r="H1566" s="476">
        <v>92087</v>
      </c>
      <c r="I1566" s="476">
        <v>92102</v>
      </c>
      <c r="J1566" s="476">
        <v>92117</v>
      </c>
      <c r="K1566" s="476">
        <v>92132</v>
      </c>
    </row>
    <row r="1567" spans="1:11">
      <c r="A1567" s="479">
        <v>6822.3</v>
      </c>
      <c r="B1567" s="476">
        <v>92147</v>
      </c>
      <c r="C1567" s="476">
        <v>92162</v>
      </c>
      <c r="D1567" s="476">
        <v>92177</v>
      </c>
      <c r="E1567" s="476">
        <v>92192</v>
      </c>
      <c r="F1567" s="476">
        <v>92207</v>
      </c>
      <c r="G1567" s="476">
        <v>92222</v>
      </c>
      <c r="H1567" s="476">
        <v>92238</v>
      </c>
      <c r="I1567" s="476">
        <v>92253</v>
      </c>
      <c r="J1567" s="476">
        <v>92268</v>
      </c>
      <c r="K1567" s="476">
        <v>92283</v>
      </c>
    </row>
    <row r="1568" spans="1:11">
      <c r="A1568" s="479">
        <v>6822.4</v>
      </c>
      <c r="B1568" s="476">
        <v>92298</v>
      </c>
      <c r="C1568" s="476">
        <v>92313</v>
      </c>
      <c r="D1568" s="476">
        <v>92328</v>
      </c>
      <c r="E1568" s="476">
        <v>92343</v>
      </c>
      <c r="F1568" s="476">
        <v>92358</v>
      </c>
      <c r="G1568" s="476">
        <v>92373</v>
      </c>
      <c r="H1568" s="476">
        <v>92388</v>
      </c>
      <c r="I1568" s="476">
        <v>92404</v>
      </c>
      <c r="J1568" s="476">
        <v>92419</v>
      </c>
      <c r="K1568" s="476">
        <v>92434</v>
      </c>
    </row>
    <row r="1569" spans="1:11">
      <c r="A1569" s="479">
        <v>6822.5</v>
      </c>
      <c r="B1569" s="476">
        <v>92449</v>
      </c>
      <c r="C1569" s="476">
        <v>92464</v>
      </c>
      <c r="D1569" s="476">
        <v>92479</v>
      </c>
      <c r="E1569" s="476">
        <v>92494</v>
      </c>
      <c r="F1569" s="476">
        <v>92509</v>
      </c>
      <c r="G1569" s="476">
        <v>92524</v>
      </c>
      <c r="H1569" s="476">
        <v>92539</v>
      </c>
      <c r="I1569" s="476">
        <v>92554</v>
      </c>
      <c r="J1569" s="476">
        <v>92570</v>
      </c>
      <c r="K1569" s="476">
        <v>92585</v>
      </c>
    </row>
    <row r="1570" spans="1:11">
      <c r="A1570" s="479">
        <v>6822.6</v>
      </c>
      <c r="B1570" s="476">
        <v>92600</v>
      </c>
      <c r="C1570" s="476">
        <v>92615</v>
      </c>
      <c r="D1570" s="476">
        <v>92630</v>
      </c>
      <c r="E1570" s="476">
        <v>92645</v>
      </c>
      <c r="F1570" s="476">
        <v>92660</v>
      </c>
      <c r="G1570" s="476">
        <v>92675</v>
      </c>
      <c r="H1570" s="476">
        <v>92690</v>
      </c>
      <c r="I1570" s="476">
        <v>92705</v>
      </c>
      <c r="J1570" s="476">
        <v>92720</v>
      </c>
      <c r="K1570" s="476">
        <v>92736</v>
      </c>
    </row>
    <row r="1571" spans="1:11">
      <c r="A1571" s="479">
        <v>6822.7</v>
      </c>
      <c r="B1571" s="476">
        <v>92751</v>
      </c>
      <c r="C1571" s="476">
        <v>92766</v>
      </c>
      <c r="D1571" s="476">
        <v>92781</v>
      </c>
      <c r="E1571" s="476">
        <v>92796</v>
      </c>
      <c r="F1571" s="476">
        <v>92811</v>
      </c>
      <c r="G1571" s="476">
        <v>92826</v>
      </c>
      <c r="H1571" s="476">
        <v>92841</v>
      </c>
      <c r="I1571" s="476">
        <v>92856</v>
      </c>
      <c r="J1571" s="476">
        <v>92871</v>
      </c>
      <c r="K1571" s="476">
        <v>92386</v>
      </c>
    </row>
    <row r="1572" spans="1:11">
      <c r="A1572" s="479">
        <v>6822.8</v>
      </c>
      <c r="B1572" s="476">
        <v>92902</v>
      </c>
      <c r="C1572" s="476">
        <v>92917</v>
      </c>
      <c r="D1572" s="476">
        <v>92932</v>
      </c>
      <c r="E1572" s="476">
        <v>92947</v>
      </c>
      <c r="F1572" s="476">
        <v>92962</v>
      </c>
      <c r="G1572" s="476">
        <v>92977</v>
      </c>
      <c r="H1572" s="476">
        <v>92992</v>
      </c>
      <c r="I1572" s="476">
        <v>93007</v>
      </c>
      <c r="J1572" s="476">
        <v>93022</v>
      </c>
      <c r="K1572" s="476">
        <v>93037</v>
      </c>
    </row>
    <row r="1573" spans="1:11">
      <c r="A1573" s="479">
        <v>6822.9</v>
      </c>
      <c r="B1573" s="476">
        <v>93052</v>
      </c>
      <c r="C1573" s="476">
        <v>93068</v>
      </c>
      <c r="D1573" s="476">
        <v>93083</v>
      </c>
      <c r="E1573" s="476">
        <v>93098</v>
      </c>
      <c r="F1573" s="476">
        <v>93113</v>
      </c>
      <c r="G1573" s="476">
        <v>93128</v>
      </c>
      <c r="H1573" s="476">
        <v>93143</v>
      </c>
      <c r="I1573" s="476">
        <v>93158</v>
      </c>
      <c r="J1573" s="476">
        <v>93173</v>
      </c>
      <c r="K1573" s="476">
        <v>93188</v>
      </c>
    </row>
    <row r="1574" spans="1:11">
      <c r="A1574" s="479">
        <v>6823</v>
      </c>
      <c r="B1574" s="476">
        <v>93203</v>
      </c>
      <c r="C1574" s="476">
        <v>93219</v>
      </c>
      <c r="D1574" s="476">
        <v>93234</v>
      </c>
      <c r="E1574" s="476">
        <v>93249</v>
      </c>
      <c r="F1574" s="476">
        <v>93265</v>
      </c>
      <c r="G1574" s="476">
        <v>93280</v>
      </c>
      <c r="H1574" s="476">
        <v>93295</v>
      </c>
      <c r="I1574" s="476">
        <v>93310</v>
      </c>
      <c r="J1574" s="476">
        <v>93326</v>
      </c>
      <c r="K1574" s="476">
        <v>93341</v>
      </c>
    </row>
    <row r="1575" spans="1:11">
      <c r="A1575" s="479">
        <v>6823.1</v>
      </c>
      <c r="B1575" s="476">
        <v>93356</v>
      </c>
      <c r="C1575" s="476">
        <v>93372</v>
      </c>
      <c r="D1575" s="476">
        <v>93387</v>
      </c>
      <c r="E1575" s="476">
        <v>93402</v>
      </c>
      <c r="F1575" s="476">
        <v>93418</v>
      </c>
      <c r="G1575" s="476">
        <v>93433</v>
      </c>
      <c r="H1575" s="476">
        <v>93448</v>
      </c>
      <c r="I1575" s="476">
        <v>93464</v>
      </c>
      <c r="J1575" s="476">
        <v>93479</v>
      </c>
      <c r="K1575" s="476">
        <v>93494</v>
      </c>
    </row>
    <row r="1576" spans="1:11">
      <c r="A1576" s="479">
        <v>6823.2</v>
      </c>
      <c r="B1576" s="476">
        <v>93510</v>
      </c>
      <c r="C1576" s="476">
        <v>93525</v>
      </c>
      <c r="D1576" s="476">
        <v>93540</v>
      </c>
      <c r="E1576" s="476">
        <v>93555</v>
      </c>
      <c r="F1576" s="476">
        <v>93571</v>
      </c>
      <c r="G1576" s="476">
        <v>93586</v>
      </c>
      <c r="H1576" s="476">
        <v>93601</v>
      </c>
      <c r="I1576" s="476">
        <v>93617</v>
      </c>
      <c r="J1576" s="476">
        <v>93632</v>
      </c>
      <c r="K1576" s="476">
        <v>93647</v>
      </c>
    </row>
    <row r="1577" spans="1:11">
      <c r="A1577" s="479">
        <v>6823.3</v>
      </c>
      <c r="B1577" s="476">
        <v>93663</v>
      </c>
      <c r="C1577" s="476">
        <v>93678</v>
      </c>
      <c r="D1577" s="476">
        <v>93693</v>
      </c>
      <c r="E1577" s="476">
        <v>93709</v>
      </c>
      <c r="F1577" s="476">
        <v>93724</v>
      </c>
      <c r="G1577" s="476">
        <v>93739</v>
      </c>
      <c r="H1577" s="476">
        <v>93754</v>
      </c>
      <c r="I1577" s="476">
        <v>93770</v>
      </c>
      <c r="J1577" s="476">
        <v>93785</v>
      </c>
      <c r="K1577" s="476">
        <v>93800</v>
      </c>
    </row>
    <row r="1578" spans="1:11">
      <c r="A1578" s="479">
        <v>6823.4</v>
      </c>
      <c r="B1578" s="476">
        <v>93816</v>
      </c>
      <c r="C1578" s="476">
        <v>93831</v>
      </c>
      <c r="D1578" s="476">
        <v>93846</v>
      </c>
      <c r="E1578" s="476">
        <v>93862</v>
      </c>
      <c r="F1578" s="476">
        <v>93877</v>
      </c>
      <c r="G1578" s="476">
        <v>93892</v>
      </c>
      <c r="H1578" s="476">
        <v>93908</v>
      </c>
      <c r="I1578" s="476">
        <v>93923</v>
      </c>
      <c r="J1578" s="476">
        <v>93938</v>
      </c>
      <c r="K1578" s="476">
        <v>93953</v>
      </c>
    </row>
    <row r="1579" spans="1:11">
      <c r="A1579" s="479">
        <v>6823.5</v>
      </c>
      <c r="B1579" s="476">
        <v>93969</v>
      </c>
      <c r="C1579" s="476">
        <v>93984</v>
      </c>
      <c r="D1579" s="476">
        <v>93999</v>
      </c>
      <c r="E1579" s="476">
        <v>94015</v>
      </c>
      <c r="F1579" s="476">
        <v>94030</v>
      </c>
      <c r="G1579" s="476">
        <v>94045</v>
      </c>
      <c r="H1579" s="476">
        <v>94061</v>
      </c>
      <c r="I1579" s="476">
        <v>94076</v>
      </c>
      <c r="J1579" s="476">
        <v>94091</v>
      </c>
      <c r="K1579" s="476">
        <v>94107</v>
      </c>
    </row>
    <row r="1580" spans="1:11">
      <c r="A1580" s="479">
        <v>6823.6</v>
      </c>
      <c r="B1580" s="476">
        <v>94122</v>
      </c>
      <c r="C1580" s="476">
        <v>94137</v>
      </c>
      <c r="D1580" s="476">
        <v>94152</v>
      </c>
      <c r="E1580" s="476">
        <v>94168</v>
      </c>
      <c r="F1580" s="476">
        <v>94183</v>
      </c>
      <c r="G1580" s="476">
        <v>94198</v>
      </c>
      <c r="H1580" s="476">
        <v>94214</v>
      </c>
      <c r="I1580" s="476">
        <v>94229</v>
      </c>
      <c r="J1580" s="476">
        <v>94244</v>
      </c>
      <c r="K1580" s="476">
        <v>94260</v>
      </c>
    </row>
    <row r="1581" spans="1:11">
      <c r="A1581" s="479">
        <v>6823.7</v>
      </c>
      <c r="B1581" s="476">
        <v>94275</v>
      </c>
      <c r="C1581" s="476">
        <v>94290</v>
      </c>
      <c r="D1581" s="476">
        <v>94306</v>
      </c>
      <c r="E1581" s="476">
        <v>94321</v>
      </c>
      <c r="F1581" s="476">
        <v>94336</v>
      </c>
      <c r="G1581" s="476">
        <v>94351</v>
      </c>
      <c r="H1581" s="476">
        <v>94367</v>
      </c>
      <c r="I1581" s="476">
        <v>94382</v>
      </c>
      <c r="J1581" s="476">
        <v>94397</v>
      </c>
      <c r="K1581" s="476">
        <v>94413</v>
      </c>
    </row>
    <row r="1582" spans="1:11">
      <c r="A1582" s="479">
        <v>6823.8</v>
      </c>
      <c r="B1582" s="476">
        <v>94428</v>
      </c>
      <c r="C1582" s="476">
        <v>94443</v>
      </c>
      <c r="D1582" s="476">
        <v>94459</v>
      </c>
      <c r="E1582" s="476">
        <v>94474</v>
      </c>
      <c r="F1582" s="476">
        <v>94489</v>
      </c>
      <c r="G1582" s="476">
        <v>94505</v>
      </c>
      <c r="H1582" s="476">
        <v>94520</v>
      </c>
      <c r="I1582" s="476">
        <v>94535</v>
      </c>
      <c r="J1582" s="476">
        <v>94550</v>
      </c>
      <c r="K1582" s="476">
        <v>94566</v>
      </c>
    </row>
    <row r="1583" spans="1:11">
      <c r="A1583" s="479">
        <v>6823.9</v>
      </c>
      <c r="B1583" s="476">
        <v>94581</v>
      </c>
      <c r="C1583" s="476">
        <v>94596</v>
      </c>
      <c r="D1583" s="476">
        <v>94612</v>
      </c>
      <c r="E1583" s="476">
        <v>94627</v>
      </c>
      <c r="F1583" s="476">
        <v>94642</v>
      </c>
      <c r="G1583" s="476">
        <v>94658</v>
      </c>
      <c r="H1583" s="476">
        <v>94673</v>
      </c>
      <c r="I1583" s="476">
        <v>94688</v>
      </c>
      <c r="J1583" s="476">
        <v>94704</v>
      </c>
      <c r="K1583" s="476">
        <v>94719</v>
      </c>
    </row>
    <row r="1584" spans="1:11">
      <c r="A1584" s="479">
        <v>6824</v>
      </c>
      <c r="B1584" s="476">
        <v>94734</v>
      </c>
      <c r="C1584" s="476">
        <v>94750</v>
      </c>
      <c r="D1584" s="476">
        <v>94765</v>
      </c>
      <c r="E1584" s="476">
        <v>94781</v>
      </c>
      <c r="F1584" s="476">
        <v>94796</v>
      </c>
      <c r="G1584" s="476">
        <v>94812</v>
      </c>
      <c r="H1584" s="476">
        <v>94827</v>
      </c>
      <c r="I1584" s="476">
        <v>94843</v>
      </c>
      <c r="J1584" s="476">
        <v>94858</v>
      </c>
      <c r="K1584" s="476">
        <v>94874</v>
      </c>
    </row>
    <row r="1585" spans="1:11">
      <c r="A1585" s="479">
        <v>6824.1</v>
      </c>
      <c r="B1585" s="476">
        <v>94889</v>
      </c>
      <c r="C1585" s="476">
        <v>94905</v>
      </c>
      <c r="D1585" s="476">
        <v>94920</v>
      </c>
      <c r="E1585" s="476">
        <v>94936</v>
      </c>
      <c r="F1585" s="476">
        <v>94952</v>
      </c>
      <c r="G1585" s="476">
        <v>94967</v>
      </c>
      <c r="H1585" s="476">
        <v>94983</v>
      </c>
      <c r="I1585" s="476">
        <v>94998</v>
      </c>
      <c r="J1585" s="476">
        <v>95014</v>
      </c>
      <c r="K1585" s="476">
        <v>95029</v>
      </c>
    </row>
    <row r="1586" spans="1:11">
      <c r="A1586" s="479">
        <v>6824.2</v>
      </c>
      <c r="B1586" s="476">
        <v>95045</v>
      </c>
      <c r="C1586" s="476">
        <v>95060</v>
      </c>
      <c r="D1586" s="476">
        <v>95076</v>
      </c>
      <c r="E1586" s="476">
        <v>95091</v>
      </c>
      <c r="F1586" s="476">
        <v>95107</v>
      </c>
      <c r="G1586" s="476">
        <v>95122</v>
      </c>
      <c r="H1586" s="476">
        <v>95138</v>
      </c>
      <c r="I1586" s="476">
        <v>95153</v>
      </c>
      <c r="J1586" s="476">
        <v>95169</v>
      </c>
      <c r="K1586" s="476">
        <v>95184</v>
      </c>
    </row>
    <row r="1587" spans="1:11">
      <c r="A1587" s="479">
        <v>6824.3</v>
      </c>
      <c r="B1587" s="476">
        <v>95200</v>
      </c>
      <c r="C1587" s="476">
        <v>95215</v>
      </c>
      <c r="D1587" s="476">
        <v>95231</v>
      </c>
      <c r="E1587" s="476">
        <v>95246</v>
      </c>
      <c r="F1587" s="476">
        <v>95262</v>
      </c>
      <c r="G1587" s="476">
        <v>95278</v>
      </c>
      <c r="H1587" s="476">
        <v>95293</v>
      </c>
      <c r="I1587" s="476">
        <v>95309</v>
      </c>
      <c r="J1587" s="476">
        <v>95324</v>
      </c>
      <c r="K1587" s="476">
        <v>95340</v>
      </c>
    </row>
    <row r="1588" spans="1:11">
      <c r="A1588" s="479">
        <v>6824.4</v>
      </c>
      <c r="B1588" s="476">
        <v>95355</v>
      </c>
      <c r="C1588" s="476">
        <v>95371</v>
      </c>
      <c r="D1588" s="476">
        <v>95386</v>
      </c>
      <c r="E1588" s="476">
        <v>95402</v>
      </c>
      <c r="F1588" s="476">
        <v>95417</v>
      </c>
      <c r="G1588" s="476">
        <v>95433</v>
      </c>
      <c r="H1588" s="476">
        <v>95448</v>
      </c>
      <c r="I1588" s="476">
        <v>95464</v>
      </c>
      <c r="J1588" s="476">
        <v>95479</v>
      </c>
      <c r="K1588" s="476">
        <v>95495</v>
      </c>
    </row>
    <row r="1589" spans="1:11">
      <c r="A1589" s="479">
        <v>6824.5</v>
      </c>
      <c r="B1589" s="476">
        <v>95510</v>
      </c>
      <c r="C1589" s="476">
        <v>95526</v>
      </c>
      <c r="D1589" s="476">
        <v>95541</v>
      </c>
      <c r="E1589" s="476">
        <v>95557</v>
      </c>
      <c r="F1589" s="476">
        <v>95572</v>
      </c>
      <c r="G1589" s="476">
        <v>95588</v>
      </c>
      <c r="H1589" s="476">
        <v>95604</v>
      </c>
      <c r="I1589" s="476">
        <v>95619</v>
      </c>
      <c r="J1589" s="476">
        <v>95635</v>
      </c>
      <c r="K1589" s="476">
        <v>95650</v>
      </c>
    </row>
    <row r="1590" spans="1:11">
      <c r="A1590" s="479">
        <v>6824.6</v>
      </c>
      <c r="B1590" s="476">
        <v>95666</v>
      </c>
      <c r="C1590" s="476">
        <v>95681</v>
      </c>
      <c r="D1590" s="476">
        <v>95697</v>
      </c>
      <c r="E1590" s="476">
        <v>95712</v>
      </c>
      <c r="F1590" s="476">
        <v>95728</v>
      </c>
      <c r="G1590" s="476">
        <v>95743</v>
      </c>
      <c r="H1590" s="476">
        <v>95759</v>
      </c>
      <c r="I1590" s="476">
        <v>95774</v>
      </c>
      <c r="J1590" s="476">
        <v>95790</v>
      </c>
      <c r="K1590" s="476">
        <v>95805</v>
      </c>
    </row>
    <row r="1591" spans="1:11">
      <c r="A1591" s="479">
        <v>6824.7</v>
      </c>
      <c r="B1591" s="476">
        <v>95821</v>
      </c>
      <c r="C1591" s="476">
        <v>95836</v>
      </c>
      <c r="D1591" s="476">
        <v>95852</v>
      </c>
      <c r="E1591" s="476">
        <v>95867</v>
      </c>
      <c r="F1591" s="476">
        <v>95883</v>
      </c>
      <c r="G1591" s="476">
        <v>95898</v>
      </c>
      <c r="H1591" s="476">
        <v>95914</v>
      </c>
      <c r="I1591" s="476">
        <v>95930</v>
      </c>
      <c r="J1591" s="476">
        <v>95945</v>
      </c>
      <c r="K1591" s="476">
        <v>95961</v>
      </c>
    </row>
    <row r="1592" spans="1:11">
      <c r="A1592" s="479">
        <v>6824.8</v>
      </c>
      <c r="B1592" s="476">
        <v>95976</v>
      </c>
      <c r="C1592" s="476">
        <v>95992</v>
      </c>
      <c r="D1592" s="476">
        <v>96007</v>
      </c>
      <c r="E1592" s="476">
        <v>96023</v>
      </c>
      <c r="F1592" s="476">
        <v>96038</v>
      </c>
      <c r="G1592" s="476">
        <v>96054</v>
      </c>
      <c r="H1592" s="476">
        <v>96069</v>
      </c>
      <c r="I1592" s="476">
        <v>96085</v>
      </c>
      <c r="J1592" s="476">
        <v>96100</v>
      </c>
      <c r="K1592" s="476">
        <v>96116</v>
      </c>
    </row>
    <row r="1593" spans="1:11">
      <c r="A1593" s="479">
        <v>6824.9</v>
      </c>
      <c r="B1593" s="476">
        <v>96131</v>
      </c>
      <c r="C1593" s="476">
        <v>96147</v>
      </c>
      <c r="D1593" s="476">
        <v>96162</v>
      </c>
      <c r="E1593" s="476">
        <v>96178</v>
      </c>
      <c r="F1593" s="476">
        <v>96193</v>
      </c>
      <c r="G1593" s="476">
        <v>96209</v>
      </c>
      <c r="H1593" s="476">
        <v>96224</v>
      </c>
      <c r="I1593" s="476">
        <v>96240</v>
      </c>
      <c r="J1593" s="476">
        <v>96256</v>
      </c>
      <c r="K1593" s="476">
        <v>96271</v>
      </c>
    </row>
    <row r="1594" spans="1:11">
      <c r="A1594" s="479">
        <v>6825</v>
      </c>
      <c r="B1594" s="476">
        <v>96287</v>
      </c>
      <c r="C1594" s="476">
        <v>96302</v>
      </c>
      <c r="D1594" s="476">
        <v>96318</v>
      </c>
      <c r="E1594" s="476">
        <v>96334</v>
      </c>
      <c r="F1594" s="476">
        <v>96350</v>
      </c>
      <c r="G1594" s="476">
        <v>96365</v>
      </c>
      <c r="H1594" s="476">
        <v>96381</v>
      </c>
      <c r="I1594" s="476">
        <v>96397</v>
      </c>
      <c r="J1594" s="476">
        <v>96412</v>
      </c>
      <c r="K1594" s="476">
        <v>96428</v>
      </c>
    </row>
    <row r="1595" spans="1:11">
      <c r="A1595" s="479">
        <v>6825.1</v>
      </c>
      <c r="B1595" s="476">
        <v>96444</v>
      </c>
      <c r="C1595" s="476">
        <v>96460</v>
      </c>
      <c r="D1595" s="476">
        <v>96475</v>
      </c>
      <c r="E1595" s="476">
        <v>96491</v>
      </c>
      <c r="F1595" s="476">
        <v>96507</v>
      </c>
      <c r="G1595" s="476">
        <v>96523</v>
      </c>
      <c r="H1595" s="476">
        <v>96538</v>
      </c>
      <c r="I1595" s="476">
        <v>96554</v>
      </c>
      <c r="J1595" s="476">
        <v>96570</v>
      </c>
      <c r="K1595" s="476">
        <v>96586</v>
      </c>
    </row>
    <row r="1596" spans="1:11">
      <c r="A1596" s="479">
        <v>6825.2</v>
      </c>
      <c r="B1596" s="476">
        <v>96601</v>
      </c>
      <c r="C1596" s="476">
        <v>96617</v>
      </c>
      <c r="D1596" s="476">
        <v>96633</v>
      </c>
      <c r="E1596" s="476">
        <v>96648</v>
      </c>
      <c r="F1596" s="476">
        <v>96664</v>
      </c>
      <c r="G1596" s="476">
        <v>96680</v>
      </c>
      <c r="H1596" s="476">
        <v>96696</v>
      </c>
      <c r="I1596" s="476">
        <v>96711</v>
      </c>
      <c r="J1596" s="476">
        <v>96727</v>
      </c>
      <c r="K1596" s="476">
        <v>96743</v>
      </c>
    </row>
    <row r="1597" spans="1:11">
      <c r="A1597" s="479">
        <v>6825.3</v>
      </c>
      <c r="B1597" s="476">
        <v>96759</v>
      </c>
      <c r="C1597" s="476">
        <v>96774</v>
      </c>
      <c r="D1597" s="476">
        <v>96790</v>
      </c>
      <c r="E1597" s="476">
        <v>96806</v>
      </c>
      <c r="F1597" s="476">
        <v>96822</v>
      </c>
      <c r="G1597" s="476">
        <v>96837</v>
      </c>
      <c r="H1597" s="476">
        <v>96853</v>
      </c>
      <c r="I1597" s="476">
        <v>96869</v>
      </c>
      <c r="J1597" s="476">
        <v>96885</v>
      </c>
      <c r="K1597" s="476">
        <v>96900</v>
      </c>
    </row>
    <row r="1598" spans="1:11">
      <c r="A1598" s="479">
        <v>6825.4</v>
      </c>
      <c r="B1598" s="476">
        <v>96916</v>
      </c>
      <c r="C1598" s="476">
        <v>96932</v>
      </c>
      <c r="D1598" s="476">
        <v>96947</v>
      </c>
      <c r="E1598" s="476">
        <v>96963</v>
      </c>
      <c r="F1598" s="476">
        <v>96979</v>
      </c>
      <c r="G1598" s="476">
        <v>96995</v>
      </c>
      <c r="H1598" s="476">
        <v>97010</v>
      </c>
      <c r="I1598" s="476">
        <v>97026</v>
      </c>
      <c r="J1598" s="476">
        <v>97042</v>
      </c>
      <c r="K1598" s="476">
        <v>97958</v>
      </c>
    </row>
    <row r="1599" spans="1:11">
      <c r="A1599" s="479">
        <v>6825.5</v>
      </c>
      <c r="B1599" s="476">
        <v>97073</v>
      </c>
      <c r="C1599" s="476">
        <v>97089</v>
      </c>
      <c r="D1599" s="476">
        <v>97105</v>
      </c>
      <c r="E1599" s="476">
        <v>97121</v>
      </c>
      <c r="F1599" s="476">
        <v>97136</v>
      </c>
      <c r="G1599" s="476">
        <v>97152</v>
      </c>
      <c r="H1599" s="476">
        <v>97168</v>
      </c>
      <c r="I1599" s="476">
        <v>97183</v>
      </c>
      <c r="J1599" s="476">
        <v>97199</v>
      </c>
      <c r="K1599" s="476">
        <v>97215</v>
      </c>
    </row>
    <row r="1600" spans="1:11">
      <c r="A1600" s="479">
        <v>6825.6</v>
      </c>
      <c r="B1600" s="476">
        <v>97231</v>
      </c>
      <c r="C1600" s="476">
        <v>97246</v>
      </c>
      <c r="D1600" s="476">
        <v>97262</v>
      </c>
      <c r="E1600" s="476">
        <v>97278</v>
      </c>
      <c r="F1600" s="476">
        <v>97294</v>
      </c>
      <c r="G1600" s="476">
        <v>97309</v>
      </c>
      <c r="H1600" s="476">
        <v>97325</v>
      </c>
      <c r="I1600" s="476">
        <v>97341</v>
      </c>
      <c r="J1600" s="476">
        <v>97357</v>
      </c>
      <c r="K1600" s="476">
        <v>97372</v>
      </c>
    </row>
    <row r="1601" spans="1:11">
      <c r="A1601" s="479">
        <v>6825.7</v>
      </c>
      <c r="B1601" s="476">
        <v>97388</v>
      </c>
      <c r="C1601" s="476">
        <v>97404</v>
      </c>
      <c r="D1601" s="476">
        <v>97420</v>
      </c>
      <c r="E1601" s="476">
        <v>97435</v>
      </c>
      <c r="F1601" s="476">
        <v>97451</v>
      </c>
      <c r="G1601" s="476">
        <v>97467</v>
      </c>
      <c r="H1601" s="476">
        <v>97482</v>
      </c>
      <c r="I1601" s="476">
        <v>97498</v>
      </c>
      <c r="J1601" s="476">
        <v>97514</v>
      </c>
      <c r="K1601" s="476">
        <v>97530</v>
      </c>
    </row>
    <row r="1602" spans="1:11">
      <c r="A1602" s="479">
        <v>6825.8</v>
      </c>
      <c r="B1602" s="476">
        <v>97545</v>
      </c>
      <c r="C1602" s="476">
        <v>97561</v>
      </c>
      <c r="D1602" s="476">
        <v>97577</v>
      </c>
      <c r="E1602" s="476">
        <v>97593</v>
      </c>
      <c r="F1602" s="476">
        <v>97608</v>
      </c>
      <c r="G1602" s="476">
        <v>97624</v>
      </c>
      <c r="H1602" s="476">
        <v>97640</v>
      </c>
      <c r="I1602" s="476">
        <v>97656</v>
      </c>
      <c r="J1602" s="476">
        <v>97671</v>
      </c>
      <c r="K1602" s="476">
        <v>97687</v>
      </c>
    </row>
    <row r="1603" spans="1:11">
      <c r="A1603" s="479">
        <v>6825.9</v>
      </c>
      <c r="B1603" s="476">
        <v>97703</v>
      </c>
      <c r="C1603" s="476">
        <v>97718</v>
      </c>
      <c r="D1603" s="476">
        <v>97734</v>
      </c>
      <c r="E1603" s="476">
        <v>97750</v>
      </c>
      <c r="F1603" s="476">
        <v>97766</v>
      </c>
      <c r="G1603" s="476">
        <v>97781</v>
      </c>
      <c r="H1603" s="476">
        <v>97797</v>
      </c>
      <c r="I1603" s="476">
        <v>97813</v>
      </c>
      <c r="J1603" s="476">
        <v>97829</v>
      </c>
      <c r="K1603" s="476">
        <v>97844</v>
      </c>
    </row>
    <row r="1604" spans="1:11">
      <c r="A1604" s="479">
        <v>6826</v>
      </c>
      <c r="B1604" s="476">
        <v>97860</v>
      </c>
      <c r="C1604" s="476">
        <v>97876</v>
      </c>
      <c r="D1604" s="476">
        <v>97892</v>
      </c>
      <c r="E1604" s="476">
        <v>97908</v>
      </c>
      <c r="F1604" s="476">
        <v>97924</v>
      </c>
      <c r="G1604" s="476">
        <v>97940</v>
      </c>
      <c r="H1604" s="476">
        <v>97956</v>
      </c>
      <c r="I1604" s="476">
        <v>97972</v>
      </c>
      <c r="J1604" s="476">
        <v>97988</v>
      </c>
      <c r="K1604" s="476">
        <v>98004</v>
      </c>
    </row>
    <row r="1605" spans="1:11">
      <c r="A1605" s="479">
        <v>6826.1</v>
      </c>
      <c r="B1605" s="476">
        <v>98020</v>
      </c>
      <c r="C1605" s="476">
        <v>98035</v>
      </c>
      <c r="D1605" s="476">
        <v>98051</v>
      </c>
      <c r="E1605" s="476">
        <v>98067</v>
      </c>
      <c r="F1605" s="476">
        <v>98083</v>
      </c>
      <c r="G1605" s="476">
        <v>98099</v>
      </c>
      <c r="H1605" s="476">
        <v>98115</v>
      </c>
      <c r="I1605" s="476">
        <v>98131</v>
      </c>
      <c r="J1605" s="476">
        <v>98147</v>
      </c>
      <c r="K1605" s="476">
        <v>98163</v>
      </c>
    </row>
    <row r="1606" spans="1:11">
      <c r="A1606" s="479">
        <v>6826.2</v>
      </c>
      <c r="B1606" s="476">
        <v>98179</v>
      </c>
      <c r="C1606" s="476">
        <v>98195</v>
      </c>
      <c r="D1606" s="476">
        <v>98211</v>
      </c>
      <c r="E1606" s="476">
        <v>98227</v>
      </c>
      <c r="F1606" s="476">
        <v>98243</v>
      </c>
      <c r="G1606" s="476">
        <v>98259</v>
      </c>
      <c r="H1606" s="476">
        <v>98275</v>
      </c>
      <c r="I1606" s="476">
        <v>98291</v>
      </c>
      <c r="J1606" s="476">
        <v>98307</v>
      </c>
      <c r="K1606" s="476">
        <v>98322</v>
      </c>
    </row>
    <row r="1607" spans="1:11">
      <c r="A1607" s="479">
        <v>6826.3</v>
      </c>
      <c r="B1607" s="476">
        <v>98338</v>
      </c>
      <c r="C1607" s="476">
        <v>98354</v>
      </c>
      <c r="D1607" s="476">
        <v>98370</v>
      </c>
      <c r="E1607" s="476">
        <v>98386</v>
      </c>
      <c r="F1607" s="476">
        <v>98402</v>
      </c>
      <c r="G1607" s="476">
        <v>98418</v>
      </c>
      <c r="H1607" s="476">
        <v>98434</v>
      </c>
      <c r="I1607" s="476">
        <v>98450</v>
      </c>
      <c r="J1607" s="476">
        <v>98466</v>
      </c>
      <c r="K1607" s="476">
        <v>98482</v>
      </c>
    </row>
    <row r="1608" spans="1:11">
      <c r="A1608" s="479">
        <v>6826.4</v>
      </c>
      <c r="B1608" s="476">
        <v>98498</v>
      </c>
      <c r="C1608" s="476">
        <v>98514</v>
      </c>
      <c r="D1608" s="476">
        <v>98530</v>
      </c>
      <c r="E1608" s="476">
        <v>98546</v>
      </c>
      <c r="F1608" s="476">
        <v>98562</v>
      </c>
      <c r="G1608" s="476">
        <v>98578</v>
      </c>
      <c r="H1608" s="476">
        <v>98594</v>
      </c>
      <c r="I1608" s="476">
        <v>98609</v>
      </c>
      <c r="J1608" s="476">
        <v>98625</v>
      </c>
      <c r="K1608" s="476">
        <v>98641</v>
      </c>
    </row>
    <row r="1609" spans="1:11">
      <c r="A1609" s="479">
        <v>6826.5</v>
      </c>
      <c r="B1609" s="476">
        <v>98657</v>
      </c>
      <c r="C1609" s="476">
        <v>98673</v>
      </c>
      <c r="D1609" s="476">
        <v>98689</v>
      </c>
      <c r="E1609" s="476">
        <v>98705</v>
      </c>
      <c r="F1609" s="476">
        <v>98721</v>
      </c>
      <c r="G1609" s="476">
        <v>98737</v>
      </c>
      <c r="H1609" s="476">
        <v>98753</v>
      </c>
      <c r="I1609" s="476">
        <v>98769</v>
      </c>
      <c r="J1609" s="476">
        <v>98785</v>
      </c>
      <c r="K1609" s="476">
        <v>98801</v>
      </c>
    </row>
    <row r="1610" spans="1:11">
      <c r="A1610" s="479">
        <v>6826.6</v>
      </c>
      <c r="B1610" s="476">
        <v>98817</v>
      </c>
      <c r="C1610" s="476">
        <v>98833</v>
      </c>
      <c r="D1610" s="476">
        <v>98849</v>
      </c>
      <c r="E1610" s="476">
        <v>98865</v>
      </c>
      <c r="F1610" s="476">
        <v>98881</v>
      </c>
      <c r="G1610" s="476">
        <v>98896</v>
      </c>
      <c r="H1610" s="476">
        <v>98912</v>
      </c>
      <c r="I1610" s="476">
        <v>98928</v>
      </c>
      <c r="J1610" s="476">
        <v>98944</v>
      </c>
      <c r="K1610" s="476">
        <v>98960</v>
      </c>
    </row>
    <row r="1611" spans="1:11">
      <c r="A1611" s="479">
        <v>6826.7</v>
      </c>
      <c r="B1611" s="476">
        <v>98976</v>
      </c>
      <c r="C1611" s="476">
        <v>98992</v>
      </c>
      <c r="D1611" s="476">
        <v>99008</v>
      </c>
      <c r="E1611" s="476">
        <v>99024</v>
      </c>
      <c r="F1611" s="476">
        <v>99040</v>
      </c>
      <c r="G1611" s="476">
        <v>99056</v>
      </c>
      <c r="H1611" s="476">
        <v>99072</v>
      </c>
      <c r="I1611" s="476">
        <v>99088</v>
      </c>
      <c r="J1611" s="476">
        <v>99104</v>
      </c>
      <c r="K1611" s="476">
        <v>99120</v>
      </c>
    </row>
    <row r="1612" spans="1:11">
      <c r="A1612" s="479">
        <v>6826.8</v>
      </c>
      <c r="B1612" s="476">
        <v>99136</v>
      </c>
      <c r="C1612" s="476">
        <v>99152</v>
      </c>
      <c r="D1612" s="476">
        <v>99167</v>
      </c>
      <c r="E1612" s="476">
        <v>99183</v>
      </c>
      <c r="F1612" s="476">
        <v>99199</v>
      </c>
      <c r="G1612" s="476">
        <v>99215</v>
      </c>
      <c r="H1612" s="476">
        <v>99231</v>
      </c>
      <c r="I1612" s="476">
        <v>99247</v>
      </c>
      <c r="J1612" s="476">
        <v>99263</v>
      </c>
      <c r="K1612" s="476">
        <v>99279</v>
      </c>
    </row>
    <row r="1613" spans="1:11">
      <c r="A1613" s="479">
        <v>6826.9</v>
      </c>
      <c r="B1613" s="476">
        <v>99295</v>
      </c>
      <c r="C1613" s="476">
        <v>99311</v>
      </c>
      <c r="D1613" s="476">
        <v>99327</v>
      </c>
      <c r="E1613" s="476">
        <v>99343</v>
      </c>
      <c r="F1613" s="476">
        <v>99359</v>
      </c>
      <c r="G1613" s="476">
        <v>99375</v>
      </c>
      <c r="H1613" s="476">
        <v>99391</v>
      </c>
      <c r="I1613" s="476">
        <v>99407</v>
      </c>
      <c r="J1613" s="476">
        <v>99423</v>
      </c>
      <c r="K1613" s="476">
        <v>99439</v>
      </c>
    </row>
    <row r="1614" spans="1:11">
      <c r="A1614" s="479">
        <v>6827</v>
      </c>
      <c r="B1614" s="476">
        <v>99454</v>
      </c>
      <c r="C1614" s="476">
        <v>99471</v>
      </c>
      <c r="D1614" s="476">
        <v>99487</v>
      </c>
      <c r="E1614" s="476">
        <v>99503</v>
      </c>
      <c r="F1614" s="476">
        <v>99519</v>
      </c>
      <c r="G1614" s="476">
        <v>99535</v>
      </c>
      <c r="H1614" s="476">
        <v>99551</v>
      </c>
      <c r="I1614" s="476">
        <v>99568</v>
      </c>
      <c r="J1614" s="476">
        <v>99584</v>
      </c>
      <c r="K1614" s="476">
        <v>99600</v>
      </c>
    </row>
    <row r="1615" spans="1:11">
      <c r="A1615" s="479">
        <v>6827.1</v>
      </c>
      <c r="B1615" s="476">
        <v>99616</v>
      </c>
      <c r="C1615" s="476">
        <v>99632</v>
      </c>
      <c r="D1615" s="476">
        <v>99648</v>
      </c>
      <c r="E1615" s="476">
        <v>99664</v>
      </c>
      <c r="F1615" s="476">
        <v>99681</v>
      </c>
      <c r="G1615" s="476">
        <v>99697</v>
      </c>
      <c r="H1615" s="476">
        <v>99713</v>
      </c>
      <c r="I1615" s="476">
        <v>99729</v>
      </c>
      <c r="J1615" s="476">
        <v>99745</v>
      </c>
      <c r="K1615" s="476">
        <v>99761</v>
      </c>
    </row>
    <row r="1616" spans="1:11">
      <c r="A1616" s="479">
        <v>6827.2</v>
      </c>
      <c r="B1616" s="476">
        <v>99777</v>
      </c>
      <c r="C1616" s="476">
        <v>99794</v>
      </c>
      <c r="D1616" s="476">
        <v>99810</v>
      </c>
      <c r="E1616" s="476">
        <v>99826</v>
      </c>
      <c r="F1616" s="476">
        <v>99842</v>
      </c>
      <c r="G1616" s="476">
        <v>99858</v>
      </c>
      <c r="H1616" s="476">
        <v>99874</v>
      </c>
      <c r="I1616" s="476">
        <v>99891</v>
      </c>
      <c r="J1616" s="476">
        <v>99907</v>
      </c>
      <c r="K1616" s="476">
        <v>99923</v>
      </c>
    </row>
    <row r="1617" spans="1:11">
      <c r="A1617" s="479">
        <v>6827.3</v>
      </c>
      <c r="B1617" s="476">
        <v>99939</v>
      </c>
      <c r="C1617" s="476">
        <v>99955</v>
      </c>
      <c r="D1617" s="476">
        <v>99971</v>
      </c>
      <c r="E1617" s="476">
        <v>99987</v>
      </c>
      <c r="F1617" s="476">
        <v>100004</v>
      </c>
      <c r="G1617" s="476">
        <v>100020</v>
      </c>
      <c r="H1617" s="476">
        <v>100036</v>
      </c>
      <c r="I1617" s="476">
        <v>100052</v>
      </c>
      <c r="J1617" s="476">
        <v>100068</v>
      </c>
      <c r="K1617" s="476">
        <v>100084</v>
      </c>
    </row>
    <row r="1618" spans="1:11">
      <c r="A1618" s="479">
        <v>6827.4</v>
      </c>
      <c r="B1618" s="476">
        <v>100100</v>
      </c>
      <c r="C1618" s="476">
        <v>100117</v>
      </c>
      <c r="D1618" s="476">
        <v>100133</v>
      </c>
      <c r="E1618" s="476">
        <v>100149</v>
      </c>
      <c r="F1618" s="476">
        <v>100165</v>
      </c>
      <c r="G1618" s="476">
        <v>100181</v>
      </c>
      <c r="H1618" s="476">
        <v>100197</v>
      </c>
      <c r="I1618" s="476">
        <v>100214</v>
      </c>
      <c r="J1618" s="476">
        <v>100230</v>
      </c>
      <c r="K1618" s="476">
        <v>100246</v>
      </c>
    </row>
    <row r="1619" spans="1:11">
      <c r="A1619" s="479">
        <v>6827.5</v>
      </c>
      <c r="B1619" s="476">
        <v>100262</v>
      </c>
      <c r="C1619" s="476">
        <v>100278</v>
      </c>
      <c r="D1619" s="476">
        <v>100294</v>
      </c>
      <c r="E1619" s="476">
        <v>100310</v>
      </c>
      <c r="F1619" s="476">
        <v>100327</v>
      </c>
      <c r="G1619" s="476">
        <v>100343</v>
      </c>
      <c r="H1619" s="476">
        <v>100359</v>
      </c>
      <c r="I1619" s="476">
        <v>100375</v>
      </c>
      <c r="J1619" s="476">
        <v>100391</v>
      </c>
      <c r="K1619" s="476">
        <v>100407</v>
      </c>
    </row>
    <row r="1620" spans="1:11">
      <c r="A1620" s="479">
        <v>6827.6</v>
      </c>
      <c r="B1620" s="476">
        <v>100423</v>
      </c>
      <c r="C1620" s="476">
        <v>100440</v>
      </c>
      <c r="D1620" s="476">
        <v>100456</v>
      </c>
      <c r="E1620" s="476">
        <v>100472</v>
      </c>
      <c r="F1620" s="476">
        <v>100488</v>
      </c>
      <c r="G1620" s="476">
        <v>100504</v>
      </c>
      <c r="H1620" s="476">
        <v>100520</v>
      </c>
      <c r="I1620" s="476">
        <v>100536</v>
      </c>
      <c r="J1620" s="476">
        <v>100553</v>
      </c>
      <c r="K1620" s="476">
        <v>100569</v>
      </c>
    </row>
    <row r="1621" spans="1:11">
      <c r="A1621" s="479">
        <v>6827.7</v>
      </c>
      <c r="B1621" s="476">
        <v>100585</v>
      </c>
      <c r="C1621" s="476">
        <v>100601</v>
      </c>
      <c r="D1621" s="476">
        <v>100617</v>
      </c>
      <c r="E1621" s="476">
        <v>100633</v>
      </c>
      <c r="F1621" s="476">
        <v>100650</v>
      </c>
      <c r="G1621" s="476">
        <v>100666</v>
      </c>
      <c r="H1621" s="476">
        <v>100682</v>
      </c>
      <c r="I1621" s="476">
        <v>100698</v>
      </c>
      <c r="J1621" s="476">
        <v>100714</v>
      </c>
      <c r="K1621" s="476">
        <v>100730</v>
      </c>
    </row>
    <row r="1622" spans="1:11">
      <c r="A1622" s="479">
        <v>6827.8</v>
      </c>
      <c r="B1622" s="476">
        <v>100746</v>
      </c>
      <c r="C1622" s="476">
        <v>100763</v>
      </c>
      <c r="D1622" s="476">
        <v>100779</v>
      </c>
      <c r="E1622" s="476">
        <v>100795</v>
      </c>
      <c r="F1622" s="476">
        <v>100811</v>
      </c>
      <c r="G1622" s="476">
        <v>100827</v>
      </c>
      <c r="H1622" s="476">
        <v>100843</v>
      </c>
      <c r="I1622" s="476">
        <v>100859</v>
      </c>
      <c r="J1622" s="476">
        <v>100876</v>
      </c>
      <c r="K1622" s="476">
        <v>100892</v>
      </c>
    </row>
    <row r="1623" spans="1:11">
      <c r="A1623" s="479">
        <v>6827.9</v>
      </c>
      <c r="B1623" s="476">
        <v>100908</v>
      </c>
      <c r="C1623" s="476">
        <v>100924</v>
      </c>
      <c r="D1623" s="476">
        <v>100940</v>
      </c>
      <c r="E1623" s="476">
        <v>100956</v>
      </c>
      <c r="F1623" s="476">
        <v>100973</v>
      </c>
      <c r="G1623" s="476">
        <v>100989</v>
      </c>
      <c r="H1623" s="476">
        <v>101005</v>
      </c>
      <c r="I1623" s="476">
        <v>101021</v>
      </c>
      <c r="J1623" s="476">
        <v>101037</v>
      </c>
      <c r="K1623" s="476">
        <v>101053</v>
      </c>
    </row>
    <row r="1624" spans="1:11">
      <c r="A1624" s="479">
        <v>6828</v>
      </c>
      <c r="B1624" s="476">
        <v>101069</v>
      </c>
      <c r="C1624" s="476">
        <v>101086</v>
      </c>
      <c r="D1624" s="476">
        <v>101102</v>
      </c>
      <c r="E1624" s="476">
        <v>101118</v>
      </c>
      <c r="F1624" s="476">
        <v>101135</v>
      </c>
      <c r="G1624" s="476">
        <v>101151</v>
      </c>
      <c r="H1624" s="476">
        <v>101168</v>
      </c>
      <c r="I1624" s="476">
        <v>101184</v>
      </c>
      <c r="J1624" s="476">
        <v>101200</v>
      </c>
      <c r="K1624" s="476">
        <v>101217</v>
      </c>
    </row>
    <row r="1625" spans="1:11">
      <c r="A1625" s="479">
        <v>6828.1</v>
      </c>
      <c r="B1625" s="476">
        <v>101233</v>
      </c>
      <c r="C1625" s="476">
        <v>101249</v>
      </c>
      <c r="D1625" s="476">
        <v>101266</v>
      </c>
      <c r="E1625" s="476">
        <v>101282</v>
      </c>
      <c r="F1625" s="476">
        <v>101298</v>
      </c>
      <c r="G1625" s="476">
        <v>101315</v>
      </c>
      <c r="H1625" s="476">
        <v>101331</v>
      </c>
      <c r="I1625" s="476">
        <v>101347</v>
      </c>
      <c r="J1625" s="476">
        <v>101364</v>
      </c>
      <c r="K1625" s="476">
        <v>101380</v>
      </c>
    </row>
    <row r="1626" spans="1:11">
      <c r="A1626" s="479">
        <v>6828.2</v>
      </c>
      <c r="B1626" s="476">
        <v>101396</v>
      </c>
      <c r="C1626" s="476">
        <v>101413</v>
      </c>
      <c r="D1626" s="476">
        <v>101429</v>
      </c>
      <c r="E1626" s="476">
        <v>101446</v>
      </c>
      <c r="F1626" s="476">
        <v>101462</v>
      </c>
      <c r="G1626" s="476">
        <v>101478</v>
      </c>
      <c r="H1626" s="476">
        <v>101495</v>
      </c>
      <c r="I1626" s="476">
        <v>101511</v>
      </c>
      <c r="J1626" s="476">
        <v>101527</v>
      </c>
      <c r="K1626" s="476">
        <v>101544</v>
      </c>
    </row>
    <row r="1627" spans="1:11">
      <c r="A1627" s="479">
        <v>6828.3</v>
      </c>
      <c r="B1627" s="476">
        <v>101560</v>
      </c>
      <c r="C1627" s="476">
        <v>101576</v>
      </c>
      <c r="D1627" s="476">
        <v>101593</v>
      </c>
      <c r="E1627" s="476">
        <v>101609</v>
      </c>
      <c r="F1627" s="476">
        <v>101625</v>
      </c>
      <c r="G1627" s="476">
        <v>101642</v>
      </c>
      <c r="H1627" s="476">
        <v>101658</v>
      </c>
      <c r="I1627" s="476">
        <v>101674</v>
      </c>
      <c r="J1627" s="476">
        <v>101691</v>
      </c>
      <c r="K1627" s="476">
        <v>101707</v>
      </c>
    </row>
    <row r="1628" spans="1:11">
      <c r="A1628" s="479">
        <v>6828.4</v>
      </c>
      <c r="B1628" s="476">
        <v>101723</v>
      </c>
      <c r="C1628" s="476">
        <v>101740</v>
      </c>
      <c r="D1628" s="476">
        <v>101756</v>
      </c>
      <c r="E1628" s="476">
        <v>101773</v>
      </c>
      <c r="F1628" s="476">
        <v>101789</v>
      </c>
      <c r="G1628" s="476">
        <v>101805</v>
      </c>
      <c r="H1628" s="476">
        <v>101822</v>
      </c>
      <c r="I1628" s="476">
        <v>101838</v>
      </c>
      <c r="J1628" s="476">
        <v>101854</v>
      </c>
      <c r="K1628" s="476">
        <v>101871</v>
      </c>
    </row>
    <row r="1629" spans="1:11">
      <c r="A1629" s="479">
        <v>6828.5</v>
      </c>
      <c r="B1629" s="476">
        <v>101887</v>
      </c>
      <c r="C1629" s="476">
        <v>101903</v>
      </c>
      <c r="D1629" s="476">
        <v>101920</v>
      </c>
      <c r="E1629" s="476">
        <v>101936</v>
      </c>
      <c r="F1629" s="476">
        <v>101952</v>
      </c>
      <c r="G1629" s="476">
        <v>101969</v>
      </c>
      <c r="H1629" s="476">
        <v>101985</v>
      </c>
      <c r="I1629" s="476">
        <v>102001</v>
      </c>
      <c r="J1629" s="476">
        <v>102018</v>
      </c>
      <c r="K1629" s="476">
        <v>102034</v>
      </c>
    </row>
    <row r="1630" spans="1:11">
      <c r="A1630" s="479">
        <v>6828.6</v>
      </c>
      <c r="B1630" s="476">
        <v>102051</v>
      </c>
      <c r="C1630" s="476">
        <v>102067</v>
      </c>
      <c r="D1630" s="476">
        <v>102083</v>
      </c>
      <c r="E1630" s="476">
        <v>102100</v>
      </c>
      <c r="F1630" s="476">
        <v>102116</v>
      </c>
      <c r="G1630" s="476">
        <v>102132</v>
      </c>
      <c r="H1630" s="476">
        <v>102149</v>
      </c>
      <c r="I1630" s="476">
        <v>102165</v>
      </c>
      <c r="J1630" s="476">
        <v>102181</v>
      </c>
      <c r="K1630" s="476">
        <v>102198</v>
      </c>
    </row>
    <row r="1631" spans="1:11">
      <c r="A1631" s="479">
        <v>6828.7</v>
      </c>
      <c r="B1631" s="476">
        <v>102214</v>
      </c>
      <c r="C1631" s="476">
        <v>102230</v>
      </c>
      <c r="D1631" s="476">
        <v>102247</v>
      </c>
      <c r="E1631" s="476">
        <v>102263</v>
      </c>
      <c r="F1631" s="476">
        <v>102279</v>
      </c>
      <c r="G1631" s="476">
        <v>102296</v>
      </c>
      <c r="H1631" s="476">
        <v>102312</v>
      </c>
      <c r="I1631" s="476">
        <v>102329</v>
      </c>
      <c r="J1631" s="476">
        <v>102345</v>
      </c>
      <c r="K1631" s="476">
        <v>102361</v>
      </c>
    </row>
    <row r="1632" spans="1:11">
      <c r="A1632" s="479">
        <v>6828.8</v>
      </c>
      <c r="B1632" s="476">
        <v>102378</v>
      </c>
      <c r="C1632" s="476">
        <v>102394</v>
      </c>
      <c r="D1632" s="476">
        <v>102410</v>
      </c>
      <c r="E1632" s="476">
        <v>102427</v>
      </c>
      <c r="F1632" s="476">
        <v>102443</v>
      </c>
      <c r="G1632" s="476">
        <v>102459</v>
      </c>
      <c r="H1632" s="476">
        <v>102476</v>
      </c>
      <c r="I1632" s="476">
        <v>102492</v>
      </c>
      <c r="J1632" s="476">
        <v>102508</v>
      </c>
      <c r="K1632" s="476">
        <v>102525</v>
      </c>
    </row>
    <row r="1633" spans="1:11">
      <c r="A1633" s="479">
        <v>6828.9</v>
      </c>
      <c r="B1633" s="476">
        <v>102541</v>
      </c>
      <c r="C1633" s="476">
        <v>102557</v>
      </c>
      <c r="D1633" s="476">
        <v>102575</v>
      </c>
      <c r="E1633" s="476">
        <v>102590</v>
      </c>
      <c r="F1633" s="476">
        <v>102606</v>
      </c>
      <c r="G1633" s="476">
        <v>102623</v>
      </c>
      <c r="H1633" s="476">
        <v>102639</v>
      </c>
      <c r="I1633" s="476">
        <v>102656</v>
      </c>
      <c r="J1633" s="476">
        <v>102672</v>
      </c>
      <c r="K1633" s="476">
        <v>102688</v>
      </c>
    </row>
    <row r="1634" spans="1:11">
      <c r="A1634" s="479">
        <v>6829</v>
      </c>
      <c r="B1634" s="476">
        <v>102705</v>
      </c>
      <c r="C1634" s="476">
        <v>102721</v>
      </c>
      <c r="D1634" s="476">
        <v>102738</v>
      </c>
      <c r="E1634" s="476">
        <v>102754</v>
      </c>
      <c r="F1634" s="476">
        <v>102771</v>
      </c>
      <c r="G1634" s="476">
        <v>102787</v>
      </c>
      <c r="H1634" s="476">
        <v>102804</v>
      </c>
      <c r="I1634" s="476">
        <v>102820</v>
      </c>
      <c r="J1634" s="476">
        <v>102837</v>
      </c>
      <c r="K1634" s="476">
        <v>102854</v>
      </c>
    </row>
    <row r="1635" spans="1:11">
      <c r="A1635" s="479">
        <v>6829.1</v>
      </c>
      <c r="B1635" s="476">
        <v>102870</v>
      </c>
      <c r="C1635" s="476">
        <v>102887</v>
      </c>
      <c r="D1635" s="476">
        <v>102903</v>
      </c>
      <c r="E1635" s="476">
        <v>102920</v>
      </c>
      <c r="F1635" s="476">
        <v>102936</v>
      </c>
      <c r="G1635" s="476">
        <v>102953</v>
      </c>
      <c r="H1635" s="476">
        <v>102969</v>
      </c>
      <c r="I1635" s="476">
        <v>102986</v>
      </c>
      <c r="J1635" s="476">
        <v>103003</v>
      </c>
      <c r="K1635" s="476">
        <v>103019</v>
      </c>
    </row>
    <row r="1636" spans="1:11">
      <c r="A1636" s="479">
        <v>6829.2</v>
      </c>
      <c r="B1636" s="476">
        <v>103036</v>
      </c>
      <c r="C1636" s="476">
        <v>103052</v>
      </c>
      <c r="D1636" s="476">
        <v>103069</v>
      </c>
      <c r="E1636" s="476">
        <v>103085</v>
      </c>
      <c r="F1636" s="476">
        <v>103102</v>
      </c>
      <c r="G1636" s="476">
        <v>103118</v>
      </c>
      <c r="H1636" s="476">
        <v>103135</v>
      </c>
      <c r="I1636" s="476">
        <v>103151</v>
      </c>
      <c r="J1636" s="476">
        <v>103168</v>
      </c>
      <c r="K1636" s="476">
        <v>103185</v>
      </c>
    </row>
    <row r="1637" spans="1:11">
      <c r="A1637" s="479">
        <v>6829.3</v>
      </c>
      <c r="B1637" s="476">
        <v>103201</v>
      </c>
      <c r="C1637" s="476">
        <v>103218</v>
      </c>
      <c r="D1637" s="476">
        <v>103234</v>
      </c>
      <c r="E1637" s="476">
        <v>103251</v>
      </c>
      <c r="F1637" s="476">
        <v>103267</v>
      </c>
      <c r="G1637" s="476">
        <v>103284</v>
      </c>
      <c r="H1637" s="476">
        <v>103300</v>
      </c>
      <c r="I1637" s="476">
        <v>103317</v>
      </c>
      <c r="J1637" s="476">
        <v>103334</v>
      </c>
      <c r="K1637" s="476">
        <v>103350</v>
      </c>
    </row>
    <row r="1638" spans="1:11">
      <c r="A1638" s="479">
        <v>6829.4</v>
      </c>
      <c r="B1638" s="476">
        <v>103367</v>
      </c>
      <c r="C1638" s="476">
        <v>103383</v>
      </c>
      <c r="D1638" s="476">
        <v>103400</v>
      </c>
      <c r="E1638" s="476">
        <v>103416</v>
      </c>
      <c r="F1638" s="476">
        <v>103433</v>
      </c>
      <c r="G1638" s="476">
        <v>103449</v>
      </c>
      <c r="H1638" s="476">
        <v>103466</v>
      </c>
      <c r="I1638" s="476">
        <v>103483</v>
      </c>
      <c r="J1638" s="476">
        <v>103499</v>
      </c>
      <c r="K1638" s="476">
        <v>103516</v>
      </c>
    </row>
    <row r="1639" spans="1:11">
      <c r="A1639" s="479">
        <v>6829.5</v>
      </c>
      <c r="B1639" s="476">
        <v>103532</v>
      </c>
      <c r="C1639" s="476">
        <v>103549</v>
      </c>
      <c r="D1639" s="476">
        <v>103565</v>
      </c>
      <c r="E1639" s="476">
        <v>103582</v>
      </c>
      <c r="F1639" s="476">
        <v>103598</v>
      </c>
      <c r="G1639" s="476">
        <v>103615</v>
      </c>
      <c r="H1639" s="476">
        <v>103631</v>
      </c>
      <c r="I1639" s="476">
        <v>103648</v>
      </c>
      <c r="J1639" s="476">
        <v>103665</v>
      </c>
      <c r="K1639" s="476">
        <v>103681</v>
      </c>
    </row>
    <row r="1640" spans="1:11">
      <c r="A1640" s="479">
        <v>6829.6</v>
      </c>
      <c r="B1640" s="476">
        <v>103698</v>
      </c>
      <c r="C1640" s="476">
        <v>103714</v>
      </c>
      <c r="D1640" s="476">
        <v>103731</v>
      </c>
      <c r="E1640" s="476">
        <v>103747</v>
      </c>
      <c r="F1640" s="476">
        <v>103764</v>
      </c>
      <c r="G1640" s="476">
        <v>103780</v>
      </c>
      <c r="H1640" s="476">
        <v>103797</v>
      </c>
      <c r="I1640" s="476">
        <v>103814</v>
      </c>
      <c r="J1640" s="476">
        <v>103830</v>
      </c>
      <c r="K1640" s="476">
        <v>103847</v>
      </c>
    </row>
    <row r="1641" spans="1:11">
      <c r="A1641" s="479">
        <v>6829.7</v>
      </c>
      <c r="B1641" s="476">
        <v>103863</v>
      </c>
      <c r="C1641" s="476">
        <v>103880</v>
      </c>
      <c r="D1641" s="476">
        <v>103896</v>
      </c>
      <c r="E1641" s="476">
        <v>103913</v>
      </c>
      <c r="F1641" s="476">
        <v>103929</v>
      </c>
      <c r="G1641" s="476">
        <v>103946</v>
      </c>
      <c r="H1641" s="476">
        <v>103962</v>
      </c>
      <c r="I1641" s="476">
        <v>103979</v>
      </c>
      <c r="J1641" s="476">
        <v>103996</v>
      </c>
      <c r="K1641" s="476">
        <v>104012</v>
      </c>
    </row>
    <row r="1642" spans="1:11">
      <c r="A1642" s="479">
        <v>6829.8</v>
      </c>
      <c r="B1642" s="476">
        <v>104029</v>
      </c>
      <c r="C1642" s="476">
        <v>104045</v>
      </c>
      <c r="D1642" s="476">
        <v>104062</v>
      </c>
      <c r="E1642" s="476">
        <v>104078</v>
      </c>
      <c r="F1642" s="476">
        <v>104095</v>
      </c>
      <c r="G1642" s="476">
        <v>104111</v>
      </c>
      <c r="H1642" s="476">
        <v>104128</v>
      </c>
      <c r="I1642" s="476">
        <v>104145</v>
      </c>
      <c r="J1642" s="476">
        <v>104161</v>
      </c>
      <c r="K1642" s="476">
        <v>104178</v>
      </c>
    </row>
    <row r="1643" spans="1:11">
      <c r="A1643" s="479">
        <v>6829.9</v>
      </c>
      <c r="B1643" s="476">
        <v>104194</v>
      </c>
      <c r="C1643" s="476">
        <v>104211</v>
      </c>
      <c r="D1643" s="476">
        <v>104227</v>
      </c>
      <c r="E1643" s="476">
        <v>104244</v>
      </c>
      <c r="F1643" s="476">
        <v>104260</v>
      </c>
      <c r="G1643" s="476">
        <v>104277</v>
      </c>
      <c r="H1643" s="476">
        <v>104294</v>
      </c>
      <c r="I1643" s="476">
        <v>104310</v>
      </c>
      <c r="J1643" s="476">
        <v>104327</v>
      </c>
      <c r="K1643" s="476">
        <v>104343</v>
      </c>
    </row>
    <row r="1644" spans="1:11">
      <c r="A1644" s="479">
        <v>6830</v>
      </c>
      <c r="B1644" s="476">
        <v>104360</v>
      </c>
      <c r="C1644" s="476">
        <v>104376</v>
      </c>
      <c r="D1644" s="476">
        <v>104393</v>
      </c>
      <c r="E1644" s="476">
        <v>104410</v>
      </c>
      <c r="F1644" s="476">
        <v>104427</v>
      </c>
      <c r="G1644" s="476">
        <v>104443</v>
      </c>
      <c r="H1644" s="476">
        <v>104460</v>
      </c>
      <c r="I1644" s="476">
        <v>104477</v>
      </c>
      <c r="J1644" s="476">
        <v>104494</v>
      </c>
      <c r="K1644" s="476">
        <v>104510</v>
      </c>
    </row>
    <row r="1645" spans="1:11">
      <c r="A1645" s="479">
        <v>6830.1</v>
      </c>
      <c r="B1645" s="476">
        <v>104527</v>
      </c>
      <c r="C1645" s="476">
        <v>104544</v>
      </c>
      <c r="D1645" s="476">
        <v>104561</v>
      </c>
      <c r="E1645" s="476">
        <v>104577</v>
      </c>
      <c r="F1645" s="476">
        <v>104594</v>
      </c>
      <c r="G1645" s="476">
        <v>104611</v>
      </c>
      <c r="H1645" s="476">
        <v>104628</v>
      </c>
      <c r="I1645" s="476">
        <v>104644</v>
      </c>
      <c r="J1645" s="476">
        <v>104661</v>
      </c>
      <c r="K1645" s="476">
        <v>104678</v>
      </c>
    </row>
    <row r="1646" spans="1:11">
      <c r="A1646" s="479">
        <v>6830.2</v>
      </c>
      <c r="B1646" s="476">
        <v>104695</v>
      </c>
      <c r="C1646" s="476">
        <v>104711</v>
      </c>
      <c r="D1646" s="476">
        <v>104728</v>
      </c>
      <c r="E1646" s="476">
        <v>104745</v>
      </c>
      <c r="F1646" s="476">
        <v>104762</v>
      </c>
      <c r="G1646" s="476">
        <v>104778</v>
      </c>
      <c r="H1646" s="476">
        <v>104795</v>
      </c>
      <c r="I1646" s="476">
        <v>104812</v>
      </c>
      <c r="J1646" s="476">
        <v>104829</v>
      </c>
      <c r="K1646" s="476">
        <v>104845</v>
      </c>
    </row>
    <row r="1647" spans="1:11">
      <c r="A1647" s="479">
        <v>6830.3</v>
      </c>
      <c r="B1647" s="476">
        <v>104862</v>
      </c>
      <c r="C1647" s="476">
        <v>104879</v>
      </c>
      <c r="D1647" s="476">
        <v>104896</v>
      </c>
      <c r="E1647" s="476">
        <v>104912</v>
      </c>
      <c r="F1647" s="476">
        <v>104929</v>
      </c>
      <c r="G1647" s="476">
        <v>104946</v>
      </c>
      <c r="H1647" s="476">
        <v>104963</v>
      </c>
      <c r="I1647" s="476">
        <v>104979</v>
      </c>
      <c r="J1647" s="476">
        <v>104996</v>
      </c>
      <c r="K1647" s="476">
        <v>105013</v>
      </c>
    </row>
    <row r="1648" spans="1:11">
      <c r="A1648" s="479">
        <v>6830.4</v>
      </c>
      <c r="B1648" s="476">
        <v>105030</v>
      </c>
      <c r="C1648" s="476">
        <v>105046</v>
      </c>
      <c r="D1648" s="476">
        <v>105063</v>
      </c>
      <c r="E1648" s="476">
        <v>105080</v>
      </c>
      <c r="F1648" s="476">
        <v>105097</v>
      </c>
      <c r="G1648" s="476">
        <v>105113</v>
      </c>
      <c r="H1648" s="476">
        <v>105130</v>
      </c>
      <c r="I1648" s="476">
        <v>105147</v>
      </c>
      <c r="J1648" s="476">
        <v>105164</v>
      </c>
      <c r="K1648" s="476">
        <v>105180</v>
      </c>
    </row>
    <row r="1649" spans="1:11">
      <c r="A1649" s="479">
        <v>6830.5</v>
      </c>
      <c r="B1649" s="476">
        <v>105197</v>
      </c>
      <c r="C1649" s="476">
        <v>105214</v>
      </c>
      <c r="D1649" s="476">
        <v>105231</v>
      </c>
      <c r="E1649" s="476">
        <v>105247</v>
      </c>
      <c r="F1649" s="476">
        <v>105264</v>
      </c>
      <c r="G1649" s="476">
        <v>105281</v>
      </c>
      <c r="H1649" s="476">
        <v>105298</v>
      </c>
      <c r="I1649" s="476">
        <v>105314</v>
      </c>
      <c r="J1649" s="476">
        <v>105331</v>
      </c>
      <c r="K1649" s="476">
        <v>105348</v>
      </c>
    </row>
    <row r="1650" spans="1:11">
      <c r="A1650" s="479">
        <v>6830.6</v>
      </c>
      <c r="B1650" s="476">
        <v>105365</v>
      </c>
      <c r="C1650" s="476">
        <v>105381</v>
      </c>
      <c r="D1650" s="476">
        <v>105398</v>
      </c>
      <c r="E1650" s="476">
        <v>105415</v>
      </c>
      <c r="F1650" s="476">
        <v>105432</v>
      </c>
      <c r="G1650" s="476">
        <v>105448</v>
      </c>
      <c r="H1650" s="476">
        <v>105465</v>
      </c>
      <c r="I1650" s="476">
        <v>105482</v>
      </c>
      <c r="J1650" s="476">
        <v>105499</v>
      </c>
      <c r="K1650" s="476">
        <v>105515</v>
      </c>
    </row>
    <row r="1651" spans="1:11">
      <c r="A1651" s="479">
        <v>6830.7</v>
      </c>
      <c r="B1651" s="476">
        <v>105532</v>
      </c>
      <c r="C1651" s="476">
        <v>105549</v>
      </c>
      <c r="D1651" s="476">
        <v>105566</v>
      </c>
      <c r="E1651" s="476">
        <v>105582</v>
      </c>
      <c r="F1651" s="476">
        <v>105599</v>
      </c>
      <c r="G1651" s="476">
        <v>105616</v>
      </c>
      <c r="H1651" s="476">
        <v>105633</v>
      </c>
      <c r="I1651" s="476">
        <v>105649</v>
      </c>
      <c r="J1651" s="476">
        <v>105666</v>
      </c>
      <c r="K1651" s="476">
        <v>105683</v>
      </c>
    </row>
    <row r="1652" spans="1:11">
      <c r="A1652" s="479">
        <v>6830.8</v>
      </c>
      <c r="B1652" s="476">
        <v>105700</v>
      </c>
      <c r="C1652" s="476">
        <v>105716</v>
      </c>
      <c r="D1652" s="476">
        <v>105733</v>
      </c>
      <c r="E1652" s="476">
        <v>105750</v>
      </c>
      <c r="F1652" s="476">
        <v>105767</v>
      </c>
      <c r="G1652" s="476">
        <v>105783</v>
      </c>
      <c r="H1652" s="476">
        <v>105800</v>
      </c>
      <c r="I1652" s="476">
        <v>105817</v>
      </c>
      <c r="J1652" s="476">
        <v>105834</v>
      </c>
      <c r="K1652" s="476">
        <v>105850</v>
      </c>
    </row>
    <row r="1653" spans="1:11">
      <c r="A1653" s="479">
        <v>6830.9</v>
      </c>
      <c r="B1653" s="476">
        <v>105867</v>
      </c>
      <c r="C1653" s="476">
        <v>105884</v>
      </c>
      <c r="D1653" s="476">
        <v>105901</v>
      </c>
      <c r="E1653" s="476">
        <v>105917</v>
      </c>
      <c r="F1653" s="476">
        <v>105934</v>
      </c>
      <c r="G1653" s="476">
        <v>105951</v>
      </c>
      <c r="H1653" s="476">
        <v>105968</v>
      </c>
      <c r="I1653" s="476">
        <v>105984</v>
      </c>
      <c r="J1653" s="476">
        <v>106001</v>
      </c>
      <c r="K1653" s="476">
        <v>106018</v>
      </c>
    </row>
    <row r="1654" spans="1:11">
      <c r="A1654" s="479">
        <v>6831</v>
      </c>
      <c r="B1654" s="476">
        <v>106035</v>
      </c>
      <c r="C1654" s="476">
        <v>106052</v>
      </c>
      <c r="D1654" s="476">
        <v>106069</v>
      </c>
      <c r="E1654" s="476">
        <v>106085</v>
      </c>
      <c r="F1654" s="476">
        <v>106102</v>
      </c>
      <c r="G1654" s="476">
        <v>106119</v>
      </c>
      <c r="H1654" s="476">
        <v>106136</v>
      </c>
      <c r="I1654" s="476">
        <v>106153</v>
      </c>
      <c r="J1654" s="476">
        <v>106170</v>
      </c>
      <c r="K1654" s="476">
        <v>106187</v>
      </c>
    </row>
    <row r="1655" spans="1:11">
      <c r="A1655" s="479">
        <v>6831.1</v>
      </c>
      <c r="B1655" s="476">
        <v>106204</v>
      </c>
      <c r="C1655" s="476">
        <v>106221</v>
      </c>
      <c r="D1655" s="476">
        <v>106238</v>
      </c>
      <c r="E1655" s="476">
        <v>106255</v>
      </c>
      <c r="F1655" s="476">
        <v>106272</v>
      </c>
      <c r="G1655" s="476">
        <v>106289</v>
      </c>
      <c r="H1655" s="476">
        <v>106306</v>
      </c>
      <c r="I1655" s="476">
        <v>106323</v>
      </c>
      <c r="J1655" s="476">
        <v>106340</v>
      </c>
      <c r="K1655" s="476">
        <v>106357</v>
      </c>
    </row>
    <row r="1656" spans="1:11">
      <c r="A1656" s="479">
        <v>6831.2</v>
      </c>
      <c r="B1656" s="476">
        <v>106374</v>
      </c>
      <c r="C1656" s="476">
        <v>106391</v>
      </c>
      <c r="D1656" s="476">
        <v>106407</v>
      </c>
      <c r="E1656" s="476">
        <v>106424</v>
      </c>
      <c r="F1656" s="476">
        <v>106441</v>
      </c>
      <c r="G1656" s="476">
        <v>106458</v>
      </c>
      <c r="H1656" s="476">
        <v>106475</v>
      </c>
      <c r="I1656" s="476">
        <v>106492</v>
      </c>
      <c r="J1656" s="476">
        <v>106509</v>
      </c>
      <c r="K1656" s="476">
        <v>106526</v>
      </c>
    </row>
    <row r="1657" spans="1:11">
      <c r="A1657" s="479">
        <v>6831.3</v>
      </c>
      <c r="B1657" s="476">
        <v>106543</v>
      </c>
      <c r="C1657" s="476">
        <v>106560</v>
      </c>
      <c r="D1657" s="476">
        <v>106577</v>
      </c>
      <c r="E1657" s="476">
        <v>106594</v>
      </c>
      <c r="F1657" s="476">
        <v>106611</v>
      </c>
      <c r="G1657" s="476">
        <v>106628</v>
      </c>
      <c r="H1657" s="476">
        <v>106645</v>
      </c>
      <c r="I1657" s="476">
        <v>106662</v>
      </c>
      <c r="J1657" s="476">
        <v>106679</v>
      </c>
      <c r="K1657" s="476">
        <v>106696</v>
      </c>
    </row>
    <row r="1658" spans="1:11">
      <c r="A1658" s="479">
        <v>6831.4</v>
      </c>
      <c r="B1658" s="476">
        <v>106712</v>
      </c>
      <c r="C1658" s="476">
        <v>106729</v>
      </c>
      <c r="D1658" s="476">
        <v>106746</v>
      </c>
      <c r="E1658" s="476">
        <v>106763</v>
      </c>
      <c r="F1658" s="476">
        <v>106780</v>
      </c>
      <c r="G1658" s="476">
        <v>106797</v>
      </c>
      <c r="H1658" s="476">
        <v>106814</v>
      </c>
      <c r="I1658" s="476">
        <v>106831</v>
      </c>
      <c r="J1658" s="476">
        <v>106848</v>
      </c>
      <c r="K1658" s="476">
        <v>106865</v>
      </c>
    </row>
    <row r="1659" spans="1:11">
      <c r="A1659" s="479">
        <v>6831.5</v>
      </c>
      <c r="B1659" s="476">
        <v>106882</v>
      </c>
      <c r="C1659" s="476">
        <v>106899</v>
      </c>
      <c r="D1659" s="476">
        <v>106916</v>
      </c>
      <c r="E1659" s="476">
        <v>106933</v>
      </c>
      <c r="F1659" s="476">
        <v>106950</v>
      </c>
      <c r="G1659" s="476">
        <v>106967</v>
      </c>
      <c r="H1659" s="476">
        <v>106984</v>
      </c>
      <c r="I1659" s="476">
        <v>107001</v>
      </c>
      <c r="J1659" s="476">
        <v>107017</v>
      </c>
      <c r="K1659" s="476">
        <v>107034</v>
      </c>
    </row>
    <row r="1660" spans="1:11">
      <c r="A1660" s="479">
        <v>6831.6</v>
      </c>
      <c r="B1660" s="476">
        <v>107051</v>
      </c>
      <c r="C1660" s="476">
        <v>107068</v>
      </c>
      <c r="D1660" s="476">
        <v>107085</v>
      </c>
      <c r="E1660" s="476">
        <v>107102</v>
      </c>
      <c r="F1660" s="476">
        <v>107119</v>
      </c>
      <c r="G1660" s="476">
        <v>107136</v>
      </c>
      <c r="H1660" s="476">
        <v>107153</v>
      </c>
      <c r="I1660" s="476">
        <v>107170</v>
      </c>
      <c r="J1660" s="476">
        <v>107187</v>
      </c>
      <c r="K1660" s="476">
        <v>107204</v>
      </c>
    </row>
    <row r="1661" spans="1:11">
      <c r="A1661" s="479">
        <v>6831.7</v>
      </c>
      <c r="B1661" s="476">
        <v>107221</v>
      </c>
      <c r="C1661" s="476">
        <v>107238</v>
      </c>
      <c r="D1661" s="476">
        <v>107255</v>
      </c>
      <c r="E1661" s="476">
        <v>107272</v>
      </c>
      <c r="F1661" s="476">
        <v>107289</v>
      </c>
      <c r="G1661" s="476">
        <v>107306</v>
      </c>
      <c r="H1661" s="476">
        <v>107323</v>
      </c>
      <c r="I1661" s="476">
        <v>107339</v>
      </c>
      <c r="J1661" s="476">
        <v>107356</v>
      </c>
      <c r="K1661" s="476">
        <v>107373</v>
      </c>
    </row>
    <row r="1662" spans="1:11">
      <c r="A1662" s="479">
        <v>6831.8</v>
      </c>
      <c r="B1662" s="476">
        <v>107390</v>
      </c>
      <c r="C1662" s="476">
        <v>107407</v>
      </c>
      <c r="D1662" s="476">
        <v>107424</v>
      </c>
      <c r="E1662" s="476">
        <v>107441</v>
      </c>
      <c r="F1662" s="476">
        <v>107458</v>
      </c>
      <c r="G1662" s="476">
        <v>107475</v>
      </c>
      <c r="H1662" s="476">
        <v>107492</v>
      </c>
      <c r="I1662" s="476">
        <v>107509</v>
      </c>
      <c r="J1662" s="476">
        <v>107526</v>
      </c>
      <c r="K1662" s="476">
        <v>107543</v>
      </c>
    </row>
    <row r="1663" spans="1:11">
      <c r="A1663" s="479">
        <v>6831.9</v>
      </c>
      <c r="B1663" s="476">
        <v>107560</v>
      </c>
      <c r="C1663" s="476">
        <v>107577</v>
      </c>
      <c r="D1663" s="476">
        <v>107594</v>
      </c>
      <c r="E1663" s="476">
        <v>107611</v>
      </c>
      <c r="F1663" s="476">
        <v>107628</v>
      </c>
      <c r="G1663" s="476">
        <v>107644</v>
      </c>
      <c r="H1663" s="476">
        <v>107661</v>
      </c>
      <c r="I1663" s="476">
        <v>107678</v>
      </c>
      <c r="J1663" s="476">
        <v>107695</v>
      </c>
      <c r="K1663" s="476">
        <v>107712</v>
      </c>
    </row>
    <row r="1664" spans="1:11">
      <c r="A1664" s="479">
        <v>6832</v>
      </c>
      <c r="B1664" s="476">
        <v>107729</v>
      </c>
      <c r="C1664" s="476">
        <v>107746</v>
      </c>
      <c r="D1664" s="476">
        <v>107763</v>
      </c>
      <c r="E1664" s="476">
        <v>107781</v>
      </c>
      <c r="F1664" s="476">
        <v>107798</v>
      </c>
      <c r="G1664" s="476">
        <v>107815</v>
      </c>
      <c r="H1664" s="476">
        <v>107832</v>
      </c>
      <c r="I1664" s="476">
        <v>107849</v>
      </c>
      <c r="J1664" s="476">
        <v>107866</v>
      </c>
      <c r="K1664" s="476">
        <v>107883</v>
      </c>
    </row>
    <row r="1665" spans="1:11">
      <c r="A1665" s="479">
        <v>6832.1</v>
      </c>
      <c r="B1665" s="476">
        <v>107901</v>
      </c>
      <c r="C1665" s="476">
        <v>107918</v>
      </c>
      <c r="D1665" s="476">
        <v>107935</v>
      </c>
      <c r="E1665" s="476">
        <v>107952</v>
      </c>
      <c r="F1665" s="476">
        <v>107969</v>
      </c>
      <c r="G1665" s="476">
        <v>107986</v>
      </c>
      <c r="H1665" s="476">
        <v>108003</v>
      </c>
      <c r="I1665" s="476">
        <v>108021</v>
      </c>
      <c r="J1665" s="476">
        <v>108038</v>
      </c>
      <c r="K1665" s="476">
        <v>108055</v>
      </c>
    </row>
    <row r="1666" spans="1:11">
      <c r="A1666" s="479">
        <v>6832.2</v>
      </c>
      <c r="B1666" s="476">
        <v>108072</v>
      </c>
      <c r="C1666" s="476">
        <v>108089</v>
      </c>
      <c r="D1666" s="476">
        <v>108106</v>
      </c>
      <c r="E1666" s="476">
        <v>108123</v>
      </c>
      <c r="F1666" s="476">
        <v>108141</v>
      </c>
      <c r="G1666" s="476">
        <v>108158</v>
      </c>
      <c r="H1666" s="476">
        <v>108175</v>
      </c>
      <c r="I1666" s="476">
        <v>108192</v>
      </c>
      <c r="J1666" s="476">
        <v>108209</v>
      </c>
      <c r="K1666" s="476">
        <v>108226</v>
      </c>
    </row>
    <row r="1667" spans="1:11">
      <c r="A1667" s="479">
        <v>6832.3</v>
      </c>
      <c r="B1667" s="476">
        <v>108243</v>
      </c>
      <c r="C1667" s="476">
        <v>108261</v>
      </c>
      <c r="D1667" s="476">
        <v>108278</v>
      </c>
      <c r="E1667" s="476">
        <v>108295</v>
      </c>
      <c r="F1667" s="476">
        <v>108312</v>
      </c>
      <c r="G1667" s="476">
        <v>108329</v>
      </c>
      <c r="H1667" s="476">
        <v>108346</v>
      </c>
      <c r="I1667" s="476">
        <v>108363</v>
      </c>
      <c r="J1667" s="476">
        <v>108380</v>
      </c>
      <c r="K1667" s="476">
        <v>108398</v>
      </c>
    </row>
    <row r="1668" spans="1:11">
      <c r="A1668" s="479">
        <v>6832.4</v>
      </c>
      <c r="B1668" s="476">
        <v>108415</v>
      </c>
      <c r="C1668" s="476">
        <v>108432</v>
      </c>
      <c r="D1668" s="476">
        <v>108449</v>
      </c>
      <c r="E1668" s="476">
        <v>108466</v>
      </c>
      <c r="F1668" s="476">
        <v>108483</v>
      </c>
      <c r="G1668" s="476">
        <v>108500</v>
      </c>
      <c r="H1668" s="476">
        <v>108518</v>
      </c>
      <c r="I1668" s="476">
        <v>108535</v>
      </c>
      <c r="J1668" s="476">
        <v>108552</v>
      </c>
      <c r="K1668" s="476">
        <v>108569</v>
      </c>
    </row>
    <row r="1669" spans="1:11">
      <c r="A1669" s="479">
        <v>6832.5</v>
      </c>
      <c r="B1669" s="476">
        <v>108586</v>
      </c>
      <c r="C1669" s="476">
        <v>108603</v>
      </c>
      <c r="D1669" s="476">
        <v>108620</v>
      </c>
      <c r="E1669" s="476">
        <v>108638</v>
      </c>
      <c r="F1669" s="476">
        <v>108655</v>
      </c>
      <c r="G1669" s="476">
        <v>108672</v>
      </c>
      <c r="H1669" s="476">
        <v>108689</v>
      </c>
      <c r="I1669" s="476">
        <v>108706</v>
      </c>
      <c r="J1669" s="476">
        <v>108723</v>
      </c>
      <c r="K1669" s="476">
        <v>108740</v>
      </c>
    </row>
    <row r="1670" spans="1:11">
      <c r="A1670" s="479">
        <v>6832.6</v>
      </c>
      <c r="B1670" s="476">
        <v>108758</v>
      </c>
      <c r="C1670" s="476">
        <v>108775</v>
      </c>
      <c r="D1670" s="476">
        <v>108792</v>
      </c>
      <c r="E1670" s="476">
        <v>108809</v>
      </c>
      <c r="F1670" s="476">
        <v>108826</v>
      </c>
      <c r="G1670" s="476">
        <v>108843</v>
      </c>
      <c r="H1670" s="476">
        <v>108860</v>
      </c>
      <c r="I1670" s="476">
        <v>108878</v>
      </c>
      <c r="J1670" s="476">
        <v>108895</v>
      </c>
      <c r="K1670" s="476">
        <v>108912</v>
      </c>
    </row>
    <row r="1671" spans="1:11">
      <c r="A1671" s="479">
        <v>6832.7</v>
      </c>
      <c r="B1671" s="476">
        <v>108929</v>
      </c>
      <c r="C1671" s="476">
        <v>108946</v>
      </c>
      <c r="D1671" s="476">
        <v>108963</v>
      </c>
      <c r="E1671" s="476">
        <v>108980</v>
      </c>
      <c r="F1671" s="476">
        <v>108998</v>
      </c>
      <c r="G1671" s="476">
        <v>109015</v>
      </c>
      <c r="H1671" s="476">
        <v>109032</v>
      </c>
      <c r="I1671" s="476">
        <v>109049</v>
      </c>
      <c r="J1671" s="476">
        <v>109066</v>
      </c>
      <c r="K1671" s="476">
        <v>109083</v>
      </c>
    </row>
    <row r="1672" spans="1:11">
      <c r="A1672" s="479">
        <v>6832.8</v>
      </c>
      <c r="B1672" s="476">
        <v>109100</v>
      </c>
      <c r="C1672" s="476">
        <v>109117</v>
      </c>
      <c r="D1672" s="476">
        <v>109135</v>
      </c>
      <c r="E1672" s="476">
        <v>109152</v>
      </c>
      <c r="F1672" s="476">
        <v>109169</v>
      </c>
      <c r="G1672" s="476">
        <v>109186</v>
      </c>
      <c r="H1672" s="476">
        <v>109203</v>
      </c>
      <c r="I1672" s="476">
        <v>109220</v>
      </c>
      <c r="J1672" s="476">
        <v>109237</v>
      </c>
      <c r="K1672" s="476">
        <v>109255</v>
      </c>
    </row>
    <row r="1673" spans="1:11">
      <c r="A1673" s="479">
        <v>6832.9</v>
      </c>
      <c r="B1673" s="476">
        <v>109272</v>
      </c>
      <c r="C1673" s="476">
        <v>109289</v>
      </c>
      <c r="D1673" s="476">
        <v>109306</v>
      </c>
      <c r="E1673" s="476">
        <v>109323</v>
      </c>
      <c r="F1673" s="476">
        <v>109340</v>
      </c>
      <c r="G1673" s="476">
        <v>109357</v>
      </c>
      <c r="H1673" s="476">
        <v>109375</v>
      </c>
      <c r="I1673" s="476">
        <v>109392</v>
      </c>
      <c r="J1673" s="476">
        <v>109409</v>
      </c>
      <c r="K1673" s="476">
        <v>109426</v>
      </c>
    </row>
    <row r="1674" spans="1:11">
      <c r="A1674" s="479">
        <v>6833</v>
      </c>
      <c r="B1674" s="476">
        <v>109443</v>
      </c>
      <c r="C1674" s="476">
        <v>109460</v>
      </c>
      <c r="D1674" s="476">
        <v>109478</v>
      </c>
      <c r="E1674" s="476">
        <v>109495</v>
      </c>
      <c r="F1674" s="476">
        <v>109512</v>
      </c>
      <c r="G1674" s="476">
        <v>109530</v>
      </c>
      <c r="H1674" s="476">
        <v>109547</v>
      </c>
      <c r="I1674" s="476">
        <v>109564</v>
      </c>
      <c r="J1674" s="476">
        <v>109582</v>
      </c>
      <c r="K1674" s="476">
        <v>109599</v>
      </c>
    </row>
    <row r="1675" spans="1:11">
      <c r="A1675" s="479">
        <v>6833.1</v>
      </c>
      <c r="B1675" s="476">
        <v>109616</v>
      </c>
      <c r="C1675" s="476">
        <v>109634</v>
      </c>
      <c r="D1675" s="476">
        <v>109651</v>
      </c>
      <c r="E1675" s="476">
        <v>109668</v>
      </c>
      <c r="F1675" s="476">
        <v>109686</v>
      </c>
      <c r="G1675" s="476">
        <v>109703</v>
      </c>
      <c r="H1675" s="476">
        <v>109720</v>
      </c>
      <c r="I1675" s="476">
        <v>109738</v>
      </c>
      <c r="J1675" s="476">
        <v>109755</v>
      </c>
      <c r="K1675" s="476">
        <v>109772</v>
      </c>
    </row>
    <row r="1676" spans="1:11">
      <c r="A1676" s="479">
        <v>6833.2</v>
      </c>
      <c r="B1676" s="476">
        <v>109790</v>
      </c>
      <c r="C1676" s="476">
        <v>109807</v>
      </c>
      <c r="D1676" s="476">
        <v>109824</v>
      </c>
      <c r="E1676" s="476">
        <v>109842</v>
      </c>
      <c r="F1676" s="476">
        <v>109859</v>
      </c>
      <c r="G1676" s="476">
        <v>109876</v>
      </c>
      <c r="H1676" s="476">
        <v>109894</v>
      </c>
      <c r="I1676" s="476">
        <v>109911</v>
      </c>
      <c r="J1676" s="476">
        <v>109928</v>
      </c>
      <c r="K1676" s="476">
        <v>109946</v>
      </c>
    </row>
    <row r="1677" spans="1:11">
      <c r="A1677" s="479">
        <v>6833.3</v>
      </c>
      <c r="B1677" s="476">
        <v>109963</v>
      </c>
      <c r="C1677" s="476">
        <v>109980</v>
      </c>
      <c r="D1677" s="476">
        <v>109998</v>
      </c>
      <c r="E1677" s="476">
        <v>110015</v>
      </c>
      <c r="F1677" s="476">
        <v>110032</v>
      </c>
      <c r="G1677" s="476">
        <v>110050</v>
      </c>
      <c r="H1677" s="476">
        <v>110067</v>
      </c>
      <c r="I1677" s="476">
        <v>110084</v>
      </c>
      <c r="J1677" s="476">
        <v>110102</v>
      </c>
      <c r="K1677" s="476">
        <v>110119</v>
      </c>
    </row>
    <row r="1678" spans="1:11">
      <c r="A1678" s="479">
        <v>6833.4</v>
      </c>
      <c r="B1678" s="476">
        <v>110136</v>
      </c>
      <c r="C1678" s="476">
        <v>110154</v>
      </c>
      <c r="D1678" s="476">
        <v>110171</v>
      </c>
      <c r="E1678" s="476">
        <v>110188</v>
      </c>
      <c r="F1678" s="476">
        <v>110206</v>
      </c>
      <c r="G1678" s="476">
        <v>110223</v>
      </c>
      <c r="H1678" s="476">
        <v>110240</v>
      </c>
      <c r="I1678" s="476">
        <v>110258</v>
      </c>
      <c r="J1678" s="476">
        <v>110275</v>
      </c>
      <c r="K1678" s="476">
        <v>110292</v>
      </c>
    </row>
    <row r="1679" spans="1:11">
      <c r="A1679" s="479">
        <v>6833.5</v>
      </c>
      <c r="B1679" s="476">
        <v>110310</v>
      </c>
      <c r="C1679" s="476">
        <v>110327</v>
      </c>
      <c r="D1679" s="476">
        <v>110344</v>
      </c>
      <c r="E1679" s="476">
        <v>110362</v>
      </c>
      <c r="F1679" s="476">
        <v>110379</v>
      </c>
      <c r="G1679" s="476">
        <v>110396</v>
      </c>
      <c r="H1679" s="476">
        <v>110414</v>
      </c>
      <c r="I1679" s="476">
        <v>110431</v>
      </c>
      <c r="J1679" s="476">
        <v>110448</v>
      </c>
      <c r="K1679" s="476">
        <v>110466</v>
      </c>
    </row>
    <row r="1680" spans="1:11">
      <c r="A1680" s="479">
        <v>6833.6</v>
      </c>
      <c r="B1680" s="476">
        <v>110483</v>
      </c>
      <c r="C1680" s="476">
        <v>110500</v>
      </c>
      <c r="D1680" s="476">
        <v>110518</v>
      </c>
      <c r="E1680" s="476">
        <v>110535</v>
      </c>
      <c r="F1680" s="476">
        <v>110552</v>
      </c>
      <c r="G1680" s="476">
        <v>110570</v>
      </c>
      <c r="H1680" s="476">
        <v>110587</v>
      </c>
      <c r="I1680" s="476">
        <v>110604</v>
      </c>
      <c r="J1680" s="476">
        <v>110622</v>
      </c>
      <c r="K1680" s="476">
        <v>110639</v>
      </c>
    </row>
    <row r="1681" spans="1:11">
      <c r="A1681" s="479">
        <v>6833.7</v>
      </c>
      <c r="B1681" s="476">
        <v>110656</v>
      </c>
      <c r="C1681" s="476">
        <v>110674</v>
      </c>
      <c r="D1681" s="476">
        <v>110691</v>
      </c>
      <c r="E1681" s="476">
        <v>110708</v>
      </c>
      <c r="F1681" s="476">
        <v>110726</v>
      </c>
      <c r="G1681" s="476">
        <v>110743</v>
      </c>
      <c r="H1681" s="476">
        <v>110760</v>
      </c>
      <c r="I1681" s="476">
        <v>110777</v>
      </c>
      <c r="J1681" s="476">
        <v>110795</v>
      </c>
      <c r="K1681" s="476">
        <v>110812</v>
      </c>
    </row>
    <row r="1682" spans="1:11">
      <c r="A1682" s="479">
        <v>6833.8</v>
      </c>
      <c r="B1682" s="476">
        <v>110829</v>
      </c>
      <c r="C1682" s="476">
        <v>110847</v>
      </c>
      <c r="D1682" s="476">
        <v>110864</v>
      </c>
      <c r="E1682" s="476">
        <v>110881</v>
      </c>
      <c r="F1682" s="476">
        <v>110899</v>
      </c>
      <c r="G1682" s="476">
        <v>110916</v>
      </c>
      <c r="H1682" s="476">
        <v>110933</v>
      </c>
      <c r="I1682" s="476">
        <v>110951</v>
      </c>
      <c r="J1682" s="476">
        <v>110968</v>
      </c>
      <c r="K1682" s="476">
        <v>110985</v>
      </c>
    </row>
    <row r="1683" spans="1:11">
      <c r="A1683" s="479">
        <v>6833.9</v>
      </c>
      <c r="B1683" s="476">
        <v>111003</v>
      </c>
      <c r="C1683" s="476">
        <v>111020</v>
      </c>
      <c r="D1683" s="476">
        <v>111037</v>
      </c>
      <c r="E1683" s="476">
        <v>111055</v>
      </c>
      <c r="F1683" s="476">
        <v>111072</v>
      </c>
      <c r="G1683" s="476">
        <v>111089</v>
      </c>
      <c r="H1683" s="476">
        <v>111107</v>
      </c>
      <c r="I1683" s="476">
        <v>111124</v>
      </c>
      <c r="J1683" s="476">
        <v>111141</v>
      </c>
      <c r="K1683" s="476">
        <v>111159</v>
      </c>
    </row>
    <row r="1684" spans="1:11">
      <c r="A1684" s="479">
        <v>6834</v>
      </c>
      <c r="B1684" s="476">
        <v>111176</v>
      </c>
      <c r="C1684" s="476">
        <v>111194</v>
      </c>
      <c r="D1684" s="476">
        <v>111211</v>
      </c>
      <c r="E1684" s="476">
        <v>111229</v>
      </c>
      <c r="F1684" s="476">
        <v>111246</v>
      </c>
      <c r="G1684" s="476">
        <v>111264</v>
      </c>
      <c r="H1684" s="476">
        <v>111281</v>
      </c>
      <c r="I1684" s="476">
        <v>111299</v>
      </c>
      <c r="J1684" s="476">
        <v>111316</v>
      </c>
      <c r="K1684" s="476">
        <v>111334</v>
      </c>
    </row>
    <row r="1685" spans="1:11">
      <c r="A1685" s="479">
        <v>6834.1</v>
      </c>
      <c r="B1685" s="476">
        <v>111351</v>
      </c>
      <c r="C1685" s="476">
        <v>111369</v>
      </c>
      <c r="D1685" s="476">
        <v>111386</v>
      </c>
      <c r="E1685" s="476">
        <v>111404</v>
      </c>
      <c r="F1685" s="476">
        <v>111421</v>
      </c>
      <c r="G1685" s="476">
        <v>111439</v>
      </c>
      <c r="H1685" s="476">
        <v>111456</v>
      </c>
      <c r="I1685" s="476">
        <v>111474</v>
      </c>
      <c r="J1685" s="476">
        <v>111491</v>
      </c>
      <c r="K1685" s="476">
        <v>111509</v>
      </c>
    </row>
    <row r="1686" spans="1:11">
      <c r="A1686" s="479">
        <v>6834.2</v>
      </c>
      <c r="B1686" s="476">
        <v>111526</v>
      </c>
      <c r="C1686" s="476">
        <v>111544</v>
      </c>
      <c r="D1686" s="476">
        <v>111561</v>
      </c>
      <c r="E1686" s="476">
        <v>111579</v>
      </c>
      <c r="F1686" s="476">
        <v>111596</v>
      </c>
      <c r="G1686" s="476">
        <v>111614</v>
      </c>
      <c r="H1686" s="476">
        <v>111632</v>
      </c>
      <c r="I1686" s="476">
        <v>111649</v>
      </c>
      <c r="J1686" s="476">
        <v>111667</v>
      </c>
      <c r="K1686" s="476">
        <v>111684</v>
      </c>
    </row>
    <row r="1687" spans="1:11">
      <c r="A1687" s="479">
        <v>6834.3</v>
      </c>
      <c r="B1687" s="476">
        <v>111702</v>
      </c>
      <c r="C1687" s="476">
        <v>111719</v>
      </c>
      <c r="D1687" s="476">
        <v>111737</v>
      </c>
      <c r="E1687" s="476">
        <v>111754</v>
      </c>
      <c r="F1687" s="476">
        <v>111772</v>
      </c>
      <c r="G1687" s="476">
        <v>111789</v>
      </c>
      <c r="H1687" s="476">
        <v>111807</v>
      </c>
      <c r="I1687" s="476">
        <v>111824</v>
      </c>
      <c r="J1687" s="476">
        <v>111842</v>
      </c>
      <c r="K1687" s="476">
        <v>111859</v>
      </c>
    </row>
    <row r="1688" spans="1:11">
      <c r="A1688" s="479">
        <v>6834.4</v>
      </c>
      <c r="B1688" s="476">
        <v>111877</v>
      </c>
      <c r="C1688" s="476">
        <v>111894</v>
      </c>
      <c r="D1688" s="476">
        <v>111912</v>
      </c>
      <c r="E1688" s="476">
        <v>111929</v>
      </c>
      <c r="F1688" s="476">
        <v>111947</v>
      </c>
      <c r="G1688" s="476">
        <v>111964</v>
      </c>
      <c r="H1688" s="476">
        <v>111982</v>
      </c>
      <c r="I1688" s="476">
        <v>111999</v>
      </c>
      <c r="J1688" s="476">
        <v>112017</v>
      </c>
      <c r="K1688" s="476">
        <v>112034</v>
      </c>
    </row>
    <row r="1689" spans="1:11">
      <c r="A1689" s="479">
        <v>6834.5</v>
      </c>
      <c r="B1689" s="476">
        <v>112052</v>
      </c>
      <c r="C1689" s="476">
        <v>112069</v>
      </c>
      <c r="D1689" s="476">
        <v>112087</v>
      </c>
      <c r="E1689" s="476">
        <v>112104</v>
      </c>
      <c r="F1689" s="476">
        <v>112122</v>
      </c>
      <c r="G1689" s="476">
        <v>112140</v>
      </c>
      <c r="H1689" s="476">
        <v>112157</v>
      </c>
      <c r="I1689" s="476">
        <v>112175</v>
      </c>
      <c r="J1689" s="476">
        <v>112192</v>
      </c>
      <c r="K1689" s="476">
        <v>112210</v>
      </c>
    </row>
    <row r="1690" spans="1:11">
      <c r="A1690" s="479">
        <v>6834.6</v>
      </c>
      <c r="B1690" s="476">
        <v>112227</v>
      </c>
      <c r="C1690" s="476">
        <v>112245</v>
      </c>
      <c r="D1690" s="476">
        <v>112262</v>
      </c>
      <c r="E1690" s="476">
        <v>112280</v>
      </c>
      <c r="F1690" s="476">
        <v>112297</v>
      </c>
      <c r="G1690" s="476">
        <v>112315</v>
      </c>
      <c r="H1690" s="476">
        <v>112332</v>
      </c>
      <c r="I1690" s="476">
        <v>112350</v>
      </c>
      <c r="J1690" s="476">
        <v>112367</v>
      </c>
      <c r="K1690" s="476">
        <v>112335</v>
      </c>
    </row>
    <row r="1691" spans="1:11">
      <c r="A1691" s="479">
        <v>6834.7</v>
      </c>
      <c r="B1691" s="476">
        <v>112402</v>
      </c>
      <c r="C1691" s="476">
        <v>112420</v>
      </c>
      <c r="D1691" s="476">
        <v>112437</v>
      </c>
      <c r="E1691" s="476">
        <v>112455</v>
      </c>
      <c r="F1691" s="476">
        <v>112472</v>
      </c>
      <c r="G1691" s="476">
        <v>112490</v>
      </c>
      <c r="H1691" s="476">
        <v>112507</v>
      </c>
      <c r="I1691" s="476">
        <v>112525</v>
      </c>
      <c r="J1691" s="476">
        <v>112542</v>
      </c>
      <c r="K1691" s="476">
        <v>112560</v>
      </c>
    </row>
    <row r="1692" spans="1:11">
      <c r="A1692" s="479">
        <v>6834.8</v>
      </c>
      <c r="B1692" s="476">
        <v>112577</v>
      </c>
      <c r="C1692" s="476">
        <v>112595</v>
      </c>
      <c r="D1692" s="476">
        <v>112612</v>
      </c>
      <c r="E1692" s="476">
        <v>112630</v>
      </c>
      <c r="F1692" s="476">
        <v>112648</v>
      </c>
      <c r="G1692" s="476">
        <v>112665</v>
      </c>
      <c r="H1692" s="476">
        <v>112683</v>
      </c>
      <c r="I1692" s="476">
        <v>112700</v>
      </c>
      <c r="J1692" s="476">
        <v>112718</v>
      </c>
      <c r="K1692" s="476">
        <v>112735</v>
      </c>
    </row>
    <row r="1693" spans="1:11">
      <c r="A1693" s="479">
        <v>6834.9</v>
      </c>
      <c r="B1693" s="476">
        <v>112753</v>
      </c>
      <c r="C1693" s="476">
        <v>112770</v>
      </c>
      <c r="D1693" s="476">
        <v>112788</v>
      </c>
      <c r="E1693" s="476">
        <v>112805</v>
      </c>
      <c r="F1693" s="476">
        <v>112823</v>
      </c>
      <c r="G1693" s="476">
        <v>112840</v>
      </c>
      <c r="H1693" s="476">
        <v>112858</v>
      </c>
      <c r="I1693" s="476">
        <v>112875</v>
      </c>
      <c r="J1693" s="476">
        <v>112893</v>
      </c>
      <c r="K1693" s="476">
        <v>112910</v>
      </c>
    </row>
    <row r="1694" spans="1:11">
      <c r="A1694" s="479">
        <v>6835</v>
      </c>
      <c r="B1694" s="476">
        <v>112928</v>
      </c>
      <c r="C1694" s="476">
        <v>112945</v>
      </c>
      <c r="D1694" s="476">
        <v>112963</v>
      </c>
      <c r="E1694" s="476">
        <v>112981</v>
      </c>
      <c r="F1694" s="476">
        <v>112999</v>
      </c>
      <c r="G1694" s="476">
        <v>113016</v>
      </c>
      <c r="H1694" s="476">
        <v>113034</v>
      </c>
      <c r="I1694" s="476">
        <v>113052</v>
      </c>
      <c r="J1694" s="476">
        <v>113069</v>
      </c>
      <c r="K1694" s="476">
        <v>113087</v>
      </c>
    </row>
    <row r="1695" spans="1:11">
      <c r="A1695" s="479">
        <v>6835.1</v>
      </c>
      <c r="B1695" s="476">
        <v>113105</v>
      </c>
      <c r="C1695" s="476">
        <v>113123</v>
      </c>
      <c r="D1695" s="476">
        <v>113140</v>
      </c>
      <c r="E1695" s="476">
        <v>113158</v>
      </c>
      <c r="F1695" s="476">
        <v>113176</v>
      </c>
      <c r="G1695" s="476">
        <v>113193</v>
      </c>
      <c r="H1695" s="476">
        <v>113211</v>
      </c>
      <c r="I1695" s="476">
        <v>113229</v>
      </c>
      <c r="J1695" s="476">
        <v>113246</v>
      </c>
      <c r="K1695" s="476">
        <v>113261</v>
      </c>
    </row>
    <row r="1696" spans="1:11">
      <c r="A1696" s="479">
        <v>6835.2</v>
      </c>
      <c r="B1696" s="476">
        <v>113282</v>
      </c>
      <c r="C1696" s="476">
        <v>113300</v>
      </c>
      <c r="D1696" s="476">
        <v>113317</v>
      </c>
      <c r="E1696" s="476">
        <v>113335</v>
      </c>
      <c r="F1696" s="476">
        <v>113353</v>
      </c>
      <c r="G1696" s="476">
        <v>113370</v>
      </c>
      <c r="H1696" s="476">
        <v>113388</v>
      </c>
      <c r="I1696" s="476">
        <v>113406</v>
      </c>
      <c r="J1696" s="476">
        <v>113423</v>
      </c>
      <c r="K1696" s="476">
        <v>113441</v>
      </c>
    </row>
    <row r="1697" spans="1:11">
      <c r="A1697" s="479">
        <v>6835.3</v>
      </c>
      <c r="B1697" s="476">
        <v>113459</v>
      </c>
      <c r="C1697" s="476">
        <v>113477</v>
      </c>
      <c r="D1697" s="476">
        <v>113494</v>
      </c>
      <c r="E1697" s="476">
        <v>113512</v>
      </c>
      <c r="F1697" s="476">
        <v>113530</v>
      </c>
      <c r="G1697" s="476">
        <v>113547</v>
      </c>
      <c r="H1697" s="476">
        <v>113565</v>
      </c>
      <c r="I1697" s="476">
        <v>113583</v>
      </c>
      <c r="J1697" s="476">
        <v>113600</v>
      </c>
      <c r="K1697" s="476">
        <v>113618</v>
      </c>
    </row>
    <row r="1698" spans="1:11">
      <c r="A1698" s="479">
        <v>6835.4</v>
      </c>
      <c r="B1698" s="476">
        <v>113636</v>
      </c>
      <c r="C1698" s="476">
        <v>113654</v>
      </c>
      <c r="D1698" s="476">
        <v>113671</v>
      </c>
      <c r="E1698" s="476">
        <v>113689</v>
      </c>
      <c r="F1698" s="476">
        <v>113707</v>
      </c>
      <c r="G1698" s="476">
        <v>113724</v>
      </c>
      <c r="H1698" s="476">
        <v>113742</v>
      </c>
      <c r="I1698" s="476">
        <v>113760</v>
      </c>
      <c r="J1698" s="476">
        <v>113777</v>
      </c>
      <c r="K1698" s="476">
        <v>113795</v>
      </c>
    </row>
    <row r="1699" spans="1:11">
      <c r="A1699" s="479">
        <v>6835.5</v>
      </c>
      <c r="B1699" s="476">
        <v>113813</v>
      </c>
      <c r="C1699" s="476">
        <v>113831</v>
      </c>
      <c r="D1699" s="476">
        <v>113848</v>
      </c>
      <c r="E1699" s="476">
        <v>113866</v>
      </c>
      <c r="F1699" s="476">
        <v>113884</v>
      </c>
      <c r="G1699" s="476">
        <v>113901</v>
      </c>
      <c r="H1699" s="476">
        <v>113919</v>
      </c>
      <c r="I1699" s="476">
        <v>113937</v>
      </c>
      <c r="J1699" s="476">
        <v>113955</v>
      </c>
      <c r="K1699" s="476">
        <v>113972</v>
      </c>
    </row>
    <row r="1700" spans="1:11">
      <c r="A1700" s="479">
        <v>6835.6</v>
      </c>
      <c r="B1700" s="476">
        <v>113990</v>
      </c>
      <c r="C1700" s="476">
        <v>114008</v>
      </c>
      <c r="D1700" s="476">
        <v>114025</v>
      </c>
      <c r="E1700" s="476">
        <v>114043</v>
      </c>
      <c r="F1700" s="476">
        <v>114061</v>
      </c>
      <c r="G1700" s="476">
        <v>114078</v>
      </c>
      <c r="H1700" s="476">
        <v>114096</v>
      </c>
      <c r="I1700" s="476">
        <v>114114</v>
      </c>
      <c r="J1700" s="476">
        <v>114132</v>
      </c>
      <c r="K1700" s="476">
        <v>114149</v>
      </c>
    </row>
    <row r="1701" spans="1:11">
      <c r="A1701" s="479">
        <v>6835.7</v>
      </c>
      <c r="B1701" s="476">
        <v>114167</v>
      </c>
      <c r="C1701" s="476">
        <v>114185</v>
      </c>
      <c r="D1701" s="476">
        <v>114202</v>
      </c>
      <c r="E1701" s="476">
        <v>114220</v>
      </c>
      <c r="F1701" s="476">
        <v>114238</v>
      </c>
      <c r="G1701" s="476">
        <v>114255</v>
      </c>
      <c r="H1701" s="476">
        <v>114273</v>
      </c>
      <c r="I1701" s="476">
        <v>114291</v>
      </c>
      <c r="J1701" s="476">
        <v>114309</v>
      </c>
      <c r="K1701" s="476">
        <v>114326</v>
      </c>
    </row>
    <row r="1702" spans="1:11">
      <c r="A1702" s="479">
        <v>6835.8</v>
      </c>
      <c r="B1702" s="476">
        <v>114344</v>
      </c>
      <c r="C1702" s="476">
        <v>114362</v>
      </c>
      <c r="D1702" s="476">
        <v>114379</v>
      </c>
      <c r="E1702" s="476">
        <v>114397</v>
      </c>
      <c r="F1702" s="476">
        <v>114415</v>
      </c>
      <c r="G1702" s="476">
        <v>114432</v>
      </c>
      <c r="H1702" s="476">
        <v>114450</v>
      </c>
      <c r="I1702" s="476">
        <v>114468</v>
      </c>
      <c r="J1702" s="476">
        <v>114486</v>
      </c>
      <c r="K1702" s="476">
        <v>114503</v>
      </c>
    </row>
    <row r="1703" spans="1:11">
      <c r="A1703" s="479">
        <v>6835.9</v>
      </c>
      <c r="B1703" s="476">
        <v>114521</v>
      </c>
      <c r="C1703" s="476">
        <v>114539</v>
      </c>
      <c r="D1703" s="476">
        <v>114556</v>
      </c>
      <c r="E1703" s="476">
        <v>114574</v>
      </c>
      <c r="F1703" s="476">
        <v>114592</v>
      </c>
      <c r="G1703" s="476">
        <v>114609</v>
      </c>
      <c r="H1703" s="476">
        <v>114627</v>
      </c>
      <c r="I1703" s="476">
        <v>114645</v>
      </c>
      <c r="J1703" s="476">
        <v>114663</v>
      </c>
      <c r="K1703" s="476">
        <v>114680</v>
      </c>
    </row>
    <row r="1704" spans="1:11">
      <c r="A1704" s="479">
        <v>6836</v>
      </c>
      <c r="B1704" s="476">
        <v>114698</v>
      </c>
      <c r="C1704" s="476">
        <v>114716</v>
      </c>
      <c r="D1704" s="476">
        <v>114734</v>
      </c>
      <c r="E1704" s="476">
        <v>114752</v>
      </c>
      <c r="F1704" s="476">
        <v>114770</v>
      </c>
      <c r="G1704" s="476">
        <v>114787</v>
      </c>
      <c r="H1704" s="476">
        <v>114805</v>
      </c>
      <c r="I1704" s="476">
        <v>114823</v>
      </c>
      <c r="J1704" s="476">
        <v>114841</v>
      </c>
      <c r="K1704" s="476">
        <v>114859</v>
      </c>
    </row>
    <row r="1705" spans="1:11">
      <c r="A1705" s="479">
        <v>6836.1</v>
      </c>
      <c r="B1705" s="476">
        <v>114877</v>
      </c>
      <c r="C1705" s="476">
        <v>114895</v>
      </c>
      <c r="D1705" s="476">
        <v>114913</v>
      </c>
      <c r="E1705" s="476">
        <v>114930</v>
      </c>
      <c r="F1705" s="476">
        <v>114948</v>
      </c>
      <c r="G1705" s="476">
        <v>114966</v>
      </c>
      <c r="H1705" s="476">
        <v>114984</v>
      </c>
      <c r="I1705" s="476">
        <v>115002</v>
      </c>
      <c r="J1705" s="476">
        <v>115020</v>
      </c>
      <c r="K1705" s="476">
        <v>115038</v>
      </c>
    </row>
    <row r="1706" spans="1:11">
      <c r="A1706" s="479">
        <v>6836.2</v>
      </c>
      <c r="B1706" s="476">
        <v>115056</v>
      </c>
      <c r="C1706" s="476">
        <v>115074</v>
      </c>
      <c r="D1706" s="476">
        <v>115091</v>
      </c>
      <c r="E1706" s="476">
        <v>115109</v>
      </c>
      <c r="F1706" s="476">
        <v>115127</v>
      </c>
      <c r="G1706" s="476">
        <v>115145</v>
      </c>
      <c r="H1706" s="476">
        <v>115163</v>
      </c>
      <c r="I1706" s="476">
        <v>115181</v>
      </c>
      <c r="J1706" s="476">
        <v>115199</v>
      </c>
      <c r="K1706" s="476">
        <v>115217</v>
      </c>
    </row>
    <row r="1707" spans="1:11">
      <c r="A1707" s="479">
        <v>6836.3</v>
      </c>
      <c r="B1707" s="476">
        <v>115235</v>
      </c>
      <c r="C1707" s="476">
        <v>115252</v>
      </c>
      <c r="D1707" s="476">
        <v>115270</v>
      </c>
      <c r="E1707" s="476">
        <v>115288</v>
      </c>
      <c r="F1707" s="476">
        <v>115306</v>
      </c>
      <c r="G1707" s="476">
        <v>115324</v>
      </c>
      <c r="H1707" s="476">
        <v>115342</v>
      </c>
      <c r="I1707" s="476">
        <v>115360</v>
      </c>
      <c r="J1707" s="476">
        <v>115378</v>
      </c>
      <c r="K1707" s="476">
        <v>115395</v>
      </c>
    </row>
    <row r="1708" spans="1:11">
      <c r="A1708" s="479">
        <v>6836.4</v>
      </c>
      <c r="B1708" s="476">
        <v>115413</v>
      </c>
      <c r="C1708" s="476">
        <v>115431</v>
      </c>
      <c r="D1708" s="476">
        <v>115449</v>
      </c>
      <c r="E1708" s="476">
        <v>115467</v>
      </c>
      <c r="F1708" s="476">
        <v>115485</v>
      </c>
      <c r="G1708" s="476">
        <v>115503</v>
      </c>
      <c r="H1708" s="476">
        <v>115521</v>
      </c>
      <c r="I1708" s="476">
        <v>115539</v>
      </c>
      <c r="J1708" s="476">
        <v>115556</v>
      </c>
      <c r="K1708" s="476">
        <v>115574</v>
      </c>
    </row>
    <row r="1709" spans="1:11">
      <c r="A1709" s="479">
        <v>6836.5</v>
      </c>
      <c r="B1709" s="476">
        <v>115592</v>
      </c>
      <c r="C1709" s="476">
        <v>115610</v>
      </c>
      <c r="D1709" s="476">
        <v>115628</v>
      </c>
      <c r="E1709" s="476">
        <v>115646</v>
      </c>
      <c r="F1709" s="476">
        <v>115664</v>
      </c>
      <c r="G1709" s="476">
        <v>115682</v>
      </c>
      <c r="H1709" s="476">
        <v>115699</v>
      </c>
      <c r="I1709" s="476">
        <v>115717</v>
      </c>
      <c r="J1709" s="476">
        <v>115735</v>
      </c>
      <c r="K1709" s="476">
        <v>115753</v>
      </c>
    </row>
    <row r="1710" spans="1:11">
      <c r="A1710" s="479">
        <v>6836.6</v>
      </c>
      <c r="B1710" s="476">
        <v>115771</v>
      </c>
      <c r="C1710" s="476">
        <v>115789</v>
      </c>
      <c r="D1710" s="476">
        <v>115807</v>
      </c>
      <c r="E1710" s="476">
        <v>115825</v>
      </c>
      <c r="F1710" s="476">
        <v>115843</v>
      </c>
      <c r="G1710" s="476">
        <v>115860</v>
      </c>
      <c r="H1710" s="476">
        <v>115878</v>
      </c>
      <c r="I1710" s="476">
        <v>115896</v>
      </c>
      <c r="J1710" s="476">
        <v>115914</v>
      </c>
      <c r="K1710" s="476">
        <v>115932</v>
      </c>
    </row>
    <row r="1711" spans="1:11">
      <c r="A1711" s="479">
        <v>6836.7</v>
      </c>
      <c r="B1711" s="476">
        <v>115950</v>
      </c>
      <c r="C1711" s="476">
        <v>115968</v>
      </c>
      <c r="D1711" s="476">
        <v>115986</v>
      </c>
      <c r="E1711" s="476">
        <v>116004</v>
      </c>
      <c r="F1711" s="476">
        <v>116021</v>
      </c>
      <c r="G1711" s="476">
        <v>116039</v>
      </c>
      <c r="H1711" s="476">
        <v>116057</v>
      </c>
      <c r="I1711" s="476">
        <v>116075</v>
      </c>
      <c r="J1711" s="476">
        <v>116093</v>
      </c>
      <c r="K1711" s="476">
        <v>116111</v>
      </c>
    </row>
    <row r="1712" spans="1:11">
      <c r="A1712" s="479">
        <v>6836.8</v>
      </c>
      <c r="B1712" s="476">
        <v>116129</v>
      </c>
      <c r="C1712" s="476">
        <v>116147</v>
      </c>
      <c r="D1712" s="476">
        <v>116164</v>
      </c>
      <c r="E1712" s="476">
        <v>116182</v>
      </c>
      <c r="F1712" s="476">
        <v>116200</v>
      </c>
      <c r="G1712" s="476">
        <v>116218</v>
      </c>
      <c r="H1712" s="476">
        <v>116236</v>
      </c>
      <c r="I1712" s="476">
        <v>116254</v>
      </c>
      <c r="J1712" s="476">
        <v>116272</v>
      </c>
      <c r="K1712" s="476">
        <v>116290</v>
      </c>
    </row>
    <row r="1713" spans="1:11">
      <c r="A1713" s="479">
        <v>6836.9</v>
      </c>
      <c r="B1713" s="476">
        <v>116308</v>
      </c>
      <c r="C1713" s="476">
        <v>116325</v>
      </c>
      <c r="D1713" s="476">
        <v>116343</v>
      </c>
      <c r="E1713" s="476">
        <v>116361</v>
      </c>
      <c r="F1713" s="476">
        <v>116379</v>
      </c>
      <c r="G1713" s="476">
        <v>116397</v>
      </c>
      <c r="H1713" s="476">
        <v>116415</v>
      </c>
      <c r="I1713" s="476">
        <v>116433</v>
      </c>
      <c r="J1713" s="476">
        <v>116451</v>
      </c>
      <c r="K1713" s="476">
        <v>116468</v>
      </c>
    </row>
    <row r="1714" spans="1:11">
      <c r="A1714" s="479">
        <v>6837</v>
      </c>
      <c r="B1714" s="476">
        <v>116486</v>
      </c>
      <c r="C1714" s="476">
        <v>116504</v>
      </c>
      <c r="D1714" s="476">
        <v>116523</v>
      </c>
      <c r="E1714" s="476">
        <v>116541</v>
      </c>
      <c r="F1714" s="476">
        <v>116559</v>
      </c>
      <c r="G1714" s="476">
        <v>116577</v>
      </c>
      <c r="H1714" s="476">
        <v>116595</v>
      </c>
      <c r="I1714" s="476">
        <v>116613</v>
      </c>
      <c r="J1714" s="476">
        <v>116631</v>
      </c>
      <c r="K1714" s="476">
        <v>116649</v>
      </c>
    </row>
    <row r="1715" spans="1:11">
      <c r="A1715" s="479">
        <v>6837.1</v>
      </c>
      <c r="B1715" s="476">
        <v>116667</v>
      </c>
      <c r="C1715" s="476">
        <v>116685</v>
      </c>
      <c r="D1715" s="476">
        <v>116703</v>
      </c>
      <c r="E1715" s="476">
        <v>116721</v>
      </c>
      <c r="F1715" s="476">
        <v>116739</v>
      </c>
      <c r="G1715" s="476">
        <v>116757</v>
      </c>
      <c r="H1715" s="476">
        <v>116775</v>
      </c>
      <c r="I1715" s="476">
        <v>116793</v>
      </c>
      <c r="J1715" s="476">
        <v>116812</v>
      </c>
      <c r="K1715" s="476">
        <v>116830</v>
      </c>
    </row>
    <row r="1716" spans="1:11">
      <c r="A1716" s="479">
        <v>6837.2</v>
      </c>
      <c r="B1716" s="476">
        <v>116848</v>
      </c>
      <c r="C1716" s="476">
        <v>116866</v>
      </c>
      <c r="D1716" s="476">
        <v>116884</v>
      </c>
      <c r="E1716" s="476">
        <v>116902</v>
      </c>
      <c r="F1716" s="476">
        <v>116920</v>
      </c>
      <c r="G1716" s="476">
        <v>116938</v>
      </c>
      <c r="H1716" s="476">
        <v>116956</v>
      </c>
      <c r="I1716" s="476">
        <v>116974</v>
      </c>
      <c r="J1716" s="476">
        <v>116992</v>
      </c>
      <c r="K1716" s="476">
        <v>117010</v>
      </c>
    </row>
    <row r="1717" spans="1:11">
      <c r="A1717" s="479">
        <v>6837.3</v>
      </c>
      <c r="B1717" s="476">
        <v>117028</v>
      </c>
      <c r="C1717" s="476">
        <v>117046</v>
      </c>
      <c r="D1717" s="476">
        <v>117064</v>
      </c>
      <c r="E1717" s="476">
        <v>117082</v>
      </c>
      <c r="F1717" s="476">
        <v>117101</v>
      </c>
      <c r="G1717" s="476">
        <v>117119</v>
      </c>
      <c r="H1717" s="476">
        <v>117137</v>
      </c>
      <c r="I1717" s="476">
        <v>117155</v>
      </c>
      <c r="J1717" s="476">
        <v>117173</v>
      </c>
      <c r="K1717" s="476">
        <v>117191</v>
      </c>
    </row>
    <row r="1718" spans="1:11">
      <c r="A1718" s="479">
        <v>6837.4</v>
      </c>
      <c r="B1718" s="476">
        <v>117209</v>
      </c>
      <c r="C1718" s="476">
        <v>117227</v>
      </c>
      <c r="D1718" s="476">
        <v>117245</v>
      </c>
      <c r="E1718" s="476">
        <v>117263</v>
      </c>
      <c r="F1718" s="476">
        <v>117281</v>
      </c>
      <c r="G1718" s="476">
        <v>117299</v>
      </c>
      <c r="H1718" s="476">
        <v>117317</v>
      </c>
      <c r="I1718" s="476">
        <v>117335</v>
      </c>
      <c r="J1718" s="476">
        <v>117353</v>
      </c>
      <c r="K1718" s="476">
        <v>117371</v>
      </c>
    </row>
    <row r="1719" spans="1:11">
      <c r="A1719" s="479">
        <v>6837.5</v>
      </c>
      <c r="B1719" s="476">
        <v>117390</v>
      </c>
      <c r="C1719" s="476">
        <v>117408</v>
      </c>
      <c r="D1719" s="476">
        <v>117426</v>
      </c>
      <c r="E1719" s="476">
        <v>117444</v>
      </c>
      <c r="F1719" s="476">
        <v>117462</v>
      </c>
      <c r="G1719" s="476">
        <v>117480</v>
      </c>
      <c r="H1719" s="476">
        <v>117498</v>
      </c>
      <c r="I1719" s="476">
        <v>117516</v>
      </c>
      <c r="J1719" s="476">
        <v>117534</v>
      </c>
      <c r="K1719" s="476">
        <v>117552</v>
      </c>
    </row>
    <row r="1720" spans="1:11">
      <c r="A1720" s="479">
        <v>6837.6</v>
      </c>
      <c r="B1720" s="476">
        <v>117570</v>
      </c>
      <c r="C1720" s="476">
        <v>117588</v>
      </c>
      <c r="D1720" s="476">
        <v>117606</v>
      </c>
      <c r="E1720" s="476">
        <v>117624</v>
      </c>
      <c r="F1720" s="476">
        <v>117642</v>
      </c>
      <c r="G1720" s="476">
        <v>117660</v>
      </c>
      <c r="H1720" s="476">
        <v>117679</v>
      </c>
      <c r="I1720" s="476">
        <v>117697</v>
      </c>
      <c r="J1720" s="476">
        <v>117715</v>
      </c>
      <c r="K1720" s="476">
        <v>117733</v>
      </c>
    </row>
    <row r="1721" spans="1:11">
      <c r="A1721" s="479">
        <v>6837.7</v>
      </c>
      <c r="B1721" s="476">
        <v>117751</v>
      </c>
      <c r="C1721" s="476">
        <v>117769</v>
      </c>
      <c r="D1721" s="476">
        <v>117787</v>
      </c>
      <c r="E1721" s="476">
        <v>117805</v>
      </c>
      <c r="F1721" s="476">
        <v>117823</v>
      </c>
      <c r="G1721" s="476">
        <v>117841</v>
      </c>
      <c r="H1721" s="476">
        <v>117859</v>
      </c>
      <c r="I1721" s="476">
        <v>117877</v>
      </c>
      <c r="J1721" s="476">
        <v>117895</v>
      </c>
      <c r="K1721" s="476">
        <v>117913</v>
      </c>
    </row>
    <row r="1722" spans="1:11">
      <c r="A1722" s="479">
        <v>6837.8</v>
      </c>
      <c r="B1722" s="476">
        <v>117931</v>
      </c>
      <c r="C1722" s="476">
        <v>117949</v>
      </c>
      <c r="D1722" s="476">
        <v>117968</v>
      </c>
      <c r="E1722" s="476">
        <v>117986</v>
      </c>
      <c r="F1722" s="476">
        <v>118004</v>
      </c>
      <c r="G1722" s="476">
        <v>118022</v>
      </c>
      <c r="H1722" s="476">
        <v>118040</v>
      </c>
      <c r="I1722" s="476">
        <v>118058</v>
      </c>
      <c r="J1722" s="476">
        <v>118076</v>
      </c>
      <c r="K1722" s="476">
        <v>118094</v>
      </c>
    </row>
    <row r="1723" spans="1:11">
      <c r="A1723" s="479">
        <v>6837.9</v>
      </c>
      <c r="B1723" s="476">
        <v>118112</v>
      </c>
      <c r="C1723" s="476">
        <v>118130</v>
      </c>
      <c r="D1723" s="476">
        <v>118148</v>
      </c>
      <c r="E1723" s="476">
        <v>118166</v>
      </c>
      <c r="F1723" s="476">
        <v>118184</v>
      </c>
      <c r="G1723" s="476">
        <v>118202</v>
      </c>
      <c r="H1723" s="476">
        <v>118220</v>
      </c>
      <c r="I1723" s="476">
        <v>118239</v>
      </c>
      <c r="J1723" s="476">
        <v>118257</v>
      </c>
      <c r="K1723" s="476">
        <v>118275</v>
      </c>
    </row>
    <row r="1724" spans="1:11">
      <c r="A1724" s="479">
        <v>6838</v>
      </c>
      <c r="B1724" s="476">
        <v>118293</v>
      </c>
      <c r="C1724" s="476">
        <v>118311</v>
      </c>
      <c r="D1724" s="476">
        <v>118329</v>
      </c>
      <c r="E1724" s="476">
        <v>118347</v>
      </c>
      <c r="F1724" s="476">
        <v>118366</v>
      </c>
      <c r="G1724" s="476">
        <v>118384</v>
      </c>
      <c r="H1724" s="476">
        <v>118402</v>
      </c>
      <c r="I1724" s="476">
        <v>118420</v>
      </c>
      <c r="J1724" s="476">
        <v>118439</v>
      </c>
      <c r="K1724" s="476">
        <v>118457</v>
      </c>
    </row>
    <row r="1725" spans="1:11">
      <c r="A1725" s="479">
        <v>6838.1</v>
      </c>
      <c r="B1725" s="476">
        <v>118475</v>
      </c>
      <c r="C1725" s="476">
        <v>118493</v>
      </c>
      <c r="D1725" s="476">
        <v>118512</v>
      </c>
      <c r="E1725" s="476">
        <v>118530</v>
      </c>
      <c r="F1725" s="476">
        <v>118548</v>
      </c>
      <c r="G1725" s="476">
        <v>118566</v>
      </c>
      <c r="H1725" s="476">
        <v>118585</v>
      </c>
      <c r="I1725" s="476">
        <v>118603</v>
      </c>
      <c r="J1725" s="476">
        <v>118621</v>
      </c>
      <c r="K1725" s="476">
        <v>118639</v>
      </c>
    </row>
    <row r="1726" spans="1:11">
      <c r="A1726" s="479">
        <v>6838.2</v>
      </c>
      <c r="B1726" s="476">
        <v>118657</v>
      </c>
      <c r="C1726" s="476">
        <v>118676</v>
      </c>
      <c r="D1726" s="476">
        <v>118694</v>
      </c>
      <c r="E1726" s="476">
        <v>118712</v>
      </c>
      <c r="F1726" s="476">
        <v>118730</v>
      </c>
      <c r="G1726" s="476">
        <v>118749</v>
      </c>
      <c r="H1726" s="476">
        <v>118767</v>
      </c>
      <c r="I1726" s="476">
        <v>118785</v>
      </c>
      <c r="J1726" s="476">
        <v>118803</v>
      </c>
      <c r="K1726" s="476">
        <v>118822</v>
      </c>
    </row>
    <row r="1727" spans="1:11">
      <c r="A1727" s="479">
        <v>6838.3</v>
      </c>
      <c r="B1727" s="476">
        <v>118840</v>
      </c>
      <c r="C1727" s="476">
        <v>118858</v>
      </c>
      <c r="D1727" s="476">
        <v>118876</v>
      </c>
      <c r="E1727" s="476">
        <v>118895</v>
      </c>
      <c r="F1727" s="476">
        <v>118913</v>
      </c>
      <c r="G1727" s="476">
        <v>118931</v>
      </c>
      <c r="H1727" s="476">
        <v>118949</v>
      </c>
      <c r="I1727" s="476">
        <v>118968</v>
      </c>
      <c r="J1727" s="476">
        <v>118986</v>
      </c>
      <c r="K1727" s="476">
        <v>119005</v>
      </c>
    </row>
    <row r="1728" spans="1:11">
      <c r="A1728" s="479">
        <v>6838.4</v>
      </c>
      <c r="B1728" s="476">
        <v>119022</v>
      </c>
      <c r="C1728" s="476">
        <v>119041</v>
      </c>
      <c r="D1728" s="476">
        <v>119059</v>
      </c>
      <c r="E1728" s="476">
        <v>119077</v>
      </c>
      <c r="F1728" s="476">
        <v>119095</v>
      </c>
      <c r="G1728" s="476">
        <v>119113</v>
      </c>
      <c r="H1728" s="476">
        <v>119132</v>
      </c>
      <c r="I1728" s="476">
        <v>119150</v>
      </c>
      <c r="J1728" s="476">
        <v>119168</v>
      </c>
      <c r="K1728" s="476">
        <v>119186</v>
      </c>
    </row>
    <row r="1729" spans="1:11">
      <c r="A1729" s="479">
        <v>6838.5</v>
      </c>
      <c r="B1729" s="476">
        <v>119205</v>
      </c>
      <c r="C1729" s="476">
        <v>119223</v>
      </c>
      <c r="D1729" s="476">
        <v>119241</v>
      </c>
      <c r="E1729" s="476">
        <v>119259</v>
      </c>
      <c r="F1729" s="476">
        <v>119278</v>
      </c>
      <c r="G1729" s="476">
        <v>119296</v>
      </c>
      <c r="H1729" s="476">
        <v>119314</v>
      </c>
      <c r="I1729" s="476">
        <v>119332</v>
      </c>
      <c r="J1729" s="476">
        <v>119351</v>
      </c>
      <c r="K1729" s="476">
        <v>119369</v>
      </c>
    </row>
    <row r="1730" spans="1:11">
      <c r="A1730" s="479">
        <v>6838.6</v>
      </c>
      <c r="B1730" s="476">
        <v>119387</v>
      </c>
      <c r="C1730" s="476">
        <v>119405</v>
      </c>
      <c r="D1730" s="476">
        <v>119424</v>
      </c>
      <c r="E1730" s="476">
        <v>119442</v>
      </c>
      <c r="F1730" s="476">
        <v>119460</v>
      </c>
      <c r="G1730" s="476">
        <v>119478</v>
      </c>
      <c r="H1730" s="476">
        <v>119497</v>
      </c>
      <c r="I1730" s="476">
        <v>119515</v>
      </c>
      <c r="J1730" s="476">
        <v>119533</v>
      </c>
      <c r="K1730" s="476">
        <v>119551</v>
      </c>
    </row>
    <row r="1731" spans="1:11">
      <c r="A1731" s="479">
        <v>6838.7</v>
      </c>
      <c r="B1731" s="476">
        <v>119569</v>
      </c>
      <c r="C1731" s="476">
        <v>119588</v>
      </c>
      <c r="D1731" s="476">
        <v>119606</v>
      </c>
      <c r="E1731" s="476">
        <v>119624</v>
      </c>
      <c r="F1731" s="476">
        <v>119642</v>
      </c>
      <c r="G1731" s="476">
        <v>119661</v>
      </c>
      <c r="H1731" s="476">
        <v>119679</v>
      </c>
      <c r="I1731" s="476">
        <v>119697</v>
      </c>
      <c r="J1731" s="476">
        <v>119715</v>
      </c>
      <c r="K1731" s="476">
        <v>119733</v>
      </c>
    </row>
    <row r="1732" spans="1:11">
      <c r="A1732" s="479">
        <v>6838.8</v>
      </c>
      <c r="B1732" s="476">
        <v>119752</v>
      </c>
      <c r="C1732" s="476">
        <v>119770</v>
      </c>
      <c r="D1732" s="476">
        <v>119788</v>
      </c>
      <c r="E1732" s="476">
        <v>119807</v>
      </c>
      <c r="F1732" s="476">
        <v>119825</v>
      </c>
      <c r="G1732" s="476">
        <v>119843</v>
      </c>
      <c r="H1732" s="476">
        <v>119861</v>
      </c>
      <c r="I1732" s="476">
        <v>119880</v>
      </c>
      <c r="J1732" s="476">
        <v>119898</v>
      </c>
      <c r="K1732" s="476">
        <v>119915</v>
      </c>
    </row>
    <row r="1733" spans="1:11">
      <c r="A1733" s="479">
        <v>6838.9</v>
      </c>
      <c r="B1733" s="476">
        <v>119934</v>
      </c>
      <c r="C1733" s="476">
        <v>119953</v>
      </c>
      <c r="D1733" s="476">
        <v>119971</v>
      </c>
      <c r="E1733" s="476">
        <v>119989</v>
      </c>
      <c r="F1733" s="476">
        <v>120007</v>
      </c>
      <c r="G1733" s="476">
        <v>120025</v>
      </c>
      <c r="H1733" s="476">
        <v>120044</v>
      </c>
      <c r="I1733" s="476">
        <v>120062</v>
      </c>
      <c r="J1733" s="476">
        <v>120080</v>
      </c>
      <c r="K1733" s="476">
        <v>120098</v>
      </c>
    </row>
    <row r="1734" spans="1:11">
      <c r="A1734" s="479">
        <v>6839</v>
      </c>
      <c r="B1734" s="476">
        <v>120117</v>
      </c>
      <c r="C1734" s="476">
        <v>120135</v>
      </c>
      <c r="D1734" s="476">
        <v>120154</v>
      </c>
      <c r="E1734" s="476">
        <v>120172</v>
      </c>
      <c r="F1734" s="476">
        <v>120190</v>
      </c>
      <c r="G1734" s="476">
        <v>120209</v>
      </c>
      <c r="H1734" s="476">
        <v>120227</v>
      </c>
      <c r="I1734" s="476">
        <v>120246</v>
      </c>
      <c r="J1734" s="476">
        <v>120264</v>
      </c>
      <c r="K1734" s="476">
        <v>120282</v>
      </c>
    </row>
    <row r="1735" spans="1:11">
      <c r="A1735" s="479">
        <v>6839.1</v>
      </c>
      <c r="B1735" s="476">
        <v>120301</v>
      </c>
      <c r="C1735" s="476">
        <v>120319</v>
      </c>
      <c r="D1735" s="476">
        <v>120338</v>
      </c>
      <c r="E1735" s="476">
        <v>120356</v>
      </c>
      <c r="F1735" s="476">
        <v>120374</v>
      </c>
      <c r="G1735" s="476">
        <v>120393</v>
      </c>
      <c r="H1735" s="476">
        <v>120411</v>
      </c>
      <c r="I1735" s="476">
        <v>120430</v>
      </c>
      <c r="J1735" s="476">
        <v>120448</v>
      </c>
      <c r="K1735" s="476">
        <v>120467</v>
      </c>
    </row>
    <row r="1736" spans="1:11">
      <c r="A1736" s="479">
        <v>6839.2</v>
      </c>
      <c r="B1736" s="476">
        <v>120485</v>
      </c>
      <c r="C1736" s="476">
        <v>120503</v>
      </c>
      <c r="D1736" s="476">
        <v>120522</v>
      </c>
      <c r="E1736" s="476">
        <v>120540</v>
      </c>
      <c r="F1736" s="476">
        <v>120559</v>
      </c>
      <c r="G1736" s="476">
        <v>120577</v>
      </c>
      <c r="H1736" s="476">
        <v>120595</v>
      </c>
      <c r="I1736" s="476">
        <v>120614</v>
      </c>
      <c r="J1736" s="476">
        <v>120632</v>
      </c>
      <c r="K1736" s="476">
        <v>120651</v>
      </c>
    </row>
    <row r="1737" spans="1:11">
      <c r="A1737" s="479">
        <v>6839.3</v>
      </c>
      <c r="B1737" s="476">
        <v>120669</v>
      </c>
      <c r="C1737" s="476">
        <v>120688</v>
      </c>
      <c r="D1737" s="476">
        <v>120706</v>
      </c>
      <c r="E1737" s="476">
        <v>120724</v>
      </c>
      <c r="F1737" s="476">
        <v>120743</v>
      </c>
      <c r="G1737" s="476">
        <v>120761</v>
      </c>
      <c r="H1737" s="476">
        <v>120780</v>
      </c>
      <c r="I1737" s="476">
        <v>120798</v>
      </c>
      <c r="J1737" s="476">
        <v>120816</v>
      </c>
      <c r="K1737" s="476">
        <v>120835</v>
      </c>
    </row>
    <row r="1738" spans="1:11">
      <c r="A1738" s="479">
        <v>6839.4</v>
      </c>
      <c r="B1738" s="476">
        <v>120853</v>
      </c>
      <c r="C1738" s="476">
        <v>120872</v>
      </c>
      <c r="D1738" s="476">
        <v>120890</v>
      </c>
      <c r="E1738" s="476">
        <v>120908</v>
      </c>
      <c r="F1738" s="476">
        <v>120927</v>
      </c>
      <c r="G1738" s="476">
        <v>120945</v>
      </c>
      <c r="H1738" s="476">
        <v>120964</v>
      </c>
      <c r="I1738" s="476">
        <v>120982</v>
      </c>
      <c r="J1738" s="476">
        <v>121001</v>
      </c>
      <c r="K1738" s="476">
        <v>121019</v>
      </c>
    </row>
    <row r="1739" spans="1:11">
      <c r="A1739" s="479">
        <v>6839.5</v>
      </c>
      <c r="B1739" s="476">
        <v>121037</v>
      </c>
      <c r="C1739" s="476">
        <v>121056</v>
      </c>
      <c r="D1739" s="476">
        <v>121074</v>
      </c>
      <c r="E1739" s="476">
        <v>121093</v>
      </c>
      <c r="F1739" s="476">
        <v>121111</v>
      </c>
      <c r="G1739" s="476">
        <v>121129</v>
      </c>
      <c r="H1739" s="476">
        <v>121148</v>
      </c>
      <c r="I1739" s="476">
        <v>121166</v>
      </c>
      <c r="J1739" s="476">
        <v>121185</v>
      </c>
      <c r="K1739" s="476">
        <v>121203</v>
      </c>
    </row>
    <row r="1740" spans="1:11">
      <c r="A1740" s="479">
        <v>6839.6</v>
      </c>
      <c r="B1740" s="476">
        <v>121222</v>
      </c>
      <c r="C1740" s="476">
        <v>121240</v>
      </c>
      <c r="D1740" s="476">
        <v>121258</v>
      </c>
      <c r="E1740" s="476">
        <v>121277</v>
      </c>
      <c r="F1740" s="476">
        <v>121295</v>
      </c>
      <c r="G1740" s="476">
        <v>121314</v>
      </c>
      <c r="H1740" s="476">
        <v>121332</v>
      </c>
      <c r="I1740" s="476">
        <v>121350</v>
      </c>
      <c r="J1740" s="476">
        <v>121369</v>
      </c>
      <c r="K1740" s="476">
        <v>121387</v>
      </c>
    </row>
    <row r="1741" spans="1:11">
      <c r="A1741" s="479">
        <v>6839.7</v>
      </c>
      <c r="B1741" s="476">
        <v>121406</v>
      </c>
      <c r="C1741" s="476">
        <v>121424</v>
      </c>
      <c r="D1741" s="476">
        <v>121442</v>
      </c>
      <c r="E1741" s="476">
        <v>121461</v>
      </c>
      <c r="F1741" s="476">
        <v>121479</v>
      </c>
      <c r="G1741" s="476">
        <v>121498</v>
      </c>
      <c r="H1741" s="476">
        <v>121516</v>
      </c>
      <c r="I1741" s="476">
        <v>121535</v>
      </c>
      <c r="J1741" s="476">
        <v>121553</v>
      </c>
      <c r="K1741" s="476">
        <v>121571</v>
      </c>
    </row>
    <row r="1742" spans="1:11">
      <c r="A1742" s="479">
        <v>6839.8</v>
      </c>
      <c r="B1742" s="476">
        <v>121590</v>
      </c>
      <c r="C1742" s="476">
        <v>121608</v>
      </c>
      <c r="D1742" s="476">
        <v>121627</v>
      </c>
      <c r="E1742" s="476">
        <v>121645</v>
      </c>
      <c r="F1742" s="476">
        <v>121663</v>
      </c>
      <c r="G1742" s="476">
        <v>121682</v>
      </c>
      <c r="H1742" s="476">
        <v>121700</v>
      </c>
      <c r="I1742" s="476">
        <v>121719</v>
      </c>
      <c r="J1742" s="476">
        <v>121737</v>
      </c>
      <c r="K1742" s="476">
        <v>121756</v>
      </c>
    </row>
    <row r="1743" spans="1:11">
      <c r="A1743" s="479">
        <v>6839.9</v>
      </c>
      <c r="B1743" s="476">
        <v>121774</v>
      </c>
      <c r="C1743" s="476">
        <v>121792</v>
      </c>
      <c r="D1743" s="476">
        <v>121811</v>
      </c>
      <c r="E1743" s="476">
        <v>121829</v>
      </c>
      <c r="F1743" s="476">
        <v>121848</v>
      </c>
      <c r="G1743" s="476">
        <v>121866</v>
      </c>
      <c r="H1743" s="476">
        <v>121884</v>
      </c>
      <c r="I1743" s="476">
        <v>121903</v>
      </c>
      <c r="J1743" s="476">
        <v>121921</v>
      </c>
      <c r="K1743" s="476">
        <v>121940</v>
      </c>
    </row>
    <row r="1744" spans="1:11">
      <c r="A1744" s="479">
        <v>6840</v>
      </c>
      <c r="B1744" s="476">
        <v>121958</v>
      </c>
      <c r="C1744" s="476">
        <v>121977</v>
      </c>
      <c r="D1744" s="476">
        <v>121995</v>
      </c>
      <c r="E1744" s="476">
        <v>122014</v>
      </c>
      <c r="F1744" s="476">
        <v>122032</v>
      </c>
      <c r="G1744" s="476">
        <v>122051</v>
      </c>
      <c r="H1744" s="476">
        <v>122070</v>
      </c>
      <c r="I1744" s="476">
        <v>122088</v>
      </c>
      <c r="J1744" s="476">
        <v>122107</v>
      </c>
      <c r="K1744" s="476">
        <v>122125</v>
      </c>
    </row>
    <row r="1745" spans="1:11">
      <c r="A1745" s="479">
        <v>6840.1</v>
      </c>
      <c r="B1745" s="476">
        <v>122144</v>
      </c>
      <c r="C1745" s="476">
        <v>122163</v>
      </c>
      <c r="D1745" s="476">
        <v>122181</v>
      </c>
      <c r="E1745" s="476">
        <v>122200</v>
      </c>
      <c r="F1745" s="476">
        <v>122218</v>
      </c>
      <c r="G1745" s="476">
        <v>122237</v>
      </c>
      <c r="H1745" s="476">
        <v>122256</v>
      </c>
      <c r="I1745" s="476">
        <v>122274</v>
      </c>
      <c r="J1745" s="476">
        <v>122293</v>
      </c>
      <c r="K1745" s="476">
        <v>122311</v>
      </c>
    </row>
    <row r="1746" spans="1:11">
      <c r="A1746" s="479">
        <v>6840.2</v>
      </c>
      <c r="B1746" s="476">
        <v>122330</v>
      </c>
      <c r="C1746" s="476">
        <v>122349</v>
      </c>
      <c r="D1746" s="476">
        <v>122367</v>
      </c>
      <c r="E1746" s="476">
        <v>122386</v>
      </c>
      <c r="F1746" s="476">
        <v>122404</v>
      </c>
      <c r="G1746" s="476">
        <v>122423</v>
      </c>
      <c r="H1746" s="476">
        <v>122442</v>
      </c>
      <c r="I1746" s="476">
        <v>122460</v>
      </c>
      <c r="J1746" s="476">
        <v>122479</v>
      </c>
      <c r="K1746" s="476">
        <v>122497</v>
      </c>
    </row>
    <row r="1747" spans="1:11">
      <c r="A1747" s="479">
        <v>6840.3</v>
      </c>
      <c r="B1747" s="476">
        <v>122516</v>
      </c>
      <c r="C1747" s="476">
        <v>122535</v>
      </c>
      <c r="D1747" s="476">
        <v>122553</v>
      </c>
      <c r="E1747" s="476">
        <v>122572</v>
      </c>
      <c r="F1747" s="476">
        <v>122590</v>
      </c>
      <c r="G1747" s="476">
        <v>122609</v>
      </c>
      <c r="H1747" s="476">
        <v>122627</v>
      </c>
      <c r="I1747" s="476">
        <v>122646</v>
      </c>
      <c r="J1747" s="476">
        <v>122665</v>
      </c>
      <c r="K1747" s="476">
        <v>122683</v>
      </c>
    </row>
    <row r="1748" spans="1:11">
      <c r="A1748" s="479">
        <v>6840.4</v>
      </c>
      <c r="B1748" s="476">
        <v>122702</v>
      </c>
      <c r="C1748" s="476">
        <v>122720</v>
      </c>
      <c r="D1748" s="476">
        <v>122739</v>
      </c>
      <c r="E1748" s="476">
        <v>122758</v>
      </c>
      <c r="F1748" s="476">
        <v>122776</v>
      </c>
      <c r="G1748" s="476">
        <v>122795</v>
      </c>
      <c r="H1748" s="476">
        <v>122813</v>
      </c>
      <c r="I1748" s="476">
        <v>122832</v>
      </c>
      <c r="J1748" s="476">
        <v>122851</v>
      </c>
      <c r="K1748" s="476">
        <v>122869</v>
      </c>
    </row>
    <row r="1749" spans="1:11">
      <c r="A1749" s="479">
        <v>6840.5</v>
      </c>
      <c r="B1749" s="476">
        <v>122888</v>
      </c>
      <c r="C1749" s="476">
        <v>122906</v>
      </c>
      <c r="D1749" s="476">
        <v>122925</v>
      </c>
      <c r="E1749" s="476">
        <v>122944</v>
      </c>
      <c r="F1749" s="476">
        <v>122962</v>
      </c>
      <c r="G1749" s="476">
        <v>122981</v>
      </c>
      <c r="H1749" s="476">
        <v>122999</v>
      </c>
      <c r="I1749" s="476">
        <v>123018</v>
      </c>
      <c r="J1749" s="476">
        <v>123037</v>
      </c>
      <c r="K1749" s="476">
        <v>123055</v>
      </c>
    </row>
    <row r="1750" spans="1:11">
      <c r="A1750" s="479">
        <v>6840.6</v>
      </c>
      <c r="B1750" s="476">
        <v>123074</v>
      </c>
      <c r="C1750" s="476">
        <v>123092</v>
      </c>
      <c r="D1750" s="476">
        <v>123111</v>
      </c>
      <c r="E1750" s="476">
        <v>123130</v>
      </c>
      <c r="F1750" s="476">
        <v>123148</v>
      </c>
      <c r="G1750" s="476">
        <v>123167</v>
      </c>
      <c r="H1750" s="476">
        <v>123185</v>
      </c>
      <c r="I1750" s="476">
        <v>123204</v>
      </c>
      <c r="J1750" s="476">
        <v>123223</v>
      </c>
      <c r="K1750" s="476">
        <v>123241</v>
      </c>
    </row>
    <row r="1751" spans="1:11">
      <c r="A1751" s="479">
        <v>6840.7</v>
      </c>
      <c r="B1751" s="476">
        <v>123260</v>
      </c>
      <c r="C1751" s="476">
        <v>123278</v>
      </c>
      <c r="D1751" s="476">
        <v>123297</v>
      </c>
      <c r="E1751" s="476">
        <v>123316</v>
      </c>
      <c r="F1751" s="476">
        <v>123334</v>
      </c>
      <c r="G1751" s="476">
        <v>123353</v>
      </c>
      <c r="H1751" s="476">
        <v>123371</v>
      </c>
      <c r="I1751" s="476">
        <v>123390</v>
      </c>
      <c r="J1751" s="476">
        <v>123409</v>
      </c>
      <c r="K1751" s="476">
        <v>123427</v>
      </c>
    </row>
    <row r="1752" spans="1:11">
      <c r="A1752" s="479">
        <v>6840.8</v>
      </c>
      <c r="B1752" s="476">
        <v>123446</v>
      </c>
      <c r="C1752" s="476">
        <v>123464</v>
      </c>
      <c r="D1752" s="476">
        <v>123483</v>
      </c>
      <c r="E1752" s="476">
        <v>123501</v>
      </c>
      <c r="F1752" s="476">
        <v>123520</v>
      </c>
      <c r="G1752" s="476">
        <v>123539</v>
      </c>
      <c r="H1752" s="476">
        <v>123557</v>
      </c>
      <c r="I1752" s="476">
        <v>123576</v>
      </c>
      <c r="J1752" s="476">
        <v>123594</v>
      </c>
      <c r="K1752" s="476">
        <v>123613</v>
      </c>
    </row>
    <row r="1753" spans="1:11">
      <c r="A1753" s="479">
        <v>6840.9</v>
      </c>
      <c r="B1753" s="476">
        <v>123632</v>
      </c>
      <c r="C1753" s="476">
        <v>123650</v>
      </c>
      <c r="D1753" s="476">
        <v>123669</v>
      </c>
      <c r="E1753" s="476">
        <v>123687</v>
      </c>
      <c r="F1753" s="476">
        <v>123706</v>
      </c>
      <c r="G1753" s="476">
        <v>123725</v>
      </c>
      <c r="H1753" s="476">
        <v>123743</v>
      </c>
      <c r="I1753" s="476">
        <v>123762</v>
      </c>
      <c r="J1753" s="476">
        <v>123780</v>
      </c>
      <c r="K1753" s="476">
        <v>123799</v>
      </c>
    </row>
    <row r="1754" spans="1:11">
      <c r="A1754" s="479">
        <v>6841</v>
      </c>
      <c r="B1754" s="476">
        <v>123818</v>
      </c>
      <c r="C1754" s="476">
        <v>123836</v>
      </c>
      <c r="D1754" s="476">
        <v>123855</v>
      </c>
      <c r="E1754" s="476">
        <v>123874</v>
      </c>
      <c r="F1754" s="476">
        <v>123893</v>
      </c>
      <c r="G1754" s="476">
        <v>123912</v>
      </c>
      <c r="H1754" s="476">
        <v>123930</v>
      </c>
      <c r="I1754" s="476">
        <v>123949</v>
      </c>
      <c r="J1754" s="476">
        <v>123968</v>
      </c>
      <c r="K1754" s="476">
        <v>123987</v>
      </c>
    </row>
    <row r="1755" spans="1:11">
      <c r="A1755" s="479">
        <v>6841.1</v>
      </c>
      <c r="B1755" s="476">
        <v>124005</v>
      </c>
      <c r="C1755" s="476">
        <v>124024</v>
      </c>
      <c r="D1755" s="476">
        <v>124043</v>
      </c>
      <c r="E1755" s="476">
        <v>124062</v>
      </c>
      <c r="F1755" s="476">
        <v>124081</v>
      </c>
      <c r="G1755" s="476">
        <v>124099</v>
      </c>
      <c r="H1755" s="476">
        <v>124118</v>
      </c>
      <c r="I1755" s="476">
        <v>124137</v>
      </c>
      <c r="J1755" s="476">
        <v>124156</v>
      </c>
      <c r="K1755" s="476">
        <v>124175</v>
      </c>
    </row>
    <row r="1756" spans="1:11">
      <c r="A1756" s="479">
        <v>6841.2</v>
      </c>
      <c r="B1756" s="476">
        <v>124193</v>
      </c>
      <c r="C1756" s="476">
        <v>124212</v>
      </c>
      <c r="D1756" s="476">
        <v>124231</v>
      </c>
      <c r="E1756" s="476">
        <v>124250</v>
      </c>
      <c r="F1756" s="476">
        <v>124269</v>
      </c>
      <c r="G1756" s="476">
        <v>124287</v>
      </c>
      <c r="H1756" s="476">
        <v>124306</v>
      </c>
      <c r="I1756" s="476">
        <v>124325</v>
      </c>
      <c r="J1756" s="476">
        <v>124344</v>
      </c>
      <c r="K1756" s="476">
        <v>124362</v>
      </c>
    </row>
    <row r="1757" spans="1:11">
      <c r="A1757" s="479">
        <v>6841.3</v>
      </c>
      <c r="B1757" s="476">
        <v>124381</v>
      </c>
      <c r="C1757" s="476">
        <v>124400</v>
      </c>
      <c r="D1757" s="476">
        <v>124419</v>
      </c>
      <c r="E1757" s="476">
        <v>124438</v>
      </c>
      <c r="F1757" s="476">
        <v>124456</v>
      </c>
      <c r="G1757" s="476">
        <v>124475</v>
      </c>
      <c r="H1757" s="476">
        <v>124494</v>
      </c>
      <c r="I1757" s="476">
        <v>124513</v>
      </c>
      <c r="J1757" s="476">
        <v>124532</v>
      </c>
      <c r="K1757" s="476">
        <v>124550</v>
      </c>
    </row>
    <row r="1758" spans="1:11">
      <c r="A1758" s="479">
        <v>6841.4</v>
      </c>
      <c r="B1758" s="476">
        <v>124569</v>
      </c>
      <c r="C1758" s="476">
        <v>124588</v>
      </c>
      <c r="D1758" s="476">
        <v>124607</v>
      </c>
      <c r="E1758" s="476">
        <v>124625</v>
      </c>
      <c r="F1758" s="476">
        <v>124644</v>
      </c>
      <c r="G1758" s="476">
        <v>124663</v>
      </c>
      <c r="H1758" s="476">
        <v>124682</v>
      </c>
      <c r="I1758" s="476">
        <v>124701</v>
      </c>
      <c r="J1758" s="476">
        <v>124719</v>
      </c>
      <c r="K1758" s="476">
        <v>124738</v>
      </c>
    </row>
    <row r="1759" spans="1:11">
      <c r="A1759" s="479">
        <v>6841.5</v>
      </c>
      <c r="B1759" s="476">
        <v>124757</v>
      </c>
      <c r="C1759" s="476">
        <v>124776</v>
      </c>
      <c r="D1759" s="476">
        <v>124795</v>
      </c>
      <c r="E1759" s="476">
        <v>124813</v>
      </c>
      <c r="F1759" s="476">
        <v>124832</v>
      </c>
      <c r="G1759" s="476">
        <v>124851</v>
      </c>
      <c r="H1759" s="476">
        <v>124870</v>
      </c>
      <c r="I1759" s="476">
        <v>124889</v>
      </c>
      <c r="J1759" s="476">
        <v>124907</v>
      </c>
      <c r="K1759" s="476">
        <v>124926</v>
      </c>
    </row>
    <row r="1760" spans="1:11">
      <c r="A1760" s="479">
        <v>6841.6</v>
      </c>
      <c r="B1760" s="476">
        <v>124945</v>
      </c>
      <c r="C1760" s="476">
        <v>124964</v>
      </c>
      <c r="D1760" s="476">
        <v>124982</v>
      </c>
      <c r="E1760" s="476">
        <v>125001</v>
      </c>
      <c r="F1760" s="476">
        <v>125020</v>
      </c>
      <c r="G1760" s="476">
        <v>125039</v>
      </c>
      <c r="H1760" s="476">
        <v>125058</v>
      </c>
      <c r="I1760" s="476">
        <v>125076</v>
      </c>
      <c r="J1760" s="476">
        <v>125095</v>
      </c>
      <c r="K1760" s="476">
        <v>125114</v>
      </c>
    </row>
    <row r="1761" spans="1:11">
      <c r="A1761" s="479">
        <v>6841.7</v>
      </c>
      <c r="B1761" s="476">
        <v>125133</v>
      </c>
      <c r="C1761" s="476">
        <v>125152</v>
      </c>
      <c r="D1761" s="476">
        <v>125170</v>
      </c>
      <c r="E1761" s="476">
        <v>125189</v>
      </c>
      <c r="F1761" s="476">
        <v>125208</v>
      </c>
      <c r="G1761" s="476">
        <v>125227</v>
      </c>
      <c r="H1761" s="476">
        <v>125245</v>
      </c>
      <c r="I1761" s="476">
        <v>125264</v>
      </c>
      <c r="J1761" s="476">
        <v>125283</v>
      </c>
      <c r="K1761" s="476">
        <v>125302</v>
      </c>
    </row>
    <row r="1762" spans="1:11">
      <c r="A1762" s="479">
        <v>6841.8</v>
      </c>
      <c r="B1762" s="476">
        <v>125321</v>
      </c>
      <c r="C1762" s="476">
        <v>125339</v>
      </c>
      <c r="D1762" s="476">
        <v>125358</v>
      </c>
      <c r="E1762" s="476">
        <v>125377</v>
      </c>
      <c r="F1762" s="476">
        <v>125396</v>
      </c>
      <c r="G1762" s="476">
        <v>125415</v>
      </c>
      <c r="H1762" s="476">
        <v>125433</v>
      </c>
      <c r="I1762" s="476">
        <v>125452</v>
      </c>
      <c r="J1762" s="476">
        <v>125471</v>
      </c>
      <c r="K1762" s="476">
        <v>125490</v>
      </c>
    </row>
    <row r="1763" spans="1:11">
      <c r="A1763" s="479">
        <v>6841.9</v>
      </c>
      <c r="B1763" s="476">
        <v>125509</v>
      </c>
      <c r="C1763" s="476">
        <v>125527</v>
      </c>
      <c r="D1763" s="476">
        <v>125546</v>
      </c>
      <c r="E1763" s="476">
        <v>125565</v>
      </c>
      <c r="F1763" s="476">
        <v>125584</v>
      </c>
      <c r="G1763" s="476">
        <v>125602</v>
      </c>
      <c r="H1763" s="476">
        <v>125621</v>
      </c>
      <c r="I1763" s="476">
        <v>125640</v>
      </c>
      <c r="J1763" s="476">
        <v>125659</v>
      </c>
      <c r="K1763" s="476">
        <v>125678</v>
      </c>
    </row>
    <row r="1764" spans="1:11">
      <c r="A1764" s="479">
        <v>6842</v>
      </c>
      <c r="B1764" s="476">
        <v>125696</v>
      </c>
      <c r="C1764" s="476">
        <v>125715</v>
      </c>
      <c r="D1764" s="476">
        <v>125734</v>
      </c>
      <c r="E1764" s="476">
        <v>125753</v>
      </c>
      <c r="F1764" s="476">
        <v>125772</v>
      </c>
      <c r="G1764" s="476">
        <v>125791</v>
      </c>
      <c r="H1764" s="476">
        <v>125810</v>
      </c>
      <c r="I1764" s="476">
        <v>125829</v>
      </c>
      <c r="J1764" s="476">
        <v>125848</v>
      </c>
      <c r="K1764" s="476">
        <v>125867</v>
      </c>
    </row>
    <row r="1765" spans="1:11">
      <c r="A1765" s="479">
        <v>6842.1</v>
      </c>
      <c r="B1765" s="476">
        <v>125886</v>
      </c>
      <c r="C1765" s="476">
        <v>125905</v>
      </c>
      <c r="D1765" s="476">
        <v>125924</v>
      </c>
      <c r="E1765" s="476">
        <v>125943</v>
      </c>
      <c r="F1765" s="476">
        <v>125962</v>
      </c>
      <c r="G1765" s="476">
        <v>125981</v>
      </c>
      <c r="H1765" s="476">
        <v>126000</v>
      </c>
      <c r="I1765" s="476">
        <v>126019</v>
      </c>
      <c r="J1765" s="476">
        <v>126038</v>
      </c>
      <c r="K1765" s="476">
        <v>126057</v>
      </c>
    </row>
    <row r="1766" spans="1:11">
      <c r="A1766" s="479">
        <v>6842.2</v>
      </c>
      <c r="B1766" s="476">
        <v>126076</v>
      </c>
      <c r="C1766" s="476">
        <v>126095</v>
      </c>
      <c r="D1766" s="476">
        <v>126114</v>
      </c>
      <c r="E1766" s="476">
        <v>126133</v>
      </c>
      <c r="F1766" s="476">
        <v>126152</v>
      </c>
      <c r="G1766" s="476">
        <v>126171</v>
      </c>
      <c r="H1766" s="476">
        <v>126190</v>
      </c>
      <c r="I1766" s="476">
        <v>126209</v>
      </c>
      <c r="J1766" s="476">
        <v>126228</v>
      </c>
      <c r="K1766" s="476">
        <v>126247</v>
      </c>
    </row>
    <row r="1767" spans="1:11">
      <c r="A1767" s="479">
        <v>6842.3</v>
      </c>
      <c r="B1767" s="476">
        <v>126266</v>
      </c>
      <c r="C1767" s="476">
        <v>126285</v>
      </c>
      <c r="D1767" s="476">
        <v>126304</v>
      </c>
      <c r="E1767" s="476">
        <v>126323</v>
      </c>
      <c r="F1767" s="476">
        <v>126342</v>
      </c>
      <c r="G1767" s="476">
        <v>126361</v>
      </c>
      <c r="H1767" s="476">
        <v>126380</v>
      </c>
      <c r="I1767" s="476">
        <v>126399</v>
      </c>
      <c r="J1767" s="476">
        <v>126418</v>
      </c>
      <c r="K1767" s="476">
        <v>126437</v>
      </c>
    </row>
    <row r="1768" spans="1:11">
      <c r="A1768" s="479">
        <v>6842.4</v>
      </c>
      <c r="B1768" s="476">
        <v>126456</v>
      </c>
      <c r="C1768" s="476">
        <v>126475</v>
      </c>
      <c r="D1768" s="476">
        <v>126494</v>
      </c>
      <c r="E1768" s="476">
        <v>126513</v>
      </c>
      <c r="F1768" s="476">
        <v>126532</v>
      </c>
      <c r="G1768" s="476">
        <v>126551</v>
      </c>
      <c r="H1768" s="476">
        <v>126570</v>
      </c>
      <c r="I1768" s="476">
        <v>126589</v>
      </c>
      <c r="J1768" s="476">
        <v>126608</v>
      </c>
      <c r="K1768" s="476">
        <v>126627</v>
      </c>
    </row>
    <row r="1769" spans="1:11">
      <c r="A1769" s="479">
        <v>6842.5</v>
      </c>
      <c r="B1769" s="476">
        <v>126646</v>
      </c>
      <c r="C1769" s="476">
        <v>126665</v>
      </c>
      <c r="D1769" s="476">
        <v>126683</v>
      </c>
      <c r="E1769" s="476">
        <v>126702</v>
      </c>
      <c r="F1769" s="476">
        <v>126721</v>
      </c>
      <c r="G1769" s="476">
        <v>126740</v>
      </c>
      <c r="H1769" s="476">
        <v>126759</v>
      </c>
      <c r="I1769" s="476">
        <v>126778</v>
      </c>
      <c r="J1769" s="476">
        <v>126797</v>
      </c>
      <c r="K1769" s="476">
        <v>126816</v>
      </c>
    </row>
    <row r="1770" spans="1:11">
      <c r="A1770" s="479">
        <v>6842.6</v>
      </c>
      <c r="B1770" s="476">
        <v>126835</v>
      </c>
      <c r="C1770" s="476">
        <v>126854</v>
      </c>
      <c r="D1770" s="476">
        <v>126873</v>
      </c>
      <c r="E1770" s="476">
        <v>126892</v>
      </c>
      <c r="F1770" s="476">
        <v>126911</v>
      </c>
      <c r="G1770" s="476">
        <v>126930</v>
      </c>
      <c r="H1770" s="476">
        <v>126949</v>
      </c>
      <c r="I1770" s="476">
        <v>126968</v>
      </c>
      <c r="J1770" s="476">
        <v>126987</v>
      </c>
      <c r="K1770" s="476">
        <v>127006</v>
      </c>
    </row>
    <row r="1771" spans="1:11">
      <c r="A1771" s="479">
        <v>6842.7</v>
      </c>
      <c r="B1771" s="476">
        <v>127025</v>
      </c>
      <c r="C1771" s="476">
        <v>127044</v>
      </c>
      <c r="D1771" s="476">
        <v>127063</v>
      </c>
      <c r="E1771" s="476">
        <v>127082</v>
      </c>
      <c r="F1771" s="476">
        <v>127101</v>
      </c>
      <c r="G1771" s="476">
        <v>127120</v>
      </c>
      <c r="H1771" s="476">
        <v>127139</v>
      </c>
      <c r="I1771" s="476">
        <v>127158</v>
      </c>
      <c r="J1771" s="476">
        <v>127177</v>
      </c>
      <c r="K1771" s="476">
        <v>127196</v>
      </c>
    </row>
    <row r="1772" spans="1:11">
      <c r="A1772" s="479">
        <v>6842.8</v>
      </c>
      <c r="B1772" s="476">
        <v>127215</v>
      </c>
      <c r="C1772" s="476">
        <v>127234</v>
      </c>
      <c r="D1772" s="476">
        <v>127253</v>
      </c>
      <c r="E1772" s="476">
        <v>127272</v>
      </c>
      <c r="F1772" s="476">
        <v>127291</v>
      </c>
      <c r="G1772" s="476">
        <v>127310</v>
      </c>
      <c r="H1772" s="476">
        <v>127329</v>
      </c>
      <c r="I1772" s="476">
        <v>127348</v>
      </c>
      <c r="J1772" s="476">
        <v>127367</v>
      </c>
      <c r="K1772" s="476">
        <v>127386</v>
      </c>
    </row>
    <row r="1773" spans="1:11">
      <c r="A1773" s="479">
        <v>6842.9</v>
      </c>
      <c r="B1773" s="476">
        <v>127405</v>
      </c>
      <c r="C1773" s="476">
        <v>127424</v>
      </c>
      <c r="D1773" s="476">
        <v>127443</v>
      </c>
      <c r="E1773" s="476">
        <v>127462</v>
      </c>
      <c r="F1773" s="476">
        <v>127481</v>
      </c>
      <c r="G1773" s="476">
        <v>127500</v>
      </c>
      <c r="H1773" s="476">
        <v>127519</v>
      </c>
      <c r="I1773" s="476">
        <v>127538</v>
      </c>
      <c r="J1773" s="476">
        <v>127557</v>
      </c>
      <c r="K1773" s="476">
        <v>127576</v>
      </c>
    </row>
    <row r="1774" spans="1:11">
      <c r="A1774" s="479">
        <v>6843</v>
      </c>
      <c r="B1774" s="476">
        <v>127595</v>
      </c>
      <c r="C1774" s="476">
        <v>127614</v>
      </c>
      <c r="D1774" s="476">
        <v>127633</v>
      </c>
      <c r="E1774" s="476">
        <v>127652</v>
      </c>
      <c r="F1774" s="476">
        <v>127671</v>
      </c>
      <c r="G1774" s="476">
        <v>127691</v>
      </c>
      <c r="H1774" s="476">
        <v>127710</v>
      </c>
      <c r="I1774" s="476">
        <v>127729</v>
      </c>
      <c r="J1774" s="476">
        <v>127748</v>
      </c>
      <c r="K1774" s="476">
        <v>127767</v>
      </c>
    </row>
    <row r="1775" spans="1:11">
      <c r="A1775" s="479">
        <v>6843.1</v>
      </c>
      <c r="B1775" s="476">
        <v>127786</v>
      </c>
      <c r="C1775" s="476">
        <v>127806</v>
      </c>
      <c r="D1775" s="476">
        <v>127825</v>
      </c>
      <c r="E1775" s="476">
        <v>127844</v>
      </c>
      <c r="F1775" s="476">
        <v>127863</v>
      </c>
      <c r="G1775" s="476">
        <v>127882</v>
      </c>
      <c r="H1775" s="476">
        <v>127902</v>
      </c>
      <c r="I1775" s="476">
        <v>127921</v>
      </c>
      <c r="J1775" s="476">
        <v>127940</v>
      </c>
      <c r="K1775" s="476">
        <v>127959</v>
      </c>
    </row>
    <row r="1776" spans="1:11">
      <c r="A1776" s="479">
        <v>6843.2</v>
      </c>
      <c r="B1776" s="476">
        <v>127978</v>
      </c>
      <c r="C1776" s="476">
        <v>127997</v>
      </c>
      <c r="D1776" s="476">
        <v>128017</v>
      </c>
      <c r="E1776" s="476">
        <v>128036</v>
      </c>
      <c r="F1776" s="476">
        <v>128055</v>
      </c>
      <c r="G1776" s="476">
        <v>128074</v>
      </c>
      <c r="H1776" s="476">
        <v>128093</v>
      </c>
      <c r="I1776" s="476">
        <v>128113</v>
      </c>
      <c r="J1776" s="476">
        <v>128132</v>
      </c>
      <c r="K1776" s="476">
        <v>128151</v>
      </c>
    </row>
    <row r="1777" spans="1:11">
      <c r="A1777" s="479">
        <v>6843.3</v>
      </c>
      <c r="B1777" s="476">
        <v>128170</v>
      </c>
      <c r="C1777" s="476">
        <v>128189</v>
      </c>
      <c r="D1777" s="476">
        <v>128208</v>
      </c>
      <c r="E1777" s="476">
        <v>128228</v>
      </c>
      <c r="F1777" s="476">
        <v>128247</v>
      </c>
      <c r="G1777" s="476">
        <v>128266</v>
      </c>
      <c r="H1777" s="476">
        <v>128285</v>
      </c>
      <c r="I1777" s="476">
        <v>128304</v>
      </c>
      <c r="J1777" s="476">
        <v>128324</v>
      </c>
      <c r="K1777" s="476">
        <v>128343</v>
      </c>
    </row>
    <row r="1778" spans="1:11">
      <c r="A1778" s="479">
        <v>6843.4</v>
      </c>
      <c r="B1778" s="476">
        <v>128362</v>
      </c>
      <c r="C1778" s="476">
        <v>128381</v>
      </c>
      <c r="D1778" s="476">
        <v>128400</v>
      </c>
      <c r="E1778" s="476">
        <v>128419</v>
      </c>
      <c r="F1778" s="476">
        <v>128439</v>
      </c>
      <c r="G1778" s="476">
        <v>128458</v>
      </c>
      <c r="H1778" s="476">
        <v>128477</v>
      </c>
      <c r="I1778" s="476">
        <v>128496</v>
      </c>
      <c r="J1778" s="476">
        <v>128515</v>
      </c>
      <c r="K1778" s="476">
        <v>128534</v>
      </c>
    </row>
    <row r="1779" spans="1:11">
      <c r="A1779" s="479">
        <v>6843.5</v>
      </c>
      <c r="B1779" s="476">
        <v>128554</v>
      </c>
      <c r="C1779" s="476">
        <v>128573</v>
      </c>
      <c r="D1779" s="476">
        <v>128592</v>
      </c>
      <c r="E1779" s="476">
        <v>128611</v>
      </c>
      <c r="F1779" s="476">
        <v>128630</v>
      </c>
      <c r="G1779" s="476">
        <v>128650</v>
      </c>
      <c r="H1779" s="476">
        <v>128669</v>
      </c>
      <c r="I1779" s="476">
        <v>128688</v>
      </c>
      <c r="J1779" s="476">
        <v>128707</v>
      </c>
      <c r="K1779" s="476">
        <v>128726</v>
      </c>
    </row>
    <row r="1780" spans="1:11">
      <c r="A1780" s="479">
        <v>6843.6</v>
      </c>
      <c r="B1780" s="476">
        <v>128745</v>
      </c>
      <c r="C1780" s="476">
        <v>128765</v>
      </c>
      <c r="D1780" s="476">
        <v>128784</v>
      </c>
      <c r="E1780" s="476">
        <v>128803</v>
      </c>
      <c r="F1780" s="476">
        <v>128822</v>
      </c>
      <c r="G1780" s="476">
        <v>128841</v>
      </c>
      <c r="H1780" s="476">
        <v>128861</v>
      </c>
      <c r="I1780" s="476">
        <v>128880</v>
      </c>
      <c r="J1780" s="476">
        <v>128899</v>
      </c>
      <c r="K1780" s="476">
        <v>128918</v>
      </c>
    </row>
    <row r="1781" spans="1:11">
      <c r="A1781" s="479">
        <v>6843.7</v>
      </c>
      <c r="B1781" s="476">
        <v>128937</v>
      </c>
      <c r="C1781" s="476">
        <v>128956</v>
      </c>
      <c r="D1781" s="476">
        <v>128976</v>
      </c>
      <c r="E1781" s="476">
        <v>128995</v>
      </c>
      <c r="F1781" s="476">
        <v>129014</v>
      </c>
      <c r="G1781" s="476">
        <v>129033</v>
      </c>
      <c r="H1781" s="476">
        <v>129052</v>
      </c>
      <c r="I1781" s="476">
        <v>129072</v>
      </c>
      <c r="J1781" s="476">
        <v>129091</v>
      </c>
      <c r="K1781" s="476">
        <v>129110</v>
      </c>
    </row>
    <row r="1782" spans="1:11">
      <c r="A1782" s="479">
        <v>6843.8</v>
      </c>
      <c r="B1782" s="476">
        <v>129129</v>
      </c>
      <c r="C1782" s="476">
        <v>129148</v>
      </c>
      <c r="D1782" s="476">
        <v>129167</v>
      </c>
      <c r="E1782" s="476">
        <v>129187</v>
      </c>
      <c r="F1782" s="476">
        <v>129206</v>
      </c>
      <c r="G1782" s="476">
        <v>129225</v>
      </c>
      <c r="H1782" s="476">
        <v>129244</v>
      </c>
      <c r="I1782" s="476">
        <v>129263</v>
      </c>
      <c r="J1782" s="476">
        <v>129282</v>
      </c>
      <c r="K1782" s="476">
        <v>129302</v>
      </c>
    </row>
    <row r="1783" spans="1:11">
      <c r="A1783" s="479">
        <v>6843.9</v>
      </c>
      <c r="B1783" s="476">
        <v>129321</v>
      </c>
      <c r="C1783" s="476">
        <v>129340</v>
      </c>
      <c r="D1783" s="476">
        <v>129359</v>
      </c>
      <c r="E1783" s="476">
        <v>129378</v>
      </c>
      <c r="F1783" s="476">
        <v>129398</v>
      </c>
      <c r="G1783" s="476">
        <v>129417</v>
      </c>
      <c r="H1783" s="476">
        <v>129436</v>
      </c>
      <c r="I1783" s="476">
        <v>129455</v>
      </c>
      <c r="J1783" s="476">
        <v>129474</v>
      </c>
      <c r="K1783" s="476">
        <v>129493</v>
      </c>
    </row>
    <row r="1784" spans="1:11">
      <c r="A1784" s="479">
        <v>6844</v>
      </c>
      <c r="B1784" s="476">
        <v>129513</v>
      </c>
      <c r="C1784" s="476">
        <v>129532</v>
      </c>
      <c r="D1784" s="476">
        <v>129551</v>
      </c>
      <c r="E1784" s="476">
        <v>129571</v>
      </c>
      <c r="F1784" s="476">
        <v>129590</v>
      </c>
      <c r="G1784" s="476">
        <v>129610</v>
      </c>
      <c r="H1784" s="476">
        <v>129629</v>
      </c>
      <c r="I1784" s="476">
        <v>129648</v>
      </c>
      <c r="J1784" s="476">
        <v>129668</v>
      </c>
      <c r="K1784" s="476">
        <v>129687</v>
      </c>
    </row>
    <row r="1785" spans="1:11">
      <c r="A1785" s="479">
        <v>6844.1</v>
      </c>
      <c r="B1785" s="476">
        <v>129706</v>
      </c>
      <c r="C1785" s="476">
        <v>129726</v>
      </c>
      <c r="D1785" s="476">
        <v>129745</v>
      </c>
      <c r="E1785" s="476">
        <v>129765</v>
      </c>
      <c r="F1785" s="476">
        <v>129784</v>
      </c>
      <c r="G1785" s="476">
        <v>129803</v>
      </c>
      <c r="H1785" s="476">
        <v>129823</v>
      </c>
      <c r="I1785" s="476">
        <v>129842</v>
      </c>
      <c r="J1785" s="476">
        <v>129861</v>
      </c>
      <c r="K1785" s="476">
        <v>129881</v>
      </c>
    </row>
    <row r="1786" spans="1:11">
      <c r="A1786" s="479">
        <v>6844.2</v>
      </c>
      <c r="B1786" s="476">
        <v>129900</v>
      </c>
      <c r="C1786" s="476">
        <v>129920</v>
      </c>
      <c r="D1786" s="476">
        <v>129939</v>
      </c>
      <c r="E1786" s="476">
        <v>129958</v>
      </c>
      <c r="F1786" s="476">
        <v>129978</v>
      </c>
      <c r="G1786" s="476">
        <v>129997</v>
      </c>
      <c r="H1786" s="476">
        <v>130017</v>
      </c>
      <c r="I1786" s="476">
        <v>130036</v>
      </c>
      <c r="J1786" s="476">
        <v>130055</v>
      </c>
      <c r="K1786" s="476">
        <v>130075</v>
      </c>
    </row>
    <row r="1787" spans="1:11">
      <c r="A1787" s="479">
        <v>6844.3</v>
      </c>
      <c r="B1787" s="476">
        <v>130094</v>
      </c>
      <c r="C1787" s="476">
        <v>130113</v>
      </c>
      <c r="D1787" s="476">
        <v>130133</v>
      </c>
      <c r="E1787" s="476">
        <v>130152</v>
      </c>
      <c r="F1787" s="476">
        <v>130172</v>
      </c>
      <c r="G1787" s="476">
        <v>130191</v>
      </c>
      <c r="H1787" s="476">
        <v>130210</v>
      </c>
      <c r="I1787" s="476">
        <v>130230</v>
      </c>
      <c r="J1787" s="476">
        <v>130249</v>
      </c>
      <c r="K1787" s="476">
        <v>130268</v>
      </c>
    </row>
    <row r="1788" spans="1:11">
      <c r="A1788" s="479">
        <v>6844.4</v>
      </c>
      <c r="B1788" s="476">
        <v>130288</v>
      </c>
      <c r="C1788" s="476">
        <v>130307</v>
      </c>
      <c r="D1788" s="476">
        <v>130327</v>
      </c>
      <c r="E1788" s="476">
        <v>130346</v>
      </c>
      <c r="F1788" s="476">
        <v>130365</v>
      </c>
      <c r="G1788" s="476">
        <v>130385</v>
      </c>
      <c r="H1788" s="476">
        <v>130404</v>
      </c>
      <c r="I1788" s="476">
        <v>130423</v>
      </c>
      <c r="J1788" s="476">
        <v>130443</v>
      </c>
      <c r="K1788" s="476">
        <v>130462</v>
      </c>
    </row>
    <row r="1789" spans="1:11">
      <c r="A1789" s="479">
        <v>6844.5</v>
      </c>
      <c r="B1789" s="476">
        <v>130482</v>
      </c>
      <c r="C1789" s="476">
        <v>130501</v>
      </c>
      <c r="D1789" s="476">
        <v>130520</v>
      </c>
      <c r="E1789" s="476">
        <v>130540</v>
      </c>
      <c r="F1789" s="476">
        <v>130559</v>
      </c>
      <c r="G1789" s="476">
        <v>130579</v>
      </c>
      <c r="H1789" s="476">
        <v>130598</v>
      </c>
      <c r="I1789" s="476">
        <v>130617</v>
      </c>
      <c r="J1789" s="476">
        <v>130637</v>
      </c>
      <c r="K1789" s="476">
        <v>130656</v>
      </c>
    </row>
    <row r="1790" spans="1:11">
      <c r="A1790" s="479">
        <v>6844.6</v>
      </c>
      <c r="B1790" s="476">
        <v>130675</v>
      </c>
      <c r="C1790" s="476">
        <v>130695</v>
      </c>
      <c r="D1790" s="476">
        <v>130714</v>
      </c>
      <c r="E1790" s="476">
        <v>130734</v>
      </c>
      <c r="F1790" s="476">
        <v>130753</v>
      </c>
      <c r="G1790" s="476">
        <v>130772</v>
      </c>
      <c r="H1790" s="476">
        <v>130792</v>
      </c>
      <c r="I1790" s="476">
        <v>130811</v>
      </c>
      <c r="J1790" s="476">
        <v>130830</v>
      </c>
      <c r="K1790" s="476">
        <v>130850</v>
      </c>
    </row>
    <row r="1791" spans="1:11">
      <c r="A1791" s="479">
        <v>6844.7</v>
      </c>
      <c r="B1791" s="476">
        <v>130869</v>
      </c>
      <c r="C1791" s="476">
        <v>130889</v>
      </c>
      <c r="D1791" s="476">
        <v>130908</v>
      </c>
      <c r="E1791" s="476">
        <v>130927</v>
      </c>
      <c r="F1791" s="476">
        <v>130947</v>
      </c>
      <c r="G1791" s="476">
        <v>130966</v>
      </c>
      <c r="H1791" s="476">
        <v>130985</v>
      </c>
      <c r="I1791" s="476">
        <v>131005</v>
      </c>
      <c r="J1791" s="476">
        <v>131024</v>
      </c>
      <c r="K1791" s="476">
        <v>131044</v>
      </c>
    </row>
    <row r="1792" spans="1:11">
      <c r="A1792" s="479">
        <v>6844.8</v>
      </c>
      <c r="B1792" s="476">
        <v>131063</v>
      </c>
      <c r="C1792" s="476">
        <v>131082</v>
      </c>
      <c r="D1792" s="476">
        <v>131102</v>
      </c>
      <c r="E1792" s="476">
        <v>131121</v>
      </c>
      <c r="F1792" s="476">
        <v>131141</v>
      </c>
      <c r="G1792" s="476">
        <v>131160</v>
      </c>
      <c r="H1792" s="476">
        <v>131179</v>
      </c>
      <c r="I1792" s="476">
        <v>131199</v>
      </c>
      <c r="J1792" s="476">
        <v>131218</v>
      </c>
      <c r="K1792" s="476">
        <v>131237</v>
      </c>
    </row>
    <row r="1793" spans="1:11">
      <c r="A1793" s="479">
        <v>6844.9</v>
      </c>
      <c r="B1793" s="476">
        <v>131257</v>
      </c>
      <c r="C1793" s="476">
        <v>131276</v>
      </c>
      <c r="D1793" s="476">
        <v>131296</v>
      </c>
      <c r="E1793" s="476">
        <v>131315</v>
      </c>
      <c r="F1793" s="476">
        <v>131334</v>
      </c>
      <c r="G1793" s="476">
        <v>131354</v>
      </c>
      <c r="H1793" s="476">
        <v>131373</v>
      </c>
      <c r="I1793" s="476">
        <v>131392</v>
      </c>
      <c r="J1793" s="476">
        <v>131412</v>
      </c>
      <c r="K1793" s="476">
        <v>131431</v>
      </c>
    </row>
    <row r="1794" spans="1:11">
      <c r="A1794" s="479">
        <v>6845</v>
      </c>
      <c r="B1794" s="476">
        <v>131451</v>
      </c>
      <c r="C1794" s="476">
        <v>131470</v>
      </c>
      <c r="D1794" s="476">
        <v>131490</v>
      </c>
      <c r="E1794" s="476">
        <v>131509</v>
      </c>
      <c r="F1794" s="476">
        <v>131529</v>
      </c>
      <c r="G1794" s="476">
        <v>131549</v>
      </c>
      <c r="H1794" s="476">
        <v>131568</v>
      </c>
      <c r="I1794" s="476">
        <v>131588</v>
      </c>
      <c r="J1794" s="476">
        <v>131607</v>
      </c>
      <c r="K1794" s="476">
        <v>131627</v>
      </c>
    </row>
    <row r="1795" spans="1:11">
      <c r="A1795" s="479">
        <v>6845.1</v>
      </c>
      <c r="B1795" s="476">
        <v>131646</v>
      </c>
      <c r="C1795" s="476">
        <v>131666</v>
      </c>
      <c r="D1795" s="476">
        <v>131686</v>
      </c>
      <c r="E1795" s="476">
        <v>131705</v>
      </c>
      <c r="F1795" s="476">
        <v>131725</v>
      </c>
      <c r="G1795" s="476">
        <v>131744</v>
      </c>
      <c r="H1795" s="476">
        <v>131764</v>
      </c>
      <c r="I1795" s="476">
        <v>131783</v>
      </c>
      <c r="J1795" s="476">
        <v>131803</v>
      </c>
      <c r="K1795" s="476">
        <v>131823</v>
      </c>
    </row>
    <row r="1796" spans="1:11">
      <c r="A1796" s="479">
        <v>6845.2</v>
      </c>
      <c r="B1796" s="476">
        <v>131842</v>
      </c>
      <c r="C1796" s="476">
        <v>131862</v>
      </c>
      <c r="D1796" s="476">
        <v>131881</v>
      </c>
      <c r="E1796" s="476">
        <v>131901</v>
      </c>
      <c r="F1796" s="476">
        <v>131921</v>
      </c>
      <c r="G1796" s="476">
        <v>131940</v>
      </c>
      <c r="H1796" s="476">
        <v>131960</v>
      </c>
      <c r="I1796" s="476">
        <v>131979</v>
      </c>
      <c r="J1796" s="476">
        <v>131999</v>
      </c>
      <c r="K1796" s="476">
        <v>132018</v>
      </c>
    </row>
    <row r="1797" spans="1:11">
      <c r="A1797" s="479">
        <v>6845.3</v>
      </c>
      <c r="B1797" s="476">
        <v>132038</v>
      </c>
      <c r="C1797" s="476">
        <v>132058</v>
      </c>
      <c r="D1797" s="476">
        <v>132077</v>
      </c>
      <c r="E1797" s="476">
        <v>132097</v>
      </c>
      <c r="F1797" s="476">
        <v>132116</v>
      </c>
      <c r="G1797" s="476">
        <v>132136</v>
      </c>
      <c r="H1797" s="476">
        <v>132156</v>
      </c>
      <c r="I1797" s="476">
        <v>132175</v>
      </c>
      <c r="J1797" s="476">
        <v>132195</v>
      </c>
      <c r="K1797" s="476">
        <v>132214</v>
      </c>
    </row>
    <row r="1798" spans="1:11">
      <c r="A1798" s="479">
        <v>6845.4</v>
      </c>
      <c r="B1798" s="476">
        <v>132234</v>
      </c>
      <c r="C1798" s="476">
        <v>132253</v>
      </c>
      <c r="D1798" s="476">
        <v>132273</v>
      </c>
      <c r="E1798" s="476">
        <v>132293</v>
      </c>
      <c r="F1798" s="476">
        <v>132312</v>
      </c>
      <c r="G1798" s="476">
        <v>132332</v>
      </c>
      <c r="H1798" s="476">
        <v>132351</v>
      </c>
      <c r="I1798" s="476">
        <v>132371</v>
      </c>
      <c r="J1798" s="476">
        <v>132391</v>
      </c>
      <c r="K1798" s="476">
        <v>132410</v>
      </c>
    </row>
    <row r="1799" spans="1:11">
      <c r="A1799" s="479">
        <v>6845.5</v>
      </c>
      <c r="B1799" s="476">
        <v>132430</v>
      </c>
      <c r="C1799" s="476">
        <v>132449</v>
      </c>
      <c r="D1799" s="476">
        <v>132469</v>
      </c>
      <c r="E1799" s="476">
        <v>132488</v>
      </c>
      <c r="F1799" s="476">
        <v>132508</v>
      </c>
      <c r="G1799" s="476">
        <v>132528</v>
      </c>
      <c r="H1799" s="476">
        <v>132547</v>
      </c>
      <c r="I1799" s="476">
        <v>132567</v>
      </c>
      <c r="J1799" s="476">
        <v>132586</v>
      </c>
      <c r="K1799" s="476">
        <v>132606</v>
      </c>
    </row>
    <row r="1800" spans="1:11">
      <c r="A1800" s="479">
        <v>6845.6</v>
      </c>
      <c r="B1800" s="476">
        <v>132625</v>
      </c>
      <c r="C1800" s="476">
        <v>132645</v>
      </c>
      <c r="D1800" s="476">
        <v>132665</v>
      </c>
      <c r="E1800" s="476">
        <v>132684</v>
      </c>
      <c r="F1800" s="476">
        <v>132704</v>
      </c>
      <c r="G1800" s="476">
        <v>132723</v>
      </c>
      <c r="H1800" s="476">
        <v>132743</v>
      </c>
      <c r="I1800" s="476">
        <v>132763</v>
      </c>
      <c r="J1800" s="476">
        <v>132782</v>
      </c>
      <c r="K1800" s="476">
        <v>132802</v>
      </c>
    </row>
    <row r="1801" spans="1:11">
      <c r="A1801" s="479">
        <v>6845.7</v>
      </c>
      <c r="B1801" s="476">
        <v>132821</v>
      </c>
      <c r="C1801" s="476">
        <v>132841</v>
      </c>
      <c r="D1801" s="476">
        <v>132860</v>
      </c>
      <c r="E1801" s="476">
        <v>132880</v>
      </c>
      <c r="F1801" s="476">
        <v>132900</v>
      </c>
      <c r="G1801" s="476">
        <v>132919</v>
      </c>
      <c r="H1801" s="476">
        <v>132939</v>
      </c>
      <c r="I1801" s="476">
        <v>132958</v>
      </c>
      <c r="J1801" s="476">
        <v>132978</v>
      </c>
      <c r="K1801" s="476">
        <v>132998</v>
      </c>
    </row>
    <row r="1802" spans="1:11">
      <c r="A1802" s="479">
        <v>6845.8</v>
      </c>
      <c r="B1802" s="476">
        <v>133017</v>
      </c>
      <c r="C1802" s="476">
        <v>133037</v>
      </c>
      <c r="D1802" s="476">
        <v>133056</v>
      </c>
      <c r="E1802" s="476">
        <v>133076</v>
      </c>
      <c r="F1802" s="476">
        <v>133095</v>
      </c>
      <c r="G1802" s="476">
        <v>133115</v>
      </c>
      <c r="H1802" s="476">
        <v>133135</v>
      </c>
      <c r="I1802" s="476">
        <v>133154</v>
      </c>
      <c r="J1802" s="476">
        <v>133174</v>
      </c>
      <c r="K1802" s="476">
        <v>133193</v>
      </c>
    </row>
    <row r="1803" spans="1:11">
      <c r="A1803" s="479">
        <v>6845.9</v>
      </c>
      <c r="B1803" s="476">
        <v>133213</v>
      </c>
      <c r="C1803" s="476">
        <v>133233</v>
      </c>
      <c r="D1803" s="476">
        <v>133252</v>
      </c>
      <c r="E1803" s="476">
        <v>133272</v>
      </c>
      <c r="F1803" s="476">
        <v>133291</v>
      </c>
      <c r="G1803" s="476">
        <v>133311</v>
      </c>
      <c r="H1803" s="476">
        <v>133330</v>
      </c>
      <c r="I1803" s="476">
        <v>133350</v>
      </c>
      <c r="J1803" s="476">
        <v>133370</v>
      </c>
      <c r="K1803" s="476">
        <v>133389</v>
      </c>
    </row>
    <row r="1804" spans="1:11">
      <c r="A1804" s="479">
        <v>6846</v>
      </c>
      <c r="B1804" s="476">
        <v>133409</v>
      </c>
      <c r="C1804" s="476">
        <v>133429</v>
      </c>
      <c r="D1804" s="476">
        <v>133448</v>
      </c>
      <c r="E1804" s="476">
        <v>133468</v>
      </c>
      <c r="F1804" s="476">
        <v>133488</v>
      </c>
      <c r="G1804" s="476">
        <v>133508</v>
      </c>
      <c r="H1804" s="476">
        <v>133527</v>
      </c>
      <c r="I1804" s="476">
        <v>133547</v>
      </c>
      <c r="J1804" s="476">
        <v>133567</v>
      </c>
      <c r="K1804" s="476">
        <v>133587</v>
      </c>
    </row>
    <row r="1805" spans="1:11">
      <c r="A1805" s="479">
        <v>6846.1</v>
      </c>
      <c r="B1805" s="476">
        <v>133607</v>
      </c>
      <c r="C1805" s="476">
        <v>133626</v>
      </c>
      <c r="D1805" s="476">
        <v>133646</v>
      </c>
      <c r="E1805" s="476">
        <v>133666</v>
      </c>
      <c r="F1805" s="476">
        <v>133686</v>
      </c>
      <c r="G1805" s="476">
        <v>133706</v>
      </c>
      <c r="H1805" s="476">
        <v>133725</v>
      </c>
      <c r="I1805" s="476">
        <v>133745</v>
      </c>
      <c r="J1805" s="476">
        <v>133765</v>
      </c>
      <c r="K1805" s="476">
        <v>133785</v>
      </c>
    </row>
    <row r="1806" spans="1:11">
      <c r="A1806" s="479">
        <v>6846.2</v>
      </c>
      <c r="B1806" s="476">
        <v>133804</v>
      </c>
      <c r="C1806" s="476">
        <v>133824</v>
      </c>
      <c r="D1806" s="476">
        <v>133844</v>
      </c>
      <c r="E1806" s="476">
        <v>133864</v>
      </c>
      <c r="F1806" s="476">
        <v>133884</v>
      </c>
      <c r="G1806" s="476">
        <v>133903</v>
      </c>
      <c r="H1806" s="476">
        <v>133923</v>
      </c>
      <c r="I1806" s="476">
        <v>133943</v>
      </c>
      <c r="J1806" s="476">
        <v>133963</v>
      </c>
      <c r="K1806" s="476">
        <v>133983</v>
      </c>
    </row>
    <row r="1807" spans="1:11">
      <c r="A1807" s="479">
        <v>6846.3</v>
      </c>
      <c r="B1807" s="476">
        <v>134002</v>
      </c>
      <c r="C1807" s="476">
        <v>134022</v>
      </c>
      <c r="D1807" s="476">
        <v>134042</v>
      </c>
      <c r="E1807" s="476">
        <v>134062</v>
      </c>
      <c r="F1807" s="476">
        <v>134081</v>
      </c>
      <c r="G1807" s="476">
        <v>134101</v>
      </c>
      <c r="H1807" s="476">
        <v>134121</v>
      </c>
      <c r="I1807" s="476">
        <v>134141</v>
      </c>
      <c r="J1807" s="476">
        <v>134161</v>
      </c>
      <c r="K1807" s="476">
        <v>134180</v>
      </c>
    </row>
    <row r="1808" spans="1:11">
      <c r="A1808" s="479">
        <v>6846.4</v>
      </c>
      <c r="B1808" s="476">
        <v>134200</v>
      </c>
      <c r="C1808" s="476">
        <v>134220</v>
      </c>
      <c r="D1808" s="476">
        <v>134240</v>
      </c>
      <c r="E1808" s="476">
        <v>134260</v>
      </c>
      <c r="F1808" s="476">
        <v>134279</v>
      </c>
      <c r="G1808" s="476">
        <v>134299</v>
      </c>
      <c r="H1808" s="476">
        <v>134319</v>
      </c>
      <c r="I1808" s="476">
        <v>134339</v>
      </c>
      <c r="J1808" s="476">
        <v>134358</v>
      </c>
      <c r="K1808" s="476">
        <v>134378</v>
      </c>
    </row>
    <row r="1809" spans="1:11">
      <c r="A1809" s="479">
        <v>6846.5</v>
      </c>
      <c r="B1809" s="476">
        <v>134398</v>
      </c>
      <c r="C1809" s="476">
        <v>134418</v>
      </c>
      <c r="D1809" s="476">
        <v>134438</v>
      </c>
      <c r="E1809" s="476">
        <v>134457</v>
      </c>
      <c r="F1809" s="476">
        <v>134477</v>
      </c>
      <c r="G1809" s="476">
        <v>134497</v>
      </c>
      <c r="H1809" s="476">
        <v>134517</v>
      </c>
      <c r="I1809" s="476">
        <v>134537</v>
      </c>
      <c r="J1809" s="476">
        <v>134556</v>
      </c>
      <c r="K1809" s="476">
        <v>134576</v>
      </c>
    </row>
    <row r="1810" spans="1:11">
      <c r="A1810" s="479">
        <v>6846.6</v>
      </c>
      <c r="B1810" s="476">
        <v>134596</v>
      </c>
      <c r="C1810" s="476">
        <v>134616</v>
      </c>
      <c r="D1810" s="476">
        <v>134635</v>
      </c>
      <c r="E1810" s="476">
        <v>134655</v>
      </c>
      <c r="F1810" s="476">
        <v>134675</v>
      </c>
      <c r="G1810" s="476">
        <v>134695</v>
      </c>
      <c r="H1810" s="476">
        <v>134715</v>
      </c>
      <c r="I1810" s="476">
        <v>134734</v>
      </c>
      <c r="J1810" s="476">
        <v>134754</v>
      </c>
      <c r="K1810" s="476">
        <v>134774</v>
      </c>
    </row>
    <row r="1811" spans="1:11">
      <c r="A1811" s="479">
        <v>6846.7</v>
      </c>
      <c r="B1811" s="476">
        <v>134794</v>
      </c>
      <c r="C1811" s="476">
        <v>134814</v>
      </c>
      <c r="D1811" s="476">
        <v>134833</v>
      </c>
      <c r="E1811" s="476">
        <v>134853</v>
      </c>
      <c r="F1811" s="476">
        <v>134873</v>
      </c>
      <c r="G1811" s="476">
        <v>134893</v>
      </c>
      <c r="H1811" s="476">
        <v>134912</v>
      </c>
      <c r="I1811" s="476">
        <v>134932</v>
      </c>
      <c r="J1811" s="476">
        <v>134952</v>
      </c>
      <c r="K1811" s="476">
        <v>134972</v>
      </c>
    </row>
    <row r="1812" spans="1:11">
      <c r="A1812" s="479">
        <v>6846.8</v>
      </c>
      <c r="B1812" s="476">
        <v>134992</v>
      </c>
      <c r="C1812" s="476">
        <v>135011</v>
      </c>
      <c r="D1812" s="476">
        <v>135031</v>
      </c>
      <c r="E1812" s="476">
        <v>135051</v>
      </c>
      <c r="F1812" s="476">
        <v>135071</v>
      </c>
      <c r="G1812" s="476">
        <v>135091</v>
      </c>
      <c r="H1812" s="476">
        <v>135110</v>
      </c>
      <c r="I1812" s="476">
        <v>135130</v>
      </c>
      <c r="J1812" s="476">
        <v>135150</v>
      </c>
      <c r="K1812" s="476">
        <v>135170</v>
      </c>
    </row>
    <row r="1813" spans="1:11">
      <c r="A1813" s="479">
        <v>6846.9</v>
      </c>
      <c r="B1813" s="476">
        <v>135189</v>
      </c>
      <c r="C1813" s="476">
        <v>135209</v>
      </c>
      <c r="D1813" s="476">
        <v>135229</v>
      </c>
      <c r="E1813" s="476">
        <v>135249</v>
      </c>
      <c r="F1813" s="476">
        <v>135269</v>
      </c>
      <c r="G1813" s="476">
        <v>135288</v>
      </c>
      <c r="H1813" s="476">
        <v>135308</v>
      </c>
      <c r="I1813" s="476">
        <v>135328</v>
      </c>
      <c r="J1813" s="476">
        <v>135348</v>
      </c>
      <c r="K1813" s="476">
        <v>135368</v>
      </c>
    </row>
    <row r="1814" spans="1:11">
      <c r="A1814" s="479">
        <v>6847</v>
      </c>
      <c r="B1814" s="476">
        <v>135387</v>
      </c>
      <c r="C1814" s="476">
        <v>135407</v>
      </c>
      <c r="D1814" s="476">
        <v>135427</v>
      </c>
      <c r="E1814" s="476">
        <v>135447</v>
      </c>
      <c r="F1814" s="476">
        <v>135467</v>
      </c>
      <c r="G1814" s="476">
        <v>135487</v>
      </c>
      <c r="H1814" s="476">
        <v>135507</v>
      </c>
      <c r="I1814" s="476">
        <v>135527</v>
      </c>
      <c r="J1814" s="476">
        <v>135547</v>
      </c>
      <c r="K1814" s="476">
        <v>135567</v>
      </c>
    </row>
    <row r="1815" spans="1:11">
      <c r="A1815" s="479">
        <v>6847.1</v>
      </c>
      <c r="B1815" s="476">
        <v>135587</v>
      </c>
      <c r="C1815" s="476">
        <v>135607</v>
      </c>
      <c r="D1815" s="476">
        <v>135627</v>
      </c>
      <c r="E1815" s="476">
        <v>135647</v>
      </c>
      <c r="F1815" s="476">
        <v>135667</v>
      </c>
      <c r="G1815" s="476">
        <v>135687</v>
      </c>
      <c r="H1815" s="476">
        <v>135707</v>
      </c>
      <c r="I1815" s="476">
        <v>135727</v>
      </c>
      <c r="J1815" s="476">
        <v>135747</v>
      </c>
      <c r="K1815" s="476">
        <v>135767</v>
      </c>
    </row>
    <row r="1816" spans="1:11">
      <c r="A1816" s="479">
        <v>6847.2</v>
      </c>
      <c r="B1816" s="476">
        <v>135787</v>
      </c>
      <c r="C1816" s="476">
        <v>135807</v>
      </c>
      <c r="D1816" s="476">
        <v>135827</v>
      </c>
      <c r="E1816" s="476">
        <v>135847</v>
      </c>
      <c r="F1816" s="476">
        <v>135867</v>
      </c>
      <c r="G1816" s="476">
        <v>135887</v>
      </c>
      <c r="H1816" s="476">
        <v>135907</v>
      </c>
      <c r="I1816" s="476">
        <v>135927</v>
      </c>
      <c r="J1816" s="476">
        <v>135947</v>
      </c>
      <c r="K1816" s="476">
        <v>135967</v>
      </c>
    </row>
    <row r="1817" spans="1:11">
      <c r="A1817" s="479">
        <v>6847.3</v>
      </c>
      <c r="B1817" s="476">
        <v>135987</v>
      </c>
      <c r="C1817" s="476">
        <v>136007</v>
      </c>
      <c r="D1817" s="476">
        <v>136027</v>
      </c>
      <c r="E1817" s="476">
        <v>136047</v>
      </c>
      <c r="F1817" s="476">
        <v>136067</v>
      </c>
      <c r="G1817" s="476">
        <v>136087</v>
      </c>
      <c r="H1817" s="476">
        <v>136107</v>
      </c>
      <c r="I1817" s="476">
        <v>136127</v>
      </c>
      <c r="J1817" s="476">
        <v>136147</v>
      </c>
      <c r="K1817" s="476">
        <v>136167</v>
      </c>
    </row>
    <row r="1818" spans="1:11">
      <c r="A1818" s="479">
        <v>6847.4</v>
      </c>
      <c r="B1818" s="476">
        <v>136187</v>
      </c>
      <c r="C1818" s="476">
        <v>136207</v>
      </c>
      <c r="D1818" s="476">
        <v>136227</v>
      </c>
      <c r="E1818" s="476">
        <v>136247</v>
      </c>
      <c r="F1818" s="476">
        <v>136267</v>
      </c>
      <c r="G1818" s="476">
        <v>136287</v>
      </c>
      <c r="H1818" s="476">
        <v>136307</v>
      </c>
      <c r="I1818" s="476">
        <v>136327</v>
      </c>
      <c r="J1818" s="476">
        <v>136347</v>
      </c>
      <c r="K1818" s="476">
        <v>136367</v>
      </c>
    </row>
    <row r="1819" spans="1:11">
      <c r="A1819" s="479">
        <v>6847.5</v>
      </c>
      <c r="B1819" s="476">
        <v>136387</v>
      </c>
      <c r="C1819" s="476">
        <v>136407</v>
      </c>
      <c r="D1819" s="476">
        <v>136427</v>
      </c>
      <c r="E1819" s="476">
        <v>136447</v>
      </c>
      <c r="F1819" s="476">
        <v>136467</v>
      </c>
      <c r="G1819" s="476">
        <v>136487</v>
      </c>
      <c r="H1819" s="476">
        <v>136507</v>
      </c>
      <c r="I1819" s="476">
        <v>136527</v>
      </c>
      <c r="J1819" s="476">
        <v>136547</v>
      </c>
      <c r="K1819" s="476">
        <v>136567</v>
      </c>
    </row>
    <row r="1820" spans="1:11">
      <c r="A1820" s="479">
        <v>6847.6</v>
      </c>
      <c r="B1820" s="476">
        <v>136587</v>
      </c>
      <c r="C1820" s="476">
        <v>136607</v>
      </c>
      <c r="D1820" s="476">
        <v>136627</v>
      </c>
      <c r="E1820" s="476">
        <v>136647</v>
      </c>
      <c r="F1820" s="476">
        <v>136667</v>
      </c>
      <c r="G1820" s="476">
        <v>136687</v>
      </c>
      <c r="H1820" s="476">
        <v>136707</v>
      </c>
      <c r="I1820" s="476">
        <v>136727</v>
      </c>
      <c r="J1820" s="476">
        <v>136747</v>
      </c>
      <c r="K1820" s="476">
        <v>136767</v>
      </c>
    </row>
    <row r="1821" spans="1:11">
      <c r="A1821" s="479">
        <v>6847.7</v>
      </c>
      <c r="B1821" s="476">
        <v>136787</v>
      </c>
      <c r="C1821" s="476">
        <v>136807</v>
      </c>
      <c r="D1821" s="476">
        <v>136827</v>
      </c>
      <c r="E1821" s="476">
        <v>136847</v>
      </c>
      <c r="F1821" s="476">
        <v>136867</v>
      </c>
      <c r="G1821" s="476">
        <v>136887</v>
      </c>
      <c r="H1821" s="476">
        <v>136907</v>
      </c>
      <c r="I1821" s="476">
        <v>136927</v>
      </c>
      <c r="J1821" s="476">
        <v>136947</v>
      </c>
      <c r="K1821" s="476">
        <v>136967</v>
      </c>
    </row>
    <row r="1822" spans="1:11">
      <c r="A1822" s="479">
        <v>6847.8</v>
      </c>
      <c r="B1822" s="476">
        <v>136987</v>
      </c>
      <c r="C1822" s="476">
        <v>137007</v>
      </c>
      <c r="D1822" s="476">
        <v>137027</v>
      </c>
      <c r="E1822" s="476">
        <v>137047</v>
      </c>
      <c r="F1822" s="476">
        <v>137067</v>
      </c>
      <c r="G1822" s="476">
        <v>137087</v>
      </c>
      <c r="H1822" s="476">
        <v>137107</v>
      </c>
      <c r="I1822" s="476">
        <v>137127</v>
      </c>
      <c r="J1822" s="476">
        <v>137147</v>
      </c>
      <c r="K1822" s="476">
        <v>137167</v>
      </c>
    </row>
    <row r="1823" spans="1:11">
      <c r="A1823" s="479">
        <v>6847.9</v>
      </c>
      <c r="B1823" s="476">
        <v>137187</v>
      </c>
      <c r="C1823" s="476">
        <v>137207</v>
      </c>
      <c r="D1823" s="476">
        <v>137227</v>
      </c>
      <c r="E1823" s="476">
        <v>137247</v>
      </c>
      <c r="F1823" s="476">
        <v>137267</v>
      </c>
      <c r="G1823" s="476">
        <v>137287</v>
      </c>
      <c r="H1823" s="476">
        <v>137307</v>
      </c>
      <c r="I1823" s="476">
        <v>137327</v>
      </c>
      <c r="J1823" s="476">
        <v>137347</v>
      </c>
      <c r="K1823" s="476">
        <v>137367</v>
      </c>
    </row>
    <row r="1824" spans="1:11">
      <c r="A1824" s="479">
        <v>6848</v>
      </c>
      <c r="B1824" s="476">
        <v>137387</v>
      </c>
      <c r="C1824" s="476">
        <v>137407</v>
      </c>
      <c r="D1824" s="476">
        <v>137427</v>
      </c>
      <c r="E1824" s="476">
        <v>137447</v>
      </c>
      <c r="F1824" s="476">
        <v>137467</v>
      </c>
      <c r="G1824" s="476">
        <v>137488</v>
      </c>
      <c r="H1824" s="476">
        <v>137508</v>
      </c>
      <c r="I1824" s="476">
        <v>137528</v>
      </c>
      <c r="J1824" s="476">
        <v>137548</v>
      </c>
      <c r="K1824" s="476">
        <v>137568</v>
      </c>
    </row>
    <row r="1825" spans="1:11">
      <c r="A1825" s="479">
        <v>6848.1</v>
      </c>
      <c r="B1825" s="476">
        <v>137589</v>
      </c>
      <c r="C1825" s="476">
        <v>137609</v>
      </c>
      <c r="D1825" s="476">
        <v>137629</v>
      </c>
      <c r="E1825" s="476">
        <v>137649</v>
      </c>
      <c r="F1825" s="476">
        <v>137669</v>
      </c>
      <c r="G1825" s="476">
        <v>137690</v>
      </c>
      <c r="H1825" s="476">
        <v>137710</v>
      </c>
      <c r="I1825" s="476">
        <v>137730</v>
      </c>
      <c r="J1825" s="476">
        <v>137750</v>
      </c>
      <c r="K1825" s="476">
        <v>137770</v>
      </c>
    </row>
    <row r="1826" spans="1:11">
      <c r="A1826" s="479">
        <v>6848.2</v>
      </c>
      <c r="B1826" s="476">
        <v>137791</v>
      </c>
      <c r="C1826" s="476">
        <v>137811</v>
      </c>
      <c r="D1826" s="476">
        <v>137831</v>
      </c>
      <c r="E1826" s="476">
        <v>137851</v>
      </c>
      <c r="F1826" s="476">
        <v>137871</v>
      </c>
      <c r="G1826" s="476">
        <v>137892</v>
      </c>
      <c r="H1826" s="476">
        <v>137912</v>
      </c>
      <c r="I1826" s="476">
        <v>137932</v>
      </c>
      <c r="J1826" s="476">
        <v>137952</v>
      </c>
      <c r="K1826" s="476">
        <v>137972</v>
      </c>
    </row>
    <row r="1827" spans="1:11">
      <c r="A1827" s="479">
        <v>6848.3</v>
      </c>
      <c r="B1827" s="476">
        <v>137993</v>
      </c>
      <c r="C1827" s="476">
        <v>138013</v>
      </c>
      <c r="D1827" s="476">
        <v>138033</v>
      </c>
      <c r="E1827" s="476">
        <v>138053</v>
      </c>
      <c r="F1827" s="476">
        <v>138073</v>
      </c>
      <c r="G1827" s="476">
        <v>138094</v>
      </c>
      <c r="H1827" s="476">
        <v>138114</v>
      </c>
      <c r="I1827" s="476">
        <v>138134</v>
      </c>
      <c r="J1827" s="476">
        <v>138154</v>
      </c>
      <c r="K1827" s="476">
        <v>138174</v>
      </c>
    </row>
    <row r="1828" spans="1:11">
      <c r="A1828" s="479">
        <v>6848.4</v>
      </c>
      <c r="B1828" s="476">
        <v>138195</v>
      </c>
      <c r="C1828" s="476">
        <v>138215</v>
      </c>
      <c r="D1828" s="476">
        <v>138235</v>
      </c>
      <c r="E1828" s="476">
        <v>138255</v>
      </c>
      <c r="F1828" s="476">
        <v>138275</v>
      </c>
      <c r="G1828" s="476">
        <v>138296</v>
      </c>
      <c r="H1828" s="476">
        <v>138316</v>
      </c>
      <c r="I1828" s="476">
        <v>138336</v>
      </c>
      <c r="J1828" s="476">
        <v>138356</v>
      </c>
      <c r="K1828" s="476">
        <v>138376</v>
      </c>
    </row>
    <row r="1829" spans="1:11">
      <c r="A1829" s="479">
        <v>6848.5</v>
      </c>
      <c r="B1829" s="476">
        <v>138397</v>
      </c>
      <c r="C1829" s="476">
        <v>138417</v>
      </c>
      <c r="D1829" s="476">
        <v>138437</v>
      </c>
      <c r="E1829" s="476">
        <v>138457</v>
      </c>
      <c r="F1829" s="476">
        <v>138477</v>
      </c>
      <c r="G1829" s="476">
        <v>138498</v>
      </c>
      <c r="H1829" s="476">
        <v>138518</v>
      </c>
      <c r="I1829" s="476">
        <v>138538</v>
      </c>
      <c r="J1829" s="476">
        <v>138558</v>
      </c>
      <c r="K1829" s="476">
        <v>138578</v>
      </c>
    </row>
    <row r="1830" spans="1:11">
      <c r="A1830" s="479">
        <v>6848.6</v>
      </c>
      <c r="B1830" s="476">
        <v>138599</v>
      </c>
      <c r="C1830" s="476">
        <v>138619</v>
      </c>
      <c r="D1830" s="476">
        <v>138639</v>
      </c>
      <c r="E1830" s="476">
        <v>138659</v>
      </c>
      <c r="F1830" s="476">
        <v>138679</v>
      </c>
      <c r="G1830" s="476">
        <v>138700</v>
      </c>
      <c r="H1830" s="476">
        <v>138720</v>
      </c>
      <c r="I1830" s="476">
        <v>138740</v>
      </c>
      <c r="J1830" s="476">
        <v>138760</v>
      </c>
      <c r="K1830" s="476">
        <v>138780</v>
      </c>
    </row>
    <row r="1831" spans="1:11">
      <c r="A1831" s="479">
        <v>6848.7</v>
      </c>
      <c r="B1831" s="476">
        <v>138801</v>
      </c>
      <c r="C1831" s="476">
        <v>138821</v>
      </c>
      <c r="D1831" s="476">
        <v>138841</v>
      </c>
      <c r="E1831" s="476">
        <v>138861</v>
      </c>
      <c r="F1831" s="476">
        <v>138881</v>
      </c>
      <c r="G1831" s="476">
        <v>138902</v>
      </c>
      <c r="H1831" s="476">
        <v>138922</v>
      </c>
      <c r="I1831" s="476">
        <v>138942</v>
      </c>
      <c r="J1831" s="476">
        <v>138962</v>
      </c>
      <c r="K1831" s="476">
        <v>138982</v>
      </c>
    </row>
    <row r="1832" spans="1:11">
      <c r="A1832" s="479">
        <v>6848.8</v>
      </c>
      <c r="B1832" s="476">
        <v>139003</v>
      </c>
      <c r="C1832" s="476">
        <v>139023</v>
      </c>
      <c r="D1832" s="476">
        <v>139043</v>
      </c>
      <c r="E1832" s="476">
        <v>139063</v>
      </c>
      <c r="F1832" s="476">
        <v>139083</v>
      </c>
      <c r="G1832" s="476">
        <v>139104</v>
      </c>
      <c r="H1832" s="476">
        <v>139124</v>
      </c>
      <c r="I1832" s="476">
        <v>139144</v>
      </c>
      <c r="J1832" s="476">
        <v>139164</v>
      </c>
      <c r="K1832" s="476">
        <v>139185</v>
      </c>
    </row>
    <row r="1833" spans="1:11">
      <c r="A1833" s="479">
        <v>6848.9</v>
      </c>
      <c r="B1833" s="476">
        <v>139205</v>
      </c>
      <c r="C1833" s="476">
        <v>139225</v>
      </c>
      <c r="D1833" s="476">
        <v>139245</v>
      </c>
      <c r="E1833" s="476">
        <v>139265</v>
      </c>
      <c r="F1833" s="476">
        <v>139286</v>
      </c>
      <c r="G1833" s="476">
        <v>139306</v>
      </c>
      <c r="H1833" s="476">
        <v>139326</v>
      </c>
      <c r="I1833" s="476">
        <v>139346</v>
      </c>
      <c r="J1833" s="476">
        <v>139366</v>
      </c>
      <c r="K1833" s="476">
        <v>139387</v>
      </c>
    </row>
    <row r="1834" spans="1:11">
      <c r="A1834" s="479">
        <v>6849</v>
      </c>
      <c r="B1834" s="476">
        <v>139407</v>
      </c>
      <c r="C1834" s="476">
        <v>139427</v>
      </c>
      <c r="D1834" s="476">
        <v>139448</v>
      </c>
      <c r="E1834" s="476">
        <v>139468</v>
      </c>
      <c r="F1834" s="476">
        <v>139488</v>
      </c>
      <c r="G1834" s="476">
        <v>139509</v>
      </c>
      <c r="H1834" s="476">
        <v>139529</v>
      </c>
      <c r="I1834" s="476">
        <v>139550</v>
      </c>
      <c r="J1834" s="476">
        <v>139570</v>
      </c>
      <c r="K1834" s="476">
        <v>139590</v>
      </c>
    </row>
    <row r="1835" spans="1:11">
      <c r="A1835" s="479">
        <v>6849.1</v>
      </c>
      <c r="B1835" s="476">
        <v>139611</v>
      </c>
      <c r="C1835" s="476">
        <v>139631</v>
      </c>
      <c r="D1835" s="476">
        <v>139652</v>
      </c>
      <c r="E1835" s="476">
        <v>139672</v>
      </c>
      <c r="F1835" s="476">
        <v>139693</v>
      </c>
      <c r="G1835" s="476">
        <v>139713</v>
      </c>
      <c r="H1835" s="476">
        <v>139733</v>
      </c>
      <c r="I1835" s="476">
        <v>139754</v>
      </c>
      <c r="J1835" s="476">
        <v>139774</v>
      </c>
      <c r="K1835" s="476">
        <v>139795</v>
      </c>
    </row>
    <row r="1836" spans="1:11">
      <c r="A1836" s="479">
        <v>6849.2</v>
      </c>
      <c r="B1836" s="476">
        <v>139815</v>
      </c>
      <c r="C1836" s="476">
        <v>139835</v>
      </c>
      <c r="D1836" s="476">
        <v>139856</v>
      </c>
      <c r="E1836" s="476">
        <v>139876</v>
      </c>
      <c r="F1836" s="476">
        <v>139897</v>
      </c>
      <c r="G1836" s="476">
        <v>139917</v>
      </c>
      <c r="H1836" s="476">
        <v>139937</v>
      </c>
      <c r="I1836" s="476">
        <v>139958</v>
      </c>
      <c r="J1836" s="476">
        <v>139978</v>
      </c>
      <c r="K1836" s="476">
        <v>139999</v>
      </c>
    </row>
    <row r="1837" spans="1:11">
      <c r="A1837" s="479">
        <v>6849.3</v>
      </c>
      <c r="B1837" s="476">
        <v>140019</v>
      </c>
      <c r="C1837" s="476">
        <v>140040</v>
      </c>
      <c r="D1837" s="476">
        <v>140060</v>
      </c>
      <c r="E1837" s="476">
        <v>140080</v>
      </c>
      <c r="F1837" s="476">
        <v>140101</v>
      </c>
      <c r="G1837" s="476">
        <v>140121</v>
      </c>
      <c r="H1837" s="476">
        <v>140142</v>
      </c>
      <c r="I1837" s="476">
        <v>140162</v>
      </c>
      <c r="J1837" s="476">
        <v>140182</v>
      </c>
      <c r="K1837" s="476">
        <v>140203</v>
      </c>
    </row>
    <row r="1838" spans="1:11">
      <c r="A1838" s="479">
        <v>6849.4</v>
      </c>
      <c r="B1838" s="476">
        <v>140223</v>
      </c>
      <c r="C1838" s="476">
        <v>140244</v>
      </c>
      <c r="D1838" s="476">
        <v>140264</v>
      </c>
      <c r="E1838" s="476">
        <v>140284</v>
      </c>
      <c r="F1838" s="476">
        <v>140305</v>
      </c>
      <c r="G1838" s="476">
        <v>140325</v>
      </c>
      <c r="H1838" s="476">
        <v>140346</v>
      </c>
      <c r="I1838" s="476">
        <v>140366</v>
      </c>
      <c r="J1838" s="476">
        <v>140387</v>
      </c>
      <c r="K1838" s="476">
        <v>140407</v>
      </c>
    </row>
    <row r="1839" spans="1:11">
      <c r="A1839" s="479">
        <v>6849.5</v>
      </c>
      <c r="B1839" s="476">
        <v>140427</v>
      </c>
      <c r="C1839" s="476">
        <v>140448</v>
      </c>
      <c r="D1839" s="476">
        <v>140468</v>
      </c>
      <c r="E1839" s="476">
        <v>140489</v>
      </c>
      <c r="F1839" s="476">
        <v>140509</v>
      </c>
      <c r="G1839" s="476">
        <v>140529</v>
      </c>
      <c r="H1839" s="476">
        <v>140550</v>
      </c>
      <c r="I1839" s="476">
        <v>140570</v>
      </c>
      <c r="J1839" s="476">
        <v>140591</v>
      </c>
      <c r="K1839" s="476">
        <v>140611</v>
      </c>
    </row>
    <row r="1840" spans="1:11">
      <c r="A1840" s="479">
        <v>6849.6</v>
      </c>
      <c r="B1840" s="476">
        <v>140632</v>
      </c>
      <c r="C1840" s="476">
        <v>140652</v>
      </c>
      <c r="D1840" s="476">
        <v>140672</v>
      </c>
      <c r="E1840" s="476">
        <v>140693</v>
      </c>
      <c r="F1840" s="476">
        <v>140713</v>
      </c>
      <c r="G1840" s="476">
        <v>140734</v>
      </c>
      <c r="H1840" s="476">
        <v>140754</v>
      </c>
      <c r="I1840" s="476">
        <v>140774</v>
      </c>
      <c r="J1840" s="476">
        <v>140795</v>
      </c>
      <c r="K1840" s="476">
        <v>140815</v>
      </c>
    </row>
    <row r="1841" spans="1:11">
      <c r="A1841" s="479">
        <v>6849.7</v>
      </c>
      <c r="B1841" s="476">
        <v>140836</v>
      </c>
      <c r="C1841" s="476">
        <v>140856</v>
      </c>
      <c r="D1841" s="476">
        <v>140876</v>
      </c>
      <c r="E1841" s="476">
        <v>140897</v>
      </c>
      <c r="F1841" s="476">
        <v>140917</v>
      </c>
      <c r="G1841" s="476">
        <v>140938</v>
      </c>
      <c r="H1841" s="476">
        <v>140958</v>
      </c>
      <c r="I1841" s="476">
        <v>140979</v>
      </c>
      <c r="J1841" s="476">
        <v>140999</v>
      </c>
      <c r="K1841" s="476">
        <v>141019</v>
      </c>
    </row>
    <row r="1842" spans="1:11">
      <c r="A1842" s="479">
        <v>6849.8</v>
      </c>
      <c r="B1842" s="476">
        <v>141040</v>
      </c>
      <c r="C1842" s="476">
        <v>141060</v>
      </c>
      <c r="D1842" s="476">
        <v>141081</v>
      </c>
      <c r="E1842" s="476">
        <v>141101</v>
      </c>
      <c r="F1842" s="476">
        <v>141121</v>
      </c>
      <c r="G1842" s="476">
        <v>141142</v>
      </c>
      <c r="H1842" s="476">
        <v>141162</v>
      </c>
      <c r="I1842" s="476">
        <v>141183</v>
      </c>
      <c r="J1842" s="476">
        <v>141203</v>
      </c>
      <c r="K1842" s="476">
        <v>141224</v>
      </c>
    </row>
    <row r="1843" spans="1:11">
      <c r="A1843" s="479">
        <v>6849.9</v>
      </c>
      <c r="B1843" s="476">
        <v>141244</v>
      </c>
      <c r="C1843" s="476">
        <v>141264</v>
      </c>
      <c r="D1843" s="476">
        <v>141285</v>
      </c>
      <c r="E1843" s="476">
        <v>141305</v>
      </c>
      <c r="F1843" s="476">
        <v>141326</v>
      </c>
      <c r="G1843" s="476">
        <v>141346</v>
      </c>
      <c r="H1843" s="476">
        <v>141366</v>
      </c>
      <c r="I1843" s="476">
        <v>141387</v>
      </c>
      <c r="J1843" s="476">
        <v>141407</v>
      </c>
      <c r="K1843" s="476">
        <v>141428</v>
      </c>
    </row>
    <row r="1844" spans="1:11">
      <c r="A1844" s="479">
        <v>6850</v>
      </c>
      <c r="B1844" s="476">
        <v>141448</v>
      </c>
      <c r="C1844" s="476">
        <v>141469</v>
      </c>
      <c r="D1844" s="476">
        <v>141489</v>
      </c>
      <c r="E1844" s="476">
        <v>141510</v>
      </c>
      <c r="F1844" s="476">
        <v>141531</v>
      </c>
      <c r="G1844" s="476">
        <v>141551</v>
      </c>
      <c r="H1844" s="476">
        <v>141572</v>
      </c>
      <c r="I1844" s="476">
        <v>141592</v>
      </c>
      <c r="J1844" s="476">
        <v>141613</v>
      </c>
      <c r="K1844" s="476">
        <v>141634</v>
      </c>
    </row>
    <row r="1845" spans="1:11">
      <c r="A1845" s="479">
        <v>6850.1</v>
      </c>
      <c r="B1845" s="476">
        <v>141654</v>
      </c>
      <c r="C1845" s="476">
        <v>141675</v>
      </c>
      <c r="D1845" s="476">
        <v>141696</v>
      </c>
      <c r="E1845" s="476">
        <v>141716</v>
      </c>
      <c r="F1845" s="476">
        <v>141737</v>
      </c>
      <c r="G1845" s="476">
        <v>141757</v>
      </c>
      <c r="H1845" s="476">
        <v>141778</v>
      </c>
      <c r="I1845" s="476">
        <v>141799</v>
      </c>
      <c r="J1845" s="476">
        <v>141819</v>
      </c>
      <c r="K1845" s="476">
        <v>141840</v>
      </c>
    </row>
    <row r="1846" spans="1:11">
      <c r="A1846" s="479">
        <v>6850.2</v>
      </c>
      <c r="B1846" s="476">
        <v>141861</v>
      </c>
      <c r="C1846" s="476">
        <v>141881</v>
      </c>
      <c r="D1846" s="476">
        <v>141902</v>
      </c>
      <c r="E1846" s="476">
        <v>141922</v>
      </c>
      <c r="F1846" s="476">
        <v>141943</v>
      </c>
      <c r="G1846" s="476">
        <v>141964</v>
      </c>
      <c r="H1846" s="476">
        <v>141984</v>
      </c>
      <c r="I1846" s="476">
        <v>142005</v>
      </c>
      <c r="J1846" s="476">
        <v>142026</v>
      </c>
      <c r="K1846" s="476">
        <v>142046</v>
      </c>
    </row>
    <row r="1847" spans="1:11">
      <c r="A1847" s="479">
        <v>6850.3</v>
      </c>
      <c r="B1847" s="476">
        <v>142067</v>
      </c>
      <c r="C1847" s="476">
        <v>142087</v>
      </c>
      <c r="D1847" s="476">
        <v>142108</v>
      </c>
      <c r="E1847" s="476">
        <v>142129</v>
      </c>
      <c r="F1847" s="476">
        <v>142149</v>
      </c>
      <c r="G1847" s="476">
        <v>142170</v>
      </c>
      <c r="H1847" s="476">
        <v>142191</v>
      </c>
      <c r="I1847" s="476">
        <v>142211</v>
      </c>
      <c r="J1847" s="476">
        <v>142232</v>
      </c>
      <c r="K1847" s="476">
        <v>142253</v>
      </c>
    </row>
    <row r="1848" spans="1:11">
      <c r="A1848" s="479">
        <v>6850.4</v>
      </c>
      <c r="B1848" s="476">
        <v>142273</v>
      </c>
      <c r="C1848" s="476">
        <v>142294</v>
      </c>
      <c r="D1848" s="476">
        <v>142314</v>
      </c>
      <c r="E1848" s="476">
        <v>142335</v>
      </c>
      <c r="F1848" s="476">
        <v>142356</v>
      </c>
      <c r="G1848" s="476">
        <v>142376</v>
      </c>
      <c r="H1848" s="476">
        <v>142397</v>
      </c>
      <c r="I1848" s="476">
        <v>142418</v>
      </c>
      <c r="J1848" s="476">
        <v>142438</v>
      </c>
      <c r="K1848" s="476">
        <v>142459</v>
      </c>
    </row>
    <row r="1849" spans="1:11">
      <c r="A1849" s="479">
        <v>6850.5</v>
      </c>
      <c r="B1849" s="476">
        <v>142479</v>
      </c>
      <c r="C1849" s="476">
        <v>142500</v>
      </c>
      <c r="D1849" s="476">
        <v>142521</v>
      </c>
      <c r="E1849" s="476">
        <v>142541</v>
      </c>
      <c r="F1849" s="476">
        <v>142562</v>
      </c>
      <c r="G1849" s="476">
        <v>142583</v>
      </c>
      <c r="H1849" s="476">
        <v>142603</v>
      </c>
      <c r="I1849" s="476">
        <v>142624</v>
      </c>
      <c r="J1849" s="476">
        <v>142644</v>
      </c>
      <c r="K1849" s="476">
        <v>142665</v>
      </c>
    </row>
    <row r="1850" spans="1:11">
      <c r="A1850" s="479">
        <v>6850.6</v>
      </c>
      <c r="B1850" s="476">
        <v>142686</v>
      </c>
      <c r="C1850" s="476">
        <v>142706</v>
      </c>
      <c r="D1850" s="476">
        <v>142727</v>
      </c>
      <c r="E1850" s="476">
        <v>142748</v>
      </c>
      <c r="F1850" s="476">
        <v>142768</v>
      </c>
      <c r="G1850" s="476">
        <v>142789</v>
      </c>
      <c r="H1850" s="476">
        <v>142809</v>
      </c>
      <c r="I1850" s="476">
        <v>142830</v>
      </c>
      <c r="J1850" s="476">
        <v>142851</v>
      </c>
      <c r="K1850" s="476">
        <v>142871</v>
      </c>
    </row>
    <row r="1851" spans="1:11">
      <c r="A1851" s="479">
        <v>6850.7</v>
      </c>
      <c r="B1851" s="476">
        <v>142892</v>
      </c>
      <c r="C1851" s="476">
        <v>142913</v>
      </c>
      <c r="D1851" s="476">
        <v>142933</v>
      </c>
      <c r="E1851" s="476">
        <v>142954</v>
      </c>
      <c r="F1851" s="476">
        <v>142974</v>
      </c>
      <c r="G1851" s="476">
        <v>142995</v>
      </c>
      <c r="H1851" s="476">
        <v>143016</v>
      </c>
      <c r="I1851" s="476">
        <v>143036</v>
      </c>
      <c r="J1851" s="476">
        <v>143057</v>
      </c>
      <c r="K1851" s="476">
        <v>143078</v>
      </c>
    </row>
    <row r="1852" spans="1:11">
      <c r="A1852" s="479">
        <v>6850.8</v>
      </c>
      <c r="B1852" s="476">
        <v>143098</v>
      </c>
      <c r="C1852" s="476">
        <v>143119</v>
      </c>
      <c r="D1852" s="476">
        <v>143139</v>
      </c>
      <c r="E1852" s="476">
        <v>143160</v>
      </c>
      <c r="F1852" s="476">
        <v>143181</v>
      </c>
      <c r="G1852" s="476">
        <v>143201</v>
      </c>
      <c r="H1852" s="476">
        <v>143222</v>
      </c>
      <c r="I1852" s="476">
        <v>143243</v>
      </c>
      <c r="J1852" s="476">
        <v>143263</v>
      </c>
      <c r="K1852" s="476">
        <v>143284</v>
      </c>
    </row>
    <row r="1853" spans="1:11">
      <c r="A1853" s="479">
        <v>6850.9</v>
      </c>
      <c r="B1853" s="476">
        <v>143304</v>
      </c>
      <c r="C1853" s="476">
        <v>143325</v>
      </c>
      <c r="D1853" s="476">
        <v>143346</v>
      </c>
      <c r="E1853" s="476">
        <v>143366</v>
      </c>
      <c r="F1853" s="476">
        <v>143387</v>
      </c>
      <c r="G1853" s="476">
        <v>143408</v>
      </c>
      <c r="H1853" s="476">
        <v>143428</v>
      </c>
      <c r="I1853" s="476">
        <v>143449</v>
      </c>
      <c r="J1853" s="476">
        <v>143469</v>
      </c>
      <c r="K1853" s="476">
        <v>143490</v>
      </c>
    </row>
    <row r="1854" spans="1:11">
      <c r="A1854" s="479">
        <v>6851</v>
      </c>
      <c r="B1854" s="476">
        <v>143511</v>
      </c>
      <c r="C1854" s="476">
        <v>143532</v>
      </c>
      <c r="D1854" s="476">
        <v>143552</v>
      </c>
      <c r="E1854" s="476">
        <v>143573</v>
      </c>
      <c r="F1854" s="476">
        <v>143594</v>
      </c>
      <c r="G1854" s="476">
        <v>143615</v>
      </c>
      <c r="H1854" s="476">
        <v>143636</v>
      </c>
      <c r="I1854" s="476">
        <v>143657</v>
      </c>
      <c r="J1854" s="476">
        <v>143677</v>
      </c>
      <c r="K1854" s="476">
        <v>143698</v>
      </c>
    </row>
    <row r="1855" spans="1:11">
      <c r="A1855" s="479">
        <v>6851.1</v>
      </c>
      <c r="B1855" s="476">
        <v>143719</v>
      </c>
      <c r="C1855" s="476">
        <v>143740</v>
      </c>
      <c r="D1855" s="476">
        <v>143761</v>
      </c>
      <c r="E1855" s="476">
        <v>143782</v>
      </c>
      <c r="F1855" s="476">
        <v>143803</v>
      </c>
      <c r="G1855" s="476">
        <v>143823</v>
      </c>
      <c r="H1855" s="476">
        <v>143844</v>
      </c>
      <c r="I1855" s="476">
        <v>143865</v>
      </c>
      <c r="J1855" s="476">
        <v>143886</v>
      </c>
      <c r="K1855" s="476">
        <v>143907</v>
      </c>
    </row>
    <row r="1856" spans="1:11">
      <c r="A1856" s="479">
        <v>6851.2</v>
      </c>
      <c r="B1856" s="476">
        <v>143928</v>
      </c>
      <c r="C1856" s="476">
        <v>143948</v>
      </c>
      <c r="D1856" s="476">
        <v>143969</v>
      </c>
      <c r="E1856" s="476">
        <v>143990</v>
      </c>
      <c r="F1856" s="476">
        <v>144011</v>
      </c>
      <c r="G1856" s="476">
        <v>144032</v>
      </c>
      <c r="H1856" s="476">
        <v>144053</v>
      </c>
      <c r="I1856" s="476">
        <v>144073</v>
      </c>
      <c r="J1856" s="476">
        <v>144094</v>
      </c>
      <c r="K1856" s="476">
        <v>144115</v>
      </c>
    </row>
    <row r="1857" spans="1:11">
      <c r="A1857" s="479">
        <v>6851.3</v>
      </c>
      <c r="B1857" s="476">
        <v>144136</v>
      </c>
      <c r="C1857" s="476">
        <v>144157</v>
      </c>
      <c r="D1857" s="476">
        <v>144178</v>
      </c>
      <c r="E1857" s="476">
        <v>144199</v>
      </c>
      <c r="F1857" s="476">
        <v>144219</v>
      </c>
      <c r="G1857" s="476">
        <v>144240</v>
      </c>
      <c r="H1857" s="476">
        <v>144261</v>
      </c>
      <c r="I1857" s="476">
        <v>144282</v>
      </c>
      <c r="J1857" s="476">
        <v>144303</v>
      </c>
      <c r="K1857" s="476">
        <v>144324</v>
      </c>
    </row>
    <row r="1858" spans="1:11">
      <c r="A1858" s="479">
        <v>6851.4</v>
      </c>
      <c r="B1858" s="476">
        <v>144344</v>
      </c>
      <c r="C1858" s="476">
        <v>144365</v>
      </c>
      <c r="D1858" s="476">
        <v>144386</v>
      </c>
      <c r="E1858" s="476">
        <v>144407</v>
      </c>
      <c r="F1858" s="476">
        <v>144428</v>
      </c>
      <c r="G1858" s="476">
        <v>144449</v>
      </c>
      <c r="H1858" s="476">
        <v>144469</v>
      </c>
      <c r="I1858" s="476">
        <v>144490</v>
      </c>
      <c r="J1858" s="476">
        <v>144511</v>
      </c>
      <c r="K1858" s="476">
        <v>144532</v>
      </c>
    </row>
    <row r="1859" spans="1:11">
      <c r="A1859" s="479">
        <v>6851.5</v>
      </c>
      <c r="B1859" s="476">
        <v>144553</v>
      </c>
      <c r="C1859" s="476">
        <v>144574</v>
      </c>
      <c r="D1859" s="476">
        <v>144595</v>
      </c>
      <c r="E1859" s="476">
        <v>144615</v>
      </c>
      <c r="F1859" s="476">
        <v>144636</v>
      </c>
      <c r="G1859" s="476">
        <v>144657</v>
      </c>
      <c r="H1859" s="476">
        <v>144678</v>
      </c>
      <c r="I1859" s="476">
        <v>144699</v>
      </c>
      <c r="J1859" s="476">
        <v>144720</v>
      </c>
      <c r="K1859" s="476">
        <v>144740</v>
      </c>
    </row>
    <row r="1860" spans="1:11">
      <c r="A1860" s="479">
        <v>6851.6</v>
      </c>
      <c r="B1860" s="476">
        <v>144761</v>
      </c>
      <c r="C1860" s="476">
        <v>144782</v>
      </c>
      <c r="D1860" s="476">
        <v>144803</v>
      </c>
      <c r="E1860" s="476">
        <v>144824</v>
      </c>
      <c r="F1860" s="476">
        <v>144845</v>
      </c>
      <c r="G1860" s="476">
        <v>144865</v>
      </c>
      <c r="H1860" s="476">
        <v>144886</v>
      </c>
      <c r="I1860" s="476">
        <v>144907</v>
      </c>
      <c r="J1860" s="476">
        <v>144928</v>
      </c>
      <c r="K1860" s="476">
        <v>144949</v>
      </c>
    </row>
    <row r="1861" spans="1:11">
      <c r="A1861" s="479">
        <v>6851.7</v>
      </c>
      <c r="B1861" s="476">
        <v>144970</v>
      </c>
      <c r="C1861" s="476">
        <v>144991</v>
      </c>
      <c r="D1861" s="476">
        <v>145011</v>
      </c>
      <c r="E1861" s="476">
        <v>145032</v>
      </c>
      <c r="F1861" s="476">
        <v>145053</v>
      </c>
      <c r="G1861" s="476">
        <v>145074</v>
      </c>
      <c r="H1861" s="476">
        <v>145095</v>
      </c>
      <c r="I1861" s="476">
        <v>145116</v>
      </c>
      <c r="J1861" s="476">
        <v>145136</v>
      </c>
      <c r="K1861" s="476">
        <v>145151</v>
      </c>
    </row>
    <row r="1862" spans="1:11">
      <c r="A1862" s="479">
        <v>6851.8</v>
      </c>
      <c r="B1862" s="476">
        <v>145178</v>
      </c>
      <c r="C1862" s="476">
        <v>145199</v>
      </c>
      <c r="D1862" s="476">
        <v>145220</v>
      </c>
      <c r="E1862" s="476">
        <v>145241</v>
      </c>
      <c r="F1862" s="476">
        <v>145261</v>
      </c>
      <c r="G1862" s="476">
        <v>145282</v>
      </c>
      <c r="H1862" s="476">
        <v>145303</v>
      </c>
      <c r="I1862" s="476">
        <v>145324</v>
      </c>
      <c r="J1862" s="476">
        <v>145345</v>
      </c>
      <c r="K1862" s="476">
        <v>145366</v>
      </c>
    </row>
    <row r="1863" spans="1:11">
      <c r="A1863" s="479">
        <v>6851.9</v>
      </c>
      <c r="B1863" s="476">
        <v>145387</v>
      </c>
      <c r="C1863" s="476">
        <v>145407</v>
      </c>
      <c r="D1863" s="476">
        <v>145428</v>
      </c>
      <c r="E1863" s="476">
        <v>145449</v>
      </c>
      <c r="F1863" s="476">
        <v>145470</v>
      </c>
      <c r="G1863" s="476">
        <v>145491</v>
      </c>
      <c r="H1863" s="476">
        <v>145512</v>
      </c>
      <c r="I1863" s="476">
        <v>145532</v>
      </c>
      <c r="J1863" s="476">
        <v>145553</v>
      </c>
      <c r="K1863" s="476">
        <v>145574</v>
      </c>
    </row>
    <row r="1864" spans="1:11">
      <c r="A1864" s="479">
        <v>6852</v>
      </c>
      <c r="B1864" s="476">
        <v>145595</v>
      </c>
      <c r="C1864" s="476">
        <v>145616</v>
      </c>
      <c r="D1864" s="476">
        <v>145637</v>
      </c>
      <c r="E1864" s="476">
        <v>145658</v>
      </c>
      <c r="F1864" s="476">
        <v>145679</v>
      </c>
      <c r="G1864" s="476">
        <v>145700</v>
      </c>
      <c r="H1864" s="476">
        <v>145721</v>
      </c>
      <c r="I1864" s="476">
        <v>145742</v>
      </c>
      <c r="J1864" s="476">
        <v>145763</v>
      </c>
      <c r="K1864" s="476">
        <v>145784</v>
      </c>
    </row>
    <row r="1865" spans="1:11">
      <c r="A1865" s="479">
        <v>6852.1</v>
      </c>
      <c r="B1865" s="476">
        <v>145806</v>
      </c>
      <c r="C1865" s="476">
        <v>145827</v>
      </c>
      <c r="D1865" s="476">
        <v>145848</v>
      </c>
      <c r="E1865" s="476">
        <v>145869</v>
      </c>
      <c r="F1865" s="476">
        <v>145890</v>
      </c>
      <c r="G1865" s="476">
        <v>145911</v>
      </c>
      <c r="H1865" s="476">
        <v>145932</v>
      </c>
      <c r="I1865" s="476">
        <v>145953</v>
      </c>
      <c r="J1865" s="476">
        <v>145974</v>
      </c>
      <c r="K1865" s="476">
        <v>145995</v>
      </c>
    </row>
    <row r="1866" spans="1:11">
      <c r="A1866" s="479">
        <v>6852.2</v>
      </c>
      <c r="B1866" s="476">
        <v>146016</v>
      </c>
      <c r="C1866" s="476">
        <v>146037</v>
      </c>
      <c r="D1866" s="476">
        <v>146058</v>
      </c>
      <c r="E1866" s="476">
        <v>146079</v>
      </c>
      <c r="F1866" s="476">
        <v>146100</v>
      </c>
      <c r="G1866" s="476">
        <v>146121</v>
      </c>
      <c r="H1866" s="476">
        <v>146142</v>
      </c>
      <c r="I1866" s="476">
        <v>146164</v>
      </c>
      <c r="J1866" s="476">
        <v>146185</v>
      </c>
      <c r="K1866" s="476">
        <v>146206</v>
      </c>
    </row>
    <row r="1867" spans="1:11">
      <c r="A1867" s="479">
        <v>6852.3</v>
      </c>
      <c r="B1867" s="476">
        <v>146227</v>
      </c>
      <c r="C1867" s="476">
        <v>146248</v>
      </c>
      <c r="D1867" s="476">
        <v>146269</v>
      </c>
      <c r="E1867" s="476">
        <v>146290</v>
      </c>
      <c r="F1867" s="476">
        <v>146311</v>
      </c>
      <c r="G1867" s="476">
        <v>146332</v>
      </c>
      <c r="H1867" s="476">
        <v>146353</v>
      </c>
      <c r="I1867" s="476">
        <v>146374</v>
      </c>
      <c r="J1867" s="476">
        <v>146395</v>
      </c>
      <c r="K1867" s="476">
        <v>146416</v>
      </c>
    </row>
    <row r="1868" spans="1:11">
      <c r="A1868" s="479">
        <v>6852.4</v>
      </c>
      <c r="B1868" s="476">
        <v>146437</v>
      </c>
      <c r="C1868" s="476">
        <v>146458</v>
      </c>
      <c r="D1868" s="476">
        <v>146479</v>
      </c>
      <c r="E1868" s="476">
        <v>146500</v>
      </c>
      <c r="F1868" s="476">
        <v>146522</v>
      </c>
      <c r="G1868" s="476">
        <v>146543</v>
      </c>
      <c r="H1868" s="476">
        <v>146564</v>
      </c>
      <c r="I1868" s="476">
        <v>146585</v>
      </c>
      <c r="J1868" s="476">
        <v>146606</v>
      </c>
      <c r="K1868" s="476">
        <v>146627</v>
      </c>
    </row>
    <row r="1869" spans="1:11">
      <c r="A1869" s="479">
        <v>6852.5</v>
      </c>
      <c r="B1869" s="476">
        <v>146648</v>
      </c>
      <c r="C1869" s="476">
        <v>146669</v>
      </c>
      <c r="D1869" s="476">
        <v>146690</v>
      </c>
      <c r="E1869" s="476">
        <v>146711</v>
      </c>
      <c r="F1869" s="476">
        <v>146732</v>
      </c>
      <c r="G1869" s="476">
        <v>146753</v>
      </c>
      <c r="H1869" s="476">
        <v>146774</v>
      </c>
      <c r="I1869" s="476">
        <v>146795</v>
      </c>
      <c r="J1869" s="476">
        <v>146816</v>
      </c>
      <c r="K1869" s="476">
        <v>146837</v>
      </c>
    </row>
    <row r="1870" spans="1:11">
      <c r="A1870" s="479">
        <v>6852.6</v>
      </c>
      <c r="B1870" s="476">
        <v>146858</v>
      </c>
      <c r="C1870" s="476">
        <v>146880</v>
      </c>
      <c r="D1870" s="476">
        <v>146901</v>
      </c>
      <c r="E1870" s="476">
        <v>146922</v>
      </c>
      <c r="F1870" s="476">
        <v>146943</v>
      </c>
      <c r="G1870" s="476">
        <v>146964</v>
      </c>
      <c r="H1870" s="476">
        <v>146985</v>
      </c>
      <c r="I1870" s="476">
        <v>147006</v>
      </c>
      <c r="J1870" s="476">
        <v>147027</v>
      </c>
      <c r="K1870" s="476">
        <v>147048</v>
      </c>
    </row>
    <row r="1871" spans="1:11">
      <c r="A1871" s="479">
        <v>6852.7</v>
      </c>
      <c r="B1871" s="476">
        <v>147069</v>
      </c>
      <c r="C1871" s="476">
        <v>147090</v>
      </c>
      <c r="D1871" s="476">
        <v>147111</v>
      </c>
      <c r="E1871" s="476">
        <v>147132</v>
      </c>
      <c r="F1871" s="476">
        <v>147153</v>
      </c>
      <c r="G1871" s="476">
        <v>147174</v>
      </c>
      <c r="H1871" s="476">
        <v>147195</v>
      </c>
      <c r="I1871" s="476">
        <v>147216</v>
      </c>
      <c r="J1871" s="476">
        <v>147238</v>
      </c>
      <c r="K1871" s="476">
        <v>147259</v>
      </c>
    </row>
    <row r="1872" spans="1:11">
      <c r="A1872" s="479">
        <v>6852.8</v>
      </c>
      <c r="B1872" s="476">
        <v>147280</v>
      </c>
      <c r="C1872" s="476">
        <v>147301</v>
      </c>
      <c r="D1872" s="476">
        <v>147322</v>
      </c>
      <c r="E1872" s="476">
        <v>147343</v>
      </c>
      <c r="F1872" s="476">
        <v>147364</v>
      </c>
      <c r="G1872" s="476">
        <v>147385</v>
      </c>
      <c r="H1872" s="476">
        <v>147406</v>
      </c>
      <c r="I1872" s="476">
        <v>147427</v>
      </c>
      <c r="J1872" s="476">
        <v>147448</v>
      </c>
      <c r="K1872" s="476">
        <v>147469</v>
      </c>
    </row>
    <row r="1873" spans="1:11">
      <c r="A1873" s="479">
        <v>6852.9</v>
      </c>
      <c r="B1873" s="476">
        <v>147490</v>
      </c>
      <c r="C1873" s="476">
        <v>147511</v>
      </c>
      <c r="D1873" s="476">
        <v>147532</v>
      </c>
      <c r="E1873" s="476">
        <v>147553</v>
      </c>
      <c r="F1873" s="476">
        <v>147574</v>
      </c>
      <c r="G1873" s="476">
        <v>147596</v>
      </c>
      <c r="H1873" s="476">
        <v>147617</v>
      </c>
      <c r="I1873" s="476">
        <v>147638</v>
      </c>
      <c r="J1873" s="476">
        <v>147659</v>
      </c>
      <c r="K1873" s="476">
        <v>147680</v>
      </c>
    </row>
    <row r="1874" spans="1:11">
      <c r="A1874" s="479">
        <v>6853</v>
      </c>
      <c r="B1874" s="476">
        <v>147701</v>
      </c>
      <c r="C1874" s="476">
        <v>147722</v>
      </c>
      <c r="D1874" s="476">
        <v>147743</v>
      </c>
      <c r="E1874" s="476">
        <v>147765</v>
      </c>
      <c r="F1874" s="476">
        <v>147786</v>
      </c>
      <c r="G1874" s="476">
        <v>147807</v>
      </c>
      <c r="H1874" s="476">
        <v>147828</v>
      </c>
      <c r="I1874" s="476">
        <v>147850</v>
      </c>
      <c r="J1874" s="476">
        <v>147871</v>
      </c>
      <c r="K1874" s="476">
        <v>147892</v>
      </c>
    </row>
    <row r="1875" spans="1:11">
      <c r="A1875" s="479">
        <v>6853.1</v>
      </c>
      <c r="B1875" s="476">
        <v>147914</v>
      </c>
      <c r="C1875" s="476">
        <v>147935</v>
      </c>
      <c r="D1875" s="476">
        <v>147956</v>
      </c>
      <c r="E1875" s="476">
        <v>147977</v>
      </c>
      <c r="F1875" s="476">
        <v>147999</v>
      </c>
      <c r="G1875" s="476">
        <v>148020</v>
      </c>
      <c r="H1875" s="476">
        <v>148041</v>
      </c>
      <c r="I1875" s="476">
        <v>148063</v>
      </c>
      <c r="J1875" s="476">
        <v>148084</v>
      </c>
      <c r="K1875" s="476">
        <v>148105</v>
      </c>
    </row>
    <row r="1876" spans="1:11">
      <c r="A1876" s="479">
        <v>6853.2</v>
      </c>
      <c r="B1876" s="476">
        <v>148126</v>
      </c>
      <c r="C1876" s="476">
        <v>148148</v>
      </c>
      <c r="D1876" s="476">
        <v>148169</v>
      </c>
      <c r="E1876" s="476">
        <v>148190</v>
      </c>
      <c r="F1876" s="476">
        <v>148211</v>
      </c>
      <c r="G1876" s="476">
        <v>148233</v>
      </c>
      <c r="H1876" s="476">
        <v>148254</v>
      </c>
      <c r="I1876" s="476">
        <v>148275</v>
      </c>
      <c r="J1876" s="476">
        <v>148297</v>
      </c>
      <c r="K1876" s="476">
        <v>148318</v>
      </c>
    </row>
    <row r="1877" spans="1:11">
      <c r="A1877" s="479">
        <v>6853.3</v>
      </c>
      <c r="B1877" s="476">
        <v>148339</v>
      </c>
      <c r="C1877" s="476">
        <v>148360</v>
      </c>
      <c r="D1877" s="476">
        <v>148382</v>
      </c>
      <c r="E1877" s="476">
        <v>148403</v>
      </c>
      <c r="F1877" s="476">
        <v>148424</v>
      </c>
      <c r="G1877" s="476">
        <v>148446</v>
      </c>
      <c r="H1877" s="476">
        <v>148467</v>
      </c>
      <c r="I1877" s="476">
        <v>148488</v>
      </c>
      <c r="J1877" s="476">
        <v>148509</v>
      </c>
      <c r="K1877" s="476">
        <v>148531</v>
      </c>
    </row>
    <row r="1878" spans="1:11">
      <c r="A1878" s="479">
        <v>6853.4</v>
      </c>
      <c r="B1878" s="476">
        <v>148552</v>
      </c>
      <c r="C1878" s="476">
        <v>148573</v>
      </c>
      <c r="D1878" s="476">
        <v>148594</v>
      </c>
      <c r="E1878" s="476">
        <v>148616</v>
      </c>
      <c r="F1878" s="476">
        <v>148637</v>
      </c>
      <c r="G1878" s="476">
        <v>148658</v>
      </c>
      <c r="H1878" s="476">
        <v>148680</v>
      </c>
      <c r="I1878" s="476">
        <v>148701</v>
      </c>
      <c r="J1878" s="476">
        <v>148722</v>
      </c>
      <c r="K1878" s="476">
        <v>148743</v>
      </c>
    </row>
    <row r="1879" spans="1:11">
      <c r="A1879" s="479">
        <v>6853.5</v>
      </c>
      <c r="B1879" s="476">
        <v>148765</v>
      </c>
      <c r="C1879" s="476">
        <v>148786</v>
      </c>
      <c r="D1879" s="476">
        <v>148807</v>
      </c>
      <c r="E1879" s="476">
        <v>148829</v>
      </c>
      <c r="F1879" s="476">
        <v>148850</v>
      </c>
      <c r="G1879" s="476">
        <v>148871</v>
      </c>
      <c r="H1879" s="476">
        <v>148892</v>
      </c>
      <c r="I1879" s="476">
        <v>148914</v>
      </c>
      <c r="J1879" s="476">
        <v>148935</v>
      </c>
      <c r="K1879" s="476">
        <v>148956</v>
      </c>
    </row>
    <row r="1880" spans="1:11">
      <c r="A1880" s="479">
        <v>6853.6</v>
      </c>
      <c r="B1880" s="476">
        <v>148977</v>
      </c>
      <c r="C1880" s="476">
        <v>148999</v>
      </c>
      <c r="D1880" s="476">
        <v>149020</v>
      </c>
      <c r="E1880" s="476">
        <v>149041</v>
      </c>
      <c r="F1880" s="476">
        <v>149063</v>
      </c>
      <c r="G1880" s="476">
        <v>149084</v>
      </c>
      <c r="H1880" s="476">
        <v>149105</v>
      </c>
      <c r="I1880" s="476">
        <v>149126</v>
      </c>
      <c r="J1880" s="476">
        <v>149148</v>
      </c>
      <c r="K1880" s="476">
        <v>149169</v>
      </c>
    </row>
    <row r="1881" spans="1:11">
      <c r="A1881" s="479">
        <v>6853.7</v>
      </c>
      <c r="B1881" s="476">
        <v>149190</v>
      </c>
      <c r="C1881" s="476">
        <v>149212</v>
      </c>
      <c r="D1881" s="476">
        <v>149233</v>
      </c>
      <c r="E1881" s="476">
        <v>149254</v>
      </c>
      <c r="F1881" s="476">
        <v>149275</v>
      </c>
      <c r="G1881" s="476">
        <v>149297</v>
      </c>
      <c r="H1881" s="476">
        <v>149318</v>
      </c>
      <c r="I1881" s="476">
        <v>149339</v>
      </c>
      <c r="J1881" s="476">
        <v>149360</v>
      </c>
      <c r="K1881" s="476">
        <v>149382</v>
      </c>
    </row>
    <row r="1882" spans="1:11">
      <c r="A1882" s="479">
        <v>6853.8</v>
      </c>
      <c r="B1882" s="476">
        <v>149403</v>
      </c>
      <c r="C1882" s="476">
        <v>149424</v>
      </c>
      <c r="D1882" s="476">
        <v>149446</v>
      </c>
      <c r="E1882" s="476">
        <v>149467</v>
      </c>
      <c r="F1882" s="476">
        <v>149488</v>
      </c>
      <c r="G1882" s="476">
        <v>149509</v>
      </c>
      <c r="H1882" s="476">
        <v>149531</v>
      </c>
      <c r="I1882" s="476">
        <v>149552</v>
      </c>
      <c r="J1882" s="476">
        <v>149573</v>
      </c>
      <c r="K1882" s="476">
        <v>149595</v>
      </c>
    </row>
    <row r="1883" spans="1:11">
      <c r="A1883" s="479">
        <v>6853.9</v>
      </c>
      <c r="B1883" s="476">
        <v>149616</v>
      </c>
      <c r="C1883" s="476">
        <v>149637</v>
      </c>
      <c r="D1883" s="476">
        <v>149658</v>
      </c>
      <c r="E1883" s="476">
        <v>149680</v>
      </c>
      <c r="F1883" s="476">
        <v>149701</v>
      </c>
      <c r="G1883" s="476">
        <v>149722</v>
      </c>
      <c r="H1883" s="476">
        <v>149744</v>
      </c>
      <c r="I1883" s="476">
        <v>149765</v>
      </c>
      <c r="J1883" s="476">
        <v>149786</v>
      </c>
      <c r="K1883" s="476">
        <v>149807</v>
      </c>
    </row>
    <row r="1884" spans="1:11">
      <c r="A1884" s="479">
        <v>6854</v>
      </c>
      <c r="B1884" s="476">
        <v>149829</v>
      </c>
      <c r="C1884" s="476">
        <v>149850</v>
      </c>
      <c r="D1884" s="476">
        <v>149872</v>
      </c>
      <c r="E1884" s="476">
        <v>149893</v>
      </c>
      <c r="F1884" s="476">
        <v>149915</v>
      </c>
      <c r="G1884" s="476">
        <v>149936</v>
      </c>
      <c r="H1884" s="476">
        <v>149958</v>
      </c>
      <c r="I1884" s="476">
        <v>149979</v>
      </c>
      <c r="J1884" s="476">
        <v>150001</v>
      </c>
      <c r="K1884" s="476">
        <v>150022</v>
      </c>
    </row>
    <row r="1885" spans="1:11">
      <c r="A1885" s="479">
        <v>6854.1</v>
      </c>
      <c r="B1885" s="476">
        <v>150044</v>
      </c>
      <c r="C1885" s="476">
        <v>150065</v>
      </c>
      <c r="D1885" s="476">
        <v>150087</v>
      </c>
      <c r="E1885" s="476">
        <v>150108</v>
      </c>
      <c r="F1885" s="476">
        <v>150130</v>
      </c>
      <c r="G1885" s="476">
        <v>150151</v>
      </c>
      <c r="H1885" s="476">
        <v>150173</v>
      </c>
      <c r="I1885" s="476">
        <v>150194</v>
      </c>
      <c r="J1885" s="476">
        <v>150216</v>
      </c>
      <c r="K1885" s="476">
        <v>150237</v>
      </c>
    </row>
    <row r="1886" spans="1:11">
      <c r="A1886" s="479">
        <v>6854.2</v>
      </c>
      <c r="B1886" s="476">
        <v>150259</v>
      </c>
      <c r="C1886" s="476">
        <v>150280</v>
      </c>
      <c r="D1886" s="476">
        <v>150302</v>
      </c>
      <c r="E1886" s="476">
        <v>150323</v>
      </c>
      <c r="F1886" s="476">
        <v>150345</v>
      </c>
      <c r="G1886" s="476">
        <v>150366</v>
      </c>
      <c r="H1886" s="476">
        <v>150388</v>
      </c>
      <c r="I1886" s="476">
        <v>150409</v>
      </c>
      <c r="J1886" s="476">
        <v>150431</v>
      </c>
      <c r="K1886" s="476">
        <v>150452</v>
      </c>
    </row>
    <row r="1887" spans="1:11">
      <c r="A1887" s="479">
        <v>6854.3</v>
      </c>
      <c r="B1887" s="476">
        <v>150474</v>
      </c>
      <c r="C1887" s="476">
        <v>150495</v>
      </c>
      <c r="D1887" s="476">
        <v>150517</v>
      </c>
      <c r="E1887" s="476">
        <v>150538</v>
      </c>
      <c r="F1887" s="476">
        <v>150560</v>
      </c>
      <c r="G1887" s="476">
        <v>150581</v>
      </c>
      <c r="H1887" s="476">
        <v>150603</v>
      </c>
      <c r="I1887" s="476">
        <v>150624</v>
      </c>
      <c r="J1887" s="476">
        <v>150646</v>
      </c>
      <c r="K1887" s="476">
        <v>150667</v>
      </c>
    </row>
    <row r="1888" spans="1:11">
      <c r="A1888" s="479">
        <v>6854.4</v>
      </c>
      <c r="B1888" s="476">
        <v>150689</v>
      </c>
      <c r="C1888" s="476">
        <v>150710</v>
      </c>
      <c r="D1888" s="476">
        <v>150732</v>
      </c>
      <c r="E1888" s="476">
        <v>150753</v>
      </c>
      <c r="F1888" s="476">
        <v>150775</v>
      </c>
      <c r="G1888" s="476">
        <v>150796</v>
      </c>
      <c r="H1888" s="476">
        <v>150818</v>
      </c>
      <c r="I1888" s="476">
        <v>150839</v>
      </c>
      <c r="J1888" s="476">
        <v>150861</v>
      </c>
      <c r="K1888" s="476">
        <v>150882</v>
      </c>
    </row>
    <row r="1889" spans="1:11">
      <c r="A1889" s="479">
        <v>6854.5</v>
      </c>
      <c r="B1889" s="476">
        <v>150904</v>
      </c>
      <c r="C1889" s="476">
        <v>150925</v>
      </c>
      <c r="D1889" s="476">
        <v>150947</v>
      </c>
      <c r="E1889" s="476">
        <v>150968</v>
      </c>
      <c r="F1889" s="476">
        <v>150990</v>
      </c>
      <c r="G1889" s="476">
        <v>151011</v>
      </c>
      <c r="H1889" s="476">
        <v>151033</v>
      </c>
      <c r="I1889" s="476">
        <v>151054</v>
      </c>
      <c r="J1889" s="476">
        <v>151076</v>
      </c>
      <c r="K1889" s="476">
        <v>151097</v>
      </c>
    </row>
    <row r="1890" spans="1:11">
      <c r="A1890" s="479">
        <v>6854.6</v>
      </c>
      <c r="B1890" s="476">
        <v>151119</v>
      </c>
      <c r="C1890" s="476">
        <v>151140</v>
      </c>
      <c r="D1890" s="476">
        <v>151162</v>
      </c>
      <c r="E1890" s="476">
        <v>151183</v>
      </c>
      <c r="F1890" s="476">
        <v>151205</v>
      </c>
      <c r="G1890" s="476">
        <v>151226</v>
      </c>
      <c r="H1890" s="476">
        <v>151248</v>
      </c>
      <c r="I1890" s="476">
        <v>151269</v>
      </c>
      <c r="J1890" s="476">
        <v>151291</v>
      </c>
      <c r="K1890" s="476">
        <v>151312</v>
      </c>
    </row>
    <row r="1891" spans="1:11">
      <c r="A1891" s="479">
        <v>6854.7</v>
      </c>
      <c r="B1891" s="476">
        <v>151334</v>
      </c>
      <c r="C1891" s="476">
        <v>151355</v>
      </c>
      <c r="D1891" s="476">
        <v>151377</v>
      </c>
      <c r="E1891" s="476">
        <v>151398</v>
      </c>
      <c r="F1891" s="476">
        <v>151420</v>
      </c>
      <c r="G1891" s="476">
        <v>151441</v>
      </c>
      <c r="H1891" s="476">
        <v>151463</v>
      </c>
      <c r="I1891" s="476">
        <v>151484</v>
      </c>
      <c r="J1891" s="476">
        <v>151506</v>
      </c>
      <c r="K1891" s="476">
        <v>151527</v>
      </c>
    </row>
    <row r="1892" spans="1:11">
      <c r="A1892" s="479">
        <v>6854.8</v>
      </c>
      <c r="B1892" s="476">
        <v>151549</v>
      </c>
      <c r="C1892" s="476">
        <v>151570</v>
      </c>
      <c r="D1892" s="476">
        <v>151592</v>
      </c>
      <c r="E1892" s="476">
        <v>151613</v>
      </c>
      <c r="F1892" s="476">
        <v>151635</v>
      </c>
      <c r="G1892" s="476">
        <v>151656</v>
      </c>
      <c r="H1892" s="476">
        <v>151678</v>
      </c>
      <c r="I1892" s="476">
        <v>151699</v>
      </c>
      <c r="J1892" s="476">
        <v>151721</v>
      </c>
      <c r="K1892" s="476">
        <v>151742</v>
      </c>
    </row>
    <row r="1893" spans="1:11">
      <c r="A1893" s="479">
        <v>6854.9</v>
      </c>
      <c r="B1893" s="476">
        <v>151764</v>
      </c>
      <c r="C1893" s="476">
        <v>151785</v>
      </c>
      <c r="D1893" s="476">
        <v>151807</v>
      </c>
      <c r="E1893" s="476">
        <v>151828</v>
      </c>
      <c r="F1893" s="476">
        <v>151850</v>
      </c>
      <c r="G1893" s="476">
        <v>151871</v>
      </c>
      <c r="H1893" s="476">
        <v>151893</v>
      </c>
      <c r="I1893" s="476">
        <v>151914</v>
      </c>
      <c r="J1893" s="476">
        <v>151935</v>
      </c>
      <c r="K1893" s="476">
        <v>151957</v>
      </c>
    </row>
    <row r="1894" spans="1:11">
      <c r="A1894" s="479">
        <v>6855</v>
      </c>
      <c r="B1894" s="476">
        <v>151978</v>
      </c>
      <c r="C1894" s="476">
        <v>152000</v>
      </c>
      <c r="D1894" s="476">
        <v>152022</v>
      </c>
      <c r="E1894" s="476">
        <v>152044</v>
      </c>
      <c r="F1894" s="476">
        <v>152065</v>
      </c>
      <c r="G1894" s="476">
        <v>152087</v>
      </c>
      <c r="H1894" s="476">
        <v>152109</v>
      </c>
      <c r="I1894" s="476">
        <v>152131</v>
      </c>
      <c r="J1894" s="476">
        <v>152152</v>
      </c>
      <c r="K1894" s="476">
        <v>152174</v>
      </c>
    </row>
    <row r="1895" spans="1:11">
      <c r="A1895" s="479">
        <v>6855.1</v>
      </c>
      <c r="B1895" s="476">
        <v>152196</v>
      </c>
      <c r="C1895" s="476">
        <v>152217</v>
      </c>
      <c r="D1895" s="476">
        <v>152239</v>
      </c>
      <c r="E1895" s="476">
        <v>152261</v>
      </c>
      <c r="F1895" s="476">
        <v>152283</v>
      </c>
      <c r="G1895" s="476">
        <v>152304</v>
      </c>
      <c r="H1895" s="476">
        <v>152326</v>
      </c>
      <c r="I1895" s="476">
        <v>152348</v>
      </c>
      <c r="J1895" s="476">
        <v>152369</v>
      </c>
      <c r="K1895" s="476">
        <v>152391</v>
      </c>
    </row>
    <row r="1896" spans="1:11">
      <c r="A1896" s="479">
        <v>6855.2</v>
      </c>
      <c r="B1896" s="476">
        <v>152413</v>
      </c>
      <c r="C1896" s="476">
        <v>152435</v>
      </c>
      <c r="D1896" s="476">
        <v>152456</v>
      </c>
      <c r="E1896" s="476">
        <v>152478</v>
      </c>
      <c r="F1896" s="476">
        <v>152500</v>
      </c>
      <c r="G1896" s="476">
        <v>152522</v>
      </c>
      <c r="H1896" s="476">
        <v>152543</v>
      </c>
      <c r="I1896" s="476">
        <v>152565</v>
      </c>
      <c r="J1896" s="476">
        <v>152587</v>
      </c>
      <c r="K1896" s="476">
        <v>152608</v>
      </c>
    </row>
    <row r="1897" spans="1:11">
      <c r="A1897" s="479">
        <v>6855.3</v>
      </c>
      <c r="B1897" s="476">
        <v>152630</v>
      </c>
      <c r="C1897" s="476">
        <v>152652</v>
      </c>
      <c r="D1897" s="476">
        <v>152674</v>
      </c>
      <c r="E1897" s="476">
        <v>152695</v>
      </c>
      <c r="F1897" s="476">
        <v>152717</v>
      </c>
      <c r="G1897" s="476">
        <v>152739</v>
      </c>
      <c r="H1897" s="476">
        <v>152760</v>
      </c>
      <c r="I1897" s="476">
        <v>152782</v>
      </c>
      <c r="J1897" s="476">
        <v>152804</v>
      </c>
      <c r="K1897" s="476">
        <v>152826</v>
      </c>
    </row>
    <row r="1898" spans="1:11">
      <c r="A1898" s="479">
        <v>6855.4</v>
      </c>
      <c r="B1898" s="476">
        <v>152847</v>
      </c>
      <c r="C1898" s="476">
        <v>152869</v>
      </c>
      <c r="D1898" s="476">
        <v>152891</v>
      </c>
      <c r="E1898" s="476">
        <v>152913</v>
      </c>
      <c r="F1898" s="476">
        <v>152934</v>
      </c>
      <c r="G1898" s="476">
        <v>152956</v>
      </c>
      <c r="H1898" s="476">
        <v>152978</v>
      </c>
      <c r="I1898" s="476">
        <v>152999</v>
      </c>
      <c r="J1898" s="476">
        <v>153021</v>
      </c>
      <c r="K1898" s="476">
        <v>153043</v>
      </c>
    </row>
    <row r="1899" spans="1:11">
      <c r="A1899" s="479">
        <v>6855.5</v>
      </c>
      <c r="B1899" s="476">
        <v>153065</v>
      </c>
      <c r="C1899" s="476">
        <v>153086</v>
      </c>
      <c r="D1899" s="476">
        <v>153108</v>
      </c>
      <c r="E1899" s="476">
        <v>153130</v>
      </c>
      <c r="F1899" s="476">
        <v>153151</v>
      </c>
      <c r="G1899" s="476">
        <v>153173</v>
      </c>
      <c r="H1899" s="476">
        <v>153195</v>
      </c>
      <c r="I1899" s="476">
        <v>153217</v>
      </c>
      <c r="J1899" s="476">
        <v>153238</v>
      </c>
      <c r="K1899" s="476">
        <v>153260</v>
      </c>
    </row>
    <row r="1900" spans="1:11">
      <c r="A1900" s="479">
        <v>6855.6</v>
      </c>
      <c r="B1900" s="476">
        <v>153282</v>
      </c>
      <c r="C1900" s="476">
        <v>153304</v>
      </c>
      <c r="D1900" s="476">
        <v>153325</v>
      </c>
      <c r="E1900" s="476">
        <v>153347</v>
      </c>
      <c r="F1900" s="476">
        <v>153369</v>
      </c>
      <c r="G1900" s="476">
        <v>153390</v>
      </c>
      <c r="H1900" s="476">
        <v>153412</v>
      </c>
      <c r="I1900" s="476">
        <v>153434</v>
      </c>
      <c r="J1900" s="476">
        <v>153456</v>
      </c>
      <c r="K1900" s="476">
        <v>153477</v>
      </c>
    </row>
    <row r="1901" spans="1:11">
      <c r="A1901" s="479">
        <v>6855.7</v>
      </c>
      <c r="B1901" s="476">
        <v>153499</v>
      </c>
      <c r="C1901" s="476">
        <v>153521</v>
      </c>
      <c r="D1901" s="476">
        <v>153542</v>
      </c>
      <c r="E1901" s="476">
        <v>153564</v>
      </c>
      <c r="F1901" s="476">
        <v>153586</v>
      </c>
      <c r="G1901" s="476">
        <v>153608</v>
      </c>
      <c r="H1901" s="476">
        <v>153629</v>
      </c>
      <c r="I1901" s="476">
        <v>153651</v>
      </c>
      <c r="J1901" s="476">
        <v>153673</v>
      </c>
      <c r="K1901" s="476">
        <v>153695</v>
      </c>
    </row>
    <row r="1902" spans="1:11">
      <c r="A1902" s="479">
        <v>6855.8</v>
      </c>
      <c r="B1902" s="476">
        <v>153716</v>
      </c>
      <c r="C1902" s="476">
        <v>153738</v>
      </c>
      <c r="D1902" s="476">
        <v>153760</v>
      </c>
      <c r="E1902" s="476">
        <v>153781</v>
      </c>
      <c r="F1902" s="476">
        <v>153803</v>
      </c>
      <c r="G1902" s="476">
        <v>153825</v>
      </c>
      <c r="H1902" s="476">
        <v>153847</v>
      </c>
      <c r="I1902" s="476">
        <v>153868</v>
      </c>
      <c r="J1902" s="476">
        <v>153890</v>
      </c>
      <c r="K1902" s="476">
        <v>153912</v>
      </c>
    </row>
    <row r="1903" spans="1:11">
      <c r="A1903" s="479">
        <v>6855.9</v>
      </c>
      <c r="B1903" s="476">
        <v>153933</v>
      </c>
      <c r="C1903" s="476">
        <v>153955</v>
      </c>
      <c r="D1903" s="476">
        <v>153977</v>
      </c>
      <c r="E1903" s="476">
        <v>153999</v>
      </c>
      <c r="F1903" s="476">
        <v>154020</v>
      </c>
      <c r="G1903" s="476">
        <v>154042</v>
      </c>
      <c r="H1903" s="476">
        <v>154064</v>
      </c>
      <c r="I1903" s="476">
        <v>154086</v>
      </c>
      <c r="J1903" s="476">
        <v>154107</v>
      </c>
      <c r="K1903" s="476">
        <v>154129</v>
      </c>
    </row>
    <row r="1904" spans="1:11">
      <c r="A1904" s="479">
        <v>6856</v>
      </c>
      <c r="B1904" s="476">
        <v>154151</v>
      </c>
      <c r="C1904" s="476">
        <v>154173</v>
      </c>
      <c r="D1904" s="476">
        <v>154195</v>
      </c>
      <c r="E1904" s="476">
        <v>154217</v>
      </c>
      <c r="F1904" s="476">
        <v>154233</v>
      </c>
      <c r="G1904" s="476">
        <v>154260</v>
      </c>
      <c r="H1904" s="476">
        <v>154282</v>
      </c>
      <c r="I1904" s="476">
        <v>154304</v>
      </c>
      <c r="J1904" s="476">
        <v>154326</v>
      </c>
      <c r="K1904" s="476">
        <v>154348</v>
      </c>
    </row>
    <row r="1905" spans="1:11">
      <c r="A1905" s="479">
        <v>6856.1</v>
      </c>
      <c r="B1905" s="476">
        <v>154370</v>
      </c>
      <c r="C1905" s="476">
        <v>154392</v>
      </c>
      <c r="D1905" s="476">
        <v>154414</v>
      </c>
      <c r="E1905" s="476">
        <v>154436</v>
      </c>
      <c r="F1905" s="476">
        <v>154458</v>
      </c>
      <c r="G1905" s="476">
        <v>154480</v>
      </c>
      <c r="H1905" s="476">
        <v>154502</v>
      </c>
      <c r="I1905" s="476">
        <v>154524</v>
      </c>
      <c r="J1905" s="476">
        <v>154546</v>
      </c>
      <c r="K1905" s="476">
        <v>154568</v>
      </c>
    </row>
    <row r="1906" spans="1:11">
      <c r="A1906" s="479">
        <v>6856.2</v>
      </c>
      <c r="B1906" s="476">
        <v>154590</v>
      </c>
      <c r="C1906" s="476">
        <v>154612</v>
      </c>
      <c r="D1906" s="476">
        <v>154634</v>
      </c>
      <c r="E1906" s="476">
        <v>154655</v>
      </c>
      <c r="F1906" s="476">
        <v>154677</v>
      </c>
      <c r="G1906" s="476">
        <v>154699</v>
      </c>
      <c r="H1906" s="476">
        <v>154721</v>
      </c>
      <c r="I1906" s="476">
        <v>154743</v>
      </c>
      <c r="J1906" s="476">
        <v>154765</v>
      </c>
      <c r="K1906" s="476">
        <v>154787</v>
      </c>
    </row>
    <row r="1907" spans="1:11">
      <c r="A1907" s="479">
        <v>6856.3</v>
      </c>
      <c r="B1907" s="476">
        <v>154809</v>
      </c>
      <c r="C1907" s="476">
        <v>154831</v>
      </c>
      <c r="D1907" s="476">
        <v>154853</v>
      </c>
      <c r="E1907" s="476">
        <v>154875</v>
      </c>
      <c r="F1907" s="476">
        <v>154897</v>
      </c>
      <c r="G1907" s="476">
        <v>154919</v>
      </c>
      <c r="H1907" s="476">
        <v>154941</v>
      </c>
      <c r="I1907" s="476">
        <v>154963</v>
      </c>
      <c r="J1907" s="476">
        <v>154985</v>
      </c>
      <c r="K1907" s="476">
        <v>155007</v>
      </c>
    </row>
    <row r="1908" spans="1:11">
      <c r="A1908" s="479">
        <v>6856.4</v>
      </c>
      <c r="B1908" s="476">
        <v>155029</v>
      </c>
      <c r="C1908" s="476">
        <v>155050</v>
      </c>
      <c r="D1908" s="476">
        <v>155072</v>
      </c>
      <c r="E1908" s="476">
        <v>155094</v>
      </c>
      <c r="F1908" s="476">
        <v>155116</v>
      </c>
      <c r="G1908" s="476">
        <v>155138</v>
      </c>
      <c r="H1908" s="476">
        <v>155160</v>
      </c>
      <c r="I1908" s="476">
        <v>155182</v>
      </c>
      <c r="J1908" s="476">
        <v>155204</v>
      </c>
      <c r="K1908" s="476">
        <v>155226</v>
      </c>
    </row>
    <row r="1909" spans="1:11">
      <c r="A1909" s="479">
        <v>6856.5</v>
      </c>
      <c r="B1909" s="476">
        <v>155248</v>
      </c>
      <c r="C1909" s="476">
        <v>155270</v>
      </c>
      <c r="D1909" s="476">
        <v>155292</v>
      </c>
      <c r="E1909" s="476">
        <v>155314</v>
      </c>
      <c r="F1909" s="476">
        <v>155336</v>
      </c>
      <c r="G1909" s="476">
        <v>155358</v>
      </c>
      <c r="H1909" s="476">
        <v>155380</v>
      </c>
      <c r="I1909" s="476">
        <v>155402</v>
      </c>
      <c r="J1909" s="476">
        <v>155424</v>
      </c>
      <c r="K1909" s="476">
        <v>155446</v>
      </c>
    </row>
    <row r="1910" spans="1:11">
      <c r="A1910" s="479">
        <v>6856.6</v>
      </c>
      <c r="B1910" s="476">
        <v>155467</v>
      </c>
      <c r="C1910" s="476">
        <v>155489</v>
      </c>
      <c r="D1910" s="476">
        <v>155511</v>
      </c>
      <c r="E1910" s="476">
        <v>155533</v>
      </c>
      <c r="F1910" s="476">
        <v>155555</v>
      </c>
      <c r="G1910" s="476">
        <v>155577</v>
      </c>
      <c r="H1910" s="476">
        <v>155599</v>
      </c>
      <c r="I1910" s="476">
        <v>155621</v>
      </c>
      <c r="J1910" s="476">
        <v>155643</v>
      </c>
      <c r="K1910" s="476">
        <v>155665</v>
      </c>
    </row>
    <row r="1911" spans="1:11">
      <c r="A1911" s="479">
        <v>6856.7</v>
      </c>
      <c r="B1911" s="476">
        <v>155687</v>
      </c>
      <c r="C1911" s="476">
        <v>155709</v>
      </c>
      <c r="D1911" s="476">
        <v>155731</v>
      </c>
      <c r="E1911" s="476">
        <v>155753</v>
      </c>
      <c r="F1911" s="476">
        <v>155775</v>
      </c>
      <c r="G1911" s="476">
        <v>155797</v>
      </c>
      <c r="H1911" s="476">
        <v>155819</v>
      </c>
      <c r="I1911" s="476">
        <v>155841</v>
      </c>
      <c r="J1911" s="476">
        <v>155863</v>
      </c>
      <c r="K1911" s="476">
        <v>155884</v>
      </c>
    </row>
    <row r="1912" spans="1:11">
      <c r="A1912" s="479">
        <v>6856.8</v>
      </c>
      <c r="B1912" s="476">
        <v>155906</v>
      </c>
      <c r="C1912" s="476">
        <v>155928</v>
      </c>
      <c r="D1912" s="476">
        <v>155950</v>
      </c>
      <c r="E1912" s="476">
        <v>155972</v>
      </c>
      <c r="F1912" s="476">
        <v>155994</v>
      </c>
      <c r="G1912" s="476">
        <v>156016</v>
      </c>
      <c r="H1912" s="476">
        <v>156038</v>
      </c>
      <c r="I1912" s="476">
        <v>156060</v>
      </c>
      <c r="J1912" s="476">
        <v>156082</v>
      </c>
      <c r="K1912" s="476">
        <v>156104</v>
      </c>
    </row>
    <row r="1913" spans="1:11">
      <c r="A1913" s="479">
        <v>6856.9</v>
      </c>
      <c r="B1913" s="476">
        <v>156126</v>
      </c>
      <c r="C1913" s="476">
        <v>156148</v>
      </c>
      <c r="D1913" s="476">
        <v>156170</v>
      </c>
      <c r="E1913" s="476">
        <v>156192</v>
      </c>
      <c r="F1913" s="476">
        <v>156214</v>
      </c>
      <c r="G1913" s="476">
        <v>156236</v>
      </c>
      <c r="H1913" s="476">
        <v>156258</v>
      </c>
      <c r="I1913" s="476">
        <v>156280</v>
      </c>
      <c r="J1913" s="476">
        <v>156301</v>
      </c>
      <c r="K1913" s="476">
        <v>156323</v>
      </c>
    </row>
    <row r="1914" spans="1:11">
      <c r="A1914" s="479">
        <v>6857</v>
      </c>
      <c r="B1914" s="476">
        <v>156345</v>
      </c>
      <c r="C1914" s="476">
        <v>156368</v>
      </c>
      <c r="D1914" s="476">
        <v>156390</v>
      </c>
      <c r="E1914" s="476">
        <v>156412</v>
      </c>
      <c r="F1914" s="476">
        <v>156434</v>
      </c>
      <c r="G1914" s="476">
        <v>156456</v>
      </c>
      <c r="H1914" s="476">
        <v>156478</v>
      </c>
      <c r="I1914" s="476">
        <v>156501</v>
      </c>
      <c r="J1914" s="476">
        <v>156523</v>
      </c>
      <c r="K1914" s="476">
        <v>156545</v>
      </c>
    </row>
    <row r="1915" spans="1:11">
      <c r="A1915" s="479">
        <v>6857.1</v>
      </c>
      <c r="B1915" s="476">
        <v>156567</v>
      </c>
      <c r="C1915" s="476">
        <v>156589</v>
      </c>
      <c r="D1915" s="476">
        <v>156611</v>
      </c>
      <c r="E1915" s="476">
        <v>156634</v>
      </c>
      <c r="F1915" s="476">
        <v>156656</v>
      </c>
      <c r="G1915" s="476">
        <v>156678</v>
      </c>
      <c r="H1915" s="476">
        <v>156700</v>
      </c>
      <c r="I1915" s="476">
        <v>156722</v>
      </c>
      <c r="J1915" s="476">
        <v>156744</v>
      </c>
      <c r="K1915" s="476">
        <v>156767</v>
      </c>
    </row>
    <row r="1916" spans="1:11">
      <c r="A1916" s="479">
        <v>6857.2</v>
      </c>
      <c r="B1916" s="476">
        <v>156789</v>
      </c>
      <c r="C1916" s="476">
        <v>156811</v>
      </c>
      <c r="D1916" s="476">
        <v>156833</v>
      </c>
      <c r="E1916" s="476">
        <v>156855</v>
      </c>
      <c r="F1916" s="476">
        <v>156878</v>
      </c>
      <c r="G1916" s="476">
        <v>156900</v>
      </c>
      <c r="H1916" s="476">
        <v>156922</v>
      </c>
      <c r="I1916" s="476">
        <v>156944</v>
      </c>
      <c r="J1916" s="476">
        <v>156966</v>
      </c>
      <c r="K1916" s="476">
        <v>156988</v>
      </c>
    </row>
    <row r="1917" spans="1:11">
      <c r="A1917" s="479">
        <v>6857.3</v>
      </c>
      <c r="B1917" s="476">
        <v>157011</v>
      </c>
      <c r="C1917" s="476">
        <v>157033</v>
      </c>
      <c r="D1917" s="476">
        <v>157055</v>
      </c>
      <c r="E1917" s="476">
        <v>157077</v>
      </c>
      <c r="F1917" s="476">
        <v>157099</v>
      </c>
      <c r="G1917" s="476">
        <v>157121</v>
      </c>
      <c r="H1917" s="476">
        <v>157144</v>
      </c>
      <c r="I1917" s="476">
        <v>157166</v>
      </c>
      <c r="J1917" s="476">
        <v>157188</v>
      </c>
      <c r="K1917" s="476">
        <v>157210</v>
      </c>
    </row>
    <row r="1918" spans="1:11">
      <c r="A1918" s="479">
        <v>6857.4</v>
      </c>
      <c r="B1918" s="476">
        <v>157232</v>
      </c>
      <c r="C1918" s="476">
        <v>157254</v>
      </c>
      <c r="D1918" s="476">
        <v>157277</v>
      </c>
      <c r="E1918" s="476">
        <v>157299</v>
      </c>
      <c r="F1918" s="476">
        <v>157321</v>
      </c>
      <c r="G1918" s="476">
        <v>157343</v>
      </c>
      <c r="H1918" s="476">
        <v>157365</v>
      </c>
      <c r="I1918" s="476">
        <v>157388</v>
      </c>
      <c r="J1918" s="476">
        <v>157410</v>
      </c>
      <c r="K1918" s="476">
        <v>157432</v>
      </c>
    </row>
    <row r="1919" spans="1:11">
      <c r="A1919" s="479">
        <v>6857.5</v>
      </c>
      <c r="B1919" s="476">
        <v>157454</v>
      </c>
      <c r="C1919" s="476">
        <v>157476</v>
      </c>
      <c r="D1919" s="476">
        <v>157498</v>
      </c>
      <c r="E1919" s="476">
        <v>157521</v>
      </c>
      <c r="F1919" s="476">
        <v>157543</v>
      </c>
      <c r="G1919" s="476">
        <v>157565</v>
      </c>
      <c r="H1919" s="476">
        <v>157587</v>
      </c>
      <c r="I1919" s="476">
        <v>157609</v>
      </c>
      <c r="J1919" s="476">
        <v>157631</v>
      </c>
      <c r="K1919" s="476">
        <v>157654</v>
      </c>
    </row>
    <row r="1920" spans="1:11">
      <c r="A1920" s="479">
        <v>6857.6</v>
      </c>
      <c r="B1920" s="476">
        <v>157676</v>
      </c>
      <c r="C1920" s="476">
        <v>157698</v>
      </c>
      <c r="D1920" s="476">
        <v>157720</v>
      </c>
      <c r="E1920" s="476">
        <v>157742</v>
      </c>
      <c r="F1920" s="476">
        <v>157764</v>
      </c>
      <c r="G1920" s="476">
        <v>157787</v>
      </c>
      <c r="H1920" s="476">
        <v>157809</v>
      </c>
      <c r="I1920" s="476">
        <v>157831</v>
      </c>
      <c r="J1920" s="476">
        <v>157853</v>
      </c>
      <c r="K1920" s="476">
        <v>157875</v>
      </c>
    </row>
    <row r="1921" spans="1:11">
      <c r="A1921" s="479">
        <v>6857.7</v>
      </c>
      <c r="B1921" s="476">
        <v>157898</v>
      </c>
      <c r="C1921" s="476">
        <v>157920</v>
      </c>
      <c r="D1921" s="476">
        <v>157942</v>
      </c>
      <c r="E1921" s="476">
        <v>157964</v>
      </c>
      <c r="F1921" s="476">
        <v>157986</v>
      </c>
      <c r="G1921" s="476">
        <v>158008</v>
      </c>
      <c r="H1921" s="476">
        <v>158031</v>
      </c>
      <c r="I1921" s="476">
        <v>158053</v>
      </c>
      <c r="J1921" s="476">
        <v>158075</v>
      </c>
      <c r="K1921" s="476">
        <v>158097</v>
      </c>
    </row>
    <row r="1922" spans="1:11">
      <c r="A1922" s="479">
        <v>6857.8</v>
      </c>
      <c r="B1922" s="476">
        <v>158119</v>
      </c>
      <c r="C1922" s="476">
        <v>158141</v>
      </c>
      <c r="D1922" s="476">
        <v>158164</v>
      </c>
      <c r="E1922" s="476">
        <v>158186</v>
      </c>
      <c r="F1922" s="476">
        <v>158208</v>
      </c>
      <c r="G1922" s="476">
        <v>158230</v>
      </c>
      <c r="H1922" s="476">
        <v>158252</v>
      </c>
      <c r="I1922" s="476">
        <v>158274</v>
      </c>
      <c r="J1922" s="476">
        <v>158297</v>
      </c>
      <c r="K1922" s="476">
        <v>158319</v>
      </c>
    </row>
    <row r="1923" spans="1:11">
      <c r="A1923" s="479">
        <v>6857.9</v>
      </c>
      <c r="B1923" s="476">
        <v>158341</v>
      </c>
      <c r="C1923" s="476">
        <v>158363</v>
      </c>
      <c r="D1923" s="476">
        <v>158385</v>
      </c>
      <c r="E1923" s="476">
        <v>158408</v>
      </c>
      <c r="F1923" s="476">
        <v>158430</v>
      </c>
      <c r="G1923" s="476">
        <v>158452</v>
      </c>
      <c r="H1923" s="476">
        <v>158474</v>
      </c>
      <c r="I1923" s="476">
        <v>158496</v>
      </c>
      <c r="J1923" s="476">
        <v>158518</v>
      </c>
      <c r="K1923" s="476">
        <v>158541</v>
      </c>
    </row>
    <row r="1924" spans="1:11">
      <c r="A1924" s="479">
        <v>6858</v>
      </c>
      <c r="B1924" s="476">
        <v>158563</v>
      </c>
      <c r="C1924" s="476">
        <v>158585</v>
      </c>
      <c r="D1924" s="476">
        <v>158608</v>
      </c>
      <c r="E1924" s="476">
        <v>158630</v>
      </c>
      <c r="F1924" s="476">
        <v>158652</v>
      </c>
      <c r="G1924" s="476">
        <v>158675</v>
      </c>
      <c r="H1924" s="476">
        <v>158697</v>
      </c>
      <c r="I1924" s="476">
        <v>158720</v>
      </c>
      <c r="J1924" s="476">
        <v>158742</v>
      </c>
      <c r="K1924" s="476">
        <v>158764</v>
      </c>
    </row>
    <row r="1925" spans="1:11">
      <c r="A1925" s="479">
        <v>6858.1</v>
      </c>
      <c r="B1925" s="476">
        <v>158787</v>
      </c>
      <c r="C1925" s="476">
        <v>158809</v>
      </c>
      <c r="D1925" s="476">
        <v>158832</v>
      </c>
      <c r="E1925" s="476">
        <v>158854</v>
      </c>
      <c r="F1925" s="476">
        <v>158876</v>
      </c>
      <c r="G1925" s="476">
        <v>158899</v>
      </c>
      <c r="H1925" s="476">
        <v>158921</v>
      </c>
      <c r="I1925" s="476">
        <v>158944</v>
      </c>
      <c r="J1925" s="476">
        <v>158966</v>
      </c>
      <c r="K1925" s="476">
        <v>158988</v>
      </c>
    </row>
    <row r="1926" spans="1:11">
      <c r="A1926" s="479">
        <v>6858.2</v>
      </c>
      <c r="B1926" s="476">
        <v>159011</v>
      </c>
      <c r="C1926" s="476">
        <v>159033</v>
      </c>
      <c r="D1926" s="476">
        <v>159056</v>
      </c>
      <c r="E1926" s="476">
        <v>159078</v>
      </c>
      <c r="F1926" s="476">
        <v>159100</v>
      </c>
      <c r="G1926" s="476">
        <v>159123</v>
      </c>
      <c r="H1926" s="476">
        <v>159145</v>
      </c>
      <c r="I1926" s="476">
        <v>159168</v>
      </c>
      <c r="J1926" s="476">
        <v>159190</v>
      </c>
      <c r="K1926" s="476">
        <v>159212</v>
      </c>
    </row>
    <row r="1927" spans="1:11">
      <c r="A1927" s="479">
        <v>6858.3</v>
      </c>
      <c r="B1927" s="476">
        <v>159235</v>
      </c>
      <c r="C1927" s="476">
        <v>159257</v>
      </c>
      <c r="D1927" s="476">
        <v>159280</v>
      </c>
      <c r="E1927" s="476">
        <v>159302</v>
      </c>
      <c r="F1927" s="476">
        <v>159324</v>
      </c>
      <c r="G1927" s="476">
        <v>159347</v>
      </c>
      <c r="H1927" s="476">
        <v>159369</v>
      </c>
      <c r="I1927" s="476">
        <v>159392</v>
      </c>
      <c r="J1927" s="476">
        <v>159414</v>
      </c>
      <c r="K1927" s="476">
        <v>159436</v>
      </c>
    </row>
    <row r="1928" spans="1:11">
      <c r="A1928" s="479">
        <v>6858.4</v>
      </c>
      <c r="B1928" s="476">
        <v>159459</v>
      </c>
      <c r="C1928" s="476">
        <v>159481</v>
      </c>
      <c r="D1928" s="476">
        <v>159504</v>
      </c>
      <c r="E1928" s="476">
        <v>159526</v>
      </c>
      <c r="F1928" s="476">
        <v>159548</v>
      </c>
      <c r="G1928" s="476">
        <v>159571</v>
      </c>
      <c r="H1928" s="476">
        <v>159593</v>
      </c>
      <c r="I1928" s="476">
        <v>159616</v>
      </c>
      <c r="J1928" s="476">
        <v>159638</v>
      </c>
      <c r="K1928" s="476">
        <v>159660</v>
      </c>
    </row>
    <row r="1929" spans="1:11">
      <c r="A1929" s="479">
        <v>6858.5</v>
      </c>
      <c r="B1929" s="476">
        <v>159683</v>
      </c>
      <c r="C1929" s="476">
        <v>159705</v>
      </c>
      <c r="D1929" s="476">
        <v>159728</v>
      </c>
      <c r="E1929" s="476">
        <v>159750</v>
      </c>
      <c r="F1929" s="476">
        <v>159772</v>
      </c>
      <c r="G1929" s="476">
        <v>159795</v>
      </c>
      <c r="H1929" s="476">
        <v>159817</v>
      </c>
      <c r="I1929" s="476">
        <v>159840</v>
      </c>
      <c r="J1929" s="476">
        <v>159862</v>
      </c>
      <c r="K1929" s="476">
        <v>159884</v>
      </c>
    </row>
    <row r="1930" spans="1:11">
      <c r="A1930" s="479">
        <v>6858.6</v>
      </c>
      <c r="B1930" s="476">
        <v>159907</v>
      </c>
      <c r="C1930" s="476">
        <v>159929</v>
      </c>
      <c r="D1930" s="476">
        <v>159952</v>
      </c>
      <c r="E1930" s="476">
        <v>159974</v>
      </c>
      <c r="F1930" s="476">
        <v>159997</v>
      </c>
      <c r="G1930" s="476">
        <v>160019</v>
      </c>
      <c r="H1930" s="476">
        <v>160041</v>
      </c>
      <c r="I1930" s="476">
        <v>160064</v>
      </c>
      <c r="J1930" s="476">
        <v>160086</v>
      </c>
      <c r="K1930" s="476">
        <v>160109</v>
      </c>
    </row>
    <row r="1931" spans="1:11">
      <c r="A1931" s="479">
        <v>6858.7</v>
      </c>
      <c r="B1931" s="476">
        <v>160131</v>
      </c>
      <c r="C1931" s="476">
        <v>160153</v>
      </c>
      <c r="D1931" s="476">
        <v>160176</v>
      </c>
      <c r="E1931" s="476">
        <v>160198</v>
      </c>
      <c r="F1931" s="476">
        <v>160221</v>
      </c>
      <c r="G1931" s="476">
        <v>160243</v>
      </c>
      <c r="H1931" s="476">
        <v>160265</v>
      </c>
      <c r="I1931" s="476">
        <v>160288</v>
      </c>
      <c r="J1931" s="476">
        <v>160310</v>
      </c>
      <c r="K1931" s="476">
        <v>160333</v>
      </c>
    </row>
    <row r="1932" spans="1:11">
      <c r="A1932" s="479">
        <v>6858.8</v>
      </c>
      <c r="B1932" s="476">
        <v>160355</v>
      </c>
      <c r="C1932" s="476">
        <v>160377</v>
      </c>
      <c r="D1932" s="476">
        <v>160400</v>
      </c>
      <c r="E1932" s="476">
        <v>160422</v>
      </c>
      <c r="F1932" s="476">
        <v>160445</v>
      </c>
      <c r="G1932" s="476">
        <v>160467</v>
      </c>
      <c r="H1932" s="476">
        <v>160489</v>
      </c>
      <c r="I1932" s="476">
        <v>160512</v>
      </c>
      <c r="J1932" s="476">
        <v>160534</v>
      </c>
      <c r="K1932" s="476">
        <v>160557</v>
      </c>
    </row>
    <row r="1933" spans="1:11">
      <c r="A1933" s="479">
        <v>6858.9</v>
      </c>
      <c r="B1933" s="476">
        <v>160579</v>
      </c>
      <c r="C1933" s="476">
        <v>160601</v>
      </c>
      <c r="D1933" s="476">
        <v>160624</v>
      </c>
      <c r="E1933" s="476">
        <v>160646</v>
      </c>
      <c r="F1933" s="476">
        <v>160669</v>
      </c>
      <c r="G1933" s="476">
        <v>160691</v>
      </c>
      <c r="H1933" s="476">
        <v>160713</v>
      </c>
      <c r="I1933" s="476">
        <v>160736</v>
      </c>
      <c r="J1933" s="476">
        <v>160758</v>
      </c>
      <c r="K1933" s="476">
        <v>160781</v>
      </c>
    </row>
    <row r="1934" spans="1:11">
      <c r="A1934" s="479">
        <v>6859</v>
      </c>
      <c r="B1934" s="476">
        <v>160803</v>
      </c>
      <c r="C1934" s="476">
        <v>160826</v>
      </c>
      <c r="D1934" s="476">
        <v>160848</v>
      </c>
      <c r="E1934" s="476">
        <v>160871</v>
      </c>
      <c r="F1934" s="476">
        <v>160894</v>
      </c>
      <c r="G1934" s="476">
        <v>160916</v>
      </c>
      <c r="H1934" s="476">
        <v>160939</v>
      </c>
      <c r="I1934" s="476">
        <v>160961</v>
      </c>
      <c r="J1934" s="476">
        <v>160984</v>
      </c>
      <c r="K1934" s="476">
        <v>161007</v>
      </c>
    </row>
    <row r="1935" spans="1:11">
      <c r="A1935" s="479">
        <v>6859.1</v>
      </c>
      <c r="B1935" s="476">
        <v>161029</v>
      </c>
      <c r="C1935" s="476">
        <v>161052</v>
      </c>
      <c r="D1935" s="476">
        <v>161075</v>
      </c>
      <c r="E1935" s="476">
        <v>161097</v>
      </c>
      <c r="F1935" s="476">
        <v>161120</v>
      </c>
      <c r="G1935" s="476">
        <v>161143</v>
      </c>
      <c r="H1935" s="476">
        <v>161165</v>
      </c>
      <c r="I1935" s="476">
        <v>161188</v>
      </c>
      <c r="J1935" s="476">
        <v>161210</v>
      </c>
      <c r="K1935" s="476">
        <v>161233</v>
      </c>
    </row>
    <row r="1936" spans="1:11">
      <c r="A1936" s="479">
        <v>6859.2</v>
      </c>
      <c r="B1936" s="476">
        <v>161256</v>
      </c>
      <c r="C1936" s="476">
        <v>161278</v>
      </c>
      <c r="D1936" s="476">
        <v>161301</v>
      </c>
      <c r="E1936" s="476">
        <v>161324</v>
      </c>
      <c r="F1936" s="476">
        <v>161346</v>
      </c>
      <c r="G1936" s="476">
        <v>161369</v>
      </c>
      <c r="H1936" s="476">
        <v>161391</v>
      </c>
      <c r="I1936" s="476">
        <v>161414</v>
      </c>
      <c r="J1936" s="476">
        <v>161437</v>
      </c>
      <c r="K1936" s="476">
        <v>161459</v>
      </c>
    </row>
    <row r="1937" spans="1:11">
      <c r="A1937" s="479">
        <v>6859.3</v>
      </c>
      <c r="B1937" s="476">
        <v>161482</v>
      </c>
      <c r="C1937" s="476">
        <v>161505</v>
      </c>
      <c r="D1937" s="476">
        <v>161527</v>
      </c>
      <c r="E1937" s="476">
        <v>161550</v>
      </c>
      <c r="F1937" s="476">
        <v>161573</v>
      </c>
      <c r="G1937" s="476">
        <v>161595</v>
      </c>
      <c r="H1937" s="476">
        <v>161618</v>
      </c>
      <c r="I1937" s="476">
        <v>161640</v>
      </c>
      <c r="J1937" s="476">
        <v>161663</v>
      </c>
      <c r="K1937" s="476">
        <v>161686</v>
      </c>
    </row>
    <row r="1938" spans="1:11">
      <c r="A1938" s="479">
        <v>6859.4</v>
      </c>
      <c r="B1938" s="476">
        <v>161708</v>
      </c>
      <c r="C1938" s="476">
        <v>161731</v>
      </c>
      <c r="D1938" s="476">
        <v>161754</v>
      </c>
      <c r="E1938" s="476">
        <v>161776</v>
      </c>
      <c r="F1938" s="476">
        <v>161799</v>
      </c>
      <c r="G1938" s="476">
        <v>161822</v>
      </c>
      <c r="H1938" s="476">
        <v>161844</v>
      </c>
      <c r="I1938" s="476">
        <v>161867</v>
      </c>
      <c r="J1938" s="476">
        <v>161889</v>
      </c>
      <c r="K1938" s="476">
        <v>161912</v>
      </c>
    </row>
    <row r="1939" spans="1:11">
      <c r="A1939" s="479">
        <v>6859.5</v>
      </c>
      <c r="B1939" s="476">
        <v>161935</v>
      </c>
      <c r="C1939" s="476">
        <v>161957</v>
      </c>
      <c r="D1939" s="476">
        <v>161980</v>
      </c>
      <c r="E1939" s="476">
        <v>162003</v>
      </c>
      <c r="F1939" s="476">
        <v>162025</v>
      </c>
      <c r="G1939" s="476">
        <v>162048</v>
      </c>
      <c r="H1939" s="476">
        <v>162071</v>
      </c>
      <c r="I1939" s="476">
        <v>162093</v>
      </c>
      <c r="J1939" s="476">
        <v>162116</v>
      </c>
      <c r="K1939" s="476">
        <v>162138</v>
      </c>
    </row>
    <row r="1940" spans="1:11">
      <c r="A1940" s="479">
        <v>6859.6</v>
      </c>
      <c r="B1940" s="476">
        <v>162161</v>
      </c>
      <c r="C1940" s="476">
        <v>162184</v>
      </c>
      <c r="D1940" s="476">
        <v>162206</v>
      </c>
      <c r="E1940" s="476">
        <v>162229</v>
      </c>
      <c r="F1940" s="476">
        <v>162252</v>
      </c>
      <c r="G1940" s="476">
        <v>162274</v>
      </c>
      <c r="H1940" s="476">
        <v>162297</v>
      </c>
      <c r="I1940" s="476">
        <v>162319</v>
      </c>
      <c r="J1940" s="476">
        <v>162342</v>
      </c>
      <c r="K1940" s="476">
        <v>162365</v>
      </c>
    </row>
    <row r="1941" spans="1:11">
      <c r="A1941" s="479">
        <v>6859.7</v>
      </c>
      <c r="B1941" s="476">
        <v>162387</v>
      </c>
      <c r="C1941" s="476">
        <v>162410</v>
      </c>
      <c r="D1941" s="476">
        <v>162433</v>
      </c>
      <c r="E1941" s="476">
        <v>162455</v>
      </c>
      <c r="F1941" s="476">
        <v>162478</v>
      </c>
      <c r="G1941" s="476">
        <v>162501</v>
      </c>
      <c r="H1941" s="476">
        <v>162523</v>
      </c>
      <c r="I1941" s="476">
        <v>162546</v>
      </c>
      <c r="J1941" s="476">
        <v>162568</v>
      </c>
      <c r="K1941" s="476">
        <v>162591</v>
      </c>
    </row>
    <row r="1942" spans="1:11">
      <c r="A1942" s="479">
        <v>6859.8</v>
      </c>
      <c r="B1942" s="476">
        <v>162614</v>
      </c>
      <c r="C1942" s="476">
        <v>162636</v>
      </c>
      <c r="D1942" s="476">
        <v>162659</v>
      </c>
      <c r="E1942" s="476">
        <v>162682</v>
      </c>
      <c r="F1942" s="476">
        <v>162704</v>
      </c>
      <c r="G1942" s="476">
        <v>162727</v>
      </c>
      <c r="H1942" s="476">
        <v>162750</v>
      </c>
      <c r="I1942" s="476">
        <v>162772</v>
      </c>
      <c r="J1942" s="476">
        <v>162795</v>
      </c>
      <c r="K1942" s="476">
        <v>162817</v>
      </c>
    </row>
    <row r="1943" spans="1:11">
      <c r="A1943" s="479">
        <v>6859.9</v>
      </c>
      <c r="B1943" s="476">
        <v>162840</v>
      </c>
      <c r="C1943" s="476">
        <v>162863</v>
      </c>
      <c r="D1943" s="476">
        <v>162885</v>
      </c>
      <c r="E1943" s="476">
        <v>162908</v>
      </c>
      <c r="F1943" s="476">
        <v>162931</v>
      </c>
      <c r="G1943" s="476">
        <v>162953</v>
      </c>
      <c r="H1943" s="476">
        <v>162976</v>
      </c>
      <c r="I1943" s="476">
        <v>162998</v>
      </c>
      <c r="J1943" s="476">
        <v>163021</v>
      </c>
      <c r="K1943" s="476">
        <v>163044</v>
      </c>
    </row>
    <row r="1944" spans="1:11">
      <c r="A1944" s="479">
        <v>6860</v>
      </c>
      <c r="B1944" s="476">
        <v>163066</v>
      </c>
      <c r="C1944" s="476">
        <v>163089</v>
      </c>
      <c r="D1944" s="476">
        <v>163112</v>
      </c>
      <c r="E1944" s="476">
        <v>163135</v>
      </c>
      <c r="F1944" s="476">
        <v>163158</v>
      </c>
      <c r="G1944" s="476">
        <v>163181</v>
      </c>
      <c r="H1944" s="476">
        <v>163204</v>
      </c>
      <c r="I1944" s="476">
        <v>163227</v>
      </c>
      <c r="J1944" s="476">
        <v>163250</v>
      </c>
      <c r="K1944" s="476">
        <v>163273</v>
      </c>
    </row>
    <row r="1945" spans="1:11">
      <c r="A1945" s="479">
        <v>6860.1</v>
      </c>
      <c r="B1945" s="476">
        <v>163296</v>
      </c>
      <c r="C1945" s="476">
        <v>163319</v>
      </c>
      <c r="D1945" s="476">
        <v>163342</v>
      </c>
      <c r="E1945" s="476">
        <v>163365</v>
      </c>
      <c r="F1945" s="476">
        <v>163388</v>
      </c>
      <c r="G1945" s="476">
        <v>163411</v>
      </c>
      <c r="H1945" s="476">
        <v>163434</v>
      </c>
      <c r="I1945" s="476">
        <v>163457</v>
      </c>
      <c r="J1945" s="476">
        <v>163480</v>
      </c>
      <c r="K1945" s="476">
        <v>163503</v>
      </c>
    </row>
    <row r="1946" spans="1:11">
      <c r="A1946" s="479">
        <v>6860.2</v>
      </c>
      <c r="B1946" s="476">
        <v>163526</v>
      </c>
      <c r="C1946" s="476">
        <v>163549</v>
      </c>
      <c r="D1946" s="476">
        <v>163571</v>
      </c>
      <c r="E1946" s="476">
        <v>163594</v>
      </c>
      <c r="F1946" s="476">
        <v>163617</v>
      </c>
      <c r="G1946" s="476">
        <v>163640</v>
      </c>
      <c r="H1946" s="476">
        <v>163663</v>
      </c>
      <c r="I1946" s="476">
        <v>163686</v>
      </c>
      <c r="J1946" s="476">
        <v>163709</v>
      </c>
      <c r="K1946" s="476">
        <v>163732</v>
      </c>
    </row>
    <row r="1947" spans="1:11">
      <c r="A1947" s="479">
        <v>6860.3</v>
      </c>
      <c r="B1947" s="476">
        <v>163755</v>
      </c>
      <c r="C1947" s="476">
        <v>163778</v>
      </c>
      <c r="D1947" s="476">
        <v>163801</v>
      </c>
      <c r="E1947" s="476">
        <v>163824</v>
      </c>
      <c r="F1947" s="476">
        <v>163847</v>
      </c>
      <c r="G1947" s="476">
        <v>163870</v>
      </c>
      <c r="H1947" s="476">
        <v>163893</v>
      </c>
      <c r="I1947" s="476">
        <v>163916</v>
      </c>
      <c r="J1947" s="476">
        <v>163939</v>
      </c>
      <c r="K1947" s="476">
        <v>163962</v>
      </c>
    </row>
    <row r="1948" spans="1:11">
      <c r="A1948" s="479">
        <v>6860.4</v>
      </c>
      <c r="B1948" s="476">
        <v>163985</v>
      </c>
      <c r="C1948" s="476">
        <v>164008</v>
      </c>
      <c r="D1948" s="476">
        <v>164031</v>
      </c>
      <c r="E1948" s="476">
        <v>164054</v>
      </c>
      <c r="F1948" s="476">
        <v>164077</v>
      </c>
      <c r="G1948" s="476">
        <v>164099</v>
      </c>
      <c r="H1948" s="476">
        <v>164122</v>
      </c>
      <c r="I1948" s="476">
        <v>164145</v>
      </c>
      <c r="J1948" s="476">
        <v>164168</v>
      </c>
      <c r="K1948" s="476">
        <v>164191</v>
      </c>
    </row>
    <row r="1949" spans="1:11">
      <c r="A1949" s="479">
        <v>6860.5</v>
      </c>
      <c r="B1949" s="476">
        <v>164214</v>
      </c>
      <c r="C1949" s="476">
        <v>164237</v>
      </c>
      <c r="D1949" s="476">
        <v>164260</v>
      </c>
      <c r="E1949" s="476">
        <v>164283</v>
      </c>
      <c r="F1949" s="476">
        <v>164306</v>
      </c>
      <c r="G1949" s="476">
        <v>164329</v>
      </c>
      <c r="H1949" s="476">
        <v>164352</v>
      </c>
      <c r="I1949" s="476">
        <v>164375</v>
      </c>
      <c r="J1949" s="476">
        <v>164398</v>
      </c>
      <c r="K1949" s="476">
        <v>164421</v>
      </c>
    </row>
    <row r="1950" spans="1:11">
      <c r="A1950" s="479">
        <v>6860.6</v>
      </c>
      <c r="B1950" s="476">
        <v>164444</v>
      </c>
      <c r="C1950" s="476">
        <v>164467</v>
      </c>
      <c r="D1950" s="476">
        <v>164490</v>
      </c>
      <c r="E1950" s="476">
        <v>164513</v>
      </c>
      <c r="F1950" s="476">
        <v>164536</v>
      </c>
      <c r="G1950" s="476">
        <v>164559</v>
      </c>
      <c r="H1950" s="476">
        <v>164582</v>
      </c>
      <c r="I1950" s="476">
        <v>164605</v>
      </c>
      <c r="J1950" s="476">
        <v>164627</v>
      </c>
      <c r="K1950" s="476">
        <v>164650</v>
      </c>
    </row>
    <row r="1951" spans="1:11">
      <c r="A1951" s="479">
        <v>6860.7</v>
      </c>
      <c r="B1951" s="476">
        <v>164673</v>
      </c>
      <c r="C1951" s="476">
        <v>164696</v>
      </c>
      <c r="D1951" s="476">
        <v>164719</v>
      </c>
      <c r="E1951" s="476">
        <v>164742</v>
      </c>
      <c r="F1951" s="476">
        <v>164765</v>
      </c>
      <c r="G1951" s="476">
        <v>164788</v>
      </c>
      <c r="H1951" s="476">
        <v>164811</v>
      </c>
      <c r="I1951" s="476">
        <v>164834</v>
      </c>
      <c r="J1951" s="476">
        <v>164857</v>
      </c>
      <c r="K1951" s="476">
        <v>164880</v>
      </c>
    </row>
    <row r="1952" spans="1:11">
      <c r="A1952" s="479">
        <v>6860.8</v>
      </c>
      <c r="B1952" s="476">
        <v>164903</v>
      </c>
      <c r="C1952" s="476">
        <v>164926</v>
      </c>
      <c r="D1952" s="476">
        <v>164949</v>
      </c>
      <c r="E1952" s="476">
        <v>164972</v>
      </c>
      <c r="F1952" s="476">
        <v>164995</v>
      </c>
      <c r="G1952" s="476">
        <v>165018</v>
      </c>
      <c r="H1952" s="476">
        <v>165041</v>
      </c>
      <c r="I1952" s="476">
        <v>165064</v>
      </c>
      <c r="J1952" s="476">
        <v>165087</v>
      </c>
      <c r="K1952" s="476">
        <v>165110</v>
      </c>
    </row>
    <row r="1953" spans="1:11">
      <c r="A1953" s="479">
        <v>6860.9</v>
      </c>
      <c r="B1953" s="476">
        <v>165133</v>
      </c>
      <c r="C1953" s="476">
        <v>165156</v>
      </c>
      <c r="D1953" s="476">
        <v>165178</v>
      </c>
      <c r="E1953" s="476">
        <v>165201</v>
      </c>
      <c r="F1953" s="476">
        <v>165224</v>
      </c>
      <c r="G1953" s="476">
        <v>165247</v>
      </c>
      <c r="H1953" s="476">
        <v>165270</v>
      </c>
      <c r="I1953" s="476">
        <v>165293</v>
      </c>
      <c r="J1953" s="476">
        <v>165316</v>
      </c>
      <c r="K1953" s="476">
        <v>165339</v>
      </c>
    </row>
    <row r="1954" spans="1:11">
      <c r="A1954" s="479">
        <v>6861</v>
      </c>
      <c r="B1954" s="476">
        <v>165362</v>
      </c>
      <c r="C1954" s="476">
        <v>165386</v>
      </c>
      <c r="D1954" s="476">
        <v>165409</v>
      </c>
      <c r="E1954" s="476">
        <v>165432</v>
      </c>
      <c r="F1954" s="476">
        <v>165456</v>
      </c>
      <c r="G1954" s="476">
        <v>165479</v>
      </c>
      <c r="H1954" s="476">
        <v>165502</v>
      </c>
      <c r="I1954" s="476">
        <v>165526</v>
      </c>
      <c r="J1954" s="476">
        <v>165549</v>
      </c>
      <c r="K1954" s="476">
        <v>165572</v>
      </c>
    </row>
    <row r="1955" spans="1:11">
      <c r="A1955" s="479">
        <v>6861.1</v>
      </c>
      <c r="B1955" s="476">
        <v>165596</v>
      </c>
      <c r="C1955" s="476">
        <v>165619</v>
      </c>
      <c r="D1955" s="476">
        <v>165643</v>
      </c>
      <c r="E1955" s="476">
        <v>165666</v>
      </c>
      <c r="F1955" s="476">
        <v>165689</v>
      </c>
      <c r="G1955" s="476">
        <v>165713</v>
      </c>
      <c r="H1955" s="476">
        <v>165736</v>
      </c>
      <c r="I1955" s="476">
        <v>165759</v>
      </c>
      <c r="J1955" s="476">
        <v>165783</v>
      </c>
      <c r="K1955" s="476">
        <v>165806</v>
      </c>
    </row>
    <row r="1956" spans="1:11">
      <c r="A1956" s="479">
        <v>6861.2</v>
      </c>
      <c r="B1956" s="476">
        <v>165830</v>
      </c>
      <c r="C1956" s="476">
        <v>165853</v>
      </c>
      <c r="D1956" s="476">
        <v>165876</v>
      </c>
      <c r="E1956" s="476">
        <v>165900</v>
      </c>
      <c r="F1956" s="476">
        <v>165923</v>
      </c>
      <c r="G1956" s="476">
        <v>165946</v>
      </c>
      <c r="H1956" s="476">
        <v>165970</v>
      </c>
      <c r="I1956" s="476">
        <v>165993</v>
      </c>
      <c r="J1956" s="476">
        <v>166016</v>
      </c>
      <c r="K1956" s="476">
        <v>166040</v>
      </c>
    </row>
    <row r="1957" spans="1:11">
      <c r="A1957" s="479">
        <v>6861.3</v>
      </c>
      <c r="B1957" s="476">
        <v>166063</v>
      </c>
      <c r="C1957" s="476">
        <v>166087</v>
      </c>
      <c r="D1957" s="476">
        <v>166110</v>
      </c>
      <c r="E1957" s="476">
        <v>166133</v>
      </c>
      <c r="F1957" s="476">
        <v>166157</v>
      </c>
      <c r="G1957" s="476">
        <v>166180</v>
      </c>
      <c r="H1957" s="476">
        <v>166203</v>
      </c>
      <c r="I1957" s="476">
        <v>166227</v>
      </c>
      <c r="J1957" s="476">
        <v>166250</v>
      </c>
      <c r="K1957" s="476">
        <v>166274</v>
      </c>
    </row>
    <row r="1958" spans="1:11">
      <c r="A1958" s="479">
        <v>6861.4</v>
      </c>
      <c r="B1958" s="476">
        <v>166297</v>
      </c>
      <c r="C1958" s="476">
        <v>166320</v>
      </c>
      <c r="D1958" s="476">
        <v>166344</v>
      </c>
      <c r="E1958" s="476">
        <v>166367</v>
      </c>
      <c r="F1958" s="476">
        <v>166390</v>
      </c>
      <c r="G1958" s="476">
        <v>166414</v>
      </c>
      <c r="H1958" s="476">
        <v>166437</v>
      </c>
      <c r="I1958" s="476">
        <v>166460</v>
      </c>
      <c r="J1958" s="476">
        <v>166484</v>
      </c>
      <c r="K1958" s="476">
        <v>166507</v>
      </c>
    </row>
    <row r="1959" spans="1:11">
      <c r="A1959" s="479">
        <v>6861.5</v>
      </c>
      <c r="B1959" s="476">
        <v>166531</v>
      </c>
      <c r="C1959" s="476">
        <v>166554</v>
      </c>
      <c r="D1959" s="476">
        <v>166577</v>
      </c>
      <c r="E1959" s="476">
        <v>166601</v>
      </c>
      <c r="F1959" s="476">
        <v>166624</v>
      </c>
      <c r="G1959" s="476">
        <v>166647</v>
      </c>
      <c r="H1959" s="476">
        <v>166671</v>
      </c>
      <c r="I1959" s="476">
        <v>166694</v>
      </c>
      <c r="J1959" s="476">
        <v>166717</v>
      </c>
      <c r="K1959" s="476">
        <v>166741</v>
      </c>
    </row>
    <row r="1960" spans="1:11">
      <c r="A1960" s="479">
        <v>6861.6</v>
      </c>
      <c r="B1960" s="476">
        <v>166764</v>
      </c>
      <c r="C1960" s="476">
        <v>166788</v>
      </c>
      <c r="D1960" s="476">
        <v>166811</v>
      </c>
      <c r="E1960" s="476">
        <v>166834</v>
      </c>
      <c r="F1960" s="476">
        <v>166858</v>
      </c>
      <c r="G1960" s="476">
        <v>166881</v>
      </c>
      <c r="H1960" s="476">
        <v>166904</v>
      </c>
      <c r="I1960" s="476">
        <v>166928</v>
      </c>
      <c r="J1960" s="476">
        <v>166951</v>
      </c>
      <c r="K1960" s="476">
        <v>166975</v>
      </c>
    </row>
    <row r="1961" spans="1:11">
      <c r="A1961" s="479">
        <v>6861.7</v>
      </c>
      <c r="B1961" s="476">
        <v>166998</v>
      </c>
      <c r="C1961" s="476">
        <v>167021</v>
      </c>
      <c r="D1961" s="476">
        <v>167045</v>
      </c>
      <c r="E1961" s="476">
        <v>167068</v>
      </c>
      <c r="F1961" s="476">
        <v>167091</v>
      </c>
      <c r="G1961" s="476">
        <v>167115</v>
      </c>
      <c r="H1961" s="476">
        <v>167138</v>
      </c>
      <c r="I1961" s="476">
        <v>167161</v>
      </c>
      <c r="J1961" s="476">
        <v>167185</v>
      </c>
      <c r="K1961" s="476">
        <v>167208</v>
      </c>
    </row>
    <row r="1962" spans="1:11">
      <c r="A1962" s="479">
        <v>6861.8</v>
      </c>
      <c r="B1962" s="476">
        <v>167232</v>
      </c>
      <c r="C1962" s="476">
        <v>167255</v>
      </c>
      <c r="D1962" s="476">
        <v>167278</v>
      </c>
      <c r="E1962" s="476">
        <v>167302</v>
      </c>
      <c r="F1962" s="476">
        <v>167325</v>
      </c>
      <c r="G1962" s="476">
        <v>167348</v>
      </c>
      <c r="H1962" s="476">
        <v>167372</v>
      </c>
      <c r="I1962" s="476">
        <v>167395</v>
      </c>
      <c r="J1962" s="476">
        <v>167419</v>
      </c>
      <c r="K1962" s="476">
        <v>167442</v>
      </c>
    </row>
    <row r="1963" spans="1:11">
      <c r="A1963" s="479">
        <v>6861.9</v>
      </c>
      <c r="B1963" s="476">
        <v>167465</v>
      </c>
      <c r="C1963" s="476">
        <v>167489</v>
      </c>
      <c r="D1963" s="476">
        <v>167512</v>
      </c>
      <c r="E1963" s="476">
        <v>167535</v>
      </c>
      <c r="F1963" s="476">
        <v>167559</v>
      </c>
      <c r="G1963" s="476">
        <v>167582</v>
      </c>
      <c r="H1963" s="476">
        <v>167605</v>
      </c>
      <c r="I1963" s="476">
        <v>167629</v>
      </c>
      <c r="J1963" s="476">
        <v>167652</v>
      </c>
      <c r="K1963" s="476">
        <v>167676</v>
      </c>
    </row>
    <row r="1964" spans="1:11">
      <c r="A1964" s="479">
        <v>6862</v>
      </c>
      <c r="B1964" s="476">
        <v>167699</v>
      </c>
      <c r="C1964" s="476">
        <v>167723</v>
      </c>
      <c r="D1964" s="476">
        <v>167747</v>
      </c>
      <c r="E1964" s="476">
        <v>167770</v>
      </c>
      <c r="F1964" s="476">
        <v>167794</v>
      </c>
      <c r="G1964" s="476">
        <v>167818</v>
      </c>
      <c r="H1964" s="476">
        <v>167842</v>
      </c>
      <c r="I1964" s="476">
        <v>167865</v>
      </c>
      <c r="J1964" s="476">
        <v>167889</v>
      </c>
      <c r="K1964" s="476">
        <v>167913</v>
      </c>
    </row>
    <row r="1965" spans="1:11">
      <c r="A1965" s="479">
        <v>6862.1</v>
      </c>
      <c r="B1965" s="476">
        <v>167937</v>
      </c>
      <c r="C1965" s="476">
        <v>167960</v>
      </c>
      <c r="D1965" s="476">
        <v>167984</v>
      </c>
      <c r="E1965" s="476">
        <v>168008</v>
      </c>
      <c r="F1965" s="476">
        <v>168032</v>
      </c>
      <c r="G1965" s="476">
        <v>168056</v>
      </c>
      <c r="H1965" s="476">
        <v>168079</v>
      </c>
      <c r="I1965" s="476">
        <v>168103</v>
      </c>
      <c r="J1965" s="476">
        <v>168127</v>
      </c>
      <c r="K1965" s="476">
        <v>168151</v>
      </c>
    </row>
    <row r="1966" spans="1:11">
      <c r="A1966" s="479">
        <v>6862.2</v>
      </c>
      <c r="B1966" s="476">
        <v>168174</v>
      </c>
      <c r="C1966" s="476">
        <v>168198</v>
      </c>
      <c r="D1966" s="476">
        <v>168222</v>
      </c>
      <c r="E1966" s="476">
        <v>168246</v>
      </c>
      <c r="F1966" s="476">
        <v>168270</v>
      </c>
      <c r="G1966" s="476">
        <v>168293</v>
      </c>
      <c r="H1966" s="476">
        <v>168317</v>
      </c>
      <c r="I1966" s="476">
        <v>168341</v>
      </c>
      <c r="J1966" s="476">
        <v>168365</v>
      </c>
      <c r="K1966" s="476">
        <v>168388</v>
      </c>
    </row>
    <row r="1967" spans="1:11">
      <c r="A1967" s="479">
        <v>6862.3</v>
      </c>
      <c r="B1967" s="476">
        <v>168412</v>
      </c>
      <c r="C1967" s="476">
        <v>168436</v>
      </c>
      <c r="D1967" s="476">
        <v>168460</v>
      </c>
      <c r="E1967" s="476">
        <v>168483</v>
      </c>
      <c r="F1967" s="476">
        <v>168507</v>
      </c>
      <c r="G1967" s="476">
        <v>168531</v>
      </c>
      <c r="H1967" s="476">
        <v>168555</v>
      </c>
      <c r="I1967" s="476">
        <v>168579</v>
      </c>
      <c r="J1967" s="476">
        <v>168602</v>
      </c>
      <c r="K1967" s="476">
        <v>168626</v>
      </c>
    </row>
    <row r="1968" spans="1:11">
      <c r="A1968" s="479">
        <v>6862.4</v>
      </c>
      <c r="B1968" s="476">
        <v>168650</v>
      </c>
      <c r="C1968" s="476">
        <v>168674</v>
      </c>
      <c r="D1968" s="476">
        <v>168697</v>
      </c>
      <c r="E1968" s="476">
        <v>168721</v>
      </c>
      <c r="F1968" s="476">
        <v>168745</v>
      </c>
      <c r="G1968" s="476">
        <v>168769</v>
      </c>
      <c r="H1968" s="476">
        <v>168793</v>
      </c>
      <c r="I1968" s="476">
        <v>168816</v>
      </c>
      <c r="J1968" s="476">
        <v>168840</v>
      </c>
      <c r="K1968" s="476">
        <v>168864</v>
      </c>
    </row>
    <row r="1969" spans="1:11">
      <c r="A1969" s="479">
        <v>6862.5</v>
      </c>
      <c r="B1969" s="476">
        <v>168888</v>
      </c>
      <c r="C1969" s="476">
        <v>168911</v>
      </c>
      <c r="D1969" s="476">
        <v>168935</v>
      </c>
      <c r="E1969" s="476">
        <v>168959</v>
      </c>
      <c r="F1969" s="476">
        <v>168983</v>
      </c>
      <c r="G1969" s="476">
        <v>169006</v>
      </c>
      <c r="H1969" s="476">
        <v>169030</v>
      </c>
      <c r="I1969" s="476">
        <v>169054</v>
      </c>
      <c r="J1969" s="476">
        <v>169078</v>
      </c>
      <c r="K1969" s="476">
        <v>169102</v>
      </c>
    </row>
    <row r="1970" spans="1:11">
      <c r="A1970" s="479">
        <v>6862.6</v>
      </c>
      <c r="B1970" s="476">
        <v>169125</v>
      </c>
      <c r="C1970" s="476">
        <v>169149</v>
      </c>
      <c r="D1970" s="476">
        <v>169173</v>
      </c>
      <c r="E1970" s="476">
        <v>169197</v>
      </c>
      <c r="F1970" s="476">
        <v>169220</v>
      </c>
      <c r="G1970" s="476">
        <v>169244</v>
      </c>
      <c r="H1970" s="476">
        <v>169268</v>
      </c>
      <c r="I1970" s="476">
        <v>169292</v>
      </c>
      <c r="J1970" s="476">
        <v>169316</v>
      </c>
      <c r="K1970" s="476">
        <v>169339</v>
      </c>
    </row>
    <row r="1971" spans="1:11">
      <c r="A1971" s="479">
        <v>6862.7</v>
      </c>
      <c r="B1971" s="476">
        <v>169363</v>
      </c>
      <c r="C1971" s="476">
        <v>169387</v>
      </c>
      <c r="D1971" s="476">
        <v>169411</v>
      </c>
      <c r="E1971" s="476">
        <v>169434</v>
      </c>
      <c r="F1971" s="476">
        <v>169458</v>
      </c>
      <c r="G1971" s="476">
        <v>169482</v>
      </c>
      <c r="H1971" s="476">
        <v>169506</v>
      </c>
      <c r="I1971" s="476">
        <v>169529</v>
      </c>
      <c r="J1971" s="476">
        <v>169553</v>
      </c>
      <c r="K1971" s="476">
        <v>169577</v>
      </c>
    </row>
    <row r="1972" spans="1:11">
      <c r="A1972" s="479">
        <v>6862.8</v>
      </c>
      <c r="B1972" s="476">
        <v>169601</v>
      </c>
      <c r="C1972" s="476">
        <v>169625</v>
      </c>
      <c r="D1972" s="476">
        <v>169648</v>
      </c>
      <c r="E1972" s="476">
        <v>169672</v>
      </c>
      <c r="F1972" s="476">
        <v>169696</v>
      </c>
      <c r="G1972" s="476">
        <v>169720</v>
      </c>
      <c r="H1972" s="476">
        <v>169743</v>
      </c>
      <c r="I1972" s="476">
        <v>169767</v>
      </c>
      <c r="J1972" s="476">
        <v>169791</v>
      </c>
      <c r="K1972" s="476">
        <v>169815</v>
      </c>
    </row>
    <row r="1973" spans="1:11">
      <c r="A1973" s="479">
        <v>6862.9</v>
      </c>
      <c r="B1973" s="476">
        <v>169839</v>
      </c>
      <c r="C1973" s="476">
        <v>169862</v>
      </c>
      <c r="D1973" s="476">
        <v>169886</v>
      </c>
      <c r="E1973" s="476">
        <v>169910</v>
      </c>
      <c r="F1973" s="476">
        <v>169934</v>
      </c>
      <c r="G1973" s="476">
        <v>169957</v>
      </c>
      <c r="H1973" s="476">
        <v>169981</v>
      </c>
      <c r="I1973" s="476">
        <v>170005</v>
      </c>
      <c r="J1973" s="476">
        <v>170029</v>
      </c>
      <c r="K1973" s="476">
        <v>170053</v>
      </c>
    </row>
    <row r="1974" spans="1:11">
      <c r="A1974" s="479">
        <v>6863</v>
      </c>
      <c r="B1974" s="476">
        <v>170076</v>
      </c>
      <c r="C1974" s="476">
        <v>170100</v>
      </c>
      <c r="D1974" s="476">
        <v>170125</v>
      </c>
      <c r="E1974" s="476">
        <v>170149</v>
      </c>
      <c r="F1974" s="476">
        <v>170173</v>
      </c>
      <c r="G1974" s="476">
        <v>170197</v>
      </c>
      <c r="H1974" s="476">
        <v>170221</v>
      </c>
      <c r="I1974" s="476">
        <v>170245</v>
      </c>
      <c r="J1974" s="476">
        <v>170270</v>
      </c>
      <c r="K1974" s="476">
        <v>170294</v>
      </c>
    </row>
    <row r="1975" spans="1:11">
      <c r="A1975" s="479">
        <v>6863.1</v>
      </c>
      <c r="B1975" s="476">
        <v>170318</v>
      </c>
      <c r="C1975" s="476">
        <v>170342</v>
      </c>
      <c r="D1975" s="476">
        <v>170366</v>
      </c>
      <c r="E1975" s="476">
        <v>170391</v>
      </c>
      <c r="F1975" s="476">
        <v>170415</v>
      </c>
      <c r="G1975" s="476">
        <v>170439</v>
      </c>
      <c r="H1975" s="476">
        <v>170463</v>
      </c>
      <c r="I1975" s="476">
        <v>170487</v>
      </c>
      <c r="J1975" s="476">
        <v>170511</v>
      </c>
      <c r="K1975" s="476">
        <v>170536</v>
      </c>
    </row>
    <row r="1976" spans="1:11">
      <c r="A1976" s="479">
        <v>6863.2</v>
      </c>
      <c r="B1976" s="476">
        <v>170560</v>
      </c>
      <c r="C1976" s="476">
        <v>170584</v>
      </c>
      <c r="D1976" s="476">
        <v>170608</v>
      </c>
      <c r="E1976" s="476">
        <v>170632</v>
      </c>
      <c r="F1976" s="476">
        <v>170656</v>
      </c>
      <c r="G1976" s="476">
        <v>170681</v>
      </c>
      <c r="H1976" s="476">
        <v>170705</v>
      </c>
      <c r="I1976" s="476">
        <v>170729</v>
      </c>
      <c r="J1976" s="476">
        <v>170753</v>
      </c>
      <c r="K1976" s="476">
        <v>170777</v>
      </c>
    </row>
    <row r="1977" spans="1:11">
      <c r="A1977" s="479">
        <v>6863.3</v>
      </c>
      <c r="B1977" s="476">
        <v>170801</v>
      </c>
      <c r="C1977" s="476">
        <v>170826</v>
      </c>
      <c r="D1977" s="476">
        <v>170850</v>
      </c>
      <c r="E1977" s="476">
        <v>170874</v>
      </c>
      <c r="F1977" s="476">
        <v>170898</v>
      </c>
      <c r="G1977" s="476">
        <v>170922</v>
      </c>
      <c r="H1977" s="476">
        <v>170946</v>
      </c>
      <c r="I1977" s="476">
        <v>170971</v>
      </c>
      <c r="J1977" s="476">
        <v>170995</v>
      </c>
      <c r="K1977" s="476">
        <v>171019</v>
      </c>
    </row>
    <row r="1978" spans="1:11">
      <c r="A1978" s="479">
        <v>6863.4</v>
      </c>
      <c r="B1978" s="476">
        <v>171043</v>
      </c>
      <c r="C1978" s="476">
        <v>171067</v>
      </c>
      <c r="D1978" s="476">
        <v>171092</v>
      </c>
      <c r="E1978" s="476">
        <v>171116</v>
      </c>
      <c r="F1978" s="476">
        <v>171140</v>
      </c>
      <c r="G1978" s="476">
        <v>171164</v>
      </c>
      <c r="H1978" s="476">
        <v>171188</v>
      </c>
      <c r="I1978" s="476">
        <v>171212</v>
      </c>
      <c r="J1978" s="476">
        <v>171237</v>
      </c>
      <c r="K1978" s="476">
        <v>171261</v>
      </c>
    </row>
    <row r="1979" spans="1:11">
      <c r="A1979" s="479">
        <v>6863.5</v>
      </c>
      <c r="B1979" s="476">
        <v>171285</v>
      </c>
      <c r="C1979" s="476">
        <v>171309</v>
      </c>
      <c r="D1979" s="476">
        <v>171333</v>
      </c>
      <c r="E1979" s="476">
        <v>171357</v>
      </c>
      <c r="F1979" s="476">
        <v>171382</v>
      </c>
      <c r="G1979" s="476">
        <v>171406</v>
      </c>
      <c r="H1979" s="476">
        <v>171430</v>
      </c>
      <c r="I1979" s="476">
        <v>171454</v>
      </c>
      <c r="J1979" s="476">
        <v>171478</v>
      </c>
      <c r="K1979" s="476">
        <v>171502</v>
      </c>
    </row>
    <row r="1980" spans="1:11">
      <c r="A1980" s="479">
        <v>6863.6</v>
      </c>
      <c r="B1980" s="476">
        <v>171527</v>
      </c>
      <c r="C1980" s="476">
        <v>171551</v>
      </c>
      <c r="D1980" s="476">
        <v>171575</v>
      </c>
      <c r="E1980" s="476">
        <v>171599</v>
      </c>
      <c r="F1980" s="476">
        <v>171623</v>
      </c>
      <c r="G1980" s="476">
        <v>171647</v>
      </c>
      <c r="H1980" s="476">
        <v>171672</v>
      </c>
      <c r="I1980" s="476">
        <v>171696</v>
      </c>
      <c r="J1980" s="476">
        <v>171720</v>
      </c>
      <c r="K1980" s="476">
        <v>171744</v>
      </c>
    </row>
    <row r="1981" spans="1:11">
      <c r="A1981" s="479">
        <v>6863.7</v>
      </c>
      <c r="B1981" s="476">
        <v>171768</v>
      </c>
      <c r="C1981" s="476">
        <v>171792</v>
      </c>
      <c r="D1981" s="476">
        <v>171817</v>
      </c>
      <c r="E1981" s="476">
        <v>171841</v>
      </c>
      <c r="F1981" s="476">
        <v>171865</v>
      </c>
      <c r="G1981" s="476">
        <v>171889</v>
      </c>
      <c r="H1981" s="476">
        <v>171913</v>
      </c>
      <c r="I1981" s="476">
        <v>171938</v>
      </c>
      <c r="J1981" s="476">
        <v>171962</v>
      </c>
      <c r="K1981" s="476">
        <v>171986</v>
      </c>
    </row>
    <row r="1982" spans="1:11">
      <c r="A1982" s="479">
        <v>6863.8</v>
      </c>
      <c r="B1982" s="476">
        <v>172010</v>
      </c>
      <c r="C1982" s="476">
        <v>172034</v>
      </c>
      <c r="D1982" s="476">
        <v>172058</v>
      </c>
      <c r="E1982" s="476">
        <v>172083</v>
      </c>
      <c r="F1982" s="476">
        <v>172107</v>
      </c>
      <c r="G1982" s="476">
        <v>172131</v>
      </c>
      <c r="H1982" s="476">
        <v>172155</v>
      </c>
      <c r="I1982" s="476">
        <v>172179</v>
      </c>
      <c r="J1982" s="476">
        <v>172203</v>
      </c>
      <c r="K1982" s="476">
        <v>172228</v>
      </c>
    </row>
    <row r="1983" spans="1:11">
      <c r="A1983" s="479">
        <v>6863.9</v>
      </c>
      <c r="B1983" s="476">
        <v>172252</v>
      </c>
      <c r="C1983" s="476">
        <v>172276</v>
      </c>
      <c r="D1983" s="476">
        <v>172300</v>
      </c>
      <c r="E1983" s="476">
        <v>172324</v>
      </c>
      <c r="F1983" s="476">
        <v>172348</v>
      </c>
      <c r="G1983" s="476">
        <v>172373</v>
      </c>
      <c r="H1983" s="476">
        <v>172397</v>
      </c>
      <c r="I1983" s="476">
        <v>172421</v>
      </c>
      <c r="J1983" s="476">
        <v>172445</v>
      </c>
      <c r="K1983" s="476">
        <v>172469</v>
      </c>
    </row>
    <row r="1984" spans="1:11">
      <c r="A1984" s="479">
        <v>6864</v>
      </c>
      <c r="B1984" s="476">
        <v>172493</v>
      </c>
      <c r="C1984" s="476">
        <v>172518</v>
      </c>
      <c r="D1984" s="476">
        <v>172543</v>
      </c>
      <c r="E1984" s="476">
        <v>172567</v>
      </c>
      <c r="F1984" s="476">
        <v>172592</v>
      </c>
      <c r="G1984" s="476">
        <v>172616</v>
      </c>
      <c r="H1984" s="476">
        <v>172641</v>
      </c>
      <c r="I1984" s="476">
        <v>172665</v>
      </c>
      <c r="J1984" s="476">
        <v>172690</v>
      </c>
      <c r="K1984" s="476">
        <v>172715</v>
      </c>
    </row>
    <row r="1985" spans="1:11">
      <c r="A1985" s="479">
        <v>6864.1</v>
      </c>
      <c r="B1985" s="476">
        <v>172739</v>
      </c>
      <c r="C1985" s="476">
        <v>172764</v>
      </c>
      <c r="D1985" s="476">
        <v>172788</v>
      </c>
      <c r="E1985" s="476">
        <v>172813</v>
      </c>
      <c r="F1985" s="476">
        <v>172837</v>
      </c>
      <c r="G1985" s="476">
        <v>172862</v>
      </c>
      <c r="H1985" s="476">
        <v>172887</v>
      </c>
      <c r="I1985" s="476">
        <v>172911</v>
      </c>
      <c r="J1985" s="476">
        <v>172936</v>
      </c>
      <c r="K1985" s="476">
        <v>172960</v>
      </c>
    </row>
    <row r="1986" spans="1:11">
      <c r="A1986" s="479">
        <v>6864.2</v>
      </c>
      <c r="B1986" s="476">
        <v>172985</v>
      </c>
      <c r="C1986" s="476">
        <v>173009</v>
      </c>
      <c r="D1986" s="476">
        <v>173034</v>
      </c>
      <c r="E1986" s="476">
        <v>173058</v>
      </c>
      <c r="F1986" s="476">
        <v>173083</v>
      </c>
      <c r="G1986" s="476">
        <v>173108</v>
      </c>
      <c r="H1986" s="476">
        <v>173132</v>
      </c>
      <c r="I1986" s="476">
        <v>173157</v>
      </c>
      <c r="J1986" s="476">
        <v>173181</v>
      </c>
      <c r="K1986" s="476">
        <v>173206</v>
      </c>
    </row>
    <row r="1987" spans="1:11">
      <c r="A1987" s="479">
        <v>6864.3</v>
      </c>
      <c r="B1987" s="476">
        <v>173230</v>
      </c>
      <c r="C1987" s="476">
        <v>173255</v>
      </c>
      <c r="D1987" s="476">
        <v>173280</v>
      </c>
      <c r="E1987" s="476">
        <v>173304</v>
      </c>
      <c r="F1987" s="476">
        <v>173329</v>
      </c>
      <c r="G1987" s="476">
        <v>173353</v>
      </c>
      <c r="H1987" s="476">
        <v>173378</v>
      </c>
      <c r="I1987" s="476">
        <v>173402</v>
      </c>
      <c r="J1987" s="476">
        <v>173427</v>
      </c>
      <c r="K1987" s="476">
        <v>173452</v>
      </c>
    </row>
    <row r="1988" spans="1:11">
      <c r="A1988" s="479">
        <v>6864.4</v>
      </c>
      <c r="B1988" s="476">
        <v>173476</v>
      </c>
      <c r="C1988" s="476">
        <v>173501</v>
      </c>
      <c r="D1988" s="476">
        <v>173525</v>
      </c>
      <c r="E1988" s="476">
        <v>173550</v>
      </c>
      <c r="F1988" s="476">
        <v>173574</v>
      </c>
      <c r="G1988" s="476">
        <v>173599</v>
      </c>
      <c r="H1988" s="476">
        <v>173623</v>
      </c>
      <c r="I1988" s="476">
        <v>173648</v>
      </c>
      <c r="J1988" s="476">
        <v>173673</v>
      </c>
      <c r="K1988" s="476">
        <v>173697</v>
      </c>
    </row>
    <row r="1989" spans="1:11">
      <c r="A1989" s="479">
        <v>6864.5</v>
      </c>
      <c r="B1989" s="476">
        <v>173722</v>
      </c>
      <c r="C1989" s="476">
        <v>173746</v>
      </c>
      <c r="D1989" s="476">
        <v>173771</v>
      </c>
      <c r="E1989" s="476">
        <v>173795</v>
      </c>
      <c r="F1989" s="476">
        <v>173820</v>
      </c>
      <c r="G1989" s="476">
        <v>173845</v>
      </c>
      <c r="H1989" s="476">
        <v>173869</v>
      </c>
      <c r="I1989" s="476">
        <v>173894</v>
      </c>
      <c r="J1989" s="476">
        <v>173918</v>
      </c>
      <c r="K1989" s="476">
        <v>173943</v>
      </c>
    </row>
    <row r="1990" spans="1:11">
      <c r="A1990" s="479">
        <v>6864.6</v>
      </c>
      <c r="B1990" s="476">
        <v>173967</v>
      </c>
      <c r="C1990" s="476">
        <v>173992</v>
      </c>
      <c r="D1990" s="476">
        <v>174017</v>
      </c>
      <c r="E1990" s="476">
        <v>174041</v>
      </c>
      <c r="F1990" s="476">
        <v>174066</v>
      </c>
      <c r="G1990" s="476">
        <v>174090</v>
      </c>
      <c r="H1990" s="476">
        <v>174115</v>
      </c>
      <c r="I1990" s="476">
        <v>174139</v>
      </c>
      <c r="J1990" s="476">
        <v>174164</v>
      </c>
      <c r="K1990" s="476">
        <v>174188</v>
      </c>
    </row>
    <row r="1991" spans="1:11">
      <c r="A1991" s="479">
        <v>6864.7</v>
      </c>
      <c r="B1991" s="476">
        <v>174213</v>
      </c>
      <c r="C1991" s="476">
        <v>174238</v>
      </c>
      <c r="D1991" s="476">
        <v>174262</v>
      </c>
      <c r="E1991" s="476">
        <v>174287</v>
      </c>
      <c r="F1991" s="476">
        <v>174311</v>
      </c>
      <c r="G1991" s="476">
        <v>174336</v>
      </c>
      <c r="H1991" s="476">
        <v>174360</v>
      </c>
      <c r="I1991" s="476">
        <v>174385</v>
      </c>
      <c r="J1991" s="476">
        <v>174410</v>
      </c>
      <c r="K1991" s="476">
        <v>174434</v>
      </c>
    </row>
    <row r="1992" spans="1:11">
      <c r="A1992" s="479">
        <v>6864.8</v>
      </c>
      <c r="B1992" s="476">
        <v>174459</v>
      </c>
      <c r="C1992" s="476">
        <v>174483</v>
      </c>
      <c r="D1992" s="476">
        <v>174508</v>
      </c>
      <c r="E1992" s="476">
        <v>174532</v>
      </c>
      <c r="F1992" s="476">
        <v>174557</v>
      </c>
      <c r="G1992" s="476">
        <v>174582</v>
      </c>
      <c r="H1992" s="476">
        <v>174606</v>
      </c>
      <c r="I1992" s="476">
        <v>174631</v>
      </c>
      <c r="J1992" s="476">
        <v>174655</v>
      </c>
      <c r="K1992" s="476">
        <v>174680</v>
      </c>
    </row>
    <row r="1993" spans="1:11">
      <c r="A1993" s="479">
        <v>6864.9</v>
      </c>
      <c r="B1993" s="476">
        <v>174704</v>
      </c>
      <c r="C1993" s="476">
        <v>174729</v>
      </c>
      <c r="D1993" s="476">
        <v>174753</v>
      </c>
      <c r="E1993" s="476">
        <v>174778</v>
      </c>
      <c r="F1993" s="476">
        <v>174803</v>
      </c>
      <c r="G1993" s="476">
        <v>174827</v>
      </c>
      <c r="H1993" s="476">
        <v>174852</v>
      </c>
      <c r="I1993" s="476">
        <v>174876</v>
      </c>
      <c r="J1993" s="476">
        <v>174901</v>
      </c>
      <c r="K1993" s="476">
        <v>174925</v>
      </c>
    </row>
    <row r="1994" spans="1:11">
      <c r="A1994" s="479">
        <v>6865</v>
      </c>
      <c r="B1994" s="476">
        <v>174950</v>
      </c>
      <c r="C1994" s="476">
        <v>174975</v>
      </c>
      <c r="D1994" s="476">
        <v>175000</v>
      </c>
      <c r="E1994" s="476">
        <v>175025</v>
      </c>
      <c r="F1994" s="476">
        <v>175050</v>
      </c>
      <c r="G1994" s="476">
        <v>175075</v>
      </c>
      <c r="H1994" s="476">
        <v>175100</v>
      </c>
      <c r="I1994" s="476">
        <v>175125</v>
      </c>
      <c r="J1994" s="476">
        <v>175150</v>
      </c>
      <c r="K1994" s="476">
        <v>175175</v>
      </c>
    </row>
    <row r="1995" spans="1:11">
      <c r="A1995" s="479">
        <v>6865.1</v>
      </c>
      <c r="B1995" s="476">
        <v>175200</v>
      </c>
      <c r="C1995" s="476">
        <v>175224</v>
      </c>
      <c r="D1995" s="476">
        <v>175249</v>
      </c>
      <c r="E1995" s="476">
        <v>175274</v>
      </c>
      <c r="F1995" s="476">
        <v>175299</v>
      </c>
      <c r="G1995" s="476">
        <v>175324</v>
      </c>
      <c r="H1995" s="476">
        <v>175349</v>
      </c>
      <c r="I1995" s="476">
        <v>175374</v>
      </c>
      <c r="J1995" s="476">
        <v>175399</v>
      </c>
      <c r="K1995" s="476">
        <v>175424</v>
      </c>
    </row>
    <row r="1996" spans="1:11">
      <c r="A1996" s="479">
        <v>6865.2</v>
      </c>
      <c r="B1996" s="476">
        <v>175449</v>
      </c>
      <c r="C1996" s="476">
        <v>175474</v>
      </c>
      <c r="D1996" s="476">
        <v>175499</v>
      </c>
      <c r="E1996" s="476">
        <v>175524</v>
      </c>
      <c r="F1996" s="476">
        <v>175549</v>
      </c>
      <c r="G1996" s="476">
        <v>175574</v>
      </c>
      <c r="H1996" s="476">
        <v>175599</v>
      </c>
      <c r="I1996" s="476">
        <v>175624</v>
      </c>
      <c r="J1996" s="476">
        <v>175649</v>
      </c>
      <c r="K1996" s="476">
        <v>175674</v>
      </c>
    </row>
    <row r="1997" spans="1:11">
      <c r="A1997" s="479">
        <v>6865.3</v>
      </c>
      <c r="B1997" s="476">
        <v>175699</v>
      </c>
      <c r="C1997" s="476">
        <v>175724</v>
      </c>
      <c r="D1997" s="476">
        <v>175749</v>
      </c>
      <c r="E1997" s="476">
        <v>175773</v>
      </c>
      <c r="F1997" s="476">
        <v>175798</v>
      </c>
      <c r="G1997" s="476">
        <v>175823</v>
      </c>
      <c r="H1997" s="476">
        <v>175848</v>
      </c>
      <c r="I1997" s="476">
        <v>175873</v>
      </c>
      <c r="J1997" s="476">
        <v>175898</v>
      </c>
      <c r="K1997" s="476">
        <v>175923</v>
      </c>
    </row>
    <row r="1998" spans="1:11">
      <c r="A1998" s="479">
        <v>6865.4</v>
      </c>
      <c r="B1998" s="476">
        <v>175948</v>
      </c>
      <c r="C1998" s="476">
        <v>175973</v>
      </c>
      <c r="D1998" s="476">
        <v>175998</v>
      </c>
      <c r="E1998" s="476">
        <v>176023</v>
      </c>
      <c r="F1998" s="476">
        <v>176048</v>
      </c>
      <c r="G1998" s="476">
        <v>176073</v>
      </c>
      <c r="H1998" s="476">
        <v>176098</v>
      </c>
      <c r="I1998" s="476">
        <v>176123</v>
      </c>
      <c r="J1998" s="476">
        <v>176148</v>
      </c>
      <c r="K1998" s="476">
        <v>176173</v>
      </c>
    </row>
    <row r="1999" spans="1:11">
      <c r="A1999" s="479">
        <v>6865.5</v>
      </c>
      <c r="B1999" s="476">
        <v>176198</v>
      </c>
      <c r="C1999" s="476">
        <v>176223</v>
      </c>
      <c r="D1999" s="476">
        <v>176248</v>
      </c>
      <c r="E1999" s="476">
        <v>176273</v>
      </c>
      <c r="F1999" s="476">
        <v>176297</v>
      </c>
      <c r="G1999" s="476">
        <v>176322</v>
      </c>
      <c r="H1999" s="476">
        <v>176347</v>
      </c>
      <c r="I1999" s="476">
        <v>176372</v>
      </c>
      <c r="J1999" s="476">
        <v>176397</v>
      </c>
      <c r="K1999" s="476">
        <v>176422</v>
      </c>
    </row>
    <row r="2000" spans="1:11">
      <c r="A2000" s="479">
        <v>6865.6</v>
      </c>
      <c r="B2000" s="476">
        <v>176447</v>
      </c>
      <c r="C2000" s="476">
        <v>176472</v>
      </c>
      <c r="D2000" s="476">
        <v>176497</v>
      </c>
      <c r="E2000" s="476">
        <v>176522</v>
      </c>
      <c r="F2000" s="476">
        <v>176547</v>
      </c>
      <c r="G2000" s="476">
        <v>176572</v>
      </c>
      <c r="H2000" s="476">
        <v>176597</v>
      </c>
      <c r="I2000" s="476">
        <v>176622</v>
      </c>
      <c r="J2000" s="476">
        <v>176647</v>
      </c>
      <c r="K2000" s="476">
        <v>176672</v>
      </c>
    </row>
    <row r="2001" spans="1:11">
      <c r="A2001" s="479">
        <v>6865.7</v>
      </c>
      <c r="B2001" s="476">
        <v>176697</v>
      </c>
      <c r="C2001" s="476">
        <v>176722</v>
      </c>
      <c r="D2001" s="476">
        <v>176747</v>
      </c>
      <c r="E2001" s="476">
        <v>176772</v>
      </c>
      <c r="F2001" s="476">
        <v>176797</v>
      </c>
      <c r="G2001" s="476">
        <v>176821</v>
      </c>
      <c r="H2001" s="476">
        <v>176846</v>
      </c>
      <c r="I2001" s="476">
        <v>176871</v>
      </c>
      <c r="J2001" s="476">
        <v>176896</v>
      </c>
      <c r="K2001" s="476">
        <v>176921</v>
      </c>
    </row>
    <row r="2002" spans="1:11">
      <c r="A2002" s="479">
        <v>6865.8</v>
      </c>
      <c r="B2002" s="476">
        <v>176946</v>
      </c>
      <c r="C2002" s="476">
        <v>176971</v>
      </c>
      <c r="D2002" s="476">
        <v>176996</v>
      </c>
      <c r="E2002" s="476">
        <v>177021</v>
      </c>
      <c r="F2002" s="476">
        <v>177046</v>
      </c>
      <c r="G2002" s="476">
        <v>177071</v>
      </c>
      <c r="H2002" s="476">
        <v>177096</v>
      </c>
      <c r="I2002" s="476">
        <v>177121</v>
      </c>
      <c r="J2002" s="476">
        <v>177146</v>
      </c>
      <c r="K2002" s="476">
        <v>177171</v>
      </c>
    </row>
    <row r="2003" spans="1:11">
      <c r="A2003" s="479">
        <v>6865.9</v>
      </c>
      <c r="B2003" s="476">
        <v>177196</v>
      </c>
      <c r="C2003" s="476">
        <v>177221</v>
      </c>
      <c r="D2003" s="476">
        <v>177246</v>
      </c>
      <c r="E2003" s="476">
        <v>177271</v>
      </c>
      <c r="F2003" s="476">
        <v>177296</v>
      </c>
      <c r="G2003" s="476">
        <v>177321</v>
      </c>
      <c r="H2003" s="476">
        <v>177345</v>
      </c>
      <c r="I2003" s="476">
        <v>177370</v>
      </c>
      <c r="J2003" s="476">
        <v>177395</v>
      </c>
      <c r="K2003" s="476">
        <v>177420</v>
      </c>
    </row>
    <row r="2004" spans="1:11">
      <c r="A2004" s="479">
        <v>6866</v>
      </c>
      <c r="B2004" s="476">
        <v>177445</v>
      </c>
      <c r="C2004" s="476">
        <v>177471</v>
      </c>
      <c r="D2004" s="476">
        <v>177496</v>
      </c>
      <c r="E2004" s="476">
        <v>177521</v>
      </c>
      <c r="F2004" s="476">
        <v>177547</v>
      </c>
      <c r="G2004" s="476">
        <v>177572</v>
      </c>
      <c r="H2004" s="476">
        <v>177597</v>
      </c>
      <c r="I2004" s="476">
        <v>177623</v>
      </c>
      <c r="J2004" s="476">
        <v>177648</v>
      </c>
      <c r="K2004" s="476">
        <v>177673</v>
      </c>
    </row>
    <row r="2005" spans="1:11">
      <c r="A2005" s="479">
        <v>6866.1</v>
      </c>
      <c r="B2005" s="476">
        <v>177699</v>
      </c>
      <c r="C2005" s="476">
        <v>177724</v>
      </c>
      <c r="D2005" s="476">
        <v>177749</v>
      </c>
      <c r="E2005" s="476">
        <v>177775</v>
      </c>
      <c r="F2005" s="476">
        <v>177800</v>
      </c>
      <c r="G2005" s="476">
        <v>177825</v>
      </c>
      <c r="H2005" s="476">
        <v>177851</v>
      </c>
      <c r="I2005" s="476">
        <v>177876</v>
      </c>
      <c r="J2005" s="476">
        <v>177901</v>
      </c>
      <c r="K2005" s="476">
        <v>177927</v>
      </c>
    </row>
    <row r="2006" spans="1:11">
      <c r="A2006" s="479">
        <v>6866.2</v>
      </c>
      <c r="B2006" s="476">
        <v>177952</v>
      </c>
      <c r="C2006" s="476">
        <v>177977</v>
      </c>
      <c r="D2006" s="476">
        <v>178003</v>
      </c>
      <c r="E2006" s="476">
        <v>178028</v>
      </c>
      <c r="F2006" s="476">
        <v>178053</v>
      </c>
      <c r="G2006" s="476">
        <v>178079</v>
      </c>
      <c r="H2006" s="476">
        <v>178104</v>
      </c>
      <c r="I2006" s="476">
        <v>178129</v>
      </c>
      <c r="J2006" s="476">
        <v>178155</v>
      </c>
      <c r="K2006" s="476">
        <v>178183</v>
      </c>
    </row>
    <row r="2007" spans="1:11">
      <c r="A2007" s="479">
        <v>6866.3</v>
      </c>
      <c r="B2007" s="476">
        <v>178205</v>
      </c>
      <c r="C2007" s="476">
        <v>178231</v>
      </c>
      <c r="D2007" s="476">
        <v>178256</v>
      </c>
      <c r="E2007" s="476">
        <v>178281</v>
      </c>
      <c r="F2007" s="476">
        <v>178307</v>
      </c>
      <c r="G2007" s="476">
        <v>178332</v>
      </c>
      <c r="H2007" s="476">
        <v>178357</v>
      </c>
      <c r="I2007" s="476">
        <v>178383</v>
      </c>
      <c r="J2007" s="476">
        <v>178408</v>
      </c>
      <c r="K2007" s="476">
        <v>178433</v>
      </c>
    </row>
    <row r="2008" spans="1:11">
      <c r="A2008" s="479">
        <v>6866.4</v>
      </c>
      <c r="B2008" s="476">
        <v>178459</v>
      </c>
      <c r="C2008" s="476">
        <v>178484</v>
      </c>
      <c r="D2008" s="476">
        <v>178509</v>
      </c>
      <c r="E2008" s="476">
        <v>178535</v>
      </c>
      <c r="F2008" s="476">
        <v>178560</v>
      </c>
      <c r="G2008" s="476">
        <v>178585</v>
      </c>
      <c r="H2008" s="476">
        <v>178611</v>
      </c>
      <c r="I2008" s="476">
        <v>178636</v>
      </c>
      <c r="J2008" s="476">
        <v>178661</v>
      </c>
      <c r="K2008" s="476">
        <v>178687</v>
      </c>
    </row>
    <row r="2009" spans="1:11">
      <c r="A2009" s="479">
        <v>6866.5</v>
      </c>
      <c r="B2009" s="476">
        <v>178712</v>
      </c>
      <c r="C2009" s="476">
        <v>178737</v>
      </c>
      <c r="D2009" s="476">
        <v>178763</v>
      </c>
      <c r="E2009" s="476">
        <v>178788</v>
      </c>
      <c r="F2009" s="476">
        <v>178813</v>
      </c>
      <c r="G2009" s="476">
        <v>178839</v>
      </c>
      <c r="H2009" s="476">
        <v>178864</v>
      </c>
      <c r="I2009" s="476">
        <v>178889</v>
      </c>
      <c r="J2009" s="476">
        <v>178915</v>
      </c>
      <c r="K2009" s="476">
        <v>178940</v>
      </c>
    </row>
    <row r="2010" spans="1:11">
      <c r="A2010" s="479">
        <v>6866.6</v>
      </c>
      <c r="B2010" s="476">
        <v>178965</v>
      </c>
      <c r="C2010" s="476">
        <v>178991</v>
      </c>
      <c r="D2010" s="476">
        <v>179016</v>
      </c>
      <c r="E2010" s="476">
        <v>179041</v>
      </c>
      <c r="F2010" s="476">
        <v>179067</v>
      </c>
      <c r="G2010" s="476">
        <v>179092</v>
      </c>
      <c r="H2010" s="476">
        <v>179117</v>
      </c>
      <c r="I2010" s="476">
        <v>179143</v>
      </c>
      <c r="J2010" s="476">
        <v>179168</v>
      </c>
      <c r="K2010" s="476">
        <v>179193</v>
      </c>
    </row>
    <row r="2011" spans="1:11">
      <c r="A2011" s="479">
        <v>6866.7</v>
      </c>
      <c r="B2011" s="476">
        <v>179219</v>
      </c>
      <c r="C2011" s="476">
        <v>179244</v>
      </c>
      <c r="D2011" s="476">
        <v>179269</v>
      </c>
      <c r="E2011" s="476">
        <v>179295</v>
      </c>
      <c r="F2011" s="476">
        <v>179320</v>
      </c>
      <c r="G2011" s="476">
        <v>179345</v>
      </c>
      <c r="H2011" s="476">
        <v>179371</v>
      </c>
      <c r="I2011" s="476">
        <v>179396</v>
      </c>
      <c r="J2011" s="476">
        <v>179421</v>
      </c>
      <c r="K2011" s="476">
        <v>179447</v>
      </c>
    </row>
    <row r="2012" spans="1:11">
      <c r="A2012" s="479">
        <v>6866.8</v>
      </c>
      <c r="B2012" s="476">
        <v>179472</v>
      </c>
      <c r="C2012" s="476">
        <v>179497</v>
      </c>
      <c r="D2012" s="476">
        <v>179523</v>
      </c>
      <c r="E2012" s="476">
        <v>179548</v>
      </c>
      <c r="F2012" s="476">
        <v>179573</v>
      </c>
      <c r="G2012" s="476">
        <v>179599</v>
      </c>
      <c r="H2012" s="476">
        <v>179624</v>
      </c>
      <c r="I2012" s="476">
        <v>179649</v>
      </c>
      <c r="J2012" s="476">
        <v>179675</v>
      </c>
      <c r="K2012" s="476">
        <v>179701</v>
      </c>
    </row>
    <row r="2013" spans="1:11">
      <c r="A2013" s="479">
        <v>6866.9</v>
      </c>
      <c r="B2013" s="476">
        <v>179725</v>
      </c>
      <c r="C2013" s="476">
        <v>179751</v>
      </c>
      <c r="D2013" s="476">
        <v>179776</v>
      </c>
      <c r="E2013" s="476">
        <v>179801</v>
      </c>
      <c r="F2013" s="476">
        <v>179827</v>
      </c>
      <c r="G2013" s="476">
        <v>179852</v>
      </c>
      <c r="H2013" s="476">
        <v>179877</v>
      </c>
      <c r="I2013" s="476">
        <v>179903</v>
      </c>
      <c r="J2013" s="476">
        <v>179928</v>
      </c>
      <c r="K2013" s="476">
        <v>179953</v>
      </c>
    </row>
    <row r="2014" spans="1:11">
      <c r="A2014" s="479">
        <v>6867</v>
      </c>
      <c r="B2014" s="476">
        <v>179979</v>
      </c>
      <c r="C2014" s="476">
        <v>180004</v>
      </c>
      <c r="D2014" s="476">
        <v>180030</v>
      </c>
      <c r="E2014" s="476">
        <v>180056</v>
      </c>
      <c r="F2014" s="476">
        <v>180082</v>
      </c>
      <c r="G2014" s="476">
        <v>180107</v>
      </c>
      <c r="H2014" s="476">
        <v>180133</v>
      </c>
      <c r="I2014" s="476">
        <v>180159</v>
      </c>
      <c r="J2014" s="476">
        <v>180184</v>
      </c>
      <c r="K2014" s="476">
        <v>180213</v>
      </c>
    </row>
    <row r="2015" spans="1:11">
      <c r="A2015" s="479">
        <v>6867.1</v>
      </c>
      <c r="B2015" s="476">
        <v>180236</v>
      </c>
      <c r="C2015" s="476">
        <v>180262</v>
      </c>
      <c r="D2015" s="476">
        <v>180287</v>
      </c>
      <c r="E2015" s="476">
        <v>180313</v>
      </c>
      <c r="F2015" s="476">
        <v>180339</v>
      </c>
      <c r="G2015" s="476">
        <v>180364</v>
      </c>
      <c r="H2015" s="476">
        <v>180390</v>
      </c>
      <c r="I2015" s="476">
        <v>180416</v>
      </c>
      <c r="J2015" s="476">
        <v>180442</v>
      </c>
      <c r="K2015" s="476">
        <v>180467</v>
      </c>
    </row>
    <row r="2016" spans="1:11">
      <c r="A2016" s="479">
        <v>6867.2</v>
      </c>
      <c r="B2016" s="476">
        <v>180493</v>
      </c>
      <c r="C2016" s="476">
        <v>180519</v>
      </c>
      <c r="D2016" s="476">
        <v>180544</v>
      </c>
      <c r="E2016" s="476">
        <v>180570</v>
      </c>
      <c r="F2016" s="476">
        <v>180596</v>
      </c>
      <c r="G2016" s="476">
        <v>180622</v>
      </c>
      <c r="H2016" s="476">
        <v>180647</v>
      </c>
      <c r="I2016" s="476">
        <v>180673</v>
      </c>
      <c r="J2016" s="476">
        <v>180699</v>
      </c>
      <c r="K2016" s="476">
        <v>180724</v>
      </c>
    </row>
    <row r="2017" spans="1:11">
      <c r="A2017" s="479">
        <v>6867.3</v>
      </c>
      <c r="B2017" s="476">
        <v>180750</v>
      </c>
      <c r="C2017" s="476">
        <v>180776</v>
      </c>
      <c r="D2017" s="476">
        <v>180802</v>
      </c>
      <c r="E2017" s="476">
        <v>180827</v>
      </c>
      <c r="F2017" s="476">
        <v>180853</v>
      </c>
      <c r="G2017" s="476">
        <v>180879</v>
      </c>
      <c r="H2017" s="476">
        <v>180904</v>
      </c>
      <c r="I2017" s="476">
        <v>180930</v>
      </c>
      <c r="J2017" s="476">
        <v>180956</v>
      </c>
      <c r="K2017" s="476">
        <v>180982</v>
      </c>
    </row>
    <row r="2018" spans="1:11">
      <c r="A2018" s="479">
        <v>6867.4</v>
      </c>
      <c r="B2018" s="476">
        <v>181007</v>
      </c>
      <c r="C2018" s="476">
        <v>181033</v>
      </c>
      <c r="D2018" s="476">
        <v>181059</v>
      </c>
      <c r="E2018" s="476">
        <v>181084</v>
      </c>
      <c r="F2018" s="476">
        <v>181110</v>
      </c>
      <c r="G2018" s="476">
        <v>181136</v>
      </c>
      <c r="H2018" s="476">
        <v>181162</v>
      </c>
      <c r="I2018" s="476">
        <v>181187</v>
      </c>
      <c r="J2018" s="476">
        <v>181213</v>
      </c>
      <c r="K2018" s="476">
        <v>181239</v>
      </c>
    </row>
    <row r="2019" spans="1:11">
      <c r="A2019" s="479">
        <v>6867.5</v>
      </c>
      <c r="B2019" s="476">
        <v>181264</v>
      </c>
      <c r="C2019" s="476">
        <v>181290</v>
      </c>
      <c r="D2019" s="476">
        <v>181316</v>
      </c>
      <c r="E2019" s="476">
        <v>181341</v>
      </c>
      <c r="F2019" s="476">
        <v>181367</v>
      </c>
      <c r="G2019" s="476">
        <v>181393</v>
      </c>
      <c r="H2019" s="476">
        <v>181419</v>
      </c>
      <c r="I2019" s="476">
        <v>181444</v>
      </c>
      <c r="J2019" s="476">
        <v>181470</v>
      </c>
      <c r="K2019" s="476">
        <v>181496</v>
      </c>
    </row>
    <row r="2020" spans="1:11">
      <c r="A2020" s="479">
        <v>6867.6</v>
      </c>
      <c r="B2020" s="476">
        <v>181521</v>
      </c>
      <c r="C2020" s="476">
        <v>181547</v>
      </c>
      <c r="D2020" s="476">
        <v>181573</v>
      </c>
      <c r="E2020" s="476">
        <v>181599</v>
      </c>
      <c r="F2020" s="476">
        <v>181624</v>
      </c>
      <c r="G2020" s="476">
        <v>181650</v>
      </c>
      <c r="H2020" s="476">
        <v>181676</v>
      </c>
      <c r="I2020" s="476">
        <v>181701</v>
      </c>
      <c r="J2020" s="476">
        <v>181727</v>
      </c>
      <c r="K2020" s="476">
        <v>181753</v>
      </c>
    </row>
    <row r="2021" spans="1:11">
      <c r="A2021" s="479">
        <v>6867.7</v>
      </c>
      <c r="B2021" s="476">
        <v>181779</v>
      </c>
      <c r="C2021" s="476">
        <v>181804</v>
      </c>
      <c r="D2021" s="476">
        <v>181830</v>
      </c>
      <c r="E2021" s="476">
        <v>181856</v>
      </c>
      <c r="F2021" s="476">
        <v>181881</v>
      </c>
      <c r="G2021" s="476">
        <v>181907</v>
      </c>
      <c r="H2021" s="476">
        <v>181933</v>
      </c>
      <c r="I2021" s="476">
        <v>181959</v>
      </c>
      <c r="J2021" s="476">
        <v>181984</v>
      </c>
      <c r="K2021" s="476">
        <v>182010</v>
      </c>
    </row>
    <row r="2022" spans="1:11">
      <c r="A2022" s="479">
        <v>6867.8</v>
      </c>
      <c r="B2022" s="476">
        <v>182036</v>
      </c>
      <c r="C2022" s="476">
        <v>182061</v>
      </c>
      <c r="D2022" s="476">
        <v>182087</v>
      </c>
      <c r="E2022" s="476">
        <v>182113</v>
      </c>
      <c r="F2022" s="476">
        <v>182139</v>
      </c>
      <c r="G2022" s="476">
        <v>182164</v>
      </c>
      <c r="H2022" s="476">
        <v>182190</v>
      </c>
      <c r="I2022" s="476">
        <v>182216</v>
      </c>
      <c r="J2022" s="476">
        <v>182241</v>
      </c>
      <c r="K2022" s="476">
        <v>182267</v>
      </c>
    </row>
    <row r="2023" spans="1:11">
      <c r="A2023" s="479">
        <v>6867.9</v>
      </c>
      <c r="B2023" s="476">
        <v>182293</v>
      </c>
      <c r="C2023" s="476">
        <v>182319</v>
      </c>
      <c r="D2023" s="476">
        <v>182344</v>
      </c>
      <c r="E2023" s="476">
        <v>182370</v>
      </c>
      <c r="F2023" s="476">
        <v>182396</v>
      </c>
      <c r="G2023" s="476">
        <v>182421</v>
      </c>
      <c r="H2023" s="476">
        <v>182447</v>
      </c>
      <c r="I2023" s="476">
        <v>182473</v>
      </c>
      <c r="J2023" s="476">
        <v>182499</v>
      </c>
      <c r="K2023" s="476">
        <v>182514</v>
      </c>
    </row>
    <row r="2024" spans="1:11">
      <c r="A2024" s="479">
        <v>6868</v>
      </c>
      <c r="B2024" s="476">
        <v>182550</v>
      </c>
      <c r="C2024" s="476">
        <v>182576</v>
      </c>
      <c r="D2024" s="476">
        <v>182602</v>
      </c>
      <c r="E2024" s="476">
        <v>182628</v>
      </c>
      <c r="F2024" s="476">
        <v>182654</v>
      </c>
      <c r="G2024" s="476">
        <v>182680</v>
      </c>
      <c r="H2024" s="476">
        <v>182706</v>
      </c>
      <c r="I2024" s="476">
        <v>182733</v>
      </c>
      <c r="J2024" s="476">
        <v>182759</v>
      </c>
      <c r="K2024" s="476">
        <v>182785</v>
      </c>
    </row>
    <row r="2025" spans="1:11">
      <c r="A2025" s="479">
        <v>6868.1</v>
      </c>
      <c r="B2025" s="476">
        <v>182811</v>
      </c>
      <c r="C2025" s="476">
        <v>182837</v>
      </c>
      <c r="D2025" s="476">
        <v>182863</v>
      </c>
      <c r="E2025" s="476">
        <v>182889</v>
      </c>
      <c r="F2025" s="476">
        <v>182915</v>
      </c>
      <c r="G2025" s="476">
        <v>182941</v>
      </c>
      <c r="H2025" s="476">
        <v>182967</v>
      </c>
      <c r="I2025" s="476">
        <v>182993</v>
      </c>
      <c r="J2025" s="476">
        <v>183019</v>
      </c>
      <c r="K2025" s="476">
        <v>183046</v>
      </c>
    </row>
    <row r="2026" spans="1:11">
      <c r="A2026" s="479">
        <v>6868.2</v>
      </c>
      <c r="B2026" s="476">
        <v>183072</v>
      </c>
      <c r="C2026" s="476">
        <v>183098</v>
      </c>
      <c r="D2026" s="476">
        <v>183124</v>
      </c>
      <c r="E2026" s="476">
        <v>183150</v>
      </c>
      <c r="F2026" s="476">
        <v>183176</v>
      </c>
      <c r="G2026" s="476">
        <v>183202</v>
      </c>
      <c r="H2026" s="476">
        <v>183228</v>
      </c>
      <c r="I2026" s="476">
        <v>183254</v>
      </c>
      <c r="J2026" s="476">
        <v>183280</v>
      </c>
      <c r="K2026" s="476">
        <v>183306</v>
      </c>
    </row>
    <row r="2027" spans="1:11">
      <c r="A2027" s="479">
        <v>6868.3</v>
      </c>
      <c r="B2027" s="476">
        <v>183332</v>
      </c>
      <c r="C2027" s="476">
        <v>183358</v>
      </c>
      <c r="D2027" s="476">
        <v>183385</v>
      </c>
      <c r="E2027" s="476">
        <v>183411</v>
      </c>
      <c r="F2027" s="476">
        <v>183437</v>
      </c>
      <c r="G2027" s="476">
        <v>183463</v>
      </c>
      <c r="H2027" s="476">
        <v>183489</v>
      </c>
      <c r="I2027" s="476">
        <v>183515</v>
      </c>
      <c r="J2027" s="476">
        <v>183541</v>
      </c>
      <c r="K2027" s="476">
        <v>183567</v>
      </c>
    </row>
    <row r="2028" spans="1:11">
      <c r="A2028" s="479">
        <v>6868.4</v>
      </c>
      <c r="B2028" s="476">
        <v>183593</v>
      </c>
      <c r="C2028" s="476">
        <v>183619</v>
      </c>
      <c r="D2028" s="476">
        <v>183645</v>
      </c>
      <c r="E2028" s="476">
        <v>183671</v>
      </c>
      <c r="F2028" s="476">
        <v>183698</v>
      </c>
      <c r="G2028" s="476">
        <v>183724</v>
      </c>
      <c r="H2028" s="476">
        <v>183750</v>
      </c>
      <c r="I2028" s="476">
        <v>183776</v>
      </c>
      <c r="J2028" s="476">
        <v>183802</v>
      </c>
      <c r="K2028" s="476">
        <v>183823</v>
      </c>
    </row>
    <row r="2029" spans="1:11">
      <c r="A2029" s="479">
        <v>6868.5</v>
      </c>
      <c r="B2029" s="476">
        <v>183854</v>
      </c>
      <c r="C2029" s="476">
        <v>183880</v>
      </c>
      <c r="D2029" s="476">
        <v>183906</v>
      </c>
      <c r="E2029" s="476">
        <v>183932</v>
      </c>
      <c r="F2029" s="476">
        <v>183958</v>
      </c>
      <c r="G2029" s="476">
        <v>183984</v>
      </c>
      <c r="H2029" s="476">
        <v>184011</v>
      </c>
      <c r="I2029" s="476">
        <v>184037</v>
      </c>
      <c r="J2029" s="476">
        <v>184063</v>
      </c>
      <c r="K2029" s="476">
        <v>184089</v>
      </c>
    </row>
    <row r="2030" spans="1:11">
      <c r="A2030" s="479">
        <v>6868.6</v>
      </c>
      <c r="B2030" s="476">
        <v>184115</v>
      </c>
      <c r="C2030" s="476">
        <v>184141</v>
      </c>
      <c r="D2030" s="476">
        <v>184167</v>
      </c>
      <c r="E2030" s="476">
        <v>184193</v>
      </c>
      <c r="F2030" s="476">
        <v>184219</v>
      </c>
      <c r="G2030" s="476">
        <v>184245</v>
      </c>
      <c r="H2030" s="476">
        <v>184271</v>
      </c>
      <c r="I2030" s="476">
        <v>184297</v>
      </c>
      <c r="J2030" s="476">
        <v>184324</v>
      </c>
      <c r="K2030" s="476">
        <v>184350</v>
      </c>
    </row>
    <row r="2031" spans="1:11">
      <c r="A2031" s="479">
        <v>6868.7</v>
      </c>
      <c r="B2031" s="476">
        <v>184376</v>
      </c>
      <c r="C2031" s="476">
        <v>184402</v>
      </c>
      <c r="D2031" s="476">
        <v>184428</v>
      </c>
      <c r="E2031" s="476">
        <v>184454</v>
      </c>
      <c r="F2031" s="476">
        <v>184480</v>
      </c>
      <c r="G2031" s="476">
        <v>184506</v>
      </c>
      <c r="H2031" s="476">
        <v>184532</v>
      </c>
      <c r="I2031" s="476">
        <v>184558</v>
      </c>
      <c r="J2031" s="476">
        <v>184584</v>
      </c>
      <c r="K2031" s="476">
        <v>184610</v>
      </c>
    </row>
    <row r="2032" spans="1:11">
      <c r="A2032" s="479">
        <v>6868.8</v>
      </c>
      <c r="B2032" s="476">
        <v>184637</v>
      </c>
      <c r="C2032" s="476">
        <v>184663</v>
      </c>
      <c r="D2032" s="476">
        <v>184689</v>
      </c>
      <c r="E2032" s="476">
        <v>184715</v>
      </c>
      <c r="F2032" s="476">
        <v>184741</v>
      </c>
      <c r="G2032" s="476">
        <v>184767</v>
      </c>
      <c r="H2032" s="476">
        <v>184793</v>
      </c>
      <c r="I2032" s="476">
        <v>184819</v>
      </c>
      <c r="J2032" s="476">
        <v>184845</v>
      </c>
      <c r="K2032" s="476">
        <v>184871</v>
      </c>
    </row>
    <row r="2033" spans="1:11">
      <c r="A2033" s="479">
        <v>6868.9</v>
      </c>
      <c r="B2033" s="476">
        <v>184897</v>
      </c>
      <c r="C2033" s="476">
        <v>184923</v>
      </c>
      <c r="D2033" s="476">
        <v>184950</v>
      </c>
      <c r="E2033" s="476">
        <v>184976</v>
      </c>
      <c r="F2033" s="476">
        <v>185002</v>
      </c>
      <c r="G2033" s="476">
        <v>185028</v>
      </c>
      <c r="H2033" s="476">
        <v>185054</v>
      </c>
      <c r="I2033" s="476">
        <v>185080</v>
      </c>
      <c r="J2033" s="476">
        <v>185106</v>
      </c>
      <c r="K2033" s="476">
        <v>185132</v>
      </c>
    </row>
    <row r="2034" spans="1:11">
      <c r="A2034" s="479">
        <v>6869</v>
      </c>
      <c r="B2034" s="476">
        <v>185158</v>
      </c>
      <c r="C2034" s="476">
        <v>185185</v>
      </c>
      <c r="D2034" s="476">
        <v>185211</v>
      </c>
      <c r="E2034" s="476">
        <v>185238</v>
      </c>
      <c r="F2034" s="476">
        <v>185264</v>
      </c>
      <c r="G2034" s="476">
        <v>185290</v>
      </c>
      <c r="H2034" s="476">
        <v>185317</v>
      </c>
      <c r="I2034" s="476">
        <v>185343</v>
      </c>
      <c r="J2034" s="476">
        <v>185370</v>
      </c>
      <c r="K2034" s="476">
        <v>185396</v>
      </c>
    </row>
    <row r="2035" spans="1:11">
      <c r="A2035" s="479">
        <v>6869.1</v>
      </c>
      <c r="B2035" s="476">
        <v>185423</v>
      </c>
      <c r="C2035" s="476">
        <v>185449</v>
      </c>
      <c r="D2035" s="476">
        <v>185476</v>
      </c>
      <c r="E2035" s="476">
        <v>185502</v>
      </c>
      <c r="F2035" s="476">
        <v>185528</v>
      </c>
      <c r="G2035" s="476">
        <v>185555</v>
      </c>
      <c r="H2035" s="476">
        <v>185581</v>
      </c>
      <c r="I2035" s="476">
        <v>185608</v>
      </c>
      <c r="J2035" s="476">
        <v>185634</v>
      </c>
      <c r="K2035" s="476">
        <v>185661</v>
      </c>
    </row>
    <row r="2036" spans="1:11">
      <c r="A2036" s="479">
        <v>6869.2</v>
      </c>
      <c r="B2036" s="476">
        <v>185687</v>
      </c>
      <c r="C2036" s="476">
        <v>185714</v>
      </c>
      <c r="D2036" s="476">
        <v>185740</v>
      </c>
      <c r="E2036" s="476">
        <v>185767</v>
      </c>
      <c r="F2036" s="476">
        <v>185793</v>
      </c>
      <c r="G2036" s="476">
        <v>185819</v>
      </c>
      <c r="H2036" s="476">
        <v>185846</v>
      </c>
      <c r="I2036" s="476">
        <v>185872</v>
      </c>
      <c r="J2036" s="476">
        <v>185899</v>
      </c>
      <c r="K2036" s="476">
        <v>185915</v>
      </c>
    </row>
    <row r="2037" spans="1:11">
      <c r="A2037" s="479">
        <v>6869.3</v>
      </c>
      <c r="B2037" s="476">
        <v>185952</v>
      </c>
      <c r="C2037" s="476">
        <v>185978</v>
      </c>
      <c r="D2037" s="476">
        <v>186005</v>
      </c>
      <c r="E2037" s="476">
        <v>186031</v>
      </c>
      <c r="F2037" s="476">
        <v>186057</v>
      </c>
      <c r="G2037" s="476">
        <v>186085</v>
      </c>
      <c r="H2037" s="476">
        <v>186110</v>
      </c>
      <c r="I2037" s="476">
        <v>186137</v>
      </c>
      <c r="J2037" s="476">
        <v>186163</v>
      </c>
      <c r="K2037" s="476">
        <v>186193</v>
      </c>
    </row>
    <row r="2038" spans="1:11">
      <c r="A2038" s="479">
        <v>6869.4</v>
      </c>
      <c r="B2038" s="476">
        <v>186216</v>
      </c>
      <c r="C2038" s="476">
        <v>186243</v>
      </c>
      <c r="D2038" s="476">
        <v>186269</v>
      </c>
      <c r="E2038" s="476">
        <v>186295</v>
      </c>
      <c r="F2038" s="476">
        <v>186322</v>
      </c>
      <c r="G2038" s="476">
        <v>186348</v>
      </c>
      <c r="H2038" s="476">
        <v>186375</v>
      </c>
      <c r="I2038" s="476">
        <v>186401</v>
      </c>
      <c r="J2038" s="476">
        <v>186428</v>
      </c>
      <c r="K2038" s="476">
        <v>186454</v>
      </c>
    </row>
    <row r="2039" spans="1:11">
      <c r="A2039" s="479">
        <v>6869.5</v>
      </c>
      <c r="B2039" s="476">
        <v>186481</v>
      </c>
      <c r="C2039" s="476">
        <v>186507</v>
      </c>
      <c r="D2039" s="476">
        <v>186534</v>
      </c>
      <c r="E2039" s="476">
        <v>186560</v>
      </c>
      <c r="F2039" s="476">
        <v>186586</v>
      </c>
      <c r="G2039" s="476">
        <v>186613</v>
      </c>
      <c r="H2039" s="476">
        <v>186639</v>
      </c>
      <c r="I2039" s="476">
        <v>186666</v>
      </c>
      <c r="J2039" s="476">
        <v>186692</v>
      </c>
      <c r="K2039" s="476">
        <v>186719</v>
      </c>
    </row>
    <row r="2040" spans="1:11">
      <c r="A2040" s="479">
        <v>6869.6</v>
      </c>
      <c r="B2040" s="476">
        <v>186745</v>
      </c>
      <c r="C2040" s="476">
        <v>186772</v>
      </c>
      <c r="D2040" s="476">
        <v>186798</v>
      </c>
      <c r="E2040" s="476">
        <v>186824</v>
      </c>
      <c r="F2040" s="476">
        <v>186851</v>
      </c>
      <c r="G2040" s="476">
        <v>186877</v>
      </c>
      <c r="H2040" s="476">
        <v>186904</v>
      </c>
      <c r="I2040" s="476">
        <v>186930</v>
      </c>
      <c r="J2040" s="476">
        <v>186957</v>
      </c>
      <c r="K2040" s="476">
        <v>186983</v>
      </c>
    </row>
    <row r="2041" spans="1:11">
      <c r="A2041" s="479">
        <v>6869.7</v>
      </c>
      <c r="B2041" s="476">
        <v>187010</v>
      </c>
      <c r="C2041" s="476">
        <v>187036</v>
      </c>
      <c r="D2041" s="476">
        <v>187063</v>
      </c>
      <c r="E2041" s="476">
        <v>187089</v>
      </c>
      <c r="F2041" s="476">
        <v>187115</v>
      </c>
      <c r="G2041" s="476">
        <v>187142</v>
      </c>
      <c r="H2041" s="476">
        <v>187168</v>
      </c>
      <c r="I2041" s="476">
        <v>187195</v>
      </c>
      <c r="J2041" s="476">
        <v>187221</v>
      </c>
      <c r="K2041" s="476">
        <v>187248</v>
      </c>
    </row>
    <row r="2042" spans="1:11">
      <c r="A2042" s="479">
        <v>6869.8</v>
      </c>
      <c r="B2042" s="476">
        <v>187274</v>
      </c>
      <c r="C2042" s="476">
        <v>187301</v>
      </c>
      <c r="D2042" s="476">
        <v>187327</v>
      </c>
      <c r="E2042" s="476">
        <v>187353</v>
      </c>
      <c r="F2042" s="476">
        <v>187380</v>
      </c>
      <c r="G2042" s="476">
        <v>187406</v>
      </c>
      <c r="H2042" s="476">
        <v>187433</v>
      </c>
      <c r="I2042" s="476">
        <v>187459</v>
      </c>
      <c r="J2042" s="476">
        <v>187486</v>
      </c>
      <c r="K2042" s="476">
        <v>187512</v>
      </c>
    </row>
    <row r="2043" spans="1:11">
      <c r="A2043" s="479">
        <v>6869.9</v>
      </c>
      <c r="B2043" s="476">
        <v>187539</v>
      </c>
      <c r="C2043" s="476">
        <v>187565</v>
      </c>
      <c r="D2043" s="476">
        <v>187591</v>
      </c>
      <c r="E2043" s="476">
        <v>187618</v>
      </c>
      <c r="F2043" s="476">
        <v>187644</v>
      </c>
      <c r="G2043" s="476">
        <v>187671</v>
      </c>
      <c r="H2043" s="476">
        <v>187697</v>
      </c>
      <c r="I2043" s="476">
        <v>187724</v>
      </c>
      <c r="J2043" s="476">
        <v>187750</v>
      </c>
      <c r="K2043" s="476">
        <v>187777</v>
      </c>
    </row>
    <row r="2044" spans="1:11">
      <c r="A2044" s="479">
        <v>6870</v>
      </c>
      <c r="B2044" s="476">
        <v>187803</v>
      </c>
      <c r="C2044" s="476">
        <v>187830</v>
      </c>
      <c r="D2044" s="476">
        <v>187857</v>
      </c>
      <c r="E2044" s="476">
        <v>187883</v>
      </c>
      <c r="F2044" s="476">
        <v>187910</v>
      </c>
      <c r="G2044" s="476">
        <v>187937</v>
      </c>
      <c r="H2044" s="476">
        <v>187964</v>
      </c>
      <c r="I2044" s="476">
        <v>187991</v>
      </c>
      <c r="J2044" s="476">
        <v>188018</v>
      </c>
      <c r="K2044" s="476">
        <v>188044</v>
      </c>
    </row>
    <row r="2045" spans="1:11">
      <c r="A2045" s="479">
        <v>6870.1</v>
      </c>
      <c r="B2045" s="476">
        <v>188071</v>
      </c>
      <c r="C2045" s="476">
        <v>188098</v>
      </c>
      <c r="D2045" s="476">
        <v>188125</v>
      </c>
      <c r="E2045" s="476">
        <v>188152</v>
      </c>
      <c r="F2045" s="476">
        <v>188178</v>
      </c>
      <c r="G2045" s="476">
        <v>188205</v>
      </c>
      <c r="H2045" s="476">
        <v>188232</v>
      </c>
      <c r="I2045" s="476">
        <v>188259</v>
      </c>
      <c r="J2045" s="476">
        <v>188286</v>
      </c>
      <c r="K2045" s="476">
        <v>188312</v>
      </c>
    </row>
    <row r="2046" spans="1:11">
      <c r="A2046" s="479">
        <v>6870.2</v>
      </c>
      <c r="B2046" s="476">
        <v>188339</v>
      </c>
      <c r="C2046" s="476">
        <v>188366</v>
      </c>
      <c r="D2046" s="476">
        <v>188393</v>
      </c>
      <c r="E2046" s="476">
        <v>188420</v>
      </c>
      <c r="F2046" s="476">
        <v>188447</v>
      </c>
      <c r="G2046" s="476">
        <v>188473</v>
      </c>
      <c r="H2046" s="476">
        <v>188500</v>
      </c>
      <c r="I2046" s="476">
        <v>188527</v>
      </c>
      <c r="J2046" s="476">
        <v>188554</v>
      </c>
      <c r="K2046" s="476">
        <v>188581</v>
      </c>
    </row>
    <row r="2047" spans="1:11">
      <c r="A2047" s="479">
        <v>6870.3</v>
      </c>
      <c r="B2047" s="476">
        <v>188607</v>
      </c>
      <c r="C2047" s="476">
        <v>188634</v>
      </c>
      <c r="D2047" s="476">
        <v>188661</v>
      </c>
      <c r="E2047" s="476">
        <v>188688</v>
      </c>
      <c r="F2047" s="476">
        <v>188715</v>
      </c>
      <c r="G2047" s="476">
        <v>188741</v>
      </c>
      <c r="H2047" s="476">
        <v>188768</v>
      </c>
      <c r="I2047" s="476">
        <v>188795</v>
      </c>
      <c r="J2047" s="476">
        <v>188822</v>
      </c>
      <c r="K2047" s="476">
        <v>188849</v>
      </c>
    </row>
    <row r="2048" spans="1:11">
      <c r="A2048" s="479">
        <v>6870.4</v>
      </c>
      <c r="B2048" s="476">
        <v>188875</v>
      </c>
      <c r="C2048" s="476">
        <v>188902</v>
      </c>
      <c r="D2048" s="476">
        <v>188929</v>
      </c>
      <c r="E2048" s="476">
        <v>188956</v>
      </c>
      <c r="F2048" s="476">
        <v>188983</v>
      </c>
      <c r="G2048" s="476">
        <v>189010</v>
      </c>
      <c r="H2048" s="476">
        <v>189036</v>
      </c>
      <c r="I2048" s="476">
        <v>189063</v>
      </c>
      <c r="J2048" s="476">
        <v>189090</v>
      </c>
      <c r="K2048" s="476">
        <v>189117</v>
      </c>
    </row>
    <row r="2049" spans="1:11">
      <c r="A2049" s="479">
        <v>6870.5</v>
      </c>
      <c r="B2049" s="476">
        <v>189144</v>
      </c>
      <c r="C2049" s="476">
        <v>189170</v>
      </c>
      <c r="D2049" s="476">
        <v>189197</v>
      </c>
      <c r="E2049" s="476">
        <v>189224</v>
      </c>
      <c r="F2049" s="476">
        <v>189251</v>
      </c>
      <c r="G2049" s="476">
        <v>189278</v>
      </c>
      <c r="H2049" s="476">
        <v>189304</v>
      </c>
      <c r="I2049" s="476">
        <v>189331</v>
      </c>
      <c r="J2049" s="476">
        <v>189358</v>
      </c>
      <c r="K2049" s="476">
        <v>189385</v>
      </c>
    </row>
    <row r="2050" spans="1:11">
      <c r="A2050" s="479">
        <v>6870.6</v>
      </c>
      <c r="B2050" s="476">
        <v>189412</v>
      </c>
      <c r="C2050" s="476">
        <v>189438</v>
      </c>
      <c r="D2050" s="476">
        <v>189465</v>
      </c>
      <c r="E2050" s="476">
        <v>189492</v>
      </c>
      <c r="F2050" s="476">
        <v>189519</v>
      </c>
      <c r="G2050" s="476">
        <v>189546</v>
      </c>
      <c r="H2050" s="476">
        <v>189573</v>
      </c>
      <c r="I2050" s="476">
        <v>189599</v>
      </c>
      <c r="J2050" s="476">
        <v>189626</v>
      </c>
      <c r="K2050" s="476">
        <v>189653</v>
      </c>
    </row>
    <row r="2051" spans="1:11">
      <c r="A2051" s="479">
        <v>6870.7</v>
      </c>
      <c r="B2051" s="476">
        <v>189680</v>
      </c>
      <c r="C2051" s="476">
        <v>189707</v>
      </c>
      <c r="D2051" s="476">
        <v>189733</v>
      </c>
      <c r="E2051" s="476">
        <v>189760</v>
      </c>
      <c r="F2051" s="476">
        <v>189787</v>
      </c>
      <c r="G2051" s="476">
        <v>189814</v>
      </c>
      <c r="H2051" s="476">
        <v>189841</v>
      </c>
      <c r="I2051" s="476">
        <v>189867</v>
      </c>
      <c r="J2051" s="476">
        <v>189894</v>
      </c>
      <c r="K2051" s="476">
        <v>189921</v>
      </c>
    </row>
    <row r="2052" spans="1:11">
      <c r="A2052" s="479">
        <v>6870.8</v>
      </c>
      <c r="B2052" s="476">
        <v>189948</v>
      </c>
      <c r="C2052" s="476">
        <v>189975</v>
      </c>
      <c r="D2052" s="476">
        <v>190001</v>
      </c>
      <c r="E2052" s="476">
        <v>190028</v>
      </c>
      <c r="F2052" s="476">
        <v>190055</v>
      </c>
      <c r="G2052" s="476">
        <v>190082</v>
      </c>
      <c r="H2052" s="476">
        <v>190109</v>
      </c>
      <c r="I2052" s="476">
        <v>190136</v>
      </c>
      <c r="J2052" s="476">
        <v>190162</v>
      </c>
      <c r="K2052" s="476">
        <v>190189</v>
      </c>
    </row>
    <row r="2053" spans="1:11">
      <c r="A2053" s="479">
        <v>6870.9</v>
      </c>
      <c r="B2053" s="476">
        <v>190216</v>
      </c>
      <c r="C2053" s="476">
        <v>190243</v>
      </c>
      <c r="D2053" s="476">
        <v>190270</v>
      </c>
      <c r="E2053" s="476">
        <v>190296</v>
      </c>
      <c r="F2053" s="476">
        <v>190323</v>
      </c>
      <c r="G2053" s="476">
        <v>190350</v>
      </c>
      <c r="H2053" s="476">
        <v>190377</v>
      </c>
      <c r="I2053" s="476">
        <v>190404</v>
      </c>
      <c r="J2053" s="476">
        <v>190430</v>
      </c>
      <c r="K2053" s="476">
        <v>190457</v>
      </c>
    </row>
    <row r="2054" spans="1:11">
      <c r="A2054" s="479">
        <v>6871</v>
      </c>
      <c r="B2054" s="476">
        <v>190484</v>
      </c>
      <c r="C2054" s="476">
        <v>190511</v>
      </c>
      <c r="D2054" s="476">
        <v>190538</v>
      </c>
      <c r="E2054" s="476">
        <v>190566</v>
      </c>
      <c r="F2054" s="476">
        <v>190593</v>
      </c>
      <c r="G2054" s="476">
        <v>190620</v>
      </c>
      <c r="H2054" s="476">
        <v>190647</v>
      </c>
      <c r="I2054" s="476">
        <v>190674</v>
      </c>
      <c r="J2054" s="476">
        <v>190701</v>
      </c>
      <c r="K2054" s="476">
        <v>190729</v>
      </c>
    </row>
    <row r="2055" spans="1:11">
      <c r="A2055" s="479">
        <v>6871.1</v>
      </c>
      <c r="B2055" s="476">
        <v>190756</v>
      </c>
      <c r="C2055" s="476">
        <v>190783</v>
      </c>
      <c r="D2055" s="476">
        <v>190810</v>
      </c>
      <c r="E2055" s="476">
        <v>190837</v>
      </c>
      <c r="F2055" s="476">
        <v>190864</v>
      </c>
      <c r="G2055" s="476">
        <v>190892</v>
      </c>
      <c r="H2055" s="476">
        <v>190919</v>
      </c>
      <c r="I2055" s="476">
        <v>190946</v>
      </c>
      <c r="J2055" s="476">
        <v>190973</v>
      </c>
      <c r="K2055" s="476">
        <v>191000</v>
      </c>
    </row>
    <row r="2056" spans="1:11">
      <c r="A2056" s="479">
        <v>6871.2</v>
      </c>
      <c r="B2056" s="476">
        <v>191027</v>
      </c>
      <c r="C2056" s="476">
        <v>191055</v>
      </c>
      <c r="D2056" s="476">
        <v>191082</v>
      </c>
      <c r="E2056" s="476">
        <v>191109</v>
      </c>
      <c r="F2056" s="476">
        <v>191136</v>
      </c>
      <c r="G2056" s="476">
        <v>191163</v>
      </c>
      <c r="H2056" s="476">
        <v>191190</v>
      </c>
      <c r="I2056" s="476">
        <v>191218</v>
      </c>
      <c r="J2056" s="476">
        <v>191245</v>
      </c>
      <c r="K2056" s="476">
        <v>191272</v>
      </c>
    </row>
    <row r="2057" spans="1:11">
      <c r="A2057" s="479">
        <v>6871.3</v>
      </c>
      <c r="B2057" s="476">
        <v>191299</v>
      </c>
      <c r="C2057" s="476">
        <v>191326</v>
      </c>
      <c r="D2057" s="476">
        <v>191353</v>
      </c>
      <c r="E2057" s="476">
        <v>191381</v>
      </c>
      <c r="F2057" s="476">
        <v>191408</v>
      </c>
      <c r="G2057" s="476">
        <v>191435</v>
      </c>
      <c r="H2057" s="476">
        <v>191462</v>
      </c>
      <c r="I2057" s="476">
        <v>191489</v>
      </c>
      <c r="J2057" s="476">
        <v>191516</v>
      </c>
      <c r="K2057" s="476">
        <v>191544</v>
      </c>
    </row>
    <row r="2058" spans="1:11">
      <c r="A2058" s="479">
        <v>6871.4</v>
      </c>
      <c r="B2058" s="476">
        <v>191571</v>
      </c>
      <c r="C2058" s="476">
        <v>191598</v>
      </c>
      <c r="D2058" s="476">
        <v>191625</v>
      </c>
      <c r="E2058" s="476">
        <v>191652</v>
      </c>
      <c r="F2058" s="476">
        <v>191679</v>
      </c>
      <c r="G2058" s="476">
        <v>191707</v>
      </c>
      <c r="H2058" s="476">
        <v>191734</v>
      </c>
      <c r="I2058" s="476">
        <v>191761</v>
      </c>
      <c r="J2058" s="476">
        <v>191788</v>
      </c>
      <c r="K2058" s="476">
        <v>191815</v>
      </c>
    </row>
    <row r="2059" spans="1:11">
      <c r="A2059" s="479">
        <v>6871.5</v>
      </c>
      <c r="B2059" s="476">
        <v>191842</v>
      </c>
      <c r="C2059" s="476">
        <v>191870</v>
      </c>
      <c r="D2059" s="476">
        <v>191897</v>
      </c>
      <c r="E2059" s="476">
        <v>191924</v>
      </c>
      <c r="F2059" s="476">
        <v>191951</v>
      </c>
      <c r="G2059" s="476">
        <v>191978</v>
      </c>
      <c r="H2059" s="476">
        <v>192005</v>
      </c>
      <c r="I2059" s="476">
        <v>192033</v>
      </c>
      <c r="J2059" s="476">
        <v>192060</v>
      </c>
      <c r="K2059" s="476">
        <v>192087</v>
      </c>
    </row>
    <row r="2060" spans="1:11">
      <c r="A2060" s="479">
        <v>6871.6</v>
      </c>
      <c r="B2060" s="476">
        <v>192114</v>
      </c>
      <c r="C2060" s="476">
        <v>192141</v>
      </c>
      <c r="D2060" s="476">
        <v>192168</v>
      </c>
      <c r="E2060" s="476">
        <v>192196</v>
      </c>
      <c r="F2060" s="476">
        <v>192223</v>
      </c>
      <c r="G2060" s="476">
        <v>192250</v>
      </c>
      <c r="H2060" s="476">
        <v>192277</v>
      </c>
      <c r="I2060" s="476">
        <v>192304</v>
      </c>
      <c r="J2060" s="476">
        <v>192331</v>
      </c>
      <c r="K2060" s="476">
        <v>192359</v>
      </c>
    </row>
    <row r="2061" spans="1:11">
      <c r="A2061" s="479">
        <v>6871.7</v>
      </c>
      <c r="B2061" s="476">
        <v>192386</v>
      </c>
      <c r="C2061" s="476">
        <v>192413</v>
      </c>
      <c r="D2061" s="476">
        <v>192440</v>
      </c>
      <c r="E2061" s="476">
        <v>192467</v>
      </c>
      <c r="F2061" s="476">
        <v>192494</v>
      </c>
      <c r="G2061" s="476">
        <v>192522</v>
      </c>
      <c r="H2061" s="476">
        <v>192549</v>
      </c>
      <c r="I2061" s="476">
        <v>192576</v>
      </c>
      <c r="J2061" s="476">
        <v>192603</v>
      </c>
      <c r="K2061" s="476">
        <v>192630</v>
      </c>
    </row>
    <row r="2062" spans="1:11">
      <c r="A2062" s="479">
        <v>6871.8</v>
      </c>
      <c r="B2062" s="476">
        <v>192657</v>
      </c>
      <c r="C2062" s="476">
        <v>192685</v>
      </c>
      <c r="D2062" s="476">
        <v>192712</v>
      </c>
      <c r="E2062" s="476">
        <v>192739</v>
      </c>
      <c r="F2062" s="476">
        <v>192766</v>
      </c>
      <c r="G2062" s="476">
        <v>192793</v>
      </c>
      <c r="H2062" s="476">
        <v>192820</v>
      </c>
      <c r="I2062" s="476">
        <v>192848</v>
      </c>
      <c r="J2062" s="476">
        <v>192875</v>
      </c>
      <c r="K2062" s="476">
        <v>192902</v>
      </c>
    </row>
    <row r="2063" spans="1:11">
      <c r="A2063" s="479">
        <v>6871.9</v>
      </c>
      <c r="B2063" s="476">
        <v>192929</v>
      </c>
      <c r="C2063" s="476">
        <v>192956</v>
      </c>
      <c r="D2063" s="476">
        <v>192983</v>
      </c>
      <c r="E2063" s="476">
        <v>193011</v>
      </c>
      <c r="F2063" s="476">
        <v>193038</v>
      </c>
      <c r="G2063" s="476">
        <v>193065</v>
      </c>
      <c r="H2063" s="476">
        <v>193092</v>
      </c>
      <c r="I2063" s="476">
        <v>193119</v>
      </c>
      <c r="J2063" s="476">
        <v>193146</v>
      </c>
      <c r="K2063" s="476">
        <v>193174</v>
      </c>
    </row>
    <row r="2064" spans="1:11">
      <c r="A2064" s="479">
        <v>6872</v>
      </c>
      <c r="B2064" s="476">
        <v>193201</v>
      </c>
      <c r="C2064" s="476">
        <v>193228</v>
      </c>
      <c r="D2064" s="476">
        <v>193256</v>
      </c>
      <c r="E2064" s="476">
        <v>193283</v>
      </c>
      <c r="F2064" s="476">
        <v>193311</v>
      </c>
      <c r="G2064" s="476">
        <v>193338</v>
      </c>
      <c r="H2064" s="476">
        <v>193366</v>
      </c>
      <c r="I2064" s="476">
        <v>193393</v>
      </c>
      <c r="J2064" s="476">
        <v>193421</v>
      </c>
      <c r="K2064" s="476">
        <v>193448</v>
      </c>
    </row>
    <row r="2065" spans="1:11">
      <c r="A2065" s="479">
        <v>6872.1</v>
      </c>
      <c r="B2065" s="476">
        <v>193476</v>
      </c>
      <c r="C2065" s="476">
        <v>193503</v>
      </c>
      <c r="D2065" s="476">
        <v>193531</v>
      </c>
      <c r="E2065" s="476">
        <v>193559</v>
      </c>
      <c r="F2065" s="476">
        <v>193586</v>
      </c>
      <c r="G2065" s="476">
        <v>193614</v>
      </c>
      <c r="H2065" s="476">
        <v>193641</v>
      </c>
      <c r="I2065" s="476">
        <v>193669</v>
      </c>
      <c r="J2065" s="476">
        <v>193696</v>
      </c>
      <c r="K2065" s="476">
        <v>193724</v>
      </c>
    </row>
    <row r="2066" spans="1:11">
      <c r="A2066" s="479">
        <v>6872.2</v>
      </c>
      <c r="B2066" s="476">
        <v>193751</v>
      </c>
      <c r="C2066" s="476">
        <v>193779</v>
      </c>
      <c r="D2066" s="476">
        <v>193806</v>
      </c>
      <c r="E2066" s="476">
        <v>193834</v>
      </c>
      <c r="F2066" s="476">
        <v>193861</v>
      </c>
      <c r="G2066" s="476">
        <v>193889</v>
      </c>
      <c r="H2066" s="476">
        <v>193916</v>
      </c>
      <c r="I2066" s="476">
        <v>193944</v>
      </c>
      <c r="J2066" s="476">
        <v>193971</v>
      </c>
      <c r="K2066" s="476">
        <v>193999</v>
      </c>
    </row>
    <row r="2067" spans="1:11">
      <c r="A2067" s="479">
        <v>6872.3</v>
      </c>
      <c r="B2067" s="476">
        <v>194026</v>
      </c>
      <c r="C2067" s="476">
        <v>194054</v>
      </c>
      <c r="D2067" s="476">
        <v>194081</v>
      </c>
      <c r="E2067" s="476">
        <v>194109</v>
      </c>
      <c r="F2067" s="476">
        <v>194136</v>
      </c>
      <c r="G2067" s="476">
        <v>194164</v>
      </c>
      <c r="H2067" s="476">
        <v>194191</v>
      </c>
      <c r="I2067" s="476">
        <v>194219</v>
      </c>
      <c r="J2067" s="476">
        <v>194246</v>
      </c>
      <c r="K2067" s="476">
        <v>194274</v>
      </c>
    </row>
    <row r="2068" spans="1:11">
      <c r="A2068" s="479">
        <v>6872.4</v>
      </c>
      <c r="B2068" s="476">
        <v>194302</v>
      </c>
      <c r="C2068" s="476">
        <v>194329</v>
      </c>
      <c r="D2068" s="476">
        <v>194357</v>
      </c>
      <c r="E2068" s="476">
        <v>194384</v>
      </c>
      <c r="F2068" s="476">
        <v>194412</v>
      </c>
      <c r="G2068" s="476">
        <v>194439</v>
      </c>
      <c r="H2068" s="476">
        <v>194467</v>
      </c>
      <c r="I2068" s="476">
        <v>194494</v>
      </c>
      <c r="J2068" s="476">
        <v>194522</v>
      </c>
      <c r="K2068" s="476">
        <v>194549</v>
      </c>
    </row>
    <row r="2069" spans="1:11">
      <c r="A2069" s="479">
        <v>6872.5</v>
      </c>
      <c r="B2069" s="476">
        <v>194577</v>
      </c>
      <c r="C2069" s="476">
        <v>194604</v>
      </c>
      <c r="D2069" s="476">
        <v>194632</v>
      </c>
      <c r="E2069" s="476">
        <v>194659</v>
      </c>
      <c r="F2069" s="476">
        <v>194687</v>
      </c>
      <c r="G2069" s="476">
        <v>194714</v>
      </c>
      <c r="H2069" s="476">
        <v>194742</v>
      </c>
      <c r="I2069" s="476">
        <v>194769</v>
      </c>
      <c r="J2069" s="476">
        <v>194797</v>
      </c>
      <c r="K2069" s="476">
        <v>194824</v>
      </c>
    </row>
    <row r="2070" spans="1:11">
      <c r="A2070" s="479">
        <v>6872.6</v>
      </c>
      <c r="B2070" s="476">
        <v>194852</v>
      </c>
      <c r="C2070" s="476">
        <v>194879</v>
      </c>
      <c r="D2070" s="476">
        <v>194907</v>
      </c>
      <c r="E2070" s="476">
        <v>194934</v>
      </c>
      <c r="F2070" s="476">
        <v>194962</v>
      </c>
      <c r="G2070" s="476">
        <v>194990</v>
      </c>
      <c r="H2070" s="476">
        <v>195017</v>
      </c>
      <c r="I2070" s="476">
        <v>195045</v>
      </c>
      <c r="J2070" s="476">
        <v>195072</v>
      </c>
      <c r="K2070" s="476">
        <v>195100</v>
      </c>
    </row>
    <row r="2071" spans="1:11">
      <c r="A2071" s="479">
        <v>6872.7</v>
      </c>
      <c r="B2071" s="476">
        <v>195127</v>
      </c>
      <c r="C2071" s="476">
        <v>195155</v>
      </c>
      <c r="D2071" s="476">
        <v>195182</v>
      </c>
      <c r="E2071" s="476">
        <v>195210</v>
      </c>
      <c r="F2071" s="476">
        <v>195237</v>
      </c>
      <c r="G2071" s="476">
        <v>195265</v>
      </c>
      <c r="H2071" s="476">
        <v>195292</v>
      </c>
      <c r="I2071" s="476">
        <v>195320</v>
      </c>
      <c r="J2071" s="476">
        <v>195347</v>
      </c>
      <c r="K2071" s="476">
        <v>195375</v>
      </c>
    </row>
    <row r="2072" spans="1:11">
      <c r="A2072" s="479">
        <v>6872.8</v>
      </c>
      <c r="B2072" s="476">
        <v>195402</v>
      </c>
      <c r="C2072" s="476">
        <v>195430</v>
      </c>
      <c r="D2072" s="476">
        <v>195457</v>
      </c>
      <c r="E2072" s="476">
        <v>195485</v>
      </c>
      <c r="F2072" s="476">
        <v>195512</v>
      </c>
      <c r="G2072" s="476">
        <v>195540</v>
      </c>
      <c r="H2072" s="476">
        <v>195567</v>
      </c>
      <c r="I2072" s="476">
        <v>195595</v>
      </c>
      <c r="J2072" s="476">
        <v>195622</v>
      </c>
      <c r="K2072" s="476">
        <v>195650</v>
      </c>
    </row>
    <row r="2073" spans="1:11">
      <c r="A2073" s="479">
        <v>6872.9</v>
      </c>
      <c r="B2073" s="476">
        <v>195677</v>
      </c>
      <c r="C2073" s="476">
        <v>195705</v>
      </c>
      <c r="D2073" s="476">
        <v>195733</v>
      </c>
      <c r="E2073" s="476">
        <v>195760</v>
      </c>
      <c r="F2073" s="476">
        <v>195788</v>
      </c>
      <c r="G2073" s="476">
        <v>195815</v>
      </c>
      <c r="H2073" s="476">
        <v>195843</v>
      </c>
      <c r="I2073" s="476">
        <v>195870</v>
      </c>
      <c r="J2073" s="476">
        <v>195898</v>
      </c>
      <c r="K2073" s="476">
        <v>195925</v>
      </c>
    </row>
    <row r="2074" spans="1:11">
      <c r="A2074" s="479">
        <v>6873</v>
      </c>
      <c r="B2074" s="476">
        <v>195953</v>
      </c>
      <c r="C2074" s="476">
        <v>195981</v>
      </c>
      <c r="D2074" s="476">
        <v>196008</v>
      </c>
      <c r="E2074" s="476">
        <v>196036</v>
      </c>
      <c r="F2074" s="476">
        <v>196064</v>
      </c>
      <c r="G2074" s="476">
        <v>196092</v>
      </c>
      <c r="H2074" s="476">
        <v>196120</v>
      </c>
      <c r="I2074" s="476">
        <v>196148</v>
      </c>
      <c r="J2074" s="476">
        <v>196176</v>
      </c>
      <c r="K2074" s="476">
        <v>196203</v>
      </c>
    </row>
    <row r="2075" spans="1:11">
      <c r="A2075" s="479">
        <v>6873.1</v>
      </c>
      <c r="B2075" s="476">
        <v>196231</v>
      </c>
      <c r="C2075" s="476">
        <v>196259</v>
      </c>
      <c r="D2075" s="476">
        <v>196287</v>
      </c>
      <c r="E2075" s="476">
        <v>196315</v>
      </c>
      <c r="F2075" s="476">
        <v>196343</v>
      </c>
      <c r="G2075" s="476">
        <v>196371</v>
      </c>
      <c r="H2075" s="476">
        <v>196399</v>
      </c>
      <c r="I2075" s="476">
        <v>196426</v>
      </c>
      <c r="J2075" s="476">
        <v>196454</v>
      </c>
      <c r="K2075" s="476">
        <v>196482</v>
      </c>
    </row>
    <row r="2076" spans="1:11">
      <c r="A2076" s="479">
        <v>6873.2</v>
      </c>
      <c r="B2076" s="476">
        <v>196510</v>
      </c>
      <c r="C2076" s="476">
        <v>196538</v>
      </c>
      <c r="D2076" s="476">
        <v>196566</v>
      </c>
      <c r="E2076" s="476">
        <v>196594</v>
      </c>
      <c r="F2076" s="476">
        <v>196621</v>
      </c>
      <c r="G2076" s="476">
        <v>196649</v>
      </c>
      <c r="H2076" s="476">
        <v>196677</v>
      </c>
      <c r="I2076" s="476">
        <v>196705</v>
      </c>
      <c r="J2076" s="476">
        <v>196733</v>
      </c>
      <c r="K2076" s="476">
        <v>196761</v>
      </c>
    </row>
    <row r="2077" spans="1:11">
      <c r="A2077" s="479">
        <v>6873.3</v>
      </c>
      <c r="B2077" s="476">
        <v>196789</v>
      </c>
      <c r="C2077" s="476">
        <v>196817</v>
      </c>
      <c r="D2077" s="476">
        <v>196844</v>
      </c>
      <c r="E2077" s="476">
        <v>196872</v>
      </c>
      <c r="F2077" s="476">
        <v>196900</v>
      </c>
      <c r="G2077" s="476">
        <v>196928</v>
      </c>
      <c r="H2077" s="476">
        <v>196956</v>
      </c>
      <c r="I2077" s="476">
        <v>196984</v>
      </c>
      <c r="J2077" s="476">
        <v>197012</v>
      </c>
      <c r="K2077" s="476">
        <v>197039</v>
      </c>
    </row>
    <row r="2078" spans="1:11">
      <c r="A2078" s="479">
        <v>6873.4</v>
      </c>
      <c r="B2078" s="476">
        <v>197067</v>
      </c>
      <c r="C2078" s="476">
        <v>197095</v>
      </c>
      <c r="D2078" s="476">
        <v>197123</v>
      </c>
      <c r="E2078" s="476">
        <v>197151</v>
      </c>
      <c r="F2078" s="476">
        <v>197179</v>
      </c>
      <c r="G2078" s="476">
        <v>197207</v>
      </c>
      <c r="H2078" s="476">
        <v>197235</v>
      </c>
      <c r="I2078" s="476">
        <v>197262</v>
      </c>
      <c r="J2078" s="476">
        <v>197290</v>
      </c>
      <c r="K2078" s="476">
        <v>197318</v>
      </c>
    </row>
    <row r="2079" spans="1:11">
      <c r="A2079" s="479">
        <v>6873.5</v>
      </c>
      <c r="B2079" s="476">
        <v>197346</v>
      </c>
      <c r="C2079" s="476">
        <v>197374</v>
      </c>
      <c r="D2079" s="476">
        <v>197402</v>
      </c>
      <c r="E2079" s="476">
        <v>197430</v>
      </c>
      <c r="F2079" s="476">
        <v>197457</v>
      </c>
      <c r="G2079" s="476">
        <v>197485</v>
      </c>
      <c r="H2079" s="476">
        <v>197513</v>
      </c>
      <c r="I2079" s="476">
        <v>197541</v>
      </c>
      <c r="J2079" s="476">
        <v>197569</v>
      </c>
      <c r="K2079" s="476">
        <v>197597</v>
      </c>
    </row>
    <row r="2080" spans="1:11">
      <c r="A2080" s="479">
        <v>6873.6</v>
      </c>
      <c r="B2080" s="476">
        <v>197625</v>
      </c>
      <c r="C2080" s="476">
        <v>197653</v>
      </c>
      <c r="D2080" s="476">
        <v>197680</v>
      </c>
      <c r="E2080" s="476">
        <v>197708</v>
      </c>
      <c r="F2080" s="476">
        <v>197736</v>
      </c>
      <c r="G2080" s="476">
        <v>197764</v>
      </c>
      <c r="H2080" s="476">
        <v>197792</v>
      </c>
      <c r="I2080" s="476">
        <v>197820</v>
      </c>
      <c r="J2080" s="476">
        <v>197848</v>
      </c>
      <c r="K2080" s="476">
        <v>197875</v>
      </c>
    </row>
    <row r="2081" spans="1:11">
      <c r="A2081" s="479">
        <v>6873.7</v>
      </c>
      <c r="B2081" s="476">
        <v>197903</v>
      </c>
      <c r="C2081" s="476">
        <v>197931</v>
      </c>
      <c r="D2081" s="476">
        <v>197959</v>
      </c>
      <c r="E2081" s="476">
        <v>197987</v>
      </c>
      <c r="F2081" s="476">
        <v>198015</v>
      </c>
      <c r="G2081" s="476">
        <v>198043</v>
      </c>
      <c r="H2081" s="476">
        <v>198071</v>
      </c>
      <c r="I2081" s="476">
        <v>198098</v>
      </c>
      <c r="J2081" s="476">
        <v>198126</v>
      </c>
      <c r="K2081" s="476">
        <v>198154</v>
      </c>
    </row>
    <row r="2082" spans="1:11">
      <c r="A2082" s="479">
        <v>6873.8</v>
      </c>
      <c r="B2082" s="476">
        <v>198182</v>
      </c>
      <c r="C2082" s="476">
        <v>198210</v>
      </c>
      <c r="D2082" s="476">
        <v>198238</v>
      </c>
      <c r="E2082" s="476">
        <v>198266</v>
      </c>
      <c r="F2082" s="476">
        <v>198293</v>
      </c>
      <c r="G2082" s="476">
        <v>198321</v>
      </c>
      <c r="H2082" s="476">
        <v>198349</v>
      </c>
      <c r="I2082" s="476">
        <v>198377</v>
      </c>
      <c r="J2082" s="476">
        <v>198405</v>
      </c>
      <c r="K2082" s="476">
        <v>198433</v>
      </c>
    </row>
    <row r="2083" spans="1:11">
      <c r="A2083" s="479">
        <v>6873.9</v>
      </c>
      <c r="B2083" s="476">
        <v>198461</v>
      </c>
      <c r="C2083" s="476">
        <v>198489</v>
      </c>
      <c r="D2083" s="476">
        <v>198516</v>
      </c>
      <c r="E2083" s="476">
        <v>198544</v>
      </c>
      <c r="F2083" s="476">
        <v>198572</v>
      </c>
      <c r="G2083" s="476">
        <v>198600</v>
      </c>
      <c r="H2083" s="476">
        <v>198628</v>
      </c>
      <c r="I2083" s="476">
        <v>198656</v>
      </c>
      <c r="J2083" s="476">
        <v>198684</v>
      </c>
      <c r="K2083" s="476">
        <v>198711</v>
      </c>
    </row>
    <row r="2084" spans="1:11">
      <c r="A2084" s="479">
        <v>6874</v>
      </c>
      <c r="B2084" s="476">
        <v>198739</v>
      </c>
      <c r="C2084" s="476">
        <v>198768</v>
      </c>
      <c r="D2084" s="476">
        <v>198796</v>
      </c>
      <c r="E2084" s="476">
        <v>198824</v>
      </c>
      <c r="F2084" s="476">
        <v>198852</v>
      </c>
      <c r="G2084" s="476">
        <v>198880</v>
      </c>
      <c r="H2084" s="476">
        <v>198909</v>
      </c>
      <c r="I2084" s="476">
        <v>198937</v>
      </c>
      <c r="J2084" s="476">
        <v>198965</v>
      </c>
      <c r="K2084" s="476">
        <v>198993</v>
      </c>
    </row>
    <row r="2085" spans="1:11">
      <c r="A2085" s="479">
        <v>6874.1</v>
      </c>
      <c r="B2085" s="476">
        <v>199021</v>
      </c>
      <c r="C2085" s="476">
        <v>199050</v>
      </c>
      <c r="D2085" s="476">
        <v>199078</v>
      </c>
      <c r="E2085" s="476">
        <v>199106</v>
      </c>
      <c r="F2085" s="476">
        <v>199134</v>
      </c>
      <c r="G2085" s="476">
        <v>199163</v>
      </c>
      <c r="H2085" s="476">
        <v>199191</v>
      </c>
      <c r="I2085" s="476">
        <v>199219</v>
      </c>
      <c r="J2085" s="476">
        <v>199247</v>
      </c>
      <c r="K2085" s="476">
        <v>199275</v>
      </c>
    </row>
    <row r="2086" spans="1:11">
      <c r="A2086" s="479">
        <v>6874.2</v>
      </c>
      <c r="B2086" s="476">
        <v>199304</v>
      </c>
      <c r="C2086" s="476">
        <v>199332</v>
      </c>
      <c r="D2086" s="476">
        <v>199360</v>
      </c>
      <c r="E2086" s="476">
        <v>199388</v>
      </c>
      <c r="F2086" s="476">
        <v>199416</v>
      </c>
      <c r="G2086" s="476">
        <v>199445</v>
      </c>
      <c r="H2086" s="476">
        <v>199473</v>
      </c>
      <c r="I2086" s="476">
        <v>199501</v>
      </c>
      <c r="J2086" s="476">
        <v>199529</v>
      </c>
      <c r="K2086" s="476">
        <v>199557</v>
      </c>
    </row>
    <row r="2087" spans="1:11">
      <c r="A2087" s="479">
        <v>6874.3</v>
      </c>
      <c r="B2087" s="476">
        <v>199586</v>
      </c>
      <c r="C2087" s="476">
        <v>199614</v>
      </c>
      <c r="D2087" s="476">
        <v>199642</v>
      </c>
      <c r="E2087" s="476">
        <v>199670</v>
      </c>
      <c r="F2087" s="476">
        <v>199699</v>
      </c>
      <c r="G2087" s="476">
        <v>199727</v>
      </c>
      <c r="H2087" s="476">
        <v>199755</v>
      </c>
      <c r="I2087" s="476">
        <v>199783</v>
      </c>
      <c r="J2087" s="476">
        <v>199811</v>
      </c>
      <c r="K2087" s="476">
        <v>199840</v>
      </c>
    </row>
    <row r="2088" spans="1:11">
      <c r="A2088" s="479">
        <v>6874.4</v>
      </c>
      <c r="B2088" s="476">
        <v>199868</v>
      </c>
      <c r="C2088" s="476">
        <v>199896</v>
      </c>
      <c r="D2088" s="476">
        <v>199924</v>
      </c>
      <c r="E2088" s="476">
        <v>199952</v>
      </c>
      <c r="F2088" s="476">
        <v>199981</v>
      </c>
      <c r="G2088" s="476">
        <v>200009</v>
      </c>
      <c r="H2088" s="476">
        <v>200037</v>
      </c>
      <c r="I2088" s="476">
        <v>200065</v>
      </c>
      <c r="J2088" s="476">
        <v>200093</v>
      </c>
      <c r="K2088" s="476">
        <v>200122</v>
      </c>
    </row>
    <row r="2089" spans="1:11">
      <c r="A2089" s="479">
        <v>6874.5</v>
      </c>
      <c r="B2089" s="476">
        <v>200150</v>
      </c>
      <c r="C2089" s="476">
        <v>200178</v>
      </c>
      <c r="D2089" s="476">
        <v>200206</v>
      </c>
      <c r="E2089" s="476">
        <v>200234</v>
      </c>
      <c r="F2089" s="476">
        <v>200263</v>
      </c>
      <c r="G2089" s="476">
        <v>200291</v>
      </c>
      <c r="H2089" s="476">
        <v>200319</v>
      </c>
      <c r="I2089" s="476">
        <v>200347</v>
      </c>
      <c r="J2089" s="476">
        <v>200376</v>
      </c>
      <c r="K2089" s="476">
        <v>200404</v>
      </c>
    </row>
    <row r="2090" spans="1:11">
      <c r="A2090" s="479">
        <v>6874.6</v>
      </c>
      <c r="B2090" s="476">
        <v>200432</v>
      </c>
      <c r="C2090" s="476">
        <v>200460</v>
      </c>
      <c r="D2090" s="476">
        <v>200488</v>
      </c>
      <c r="E2090" s="476">
        <v>200517</v>
      </c>
      <c r="F2090" s="476">
        <v>200545</v>
      </c>
      <c r="G2090" s="476">
        <v>200573</v>
      </c>
      <c r="H2090" s="476">
        <v>200601</v>
      </c>
      <c r="I2090" s="476">
        <v>200629</v>
      </c>
      <c r="J2090" s="476">
        <v>200658</v>
      </c>
      <c r="K2090" s="476">
        <v>200686</v>
      </c>
    </row>
    <row r="2091" spans="1:11">
      <c r="A2091" s="479">
        <v>6874.7</v>
      </c>
      <c r="B2091" s="476">
        <v>200714</v>
      </c>
      <c r="C2091" s="476">
        <v>200742</v>
      </c>
      <c r="D2091" s="476">
        <v>200770</v>
      </c>
      <c r="E2091" s="476">
        <v>200799</v>
      </c>
      <c r="F2091" s="476">
        <v>200827</v>
      </c>
      <c r="G2091" s="476">
        <v>200855</v>
      </c>
      <c r="H2091" s="476">
        <v>200883</v>
      </c>
      <c r="I2091" s="476">
        <v>200912</v>
      </c>
      <c r="J2091" s="476">
        <v>200940</v>
      </c>
      <c r="K2091" s="476">
        <v>200968</v>
      </c>
    </row>
    <row r="2092" spans="1:11">
      <c r="A2092" s="479">
        <v>6874.8</v>
      </c>
      <c r="B2092" s="476">
        <v>200996</v>
      </c>
      <c r="C2092" s="476">
        <v>201024</v>
      </c>
      <c r="D2092" s="476">
        <v>201053</v>
      </c>
      <c r="E2092" s="476">
        <v>201081</v>
      </c>
      <c r="F2092" s="476">
        <v>201109</v>
      </c>
      <c r="G2092" s="476">
        <v>201137</v>
      </c>
      <c r="H2092" s="476">
        <v>201165</v>
      </c>
      <c r="I2092" s="476">
        <v>201194</v>
      </c>
      <c r="J2092" s="476">
        <v>201222</v>
      </c>
      <c r="K2092" s="476">
        <v>201250</v>
      </c>
    </row>
    <row r="2093" spans="1:11">
      <c r="A2093" s="479">
        <v>6874.9</v>
      </c>
      <c r="B2093" s="476">
        <v>201278</v>
      </c>
      <c r="C2093" s="476">
        <v>201306</v>
      </c>
      <c r="D2093" s="476">
        <v>201335</v>
      </c>
      <c r="E2093" s="476">
        <v>201363</v>
      </c>
      <c r="F2093" s="476">
        <v>201391</v>
      </c>
      <c r="G2093" s="476">
        <v>201419</v>
      </c>
      <c r="H2093" s="476">
        <v>201448</v>
      </c>
      <c r="I2093" s="476">
        <v>201476</v>
      </c>
      <c r="J2093" s="476">
        <v>201504</v>
      </c>
      <c r="K2093" s="476">
        <v>201532</v>
      </c>
    </row>
    <row r="2094" spans="1:11">
      <c r="A2094" s="479">
        <v>6875</v>
      </c>
      <c r="B2094" s="476">
        <v>201560</v>
      </c>
      <c r="C2094" s="476">
        <v>201589</v>
      </c>
      <c r="D2094" s="476">
        <v>201617</v>
      </c>
      <c r="E2094" s="476">
        <v>201646</v>
      </c>
      <c r="F2094" s="476">
        <v>201675</v>
      </c>
      <c r="G2094" s="476">
        <v>201703</v>
      </c>
      <c r="H2094" s="476">
        <v>201732</v>
      </c>
      <c r="I2094" s="476">
        <v>201760</v>
      </c>
      <c r="J2094" s="476">
        <v>201789</v>
      </c>
      <c r="K2094" s="476">
        <v>201817</v>
      </c>
    </row>
    <row r="2095" spans="1:11">
      <c r="A2095" s="479">
        <v>6875.1</v>
      </c>
      <c r="B2095" s="476">
        <v>201846</v>
      </c>
      <c r="C2095" s="476">
        <v>201874</v>
      </c>
      <c r="D2095" s="476">
        <v>201903</v>
      </c>
      <c r="E2095" s="476">
        <v>201931</v>
      </c>
      <c r="F2095" s="476">
        <v>201960</v>
      </c>
      <c r="G2095" s="476">
        <v>201989</v>
      </c>
      <c r="H2095" s="476">
        <v>202017</v>
      </c>
      <c r="I2095" s="476">
        <v>202046</v>
      </c>
      <c r="J2095" s="476">
        <v>202074</v>
      </c>
      <c r="K2095" s="476">
        <v>202103</v>
      </c>
    </row>
    <row r="2096" spans="1:11">
      <c r="A2096" s="479">
        <v>6875.2</v>
      </c>
      <c r="B2096" s="476">
        <v>202131</v>
      </c>
      <c r="C2096" s="476">
        <v>202160</v>
      </c>
      <c r="D2096" s="476">
        <v>202188</v>
      </c>
      <c r="E2096" s="476">
        <v>202217</v>
      </c>
      <c r="F2096" s="476">
        <v>202246</v>
      </c>
      <c r="G2096" s="476">
        <v>202274</v>
      </c>
      <c r="H2096" s="476">
        <v>202303</v>
      </c>
      <c r="I2096" s="476">
        <v>202331</v>
      </c>
      <c r="J2096" s="476">
        <v>202360</v>
      </c>
      <c r="K2096" s="476">
        <v>202388</v>
      </c>
    </row>
    <row r="2097" spans="1:11">
      <c r="A2097" s="479">
        <v>6875.3</v>
      </c>
      <c r="B2097" s="476">
        <v>202417</v>
      </c>
      <c r="C2097" s="476">
        <v>202445</v>
      </c>
      <c r="D2097" s="476">
        <v>202474</v>
      </c>
      <c r="E2097" s="476">
        <v>202502</v>
      </c>
      <c r="F2097" s="476">
        <v>202531</v>
      </c>
      <c r="G2097" s="476">
        <v>202560</v>
      </c>
      <c r="H2097" s="476">
        <v>202588</v>
      </c>
      <c r="I2097" s="476">
        <v>202617</v>
      </c>
      <c r="J2097" s="476">
        <v>202645</v>
      </c>
      <c r="K2097" s="476">
        <v>202674</v>
      </c>
    </row>
    <row r="2098" spans="1:11">
      <c r="A2098" s="479">
        <v>6875.4</v>
      </c>
      <c r="B2098" s="476">
        <v>202702</v>
      </c>
      <c r="C2098" s="476">
        <v>202731</v>
      </c>
      <c r="D2098" s="476">
        <v>202759</v>
      </c>
      <c r="E2098" s="476">
        <v>202788</v>
      </c>
      <c r="F2098" s="476">
        <v>202816</v>
      </c>
      <c r="G2098" s="476">
        <v>202845</v>
      </c>
      <c r="H2098" s="476">
        <v>202874</v>
      </c>
      <c r="I2098" s="476">
        <v>202902</v>
      </c>
      <c r="J2098" s="476">
        <v>202931</v>
      </c>
      <c r="K2098" s="476">
        <v>202959</v>
      </c>
    </row>
    <row r="2099" spans="1:11">
      <c r="A2099" s="479">
        <v>6875.5</v>
      </c>
      <c r="B2099" s="476">
        <v>202988</v>
      </c>
      <c r="C2099" s="476">
        <v>203016</v>
      </c>
      <c r="D2099" s="476">
        <v>203045</v>
      </c>
      <c r="E2099" s="476">
        <v>203073</v>
      </c>
      <c r="F2099" s="476">
        <v>203102</v>
      </c>
      <c r="G2099" s="476">
        <v>203131</v>
      </c>
      <c r="H2099" s="476">
        <v>203159</v>
      </c>
      <c r="I2099" s="476">
        <v>203188</v>
      </c>
      <c r="J2099" s="476">
        <v>203216</v>
      </c>
      <c r="K2099" s="476">
        <v>203245</v>
      </c>
    </row>
    <row r="2100" spans="1:11">
      <c r="A2100" s="479">
        <v>6875.6</v>
      </c>
      <c r="B2100" s="476">
        <v>203273</v>
      </c>
      <c r="C2100" s="476">
        <v>203302</v>
      </c>
      <c r="D2100" s="476">
        <v>203330</v>
      </c>
      <c r="E2100" s="476">
        <v>203359</v>
      </c>
      <c r="F2100" s="476">
        <v>203387</v>
      </c>
      <c r="G2100" s="476">
        <v>203416</v>
      </c>
      <c r="H2100" s="476">
        <v>203445</v>
      </c>
      <c r="I2100" s="476">
        <v>203473</v>
      </c>
      <c r="J2100" s="476">
        <v>203502</v>
      </c>
      <c r="K2100" s="476">
        <v>203530</v>
      </c>
    </row>
    <row r="2101" spans="1:11">
      <c r="A2101" s="479">
        <v>6875.7</v>
      </c>
      <c r="B2101" s="476">
        <v>203559</v>
      </c>
      <c r="C2101" s="476">
        <v>203587</v>
      </c>
      <c r="D2101" s="476">
        <v>203616</v>
      </c>
      <c r="E2101" s="476">
        <v>203644</v>
      </c>
      <c r="F2101" s="476">
        <v>203673</v>
      </c>
      <c r="G2101" s="476">
        <v>203702</v>
      </c>
      <c r="H2101" s="476">
        <v>203730</v>
      </c>
      <c r="I2101" s="476">
        <v>203759</v>
      </c>
      <c r="J2101" s="476">
        <v>203787</v>
      </c>
      <c r="K2101" s="476">
        <v>203816</v>
      </c>
    </row>
    <row r="2102" spans="1:11">
      <c r="A2102" s="479">
        <v>6875.8</v>
      </c>
      <c r="B2102" s="476">
        <v>203844</v>
      </c>
      <c r="C2102" s="476">
        <v>203873</v>
      </c>
      <c r="D2102" s="476">
        <v>203901</v>
      </c>
      <c r="E2102" s="476">
        <v>203930</v>
      </c>
      <c r="F2102" s="476">
        <v>203958</v>
      </c>
      <c r="G2102" s="476">
        <v>203987</v>
      </c>
      <c r="H2102" s="476">
        <v>204016</v>
      </c>
      <c r="I2102" s="476">
        <v>204044</v>
      </c>
      <c r="J2102" s="476">
        <v>204073</v>
      </c>
      <c r="K2102" s="476">
        <v>204101</v>
      </c>
    </row>
    <row r="2103" spans="1:11">
      <c r="A2103" s="479">
        <v>6875.9</v>
      </c>
      <c r="B2103" s="476">
        <v>204130</v>
      </c>
      <c r="C2103" s="476">
        <v>204158</v>
      </c>
      <c r="D2103" s="476">
        <v>204187</v>
      </c>
      <c r="E2103" s="476">
        <v>204215</v>
      </c>
      <c r="F2103" s="476">
        <v>204244</v>
      </c>
      <c r="G2103" s="476">
        <v>204272</v>
      </c>
      <c r="H2103" s="476">
        <v>204301</v>
      </c>
      <c r="I2103" s="476">
        <v>204330</v>
      </c>
      <c r="J2103" s="476">
        <v>204358</v>
      </c>
      <c r="K2103" s="476">
        <v>204387</v>
      </c>
    </row>
    <row r="2104" spans="1:11">
      <c r="A2104" s="479">
        <v>6876</v>
      </c>
      <c r="B2104" s="476">
        <v>204415</v>
      </c>
      <c r="C2104" s="476">
        <v>204444</v>
      </c>
      <c r="D2104" s="476">
        <v>204473</v>
      </c>
      <c r="E2104" s="476">
        <v>204502</v>
      </c>
      <c r="F2104" s="476">
        <v>204531</v>
      </c>
      <c r="G2104" s="476">
        <v>204560</v>
      </c>
      <c r="H2104" s="476">
        <v>204589</v>
      </c>
      <c r="I2104" s="476">
        <v>204617</v>
      </c>
      <c r="J2104" s="476">
        <v>204646</v>
      </c>
      <c r="K2104" s="476">
        <v>204675</v>
      </c>
    </row>
    <row r="2105" spans="1:11">
      <c r="A2105" s="479">
        <v>6876.1</v>
      </c>
      <c r="B2105" s="476">
        <v>204704</v>
      </c>
      <c r="C2105" s="476">
        <v>204733</v>
      </c>
      <c r="D2105" s="476">
        <v>204762</v>
      </c>
      <c r="E2105" s="476">
        <v>204791</v>
      </c>
      <c r="F2105" s="476">
        <v>204820</v>
      </c>
      <c r="G2105" s="476">
        <v>204848</v>
      </c>
      <c r="H2105" s="476">
        <v>204877</v>
      </c>
      <c r="I2105" s="476">
        <v>204906</v>
      </c>
      <c r="J2105" s="476">
        <v>204935</v>
      </c>
      <c r="K2105" s="476">
        <v>204964</v>
      </c>
    </row>
    <row r="2106" spans="1:11">
      <c r="A2106" s="479">
        <v>6876.2</v>
      </c>
      <c r="B2106" s="476">
        <v>204993</v>
      </c>
      <c r="C2106" s="476">
        <v>205022</v>
      </c>
      <c r="D2106" s="476">
        <v>205051</v>
      </c>
      <c r="E2106" s="476">
        <v>205080</v>
      </c>
      <c r="F2106" s="476">
        <v>205108</v>
      </c>
      <c r="G2106" s="476">
        <v>205137</v>
      </c>
      <c r="H2106" s="476">
        <v>205166</v>
      </c>
      <c r="I2106" s="476">
        <v>205195</v>
      </c>
      <c r="J2106" s="476">
        <v>205224</v>
      </c>
      <c r="K2106" s="476">
        <v>205253</v>
      </c>
    </row>
    <row r="2107" spans="1:11">
      <c r="A2107" s="479">
        <v>6876.3</v>
      </c>
      <c r="B2107" s="476">
        <v>205282</v>
      </c>
      <c r="C2107" s="476">
        <v>205311</v>
      </c>
      <c r="D2107" s="476">
        <v>205339</v>
      </c>
      <c r="E2107" s="476">
        <v>205368</v>
      </c>
      <c r="F2107" s="476">
        <v>205397</v>
      </c>
      <c r="G2107" s="476">
        <v>205426</v>
      </c>
      <c r="H2107" s="476">
        <v>205455</v>
      </c>
      <c r="I2107" s="476">
        <v>205484</v>
      </c>
      <c r="J2107" s="476">
        <v>205513</v>
      </c>
      <c r="K2107" s="476">
        <v>205542</v>
      </c>
    </row>
    <row r="2108" spans="1:11">
      <c r="A2108" s="479">
        <v>6876.4</v>
      </c>
      <c r="B2108" s="476">
        <v>205571</v>
      </c>
      <c r="C2108" s="476">
        <v>205599</v>
      </c>
      <c r="D2108" s="476">
        <v>205628</v>
      </c>
      <c r="E2108" s="476">
        <v>205657</v>
      </c>
      <c r="F2108" s="476">
        <v>205686</v>
      </c>
      <c r="G2108" s="476">
        <v>205715</v>
      </c>
      <c r="H2108" s="476">
        <v>205744</v>
      </c>
      <c r="I2108" s="476">
        <v>205773</v>
      </c>
      <c r="J2108" s="476">
        <v>205802</v>
      </c>
      <c r="K2108" s="476">
        <v>205830</v>
      </c>
    </row>
    <row r="2109" spans="1:11">
      <c r="A2109" s="479">
        <v>6876.5</v>
      </c>
      <c r="B2109" s="476">
        <v>205859</v>
      </c>
      <c r="C2109" s="476">
        <v>205888</v>
      </c>
      <c r="D2109" s="476">
        <v>205917</v>
      </c>
      <c r="E2109" s="476">
        <v>205946</v>
      </c>
      <c r="F2109" s="476">
        <v>205975</v>
      </c>
      <c r="G2109" s="476">
        <v>206004</v>
      </c>
      <c r="H2109" s="476">
        <v>206033</v>
      </c>
      <c r="I2109" s="476">
        <v>206062</v>
      </c>
      <c r="J2109" s="476">
        <v>206090</v>
      </c>
      <c r="K2109" s="476">
        <v>206119</v>
      </c>
    </row>
    <row r="2110" spans="1:11">
      <c r="A2110" s="479">
        <v>6876.6</v>
      </c>
      <c r="B2110" s="476">
        <v>206148</v>
      </c>
      <c r="C2110" s="476">
        <v>206177</v>
      </c>
      <c r="D2110" s="476">
        <v>206206</v>
      </c>
      <c r="E2110" s="476">
        <v>206235</v>
      </c>
      <c r="F2110" s="476">
        <v>206264</v>
      </c>
      <c r="G2110" s="476">
        <v>206293</v>
      </c>
      <c r="H2110" s="476">
        <v>206321</v>
      </c>
      <c r="I2110" s="476">
        <v>206350</v>
      </c>
      <c r="J2110" s="476">
        <v>206379</v>
      </c>
      <c r="K2110" s="476">
        <v>206408</v>
      </c>
    </row>
    <row r="2111" spans="1:11">
      <c r="A2111" s="479">
        <v>6876.7</v>
      </c>
      <c r="B2111" s="476">
        <v>206437</v>
      </c>
      <c r="C2111" s="476">
        <v>206466</v>
      </c>
      <c r="D2111" s="476">
        <v>206495</v>
      </c>
      <c r="E2111" s="476">
        <v>206524</v>
      </c>
      <c r="F2111" s="476">
        <v>206553</v>
      </c>
      <c r="G2111" s="476">
        <v>206581</v>
      </c>
      <c r="H2111" s="476">
        <v>206610</v>
      </c>
      <c r="I2111" s="476">
        <v>206639</v>
      </c>
      <c r="J2111" s="476">
        <v>206668</v>
      </c>
      <c r="K2111" s="476">
        <v>206697</v>
      </c>
    </row>
    <row r="2112" spans="1:11">
      <c r="A2112" s="479">
        <v>6876.8</v>
      </c>
      <c r="B2112" s="476">
        <v>206726</v>
      </c>
      <c r="C2112" s="476">
        <v>206755</v>
      </c>
      <c r="D2112" s="476">
        <v>206784</v>
      </c>
      <c r="E2112" s="476">
        <v>206813</v>
      </c>
      <c r="F2112" s="476">
        <v>206841</v>
      </c>
      <c r="G2112" s="476">
        <v>206870</v>
      </c>
      <c r="H2112" s="476">
        <v>206899</v>
      </c>
      <c r="I2112" s="476">
        <v>206928</v>
      </c>
      <c r="J2112" s="476">
        <v>206957</v>
      </c>
      <c r="K2112" s="476">
        <v>206986</v>
      </c>
    </row>
    <row r="2113" spans="1:11">
      <c r="A2113" s="479">
        <v>6876.9</v>
      </c>
      <c r="B2113" s="476">
        <v>207015</v>
      </c>
      <c r="C2113" s="476">
        <v>207044</v>
      </c>
      <c r="D2113" s="476">
        <v>207072</v>
      </c>
      <c r="E2113" s="476">
        <v>207101</v>
      </c>
      <c r="F2113" s="476">
        <v>207130</v>
      </c>
      <c r="G2113" s="476">
        <v>207159</v>
      </c>
      <c r="H2113" s="476">
        <v>207188</v>
      </c>
      <c r="I2113" s="476">
        <v>207217</v>
      </c>
      <c r="J2113" s="476">
        <v>207246</v>
      </c>
      <c r="K2113" s="476">
        <v>207275</v>
      </c>
    </row>
    <row r="2114" spans="1:11">
      <c r="A2114" s="479">
        <v>6877</v>
      </c>
      <c r="B2114" s="476">
        <v>207304</v>
      </c>
      <c r="C2114" s="476">
        <v>207333</v>
      </c>
      <c r="D2114" s="476">
        <v>207362</v>
      </c>
      <c r="E2114" s="476">
        <v>207391</v>
      </c>
      <c r="F2114" s="476">
        <v>207420</v>
      </c>
      <c r="G2114" s="476">
        <v>207450</v>
      </c>
      <c r="H2114" s="476">
        <v>207479</v>
      </c>
      <c r="I2114" s="476">
        <v>207508</v>
      </c>
      <c r="J2114" s="476">
        <v>207537</v>
      </c>
      <c r="K2114" s="476">
        <v>207566</v>
      </c>
    </row>
    <row r="2115" spans="1:11">
      <c r="A2115" s="479">
        <v>6877.1</v>
      </c>
      <c r="B2115" s="476">
        <v>207596</v>
      </c>
      <c r="C2115" s="476">
        <v>207625</v>
      </c>
      <c r="D2115" s="476">
        <v>207654</v>
      </c>
      <c r="E2115" s="476">
        <v>207683</v>
      </c>
      <c r="F2115" s="476">
        <v>207712</v>
      </c>
      <c r="G2115" s="476">
        <v>207742</v>
      </c>
      <c r="H2115" s="476">
        <v>207771</v>
      </c>
      <c r="I2115" s="476">
        <v>207800</v>
      </c>
      <c r="J2115" s="476">
        <v>207829</v>
      </c>
      <c r="K2115" s="476">
        <v>207859</v>
      </c>
    </row>
    <row r="2116" spans="1:11">
      <c r="A2116" s="479">
        <v>6877.2</v>
      </c>
      <c r="B2116" s="476">
        <v>207888</v>
      </c>
      <c r="C2116" s="476">
        <v>207917</v>
      </c>
      <c r="D2116" s="476">
        <v>207946</v>
      </c>
      <c r="E2116" s="476">
        <v>207975</v>
      </c>
      <c r="F2116" s="476">
        <v>208005</v>
      </c>
      <c r="G2116" s="476">
        <v>208034</v>
      </c>
      <c r="H2116" s="476">
        <v>208063</v>
      </c>
      <c r="I2116" s="476">
        <v>208092</v>
      </c>
      <c r="J2116" s="476">
        <v>208121</v>
      </c>
      <c r="K2116" s="476">
        <v>208151</v>
      </c>
    </row>
    <row r="2117" spans="1:11">
      <c r="A2117" s="479">
        <v>6877.3</v>
      </c>
      <c r="B2117" s="476">
        <v>208180</v>
      </c>
      <c r="C2117" s="476">
        <v>208209</v>
      </c>
      <c r="D2117" s="476">
        <v>208238</v>
      </c>
      <c r="E2117" s="476">
        <v>208268</v>
      </c>
      <c r="F2117" s="476">
        <v>208297</v>
      </c>
      <c r="G2117" s="476">
        <v>208326</v>
      </c>
      <c r="H2117" s="476">
        <v>208355</v>
      </c>
      <c r="I2117" s="476">
        <v>208384</v>
      </c>
      <c r="J2117" s="476">
        <v>208414</v>
      </c>
      <c r="K2117" s="476">
        <v>208443</v>
      </c>
    </row>
    <row r="2118" spans="1:11">
      <c r="A2118" s="479">
        <v>6877.4</v>
      </c>
      <c r="B2118" s="476">
        <v>208472</v>
      </c>
      <c r="C2118" s="476">
        <v>208501</v>
      </c>
      <c r="D2118" s="476">
        <v>208530</v>
      </c>
      <c r="E2118" s="476">
        <v>208560</v>
      </c>
      <c r="F2118" s="476">
        <v>208589</v>
      </c>
      <c r="G2118" s="476">
        <v>208618</v>
      </c>
      <c r="H2118" s="476">
        <v>208647</v>
      </c>
      <c r="I2118" s="476">
        <v>208677</v>
      </c>
      <c r="J2118" s="476">
        <v>208706</v>
      </c>
      <c r="K2118" s="476">
        <v>208735</v>
      </c>
    </row>
    <row r="2119" spans="1:11">
      <c r="A2119" s="479">
        <v>6877.5</v>
      </c>
      <c r="B2119" s="476">
        <v>208764</v>
      </c>
      <c r="C2119" s="476">
        <v>208793</v>
      </c>
      <c r="D2119" s="476">
        <v>208823</v>
      </c>
      <c r="E2119" s="476">
        <v>208852</v>
      </c>
      <c r="F2119" s="476">
        <v>208881</v>
      </c>
      <c r="G2119" s="476">
        <v>208910</v>
      </c>
      <c r="H2119" s="476">
        <v>208939</v>
      </c>
      <c r="I2119" s="476">
        <v>208969</v>
      </c>
      <c r="J2119" s="476">
        <v>208998</v>
      </c>
      <c r="K2119" s="476">
        <v>209027</v>
      </c>
    </row>
    <row r="2120" spans="1:11">
      <c r="A2120" s="479">
        <v>6877.6</v>
      </c>
      <c r="B2120" s="476">
        <v>209056</v>
      </c>
      <c r="C2120" s="476">
        <v>209086</v>
      </c>
      <c r="D2120" s="476">
        <v>209115</v>
      </c>
      <c r="E2120" s="476">
        <v>209144</v>
      </c>
      <c r="F2120" s="476">
        <v>209173</v>
      </c>
      <c r="G2120" s="476">
        <v>209202</v>
      </c>
      <c r="H2120" s="476">
        <v>209232</v>
      </c>
      <c r="I2120" s="476">
        <v>209261</v>
      </c>
      <c r="J2120" s="476">
        <v>209290</v>
      </c>
      <c r="K2120" s="476">
        <v>209319</v>
      </c>
    </row>
    <row r="2121" spans="1:11">
      <c r="A2121" s="479">
        <v>6877.7</v>
      </c>
      <c r="B2121" s="476">
        <v>209348</v>
      </c>
      <c r="C2121" s="476">
        <v>209378</v>
      </c>
      <c r="D2121" s="476">
        <v>209407</v>
      </c>
      <c r="E2121" s="476">
        <v>209436</v>
      </c>
      <c r="F2121" s="476">
        <v>209465</v>
      </c>
      <c r="G2121" s="476">
        <v>209494</v>
      </c>
      <c r="H2121" s="476">
        <v>209524</v>
      </c>
      <c r="I2121" s="476">
        <v>209553</v>
      </c>
      <c r="J2121" s="476">
        <v>209582</v>
      </c>
      <c r="K2121" s="476">
        <v>209611</v>
      </c>
    </row>
    <row r="2122" spans="1:11">
      <c r="A2122" s="479">
        <v>6877.8</v>
      </c>
      <c r="B2122" s="476">
        <v>209641</v>
      </c>
      <c r="C2122" s="476">
        <v>209670</v>
      </c>
      <c r="D2122" s="476">
        <v>209699</v>
      </c>
      <c r="E2122" s="476">
        <v>209728</v>
      </c>
      <c r="F2122" s="476">
        <v>209757</v>
      </c>
      <c r="G2122" s="476">
        <v>209787</v>
      </c>
      <c r="H2122" s="476">
        <v>209816</v>
      </c>
      <c r="I2122" s="476">
        <v>209845</v>
      </c>
      <c r="J2122" s="476">
        <v>209874</v>
      </c>
      <c r="K2122" s="476">
        <v>209903</v>
      </c>
    </row>
    <row r="2123" spans="1:11">
      <c r="A2123" s="479">
        <v>6877.9</v>
      </c>
      <c r="B2123" s="476">
        <v>209933</v>
      </c>
      <c r="C2123" s="476">
        <v>209962</v>
      </c>
      <c r="D2123" s="476">
        <v>209991</v>
      </c>
      <c r="E2123" s="476">
        <v>210020</v>
      </c>
      <c r="F2123" s="476">
        <v>210050</v>
      </c>
      <c r="G2123" s="476">
        <v>210079</v>
      </c>
      <c r="H2123" s="476">
        <v>210108</v>
      </c>
      <c r="I2123" s="476">
        <v>210137</v>
      </c>
      <c r="J2123" s="476">
        <v>210166</v>
      </c>
      <c r="K2123" s="476">
        <v>210196</v>
      </c>
    </row>
    <row r="2124" spans="1:11">
      <c r="A2124" s="479">
        <v>6878</v>
      </c>
      <c r="B2124" s="476">
        <v>210225</v>
      </c>
      <c r="C2124" s="476">
        <v>210254</v>
      </c>
      <c r="D2124" s="476">
        <v>210284</v>
      </c>
      <c r="E2124" s="476">
        <v>210313</v>
      </c>
      <c r="F2124" s="476">
        <v>210343</v>
      </c>
      <c r="G2124" s="476">
        <v>210373</v>
      </c>
      <c r="H2124" s="476">
        <v>210402</v>
      </c>
      <c r="I2124" s="476">
        <v>210432</v>
      </c>
      <c r="J2124" s="476">
        <v>210461</v>
      </c>
      <c r="K2124" s="476">
        <v>210491</v>
      </c>
    </row>
    <row r="2125" spans="1:11">
      <c r="A2125" s="479">
        <v>6878.1</v>
      </c>
      <c r="B2125" s="476">
        <v>210520</v>
      </c>
      <c r="C2125" s="476">
        <v>210550</v>
      </c>
      <c r="D2125" s="476">
        <v>210579</v>
      </c>
      <c r="E2125" s="476">
        <v>210609</v>
      </c>
      <c r="F2125" s="476">
        <v>210638</v>
      </c>
      <c r="G2125" s="476">
        <v>210668</v>
      </c>
      <c r="H2125" s="476">
        <v>210697</v>
      </c>
      <c r="I2125" s="476">
        <v>210727</v>
      </c>
      <c r="J2125" s="476">
        <v>210757</v>
      </c>
      <c r="K2125" s="476">
        <v>210786</v>
      </c>
    </row>
    <row r="2126" spans="1:11">
      <c r="A2126" s="479">
        <v>6878.2</v>
      </c>
      <c r="B2126" s="476">
        <v>210816</v>
      </c>
      <c r="C2126" s="476">
        <v>210845</v>
      </c>
      <c r="D2126" s="476">
        <v>210875</v>
      </c>
      <c r="E2126" s="476">
        <v>210904</v>
      </c>
      <c r="F2126" s="476">
        <v>210934</v>
      </c>
      <c r="G2126" s="476">
        <v>210963</v>
      </c>
      <c r="H2126" s="476">
        <v>210993</v>
      </c>
      <c r="I2126" s="476">
        <v>211022</v>
      </c>
      <c r="J2126" s="476">
        <v>211052</v>
      </c>
      <c r="K2126" s="476">
        <v>211081</v>
      </c>
    </row>
    <row r="2127" spans="1:11">
      <c r="A2127" s="479">
        <v>6878.3</v>
      </c>
      <c r="B2127" s="476">
        <v>211111</v>
      </c>
      <c r="C2127" s="476">
        <v>211141</v>
      </c>
      <c r="D2127" s="476">
        <v>211170</v>
      </c>
      <c r="E2127" s="476">
        <v>211200</v>
      </c>
      <c r="F2127" s="476">
        <v>211229</v>
      </c>
      <c r="G2127" s="476">
        <v>211259</v>
      </c>
      <c r="H2127" s="476">
        <v>211288</v>
      </c>
      <c r="I2127" s="476">
        <v>211318</v>
      </c>
      <c r="J2127" s="476">
        <v>211347</v>
      </c>
      <c r="K2127" s="476">
        <v>211377</v>
      </c>
    </row>
    <row r="2128" spans="1:11">
      <c r="A2128" s="479">
        <v>6878.4</v>
      </c>
      <c r="B2128" s="476">
        <v>211406</v>
      </c>
      <c r="C2128" s="476">
        <v>211436</v>
      </c>
      <c r="D2128" s="476">
        <v>211465</v>
      </c>
      <c r="E2128" s="476">
        <v>211495</v>
      </c>
      <c r="F2128" s="476">
        <v>211525</v>
      </c>
      <c r="G2128" s="476">
        <v>211554</v>
      </c>
      <c r="H2128" s="476">
        <v>211584</v>
      </c>
      <c r="I2128" s="476">
        <v>211613</v>
      </c>
      <c r="J2128" s="476">
        <v>211643</v>
      </c>
      <c r="K2128" s="476">
        <v>211672</v>
      </c>
    </row>
    <row r="2129" spans="1:11">
      <c r="A2129" s="479">
        <v>6878.5</v>
      </c>
      <c r="B2129" s="476">
        <v>211702</v>
      </c>
      <c r="C2129" s="476">
        <v>211731</v>
      </c>
      <c r="D2129" s="476">
        <v>211761</v>
      </c>
      <c r="E2129" s="476">
        <v>211790</v>
      </c>
      <c r="F2129" s="476">
        <v>211820</v>
      </c>
      <c r="G2129" s="476">
        <v>211849</v>
      </c>
      <c r="H2129" s="476">
        <v>211879</v>
      </c>
      <c r="I2129" s="476">
        <v>211909</v>
      </c>
      <c r="J2129" s="476">
        <v>211938</v>
      </c>
      <c r="K2129" s="476">
        <v>211968</v>
      </c>
    </row>
    <row r="2130" spans="1:11">
      <c r="A2130" s="479">
        <v>6878.6</v>
      </c>
      <c r="B2130" s="476">
        <v>211997</v>
      </c>
      <c r="C2130" s="476">
        <v>212027</v>
      </c>
      <c r="D2130" s="476">
        <v>212056</v>
      </c>
      <c r="E2130" s="476">
        <v>212086</v>
      </c>
      <c r="F2130" s="476">
        <v>212115</v>
      </c>
      <c r="G2130" s="476">
        <v>212145</v>
      </c>
      <c r="H2130" s="476">
        <v>212174</v>
      </c>
      <c r="I2130" s="476">
        <v>212204</v>
      </c>
      <c r="J2130" s="476">
        <v>212233</v>
      </c>
      <c r="K2130" s="476">
        <v>212263</v>
      </c>
    </row>
    <row r="2131" spans="1:11">
      <c r="A2131" s="479">
        <v>6878.7</v>
      </c>
      <c r="B2131" s="476">
        <v>212293</v>
      </c>
      <c r="C2131" s="476">
        <v>212322</v>
      </c>
      <c r="D2131" s="476">
        <v>212352</v>
      </c>
      <c r="E2131" s="476">
        <v>212381</v>
      </c>
      <c r="F2131" s="476">
        <v>212411</v>
      </c>
      <c r="G2131" s="476">
        <v>212440</v>
      </c>
      <c r="H2131" s="476">
        <v>212470</v>
      </c>
      <c r="I2131" s="476">
        <v>212499</v>
      </c>
      <c r="J2131" s="476">
        <v>212529</v>
      </c>
      <c r="K2131" s="476">
        <v>212558</v>
      </c>
    </row>
    <row r="2132" spans="1:11">
      <c r="A2132" s="479">
        <v>6878.8</v>
      </c>
      <c r="B2132" s="476">
        <v>212588</v>
      </c>
      <c r="C2132" s="476">
        <v>212617</v>
      </c>
      <c r="D2132" s="476">
        <v>212647</v>
      </c>
      <c r="E2132" s="476">
        <v>212677</v>
      </c>
      <c r="F2132" s="476">
        <v>212706</v>
      </c>
      <c r="G2132" s="476">
        <v>212736</v>
      </c>
      <c r="H2132" s="476">
        <v>212765</v>
      </c>
      <c r="I2132" s="476">
        <v>212795</v>
      </c>
      <c r="J2132" s="476">
        <v>212824</v>
      </c>
      <c r="K2132" s="476">
        <v>212854</v>
      </c>
    </row>
    <row r="2133" spans="1:11">
      <c r="A2133" s="479">
        <v>6878.9</v>
      </c>
      <c r="B2133" s="476">
        <v>212883</v>
      </c>
      <c r="C2133" s="476">
        <v>212913</v>
      </c>
      <c r="D2133" s="476">
        <v>212942</v>
      </c>
      <c r="E2133" s="476">
        <v>212972</v>
      </c>
      <c r="F2133" s="476">
        <v>213001</v>
      </c>
      <c r="G2133" s="476">
        <v>213031</v>
      </c>
      <c r="H2133" s="476">
        <v>213061</v>
      </c>
      <c r="I2133" s="476">
        <v>213090</v>
      </c>
      <c r="J2133" s="476">
        <v>213120</v>
      </c>
      <c r="K2133" s="476">
        <v>213149</v>
      </c>
    </row>
    <row r="2134" spans="1:11">
      <c r="A2134" s="479">
        <v>6879</v>
      </c>
      <c r="B2134" s="476">
        <v>213179</v>
      </c>
      <c r="C2134" s="476">
        <v>213209</v>
      </c>
      <c r="D2134" s="476">
        <v>213238</v>
      </c>
      <c r="E2134" s="476">
        <v>213268</v>
      </c>
      <c r="F2134" s="476">
        <v>213298</v>
      </c>
      <c r="G2134" s="476">
        <v>213328</v>
      </c>
      <c r="H2134" s="476">
        <v>213358</v>
      </c>
      <c r="I2134" s="476">
        <v>213388</v>
      </c>
      <c r="J2134" s="476">
        <v>213418</v>
      </c>
      <c r="K2134" s="476">
        <v>213447</v>
      </c>
    </row>
    <row r="2135" spans="1:11">
      <c r="A2135" s="479">
        <v>6879.1</v>
      </c>
      <c r="B2135" s="476">
        <v>213477</v>
      </c>
      <c r="C2135" s="476">
        <v>213507</v>
      </c>
      <c r="D2135" s="476">
        <v>213537</v>
      </c>
      <c r="E2135" s="476">
        <v>213567</v>
      </c>
      <c r="F2135" s="476">
        <v>213597</v>
      </c>
      <c r="G2135" s="476">
        <v>213627</v>
      </c>
      <c r="H2135" s="476">
        <v>213656</v>
      </c>
      <c r="I2135" s="476">
        <v>213686</v>
      </c>
      <c r="J2135" s="476">
        <v>213716</v>
      </c>
      <c r="K2135" s="476">
        <v>213746</v>
      </c>
    </row>
    <row r="2136" spans="1:11">
      <c r="A2136" s="479">
        <v>6879.2</v>
      </c>
      <c r="B2136" s="476">
        <v>213776</v>
      </c>
      <c r="C2136" s="476">
        <v>213806</v>
      </c>
      <c r="D2136" s="476">
        <v>213836</v>
      </c>
      <c r="E2136" s="476">
        <v>213865</v>
      </c>
      <c r="F2136" s="476">
        <v>213895</v>
      </c>
      <c r="G2136" s="476">
        <v>213925</v>
      </c>
      <c r="H2136" s="476">
        <v>213955</v>
      </c>
      <c r="I2136" s="476">
        <v>213985</v>
      </c>
      <c r="J2136" s="476">
        <v>214015</v>
      </c>
      <c r="K2136" s="476">
        <v>214045</v>
      </c>
    </row>
    <row r="2137" spans="1:11">
      <c r="A2137" s="479">
        <v>6879.3</v>
      </c>
      <c r="B2137" s="476">
        <v>214075</v>
      </c>
      <c r="C2137" s="476">
        <v>214104</v>
      </c>
      <c r="D2137" s="476">
        <v>214134</v>
      </c>
      <c r="E2137" s="476">
        <v>214164</v>
      </c>
      <c r="F2137" s="476">
        <v>214194</v>
      </c>
      <c r="G2137" s="476">
        <v>214224</v>
      </c>
      <c r="H2137" s="476">
        <v>214254</v>
      </c>
      <c r="I2137" s="476">
        <v>214284</v>
      </c>
      <c r="J2137" s="476">
        <v>214313</v>
      </c>
      <c r="K2137" s="476">
        <v>214343</v>
      </c>
    </row>
    <row r="2138" spans="1:11">
      <c r="A2138" s="479">
        <v>6879.4</v>
      </c>
      <c r="B2138" s="476">
        <v>214373</v>
      </c>
      <c r="C2138" s="476">
        <v>214403</v>
      </c>
      <c r="D2138" s="476">
        <v>214433</v>
      </c>
      <c r="E2138" s="476">
        <v>214463</v>
      </c>
      <c r="F2138" s="476">
        <v>214493</v>
      </c>
      <c r="G2138" s="476">
        <v>214522</v>
      </c>
      <c r="H2138" s="476">
        <v>214552</v>
      </c>
      <c r="I2138" s="476">
        <v>214582</v>
      </c>
      <c r="J2138" s="476">
        <v>214612</v>
      </c>
      <c r="K2138" s="476">
        <v>214642</v>
      </c>
    </row>
    <row r="2139" spans="1:11">
      <c r="A2139" s="479">
        <v>6879.5</v>
      </c>
      <c r="B2139" s="476">
        <v>214672</v>
      </c>
      <c r="C2139" s="476">
        <v>214702</v>
      </c>
      <c r="D2139" s="476">
        <v>214731</v>
      </c>
      <c r="E2139" s="476">
        <v>214761</v>
      </c>
      <c r="F2139" s="476">
        <v>214791</v>
      </c>
      <c r="G2139" s="476">
        <v>214821</v>
      </c>
      <c r="H2139" s="476">
        <v>214851</v>
      </c>
      <c r="I2139" s="476">
        <v>214881</v>
      </c>
      <c r="J2139" s="476">
        <v>214911</v>
      </c>
      <c r="K2139" s="476">
        <v>214940</v>
      </c>
    </row>
    <row r="2140" spans="1:11">
      <c r="A2140" s="479">
        <v>6879.6</v>
      </c>
      <c r="B2140" s="476">
        <v>214970</v>
      </c>
      <c r="C2140" s="476">
        <v>215000</v>
      </c>
      <c r="D2140" s="476">
        <v>215030</v>
      </c>
      <c r="E2140" s="476">
        <v>215060</v>
      </c>
      <c r="F2140" s="476">
        <v>215090</v>
      </c>
      <c r="G2140" s="476">
        <v>215120</v>
      </c>
      <c r="H2140" s="476">
        <v>215149</v>
      </c>
      <c r="I2140" s="476">
        <v>215179</v>
      </c>
      <c r="J2140" s="476">
        <v>215209</v>
      </c>
      <c r="K2140" s="476">
        <v>215239</v>
      </c>
    </row>
    <row r="2141" spans="1:11">
      <c r="A2141" s="479">
        <v>6879.7</v>
      </c>
      <c r="B2141" s="476">
        <v>215269</v>
      </c>
      <c r="C2141" s="476">
        <v>215299</v>
      </c>
      <c r="D2141" s="476">
        <v>215329</v>
      </c>
      <c r="E2141" s="476">
        <v>215359</v>
      </c>
      <c r="F2141" s="476">
        <v>215388</v>
      </c>
      <c r="G2141" s="476">
        <v>215418</v>
      </c>
      <c r="H2141" s="476">
        <v>215448</v>
      </c>
      <c r="I2141" s="476">
        <v>215478</v>
      </c>
      <c r="J2141" s="476">
        <v>215508</v>
      </c>
      <c r="K2141" s="476">
        <v>215538</v>
      </c>
    </row>
    <row r="2142" spans="1:11">
      <c r="A2142" s="479">
        <v>6879.8</v>
      </c>
      <c r="B2142" s="476">
        <v>215568</v>
      </c>
      <c r="C2142" s="476">
        <v>215597</v>
      </c>
      <c r="D2142" s="476">
        <v>215627</v>
      </c>
      <c r="E2142" s="476">
        <v>215657</v>
      </c>
      <c r="F2142" s="476">
        <v>215687</v>
      </c>
      <c r="G2142" s="476">
        <v>215717</v>
      </c>
      <c r="H2142" s="476">
        <v>215747</v>
      </c>
      <c r="I2142" s="476">
        <v>215777</v>
      </c>
      <c r="J2142" s="476">
        <v>215806</v>
      </c>
      <c r="K2142" s="476">
        <v>215836</v>
      </c>
    </row>
    <row r="2143" spans="1:11">
      <c r="A2143" s="479">
        <v>6879.9</v>
      </c>
      <c r="B2143" s="476">
        <v>215866</v>
      </c>
      <c r="C2143" s="476">
        <v>215896</v>
      </c>
      <c r="D2143" s="476">
        <v>215926</v>
      </c>
      <c r="E2143" s="476">
        <v>215956</v>
      </c>
      <c r="F2143" s="476">
        <v>215986</v>
      </c>
      <c r="G2143" s="476">
        <v>216015</v>
      </c>
      <c r="H2143" s="476">
        <v>216045</v>
      </c>
      <c r="I2143" s="476">
        <v>216075</v>
      </c>
      <c r="J2143" s="476">
        <v>216105</v>
      </c>
      <c r="K2143" s="476">
        <v>216135</v>
      </c>
    </row>
    <row r="2144" spans="1:11">
      <c r="A2144" s="479">
        <v>6880</v>
      </c>
      <c r="B2144" s="476">
        <v>216165</v>
      </c>
      <c r="C2144" s="476">
        <v>216195</v>
      </c>
      <c r="D2144" s="476">
        <v>216225</v>
      </c>
      <c r="E2144" s="476">
        <v>216255</v>
      </c>
      <c r="F2144" s="476">
        <v>216286</v>
      </c>
      <c r="G2144" s="476">
        <v>216316</v>
      </c>
      <c r="H2144" s="476">
        <v>216346</v>
      </c>
      <c r="I2144" s="476">
        <v>216376</v>
      </c>
      <c r="J2144" s="476">
        <v>216407</v>
      </c>
      <c r="K2144" s="476">
        <v>216437</v>
      </c>
    </row>
    <row r="2145" spans="1:11">
      <c r="A2145" s="479">
        <v>6880.1</v>
      </c>
      <c r="B2145" s="476">
        <v>216467</v>
      </c>
      <c r="C2145" s="476">
        <v>216497</v>
      </c>
      <c r="D2145" s="476">
        <v>216528</v>
      </c>
      <c r="E2145" s="476">
        <v>216558</v>
      </c>
      <c r="F2145" s="476">
        <v>216588</v>
      </c>
      <c r="G2145" s="476">
        <v>216618</v>
      </c>
      <c r="H2145" s="476">
        <v>216648</v>
      </c>
      <c r="I2145" s="476">
        <v>216679</v>
      </c>
      <c r="J2145" s="476">
        <v>216709</v>
      </c>
      <c r="K2145" s="476">
        <v>216739</v>
      </c>
    </row>
    <row r="2146" spans="1:11">
      <c r="A2146" s="479">
        <v>6880.2</v>
      </c>
      <c r="B2146" s="476">
        <v>216769</v>
      </c>
      <c r="C2146" s="476">
        <v>216800</v>
      </c>
      <c r="D2146" s="476">
        <v>216830</v>
      </c>
      <c r="E2146" s="476">
        <v>216860</v>
      </c>
      <c r="F2146" s="476">
        <v>216890</v>
      </c>
      <c r="G2146" s="476">
        <v>216921</v>
      </c>
      <c r="H2146" s="476">
        <v>216951</v>
      </c>
      <c r="I2146" s="476">
        <v>216981</v>
      </c>
      <c r="J2146" s="476">
        <v>217011</v>
      </c>
      <c r="K2146" s="476">
        <v>217041</v>
      </c>
    </row>
    <row r="2147" spans="1:11">
      <c r="A2147" s="479">
        <v>6880.3</v>
      </c>
      <c r="B2147" s="476">
        <v>217072</v>
      </c>
      <c r="C2147" s="476">
        <v>217102</v>
      </c>
      <c r="D2147" s="476">
        <v>217132</v>
      </c>
      <c r="E2147" s="476">
        <v>217162</v>
      </c>
      <c r="F2147" s="476">
        <v>217193</v>
      </c>
      <c r="G2147" s="476">
        <v>217223</v>
      </c>
      <c r="H2147" s="476">
        <v>217253</v>
      </c>
      <c r="I2147" s="476">
        <v>217283</v>
      </c>
      <c r="J2147" s="476">
        <v>217314</v>
      </c>
      <c r="K2147" s="476">
        <v>217344</v>
      </c>
    </row>
    <row r="2148" spans="1:11">
      <c r="A2148" s="479">
        <v>6880.4</v>
      </c>
      <c r="B2148" s="476">
        <v>217374</v>
      </c>
      <c r="C2148" s="476">
        <v>217404</v>
      </c>
      <c r="D2148" s="476">
        <v>217435</v>
      </c>
      <c r="E2148" s="476">
        <v>217465</v>
      </c>
      <c r="F2148" s="476">
        <v>217495</v>
      </c>
      <c r="G2148" s="476">
        <v>217525</v>
      </c>
      <c r="H2148" s="476">
        <v>217555</v>
      </c>
      <c r="I2148" s="476">
        <v>217586</v>
      </c>
      <c r="J2148" s="476">
        <v>217616</v>
      </c>
      <c r="K2148" s="476">
        <v>217646</v>
      </c>
    </row>
    <row r="2149" spans="1:11">
      <c r="A2149" s="479">
        <v>6880.5</v>
      </c>
      <c r="B2149" s="476">
        <v>217676</v>
      </c>
      <c r="C2149" s="476">
        <v>217707</v>
      </c>
      <c r="D2149" s="476">
        <v>217737</v>
      </c>
      <c r="E2149" s="476">
        <v>217767</v>
      </c>
      <c r="F2149" s="476">
        <v>217797</v>
      </c>
      <c r="G2149" s="476">
        <v>217828</v>
      </c>
      <c r="H2149" s="476">
        <v>217858</v>
      </c>
      <c r="I2149" s="476">
        <v>217888</v>
      </c>
      <c r="J2149" s="476">
        <v>217918</v>
      </c>
      <c r="K2149" s="476">
        <v>217948</v>
      </c>
    </row>
    <row r="2150" spans="1:11">
      <c r="A2150" s="479">
        <v>6880.6</v>
      </c>
      <c r="B2150" s="476">
        <v>217979</v>
      </c>
      <c r="C2150" s="476">
        <v>218009</v>
      </c>
      <c r="D2150" s="476">
        <v>218039</v>
      </c>
      <c r="E2150" s="476">
        <v>218069</v>
      </c>
      <c r="F2150" s="476">
        <v>218100</v>
      </c>
      <c r="G2150" s="476">
        <v>218130</v>
      </c>
      <c r="H2150" s="476">
        <v>218160</v>
      </c>
      <c r="I2150" s="476">
        <v>218190</v>
      </c>
      <c r="J2150" s="476">
        <v>218221</v>
      </c>
      <c r="K2150" s="476">
        <v>218251</v>
      </c>
    </row>
    <row r="2151" spans="1:11">
      <c r="A2151" s="479">
        <v>6880.7</v>
      </c>
      <c r="B2151" s="476">
        <v>218281</v>
      </c>
      <c r="C2151" s="476">
        <v>218311</v>
      </c>
      <c r="D2151" s="476">
        <v>218341</v>
      </c>
      <c r="E2151" s="476">
        <v>218372</v>
      </c>
      <c r="F2151" s="476">
        <v>218402</v>
      </c>
      <c r="G2151" s="476">
        <v>218432</v>
      </c>
      <c r="H2151" s="476">
        <v>218462</v>
      </c>
      <c r="I2151" s="476">
        <v>218493</v>
      </c>
      <c r="J2151" s="476">
        <v>218523</v>
      </c>
      <c r="K2151" s="476">
        <v>218553</v>
      </c>
    </row>
    <row r="2152" spans="1:11">
      <c r="A2152" s="479">
        <v>6880.8</v>
      </c>
      <c r="B2152" s="476">
        <v>218583</v>
      </c>
      <c r="C2152" s="476">
        <v>218614</v>
      </c>
      <c r="D2152" s="476">
        <v>218644</v>
      </c>
      <c r="E2152" s="476">
        <v>218674</v>
      </c>
      <c r="F2152" s="476">
        <v>218704</v>
      </c>
      <c r="G2152" s="476">
        <v>218734</v>
      </c>
      <c r="H2152" s="476">
        <v>218765</v>
      </c>
      <c r="I2152" s="476">
        <v>218795</v>
      </c>
      <c r="J2152" s="476">
        <v>218825</v>
      </c>
      <c r="K2152" s="476">
        <v>218855</v>
      </c>
    </row>
    <row r="2153" spans="1:11">
      <c r="A2153" s="479">
        <v>6880.9</v>
      </c>
      <c r="B2153" s="476">
        <v>218886</v>
      </c>
      <c r="C2153" s="476">
        <v>218916</v>
      </c>
      <c r="D2153" s="476">
        <v>218946</v>
      </c>
      <c r="E2153" s="476">
        <v>218976</v>
      </c>
      <c r="F2153" s="476">
        <v>219007</v>
      </c>
      <c r="G2153" s="476">
        <v>219037</v>
      </c>
      <c r="H2153" s="476">
        <v>219067</v>
      </c>
      <c r="I2153" s="476">
        <v>219097</v>
      </c>
      <c r="J2153" s="476">
        <v>219128</v>
      </c>
      <c r="K2153" s="476">
        <v>219158</v>
      </c>
    </row>
    <row r="2154" spans="1:11">
      <c r="A2154" s="479">
        <v>6881</v>
      </c>
      <c r="B2154" s="476">
        <v>219188</v>
      </c>
      <c r="C2154" s="476">
        <v>219219</v>
      </c>
      <c r="D2154" s="476">
        <v>219249</v>
      </c>
      <c r="E2154" s="476">
        <v>219280</v>
      </c>
      <c r="F2154" s="476">
        <v>219311</v>
      </c>
      <c r="G2154" s="476">
        <v>219341</v>
      </c>
      <c r="H2154" s="476">
        <v>219372</v>
      </c>
      <c r="I2154" s="476">
        <v>219403</v>
      </c>
      <c r="J2154" s="476">
        <v>219433</v>
      </c>
      <c r="K2154" s="476">
        <v>219464</v>
      </c>
    </row>
    <row r="2155" spans="1:11">
      <c r="A2155" s="479">
        <v>6881.1</v>
      </c>
      <c r="B2155" s="476">
        <v>219494</v>
      </c>
      <c r="C2155" s="476">
        <v>219525</v>
      </c>
      <c r="D2155" s="476">
        <v>219556</v>
      </c>
      <c r="E2155" s="476">
        <v>219586</v>
      </c>
      <c r="F2155" s="476">
        <v>219617</v>
      </c>
      <c r="G2155" s="476">
        <v>219648</v>
      </c>
      <c r="H2155" s="476">
        <v>219678</v>
      </c>
      <c r="I2155" s="476">
        <v>219709</v>
      </c>
      <c r="J2155" s="476">
        <v>219740</v>
      </c>
      <c r="K2155" s="476">
        <v>219770</v>
      </c>
    </row>
    <row r="2156" spans="1:11">
      <c r="A2156" s="479">
        <v>6881.2</v>
      </c>
      <c r="B2156" s="476">
        <v>219801</v>
      </c>
      <c r="C2156" s="476">
        <v>219832</v>
      </c>
      <c r="D2156" s="476">
        <v>219862</v>
      </c>
      <c r="E2156" s="476">
        <v>219893</v>
      </c>
      <c r="F2156" s="476">
        <v>219924</v>
      </c>
      <c r="G2156" s="476">
        <v>219954</v>
      </c>
      <c r="H2156" s="476">
        <v>219985</v>
      </c>
      <c r="I2156" s="476">
        <v>220016</v>
      </c>
      <c r="J2156" s="476">
        <v>220046</v>
      </c>
      <c r="K2156" s="476">
        <v>220077</v>
      </c>
    </row>
    <row r="2157" spans="1:11">
      <c r="A2157" s="479">
        <v>6881.3</v>
      </c>
      <c r="B2157" s="476">
        <v>220107</v>
      </c>
      <c r="C2157" s="476">
        <v>220138</v>
      </c>
      <c r="D2157" s="476">
        <v>220169</v>
      </c>
      <c r="E2157" s="476">
        <v>220199</v>
      </c>
      <c r="F2157" s="476">
        <v>220230</v>
      </c>
      <c r="G2157" s="476">
        <v>220261</v>
      </c>
      <c r="H2157" s="476">
        <v>220291</v>
      </c>
      <c r="I2157" s="476">
        <v>220322</v>
      </c>
      <c r="J2157" s="476">
        <v>220353</v>
      </c>
      <c r="K2157" s="476">
        <v>220383</v>
      </c>
    </row>
    <row r="2158" spans="1:11">
      <c r="A2158" s="479">
        <v>6881.4</v>
      </c>
      <c r="B2158" s="476">
        <v>220414</v>
      </c>
      <c r="C2158" s="476">
        <v>220445</v>
      </c>
      <c r="D2158" s="476">
        <v>220475</v>
      </c>
      <c r="E2158" s="476">
        <v>220506</v>
      </c>
      <c r="F2158" s="476">
        <v>220537</v>
      </c>
      <c r="G2158" s="476">
        <v>220567</v>
      </c>
      <c r="H2158" s="476">
        <v>220598</v>
      </c>
      <c r="I2158" s="476">
        <v>220629</v>
      </c>
      <c r="J2158" s="476">
        <v>220659</v>
      </c>
      <c r="K2158" s="476">
        <v>220690</v>
      </c>
    </row>
    <row r="2159" spans="1:11">
      <c r="A2159" s="479">
        <v>6881.5</v>
      </c>
      <c r="B2159" s="476">
        <v>220721</v>
      </c>
      <c r="C2159" s="476">
        <v>220751</v>
      </c>
      <c r="D2159" s="476">
        <v>220782</v>
      </c>
      <c r="E2159" s="476">
        <v>220812</v>
      </c>
      <c r="F2159" s="476">
        <v>220843</v>
      </c>
      <c r="G2159" s="476">
        <v>220874</v>
      </c>
      <c r="H2159" s="476">
        <v>220904</v>
      </c>
      <c r="I2159" s="476">
        <v>220935</v>
      </c>
      <c r="J2159" s="476">
        <v>220966</v>
      </c>
      <c r="K2159" s="476">
        <v>220996</v>
      </c>
    </row>
    <row r="2160" spans="1:11">
      <c r="A2160" s="479">
        <v>6881.6</v>
      </c>
      <c r="B2160" s="476">
        <v>221027</v>
      </c>
      <c r="C2160" s="476">
        <v>221058</v>
      </c>
      <c r="D2160" s="476">
        <v>221088</v>
      </c>
      <c r="E2160" s="476">
        <v>221119</v>
      </c>
      <c r="F2160" s="476">
        <v>221150</v>
      </c>
      <c r="G2160" s="476">
        <v>221180</v>
      </c>
      <c r="H2160" s="476">
        <v>221211</v>
      </c>
      <c r="I2160" s="476">
        <v>221242</v>
      </c>
      <c r="J2160" s="476">
        <v>221272</v>
      </c>
      <c r="K2160" s="476">
        <v>221303</v>
      </c>
    </row>
    <row r="2161" spans="1:11">
      <c r="A2161" s="479">
        <v>6881.7</v>
      </c>
      <c r="B2161" s="476">
        <v>221334</v>
      </c>
      <c r="C2161" s="476">
        <v>221364</v>
      </c>
      <c r="D2161" s="476">
        <v>221395</v>
      </c>
      <c r="E2161" s="476">
        <v>221425</v>
      </c>
      <c r="F2161" s="476">
        <v>221456</v>
      </c>
      <c r="G2161" s="476">
        <v>221487</v>
      </c>
      <c r="H2161" s="476">
        <v>221517</v>
      </c>
      <c r="I2161" s="476">
        <v>221548</v>
      </c>
      <c r="J2161" s="476">
        <v>221579</v>
      </c>
      <c r="K2161" s="476">
        <v>221609</v>
      </c>
    </row>
    <row r="2162" spans="1:11">
      <c r="A2162" s="479">
        <v>6881.8</v>
      </c>
      <c r="B2162" s="476">
        <v>221640</v>
      </c>
      <c r="C2162" s="476">
        <v>221671</v>
      </c>
      <c r="D2162" s="476">
        <v>221701</v>
      </c>
      <c r="E2162" s="476">
        <v>221732</v>
      </c>
      <c r="F2162" s="476">
        <v>221763</v>
      </c>
      <c r="G2162" s="476">
        <v>221793</v>
      </c>
      <c r="H2162" s="476">
        <v>221824</v>
      </c>
      <c r="I2162" s="476">
        <v>221855</v>
      </c>
      <c r="J2162" s="476">
        <v>221885</v>
      </c>
      <c r="K2162" s="476">
        <v>221916</v>
      </c>
    </row>
    <row r="2163" spans="1:11">
      <c r="A2163" s="479">
        <v>6881.9</v>
      </c>
      <c r="B2163" s="476">
        <v>221947</v>
      </c>
      <c r="C2163" s="476">
        <v>221977</v>
      </c>
      <c r="D2163" s="476">
        <v>222008</v>
      </c>
      <c r="E2163" s="476">
        <v>222038</v>
      </c>
      <c r="F2163" s="476">
        <v>222069</v>
      </c>
      <c r="G2163" s="476">
        <v>222100</v>
      </c>
      <c r="H2163" s="476">
        <v>222130</v>
      </c>
      <c r="I2163" s="476">
        <v>222161</v>
      </c>
      <c r="J2163" s="476">
        <v>222192</v>
      </c>
      <c r="K2163" s="476">
        <v>222222</v>
      </c>
    </row>
    <row r="2164" spans="1:11">
      <c r="A2164" s="479">
        <v>6882</v>
      </c>
      <c r="B2164" s="476">
        <v>222253</v>
      </c>
      <c r="C2164" s="476">
        <v>222284</v>
      </c>
      <c r="D2164" s="476">
        <v>222315</v>
      </c>
      <c r="E2164" s="476">
        <v>222346</v>
      </c>
      <c r="F2164" s="476">
        <v>222377</v>
      </c>
      <c r="G2164" s="476">
        <v>222408</v>
      </c>
      <c r="H2164" s="476">
        <v>222439</v>
      </c>
      <c r="I2164" s="476">
        <v>222470</v>
      </c>
      <c r="J2164" s="476">
        <v>222502</v>
      </c>
      <c r="K2164" s="476">
        <v>222533</v>
      </c>
    </row>
    <row r="2165" spans="1:11">
      <c r="A2165" s="479">
        <v>6882.1</v>
      </c>
      <c r="B2165" s="476">
        <v>222564</v>
      </c>
      <c r="C2165" s="476">
        <v>222595</v>
      </c>
      <c r="D2165" s="476">
        <v>222626</v>
      </c>
      <c r="E2165" s="476">
        <v>222657</v>
      </c>
      <c r="F2165" s="476">
        <v>222688</v>
      </c>
      <c r="G2165" s="476">
        <v>222719</v>
      </c>
      <c r="H2165" s="476">
        <v>222750</v>
      </c>
      <c r="I2165" s="476">
        <v>222781</v>
      </c>
      <c r="J2165" s="476">
        <v>222812</v>
      </c>
      <c r="K2165" s="476">
        <v>222843</v>
      </c>
    </row>
    <row r="2166" spans="1:11">
      <c r="A2166" s="479">
        <v>6882.2</v>
      </c>
      <c r="B2166" s="476">
        <v>222874</v>
      </c>
      <c r="C2166" s="476">
        <v>222905</v>
      </c>
      <c r="D2166" s="476">
        <v>222936</v>
      </c>
      <c r="E2166" s="476">
        <v>222967</v>
      </c>
      <c r="F2166" s="476">
        <v>222998</v>
      </c>
      <c r="G2166" s="476">
        <v>223030</v>
      </c>
      <c r="H2166" s="476">
        <v>223061</v>
      </c>
      <c r="I2166" s="476">
        <v>223092</v>
      </c>
      <c r="J2166" s="476">
        <v>223123</v>
      </c>
      <c r="K2166" s="476">
        <v>223154</v>
      </c>
    </row>
    <row r="2167" spans="1:11">
      <c r="A2167" s="479">
        <v>6882.3</v>
      </c>
      <c r="B2167" s="476">
        <v>223185</v>
      </c>
      <c r="C2167" s="476">
        <v>223216</v>
      </c>
      <c r="D2167" s="476">
        <v>223247</v>
      </c>
      <c r="E2167" s="476">
        <v>223278</v>
      </c>
      <c r="F2167" s="476">
        <v>223309</v>
      </c>
      <c r="G2167" s="476">
        <v>223340</v>
      </c>
      <c r="H2167" s="476">
        <v>223371</v>
      </c>
      <c r="I2167" s="476">
        <v>223402</v>
      </c>
      <c r="J2167" s="476">
        <v>223433</v>
      </c>
      <c r="K2167" s="476">
        <v>223464</v>
      </c>
    </row>
    <row r="2168" spans="1:11">
      <c r="A2168" s="479">
        <v>6882.4</v>
      </c>
      <c r="B2168" s="476">
        <v>223495</v>
      </c>
      <c r="C2168" s="476">
        <v>223526</v>
      </c>
      <c r="D2168" s="476">
        <v>223558</v>
      </c>
      <c r="E2168" s="476">
        <v>223589</v>
      </c>
      <c r="F2168" s="476">
        <v>223620</v>
      </c>
      <c r="G2168" s="476">
        <v>223651</v>
      </c>
      <c r="H2168" s="476">
        <v>223682</v>
      </c>
      <c r="I2168" s="476">
        <v>223713</v>
      </c>
      <c r="J2168" s="476">
        <v>223744</v>
      </c>
      <c r="K2168" s="476">
        <v>223775</v>
      </c>
    </row>
    <row r="2169" spans="1:11">
      <c r="A2169" s="479">
        <v>6882.5</v>
      </c>
      <c r="B2169" s="476">
        <v>223806</v>
      </c>
      <c r="C2169" s="476">
        <v>223837</v>
      </c>
      <c r="D2169" s="476">
        <v>223868</v>
      </c>
      <c r="E2169" s="476">
        <v>223899</v>
      </c>
      <c r="F2169" s="476">
        <v>223930</v>
      </c>
      <c r="G2169" s="476">
        <v>223961</v>
      </c>
      <c r="H2169" s="476">
        <v>223992</v>
      </c>
      <c r="I2169" s="476">
        <v>224023</v>
      </c>
      <c r="J2169" s="476">
        <v>224054</v>
      </c>
      <c r="K2169" s="476">
        <v>224035</v>
      </c>
    </row>
    <row r="2170" spans="1:11">
      <c r="A2170" s="479">
        <v>6882.6</v>
      </c>
      <c r="B2170" s="476">
        <v>224117</v>
      </c>
      <c r="C2170" s="476">
        <v>224148</v>
      </c>
      <c r="D2170" s="476">
        <v>224179</v>
      </c>
      <c r="E2170" s="476">
        <v>224210</v>
      </c>
      <c r="F2170" s="476">
        <v>224241</v>
      </c>
      <c r="G2170" s="476">
        <v>224272</v>
      </c>
      <c r="H2170" s="476">
        <v>224303</v>
      </c>
      <c r="I2170" s="476">
        <v>224334</v>
      </c>
      <c r="J2170" s="476">
        <v>224365</v>
      </c>
      <c r="K2170" s="476">
        <v>224396</v>
      </c>
    </row>
    <row r="2171" spans="1:11">
      <c r="A2171" s="479">
        <v>6882.7</v>
      </c>
      <c r="B2171" s="476">
        <v>224427</v>
      </c>
      <c r="C2171" s="476">
        <v>224458</v>
      </c>
      <c r="D2171" s="476">
        <v>224489</v>
      </c>
      <c r="E2171" s="476">
        <v>224520</v>
      </c>
      <c r="F2171" s="476">
        <v>224551</v>
      </c>
      <c r="G2171" s="476">
        <v>224582</v>
      </c>
      <c r="H2171" s="476">
        <v>224614</v>
      </c>
      <c r="I2171" s="476">
        <v>224645</v>
      </c>
      <c r="J2171" s="476">
        <v>224676</v>
      </c>
      <c r="K2171" s="476">
        <v>224707</v>
      </c>
    </row>
    <row r="2172" spans="1:11">
      <c r="A2172" s="479">
        <v>6882.8</v>
      </c>
      <c r="B2172" s="476">
        <v>224738</v>
      </c>
      <c r="C2172" s="476">
        <v>224769</v>
      </c>
      <c r="D2172" s="476">
        <v>224800</v>
      </c>
      <c r="E2172" s="476">
        <v>224831</v>
      </c>
      <c r="F2172" s="476">
        <v>224862</v>
      </c>
      <c r="G2172" s="476">
        <v>224893</v>
      </c>
      <c r="H2172" s="476">
        <v>224924</v>
      </c>
      <c r="I2172" s="476">
        <v>224955</v>
      </c>
      <c r="J2172" s="476">
        <v>224986</v>
      </c>
      <c r="K2172" s="476">
        <v>225017</v>
      </c>
    </row>
    <row r="2173" spans="1:11">
      <c r="A2173" s="479">
        <v>6882.9</v>
      </c>
      <c r="B2173" s="476">
        <v>225048</v>
      </c>
      <c r="C2173" s="476">
        <v>225079</v>
      </c>
      <c r="D2173" s="476">
        <v>225110</v>
      </c>
      <c r="E2173" s="476">
        <v>225142</v>
      </c>
      <c r="F2173" s="476">
        <v>225173</v>
      </c>
      <c r="G2173" s="476">
        <v>225204</v>
      </c>
      <c r="H2173" s="476">
        <v>225235</v>
      </c>
      <c r="I2173" s="476">
        <v>225266</v>
      </c>
      <c r="J2173" s="476">
        <v>225297</v>
      </c>
      <c r="K2173" s="476">
        <v>225323</v>
      </c>
    </row>
    <row r="2174" spans="1:11">
      <c r="A2174" s="479">
        <v>6883</v>
      </c>
      <c r="B2174" s="476">
        <v>225359</v>
      </c>
      <c r="C2174" s="476">
        <v>225390</v>
      </c>
      <c r="D2174" s="476">
        <v>225422</v>
      </c>
      <c r="E2174" s="476">
        <v>225453</v>
      </c>
      <c r="F2174" s="476">
        <v>225485</v>
      </c>
      <c r="G2174" s="476">
        <v>225516</v>
      </c>
      <c r="H2174" s="476">
        <v>225548</v>
      </c>
      <c r="I2174" s="476">
        <v>225579</v>
      </c>
      <c r="J2174" s="476">
        <v>225611</v>
      </c>
      <c r="K2174" s="476">
        <v>225642</v>
      </c>
    </row>
    <row r="2175" spans="1:11">
      <c r="A2175" s="479">
        <v>6883.1</v>
      </c>
      <c r="B2175" s="476">
        <v>225674</v>
      </c>
      <c r="C2175" s="476">
        <v>225705</v>
      </c>
      <c r="D2175" s="476">
        <v>225736</v>
      </c>
      <c r="E2175" s="476">
        <v>225768</v>
      </c>
      <c r="F2175" s="476">
        <v>225799</v>
      </c>
      <c r="G2175" s="476">
        <v>225831</v>
      </c>
      <c r="H2175" s="476">
        <v>225862</v>
      </c>
      <c r="I2175" s="476">
        <v>225894</v>
      </c>
      <c r="J2175" s="476">
        <v>225925</v>
      </c>
      <c r="K2175" s="476">
        <v>225957</v>
      </c>
    </row>
    <row r="2176" spans="1:11">
      <c r="A2176" s="479">
        <v>6883.2</v>
      </c>
      <c r="B2176" s="476">
        <v>225988</v>
      </c>
      <c r="C2176" s="476">
        <v>226020</v>
      </c>
      <c r="D2176" s="476">
        <v>226051</v>
      </c>
      <c r="E2176" s="476">
        <v>226082</v>
      </c>
      <c r="F2176" s="476">
        <v>226114</v>
      </c>
      <c r="G2176" s="476">
        <v>226145</v>
      </c>
      <c r="H2176" s="476">
        <v>226177</v>
      </c>
      <c r="I2176" s="476">
        <v>226208</v>
      </c>
      <c r="J2176" s="476">
        <v>226240</v>
      </c>
      <c r="K2176" s="476">
        <v>226271</v>
      </c>
    </row>
    <row r="2177" spans="1:11">
      <c r="A2177" s="479">
        <v>6883.3</v>
      </c>
      <c r="B2177" s="476">
        <v>226303</v>
      </c>
      <c r="C2177" s="476">
        <v>226334</v>
      </c>
      <c r="D2177" s="476">
        <v>226366</v>
      </c>
      <c r="E2177" s="476">
        <v>226397</v>
      </c>
      <c r="F2177" s="476">
        <v>226429</v>
      </c>
      <c r="G2177" s="476">
        <v>226460</v>
      </c>
      <c r="H2177" s="476">
        <v>226491</v>
      </c>
      <c r="I2177" s="476">
        <v>226523</v>
      </c>
      <c r="J2177" s="476">
        <v>226554</v>
      </c>
      <c r="K2177" s="476">
        <v>226556</v>
      </c>
    </row>
    <row r="2178" spans="1:11">
      <c r="A2178" s="479">
        <v>6883.4</v>
      </c>
      <c r="B2178" s="476">
        <v>226617</v>
      </c>
      <c r="C2178" s="476">
        <v>226649</v>
      </c>
      <c r="D2178" s="476">
        <v>226680</v>
      </c>
      <c r="E2178" s="476">
        <v>226712</v>
      </c>
      <c r="F2178" s="476">
        <v>226743</v>
      </c>
      <c r="G2178" s="476">
        <v>226775</v>
      </c>
      <c r="H2178" s="476">
        <v>226806</v>
      </c>
      <c r="I2178" s="476">
        <v>226837</v>
      </c>
      <c r="J2178" s="476">
        <v>226869</v>
      </c>
      <c r="K2178" s="476">
        <v>226900</v>
      </c>
    </row>
    <row r="2179" spans="1:11">
      <c r="A2179" s="479">
        <v>6883.5</v>
      </c>
      <c r="B2179" s="476">
        <v>226932</v>
      </c>
      <c r="C2179" s="476">
        <v>226963</v>
      </c>
      <c r="D2179" s="476">
        <v>226995</v>
      </c>
      <c r="E2179" s="476">
        <v>227026</v>
      </c>
      <c r="F2179" s="476">
        <v>227058</v>
      </c>
      <c r="G2179" s="476">
        <v>227089</v>
      </c>
      <c r="H2179" s="476">
        <v>227121</v>
      </c>
      <c r="I2179" s="476">
        <v>227152</v>
      </c>
      <c r="J2179" s="476">
        <v>227184</v>
      </c>
      <c r="K2179" s="476">
        <v>227215</v>
      </c>
    </row>
    <row r="2180" spans="1:11">
      <c r="A2180" s="479">
        <v>6883.6</v>
      </c>
      <c r="B2180" s="476">
        <v>227246</v>
      </c>
      <c r="C2180" s="476">
        <v>227278</v>
      </c>
      <c r="D2180" s="476">
        <v>227309</v>
      </c>
      <c r="E2180" s="476">
        <v>227341</v>
      </c>
      <c r="F2180" s="476">
        <v>227372</v>
      </c>
      <c r="G2180" s="476">
        <v>227404</v>
      </c>
      <c r="H2180" s="476">
        <v>227435</v>
      </c>
      <c r="I2180" s="476">
        <v>227467</v>
      </c>
      <c r="J2180" s="476">
        <v>227498</v>
      </c>
      <c r="K2180" s="476">
        <v>227530</v>
      </c>
    </row>
    <row r="2181" spans="1:11">
      <c r="A2181" s="479">
        <v>6883.7</v>
      </c>
      <c r="B2181" s="476">
        <v>227561</v>
      </c>
      <c r="C2181" s="476">
        <v>227592</v>
      </c>
      <c r="D2181" s="476">
        <v>227624</v>
      </c>
      <c r="E2181" s="476">
        <v>227655</v>
      </c>
      <c r="F2181" s="476">
        <v>227687</v>
      </c>
      <c r="G2181" s="476">
        <v>227718</v>
      </c>
      <c r="H2181" s="476">
        <v>227750</v>
      </c>
      <c r="I2181" s="476">
        <v>227781</v>
      </c>
      <c r="J2181" s="476">
        <v>227813</v>
      </c>
      <c r="K2181" s="476">
        <v>227844</v>
      </c>
    </row>
    <row r="2182" spans="1:11">
      <c r="A2182" s="479">
        <v>6883.8</v>
      </c>
      <c r="B2182" s="476">
        <v>227876</v>
      </c>
      <c r="C2182" s="476">
        <v>227907</v>
      </c>
      <c r="D2182" s="476">
        <v>227939</v>
      </c>
      <c r="E2182" s="476">
        <v>227970</v>
      </c>
      <c r="F2182" s="476">
        <v>228001</v>
      </c>
      <c r="G2182" s="476">
        <v>228033</v>
      </c>
      <c r="H2182" s="476">
        <v>228064</v>
      </c>
      <c r="I2182" s="476">
        <v>228096</v>
      </c>
      <c r="J2182" s="476">
        <v>228127</v>
      </c>
      <c r="K2182" s="476">
        <v>228159</v>
      </c>
    </row>
    <row r="2183" spans="1:11">
      <c r="A2183" s="479">
        <v>6883.9</v>
      </c>
      <c r="B2183" s="476">
        <v>228190</v>
      </c>
      <c r="C2183" s="476">
        <v>228222</v>
      </c>
      <c r="D2183" s="476">
        <v>228253</v>
      </c>
      <c r="E2183" s="476">
        <v>228285</v>
      </c>
      <c r="F2183" s="476">
        <v>228316</v>
      </c>
      <c r="G2183" s="476">
        <v>228347</v>
      </c>
      <c r="H2183" s="476">
        <v>228379</v>
      </c>
      <c r="I2183" s="476">
        <v>228410</v>
      </c>
      <c r="J2183" s="476">
        <v>228442</v>
      </c>
      <c r="K2183" s="476">
        <v>228473</v>
      </c>
    </row>
    <row r="2184" spans="1:11">
      <c r="A2184" s="479">
        <v>6884</v>
      </c>
      <c r="B2184" s="476">
        <v>228505</v>
      </c>
      <c r="C2184" s="476">
        <v>228537</v>
      </c>
      <c r="D2184" s="476">
        <v>228568</v>
      </c>
      <c r="E2184" s="476">
        <v>228600</v>
      </c>
      <c r="F2184" s="476">
        <v>228632</v>
      </c>
      <c r="G2184" s="476">
        <v>228664</v>
      </c>
      <c r="H2184" s="476">
        <v>228696</v>
      </c>
      <c r="I2184" s="476">
        <v>228728</v>
      </c>
      <c r="J2184" s="476">
        <v>228760</v>
      </c>
      <c r="K2184" s="476">
        <v>228791</v>
      </c>
    </row>
    <row r="2185" spans="1:11">
      <c r="A2185" s="479">
        <v>6884.1</v>
      </c>
      <c r="B2185" s="476">
        <v>228823</v>
      </c>
      <c r="C2185" s="476">
        <v>228855</v>
      </c>
      <c r="D2185" s="476">
        <v>228887</v>
      </c>
      <c r="E2185" s="476">
        <v>228919</v>
      </c>
      <c r="F2185" s="476">
        <v>228951</v>
      </c>
      <c r="G2185" s="476">
        <v>228982</v>
      </c>
      <c r="H2185" s="476">
        <v>229014</v>
      </c>
      <c r="I2185" s="476">
        <v>229046</v>
      </c>
      <c r="J2185" s="476">
        <v>229078</v>
      </c>
      <c r="K2185" s="476">
        <v>229110</v>
      </c>
    </row>
    <row r="2186" spans="1:11">
      <c r="A2186" s="479">
        <v>6884.2</v>
      </c>
      <c r="B2186" s="476">
        <v>229142</v>
      </c>
      <c r="C2186" s="476">
        <v>229174</v>
      </c>
      <c r="D2186" s="476">
        <v>229205</v>
      </c>
      <c r="E2186" s="476">
        <v>229237</v>
      </c>
      <c r="F2186" s="476">
        <v>229269</v>
      </c>
      <c r="G2186" s="476">
        <v>229301</v>
      </c>
      <c r="H2186" s="476">
        <v>229333</v>
      </c>
      <c r="I2186" s="476">
        <v>229365</v>
      </c>
      <c r="J2186" s="476">
        <v>229396</v>
      </c>
      <c r="K2186" s="476">
        <v>229423</v>
      </c>
    </row>
    <row r="2187" spans="1:11">
      <c r="A2187" s="479">
        <v>6884.3</v>
      </c>
      <c r="B2187" s="476">
        <v>229460</v>
      </c>
      <c r="C2187" s="476">
        <v>229492</v>
      </c>
      <c r="D2187" s="476">
        <v>229524</v>
      </c>
      <c r="E2187" s="476">
        <v>229556</v>
      </c>
      <c r="F2187" s="476">
        <v>229588</v>
      </c>
      <c r="G2187" s="476">
        <v>229619</v>
      </c>
      <c r="H2187" s="476">
        <v>229651</v>
      </c>
      <c r="I2187" s="476">
        <v>229683</v>
      </c>
      <c r="J2187" s="476">
        <v>229715</v>
      </c>
      <c r="K2187" s="476">
        <v>229747</v>
      </c>
    </row>
    <row r="2188" spans="1:11">
      <c r="A2188" s="479">
        <v>6884.4</v>
      </c>
      <c r="B2188" s="476">
        <v>229779</v>
      </c>
      <c r="C2188" s="476">
        <v>229811</v>
      </c>
      <c r="D2188" s="476">
        <v>229842</v>
      </c>
      <c r="E2188" s="476">
        <v>229874</v>
      </c>
      <c r="F2188" s="476">
        <v>229906</v>
      </c>
      <c r="G2188" s="476">
        <v>229938</v>
      </c>
      <c r="H2188" s="476">
        <v>229970</v>
      </c>
      <c r="I2188" s="476">
        <v>230002</v>
      </c>
      <c r="J2188" s="476">
        <v>230033</v>
      </c>
      <c r="K2188" s="476">
        <v>230065</v>
      </c>
    </row>
    <row r="2189" spans="1:11">
      <c r="A2189" s="479">
        <v>6884.5</v>
      </c>
      <c r="B2189" s="476">
        <v>230097</v>
      </c>
      <c r="C2189" s="476">
        <v>230129</v>
      </c>
      <c r="D2189" s="476">
        <v>230161</v>
      </c>
      <c r="E2189" s="476">
        <v>230193</v>
      </c>
      <c r="F2189" s="476">
        <v>230225</v>
      </c>
      <c r="G2189" s="476">
        <v>230256</v>
      </c>
      <c r="H2189" s="476">
        <v>230288</v>
      </c>
      <c r="I2189" s="476">
        <v>230320</v>
      </c>
      <c r="J2189" s="476">
        <v>230352</v>
      </c>
      <c r="K2189" s="476">
        <v>230384</v>
      </c>
    </row>
    <row r="2190" spans="1:11">
      <c r="A2190" s="479">
        <v>6884.6</v>
      </c>
      <c r="B2190" s="476">
        <v>230416</v>
      </c>
      <c r="C2190" s="476">
        <v>230447</v>
      </c>
      <c r="D2190" s="476">
        <v>230479</v>
      </c>
      <c r="E2190" s="476">
        <v>230511</v>
      </c>
      <c r="F2190" s="476">
        <v>230543</v>
      </c>
      <c r="G2190" s="476">
        <v>230575</v>
      </c>
      <c r="H2190" s="476">
        <v>230607</v>
      </c>
      <c r="I2190" s="476">
        <v>230639</v>
      </c>
      <c r="J2190" s="476">
        <v>230670</v>
      </c>
      <c r="K2190" s="476">
        <v>230702</v>
      </c>
    </row>
    <row r="2191" spans="1:11">
      <c r="A2191" s="479">
        <v>6884.7</v>
      </c>
      <c r="B2191" s="476">
        <v>230734</v>
      </c>
      <c r="C2191" s="476">
        <v>230766</v>
      </c>
      <c r="D2191" s="476">
        <v>230798</v>
      </c>
      <c r="E2191" s="476">
        <v>230830</v>
      </c>
      <c r="F2191" s="476">
        <v>230862</v>
      </c>
      <c r="G2191" s="476">
        <v>230893</v>
      </c>
      <c r="H2191" s="476">
        <v>230925</v>
      </c>
      <c r="I2191" s="476">
        <v>230957</v>
      </c>
      <c r="J2191" s="476">
        <v>230989</v>
      </c>
      <c r="K2191" s="476">
        <v>231021</v>
      </c>
    </row>
    <row r="2192" spans="1:11">
      <c r="A2192" s="479">
        <v>6884.8</v>
      </c>
      <c r="B2192" s="476">
        <v>231053</v>
      </c>
      <c r="C2192" s="476">
        <v>231084</v>
      </c>
      <c r="D2192" s="476">
        <v>231116</v>
      </c>
      <c r="E2192" s="476">
        <v>231148</v>
      </c>
      <c r="F2192" s="476">
        <v>231180</v>
      </c>
      <c r="G2192" s="476">
        <v>231212</v>
      </c>
      <c r="H2192" s="476">
        <v>231244</v>
      </c>
      <c r="I2192" s="476">
        <v>231276</v>
      </c>
      <c r="J2192" s="476">
        <v>231307</v>
      </c>
      <c r="K2192" s="476">
        <v>231339</v>
      </c>
    </row>
    <row r="2193" spans="1:11">
      <c r="A2193" s="479">
        <v>6884.9</v>
      </c>
      <c r="B2193" s="476">
        <v>231371</v>
      </c>
      <c r="C2193" s="476">
        <v>231403</v>
      </c>
      <c r="D2193" s="476">
        <v>231435</v>
      </c>
      <c r="E2193" s="476">
        <v>231467</v>
      </c>
      <c r="F2193" s="476">
        <v>231498</v>
      </c>
      <c r="G2193" s="476">
        <v>231530</v>
      </c>
      <c r="H2193" s="476">
        <v>231562</v>
      </c>
      <c r="I2193" s="476">
        <v>231594</v>
      </c>
      <c r="J2193" s="476">
        <v>231626</v>
      </c>
      <c r="K2193" s="476">
        <v>231658</v>
      </c>
    </row>
    <row r="2194" spans="1:11">
      <c r="A2194" s="479">
        <v>6885</v>
      </c>
      <c r="B2194" s="476">
        <v>231690</v>
      </c>
      <c r="C2194" s="476">
        <v>231722</v>
      </c>
      <c r="D2194" s="476">
        <v>231754</v>
      </c>
      <c r="E2194" s="476">
        <v>231786</v>
      </c>
      <c r="F2194" s="476">
        <v>231818</v>
      </c>
      <c r="G2194" s="476">
        <v>231851</v>
      </c>
      <c r="H2194" s="476">
        <v>231883</v>
      </c>
      <c r="I2194" s="476">
        <v>231915</v>
      </c>
      <c r="J2194" s="476">
        <v>231947</v>
      </c>
      <c r="K2194" s="476">
        <v>231980</v>
      </c>
    </row>
    <row r="2195" spans="1:11">
      <c r="A2195" s="479">
        <v>6885.1</v>
      </c>
      <c r="B2195" s="476">
        <v>232012</v>
      </c>
      <c r="C2195" s="476">
        <v>232044</v>
      </c>
      <c r="D2195" s="476">
        <v>232076</v>
      </c>
      <c r="E2195" s="476">
        <v>232109</v>
      </c>
      <c r="F2195" s="476">
        <v>232141</v>
      </c>
      <c r="G2195" s="476">
        <v>232173</v>
      </c>
      <c r="H2195" s="476">
        <v>232205</v>
      </c>
      <c r="I2195" s="476">
        <v>232237</v>
      </c>
      <c r="J2195" s="476">
        <v>232270</v>
      </c>
      <c r="K2195" s="476">
        <v>232302</v>
      </c>
    </row>
    <row r="2196" spans="1:11">
      <c r="A2196" s="479">
        <v>6885.2</v>
      </c>
      <c r="B2196" s="476">
        <v>232334</v>
      </c>
      <c r="C2196" s="476">
        <v>232366</v>
      </c>
      <c r="D2196" s="476">
        <v>232399</v>
      </c>
      <c r="E2196" s="476">
        <v>232431</v>
      </c>
      <c r="F2196" s="476">
        <v>232463</v>
      </c>
      <c r="G2196" s="476">
        <v>232495</v>
      </c>
      <c r="H2196" s="476">
        <v>232528</v>
      </c>
      <c r="I2196" s="476">
        <v>232560</v>
      </c>
      <c r="J2196" s="476">
        <v>232592</v>
      </c>
      <c r="K2196" s="476">
        <v>232614</v>
      </c>
    </row>
    <row r="2197" spans="1:11">
      <c r="A2197" s="479">
        <v>6885.3</v>
      </c>
      <c r="B2197" s="476">
        <v>232656</v>
      </c>
      <c r="C2197" s="476">
        <v>232689</v>
      </c>
      <c r="D2197" s="476">
        <v>232721</v>
      </c>
      <c r="E2197" s="476">
        <v>232753</v>
      </c>
      <c r="F2197" s="476">
        <v>232785</v>
      </c>
      <c r="G2197" s="476">
        <v>232813</v>
      </c>
      <c r="H2197" s="476">
        <v>232850</v>
      </c>
      <c r="I2197" s="476">
        <v>232882</v>
      </c>
      <c r="J2197" s="476">
        <v>232914</v>
      </c>
      <c r="K2197" s="476">
        <v>232946</v>
      </c>
    </row>
    <row r="2198" spans="1:11">
      <c r="A2198" s="479">
        <v>6885.4</v>
      </c>
      <c r="B2198" s="476">
        <v>232979</v>
      </c>
      <c r="C2198" s="476">
        <v>233011</v>
      </c>
      <c r="D2198" s="476">
        <v>233043</v>
      </c>
      <c r="E2198" s="476">
        <v>233075</v>
      </c>
      <c r="F2198" s="476">
        <v>233108</v>
      </c>
      <c r="G2198" s="476">
        <v>233140</v>
      </c>
      <c r="H2198" s="476">
        <v>233172</v>
      </c>
      <c r="I2198" s="476">
        <v>233204</v>
      </c>
      <c r="J2198" s="476">
        <v>233237</v>
      </c>
      <c r="K2198" s="476">
        <v>233269</v>
      </c>
    </row>
    <row r="2199" spans="1:11">
      <c r="A2199" s="479">
        <v>6885.5</v>
      </c>
      <c r="B2199" s="476">
        <v>233301</v>
      </c>
      <c r="C2199" s="476">
        <v>233333</v>
      </c>
      <c r="D2199" s="476">
        <v>233365</v>
      </c>
      <c r="E2199" s="476">
        <v>233398</v>
      </c>
      <c r="F2199" s="476">
        <v>233430</v>
      </c>
      <c r="G2199" s="476">
        <v>233462</v>
      </c>
      <c r="H2199" s="476">
        <v>233494</v>
      </c>
      <c r="I2199" s="476">
        <v>233527</v>
      </c>
      <c r="J2199" s="476">
        <v>233559</v>
      </c>
      <c r="K2199" s="476">
        <v>233591</v>
      </c>
    </row>
    <row r="2200" spans="1:11">
      <c r="A2200" s="479">
        <v>6885.6</v>
      </c>
      <c r="B2200" s="476">
        <v>233623</v>
      </c>
      <c r="C2200" s="476">
        <v>233656</v>
      </c>
      <c r="D2200" s="476">
        <v>233688</v>
      </c>
      <c r="E2200" s="476">
        <v>233720</v>
      </c>
      <c r="F2200" s="476">
        <v>233752</v>
      </c>
      <c r="G2200" s="476">
        <v>233784</v>
      </c>
      <c r="H2200" s="476">
        <v>233817</v>
      </c>
      <c r="I2200" s="476">
        <v>233849</v>
      </c>
      <c r="J2200" s="476">
        <v>233881</v>
      </c>
      <c r="K2200" s="476">
        <v>233913</v>
      </c>
    </row>
    <row r="2201" spans="1:11">
      <c r="A2201" s="479">
        <v>6885.7</v>
      </c>
      <c r="B2201" s="476">
        <v>233946</v>
      </c>
      <c r="C2201" s="476">
        <v>233978</v>
      </c>
      <c r="D2201" s="476">
        <v>234010</v>
      </c>
      <c r="E2201" s="476">
        <v>234042</v>
      </c>
      <c r="F2201" s="476">
        <v>234075</v>
      </c>
      <c r="G2201" s="476">
        <v>234107</v>
      </c>
      <c r="H2201" s="476">
        <v>234139</v>
      </c>
      <c r="I2201" s="476">
        <v>234171</v>
      </c>
      <c r="J2201" s="476">
        <v>234203</v>
      </c>
      <c r="K2201" s="476">
        <v>234236</v>
      </c>
    </row>
    <row r="2202" spans="1:11">
      <c r="A2202" s="479">
        <v>6885.8</v>
      </c>
      <c r="B2202" s="476">
        <v>234268</v>
      </c>
      <c r="C2202" s="476">
        <v>234300</v>
      </c>
      <c r="D2202" s="476">
        <v>234332</v>
      </c>
      <c r="E2202" s="476">
        <v>234365</v>
      </c>
      <c r="F2202" s="476">
        <v>234397</v>
      </c>
      <c r="G2202" s="476">
        <v>234429</v>
      </c>
      <c r="H2202" s="476">
        <v>234461</v>
      </c>
      <c r="I2202" s="476">
        <v>234493</v>
      </c>
      <c r="J2202" s="476">
        <v>234526</v>
      </c>
      <c r="K2202" s="476">
        <v>234558</v>
      </c>
    </row>
    <row r="2203" spans="1:11">
      <c r="A2203" s="479">
        <v>6885.9</v>
      </c>
      <c r="B2203" s="476">
        <v>234590</v>
      </c>
      <c r="C2203" s="476">
        <v>234622</v>
      </c>
      <c r="D2203" s="476">
        <v>234655</v>
      </c>
      <c r="E2203" s="476">
        <v>234687</v>
      </c>
      <c r="F2203" s="476">
        <v>234719</v>
      </c>
      <c r="G2203" s="476">
        <v>234751</v>
      </c>
      <c r="H2203" s="476">
        <v>234784</v>
      </c>
      <c r="I2203" s="476">
        <v>234816</v>
      </c>
      <c r="J2203" s="476">
        <v>234848</v>
      </c>
      <c r="K2203" s="476">
        <v>234880</v>
      </c>
    </row>
    <row r="2204" spans="1:11">
      <c r="A2204" s="479">
        <v>6886</v>
      </c>
      <c r="B2204" s="476">
        <v>234912</v>
      </c>
      <c r="C2204" s="476">
        <v>234945</v>
      </c>
      <c r="D2204" s="476">
        <v>234978</v>
      </c>
      <c r="E2204" s="476">
        <v>235010</v>
      </c>
      <c r="F2204" s="476">
        <v>235043</v>
      </c>
      <c r="G2204" s="476">
        <v>235075</v>
      </c>
      <c r="H2204" s="476">
        <v>235108</v>
      </c>
      <c r="I2204" s="476">
        <v>235141</v>
      </c>
      <c r="J2204" s="476">
        <v>235173</v>
      </c>
      <c r="K2204" s="476">
        <v>235206</v>
      </c>
    </row>
    <row r="2205" spans="1:11">
      <c r="A2205" s="479">
        <v>6886.1</v>
      </c>
      <c r="B2205" s="476">
        <v>235238</v>
      </c>
      <c r="C2205" s="476">
        <v>235271</v>
      </c>
      <c r="D2205" s="476">
        <v>235304</v>
      </c>
      <c r="E2205" s="476">
        <v>235336</v>
      </c>
      <c r="F2205" s="476">
        <v>235369</v>
      </c>
      <c r="G2205" s="476">
        <v>235401</v>
      </c>
      <c r="H2205" s="476">
        <v>235434</v>
      </c>
      <c r="I2205" s="476">
        <v>235467</v>
      </c>
      <c r="J2205" s="476">
        <v>235499</v>
      </c>
      <c r="K2205" s="476">
        <v>235532</v>
      </c>
    </row>
    <row r="2206" spans="1:11">
      <c r="A2206" s="479">
        <v>6886.2</v>
      </c>
      <c r="B2206" s="476">
        <v>235564</v>
      </c>
      <c r="C2206" s="476">
        <v>235597</v>
      </c>
      <c r="D2206" s="476">
        <v>235630</v>
      </c>
      <c r="E2206" s="476">
        <v>235662</v>
      </c>
      <c r="F2206" s="476">
        <v>235695</v>
      </c>
      <c r="G2206" s="476">
        <v>235727</v>
      </c>
      <c r="H2206" s="476">
        <v>235760</v>
      </c>
      <c r="I2206" s="476">
        <v>235793</v>
      </c>
      <c r="J2206" s="476">
        <v>235825</v>
      </c>
      <c r="K2206" s="476">
        <v>235858</v>
      </c>
    </row>
    <row r="2207" spans="1:11">
      <c r="A2207" s="479">
        <v>6886.3</v>
      </c>
      <c r="B2207" s="476">
        <v>235890</v>
      </c>
      <c r="C2207" s="476">
        <v>235923</v>
      </c>
      <c r="D2207" s="476">
        <v>235956</v>
      </c>
      <c r="E2207" s="476">
        <v>235988</v>
      </c>
      <c r="F2207" s="476">
        <v>236021</v>
      </c>
      <c r="G2207" s="476">
        <v>236054</v>
      </c>
      <c r="H2207" s="476">
        <v>236086</v>
      </c>
      <c r="I2207" s="476">
        <v>236119</v>
      </c>
      <c r="J2207" s="476">
        <v>236151</v>
      </c>
      <c r="K2207" s="476">
        <v>236184</v>
      </c>
    </row>
    <row r="2208" spans="1:11">
      <c r="A2208" s="479">
        <v>6886.4</v>
      </c>
      <c r="B2208" s="476">
        <v>236217</v>
      </c>
      <c r="C2208" s="476">
        <v>236249</v>
      </c>
      <c r="D2208" s="476">
        <v>236282</v>
      </c>
      <c r="E2208" s="476">
        <v>236314</v>
      </c>
      <c r="F2208" s="476">
        <v>236347</v>
      </c>
      <c r="G2208" s="476">
        <v>236380</v>
      </c>
      <c r="H2208" s="476">
        <v>236412</v>
      </c>
      <c r="I2208" s="476">
        <v>236445</v>
      </c>
      <c r="J2208" s="476">
        <v>236477</v>
      </c>
      <c r="K2208" s="476">
        <v>236510</v>
      </c>
    </row>
    <row r="2209" spans="1:22">
      <c r="A2209" s="479">
        <v>6886.5</v>
      </c>
      <c r="B2209" s="476">
        <v>236543</v>
      </c>
      <c r="C2209" s="476">
        <v>236575</v>
      </c>
      <c r="D2209" s="476">
        <v>236608</v>
      </c>
      <c r="E2209" s="476">
        <v>236640</v>
      </c>
      <c r="F2209" s="476">
        <v>236673</v>
      </c>
      <c r="G2209" s="476">
        <v>236706</v>
      </c>
      <c r="H2209" s="476">
        <v>236738</v>
      </c>
      <c r="I2209" s="476">
        <v>236771</v>
      </c>
      <c r="J2209" s="476">
        <v>236803</v>
      </c>
      <c r="K2209" s="476">
        <v>236836</v>
      </c>
      <c r="U2209" s="560"/>
      <c r="V2209" s="560"/>
    </row>
    <row r="2210" spans="1:22">
      <c r="A2210" s="479">
        <v>6886.6</v>
      </c>
      <c r="B2210" s="476">
        <v>236869</v>
      </c>
      <c r="C2210" s="476">
        <v>236901</v>
      </c>
      <c r="D2210" s="476">
        <v>236934</v>
      </c>
      <c r="E2210" s="476">
        <v>236966</v>
      </c>
      <c r="F2210" s="476">
        <v>236999</v>
      </c>
      <c r="G2210" s="476">
        <v>237032</v>
      </c>
      <c r="H2210" s="476">
        <v>237064</v>
      </c>
      <c r="I2210" s="476">
        <v>237097</v>
      </c>
      <c r="J2210" s="476">
        <v>237129</v>
      </c>
      <c r="K2210" s="476">
        <v>237162</v>
      </c>
      <c r="U2210" s="560"/>
      <c r="V2210" s="560"/>
    </row>
    <row r="2211" spans="1:22">
      <c r="A2211" s="479">
        <v>6886.7</v>
      </c>
      <c r="B2211" s="476">
        <v>237195</v>
      </c>
      <c r="C2211" s="476">
        <v>237227</v>
      </c>
      <c r="D2211" s="476">
        <v>237260</v>
      </c>
      <c r="E2211" s="476">
        <v>237292</v>
      </c>
      <c r="F2211" s="476">
        <v>237325</v>
      </c>
      <c r="G2211" s="476">
        <v>237358</v>
      </c>
      <c r="H2211" s="476">
        <v>237390</v>
      </c>
      <c r="I2211" s="476">
        <v>237423</v>
      </c>
      <c r="J2211" s="476">
        <v>237455</v>
      </c>
      <c r="K2211" s="476">
        <v>237489</v>
      </c>
    </row>
    <row r="2212" spans="1:22">
      <c r="A2212" s="479">
        <v>6886.8</v>
      </c>
      <c r="B2212" s="476">
        <v>237521</v>
      </c>
      <c r="C2212" s="476">
        <v>237553</v>
      </c>
      <c r="D2212" s="476">
        <v>237586</v>
      </c>
      <c r="E2212" s="476">
        <v>237618</v>
      </c>
      <c r="F2212" s="476">
        <v>237651</v>
      </c>
      <c r="G2212" s="476">
        <v>237684</v>
      </c>
      <c r="H2212" s="476">
        <v>237716</v>
      </c>
      <c r="I2212" s="476">
        <v>237749</v>
      </c>
      <c r="J2212" s="476">
        <v>237781</v>
      </c>
      <c r="K2212" s="476">
        <v>237814</v>
      </c>
    </row>
    <row r="2213" spans="1:22">
      <c r="A2213" s="479">
        <v>6886.9</v>
      </c>
      <c r="B2213" s="476">
        <v>237847</v>
      </c>
      <c r="C2213" s="476">
        <v>237879</v>
      </c>
      <c r="D2213" s="476">
        <v>237912</v>
      </c>
      <c r="E2213" s="476">
        <v>237944</v>
      </c>
      <c r="F2213" s="476">
        <v>237977</v>
      </c>
      <c r="G2213" s="476">
        <v>238010</v>
      </c>
      <c r="H2213" s="476">
        <v>238042</v>
      </c>
      <c r="I2213" s="476">
        <v>238075</v>
      </c>
      <c r="J2213" s="476">
        <v>238107</v>
      </c>
      <c r="K2213" s="476">
        <v>238140</v>
      </c>
    </row>
    <row r="2214" spans="1:22">
      <c r="A2214" s="479">
        <v>6887</v>
      </c>
      <c r="B2214" s="476">
        <v>238173</v>
      </c>
      <c r="C2214" s="476">
        <v>238206</v>
      </c>
      <c r="D2214" s="476">
        <v>238239</v>
      </c>
      <c r="E2214" s="476">
        <v>238271</v>
      </c>
      <c r="F2214" s="476">
        <v>238304</v>
      </c>
      <c r="G2214" s="476">
        <v>238337</v>
      </c>
      <c r="H2214" s="476">
        <v>238370</v>
      </c>
      <c r="I2214" s="476">
        <v>238403</v>
      </c>
      <c r="J2214" s="476">
        <v>238436</v>
      </c>
      <c r="K2214" s="476">
        <v>238469</v>
      </c>
    </row>
    <row r="2215" spans="1:22">
      <c r="A2215" s="479">
        <v>6887.1</v>
      </c>
      <c r="B2215" s="476">
        <v>238502</v>
      </c>
      <c r="C2215" s="476">
        <v>238535</v>
      </c>
      <c r="D2215" s="476">
        <v>238568</v>
      </c>
      <c r="E2215" s="476">
        <v>238601</v>
      </c>
      <c r="F2215" s="476">
        <v>238634</v>
      </c>
      <c r="G2215" s="476">
        <v>238667</v>
      </c>
      <c r="H2215" s="476">
        <v>238700</v>
      </c>
      <c r="I2215" s="476">
        <v>238733</v>
      </c>
      <c r="J2215" s="476">
        <v>238766</v>
      </c>
      <c r="K2215" s="476">
        <v>238799</v>
      </c>
    </row>
    <row r="2216" spans="1:22">
      <c r="A2216" s="479">
        <v>6887.2</v>
      </c>
      <c r="B2216" s="476">
        <v>238832</v>
      </c>
      <c r="C2216" s="476">
        <v>238865</v>
      </c>
      <c r="D2216" s="476">
        <v>238898</v>
      </c>
      <c r="E2216" s="476">
        <v>238931</v>
      </c>
      <c r="F2216" s="476">
        <v>238964</v>
      </c>
      <c r="G2216" s="476">
        <v>238997</v>
      </c>
      <c r="H2216" s="476">
        <v>239030</v>
      </c>
      <c r="I2216" s="476">
        <v>239063</v>
      </c>
      <c r="J2216" s="476">
        <v>239096</v>
      </c>
      <c r="K2216" s="476">
        <v>239129</v>
      </c>
    </row>
    <row r="2217" spans="1:22">
      <c r="A2217" s="479">
        <v>6887.3</v>
      </c>
      <c r="B2217" s="476">
        <v>239162</v>
      </c>
      <c r="C2217" s="476">
        <v>239195</v>
      </c>
      <c r="D2217" s="476">
        <v>239227</v>
      </c>
      <c r="E2217" s="476">
        <v>239260</v>
      </c>
      <c r="F2217" s="476">
        <v>239293</v>
      </c>
      <c r="G2217" s="476">
        <v>239326</v>
      </c>
      <c r="H2217" s="476">
        <v>239359</v>
      </c>
      <c r="I2217" s="476">
        <v>239392</v>
      </c>
      <c r="J2217" s="476">
        <v>239425</v>
      </c>
      <c r="K2217" s="476">
        <v>239453</v>
      </c>
    </row>
    <row r="2218" spans="1:22">
      <c r="A2218" s="479">
        <v>6887.4</v>
      </c>
      <c r="B2218" s="476">
        <v>239491</v>
      </c>
      <c r="C2218" s="476">
        <v>239524</v>
      </c>
      <c r="D2218" s="476">
        <v>239557</v>
      </c>
      <c r="E2218" s="476">
        <v>239590</v>
      </c>
      <c r="F2218" s="476">
        <v>239623</v>
      </c>
      <c r="G2218" s="476">
        <v>239656</v>
      </c>
      <c r="H2218" s="476">
        <v>239689</v>
      </c>
      <c r="I2218" s="476">
        <v>239722</v>
      </c>
      <c r="J2218" s="476">
        <v>239755</v>
      </c>
      <c r="K2218" s="476">
        <v>239798</v>
      </c>
    </row>
    <row r="2219" spans="1:22">
      <c r="A2219" s="479">
        <v>6887.5</v>
      </c>
      <c r="B2219" s="476">
        <v>239821</v>
      </c>
      <c r="C2219" s="476">
        <v>239854</v>
      </c>
      <c r="D2219" s="476">
        <v>239887</v>
      </c>
      <c r="E2219" s="476">
        <v>239920</v>
      </c>
      <c r="F2219" s="476">
        <v>239953</v>
      </c>
      <c r="G2219" s="476">
        <v>239986</v>
      </c>
      <c r="H2219" s="476">
        <v>240019</v>
      </c>
      <c r="I2219" s="476">
        <v>240052</v>
      </c>
      <c r="J2219" s="476">
        <v>240085</v>
      </c>
      <c r="K2219" s="476">
        <v>240118</v>
      </c>
    </row>
    <row r="2220" spans="1:22">
      <c r="A2220" s="479">
        <v>6887.6</v>
      </c>
      <c r="B2220" s="476">
        <v>240151</v>
      </c>
      <c r="C2220" s="476">
        <v>240183</v>
      </c>
      <c r="D2220" s="476">
        <v>240216</v>
      </c>
      <c r="E2220" s="476">
        <v>240249</v>
      </c>
      <c r="F2220" s="476">
        <v>240282</v>
      </c>
      <c r="G2220" s="476">
        <v>240315</v>
      </c>
      <c r="H2220" s="476">
        <v>240348</v>
      </c>
      <c r="I2220" s="476">
        <v>240381</v>
      </c>
      <c r="J2220" s="476">
        <v>240414</v>
      </c>
      <c r="K2220" s="476">
        <v>240447</v>
      </c>
    </row>
    <row r="2221" spans="1:22">
      <c r="A2221" s="479">
        <v>6887.7</v>
      </c>
      <c r="B2221" s="476">
        <v>240480</v>
      </c>
      <c r="C2221" s="476">
        <v>240513</v>
      </c>
      <c r="D2221" s="476">
        <v>240546</v>
      </c>
      <c r="E2221" s="476">
        <v>240579</v>
      </c>
      <c r="F2221" s="476">
        <v>240612</v>
      </c>
      <c r="G2221" s="476">
        <v>240645</v>
      </c>
      <c r="H2221" s="476">
        <v>240678</v>
      </c>
      <c r="I2221" s="476">
        <v>240711</v>
      </c>
      <c r="J2221" s="476">
        <v>240744</v>
      </c>
      <c r="K2221" s="476">
        <v>240777</v>
      </c>
    </row>
    <row r="2222" spans="1:22">
      <c r="A2222" s="479">
        <v>6887.8</v>
      </c>
      <c r="B2222" s="476">
        <v>240810</v>
      </c>
      <c r="C2222" s="476">
        <v>240843</v>
      </c>
      <c r="D2222" s="476">
        <v>240876</v>
      </c>
      <c r="E2222" s="476">
        <v>240909</v>
      </c>
      <c r="F2222" s="476">
        <v>240942</v>
      </c>
      <c r="G2222" s="476">
        <v>240975</v>
      </c>
      <c r="H2222" s="476">
        <v>241008</v>
      </c>
      <c r="I2222" s="476">
        <v>241041</v>
      </c>
      <c r="J2222" s="476">
        <v>241074</v>
      </c>
      <c r="K2222" s="476">
        <v>241107</v>
      </c>
    </row>
    <row r="2223" spans="1:22">
      <c r="A2223" s="479">
        <v>6887.9</v>
      </c>
      <c r="B2223" s="476">
        <v>241139</v>
      </c>
      <c r="C2223" s="476">
        <v>241172</v>
      </c>
      <c r="D2223" s="476">
        <v>241205</v>
      </c>
      <c r="E2223" s="476">
        <v>241238</v>
      </c>
      <c r="F2223" s="476">
        <v>241271</v>
      </c>
      <c r="G2223" s="476">
        <v>241304</v>
      </c>
      <c r="H2223" s="476">
        <v>241337</v>
      </c>
      <c r="I2223" s="476">
        <v>241370</v>
      </c>
      <c r="J2223" s="476">
        <v>241403</v>
      </c>
      <c r="K2223" s="476">
        <v>241436</v>
      </c>
    </row>
    <row r="2224" spans="1:22">
      <c r="A2224" s="479">
        <v>6888</v>
      </c>
      <c r="B2224" s="476">
        <v>241469</v>
      </c>
      <c r="C2224" s="476">
        <v>241502</v>
      </c>
      <c r="D2224" s="476">
        <v>241536</v>
      </c>
      <c r="E2224" s="476">
        <v>241569</v>
      </c>
      <c r="F2224" s="476">
        <v>241602</v>
      </c>
      <c r="G2224" s="476">
        <v>241636</v>
      </c>
      <c r="H2224" s="476">
        <v>241669</v>
      </c>
      <c r="I2224" s="476">
        <v>241702</v>
      </c>
      <c r="J2224" s="476">
        <v>241736</v>
      </c>
      <c r="K2224" s="476">
        <v>241769</v>
      </c>
    </row>
    <row r="2225" spans="1:11">
      <c r="A2225" s="479">
        <v>6888.1</v>
      </c>
      <c r="B2225" s="476">
        <v>241802</v>
      </c>
      <c r="C2225" s="476">
        <v>241836</v>
      </c>
      <c r="D2225" s="476">
        <v>241869</v>
      </c>
      <c r="E2225" s="476">
        <v>241902</v>
      </c>
      <c r="F2225" s="476">
        <v>241936</v>
      </c>
      <c r="G2225" s="476">
        <v>241969</v>
      </c>
      <c r="H2225" s="476">
        <v>242002</v>
      </c>
      <c r="I2225" s="476">
        <v>242036</v>
      </c>
      <c r="J2225" s="476">
        <v>242069</v>
      </c>
      <c r="K2225" s="476">
        <v>242102</v>
      </c>
    </row>
    <row r="2226" spans="1:11">
      <c r="A2226" s="479">
        <v>6888.2</v>
      </c>
      <c r="B2226" s="476">
        <v>242136</v>
      </c>
      <c r="C2226" s="476">
        <v>242169</v>
      </c>
      <c r="D2226" s="476">
        <v>242202</v>
      </c>
      <c r="E2226" s="476">
        <v>242236</v>
      </c>
      <c r="F2226" s="476">
        <v>242269</v>
      </c>
      <c r="G2226" s="476">
        <v>242302</v>
      </c>
      <c r="H2226" s="476">
        <v>242335</v>
      </c>
      <c r="I2226" s="476">
        <v>242369</v>
      </c>
      <c r="J2226" s="476">
        <v>242402</v>
      </c>
      <c r="K2226" s="476">
        <v>242435</v>
      </c>
    </row>
    <row r="2227" spans="1:11">
      <c r="A2227" s="479">
        <v>6888.3</v>
      </c>
      <c r="B2227" s="476">
        <v>242469</v>
      </c>
      <c r="C2227" s="476">
        <v>242502</v>
      </c>
      <c r="D2227" s="476">
        <v>242535</v>
      </c>
      <c r="E2227" s="476">
        <v>242569</v>
      </c>
      <c r="F2227" s="476">
        <v>242602</v>
      </c>
      <c r="G2227" s="476">
        <v>242635</v>
      </c>
      <c r="H2227" s="476">
        <v>242669</v>
      </c>
      <c r="I2227" s="476">
        <v>242702</v>
      </c>
      <c r="J2227" s="476">
        <v>242735</v>
      </c>
      <c r="K2227" s="476">
        <v>242769</v>
      </c>
    </row>
    <row r="2228" spans="1:11">
      <c r="A2228" s="479">
        <v>6888.4</v>
      </c>
      <c r="B2228" s="476">
        <v>242802</v>
      </c>
      <c r="C2228" s="476">
        <v>242835</v>
      </c>
      <c r="D2228" s="476">
        <v>242869</v>
      </c>
      <c r="E2228" s="476">
        <v>242902</v>
      </c>
      <c r="F2228" s="476">
        <v>242935</v>
      </c>
      <c r="G2228" s="476">
        <v>242969</v>
      </c>
      <c r="H2228" s="476">
        <v>243002</v>
      </c>
      <c r="I2228" s="476">
        <v>243035</v>
      </c>
      <c r="J2228" s="476">
        <v>243069</v>
      </c>
      <c r="K2228" s="476">
        <v>243102</v>
      </c>
    </row>
    <row r="2229" spans="1:11">
      <c r="A2229" s="479">
        <v>6888.5</v>
      </c>
      <c r="B2229" s="476">
        <v>243135</v>
      </c>
      <c r="C2229" s="476">
        <v>243168</v>
      </c>
      <c r="D2229" s="476">
        <v>243202</v>
      </c>
      <c r="E2229" s="476">
        <v>243235</v>
      </c>
      <c r="F2229" s="476">
        <v>243268</v>
      </c>
      <c r="G2229" s="476">
        <v>243302</v>
      </c>
      <c r="H2229" s="476">
        <v>243335</v>
      </c>
      <c r="I2229" s="476">
        <v>243368</v>
      </c>
      <c r="J2229" s="476">
        <v>243402</v>
      </c>
      <c r="K2229" s="476">
        <v>243435</v>
      </c>
    </row>
    <row r="2230" spans="1:11">
      <c r="A2230" s="479">
        <v>6888.6</v>
      </c>
      <c r="B2230" s="476">
        <v>243468</v>
      </c>
      <c r="C2230" s="476">
        <v>243502</v>
      </c>
      <c r="D2230" s="476">
        <v>243535</v>
      </c>
      <c r="E2230" s="476">
        <v>243568</v>
      </c>
      <c r="F2230" s="476">
        <v>243602</v>
      </c>
      <c r="G2230" s="476">
        <v>243635</v>
      </c>
      <c r="H2230" s="476">
        <v>243668</v>
      </c>
      <c r="I2230" s="476">
        <v>243702</v>
      </c>
      <c r="J2230" s="476">
        <v>243735</v>
      </c>
      <c r="K2230" s="476">
        <v>243768</v>
      </c>
    </row>
    <row r="2231" spans="1:11">
      <c r="A2231" s="479">
        <v>6888.7</v>
      </c>
      <c r="B2231" s="476">
        <v>243802</v>
      </c>
      <c r="C2231" s="476">
        <v>243835</v>
      </c>
      <c r="D2231" s="476">
        <v>243868</v>
      </c>
      <c r="E2231" s="476">
        <v>243902</v>
      </c>
      <c r="F2231" s="476">
        <v>243935</v>
      </c>
      <c r="G2231" s="476">
        <v>243968</v>
      </c>
      <c r="H2231" s="476">
        <v>244002</v>
      </c>
      <c r="I2231" s="476">
        <v>244035</v>
      </c>
      <c r="J2231" s="476">
        <v>244068</v>
      </c>
      <c r="K2231" s="476">
        <v>244101</v>
      </c>
    </row>
    <row r="2232" spans="1:11">
      <c r="A2232" s="479">
        <v>6888.8</v>
      </c>
      <c r="B2232" s="476">
        <v>244135</v>
      </c>
      <c r="C2232" s="476">
        <v>244168</v>
      </c>
      <c r="D2232" s="476">
        <v>244201</v>
      </c>
      <c r="E2232" s="476">
        <v>244235</v>
      </c>
      <c r="F2232" s="476">
        <v>244268</v>
      </c>
      <c r="G2232" s="476">
        <v>244301</v>
      </c>
      <c r="H2232" s="476">
        <v>244335</v>
      </c>
      <c r="I2232" s="476">
        <v>244368</v>
      </c>
      <c r="J2232" s="476">
        <v>244401</v>
      </c>
      <c r="K2232" s="476">
        <v>244435</v>
      </c>
    </row>
    <row r="2233" spans="1:11">
      <c r="A2233" s="479">
        <v>6888.9</v>
      </c>
      <c r="B2233" s="476">
        <v>244468</v>
      </c>
      <c r="C2233" s="476">
        <v>244501</v>
      </c>
      <c r="D2233" s="476">
        <v>244535</v>
      </c>
      <c r="E2233" s="476">
        <v>244568</v>
      </c>
      <c r="F2233" s="476">
        <v>244601</v>
      </c>
      <c r="G2233" s="476">
        <v>244635</v>
      </c>
      <c r="H2233" s="476">
        <v>244668</v>
      </c>
      <c r="I2233" s="476">
        <v>244701</v>
      </c>
      <c r="J2233" s="476">
        <v>244735</v>
      </c>
      <c r="K2233" s="476">
        <v>244768</v>
      </c>
    </row>
    <row r="2234" spans="1:11">
      <c r="A2234" s="479">
        <v>6889</v>
      </c>
      <c r="B2234" s="476">
        <v>244801</v>
      </c>
      <c r="C2234" s="476">
        <v>244835</v>
      </c>
      <c r="D2234" s="476">
        <v>244869</v>
      </c>
      <c r="E2234" s="476">
        <v>244902</v>
      </c>
      <c r="F2234" s="476">
        <v>244936</v>
      </c>
      <c r="G2234" s="476">
        <v>244970</v>
      </c>
      <c r="H2234" s="476">
        <v>245003</v>
      </c>
      <c r="I2234" s="476">
        <v>245037</v>
      </c>
      <c r="J2234" s="476">
        <v>245071</v>
      </c>
      <c r="K2234" s="476">
        <v>245104</v>
      </c>
    </row>
    <row r="2235" spans="1:11">
      <c r="A2235" s="479">
        <v>6889.1</v>
      </c>
      <c r="B2235" s="476">
        <v>245138</v>
      </c>
      <c r="C2235" s="476">
        <v>245172</v>
      </c>
      <c r="D2235" s="476">
        <v>245205</v>
      </c>
      <c r="E2235" s="476">
        <v>245239</v>
      </c>
      <c r="F2235" s="476">
        <v>245273</v>
      </c>
      <c r="G2235" s="476">
        <v>245306</v>
      </c>
      <c r="H2235" s="476">
        <v>245340</v>
      </c>
      <c r="I2235" s="476">
        <v>245374</v>
      </c>
      <c r="J2235" s="476">
        <v>245407</v>
      </c>
      <c r="K2235" s="476">
        <v>245441</v>
      </c>
    </row>
    <row r="2236" spans="1:11">
      <c r="A2236" s="479">
        <v>6889.2</v>
      </c>
      <c r="B2236" s="476">
        <v>245475</v>
      </c>
      <c r="C2236" s="476">
        <v>245508</v>
      </c>
      <c r="D2236" s="476">
        <v>245542</v>
      </c>
      <c r="E2236" s="476">
        <v>245576</v>
      </c>
      <c r="F2236" s="476">
        <v>245609</v>
      </c>
      <c r="G2236" s="476">
        <v>245643</v>
      </c>
      <c r="H2236" s="476">
        <v>245677</v>
      </c>
      <c r="I2236" s="476">
        <v>245710</v>
      </c>
      <c r="J2236" s="476">
        <v>245744</v>
      </c>
      <c r="K2236" s="476">
        <v>245778</v>
      </c>
    </row>
    <row r="2237" spans="1:11">
      <c r="A2237" s="479">
        <v>6889.3</v>
      </c>
      <c r="B2237" s="476">
        <v>245811</v>
      </c>
      <c r="C2237" s="476">
        <v>245845</v>
      </c>
      <c r="D2237" s="476">
        <v>245879</v>
      </c>
      <c r="E2237" s="476">
        <v>245912</v>
      </c>
      <c r="F2237" s="476">
        <v>245946</v>
      </c>
      <c r="G2237" s="476">
        <v>245980</v>
      </c>
      <c r="H2237" s="476">
        <v>246013</v>
      </c>
      <c r="I2237" s="476">
        <v>246047</v>
      </c>
      <c r="J2237" s="476">
        <v>246081</v>
      </c>
      <c r="K2237" s="476">
        <v>246114</v>
      </c>
    </row>
    <row r="2238" spans="1:11">
      <c r="A2238" s="479">
        <v>6889.4</v>
      </c>
      <c r="B2238" s="476">
        <v>246148</v>
      </c>
      <c r="C2238" s="476">
        <v>246182</v>
      </c>
      <c r="D2238" s="476">
        <v>246215</v>
      </c>
      <c r="E2238" s="476">
        <v>246249</v>
      </c>
      <c r="F2238" s="476">
        <v>246283</v>
      </c>
      <c r="G2238" s="476">
        <v>246316</v>
      </c>
      <c r="H2238" s="476">
        <v>246350</v>
      </c>
      <c r="I2238" s="476">
        <v>246384</v>
      </c>
      <c r="J2238" s="476">
        <v>246417</v>
      </c>
      <c r="K2238" s="476">
        <v>246451</v>
      </c>
    </row>
    <row r="2239" spans="1:11">
      <c r="A2239" s="479">
        <v>6889.5</v>
      </c>
      <c r="B2239" s="476">
        <v>246485</v>
      </c>
      <c r="C2239" s="476">
        <v>246518</v>
      </c>
      <c r="D2239" s="476">
        <v>246552</v>
      </c>
      <c r="E2239" s="476">
        <v>246586</v>
      </c>
      <c r="F2239" s="476">
        <v>246619</v>
      </c>
      <c r="G2239" s="476">
        <v>246653</v>
      </c>
      <c r="H2239" s="476">
        <v>246687</v>
      </c>
      <c r="I2239" s="476">
        <v>246720</v>
      </c>
      <c r="J2239" s="476">
        <v>246754</v>
      </c>
      <c r="K2239" s="476">
        <v>246788</v>
      </c>
    </row>
    <row r="2240" spans="1:11">
      <c r="A2240" s="479">
        <v>6889.6</v>
      </c>
      <c r="B2240" s="476">
        <v>246821</v>
      </c>
      <c r="C2240" s="476">
        <v>246855</v>
      </c>
      <c r="D2240" s="476">
        <v>246889</v>
      </c>
      <c r="E2240" s="476">
        <v>246922</v>
      </c>
      <c r="F2240" s="476">
        <v>246956</v>
      </c>
      <c r="G2240" s="476">
        <v>246990</v>
      </c>
      <c r="H2240" s="476">
        <v>247023</v>
      </c>
      <c r="I2240" s="476">
        <v>247057</v>
      </c>
      <c r="J2240" s="476">
        <v>247091</v>
      </c>
      <c r="K2240" s="476">
        <v>247124</v>
      </c>
    </row>
    <row r="2241" spans="1:11">
      <c r="A2241" s="479">
        <v>6889.7</v>
      </c>
      <c r="B2241" s="476">
        <v>247158</v>
      </c>
      <c r="C2241" s="476">
        <v>247192</v>
      </c>
      <c r="D2241" s="476">
        <v>247225</v>
      </c>
      <c r="E2241" s="476">
        <v>247259</v>
      </c>
      <c r="F2241" s="476">
        <v>247293</v>
      </c>
      <c r="G2241" s="476">
        <v>247326</v>
      </c>
      <c r="H2241" s="476">
        <v>247360</v>
      </c>
      <c r="I2241" s="476">
        <v>247394</v>
      </c>
      <c r="J2241" s="476">
        <v>247427</v>
      </c>
      <c r="K2241" s="476">
        <v>247461</v>
      </c>
    </row>
    <row r="2242" spans="1:11">
      <c r="A2242" s="479">
        <v>6889.8</v>
      </c>
      <c r="B2242" s="476">
        <v>247495</v>
      </c>
      <c r="C2242" s="476">
        <v>247528</v>
      </c>
      <c r="D2242" s="476">
        <v>247562</v>
      </c>
      <c r="E2242" s="476">
        <v>247596</v>
      </c>
      <c r="F2242" s="476">
        <v>247629</v>
      </c>
      <c r="G2242" s="476">
        <v>247663</v>
      </c>
      <c r="H2242" s="476">
        <v>247697</v>
      </c>
      <c r="I2242" s="476">
        <v>247730</v>
      </c>
      <c r="J2242" s="476">
        <v>247764</v>
      </c>
      <c r="K2242" s="476">
        <v>247798</v>
      </c>
    </row>
    <row r="2243" spans="1:11">
      <c r="A2243" s="479">
        <v>6889.9</v>
      </c>
      <c r="B2243" s="476">
        <v>247831</v>
      </c>
      <c r="C2243" s="476">
        <v>247865</v>
      </c>
      <c r="D2243" s="476">
        <v>247899</v>
      </c>
      <c r="E2243" s="476">
        <v>247932</v>
      </c>
      <c r="F2243" s="476">
        <v>247966</v>
      </c>
      <c r="G2243" s="476">
        <v>248000</v>
      </c>
      <c r="H2243" s="476">
        <v>248033</v>
      </c>
      <c r="I2243" s="476">
        <v>248067</v>
      </c>
      <c r="J2243" s="476">
        <v>248101</v>
      </c>
      <c r="K2243" s="476">
        <v>248134</v>
      </c>
    </row>
    <row r="2244" spans="1:11">
      <c r="A2244" s="479">
        <v>6890</v>
      </c>
      <c r="B2244" s="476">
        <v>248168</v>
      </c>
      <c r="C2244" s="476">
        <v>248202</v>
      </c>
      <c r="D2244" s="476">
        <v>248236</v>
      </c>
      <c r="E2244" s="476">
        <v>248270</v>
      </c>
      <c r="F2244" s="476">
        <v>248304</v>
      </c>
      <c r="G2244" s="476">
        <v>248338</v>
      </c>
      <c r="H2244" s="476">
        <v>248372</v>
      </c>
      <c r="I2244" s="476">
        <v>248406</v>
      </c>
      <c r="J2244" s="476">
        <v>248440</v>
      </c>
      <c r="K2244" s="476">
        <v>248474</v>
      </c>
    </row>
    <row r="2245" spans="1:11">
      <c r="A2245" s="479">
        <v>6890.1</v>
      </c>
      <c r="B2245" s="476">
        <v>248508</v>
      </c>
      <c r="C2245" s="476">
        <v>248542</v>
      </c>
      <c r="D2245" s="476">
        <v>248576</v>
      </c>
      <c r="E2245" s="476">
        <v>248610</v>
      </c>
      <c r="F2245" s="476">
        <v>248644</v>
      </c>
      <c r="G2245" s="476">
        <v>248678</v>
      </c>
      <c r="H2245" s="476">
        <v>248712</v>
      </c>
      <c r="I2245" s="476">
        <v>248746</v>
      </c>
      <c r="J2245" s="476">
        <v>248780</v>
      </c>
      <c r="K2245" s="476">
        <v>248814</v>
      </c>
    </row>
    <row r="2246" spans="1:11">
      <c r="A2246" s="479">
        <v>6890.2</v>
      </c>
      <c r="B2246" s="476">
        <v>248848</v>
      </c>
      <c r="C2246" s="476">
        <v>248882</v>
      </c>
      <c r="D2246" s="476">
        <v>248916</v>
      </c>
      <c r="E2246" s="476">
        <v>248950</v>
      </c>
      <c r="F2246" s="476">
        <v>248984</v>
      </c>
      <c r="G2246" s="476">
        <v>249018</v>
      </c>
      <c r="H2246" s="476">
        <v>249052</v>
      </c>
      <c r="I2246" s="476">
        <v>249086</v>
      </c>
      <c r="J2246" s="476">
        <v>249120</v>
      </c>
      <c r="K2246" s="476">
        <v>249154</v>
      </c>
    </row>
    <row r="2247" spans="1:11">
      <c r="A2247" s="479">
        <v>6890.3</v>
      </c>
      <c r="B2247" s="476">
        <v>249188</v>
      </c>
      <c r="C2247" s="476">
        <v>249222</v>
      </c>
      <c r="D2247" s="476">
        <v>249256</v>
      </c>
      <c r="E2247" s="476">
        <v>249290</v>
      </c>
      <c r="F2247" s="476">
        <v>249324</v>
      </c>
      <c r="G2247" s="476">
        <v>249358</v>
      </c>
      <c r="H2247" s="476">
        <v>249392</v>
      </c>
      <c r="I2247" s="476">
        <v>249426</v>
      </c>
      <c r="J2247" s="476">
        <v>249460</v>
      </c>
      <c r="K2247" s="476">
        <v>249494</v>
      </c>
    </row>
    <row r="2248" spans="1:11">
      <c r="A2248" s="479">
        <v>6890.4</v>
      </c>
      <c r="B2248" s="476">
        <v>249528</v>
      </c>
      <c r="C2248" s="476">
        <v>249562</v>
      </c>
      <c r="D2248" s="476">
        <v>249596</v>
      </c>
      <c r="E2248" s="476">
        <v>249630</v>
      </c>
      <c r="F2248" s="476">
        <v>249664</v>
      </c>
      <c r="G2248" s="476">
        <v>249698</v>
      </c>
      <c r="H2248" s="476">
        <v>249732</v>
      </c>
      <c r="I2248" s="476">
        <v>249766</v>
      </c>
      <c r="J2248" s="476">
        <v>249800</v>
      </c>
      <c r="K2248" s="476">
        <v>249834</v>
      </c>
    </row>
    <row r="2249" spans="1:11">
      <c r="A2249" s="479">
        <v>6890.5</v>
      </c>
      <c r="B2249" s="476">
        <v>249869</v>
      </c>
      <c r="C2249" s="476">
        <v>249903</v>
      </c>
      <c r="D2249" s="476">
        <v>249937</v>
      </c>
      <c r="E2249" s="476">
        <v>249971</v>
      </c>
      <c r="F2249" s="476">
        <v>250005</v>
      </c>
      <c r="G2249" s="476">
        <v>250039</v>
      </c>
      <c r="H2249" s="476">
        <v>250073</v>
      </c>
      <c r="I2249" s="476">
        <v>250107</v>
      </c>
      <c r="J2249" s="476">
        <v>250141</v>
      </c>
      <c r="K2249" s="476">
        <v>250175</v>
      </c>
    </row>
    <row r="2250" spans="1:11">
      <c r="A2250" s="479">
        <v>6890.6</v>
      </c>
      <c r="B2250" s="476">
        <v>250209</v>
      </c>
      <c r="C2250" s="476">
        <v>250243</v>
      </c>
      <c r="D2250" s="476">
        <v>250277</v>
      </c>
      <c r="E2250" s="476">
        <v>250311</v>
      </c>
      <c r="F2250" s="476">
        <v>250345</v>
      </c>
      <c r="G2250" s="476">
        <v>250379</v>
      </c>
      <c r="H2250" s="476">
        <v>250413</v>
      </c>
      <c r="I2250" s="476">
        <v>250447</v>
      </c>
      <c r="J2250" s="476">
        <v>250481</v>
      </c>
      <c r="K2250" s="476">
        <v>250515</v>
      </c>
    </row>
    <row r="2251" spans="1:11">
      <c r="A2251" s="479">
        <v>6890.7</v>
      </c>
      <c r="B2251" s="476">
        <v>250549</v>
      </c>
      <c r="C2251" s="476">
        <v>250583</v>
      </c>
      <c r="D2251" s="476">
        <v>250617</v>
      </c>
      <c r="E2251" s="476">
        <v>250651</v>
      </c>
      <c r="F2251" s="476">
        <v>250685</v>
      </c>
      <c r="G2251" s="476">
        <v>250719</v>
      </c>
      <c r="H2251" s="476">
        <v>250753</v>
      </c>
      <c r="I2251" s="476">
        <v>250787</v>
      </c>
      <c r="J2251" s="476">
        <v>250821</v>
      </c>
      <c r="K2251" s="476">
        <v>250855</v>
      </c>
    </row>
    <row r="2252" spans="1:11">
      <c r="A2252" s="479">
        <v>6890.8</v>
      </c>
      <c r="B2252" s="476">
        <v>250889</v>
      </c>
      <c r="C2252" s="476">
        <v>250923</v>
      </c>
      <c r="D2252" s="476">
        <v>250957</v>
      </c>
      <c r="E2252" s="476">
        <v>250991</v>
      </c>
      <c r="F2252" s="476">
        <v>251025</v>
      </c>
      <c r="G2252" s="476">
        <v>251059</v>
      </c>
      <c r="H2252" s="476">
        <v>251093</v>
      </c>
      <c r="I2252" s="476">
        <v>251127</v>
      </c>
      <c r="J2252" s="476">
        <v>251161</v>
      </c>
      <c r="K2252" s="476">
        <v>251195</v>
      </c>
    </row>
    <row r="2253" spans="1:11">
      <c r="A2253" s="479">
        <v>6890.9</v>
      </c>
      <c r="B2253" s="476">
        <v>251229</v>
      </c>
      <c r="C2253" s="476">
        <v>251263</v>
      </c>
      <c r="D2253" s="476">
        <v>251297</v>
      </c>
      <c r="E2253" s="476">
        <v>251331</v>
      </c>
      <c r="F2253" s="476">
        <v>251365</v>
      </c>
      <c r="G2253" s="476">
        <v>251399</v>
      </c>
      <c r="H2253" s="476">
        <v>251433</v>
      </c>
      <c r="I2253" s="476">
        <v>251467</v>
      </c>
      <c r="J2253" s="476">
        <v>251501</v>
      </c>
      <c r="K2253" s="476">
        <v>251535</v>
      </c>
    </row>
    <row r="2254" spans="1:11">
      <c r="A2254" s="479">
        <v>6891</v>
      </c>
      <c r="B2254" s="476">
        <v>251569</v>
      </c>
      <c r="C2254" s="476">
        <v>251603</v>
      </c>
      <c r="D2254" s="476">
        <v>251638</v>
      </c>
      <c r="E2254" s="476">
        <v>251672</v>
      </c>
      <c r="F2254" s="476">
        <v>251706</v>
      </c>
      <c r="G2254" s="476">
        <v>251741</v>
      </c>
      <c r="H2254" s="476">
        <v>251775</v>
      </c>
      <c r="I2254" s="476">
        <v>251809</v>
      </c>
      <c r="J2254" s="476">
        <v>251844</v>
      </c>
      <c r="K2254" s="476">
        <v>251878</v>
      </c>
    </row>
    <row r="2255" spans="1:11">
      <c r="A2255" s="479">
        <v>6891.1</v>
      </c>
      <c r="B2255" s="476">
        <v>251912</v>
      </c>
      <c r="C2255" s="476">
        <v>251947</v>
      </c>
      <c r="D2255" s="476">
        <v>251981</v>
      </c>
      <c r="E2255" s="476">
        <v>252015</v>
      </c>
      <c r="F2255" s="476">
        <v>252050</v>
      </c>
      <c r="G2255" s="476">
        <v>252084</v>
      </c>
      <c r="H2255" s="476">
        <v>252118</v>
      </c>
      <c r="I2255" s="476">
        <v>252153</v>
      </c>
      <c r="J2255" s="476">
        <v>252187</v>
      </c>
      <c r="K2255" s="476">
        <v>252221</v>
      </c>
    </row>
    <row r="2256" spans="1:11">
      <c r="A2256" s="479">
        <v>6891.2</v>
      </c>
      <c r="B2256" s="476">
        <v>252256</v>
      </c>
      <c r="C2256" s="476">
        <v>252290</v>
      </c>
      <c r="D2256" s="476">
        <v>252324</v>
      </c>
      <c r="E2256" s="476">
        <v>252359</v>
      </c>
      <c r="F2256" s="476">
        <v>252393</v>
      </c>
      <c r="G2256" s="476">
        <v>252427</v>
      </c>
      <c r="H2256" s="476">
        <v>252462</v>
      </c>
      <c r="I2256" s="476">
        <v>252496</v>
      </c>
      <c r="J2256" s="476">
        <v>252530</v>
      </c>
      <c r="K2256" s="476">
        <v>252565</v>
      </c>
    </row>
    <row r="2257" spans="1:11">
      <c r="A2257" s="479">
        <v>6891.3</v>
      </c>
      <c r="B2257" s="476">
        <v>252599</v>
      </c>
      <c r="C2257" s="476">
        <v>252633</v>
      </c>
      <c r="D2257" s="476">
        <v>252668</v>
      </c>
      <c r="E2257" s="476">
        <v>252702</v>
      </c>
      <c r="F2257" s="476">
        <v>252736</v>
      </c>
      <c r="G2257" s="476">
        <v>252771</v>
      </c>
      <c r="H2257" s="476">
        <v>252805</v>
      </c>
      <c r="I2257" s="476">
        <v>252839</v>
      </c>
      <c r="J2257" s="476">
        <v>252874</v>
      </c>
      <c r="K2257" s="476">
        <v>252908</v>
      </c>
    </row>
    <row r="2258" spans="1:11">
      <c r="A2258" s="479">
        <v>6891.4</v>
      </c>
      <c r="B2258" s="476">
        <v>252942</v>
      </c>
      <c r="C2258" s="476">
        <v>252977</v>
      </c>
      <c r="D2258" s="476">
        <v>253011</v>
      </c>
      <c r="E2258" s="476">
        <v>253045</v>
      </c>
      <c r="F2258" s="476">
        <v>253080</v>
      </c>
      <c r="G2258" s="476">
        <v>253114</v>
      </c>
      <c r="H2258" s="476">
        <v>253148</v>
      </c>
      <c r="I2258" s="476">
        <v>253183</v>
      </c>
      <c r="J2258" s="476">
        <v>253217</v>
      </c>
      <c r="K2258" s="476">
        <v>253252</v>
      </c>
    </row>
    <row r="2259" spans="1:11">
      <c r="A2259" s="479">
        <v>6891.5</v>
      </c>
      <c r="B2259" s="476">
        <v>253286</v>
      </c>
      <c r="C2259" s="476">
        <v>253320</v>
      </c>
      <c r="D2259" s="476">
        <v>253355</v>
      </c>
      <c r="E2259" s="476">
        <v>253389</v>
      </c>
      <c r="F2259" s="476">
        <v>253423</v>
      </c>
      <c r="G2259" s="476">
        <v>253458</v>
      </c>
      <c r="H2259" s="476">
        <v>253492</v>
      </c>
      <c r="I2259" s="476">
        <v>253526</v>
      </c>
      <c r="J2259" s="476">
        <v>253561</v>
      </c>
      <c r="K2259" s="476">
        <v>253595</v>
      </c>
    </row>
    <row r="2260" spans="1:11">
      <c r="A2260" s="479">
        <v>6891.6</v>
      </c>
      <c r="B2260" s="476">
        <v>253629</v>
      </c>
      <c r="C2260" s="476">
        <v>253664</v>
      </c>
      <c r="D2260" s="476">
        <v>253698</v>
      </c>
      <c r="E2260" s="476">
        <v>253732</v>
      </c>
      <c r="F2260" s="476">
        <v>253767</v>
      </c>
      <c r="G2260" s="476">
        <v>253801</v>
      </c>
      <c r="H2260" s="476">
        <v>253835</v>
      </c>
      <c r="I2260" s="476">
        <v>253870</v>
      </c>
      <c r="J2260" s="476">
        <v>253904</v>
      </c>
      <c r="K2260" s="476">
        <v>253938</v>
      </c>
    </row>
    <row r="2261" spans="1:11">
      <c r="A2261" s="479">
        <v>6891.7</v>
      </c>
      <c r="B2261" s="476">
        <v>253973</v>
      </c>
      <c r="C2261" s="476">
        <v>254007</v>
      </c>
      <c r="D2261" s="476">
        <v>254041</v>
      </c>
      <c r="E2261" s="476">
        <v>254076</v>
      </c>
      <c r="F2261" s="476">
        <v>254110</v>
      </c>
      <c r="G2261" s="476">
        <v>254144</v>
      </c>
      <c r="H2261" s="476">
        <v>254179</v>
      </c>
      <c r="I2261" s="476">
        <v>254213</v>
      </c>
      <c r="J2261" s="476">
        <v>254247</v>
      </c>
      <c r="K2261" s="476">
        <v>254282</v>
      </c>
    </row>
    <row r="2262" spans="1:11">
      <c r="A2262" s="479">
        <v>6891.8</v>
      </c>
      <c r="B2262" s="476">
        <v>254316</v>
      </c>
      <c r="C2262" s="476">
        <v>254350</v>
      </c>
      <c r="D2262" s="476">
        <v>254385</v>
      </c>
      <c r="E2262" s="476">
        <v>254419</v>
      </c>
      <c r="F2262" s="476">
        <v>254453</v>
      </c>
      <c r="G2262" s="476">
        <v>254488</v>
      </c>
      <c r="H2262" s="476">
        <v>254522</v>
      </c>
      <c r="I2262" s="476">
        <v>254556</v>
      </c>
      <c r="J2262" s="476">
        <v>254591</v>
      </c>
      <c r="K2262" s="476">
        <v>254625</v>
      </c>
    </row>
    <row r="2263" spans="1:11">
      <c r="A2263" s="479">
        <v>6891.9</v>
      </c>
      <c r="B2263" s="476">
        <v>254659</v>
      </c>
      <c r="C2263" s="476">
        <v>254694</v>
      </c>
      <c r="D2263" s="476">
        <v>254728</v>
      </c>
      <c r="E2263" s="476">
        <v>254762</v>
      </c>
      <c r="F2263" s="476">
        <v>254797</v>
      </c>
      <c r="G2263" s="476">
        <v>254831</v>
      </c>
      <c r="H2263" s="476">
        <v>254865</v>
      </c>
      <c r="I2263" s="476">
        <v>254900</v>
      </c>
      <c r="J2263" s="476">
        <v>254934</v>
      </c>
      <c r="K2263" s="476">
        <v>254968</v>
      </c>
    </row>
    <row r="2264" spans="1:11">
      <c r="A2264" s="479">
        <v>6892</v>
      </c>
      <c r="B2264" s="476">
        <v>255003</v>
      </c>
      <c r="C2264" s="476">
        <v>255037</v>
      </c>
      <c r="D2264" s="476">
        <v>255072</v>
      </c>
      <c r="E2264" s="476">
        <v>255107</v>
      </c>
      <c r="F2264" s="476">
        <v>255141</v>
      </c>
      <c r="G2264" s="476">
        <v>255176</v>
      </c>
      <c r="H2264" s="476">
        <v>255211</v>
      </c>
      <c r="I2264" s="476">
        <v>255245</v>
      </c>
      <c r="J2264" s="476">
        <v>255280</v>
      </c>
      <c r="K2264" s="476">
        <v>255315</v>
      </c>
    </row>
    <row r="2265" spans="1:11">
      <c r="A2265" s="479">
        <v>6892.1</v>
      </c>
      <c r="B2265" s="476">
        <v>255349</v>
      </c>
      <c r="C2265" s="476">
        <v>255384</v>
      </c>
      <c r="D2265" s="476">
        <v>255419</v>
      </c>
      <c r="E2265" s="476">
        <v>255453</v>
      </c>
      <c r="F2265" s="476">
        <v>255488</v>
      </c>
      <c r="G2265" s="476">
        <v>255523</v>
      </c>
      <c r="H2265" s="476">
        <v>255557</v>
      </c>
      <c r="I2265" s="476">
        <v>255592</v>
      </c>
      <c r="J2265" s="476">
        <v>255627</v>
      </c>
      <c r="K2265" s="476">
        <v>255661</v>
      </c>
    </row>
    <row r="2266" spans="1:11">
      <c r="A2266" s="479">
        <v>6892.2</v>
      </c>
      <c r="B2266" s="476">
        <v>255696</v>
      </c>
      <c r="C2266" s="476">
        <v>255731</v>
      </c>
      <c r="D2266" s="476">
        <v>255765</v>
      </c>
      <c r="E2266" s="476">
        <v>255800</v>
      </c>
      <c r="F2266" s="476">
        <v>255835</v>
      </c>
      <c r="G2266" s="476">
        <v>255869</v>
      </c>
      <c r="H2266" s="476">
        <v>255904</v>
      </c>
      <c r="I2266" s="476">
        <v>255939</v>
      </c>
      <c r="J2266" s="476">
        <v>255973</v>
      </c>
      <c r="K2266" s="476">
        <v>256008</v>
      </c>
    </row>
    <row r="2267" spans="1:11">
      <c r="A2267" s="479">
        <v>6892.3</v>
      </c>
      <c r="B2267" s="476">
        <v>256043</v>
      </c>
      <c r="C2267" s="476">
        <v>256077</v>
      </c>
      <c r="D2267" s="476">
        <v>256112</v>
      </c>
      <c r="E2267" s="476">
        <v>256147</v>
      </c>
      <c r="F2267" s="476">
        <v>256181</v>
      </c>
      <c r="G2267" s="476">
        <v>256216</v>
      </c>
      <c r="H2267" s="476">
        <v>256251</v>
      </c>
      <c r="I2267" s="476">
        <v>256285</v>
      </c>
      <c r="J2267" s="476">
        <v>256320</v>
      </c>
      <c r="K2267" s="476">
        <v>256355</v>
      </c>
    </row>
    <row r="2268" spans="1:11">
      <c r="A2268" s="479">
        <v>6892.4</v>
      </c>
      <c r="B2268" s="476">
        <v>256389</v>
      </c>
      <c r="C2268" s="476">
        <v>256424</v>
      </c>
      <c r="D2268" s="476">
        <v>256459</v>
      </c>
      <c r="E2268" s="476">
        <v>256493</v>
      </c>
      <c r="F2268" s="476">
        <v>256528</v>
      </c>
      <c r="G2268" s="476">
        <v>256563</v>
      </c>
      <c r="H2268" s="476">
        <v>256597</v>
      </c>
      <c r="I2268" s="476">
        <v>256632</v>
      </c>
      <c r="J2268" s="476">
        <v>256667</v>
      </c>
      <c r="K2268" s="476">
        <v>256701</v>
      </c>
    </row>
    <row r="2269" spans="1:11">
      <c r="A2269" s="479">
        <v>6892.5</v>
      </c>
      <c r="B2269" s="476">
        <v>256736</v>
      </c>
      <c r="C2269" s="476">
        <v>256771</v>
      </c>
      <c r="D2269" s="476">
        <v>256805</v>
      </c>
      <c r="E2269" s="476">
        <v>256840</v>
      </c>
      <c r="F2269" s="476">
        <v>256875</v>
      </c>
      <c r="G2269" s="476">
        <v>256909</v>
      </c>
      <c r="H2269" s="476">
        <v>256944</v>
      </c>
      <c r="I2269" s="476">
        <v>256979</v>
      </c>
      <c r="J2269" s="476">
        <v>257013</v>
      </c>
      <c r="K2269" s="476">
        <v>257048</v>
      </c>
    </row>
    <row r="2270" spans="1:11">
      <c r="A2270" s="479">
        <v>6892.6</v>
      </c>
      <c r="B2270" s="476">
        <v>257083</v>
      </c>
      <c r="C2270" s="476">
        <v>257117</v>
      </c>
      <c r="D2270" s="476">
        <v>257152</v>
      </c>
      <c r="E2270" s="476">
        <v>257187</v>
      </c>
      <c r="F2270" s="476">
        <v>257221</v>
      </c>
      <c r="G2270" s="476">
        <v>257256</v>
      </c>
      <c r="H2270" s="476">
        <v>257291</v>
      </c>
      <c r="I2270" s="476">
        <v>257325</v>
      </c>
      <c r="J2270" s="476">
        <v>257360</v>
      </c>
      <c r="K2270" s="476">
        <v>257395</v>
      </c>
    </row>
    <row r="2271" spans="1:11">
      <c r="A2271" s="479">
        <v>6892.7</v>
      </c>
      <c r="B2271" s="476">
        <v>257429</v>
      </c>
      <c r="C2271" s="476">
        <v>257464</v>
      </c>
      <c r="D2271" s="476">
        <v>257498</v>
      </c>
      <c r="E2271" s="476">
        <v>257533</v>
      </c>
      <c r="F2271" s="476">
        <v>257568</v>
      </c>
      <c r="G2271" s="476">
        <v>257602</v>
      </c>
      <c r="H2271" s="476">
        <v>257637</v>
      </c>
      <c r="I2271" s="476">
        <v>257672</v>
      </c>
      <c r="J2271" s="476">
        <v>257706</v>
      </c>
      <c r="K2271" s="476">
        <v>257741</v>
      </c>
    </row>
    <row r="2272" spans="1:11">
      <c r="A2272" s="479">
        <v>6892.8</v>
      </c>
      <c r="B2272" s="476">
        <v>257776</v>
      </c>
      <c r="C2272" s="476">
        <v>257810</v>
      </c>
      <c r="D2272" s="476">
        <v>257845</v>
      </c>
      <c r="E2272" s="476">
        <v>257880</v>
      </c>
      <c r="F2272" s="476">
        <v>257914</v>
      </c>
      <c r="G2272" s="476">
        <v>257949</v>
      </c>
      <c r="H2272" s="476">
        <v>257984</v>
      </c>
      <c r="I2272" s="476">
        <v>258018</v>
      </c>
      <c r="J2272" s="476">
        <v>258053</v>
      </c>
      <c r="K2272" s="476">
        <v>258088</v>
      </c>
    </row>
    <row r="2273" spans="1:11">
      <c r="A2273" s="479">
        <v>6892.9</v>
      </c>
      <c r="B2273" s="476">
        <v>258122</v>
      </c>
      <c r="C2273" s="476">
        <v>258157</v>
      </c>
      <c r="D2273" s="476">
        <v>258192</v>
      </c>
      <c r="E2273" s="476">
        <v>258226</v>
      </c>
      <c r="F2273" s="476">
        <v>258261</v>
      </c>
      <c r="G2273" s="476">
        <v>258296</v>
      </c>
      <c r="H2273" s="476">
        <v>258330</v>
      </c>
      <c r="I2273" s="476">
        <v>258365</v>
      </c>
      <c r="J2273" s="476">
        <v>258400</v>
      </c>
      <c r="K2273" s="476">
        <v>258434</v>
      </c>
    </row>
    <row r="2274" spans="1:11">
      <c r="A2274" s="479">
        <v>6893</v>
      </c>
      <c r="B2274" s="476">
        <v>258469</v>
      </c>
      <c r="C2274" s="476">
        <v>258504</v>
      </c>
      <c r="D2274" s="476">
        <v>258539</v>
      </c>
      <c r="E2274" s="476">
        <v>258574</v>
      </c>
      <c r="F2274" s="476">
        <v>258609</v>
      </c>
      <c r="G2274" s="476">
        <v>258644</v>
      </c>
      <c r="H2274" s="476">
        <v>258679</v>
      </c>
      <c r="I2274" s="476">
        <v>258714</v>
      </c>
      <c r="J2274" s="476">
        <v>258749</v>
      </c>
      <c r="K2274" s="476">
        <v>258784</v>
      </c>
    </row>
    <row r="2275" spans="1:11">
      <c r="A2275" s="479">
        <v>6893.1</v>
      </c>
      <c r="B2275" s="476">
        <v>258819</v>
      </c>
      <c r="C2275" s="476">
        <v>258854</v>
      </c>
      <c r="D2275" s="476">
        <v>258889</v>
      </c>
      <c r="E2275" s="476">
        <v>258924</v>
      </c>
      <c r="F2275" s="476">
        <v>258959</v>
      </c>
      <c r="G2275" s="476">
        <v>258994</v>
      </c>
      <c r="H2275" s="476">
        <v>259029</v>
      </c>
      <c r="I2275" s="476">
        <v>259064</v>
      </c>
      <c r="J2275" s="476">
        <v>259099</v>
      </c>
      <c r="K2275" s="476">
        <v>259134</v>
      </c>
    </row>
    <row r="2276" spans="1:11">
      <c r="A2276" s="479">
        <v>6893.2</v>
      </c>
      <c r="B2276" s="476">
        <v>259169</v>
      </c>
      <c r="C2276" s="476">
        <v>259204</v>
      </c>
      <c r="D2276" s="476">
        <v>259239</v>
      </c>
      <c r="E2276" s="476">
        <v>259274</v>
      </c>
      <c r="F2276" s="476">
        <v>259309</v>
      </c>
      <c r="G2276" s="476">
        <v>259343</v>
      </c>
      <c r="H2276" s="476">
        <v>259378</v>
      </c>
      <c r="I2276" s="476">
        <v>259413</v>
      </c>
      <c r="J2276" s="476">
        <v>259448</v>
      </c>
      <c r="K2276" s="476">
        <v>259483</v>
      </c>
    </row>
    <row r="2277" spans="1:11">
      <c r="A2277" s="479">
        <v>6893.3</v>
      </c>
      <c r="B2277" s="476">
        <v>259518</v>
      </c>
      <c r="C2277" s="476">
        <v>259553</v>
      </c>
      <c r="D2277" s="476">
        <v>259588</v>
      </c>
      <c r="E2277" s="476">
        <v>259623</v>
      </c>
      <c r="F2277" s="476">
        <v>259658</v>
      </c>
      <c r="G2277" s="476">
        <v>259693</v>
      </c>
      <c r="H2277" s="476">
        <v>259728</v>
      </c>
      <c r="I2277" s="476">
        <v>259763</v>
      </c>
      <c r="J2277" s="476">
        <v>259798</v>
      </c>
      <c r="K2277" s="476">
        <v>259833</v>
      </c>
    </row>
    <row r="2278" spans="1:11">
      <c r="A2278" s="479">
        <v>6893.4</v>
      </c>
      <c r="B2278" s="476">
        <v>259868</v>
      </c>
      <c r="C2278" s="476">
        <v>259903</v>
      </c>
      <c r="D2278" s="476">
        <v>259938</v>
      </c>
      <c r="E2278" s="476">
        <v>259973</v>
      </c>
      <c r="F2278" s="476">
        <v>260008</v>
      </c>
      <c r="G2278" s="476">
        <v>260043</v>
      </c>
      <c r="H2278" s="476">
        <v>260078</v>
      </c>
      <c r="I2278" s="476">
        <v>260113</v>
      </c>
      <c r="J2278" s="476">
        <v>260148</v>
      </c>
      <c r="K2278" s="476">
        <v>260183</v>
      </c>
    </row>
    <row r="2279" spans="1:11">
      <c r="A2279" s="479">
        <v>6893.5</v>
      </c>
      <c r="B2279" s="476">
        <v>260218</v>
      </c>
      <c r="C2279" s="476">
        <v>260253</v>
      </c>
      <c r="D2279" s="476">
        <v>260288</v>
      </c>
      <c r="E2279" s="476">
        <v>260323</v>
      </c>
      <c r="F2279" s="476">
        <v>260358</v>
      </c>
      <c r="G2279" s="476">
        <v>260393</v>
      </c>
      <c r="H2279" s="476">
        <v>260428</v>
      </c>
      <c r="I2279" s="476">
        <v>260463</v>
      </c>
      <c r="J2279" s="476">
        <v>260498</v>
      </c>
      <c r="K2279" s="476">
        <v>260533</v>
      </c>
    </row>
    <row r="2280" spans="1:11">
      <c r="A2280" s="479">
        <v>6893.6</v>
      </c>
      <c r="B2280" s="476">
        <v>260568</v>
      </c>
      <c r="C2280" s="476">
        <v>260603</v>
      </c>
      <c r="D2280" s="476">
        <v>260638</v>
      </c>
      <c r="E2280" s="476">
        <v>260673</v>
      </c>
      <c r="F2280" s="476">
        <v>260708</v>
      </c>
      <c r="G2280" s="476">
        <v>260743</v>
      </c>
      <c r="H2280" s="476">
        <v>260778</v>
      </c>
      <c r="I2280" s="476">
        <v>260813</v>
      </c>
      <c r="J2280" s="476">
        <v>260848</v>
      </c>
      <c r="K2280" s="476">
        <v>260883</v>
      </c>
    </row>
    <row r="2281" spans="1:11">
      <c r="A2281" s="479">
        <v>6893.7</v>
      </c>
      <c r="B2281" s="476">
        <v>260918</v>
      </c>
      <c r="C2281" s="476">
        <v>260953</v>
      </c>
      <c r="D2281" s="476">
        <v>260987</v>
      </c>
      <c r="E2281" s="476">
        <v>261022</v>
      </c>
      <c r="F2281" s="476">
        <v>261057</v>
      </c>
      <c r="G2281" s="476">
        <v>261092</v>
      </c>
      <c r="H2281" s="476">
        <v>261127</v>
      </c>
      <c r="I2281" s="476">
        <v>261162</v>
      </c>
      <c r="J2281" s="476">
        <v>261197</v>
      </c>
      <c r="K2281" s="476">
        <v>261232</v>
      </c>
    </row>
    <row r="2282" spans="1:11">
      <c r="A2282" s="479">
        <v>6893.8</v>
      </c>
      <c r="B2282" s="476">
        <v>261267</v>
      </c>
      <c r="C2282" s="476">
        <v>261302</v>
      </c>
      <c r="D2282" s="476">
        <v>261337</v>
      </c>
      <c r="E2282" s="476">
        <v>261372</v>
      </c>
      <c r="F2282" s="476">
        <v>261407</v>
      </c>
      <c r="G2282" s="476">
        <v>261442</v>
      </c>
      <c r="H2282" s="476">
        <v>261477</v>
      </c>
      <c r="I2282" s="476">
        <v>261512</v>
      </c>
      <c r="J2282" s="476">
        <v>261547</v>
      </c>
      <c r="K2282" s="476">
        <v>261582</v>
      </c>
    </row>
    <row r="2283" spans="1:11">
      <c r="A2283" s="479">
        <v>6893.9</v>
      </c>
      <c r="B2283" s="476">
        <v>261617</v>
      </c>
      <c r="C2283" s="476">
        <v>261652</v>
      </c>
      <c r="D2283" s="476">
        <v>261687</v>
      </c>
      <c r="E2283" s="476">
        <v>261722</v>
      </c>
      <c r="F2283" s="476">
        <v>261757</v>
      </c>
      <c r="G2283" s="476">
        <v>261792</v>
      </c>
      <c r="H2283" s="476">
        <v>261827</v>
      </c>
      <c r="I2283" s="476">
        <v>261862</v>
      </c>
      <c r="J2283" s="476">
        <v>261897</v>
      </c>
      <c r="K2283" s="476">
        <v>261932</v>
      </c>
    </row>
    <row r="2284" spans="1:11">
      <c r="A2284" s="479">
        <v>6894</v>
      </c>
      <c r="B2284" s="476">
        <v>261967</v>
      </c>
      <c r="C2284" s="476">
        <v>262002</v>
      </c>
      <c r="D2284" s="476">
        <v>262037</v>
      </c>
      <c r="E2284" s="476">
        <v>262073</v>
      </c>
      <c r="F2284" s="476">
        <v>262108</v>
      </c>
      <c r="G2284" s="476">
        <v>262143</v>
      </c>
      <c r="H2284" s="476">
        <v>262179</v>
      </c>
      <c r="I2284" s="476">
        <v>262214</v>
      </c>
      <c r="J2284" s="476">
        <v>262249</v>
      </c>
      <c r="K2284" s="476">
        <v>262254</v>
      </c>
    </row>
    <row r="2285" spans="1:11">
      <c r="A2285" s="479">
        <v>6894.1</v>
      </c>
      <c r="B2285" s="476">
        <v>262320</v>
      </c>
      <c r="C2285" s="476">
        <v>262355</v>
      </c>
      <c r="D2285" s="476">
        <v>262390</v>
      </c>
      <c r="E2285" s="476">
        <v>262426</v>
      </c>
      <c r="F2285" s="476">
        <v>262461</v>
      </c>
      <c r="G2285" s="476">
        <v>262496</v>
      </c>
      <c r="H2285" s="476">
        <v>262531</v>
      </c>
      <c r="I2285" s="476">
        <v>262567</v>
      </c>
      <c r="J2285" s="476">
        <v>262602</v>
      </c>
      <c r="K2285" s="476">
        <v>262637</v>
      </c>
    </row>
    <row r="2286" spans="1:11">
      <c r="A2286" s="479">
        <v>6894.2</v>
      </c>
      <c r="B2286" s="476">
        <v>262673</v>
      </c>
      <c r="C2286" s="476">
        <v>262708</v>
      </c>
      <c r="D2286" s="476">
        <v>262743</v>
      </c>
      <c r="E2286" s="476">
        <v>262779</v>
      </c>
      <c r="F2286" s="476">
        <v>262814</v>
      </c>
      <c r="G2286" s="476">
        <v>262849</v>
      </c>
      <c r="H2286" s="476">
        <v>262884</v>
      </c>
      <c r="I2286" s="476">
        <v>262920</v>
      </c>
      <c r="J2286" s="476">
        <v>262955</v>
      </c>
      <c r="K2286" s="476">
        <v>262990</v>
      </c>
    </row>
    <row r="2287" spans="1:11">
      <c r="A2287" s="479">
        <v>6894.3</v>
      </c>
      <c r="B2287" s="476">
        <v>263026</v>
      </c>
      <c r="C2287" s="476">
        <v>263061</v>
      </c>
      <c r="D2287" s="476">
        <v>263096</v>
      </c>
      <c r="E2287" s="476">
        <v>263131</v>
      </c>
      <c r="F2287" s="476">
        <v>263167</v>
      </c>
      <c r="G2287" s="476">
        <v>263202</v>
      </c>
      <c r="H2287" s="476">
        <v>263237</v>
      </c>
      <c r="I2287" s="476">
        <v>263273</v>
      </c>
      <c r="J2287" s="476">
        <v>263308</v>
      </c>
      <c r="K2287" s="476">
        <v>263343</v>
      </c>
    </row>
    <row r="2288" spans="1:11">
      <c r="A2288" s="479">
        <v>6894.4</v>
      </c>
      <c r="B2288" s="476">
        <v>263378</v>
      </c>
      <c r="C2288" s="476">
        <v>263414</v>
      </c>
      <c r="D2288" s="476">
        <v>263449</v>
      </c>
      <c r="E2288" s="476">
        <v>263484</v>
      </c>
      <c r="F2288" s="476">
        <v>263520</v>
      </c>
      <c r="G2288" s="476">
        <v>263555</v>
      </c>
      <c r="H2288" s="476">
        <v>263590</v>
      </c>
      <c r="I2288" s="476">
        <v>263625</v>
      </c>
      <c r="J2288" s="476">
        <v>263661</v>
      </c>
      <c r="K2288" s="476">
        <v>263696</v>
      </c>
    </row>
    <row r="2289" spans="1:11">
      <c r="A2289" s="479">
        <v>6894.5</v>
      </c>
      <c r="B2289" s="476">
        <v>263731</v>
      </c>
      <c r="C2289" s="476">
        <v>263767</v>
      </c>
      <c r="D2289" s="476">
        <v>263802</v>
      </c>
      <c r="E2289" s="476">
        <v>263837</v>
      </c>
      <c r="F2289" s="476">
        <v>263872</v>
      </c>
      <c r="G2289" s="476">
        <v>263908</v>
      </c>
      <c r="H2289" s="476">
        <v>263943</v>
      </c>
      <c r="I2289" s="476">
        <v>263978</v>
      </c>
      <c r="J2289" s="476">
        <v>264014</v>
      </c>
      <c r="K2289" s="476">
        <v>264049</v>
      </c>
    </row>
    <row r="2290" spans="1:11">
      <c r="A2290" s="479">
        <v>6894.6</v>
      </c>
      <c r="B2290" s="476">
        <v>264084</v>
      </c>
      <c r="C2290" s="476">
        <v>264119</v>
      </c>
      <c r="D2290" s="476">
        <v>264155</v>
      </c>
      <c r="E2290" s="476">
        <v>264190</v>
      </c>
      <c r="F2290" s="476">
        <v>264225</v>
      </c>
      <c r="G2290" s="476">
        <v>264261</v>
      </c>
      <c r="H2290" s="476">
        <v>264296</v>
      </c>
      <c r="I2290" s="476">
        <v>264331</v>
      </c>
      <c r="J2290" s="476">
        <v>264366</v>
      </c>
      <c r="K2290" s="476">
        <v>264402</v>
      </c>
    </row>
    <row r="2291" spans="1:11">
      <c r="A2291" s="479">
        <v>6894.7</v>
      </c>
      <c r="B2291" s="476">
        <v>264437</v>
      </c>
      <c r="C2291" s="476">
        <v>264472</v>
      </c>
      <c r="D2291" s="476">
        <v>264508</v>
      </c>
      <c r="E2291" s="476">
        <v>264543</v>
      </c>
      <c r="F2291" s="476">
        <v>264578</v>
      </c>
      <c r="G2291" s="476">
        <v>264613</v>
      </c>
      <c r="H2291" s="476">
        <v>264649</v>
      </c>
      <c r="I2291" s="476">
        <v>264684</v>
      </c>
      <c r="J2291" s="476">
        <v>264719</v>
      </c>
      <c r="K2291" s="476">
        <v>264755</v>
      </c>
    </row>
    <row r="2292" spans="1:11">
      <c r="A2292" s="479">
        <v>6894.8</v>
      </c>
      <c r="B2292" s="476">
        <v>264790</v>
      </c>
      <c r="C2292" s="476">
        <v>264825</v>
      </c>
      <c r="D2292" s="476">
        <v>264860</v>
      </c>
      <c r="E2292" s="476">
        <v>264896</v>
      </c>
      <c r="F2292" s="476">
        <v>264931</v>
      </c>
      <c r="G2292" s="476">
        <v>264966</v>
      </c>
      <c r="H2292" s="476">
        <v>265002</v>
      </c>
      <c r="I2292" s="476">
        <v>265037</v>
      </c>
      <c r="J2292" s="476">
        <v>265072</v>
      </c>
      <c r="K2292" s="476">
        <v>265108</v>
      </c>
    </row>
    <row r="2293" spans="1:11">
      <c r="A2293" s="479">
        <v>6894.9</v>
      </c>
      <c r="B2293" s="476">
        <v>265143</v>
      </c>
      <c r="C2293" s="476">
        <v>265178</v>
      </c>
      <c r="D2293" s="476">
        <v>265213</v>
      </c>
      <c r="E2293" s="476">
        <v>265249</v>
      </c>
      <c r="F2293" s="476">
        <v>265284</v>
      </c>
      <c r="G2293" s="476">
        <v>265319</v>
      </c>
      <c r="H2293" s="476">
        <v>265355</v>
      </c>
      <c r="I2293" s="476">
        <v>265390</v>
      </c>
      <c r="J2293" s="476">
        <v>265425</v>
      </c>
      <c r="K2293" s="476">
        <v>265460</v>
      </c>
    </row>
    <row r="2294" spans="1:11">
      <c r="A2294" s="479">
        <v>6895</v>
      </c>
      <c r="B2294" s="476">
        <v>265496</v>
      </c>
      <c r="C2294" s="476">
        <v>265531</v>
      </c>
      <c r="D2294" s="476">
        <v>265567</v>
      </c>
      <c r="E2294" s="476">
        <v>265602</v>
      </c>
      <c r="F2294" s="476">
        <v>265638</v>
      </c>
      <c r="G2294" s="476">
        <v>265674</v>
      </c>
      <c r="H2294" s="476">
        <v>265709</v>
      </c>
      <c r="I2294" s="476">
        <v>265745</v>
      </c>
      <c r="J2294" s="476">
        <v>265780</v>
      </c>
      <c r="K2294" s="476">
        <v>265816</v>
      </c>
    </row>
    <row r="2295" spans="1:11">
      <c r="A2295" s="479">
        <v>6895.1</v>
      </c>
      <c r="B2295" s="476">
        <v>265852</v>
      </c>
      <c r="C2295" s="476">
        <v>265887</v>
      </c>
      <c r="D2295" s="476">
        <v>265923</v>
      </c>
      <c r="E2295" s="476">
        <v>265958</v>
      </c>
      <c r="F2295" s="476">
        <v>265994</v>
      </c>
      <c r="G2295" s="476">
        <v>266030</v>
      </c>
      <c r="H2295" s="476">
        <v>266065</v>
      </c>
      <c r="I2295" s="476">
        <v>266101</v>
      </c>
      <c r="J2295" s="476">
        <v>266136</v>
      </c>
      <c r="K2295" s="476">
        <v>266172</v>
      </c>
    </row>
    <row r="2296" spans="1:11">
      <c r="A2296" s="479">
        <v>6895.2</v>
      </c>
      <c r="B2296" s="476">
        <v>266207</v>
      </c>
      <c r="C2296" s="476">
        <v>266243</v>
      </c>
      <c r="D2296" s="476">
        <v>266279</v>
      </c>
      <c r="E2296" s="476">
        <v>266314</v>
      </c>
      <c r="F2296" s="476">
        <v>266350</v>
      </c>
      <c r="G2296" s="476">
        <v>266385</v>
      </c>
      <c r="H2296" s="476">
        <v>266421</v>
      </c>
      <c r="I2296" s="476">
        <v>266457</v>
      </c>
      <c r="J2296" s="476">
        <v>266492</v>
      </c>
      <c r="K2296" s="476">
        <v>266522</v>
      </c>
    </row>
    <row r="2297" spans="1:11">
      <c r="A2297" s="479">
        <v>6895.3</v>
      </c>
      <c r="B2297" s="476">
        <v>266563</v>
      </c>
      <c r="C2297" s="476">
        <v>266599</v>
      </c>
      <c r="D2297" s="476">
        <v>266635</v>
      </c>
      <c r="E2297" s="476">
        <v>266670</v>
      </c>
      <c r="F2297" s="476">
        <v>266706</v>
      </c>
      <c r="G2297" s="476">
        <v>266741</v>
      </c>
      <c r="H2297" s="476">
        <v>266777</v>
      </c>
      <c r="I2297" s="476">
        <v>266812</v>
      </c>
      <c r="J2297" s="476">
        <v>266848</v>
      </c>
      <c r="K2297" s="476">
        <v>266864</v>
      </c>
    </row>
    <row r="2298" spans="1:11">
      <c r="A2298" s="479">
        <v>6895.4</v>
      </c>
      <c r="B2298" s="476">
        <v>266919</v>
      </c>
      <c r="C2298" s="476">
        <v>266955</v>
      </c>
      <c r="D2298" s="476">
        <v>266990</v>
      </c>
      <c r="E2298" s="476">
        <v>267026</v>
      </c>
      <c r="F2298" s="476">
        <v>267062</v>
      </c>
      <c r="G2298" s="476">
        <v>267097</v>
      </c>
      <c r="H2298" s="476">
        <v>267133</v>
      </c>
      <c r="I2298" s="476">
        <v>267168</v>
      </c>
      <c r="J2298" s="476">
        <v>267204</v>
      </c>
      <c r="K2298" s="476">
        <v>267240</v>
      </c>
    </row>
    <row r="2299" spans="1:11">
      <c r="A2299" s="479">
        <v>6895.5</v>
      </c>
      <c r="B2299" s="476">
        <v>267275</v>
      </c>
      <c r="C2299" s="476">
        <v>267311</v>
      </c>
      <c r="D2299" s="476">
        <v>267346</v>
      </c>
      <c r="E2299" s="476">
        <v>267382</v>
      </c>
      <c r="F2299" s="476">
        <v>267418</v>
      </c>
      <c r="G2299" s="476">
        <v>267453</v>
      </c>
      <c r="H2299" s="476">
        <v>267489</v>
      </c>
      <c r="I2299" s="476">
        <v>267524</v>
      </c>
      <c r="J2299" s="476">
        <v>267560</v>
      </c>
      <c r="K2299" s="476">
        <v>267595</v>
      </c>
    </row>
    <row r="2300" spans="1:11">
      <c r="A2300" s="479">
        <v>6895.6</v>
      </c>
      <c r="B2300" s="476">
        <v>267631</v>
      </c>
      <c r="C2300" s="476">
        <v>267667</v>
      </c>
      <c r="D2300" s="476">
        <v>267702</v>
      </c>
      <c r="E2300" s="476">
        <v>267738</v>
      </c>
      <c r="F2300" s="476">
        <v>267773</v>
      </c>
      <c r="G2300" s="476">
        <v>267809</v>
      </c>
      <c r="H2300" s="476">
        <v>267845</v>
      </c>
      <c r="I2300" s="476">
        <v>267880</v>
      </c>
      <c r="J2300" s="476">
        <v>267916</v>
      </c>
      <c r="K2300" s="476">
        <v>267951</v>
      </c>
    </row>
    <row r="2301" spans="1:11">
      <c r="A2301" s="479">
        <v>6895.7</v>
      </c>
      <c r="B2301" s="476">
        <v>267987</v>
      </c>
      <c r="C2301" s="476">
        <v>268023</v>
      </c>
      <c r="D2301" s="476">
        <v>268058</v>
      </c>
      <c r="E2301" s="476">
        <v>268094</v>
      </c>
      <c r="F2301" s="476">
        <v>268129</v>
      </c>
      <c r="G2301" s="476">
        <v>268165</v>
      </c>
      <c r="H2301" s="476">
        <v>268201</v>
      </c>
      <c r="I2301" s="476">
        <v>268236</v>
      </c>
      <c r="J2301" s="476">
        <v>268272</v>
      </c>
      <c r="K2301" s="476">
        <v>268307</v>
      </c>
    </row>
    <row r="2302" spans="1:11">
      <c r="A2302" s="479">
        <v>6895.8</v>
      </c>
      <c r="B2302" s="476">
        <v>268343</v>
      </c>
      <c r="C2302" s="476">
        <v>268378</v>
      </c>
      <c r="D2302" s="476">
        <v>268414</v>
      </c>
      <c r="E2302" s="476">
        <v>268450</v>
      </c>
      <c r="F2302" s="476">
        <v>268485</v>
      </c>
      <c r="G2302" s="476">
        <v>268521</v>
      </c>
      <c r="H2302" s="476">
        <v>268556</v>
      </c>
      <c r="I2302" s="476">
        <v>268592</v>
      </c>
      <c r="J2302" s="476">
        <v>268628</v>
      </c>
      <c r="K2302" s="476">
        <v>268663</v>
      </c>
    </row>
    <row r="2303" spans="1:11">
      <c r="A2303" s="479">
        <v>6895.9</v>
      </c>
      <c r="B2303" s="476">
        <v>268699</v>
      </c>
      <c r="C2303" s="476">
        <v>268734</v>
      </c>
      <c r="D2303" s="476">
        <v>268770</v>
      </c>
      <c r="E2303" s="476">
        <v>268806</v>
      </c>
      <c r="F2303" s="476">
        <v>268841</v>
      </c>
      <c r="G2303" s="476">
        <v>268877</v>
      </c>
      <c r="H2303" s="476">
        <v>268912</v>
      </c>
      <c r="I2303" s="476">
        <v>268948</v>
      </c>
      <c r="J2303" s="476">
        <v>268983</v>
      </c>
      <c r="K2303" s="476">
        <v>269019</v>
      </c>
    </row>
    <row r="2304" spans="1:11">
      <c r="A2304" s="479">
        <v>6896</v>
      </c>
      <c r="B2304" s="476">
        <v>269055</v>
      </c>
      <c r="C2304" s="476">
        <v>269091</v>
      </c>
      <c r="D2304" s="476">
        <v>269126</v>
      </c>
      <c r="E2304" s="476">
        <v>269162</v>
      </c>
      <c r="F2304" s="476">
        <v>269198</v>
      </c>
      <c r="G2304" s="476">
        <v>269234</v>
      </c>
      <c r="H2304" s="476">
        <v>269270</v>
      </c>
      <c r="I2304" s="476">
        <v>269306</v>
      </c>
      <c r="J2304" s="476">
        <v>269342</v>
      </c>
      <c r="K2304" s="476">
        <v>269378</v>
      </c>
    </row>
    <row r="2305" spans="1:11">
      <c r="A2305" s="479">
        <v>6896.1</v>
      </c>
      <c r="B2305" s="476">
        <v>269414</v>
      </c>
      <c r="C2305" s="476">
        <v>269449</v>
      </c>
      <c r="D2305" s="476">
        <v>269485</v>
      </c>
      <c r="E2305" s="476">
        <v>269521</v>
      </c>
      <c r="F2305" s="476">
        <v>269557</v>
      </c>
      <c r="G2305" s="476">
        <v>269593</v>
      </c>
      <c r="H2305" s="476">
        <v>269629</v>
      </c>
      <c r="I2305" s="476">
        <v>269665</v>
      </c>
      <c r="J2305" s="476">
        <v>269701</v>
      </c>
      <c r="K2305" s="476">
        <v>269735</v>
      </c>
    </row>
    <row r="2306" spans="1:11">
      <c r="A2306" s="479">
        <v>6896.2</v>
      </c>
      <c r="B2306" s="476">
        <v>269772</v>
      </c>
      <c r="C2306" s="476">
        <v>269808</v>
      </c>
      <c r="D2306" s="476">
        <v>269844</v>
      </c>
      <c r="E2306" s="476">
        <v>269880</v>
      </c>
      <c r="F2306" s="476">
        <v>269916</v>
      </c>
      <c r="G2306" s="476">
        <v>269952</v>
      </c>
      <c r="H2306" s="476">
        <v>269988</v>
      </c>
      <c r="I2306" s="476">
        <v>270024</v>
      </c>
      <c r="J2306" s="476">
        <v>270059</v>
      </c>
      <c r="K2306" s="476">
        <v>270095</v>
      </c>
    </row>
    <row r="2307" spans="1:11">
      <c r="A2307" s="479">
        <v>6896.3</v>
      </c>
      <c r="B2307" s="476">
        <v>270131</v>
      </c>
      <c r="C2307" s="476">
        <v>270167</v>
      </c>
      <c r="D2307" s="476">
        <v>270203</v>
      </c>
      <c r="E2307" s="476">
        <v>270239</v>
      </c>
      <c r="F2307" s="476">
        <v>270275</v>
      </c>
      <c r="G2307" s="476">
        <v>270311</v>
      </c>
      <c r="H2307" s="476">
        <v>270347</v>
      </c>
      <c r="I2307" s="476">
        <v>270382</v>
      </c>
      <c r="J2307" s="476">
        <v>270418</v>
      </c>
      <c r="K2307" s="476">
        <v>270454</v>
      </c>
    </row>
    <row r="2308" spans="1:11">
      <c r="A2308" s="479">
        <v>6896.4</v>
      </c>
      <c r="B2308" s="476">
        <v>270490</v>
      </c>
      <c r="C2308" s="476">
        <v>270526</v>
      </c>
      <c r="D2308" s="476">
        <v>270562</v>
      </c>
      <c r="E2308" s="476">
        <v>270598</v>
      </c>
      <c r="F2308" s="476">
        <v>270634</v>
      </c>
      <c r="G2308" s="476">
        <v>270670</v>
      </c>
      <c r="H2308" s="476">
        <v>270705</v>
      </c>
      <c r="I2308" s="476">
        <v>270741</v>
      </c>
      <c r="J2308" s="476">
        <v>270777</v>
      </c>
      <c r="K2308" s="476">
        <v>270813</v>
      </c>
    </row>
    <row r="2309" spans="1:11">
      <c r="A2309" s="479">
        <v>6896.5</v>
      </c>
      <c r="B2309" s="476">
        <v>270849</v>
      </c>
      <c r="C2309" s="476">
        <v>270885</v>
      </c>
      <c r="D2309" s="476">
        <v>270921</v>
      </c>
      <c r="E2309" s="476">
        <v>270957</v>
      </c>
      <c r="F2309" s="476">
        <v>270992</v>
      </c>
      <c r="G2309" s="476">
        <v>271028</v>
      </c>
      <c r="H2309" s="476">
        <v>271064</v>
      </c>
      <c r="I2309" s="476">
        <v>271100</v>
      </c>
      <c r="J2309" s="476">
        <v>271136</v>
      </c>
      <c r="K2309" s="476">
        <v>271172</v>
      </c>
    </row>
    <row r="2310" spans="1:11">
      <c r="A2310" s="479">
        <v>6896.6</v>
      </c>
      <c r="B2310" s="476">
        <v>271208</v>
      </c>
      <c r="C2310" s="476">
        <v>271244</v>
      </c>
      <c r="D2310" s="476">
        <v>271280</v>
      </c>
      <c r="E2310" s="476">
        <v>271315</v>
      </c>
      <c r="F2310" s="476">
        <v>271351</v>
      </c>
      <c r="G2310" s="476">
        <v>271387</v>
      </c>
      <c r="H2310" s="476">
        <v>271423</v>
      </c>
      <c r="I2310" s="476">
        <v>271459</v>
      </c>
      <c r="J2310" s="476">
        <v>271495</v>
      </c>
      <c r="K2310" s="476">
        <v>271531</v>
      </c>
    </row>
    <row r="2311" spans="1:11">
      <c r="A2311" s="479">
        <v>6896.7</v>
      </c>
      <c r="B2311" s="476">
        <v>271567</v>
      </c>
      <c r="C2311" s="476">
        <v>271603</v>
      </c>
      <c r="D2311" s="476">
        <v>271638</v>
      </c>
      <c r="E2311" s="476">
        <v>271674</v>
      </c>
      <c r="F2311" s="476">
        <v>271710</v>
      </c>
      <c r="G2311" s="476">
        <v>271746</v>
      </c>
      <c r="H2311" s="476">
        <v>271782</v>
      </c>
      <c r="I2311" s="476">
        <v>271818</v>
      </c>
      <c r="J2311" s="476">
        <v>271854</v>
      </c>
      <c r="K2311" s="476">
        <v>271890</v>
      </c>
    </row>
    <row r="2312" spans="1:11">
      <c r="A2312" s="479">
        <v>6896.8</v>
      </c>
      <c r="B2312" s="476">
        <v>271926</v>
      </c>
      <c r="C2312" s="476">
        <v>271961</v>
      </c>
      <c r="D2312" s="476">
        <v>271997</v>
      </c>
      <c r="E2312" s="476">
        <v>272033</v>
      </c>
      <c r="F2312" s="476">
        <v>272069</v>
      </c>
      <c r="G2312" s="476">
        <v>272105</v>
      </c>
      <c r="H2312" s="476">
        <v>272141</v>
      </c>
      <c r="I2312" s="476">
        <v>272177</v>
      </c>
      <c r="J2312" s="476">
        <v>272213</v>
      </c>
      <c r="K2312" s="476">
        <v>272248</v>
      </c>
    </row>
    <row r="2313" spans="1:11">
      <c r="A2313" s="479">
        <v>6896.9</v>
      </c>
      <c r="B2313" s="476">
        <v>272284</v>
      </c>
      <c r="C2313" s="476">
        <v>272320</v>
      </c>
      <c r="D2313" s="476">
        <v>272356</v>
      </c>
      <c r="E2313" s="476">
        <v>272392</v>
      </c>
      <c r="F2313" s="476">
        <v>272428</v>
      </c>
      <c r="G2313" s="476">
        <v>272464</v>
      </c>
      <c r="H2313" s="476">
        <v>272500</v>
      </c>
      <c r="I2313" s="476">
        <v>272536</v>
      </c>
      <c r="J2313" s="476">
        <v>272571</v>
      </c>
      <c r="K2313" s="476">
        <v>272607</v>
      </c>
    </row>
    <row r="2314" spans="1:11">
      <c r="A2314" s="479">
        <v>6897</v>
      </c>
      <c r="B2314" s="476">
        <v>272643</v>
      </c>
      <c r="C2314" s="476">
        <v>272679</v>
      </c>
      <c r="D2314" s="476">
        <v>272716</v>
      </c>
      <c r="E2314" s="476">
        <v>272752</v>
      </c>
      <c r="F2314" s="476">
        <v>272788</v>
      </c>
      <c r="G2314" s="476">
        <v>272824</v>
      </c>
      <c r="H2314" s="476">
        <v>272860</v>
      </c>
      <c r="I2314" s="476">
        <v>272896</v>
      </c>
      <c r="J2314" s="476">
        <v>272933</v>
      </c>
      <c r="K2314" s="476">
        <v>272969</v>
      </c>
    </row>
    <row r="2315" spans="1:11">
      <c r="A2315" s="479">
        <v>6897.1</v>
      </c>
      <c r="B2315" s="476">
        <v>273005</v>
      </c>
      <c r="C2315" s="476">
        <v>273041</v>
      </c>
      <c r="D2315" s="476">
        <v>273077</v>
      </c>
      <c r="E2315" s="476">
        <v>273113</v>
      </c>
      <c r="F2315" s="476">
        <v>273150</v>
      </c>
      <c r="G2315" s="476">
        <v>273186</v>
      </c>
      <c r="H2315" s="476">
        <v>273222</v>
      </c>
      <c r="I2315" s="476">
        <v>273258</v>
      </c>
      <c r="J2315" s="476">
        <v>273294</v>
      </c>
      <c r="K2315" s="476">
        <v>273331</v>
      </c>
    </row>
    <row r="2316" spans="1:11">
      <c r="A2316" s="479">
        <v>6897.2</v>
      </c>
      <c r="B2316" s="476">
        <v>273367</v>
      </c>
      <c r="C2316" s="476">
        <v>273403</v>
      </c>
      <c r="D2316" s="476">
        <v>273439</v>
      </c>
      <c r="E2316" s="476">
        <v>273475</v>
      </c>
      <c r="F2316" s="476">
        <v>273511</v>
      </c>
      <c r="G2316" s="476">
        <v>273548</v>
      </c>
      <c r="H2316" s="476">
        <v>273584</v>
      </c>
      <c r="I2316" s="476">
        <v>273620</v>
      </c>
      <c r="J2316" s="476">
        <v>273656</v>
      </c>
      <c r="K2316" s="476">
        <v>273692</v>
      </c>
    </row>
    <row r="2317" spans="1:11">
      <c r="A2317" s="479">
        <v>6897.3</v>
      </c>
      <c r="B2317" s="476">
        <v>273728</v>
      </c>
      <c r="C2317" s="476">
        <v>273765</v>
      </c>
      <c r="D2317" s="476">
        <v>273801</v>
      </c>
      <c r="E2317" s="476">
        <v>273837</v>
      </c>
      <c r="F2317" s="476">
        <v>273873</v>
      </c>
      <c r="G2317" s="476">
        <v>273909</v>
      </c>
      <c r="H2317" s="476">
        <v>273946</v>
      </c>
      <c r="I2317" s="476">
        <v>273982</v>
      </c>
      <c r="J2317" s="476">
        <v>274018</v>
      </c>
      <c r="K2317" s="476">
        <v>274054</v>
      </c>
    </row>
    <row r="2318" spans="1:11">
      <c r="A2318" s="479">
        <v>6897.4</v>
      </c>
      <c r="B2318" s="476">
        <v>274090</v>
      </c>
      <c r="C2318" s="476">
        <v>274126</v>
      </c>
      <c r="D2318" s="476">
        <v>274163</v>
      </c>
      <c r="E2318" s="476">
        <v>274199</v>
      </c>
      <c r="F2318" s="476">
        <v>274235</v>
      </c>
      <c r="G2318" s="476">
        <v>274271</v>
      </c>
      <c r="H2318" s="476">
        <v>274307</v>
      </c>
      <c r="I2318" s="476">
        <v>274343</v>
      </c>
      <c r="J2318" s="476">
        <v>274380</v>
      </c>
      <c r="K2318" s="476">
        <v>274415</v>
      </c>
    </row>
    <row r="2319" spans="1:11">
      <c r="A2319" s="479">
        <v>6897.5</v>
      </c>
      <c r="B2319" s="476">
        <v>274452</v>
      </c>
      <c r="C2319" s="476">
        <v>274488</v>
      </c>
      <c r="D2319" s="476">
        <v>274524</v>
      </c>
      <c r="E2319" s="476">
        <v>274560</v>
      </c>
      <c r="F2319" s="476">
        <v>274597</v>
      </c>
      <c r="G2319" s="476">
        <v>274633</v>
      </c>
      <c r="H2319" s="476">
        <v>274669</v>
      </c>
      <c r="I2319" s="476">
        <v>274705</v>
      </c>
      <c r="J2319" s="476">
        <v>274741</v>
      </c>
      <c r="K2319" s="476">
        <v>274773</v>
      </c>
    </row>
    <row r="2320" spans="1:11">
      <c r="A2320" s="479">
        <v>6897.6</v>
      </c>
      <c r="B2320" s="476">
        <v>274814</v>
      </c>
      <c r="C2320" s="476">
        <v>274850</v>
      </c>
      <c r="D2320" s="476">
        <v>274886</v>
      </c>
      <c r="E2320" s="476">
        <v>274922</v>
      </c>
      <c r="F2320" s="476">
        <v>274958</v>
      </c>
      <c r="G2320" s="476">
        <v>274995</v>
      </c>
      <c r="H2320" s="476">
        <v>275031</v>
      </c>
      <c r="I2320" s="476">
        <v>275067</v>
      </c>
      <c r="J2320" s="476">
        <v>275103</v>
      </c>
      <c r="K2320" s="476">
        <v>275139</v>
      </c>
    </row>
    <row r="2321" spans="1:11">
      <c r="A2321" s="479">
        <v>6897.7</v>
      </c>
      <c r="B2321" s="476">
        <v>275175</v>
      </c>
      <c r="C2321" s="476">
        <v>275212</v>
      </c>
      <c r="D2321" s="476">
        <v>275248</v>
      </c>
      <c r="E2321" s="476">
        <v>275284</v>
      </c>
      <c r="F2321" s="476">
        <v>275320</v>
      </c>
      <c r="G2321" s="476">
        <v>275356</v>
      </c>
      <c r="H2321" s="476">
        <v>275392</v>
      </c>
      <c r="I2321" s="476">
        <v>275429</v>
      </c>
      <c r="J2321" s="476">
        <v>275465</v>
      </c>
      <c r="K2321" s="476">
        <v>275501</v>
      </c>
    </row>
    <row r="2322" spans="1:11">
      <c r="A2322" s="479">
        <v>6897.8</v>
      </c>
      <c r="B2322" s="476">
        <v>275537</v>
      </c>
      <c r="C2322" s="476">
        <v>275573</v>
      </c>
      <c r="D2322" s="476">
        <v>275610</v>
      </c>
      <c r="E2322" s="476">
        <v>275646</v>
      </c>
      <c r="F2322" s="476">
        <v>275682</v>
      </c>
      <c r="G2322" s="476">
        <v>275718</v>
      </c>
      <c r="H2322" s="476">
        <v>275754</v>
      </c>
      <c r="I2322" s="476">
        <v>275790</v>
      </c>
      <c r="J2322" s="476">
        <v>275827</v>
      </c>
      <c r="K2322" s="476">
        <v>275863</v>
      </c>
    </row>
    <row r="2323" spans="1:11">
      <c r="A2323" s="479">
        <v>6897.9</v>
      </c>
      <c r="B2323" s="476">
        <v>275899</v>
      </c>
      <c r="C2323" s="476">
        <v>275935</v>
      </c>
      <c r="D2323" s="476">
        <v>275971</v>
      </c>
      <c r="E2323" s="476">
        <v>276007</v>
      </c>
      <c r="F2323" s="476">
        <v>276044</v>
      </c>
      <c r="G2323" s="476">
        <v>276080</v>
      </c>
      <c r="H2323" s="476">
        <v>276116</v>
      </c>
      <c r="I2323" s="476">
        <v>276152</v>
      </c>
      <c r="J2323" s="476">
        <v>276188</v>
      </c>
      <c r="K2323" s="476">
        <v>276225</v>
      </c>
    </row>
    <row r="2324" spans="1:11">
      <c r="A2324" s="479">
        <v>6898</v>
      </c>
      <c r="B2324" s="476">
        <v>276261</v>
      </c>
      <c r="C2324" s="476">
        <v>276297</v>
      </c>
      <c r="D2324" s="476">
        <v>276334</v>
      </c>
      <c r="E2324" s="476">
        <v>276370</v>
      </c>
      <c r="F2324" s="476">
        <v>276407</v>
      </c>
      <c r="G2324" s="476">
        <v>276443</v>
      </c>
      <c r="H2324" s="476">
        <v>276479</v>
      </c>
      <c r="I2324" s="476">
        <v>276516</v>
      </c>
      <c r="J2324" s="476">
        <v>276552</v>
      </c>
      <c r="K2324" s="476">
        <v>276589</v>
      </c>
    </row>
    <row r="2325" spans="1:11">
      <c r="A2325" s="479">
        <v>6898.1</v>
      </c>
      <c r="B2325" s="476">
        <v>276625</v>
      </c>
      <c r="C2325" s="476">
        <v>276662</v>
      </c>
      <c r="D2325" s="476">
        <v>276698</v>
      </c>
      <c r="E2325" s="476">
        <v>276735</v>
      </c>
      <c r="F2325" s="476">
        <v>276771</v>
      </c>
      <c r="G2325" s="476">
        <v>276808</v>
      </c>
      <c r="H2325" s="476">
        <v>276844</v>
      </c>
      <c r="I2325" s="476">
        <v>276880</v>
      </c>
      <c r="J2325" s="476">
        <v>276917</v>
      </c>
      <c r="K2325" s="476">
        <v>276953</v>
      </c>
    </row>
    <row r="2326" spans="1:11">
      <c r="A2326" s="479">
        <v>6898.2</v>
      </c>
      <c r="B2326" s="476">
        <v>276990</v>
      </c>
      <c r="C2326" s="476">
        <v>277026</v>
      </c>
      <c r="D2326" s="476">
        <v>277063</v>
      </c>
      <c r="E2326" s="476">
        <v>277099</v>
      </c>
      <c r="F2326" s="476">
        <v>277136</v>
      </c>
      <c r="G2326" s="476">
        <v>277172</v>
      </c>
      <c r="H2326" s="476">
        <v>277209</v>
      </c>
      <c r="I2326" s="476">
        <v>277245</v>
      </c>
      <c r="J2326" s="476">
        <v>277281</v>
      </c>
      <c r="K2326" s="476">
        <v>277318</v>
      </c>
    </row>
    <row r="2327" spans="1:11">
      <c r="A2327" s="479">
        <v>6898.3</v>
      </c>
      <c r="B2327" s="476">
        <v>277354</v>
      </c>
      <c r="C2327" s="476">
        <v>277391</v>
      </c>
      <c r="D2327" s="476">
        <v>277427</v>
      </c>
      <c r="E2327" s="476">
        <v>277464</v>
      </c>
      <c r="F2327" s="476">
        <v>277500</v>
      </c>
      <c r="G2327" s="476">
        <v>277537</v>
      </c>
      <c r="H2327" s="476">
        <v>277573</v>
      </c>
      <c r="I2327" s="476">
        <v>277610</v>
      </c>
      <c r="J2327" s="476">
        <v>277646</v>
      </c>
      <c r="K2327" s="476">
        <v>277683</v>
      </c>
    </row>
    <row r="2328" spans="1:11">
      <c r="A2328" s="479">
        <v>6898.4</v>
      </c>
      <c r="B2328" s="476">
        <v>277719</v>
      </c>
      <c r="C2328" s="476">
        <v>277755</v>
      </c>
      <c r="D2328" s="476">
        <v>277792</v>
      </c>
      <c r="E2328" s="476">
        <v>277828</v>
      </c>
      <c r="F2328" s="476">
        <v>277865</v>
      </c>
      <c r="G2328" s="476">
        <v>277901</v>
      </c>
      <c r="H2328" s="476">
        <v>277938</v>
      </c>
      <c r="I2328" s="476">
        <v>277974</v>
      </c>
      <c r="J2328" s="476">
        <v>278011</v>
      </c>
      <c r="K2328" s="476">
        <v>278047</v>
      </c>
    </row>
    <row r="2329" spans="1:11">
      <c r="A2329" s="479">
        <v>6898.5</v>
      </c>
      <c r="B2329" s="476">
        <v>278084</v>
      </c>
      <c r="C2329" s="476">
        <v>278120</v>
      </c>
      <c r="D2329" s="476">
        <v>278156</v>
      </c>
      <c r="E2329" s="476">
        <v>278193</v>
      </c>
      <c r="F2329" s="476">
        <v>278229</v>
      </c>
      <c r="G2329" s="476">
        <v>278266</v>
      </c>
      <c r="H2329" s="476">
        <v>278302</v>
      </c>
      <c r="I2329" s="476">
        <v>278339</v>
      </c>
      <c r="J2329" s="476">
        <v>278375</v>
      </c>
      <c r="K2329" s="476">
        <v>278412</v>
      </c>
    </row>
    <row r="2330" spans="1:11">
      <c r="A2330" s="479">
        <v>6898.6</v>
      </c>
      <c r="B2330" s="476">
        <v>278448</v>
      </c>
      <c r="C2330" s="476">
        <v>278485</v>
      </c>
      <c r="D2330" s="476">
        <v>278521</v>
      </c>
      <c r="E2330" s="476">
        <v>278557</v>
      </c>
      <c r="F2330" s="476">
        <v>278594</v>
      </c>
      <c r="G2330" s="476">
        <v>278630</v>
      </c>
      <c r="H2330" s="476">
        <v>278667</v>
      </c>
      <c r="I2330" s="476">
        <v>278703</v>
      </c>
      <c r="J2330" s="476">
        <v>278740</v>
      </c>
      <c r="K2330" s="476">
        <v>278776</v>
      </c>
    </row>
    <row r="2331" spans="1:11">
      <c r="A2331" s="479">
        <v>6898.7</v>
      </c>
      <c r="B2331" s="476">
        <v>278813</v>
      </c>
      <c r="C2331" s="476">
        <v>278849</v>
      </c>
      <c r="D2331" s="476">
        <v>278886</v>
      </c>
      <c r="E2331" s="476">
        <v>278922</v>
      </c>
      <c r="F2331" s="476">
        <v>278959</v>
      </c>
      <c r="G2331" s="476">
        <v>278995</v>
      </c>
      <c r="H2331" s="476">
        <v>279031</v>
      </c>
      <c r="I2331" s="476">
        <v>279068</v>
      </c>
      <c r="J2331" s="476">
        <v>279104</v>
      </c>
      <c r="K2331" s="476">
        <v>279141</v>
      </c>
    </row>
    <row r="2332" spans="1:11">
      <c r="A2332" s="479">
        <v>6898.8</v>
      </c>
      <c r="B2332" s="476">
        <v>279177</v>
      </c>
      <c r="C2332" s="476">
        <v>279214</v>
      </c>
      <c r="D2332" s="476">
        <v>279250</v>
      </c>
      <c r="E2332" s="476">
        <v>279287</v>
      </c>
      <c r="F2332" s="476">
        <v>279323</v>
      </c>
      <c r="G2332" s="476">
        <v>279360</v>
      </c>
      <c r="H2332" s="476">
        <v>279396</v>
      </c>
      <c r="I2332" s="476">
        <v>279432</v>
      </c>
      <c r="J2332" s="476">
        <v>279469</v>
      </c>
      <c r="K2332" s="476">
        <v>279505</v>
      </c>
    </row>
    <row r="2333" spans="1:11">
      <c r="A2333" s="479">
        <v>6898.9</v>
      </c>
      <c r="B2333" s="476">
        <v>279542</v>
      </c>
      <c r="C2333" s="476">
        <v>279578</v>
      </c>
      <c r="D2333" s="476">
        <v>279615</v>
      </c>
      <c r="E2333" s="476">
        <v>279651</v>
      </c>
      <c r="F2333" s="476">
        <v>279688</v>
      </c>
      <c r="G2333" s="476">
        <v>279724</v>
      </c>
      <c r="H2333" s="476">
        <v>279761</v>
      </c>
      <c r="I2333" s="476">
        <v>279797</v>
      </c>
      <c r="J2333" s="476">
        <v>279833</v>
      </c>
      <c r="K2333" s="476">
        <v>279870</v>
      </c>
    </row>
    <row r="2334" spans="1:11">
      <c r="A2334" s="479">
        <v>6899</v>
      </c>
      <c r="B2334" s="476">
        <v>279906</v>
      </c>
      <c r="C2334" s="476">
        <v>279943</v>
      </c>
      <c r="D2334" s="476">
        <v>279980</v>
      </c>
      <c r="E2334" s="476">
        <v>280017</v>
      </c>
      <c r="F2334" s="476">
        <v>280053</v>
      </c>
      <c r="G2334" s="476">
        <v>280090</v>
      </c>
      <c r="H2334" s="476">
        <v>280127</v>
      </c>
      <c r="I2334" s="476">
        <v>280164</v>
      </c>
      <c r="J2334" s="476">
        <v>280200</v>
      </c>
      <c r="K2334" s="476">
        <v>280237</v>
      </c>
    </row>
    <row r="2335" spans="1:11">
      <c r="A2335" s="479">
        <v>6899.1</v>
      </c>
      <c r="B2335" s="476">
        <v>280274</v>
      </c>
      <c r="C2335" s="476">
        <v>280310</v>
      </c>
      <c r="D2335" s="476">
        <v>280347</v>
      </c>
      <c r="E2335" s="476">
        <v>280384</v>
      </c>
      <c r="F2335" s="476">
        <v>280421</v>
      </c>
      <c r="G2335" s="476">
        <v>280457</v>
      </c>
      <c r="H2335" s="476">
        <v>280494</v>
      </c>
      <c r="I2335" s="476">
        <v>280531</v>
      </c>
      <c r="J2335" s="476">
        <v>280568</v>
      </c>
      <c r="K2335" s="476">
        <v>280604</v>
      </c>
    </row>
    <row r="2336" spans="1:11">
      <c r="A2336" s="479">
        <v>6899.2</v>
      </c>
      <c r="B2336" s="476">
        <v>280641</v>
      </c>
      <c r="C2336" s="476">
        <v>280678</v>
      </c>
      <c r="D2336" s="476">
        <v>280715</v>
      </c>
      <c r="E2336" s="476">
        <v>280751</v>
      </c>
      <c r="F2336" s="476">
        <v>280788</v>
      </c>
      <c r="G2336" s="476">
        <v>280825</v>
      </c>
      <c r="H2336" s="476">
        <v>280861</v>
      </c>
      <c r="I2336" s="476">
        <v>280898</v>
      </c>
      <c r="J2336" s="476">
        <v>280935</v>
      </c>
      <c r="K2336" s="476">
        <v>280972</v>
      </c>
    </row>
    <row r="2337" spans="1:11">
      <c r="A2337" s="479">
        <v>6899.3</v>
      </c>
      <c r="B2337" s="476">
        <v>281008</v>
      </c>
      <c r="C2337" s="476">
        <v>281045</v>
      </c>
      <c r="D2337" s="476">
        <v>281082</v>
      </c>
      <c r="E2337" s="476">
        <v>281119</v>
      </c>
      <c r="F2337" s="476">
        <v>281155</v>
      </c>
      <c r="G2337" s="476">
        <v>281192</v>
      </c>
      <c r="H2337" s="476">
        <v>281229</v>
      </c>
      <c r="I2337" s="476">
        <v>281266</v>
      </c>
      <c r="J2337" s="476">
        <v>281302</v>
      </c>
      <c r="K2337" s="476">
        <v>281339</v>
      </c>
    </row>
    <row r="2338" spans="1:11">
      <c r="A2338" s="479">
        <v>6899.4</v>
      </c>
      <c r="B2338" s="476">
        <v>281376</v>
      </c>
      <c r="C2338" s="476">
        <v>281412</v>
      </c>
      <c r="D2338" s="476">
        <v>281449</v>
      </c>
      <c r="E2338" s="476">
        <v>281486</v>
      </c>
      <c r="F2338" s="476">
        <v>281523</v>
      </c>
      <c r="G2338" s="476">
        <v>281559</v>
      </c>
      <c r="H2338" s="476">
        <v>281596</v>
      </c>
      <c r="I2338" s="476">
        <v>281633</v>
      </c>
      <c r="J2338" s="476">
        <v>281670</v>
      </c>
      <c r="K2338" s="476">
        <v>281706</v>
      </c>
    </row>
    <row r="2339" spans="1:11">
      <c r="A2339" s="479">
        <v>6899.5</v>
      </c>
      <c r="B2339" s="476">
        <v>281743</v>
      </c>
      <c r="C2339" s="476">
        <v>281780</v>
      </c>
      <c r="D2339" s="476">
        <v>281817</v>
      </c>
      <c r="E2339" s="476">
        <v>281853</v>
      </c>
      <c r="F2339" s="476">
        <v>281890</v>
      </c>
      <c r="G2339" s="476">
        <v>281927</v>
      </c>
      <c r="H2339" s="476">
        <v>281964</v>
      </c>
      <c r="I2339" s="476">
        <v>282000</v>
      </c>
      <c r="J2339" s="476">
        <v>282037</v>
      </c>
      <c r="K2339" s="476">
        <v>282074</v>
      </c>
    </row>
    <row r="2340" spans="1:11">
      <c r="A2340" s="479">
        <v>6899.6</v>
      </c>
      <c r="B2340" s="476">
        <v>282110</v>
      </c>
      <c r="C2340" s="476">
        <v>282147</v>
      </c>
      <c r="D2340" s="476">
        <v>282184</v>
      </c>
      <c r="E2340" s="476">
        <v>282221</v>
      </c>
      <c r="F2340" s="476">
        <v>282257</v>
      </c>
      <c r="G2340" s="476">
        <v>282294</v>
      </c>
      <c r="H2340" s="476">
        <v>282331</v>
      </c>
      <c r="I2340" s="476">
        <v>282368</v>
      </c>
      <c r="J2340" s="476">
        <v>282404</v>
      </c>
      <c r="K2340" s="476">
        <v>282441</v>
      </c>
    </row>
    <row r="2341" spans="1:11">
      <c r="A2341" s="479">
        <v>6899.7</v>
      </c>
      <c r="B2341" s="476">
        <v>282478</v>
      </c>
      <c r="C2341" s="476">
        <v>282515</v>
      </c>
      <c r="D2341" s="476">
        <v>282551</v>
      </c>
      <c r="E2341" s="476">
        <v>282588</v>
      </c>
      <c r="F2341" s="476">
        <v>282625</v>
      </c>
      <c r="G2341" s="476">
        <v>282661</v>
      </c>
      <c r="H2341" s="476">
        <v>282698</v>
      </c>
      <c r="I2341" s="476">
        <v>282735</v>
      </c>
      <c r="J2341" s="476">
        <v>282772</v>
      </c>
      <c r="K2341" s="476">
        <v>282808</v>
      </c>
    </row>
    <row r="2342" spans="1:11">
      <c r="A2342" s="479">
        <v>6899.8</v>
      </c>
      <c r="B2342" s="476">
        <v>282845</v>
      </c>
      <c r="C2342" s="476">
        <v>282882</v>
      </c>
      <c r="D2342" s="476">
        <v>282919</v>
      </c>
      <c r="E2342" s="476">
        <v>282955</v>
      </c>
      <c r="F2342" s="476">
        <v>282992</v>
      </c>
      <c r="G2342" s="476">
        <v>283029</v>
      </c>
      <c r="H2342" s="476">
        <v>283066</v>
      </c>
      <c r="I2342" s="476">
        <v>283102</v>
      </c>
      <c r="J2342" s="476">
        <v>283139</v>
      </c>
      <c r="K2342" s="476">
        <v>283176</v>
      </c>
    </row>
    <row r="2343" spans="1:11">
      <c r="A2343" s="479">
        <v>6899.9</v>
      </c>
      <c r="B2343" s="476">
        <v>283212</v>
      </c>
      <c r="C2343" s="476">
        <v>283249</v>
      </c>
      <c r="D2343" s="476">
        <v>283286</v>
      </c>
      <c r="E2343" s="476">
        <v>283323</v>
      </c>
      <c r="F2343" s="476">
        <v>283359</v>
      </c>
      <c r="G2343" s="476">
        <v>283396</v>
      </c>
      <c r="H2343" s="476">
        <v>283433</v>
      </c>
      <c r="I2343" s="476">
        <v>283470</v>
      </c>
      <c r="J2343" s="476">
        <v>283506</v>
      </c>
      <c r="K2343" s="476">
        <v>283543</v>
      </c>
    </row>
    <row r="2344" spans="1:11">
      <c r="A2344" s="479">
        <v>6900</v>
      </c>
      <c r="B2344" s="476">
        <v>283580</v>
      </c>
      <c r="C2344" s="476">
        <v>283617</v>
      </c>
      <c r="D2344" s="476">
        <v>283654</v>
      </c>
      <c r="E2344" s="476">
        <v>283691</v>
      </c>
      <c r="F2344" s="476">
        <v>283728</v>
      </c>
      <c r="G2344" s="476">
        <v>283765</v>
      </c>
      <c r="H2344" s="476">
        <v>283802</v>
      </c>
      <c r="I2344" s="476">
        <v>283839</v>
      </c>
      <c r="J2344" s="476">
        <v>283876</v>
      </c>
      <c r="K2344" s="476">
        <v>283913</v>
      </c>
    </row>
    <row r="2345" spans="1:11">
      <c r="A2345" s="479">
        <v>6900.1</v>
      </c>
      <c r="B2345" s="476">
        <v>283950</v>
      </c>
      <c r="C2345" s="476">
        <v>283987</v>
      </c>
      <c r="D2345" s="476">
        <v>284024</v>
      </c>
      <c r="E2345" s="476">
        <v>284061</v>
      </c>
      <c r="F2345" s="476">
        <v>284098</v>
      </c>
      <c r="G2345" s="476">
        <v>284135</v>
      </c>
      <c r="H2345" s="476">
        <v>284172</v>
      </c>
      <c r="I2345" s="476">
        <v>284209</v>
      </c>
      <c r="J2345" s="476">
        <v>284246</v>
      </c>
      <c r="K2345" s="476">
        <v>284283</v>
      </c>
    </row>
    <row r="2346" spans="1:11">
      <c r="A2346" s="479">
        <v>6900.2</v>
      </c>
      <c r="B2346" s="476">
        <v>284320</v>
      </c>
      <c r="C2346" s="476">
        <v>284357</v>
      </c>
      <c r="D2346" s="476">
        <v>284394</v>
      </c>
      <c r="E2346" s="476">
        <v>284431</v>
      </c>
      <c r="F2346" s="476">
        <v>284468</v>
      </c>
      <c r="G2346" s="476">
        <v>284505</v>
      </c>
      <c r="H2346" s="476">
        <v>284542</v>
      </c>
      <c r="I2346" s="476">
        <v>284579</v>
      </c>
      <c r="J2346" s="476">
        <v>284616</v>
      </c>
      <c r="K2346" s="476">
        <v>284653</v>
      </c>
    </row>
    <row r="2347" spans="1:11">
      <c r="A2347" s="479">
        <v>6900.3</v>
      </c>
      <c r="B2347" s="476">
        <v>284690</v>
      </c>
      <c r="C2347" s="476">
        <v>284727</v>
      </c>
      <c r="D2347" s="476">
        <v>284764</v>
      </c>
      <c r="E2347" s="476">
        <v>284801</v>
      </c>
      <c r="F2347" s="476">
        <v>284839</v>
      </c>
      <c r="G2347" s="476">
        <v>284876</v>
      </c>
      <c r="H2347" s="476">
        <v>284913</v>
      </c>
      <c r="I2347" s="476">
        <v>284950</v>
      </c>
      <c r="J2347" s="476">
        <v>284987</v>
      </c>
      <c r="K2347" s="476">
        <v>285024</v>
      </c>
    </row>
    <row r="2348" spans="1:11">
      <c r="A2348" s="479">
        <v>6900.4</v>
      </c>
      <c r="B2348" s="476">
        <v>285061</v>
      </c>
      <c r="C2348" s="476">
        <v>285098</v>
      </c>
      <c r="D2348" s="476">
        <v>285135</v>
      </c>
      <c r="E2348" s="476">
        <v>285172</v>
      </c>
      <c r="F2348" s="476">
        <v>285209</v>
      </c>
      <c r="G2348" s="476">
        <v>285246</v>
      </c>
      <c r="H2348" s="476">
        <v>285283</v>
      </c>
      <c r="I2348" s="476">
        <v>285320</v>
      </c>
      <c r="J2348" s="476">
        <v>285357</v>
      </c>
      <c r="K2348" s="476">
        <v>285394</v>
      </c>
    </row>
    <row r="2349" spans="1:11">
      <c r="A2349" s="479">
        <v>6900.5</v>
      </c>
      <c r="B2349" s="476">
        <v>285431</v>
      </c>
      <c r="C2349" s="476">
        <v>285468</v>
      </c>
      <c r="D2349" s="476">
        <v>285505</v>
      </c>
      <c r="E2349" s="476">
        <v>285542</v>
      </c>
      <c r="F2349" s="476">
        <v>285579</v>
      </c>
      <c r="G2349" s="476">
        <v>285616</v>
      </c>
      <c r="H2349" s="476">
        <v>285653</v>
      </c>
      <c r="I2349" s="476">
        <v>285690</v>
      </c>
      <c r="J2349" s="476">
        <v>285727</v>
      </c>
      <c r="K2349" s="476">
        <v>285764</v>
      </c>
    </row>
    <row r="2350" spans="1:11">
      <c r="A2350" s="479">
        <v>6900.6</v>
      </c>
      <c r="B2350" s="476">
        <v>285801</v>
      </c>
      <c r="C2350" s="476">
        <v>285838</v>
      </c>
      <c r="D2350" s="476">
        <v>285875</v>
      </c>
      <c r="E2350" s="476">
        <v>285912</v>
      </c>
      <c r="F2350" s="476">
        <v>285949</v>
      </c>
      <c r="G2350" s="476">
        <v>285986</v>
      </c>
      <c r="H2350" s="476">
        <v>286023</v>
      </c>
      <c r="I2350" s="476">
        <v>286060</v>
      </c>
      <c r="J2350" s="476">
        <v>286097</v>
      </c>
      <c r="K2350" s="476">
        <v>286134</v>
      </c>
    </row>
    <row r="2351" spans="1:11">
      <c r="A2351" s="479">
        <v>6900.7</v>
      </c>
      <c r="B2351" s="476">
        <v>286171</v>
      </c>
      <c r="C2351" s="476">
        <v>286208</v>
      </c>
      <c r="D2351" s="476">
        <v>286245</v>
      </c>
      <c r="E2351" s="476">
        <v>286282</v>
      </c>
      <c r="F2351" s="476">
        <v>286319</v>
      </c>
      <c r="G2351" s="476">
        <v>286356</v>
      </c>
      <c r="H2351" s="476">
        <v>286393</v>
      </c>
      <c r="I2351" s="476">
        <v>286430</v>
      </c>
      <c r="J2351" s="476">
        <v>286467</v>
      </c>
      <c r="K2351" s="476">
        <v>286504</v>
      </c>
    </row>
    <row r="2352" spans="1:11">
      <c r="A2352" s="479">
        <v>6900.8</v>
      </c>
      <c r="B2352" s="476">
        <v>286541</v>
      </c>
      <c r="C2352" s="476">
        <v>286579</v>
      </c>
      <c r="D2352" s="476">
        <v>286616</v>
      </c>
      <c r="E2352" s="476">
        <v>286653</v>
      </c>
      <c r="F2352" s="476">
        <v>286690</v>
      </c>
      <c r="G2352" s="476">
        <v>286727</v>
      </c>
      <c r="H2352" s="476">
        <v>286764</v>
      </c>
      <c r="I2352" s="476">
        <v>286801</v>
      </c>
      <c r="J2352" s="476">
        <v>286838</v>
      </c>
      <c r="K2352" s="476">
        <v>286875</v>
      </c>
    </row>
    <row r="2353" spans="1:11">
      <c r="A2353" s="479">
        <v>6900.9</v>
      </c>
      <c r="B2353" s="476">
        <v>286912</v>
      </c>
      <c r="C2353" s="476">
        <v>286949</v>
      </c>
      <c r="D2353" s="476">
        <v>286986</v>
      </c>
      <c r="E2353" s="476">
        <v>287023</v>
      </c>
      <c r="F2353" s="476">
        <v>287060</v>
      </c>
      <c r="G2353" s="476">
        <v>287097</v>
      </c>
      <c r="H2353" s="476">
        <v>287134</v>
      </c>
      <c r="I2353" s="476">
        <v>287171</v>
      </c>
      <c r="J2353" s="476">
        <v>287208</v>
      </c>
      <c r="K2353" s="476">
        <v>287245</v>
      </c>
    </row>
    <row r="2354" spans="1:11">
      <c r="A2354" s="479">
        <v>6901</v>
      </c>
      <c r="B2354" s="476">
        <v>287282</v>
      </c>
      <c r="C2354" s="476">
        <v>287319</v>
      </c>
      <c r="D2354" s="476">
        <v>287357</v>
      </c>
      <c r="E2354" s="476">
        <v>287394</v>
      </c>
      <c r="F2354" s="476">
        <v>287431</v>
      </c>
      <c r="G2354" s="476">
        <v>287469</v>
      </c>
      <c r="H2354" s="476">
        <v>287506</v>
      </c>
      <c r="I2354" s="476">
        <v>287543</v>
      </c>
      <c r="J2354" s="476">
        <v>287581</v>
      </c>
      <c r="K2354" s="476">
        <v>287618</v>
      </c>
    </row>
    <row r="2355" spans="1:11">
      <c r="A2355" s="479">
        <v>6901.1</v>
      </c>
      <c r="B2355" s="476">
        <v>287655</v>
      </c>
      <c r="C2355" s="476">
        <v>287692</v>
      </c>
      <c r="D2355" s="476">
        <v>287730</v>
      </c>
      <c r="E2355" s="476">
        <v>287767</v>
      </c>
      <c r="F2355" s="476">
        <v>287804</v>
      </c>
      <c r="G2355" s="476">
        <v>287842</v>
      </c>
      <c r="H2355" s="476">
        <v>287879</v>
      </c>
      <c r="I2355" s="476">
        <v>287916</v>
      </c>
      <c r="J2355" s="476">
        <v>287954</v>
      </c>
      <c r="K2355" s="476">
        <v>287991</v>
      </c>
    </row>
    <row r="2356" spans="1:11">
      <c r="A2356" s="479">
        <v>6901.2</v>
      </c>
      <c r="B2356" s="476">
        <v>288028</v>
      </c>
      <c r="C2356" s="476">
        <v>288066</v>
      </c>
      <c r="D2356" s="476">
        <v>288103</v>
      </c>
      <c r="E2356" s="476">
        <v>288140</v>
      </c>
      <c r="F2356" s="476">
        <v>288178</v>
      </c>
      <c r="G2356" s="476">
        <v>288215</v>
      </c>
      <c r="H2356" s="476">
        <v>288252</v>
      </c>
      <c r="I2356" s="476">
        <v>288290</v>
      </c>
      <c r="J2356" s="476">
        <v>288327</v>
      </c>
      <c r="K2356" s="476">
        <v>288364</v>
      </c>
    </row>
    <row r="2357" spans="1:11">
      <c r="A2357" s="479">
        <v>6901.3</v>
      </c>
      <c r="B2357" s="476">
        <v>288402</v>
      </c>
      <c r="C2357" s="476">
        <v>288439</v>
      </c>
      <c r="D2357" s="476">
        <v>288476</v>
      </c>
      <c r="E2357" s="476">
        <v>288514</v>
      </c>
      <c r="F2357" s="476">
        <v>288551</v>
      </c>
      <c r="G2357" s="476">
        <v>288588</v>
      </c>
      <c r="H2357" s="476">
        <v>288626</v>
      </c>
      <c r="I2357" s="476">
        <v>288663</v>
      </c>
      <c r="J2357" s="476">
        <v>288700</v>
      </c>
      <c r="K2357" s="476">
        <v>288738</v>
      </c>
    </row>
    <row r="2358" spans="1:11">
      <c r="A2358" s="479">
        <v>6901.4</v>
      </c>
      <c r="B2358" s="476">
        <v>288775</v>
      </c>
      <c r="C2358" s="476">
        <v>288812</v>
      </c>
      <c r="D2358" s="476">
        <v>288850</v>
      </c>
      <c r="E2358" s="476">
        <v>288887</v>
      </c>
      <c r="F2358" s="476">
        <v>288924</v>
      </c>
      <c r="G2358" s="476">
        <v>288962</v>
      </c>
      <c r="H2358" s="476">
        <v>288999</v>
      </c>
      <c r="I2358" s="476">
        <v>289036</v>
      </c>
      <c r="J2358" s="476">
        <v>289074</v>
      </c>
      <c r="K2358" s="476">
        <v>289111</v>
      </c>
    </row>
    <row r="2359" spans="1:11">
      <c r="A2359" s="479">
        <v>6901.5</v>
      </c>
      <c r="B2359" s="476">
        <v>289148</v>
      </c>
      <c r="C2359" s="476">
        <v>289185</v>
      </c>
      <c r="D2359" s="476">
        <v>289223</v>
      </c>
      <c r="E2359" s="476">
        <v>289260</v>
      </c>
      <c r="F2359" s="476">
        <v>289297</v>
      </c>
      <c r="G2359" s="476">
        <v>289335</v>
      </c>
      <c r="H2359" s="476">
        <v>289372</v>
      </c>
      <c r="I2359" s="476">
        <v>289409</v>
      </c>
      <c r="J2359" s="476">
        <v>289447</v>
      </c>
      <c r="K2359" s="476">
        <v>289484</v>
      </c>
    </row>
    <row r="2360" spans="1:11">
      <c r="A2360" s="479">
        <v>6901.6</v>
      </c>
      <c r="B2360" s="476">
        <v>289521</v>
      </c>
      <c r="C2360" s="476">
        <v>289559</v>
      </c>
      <c r="D2360" s="476">
        <v>289596</v>
      </c>
      <c r="E2360" s="476">
        <v>289633</v>
      </c>
      <c r="F2360" s="476">
        <v>289671</v>
      </c>
      <c r="G2360" s="476">
        <v>289708</v>
      </c>
      <c r="H2360" s="476">
        <v>289745</v>
      </c>
      <c r="I2360" s="476">
        <v>289783</v>
      </c>
      <c r="J2360" s="476">
        <v>289820</v>
      </c>
      <c r="K2360" s="476">
        <v>289857</v>
      </c>
    </row>
    <row r="2361" spans="1:11">
      <c r="A2361" s="479">
        <v>6901.7</v>
      </c>
      <c r="B2361" s="476">
        <v>289895</v>
      </c>
      <c r="C2361" s="476">
        <v>289932</v>
      </c>
      <c r="D2361" s="476">
        <v>289969</v>
      </c>
      <c r="E2361" s="476">
        <v>290007</v>
      </c>
      <c r="F2361" s="476">
        <v>290044</v>
      </c>
      <c r="G2361" s="476">
        <v>290081</v>
      </c>
      <c r="H2361" s="476">
        <v>290119</v>
      </c>
      <c r="I2361" s="476">
        <v>290156</v>
      </c>
      <c r="J2361" s="476">
        <v>290193</v>
      </c>
      <c r="K2361" s="476">
        <v>290231</v>
      </c>
    </row>
    <row r="2362" spans="1:11">
      <c r="A2362" s="479">
        <v>6901.8</v>
      </c>
      <c r="B2362" s="476">
        <v>290268</v>
      </c>
      <c r="C2362" s="476">
        <v>290305</v>
      </c>
      <c r="D2362" s="476">
        <v>290343</v>
      </c>
      <c r="E2362" s="476">
        <v>290380</v>
      </c>
      <c r="F2362" s="476">
        <v>290417</v>
      </c>
      <c r="G2362" s="476">
        <v>290455</v>
      </c>
      <c r="H2362" s="476">
        <v>290492</v>
      </c>
      <c r="I2362" s="476">
        <v>290529</v>
      </c>
      <c r="J2362" s="476">
        <v>290567</v>
      </c>
      <c r="K2362" s="476">
        <v>290604</v>
      </c>
    </row>
    <row r="2363" spans="1:11">
      <c r="A2363" s="479">
        <v>6901.9</v>
      </c>
      <c r="B2363" s="476">
        <v>290641</v>
      </c>
      <c r="C2363" s="476">
        <v>290678</v>
      </c>
      <c r="D2363" s="476">
        <v>290716</v>
      </c>
      <c r="E2363" s="476">
        <v>290753</v>
      </c>
      <c r="F2363" s="476">
        <v>290790</v>
      </c>
      <c r="G2363" s="476">
        <v>290828</v>
      </c>
      <c r="H2363" s="476">
        <v>290865</v>
      </c>
      <c r="I2363" s="476">
        <v>290902</v>
      </c>
      <c r="J2363" s="476">
        <v>290940</v>
      </c>
      <c r="K2363" s="476">
        <v>290977</v>
      </c>
    </row>
    <row r="2364" spans="1:11">
      <c r="A2364" s="479">
        <v>6902</v>
      </c>
      <c r="B2364" s="476">
        <v>291014</v>
      </c>
      <c r="C2364" s="476">
        <v>291052</v>
      </c>
      <c r="D2364" s="476">
        <v>291090</v>
      </c>
      <c r="E2364" s="476">
        <v>291127</v>
      </c>
      <c r="F2364" s="476">
        <v>291165</v>
      </c>
      <c r="G2364" s="476">
        <v>291203</v>
      </c>
      <c r="H2364" s="476">
        <v>291240</v>
      </c>
      <c r="I2364" s="476">
        <v>291278</v>
      </c>
      <c r="J2364" s="476">
        <v>291315</v>
      </c>
      <c r="K2364" s="476">
        <v>291353</v>
      </c>
    </row>
    <row r="2365" spans="1:11">
      <c r="A2365" s="479">
        <v>6902.1</v>
      </c>
      <c r="B2365" s="476">
        <v>291391</v>
      </c>
      <c r="C2365" s="476">
        <v>291428</v>
      </c>
      <c r="D2365" s="476">
        <v>291466</v>
      </c>
      <c r="E2365" s="476">
        <v>291504</v>
      </c>
      <c r="F2365" s="476">
        <v>291541</v>
      </c>
      <c r="G2365" s="476">
        <v>291579</v>
      </c>
      <c r="H2365" s="476">
        <v>291616</v>
      </c>
      <c r="I2365" s="476">
        <v>291654</v>
      </c>
      <c r="J2365" s="476">
        <v>291692</v>
      </c>
      <c r="K2365" s="476">
        <v>291729</v>
      </c>
    </row>
    <row r="2366" spans="1:11">
      <c r="A2366" s="479">
        <v>6902.2</v>
      </c>
      <c r="B2366" s="476">
        <v>291767</v>
      </c>
      <c r="C2366" s="476">
        <v>291805</v>
      </c>
      <c r="D2366" s="476">
        <v>291842</v>
      </c>
      <c r="E2366" s="476">
        <v>291880</v>
      </c>
      <c r="F2366" s="476">
        <v>291918</v>
      </c>
      <c r="G2366" s="476">
        <v>291955</v>
      </c>
      <c r="H2366" s="476">
        <v>291993</v>
      </c>
      <c r="I2366" s="476">
        <v>292030</v>
      </c>
      <c r="J2366" s="476">
        <v>292068</v>
      </c>
      <c r="K2366" s="476">
        <v>292106</v>
      </c>
    </row>
    <row r="2367" spans="1:11">
      <c r="A2367" s="479">
        <v>6902.3</v>
      </c>
      <c r="B2367" s="476">
        <v>292143</v>
      </c>
      <c r="C2367" s="476">
        <v>292181</v>
      </c>
      <c r="D2367" s="476">
        <v>292219</v>
      </c>
      <c r="E2367" s="476">
        <v>292256</v>
      </c>
      <c r="F2367" s="476">
        <v>292294</v>
      </c>
      <c r="G2367" s="476">
        <v>292331</v>
      </c>
      <c r="H2367" s="476">
        <v>292369</v>
      </c>
      <c r="I2367" s="476">
        <v>292407</v>
      </c>
      <c r="J2367" s="476">
        <v>292444</v>
      </c>
      <c r="K2367" s="476">
        <v>292482</v>
      </c>
    </row>
    <row r="2368" spans="1:11">
      <c r="A2368" s="479">
        <v>6902.4</v>
      </c>
      <c r="B2368" s="476">
        <v>292520</v>
      </c>
      <c r="C2368" s="476">
        <v>292557</v>
      </c>
      <c r="D2368" s="476">
        <v>292595</v>
      </c>
      <c r="E2368" s="476">
        <v>292632</v>
      </c>
      <c r="F2368" s="476">
        <v>292670</v>
      </c>
      <c r="G2368" s="476">
        <v>292708</v>
      </c>
      <c r="H2368" s="476">
        <v>292745</v>
      </c>
      <c r="I2368" s="476">
        <v>292783</v>
      </c>
      <c r="J2368" s="476">
        <v>292821</v>
      </c>
      <c r="K2368" s="476">
        <v>292858</v>
      </c>
    </row>
    <row r="2369" spans="1:11">
      <c r="A2369" s="479">
        <v>6902.5</v>
      </c>
      <c r="B2369" s="476">
        <v>292896</v>
      </c>
      <c r="C2369" s="476">
        <v>292934</v>
      </c>
      <c r="D2369" s="476">
        <v>292971</v>
      </c>
      <c r="E2369" s="476">
        <v>293009</v>
      </c>
      <c r="F2369" s="476">
        <v>293046</v>
      </c>
      <c r="G2369" s="476">
        <v>293084</v>
      </c>
      <c r="H2369" s="476">
        <v>293122</v>
      </c>
      <c r="I2369" s="476">
        <v>293159</v>
      </c>
      <c r="J2369" s="476">
        <v>293197</v>
      </c>
      <c r="K2369" s="476">
        <v>293235</v>
      </c>
    </row>
    <row r="2370" spans="1:11">
      <c r="A2370" s="479">
        <v>6902.6</v>
      </c>
      <c r="B2370" s="476">
        <v>293272</v>
      </c>
      <c r="C2370" s="476">
        <v>293310</v>
      </c>
      <c r="D2370" s="476">
        <v>293347</v>
      </c>
      <c r="E2370" s="476">
        <v>293385</v>
      </c>
      <c r="F2370" s="476">
        <v>293423</v>
      </c>
      <c r="G2370" s="476">
        <v>293460</v>
      </c>
      <c r="H2370" s="476">
        <v>293498</v>
      </c>
      <c r="I2370" s="476">
        <v>293536</v>
      </c>
      <c r="J2370" s="476">
        <v>293573</v>
      </c>
      <c r="K2370" s="476">
        <v>293611</v>
      </c>
    </row>
    <row r="2371" spans="1:11">
      <c r="A2371" s="479">
        <v>6902.7</v>
      </c>
      <c r="B2371" s="476">
        <v>293649</v>
      </c>
      <c r="C2371" s="476">
        <v>293686</v>
      </c>
      <c r="D2371" s="476">
        <v>293724</v>
      </c>
      <c r="E2371" s="476">
        <v>293761</v>
      </c>
      <c r="F2371" s="476">
        <v>293799</v>
      </c>
      <c r="G2371" s="476">
        <v>293837</v>
      </c>
      <c r="H2371" s="476">
        <v>293874</v>
      </c>
      <c r="I2371" s="476">
        <v>293912</v>
      </c>
      <c r="J2371" s="476">
        <v>293950</v>
      </c>
      <c r="K2371" s="476">
        <v>293987</v>
      </c>
    </row>
    <row r="2372" spans="1:11">
      <c r="A2372" s="479">
        <v>6902.8</v>
      </c>
      <c r="B2372" s="476">
        <v>294025</v>
      </c>
      <c r="C2372" s="476">
        <v>294062</v>
      </c>
      <c r="D2372" s="476">
        <v>294100</v>
      </c>
      <c r="E2372" s="476">
        <v>294138</v>
      </c>
      <c r="F2372" s="476">
        <v>294175</v>
      </c>
      <c r="G2372" s="476">
        <v>294213</v>
      </c>
      <c r="H2372" s="476">
        <v>294251</v>
      </c>
      <c r="I2372" s="476">
        <v>294288</v>
      </c>
      <c r="J2372" s="476">
        <v>294326</v>
      </c>
      <c r="K2372" s="476">
        <v>294363</v>
      </c>
    </row>
    <row r="2373" spans="1:11">
      <c r="A2373" s="479">
        <v>6902.9</v>
      </c>
      <c r="B2373" s="476">
        <v>294401</v>
      </c>
      <c r="C2373" s="476">
        <v>294439</v>
      </c>
      <c r="D2373" s="476">
        <v>294476</v>
      </c>
      <c r="E2373" s="476">
        <v>294514</v>
      </c>
      <c r="F2373" s="476">
        <v>294552</v>
      </c>
      <c r="G2373" s="476">
        <v>294589</v>
      </c>
      <c r="H2373" s="476">
        <v>294627</v>
      </c>
      <c r="I2373" s="476">
        <v>294665</v>
      </c>
      <c r="J2373" s="476">
        <v>294702</v>
      </c>
      <c r="K2373" s="476">
        <v>294740</v>
      </c>
    </row>
    <row r="2374" spans="1:11">
      <c r="A2374" s="479">
        <v>6903</v>
      </c>
      <c r="B2374" s="476">
        <v>294777</v>
      </c>
      <c r="C2374" s="476">
        <v>294815</v>
      </c>
      <c r="D2374" s="476">
        <v>294853</v>
      </c>
      <c r="E2374" s="476">
        <v>294891</v>
      </c>
      <c r="F2374" s="476">
        <v>294929</v>
      </c>
      <c r="G2374" s="476">
        <v>294967</v>
      </c>
      <c r="H2374" s="476">
        <v>295005</v>
      </c>
      <c r="I2374" s="476">
        <v>295043</v>
      </c>
      <c r="J2374" s="476">
        <v>295081</v>
      </c>
      <c r="K2374" s="476">
        <v>295119</v>
      </c>
    </row>
    <row r="2375" spans="1:11">
      <c r="A2375" s="479">
        <v>6903.1</v>
      </c>
      <c r="B2375" s="476">
        <v>295157</v>
      </c>
      <c r="C2375" s="476">
        <v>295195</v>
      </c>
      <c r="D2375" s="476">
        <v>295233</v>
      </c>
      <c r="E2375" s="476">
        <v>295271</v>
      </c>
      <c r="F2375" s="476">
        <v>295309</v>
      </c>
      <c r="G2375" s="476">
        <v>295346</v>
      </c>
      <c r="H2375" s="476">
        <v>295384</v>
      </c>
      <c r="I2375" s="476">
        <v>295422</v>
      </c>
      <c r="J2375" s="476">
        <v>295460</v>
      </c>
      <c r="K2375" s="476">
        <v>295498</v>
      </c>
    </row>
    <row r="2376" spans="1:11">
      <c r="A2376" s="479">
        <v>6903.2</v>
      </c>
      <c r="B2376" s="476">
        <v>295536</v>
      </c>
      <c r="C2376" s="476">
        <v>295574</v>
      </c>
      <c r="D2376" s="476">
        <v>295612</v>
      </c>
      <c r="E2376" s="476">
        <v>295650</v>
      </c>
      <c r="F2376" s="476">
        <v>295688</v>
      </c>
      <c r="G2376" s="476">
        <v>295726</v>
      </c>
      <c r="H2376" s="476">
        <v>295764</v>
      </c>
      <c r="I2376" s="476">
        <v>295802</v>
      </c>
      <c r="J2376" s="476">
        <v>295840</v>
      </c>
      <c r="K2376" s="476">
        <v>295878</v>
      </c>
    </row>
    <row r="2377" spans="1:11">
      <c r="A2377" s="479">
        <v>6903.3</v>
      </c>
      <c r="B2377" s="476">
        <v>295916</v>
      </c>
      <c r="C2377" s="476">
        <v>295953</v>
      </c>
      <c r="D2377" s="476">
        <v>295991</v>
      </c>
      <c r="E2377" s="476">
        <v>296029</v>
      </c>
      <c r="F2377" s="476">
        <v>296067</v>
      </c>
      <c r="G2377" s="476">
        <v>296105</v>
      </c>
      <c r="H2377" s="476">
        <v>296143</v>
      </c>
      <c r="I2377" s="476">
        <v>296181</v>
      </c>
      <c r="J2377" s="476">
        <v>296219</v>
      </c>
      <c r="K2377" s="476">
        <v>296257</v>
      </c>
    </row>
    <row r="2378" spans="1:11">
      <c r="A2378" s="479">
        <v>6903.4</v>
      </c>
      <c r="B2378" s="476">
        <v>296295</v>
      </c>
      <c r="C2378" s="476">
        <v>296333</v>
      </c>
      <c r="D2378" s="476">
        <v>296371</v>
      </c>
      <c r="E2378" s="476">
        <v>296409</v>
      </c>
      <c r="F2378" s="476">
        <v>296447</v>
      </c>
      <c r="G2378" s="476">
        <v>296485</v>
      </c>
      <c r="H2378" s="476">
        <v>296523</v>
      </c>
      <c r="I2378" s="476">
        <v>296560</v>
      </c>
      <c r="J2378" s="476">
        <v>296598</v>
      </c>
      <c r="K2378" s="476">
        <v>296636</v>
      </c>
    </row>
    <row r="2379" spans="1:11">
      <c r="A2379" s="479">
        <v>6903.5</v>
      </c>
      <c r="B2379" s="476">
        <v>296674</v>
      </c>
      <c r="C2379" s="476">
        <v>296712</v>
      </c>
      <c r="D2379" s="476">
        <v>296750</v>
      </c>
      <c r="E2379" s="476">
        <v>296788</v>
      </c>
      <c r="F2379" s="476">
        <v>296826</v>
      </c>
      <c r="G2379" s="476">
        <v>296864</v>
      </c>
      <c r="H2379" s="476">
        <v>296902</v>
      </c>
      <c r="I2379" s="476">
        <v>296940</v>
      </c>
      <c r="J2379" s="476">
        <v>296978</v>
      </c>
      <c r="K2379" s="476">
        <v>297016</v>
      </c>
    </row>
    <row r="2380" spans="1:11">
      <c r="A2380" s="479">
        <v>6903.6</v>
      </c>
      <c r="B2380" s="476">
        <v>297054</v>
      </c>
      <c r="C2380" s="476">
        <v>297092</v>
      </c>
      <c r="D2380" s="476">
        <v>297129</v>
      </c>
      <c r="E2380" s="476">
        <v>297167</v>
      </c>
      <c r="F2380" s="476">
        <v>297205</v>
      </c>
      <c r="G2380" s="476">
        <v>297243</v>
      </c>
      <c r="H2380" s="476">
        <v>297281</v>
      </c>
      <c r="I2380" s="476">
        <v>297319</v>
      </c>
      <c r="J2380" s="476">
        <v>297357</v>
      </c>
      <c r="K2380" s="476">
        <v>297395</v>
      </c>
    </row>
    <row r="2381" spans="1:11">
      <c r="A2381" s="479">
        <v>6903.7</v>
      </c>
      <c r="B2381" s="476">
        <v>297433</v>
      </c>
      <c r="C2381" s="476">
        <v>297471</v>
      </c>
      <c r="D2381" s="476">
        <v>297509</v>
      </c>
      <c r="E2381" s="476">
        <v>297547</v>
      </c>
      <c r="F2381" s="476">
        <v>297585</v>
      </c>
      <c r="G2381" s="476">
        <v>297623</v>
      </c>
      <c r="H2381" s="476">
        <v>297661</v>
      </c>
      <c r="I2381" s="476">
        <v>297699</v>
      </c>
      <c r="J2381" s="476">
        <v>297736</v>
      </c>
      <c r="K2381" s="476">
        <v>297774</v>
      </c>
    </row>
    <row r="2382" spans="1:11">
      <c r="A2382" s="479">
        <v>6903.8</v>
      </c>
      <c r="B2382" s="476">
        <v>297812</v>
      </c>
      <c r="C2382" s="476">
        <v>297850</v>
      </c>
      <c r="D2382" s="476">
        <v>297888</v>
      </c>
      <c r="E2382" s="476">
        <v>297926</v>
      </c>
      <c r="F2382" s="476">
        <v>297964</v>
      </c>
      <c r="G2382" s="476">
        <v>298002</v>
      </c>
      <c r="H2382" s="476">
        <v>298040</v>
      </c>
      <c r="I2382" s="476">
        <v>298078</v>
      </c>
      <c r="J2382" s="476">
        <v>298116</v>
      </c>
      <c r="K2382" s="476">
        <v>298154</v>
      </c>
    </row>
    <row r="2383" spans="1:11">
      <c r="A2383" s="479">
        <v>6903.9</v>
      </c>
      <c r="B2383" s="476">
        <v>298192</v>
      </c>
      <c r="C2383" s="476">
        <v>298230</v>
      </c>
      <c r="D2383" s="476">
        <v>298268</v>
      </c>
      <c r="E2383" s="476">
        <v>298306</v>
      </c>
      <c r="F2383" s="476">
        <v>298343</v>
      </c>
      <c r="G2383" s="476">
        <v>298381</v>
      </c>
      <c r="H2383" s="476">
        <v>298419</v>
      </c>
      <c r="I2383" s="476">
        <v>298457</v>
      </c>
      <c r="J2383" s="476">
        <v>298495</v>
      </c>
      <c r="K2383" s="476">
        <v>298533</v>
      </c>
    </row>
    <row r="2384" spans="1:11">
      <c r="A2384" s="479">
        <v>6904</v>
      </c>
      <c r="B2384" s="476">
        <v>298571</v>
      </c>
      <c r="C2384" s="476">
        <v>298609</v>
      </c>
      <c r="D2384" s="476">
        <v>298648</v>
      </c>
      <c r="E2384" s="476">
        <v>298686</v>
      </c>
      <c r="F2384" s="476">
        <v>298724</v>
      </c>
      <c r="G2384" s="476">
        <v>298762</v>
      </c>
      <c r="H2384" s="476">
        <v>298801</v>
      </c>
      <c r="I2384" s="476">
        <v>298839</v>
      </c>
      <c r="J2384" s="476">
        <v>298877</v>
      </c>
      <c r="K2384" s="476">
        <v>298915</v>
      </c>
    </row>
    <row r="2385" spans="1:11">
      <c r="A2385" s="479">
        <v>6904.1</v>
      </c>
      <c r="B2385" s="476">
        <v>298954</v>
      </c>
      <c r="C2385" s="476">
        <v>298992</v>
      </c>
      <c r="D2385" s="476">
        <v>299030</v>
      </c>
      <c r="E2385" s="476">
        <v>299068</v>
      </c>
      <c r="F2385" s="476">
        <v>299107</v>
      </c>
      <c r="G2385" s="476">
        <v>299145</v>
      </c>
      <c r="H2385" s="476">
        <v>299183</v>
      </c>
      <c r="I2385" s="476">
        <v>299221</v>
      </c>
      <c r="J2385" s="476">
        <v>299260</v>
      </c>
      <c r="K2385" s="476">
        <v>299298</v>
      </c>
    </row>
    <row r="2386" spans="1:11">
      <c r="A2386" s="479">
        <v>6904.2</v>
      </c>
      <c r="B2386" s="476">
        <v>299336</v>
      </c>
      <c r="C2386" s="476">
        <v>299374</v>
      </c>
      <c r="D2386" s="476">
        <v>299412</v>
      </c>
      <c r="E2386" s="476">
        <v>299451</v>
      </c>
      <c r="F2386" s="476">
        <v>299489</v>
      </c>
      <c r="G2386" s="476">
        <v>299527</v>
      </c>
      <c r="H2386" s="476">
        <v>299565</v>
      </c>
      <c r="I2386" s="476">
        <v>299604</v>
      </c>
      <c r="J2386" s="476">
        <v>299642</v>
      </c>
      <c r="K2386" s="476">
        <v>299680</v>
      </c>
    </row>
    <row r="2387" spans="1:11">
      <c r="A2387" s="479">
        <v>6904.3</v>
      </c>
      <c r="B2387" s="476">
        <v>299718</v>
      </c>
      <c r="C2387" s="476">
        <v>299757</v>
      </c>
      <c r="D2387" s="476">
        <v>299795</v>
      </c>
      <c r="E2387" s="476">
        <v>299833</v>
      </c>
      <c r="F2387" s="476">
        <v>299871</v>
      </c>
      <c r="G2387" s="476">
        <v>299910</v>
      </c>
      <c r="H2387" s="476">
        <v>299948</v>
      </c>
      <c r="I2387" s="476">
        <v>299986</v>
      </c>
      <c r="J2387" s="476">
        <v>300024</v>
      </c>
      <c r="K2387" s="476">
        <v>300063</v>
      </c>
    </row>
    <row r="2388" spans="1:11">
      <c r="A2388" s="479">
        <v>6904.4</v>
      </c>
      <c r="B2388" s="476">
        <v>300101</v>
      </c>
      <c r="C2388" s="476">
        <v>300139</v>
      </c>
      <c r="D2388" s="476">
        <v>300177</v>
      </c>
      <c r="E2388" s="476">
        <v>300216</v>
      </c>
      <c r="F2388" s="476">
        <v>300254</v>
      </c>
      <c r="G2388" s="476">
        <v>300292</v>
      </c>
      <c r="H2388" s="476">
        <v>300330</v>
      </c>
      <c r="I2388" s="476">
        <v>300369</v>
      </c>
      <c r="J2388" s="476">
        <v>300407</v>
      </c>
      <c r="K2388" s="476">
        <v>300445</v>
      </c>
    </row>
    <row r="2389" spans="1:11">
      <c r="A2389" s="479">
        <v>6904.5</v>
      </c>
      <c r="B2389" s="476">
        <v>300483</v>
      </c>
      <c r="C2389" s="476">
        <v>300522</v>
      </c>
      <c r="D2389" s="476">
        <v>300560</v>
      </c>
      <c r="E2389" s="476">
        <v>300598</v>
      </c>
      <c r="F2389" s="476">
        <v>300636</v>
      </c>
      <c r="G2389" s="476">
        <v>300675</v>
      </c>
      <c r="H2389" s="476">
        <v>300713</v>
      </c>
      <c r="I2389" s="476">
        <v>300751</v>
      </c>
      <c r="J2389" s="476">
        <v>300789</v>
      </c>
      <c r="K2389" s="476">
        <v>300828</v>
      </c>
    </row>
    <row r="2390" spans="1:11">
      <c r="A2390" s="479">
        <v>6904.6</v>
      </c>
      <c r="B2390" s="476">
        <v>300866</v>
      </c>
      <c r="C2390" s="476">
        <v>300904</v>
      </c>
      <c r="D2390" s="476">
        <v>300942</v>
      </c>
      <c r="E2390" s="476">
        <v>300981</v>
      </c>
      <c r="F2390" s="476">
        <v>301019</v>
      </c>
      <c r="G2390" s="476">
        <v>301057</v>
      </c>
      <c r="H2390" s="476">
        <v>301095</v>
      </c>
      <c r="I2390" s="476">
        <v>301134</v>
      </c>
      <c r="J2390" s="476">
        <v>301172</v>
      </c>
      <c r="K2390" s="476">
        <v>301210</v>
      </c>
    </row>
    <row r="2391" spans="1:11">
      <c r="A2391" s="479">
        <v>6904.7</v>
      </c>
      <c r="B2391" s="476">
        <v>301248</v>
      </c>
      <c r="C2391" s="476">
        <v>301287</v>
      </c>
      <c r="D2391" s="476">
        <v>301325</v>
      </c>
      <c r="E2391" s="476">
        <v>301363</v>
      </c>
      <c r="F2391" s="476">
        <v>301401</v>
      </c>
      <c r="G2391" s="476">
        <v>301439</v>
      </c>
      <c r="H2391" s="476">
        <v>301478</v>
      </c>
      <c r="I2391" s="476">
        <v>301516</v>
      </c>
      <c r="J2391" s="476">
        <v>301554</v>
      </c>
      <c r="K2391" s="476">
        <v>301592</v>
      </c>
    </row>
    <row r="2392" spans="1:11">
      <c r="A2392" s="479">
        <v>6904.8</v>
      </c>
      <c r="B2392" s="476">
        <v>301631</v>
      </c>
      <c r="C2392" s="476">
        <v>301669</v>
      </c>
      <c r="D2392" s="476">
        <v>301707</v>
      </c>
      <c r="E2392" s="476">
        <v>301745</v>
      </c>
      <c r="F2392" s="476">
        <v>301784</v>
      </c>
      <c r="G2392" s="476">
        <v>301822</v>
      </c>
      <c r="H2392" s="476">
        <v>301860</v>
      </c>
      <c r="I2392" s="476">
        <v>301898</v>
      </c>
      <c r="J2392" s="476">
        <v>301937</v>
      </c>
      <c r="K2392" s="476">
        <v>301975</v>
      </c>
    </row>
    <row r="2393" spans="1:11">
      <c r="A2393" s="479">
        <v>6904.9</v>
      </c>
      <c r="B2393" s="476">
        <v>302013</v>
      </c>
      <c r="C2393" s="476">
        <v>302051</v>
      </c>
      <c r="D2393" s="476">
        <v>302090</v>
      </c>
      <c r="E2393" s="476">
        <v>302128</v>
      </c>
      <c r="F2393" s="476">
        <v>302166</v>
      </c>
      <c r="G2393" s="476">
        <v>302204</v>
      </c>
      <c r="H2393" s="476">
        <v>302243</v>
      </c>
      <c r="I2393" s="476">
        <v>302281</v>
      </c>
      <c r="J2393" s="476">
        <v>302319</v>
      </c>
      <c r="K2393" s="476">
        <v>302357</v>
      </c>
    </row>
    <row r="2394" spans="1:11">
      <c r="A2394" s="479">
        <v>6905</v>
      </c>
      <c r="B2394" s="476">
        <v>302396</v>
      </c>
      <c r="C2394" s="476">
        <v>302434</v>
      </c>
      <c r="D2394" s="476">
        <v>302473</v>
      </c>
      <c r="E2394" s="476">
        <v>302511</v>
      </c>
      <c r="F2394" s="476">
        <v>302550</v>
      </c>
      <c r="G2394" s="476">
        <v>302588</v>
      </c>
      <c r="H2394" s="476">
        <v>302627</v>
      </c>
      <c r="I2394" s="476">
        <v>302666</v>
      </c>
      <c r="J2394" s="476">
        <v>302704</v>
      </c>
      <c r="K2394" s="476">
        <v>302743</v>
      </c>
    </row>
    <row r="2395" spans="1:11">
      <c r="A2395" s="479">
        <v>6905.1</v>
      </c>
      <c r="B2395" s="476">
        <v>302781</v>
      </c>
      <c r="C2395" s="476">
        <v>302820</v>
      </c>
      <c r="D2395" s="476">
        <v>302858</v>
      </c>
      <c r="E2395" s="476">
        <v>302897</v>
      </c>
      <c r="F2395" s="476">
        <v>302935</v>
      </c>
      <c r="G2395" s="476">
        <v>302974</v>
      </c>
      <c r="H2395" s="476">
        <v>303013</v>
      </c>
      <c r="I2395" s="476">
        <v>303051</v>
      </c>
      <c r="J2395" s="476">
        <v>303090</v>
      </c>
      <c r="K2395" s="476">
        <v>303128</v>
      </c>
    </row>
    <row r="2396" spans="1:11">
      <c r="A2396" s="479">
        <v>6905.2</v>
      </c>
      <c r="B2396" s="476">
        <v>303167</v>
      </c>
      <c r="C2396" s="476">
        <v>303205</v>
      </c>
      <c r="D2396" s="476">
        <v>303244</v>
      </c>
      <c r="E2396" s="476">
        <v>303282</v>
      </c>
      <c r="F2396" s="476">
        <v>303321</v>
      </c>
      <c r="G2396" s="476">
        <v>303360</v>
      </c>
      <c r="H2396" s="476">
        <v>303398</v>
      </c>
      <c r="I2396" s="476">
        <v>303437</v>
      </c>
      <c r="J2396" s="476">
        <v>303475</v>
      </c>
      <c r="K2396" s="476">
        <v>303514</v>
      </c>
    </row>
    <row r="2397" spans="1:11">
      <c r="A2397" s="479">
        <v>6905.3</v>
      </c>
      <c r="B2397" s="476">
        <v>303552</v>
      </c>
      <c r="C2397" s="476">
        <v>303591</v>
      </c>
      <c r="D2397" s="476">
        <v>303629</v>
      </c>
      <c r="E2397" s="476">
        <v>303668</v>
      </c>
      <c r="F2397" s="476">
        <v>303707</v>
      </c>
      <c r="G2397" s="476">
        <v>303745</v>
      </c>
      <c r="H2397" s="476">
        <v>303784</v>
      </c>
      <c r="I2397" s="476">
        <v>303822</v>
      </c>
      <c r="J2397" s="476">
        <v>303861</v>
      </c>
      <c r="K2397" s="476">
        <v>303899</v>
      </c>
    </row>
    <row r="2398" spans="1:11">
      <c r="A2398" s="479">
        <v>6905.4</v>
      </c>
      <c r="B2398" s="476">
        <v>303938</v>
      </c>
      <c r="C2398" s="476">
        <v>303976</v>
      </c>
      <c r="D2398" s="476">
        <v>304015</v>
      </c>
      <c r="E2398" s="476">
        <v>304054</v>
      </c>
      <c r="F2398" s="476">
        <v>304092</v>
      </c>
      <c r="G2398" s="476">
        <v>304131</v>
      </c>
      <c r="H2398" s="476">
        <v>304169</v>
      </c>
      <c r="I2398" s="476">
        <v>304208</v>
      </c>
      <c r="J2398" s="476">
        <v>304246</v>
      </c>
      <c r="K2398" s="476">
        <v>304285</v>
      </c>
    </row>
    <row r="2399" spans="1:11">
      <c r="A2399" s="479">
        <v>6905.5</v>
      </c>
      <c r="B2399" s="476">
        <v>304323</v>
      </c>
      <c r="C2399" s="476">
        <v>304362</v>
      </c>
      <c r="D2399" s="476">
        <v>304401</v>
      </c>
      <c r="E2399" s="476">
        <v>304439</v>
      </c>
      <c r="F2399" s="476">
        <v>304478</v>
      </c>
      <c r="G2399" s="476">
        <v>304516</v>
      </c>
      <c r="H2399" s="476">
        <v>304555</v>
      </c>
      <c r="I2399" s="476">
        <v>304593</v>
      </c>
      <c r="J2399" s="476">
        <v>304632</v>
      </c>
      <c r="K2399" s="476">
        <v>304670</v>
      </c>
    </row>
    <row r="2400" spans="1:11">
      <c r="A2400" s="479">
        <v>6905.6</v>
      </c>
      <c r="B2400" s="476">
        <v>304709</v>
      </c>
      <c r="C2400" s="476">
        <v>304747</v>
      </c>
      <c r="D2400" s="476">
        <v>304786</v>
      </c>
      <c r="E2400" s="476">
        <v>304825</v>
      </c>
      <c r="F2400" s="476">
        <v>304863</v>
      </c>
      <c r="G2400" s="476">
        <v>304902</v>
      </c>
      <c r="H2400" s="476">
        <v>304940</v>
      </c>
      <c r="I2400" s="476">
        <v>304979</v>
      </c>
      <c r="J2400" s="476">
        <v>305017</v>
      </c>
      <c r="K2400" s="476">
        <v>305056</v>
      </c>
    </row>
    <row r="2401" spans="1:11">
      <c r="A2401" s="479">
        <v>6905.7</v>
      </c>
      <c r="B2401" s="476">
        <v>305094</v>
      </c>
      <c r="C2401" s="476">
        <v>305133</v>
      </c>
      <c r="D2401" s="476">
        <v>305172</v>
      </c>
      <c r="E2401" s="476">
        <v>305210</v>
      </c>
      <c r="F2401" s="476">
        <v>305249</v>
      </c>
      <c r="G2401" s="476">
        <v>305287</v>
      </c>
      <c r="H2401" s="476">
        <v>305326</v>
      </c>
      <c r="I2401" s="476">
        <v>305364</v>
      </c>
      <c r="J2401" s="476">
        <v>305403</v>
      </c>
      <c r="K2401" s="476">
        <v>305441</v>
      </c>
    </row>
    <row r="2402" spans="1:11">
      <c r="A2402" s="479">
        <v>6905.8</v>
      </c>
      <c r="B2402" s="476">
        <v>305480</v>
      </c>
      <c r="C2402" s="476">
        <v>305519</v>
      </c>
      <c r="D2402" s="476">
        <v>305557</v>
      </c>
      <c r="E2402" s="476">
        <v>305596</v>
      </c>
      <c r="F2402" s="476">
        <v>305634</v>
      </c>
      <c r="G2402" s="476">
        <v>305673</v>
      </c>
      <c r="H2402" s="476">
        <v>305711</v>
      </c>
      <c r="I2402" s="476">
        <v>305750</v>
      </c>
      <c r="J2402" s="476">
        <v>305788</v>
      </c>
      <c r="K2402" s="476">
        <v>305827</v>
      </c>
    </row>
    <row r="2403" spans="1:11">
      <c r="A2403" s="479">
        <v>6905.9</v>
      </c>
      <c r="B2403" s="476">
        <v>305866</v>
      </c>
      <c r="C2403" s="476">
        <v>305904</v>
      </c>
      <c r="D2403" s="476">
        <v>305943</v>
      </c>
      <c r="E2403" s="476">
        <v>305981</v>
      </c>
      <c r="F2403" s="476">
        <v>306020</v>
      </c>
      <c r="G2403" s="476">
        <v>306058</v>
      </c>
      <c r="H2403" s="476">
        <v>306097</v>
      </c>
      <c r="I2403" s="476">
        <v>306135</v>
      </c>
      <c r="J2403" s="476">
        <v>306174</v>
      </c>
      <c r="K2403" s="476">
        <v>306213</v>
      </c>
    </row>
    <row r="2404" spans="1:11">
      <c r="A2404" s="479">
        <v>6906</v>
      </c>
      <c r="B2404" s="476">
        <v>306251</v>
      </c>
      <c r="C2404" s="476">
        <v>306290</v>
      </c>
      <c r="D2404" s="476">
        <v>306329</v>
      </c>
      <c r="E2404" s="476">
        <v>306368</v>
      </c>
      <c r="F2404" s="476">
        <v>306407</v>
      </c>
      <c r="G2404" s="476">
        <v>306445</v>
      </c>
      <c r="H2404" s="476">
        <v>306484</v>
      </c>
      <c r="I2404" s="476">
        <v>306523</v>
      </c>
      <c r="J2404" s="476">
        <v>306562</v>
      </c>
      <c r="K2404" s="476">
        <v>306601</v>
      </c>
    </row>
    <row r="2405" spans="1:11">
      <c r="A2405" s="479">
        <v>6906.1</v>
      </c>
      <c r="B2405" s="476">
        <v>306640</v>
      </c>
      <c r="C2405" s="476">
        <v>306679</v>
      </c>
      <c r="D2405" s="476">
        <v>306718</v>
      </c>
      <c r="E2405" s="476">
        <v>306756</v>
      </c>
      <c r="F2405" s="476">
        <v>306795</v>
      </c>
      <c r="G2405" s="476">
        <v>306834</v>
      </c>
      <c r="H2405" s="476">
        <v>306873</v>
      </c>
      <c r="I2405" s="476">
        <v>306912</v>
      </c>
      <c r="J2405" s="476">
        <v>306951</v>
      </c>
      <c r="K2405" s="476">
        <v>306990</v>
      </c>
    </row>
    <row r="2406" spans="1:11">
      <c r="A2406" s="479">
        <v>6906.2</v>
      </c>
      <c r="B2406" s="476">
        <v>307028</v>
      </c>
      <c r="C2406" s="476">
        <v>307067</v>
      </c>
      <c r="D2406" s="476">
        <v>307106</v>
      </c>
      <c r="E2406" s="476">
        <v>307145</v>
      </c>
      <c r="F2406" s="476">
        <v>307184</v>
      </c>
      <c r="G2406" s="476">
        <v>307223</v>
      </c>
      <c r="H2406" s="476">
        <v>307262</v>
      </c>
      <c r="I2406" s="476">
        <v>307301</v>
      </c>
      <c r="J2406" s="476">
        <v>307339</v>
      </c>
      <c r="K2406" s="476">
        <v>307378</v>
      </c>
    </row>
    <row r="2407" spans="1:11">
      <c r="A2407" s="479">
        <v>6906.3</v>
      </c>
      <c r="B2407" s="476">
        <v>307417</v>
      </c>
      <c r="C2407" s="476">
        <v>307456</v>
      </c>
      <c r="D2407" s="476">
        <v>307495</v>
      </c>
      <c r="E2407" s="476">
        <v>307534</v>
      </c>
      <c r="F2407" s="476">
        <v>307573</v>
      </c>
      <c r="G2407" s="476">
        <v>307611</v>
      </c>
      <c r="H2407" s="476">
        <v>307650</v>
      </c>
      <c r="I2407" s="476">
        <v>307689</v>
      </c>
      <c r="J2407" s="476">
        <v>307728</v>
      </c>
      <c r="K2407" s="476">
        <v>307767</v>
      </c>
    </row>
    <row r="2408" spans="1:11">
      <c r="A2408" s="479">
        <v>6906.4</v>
      </c>
      <c r="B2408" s="476">
        <v>307806</v>
      </c>
      <c r="C2408" s="476">
        <v>307845</v>
      </c>
      <c r="D2408" s="476">
        <v>307884</v>
      </c>
      <c r="E2408" s="476">
        <v>307922</v>
      </c>
      <c r="F2408" s="476">
        <v>307961</v>
      </c>
      <c r="G2408" s="476">
        <v>308000</v>
      </c>
      <c r="H2408" s="476">
        <v>308039</v>
      </c>
      <c r="I2408" s="476">
        <v>308078</v>
      </c>
      <c r="J2408" s="476">
        <v>308117</v>
      </c>
      <c r="K2408" s="476">
        <v>308156</v>
      </c>
    </row>
    <row r="2409" spans="1:11">
      <c r="A2409" s="479">
        <v>6906.5</v>
      </c>
      <c r="B2409" s="476">
        <v>308194</v>
      </c>
      <c r="C2409" s="476">
        <v>308233</v>
      </c>
      <c r="D2409" s="476">
        <v>308272</v>
      </c>
      <c r="E2409" s="476">
        <v>308311</v>
      </c>
      <c r="F2409" s="476">
        <v>308350</v>
      </c>
      <c r="G2409" s="476">
        <v>308389</v>
      </c>
      <c r="H2409" s="476">
        <v>308428</v>
      </c>
      <c r="I2409" s="476">
        <v>308467</v>
      </c>
      <c r="J2409" s="476">
        <v>308505</v>
      </c>
      <c r="K2409" s="476">
        <v>308544</v>
      </c>
    </row>
    <row r="2410" spans="1:11">
      <c r="A2410" s="479">
        <v>6906.6</v>
      </c>
      <c r="B2410" s="476">
        <v>308583</v>
      </c>
      <c r="C2410" s="476">
        <v>308622</v>
      </c>
      <c r="D2410" s="476">
        <v>308661</v>
      </c>
      <c r="E2410" s="476">
        <v>308700</v>
      </c>
      <c r="F2410" s="476">
        <v>308739</v>
      </c>
      <c r="G2410" s="476">
        <v>308777</v>
      </c>
      <c r="H2410" s="476">
        <v>308816</v>
      </c>
      <c r="I2410" s="476">
        <v>308855</v>
      </c>
      <c r="J2410" s="476">
        <v>308894</v>
      </c>
      <c r="K2410" s="476">
        <v>308933</v>
      </c>
    </row>
    <row r="2411" spans="1:11">
      <c r="A2411" s="479">
        <v>6906.7</v>
      </c>
      <c r="B2411" s="476">
        <v>308972</v>
      </c>
      <c r="C2411" s="476">
        <v>309011</v>
      </c>
      <c r="D2411" s="476">
        <v>309050</v>
      </c>
      <c r="E2411" s="476">
        <v>309088</v>
      </c>
      <c r="F2411" s="476">
        <v>309127</v>
      </c>
      <c r="G2411" s="476">
        <v>309166</v>
      </c>
      <c r="H2411" s="476">
        <v>309205</v>
      </c>
      <c r="I2411" s="476">
        <v>309244</v>
      </c>
      <c r="J2411" s="476">
        <v>309283</v>
      </c>
      <c r="K2411" s="476">
        <v>309322</v>
      </c>
    </row>
    <row r="2412" spans="1:11">
      <c r="A2412" s="479">
        <v>6906.8</v>
      </c>
      <c r="B2412" s="476">
        <v>309361</v>
      </c>
      <c r="C2412" s="476">
        <v>309399</v>
      </c>
      <c r="D2412" s="476">
        <v>309438</v>
      </c>
      <c r="E2412" s="476">
        <v>309477</v>
      </c>
      <c r="F2412" s="476">
        <v>309516</v>
      </c>
      <c r="G2412" s="476">
        <v>309555</v>
      </c>
      <c r="H2412" s="476">
        <v>309594</v>
      </c>
      <c r="I2412" s="476">
        <v>309633</v>
      </c>
      <c r="J2412" s="476">
        <v>309671</v>
      </c>
      <c r="K2412" s="476">
        <v>309710</v>
      </c>
    </row>
    <row r="2413" spans="1:11">
      <c r="A2413" s="479">
        <v>6906.9</v>
      </c>
      <c r="B2413" s="476">
        <v>309749</v>
      </c>
      <c r="C2413" s="476">
        <v>309788</v>
      </c>
      <c r="D2413" s="476">
        <v>309827</v>
      </c>
      <c r="E2413" s="476">
        <v>309866</v>
      </c>
      <c r="F2413" s="476">
        <v>309905</v>
      </c>
      <c r="G2413" s="476">
        <v>309944</v>
      </c>
      <c r="H2413" s="476">
        <v>309982</v>
      </c>
      <c r="I2413" s="476">
        <v>310021</v>
      </c>
      <c r="J2413" s="476">
        <v>310060</v>
      </c>
      <c r="K2413" s="476">
        <v>310099</v>
      </c>
    </row>
    <row r="2414" spans="1:11">
      <c r="A2414" s="479">
        <v>6907</v>
      </c>
      <c r="B2414" s="476">
        <v>310138</v>
      </c>
      <c r="C2414" s="476">
        <v>310177</v>
      </c>
      <c r="D2414" s="476">
        <v>310216</v>
      </c>
      <c r="E2414" s="476">
        <v>310255</v>
      </c>
      <c r="F2414" s="476">
        <v>310295</v>
      </c>
      <c r="G2414" s="476">
        <v>310334</v>
      </c>
      <c r="H2414" s="476">
        <v>310373</v>
      </c>
      <c r="I2414" s="476">
        <v>310412</v>
      </c>
      <c r="J2414" s="476">
        <v>310451</v>
      </c>
      <c r="K2414" s="476">
        <v>310490</v>
      </c>
    </row>
    <row r="2415" spans="1:11">
      <c r="A2415" s="479">
        <v>6907.1</v>
      </c>
      <c r="B2415" s="476">
        <v>310530</v>
      </c>
      <c r="C2415" s="476">
        <v>310569</v>
      </c>
      <c r="D2415" s="476">
        <v>310608</v>
      </c>
      <c r="E2415" s="476">
        <v>310647</v>
      </c>
      <c r="F2415" s="476">
        <v>310686</v>
      </c>
      <c r="G2415" s="476">
        <v>310726</v>
      </c>
      <c r="H2415" s="476">
        <v>310765</v>
      </c>
      <c r="I2415" s="476">
        <v>310804</v>
      </c>
      <c r="J2415" s="476">
        <v>310843</v>
      </c>
      <c r="K2415" s="476">
        <v>310882</v>
      </c>
    </row>
    <row r="2416" spans="1:11">
      <c r="A2416" s="479">
        <v>6907.2</v>
      </c>
      <c r="B2416" s="476">
        <v>310921</v>
      </c>
      <c r="C2416" s="476">
        <v>310961</v>
      </c>
      <c r="D2416" s="476">
        <v>311000</v>
      </c>
      <c r="E2416" s="476">
        <v>311039</v>
      </c>
      <c r="F2416" s="476">
        <v>311078</v>
      </c>
      <c r="G2416" s="476">
        <v>311117</v>
      </c>
      <c r="H2416" s="476">
        <v>311157</v>
      </c>
      <c r="I2416" s="476">
        <v>311196</v>
      </c>
      <c r="J2416" s="476">
        <v>311235</v>
      </c>
      <c r="K2416" s="476">
        <v>311274</v>
      </c>
    </row>
    <row r="2417" spans="1:11">
      <c r="A2417" s="479">
        <v>6907.3</v>
      </c>
      <c r="B2417" s="476">
        <v>311313</v>
      </c>
      <c r="C2417" s="476">
        <v>311352</v>
      </c>
      <c r="D2417" s="476">
        <v>311392</v>
      </c>
      <c r="E2417" s="476">
        <v>311431</v>
      </c>
      <c r="F2417" s="476">
        <v>311470</v>
      </c>
      <c r="G2417" s="476">
        <v>311509</v>
      </c>
      <c r="H2417" s="476">
        <v>311548</v>
      </c>
      <c r="I2417" s="476">
        <v>311588</v>
      </c>
      <c r="J2417" s="476">
        <v>311627</v>
      </c>
      <c r="K2417" s="476">
        <v>311666</v>
      </c>
    </row>
    <row r="2418" spans="1:11">
      <c r="A2418" s="479">
        <v>6907.4</v>
      </c>
      <c r="B2418" s="476">
        <v>311705</v>
      </c>
      <c r="C2418" s="476">
        <v>311744</v>
      </c>
      <c r="D2418" s="476">
        <v>311783</v>
      </c>
      <c r="E2418" s="476">
        <v>311823</v>
      </c>
      <c r="F2418" s="476">
        <v>311862</v>
      </c>
      <c r="G2418" s="476">
        <v>311901</v>
      </c>
      <c r="H2418" s="476">
        <v>311940</v>
      </c>
      <c r="I2418" s="476">
        <v>311979</v>
      </c>
      <c r="J2418" s="476">
        <v>312018</v>
      </c>
      <c r="K2418" s="476">
        <v>312058</v>
      </c>
    </row>
    <row r="2419" spans="1:11">
      <c r="A2419" s="479">
        <v>6907.5</v>
      </c>
      <c r="B2419" s="476">
        <v>312097</v>
      </c>
      <c r="C2419" s="476">
        <v>312136</v>
      </c>
      <c r="D2419" s="476">
        <v>312175</v>
      </c>
      <c r="E2419" s="476">
        <v>312214</v>
      </c>
      <c r="F2419" s="476">
        <v>312254</v>
      </c>
      <c r="G2419" s="476">
        <v>312293</v>
      </c>
      <c r="H2419" s="476">
        <v>312332</v>
      </c>
      <c r="I2419" s="476">
        <v>312371</v>
      </c>
      <c r="J2419" s="476">
        <v>312410</v>
      </c>
      <c r="K2419" s="476">
        <v>312449</v>
      </c>
    </row>
    <row r="2420" spans="1:11">
      <c r="A2420" s="479">
        <v>6907.6</v>
      </c>
      <c r="B2420" s="476">
        <v>312489</v>
      </c>
      <c r="C2420" s="476">
        <v>312528</v>
      </c>
      <c r="D2420" s="476">
        <v>312567</v>
      </c>
      <c r="E2420" s="476">
        <v>312606</v>
      </c>
      <c r="F2420" s="476">
        <v>312645</v>
      </c>
      <c r="G2420" s="476">
        <v>312685</v>
      </c>
      <c r="H2420" s="476">
        <v>312724</v>
      </c>
      <c r="I2420" s="476">
        <v>312763</v>
      </c>
      <c r="J2420" s="476">
        <v>312802</v>
      </c>
      <c r="K2420" s="476">
        <v>312841</v>
      </c>
    </row>
    <row r="2421" spans="1:11">
      <c r="A2421" s="479">
        <v>6907.7</v>
      </c>
      <c r="B2421" s="476">
        <v>312880</v>
      </c>
      <c r="C2421" s="476">
        <v>312920</v>
      </c>
      <c r="D2421" s="476">
        <v>312959</v>
      </c>
      <c r="E2421" s="476">
        <v>312998</v>
      </c>
      <c r="F2421" s="476">
        <v>313037</v>
      </c>
      <c r="G2421" s="476">
        <v>313076</v>
      </c>
      <c r="H2421" s="476">
        <v>313116</v>
      </c>
      <c r="I2421" s="476">
        <v>313155</v>
      </c>
      <c r="J2421" s="476">
        <v>313194</v>
      </c>
      <c r="K2421" s="476">
        <v>313233</v>
      </c>
    </row>
    <row r="2422" spans="1:11">
      <c r="A2422" s="479">
        <v>6907.8</v>
      </c>
      <c r="B2422" s="476">
        <v>313272</v>
      </c>
      <c r="C2422" s="476">
        <v>313311</v>
      </c>
      <c r="D2422" s="476">
        <v>313351</v>
      </c>
      <c r="E2422" s="476">
        <v>313390</v>
      </c>
      <c r="F2422" s="476">
        <v>313429</v>
      </c>
      <c r="G2422" s="476">
        <v>313468</v>
      </c>
      <c r="H2422" s="476">
        <v>313507</v>
      </c>
      <c r="I2422" s="476">
        <v>313547</v>
      </c>
      <c r="J2422" s="476">
        <v>313586</v>
      </c>
      <c r="K2422" s="476">
        <v>313625</v>
      </c>
    </row>
    <row r="2423" spans="1:11">
      <c r="A2423" s="479">
        <v>6907.9</v>
      </c>
      <c r="B2423" s="476">
        <v>313664</v>
      </c>
      <c r="C2423" s="476">
        <v>313703</v>
      </c>
      <c r="D2423" s="476">
        <v>313742</v>
      </c>
      <c r="E2423" s="476">
        <v>313782</v>
      </c>
      <c r="F2423" s="476">
        <v>313821</v>
      </c>
      <c r="G2423" s="476">
        <v>313860</v>
      </c>
      <c r="H2423" s="476">
        <v>313899</v>
      </c>
      <c r="I2423" s="476">
        <v>313938</v>
      </c>
      <c r="J2423" s="476">
        <v>313977</v>
      </c>
      <c r="K2423" s="476">
        <v>314017</v>
      </c>
    </row>
    <row r="2424" spans="1:11">
      <c r="A2424" s="479">
        <v>6908</v>
      </c>
      <c r="B2424" s="476">
        <v>314056</v>
      </c>
      <c r="C2424" s="476">
        <v>314095</v>
      </c>
      <c r="D2424" s="476">
        <v>314135</v>
      </c>
      <c r="E2424" s="476">
        <v>314174</v>
      </c>
      <c r="F2424" s="476">
        <v>314214</v>
      </c>
      <c r="G2424" s="476">
        <v>314253</v>
      </c>
      <c r="H2424" s="476">
        <v>314293</v>
      </c>
      <c r="I2424" s="476">
        <v>314332</v>
      </c>
      <c r="J2424" s="476">
        <v>314372</v>
      </c>
      <c r="K2424" s="476">
        <v>314411</v>
      </c>
    </row>
    <row r="2425" spans="1:11">
      <c r="A2425" s="479">
        <v>6908.1</v>
      </c>
      <c r="B2425" s="476">
        <v>314451</v>
      </c>
      <c r="C2425" s="476">
        <v>314490</v>
      </c>
      <c r="D2425" s="476">
        <v>314530</v>
      </c>
      <c r="E2425" s="476">
        <v>314569</v>
      </c>
      <c r="F2425" s="476">
        <v>314609</v>
      </c>
      <c r="G2425" s="476">
        <v>314648</v>
      </c>
      <c r="H2425" s="476">
        <v>314688</v>
      </c>
      <c r="I2425" s="476">
        <v>314727</v>
      </c>
      <c r="J2425" s="476">
        <v>314767</v>
      </c>
      <c r="K2425" s="476">
        <v>314806</v>
      </c>
    </row>
    <row r="2426" spans="1:11">
      <c r="A2426" s="479">
        <v>6908.2</v>
      </c>
      <c r="B2426" s="476">
        <v>314846</v>
      </c>
      <c r="C2426" s="476">
        <v>314885</v>
      </c>
      <c r="D2426" s="476">
        <v>314925</v>
      </c>
      <c r="E2426" s="476">
        <v>314964</v>
      </c>
      <c r="F2426" s="476">
        <v>315004</v>
      </c>
      <c r="G2426" s="476">
        <v>315043</v>
      </c>
      <c r="H2426" s="476">
        <v>315083</v>
      </c>
      <c r="I2426" s="476">
        <v>315122</v>
      </c>
      <c r="J2426" s="476">
        <v>315162</v>
      </c>
      <c r="K2426" s="476">
        <v>315201</v>
      </c>
    </row>
    <row r="2427" spans="1:11">
      <c r="A2427" s="479">
        <v>6908.3</v>
      </c>
      <c r="B2427" s="476">
        <v>315241</v>
      </c>
      <c r="C2427" s="476">
        <v>315280</v>
      </c>
      <c r="D2427" s="476">
        <v>315320</v>
      </c>
      <c r="E2427" s="476">
        <v>315359</v>
      </c>
      <c r="F2427" s="476">
        <v>315399</v>
      </c>
      <c r="G2427" s="476">
        <v>315438</v>
      </c>
      <c r="H2427" s="476">
        <v>315478</v>
      </c>
      <c r="I2427" s="476">
        <v>315517</v>
      </c>
      <c r="J2427" s="476">
        <v>315557</v>
      </c>
      <c r="K2427" s="476">
        <v>315596</v>
      </c>
    </row>
    <row r="2428" spans="1:11">
      <c r="A2428" s="479">
        <v>6908.4</v>
      </c>
      <c r="B2428" s="476">
        <v>315636</v>
      </c>
      <c r="C2428" s="476">
        <v>315675</v>
      </c>
      <c r="D2428" s="476">
        <v>315715</v>
      </c>
      <c r="E2428" s="476">
        <v>315754</v>
      </c>
      <c r="F2428" s="476">
        <v>315794</v>
      </c>
      <c r="G2428" s="476">
        <v>315833</v>
      </c>
      <c r="H2428" s="476">
        <v>315873</v>
      </c>
      <c r="I2428" s="476">
        <v>315912</v>
      </c>
      <c r="J2428" s="476">
        <v>315952</v>
      </c>
      <c r="K2428" s="476">
        <v>315991</v>
      </c>
    </row>
    <row r="2429" spans="1:11">
      <c r="A2429" s="479">
        <v>6908.5</v>
      </c>
      <c r="B2429" s="476">
        <v>316031</v>
      </c>
      <c r="C2429" s="476">
        <v>316070</v>
      </c>
      <c r="D2429" s="476">
        <v>316110</v>
      </c>
      <c r="E2429" s="476">
        <v>316149</v>
      </c>
      <c r="F2429" s="476">
        <v>316189</v>
      </c>
      <c r="G2429" s="476">
        <v>316228</v>
      </c>
      <c r="H2429" s="476">
        <v>316268</v>
      </c>
      <c r="I2429" s="476">
        <v>316307</v>
      </c>
      <c r="J2429" s="476">
        <v>316347</v>
      </c>
      <c r="K2429" s="476">
        <v>316386</v>
      </c>
    </row>
    <row r="2430" spans="1:11">
      <c r="A2430" s="479">
        <v>6908.6</v>
      </c>
      <c r="B2430" s="476">
        <v>316426</v>
      </c>
      <c r="C2430" s="476">
        <v>316465</v>
      </c>
      <c r="D2430" s="476">
        <v>316505</v>
      </c>
      <c r="E2430" s="476">
        <v>316544</v>
      </c>
      <c r="F2430" s="476">
        <v>316584</v>
      </c>
      <c r="G2430" s="476">
        <v>316623</v>
      </c>
      <c r="H2430" s="476">
        <v>316663</v>
      </c>
      <c r="I2430" s="476">
        <v>316702</v>
      </c>
      <c r="J2430" s="476">
        <v>316741</v>
      </c>
      <c r="K2430" s="476">
        <v>316781</v>
      </c>
    </row>
    <row r="2431" spans="1:11">
      <c r="A2431" s="479">
        <v>6908.7</v>
      </c>
      <c r="B2431" s="476">
        <v>316820</v>
      </c>
      <c r="C2431" s="476">
        <v>316860</v>
      </c>
      <c r="D2431" s="476">
        <v>316899</v>
      </c>
      <c r="E2431" s="476">
        <v>316939</v>
      </c>
      <c r="F2431" s="476">
        <v>316978</v>
      </c>
      <c r="G2431" s="476">
        <v>317018</v>
      </c>
      <c r="H2431" s="476">
        <v>317057</v>
      </c>
      <c r="I2431" s="476">
        <v>317097</v>
      </c>
      <c r="J2431" s="476">
        <v>317136</v>
      </c>
      <c r="K2431" s="476">
        <v>317176</v>
      </c>
    </row>
    <row r="2432" spans="1:11">
      <c r="A2432" s="479">
        <v>6908.8</v>
      </c>
      <c r="B2432" s="476">
        <v>317215</v>
      </c>
      <c r="C2432" s="476">
        <v>317255</v>
      </c>
      <c r="D2432" s="476">
        <v>317294</v>
      </c>
      <c r="E2432" s="476">
        <v>317334</v>
      </c>
      <c r="F2432" s="476">
        <v>317373</v>
      </c>
      <c r="G2432" s="476">
        <v>317413</v>
      </c>
      <c r="H2432" s="476">
        <v>317452</v>
      </c>
      <c r="I2432" s="476">
        <v>317492</v>
      </c>
      <c r="J2432" s="476">
        <v>317531</v>
      </c>
      <c r="K2432" s="476">
        <v>317571</v>
      </c>
    </row>
    <row r="2433" spans="1:11">
      <c r="A2433" s="479">
        <v>6908.9</v>
      </c>
      <c r="B2433" s="476">
        <v>317610</v>
      </c>
      <c r="C2433" s="476">
        <v>317650</v>
      </c>
      <c r="D2433" s="476">
        <v>317689</v>
      </c>
      <c r="E2433" s="476">
        <v>317729</v>
      </c>
      <c r="F2433" s="476">
        <v>317768</v>
      </c>
      <c r="G2433" s="476">
        <v>317808</v>
      </c>
      <c r="H2433" s="476">
        <v>317847</v>
      </c>
      <c r="I2433" s="476">
        <v>317887</v>
      </c>
      <c r="J2433" s="476">
        <v>317926</v>
      </c>
      <c r="K2433" s="476">
        <v>317966</v>
      </c>
    </row>
    <row r="2434" spans="1:11">
      <c r="A2434" s="479">
        <v>6909</v>
      </c>
      <c r="B2434" s="476">
        <v>318005</v>
      </c>
      <c r="C2434" s="476">
        <v>318045</v>
      </c>
      <c r="D2434" s="476">
        <v>318085</v>
      </c>
      <c r="E2434" s="476">
        <v>318125</v>
      </c>
      <c r="F2434" s="476">
        <v>318165</v>
      </c>
      <c r="G2434" s="476">
        <v>318204</v>
      </c>
      <c r="H2434" s="476">
        <v>318244</v>
      </c>
      <c r="I2434" s="476">
        <v>318284</v>
      </c>
      <c r="J2434" s="476">
        <v>318324</v>
      </c>
      <c r="K2434" s="476">
        <v>318364</v>
      </c>
    </row>
    <row r="2435" spans="1:11">
      <c r="A2435" s="479">
        <v>6909.1</v>
      </c>
      <c r="B2435" s="476">
        <v>318403</v>
      </c>
      <c r="C2435" s="476">
        <v>318443</v>
      </c>
      <c r="D2435" s="476">
        <v>318483</v>
      </c>
      <c r="E2435" s="476">
        <v>318523</v>
      </c>
      <c r="F2435" s="476">
        <v>318563</v>
      </c>
      <c r="G2435" s="476">
        <v>318602</v>
      </c>
      <c r="H2435" s="476">
        <v>318642</v>
      </c>
      <c r="I2435" s="476">
        <v>318682</v>
      </c>
      <c r="J2435" s="476">
        <v>318722</v>
      </c>
      <c r="K2435" s="476">
        <v>318762</v>
      </c>
    </row>
    <row r="2436" spans="1:11">
      <c r="A2436" s="479">
        <v>6909.2</v>
      </c>
      <c r="B2436" s="476">
        <v>318802</v>
      </c>
      <c r="C2436" s="476">
        <v>318841</v>
      </c>
      <c r="D2436" s="476">
        <v>318881</v>
      </c>
      <c r="E2436" s="476">
        <v>318921</v>
      </c>
      <c r="F2436" s="476">
        <v>318961</v>
      </c>
      <c r="G2436" s="476">
        <v>319001</v>
      </c>
      <c r="H2436" s="476">
        <v>319040</v>
      </c>
      <c r="I2436" s="476">
        <v>319080</v>
      </c>
      <c r="J2436" s="476">
        <v>319120</v>
      </c>
      <c r="K2436" s="476">
        <v>319160</v>
      </c>
    </row>
    <row r="2437" spans="1:11">
      <c r="A2437" s="479">
        <v>6909.3</v>
      </c>
      <c r="B2437" s="476">
        <v>319200</v>
      </c>
      <c r="C2437" s="476">
        <v>319239</v>
      </c>
      <c r="D2437" s="476">
        <v>319279</v>
      </c>
      <c r="E2437" s="476">
        <v>319319</v>
      </c>
      <c r="F2437" s="476">
        <v>319359</v>
      </c>
      <c r="G2437" s="476">
        <v>319399</v>
      </c>
      <c r="H2437" s="476">
        <v>319439</v>
      </c>
      <c r="I2437" s="476">
        <v>319478</v>
      </c>
      <c r="J2437" s="476">
        <v>319518</v>
      </c>
      <c r="K2437" s="476">
        <v>319558</v>
      </c>
    </row>
    <row r="2438" spans="1:11">
      <c r="A2438" s="479">
        <v>6909.4</v>
      </c>
      <c r="B2438" s="476">
        <v>319598</v>
      </c>
      <c r="C2438" s="476">
        <v>319638</v>
      </c>
      <c r="D2438" s="476">
        <v>319677</v>
      </c>
      <c r="E2438" s="476">
        <v>319717</v>
      </c>
      <c r="F2438" s="476">
        <v>319757</v>
      </c>
      <c r="G2438" s="476">
        <v>319797</v>
      </c>
      <c r="H2438" s="476">
        <v>319837</v>
      </c>
      <c r="I2438" s="476">
        <v>319876</v>
      </c>
      <c r="J2438" s="476">
        <v>319916</v>
      </c>
      <c r="K2438" s="476">
        <v>319956</v>
      </c>
    </row>
    <row r="2439" spans="1:11">
      <c r="A2439" s="479">
        <v>6909.5</v>
      </c>
      <c r="B2439" s="476">
        <v>319996</v>
      </c>
      <c r="C2439" s="476">
        <v>320036</v>
      </c>
      <c r="D2439" s="476">
        <v>320076</v>
      </c>
      <c r="E2439" s="476">
        <v>320115</v>
      </c>
      <c r="F2439" s="476">
        <v>320155</v>
      </c>
      <c r="G2439" s="476">
        <v>320195</v>
      </c>
      <c r="H2439" s="476">
        <v>320235</v>
      </c>
      <c r="I2439" s="476">
        <v>320275</v>
      </c>
      <c r="J2439" s="476">
        <v>320314</v>
      </c>
      <c r="K2439" s="476">
        <v>320354</v>
      </c>
    </row>
    <row r="2440" spans="1:11">
      <c r="A2440" s="479">
        <v>6909.6</v>
      </c>
      <c r="B2440" s="476">
        <v>320394</v>
      </c>
      <c r="C2440" s="476">
        <v>320434</v>
      </c>
      <c r="D2440" s="476">
        <v>320474</v>
      </c>
      <c r="E2440" s="476">
        <v>320513</v>
      </c>
      <c r="F2440" s="476">
        <v>320553</v>
      </c>
      <c r="G2440" s="476">
        <v>320593</v>
      </c>
      <c r="H2440" s="476">
        <v>320633</v>
      </c>
      <c r="I2440" s="476">
        <v>320673</v>
      </c>
      <c r="J2440" s="476">
        <v>320712</v>
      </c>
      <c r="K2440" s="476">
        <v>320752</v>
      </c>
    </row>
    <row r="2441" spans="1:11">
      <c r="A2441" s="479">
        <v>6909.7</v>
      </c>
      <c r="B2441" s="476">
        <v>320792</v>
      </c>
      <c r="C2441" s="476">
        <v>320832</v>
      </c>
      <c r="D2441" s="476">
        <v>320872</v>
      </c>
      <c r="E2441" s="476">
        <v>320912</v>
      </c>
      <c r="F2441" s="476">
        <v>320951</v>
      </c>
      <c r="G2441" s="476">
        <v>320991</v>
      </c>
      <c r="H2441" s="476">
        <v>321031</v>
      </c>
      <c r="I2441" s="476">
        <v>321071</v>
      </c>
      <c r="J2441" s="476">
        <v>321111</v>
      </c>
      <c r="K2441" s="476">
        <v>321150</v>
      </c>
    </row>
    <row r="2442" spans="1:11">
      <c r="A2442" s="479">
        <v>6909.8</v>
      </c>
      <c r="B2442" s="476">
        <v>321190</v>
      </c>
      <c r="C2442" s="476">
        <v>321230</v>
      </c>
      <c r="D2442" s="476">
        <v>321270</v>
      </c>
      <c r="E2442" s="476">
        <v>321310</v>
      </c>
      <c r="F2442" s="476">
        <v>321349</v>
      </c>
      <c r="G2442" s="476">
        <v>321389</v>
      </c>
      <c r="H2442" s="476">
        <v>321429</v>
      </c>
      <c r="I2442" s="476">
        <v>321469</v>
      </c>
      <c r="J2442" s="476">
        <v>321509</v>
      </c>
      <c r="K2442" s="476">
        <v>321549</v>
      </c>
    </row>
    <row r="2443" spans="1:11">
      <c r="A2443" s="479">
        <v>6909.9</v>
      </c>
      <c r="B2443" s="476">
        <v>321588</v>
      </c>
      <c r="C2443" s="476">
        <v>321628</v>
      </c>
      <c r="D2443" s="476">
        <v>321668</v>
      </c>
      <c r="E2443" s="476">
        <v>321708</v>
      </c>
      <c r="F2443" s="476">
        <v>321748</v>
      </c>
      <c r="G2443" s="476">
        <v>321787</v>
      </c>
      <c r="H2443" s="476">
        <v>321827</v>
      </c>
      <c r="I2443" s="476">
        <v>321867</v>
      </c>
      <c r="J2443" s="476">
        <v>321907</v>
      </c>
      <c r="K2443" s="476">
        <v>321947</v>
      </c>
    </row>
    <row r="2444" spans="1:11">
      <c r="A2444" s="479">
        <v>6910</v>
      </c>
      <c r="B2444" s="476">
        <v>321986</v>
      </c>
      <c r="C2444" s="476">
        <v>322027</v>
      </c>
      <c r="D2444" s="476">
        <v>322067</v>
      </c>
      <c r="E2444" s="476">
        <v>322107</v>
      </c>
      <c r="F2444" s="476">
        <v>322147</v>
      </c>
      <c r="G2444" s="476">
        <v>322187</v>
      </c>
      <c r="H2444" s="476">
        <v>322227</v>
      </c>
      <c r="I2444" s="476">
        <v>322267</v>
      </c>
      <c r="J2444" s="476">
        <v>322307</v>
      </c>
      <c r="K2444" s="476">
        <v>322348</v>
      </c>
    </row>
    <row r="2445" spans="1:11">
      <c r="A2445" s="479">
        <v>6910.1</v>
      </c>
      <c r="B2445" s="476">
        <v>322388</v>
      </c>
      <c r="C2445" s="476">
        <v>322428</v>
      </c>
      <c r="D2445" s="476">
        <v>322468</v>
      </c>
      <c r="E2445" s="476">
        <v>322508</v>
      </c>
      <c r="F2445" s="476">
        <v>322548</v>
      </c>
      <c r="G2445" s="476">
        <v>322588</v>
      </c>
      <c r="H2445" s="476">
        <v>322629</v>
      </c>
      <c r="I2445" s="476">
        <v>322669</v>
      </c>
      <c r="J2445" s="476">
        <v>322709</v>
      </c>
      <c r="K2445" s="476">
        <v>322749</v>
      </c>
    </row>
    <row r="2446" spans="1:11">
      <c r="A2446" s="479">
        <v>6910.2</v>
      </c>
      <c r="B2446" s="476">
        <v>322789</v>
      </c>
      <c r="C2446" s="476">
        <v>322829</v>
      </c>
      <c r="D2446" s="476">
        <v>322869</v>
      </c>
      <c r="E2446" s="476">
        <v>322909</v>
      </c>
      <c r="F2446" s="476">
        <v>322950</v>
      </c>
      <c r="G2446" s="476">
        <v>322990</v>
      </c>
      <c r="H2446" s="476">
        <v>323030</v>
      </c>
      <c r="I2446" s="476">
        <v>323070</v>
      </c>
      <c r="J2446" s="476">
        <v>323110</v>
      </c>
      <c r="K2446" s="476">
        <v>323150</v>
      </c>
    </row>
    <row r="2447" spans="1:11">
      <c r="A2447" s="479">
        <v>6910.3</v>
      </c>
      <c r="B2447" s="476">
        <v>323190</v>
      </c>
      <c r="C2447" s="476">
        <v>323230</v>
      </c>
      <c r="D2447" s="476">
        <v>323271</v>
      </c>
      <c r="E2447" s="476">
        <v>323311</v>
      </c>
      <c r="F2447" s="476">
        <v>323351</v>
      </c>
      <c r="G2447" s="476">
        <v>323391</v>
      </c>
      <c r="H2447" s="476">
        <v>323431</v>
      </c>
      <c r="I2447" s="476">
        <v>323471</v>
      </c>
      <c r="J2447" s="476">
        <v>323511</v>
      </c>
      <c r="K2447" s="476">
        <v>323551</v>
      </c>
    </row>
    <row r="2448" spans="1:11">
      <c r="A2448" s="479">
        <v>6910.4</v>
      </c>
      <c r="B2448" s="476">
        <v>323592</v>
      </c>
      <c r="C2448" s="476">
        <v>323632</v>
      </c>
      <c r="D2448" s="476">
        <v>323672</v>
      </c>
      <c r="E2448" s="476">
        <v>323712</v>
      </c>
      <c r="F2448" s="476">
        <v>323752</v>
      </c>
      <c r="G2448" s="476">
        <v>323792</v>
      </c>
      <c r="H2448" s="476">
        <v>323832</v>
      </c>
      <c r="I2448" s="476">
        <v>323873</v>
      </c>
      <c r="J2448" s="476">
        <v>323913</v>
      </c>
      <c r="K2448" s="476">
        <v>323953</v>
      </c>
    </row>
    <row r="2449" spans="1:11">
      <c r="A2449" s="479">
        <v>6910.5</v>
      </c>
      <c r="B2449" s="476">
        <v>323993</v>
      </c>
      <c r="C2449" s="476">
        <v>324033</v>
      </c>
      <c r="D2449" s="476">
        <v>324073</v>
      </c>
      <c r="E2449" s="476">
        <v>324113</v>
      </c>
      <c r="F2449" s="476">
        <v>324153</v>
      </c>
      <c r="G2449" s="476">
        <v>324194</v>
      </c>
      <c r="H2449" s="476">
        <v>324234</v>
      </c>
      <c r="I2449" s="476">
        <v>324274</v>
      </c>
      <c r="J2449" s="476">
        <v>324314</v>
      </c>
      <c r="K2449" s="476">
        <v>324354</v>
      </c>
    </row>
    <row r="2450" spans="1:11">
      <c r="A2450" s="479">
        <v>6910.6</v>
      </c>
      <c r="B2450" s="476">
        <v>324394</v>
      </c>
      <c r="C2450" s="476">
        <v>324434</v>
      </c>
      <c r="D2450" s="476">
        <v>324474</v>
      </c>
      <c r="E2450" s="476">
        <v>324515</v>
      </c>
      <c r="F2450" s="476">
        <v>324555</v>
      </c>
      <c r="G2450" s="476">
        <v>324595</v>
      </c>
      <c r="H2450" s="476">
        <v>324635</v>
      </c>
      <c r="I2450" s="476">
        <v>324675</v>
      </c>
      <c r="J2450" s="476">
        <v>324715</v>
      </c>
      <c r="K2450" s="476">
        <v>324755</v>
      </c>
    </row>
    <row r="2451" spans="1:11">
      <c r="A2451" s="479">
        <v>6910.7</v>
      </c>
      <c r="B2451" s="476">
        <v>324796</v>
      </c>
      <c r="C2451" s="476">
        <v>324836</v>
      </c>
      <c r="D2451" s="476">
        <v>324876</v>
      </c>
      <c r="E2451" s="476">
        <v>324916</v>
      </c>
      <c r="F2451" s="476">
        <v>324956</v>
      </c>
      <c r="G2451" s="476">
        <v>324996</v>
      </c>
      <c r="H2451" s="476">
        <v>325036</v>
      </c>
      <c r="I2451" s="476">
        <v>325076</v>
      </c>
      <c r="J2451" s="476">
        <v>325117</v>
      </c>
      <c r="K2451" s="476">
        <v>325157</v>
      </c>
    </row>
    <row r="2452" spans="1:11">
      <c r="A2452" s="479">
        <v>6910.8</v>
      </c>
      <c r="B2452" s="476">
        <v>325197</v>
      </c>
      <c r="C2452" s="476">
        <v>325237</v>
      </c>
      <c r="D2452" s="476">
        <v>325277</v>
      </c>
      <c r="E2452" s="476">
        <v>325317</v>
      </c>
      <c r="F2452" s="476">
        <v>325357</v>
      </c>
      <c r="G2452" s="476">
        <v>325397</v>
      </c>
      <c r="H2452" s="476">
        <v>325438</v>
      </c>
      <c r="I2452" s="476">
        <v>325478</v>
      </c>
      <c r="J2452" s="476">
        <v>325518</v>
      </c>
      <c r="K2452" s="476">
        <v>325558</v>
      </c>
    </row>
    <row r="2453" spans="1:11">
      <c r="A2453" s="479">
        <v>6910.9</v>
      </c>
      <c r="B2453" s="476">
        <v>325598</v>
      </c>
      <c r="C2453" s="476">
        <v>325638</v>
      </c>
      <c r="D2453" s="476">
        <v>325678</v>
      </c>
      <c r="E2453" s="476">
        <v>325718</v>
      </c>
      <c r="F2453" s="476">
        <v>325759</v>
      </c>
      <c r="G2453" s="476">
        <v>325799</v>
      </c>
      <c r="H2453" s="476">
        <v>325839</v>
      </c>
      <c r="I2453" s="476">
        <v>325879</v>
      </c>
      <c r="J2453" s="476">
        <v>325919</v>
      </c>
      <c r="K2453" s="476">
        <v>325959</v>
      </c>
    </row>
    <row r="2454" spans="1:11">
      <c r="A2454" s="479">
        <v>6911</v>
      </c>
      <c r="B2454" s="476">
        <v>325999</v>
      </c>
      <c r="C2454" s="476">
        <v>326040</v>
      </c>
      <c r="D2454" s="476">
        <v>326080</v>
      </c>
      <c r="E2454" s="476">
        <v>326121</v>
      </c>
      <c r="F2454" s="476">
        <v>326161</v>
      </c>
      <c r="G2454" s="476">
        <v>326202</v>
      </c>
      <c r="H2454" s="476">
        <v>326242</v>
      </c>
      <c r="I2454" s="476">
        <v>326283</v>
      </c>
      <c r="J2454" s="476">
        <v>326323</v>
      </c>
      <c r="K2454" s="476">
        <v>326363</v>
      </c>
    </row>
    <row r="2455" spans="1:11">
      <c r="A2455" s="479">
        <v>6911.1</v>
      </c>
      <c r="B2455" s="476">
        <v>326404</v>
      </c>
      <c r="C2455" s="476">
        <v>326444</v>
      </c>
      <c r="D2455" s="476">
        <v>326485</v>
      </c>
      <c r="E2455" s="476">
        <v>326525</v>
      </c>
      <c r="F2455" s="476">
        <v>326566</v>
      </c>
      <c r="G2455" s="476">
        <v>326606</v>
      </c>
      <c r="H2455" s="476">
        <v>326647</v>
      </c>
      <c r="I2455" s="476">
        <v>326687</v>
      </c>
      <c r="J2455" s="476">
        <v>326727</v>
      </c>
      <c r="K2455" s="476">
        <v>326768</v>
      </c>
    </row>
    <row r="2456" spans="1:11">
      <c r="A2456" s="479">
        <v>6911.2</v>
      </c>
      <c r="B2456" s="476">
        <v>326808</v>
      </c>
      <c r="C2456" s="476">
        <v>326849</v>
      </c>
      <c r="D2456" s="476">
        <v>326889</v>
      </c>
      <c r="E2456" s="476">
        <v>326930</v>
      </c>
      <c r="F2456" s="476">
        <v>326970</v>
      </c>
      <c r="G2456" s="476">
        <v>327011</v>
      </c>
      <c r="H2456" s="476">
        <v>327051</v>
      </c>
      <c r="I2456" s="476">
        <v>327092</v>
      </c>
      <c r="J2456" s="476">
        <v>327132</v>
      </c>
      <c r="K2456" s="476">
        <v>327172</v>
      </c>
    </row>
    <row r="2457" spans="1:11">
      <c r="A2457" s="479">
        <v>6911.3</v>
      </c>
      <c r="B2457" s="476">
        <v>327213</v>
      </c>
      <c r="C2457" s="476">
        <v>327253</v>
      </c>
      <c r="D2457" s="476">
        <v>327294</v>
      </c>
      <c r="E2457" s="476">
        <v>327334</v>
      </c>
      <c r="F2457" s="476">
        <v>327375</v>
      </c>
      <c r="G2457" s="476">
        <v>327415</v>
      </c>
      <c r="H2457" s="476">
        <v>327456</v>
      </c>
      <c r="I2457" s="476">
        <v>327496</v>
      </c>
      <c r="J2457" s="476">
        <v>327536</v>
      </c>
      <c r="K2457" s="476">
        <v>327577</v>
      </c>
    </row>
    <row r="2458" spans="1:11">
      <c r="A2458" s="479">
        <v>6911.4</v>
      </c>
      <c r="B2458" s="476">
        <v>327617</v>
      </c>
      <c r="C2458" s="476">
        <v>327658</v>
      </c>
      <c r="D2458" s="476">
        <v>327698</v>
      </c>
      <c r="E2458" s="476">
        <v>327739</v>
      </c>
      <c r="F2458" s="476">
        <v>327779</v>
      </c>
      <c r="G2458" s="476">
        <v>327820</v>
      </c>
      <c r="H2458" s="476">
        <v>327860</v>
      </c>
      <c r="I2458" s="476">
        <v>327900</v>
      </c>
      <c r="J2458" s="476">
        <v>327941</v>
      </c>
      <c r="K2458" s="476">
        <v>327981</v>
      </c>
    </row>
    <row r="2459" spans="1:11">
      <c r="A2459" s="479">
        <v>6911.5</v>
      </c>
      <c r="B2459" s="476">
        <v>328022</v>
      </c>
      <c r="C2459" s="476">
        <v>328062</v>
      </c>
      <c r="D2459" s="476">
        <v>328103</v>
      </c>
      <c r="E2459" s="476">
        <v>328143</v>
      </c>
      <c r="F2459" s="476">
        <v>328184</v>
      </c>
      <c r="G2459" s="476">
        <v>328224</v>
      </c>
      <c r="H2459" s="476">
        <v>328265</v>
      </c>
      <c r="I2459" s="476">
        <v>328305</v>
      </c>
      <c r="J2459" s="476">
        <v>328345</v>
      </c>
      <c r="K2459" s="476">
        <v>328386</v>
      </c>
    </row>
    <row r="2460" spans="1:11">
      <c r="A2460" s="479">
        <v>6911.6</v>
      </c>
      <c r="B2460" s="476">
        <v>328426</v>
      </c>
      <c r="C2460" s="476">
        <v>328467</v>
      </c>
      <c r="D2460" s="476">
        <v>328507</v>
      </c>
      <c r="E2460" s="476">
        <v>328548</v>
      </c>
      <c r="F2460" s="476">
        <v>328588</v>
      </c>
      <c r="G2460" s="476">
        <v>328629</v>
      </c>
      <c r="H2460" s="476">
        <v>328669</v>
      </c>
      <c r="I2460" s="476">
        <v>328709</v>
      </c>
      <c r="J2460" s="476">
        <v>328750</v>
      </c>
      <c r="K2460" s="476">
        <v>328790</v>
      </c>
    </row>
    <row r="2461" spans="1:11">
      <c r="A2461" s="479">
        <v>6911.7</v>
      </c>
      <c r="B2461" s="476">
        <v>328831</v>
      </c>
      <c r="C2461" s="476">
        <v>328871</v>
      </c>
      <c r="D2461" s="476">
        <v>328912</v>
      </c>
      <c r="E2461" s="476">
        <v>328952</v>
      </c>
      <c r="F2461" s="476">
        <v>328993</v>
      </c>
      <c r="G2461" s="476">
        <v>329033</v>
      </c>
      <c r="H2461" s="476">
        <v>329073</v>
      </c>
      <c r="I2461" s="476">
        <v>329114</v>
      </c>
      <c r="J2461" s="476">
        <v>329154</v>
      </c>
      <c r="K2461" s="476">
        <v>329195</v>
      </c>
    </row>
    <row r="2462" spans="1:11">
      <c r="A2462" s="479">
        <v>6911.8</v>
      </c>
      <c r="B2462" s="476">
        <v>329235</v>
      </c>
      <c r="C2462" s="476">
        <v>329276</v>
      </c>
      <c r="D2462" s="476">
        <v>329316</v>
      </c>
      <c r="E2462" s="476">
        <v>329357</v>
      </c>
      <c r="F2462" s="476">
        <v>329397</v>
      </c>
      <c r="G2462" s="476">
        <v>329438</v>
      </c>
      <c r="H2462" s="476">
        <v>329478</v>
      </c>
      <c r="I2462" s="476">
        <v>329518</v>
      </c>
      <c r="J2462" s="476">
        <v>329559</v>
      </c>
      <c r="K2462" s="476">
        <v>329599</v>
      </c>
    </row>
    <row r="2463" spans="1:11">
      <c r="A2463" s="479">
        <v>6911.9</v>
      </c>
      <c r="B2463" s="476">
        <v>329640</v>
      </c>
      <c r="C2463" s="476">
        <v>329680</v>
      </c>
      <c r="D2463" s="476">
        <v>329721</v>
      </c>
      <c r="E2463" s="476">
        <v>329761</v>
      </c>
      <c r="F2463" s="476">
        <v>329802</v>
      </c>
      <c r="G2463" s="476">
        <v>329842</v>
      </c>
      <c r="H2463" s="476">
        <v>329882</v>
      </c>
      <c r="I2463" s="476">
        <v>329923</v>
      </c>
      <c r="J2463" s="476">
        <v>329963</v>
      </c>
      <c r="K2463" s="476">
        <v>330004</v>
      </c>
    </row>
    <row r="2464" spans="1:11">
      <c r="A2464" s="479">
        <v>6912</v>
      </c>
      <c r="B2464" s="476">
        <v>330044</v>
      </c>
      <c r="C2464" s="476">
        <v>330085</v>
      </c>
      <c r="D2464" s="476">
        <v>330126</v>
      </c>
      <c r="E2464" s="476">
        <v>330167</v>
      </c>
      <c r="F2464" s="476">
        <v>330207</v>
      </c>
      <c r="G2464" s="476">
        <v>330248</v>
      </c>
      <c r="H2464" s="476">
        <v>330289</v>
      </c>
      <c r="I2464" s="476">
        <v>330330</v>
      </c>
      <c r="J2464" s="476">
        <v>330370</v>
      </c>
      <c r="K2464" s="476">
        <v>330411</v>
      </c>
    </row>
    <row r="2465" spans="1:11">
      <c r="A2465" s="479">
        <v>6912.1</v>
      </c>
      <c r="B2465" s="476">
        <v>330452</v>
      </c>
      <c r="C2465" s="476">
        <v>330493</v>
      </c>
      <c r="D2465" s="476">
        <v>330534</v>
      </c>
      <c r="E2465" s="476">
        <v>330574</v>
      </c>
      <c r="F2465" s="476">
        <v>330615</v>
      </c>
      <c r="G2465" s="476">
        <v>330656</v>
      </c>
      <c r="H2465" s="476">
        <v>330697</v>
      </c>
      <c r="I2465" s="476">
        <v>330737</v>
      </c>
      <c r="J2465" s="476">
        <v>330778</v>
      </c>
      <c r="K2465" s="476">
        <v>330819</v>
      </c>
    </row>
    <row r="2466" spans="1:11">
      <c r="A2466" s="479">
        <v>6912.2</v>
      </c>
      <c r="B2466" s="476">
        <v>330860</v>
      </c>
      <c r="C2466" s="476">
        <v>330900</v>
      </c>
      <c r="D2466" s="476">
        <v>330941</v>
      </c>
      <c r="E2466" s="476">
        <v>330982</v>
      </c>
      <c r="F2466" s="476">
        <v>331023</v>
      </c>
      <c r="G2466" s="476">
        <v>331064</v>
      </c>
      <c r="H2466" s="476">
        <v>331104</v>
      </c>
      <c r="I2466" s="476">
        <v>331145</v>
      </c>
      <c r="J2466" s="476">
        <v>331186</v>
      </c>
      <c r="K2466" s="476">
        <v>331227</v>
      </c>
    </row>
    <row r="2467" spans="1:11">
      <c r="A2467" s="479">
        <v>6912.3</v>
      </c>
      <c r="B2467" s="476">
        <v>331267</v>
      </c>
      <c r="C2467" s="476">
        <v>331308</v>
      </c>
      <c r="D2467" s="476">
        <v>331349</v>
      </c>
      <c r="E2467" s="476">
        <v>331390</v>
      </c>
      <c r="F2467" s="476">
        <v>331430</v>
      </c>
      <c r="G2467" s="476">
        <v>331471</v>
      </c>
      <c r="H2467" s="476">
        <v>331512</v>
      </c>
      <c r="I2467" s="476">
        <v>331553</v>
      </c>
      <c r="J2467" s="476">
        <v>331594</v>
      </c>
      <c r="K2467" s="476">
        <v>331634</v>
      </c>
    </row>
    <row r="2468" spans="1:11">
      <c r="A2468" s="479">
        <v>6912.4</v>
      </c>
      <c r="B2468" s="476">
        <v>331675</v>
      </c>
      <c r="C2468" s="476">
        <v>331716</v>
      </c>
      <c r="D2468" s="476">
        <v>331757</v>
      </c>
      <c r="E2468" s="476">
        <v>331797</v>
      </c>
      <c r="F2468" s="476">
        <v>331838</v>
      </c>
      <c r="G2468" s="476">
        <v>331879</v>
      </c>
      <c r="H2468" s="476">
        <v>331920</v>
      </c>
      <c r="I2468" s="476">
        <v>331960</v>
      </c>
      <c r="J2468" s="476">
        <v>332001</v>
      </c>
      <c r="K2468" s="476">
        <v>332042</v>
      </c>
    </row>
    <row r="2469" spans="1:11">
      <c r="A2469" s="479">
        <v>6912.5</v>
      </c>
      <c r="B2469" s="476">
        <v>332083</v>
      </c>
      <c r="C2469" s="476">
        <v>332124</v>
      </c>
      <c r="D2469" s="476">
        <v>332164</v>
      </c>
      <c r="E2469" s="476">
        <v>332205</v>
      </c>
      <c r="F2469" s="476">
        <v>332246</v>
      </c>
      <c r="G2469" s="476">
        <v>332287</v>
      </c>
      <c r="H2469" s="476">
        <v>332327</v>
      </c>
      <c r="I2469" s="476">
        <v>332368</v>
      </c>
      <c r="J2469" s="476">
        <v>332409</v>
      </c>
      <c r="K2469" s="476">
        <v>332450</v>
      </c>
    </row>
    <row r="2470" spans="1:11">
      <c r="A2470" s="479">
        <v>6912.6</v>
      </c>
      <c r="B2470" s="476">
        <v>332490</v>
      </c>
      <c r="C2470" s="476">
        <v>332531</v>
      </c>
      <c r="D2470" s="476">
        <v>332572</v>
      </c>
      <c r="E2470" s="476">
        <v>332613</v>
      </c>
      <c r="F2470" s="476">
        <v>332654</v>
      </c>
      <c r="G2470" s="476">
        <v>332694</v>
      </c>
      <c r="H2470" s="476">
        <v>332735</v>
      </c>
      <c r="I2470" s="476">
        <v>332776</v>
      </c>
      <c r="J2470" s="476">
        <v>332817</v>
      </c>
      <c r="K2470" s="476">
        <v>332857</v>
      </c>
    </row>
    <row r="2471" spans="1:11">
      <c r="A2471" s="479">
        <v>6912.7</v>
      </c>
      <c r="B2471" s="476">
        <v>332898</v>
      </c>
      <c r="C2471" s="476">
        <v>332939</v>
      </c>
      <c r="D2471" s="476">
        <v>332980</v>
      </c>
      <c r="E2471" s="476">
        <v>333020</v>
      </c>
      <c r="F2471" s="476">
        <v>333061</v>
      </c>
      <c r="G2471" s="476">
        <v>333102</v>
      </c>
      <c r="H2471" s="476">
        <v>333143</v>
      </c>
      <c r="I2471" s="476">
        <v>333184</v>
      </c>
      <c r="J2471" s="476">
        <v>333224</v>
      </c>
      <c r="K2471" s="476">
        <v>333265</v>
      </c>
    </row>
    <row r="2472" spans="1:11">
      <c r="A2472" s="479">
        <v>6912.8</v>
      </c>
      <c r="B2472" s="476">
        <v>333306</v>
      </c>
      <c r="C2472" s="476">
        <v>333347</v>
      </c>
      <c r="D2472" s="476">
        <v>333387</v>
      </c>
      <c r="E2472" s="476">
        <v>333428</v>
      </c>
      <c r="F2472" s="476">
        <v>333469</v>
      </c>
      <c r="G2472" s="476">
        <v>333510</v>
      </c>
      <c r="H2472" s="476">
        <v>333550</v>
      </c>
      <c r="I2472" s="476">
        <v>333591</v>
      </c>
      <c r="J2472" s="476">
        <v>333632</v>
      </c>
      <c r="K2472" s="476">
        <v>333673</v>
      </c>
    </row>
    <row r="2473" spans="1:11">
      <c r="A2473" s="479">
        <v>6912.9</v>
      </c>
      <c r="B2473" s="476">
        <v>333714</v>
      </c>
      <c r="C2473" s="476">
        <v>333754</v>
      </c>
      <c r="D2473" s="476">
        <v>333795</v>
      </c>
      <c r="E2473" s="476">
        <v>333836</v>
      </c>
      <c r="F2473" s="476">
        <v>333877</v>
      </c>
      <c r="G2473" s="476">
        <v>333917</v>
      </c>
      <c r="H2473" s="476">
        <v>333958</v>
      </c>
      <c r="I2473" s="476">
        <v>333999</v>
      </c>
      <c r="J2473" s="476">
        <v>334040</v>
      </c>
      <c r="K2473" s="476">
        <v>334081</v>
      </c>
    </row>
    <row r="2474" spans="1:11">
      <c r="A2474" s="479">
        <v>6913</v>
      </c>
      <c r="B2474" s="476">
        <v>334121</v>
      </c>
      <c r="C2474" s="476">
        <v>334162</v>
      </c>
      <c r="D2474" s="476">
        <v>334203</v>
      </c>
      <c r="E2474" s="476">
        <v>334245</v>
      </c>
      <c r="F2474" s="476">
        <v>334286</v>
      </c>
      <c r="G2474" s="476">
        <v>334327</v>
      </c>
      <c r="H2474" s="476">
        <v>334368</v>
      </c>
      <c r="I2474" s="476">
        <v>334409</v>
      </c>
      <c r="J2474" s="476">
        <v>334450</v>
      </c>
      <c r="K2474" s="476">
        <v>334491</v>
      </c>
    </row>
    <row r="2475" spans="1:11">
      <c r="A2475" s="479">
        <v>6913.1</v>
      </c>
      <c r="B2475" s="476">
        <v>334532</v>
      </c>
      <c r="C2475" s="476">
        <v>334573</v>
      </c>
      <c r="D2475" s="476">
        <v>334614</v>
      </c>
      <c r="E2475" s="476">
        <v>334655</v>
      </c>
      <c r="F2475" s="476">
        <v>334697</v>
      </c>
      <c r="G2475" s="476">
        <v>334738</v>
      </c>
      <c r="H2475" s="476">
        <v>334779</v>
      </c>
      <c r="I2475" s="476">
        <v>334820</v>
      </c>
      <c r="J2475" s="476">
        <v>334861</v>
      </c>
      <c r="K2475" s="476">
        <v>334902</v>
      </c>
    </row>
    <row r="2476" spans="1:11">
      <c r="A2476" s="479">
        <v>6913.2</v>
      </c>
      <c r="B2476" s="476">
        <v>334943</v>
      </c>
      <c r="C2476" s="476">
        <v>334984</v>
      </c>
      <c r="D2476" s="476">
        <v>335025</v>
      </c>
      <c r="E2476" s="476">
        <v>335066</v>
      </c>
      <c r="F2476" s="476">
        <v>335108</v>
      </c>
      <c r="G2476" s="476">
        <v>335149</v>
      </c>
      <c r="H2476" s="476">
        <v>335190</v>
      </c>
      <c r="I2476" s="476">
        <v>335231</v>
      </c>
      <c r="J2476" s="476">
        <v>335272</v>
      </c>
      <c r="K2476" s="476">
        <v>335313</v>
      </c>
    </row>
    <row r="2477" spans="1:11">
      <c r="A2477" s="479">
        <v>6913.3</v>
      </c>
      <c r="B2477" s="476">
        <v>335354</v>
      </c>
      <c r="C2477" s="476">
        <v>335395</v>
      </c>
      <c r="D2477" s="476">
        <v>335436</v>
      </c>
      <c r="E2477" s="476">
        <v>335477</v>
      </c>
      <c r="F2477" s="476">
        <v>335518</v>
      </c>
      <c r="G2477" s="476">
        <v>335560</v>
      </c>
      <c r="H2477" s="476">
        <v>335601</v>
      </c>
      <c r="I2477" s="476">
        <v>335642</v>
      </c>
      <c r="J2477" s="476">
        <v>335683</v>
      </c>
      <c r="K2477" s="476">
        <v>335724</v>
      </c>
    </row>
    <row r="2478" spans="1:11">
      <c r="A2478" s="479">
        <v>6913.4</v>
      </c>
      <c r="B2478" s="476">
        <v>335765</v>
      </c>
      <c r="C2478" s="476">
        <v>335806</v>
      </c>
      <c r="D2478" s="476">
        <v>335847</v>
      </c>
      <c r="E2478" s="476">
        <v>335888</v>
      </c>
      <c r="F2478" s="476">
        <v>335929</v>
      </c>
      <c r="G2478" s="476">
        <v>335970</v>
      </c>
      <c r="H2478" s="476">
        <v>336012</v>
      </c>
      <c r="I2478" s="476">
        <v>336053</v>
      </c>
      <c r="J2478" s="476">
        <v>336094</v>
      </c>
      <c r="K2478" s="476">
        <v>336135</v>
      </c>
    </row>
    <row r="2479" spans="1:11">
      <c r="A2479" s="479">
        <v>6913.5</v>
      </c>
      <c r="B2479" s="476">
        <v>336176</v>
      </c>
      <c r="C2479" s="476">
        <v>336217</v>
      </c>
      <c r="D2479" s="476">
        <v>336258</v>
      </c>
      <c r="E2479" s="476">
        <v>336299</v>
      </c>
      <c r="F2479" s="476">
        <v>336340</v>
      </c>
      <c r="G2479" s="476">
        <v>336381</v>
      </c>
      <c r="H2479" s="476">
        <v>336422</v>
      </c>
      <c r="I2479" s="476">
        <v>336464</v>
      </c>
      <c r="J2479" s="476">
        <v>336505</v>
      </c>
      <c r="K2479" s="476">
        <v>336546</v>
      </c>
    </row>
    <row r="2480" spans="1:11">
      <c r="A2480" s="479">
        <v>6913.6</v>
      </c>
      <c r="B2480" s="476">
        <v>336587</v>
      </c>
      <c r="C2480" s="476">
        <v>336628</v>
      </c>
      <c r="D2480" s="476">
        <v>336669</v>
      </c>
      <c r="E2480" s="476">
        <v>336710</v>
      </c>
      <c r="F2480" s="476">
        <v>336751</v>
      </c>
      <c r="G2480" s="476">
        <v>336792</v>
      </c>
      <c r="H2480" s="476">
        <v>336833</v>
      </c>
      <c r="I2480" s="476">
        <v>336875</v>
      </c>
      <c r="J2480" s="476">
        <v>336916</v>
      </c>
      <c r="K2480" s="476">
        <v>336957</v>
      </c>
    </row>
    <row r="2481" spans="1:11">
      <c r="A2481" s="479">
        <v>6913.7</v>
      </c>
      <c r="B2481" s="476">
        <v>336998</v>
      </c>
      <c r="C2481" s="476">
        <v>337039</v>
      </c>
      <c r="D2481" s="476">
        <v>337080</v>
      </c>
      <c r="E2481" s="476">
        <v>337121</v>
      </c>
      <c r="F2481" s="476">
        <v>337162</v>
      </c>
      <c r="G2481" s="476">
        <v>337203</v>
      </c>
      <c r="H2481" s="476">
        <v>337244</v>
      </c>
      <c r="I2481" s="476">
        <v>337285</v>
      </c>
      <c r="J2481" s="476">
        <v>337327</v>
      </c>
      <c r="K2481" s="476">
        <v>337368</v>
      </c>
    </row>
    <row r="2482" spans="1:11">
      <c r="A2482" s="479">
        <v>6913.8</v>
      </c>
      <c r="B2482" s="476">
        <v>337409</v>
      </c>
      <c r="C2482" s="476">
        <v>337450</v>
      </c>
      <c r="D2482" s="476">
        <v>337491</v>
      </c>
      <c r="E2482" s="476">
        <v>337532</v>
      </c>
      <c r="F2482" s="476">
        <v>337573</v>
      </c>
      <c r="G2482" s="476">
        <v>337614</v>
      </c>
      <c r="H2482" s="476">
        <v>337655</v>
      </c>
      <c r="I2482" s="476">
        <v>337696</v>
      </c>
      <c r="J2482" s="476">
        <v>337737</v>
      </c>
      <c r="K2482" s="476">
        <v>337779</v>
      </c>
    </row>
    <row r="2483" spans="1:11">
      <c r="A2483" s="479">
        <v>6913.9</v>
      </c>
      <c r="B2483" s="476">
        <v>337820</v>
      </c>
      <c r="C2483" s="476">
        <v>337861</v>
      </c>
      <c r="D2483" s="476">
        <v>337902</v>
      </c>
      <c r="E2483" s="476">
        <v>337943</v>
      </c>
      <c r="F2483" s="476">
        <v>337984</v>
      </c>
      <c r="G2483" s="476">
        <v>338025</v>
      </c>
      <c r="H2483" s="476">
        <v>338066</v>
      </c>
      <c r="I2483" s="476">
        <v>338107</v>
      </c>
      <c r="J2483" s="476">
        <v>338148</v>
      </c>
      <c r="K2483" s="476">
        <v>338189</v>
      </c>
    </row>
    <row r="2484" spans="1:11">
      <c r="A2484" s="479">
        <v>6914</v>
      </c>
      <c r="B2484" s="476">
        <v>338231</v>
      </c>
      <c r="C2484" s="476">
        <v>338272</v>
      </c>
      <c r="D2484" s="476">
        <v>338313</v>
      </c>
      <c r="E2484" s="476">
        <v>338355</v>
      </c>
      <c r="F2484" s="476">
        <v>338396</v>
      </c>
      <c r="G2484" s="476">
        <v>338438</v>
      </c>
      <c r="H2484" s="476">
        <v>338479</v>
      </c>
      <c r="I2484" s="476">
        <v>338520</v>
      </c>
      <c r="J2484" s="476">
        <v>338562</v>
      </c>
      <c r="K2484" s="476">
        <v>338603</v>
      </c>
    </row>
    <row r="2485" spans="1:11">
      <c r="A2485" s="479">
        <v>6914.1</v>
      </c>
      <c r="B2485" s="476">
        <v>338645</v>
      </c>
      <c r="C2485" s="476">
        <v>338686</v>
      </c>
      <c r="D2485" s="476">
        <v>338728</v>
      </c>
      <c r="E2485" s="476">
        <v>338769</v>
      </c>
      <c r="F2485" s="476">
        <v>338810</v>
      </c>
      <c r="G2485" s="476">
        <v>338852</v>
      </c>
      <c r="H2485" s="476">
        <v>338893</v>
      </c>
      <c r="I2485" s="476">
        <v>338935</v>
      </c>
      <c r="J2485" s="476">
        <v>338976</v>
      </c>
      <c r="K2485" s="476">
        <v>339017</v>
      </c>
    </row>
    <row r="2486" spans="1:11">
      <c r="A2486" s="479">
        <v>6914.2</v>
      </c>
      <c r="B2486" s="476">
        <v>339059</v>
      </c>
      <c r="C2486" s="476">
        <v>339100</v>
      </c>
      <c r="D2486" s="476">
        <v>339142</v>
      </c>
      <c r="E2486" s="476">
        <v>339183</v>
      </c>
      <c r="F2486" s="476">
        <v>339225</v>
      </c>
      <c r="G2486" s="476">
        <v>339266</v>
      </c>
      <c r="H2486" s="476">
        <v>339307</v>
      </c>
      <c r="I2486" s="476">
        <v>339349</v>
      </c>
      <c r="J2486" s="476">
        <v>339390</v>
      </c>
      <c r="K2486" s="476">
        <v>339432</v>
      </c>
    </row>
    <row r="2487" spans="1:11">
      <c r="A2487" s="479">
        <v>6914.3</v>
      </c>
      <c r="B2487" s="476">
        <v>339473</v>
      </c>
      <c r="C2487" s="476">
        <v>339515</v>
      </c>
      <c r="D2487" s="476">
        <v>339556</v>
      </c>
      <c r="E2487" s="476">
        <v>339597</v>
      </c>
      <c r="F2487" s="476">
        <v>339639</v>
      </c>
      <c r="G2487" s="476">
        <v>339680</v>
      </c>
      <c r="H2487" s="476">
        <v>339722</v>
      </c>
      <c r="I2487" s="476">
        <v>339763</v>
      </c>
      <c r="J2487" s="476">
        <v>339804</v>
      </c>
      <c r="K2487" s="476">
        <v>339846</v>
      </c>
    </row>
    <row r="2488" spans="1:11">
      <c r="A2488" s="479">
        <v>6914.4</v>
      </c>
      <c r="B2488" s="476">
        <v>339887</v>
      </c>
      <c r="C2488" s="476">
        <v>339929</v>
      </c>
      <c r="D2488" s="476">
        <v>339970</v>
      </c>
      <c r="E2488" s="476">
        <v>340012</v>
      </c>
      <c r="F2488" s="476">
        <v>340053</v>
      </c>
      <c r="G2488" s="476">
        <v>340094</v>
      </c>
      <c r="H2488" s="476">
        <v>340136</v>
      </c>
      <c r="I2488" s="476">
        <v>340177</v>
      </c>
      <c r="J2488" s="476">
        <v>340219</v>
      </c>
      <c r="K2488" s="476">
        <v>340260</v>
      </c>
    </row>
    <row r="2489" spans="1:11">
      <c r="A2489" s="479">
        <v>6914.5</v>
      </c>
      <c r="B2489" s="476">
        <v>340301</v>
      </c>
      <c r="C2489" s="476">
        <v>340343</v>
      </c>
      <c r="D2489" s="476">
        <v>340384</v>
      </c>
      <c r="E2489" s="476">
        <v>340426</v>
      </c>
      <c r="F2489" s="476">
        <v>340467</v>
      </c>
      <c r="G2489" s="476">
        <v>340509</v>
      </c>
      <c r="H2489" s="476">
        <v>340550</v>
      </c>
      <c r="I2489" s="476">
        <v>340591</v>
      </c>
      <c r="J2489" s="476">
        <v>340633</v>
      </c>
      <c r="K2489" s="476">
        <v>340674</v>
      </c>
    </row>
    <row r="2490" spans="1:11">
      <c r="A2490" s="479">
        <v>6914.6</v>
      </c>
      <c r="B2490" s="476">
        <v>340716</v>
      </c>
      <c r="C2490" s="476">
        <v>340757</v>
      </c>
      <c r="D2490" s="476">
        <v>340798</v>
      </c>
      <c r="E2490" s="476">
        <v>340840</v>
      </c>
      <c r="F2490" s="476">
        <v>340881</v>
      </c>
      <c r="G2490" s="476">
        <v>340923</v>
      </c>
      <c r="H2490" s="476">
        <v>340964</v>
      </c>
      <c r="I2490" s="476">
        <v>341006</v>
      </c>
      <c r="J2490" s="476">
        <v>341047</v>
      </c>
      <c r="K2490" s="476">
        <v>341088</v>
      </c>
    </row>
    <row r="2491" spans="1:11">
      <c r="A2491" s="479">
        <v>6914.7</v>
      </c>
      <c r="B2491" s="476">
        <v>341130</v>
      </c>
      <c r="C2491" s="476">
        <v>341171</v>
      </c>
      <c r="D2491" s="476">
        <v>341213</v>
      </c>
      <c r="E2491" s="476">
        <v>341254</v>
      </c>
      <c r="F2491" s="476">
        <v>341295</v>
      </c>
      <c r="G2491" s="476">
        <v>341337</v>
      </c>
      <c r="H2491" s="476">
        <v>341378</v>
      </c>
      <c r="I2491" s="476">
        <v>341420</v>
      </c>
      <c r="J2491" s="476">
        <v>341461</v>
      </c>
      <c r="K2491" s="476">
        <v>341503</v>
      </c>
    </row>
    <row r="2492" spans="1:11">
      <c r="A2492" s="479">
        <v>6914.8</v>
      </c>
      <c r="B2492" s="476">
        <v>341544</v>
      </c>
      <c r="C2492" s="476">
        <v>341585</v>
      </c>
      <c r="D2492" s="476">
        <v>341627</v>
      </c>
      <c r="E2492" s="476">
        <v>341668</v>
      </c>
      <c r="F2492" s="476">
        <v>341710</v>
      </c>
      <c r="G2492" s="476">
        <v>341751</v>
      </c>
      <c r="H2492" s="476">
        <v>341792</v>
      </c>
      <c r="I2492" s="476">
        <v>341834</v>
      </c>
      <c r="J2492" s="476">
        <v>341875</v>
      </c>
      <c r="K2492" s="476">
        <v>341917</v>
      </c>
    </row>
    <row r="2493" spans="1:11">
      <c r="A2493" s="479">
        <v>6914.9</v>
      </c>
      <c r="B2493" s="476">
        <v>341958</v>
      </c>
      <c r="C2493" s="476">
        <v>342000</v>
      </c>
      <c r="D2493" s="476">
        <v>342041</v>
      </c>
      <c r="E2493" s="476">
        <v>342082</v>
      </c>
      <c r="F2493" s="476">
        <v>342124</v>
      </c>
      <c r="G2493" s="476">
        <v>342165</v>
      </c>
      <c r="H2493" s="476">
        <v>342207</v>
      </c>
      <c r="I2493" s="476">
        <v>342248</v>
      </c>
      <c r="J2493" s="476">
        <v>342289</v>
      </c>
      <c r="K2493" s="476">
        <v>342331</v>
      </c>
    </row>
    <row r="2494" spans="1:11">
      <c r="A2494" s="479">
        <v>6915</v>
      </c>
      <c r="B2494" s="476">
        <v>342372</v>
      </c>
      <c r="C2494" s="476">
        <v>342414</v>
      </c>
      <c r="D2494" s="476">
        <v>342456</v>
      </c>
      <c r="E2494" s="476">
        <v>342498</v>
      </c>
      <c r="F2494" s="476">
        <v>342539</v>
      </c>
      <c r="G2494" s="476">
        <v>342581</v>
      </c>
      <c r="H2494" s="476">
        <v>342623</v>
      </c>
      <c r="I2494" s="476">
        <v>342664</v>
      </c>
      <c r="J2494" s="476">
        <v>342706</v>
      </c>
      <c r="K2494" s="476">
        <v>342748</v>
      </c>
    </row>
    <row r="2495" spans="1:11">
      <c r="A2495" s="479">
        <v>6915.1</v>
      </c>
      <c r="B2495" s="476">
        <v>342790</v>
      </c>
      <c r="C2495" s="476">
        <v>342831</v>
      </c>
      <c r="D2495" s="476">
        <v>342873</v>
      </c>
      <c r="E2495" s="476">
        <v>342915</v>
      </c>
      <c r="F2495" s="476">
        <v>342957</v>
      </c>
      <c r="G2495" s="476">
        <v>342998</v>
      </c>
      <c r="H2495" s="476">
        <v>343040</v>
      </c>
      <c r="I2495" s="476">
        <v>343082</v>
      </c>
      <c r="J2495" s="476">
        <v>343124</v>
      </c>
      <c r="K2495" s="476">
        <v>343165</v>
      </c>
    </row>
    <row r="2496" spans="1:11">
      <c r="A2496" s="479">
        <v>6915.2</v>
      </c>
      <c r="B2496" s="476">
        <v>343207</v>
      </c>
      <c r="C2496" s="476">
        <v>343249</v>
      </c>
      <c r="D2496" s="476">
        <v>343291</v>
      </c>
      <c r="E2496" s="476">
        <v>343332</v>
      </c>
      <c r="F2496" s="476">
        <v>343374</v>
      </c>
      <c r="G2496" s="476">
        <v>343416</v>
      </c>
      <c r="H2496" s="476">
        <v>343458</v>
      </c>
      <c r="I2496" s="476">
        <v>343499</v>
      </c>
      <c r="J2496" s="476">
        <v>343541</v>
      </c>
      <c r="K2496" s="476">
        <v>343583</v>
      </c>
    </row>
    <row r="2497" spans="1:11">
      <c r="A2497" s="479">
        <v>6915.3</v>
      </c>
      <c r="B2497" s="476">
        <v>343625</v>
      </c>
      <c r="C2497" s="476">
        <v>343666</v>
      </c>
      <c r="D2497" s="476">
        <v>343708</v>
      </c>
      <c r="E2497" s="476">
        <v>343750</v>
      </c>
      <c r="F2497" s="476">
        <v>343792</v>
      </c>
      <c r="G2497" s="476">
        <v>343833</v>
      </c>
      <c r="H2497" s="476">
        <v>343875</v>
      </c>
      <c r="I2497" s="476">
        <v>343917</v>
      </c>
      <c r="J2497" s="476">
        <v>343959</v>
      </c>
      <c r="K2497" s="476">
        <v>344000</v>
      </c>
    </row>
    <row r="2498" spans="1:11">
      <c r="A2498" s="479">
        <v>6915.4</v>
      </c>
      <c r="B2498" s="476">
        <v>344042</v>
      </c>
      <c r="C2498" s="476">
        <v>344084</v>
      </c>
      <c r="D2498" s="476">
        <v>344126</v>
      </c>
      <c r="E2498" s="476">
        <v>344167</v>
      </c>
      <c r="F2498" s="476">
        <v>344209</v>
      </c>
      <c r="G2498" s="476">
        <v>344251</v>
      </c>
      <c r="H2498" s="476">
        <v>344292</v>
      </c>
      <c r="I2498" s="476">
        <v>344334</v>
      </c>
      <c r="J2498" s="476">
        <v>344376</v>
      </c>
      <c r="K2498" s="476">
        <v>344418</v>
      </c>
    </row>
    <row r="2499" spans="1:11">
      <c r="A2499" s="479">
        <v>6915.5</v>
      </c>
      <c r="B2499" s="476">
        <v>344459</v>
      </c>
      <c r="C2499" s="476">
        <v>344501</v>
      </c>
      <c r="D2499" s="476">
        <v>344543</v>
      </c>
      <c r="E2499" s="476">
        <v>344585</v>
      </c>
      <c r="F2499" s="476">
        <v>344626</v>
      </c>
      <c r="G2499" s="476">
        <v>344668</v>
      </c>
      <c r="H2499" s="476">
        <v>344710</v>
      </c>
      <c r="I2499" s="476">
        <v>344752</v>
      </c>
      <c r="J2499" s="476">
        <v>344793</v>
      </c>
      <c r="K2499" s="476">
        <v>344835</v>
      </c>
    </row>
    <row r="2500" spans="1:11">
      <c r="A2500" s="479">
        <v>6915.6</v>
      </c>
      <c r="B2500" s="476">
        <v>344877</v>
      </c>
      <c r="C2500" s="476">
        <v>344919</v>
      </c>
      <c r="D2500" s="476">
        <v>344960</v>
      </c>
      <c r="E2500" s="476">
        <v>345002</v>
      </c>
      <c r="F2500" s="476">
        <v>345044</v>
      </c>
      <c r="G2500" s="476">
        <v>345086</v>
      </c>
      <c r="H2500" s="476">
        <v>345127</v>
      </c>
      <c r="I2500" s="476">
        <v>345169</v>
      </c>
      <c r="J2500" s="476">
        <v>345211</v>
      </c>
      <c r="K2500" s="476">
        <v>345253</v>
      </c>
    </row>
    <row r="2501" spans="1:11">
      <c r="A2501" s="479">
        <v>6915.7</v>
      </c>
      <c r="B2501" s="476">
        <v>345294</v>
      </c>
      <c r="C2501" s="476">
        <v>345336</v>
      </c>
      <c r="D2501" s="476">
        <v>345378</v>
      </c>
      <c r="E2501" s="476">
        <v>345420</v>
      </c>
      <c r="F2501" s="476">
        <v>345461</v>
      </c>
      <c r="G2501" s="476">
        <v>345503</v>
      </c>
      <c r="H2501" s="476">
        <v>345545</v>
      </c>
      <c r="I2501" s="476">
        <v>345587</v>
      </c>
      <c r="J2501" s="476">
        <v>345628</v>
      </c>
      <c r="K2501" s="476">
        <v>345670</v>
      </c>
    </row>
    <row r="2502" spans="1:11">
      <c r="A2502" s="479">
        <v>6915.8</v>
      </c>
      <c r="B2502" s="476">
        <v>345712</v>
      </c>
      <c r="C2502" s="476">
        <v>345753</v>
      </c>
      <c r="D2502" s="476">
        <v>345795</v>
      </c>
      <c r="E2502" s="476">
        <v>345837</v>
      </c>
      <c r="F2502" s="476">
        <v>345879</v>
      </c>
      <c r="G2502" s="476">
        <v>345920</v>
      </c>
      <c r="H2502" s="476">
        <v>345962</v>
      </c>
      <c r="I2502" s="476">
        <v>346004</v>
      </c>
      <c r="J2502" s="476">
        <v>346046</v>
      </c>
      <c r="K2502" s="476">
        <v>346087</v>
      </c>
    </row>
    <row r="2503" spans="1:11">
      <c r="A2503" s="479">
        <v>6915.9</v>
      </c>
      <c r="B2503" s="476">
        <v>346129</v>
      </c>
      <c r="C2503" s="476">
        <v>346171</v>
      </c>
      <c r="D2503" s="476">
        <v>346213</v>
      </c>
      <c r="E2503" s="476">
        <v>346254</v>
      </c>
      <c r="F2503" s="476">
        <v>346296</v>
      </c>
      <c r="G2503" s="476">
        <v>346338</v>
      </c>
      <c r="H2503" s="476">
        <v>346380</v>
      </c>
      <c r="I2503" s="476">
        <v>346421</v>
      </c>
      <c r="J2503" s="476">
        <v>346463</v>
      </c>
      <c r="K2503" s="476">
        <v>346505</v>
      </c>
    </row>
    <row r="2504" spans="1:11">
      <c r="A2504" s="479">
        <v>6916</v>
      </c>
      <c r="B2504" s="476">
        <v>346547</v>
      </c>
      <c r="C2504" s="476">
        <v>346589</v>
      </c>
      <c r="D2504" s="476">
        <v>346631</v>
      </c>
      <c r="E2504" s="476">
        <v>346673</v>
      </c>
      <c r="F2504" s="476">
        <v>346715</v>
      </c>
      <c r="G2504" s="476">
        <v>346757</v>
      </c>
      <c r="H2504" s="476">
        <v>346799</v>
      </c>
      <c r="I2504" s="476">
        <v>346841</v>
      </c>
      <c r="J2504" s="476">
        <v>346883</v>
      </c>
      <c r="K2504" s="476">
        <v>346925</v>
      </c>
    </row>
    <row r="2505" spans="1:11">
      <c r="A2505" s="479">
        <v>6916.1</v>
      </c>
      <c r="B2505" s="476">
        <v>346967</v>
      </c>
      <c r="C2505" s="476">
        <v>347009</v>
      </c>
      <c r="D2505" s="476">
        <v>347051</v>
      </c>
      <c r="E2505" s="476">
        <v>347094</v>
      </c>
      <c r="F2505" s="476">
        <v>347136</v>
      </c>
      <c r="G2505" s="476">
        <v>347178</v>
      </c>
      <c r="H2505" s="476">
        <v>347220</v>
      </c>
      <c r="I2505" s="476">
        <v>347262</v>
      </c>
      <c r="J2505" s="476">
        <v>347304</v>
      </c>
      <c r="K2505" s="476">
        <v>347346</v>
      </c>
    </row>
    <row r="2506" spans="1:11">
      <c r="A2506" s="479">
        <v>6916.2</v>
      </c>
      <c r="B2506" s="476">
        <v>347388</v>
      </c>
      <c r="C2506" s="476">
        <v>347430</v>
      </c>
      <c r="D2506" s="476">
        <v>347472</v>
      </c>
      <c r="E2506" s="476">
        <v>347514</v>
      </c>
      <c r="F2506" s="476">
        <v>347556</v>
      </c>
      <c r="G2506" s="476">
        <v>347598</v>
      </c>
      <c r="H2506" s="476">
        <v>347640</v>
      </c>
      <c r="I2506" s="476">
        <v>347683</v>
      </c>
      <c r="J2506" s="476">
        <v>347725</v>
      </c>
      <c r="K2506" s="476">
        <v>347767</v>
      </c>
    </row>
    <row r="2507" spans="1:11">
      <c r="A2507" s="479">
        <v>6916.3</v>
      </c>
      <c r="B2507" s="476">
        <v>347809</v>
      </c>
      <c r="C2507" s="476">
        <v>347851</v>
      </c>
      <c r="D2507" s="476">
        <v>347893</v>
      </c>
      <c r="E2507" s="476">
        <v>347935</v>
      </c>
      <c r="F2507" s="476">
        <v>347977</v>
      </c>
      <c r="G2507" s="476">
        <v>348019</v>
      </c>
      <c r="H2507" s="476">
        <v>348061</v>
      </c>
      <c r="I2507" s="476">
        <v>348103</v>
      </c>
      <c r="J2507" s="476">
        <v>348145</v>
      </c>
      <c r="K2507" s="476">
        <v>348187</v>
      </c>
    </row>
    <row r="2508" spans="1:11">
      <c r="A2508" s="479">
        <v>6916.4</v>
      </c>
      <c r="B2508" s="476">
        <v>348229</v>
      </c>
      <c r="C2508" s="476">
        <v>348272</v>
      </c>
      <c r="D2508" s="476">
        <v>348314</v>
      </c>
      <c r="E2508" s="476">
        <v>348356</v>
      </c>
      <c r="F2508" s="476">
        <v>348398</v>
      </c>
      <c r="G2508" s="476">
        <v>348440</v>
      </c>
      <c r="H2508" s="476">
        <v>348482</v>
      </c>
      <c r="I2508" s="476">
        <v>348524</v>
      </c>
      <c r="J2508" s="476">
        <v>348566</v>
      </c>
      <c r="K2508" s="476">
        <v>348608</v>
      </c>
    </row>
    <row r="2509" spans="1:11">
      <c r="A2509" s="479">
        <v>6916.5</v>
      </c>
      <c r="B2509" s="476">
        <v>348650</v>
      </c>
      <c r="C2509" s="476">
        <v>348692</v>
      </c>
      <c r="D2509" s="476">
        <v>348734</v>
      </c>
      <c r="E2509" s="476">
        <v>348776</v>
      </c>
      <c r="F2509" s="476">
        <v>348818</v>
      </c>
      <c r="G2509" s="476">
        <v>348861</v>
      </c>
      <c r="H2509" s="476">
        <v>348903</v>
      </c>
      <c r="I2509" s="476">
        <v>348945</v>
      </c>
      <c r="J2509" s="476">
        <v>348987</v>
      </c>
      <c r="K2509" s="476">
        <v>349029</v>
      </c>
    </row>
    <row r="2510" spans="1:11">
      <c r="A2510" s="479">
        <v>6916.6</v>
      </c>
      <c r="B2510" s="476">
        <v>349071</v>
      </c>
      <c r="C2510" s="476">
        <v>349113</v>
      </c>
      <c r="D2510" s="476">
        <v>349155</v>
      </c>
      <c r="E2510" s="476">
        <v>349197</v>
      </c>
      <c r="F2510" s="476">
        <v>349239</v>
      </c>
      <c r="G2510" s="476">
        <v>349281</v>
      </c>
      <c r="H2510" s="476">
        <v>349323</v>
      </c>
      <c r="I2510" s="476">
        <v>349365</v>
      </c>
      <c r="J2510" s="476">
        <v>349407</v>
      </c>
      <c r="K2510" s="476">
        <v>349450</v>
      </c>
    </row>
    <row r="2511" spans="1:11">
      <c r="A2511" s="479">
        <v>6916.7</v>
      </c>
      <c r="B2511" s="476">
        <v>349492</v>
      </c>
      <c r="C2511" s="476">
        <v>349534</v>
      </c>
      <c r="D2511" s="476">
        <v>349576</v>
      </c>
      <c r="E2511" s="476">
        <v>349618</v>
      </c>
      <c r="F2511" s="476">
        <v>349660</v>
      </c>
      <c r="G2511" s="476">
        <v>349702</v>
      </c>
      <c r="H2511" s="476">
        <v>349744</v>
      </c>
      <c r="I2511" s="476">
        <v>349786</v>
      </c>
      <c r="J2511" s="476">
        <v>349828</v>
      </c>
      <c r="K2511" s="476">
        <v>349870</v>
      </c>
    </row>
    <row r="2512" spans="1:11">
      <c r="A2512" s="479">
        <v>6916.8</v>
      </c>
      <c r="B2512" s="476">
        <v>349912</v>
      </c>
      <c r="C2512" s="476">
        <v>349954</v>
      </c>
      <c r="D2512" s="476">
        <v>349996</v>
      </c>
      <c r="E2512" s="476">
        <v>350039</v>
      </c>
      <c r="F2512" s="476">
        <v>350081</v>
      </c>
      <c r="G2512" s="476">
        <v>350123</v>
      </c>
      <c r="H2512" s="476">
        <v>350165</v>
      </c>
      <c r="I2512" s="476">
        <v>350207</v>
      </c>
      <c r="J2512" s="476">
        <v>350249</v>
      </c>
      <c r="K2512" s="476">
        <v>350291</v>
      </c>
    </row>
    <row r="2513" spans="1:11">
      <c r="A2513" s="479">
        <v>6916.9</v>
      </c>
      <c r="B2513" s="476">
        <v>350333</v>
      </c>
      <c r="C2513" s="476">
        <v>350375</v>
      </c>
      <c r="D2513" s="476">
        <v>350417</v>
      </c>
      <c r="E2513" s="476">
        <v>350459</v>
      </c>
      <c r="F2513" s="476">
        <v>350501</v>
      </c>
      <c r="G2513" s="476">
        <v>350543</v>
      </c>
      <c r="H2513" s="476">
        <v>350585</v>
      </c>
      <c r="I2513" s="476">
        <v>350627</v>
      </c>
      <c r="J2513" s="476">
        <v>350670</v>
      </c>
      <c r="K2513" s="476">
        <v>350712</v>
      </c>
    </row>
    <row r="2514" spans="1:11">
      <c r="A2514" s="479">
        <v>6917</v>
      </c>
      <c r="B2514" s="476">
        <v>350754</v>
      </c>
      <c r="C2514" s="476">
        <v>350796</v>
      </c>
      <c r="D2514" s="476">
        <v>350839</v>
      </c>
      <c r="E2514" s="476">
        <v>350881</v>
      </c>
      <c r="F2514" s="476">
        <v>350923</v>
      </c>
      <c r="G2514" s="476">
        <v>350966</v>
      </c>
      <c r="H2514" s="476">
        <v>351008</v>
      </c>
      <c r="I2514" s="476">
        <v>351051</v>
      </c>
      <c r="J2514" s="476">
        <v>351093</v>
      </c>
      <c r="K2514" s="476">
        <v>351135</v>
      </c>
    </row>
    <row r="2515" spans="1:11">
      <c r="A2515" s="479">
        <v>6917.1</v>
      </c>
      <c r="B2515" s="476">
        <v>351178</v>
      </c>
      <c r="C2515" s="476">
        <v>351220</v>
      </c>
      <c r="D2515" s="476">
        <v>351263</v>
      </c>
      <c r="E2515" s="476">
        <v>351305</v>
      </c>
      <c r="F2515" s="476">
        <v>351347</v>
      </c>
      <c r="G2515" s="476">
        <v>351390</v>
      </c>
      <c r="H2515" s="476">
        <v>351432</v>
      </c>
      <c r="I2515" s="476">
        <v>351475</v>
      </c>
      <c r="J2515" s="476">
        <v>351517</v>
      </c>
      <c r="K2515" s="476">
        <v>351559</v>
      </c>
    </row>
    <row r="2516" spans="1:11">
      <c r="A2516" s="479">
        <v>6917.2</v>
      </c>
      <c r="B2516" s="476">
        <v>351602</v>
      </c>
      <c r="C2516" s="476">
        <v>351644</v>
      </c>
      <c r="D2516" s="476">
        <v>351687</v>
      </c>
      <c r="E2516" s="476">
        <v>351729</v>
      </c>
      <c r="F2516" s="476">
        <v>351771</v>
      </c>
      <c r="G2516" s="476">
        <v>351814</v>
      </c>
      <c r="H2516" s="476">
        <v>351856</v>
      </c>
      <c r="I2516" s="476">
        <v>351899</v>
      </c>
      <c r="J2516" s="476">
        <v>351941</v>
      </c>
      <c r="K2516" s="476">
        <v>351983</v>
      </c>
    </row>
    <row r="2517" spans="1:11">
      <c r="A2517" s="479">
        <v>6917.3</v>
      </c>
      <c r="B2517" s="476">
        <v>352026</v>
      </c>
      <c r="C2517" s="476">
        <v>352068</v>
      </c>
      <c r="D2517" s="476">
        <v>352111</v>
      </c>
      <c r="E2517" s="476">
        <v>352153</v>
      </c>
      <c r="F2517" s="476">
        <v>352195</v>
      </c>
      <c r="G2517" s="476">
        <v>352238</v>
      </c>
      <c r="H2517" s="476">
        <v>352280</v>
      </c>
      <c r="I2517" s="476">
        <v>352323</v>
      </c>
      <c r="J2517" s="476">
        <v>352365</v>
      </c>
      <c r="K2517" s="476">
        <v>352407</v>
      </c>
    </row>
    <row r="2518" spans="1:11">
      <c r="A2518" s="479">
        <v>6917.4</v>
      </c>
      <c r="B2518" s="476">
        <v>352450</v>
      </c>
      <c r="C2518" s="476">
        <v>352492</v>
      </c>
      <c r="D2518" s="476">
        <v>352535</v>
      </c>
      <c r="E2518" s="476">
        <v>352577</v>
      </c>
      <c r="F2518" s="476">
        <v>352619</v>
      </c>
      <c r="G2518" s="476">
        <v>352662</v>
      </c>
      <c r="H2518" s="476">
        <v>352704</v>
      </c>
      <c r="I2518" s="476">
        <v>352747</v>
      </c>
      <c r="J2518" s="476">
        <v>352789</v>
      </c>
      <c r="K2518" s="476">
        <v>352831</v>
      </c>
    </row>
    <row r="2519" spans="1:11">
      <c r="A2519" s="479">
        <v>6917.5</v>
      </c>
      <c r="B2519" s="476">
        <v>352874</v>
      </c>
      <c r="C2519" s="476">
        <v>352916</v>
      </c>
      <c r="D2519" s="476">
        <v>352959</v>
      </c>
      <c r="E2519" s="476">
        <v>353001</v>
      </c>
      <c r="F2519" s="476">
        <v>353043</v>
      </c>
      <c r="G2519" s="476">
        <v>353086</v>
      </c>
      <c r="H2519" s="476">
        <v>353128</v>
      </c>
      <c r="I2519" s="476">
        <v>353171</v>
      </c>
      <c r="J2519" s="476">
        <v>353213</v>
      </c>
      <c r="K2519" s="476">
        <v>353255</v>
      </c>
    </row>
    <row r="2520" spans="1:11">
      <c r="A2520" s="479">
        <v>6917.6</v>
      </c>
      <c r="B2520" s="476">
        <v>353298</v>
      </c>
      <c r="C2520" s="476">
        <v>353340</v>
      </c>
      <c r="D2520" s="476">
        <v>353383</v>
      </c>
      <c r="E2520" s="476">
        <v>353425</v>
      </c>
      <c r="F2520" s="476">
        <v>353467</v>
      </c>
      <c r="G2520" s="476">
        <v>353510</v>
      </c>
      <c r="H2520" s="476">
        <v>353552</v>
      </c>
      <c r="I2520" s="476">
        <v>353595</v>
      </c>
      <c r="J2520" s="476">
        <v>353637</v>
      </c>
      <c r="K2520" s="476">
        <v>353679</v>
      </c>
    </row>
    <row r="2521" spans="1:11">
      <c r="A2521" s="479">
        <v>6917.7</v>
      </c>
      <c r="B2521" s="476">
        <v>353722</v>
      </c>
      <c r="C2521" s="476">
        <v>353764</v>
      </c>
      <c r="D2521" s="476">
        <v>353807</v>
      </c>
      <c r="E2521" s="476">
        <v>353849</v>
      </c>
      <c r="F2521" s="476">
        <v>353891</v>
      </c>
      <c r="G2521" s="476">
        <v>353934</v>
      </c>
      <c r="H2521" s="476">
        <v>353976</v>
      </c>
      <c r="I2521" s="476">
        <v>354019</v>
      </c>
      <c r="J2521" s="476">
        <v>354061</v>
      </c>
      <c r="K2521" s="476">
        <v>354103</v>
      </c>
    </row>
    <row r="2522" spans="1:11">
      <c r="A2522" s="479">
        <v>6917.8</v>
      </c>
      <c r="B2522" s="476">
        <v>354146</v>
      </c>
      <c r="C2522" s="476">
        <v>354188</v>
      </c>
      <c r="D2522" s="476">
        <v>354231</v>
      </c>
      <c r="E2522" s="476">
        <v>354273</v>
      </c>
      <c r="F2522" s="476">
        <v>354315</v>
      </c>
      <c r="G2522" s="476">
        <v>354358</v>
      </c>
      <c r="H2522" s="476">
        <v>354400</v>
      </c>
      <c r="I2522" s="476">
        <v>354443</v>
      </c>
      <c r="J2522" s="476">
        <v>354485</v>
      </c>
      <c r="K2522" s="476">
        <v>354527</v>
      </c>
    </row>
    <row r="2523" spans="1:11">
      <c r="A2523" s="479">
        <v>6917.9</v>
      </c>
      <c r="B2523" s="476">
        <v>354570</v>
      </c>
      <c r="C2523" s="476">
        <v>354612</v>
      </c>
      <c r="D2523" s="476">
        <v>354655</v>
      </c>
      <c r="E2523" s="476">
        <v>354697</v>
      </c>
      <c r="F2523" s="476">
        <v>354739</v>
      </c>
      <c r="G2523" s="476">
        <v>354782</v>
      </c>
      <c r="H2523" s="476">
        <v>354824</v>
      </c>
      <c r="I2523" s="476">
        <v>354867</v>
      </c>
      <c r="J2523" s="476">
        <v>354909</v>
      </c>
      <c r="K2523" s="476">
        <v>354951</v>
      </c>
    </row>
    <row r="2524" spans="1:11">
      <c r="A2524" s="479">
        <v>6918</v>
      </c>
      <c r="B2524" s="476">
        <v>354994</v>
      </c>
      <c r="C2524" s="476">
        <v>355036</v>
      </c>
      <c r="D2524" s="476">
        <v>355079</v>
      </c>
      <c r="E2524" s="476">
        <v>355122</v>
      </c>
      <c r="F2524" s="476">
        <v>355165</v>
      </c>
      <c r="G2524" s="476">
        <v>355207</v>
      </c>
      <c r="H2524" s="476">
        <v>355250</v>
      </c>
      <c r="I2524" s="476">
        <v>355293</v>
      </c>
      <c r="J2524" s="476">
        <v>355336</v>
      </c>
      <c r="K2524" s="476">
        <v>355378</v>
      </c>
    </row>
    <row r="2525" spans="1:11">
      <c r="A2525" s="479">
        <v>6918.1</v>
      </c>
      <c r="B2525" s="476">
        <v>355421</v>
      </c>
      <c r="C2525" s="476">
        <v>355464</v>
      </c>
      <c r="D2525" s="476">
        <v>355506</v>
      </c>
      <c r="E2525" s="476">
        <v>355549</v>
      </c>
      <c r="F2525" s="476">
        <v>355592</v>
      </c>
      <c r="G2525" s="476">
        <v>355635</v>
      </c>
      <c r="H2525" s="476">
        <v>355677</v>
      </c>
      <c r="I2525" s="476">
        <v>355720</v>
      </c>
      <c r="J2525" s="476">
        <v>355763</v>
      </c>
      <c r="K2525" s="476">
        <v>355806</v>
      </c>
    </row>
    <row r="2526" spans="1:11">
      <c r="A2526" s="479">
        <v>6918.2</v>
      </c>
      <c r="B2526" s="476">
        <v>355848</v>
      </c>
      <c r="C2526" s="476">
        <v>355891</v>
      </c>
      <c r="D2526" s="476">
        <v>355934</v>
      </c>
      <c r="E2526" s="476">
        <v>355977</v>
      </c>
      <c r="F2526" s="476">
        <v>356019</v>
      </c>
      <c r="G2526" s="476">
        <v>356062</v>
      </c>
      <c r="H2526" s="476">
        <v>356105</v>
      </c>
      <c r="I2526" s="476">
        <v>356147</v>
      </c>
      <c r="J2526" s="476">
        <v>356190</v>
      </c>
      <c r="K2526" s="476">
        <v>356233</v>
      </c>
    </row>
    <row r="2527" spans="1:11">
      <c r="A2527" s="479">
        <v>6918.3</v>
      </c>
      <c r="B2527" s="476">
        <v>356276</v>
      </c>
      <c r="C2527" s="476">
        <v>356318</v>
      </c>
      <c r="D2527" s="476">
        <v>356361</v>
      </c>
      <c r="E2527" s="476">
        <v>356404</v>
      </c>
      <c r="F2527" s="476">
        <v>356447</v>
      </c>
      <c r="G2527" s="476">
        <v>356489</v>
      </c>
      <c r="H2527" s="476">
        <v>356532</v>
      </c>
      <c r="I2527" s="476">
        <v>356575</v>
      </c>
      <c r="J2527" s="476">
        <v>356617</v>
      </c>
      <c r="K2527" s="476">
        <v>356660</v>
      </c>
    </row>
    <row r="2528" spans="1:11">
      <c r="A2528" s="479">
        <v>6918.4</v>
      </c>
      <c r="B2528" s="476">
        <v>356703</v>
      </c>
      <c r="C2528" s="476">
        <v>356746</v>
      </c>
      <c r="D2528" s="476">
        <v>356788</v>
      </c>
      <c r="E2528" s="476">
        <v>356831</v>
      </c>
      <c r="F2528" s="476">
        <v>356874</v>
      </c>
      <c r="G2528" s="476">
        <v>356917</v>
      </c>
      <c r="H2528" s="476">
        <v>356959</v>
      </c>
      <c r="I2528" s="476">
        <v>357002</v>
      </c>
      <c r="J2528" s="476">
        <v>357045</v>
      </c>
      <c r="K2528" s="476">
        <v>357088</v>
      </c>
    </row>
    <row r="2529" spans="1:11">
      <c r="A2529" s="479">
        <v>6918.5</v>
      </c>
      <c r="B2529" s="476">
        <v>357130</v>
      </c>
      <c r="C2529" s="476">
        <v>357173</v>
      </c>
      <c r="D2529" s="476">
        <v>357216</v>
      </c>
      <c r="E2529" s="476">
        <v>357258</v>
      </c>
      <c r="F2529" s="476">
        <v>357301</v>
      </c>
      <c r="G2529" s="476">
        <v>357344</v>
      </c>
      <c r="H2529" s="476">
        <v>357387</v>
      </c>
      <c r="I2529" s="476">
        <v>357429</v>
      </c>
      <c r="J2529" s="476">
        <v>357472</v>
      </c>
      <c r="K2529" s="476">
        <v>357515</v>
      </c>
    </row>
    <row r="2530" spans="1:11">
      <c r="A2530" s="479">
        <v>6918.6</v>
      </c>
      <c r="B2530" s="476">
        <v>357558</v>
      </c>
      <c r="C2530" s="476">
        <v>357600</v>
      </c>
      <c r="D2530" s="476">
        <v>357643</v>
      </c>
      <c r="E2530" s="476">
        <v>357686</v>
      </c>
      <c r="F2530" s="476">
        <v>357728</v>
      </c>
      <c r="G2530" s="476">
        <v>357771</v>
      </c>
      <c r="H2530" s="476">
        <v>357814</v>
      </c>
      <c r="I2530" s="476">
        <v>357857</v>
      </c>
      <c r="J2530" s="476">
        <v>357899</v>
      </c>
      <c r="K2530" s="476">
        <v>357942</v>
      </c>
    </row>
    <row r="2531" spans="1:11">
      <c r="A2531" s="479">
        <v>6918.7</v>
      </c>
      <c r="B2531" s="476">
        <v>357985</v>
      </c>
      <c r="C2531" s="476">
        <v>358028</v>
      </c>
      <c r="D2531" s="476">
        <v>358070</v>
      </c>
      <c r="E2531" s="476">
        <v>358113</v>
      </c>
      <c r="F2531" s="476">
        <v>358156</v>
      </c>
      <c r="G2531" s="476">
        <v>358199</v>
      </c>
      <c r="H2531" s="476">
        <v>358241</v>
      </c>
      <c r="I2531" s="476">
        <v>358284</v>
      </c>
      <c r="J2531" s="476">
        <v>358327</v>
      </c>
      <c r="K2531" s="476">
        <v>358369</v>
      </c>
    </row>
    <row r="2532" spans="1:11">
      <c r="A2532" s="479">
        <v>6918.8</v>
      </c>
      <c r="B2532" s="476">
        <v>358412</v>
      </c>
      <c r="C2532" s="476">
        <v>358455</v>
      </c>
      <c r="D2532" s="476">
        <v>358498</v>
      </c>
      <c r="E2532" s="476">
        <v>358540</v>
      </c>
      <c r="F2532" s="476">
        <v>358583</v>
      </c>
      <c r="G2532" s="476">
        <v>358626</v>
      </c>
      <c r="H2532" s="476">
        <v>358669</v>
      </c>
      <c r="I2532" s="476">
        <v>358711</v>
      </c>
      <c r="J2532" s="476">
        <v>358754</v>
      </c>
      <c r="K2532" s="476">
        <v>358797</v>
      </c>
    </row>
    <row r="2533" spans="1:11">
      <c r="A2533" s="479">
        <v>6918.9</v>
      </c>
      <c r="B2533" s="476">
        <v>358839</v>
      </c>
      <c r="C2533" s="476">
        <v>358882</v>
      </c>
      <c r="D2533" s="476">
        <v>358925</v>
      </c>
      <c r="E2533" s="476">
        <v>358968</v>
      </c>
      <c r="F2533" s="476">
        <v>359010</v>
      </c>
      <c r="G2533" s="476">
        <v>359053</v>
      </c>
      <c r="H2533" s="476">
        <v>359096</v>
      </c>
      <c r="I2533" s="476">
        <v>359139</v>
      </c>
      <c r="J2533" s="476">
        <v>359181</v>
      </c>
      <c r="K2533" s="476">
        <v>359224</v>
      </c>
    </row>
    <row r="2534" spans="1:11">
      <c r="A2534" s="479">
        <v>6919</v>
      </c>
      <c r="B2534" s="476">
        <v>359267</v>
      </c>
      <c r="C2534" s="476">
        <v>359310</v>
      </c>
      <c r="D2534" s="476">
        <v>359353</v>
      </c>
      <c r="E2534" s="476">
        <v>359396</v>
      </c>
      <c r="F2534" s="476">
        <v>359439</v>
      </c>
      <c r="G2534" s="476">
        <v>359482</v>
      </c>
      <c r="H2534" s="476">
        <v>359525</v>
      </c>
      <c r="I2534" s="476">
        <v>359568</v>
      </c>
      <c r="J2534" s="476">
        <v>359611</v>
      </c>
      <c r="K2534" s="476">
        <v>359654</v>
      </c>
    </row>
    <row r="2535" spans="1:11">
      <c r="A2535" s="479">
        <v>6919.1</v>
      </c>
      <c r="B2535" s="476">
        <v>359697</v>
      </c>
      <c r="C2535" s="476">
        <v>359740</v>
      </c>
      <c r="D2535" s="476">
        <v>359784</v>
      </c>
      <c r="E2535" s="476">
        <v>359827</v>
      </c>
      <c r="F2535" s="476">
        <v>359870</v>
      </c>
      <c r="G2535" s="476">
        <v>359913</v>
      </c>
      <c r="H2535" s="476">
        <v>359956</v>
      </c>
      <c r="I2535" s="476">
        <v>359999</v>
      </c>
      <c r="J2535" s="476">
        <v>360042</v>
      </c>
      <c r="K2535" s="476">
        <v>360085</v>
      </c>
    </row>
    <row r="2536" spans="1:11">
      <c r="A2536" s="479">
        <v>6919.2</v>
      </c>
      <c r="B2536" s="476">
        <v>360128</v>
      </c>
      <c r="C2536" s="476">
        <v>360171</v>
      </c>
      <c r="D2536" s="476">
        <v>360214</v>
      </c>
      <c r="E2536" s="476">
        <v>360257</v>
      </c>
      <c r="F2536" s="476">
        <v>360300</v>
      </c>
      <c r="G2536" s="476">
        <v>360343</v>
      </c>
      <c r="H2536" s="476">
        <v>360386</v>
      </c>
      <c r="I2536" s="476">
        <v>360430</v>
      </c>
      <c r="J2536" s="476">
        <v>360473</v>
      </c>
      <c r="K2536" s="476">
        <v>360516</v>
      </c>
    </row>
    <row r="2537" spans="1:11">
      <c r="A2537" s="479">
        <v>6919.3</v>
      </c>
      <c r="B2537" s="476">
        <v>360559</v>
      </c>
      <c r="C2537" s="476">
        <v>360602</v>
      </c>
      <c r="D2537" s="476">
        <v>360645</v>
      </c>
      <c r="E2537" s="476">
        <v>360688</v>
      </c>
      <c r="F2537" s="476">
        <v>360731</v>
      </c>
      <c r="G2537" s="476">
        <v>360774</v>
      </c>
      <c r="H2537" s="476">
        <v>360817</v>
      </c>
      <c r="I2537" s="476">
        <v>360860</v>
      </c>
      <c r="J2537" s="476">
        <v>360903</v>
      </c>
      <c r="K2537" s="476">
        <v>360946</v>
      </c>
    </row>
    <row r="2538" spans="1:11">
      <c r="A2538" s="479">
        <v>6919.4</v>
      </c>
      <c r="B2538" s="476">
        <v>360989</v>
      </c>
      <c r="C2538" s="476">
        <v>361032</v>
      </c>
      <c r="D2538" s="476">
        <v>361075</v>
      </c>
      <c r="E2538" s="476">
        <v>361119</v>
      </c>
      <c r="F2538" s="476">
        <v>361162</v>
      </c>
      <c r="G2538" s="476">
        <v>361205</v>
      </c>
      <c r="H2538" s="476">
        <v>361248</v>
      </c>
      <c r="I2538" s="476">
        <v>361291</v>
      </c>
      <c r="J2538" s="476">
        <v>361334</v>
      </c>
      <c r="K2538" s="476">
        <v>361377</v>
      </c>
    </row>
    <row r="2539" spans="1:11">
      <c r="A2539" s="479">
        <v>6919.5</v>
      </c>
      <c r="B2539" s="476">
        <v>361420</v>
      </c>
      <c r="C2539" s="476">
        <v>361463</v>
      </c>
      <c r="D2539" s="476">
        <v>361506</v>
      </c>
      <c r="E2539" s="476">
        <v>361549</v>
      </c>
      <c r="F2539" s="476">
        <v>361592</v>
      </c>
      <c r="G2539" s="476">
        <v>361635</v>
      </c>
      <c r="H2539" s="476">
        <v>361678</v>
      </c>
      <c r="I2539" s="476">
        <v>361721</v>
      </c>
      <c r="J2539" s="476">
        <v>361764</v>
      </c>
      <c r="K2539" s="476">
        <v>361808</v>
      </c>
    </row>
    <row r="2540" spans="1:11">
      <c r="A2540" s="479">
        <v>6919.6</v>
      </c>
      <c r="B2540" s="476">
        <v>361851</v>
      </c>
      <c r="C2540" s="476">
        <v>361894</v>
      </c>
      <c r="D2540" s="476">
        <v>361937</v>
      </c>
      <c r="E2540" s="476">
        <v>361980</v>
      </c>
      <c r="F2540" s="476">
        <v>362023</v>
      </c>
      <c r="G2540" s="476">
        <v>362066</v>
      </c>
      <c r="H2540" s="476">
        <v>362109</v>
      </c>
      <c r="I2540" s="476">
        <v>362152</v>
      </c>
      <c r="J2540" s="476">
        <v>362195</v>
      </c>
      <c r="K2540" s="476">
        <v>362238</v>
      </c>
    </row>
    <row r="2541" spans="1:11">
      <c r="A2541" s="479">
        <v>6919.7</v>
      </c>
      <c r="B2541" s="476">
        <v>362281</v>
      </c>
      <c r="C2541" s="476">
        <v>362324</v>
      </c>
      <c r="D2541" s="476">
        <v>362367</v>
      </c>
      <c r="E2541" s="476">
        <v>362410</v>
      </c>
      <c r="F2541" s="476">
        <v>362453</v>
      </c>
      <c r="G2541" s="476">
        <v>362497</v>
      </c>
      <c r="H2541" s="476">
        <v>362540</v>
      </c>
      <c r="I2541" s="476">
        <v>362583</v>
      </c>
      <c r="J2541" s="476">
        <v>362626</v>
      </c>
      <c r="K2541" s="476">
        <v>362669</v>
      </c>
    </row>
    <row r="2542" spans="1:11">
      <c r="A2542" s="479">
        <v>6919.8</v>
      </c>
      <c r="B2542" s="476">
        <v>362712</v>
      </c>
      <c r="C2542" s="476">
        <v>362755</v>
      </c>
      <c r="D2542" s="476">
        <v>362798</v>
      </c>
      <c r="E2542" s="476">
        <v>362841</v>
      </c>
      <c r="F2542" s="476">
        <v>362884</v>
      </c>
      <c r="G2542" s="476">
        <v>362927</v>
      </c>
      <c r="H2542" s="476">
        <v>362970</v>
      </c>
      <c r="I2542" s="476">
        <v>363013</v>
      </c>
      <c r="J2542" s="476">
        <v>363056</v>
      </c>
      <c r="K2542" s="476">
        <v>363099</v>
      </c>
    </row>
    <row r="2543" spans="1:11">
      <c r="A2543" s="479">
        <v>6919.9</v>
      </c>
      <c r="B2543" s="476">
        <v>363142</v>
      </c>
      <c r="C2543" s="476">
        <v>363186</v>
      </c>
      <c r="D2543" s="476">
        <v>363229</v>
      </c>
      <c r="E2543" s="476">
        <v>363272</v>
      </c>
      <c r="F2543" s="476">
        <v>363315</v>
      </c>
      <c r="G2543" s="476">
        <v>363358</v>
      </c>
      <c r="H2543" s="476">
        <v>363401</v>
      </c>
      <c r="I2543" s="476">
        <v>363444</v>
      </c>
      <c r="J2543" s="476">
        <v>363487</v>
      </c>
      <c r="K2543" s="476">
        <v>363530</v>
      </c>
    </row>
    <row r="2544" spans="1:11">
      <c r="A2544" s="479">
        <v>6920</v>
      </c>
      <c r="B2544" s="476">
        <v>363573</v>
      </c>
      <c r="C2544" s="476">
        <v>363617</v>
      </c>
      <c r="D2544" s="476">
        <v>363660</v>
      </c>
      <c r="E2544" s="476">
        <v>363703</v>
      </c>
      <c r="F2544" s="476">
        <v>363747</v>
      </c>
      <c r="G2544" s="476">
        <v>363790</v>
      </c>
      <c r="H2544" s="476">
        <v>363834</v>
      </c>
      <c r="I2544" s="476">
        <v>363877</v>
      </c>
      <c r="J2544" s="476">
        <v>363920</v>
      </c>
      <c r="K2544" s="476">
        <v>363964</v>
      </c>
    </row>
    <row r="2545" spans="1:11">
      <c r="A2545" s="479">
        <v>6920.1</v>
      </c>
      <c r="B2545" s="476">
        <v>364007</v>
      </c>
      <c r="C2545" s="476">
        <v>364051</v>
      </c>
      <c r="D2545" s="476">
        <v>364094</v>
      </c>
      <c r="E2545" s="476">
        <v>364138</v>
      </c>
      <c r="F2545" s="476">
        <v>364181</v>
      </c>
      <c r="G2545" s="476">
        <v>364224</v>
      </c>
      <c r="H2545" s="476">
        <v>364268</v>
      </c>
      <c r="I2545" s="476">
        <v>364311</v>
      </c>
      <c r="J2545" s="476">
        <v>364355</v>
      </c>
      <c r="K2545" s="476">
        <v>364398</v>
      </c>
    </row>
    <row r="2546" spans="1:11">
      <c r="A2546" s="479">
        <v>6920.2</v>
      </c>
      <c r="B2546" s="476">
        <v>364441</v>
      </c>
      <c r="C2546" s="476">
        <v>364485</v>
      </c>
      <c r="D2546" s="476">
        <v>364528</v>
      </c>
      <c r="E2546" s="476">
        <v>364572</v>
      </c>
      <c r="F2546" s="476">
        <v>364615</v>
      </c>
      <c r="G2546" s="476">
        <v>364659</v>
      </c>
      <c r="H2546" s="476">
        <v>364702</v>
      </c>
      <c r="I2546" s="476">
        <v>364745</v>
      </c>
      <c r="J2546" s="476">
        <v>364789</v>
      </c>
      <c r="K2546" s="476">
        <v>364832</v>
      </c>
    </row>
    <row r="2547" spans="1:11">
      <c r="A2547" s="479">
        <v>6920.3</v>
      </c>
      <c r="B2547" s="476">
        <v>364876</v>
      </c>
      <c r="C2547" s="476">
        <v>364919</v>
      </c>
      <c r="D2547" s="476">
        <v>364962</v>
      </c>
      <c r="E2547" s="476">
        <v>365006</v>
      </c>
      <c r="F2547" s="476">
        <v>365049</v>
      </c>
      <c r="G2547" s="476">
        <v>365093</v>
      </c>
      <c r="H2547" s="476">
        <v>365136</v>
      </c>
      <c r="I2547" s="476">
        <v>365180</v>
      </c>
      <c r="J2547" s="476">
        <v>365223</v>
      </c>
      <c r="K2547" s="476">
        <v>365266</v>
      </c>
    </row>
    <row r="2548" spans="1:11">
      <c r="A2548" s="479">
        <v>6920.4</v>
      </c>
      <c r="B2548" s="476">
        <v>365310</v>
      </c>
      <c r="C2548" s="476">
        <v>365353</v>
      </c>
      <c r="D2548" s="476">
        <v>365397</v>
      </c>
      <c r="E2548" s="476">
        <v>365440</v>
      </c>
      <c r="F2548" s="476">
        <v>365483</v>
      </c>
      <c r="G2548" s="476">
        <v>365527</v>
      </c>
      <c r="H2548" s="476">
        <v>365570</v>
      </c>
      <c r="I2548" s="476">
        <v>365614</v>
      </c>
      <c r="J2548" s="476">
        <v>365657</v>
      </c>
      <c r="K2548" s="476">
        <v>365701</v>
      </c>
    </row>
    <row r="2549" spans="1:11">
      <c r="A2549" s="479">
        <v>6920.5</v>
      </c>
      <c r="B2549" s="476">
        <v>365744</v>
      </c>
      <c r="C2549" s="476">
        <v>365787</v>
      </c>
      <c r="D2549" s="476">
        <v>365831</v>
      </c>
      <c r="E2549" s="476">
        <v>365874</v>
      </c>
      <c r="F2549" s="476">
        <v>365918</v>
      </c>
      <c r="G2549" s="476">
        <v>365961</v>
      </c>
      <c r="H2549" s="476">
        <v>366004</v>
      </c>
      <c r="I2549" s="476">
        <v>366048</v>
      </c>
      <c r="J2549" s="476">
        <v>366091</v>
      </c>
      <c r="K2549" s="476">
        <v>366135</v>
      </c>
    </row>
    <row r="2550" spans="1:11">
      <c r="A2550" s="479">
        <v>6920.6</v>
      </c>
      <c r="B2550" s="476">
        <v>366178</v>
      </c>
      <c r="C2550" s="476">
        <v>366222</v>
      </c>
      <c r="D2550" s="476">
        <v>366265</v>
      </c>
      <c r="E2550" s="476">
        <v>366308</v>
      </c>
      <c r="F2550" s="476">
        <v>366352</v>
      </c>
      <c r="G2550" s="476">
        <v>366395</v>
      </c>
      <c r="H2550" s="476">
        <v>366439</v>
      </c>
      <c r="I2550" s="476">
        <v>366482</v>
      </c>
      <c r="J2550" s="476">
        <v>366525</v>
      </c>
      <c r="K2550" s="476">
        <v>366569</v>
      </c>
    </row>
    <row r="2551" spans="1:11">
      <c r="A2551" s="479">
        <v>6920.7</v>
      </c>
      <c r="B2551" s="476">
        <v>366612</v>
      </c>
      <c r="C2551" s="476">
        <v>366656</v>
      </c>
      <c r="D2551" s="476">
        <v>366699</v>
      </c>
      <c r="E2551" s="476">
        <v>366743</v>
      </c>
      <c r="F2551" s="476">
        <v>366786</v>
      </c>
      <c r="G2551" s="476">
        <v>366829</v>
      </c>
      <c r="H2551" s="476">
        <v>366873</v>
      </c>
      <c r="I2551" s="476">
        <v>366916</v>
      </c>
      <c r="J2551" s="476">
        <v>366960</v>
      </c>
      <c r="K2551" s="476">
        <v>367003</v>
      </c>
    </row>
    <row r="2552" spans="1:11">
      <c r="A2552" s="479">
        <v>6920.8</v>
      </c>
      <c r="B2552" s="476">
        <v>367046</v>
      </c>
      <c r="C2552" s="476">
        <v>367090</v>
      </c>
      <c r="D2552" s="476">
        <v>367133</v>
      </c>
      <c r="E2552" s="476">
        <v>367177</v>
      </c>
      <c r="F2552" s="476">
        <v>367220</v>
      </c>
      <c r="G2552" s="476">
        <v>367264</v>
      </c>
      <c r="H2552" s="476">
        <v>367307</v>
      </c>
      <c r="I2552" s="476">
        <v>367350</v>
      </c>
      <c r="J2552" s="476">
        <v>367394</v>
      </c>
      <c r="K2552" s="476">
        <v>367437</v>
      </c>
    </row>
    <row r="2553" spans="1:11">
      <c r="A2553" s="479">
        <v>6920.9</v>
      </c>
      <c r="B2553" s="476">
        <v>367481</v>
      </c>
      <c r="C2553" s="476">
        <v>367524</v>
      </c>
      <c r="D2553" s="476">
        <v>367567</v>
      </c>
      <c r="E2553" s="476">
        <v>367611</v>
      </c>
      <c r="F2553" s="476">
        <v>367654</v>
      </c>
      <c r="G2553" s="476">
        <v>367698</v>
      </c>
      <c r="H2553" s="476">
        <v>367741</v>
      </c>
      <c r="I2553" s="476">
        <v>367785</v>
      </c>
      <c r="J2553" s="476">
        <v>367828</v>
      </c>
      <c r="K2553" s="476">
        <v>367871</v>
      </c>
    </row>
    <row r="2554" spans="1:11">
      <c r="A2554" s="479">
        <v>6921</v>
      </c>
      <c r="B2554" s="476">
        <v>367915</v>
      </c>
      <c r="C2554" s="476">
        <v>367959</v>
      </c>
      <c r="D2554" s="476">
        <v>368002</v>
      </c>
      <c r="E2554" s="476">
        <v>368046</v>
      </c>
      <c r="F2554" s="476">
        <v>368090</v>
      </c>
      <c r="G2554" s="476">
        <v>368134</v>
      </c>
      <c r="H2554" s="476">
        <v>368178</v>
      </c>
      <c r="I2554" s="476">
        <v>368221</v>
      </c>
      <c r="J2554" s="476">
        <v>368265</v>
      </c>
      <c r="K2554" s="476">
        <v>368309</v>
      </c>
    </row>
    <row r="2555" spans="1:11">
      <c r="A2555" s="479">
        <v>6921.1</v>
      </c>
      <c r="B2555" s="476">
        <v>368353</v>
      </c>
      <c r="C2555" s="476">
        <v>368396</v>
      </c>
      <c r="D2555" s="476">
        <v>368440</v>
      </c>
      <c r="E2555" s="476">
        <v>368484</v>
      </c>
      <c r="F2555" s="476">
        <v>368528</v>
      </c>
      <c r="G2555" s="476">
        <v>368572</v>
      </c>
      <c r="H2555" s="476">
        <v>368615</v>
      </c>
      <c r="I2555" s="476">
        <v>368659</v>
      </c>
      <c r="J2555" s="476">
        <v>368703</v>
      </c>
      <c r="K2555" s="476">
        <v>368747</v>
      </c>
    </row>
    <row r="2556" spans="1:11">
      <c r="A2556" s="479">
        <v>6921.2</v>
      </c>
      <c r="B2556" s="476">
        <v>368791</v>
      </c>
      <c r="C2556" s="476">
        <v>368834</v>
      </c>
      <c r="D2556" s="476">
        <v>368878</v>
      </c>
      <c r="E2556" s="476">
        <v>368922</v>
      </c>
      <c r="F2556" s="476">
        <v>368966</v>
      </c>
      <c r="G2556" s="476">
        <v>369009</v>
      </c>
      <c r="H2556" s="476">
        <v>369053</v>
      </c>
      <c r="I2556" s="476">
        <v>369097</v>
      </c>
      <c r="J2556" s="476">
        <v>369141</v>
      </c>
      <c r="K2556" s="476">
        <v>369185</v>
      </c>
    </row>
    <row r="2557" spans="1:11">
      <c r="A2557" s="479">
        <v>6921.3</v>
      </c>
      <c r="B2557" s="476">
        <v>369228</v>
      </c>
      <c r="C2557" s="476">
        <v>369272</v>
      </c>
      <c r="D2557" s="476">
        <v>369316</v>
      </c>
      <c r="E2557" s="476">
        <v>369360</v>
      </c>
      <c r="F2557" s="476">
        <v>369404</v>
      </c>
      <c r="G2557" s="476">
        <v>369447</v>
      </c>
      <c r="H2557" s="476">
        <v>369491</v>
      </c>
      <c r="I2557" s="476">
        <v>369535</v>
      </c>
      <c r="J2557" s="476">
        <v>369579</v>
      </c>
      <c r="K2557" s="476">
        <v>369623</v>
      </c>
    </row>
    <row r="2558" spans="1:11">
      <c r="A2558" s="479">
        <v>6921.4</v>
      </c>
      <c r="B2558" s="476">
        <v>369666</v>
      </c>
      <c r="C2558" s="476">
        <v>369710</v>
      </c>
      <c r="D2558" s="476">
        <v>369754</v>
      </c>
      <c r="E2558" s="476">
        <v>369798</v>
      </c>
      <c r="F2558" s="476">
        <v>369841</v>
      </c>
      <c r="G2558" s="476">
        <v>369885</v>
      </c>
      <c r="H2558" s="476">
        <v>369929</v>
      </c>
      <c r="I2558" s="476">
        <v>369973</v>
      </c>
      <c r="J2558" s="476">
        <v>370017</v>
      </c>
      <c r="K2558" s="476">
        <v>370060</v>
      </c>
    </row>
    <row r="2559" spans="1:11">
      <c r="A2559" s="479">
        <v>6921.5</v>
      </c>
      <c r="B2559" s="476">
        <v>370104</v>
      </c>
      <c r="C2559" s="476">
        <v>370148</v>
      </c>
      <c r="D2559" s="476">
        <v>370192</v>
      </c>
      <c r="E2559" s="476">
        <v>370236</v>
      </c>
      <c r="F2559" s="476">
        <v>370279</v>
      </c>
      <c r="G2559" s="476">
        <v>370323</v>
      </c>
      <c r="H2559" s="476">
        <v>370367</v>
      </c>
      <c r="I2559" s="476">
        <v>370411</v>
      </c>
      <c r="J2559" s="476">
        <v>370454</v>
      </c>
      <c r="K2559" s="476">
        <v>370498</v>
      </c>
    </row>
    <row r="2560" spans="1:11">
      <c r="A2560" s="479">
        <v>6921.6</v>
      </c>
      <c r="B2560" s="476">
        <v>370542</v>
      </c>
      <c r="C2560" s="476">
        <v>370586</v>
      </c>
      <c r="D2560" s="476">
        <v>370630</v>
      </c>
      <c r="E2560" s="476">
        <v>370673</v>
      </c>
      <c r="F2560" s="476">
        <v>370717</v>
      </c>
      <c r="G2560" s="476">
        <v>370761</v>
      </c>
      <c r="H2560" s="476">
        <v>370805</v>
      </c>
      <c r="I2560" s="476">
        <v>370849</v>
      </c>
      <c r="J2560" s="476">
        <v>370892</v>
      </c>
      <c r="K2560" s="476">
        <v>370936</v>
      </c>
    </row>
    <row r="2561" spans="1:11">
      <c r="A2561" s="479">
        <v>6921.7</v>
      </c>
      <c r="B2561" s="476">
        <v>370980</v>
      </c>
      <c r="C2561" s="476">
        <v>371024</v>
      </c>
      <c r="D2561" s="476">
        <v>371067</v>
      </c>
      <c r="E2561" s="476">
        <v>371111</v>
      </c>
      <c r="F2561" s="476">
        <v>371155</v>
      </c>
      <c r="G2561" s="476">
        <v>371199</v>
      </c>
      <c r="H2561" s="476">
        <v>371243</v>
      </c>
      <c r="I2561" s="476">
        <v>371286</v>
      </c>
      <c r="J2561" s="476">
        <v>371330</v>
      </c>
      <c r="K2561" s="476">
        <v>371374</v>
      </c>
    </row>
    <row r="2562" spans="1:11">
      <c r="A2562" s="479">
        <v>6921.8</v>
      </c>
      <c r="B2562" s="476">
        <v>371418</v>
      </c>
      <c r="C2562" s="476">
        <v>371462</v>
      </c>
      <c r="D2562" s="476">
        <v>371505</v>
      </c>
      <c r="E2562" s="476">
        <v>371549</v>
      </c>
      <c r="F2562" s="476">
        <v>371593</v>
      </c>
      <c r="G2562" s="476">
        <v>371637</v>
      </c>
      <c r="H2562" s="476">
        <v>371681</v>
      </c>
      <c r="I2562" s="476">
        <v>371724</v>
      </c>
      <c r="J2562" s="476">
        <v>371768</v>
      </c>
      <c r="K2562" s="476">
        <v>371812</v>
      </c>
    </row>
    <row r="2563" spans="1:11">
      <c r="A2563" s="479">
        <v>6921.9</v>
      </c>
      <c r="B2563" s="476">
        <v>371856</v>
      </c>
      <c r="C2563" s="476">
        <v>371899</v>
      </c>
      <c r="D2563" s="476">
        <v>371943</v>
      </c>
      <c r="E2563" s="476">
        <v>371987</v>
      </c>
      <c r="F2563" s="476">
        <v>372031</v>
      </c>
      <c r="G2563" s="476">
        <v>372075</v>
      </c>
      <c r="H2563" s="476">
        <v>372118</v>
      </c>
      <c r="I2563" s="476">
        <v>372162</v>
      </c>
      <c r="J2563" s="476">
        <v>372206</v>
      </c>
      <c r="K2563" s="476">
        <v>372250</v>
      </c>
    </row>
    <row r="2564" spans="1:11">
      <c r="A2564" s="479">
        <v>6922</v>
      </c>
      <c r="B2564" s="476">
        <v>372294</v>
      </c>
      <c r="C2564" s="476">
        <v>372338</v>
      </c>
      <c r="D2564" s="476">
        <v>372382</v>
      </c>
      <c r="E2564" s="476">
        <v>372426</v>
      </c>
      <c r="F2564" s="476">
        <v>372470</v>
      </c>
      <c r="G2564" s="476">
        <v>372514</v>
      </c>
      <c r="H2564" s="476">
        <v>372558</v>
      </c>
      <c r="I2564" s="476">
        <v>372603</v>
      </c>
      <c r="J2564" s="476">
        <v>372647</v>
      </c>
      <c r="K2564" s="476">
        <v>372691</v>
      </c>
    </row>
    <row r="2565" spans="1:11">
      <c r="A2565" s="479">
        <v>6922.1</v>
      </c>
      <c r="B2565" s="476">
        <v>372735</v>
      </c>
      <c r="C2565" s="476">
        <v>372779</v>
      </c>
      <c r="D2565" s="476">
        <v>372823</v>
      </c>
      <c r="E2565" s="476">
        <v>372868</v>
      </c>
      <c r="F2565" s="476">
        <v>372912</v>
      </c>
      <c r="G2565" s="476">
        <v>372956</v>
      </c>
      <c r="H2565" s="476">
        <v>373000</v>
      </c>
      <c r="I2565" s="476">
        <v>373044</v>
      </c>
      <c r="J2565" s="476">
        <v>373088</v>
      </c>
      <c r="K2565" s="476">
        <v>373132</v>
      </c>
    </row>
    <row r="2566" spans="1:11">
      <c r="A2566" s="479">
        <v>6922.2</v>
      </c>
      <c r="B2566" s="476">
        <v>373177</v>
      </c>
      <c r="C2566" s="476">
        <v>373221</v>
      </c>
      <c r="D2566" s="476">
        <v>373265</v>
      </c>
      <c r="E2566" s="476">
        <v>373309</v>
      </c>
      <c r="F2566" s="476">
        <v>373353</v>
      </c>
      <c r="G2566" s="476">
        <v>373397</v>
      </c>
      <c r="H2566" s="476">
        <v>373441</v>
      </c>
      <c r="I2566" s="476">
        <v>373486</v>
      </c>
      <c r="J2566" s="476">
        <v>373530</v>
      </c>
      <c r="K2566" s="476">
        <v>373574</v>
      </c>
    </row>
    <row r="2567" spans="1:11">
      <c r="A2567" s="479">
        <v>6922.3</v>
      </c>
      <c r="B2567" s="476">
        <v>373618</v>
      </c>
      <c r="C2567" s="476">
        <v>373662</v>
      </c>
      <c r="D2567" s="476">
        <v>373706</v>
      </c>
      <c r="E2567" s="476">
        <v>373751</v>
      </c>
      <c r="F2567" s="476">
        <v>373795</v>
      </c>
      <c r="G2567" s="476">
        <v>373839</v>
      </c>
      <c r="H2567" s="476">
        <v>373883</v>
      </c>
      <c r="I2567" s="476">
        <v>373927</v>
      </c>
      <c r="J2567" s="476">
        <v>373971</v>
      </c>
      <c r="K2567" s="476">
        <v>374015</v>
      </c>
    </row>
    <row r="2568" spans="1:11">
      <c r="A2568" s="479">
        <v>6922.4</v>
      </c>
      <c r="B2568" s="476">
        <v>374060</v>
      </c>
      <c r="C2568" s="476">
        <v>374104</v>
      </c>
      <c r="D2568" s="476">
        <v>374148</v>
      </c>
      <c r="E2568" s="476">
        <v>374192</v>
      </c>
      <c r="F2568" s="476">
        <v>374236</v>
      </c>
      <c r="G2568" s="476">
        <v>374280</v>
      </c>
      <c r="H2568" s="476">
        <v>374325</v>
      </c>
      <c r="I2568" s="476">
        <v>374369</v>
      </c>
      <c r="J2568" s="476">
        <v>374413</v>
      </c>
      <c r="K2568" s="476">
        <v>374457</v>
      </c>
    </row>
    <row r="2569" spans="1:11">
      <c r="A2569" s="479">
        <v>6922.5</v>
      </c>
      <c r="B2569" s="476">
        <v>374501</v>
      </c>
      <c r="C2569" s="476">
        <v>374545</v>
      </c>
      <c r="D2569" s="476">
        <v>374589</v>
      </c>
      <c r="E2569" s="476">
        <v>374634</v>
      </c>
      <c r="F2569" s="476">
        <v>374678</v>
      </c>
      <c r="G2569" s="476">
        <v>374722</v>
      </c>
      <c r="H2569" s="476">
        <v>374766</v>
      </c>
      <c r="I2569" s="476">
        <v>374810</v>
      </c>
      <c r="J2569" s="476">
        <v>374854</v>
      </c>
      <c r="K2569" s="476">
        <v>374898</v>
      </c>
    </row>
    <row r="2570" spans="1:11">
      <c r="A2570" s="479">
        <v>6922.6</v>
      </c>
      <c r="B2570" s="476">
        <v>374943</v>
      </c>
      <c r="C2570" s="476">
        <v>374987</v>
      </c>
      <c r="D2570" s="476">
        <v>375031</v>
      </c>
      <c r="E2570" s="476">
        <v>375075</v>
      </c>
      <c r="F2570" s="476">
        <v>375119</v>
      </c>
      <c r="G2570" s="476">
        <v>375163</v>
      </c>
      <c r="H2570" s="476">
        <v>375208</v>
      </c>
      <c r="I2570" s="476">
        <v>375252</v>
      </c>
      <c r="J2570" s="476">
        <v>375296</v>
      </c>
      <c r="K2570" s="476">
        <v>375340</v>
      </c>
    </row>
    <row r="2571" spans="1:11">
      <c r="A2571" s="479">
        <v>6922.7</v>
      </c>
      <c r="B2571" s="476">
        <v>375384</v>
      </c>
      <c r="C2571" s="476">
        <v>375428</v>
      </c>
      <c r="D2571" s="476">
        <v>375472</v>
      </c>
      <c r="E2571" s="476">
        <v>375517</v>
      </c>
      <c r="F2571" s="476">
        <v>375561</v>
      </c>
      <c r="G2571" s="476">
        <v>375605</v>
      </c>
      <c r="H2571" s="476">
        <v>375649</v>
      </c>
      <c r="I2571" s="476">
        <v>375693</v>
      </c>
      <c r="J2571" s="476">
        <v>375737</v>
      </c>
      <c r="K2571" s="476">
        <v>375782</v>
      </c>
    </row>
    <row r="2572" spans="1:11">
      <c r="A2572" s="479">
        <v>6922.8</v>
      </c>
      <c r="B2572" s="476">
        <v>375826</v>
      </c>
      <c r="C2572" s="476">
        <v>375870</v>
      </c>
      <c r="D2572" s="476">
        <v>375914</v>
      </c>
      <c r="E2572" s="476">
        <v>375958</v>
      </c>
      <c r="F2572" s="476">
        <v>376002</v>
      </c>
      <c r="G2572" s="476">
        <v>376046</v>
      </c>
      <c r="H2572" s="476">
        <v>376091</v>
      </c>
      <c r="I2572" s="476">
        <v>376135</v>
      </c>
      <c r="J2572" s="476">
        <v>376179</v>
      </c>
      <c r="K2572" s="476">
        <v>376223</v>
      </c>
    </row>
    <row r="2573" spans="1:11">
      <c r="A2573" s="479">
        <v>6922.9</v>
      </c>
      <c r="B2573" s="476">
        <v>376267</v>
      </c>
      <c r="C2573" s="476">
        <v>376311</v>
      </c>
      <c r="D2573" s="476">
        <v>376355</v>
      </c>
      <c r="E2573" s="476">
        <v>376400</v>
      </c>
      <c r="F2573" s="476">
        <v>376444</v>
      </c>
      <c r="G2573" s="476">
        <v>376488</v>
      </c>
      <c r="H2573" s="476">
        <v>376532</v>
      </c>
      <c r="I2573" s="476">
        <v>376576</v>
      </c>
      <c r="J2573" s="476">
        <v>376620</v>
      </c>
      <c r="K2573" s="476">
        <v>376665</v>
      </c>
    </row>
    <row r="2574" spans="1:11">
      <c r="A2574" s="479">
        <v>6923</v>
      </c>
      <c r="B2574" s="476">
        <v>376709</v>
      </c>
      <c r="C2574" s="476">
        <v>376753</v>
      </c>
      <c r="D2574" s="476">
        <v>376798</v>
      </c>
      <c r="E2574" s="476">
        <v>376842</v>
      </c>
      <c r="F2574" s="476">
        <v>376887</v>
      </c>
      <c r="G2574" s="476">
        <v>376931</v>
      </c>
      <c r="H2574" s="476">
        <v>376976</v>
      </c>
      <c r="I2574" s="476">
        <v>377020</v>
      </c>
      <c r="J2574" s="476">
        <v>377065</v>
      </c>
      <c r="K2574" s="476">
        <v>377109</v>
      </c>
    </row>
    <row r="2575" spans="1:11">
      <c r="A2575" s="479">
        <v>6923.1</v>
      </c>
      <c r="B2575" s="476">
        <v>377154</v>
      </c>
      <c r="C2575" s="476">
        <v>377198</v>
      </c>
      <c r="D2575" s="476">
        <v>377243</v>
      </c>
      <c r="E2575" s="476">
        <v>377287</v>
      </c>
      <c r="F2575" s="476">
        <v>377332</v>
      </c>
      <c r="G2575" s="476">
        <v>377376</v>
      </c>
      <c r="H2575" s="476">
        <v>377421</v>
      </c>
      <c r="I2575" s="476">
        <v>377465</v>
      </c>
      <c r="J2575" s="476">
        <v>377510</v>
      </c>
      <c r="K2575" s="476">
        <v>377554</v>
      </c>
    </row>
    <row r="2576" spans="1:11">
      <c r="A2576" s="479">
        <v>6923.2</v>
      </c>
      <c r="B2576" s="476">
        <v>377599</v>
      </c>
      <c r="C2576" s="476">
        <v>377643</v>
      </c>
      <c r="D2576" s="476">
        <v>377688</v>
      </c>
      <c r="E2576" s="476">
        <v>377732</v>
      </c>
      <c r="F2576" s="476">
        <v>377777</v>
      </c>
      <c r="G2576" s="476">
        <v>377821</v>
      </c>
      <c r="H2576" s="476">
        <v>377866</v>
      </c>
      <c r="I2576" s="476">
        <v>377911</v>
      </c>
      <c r="J2576" s="476">
        <v>377955</v>
      </c>
      <c r="K2576" s="476">
        <v>378000</v>
      </c>
    </row>
    <row r="2577" spans="1:11">
      <c r="A2577" s="479">
        <v>6923.3</v>
      </c>
      <c r="B2577" s="476">
        <v>378044</v>
      </c>
      <c r="C2577" s="476">
        <v>378089</v>
      </c>
      <c r="D2577" s="476">
        <v>378133</v>
      </c>
      <c r="E2577" s="476">
        <v>378178</v>
      </c>
      <c r="F2577" s="476">
        <v>378222</v>
      </c>
      <c r="G2577" s="476">
        <v>378267</v>
      </c>
      <c r="H2577" s="476">
        <v>378311</v>
      </c>
      <c r="I2577" s="476">
        <v>378356</v>
      </c>
      <c r="J2577" s="476">
        <v>378400</v>
      </c>
      <c r="K2577" s="476">
        <v>378445</v>
      </c>
    </row>
    <row r="2578" spans="1:11">
      <c r="A2578" s="479">
        <v>6923.4</v>
      </c>
      <c r="B2578" s="476">
        <v>378489</v>
      </c>
      <c r="C2578" s="476">
        <v>378534</v>
      </c>
      <c r="D2578" s="476">
        <v>378578</v>
      </c>
      <c r="E2578" s="476">
        <v>378623</v>
      </c>
      <c r="F2578" s="476">
        <v>378667</v>
      </c>
      <c r="G2578" s="476">
        <v>378712</v>
      </c>
      <c r="H2578" s="476">
        <v>378756</v>
      </c>
      <c r="I2578" s="476">
        <v>378801</v>
      </c>
      <c r="J2578" s="476">
        <v>378845</v>
      </c>
      <c r="K2578" s="476">
        <v>378890</v>
      </c>
    </row>
    <row r="2579" spans="1:11">
      <c r="A2579" s="479">
        <v>6923.5</v>
      </c>
      <c r="B2579" s="476">
        <v>378934</v>
      </c>
      <c r="C2579" s="476">
        <v>378979</v>
      </c>
      <c r="D2579" s="476">
        <v>379023</v>
      </c>
      <c r="E2579" s="476">
        <v>379068</v>
      </c>
      <c r="F2579" s="476">
        <v>379112</v>
      </c>
      <c r="G2579" s="476">
        <v>379157</v>
      </c>
      <c r="H2579" s="476">
        <v>379201</v>
      </c>
      <c r="I2579" s="476">
        <v>379246</v>
      </c>
      <c r="J2579" s="476">
        <v>379290</v>
      </c>
      <c r="K2579" s="476">
        <v>379335</v>
      </c>
    </row>
    <row r="2580" spans="1:11">
      <c r="A2580" s="479">
        <v>6923.6</v>
      </c>
      <c r="B2580" s="476">
        <v>379379</v>
      </c>
      <c r="C2580" s="476">
        <v>379424</v>
      </c>
      <c r="D2580" s="476">
        <v>379468</v>
      </c>
      <c r="E2580" s="476">
        <v>379513</v>
      </c>
      <c r="F2580" s="476">
        <v>379557</v>
      </c>
      <c r="G2580" s="476">
        <v>379602</v>
      </c>
      <c r="H2580" s="476">
        <v>379646</v>
      </c>
      <c r="I2580" s="476">
        <v>379691</v>
      </c>
      <c r="J2580" s="476">
        <v>379735</v>
      </c>
      <c r="K2580" s="476">
        <v>379780</v>
      </c>
    </row>
    <row r="2581" spans="1:11">
      <c r="A2581" s="479">
        <v>6923.7</v>
      </c>
      <c r="B2581" s="476">
        <v>379824</v>
      </c>
      <c r="C2581" s="476">
        <v>379869</v>
      </c>
      <c r="D2581" s="476">
        <v>379914</v>
      </c>
      <c r="E2581" s="476">
        <v>379958</v>
      </c>
      <c r="F2581" s="476">
        <v>380003</v>
      </c>
      <c r="G2581" s="476">
        <v>380047</v>
      </c>
      <c r="H2581" s="476">
        <v>380092</v>
      </c>
      <c r="I2581" s="476">
        <v>380136</v>
      </c>
      <c r="J2581" s="476">
        <v>380181</v>
      </c>
      <c r="K2581" s="476">
        <v>380225</v>
      </c>
    </row>
    <row r="2582" spans="1:11">
      <c r="A2582" s="479">
        <v>6923.8</v>
      </c>
      <c r="B2582" s="476">
        <v>380270</v>
      </c>
      <c r="C2582" s="476">
        <v>380314</v>
      </c>
      <c r="D2582" s="476">
        <v>380359</v>
      </c>
      <c r="E2582" s="476">
        <v>380403</v>
      </c>
      <c r="F2582" s="476">
        <v>380448</v>
      </c>
      <c r="G2582" s="476">
        <v>380492</v>
      </c>
      <c r="H2582" s="476">
        <v>380537</v>
      </c>
      <c r="I2582" s="476">
        <v>380581</v>
      </c>
      <c r="J2582" s="476">
        <v>380626</v>
      </c>
      <c r="K2582" s="476">
        <v>380670</v>
      </c>
    </row>
    <row r="2583" spans="1:11">
      <c r="A2583" s="479">
        <v>6923.9</v>
      </c>
      <c r="B2583" s="476">
        <v>380715</v>
      </c>
      <c r="C2583" s="476">
        <v>380759</v>
      </c>
      <c r="D2583" s="476">
        <v>380804</v>
      </c>
      <c r="E2583" s="476">
        <v>380848</v>
      </c>
      <c r="F2583" s="476">
        <v>380893</v>
      </c>
      <c r="G2583" s="476">
        <v>380937</v>
      </c>
      <c r="H2583" s="476">
        <v>380982</v>
      </c>
      <c r="I2583" s="476">
        <v>381026</v>
      </c>
      <c r="J2583" s="476">
        <v>381071</v>
      </c>
      <c r="K2583" s="476">
        <v>381115</v>
      </c>
    </row>
    <row r="2584" spans="1:11">
      <c r="A2584" s="479">
        <v>6924</v>
      </c>
      <c r="B2584" s="476">
        <v>381160</v>
      </c>
      <c r="C2584" s="476">
        <v>381205</v>
      </c>
      <c r="D2584" s="476">
        <v>381250</v>
      </c>
      <c r="E2584" s="476">
        <v>381294</v>
      </c>
      <c r="F2584" s="476">
        <v>381339</v>
      </c>
      <c r="G2584" s="476">
        <v>381384</v>
      </c>
      <c r="H2584" s="476">
        <v>381429</v>
      </c>
      <c r="I2584" s="476">
        <v>381474</v>
      </c>
      <c r="J2584" s="476">
        <v>381519</v>
      </c>
      <c r="K2584" s="476">
        <v>381564</v>
      </c>
    </row>
    <row r="2585" spans="1:11">
      <c r="A2585" s="479">
        <v>6924.1</v>
      </c>
      <c r="B2585" s="476">
        <v>381608</v>
      </c>
      <c r="C2585" s="476">
        <v>381653</v>
      </c>
      <c r="D2585" s="476">
        <v>381698</v>
      </c>
      <c r="E2585" s="476">
        <v>381743</v>
      </c>
      <c r="F2585" s="476">
        <v>381788</v>
      </c>
      <c r="G2585" s="476">
        <v>381833</v>
      </c>
      <c r="H2585" s="476">
        <v>381878</v>
      </c>
      <c r="I2585" s="476">
        <v>381923</v>
      </c>
      <c r="J2585" s="476">
        <v>381967</v>
      </c>
      <c r="K2585" s="476">
        <v>382012</v>
      </c>
    </row>
    <row r="2586" spans="1:11">
      <c r="A2586" s="479">
        <v>6924.2</v>
      </c>
      <c r="B2586" s="476">
        <v>382057</v>
      </c>
      <c r="C2586" s="476">
        <v>382102</v>
      </c>
      <c r="D2586" s="476">
        <v>382147</v>
      </c>
      <c r="E2586" s="476">
        <v>382192</v>
      </c>
      <c r="F2586" s="476">
        <v>382237</v>
      </c>
      <c r="G2586" s="476">
        <v>382281</v>
      </c>
      <c r="H2586" s="476">
        <v>382326</v>
      </c>
      <c r="I2586" s="476">
        <v>382371</v>
      </c>
      <c r="J2586" s="476">
        <v>382416</v>
      </c>
      <c r="K2586" s="476">
        <v>382461</v>
      </c>
    </row>
    <row r="2587" spans="1:11">
      <c r="A2587" s="479">
        <v>6924.3</v>
      </c>
      <c r="B2587" s="476">
        <v>382506</v>
      </c>
      <c r="C2587" s="476">
        <v>382551</v>
      </c>
      <c r="D2587" s="476">
        <v>382595</v>
      </c>
      <c r="E2587" s="476">
        <v>382640</v>
      </c>
      <c r="F2587" s="476">
        <v>382685</v>
      </c>
      <c r="G2587" s="476">
        <v>382730</v>
      </c>
      <c r="H2587" s="476">
        <v>382775</v>
      </c>
      <c r="I2587" s="476">
        <v>382820</v>
      </c>
      <c r="J2587" s="476">
        <v>382865</v>
      </c>
      <c r="K2587" s="476">
        <v>382910</v>
      </c>
    </row>
    <row r="2588" spans="1:11">
      <c r="A2588" s="479">
        <v>6924.4</v>
      </c>
      <c r="B2588" s="476">
        <v>382954</v>
      </c>
      <c r="C2588" s="476">
        <v>382999</v>
      </c>
      <c r="D2588" s="476">
        <v>383044</v>
      </c>
      <c r="E2588" s="476">
        <v>383089</v>
      </c>
      <c r="F2588" s="476">
        <v>383134</v>
      </c>
      <c r="G2588" s="476">
        <v>383179</v>
      </c>
      <c r="H2588" s="476">
        <v>383224</v>
      </c>
      <c r="I2588" s="476">
        <v>383268</v>
      </c>
      <c r="J2588" s="476">
        <v>383313</v>
      </c>
      <c r="K2588" s="476">
        <v>383358</v>
      </c>
    </row>
    <row r="2589" spans="1:11">
      <c r="A2589" s="479">
        <v>6924.5</v>
      </c>
      <c r="B2589" s="476">
        <v>383403</v>
      </c>
      <c r="C2589" s="476">
        <v>383448</v>
      </c>
      <c r="D2589" s="476">
        <v>383493</v>
      </c>
      <c r="E2589" s="476">
        <v>383538</v>
      </c>
      <c r="F2589" s="476">
        <v>383583</v>
      </c>
      <c r="G2589" s="476">
        <v>383627</v>
      </c>
      <c r="H2589" s="476">
        <v>383672</v>
      </c>
      <c r="I2589" s="476">
        <v>383717</v>
      </c>
      <c r="J2589" s="476">
        <v>383762</v>
      </c>
      <c r="K2589" s="476">
        <v>383807</v>
      </c>
    </row>
    <row r="2590" spans="1:11">
      <c r="A2590" s="479">
        <v>6924.6</v>
      </c>
      <c r="B2590" s="476">
        <v>383852</v>
      </c>
      <c r="C2590" s="476">
        <v>383897</v>
      </c>
      <c r="D2590" s="476">
        <v>383941</v>
      </c>
      <c r="E2590" s="476">
        <v>383986</v>
      </c>
      <c r="F2590" s="476">
        <v>384031</v>
      </c>
      <c r="G2590" s="476">
        <v>384076</v>
      </c>
      <c r="H2590" s="476">
        <v>384121</v>
      </c>
      <c r="I2590" s="476">
        <v>384166</v>
      </c>
      <c r="J2590" s="476">
        <v>384211</v>
      </c>
      <c r="K2590" s="476">
        <v>384255</v>
      </c>
    </row>
    <row r="2591" spans="1:11">
      <c r="A2591" s="479">
        <v>6924.7</v>
      </c>
      <c r="B2591" s="476">
        <v>384300</v>
      </c>
      <c r="C2591" s="476">
        <v>384345</v>
      </c>
      <c r="D2591" s="476">
        <v>384390</v>
      </c>
      <c r="E2591" s="476">
        <v>384435</v>
      </c>
      <c r="F2591" s="476">
        <v>384480</v>
      </c>
      <c r="G2591" s="476">
        <v>384525</v>
      </c>
      <c r="H2591" s="476">
        <v>384570</v>
      </c>
      <c r="I2591" s="476">
        <v>384614</v>
      </c>
      <c r="J2591" s="476">
        <v>384659</v>
      </c>
      <c r="K2591" s="476">
        <v>384704</v>
      </c>
    </row>
    <row r="2592" spans="1:11">
      <c r="A2592" s="479">
        <v>6924.8</v>
      </c>
      <c r="B2592" s="476">
        <v>384749</v>
      </c>
      <c r="C2592" s="476">
        <v>384794</v>
      </c>
      <c r="D2592" s="476">
        <v>384839</v>
      </c>
      <c r="E2592" s="476">
        <v>384884</v>
      </c>
      <c r="F2592" s="476">
        <v>384928</v>
      </c>
      <c r="G2592" s="476">
        <v>384973</v>
      </c>
      <c r="H2592" s="476">
        <v>385018</v>
      </c>
      <c r="I2592" s="476">
        <v>385063</v>
      </c>
      <c r="J2592" s="476">
        <v>385108</v>
      </c>
      <c r="K2592" s="476">
        <v>385153</v>
      </c>
    </row>
    <row r="2593" spans="1:11">
      <c r="A2593" s="479">
        <v>6924.9</v>
      </c>
      <c r="B2593" s="476">
        <v>385198</v>
      </c>
      <c r="C2593" s="476">
        <v>385243</v>
      </c>
      <c r="D2593" s="476">
        <v>385287</v>
      </c>
      <c r="E2593" s="476">
        <v>385332</v>
      </c>
      <c r="F2593" s="476">
        <v>385377</v>
      </c>
      <c r="G2593" s="476">
        <v>385422</v>
      </c>
      <c r="H2593" s="476">
        <v>385467</v>
      </c>
      <c r="I2593" s="476">
        <v>385512</v>
      </c>
      <c r="J2593" s="476">
        <v>385557</v>
      </c>
      <c r="K2593" s="476">
        <v>385601</v>
      </c>
    </row>
    <row r="2594" spans="1:11">
      <c r="A2594" s="479">
        <v>6925</v>
      </c>
      <c r="B2594" s="476">
        <v>385646</v>
      </c>
      <c r="C2594" s="476">
        <v>385692</v>
      </c>
      <c r="D2594" s="476">
        <v>385737</v>
      </c>
      <c r="E2594" s="476">
        <v>385782</v>
      </c>
      <c r="F2594" s="476">
        <v>385827</v>
      </c>
      <c r="G2594" s="476">
        <v>385872</v>
      </c>
      <c r="H2594" s="476">
        <v>385918</v>
      </c>
      <c r="I2594" s="476">
        <v>385963</v>
      </c>
      <c r="J2594" s="476">
        <v>386008</v>
      </c>
      <c r="K2594" s="476">
        <v>386053</v>
      </c>
    </row>
    <row r="2595" spans="1:11">
      <c r="A2595" s="479">
        <v>6925.1</v>
      </c>
      <c r="B2595" s="476">
        <v>386098</v>
      </c>
      <c r="C2595" s="476">
        <v>386144</v>
      </c>
      <c r="D2595" s="476">
        <v>386189</v>
      </c>
      <c r="E2595" s="476">
        <v>386234</v>
      </c>
      <c r="F2595" s="476">
        <v>386279</v>
      </c>
      <c r="G2595" s="476">
        <v>386324</v>
      </c>
      <c r="H2595" s="476">
        <v>386370</v>
      </c>
      <c r="I2595" s="476">
        <v>386415</v>
      </c>
      <c r="J2595" s="476">
        <v>386460</v>
      </c>
      <c r="K2595" s="476">
        <v>386505</v>
      </c>
    </row>
    <row r="2596" spans="1:11">
      <c r="A2596" s="479">
        <v>6925.2</v>
      </c>
      <c r="B2596" s="476">
        <v>386551</v>
      </c>
      <c r="C2596" s="476">
        <v>386596</v>
      </c>
      <c r="D2596" s="476">
        <v>386641</v>
      </c>
      <c r="E2596" s="476">
        <v>386686</v>
      </c>
      <c r="F2596" s="476">
        <v>386731</v>
      </c>
      <c r="G2596" s="476">
        <v>386777</v>
      </c>
      <c r="H2596" s="476">
        <v>386822</v>
      </c>
      <c r="I2596" s="476">
        <v>386867</v>
      </c>
      <c r="J2596" s="476">
        <v>386912</v>
      </c>
      <c r="K2596" s="476">
        <v>386957</v>
      </c>
    </row>
    <row r="2597" spans="1:11">
      <c r="A2597" s="479">
        <v>6925.3</v>
      </c>
      <c r="B2597" s="476">
        <v>387003</v>
      </c>
      <c r="C2597" s="476">
        <v>387048</v>
      </c>
      <c r="D2597" s="476">
        <v>387093</v>
      </c>
      <c r="E2597" s="476">
        <v>387138</v>
      </c>
      <c r="F2597" s="476">
        <v>387184</v>
      </c>
      <c r="G2597" s="476">
        <v>387229</v>
      </c>
      <c r="H2597" s="476">
        <v>387274</v>
      </c>
      <c r="I2597" s="476">
        <v>387319</v>
      </c>
      <c r="J2597" s="476">
        <v>387364</v>
      </c>
      <c r="K2597" s="476">
        <v>387410</v>
      </c>
    </row>
    <row r="2598" spans="1:11">
      <c r="A2598" s="479">
        <v>6925.4</v>
      </c>
      <c r="B2598" s="476">
        <v>387455</v>
      </c>
      <c r="C2598" s="476">
        <v>387500</v>
      </c>
      <c r="D2598" s="476">
        <v>387545</v>
      </c>
      <c r="E2598" s="476">
        <v>387590</v>
      </c>
      <c r="F2598" s="476">
        <v>387636</v>
      </c>
      <c r="G2598" s="476">
        <v>387681</v>
      </c>
      <c r="H2598" s="476">
        <v>387726</v>
      </c>
      <c r="I2598" s="476">
        <v>387771</v>
      </c>
      <c r="J2598" s="476">
        <v>387817</v>
      </c>
      <c r="K2598" s="476">
        <v>387862</v>
      </c>
    </row>
    <row r="2599" spans="1:11">
      <c r="A2599" s="479">
        <v>6925.5</v>
      </c>
      <c r="B2599" s="476">
        <v>387907</v>
      </c>
      <c r="C2599" s="476">
        <v>387952</v>
      </c>
      <c r="D2599" s="476">
        <v>387997</v>
      </c>
      <c r="E2599" s="476">
        <v>388043</v>
      </c>
      <c r="F2599" s="476">
        <v>388088</v>
      </c>
      <c r="G2599" s="476">
        <v>388133</v>
      </c>
      <c r="H2599" s="476">
        <v>388178</v>
      </c>
      <c r="I2599" s="476">
        <v>388223</v>
      </c>
      <c r="J2599" s="476">
        <v>388269</v>
      </c>
      <c r="K2599" s="476">
        <v>388314</v>
      </c>
    </row>
    <row r="2600" spans="1:11">
      <c r="A2600" s="479">
        <v>6925.6</v>
      </c>
      <c r="B2600" s="476">
        <v>388359</v>
      </c>
      <c r="C2600" s="476">
        <v>388404</v>
      </c>
      <c r="D2600" s="476">
        <v>388450</v>
      </c>
      <c r="E2600" s="476">
        <v>388495</v>
      </c>
      <c r="F2600" s="476">
        <v>388540</v>
      </c>
      <c r="G2600" s="476">
        <v>383585</v>
      </c>
      <c r="H2600" s="476">
        <v>388630</v>
      </c>
      <c r="I2600" s="476">
        <v>388676</v>
      </c>
      <c r="J2600" s="476">
        <v>388721</v>
      </c>
      <c r="K2600" s="476">
        <v>388766</v>
      </c>
    </row>
    <row r="2601" spans="1:11">
      <c r="A2601" s="479">
        <v>6925.7</v>
      </c>
      <c r="B2601" s="476">
        <v>388811</v>
      </c>
      <c r="C2601" s="476">
        <v>388856</v>
      </c>
      <c r="D2601" s="476">
        <v>388902</v>
      </c>
      <c r="E2601" s="476">
        <v>388947</v>
      </c>
      <c r="F2601" s="476">
        <v>388992</v>
      </c>
      <c r="G2601" s="476">
        <v>389037</v>
      </c>
      <c r="H2601" s="476">
        <v>389083</v>
      </c>
      <c r="I2601" s="476">
        <v>389128</v>
      </c>
      <c r="J2601" s="476">
        <v>389173</v>
      </c>
      <c r="K2601" s="476">
        <v>389218</v>
      </c>
    </row>
    <row r="2602" spans="1:11">
      <c r="A2602" s="479">
        <v>6925.8</v>
      </c>
      <c r="B2602" s="476">
        <v>389263</v>
      </c>
      <c r="C2602" s="476">
        <v>389309</v>
      </c>
      <c r="D2602" s="476">
        <v>389354</v>
      </c>
      <c r="E2602" s="476">
        <v>389399</v>
      </c>
      <c r="F2602" s="476">
        <v>389444</v>
      </c>
      <c r="G2602" s="476">
        <v>389489</v>
      </c>
      <c r="H2602" s="476">
        <v>389535</v>
      </c>
      <c r="I2602" s="476">
        <v>389580</v>
      </c>
      <c r="J2602" s="476">
        <v>389625</v>
      </c>
      <c r="K2602" s="476">
        <v>389670</v>
      </c>
    </row>
    <row r="2603" spans="1:11">
      <c r="A2603" s="479">
        <v>6925.9</v>
      </c>
      <c r="B2603" s="476">
        <v>389716</v>
      </c>
      <c r="C2603" s="476">
        <v>389761</v>
      </c>
      <c r="D2603" s="476">
        <v>389806</v>
      </c>
      <c r="E2603" s="476">
        <v>389851</v>
      </c>
      <c r="F2603" s="476">
        <v>389896</v>
      </c>
      <c r="G2603" s="476">
        <v>389942</v>
      </c>
      <c r="H2603" s="476">
        <v>389987</v>
      </c>
      <c r="I2603" s="476">
        <v>390032</v>
      </c>
      <c r="J2603" s="476">
        <v>390077</v>
      </c>
      <c r="K2603" s="476">
        <v>390122</v>
      </c>
    </row>
    <row r="2604" spans="1:11">
      <c r="A2604" s="479">
        <v>6926</v>
      </c>
      <c r="B2604" s="476">
        <v>390168</v>
      </c>
      <c r="C2604" s="476">
        <v>390213</v>
      </c>
      <c r="D2604" s="476">
        <v>390259</v>
      </c>
      <c r="E2604" s="476">
        <v>390304</v>
      </c>
      <c r="F2604" s="476">
        <v>390350</v>
      </c>
      <c r="G2604" s="476">
        <v>390395</v>
      </c>
      <c r="H2604" s="476">
        <v>390441</v>
      </c>
      <c r="I2604" s="476">
        <v>390487</v>
      </c>
      <c r="J2604" s="476">
        <v>390532</v>
      </c>
      <c r="K2604" s="476">
        <v>390578</v>
      </c>
    </row>
    <row r="2605" spans="1:11">
      <c r="A2605" s="479">
        <v>6926.1</v>
      </c>
      <c r="B2605" s="476">
        <v>390623</v>
      </c>
      <c r="C2605" s="476">
        <v>30669</v>
      </c>
      <c r="D2605" s="476">
        <v>390714</v>
      </c>
      <c r="E2605" s="476">
        <v>390760</v>
      </c>
      <c r="F2605" s="476">
        <v>390805</v>
      </c>
      <c r="G2605" s="476">
        <v>390851</v>
      </c>
      <c r="H2605" s="476">
        <v>390897</v>
      </c>
      <c r="I2605" s="476">
        <v>390942</v>
      </c>
      <c r="J2605" s="476">
        <v>390988</v>
      </c>
      <c r="K2605" s="476">
        <v>391033</v>
      </c>
    </row>
    <row r="2606" spans="1:11">
      <c r="A2606" s="479">
        <v>6926.2</v>
      </c>
      <c r="B2606" s="476">
        <v>391079</v>
      </c>
      <c r="C2606" s="476">
        <v>391124</v>
      </c>
      <c r="D2606" s="476">
        <v>391170</v>
      </c>
      <c r="E2606" s="476">
        <v>391215</v>
      </c>
      <c r="F2606" s="476">
        <v>391261</v>
      </c>
      <c r="G2606" s="476">
        <v>391307</v>
      </c>
      <c r="H2606" s="476">
        <v>391352</v>
      </c>
      <c r="I2606" s="476">
        <v>391398</v>
      </c>
      <c r="J2606" s="476">
        <v>391443</v>
      </c>
      <c r="K2606" s="476">
        <v>391489</v>
      </c>
    </row>
    <row r="2607" spans="1:11">
      <c r="A2607" s="479">
        <v>6926.3</v>
      </c>
      <c r="B2607" s="476">
        <v>391534</v>
      </c>
      <c r="C2607" s="476">
        <v>391580</v>
      </c>
      <c r="D2607" s="476">
        <v>391625</v>
      </c>
      <c r="E2607" s="476">
        <v>391671</v>
      </c>
      <c r="F2607" s="476">
        <v>391717</v>
      </c>
      <c r="G2607" s="476">
        <v>391762</v>
      </c>
      <c r="H2607" s="476">
        <v>391808</v>
      </c>
      <c r="I2607" s="476">
        <v>391853</v>
      </c>
      <c r="J2607" s="476">
        <v>391899</v>
      </c>
      <c r="K2607" s="476">
        <v>391944</v>
      </c>
    </row>
    <row r="2608" spans="1:11">
      <c r="A2608" s="479">
        <v>6926.4</v>
      </c>
      <c r="B2608" s="476">
        <v>391990</v>
      </c>
      <c r="C2608" s="476">
        <v>392035</v>
      </c>
      <c r="D2608" s="476">
        <v>392081</v>
      </c>
      <c r="E2608" s="476">
        <v>392127</v>
      </c>
      <c r="F2608" s="476">
        <v>392172</v>
      </c>
      <c r="G2608" s="476">
        <v>392218</v>
      </c>
      <c r="H2608" s="476">
        <v>392263</v>
      </c>
      <c r="I2608" s="476">
        <v>392309</v>
      </c>
      <c r="J2608" s="476">
        <v>392354</v>
      </c>
      <c r="K2608" s="476">
        <v>392400</v>
      </c>
    </row>
    <row r="2609" spans="1:11">
      <c r="A2609" s="479">
        <v>6926.5</v>
      </c>
      <c r="B2609" s="476">
        <v>392445</v>
      </c>
      <c r="C2609" s="476">
        <v>392491</v>
      </c>
      <c r="D2609" s="476">
        <v>392537</v>
      </c>
      <c r="E2609" s="476">
        <v>392582</v>
      </c>
      <c r="F2609" s="476">
        <v>392628</v>
      </c>
      <c r="G2609" s="476">
        <v>392673</v>
      </c>
      <c r="H2609" s="476">
        <v>392719</v>
      </c>
      <c r="I2609" s="476">
        <v>392764</v>
      </c>
      <c r="J2609" s="476">
        <v>392810</v>
      </c>
      <c r="K2609" s="476">
        <v>392855</v>
      </c>
    </row>
    <row r="2610" spans="1:11">
      <c r="A2610" s="479">
        <v>6926.6</v>
      </c>
      <c r="B2610" s="476">
        <v>392901</v>
      </c>
      <c r="C2610" s="476">
        <v>392947</v>
      </c>
      <c r="D2610" s="476">
        <v>392992</v>
      </c>
      <c r="E2610" s="476">
        <v>393038</v>
      </c>
      <c r="F2610" s="476">
        <v>393083</v>
      </c>
      <c r="G2610" s="476">
        <v>393129</v>
      </c>
      <c r="H2610" s="476">
        <v>393174</v>
      </c>
      <c r="I2610" s="476">
        <v>393220</v>
      </c>
      <c r="J2610" s="476">
        <v>393266</v>
      </c>
      <c r="K2610" s="476">
        <v>393311</v>
      </c>
    </row>
    <row r="2611" spans="1:11">
      <c r="A2611" s="479">
        <v>6926.7</v>
      </c>
      <c r="B2611" s="476">
        <v>393357</v>
      </c>
      <c r="C2611" s="476">
        <v>393402</v>
      </c>
      <c r="D2611" s="476">
        <v>393448</v>
      </c>
      <c r="E2611" s="476">
        <v>393493</v>
      </c>
      <c r="F2611" s="476">
        <v>393539</v>
      </c>
      <c r="G2611" s="476">
        <v>393584</v>
      </c>
      <c r="H2611" s="476">
        <v>393630</v>
      </c>
      <c r="I2611" s="476">
        <v>393676</v>
      </c>
      <c r="J2611" s="476">
        <v>393721</v>
      </c>
      <c r="K2611" s="476">
        <v>393767</v>
      </c>
    </row>
    <row r="2612" spans="1:11">
      <c r="A2612" s="479">
        <v>6926.8</v>
      </c>
      <c r="B2612" s="476">
        <v>393812</v>
      </c>
      <c r="C2612" s="476">
        <v>393858</v>
      </c>
      <c r="D2612" s="476">
        <v>393903</v>
      </c>
      <c r="E2612" s="476">
        <v>393949</v>
      </c>
      <c r="F2612" s="476">
        <v>393994</v>
      </c>
      <c r="G2612" s="476">
        <v>394040</v>
      </c>
      <c r="H2612" s="476">
        <v>394086</v>
      </c>
      <c r="I2612" s="476">
        <v>394131</v>
      </c>
      <c r="J2612" s="476">
        <v>394177</v>
      </c>
      <c r="K2612" s="476">
        <v>394222</v>
      </c>
    </row>
    <row r="2613" spans="1:11">
      <c r="A2613" s="479">
        <v>6926.9</v>
      </c>
      <c r="B2613" s="476">
        <v>394268</v>
      </c>
      <c r="C2613" s="476">
        <v>394313</v>
      </c>
      <c r="D2613" s="476">
        <v>394359</v>
      </c>
      <c r="E2613" s="476">
        <v>394404</v>
      </c>
      <c r="F2613" s="476">
        <v>394450</v>
      </c>
      <c r="G2613" s="476">
        <v>394496</v>
      </c>
      <c r="H2613" s="476">
        <v>394541</v>
      </c>
      <c r="I2613" s="476">
        <v>394587</v>
      </c>
      <c r="J2613" s="476">
        <v>394632</v>
      </c>
      <c r="K2613" s="476">
        <v>394678</v>
      </c>
    </row>
    <row r="2614" spans="1:11">
      <c r="A2614" s="479">
        <v>6927</v>
      </c>
      <c r="B2614" s="476">
        <v>394723</v>
      </c>
      <c r="C2614" s="476">
        <v>394769</v>
      </c>
      <c r="D2614" s="476">
        <v>394815</v>
      </c>
      <c r="E2614" s="476">
        <v>394861</v>
      </c>
      <c r="F2614" s="476">
        <v>394907</v>
      </c>
      <c r="G2614" s="476">
        <v>394953</v>
      </c>
      <c r="H2614" s="476">
        <v>394999</v>
      </c>
      <c r="I2614" s="476">
        <v>395045</v>
      </c>
      <c r="J2614" s="476">
        <v>395090</v>
      </c>
      <c r="K2614" s="476">
        <v>395136</v>
      </c>
    </row>
    <row r="2615" spans="1:11">
      <c r="A2615" s="479">
        <v>6927.1</v>
      </c>
      <c r="B2615" s="476">
        <v>395182</v>
      </c>
      <c r="C2615" s="476">
        <v>395228</v>
      </c>
      <c r="D2615" s="476">
        <v>395274</v>
      </c>
      <c r="E2615" s="476">
        <v>395320</v>
      </c>
      <c r="F2615" s="476">
        <v>395366</v>
      </c>
      <c r="G2615" s="476">
        <v>395412</v>
      </c>
      <c r="H2615" s="476">
        <v>395458</v>
      </c>
      <c r="I2615" s="476">
        <v>395504</v>
      </c>
      <c r="J2615" s="476">
        <v>395549</v>
      </c>
      <c r="K2615" s="476">
        <v>395595</v>
      </c>
    </row>
    <row r="2616" spans="1:11">
      <c r="A2616" s="479">
        <v>6927.2</v>
      </c>
      <c r="B2616" s="476">
        <v>395641</v>
      </c>
      <c r="C2616" s="476">
        <v>395687</v>
      </c>
      <c r="D2616" s="476">
        <v>395733</v>
      </c>
      <c r="E2616" s="476">
        <v>395779</v>
      </c>
      <c r="F2616" s="476">
        <v>395825</v>
      </c>
      <c r="G2616" s="476">
        <v>395871</v>
      </c>
      <c r="H2616" s="476">
        <v>395917</v>
      </c>
      <c r="I2616" s="476">
        <v>395962</v>
      </c>
      <c r="J2616" s="476">
        <v>396008</v>
      </c>
      <c r="K2616" s="476">
        <v>396054</v>
      </c>
    </row>
    <row r="2617" spans="1:11">
      <c r="A2617" s="479">
        <v>6927.3</v>
      </c>
      <c r="B2617" s="476">
        <v>396100</v>
      </c>
      <c r="C2617" s="476">
        <v>396146</v>
      </c>
      <c r="D2617" s="476">
        <v>396192</v>
      </c>
      <c r="E2617" s="476">
        <v>396238</v>
      </c>
      <c r="F2617" s="476">
        <v>396284</v>
      </c>
      <c r="G2617" s="476">
        <v>396330</v>
      </c>
      <c r="H2617" s="476">
        <v>396376</v>
      </c>
      <c r="I2617" s="476">
        <v>396421</v>
      </c>
      <c r="J2617" s="476">
        <v>396467</v>
      </c>
      <c r="K2617" s="476">
        <v>396513</v>
      </c>
    </row>
    <row r="2618" spans="1:11">
      <c r="A2618" s="479">
        <v>6927.4</v>
      </c>
      <c r="B2618" s="476">
        <v>396559</v>
      </c>
      <c r="C2618" s="476">
        <v>396605</v>
      </c>
      <c r="D2618" s="476">
        <v>396651</v>
      </c>
      <c r="E2618" s="476">
        <v>396697</v>
      </c>
      <c r="F2618" s="476">
        <v>396743</v>
      </c>
      <c r="G2618" s="476">
        <v>396789</v>
      </c>
      <c r="H2618" s="476">
        <v>396835</v>
      </c>
      <c r="I2618" s="476">
        <v>396880</v>
      </c>
      <c r="J2618" s="476">
        <v>396926</v>
      </c>
      <c r="K2618" s="476">
        <v>396972</v>
      </c>
    </row>
    <row r="2619" spans="1:11">
      <c r="A2619" s="479">
        <v>6927.5</v>
      </c>
      <c r="B2619" s="476">
        <v>397018</v>
      </c>
      <c r="C2619" s="476">
        <v>397064</v>
      </c>
      <c r="D2619" s="476">
        <v>397110</v>
      </c>
      <c r="E2619" s="476">
        <v>397156</v>
      </c>
      <c r="F2619" s="476">
        <v>397202</v>
      </c>
      <c r="G2619" s="476">
        <v>397248</v>
      </c>
      <c r="H2619" s="476">
        <v>397293</v>
      </c>
      <c r="I2619" s="476">
        <v>397339</v>
      </c>
      <c r="J2619" s="476">
        <v>397385</v>
      </c>
      <c r="K2619" s="476">
        <v>397431</v>
      </c>
    </row>
    <row r="2620" spans="1:11">
      <c r="A2620" s="479">
        <v>6927.6</v>
      </c>
      <c r="B2620" s="476">
        <v>397477</v>
      </c>
      <c r="C2620" s="476">
        <v>397523</v>
      </c>
      <c r="D2620" s="476">
        <v>397569</v>
      </c>
      <c r="E2620" s="476">
        <v>397615</v>
      </c>
      <c r="F2620" s="476">
        <v>397661</v>
      </c>
      <c r="G2620" s="476">
        <v>397707</v>
      </c>
      <c r="H2620" s="476">
        <v>397752</v>
      </c>
      <c r="I2620" s="476">
        <v>397798</v>
      </c>
      <c r="J2620" s="476">
        <v>397844</v>
      </c>
      <c r="K2620" s="476">
        <v>397890</v>
      </c>
    </row>
    <row r="2621" spans="1:11">
      <c r="A2621" s="479">
        <v>6927.7</v>
      </c>
      <c r="B2621" s="476">
        <v>397936</v>
      </c>
      <c r="C2621" s="476">
        <v>397982</v>
      </c>
      <c r="D2621" s="476">
        <v>398028</v>
      </c>
      <c r="E2621" s="476">
        <v>398074</v>
      </c>
      <c r="F2621" s="476">
        <v>398120</v>
      </c>
      <c r="G2621" s="476">
        <v>398165</v>
      </c>
      <c r="H2621" s="476">
        <v>398211</v>
      </c>
      <c r="I2621" s="476">
        <v>398257</v>
      </c>
      <c r="J2621" s="476">
        <v>398303</v>
      </c>
      <c r="K2621" s="476">
        <v>398349</v>
      </c>
    </row>
    <row r="2622" spans="1:11">
      <c r="A2622" s="479">
        <v>6927.8</v>
      </c>
      <c r="B2622" s="476">
        <v>398395</v>
      </c>
      <c r="C2622" s="476">
        <v>398441</v>
      </c>
      <c r="D2622" s="476">
        <v>398487</v>
      </c>
      <c r="E2622" s="476">
        <v>398533</v>
      </c>
      <c r="F2622" s="476">
        <v>398579</v>
      </c>
      <c r="G2622" s="476">
        <v>398624</v>
      </c>
      <c r="H2622" s="476">
        <v>398670</v>
      </c>
      <c r="I2622" s="476">
        <v>398716</v>
      </c>
      <c r="J2622" s="476">
        <v>398762</v>
      </c>
      <c r="K2622" s="476">
        <v>398808</v>
      </c>
    </row>
    <row r="2623" spans="1:11">
      <c r="A2623" s="479">
        <v>6927.9</v>
      </c>
      <c r="B2623" s="476">
        <v>398854</v>
      </c>
      <c r="C2623" s="476">
        <v>398900</v>
      </c>
      <c r="D2623" s="476">
        <v>398946</v>
      </c>
      <c r="E2623" s="476">
        <v>398992</v>
      </c>
      <c r="F2623" s="476">
        <v>399037</v>
      </c>
      <c r="G2623" s="476">
        <v>399083</v>
      </c>
      <c r="H2623" s="476">
        <v>399129</v>
      </c>
      <c r="I2623" s="476">
        <v>399175</v>
      </c>
      <c r="J2623" s="476">
        <v>399221</v>
      </c>
      <c r="K2623" s="476">
        <v>399267</v>
      </c>
    </row>
    <row r="2624" spans="1:11">
      <c r="A2624" s="479">
        <v>6928</v>
      </c>
      <c r="B2624" s="476">
        <v>399313</v>
      </c>
      <c r="C2624" s="476">
        <v>399359</v>
      </c>
      <c r="D2624" s="476">
        <v>399405</v>
      </c>
      <c r="E2624" s="476">
        <v>399452</v>
      </c>
      <c r="F2624" s="476">
        <v>399498</v>
      </c>
      <c r="G2624" s="476">
        <v>399544</v>
      </c>
      <c r="H2624" s="476">
        <v>399590</v>
      </c>
      <c r="I2624" s="476">
        <v>399636</v>
      </c>
      <c r="J2624" s="476">
        <v>399683</v>
      </c>
      <c r="K2624" s="476">
        <v>399729</v>
      </c>
    </row>
    <row r="2625" spans="1:11">
      <c r="A2625" s="479">
        <v>6928.1</v>
      </c>
      <c r="B2625" s="476">
        <v>399775</v>
      </c>
      <c r="C2625" s="476">
        <v>399821</v>
      </c>
      <c r="D2625" s="476">
        <v>399868</v>
      </c>
      <c r="E2625" s="476">
        <v>399914</v>
      </c>
      <c r="F2625" s="476">
        <v>399960</v>
      </c>
      <c r="G2625" s="476">
        <v>400006</v>
      </c>
      <c r="H2625" s="476">
        <v>400053</v>
      </c>
      <c r="I2625" s="476">
        <v>400099</v>
      </c>
      <c r="J2625" s="476">
        <v>400145</v>
      </c>
      <c r="K2625" s="476">
        <v>400191</v>
      </c>
    </row>
    <row r="2626" spans="1:11">
      <c r="A2626" s="479">
        <v>6928.2</v>
      </c>
      <c r="B2626" s="476">
        <v>400237</v>
      </c>
      <c r="C2626" s="476">
        <v>400284</v>
      </c>
      <c r="D2626" s="476">
        <v>400330</v>
      </c>
      <c r="E2626" s="476">
        <v>400376</v>
      </c>
      <c r="F2626" s="476">
        <v>400422</v>
      </c>
      <c r="G2626" s="476">
        <v>400469</v>
      </c>
      <c r="H2626" s="476">
        <v>400515</v>
      </c>
      <c r="I2626" s="476">
        <v>400561</v>
      </c>
      <c r="J2626" s="476">
        <v>400607</v>
      </c>
      <c r="K2626" s="476">
        <v>400653</v>
      </c>
    </row>
    <row r="2627" spans="1:11">
      <c r="A2627" s="479">
        <v>6928.3</v>
      </c>
      <c r="B2627" s="476">
        <v>400700</v>
      </c>
      <c r="C2627" s="476">
        <v>400746</v>
      </c>
      <c r="D2627" s="476">
        <v>400792</v>
      </c>
      <c r="E2627" s="476">
        <v>400838</v>
      </c>
      <c r="F2627" s="476">
        <v>400885</v>
      </c>
      <c r="G2627" s="476">
        <v>400931</v>
      </c>
      <c r="H2627" s="476">
        <v>400977</v>
      </c>
      <c r="I2627" s="476">
        <v>401023</v>
      </c>
      <c r="J2627" s="476">
        <v>401070</v>
      </c>
      <c r="K2627" s="476">
        <v>401116</v>
      </c>
    </row>
    <row r="2628" spans="1:11">
      <c r="A2628" s="479">
        <v>6928.4</v>
      </c>
      <c r="B2628" s="476">
        <v>401162</v>
      </c>
      <c r="C2628" s="476">
        <v>401208</v>
      </c>
      <c r="D2628" s="476">
        <v>401254</v>
      </c>
      <c r="E2628" s="476">
        <v>401301</v>
      </c>
      <c r="F2628" s="476">
        <v>401347</v>
      </c>
      <c r="G2628" s="476">
        <v>401393</v>
      </c>
      <c r="H2628" s="476">
        <v>401439</v>
      </c>
      <c r="I2628" s="476">
        <v>401486</v>
      </c>
      <c r="J2628" s="476">
        <v>401532</v>
      </c>
      <c r="K2628" s="476">
        <v>401578</v>
      </c>
    </row>
    <row r="2629" spans="1:11">
      <c r="A2629" s="479">
        <v>6928.5</v>
      </c>
      <c r="B2629" s="476">
        <v>401624</v>
      </c>
      <c r="C2629" s="476">
        <v>401671</v>
      </c>
      <c r="D2629" s="476">
        <v>401717</v>
      </c>
      <c r="E2629" s="476">
        <v>401763</v>
      </c>
      <c r="F2629" s="476">
        <v>401809</v>
      </c>
      <c r="G2629" s="476">
        <v>401855</v>
      </c>
      <c r="H2629" s="476">
        <v>401902</v>
      </c>
      <c r="I2629" s="476">
        <v>401948</v>
      </c>
      <c r="J2629" s="476">
        <v>401994</v>
      </c>
      <c r="K2629" s="476">
        <v>402040</v>
      </c>
    </row>
    <row r="2630" spans="1:11">
      <c r="A2630" s="479">
        <v>6928.6</v>
      </c>
      <c r="B2630" s="476">
        <v>402087</v>
      </c>
      <c r="C2630" s="476">
        <v>402133</v>
      </c>
      <c r="D2630" s="476">
        <v>402179</v>
      </c>
      <c r="E2630" s="476">
        <v>402225</v>
      </c>
      <c r="F2630" s="476">
        <v>402271</v>
      </c>
      <c r="G2630" s="476">
        <v>402318</v>
      </c>
      <c r="H2630" s="476">
        <v>402364</v>
      </c>
      <c r="I2630" s="476">
        <v>402410</v>
      </c>
      <c r="J2630" s="476">
        <v>402456</v>
      </c>
      <c r="K2630" s="476">
        <v>402503</v>
      </c>
    </row>
    <row r="2631" spans="1:11">
      <c r="A2631" s="479">
        <v>6928.7</v>
      </c>
      <c r="B2631" s="476">
        <v>402549</v>
      </c>
      <c r="C2631" s="476">
        <v>402595</v>
      </c>
      <c r="D2631" s="476">
        <v>402641</v>
      </c>
      <c r="E2631" s="476">
        <v>402688</v>
      </c>
      <c r="F2631" s="476">
        <v>402734</v>
      </c>
      <c r="G2631" s="476">
        <v>402780</v>
      </c>
      <c r="H2631" s="476">
        <v>402826</v>
      </c>
      <c r="I2631" s="476">
        <v>402872</v>
      </c>
      <c r="J2631" s="476">
        <v>402919</v>
      </c>
      <c r="K2631" s="476">
        <v>402965</v>
      </c>
    </row>
    <row r="2632" spans="1:11">
      <c r="A2632" s="479">
        <v>6928.8</v>
      </c>
      <c r="B2632" s="476">
        <v>403011</v>
      </c>
      <c r="C2632" s="476">
        <v>403057</v>
      </c>
      <c r="D2632" s="476">
        <v>403104</v>
      </c>
      <c r="E2632" s="476">
        <v>403150</v>
      </c>
      <c r="F2632" s="476">
        <v>403196</v>
      </c>
      <c r="G2632" s="476">
        <v>403242</v>
      </c>
      <c r="H2632" s="476">
        <v>403289</v>
      </c>
      <c r="I2632" s="476">
        <v>403335</v>
      </c>
      <c r="J2632" s="476">
        <v>403381</v>
      </c>
      <c r="K2632" s="476">
        <v>403427</v>
      </c>
    </row>
    <row r="2633" spans="1:11">
      <c r="A2633" s="479">
        <v>6928.9</v>
      </c>
      <c r="B2633" s="476">
        <v>403473</v>
      </c>
      <c r="C2633" s="476">
        <v>403520</v>
      </c>
      <c r="D2633" s="476">
        <v>403566</v>
      </c>
      <c r="E2633" s="476">
        <v>403612</v>
      </c>
      <c r="F2633" s="476">
        <v>403658</v>
      </c>
      <c r="G2633" s="476">
        <v>403705</v>
      </c>
      <c r="H2633" s="476">
        <v>403751</v>
      </c>
      <c r="I2633" s="476">
        <v>403797</v>
      </c>
      <c r="J2633" s="476">
        <v>403843</v>
      </c>
      <c r="K2633" s="476">
        <v>403889</v>
      </c>
    </row>
    <row r="2634" spans="1:11">
      <c r="A2634" s="479">
        <v>6929</v>
      </c>
      <c r="B2634" s="476">
        <v>403936</v>
      </c>
      <c r="C2634" s="476">
        <v>403982</v>
      </c>
      <c r="D2634" s="476">
        <v>404029</v>
      </c>
      <c r="E2634" s="476">
        <v>404075</v>
      </c>
      <c r="F2634" s="476">
        <v>404122</v>
      </c>
      <c r="G2634" s="476">
        <v>404169</v>
      </c>
      <c r="H2634" s="476">
        <v>404215</v>
      </c>
      <c r="I2634" s="476">
        <v>404262</v>
      </c>
      <c r="J2634" s="476">
        <v>404308</v>
      </c>
      <c r="K2634" s="476">
        <v>404355</v>
      </c>
    </row>
    <row r="2635" spans="1:11">
      <c r="A2635" s="479">
        <v>6929.1</v>
      </c>
      <c r="B2635" s="476">
        <v>404401</v>
      </c>
      <c r="C2635" s="476">
        <v>404448</v>
      </c>
      <c r="D2635" s="476">
        <v>404494</v>
      </c>
      <c r="E2635" s="476">
        <v>404541</v>
      </c>
      <c r="F2635" s="476">
        <v>404588</v>
      </c>
      <c r="G2635" s="476">
        <v>404634</v>
      </c>
      <c r="H2635" s="476">
        <v>404681</v>
      </c>
      <c r="I2635" s="476">
        <v>404727</v>
      </c>
      <c r="J2635" s="476">
        <v>404774</v>
      </c>
      <c r="K2635" s="476">
        <v>404820</v>
      </c>
    </row>
    <row r="2636" spans="1:11">
      <c r="A2636" s="479">
        <v>6929.2</v>
      </c>
      <c r="B2636" s="476">
        <v>404867</v>
      </c>
      <c r="C2636" s="476">
        <v>404913</v>
      </c>
      <c r="D2636" s="476">
        <v>404960</v>
      </c>
      <c r="E2636" s="476">
        <v>405007</v>
      </c>
      <c r="F2636" s="476">
        <v>405053</v>
      </c>
      <c r="G2636" s="476">
        <v>405100</v>
      </c>
      <c r="H2636" s="476">
        <v>405146</v>
      </c>
      <c r="I2636" s="476">
        <v>405193</v>
      </c>
      <c r="J2636" s="476">
        <v>405239</v>
      </c>
      <c r="K2636" s="476">
        <v>405286</v>
      </c>
    </row>
    <row r="2637" spans="1:11">
      <c r="A2637" s="479">
        <v>6929.3</v>
      </c>
      <c r="B2637" s="476">
        <v>405332</v>
      </c>
      <c r="C2637" s="476">
        <v>405379</v>
      </c>
      <c r="D2637" s="476">
        <v>405426</v>
      </c>
      <c r="E2637" s="476">
        <v>405472</v>
      </c>
      <c r="F2637" s="476">
        <v>405519</v>
      </c>
      <c r="G2637" s="476">
        <v>405565</v>
      </c>
      <c r="H2637" s="476">
        <v>405612</v>
      </c>
      <c r="I2637" s="476">
        <v>405658</v>
      </c>
      <c r="J2637" s="476">
        <v>405705</v>
      </c>
      <c r="K2637" s="476">
        <v>405751</v>
      </c>
    </row>
    <row r="2638" spans="1:11">
      <c r="A2638" s="479">
        <v>6929.4</v>
      </c>
      <c r="B2638" s="476">
        <v>405798</v>
      </c>
      <c r="C2638" s="476">
        <v>405845</v>
      </c>
      <c r="D2638" s="476">
        <v>405891</v>
      </c>
      <c r="E2638" s="476">
        <v>405938</v>
      </c>
      <c r="F2638" s="476">
        <v>405984</v>
      </c>
      <c r="G2638" s="476">
        <v>406031</v>
      </c>
      <c r="H2638" s="476">
        <v>406077</v>
      </c>
      <c r="I2638" s="476">
        <v>406124</v>
      </c>
      <c r="J2638" s="476">
        <v>406170</v>
      </c>
      <c r="K2638" s="476">
        <v>406217</v>
      </c>
    </row>
    <row r="2639" spans="1:11">
      <c r="A2639" s="479">
        <v>6929.5</v>
      </c>
      <c r="B2639" s="476">
        <v>406264</v>
      </c>
      <c r="C2639" s="476">
        <v>406310</v>
      </c>
      <c r="D2639" s="476">
        <v>406357</v>
      </c>
      <c r="E2639" s="476">
        <v>406403</v>
      </c>
      <c r="F2639" s="476">
        <v>406450</v>
      </c>
      <c r="G2639" s="476">
        <v>406496</v>
      </c>
      <c r="H2639" s="476">
        <v>406543</v>
      </c>
      <c r="I2639" s="476">
        <v>406589</v>
      </c>
      <c r="J2639" s="476">
        <v>406636</v>
      </c>
      <c r="K2639" s="476">
        <v>406683</v>
      </c>
    </row>
    <row r="2640" spans="1:11">
      <c r="A2640" s="479">
        <v>6929.6</v>
      </c>
      <c r="B2640" s="476">
        <v>406729</v>
      </c>
      <c r="C2640" s="476">
        <v>406776</v>
      </c>
      <c r="D2640" s="476">
        <v>406822</v>
      </c>
      <c r="E2640" s="476">
        <v>406869</v>
      </c>
      <c r="F2640" s="476">
        <v>406915</v>
      </c>
      <c r="G2640" s="476">
        <v>406962</v>
      </c>
      <c r="H2640" s="476">
        <v>407009</v>
      </c>
      <c r="I2640" s="476">
        <v>407055</v>
      </c>
      <c r="J2640" s="476">
        <v>407102</v>
      </c>
      <c r="K2640" s="476">
        <v>407148</v>
      </c>
    </row>
    <row r="2641" spans="1:11">
      <c r="A2641" s="479">
        <v>6929.7</v>
      </c>
      <c r="B2641" s="476">
        <v>407195</v>
      </c>
      <c r="C2641" s="476">
        <v>407241</v>
      </c>
      <c r="D2641" s="476">
        <v>407288</v>
      </c>
      <c r="E2641" s="476">
        <v>407334</v>
      </c>
      <c r="F2641" s="476">
        <v>407381</v>
      </c>
      <c r="G2641" s="476">
        <v>407428</v>
      </c>
      <c r="H2641" s="476">
        <v>407474</v>
      </c>
      <c r="I2641" s="476">
        <v>407521</v>
      </c>
      <c r="J2641" s="476">
        <v>407567</v>
      </c>
      <c r="K2641" s="476">
        <v>487614</v>
      </c>
    </row>
    <row r="2642" spans="1:11">
      <c r="A2642" s="479">
        <v>6929.8</v>
      </c>
      <c r="B2642" s="476">
        <v>407660</v>
      </c>
      <c r="C2642" s="476">
        <v>407707</v>
      </c>
      <c r="D2642" s="476">
        <v>407753</v>
      </c>
      <c r="E2642" s="476">
        <v>407800</v>
      </c>
      <c r="F2642" s="476">
        <v>407847</v>
      </c>
      <c r="G2642" s="476">
        <v>407893</v>
      </c>
      <c r="H2642" s="476">
        <v>407940</v>
      </c>
      <c r="I2642" s="476">
        <v>407986</v>
      </c>
      <c r="J2642" s="476">
        <v>408033</v>
      </c>
      <c r="K2642" s="476">
        <v>408079</v>
      </c>
    </row>
    <row r="2643" spans="1:11">
      <c r="A2643" s="479">
        <v>6929.9</v>
      </c>
      <c r="B2643" s="476">
        <v>408126</v>
      </c>
      <c r="C2643" s="476">
        <v>408172</v>
      </c>
      <c r="D2643" s="476">
        <v>408219</v>
      </c>
      <c r="E2643" s="476">
        <v>408266</v>
      </c>
      <c r="F2643" s="476">
        <v>408312</v>
      </c>
      <c r="G2643" s="476">
        <v>408359</v>
      </c>
      <c r="H2643" s="476">
        <v>408405</v>
      </c>
      <c r="I2643" s="476">
        <v>408452</v>
      </c>
      <c r="J2643" s="476">
        <v>408498</v>
      </c>
      <c r="K2643" s="476">
        <v>408545</v>
      </c>
    </row>
    <row r="2644" spans="1:11">
      <c r="A2644" s="479">
        <v>6930</v>
      </c>
      <c r="B2644" s="476">
        <v>408591</v>
      </c>
      <c r="C2644" s="476">
        <v>408638</v>
      </c>
      <c r="D2644" s="476">
        <v>408685</v>
      </c>
      <c r="E2644" s="476">
        <v>408732</v>
      </c>
      <c r="F2644" s="476">
        <v>408779</v>
      </c>
      <c r="G2644" s="476">
        <v>408826</v>
      </c>
      <c r="H2644" s="476">
        <v>408873</v>
      </c>
      <c r="I2644" s="476">
        <v>408920</v>
      </c>
      <c r="J2644" s="476">
        <v>408967</v>
      </c>
      <c r="K2644" s="476">
        <v>409013</v>
      </c>
    </row>
    <row r="2645" spans="1:11">
      <c r="A2645" s="479">
        <v>6930.1</v>
      </c>
      <c r="B2645" s="476">
        <v>409060</v>
      </c>
      <c r="C2645" s="476">
        <v>409107</v>
      </c>
      <c r="D2645" s="476">
        <v>409154</v>
      </c>
      <c r="E2645" s="476">
        <v>409201</v>
      </c>
      <c r="F2645" s="476">
        <v>409248</v>
      </c>
      <c r="G2645" s="476">
        <v>409295</v>
      </c>
      <c r="H2645" s="476">
        <v>409342</v>
      </c>
      <c r="I2645" s="476">
        <v>409388</v>
      </c>
      <c r="J2645" s="476">
        <v>409435</v>
      </c>
      <c r="K2645" s="476">
        <v>409482</v>
      </c>
    </row>
    <row r="2646" spans="1:11">
      <c r="A2646" s="479">
        <v>6930.2</v>
      </c>
      <c r="B2646" s="476">
        <v>409529</v>
      </c>
      <c r="C2646" s="476">
        <v>409576</v>
      </c>
      <c r="D2646" s="476">
        <v>409623</v>
      </c>
      <c r="E2646" s="476">
        <v>409670</v>
      </c>
      <c r="F2646" s="476">
        <v>409717</v>
      </c>
      <c r="G2646" s="476">
        <v>409763</v>
      </c>
      <c r="H2646" s="476">
        <v>409810</v>
      </c>
      <c r="I2646" s="476">
        <v>409857</v>
      </c>
      <c r="J2646" s="476">
        <v>409904</v>
      </c>
      <c r="K2646" s="476">
        <v>409951</v>
      </c>
    </row>
    <row r="2647" spans="1:11">
      <c r="A2647" s="479">
        <v>6930.3</v>
      </c>
      <c r="B2647" s="476">
        <v>409998</v>
      </c>
      <c r="C2647" s="476">
        <v>410045</v>
      </c>
      <c r="D2647" s="476">
        <v>410092</v>
      </c>
      <c r="E2647" s="476">
        <v>410139</v>
      </c>
      <c r="F2647" s="476">
        <v>410185</v>
      </c>
      <c r="G2647" s="476">
        <v>410232</v>
      </c>
      <c r="H2647" s="476">
        <v>410279</v>
      </c>
      <c r="I2647" s="476">
        <v>410326</v>
      </c>
      <c r="J2647" s="476">
        <v>410373</v>
      </c>
      <c r="K2647" s="476">
        <v>410420</v>
      </c>
    </row>
    <row r="2648" spans="1:11">
      <c r="A2648" s="479">
        <v>6930.4</v>
      </c>
      <c r="B2648" s="476">
        <v>410467</v>
      </c>
      <c r="C2648" s="476">
        <v>410514</v>
      </c>
      <c r="D2648" s="476">
        <v>410560</v>
      </c>
      <c r="E2648" s="476">
        <v>410607</v>
      </c>
      <c r="F2648" s="476">
        <v>410654</v>
      </c>
      <c r="G2648" s="476">
        <v>410701</v>
      </c>
      <c r="H2648" s="476">
        <v>410748</v>
      </c>
      <c r="I2648" s="476">
        <v>410795</v>
      </c>
      <c r="J2648" s="476">
        <v>410842</v>
      </c>
      <c r="K2648" s="476">
        <v>410889</v>
      </c>
    </row>
    <row r="2649" spans="1:11">
      <c r="A2649" s="479">
        <v>6930.5</v>
      </c>
      <c r="B2649" s="476">
        <v>410936</v>
      </c>
      <c r="C2649" s="476">
        <v>410982</v>
      </c>
      <c r="D2649" s="476">
        <v>411029</v>
      </c>
      <c r="E2649" s="476">
        <v>411076</v>
      </c>
      <c r="F2649" s="476">
        <v>411123</v>
      </c>
      <c r="G2649" s="476">
        <v>411170</v>
      </c>
      <c r="H2649" s="476">
        <v>411217</v>
      </c>
      <c r="I2649" s="476">
        <v>411264</v>
      </c>
      <c r="J2649" s="476">
        <v>411311</v>
      </c>
      <c r="K2649" s="476">
        <v>411357</v>
      </c>
    </row>
    <row r="2650" spans="1:11">
      <c r="A2650" s="479">
        <v>6930.6</v>
      </c>
      <c r="B2650" s="476">
        <v>411404</v>
      </c>
      <c r="C2650" s="476">
        <v>411451</v>
      </c>
      <c r="D2650" s="476">
        <v>411498</v>
      </c>
      <c r="E2650" s="476">
        <v>411545</v>
      </c>
      <c r="F2650" s="476">
        <v>411592</v>
      </c>
      <c r="G2650" s="476">
        <v>411639</v>
      </c>
      <c r="H2650" s="476">
        <v>411686</v>
      </c>
      <c r="I2650" s="476">
        <v>411733</v>
      </c>
      <c r="J2650" s="476">
        <v>411779</v>
      </c>
      <c r="K2650" s="476">
        <v>411826</v>
      </c>
    </row>
    <row r="2651" spans="1:11">
      <c r="A2651" s="479">
        <v>6930.7</v>
      </c>
      <c r="B2651" s="476">
        <v>411873</v>
      </c>
      <c r="C2651" s="476">
        <v>411920</v>
      </c>
      <c r="D2651" s="476">
        <v>411967</v>
      </c>
      <c r="E2651" s="476">
        <v>412014</v>
      </c>
      <c r="F2651" s="476">
        <v>412061</v>
      </c>
      <c r="G2651" s="476">
        <v>412108</v>
      </c>
      <c r="H2651" s="476">
        <v>412154</v>
      </c>
      <c r="I2651" s="476">
        <v>412201</v>
      </c>
      <c r="J2651" s="476">
        <v>412248</v>
      </c>
      <c r="K2651" s="476">
        <v>412295</v>
      </c>
    </row>
    <row r="2652" spans="1:11">
      <c r="A2652" s="479">
        <v>6930.8</v>
      </c>
      <c r="B2652" s="476">
        <v>412342</v>
      </c>
      <c r="C2652" s="476">
        <v>412389</v>
      </c>
      <c r="D2652" s="476">
        <v>412436</v>
      </c>
      <c r="E2652" s="476">
        <v>412483</v>
      </c>
      <c r="F2652" s="476">
        <v>412530</v>
      </c>
      <c r="G2652" s="476">
        <v>412576</v>
      </c>
      <c r="H2652" s="476">
        <v>412623</v>
      </c>
      <c r="I2652" s="476">
        <v>412670</v>
      </c>
      <c r="J2652" s="476">
        <v>412717</v>
      </c>
      <c r="K2652" s="476">
        <v>412764</v>
      </c>
    </row>
    <row r="2653" spans="1:11">
      <c r="A2653" s="479">
        <v>6930.9</v>
      </c>
      <c r="B2653" s="476">
        <v>412811</v>
      </c>
      <c r="C2653" s="476">
        <v>412858</v>
      </c>
      <c r="D2653" s="476">
        <v>412905</v>
      </c>
      <c r="E2653" s="476">
        <v>412951</v>
      </c>
      <c r="F2653" s="476">
        <v>412998</v>
      </c>
      <c r="G2653" s="476">
        <v>413045</v>
      </c>
      <c r="H2653" s="476">
        <v>413092</v>
      </c>
      <c r="I2653" s="476">
        <v>413139</v>
      </c>
      <c r="J2653" s="476">
        <v>413186</v>
      </c>
      <c r="K2653" s="476">
        <v>413233</v>
      </c>
    </row>
    <row r="2654" spans="1:11">
      <c r="A2654" s="479">
        <v>6931</v>
      </c>
      <c r="B2654" s="476">
        <v>413280</v>
      </c>
      <c r="C2654" s="476">
        <v>413327</v>
      </c>
      <c r="D2654" s="476">
        <v>413374</v>
      </c>
      <c r="E2654" s="476">
        <v>413421</v>
      </c>
      <c r="F2654" s="476">
        <v>413468</v>
      </c>
      <c r="G2654" s="476">
        <v>413516</v>
      </c>
      <c r="H2654" s="476">
        <v>413563</v>
      </c>
      <c r="I2654" s="476">
        <v>413610</v>
      </c>
      <c r="J2654" s="476">
        <v>413657</v>
      </c>
      <c r="K2654" s="476">
        <v>413704</v>
      </c>
    </row>
    <row r="2655" spans="1:11">
      <c r="A2655" s="479">
        <v>6931.1</v>
      </c>
      <c r="B2655" s="476">
        <v>413752</v>
      </c>
      <c r="C2655" s="476">
        <v>413799</v>
      </c>
      <c r="D2655" s="476">
        <v>413846</v>
      </c>
      <c r="E2655" s="476">
        <v>413893</v>
      </c>
      <c r="F2655" s="476">
        <v>413940</v>
      </c>
      <c r="G2655" s="476">
        <v>413988</v>
      </c>
      <c r="H2655" s="476">
        <v>414035</v>
      </c>
      <c r="I2655" s="476">
        <v>414082</v>
      </c>
      <c r="J2655" s="476">
        <v>414129</v>
      </c>
      <c r="K2655" s="476">
        <v>414176</v>
      </c>
    </row>
    <row r="2656" spans="1:11">
      <c r="A2656" s="479">
        <v>6931.2</v>
      </c>
      <c r="B2656" s="476">
        <v>414224</v>
      </c>
      <c r="C2656" s="476">
        <v>414271</v>
      </c>
      <c r="D2656" s="476">
        <v>414318</v>
      </c>
      <c r="E2656" s="476">
        <v>414365</v>
      </c>
      <c r="F2656" s="476">
        <v>414412</v>
      </c>
      <c r="G2656" s="476">
        <v>414460</v>
      </c>
      <c r="H2656" s="476">
        <v>414507</v>
      </c>
      <c r="I2656" s="476">
        <v>414554</v>
      </c>
      <c r="J2656" s="476">
        <v>414601</v>
      </c>
      <c r="K2656" s="476">
        <v>414648</v>
      </c>
    </row>
    <row r="2657" spans="1:11">
      <c r="A2657" s="479">
        <v>6931.3</v>
      </c>
      <c r="B2657" s="476">
        <v>414696</v>
      </c>
      <c r="C2657" s="476">
        <v>414743</v>
      </c>
      <c r="D2657" s="476">
        <v>414790</v>
      </c>
      <c r="E2657" s="476">
        <v>414837</v>
      </c>
      <c r="F2657" s="476">
        <v>414884</v>
      </c>
      <c r="G2657" s="476">
        <v>414932</v>
      </c>
      <c r="H2657" s="476">
        <v>414979</v>
      </c>
      <c r="I2657" s="476">
        <v>415026</v>
      </c>
      <c r="J2657" s="476">
        <v>415073</v>
      </c>
      <c r="K2657" s="476">
        <v>415120</v>
      </c>
    </row>
    <row r="2658" spans="1:11">
      <c r="A2658" s="479">
        <v>6931.4</v>
      </c>
      <c r="B2658" s="476">
        <v>415168</v>
      </c>
      <c r="C2658" s="476">
        <v>415215</v>
      </c>
      <c r="D2658" s="476">
        <v>415262</v>
      </c>
      <c r="E2658" s="476">
        <v>415309</v>
      </c>
      <c r="F2658" s="476">
        <v>415356</v>
      </c>
      <c r="G2658" s="476">
        <v>415404</v>
      </c>
      <c r="H2658" s="476">
        <v>415451</v>
      </c>
      <c r="I2658" s="476">
        <v>415498</v>
      </c>
      <c r="J2658" s="476">
        <v>415545</v>
      </c>
      <c r="K2658" s="476">
        <v>415593</v>
      </c>
    </row>
    <row r="2659" spans="1:11">
      <c r="A2659" s="479">
        <v>6931.5</v>
      </c>
      <c r="B2659" s="476">
        <v>415640</v>
      </c>
      <c r="C2659" s="476">
        <v>415687</v>
      </c>
      <c r="D2659" s="476">
        <v>415734</v>
      </c>
      <c r="E2659" s="476">
        <v>415781</v>
      </c>
      <c r="F2659" s="476">
        <v>415829</v>
      </c>
      <c r="G2659" s="476">
        <v>415876</v>
      </c>
      <c r="H2659" s="476">
        <v>415923</v>
      </c>
      <c r="I2659" s="476">
        <v>415970</v>
      </c>
      <c r="J2659" s="476">
        <v>416017</v>
      </c>
      <c r="K2659" s="476">
        <v>416065</v>
      </c>
    </row>
    <row r="2660" spans="1:11">
      <c r="A2660" s="479">
        <v>6931.6</v>
      </c>
      <c r="B2660" s="476">
        <v>416112</v>
      </c>
      <c r="C2660" s="476">
        <v>416159</v>
      </c>
      <c r="D2660" s="476">
        <v>416206</v>
      </c>
      <c r="E2660" s="476">
        <v>416253</v>
      </c>
      <c r="F2660" s="476">
        <v>416301</v>
      </c>
      <c r="G2660" s="476">
        <v>416348</v>
      </c>
      <c r="H2660" s="476">
        <v>416395</v>
      </c>
      <c r="I2660" s="476">
        <v>416442</v>
      </c>
      <c r="J2660" s="476">
        <v>416489</v>
      </c>
      <c r="K2660" s="476">
        <v>416537</v>
      </c>
    </row>
    <row r="2661" spans="1:11">
      <c r="A2661" s="479">
        <v>6931.7</v>
      </c>
      <c r="B2661" s="476">
        <v>416584</v>
      </c>
      <c r="C2661" s="476">
        <v>416631</v>
      </c>
      <c r="D2661" s="476">
        <v>416678</v>
      </c>
      <c r="E2661" s="476">
        <v>416725</v>
      </c>
      <c r="F2661" s="476">
        <v>416773</v>
      </c>
      <c r="G2661" s="476">
        <v>416820</v>
      </c>
      <c r="H2661" s="476">
        <v>416867</v>
      </c>
      <c r="I2661" s="476">
        <v>416914</v>
      </c>
      <c r="J2661" s="476">
        <v>416961</v>
      </c>
      <c r="K2661" s="476">
        <v>417009</v>
      </c>
    </row>
    <row r="2662" spans="1:11">
      <c r="A2662" s="479">
        <v>6931.8</v>
      </c>
      <c r="B2662" s="476">
        <v>417056</v>
      </c>
      <c r="C2662" s="476">
        <v>417103</v>
      </c>
      <c r="D2662" s="476">
        <v>417150</v>
      </c>
      <c r="E2662" s="476">
        <v>417197</v>
      </c>
      <c r="F2662" s="476">
        <v>417245</v>
      </c>
      <c r="G2662" s="476">
        <v>417292</v>
      </c>
      <c r="H2662" s="476">
        <v>417339</v>
      </c>
      <c r="I2662" s="476">
        <v>417386</v>
      </c>
      <c r="J2662" s="476">
        <v>417433</v>
      </c>
      <c r="K2662" s="476">
        <v>417481</v>
      </c>
    </row>
    <row r="2663" spans="1:11">
      <c r="A2663" s="479">
        <v>6931.9</v>
      </c>
      <c r="B2663" s="476">
        <v>417528</v>
      </c>
      <c r="C2663" s="476">
        <v>417575</v>
      </c>
      <c r="D2663" s="476">
        <v>417622</v>
      </c>
      <c r="E2663" s="476">
        <v>417669</v>
      </c>
      <c r="F2663" s="476">
        <v>417717</v>
      </c>
      <c r="G2663" s="476">
        <v>417764</v>
      </c>
      <c r="H2663" s="476">
        <v>417811</v>
      </c>
      <c r="I2663" s="476">
        <v>417858</v>
      </c>
      <c r="J2663" s="476">
        <v>417905</v>
      </c>
      <c r="K2663" s="476">
        <v>417953</v>
      </c>
    </row>
    <row r="2664" spans="1:11">
      <c r="A2664" s="479">
        <v>6932</v>
      </c>
      <c r="B2664" s="476">
        <v>418000</v>
      </c>
      <c r="C2664" s="476">
        <v>418047</v>
      </c>
      <c r="D2664" s="476">
        <v>418095</v>
      </c>
      <c r="E2664" s="476">
        <v>418142</v>
      </c>
      <c r="F2664" s="476">
        <v>418190</v>
      </c>
      <c r="G2664" s="476">
        <v>418237</v>
      </c>
      <c r="H2664" s="476">
        <v>418285</v>
      </c>
      <c r="I2664" s="476">
        <v>418332</v>
      </c>
      <c r="J2664" s="476">
        <v>418380</v>
      </c>
      <c r="K2664" s="476">
        <v>418427</v>
      </c>
    </row>
    <row r="2665" spans="1:11">
      <c r="A2665" s="479">
        <v>6932.1</v>
      </c>
      <c r="B2665" s="476">
        <v>418475</v>
      </c>
      <c r="C2665" s="476">
        <v>418522</v>
      </c>
      <c r="D2665" s="476">
        <v>418570</v>
      </c>
      <c r="E2665" s="476">
        <v>418618</v>
      </c>
      <c r="F2665" s="476">
        <v>418665</v>
      </c>
      <c r="G2665" s="476">
        <v>418713</v>
      </c>
      <c r="H2665" s="476">
        <v>418760</v>
      </c>
      <c r="I2665" s="476">
        <v>418808</v>
      </c>
      <c r="J2665" s="476">
        <v>418855</v>
      </c>
      <c r="K2665" s="476">
        <v>418903</v>
      </c>
    </row>
    <row r="2666" spans="1:11">
      <c r="A2666" s="479">
        <v>6932.2</v>
      </c>
      <c r="B2666" s="476">
        <v>418950</v>
      </c>
      <c r="C2666" s="476">
        <v>418998</v>
      </c>
      <c r="D2666" s="476">
        <v>419045</v>
      </c>
      <c r="E2666" s="476">
        <v>419093</v>
      </c>
      <c r="F2666" s="476">
        <v>419140</v>
      </c>
      <c r="G2666" s="476">
        <v>419188</v>
      </c>
      <c r="H2666" s="476">
        <v>419235</v>
      </c>
      <c r="I2666" s="476">
        <v>419283</v>
      </c>
      <c r="J2666" s="476">
        <v>419330</v>
      </c>
      <c r="K2666" s="476">
        <v>419378</v>
      </c>
    </row>
    <row r="2667" spans="1:11">
      <c r="A2667" s="479">
        <v>6932.3</v>
      </c>
      <c r="B2667" s="476">
        <v>419425</v>
      </c>
      <c r="C2667" s="476">
        <v>419473</v>
      </c>
      <c r="D2667" s="476">
        <v>419520</v>
      </c>
      <c r="E2667" s="476">
        <v>419568</v>
      </c>
      <c r="F2667" s="476">
        <v>419615</v>
      </c>
      <c r="G2667" s="476">
        <v>419663</v>
      </c>
      <c r="H2667" s="476">
        <v>419710</v>
      </c>
      <c r="I2667" s="476">
        <v>419758</v>
      </c>
      <c r="J2667" s="476">
        <v>419805</v>
      </c>
      <c r="K2667" s="476">
        <v>419853</v>
      </c>
    </row>
    <row r="2668" spans="1:11">
      <c r="A2668" s="479">
        <v>6932.4</v>
      </c>
      <c r="B2668" s="476">
        <v>419901</v>
      </c>
      <c r="C2668" s="476">
        <v>419948</v>
      </c>
      <c r="D2668" s="476">
        <v>419996</v>
      </c>
      <c r="E2668" s="476">
        <v>420043</v>
      </c>
      <c r="F2668" s="476">
        <v>420091</v>
      </c>
      <c r="G2668" s="476">
        <v>420138</v>
      </c>
      <c r="H2668" s="476">
        <v>420186</v>
      </c>
      <c r="I2668" s="476">
        <v>420233</v>
      </c>
      <c r="J2668" s="476">
        <v>420281</v>
      </c>
      <c r="K2668" s="476">
        <v>420328</v>
      </c>
    </row>
    <row r="2669" spans="1:11">
      <c r="A2669" s="479">
        <v>6932.5</v>
      </c>
      <c r="B2669" s="476">
        <v>420376</v>
      </c>
      <c r="C2669" s="476">
        <v>420423</v>
      </c>
      <c r="D2669" s="476">
        <v>420471</v>
      </c>
      <c r="E2669" s="476">
        <v>420518</v>
      </c>
      <c r="F2669" s="476">
        <v>420566</v>
      </c>
      <c r="G2669" s="476">
        <v>420613</v>
      </c>
      <c r="H2669" s="476">
        <v>420661</v>
      </c>
      <c r="I2669" s="476">
        <v>420708</v>
      </c>
      <c r="J2669" s="476">
        <v>420756</v>
      </c>
      <c r="K2669" s="476">
        <v>420803</v>
      </c>
    </row>
    <row r="2670" spans="1:11">
      <c r="A2670" s="479">
        <v>6932.6</v>
      </c>
      <c r="B2670" s="476">
        <v>420851</v>
      </c>
      <c r="C2670" s="476">
        <v>420898</v>
      </c>
      <c r="D2670" s="476">
        <v>420946</v>
      </c>
      <c r="E2670" s="476">
        <v>420993</v>
      </c>
      <c r="F2670" s="476">
        <v>421041</v>
      </c>
      <c r="G2670" s="476">
        <v>421088</v>
      </c>
      <c r="H2670" s="476">
        <v>421136</v>
      </c>
      <c r="I2670" s="476">
        <v>421183</v>
      </c>
      <c r="J2670" s="476">
        <v>421231</v>
      </c>
      <c r="K2670" s="476">
        <v>421279</v>
      </c>
    </row>
    <row r="2671" spans="1:11">
      <c r="A2671" s="479">
        <v>6932.7</v>
      </c>
      <c r="B2671" s="476">
        <v>421326</v>
      </c>
      <c r="C2671" s="476">
        <v>421374</v>
      </c>
      <c r="D2671" s="476">
        <v>421421</v>
      </c>
      <c r="E2671" s="476">
        <v>421469</v>
      </c>
      <c r="F2671" s="476">
        <v>421516</v>
      </c>
      <c r="G2671" s="476">
        <v>421564</v>
      </c>
      <c r="H2671" s="476">
        <v>421611</v>
      </c>
      <c r="I2671" s="476">
        <v>421659</v>
      </c>
      <c r="J2671" s="476">
        <v>421706</v>
      </c>
      <c r="K2671" s="476">
        <v>421754</v>
      </c>
    </row>
    <row r="2672" spans="1:11">
      <c r="A2672" s="479">
        <v>6932.8</v>
      </c>
      <c r="B2672" s="476">
        <v>421801</v>
      </c>
      <c r="C2672" s="476">
        <v>421849</v>
      </c>
      <c r="D2672" s="476">
        <v>421896</v>
      </c>
      <c r="E2672" s="476">
        <v>421944</v>
      </c>
      <c r="F2672" s="476">
        <v>421991</v>
      </c>
      <c r="G2672" s="476">
        <v>422039</v>
      </c>
      <c r="H2672" s="476">
        <v>422086</v>
      </c>
      <c r="I2672" s="476">
        <v>422134</v>
      </c>
      <c r="J2672" s="476">
        <v>422181</v>
      </c>
      <c r="K2672" s="476">
        <v>422229</v>
      </c>
    </row>
    <row r="2673" spans="1:11">
      <c r="A2673" s="479">
        <v>6932.9</v>
      </c>
      <c r="B2673" s="476">
        <v>422276</v>
      </c>
      <c r="C2673" s="476">
        <v>422324</v>
      </c>
      <c r="D2673" s="476">
        <v>422371</v>
      </c>
      <c r="E2673" s="476">
        <v>422419</v>
      </c>
      <c r="F2673" s="476">
        <v>422466</v>
      </c>
      <c r="G2673" s="476">
        <v>422514</v>
      </c>
      <c r="H2673" s="476">
        <v>422562</v>
      </c>
      <c r="I2673" s="476">
        <v>422609</v>
      </c>
      <c r="J2673" s="476">
        <v>422657</v>
      </c>
      <c r="K2673" s="476">
        <v>422704</v>
      </c>
    </row>
    <row r="2674" spans="1:11">
      <c r="A2674" s="479">
        <v>6933</v>
      </c>
      <c r="B2674" s="476">
        <v>422752</v>
      </c>
      <c r="C2674" s="476">
        <v>422799</v>
      </c>
      <c r="D2674" s="476">
        <v>422847</v>
      </c>
      <c r="E2674" s="476">
        <v>422895</v>
      </c>
      <c r="F2674" s="476">
        <v>422943</v>
      </c>
      <c r="G2674" s="476">
        <v>422991</v>
      </c>
      <c r="H2674" s="476">
        <v>423039</v>
      </c>
      <c r="I2674" s="476">
        <v>423086</v>
      </c>
      <c r="J2674" s="476">
        <v>423134</v>
      </c>
      <c r="K2674" s="476">
        <v>423182</v>
      </c>
    </row>
    <row r="2675" spans="1:11">
      <c r="A2675" s="479">
        <v>6933.1</v>
      </c>
      <c r="B2675" s="476">
        <v>423230</v>
      </c>
      <c r="C2675" s="476">
        <v>423278</v>
      </c>
      <c r="D2675" s="476">
        <v>423326</v>
      </c>
      <c r="E2675" s="476">
        <v>423373</v>
      </c>
      <c r="F2675" s="476">
        <v>423421</v>
      </c>
      <c r="G2675" s="476">
        <v>423469</v>
      </c>
      <c r="H2675" s="476">
        <v>423517</v>
      </c>
      <c r="I2675" s="476">
        <v>423565</v>
      </c>
      <c r="J2675" s="476">
        <v>423613</v>
      </c>
      <c r="K2675" s="476">
        <v>423660</v>
      </c>
    </row>
    <row r="2676" spans="1:11">
      <c r="A2676" s="479">
        <v>6933.2</v>
      </c>
      <c r="B2676" s="476">
        <v>523708</v>
      </c>
      <c r="C2676" s="476">
        <v>423756</v>
      </c>
      <c r="D2676" s="476">
        <v>423804</v>
      </c>
      <c r="E2676" s="476">
        <v>423852</v>
      </c>
      <c r="F2676" s="476">
        <v>423899</v>
      </c>
      <c r="G2676" s="476">
        <v>423947</v>
      </c>
      <c r="H2676" s="476">
        <v>423995</v>
      </c>
      <c r="I2676" s="476">
        <v>424043</v>
      </c>
      <c r="J2676" s="476">
        <v>424091</v>
      </c>
      <c r="K2676" s="476">
        <v>424139</v>
      </c>
    </row>
    <row r="2677" spans="1:11">
      <c r="A2677" s="479">
        <v>6933.3</v>
      </c>
      <c r="B2677" s="476">
        <v>424186</v>
      </c>
      <c r="C2677" s="476">
        <v>424234</v>
      </c>
      <c r="D2677" s="476">
        <v>424282</v>
      </c>
      <c r="E2677" s="476">
        <v>424330</v>
      </c>
      <c r="F2677" s="476">
        <v>424378</v>
      </c>
      <c r="G2677" s="476">
        <v>424426</v>
      </c>
      <c r="H2677" s="476">
        <v>424473</v>
      </c>
      <c r="I2677" s="476">
        <v>424521</v>
      </c>
      <c r="J2677" s="476">
        <v>424569</v>
      </c>
      <c r="K2677" s="476">
        <v>424617</v>
      </c>
    </row>
    <row r="2678" spans="1:11">
      <c r="A2678" s="479">
        <v>6933.4</v>
      </c>
      <c r="B2678" s="476">
        <v>424665</v>
      </c>
      <c r="C2678" s="476">
        <v>424713</v>
      </c>
      <c r="D2678" s="476">
        <v>424760</v>
      </c>
      <c r="E2678" s="476">
        <v>424808</v>
      </c>
      <c r="F2678" s="476">
        <v>424856</v>
      </c>
      <c r="G2678" s="476">
        <v>424904</v>
      </c>
      <c r="H2678" s="476">
        <v>424952</v>
      </c>
      <c r="I2678" s="476">
        <v>425000</v>
      </c>
      <c r="J2678" s="476">
        <v>425047</v>
      </c>
      <c r="K2678" s="476">
        <v>425095</v>
      </c>
    </row>
    <row r="2679" spans="1:11">
      <c r="A2679" s="479">
        <v>6933.5</v>
      </c>
      <c r="B2679" s="476">
        <v>425143</v>
      </c>
      <c r="C2679" s="476">
        <v>425191</v>
      </c>
      <c r="D2679" s="476">
        <v>425239</v>
      </c>
      <c r="E2679" s="476">
        <v>425287</v>
      </c>
      <c r="F2679" s="476">
        <v>425334</v>
      </c>
      <c r="G2679" s="476">
        <v>425382</v>
      </c>
      <c r="H2679" s="476">
        <v>425430</v>
      </c>
      <c r="I2679" s="476">
        <v>425478</v>
      </c>
      <c r="J2679" s="476">
        <v>425526</v>
      </c>
      <c r="K2679" s="476">
        <v>425574</v>
      </c>
    </row>
    <row r="2680" spans="1:11">
      <c r="A2680" s="479">
        <v>6933.6</v>
      </c>
      <c r="B2680" s="476">
        <v>425621</v>
      </c>
      <c r="C2680" s="476">
        <v>425669</v>
      </c>
      <c r="D2680" s="476">
        <v>425717</v>
      </c>
      <c r="E2680" s="476">
        <v>425765</v>
      </c>
      <c r="F2680" s="476">
        <v>425813</v>
      </c>
      <c r="G2680" s="476">
        <v>425861</v>
      </c>
      <c r="H2680" s="476">
        <v>425908</v>
      </c>
      <c r="I2680" s="476">
        <v>425956</v>
      </c>
      <c r="J2680" s="476">
        <v>426004</v>
      </c>
      <c r="K2680" s="476">
        <v>426052</v>
      </c>
    </row>
    <row r="2681" spans="1:11">
      <c r="A2681" s="479">
        <v>6933.7</v>
      </c>
      <c r="B2681" s="476">
        <v>426100</v>
      </c>
      <c r="C2681" s="476">
        <v>426147</v>
      </c>
      <c r="D2681" s="476">
        <v>426195</v>
      </c>
      <c r="E2681" s="476">
        <v>426243</v>
      </c>
      <c r="F2681" s="476">
        <v>426291</v>
      </c>
      <c r="G2681" s="476">
        <v>426339</v>
      </c>
      <c r="H2681" s="476">
        <v>426387</v>
      </c>
      <c r="I2681" s="476">
        <v>426434</v>
      </c>
      <c r="J2681" s="476">
        <v>426482</v>
      </c>
      <c r="K2681" s="476">
        <v>426530</v>
      </c>
    </row>
    <row r="2682" spans="1:11">
      <c r="A2682" s="479">
        <v>6933.8</v>
      </c>
      <c r="B2682" s="476">
        <v>426578</v>
      </c>
      <c r="C2682" s="476">
        <v>426626</v>
      </c>
      <c r="D2682" s="476">
        <v>426674</v>
      </c>
      <c r="E2682" s="476">
        <v>426721</v>
      </c>
      <c r="F2682" s="476">
        <v>426769</v>
      </c>
      <c r="G2682" s="476">
        <v>426817</v>
      </c>
      <c r="H2682" s="476">
        <v>426865</v>
      </c>
      <c r="I2682" s="476">
        <v>426913</v>
      </c>
      <c r="J2682" s="476">
        <v>426961</v>
      </c>
      <c r="K2682" s="476">
        <v>427008</v>
      </c>
    </row>
    <row r="2683" spans="1:11">
      <c r="A2683" s="479">
        <v>6933.9</v>
      </c>
      <c r="B2683" s="476">
        <v>427056</v>
      </c>
      <c r="C2683" s="476">
        <v>427104</v>
      </c>
      <c r="D2683" s="476">
        <v>427152</v>
      </c>
      <c r="E2683" s="476">
        <v>427200</v>
      </c>
      <c r="F2683" s="476">
        <v>427248</v>
      </c>
      <c r="G2683" s="476">
        <v>427295</v>
      </c>
      <c r="H2683" s="476">
        <v>427343</v>
      </c>
      <c r="I2683" s="476">
        <v>427391</v>
      </c>
      <c r="J2683" s="476">
        <v>427439</v>
      </c>
      <c r="K2683" s="476">
        <v>427487</v>
      </c>
    </row>
    <row r="2684" spans="1:11">
      <c r="A2684" s="479">
        <v>6934</v>
      </c>
      <c r="B2684" s="476">
        <v>427535</v>
      </c>
      <c r="C2684" s="476">
        <v>427583</v>
      </c>
      <c r="D2684" s="476">
        <v>427631</v>
      </c>
      <c r="E2684" s="476">
        <v>427679</v>
      </c>
      <c r="F2684" s="476">
        <v>427727</v>
      </c>
      <c r="G2684" s="476">
        <v>427775</v>
      </c>
      <c r="H2684" s="476">
        <v>427823</v>
      </c>
      <c r="I2684" s="476">
        <v>427872</v>
      </c>
      <c r="J2684" s="476">
        <v>427920</v>
      </c>
      <c r="K2684" s="476">
        <v>427968</v>
      </c>
    </row>
    <row r="2685" spans="1:11">
      <c r="A2685" s="479">
        <v>6934.1</v>
      </c>
      <c r="B2685" s="476">
        <v>428016</v>
      </c>
      <c r="C2685" s="476">
        <v>428064</v>
      </c>
      <c r="D2685" s="476">
        <v>428112</v>
      </c>
      <c r="E2685" s="476">
        <v>428160</v>
      </c>
      <c r="F2685" s="476">
        <v>428208</v>
      </c>
      <c r="G2685" s="476">
        <v>428257</v>
      </c>
      <c r="H2685" s="476">
        <v>428305</v>
      </c>
      <c r="I2685" s="476">
        <v>428353</v>
      </c>
      <c r="J2685" s="476">
        <v>428401</v>
      </c>
      <c r="K2685" s="476">
        <v>428449</v>
      </c>
    </row>
    <row r="2686" spans="1:11">
      <c r="A2686" s="479">
        <v>6934.2</v>
      </c>
      <c r="B2686" s="476">
        <v>428497</v>
      </c>
      <c r="C2686" s="476">
        <v>428545</v>
      </c>
      <c r="D2686" s="476">
        <v>428594</v>
      </c>
      <c r="E2686" s="476">
        <v>428642</v>
      </c>
      <c r="F2686" s="476">
        <v>428690</v>
      </c>
      <c r="G2686" s="476">
        <v>428738</v>
      </c>
      <c r="H2686" s="476">
        <v>428786</v>
      </c>
      <c r="I2686" s="476">
        <v>428834</v>
      </c>
      <c r="J2686" s="476">
        <v>428882</v>
      </c>
      <c r="K2686" s="476">
        <v>428931</v>
      </c>
    </row>
    <row r="2687" spans="1:11">
      <c r="A2687" s="479">
        <v>6934.3</v>
      </c>
      <c r="B2687" s="476">
        <v>428979</v>
      </c>
      <c r="C2687" s="476">
        <v>429027</v>
      </c>
      <c r="D2687" s="476">
        <v>429075</v>
      </c>
      <c r="E2687" s="476">
        <v>429123</v>
      </c>
      <c r="F2687" s="476">
        <v>429171</v>
      </c>
      <c r="G2687" s="476">
        <v>429219</v>
      </c>
      <c r="H2687" s="476">
        <v>429268</v>
      </c>
      <c r="I2687" s="476">
        <v>429316</v>
      </c>
      <c r="J2687" s="476">
        <v>429364</v>
      </c>
      <c r="K2687" s="476">
        <v>429412</v>
      </c>
    </row>
    <row r="2688" spans="1:11">
      <c r="A2688" s="479">
        <v>6934.4</v>
      </c>
      <c r="B2688" s="476">
        <v>429460</v>
      </c>
      <c r="C2688" s="476">
        <v>429508</v>
      </c>
      <c r="D2688" s="476">
        <v>429556</v>
      </c>
      <c r="E2688" s="476">
        <v>429604</v>
      </c>
      <c r="F2688" s="476">
        <v>429653</v>
      </c>
      <c r="G2688" s="476">
        <v>429701</v>
      </c>
      <c r="H2688" s="476">
        <v>429749</v>
      </c>
      <c r="I2688" s="476">
        <v>429797</v>
      </c>
      <c r="J2688" s="476">
        <v>429845</v>
      </c>
      <c r="K2688" s="476">
        <v>429893</v>
      </c>
    </row>
    <row r="2689" spans="1:11">
      <c r="A2689" s="479">
        <v>6934.5</v>
      </c>
      <c r="B2689" s="476">
        <v>429941</v>
      </c>
      <c r="C2689" s="476">
        <v>429990</v>
      </c>
      <c r="D2689" s="476">
        <v>430038</v>
      </c>
      <c r="E2689" s="476">
        <v>430086</v>
      </c>
      <c r="F2689" s="476">
        <v>430134</v>
      </c>
      <c r="G2689" s="476">
        <v>430182</v>
      </c>
      <c r="H2689" s="476">
        <v>430230</v>
      </c>
      <c r="I2689" s="476">
        <v>430278</v>
      </c>
      <c r="J2689" s="476">
        <v>430327</v>
      </c>
      <c r="K2689" s="476">
        <v>430375</v>
      </c>
    </row>
    <row r="2690" spans="1:11">
      <c r="A2690" s="479">
        <v>6934.6</v>
      </c>
      <c r="B2690" s="476">
        <v>430423</v>
      </c>
      <c r="C2690" s="476">
        <v>430471</v>
      </c>
      <c r="D2690" s="476">
        <v>430519</v>
      </c>
      <c r="E2690" s="476">
        <v>430567</v>
      </c>
      <c r="F2690" s="476">
        <v>430615</v>
      </c>
      <c r="G2690" s="476">
        <v>430663</v>
      </c>
      <c r="H2690" s="476">
        <v>430712</v>
      </c>
      <c r="I2690" s="476">
        <v>430760</v>
      </c>
      <c r="J2690" s="476">
        <v>430808</v>
      </c>
      <c r="K2690" s="476">
        <v>430856</v>
      </c>
    </row>
    <row r="2691" spans="1:11">
      <c r="A2691" s="479">
        <v>6934.7</v>
      </c>
      <c r="B2691" s="476">
        <v>430904</v>
      </c>
      <c r="C2691" s="476">
        <v>430952</v>
      </c>
      <c r="D2691" s="476">
        <v>431000</v>
      </c>
      <c r="E2691" s="476">
        <v>431049</v>
      </c>
      <c r="F2691" s="476">
        <v>431097</v>
      </c>
      <c r="G2691" s="476">
        <v>431145</v>
      </c>
      <c r="H2691" s="476">
        <v>431193</v>
      </c>
      <c r="I2691" s="476">
        <v>431241</v>
      </c>
      <c r="J2691" s="476">
        <v>431289</v>
      </c>
      <c r="K2691" s="476">
        <v>431337</v>
      </c>
    </row>
    <row r="2692" spans="1:11">
      <c r="A2692" s="479">
        <v>6934.8</v>
      </c>
      <c r="B2692" s="476">
        <v>431386</v>
      </c>
      <c r="C2692" s="476">
        <v>431434</v>
      </c>
      <c r="D2692" s="476">
        <v>431482</v>
      </c>
      <c r="E2692" s="476">
        <v>431530</v>
      </c>
      <c r="F2692" s="476">
        <v>431578</v>
      </c>
      <c r="G2692" s="476">
        <v>431626</v>
      </c>
      <c r="H2692" s="476">
        <v>431674</v>
      </c>
      <c r="I2692" s="476">
        <v>431723</v>
      </c>
      <c r="J2692" s="476">
        <v>431771</v>
      </c>
      <c r="K2692" s="476">
        <v>431819</v>
      </c>
    </row>
    <row r="2693" spans="1:11">
      <c r="A2693" s="479">
        <v>6934.9</v>
      </c>
      <c r="B2693" s="476">
        <v>431867</v>
      </c>
      <c r="C2693" s="476">
        <v>431915</v>
      </c>
      <c r="D2693" s="476">
        <v>431963</v>
      </c>
      <c r="E2693" s="476">
        <v>432011</v>
      </c>
      <c r="F2693" s="476">
        <v>432059</v>
      </c>
      <c r="G2693" s="476">
        <v>432108</v>
      </c>
      <c r="H2693" s="476">
        <v>432156</v>
      </c>
      <c r="I2693" s="476">
        <v>432204</v>
      </c>
      <c r="J2693" s="476">
        <v>432252</v>
      </c>
      <c r="K2693" s="476">
        <v>432300</v>
      </c>
    </row>
    <row r="2694" spans="1:11">
      <c r="A2694" s="479">
        <v>6935</v>
      </c>
      <c r="B2694" s="476">
        <v>432348</v>
      </c>
      <c r="C2694" s="476">
        <v>432397</v>
      </c>
      <c r="D2694" s="476">
        <v>432445</v>
      </c>
      <c r="E2694" s="476">
        <v>432494</v>
      </c>
      <c r="F2694" s="476">
        <v>432542</v>
      </c>
      <c r="G2694" s="476">
        <v>432591</v>
      </c>
      <c r="H2694" s="476">
        <v>432639</v>
      </c>
      <c r="I2694" s="476">
        <v>432687</v>
      </c>
      <c r="J2694" s="476">
        <v>432736</v>
      </c>
      <c r="K2694" s="476">
        <v>432784</v>
      </c>
    </row>
    <row r="2695" spans="1:11">
      <c r="A2695" s="479">
        <v>6935.1</v>
      </c>
      <c r="B2695" s="476">
        <v>432833</v>
      </c>
      <c r="C2695" s="476">
        <v>432881</v>
      </c>
      <c r="D2695" s="476">
        <v>432930</v>
      </c>
      <c r="E2695" s="476">
        <v>432978</v>
      </c>
      <c r="F2695" s="476">
        <v>433026</v>
      </c>
      <c r="G2695" s="476">
        <v>433075</v>
      </c>
      <c r="H2695" s="476">
        <v>433123</v>
      </c>
      <c r="I2695" s="476">
        <v>433172</v>
      </c>
      <c r="J2695" s="476">
        <v>433220</v>
      </c>
      <c r="K2695" s="476">
        <v>433269</v>
      </c>
    </row>
    <row r="2696" spans="1:11">
      <c r="A2696" s="479">
        <v>6935.2</v>
      </c>
      <c r="B2696" s="476">
        <v>433317</v>
      </c>
      <c r="C2696" s="476">
        <v>433366</v>
      </c>
      <c r="D2696" s="476">
        <v>433414</v>
      </c>
      <c r="E2696" s="476">
        <v>433462</v>
      </c>
      <c r="F2696" s="476">
        <v>433511</v>
      </c>
      <c r="G2696" s="476">
        <v>433559</v>
      </c>
      <c r="H2696" s="476">
        <v>433608</v>
      </c>
      <c r="I2696" s="476">
        <v>433656</v>
      </c>
      <c r="J2696" s="476">
        <v>433705</v>
      </c>
      <c r="K2696" s="476">
        <v>433753</v>
      </c>
    </row>
    <row r="2697" spans="1:11">
      <c r="A2697" s="479">
        <v>6935.3</v>
      </c>
      <c r="B2697" s="476">
        <v>433802</v>
      </c>
      <c r="C2697" s="476">
        <v>433850</v>
      </c>
      <c r="D2697" s="476">
        <v>433898</v>
      </c>
      <c r="E2697" s="476">
        <v>433947</v>
      </c>
      <c r="F2697" s="476">
        <v>433995</v>
      </c>
      <c r="G2697" s="476">
        <v>434044</v>
      </c>
      <c r="H2697" s="476">
        <v>434092</v>
      </c>
      <c r="I2697" s="476">
        <v>434141</v>
      </c>
      <c r="J2697" s="476">
        <v>434189</v>
      </c>
      <c r="K2697" s="476">
        <v>434238</v>
      </c>
    </row>
    <row r="2698" spans="1:11">
      <c r="A2698" s="479">
        <v>6935.4</v>
      </c>
      <c r="B2698" s="476">
        <v>434286</v>
      </c>
      <c r="C2698" s="476">
        <v>434334</v>
      </c>
      <c r="D2698" s="476">
        <v>434383</v>
      </c>
      <c r="E2698" s="476">
        <v>434431</v>
      </c>
      <c r="F2698" s="476">
        <v>434480</v>
      </c>
      <c r="G2698" s="476">
        <v>434528</v>
      </c>
      <c r="H2698" s="476">
        <v>434577</v>
      </c>
      <c r="I2698" s="476">
        <v>434625</v>
      </c>
      <c r="J2698" s="476">
        <v>434673</v>
      </c>
      <c r="K2698" s="476">
        <v>434722</v>
      </c>
    </row>
    <row r="2699" spans="1:11">
      <c r="A2699" s="479">
        <v>6935.5</v>
      </c>
      <c r="B2699" s="476">
        <v>434770</v>
      </c>
      <c r="C2699" s="476">
        <v>434819</v>
      </c>
      <c r="D2699" s="476">
        <v>434867</v>
      </c>
      <c r="E2699" s="476">
        <v>434916</v>
      </c>
      <c r="F2699" s="476">
        <v>434964</v>
      </c>
      <c r="G2699" s="476">
        <v>435013</v>
      </c>
      <c r="H2699" s="476">
        <v>435061</v>
      </c>
      <c r="I2699" s="476">
        <v>435109</v>
      </c>
      <c r="J2699" s="476">
        <v>435158</v>
      </c>
      <c r="K2699" s="476">
        <v>435206</v>
      </c>
    </row>
    <row r="2700" spans="1:11">
      <c r="A2700" s="479">
        <v>6935.6</v>
      </c>
      <c r="B2700" s="476">
        <v>435255</v>
      </c>
      <c r="C2700" s="476">
        <v>435303</v>
      </c>
      <c r="D2700" s="476">
        <v>435352</v>
      </c>
      <c r="E2700" s="476">
        <v>435400</v>
      </c>
      <c r="F2700" s="476">
        <v>435449</v>
      </c>
      <c r="G2700" s="476">
        <v>435497</v>
      </c>
      <c r="H2700" s="476">
        <v>435545</v>
      </c>
      <c r="I2700" s="476">
        <v>435594</v>
      </c>
      <c r="J2700" s="476">
        <v>435642</v>
      </c>
      <c r="K2700" s="476">
        <v>435691</v>
      </c>
    </row>
    <row r="2701" spans="1:11">
      <c r="A2701" s="479">
        <v>6935.7</v>
      </c>
      <c r="B2701" s="476">
        <v>435739</v>
      </c>
      <c r="C2701" s="476">
        <v>435788</v>
      </c>
      <c r="D2701" s="476">
        <v>435836</v>
      </c>
      <c r="E2701" s="476">
        <v>435885</v>
      </c>
      <c r="F2701" s="476">
        <v>435933</v>
      </c>
      <c r="G2701" s="476">
        <v>435981</v>
      </c>
      <c r="H2701" s="476">
        <v>436030</v>
      </c>
      <c r="I2701" s="476">
        <v>436078</v>
      </c>
      <c r="J2701" s="476">
        <v>436127</v>
      </c>
      <c r="K2701" s="476">
        <v>436175</v>
      </c>
    </row>
    <row r="2702" spans="1:11">
      <c r="A2702" s="479">
        <v>6935.8</v>
      </c>
      <c r="B2702" s="476">
        <v>436224</v>
      </c>
      <c r="C2702" s="476">
        <v>436272</v>
      </c>
      <c r="D2702" s="476">
        <v>436320</v>
      </c>
      <c r="E2702" s="476">
        <v>436369</v>
      </c>
      <c r="F2702" s="476">
        <v>436417</v>
      </c>
      <c r="G2702" s="476">
        <v>436466</v>
      </c>
      <c r="H2702" s="476">
        <v>436514</v>
      </c>
      <c r="I2702" s="476">
        <v>436563</v>
      </c>
      <c r="J2702" s="476">
        <v>436611</v>
      </c>
      <c r="K2702" s="476">
        <v>436660</v>
      </c>
    </row>
    <row r="2703" spans="1:11">
      <c r="A2703" s="479">
        <v>6935.9</v>
      </c>
      <c r="B2703" s="476">
        <v>436708</v>
      </c>
      <c r="C2703" s="476">
        <v>436756</v>
      </c>
      <c r="D2703" s="476">
        <v>436805</v>
      </c>
      <c r="E2703" s="476">
        <v>436853</v>
      </c>
      <c r="F2703" s="476">
        <v>436902</v>
      </c>
      <c r="G2703" s="476">
        <v>436950</v>
      </c>
      <c r="H2703" s="476">
        <v>436999</v>
      </c>
      <c r="I2703" s="476">
        <v>437047</v>
      </c>
      <c r="J2703" s="476">
        <v>437096</v>
      </c>
      <c r="K2703" s="476">
        <v>437144</v>
      </c>
    </row>
    <row r="2704" spans="1:11">
      <c r="A2704" s="479">
        <v>6936</v>
      </c>
      <c r="B2704" s="476">
        <v>437192</v>
      </c>
      <c r="C2704" s="476">
        <v>437241</v>
      </c>
      <c r="D2704" s="476">
        <v>437290</v>
      </c>
      <c r="E2704" s="476">
        <v>437339</v>
      </c>
      <c r="F2704" s="476">
        <v>437387</v>
      </c>
      <c r="G2704" s="476">
        <v>437436</v>
      </c>
      <c r="H2704" s="476">
        <v>437485</v>
      </c>
      <c r="I2704" s="476">
        <v>437534</v>
      </c>
      <c r="J2704" s="476">
        <v>437582</v>
      </c>
      <c r="K2704" s="476">
        <v>437631</v>
      </c>
    </row>
    <row r="2705" spans="1:11">
      <c r="A2705" s="479">
        <v>6936.1</v>
      </c>
      <c r="B2705" s="476">
        <v>437680</v>
      </c>
      <c r="C2705" s="476">
        <v>437729</v>
      </c>
      <c r="D2705" s="476">
        <v>437777</v>
      </c>
      <c r="E2705" s="476">
        <v>437826</v>
      </c>
      <c r="F2705" s="476">
        <v>437875</v>
      </c>
      <c r="G2705" s="476">
        <v>437924</v>
      </c>
      <c r="H2705" s="476">
        <v>437972</v>
      </c>
      <c r="I2705" s="476">
        <v>438021</v>
      </c>
      <c r="J2705" s="476">
        <v>438070</v>
      </c>
      <c r="K2705" s="476">
        <v>438119</v>
      </c>
    </row>
    <row r="2706" spans="1:11">
      <c r="A2706" s="479">
        <v>6936.2</v>
      </c>
      <c r="B2706" s="476">
        <v>438167</v>
      </c>
      <c r="C2706" s="476">
        <v>438216</v>
      </c>
      <c r="D2706" s="476">
        <v>438265</v>
      </c>
      <c r="E2706" s="476">
        <v>438313</v>
      </c>
      <c r="F2706" s="476">
        <v>438362</v>
      </c>
      <c r="G2706" s="476">
        <v>438411</v>
      </c>
      <c r="H2706" s="476">
        <v>438460</v>
      </c>
      <c r="I2706" s="476">
        <v>438508</v>
      </c>
      <c r="J2706" s="476">
        <v>438557</v>
      </c>
      <c r="K2706" s="476">
        <v>438606</v>
      </c>
    </row>
    <row r="2707" spans="1:11">
      <c r="A2707" s="479">
        <v>6936.3</v>
      </c>
      <c r="B2707" s="476">
        <v>438655</v>
      </c>
      <c r="C2707" s="476">
        <v>438703</v>
      </c>
      <c r="D2707" s="476">
        <v>438752</v>
      </c>
      <c r="E2707" s="476">
        <v>438801</v>
      </c>
      <c r="F2707" s="476">
        <v>438850</v>
      </c>
      <c r="G2707" s="476">
        <v>438898</v>
      </c>
      <c r="H2707" s="476">
        <v>438947</v>
      </c>
      <c r="I2707" s="476">
        <v>438996</v>
      </c>
      <c r="J2707" s="476">
        <v>439045</v>
      </c>
      <c r="K2707" s="476">
        <v>439093</v>
      </c>
    </row>
    <row r="2708" spans="1:11">
      <c r="A2708" s="479">
        <v>6936.4</v>
      </c>
      <c r="B2708" s="476">
        <v>439142</v>
      </c>
      <c r="C2708" s="476">
        <v>439191</v>
      </c>
      <c r="D2708" s="476">
        <v>439240</v>
      </c>
      <c r="E2708" s="476">
        <v>439288</v>
      </c>
      <c r="F2708" s="476">
        <v>439337</v>
      </c>
      <c r="G2708" s="476">
        <v>439386</v>
      </c>
      <c r="H2708" s="476">
        <v>439435</v>
      </c>
      <c r="I2708" s="476">
        <v>439483</v>
      </c>
      <c r="J2708" s="476">
        <v>439532</v>
      </c>
      <c r="K2708" s="476">
        <v>439581</v>
      </c>
    </row>
    <row r="2709" spans="1:11">
      <c r="A2709" s="479">
        <v>6936.5</v>
      </c>
      <c r="B2709" s="476">
        <v>439629</v>
      </c>
      <c r="C2709" s="476">
        <v>439678</v>
      </c>
      <c r="D2709" s="476">
        <v>439727</v>
      </c>
      <c r="E2709" s="476">
        <v>439776</v>
      </c>
      <c r="F2709" s="476">
        <v>439824</v>
      </c>
      <c r="G2709" s="476">
        <v>439873</v>
      </c>
      <c r="H2709" s="476">
        <v>439922</v>
      </c>
      <c r="I2709" s="476">
        <v>439971</v>
      </c>
      <c r="J2709" s="476">
        <v>440019</v>
      </c>
      <c r="K2709" s="476">
        <v>440068</v>
      </c>
    </row>
    <row r="2710" spans="1:11">
      <c r="A2710" s="479">
        <v>6936.6</v>
      </c>
      <c r="B2710" s="476">
        <v>440117</v>
      </c>
      <c r="C2710" s="476">
        <v>440166</v>
      </c>
      <c r="D2710" s="476">
        <v>440214</v>
      </c>
      <c r="E2710" s="476">
        <v>440263</v>
      </c>
      <c r="F2710" s="476">
        <v>440312</v>
      </c>
      <c r="G2710" s="476">
        <v>440361</v>
      </c>
      <c r="H2710" s="476">
        <v>440409</v>
      </c>
      <c r="I2710" s="476">
        <v>440458</v>
      </c>
      <c r="J2710" s="476">
        <v>440507</v>
      </c>
      <c r="K2710" s="476">
        <v>440556</v>
      </c>
    </row>
    <row r="2711" spans="1:11">
      <c r="A2711" s="479">
        <v>6936.7</v>
      </c>
      <c r="B2711" s="476">
        <v>440604</v>
      </c>
      <c r="C2711" s="476">
        <v>440653</v>
      </c>
      <c r="D2711" s="476">
        <v>440702</v>
      </c>
      <c r="E2711" s="476">
        <v>440751</v>
      </c>
      <c r="F2711" s="476">
        <v>440799</v>
      </c>
      <c r="G2711" s="476">
        <v>440848</v>
      </c>
      <c r="H2711" s="476">
        <v>440897</v>
      </c>
      <c r="I2711" s="476">
        <v>440945</v>
      </c>
      <c r="J2711" s="476">
        <v>440994</v>
      </c>
      <c r="K2711" s="476">
        <v>441043</v>
      </c>
    </row>
    <row r="2712" spans="1:11">
      <c r="A2712" s="479">
        <v>6936.8</v>
      </c>
      <c r="B2712" s="476">
        <v>441092</v>
      </c>
      <c r="C2712" s="476">
        <v>441140</v>
      </c>
      <c r="D2712" s="476">
        <v>441189</v>
      </c>
      <c r="E2712" s="476">
        <v>441238</v>
      </c>
      <c r="F2712" s="476">
        <v>441287</v>
      </c>
      <c r="G2712" s="476">
        <v>441335</v>
      </c>
      <c r="H2712" s="476">
        <v>441384</v>
      </c>
      <c r="I2712" s="476">
        <v>441433</v>
      </c>
      <c r="J2712" s="476">
        <v>441482</v>
      </c>
      <c r="K2712" s="476">
        <v>441530</v>
      </c>
    </row>
    <row r="2713" spans="1:11">
      <c r="A2713" s="479">
        <v>6936.9</v>
      </c>
      <c r="B2713" s="476">
        <v>441579</v>
      </c>
      <c r="C2713" s="476">
        <v>441628</v>
      </c>
      <c r="D2713" s="476">
        <v>441677</v>
      </c>
      <c r="E2713" s="476">
        <v>441725</v>
      </c>
      <c r="F2713" s="476">
        <v>441774</v>
      </c>
      <c r="G2713" s="476">
        <v>441823</v>
      </c>
      <c r="H2713" s="476">
        <v>441872</v>
      </c>
      <c r="I2713" s="476">
        <v>441920</v>
      </c>
      <c r="J2713" s="476">
        <v>441969</v>
      </c>
      <c r="K2713" s="476">
        <v>442018</v>
      </c>
    </row>
    <row r="2714" spans="1:11">
      <c r="A2714" s="479">
        <v>6937</v>
      </c>
      <c r="B2714" s="476">
        <v>442067</v>
      </c>
      <c r="C2714" s="476">
        <v>442116</v>
      </c>
      <c r="D2714" s="476">
        <v>442165</v>
      </c>
      <c r="E2714" s="476">
        <v>442214</v>
      </c>
      <c r="F2714" s="476">
        <v>442263</v>
      </c>
      <c r="G2714" s="476">
        <v>442312</v>
      </c>
      <c r="H2714" s="476">
        <v>442361</v>
      </c>
      <c r="I2714" s="476">
        <v>442410</v>
      </c>
      <c r="J2714" s="476">
        <v>442459</v>
      </c>
      <c r="K2714" s="476">
        <v>442508</v>
      </c>
    </row>
    <row r="2715" spans="1:11">
      <c r="A2715" s="479">
        <v>6937.1</v>
      </c>
      <c r="B2715" s="476">
        <v>442557</v>
      </c>
      <c r="C2715" s="476">
        <v>442606</v>
      </c>
      <c r="D2715" s="476">
        <v>442655</v>
      </c>
      <c r="E2715" s="476">
        <v>442704</v>
      </c>
      <c r="F2715" s="476">
        <v>442753</v>
      </c>
      <c r="G2715" s="476">
        <v>442802</v>
      </c>
      <c r="H2715" s="476">
        <v>442851</v>
      </c>
      <c r="I2715" s="476">
        <v>442900</v>
      </c>
      <c r="J2715" s="476">
        <v>442949</v>
      </c>
      <c r="K2715" s="476">
        <v>442998</v>
      </c>
    </row>
    <row r="2716" spans="1:11">
      <c r="A2716" s="479">
        <v>6937.2</v>
      </c>
      <c r="B2716" s="476">
        <v>443047</v>
      </c>
      <c r="C2716" s="476">
        <v>443096</v>
      </c>
      <c r="D2716" s="476">
        <v>443145</v>
      </c>
      <c r="E2716" s="476">
        <v>443194</v>
      </c>
      <c r="F2716" s="476">
        <v>443243</v>
      </c>
      <c r="G2716" s="476">
        <v>443292</v>
      </c>
      <c r="H2716" s="476">
        <v>443341</v>
      </c>
      <c r="I2716" s="476">
        <v>443391</v>
      </c>
      <c r="J2716" s="476">
        <v>443440</v>
      </c>
      <c r="K2716" s="476">
        <v>443489</v>
      </c>
    </row>
    <row r="2717" spans="1:11">
      <c r="A2717" s="479">
        <v>6937.3</v>
      </c>
      <c r="B2717" s="476">
        <v>443538</v>
      </c>
      <c r="C2717" s="476">
        <v>443587</v>
      </c>
      <c r="D2717" s="476">
        <v>443636</v>
      </c>
      <c r="E2717" s="476">
        <v>443685</v>
      </c>
      <c r="F2717" s="476">
        <v>443734</v>
      </c>
      <c r="G2717" s="476">
        <v>443783</v>
      </c>
      <c r="H2717" s="476">
        <v>443832</v>
      </c>
      <c r="I2717" s="476">
        <v>443881</v>
      </c>
      <c r="J2717" s="476">
        <v>443930</v>
      </c>
      <c r="K2717" s="476">
        <v>443979</v>
      </c>
    </row>
    <row r="2718" spans="1:11">
      <c r="A2718" s="479">
        <v>6937.4</v>
      </c>
      <c r="B2718" s="476">
        <v>444028</v>
      </c>
      <c r="C2718" s="476">
        <v>444077</v>
      </c>
      <c r="D2718" s="476">
        <v>444126</v>
      </c>
      <c r="E2718" s="476">
        <v>444175</v>
      </c>
      <c r="F2718" s="476">
        <v>444224</v>
      </c>
      <c r="G2718" s="476">
        <v>444273</v>
      </c>
      <c r="H2718" s="476">
        <v>444322</v>
      </c>
      <c r="I2718" s="476">
        <v>444371</v>
      </c>
      <c r="J2718" s="476">
        <v>444420</v>
      </c>
      <c r="K2718" s="476">
        <v>444469</v>
      </c>
    </row>
    <row r="2719" spans="1:11">
      <c r="A2719" s="479">
        <v>6937.5</v>
      </c>
      <c r="B2719" s="476">
        <v>444518</v>
      </c>
      <c r="C2719" s="476">
        <v>444567</v>
      </c>
      <c r="D2719" s="476">
        <v>444616</v>
      </c>
      <c r="E2719" s="476">
        <v>444665</v>
      </c>
      <c r="F2719" s="476">
        <v>444715</v>
      </c>
      <c r="G2719" s="476">
        <v>444764</v>
      </c>
      <c r="H2719" s="476">
        <v>444813</v>
      </c>
      <c r="I2719" s="476">
        <v>444862</v>
      </c>
      <c r="J2719" s="476">
        <v>444911</v>
      </c>
      <c r="K2719" s="476">
        <v>444960</v>
      </c>
    </row>
    <row r="2720" spans="1:11">
      <c r="A2720" s="479">
        <v>6937.6</v>
      </c>
      <c r="B2720" s="476">
        <v>445009</v>
      </c>
      <c r="C2720" s="476">
        <v>445058</v>
      </c>
      <c r="D2720" s="476">
        <v>445107</v>
      </c>
      <c r="E2720" s="476">
        <v>445156</v>
      </c>
      <c r="F2720" s="476">
        <v>445205</v>
      </c>
      <c r="G2720" s="476">
        <v>445254</v>
      </c>
      <c r="H2720" s="476">
        <v>445303</v>
      </c>
      <c r="I2720" s="476">
        <v>445352</v>
      </c>
      <c r="J2720" s="476">
        <v>445401</v>
      </c>
      <c r="K2720" s="476">
        <v>445450</v>
      </c>
    </row>
    <row r="2721" spans="1:11">
      <c r="A2721" s="479">
        <v>6937.7</v>
      </c>
      <c r="B2721" s="476">
        <v>445499</v>
      </c>
      <c r="C2721" s="476">
        <v>445548</v>
      </c>
      <c r="D2721" s="476">
        <v>445597</v>
      </c>
      <c r="E2721" s="476">
        <v>445646</v>
      </c>
      <c r="F2721" s="476">
        <v>445695</v>
      </c>
      <c r="G2721" s="476">
        <v>445744</v>
      </c>
      <c r="H2721" s="476">
        <v>445793</v>
      </c>
      <c r="I2721" s="476">
        <v>445842</v>
      </c>
      <c r="J2721" s="476">
        <v>445891</v>
      </c>
      <c r="K2721" s="476">
        <v>445940</v>
      </c>
    </row>
    <row r="2722" spans="1:11">
      <c r="A2722" s="479">
        <v>6937.8</v>
      </c>
      <c r="B2722" s="476">
        <v>445989</v>
      </c>
      <c r="C2722" s="476">
        <v>446039</v>
      </c>
      <c r="D2722" s="476">
        <v>446088</v>
      </c>
      <c r="E2722" s="476">
        <v>446137</v>
      </c>
      <c r="F2722" s="476">
        <v>446186</v>
      </c>
      <c r="G2722" s="476">
        <v>446235</v>
      </c>
      <c r="H2722" s="476">
        <v>446284</v>
      </c>
      <c r="I2722" s="476">
        <v>446333</v>
      </c>
      <c r="J2722" s="476">
        <v>446382</v>
      </c>
      <c r="K2722" s="476">
        <v>446431</v>
      </c>
    </row>
    <row r="2723" spans="1:11">
      <c r="A2723" s="479">
        <v>6937.9</v>
      </c>
      <c r="B2723" s="476">
        <v>446480</v>
      </c>
      <c r="C2723" s="476">
        <v>446529</v>
      </c>
      <c r="D2723" s="476">
        <v>446578</v>
      </c>
      <c r="E2723" s="476">
        <v>446627</v>
      </c>
      <c r="F2723" s="476">
        <v>446676</v>
      </c>
      <c r="G2723" s="476">
        <v>446725</v>
      </c>
      <c r="H2723" s="476">
        <v>446774</v>
      </c>
      <c r="I2723" s="476">
        <v>446823</v>
      </c>
      <c r="J2723" s="476">
        <v>446872</v>
      </c>
      <c r="K2723" s="476">
        <v>446921</v>
      </c>
    </row>
    <row r="2724" spans="1:11">
      <c r="A2724" s="479">
        <v>6938</v>
      </c>
      <c r="B2724" s="476">
        <v>446970</v>
      </c>
      <c r="C2724" s="476">
        <v>447020</v>
      </c>
      <c r="D2724" s="476">
        <v>447069</v>
      </c>
      <c r="E2724" s="476">
        <v>447118</v>
      </c>
      <c r="F2724" s="476">
        <v>447168</v>
      </c>
      <c r="G2724" s="476">
        <v>447217</v>
      </c>
      <c r="H2724" s="476">
        <v>447266</v>
      </c>
      <c r="I2724" s="476">
        <v>447316</v>
      </c>
      <c r="J2724" s="476">
        <v>447365</v>
      </c>
      <c r="K2724" s="476">
        <v>447414</v>
      </c>
    </row>
    <row r="2725" spans="1:11">
      <c r="A2725" s="479">
        <v>6938.1</v>
      </c>
      <c r="B2725" s="476">
        <v>447463</v>
      </c>
      <c r="C2725" s="476">
        <v>447513</v>
      </c>
      <c r="D2725" s="476">
        <v>447562</v>
      </c>
      <c r="E2725" s="476">
        <v>447611</v>
      </c>
      <c r="F2725" s="476">
        <v>447661</v>
      </c>
      <c r="G2725" s="476">
        <v>447710</v>
      </c>
      <c r="H2725" s="476">
        <v>447759</v>
      </c>
      <c r="I2725" s="476">
        <v>447809</v>
      </c>
      <c r="J2725" s="476">
        <v>447858</v>
      </c>
      <c r="K2725" s="476">
        <v>447907</v>
      </c>
    </row>
    <row r="2726" spans="1:11">
      <c r="A2726" s="479">
        <v>6938.2</v>
      </c>
      <c r="B2726" s="476">
        <v>447957</v>
      </c>
      <c r="C2726" s="476">
        <v>448006</v>
      </c>
      <c r="D2726" s="476">
        <v>448055</v>
      </c>
      <c r="E2726" s="476">
        <v>448105</v>
      </c>
      <c r="F2726" s="476">
        <v>448154</v>
      </c>
      <c r="G2726" s="476">
        <v>448203</v>
      </c>
      <c r="H2726" s="476">
        <v>448253</v>
      </c>
      <c r="I2726" s="476">
        <v>448302</v>
      </c>
      <c r="J2726" s="476">
        <v>448351</v>
      </c>
      <c r="K2726" s="476">
        <v>448401</v>
      </c>
    </row>
    <row r="2727" spans="1:11">
      <c r="A2727" s="479">
        <v>6938.3</v>
      </c>
      <c r="B2727" s="476">
        <v>448450</v>
      </c>
      <c r="C2727" s="476">
        <v>448499</v>
      </c>
      <c r="D2727" s="476">
        <v>448549</v>
      </c>
      <c r="E2727" s="476">
        <v>448598</v>
      </c>
      <c r="F2727" s="476">
        <v>448647</v>
      </c>
      <c r="G2727" s="476">
        <v>448697</v>
      </c>
      <c r="H2727" s="476">
        <v>448746</v>
      </c>
      <c r="I2727" s="476">
        <v>448795</v>
      </c>
      <c r="J2727" s="476">
        <v>448845</v>
      </c>
      <c r="K2727" s="476">
        <v>448894</v>
      </c>
    </row>
    <row r="2728" spans="1:11">
      <c r="A2728" s="479">
        <v>6938.4</v>
      </c>
      <c r="B2728" s="476">
        <v>448943</v>
      </c>
      <c r="C2728" s="476">
        <v>448993</v>
      </c>
      <c r="D2728" s="476">
        <v>449042</v>
      </c>
      <c r="E2728" s="476">
        <v>449091</v>
      </c>
      <c r="F2728" s="476">
        <v>449141</v>
      </c>
      <c r="G2728" s="476">
        <v>449190</v>
      </c>
      <c r="H2728" s="476">
        <v>449239</v>
      </c>
      <c r="I2728" s="476">
        <v>449289</v>
      </c>
      <c r="J2728" s="476">
        <v>449338</v>
      </c>
      <c r="K2728" s="476">
        <v>449387</v>
      </c>
    </row>
    <row r="2729" spans="1:11">
      <c r="A2729" s="479">
        <v>6938.5</v>
      </c>
      <c r="B2729" s="476">
        <v>449437</v>
      </c>
      <c r="C2729" s="476">
        <v>449486</v>
      </c>
      <c r="D2729" s="476">
        <v>449535</v>
      </c>
      <c r="E2729" s="476">
        <v>449585</v>
      </c>
      <c r="F2729" s="476">
        <v>449634</v>
      </c>
      <c r="G2729" s="476">
        <v>449683</v>
      </c>
      <c r="H2729" s="476">
        <v>449733</v>
      </c>
      <c r="I2729" s="476">
        <v>449782</v>
      </c>
      <c r="J2729" s="476">
        <v>449831</v>
      </c>
      <c r="K2729" s="476">
        <v>449881</v>
      </c>
    </row>
    <row r="2730" spans="1:11">
      <c r="A2730" s="479">
        <v>6938.6</v>
      </c>
      <c r="B2730" s="476">
        <v>449930</v>
      </c>
      <c r="C2730" s="476">
        <v>449979</v>
      </c>
      <c r="D2730" s="476">
        <v>450029</v>
      </c>
      <c r="E2730" s="476">
        <v>450078</v>
      </c>
      <c r="F2730" s="476">
        <v>450127</v>
      </c>
      <c r="G2730" s="476">
        <v>450177</v>
      </c>
      <c r="H2730" s="476">
        <v>450226</v>
      </c>
      <c r="I2730" s="476">
        <v>450275</v>
      </c>
      <c r="J2730" s="476">
        <v>450325</v>
      </c>
      <c r="K2730" s="476">
        <v>450374</v>
      </c>
    </row>
    <row r="2731" spans="1:11">
      <c r="A2731" s="479">
        <v>6938.7</v>
      </c>
      <c r="B2731" s="476">
        <v>450423</v>
      </c>
      <c r="C2731" s="476">
        <v>450473</v>
      </c>
      <c r="D2731" s="476">
        <v>450522</v>
      </c>
      <c r="E2731" s="476">
        <v>450571</v>
      </c>
      <c r="F2731" s="476">
        <v>450621</v>
      </c>
      <c r="G2731" s="476">
        <v>450670</v>
      </c>
      <c r="H2731" s="476">
        <v>450719</v>
      </c>
      <c r="I2731" s="476">
        <v>450769</v>
      </c>
      <c r="J2731" s="476">
        <v>450818</v>
      </c>
      <c r="K2731" s="476">
        <v>450867</v>
      </c>
    </row>
    <row r="2732" spans="1:11">
      <c r="A2732" s="479">
        <v>6938.8</v>
      </c>
      <c r="B2732" s="476">
        <v>450917</v>
      </c>
      <c r="C2732" s="476">
        <v>450966</v>
      </c>
      <c r="D2732" s="476">
        <v>451015</v>
      </c>
      <c r="E2732" s="476">
        <v>451064</v>
      </c>
      <c r="F2732" s="476">
        <v>451114</v>
      </c>
      <c r="G2732" s="476">
        <v>451163</v>
      </c>
      <c r="H2732" s="476">
        <v>451212</v>
      </c>
      <c r="I2732" s="476">
        <v>451262</v>
      </c>
      <c r="J2732" s="476">
        <v>451311</v>
      </c>
      <c r="K2732" s="476">
        <v>451360</v>
      </c>
    </row>
    <row r="2733" spans="1:11">
      <c r="A2733" s="479">
        <v>6938.9</v>
      </c>
      <c r="B2733" s="476">
        <v>451410</v>
      </c>
      <c r="C2733" s="476">
        <v>451459</v>
      </c>
      <c r="D2733" s="476">
        <v>451508</v>
      </c>
      <c r="E2733" s="476">
        <v>451558</v>
      </c>
      <c r="F2733" s="476">
        <v>451607</v>
      </c>
      <c r="G2733" s="476">
        <v>451656</v>
      </c>
      <c r="H2733" s="476">
        <v>451706</v>
      </c>
      <c r="I2733" s="476">
        <v>451755</v>
      </c>
      <c r="J2733" s="476">
        <v>451804</v>
      </c>
      <c r="K2733" s="476">
        <v>451854</v>
      </c>
    </row>
    <row r="2734" spans="1:11">
      <c r="A2734" s="479">
        <v>6939</v>
      </c>
      <c r="B2734" s="476">
        <v>451903</v>
      </c>
      <c r="C2734" s="476">
        <v>451953</v>
      </c>
      <c r="D2734" s="476">
        <v>452002</v>
      </c>
      <c r="E2734" s="476">
        <v>452052</v>
      </c>
      <c r="F2734" s="476">
        <v>452102</v>
      </c>
      <c r="G2734" s="476">
        <v>452151</v>
      </c>
      <c r="H2734" s="476">
        <v>452201</v>
      </c>
      <c r="I2734" s="476">
        <v>452250</v>
      </c>
      <c r="J2734" s="476">
        <v>452300</v>
      </c>
      <c r="K2734" s="476">
        <v>452350</v>
      </c>
    </row>
    <row r="2735" spans="1:11">
      <c r="A2735" s="479">
        <v>6939.1</v>
      </c>
      <c r="B2735" s="476">
        <v>452399</v>
      </c>
      <c r="C2735" s="476">
        <v>452449</v>
      </c>
      <c r="D2735" s="476">
        <v>452498</v>
      </c>
      <c r="E2735" s="476">
        <v>452548</v>
      </c>
      <c r="F2735" s="476">
        <v>452598</v>
      </c>
      <c r="G2735" s="476">
        <v>452647</v>
      </c>
      <c r="H2735" s="476">
        <v>452697</v>
      </c>
      <c r="I2735" s="476">
        <v>452747</v>
      </c>
      <c r="J2735" s="476">
        <v>452796</v>
      </c>
      <c r="K2735" s="476">
        <v>452846</v>
      </c>
    </row>
    <row r="2736" spans="1:11">
      <c r="A2736" s="479">
        <v>6939.2</v>
      </c>
      <c r="B2736" s="476">
        <v>452895</v>
      </c>
      <c r="C2736" s="476">
        <v>452945</v>
      </c>
      <c r="D2736" s="476">
        <v>452995</v>
      </c>
      <c r="E2736" s="476">
        <v>453044</v>
      </c>
      <c r="F2736" s="476">
        <v>453094</v>
      </c>
      <c r="G2736" s="476">
        <v>453144</v>
      </c>
      <c r="H2736" s="476">
        <v>453193</v>
      </c>
      <c r="I2736" s="476">
        <v>453243</v>
      </c>
      <c r="J2736" s="476">
        <v>453292</v>
      </c>
      <c r="K2736" s="476">
        <v>453342</v>
      </c>
    </row>
    <row r="2737" spans="1:11">
      <c r="A2737" s="479">
        <v>6939.3</v>
      </c>
      <c r="B2737" s="476">
        <v>453392</v>
      </c>
      <c r="C2737" s="476">
        <v>453441</v>
      </c>
      <c r="D2737" s="476">
        <v>453491</v>
      </c>
      <c r="E2737" s="476">
        <v>453540</v>
      </c>
      <c r="F2737" s="476">
        <v>453590</v>
      </c>
      <c r="G2737" s="476">
        <v>453640</v>
      </c>
      <c r="H2737" s="476">
        <v>453689</v>
      </c>
      <c r="I2737" s="476">
        <v>453739</v>
      </c>
      <c r="J2737" s="476">
        <v>453789</v>
      </c>
      <c r="K2737" s="476">
        <v>453838</v>
      </c>
    </row>
    <row r="2738" spans="1:11">
      <c r="A2738" s="479">
        <v>6939.4</v>
      </c>
      <c r="B2738" s="476">
        <v>453888</v>
      </c>
      <c r="C2738" s="476">
        <v>453937</v>
      </c>
      <c r="D2738" s="476">
        <v>453987</v>
      </c>
      <c r="E2738" s="476">
        <v>454037</v>
      </c>
      <c r="F2738" s="476">
        <v>454086</v>
      </c>
      <c r="G2738" s="476">
        <v>454136</v>
      </c>
      <c r="H2738" s="476">
        <v>454185</v>
      </c>
      <c r="I2738" s="476">
        <v>454235</v>
      </c>
      <c r="J2738" s="476">
        <v>454285</v>
      </c>
      <c r="K2738" s="476">
        <v>454334</v>
      </c>
    </row>
    <row r="2739" spans="1:11">
      <c r="A2739" s="479">
        <v>6939.5</v>
      </c>
      <c r="B2739" s="476">
        <v>454384</v>
      </c>
      <c r="C2739" s="476">
        <v>454434</v>
      </c>
      <c r="D2739" s="476">
        <v>454483</v>
      </c>
      <c r="E2739" s="476">
        <v>454533</v>
      </c>
      <c r="F2739" s="476">
        <v>454582</v>
      </c>
      <c r="G2739" s="476">
        <v>454632</v>
      </c>
      <c r="H2739" s="476">
        <v>454682</v>
      </c>
      <c r="I2739" s="476">
        <v>454731</v>
      </c>
      <c r="J2739" s="476">
        <v>454781</v>
      </c>
      <c r="K2739" s="476">
        <v>454830</v>
      </c>
    </row>
    <row r="2740" spans="1:11">
      <c r="A2740" s="479">
        <v>6939.6</v>
      </c>
      <c r="B2740" s="476">
        <v>454880</v>
      </c>
      <c r="C2740" s="476">
        <v>454930</v>
      </c>
      <c r="D2740" s="476">
        <v>454979</v>
      </c>
      <c r="E2740" s="476">
        <v>455029</v>
      </c>
      <c r="F2740" s="476">
        <v>455079</v>
      </c>
      <c r="G2740" s="476">
        <v>455128</v>
      </c>
      <c r="H2740" s="476">
        <v>455178</v>
      </c>
      <c r="I2740" s="476">
        <v>455227</v>
      </c>
      <c r="J2740" s="476">
        <v>455277</v>
      </c>
      <c r="K2740" s="476">
        <v>455327</v>
      </c>
    </row>
    <row r="2741" spans="1:11">
      <c r="A2741" s="479">
        <v>6939.7</v>
      </c>
      <c r="B2741" s="476">
        <v>455376</v>
      </c>
      <c r="C2741" s="476">
        <v>455426</v>
      </c>
      <c r="D2741" s="476">
        <v>455476</v>
      </c>
      <c r="E2741" s="476">
        <v>455525</v>
      </c>
      <c r="F2741" s="476">
        <v>455575</v>
      </c>
      <c r="G2741" s="476">
        <v>455624</v>
      </c>
      <c r="H2741" s="476">
        <v>455674</v>
      </c>
      <c r="I2741" s="476">
        <v>455724</v>
      </c>
      <c r="J2741" s="476">
        <v>455773</v>
      </c>
      <c r="K2741" s="476">
        <v>455823</v>
      </c>
    </row>
    <row r="2742" spans="1:11">
      <c r="A2742" s="479">
        <v>6939.8</v>
      </c>
      <c r="B2742" s="476">
        <v>455872</v>
      </c>
      <c r="C2742" s="476">
        <v>455922</v>
      </c>
      <c r="D2742" s="476">
        <v>455972</v>
      </c>
      <c r="E2742" s="476">
        <v>456021</v>
      </c>
      <c r="F2742" s="476">
        <v>456071</v>
      </c>
      <c r="G2742" s="476">
        <v>456121</v>
      </c>
      <c r="H2742" s="476">
        <v>456170</v>
      </c>
      <c r="I2742" s="476">
        <v>456220</v>
      </c>
      <c r="J2742" s="476">
        <v>456269</v>
      </c>
      <c r="K2742" s="476">
        <v>456319</v>
      </c>
    </row>
    <row r="2743" spans="1:11">
      <c r="A2743" s="479">
        <v>6939.9</v>
      </c>
      <c r="B2743" s="476">
        <v>456369</v>
      </c>
      <c r="C2743" s="476">
        <v>456418</v>
      </c>
      <c r="D2743" s="476">
        <v>456468</v>
      </c>
      <c r="E2743" s="476">
        <v>456517</v>
      </c>
      <c r="F2743" s="476">
        <v>456567</v>
      </c>
      <c r="G2743" s="476">
        <v>456617</v>
      </c>
      <c r="H2743" s="476">
        <v>456666</v>
      </c>
      <c r="I2743" s="476">
        <v>456716</v>
      </c>
      <c r="J2743" s="476">
        <v>456766</v>
      </c>
      <c r="K2743" s="476">
        <v>456815</v>
      </c>
    </row>
    <row r="2744" spans="1:11">
      <c r="A2744" s="479">
        <v>6940</v>
      </c>
      <c r="B2744" s="476">
        <v>456865</v>
      </c>
      <c r="C2744" s="476">
        <v>456915</v>
      </c>
      <c r="D2744" s="476">
        <v>456965</v>
      </c>
      <c r="E2744" s="476">
        <v>457015</v>
      </c>
      <c r="F2744" s="476">
        <v>457064</v>
      </c>
      <c r="G2744" s="476">
        <v>457114</v>
      </c>
      <c r="H2744" s="476">
        <v>457164</v>
      </c>
      <c r="I2744" s="476">
        <v>457214</v>
      </c>
      <c r="J2744" s="476">
        <v>457264</v>
      </c>
      <c r="K2744" s="476">
        <v>457314</v>
      </c>
    </row>
    <row r="2745" spans="1:11">
      <c r="A2745" s="479">
        <v>6940.1</v>
      </c>
      <c r="B2745" s="476">
        <v>457364</v>
      </c>
      <c r="C2745" s="476">
        <v>457414</v>
      </c>
      <c r="D2745" s="476">
        <v>457464</v>
      </c>
      <c r="E2745" s="476">
        <v>457514</v>
      </c>
      <c r="F2745" s="476">
        <v>457564</v>
      </c>
      <c r="G2745" s="476">
        <v>457613</v>
      </c>
      <c r="H2745" s="476">
        <v>457663</v>
      </c>
      <c r="I2745" s="476">
        <v>457713</v>
      </c>
      <c r="J2745" s="476">
        <v>457763</v>
      </c>
      <c r="K2745" s="476">
        <v>457813</v>
      </c>
    </row>
    <row r="2746" spans="1:11">
      <c r="A2746" s="479">
        <v>6940.2</v>
      </c>
      <c r="B2746" s="476">
        <v>457863</v>
      </c>
      <c r="C2746" s="476">
        <v>457913</v>
      </c>
      <c r="D2746" s="476">
        <v>457963</v>
      </c>
      <c r="E2746" s="476">
        <v>458013</v>
      </c>
      <c r="F2746" s="476">
        <v>458063</v>
      </c>
      <c r="G2746" s="476">
        <v>458113</v>
      </c>
      <c r="H2746" s="476">
        <v>458163</v>
      </c>
      <c r="I2746" s="476">
        <v>458212</v>
      </c>
      <c r="J2746" s="476">
        <v>458262</v>
      </c>
      <c r="K2746" s="476">
        <v>458312</v>
      </c>
    </row>
    <row r="2747" spans="1:11">
      <c r="A2747" s="479">
        <v>6940.3</v>
      </c>
      <c r="B2747" s="476">
        <v>458362</v>
      </c>
      <c r="C2747" s="476">
        <v>458412</v>
      </c>
      <c r="D2747" s="476">
        <v>458462</v>
      </c>
      <c r="E2747" s="476">
        <v>458512</v>
      </c>
      <c r="F2747" s="476">
        <v>458562</v>
      </c>
      <c r="G2747" s="476">
        <v>458612</v>
      </c>
      <c r="H2747" s="476">
        <v>458662</v>
      </c>
      <c r="I2747" s="476">
        <v>458712</v>
      </c>
      <c r="J2747" s="476">
        <v>458761</v>
      </c>
      <c r="K2747" s="476">
        <v>458811</v>
      </c>
    </row>
    <row r="2748" spans="1:11">
      <c r="A2748" s="479">
        <v>6940.4</v>
      </c>
      <c r="B2748" s="476">
        <v>458861</v>
      </c>
      <c r="C2748" s="476">
        <v>458911</v>
      </c>
      <c r="D2748" s="476">
        <v>458961</v>
      </c>
      <c r="E2748" s="476">
        <v>459011</v>
      </c>
      <c r="F2748" s="476">
        <v>459061</v>
      </c>
      <c r="G2748" s="476">
        <v>459111</v>
      </c>
      <c r="H2748" s="476">
        <v>459161</v>
      </c>
      <c r="I2748" s="476">
        <v>459211</v>
      </c>
      <c r="J2748" s="476">
        <v>459261</v>
      </c>
      <c r="K2748" s="476">
        <v>459310</v>
      </c>
    </row>
    <row r="2749" spans="1:11">
      <c r="A2749" s="479">
        <v>6940.5</v>
      </c>
      <c r="B2749" s="476">
        <v>459360</v>
      </c>
      <c r="C2749" s="476">
        <v>459410</v>
      </c>
      <c r="D2749" s="476">
        <v>459460</v>
      </c>
      <c r="E2749" s="476">
        <v>459510</v>
      </c>
      <c r="F2749" s="476">
        <v>459560</v>
      </c>
      <c r="G2749" s="476">
        <v>459610</v>
      </c>
      <c r="H2749" s="476">
        <v>459660</v>
      </c>
      <c r="I2749" s="476">
        <v>459710</v>
      </c>
      <c r="J2749" s="476">
        <v>459760</v>
      </c>
      <c r="K2749" s="476">
        <v>459810</v>
      </c>
    </row>
    <row r="2750" spans="1:11">
      <c r="A2750" s="479">
        <v>6940.6</v>
      </c>
      <c r="B2750" s="476">
        <v>459859</v>
      </c>
      <c r="C2750" s="476">
        <v>459909</v>
      </c>
      <c r="D2750" s="476">
        <v>459959</v>
      </c>
      <c r="E2750" s="476">
        <v>460009</v>
      </c>
      <c r="F2750" s="476">
        <v>460059</v>
      </c>
      <c r="G2750" s="476">
        <v>460109</v>
      </c>
      <c r="H2750" s="476">
        <v>460159</v>
      </c>
      <c r="I2750" s="476">
        <v>460209</v>
      </c>
      <c r="J2750" s="476">
        <v>460259</v>
      </c>
      <c r="K2750" s="476">
        <v>460309</v>
      </c>
    </row>
    <row r="2751" spans="1:11">
      <c r="A2751" s="479">
        <v>6940.7</v>
      </c>
      <c r="B2751" s="476">
        <v>460359</v>
      </c>
      <c r="C2751" s="476">
        <v>460409</v>
      </c>
      <c r="D2751" s="476">
        <v>460458</v>
      </c>
      <c r="E2751" s="476">
        <v>460508</v>
      </c>
      <c r="F2751" s="476">
        <v>460558</v>
      </c>
      <c r="G2751" s="476">
        <v>460608</v>
      </c>
      <c r="H2751" s="476">
        <v>460658</v>
      </c>
      <c r="I2751" s="476">
        <v>460708</v>
      </c>
      <c r="J2751" s="476">
        <v>460758</v>
      </c>
      <c r="K2751" s="476">
        <v>460808</v>
      </c>
    </row>
    <row r="2752" spans="1:11">
      <c r="A2752" s="479">
        <v>6940.8</v>
      </c>
      <c r="B2752" s="476">
        <v>460858</v>
      </c>
      <c r="C2752" s="476">
        <v>460908</v>
      </c>
      <c r="D2752" s="476">
        <v>460958</v>
      </c>
      <c r="E2752" s="476">
        <v>461007</v>
      </c>
      <c r="F2752" s="476">
        <v>461057</v>
      </c>
      <c r="G2752" s="476">
        <v>461107</v>
      </c>
      <c r="H2752" s="476">
        <v>461157</v>
      </c>
      <c r="I2752" s="476">
        <v>461207</v>
      </c>
      <c r="J2752" s="476">
        <v>461257</v>
      </c>
      <c r="K2752" s="476">
        <v>461307</v>
      </c>
    </row>
    <row r="2753" spans="1:11">
      <c r="A2753" s="479">
        <v>6940.9</v>
      </c>
      <c r="B2753" s="476">
        <v>461357</v>
      </c>
      <c r="C2753" s="476">
        <v>461407</v>
      </c>
      <c r="D2753" s="476">
        <v>461457</v>
      </c>
      <c r="E2753" s="476">
        <v>461507</v>
      </c>
      <c r="F2753" s="476">
        <v>461556</v>
      </c>
      <c r="G2753" s="476">
        <v>461606</v>
      </c>
      <c r="H2753" s="476">
        <v>461656</v>
      </c>
      <c r="I2753" s="476">
        <v>461706</v>
      </c>
      <c r="J2753" s="476">
        <v>461756</v>
      </c>
      <c r="K2753" s="476">
        <v>461806</v>
      </c>
    </row>
    <row r="2754" spans="1:11">
      <c r="A2754" s="479">
        <v>6941</v>
      </c>
      <c r="B2754" s="476">
        <v>461856</v>
      </c>
      <c r="C2754" s="476">
        <v>461906</v>
      </c>
      <c r="D2754" s="476">
        <v>461956</v>
      </c>
      <c r="E2754" s="476">
        <v>462007</v>
      </c>
      <c r="F2754" s="476">
        <v>462057</v>
      </c>
      <c r="G2754" s="476">
        <v>462107</v>
      </c>
      <c r="H2754" s="476">
        <v>462157</v>
      </c>
      <c r="I2754" s="476">
        <v>462207</v>
      </c>
      <c r="J2754" s="476">
        <v>462258</v>
      </c>
      <c r="K2754" s="476">
        <v>462308</v>
      </c>
    </row>
    <row r="2755" spans="1:11">
      <c r="A2755" s="479">
        <v>6941.1</v>
      </c>
      <c r="B2755" s="476">
        <v>462358</v>
      </c>
      <c r="C2755" s="476">
        <v>462408</v>
      </c>
      <c r="D2755" s="476">
        <v>462459</v>
      </c>
      <c r="E2755" s="476">
        <v>462509</v>
      </c>
      <c r="F2755" s="476">
        <v>462559</v>
      </c>
      <c r="G2755" s="476">
        <v>462609</v>
      </c>
      <c r="H2755" s="476">
        <v>462659</v>
      </c>
      <c r="I2755" s="476">
        <v>462710</v>
      </c>
      <c r="J2755" s="476">
        <v>462760</v>
      </c>
      <c r="K2755" s="476">
        <v>462810</v>
      </c>
    </row>
    <row r="2756" spans="1:11">
      <c r="A2756" s="479">
        <v>6941.2</v>
      </c>
      <c r="B2756" s="476">
        <v>462860</v>
      </c>
      <c r="C2756" s="476">
        <v>462911</v>
      </c>
      <c r="D2756" s="476">
        <v>462961</v>
      </c>
      <c r="E2756" s="476">
        <v>463011</v>
      </c>
      <c r="F2756" s="476">
        <v>463061</v>
      </c>
      <c r="G2756" s="476">
        <v>463111</v>
      </c>
      <c r="H2756" s="476">
        <v>463162</v>
      </c>
      <c r="I2756" s="476">
        <v>463212</v>
      </c>
      <c r="J2756" s="476">
        <v>463262</v>
      </c>
      <c r="K2756" s="476">
        <v>463312</v>
      </c>
    </row>
    <row r="2757" spans="1:11">
      <c r="A2757" s="479">
        <v>6941.3</v>
      </c>
      <c r="B2757" s="476">
        <v>463362</v>
      </c>
      <c r="C2757" s="476">
        <v>463413</v>
      </c>
      <c r="D2757" s="476">
        <v>463463</v>
      </c>
      <c r="E2757" s="476">
        <v>463513</v>
      </c>
      <c r="F2757" s="476">
        <v>463563</v>
      </c>
      <c r="G2757" s="476">
        <v>463614</v>
      </c>
      <c r="H2757" s="476">
        <v>463664</v>
      </c>
      <c r="I2757" s="476">
        <v>463714</v>
      </c>
      <c r="J2757" s="476">
        <v>463764</v>
      </c>
      <c r="K2757" s="476">
        <v>463814</v>
      </c>
    </row>
    <row r="2758" spans="1:11">
      <c r="A2758" s="479">
        <v>6941.4</v>
      </c>
      <c r="B2758" s="476">
        <v>463865</v>
      </c>
      <c r="C2758" s="476">
        <v>463915</v>
      </c>
      <c r="D2758" s="476">
        <v>463965</v>
      </c>
      <c r="E2758" s="476">
        <v>464015</v>
      </c>
      <c r="F2758" s="476">
        <v>464066</v>
      </c>
      <c r="G2758" s="476">
        <v>464116</v>
      </c>
      <c r="H2758" s="476">
        <v>464166</v>
      </c>
      <c r="I2758" s="476">
        <v>464216</v>
      </c>
      <c r="J2758" s="476">
        <v>464266</v>
      </c>
      <c r="K2758" s="476">
        <v>464317</v>
      </c>
    </row>
    <row r="2759" spans="1:11">
      <c r="A2759" s="479">
        <v>6941.5</v>
      </c>
      <c r="B2759" s="476">
        <v>464367</v>
      </c>
      <c r="C2759" s="476">
        <v>464417</v>
      </c>
      <c r="D2759" s="476">
        <v>464467</v>
      </c>
      <c r="E2759" s="476">
        <v>464517</v>
      </c>
      <c r="F2759" s="476">
        <v>464568</v>
      </c>
      <c r="G2759" s="476">
        <v>464618</v>
      </c>
      <c r="H2759" s="476">
        <v>464668</v>
      </c>
      <c r="I2759" s="476">
        <v>464718</v>
      </c>
      <c r="J2759" s="476">
        <v>464769</v>
      </c>
      <c r="K2759" s="476">
        <v>464819</v>
      </c>
    </row>
    <row r="2760" spans="1:11">
      <c r="A2760" s="479">
        <v>6941.6</v>
      </c>
      <c r="B2760" s="476">
        <v>464869</v>
      </c>
      <c r="C2760" s="476">
        <v>464919</v>
      </c>
      <c r="D2760" s="476">
        <v>464969</v>
      </c>
      <c r="E2760" s="476">
        <v>465020</v>
      </c>
      <c r="F2760" s="476">
        <v>465070</v>
      </c>
      <c r="G2760" s="476">
        <v>465120</v>
      </c>
      <c r="H2760" s="476">
        <v>465170</v>
      </c>
      <c r="I2760" s="476">
        <v>465221</v>
      </c>
      <c r="J2760" s="476">
        <v>465271</v>
      </c>
      <c r="K2760" s="476">
        <v>465321</v>
      </c>
    </row>
    <row r="2761" spans="1:11">
      <c r="A2761" s="479">
        <v>6941.7</v>
      </c>
      <c r="B2761" s="476">
        <v>465371</v>
      </c>
      <c r="C2761" s="476">
        <v>465421</v>
      </c>
      <c r="D2761" s="476">
        <v>465472</v>
      </c>
      <c r="E2761" s="476">
        <v>465522</v>
      </c>
      <c r="F2761" s="476">
        <v>465572</v>
      </c>
      <c r="G2761" s="476">
        <v>465622</v>
      </c>
      <c r="H2761" s="476">
        <v>465672</v>
      </c>
      <c r="I2761" s="476">
        <v>465723</v>
      </c>
      <c r="J2761" s="476">
        <v>465773</v>
      </c>
      <c r="K2761" s="476">
        <v>465823</v>
      </c>
    </row>
    <row r="2762" spans="1:11">
      <c r="A2762" s="479">
        <v>6941.8</v>
      </c>
      <c r="B2762" s="476">
        <v>465873</v>
      </c>
      <c r="C2762" s="476">
        <v>465924</v>
      </c>
      <c r="D2762" s="476">
        <v>465974</v>
      </c>
      <c r="E2762" s="476">
        <v>466024</v>
      </c>
      <c r="F2762" s="476">
        <v>466074</v>
      </c>
      <c r="G2762" s="476">
        <v>466124</v>
      </c>
      <c r="H2762" s="476">
        <v>466175</v>
      </c>
      <c r="I2762" s="476">
        <v>466225</v>
      </c>
      <c r="J2762" s="476">
        <v>466275</v>
      </c>
      <c r="K2762" s="476">
        <v>466325</v>
      </c>
    </row>
    <row r="2763" spans="1:11">
      <c r="A2763" s="479">
        <v>6941.9</v>
      </c>
      <c r="B2763" s="476">
        <v>466376</v>
      </c>
      <c r="C2763" s="476">
        <v>466426</v>
      </c>
      <c r="D2763" s="476">
        <v>466476</v>
      </c>
      <c r="E2763" s="476">
        <v>466526</v>
      </c>
      <c r="F2763" s="476">
        <v>466576</v>
      </c>
      <c r="G2763" s="476">
        <v>466627</v>
      </c>
      <c r="H2763" s="476">
        <v>466677</v>
      </c>
      <c r="I2763" s="476">
        <v>466727</v>
      </c>
      <c r="J2763" s="476">
        <v>466777</v>
      </c>
      <c r="K2763" s="476">
        <v>466827</v>
      </c>
    </row>
    <row r="2764" spans="1:11">
      <c r="A2764" s="479">
        <v>6942</v>
      </c>
      <c r="B2764" s="476">
        <v>466878</v>
      </c>
      <c r="C2764" s="476">
        <v>466928</v>
      </c>
      <c r="D2764" s="476">
        <v>466979</v>
      </c>
      <c r="E2764" s="476">
        <v>467029</v>
      </c>
      <c r="F2764" s="476">
        <v>467080</v>
      </c>
      <c r="G2764" s="476">
        <v>467130</v>
      </c>
      <c r="H2764" s="476">
        <v>467181</v>
      </c>
      <c r="I2764" s="476">
        <v>467231</v>
      </c>
      <c r="J2764" s="476">
        <v>467282</v>
      </c>
      <c r="K2764" s="476">
        <v>467332</v>
      </c>
    </row>
    <row r="2765" spans="1:11">
      <c r="A2765" s="479">
        <v>6942.1</v>
      </c>
      <c r="B2765" s="476">
        <v>467383</v>
      </c>
      <c r="C2765" s="476">
        <v>467433</v>
      </c>
      <c r="D2765" s="476">
        <v>467484</v>
      </c>
      <c r="E2765" s="476">
        <v>467535</v>
      </c>
      <c r="F2765" s="476">
        <v>467585</v>
      </c>
      <c r="G2765" s="476">
        <v>467636</v>
      </c>
      <c r="H2765" s="476">
        <v>467686</v>
      </c>
      <c r="I2765" s="476">
        <v>467737</v>
      </c>
      <c r="J2765" s="476">
        <v>467787</v>
      </c>
      <c r="K2765" s="476">
        <v>467838</v>
      </c>
    </row>
    <row r="2766" spans="1:11">
      <c r="A2766" s="479">
        <v>6942.2</v>
      </c>
      <c r="B2766" s="476">
        <v>467888</v>
      </c>
      <c r="C2766" s="476">
        <v>467939</v>
      </c>
      <c r="D2766" s="476">
        <v>467989</v>
      </c>
      <c r="E2766" s="476">
        <v>468040</v>
      </c>
      <c r="F2766" s="476">
        <v>468090</v>
      </c>
      <c r="G2766" s="476">
        <v>468141</v>
      </c>
      <c r="H2766" s="476">
        <v>468191</v>
      </c>
      <c r="I2766" s="476">
        <v>468242</v>
      </c>
      <c r="J2766" s="476">
        <v>468292</v>
      </c>
      <c r="K2766" s="476">
        <v>468343</v>
      </c>
    </row>
    <row r="2767" spans="1:11">
      <c r="A2767" s="479">
        <v>6942.3</v>
      </c>
      <c r="B2767" s="476">
        <v>468394</v>
      </c>
      <c r="C2767" s="476">
        <v>468444</v>
      </c>
      <c r="D2767" s="476">
        <v>468495</v>
      </c>
      <c r="E2767" s="476">
        <v>468545</v>
      </c>
      <c r="F2767" s="476">
        <v>468596</v>
      </c>
      <c r="G2767" s="476">
        <v>468646</v>
      </c>
      <c r="H2767" s="476">
        <v>468697</v>
      </c>
      <c r="I2767" s="476">
        <v>468747</v>
      </c>
      <c r="J2767" s="476">
        <v>468798</v>
      </c>
      <c r="K2767" s="476">
        <v>468848</v>
      </c>
    </row>
    <row r="2768" spans="1:11">
      <c r="A2768" s="479">
        <v>6942.4</v>
      </c>
      <c r="B2768" s="476">
        <v>468899</v>
      </c>
      <c r="C2768" s="476">
        <v>468949</v>
      </c>
      <c r="D2768" s="476">
        <v>469000</v>
      </c>
      <c r="E2768" s="476">
        <v>469050</v>
      </c>
      <c r="F2768" s="476">
        <v>469101</v>
      </c>
      <c r="G2768" s="476">
        <v>469151</v>
      </c>
      <c r="H2768" s="476">
        <v>469202</v>
      </c>
      <c r="I2768" s="476">
        <v>469252</v>
      </c>
      <c r="J2768" s="476">
        <v>469303</v>
      </c>
      <c r="K2768" s="476">
        <v>469354</v>
      </c>
    </row>
    <row r="2769" spans="1:11">
      <c r="A2769" s="479">
        <v>6942.5</v>
      </c>
      <c r="B2769" s="476">
        <v>469404</v>
      </c>
      <c r="C2769" s="476">
        <v>469455</v>
      </c>
      <c r="D2769" s="476">
        <v>469505</v>
      </c>
      <c r="E2769" s="476">
        <v>469556</v>
      </c>
      <c r="F2769" s="476">
        <v>469606</v>
      </c>
      <c r="G2769" s="476">
        <v>469657</v>
      </c>
      <c r="H2769" s="476">
        <v>469707</v>
      </c>
      <c r="I2769" s="476">
        <v>469758</v>
      </c>
      <c r="J2769" s="476">
        <v>469808</v>
      </c>
      <c r="K2769" s="476">
        <v>469859</v>
      </c>
    </row>
    <row r="2770" spans="1:11">
      <c r="A2770" s="479">
        <v>6942.6</v>
      </c>
      <c r="B2770" s="476">
        <v>469909</v>
      </c>
      <c r="C2770" s="476">
        <v>469960</v>
      </c>
      <c r="D2770" s="476">
        <v>470010</v>
      </c>
      <c r="E2770" s="476">
        <v>470061</v>
      </c>
      <c r="F2770" s="476">
        <v>470111</v>
      </c>
      <c r="G2770" s="476">
        <v>470162</v>
      </c>
      <c r="H2770" s="476">
        <v>470212</v>
      </c>
      <c r="I2770" s="476">
        <v>470263</v>
      </c>
      <c r="J2770" s="476">
        <v>470314</v>
      </c>
      <c r="K2770" s="476">
        <v>470364</v>
      </c>
    </row>
    <row r="2771" spans="1:11">
      <c r="A2771" s="479">
        <v>6942.7</v>
      </c>
      <c r="B2771" s="476">
        <v>470415</v>
      </c>
      <c r="C2771" s="476">
        <v>470465</v>
      </c>
      <c r="D2771" s="476">
        <v>470516</v>
      </c>
      <c r="E2771" s="476">
        <v>470566</v>
      </c>
      <c r="F2771" s="476">
        <v>470617</v>
      </c>
      <c r="G2771" s="476">
        <v>470667</v>
      </c>
      <c r="H2771" s="476">
        <v>470718</v>
      </c>
      <c r="I2771" s="476">
        <v>470768</v>
      </c>
      <c r="J2771" s="476">
        <v>470819</v>
      </c>
      <c r="K2771" s="476">
        <v>470869</v>
      </c>
    </row>
    <row r="2772" spans="1:11">
      <c r="A2772" s="479">
        <v>6942.8</v>
      </c>
      <c r="B2772" s="476">
        <v>470920</v>
      </c>
      <c r="C2772" s="476">
        <v>470970</v>
      </c>
      <c r="D2772" s="476">
        <v>471021</v>
      </c>
      <c r="E2772" s="476">
        <v>471071</v>
      </c>
      <c r="F2772" s="476">
        <v>471122</v>
      </c>
      <c r="G2772" s="476">
        <v>471172</v>
      </c>
      <c r="H2772" s="476">
        <v>471223</v>
      </c>
      <c r="I2772" s="476">
        <v>471274</v>
      </c>
      <c r="J2772" s="476">
        <v>471324</v>
      </c>
      <c r="K2772" s="476">
        <v>471375</v>
      </c>
    </row>
    <row r="2773" spans="1:11">
      <c r="A2773" s="479">
        <v>6942.9</v>
      </c>
      <c r="B2773" s="476">
        <v>471425</v>
      </c>
      <c r="C2773" s="476">
        <v>471476</v>
      </c>
      <c r="D2773" s="476">
        <v>471526</v>
      </c>
      <c r="E2773" s="476">
        <v>471577</v>
      </c>
      <c r="F2773" s="476">
        <v>471627</v>
      </c>
      <c r="G2773" s="476">
        <v>471678</v>
      </c>
      <c r="H2773" s="476">
        <v>471728</v>
      </c>
      <c r="I2773" s="476">
        <v>471779</v>
      </c>
      <c r="J2773" s="476">
        <v>471829</v>
      </c>
      <c r="K2773" s="476">
        <v>471880</v>
      </c>
    </row>
    <row r="2774" spans="1:11">
      <c r="A2774" s="479">
        <v>6943</v>
      </c>
      <c r="B2774" s="476">
        <v>471930</v>
      </c>
      <c r="C2774" s="476">
        <v>471981</v>
      </c>
      <c r="D2774" s="476">
        <v>472032</v>
      </c>
      <c r="E2774" s="476">
        <v>472083</v>
      </c>
      <c r="F2774" s="476">
        <v>472134</v>
      </c>
      <c r="G2774" s="476">
        <v>472185</v>
      </c>
      <c r="H2774" s="476">
        <v>472235</v>
      </c>
      <c r="I2774" s="476">
        <v>472286</v>
      </c>
      <c r="J2774" s="476">
        <v>472337</v>
      </c>
      <c r="K2774" s="476">
        <v>472388</v>
      </c>
    </row>
    <row r="2775" spans="1:11">
      <c r="A2775" s="479">
        <v>6943.1</v>
      </c>
      <c r="B2775" s="476">
        <v>472439</v>
      </c>
      <c r="C2775" s="476">
        <v>472490</v>
      </c>
      <c r="D2775" s="476">
        <v>472540</v>
      </c>
      <c r="E2775" s="476">
        <v>472591</v>
      </c>
      <c r="F2775" s="476">
        <v>472642</v>
      </c>
      <c r="G2775" s="476">
        <v>472693</v>
      </c>
      <c r="H2775" s="476">
        <v>472744</v>
      </c>
      <c r="I2775" s="476">
        <v>472795</v>
      </c>
      <c r="J2775" s="476">
        <v>472845</v>
      </c>
      <c r="K2775" s="476">
        <v>472896</v>
      </c>
    </row>
    <row r="2776" spans="1:11">
      <c r="A2776" s="479">
        <v>6943.2</v>
      </c>
      <c r="B2776" s="476">
        <v>472947</v>
      </c>
      <c r="C2776" s="476">
        <v>472998</v>
      </c>
      <c r="D2776" s="476">
        <v>473049</v>
      </c>
      <c r="E2776" s="476">
        <v>473100</v>
      </c>
      <c r="F2776" s="476">
        <v>473150</v>
      </c>
      <c r="G2776" s="476">
        <v>473201</v>
      </c>
      <c r="H2776" s="476">
        <v>473252</v>
      </c>
      <c r="I2776" s="476">
        <v>473303</v>
      </c>
      <c r="J2776" s="476">
        <v>473354</v>
      </c>
      <c r="K2776" s="476">
        <v>473405</v>
      </c>
    </row>
    <row r="2777" spans="1:11">
      <c r="A2777" s="479">
        <v>6943.3</v>
      </c>
      <c r="B2777" s="476">
        <v>473456</v>
      </c>
      <c r="C2777" s="476">
        <v>473506</v>
      </c>
      <c r="D2777" s="476">
        <v>473557</v>
      </c>
      <c r="E2777" s="476">
        <v>473608</v>
      </c>
      <c r="F2777" s="476">
        <v>473659</v>
      </c>
      <c r="G2777" s="476">
        <v>473710</v>
      </c>
      <c r="H2777" s="476">
        <v>473761</v>
      </c>
      <c r="I2777" s="476">
        <v>473811</v>
      </c>
      <c r="J2777" s="476">
        <v>473862</v>
      </c>
      <c r="K2777" s="476">
        <v>473913</v>
      </c>
    </row>
    <row r="2778" spans="1:11">
      <c r="A2778" s="479">
        <v>6943.4</v>
      </c>
      <c r="B2778" s="476">
        <v>473964</v>
      </c>
      <c r="C2778" s="476">
        <v>474015</v>
      </c>
      <c r="D2778" s="476">
        <v>474066</v>
      </c>
      <c r="E2778" s="476">
        <v>474116</v>
      </c>
      <c r="F2778" s="476">
        <v>474167</v>
      </c>
      <c r="G2778" s="476">
        <v>474218</v>
      </c>
      <c r="H2778" s="476">
        <v>474269</v>
      </c>
      <c r="I2778" s="476">
        <v>474320</v>
      </c>
      <c r="J2778" s="476">
        <v>474371</v>
      </c>
      <c r="K2778" s="476">
        <v>474421</v>
      </c>
    </row>
    <row r="2779" spans="1:11">
      <c r="A2779" s="479">
        <v>6943.5</v>
      </c>
      <c r="B2779" s="476">
        <v>474472</v>
      </c>
      <c r="C2779" s="476">
        <v>474523</v>
      </c>
      <c r="D2779" s="476">
        <v>474574</v>
      </c>
      <c r="E2779" s="476">
        <v>474625</v>
      </c>
      <c r="F2779" s="476">
        <v>474676</v>
      </c>
      <c r="G2779" s="476">
        <v>474726</v>
      </c>
      <c r="H2779" s="476">
        <v>474777</v>
      </c>
      <c r="I2779" s="476">
        <v>474828</v>
      </c>
      <c r="J2779" s="476">
        <v>474879</v>
      </c>
      <c r="K2779" s="476">
        <v>474930</v>
      </c>
    </row>
    <row r="2780" spans="1:11">
      <c r="A2780" s="479">
        <v>6943.6</v>
      </c>
      <c r="B2780" s="476">
        <v>474981</v>
      </c>
      <c r="C2780" s="476">
        <v>475032</v>
      </c>
      <c r="D2780" s="476">
        <v>475082</v>
      </c>
      <c r="E2780" s="476">
        <v>475133</v>
      </c>
      <c r="F2780" s="476">
        <v>475184</v>
      </c>
      <c r="G2780" s="476">
        <v>475235</v>
      </c>
      <c r="H2780" s="476">
        <v>475286</v>
      </c>
      <c r="I2780" s="476">
        <v>475337</v>
      </c>
      <c r="J2780" s="476">
        <v>475387</v>
      </c>
      <c r="K2780" s="476">
        <v>475438</v>
      </c>
    </row>
    <row r="2781" spans="1:11">
      <c r="A2781" s="479">
        <v>6943.7</v>
      </c>
      <c r="B2781" s="476">
        <v>475489</v>
      </c>
      <c r="C2781" s="476">
        <v>475540</v>
      </c>
      <c r="D2781" s="476">
        <v>475591</v>
      </c>
      <c r="E2781" s="476">
        <v>475642</v>
      </c>
      <c r="F2781" s="476">
        <v>475692</v>
      </c>
      <c r="G2781" s="476">
        <v>475743</v>
      </c>
      <c r="H2781" s="476">
        <v>475794</v>
      </c>
      <c r="I2781" s="476">
        <v>475845</v>
      </c>
      <c r="J2781" s="476">
        <v>475896</v>
      </c>
      <c r="K2781" s="476">
        <v>475947</v>
      </c>
    </row>
    <row r="2782" spans="1:11">
      <c r="A2782" s="479">
        <v>6943.8</v>
      </c>
      <c r="B2782" s="476">
        <v>475997</v>
      </c>
      <c r="C2782" s="476">
        <v>476048</v>
      </c>
      <c r="D2782" s="476">
        <v>476099</v>
      </c>
      <c r="E2782" s="476">
        <v>476150</v>
      </c>
      <c r="F2782" s="476">
        <v>476201</v>
      </c>
      <c r="G2782" s="476">
        <v>476252</v>
      </c>
      <c r="H2782" s="476">
        <v>476303</v>
      </c>
      <c r="I2782" s="476">
        <v>476353</v>
      </c>
      <c r="J2782" s="476">
        <v>476404</v>
      </c>
      <c r="K2782" s="476">
        <v>476455</v>
      </c>
    </row>
    <row r="2783" spans="1:11">
      <c r="A2783" s="479">
        <v>6943.9</v>
      </c>
      <c r="B2783" s="476">
        <v>476506</v>
      </c>
      <c r="C2783" s="476">
        <v>476557</v>
      </c>
      <c r="D2783" s="476">
        <v>476608</v>
      </c>
      <c r="E2783" s="476">
        <v>476658</v>
      </c>
      <c r="F2783" s="476">
        <v>476709</v>
      </c>
      <c r="G2783" s="476">
        <v>476760</v>
      </c>
      <c r="H2783" s="476">
        <v>476811</v>
      </c>
      <c r="I2783" s="476">
        <v>476862</v>
      </c>
      <c r="J2783" s="476">
        <v>476913</v>
      </c>
      <c r="K2783" s="476">
        <v>476963</v>
      </c>
    </row>
    <row r="2784" spans="1:11">
      <c r="A2784" s="479">
        <v>6944</v>
      </c>
      <c r="B2784" s="476">
        <v>477014</v>
      </c>
      <c r="C2784" s="476">
        <v>477065</v>
      </c>
      <c r="D2784" s="476">
        <v>477117</v>
      </c>
      <c r="E2784" s="476">
        <v>477168</v>
      </c>
      <c r="F2784" s="476">
        <v>477219</v>
      </c>
      <c r="G2784" s="476">
        <v>477270</v>
      </c>
      <c r="H2784" s="476">
        <v>477321</v>
      </c>
      <c r="I2784" s="476">
        <v>477372</v>
      </c>
      <c r="J2784" s="476">
        <v>477423</v>
      </c>
      <c r="K2784" s="476">
        <v>477475</v>
      </c>
    </row>
    <row r="2785" spans="1:11">
      <c r="A2785" s="479">
        <v>6944.1</v>
      </c>
      <c r="B2785" s="476">
        <v>477526</v>
      </c>
      <c r="C2785" s="476">
        <v>477577</v>
      </c>
      <c r="D2785" s="476">
        <v>477628</v>
      </c>
      <c r="E2785" s="476">
        <v>477679</v>
      </c>
      <c r="F2785" s="476">
        <v>477730</v>
      </c>
      <c r="G2785" s="476">
        <v>477782</v>
      </c>
      <c r="H2785" s="476">
        <v>477833</v>
      </c>
      <c r="I2785" s="476">
        <v>477884</v>
      </c>
      <c r="J2785" s="476">
        <v>477935</v>
      </c>
      <c r="K2785" s="476">
        <v>477986</v>
      </c>
    </row>
    <row r="2786" spans="1:11">
      <c r="A2786" s="479">
        <v>6944.2</v>
      </c>
      <c r="B2786" s="476">
        <v>478037</v>
      </c>
      <c r="C2786" s="476">
        <v>478089</v>
      </c>
      <c r="D2786" s="476">
        <v>478140</v>
      </c>
      <c r="E2786" s="476">
        <v>478191</v>
      </c>
      <c r="F2786" s="476">
        <v>478242</v>
      </c>
      <c r="G2786" s="476">
        <v>478293</v>
      </c>
      <c r="H2786" s="476">
        <v>478344</v>
      </c>
      <c r="I2786" s="476">
        <v>478395</v>
      </c>
      <c r="J2786" s="476">
        <v>478447</v>
      </c>
      <c r="K2786" s="476">
        <v>478498</v>
      </c>
    </row>
    <row r="2787" spans="1:11">
      <c r="A2787" s="479">
        <v>6944.3</v>
      </c>
      <c r="B2787" s="476">
        <v>478549</v>
      </c>
      <c r="C2787" s="476">
        <v>478600</v>
      </c>
      <c r="D2787" s="476">
        <v>478651</v>
      </c>
      <c r="E2787" s="476">
        <v>478702</v>
      </c>
      <c r="F2787" s="476">
        <v>478754</v>
      </c>
      <c r="G2787" s="476">
        <v>478805</v>
      </c>
      <c r="H2787" s="476">
        <v>478856</v>
      </c>
      <c r="I2787" s="476">
        <v>478907</v>
      </c>
      <c r="J2787" s="476">
        <v>478958</v>
      </c>
      <c r="K2787" s="476">
        <v>479009</v>
      </c>
    </row>
    <row r="2788" spans="1:11">
      <c r="A2788" s="479">
        <v>6944.4</v>
      </c>
      <c r="B2788" s="476">
        <v>479060</v>
      </c>
      <c r="C2788" s="476">
        <v>479112</v>
      </c>
      <c r="D2788" s="476">
        <v>479163</v>
      </c>
      <c r="E2788" s="476">
        <v>479214</v>
      </c>
      <c r="F2788" s="476">
        <v>479265</v>
      </c>
      <c r="G2788" s="476">
        <v>479316</v>
      </c>
      <c r="H2788" s="476">
        <v>479367</v>
      </c>
      <c r="I2788" s="476">
        <v>479419</v>
      </c>
      <c r="J2788" s="476">
        <v>479470</v>
      </c>
      <c r="K2788" s="476">
        <v>479521</v>
      </c>
    </row>
    <row r="2789" spans="1:11">
      <c r="A2789" s="479">
        <v>6944.5</v>
      </c>
      <c r="B2789" s="476">
        <v>479572</v>
      </c>
      <c r="C2789" s="476">
        <v>479623</v>
      </c>
      <c r="D2789" s="476">
        <v>479674</v>
      </c>
      <c r="E2789" s="476">
        <v>479725</v>
      </c>
      <c r="F2789" s="476">
        <v>479777</v>
      </c>
      <c r="G2789" s="476">
        <v>479828</v>
      </c>
      <c r="H2789" s="476">
        <v>479879</v>
      </c>
      <c r="I2789" s="476">
        <v>479930</v>
      </c>
      <c r="J2789" s="476">
        <v>479981</v>
      </c>
      <c r="K2789" s="476">
        <v>480032</v>
      </c>
    </row>
    <row r="2790" spans="1:11">
      <c r="A2790" s="479">
        <v>6944.6</v>
      </c>
      <c r="B2790" s="476">
        <v>480084</v>
      </c>
      <c r="C2790" s="476">
        <v>480135</v>
      </c>
      <c r="D2790" s="476">
        <v>480186</v>
      </c>
      <c r="E2790" s="476">
        <v>480237</v>
      </c>
      <c r="F2790" s="476">
        <v>480288</v>
      </c>
      <c r="G2790" s="476">
        <v>480339</v>
      </c>
      <c r="H2790" s="476">
        <v>480390</v>
      </c>
      <c r="I2790" s="476">
        <v>480442</v>
      </c>
      <c r="J2790" s="476">
        <v>480493</v>
      </c>
      <c r="K2790" s="476">
        <v>480544</v>
      </c>
    </row>
    <row r="2791" spans="1:11">
      <c r="A2791" s="479">
        <v>6944.7</v>
      </c>
      <c r="B2791" s="476">
        <v>480595</v>
      </c>
      <c r="C2791" s="476">
        <v>480646</v>
      </c>
      <c r="D2791" s="476">
        <v>480697</v>
      </c>
      <c r="E2791" s="476">
        <v>480749</v>
      </c>
      <c r="F2791" s="476">
        <v>480800</v>
      </c>
      <c r="G2791" s="476">
        <v>480851</v>
      </c>
      <c r="H2791" s="476">
        <v>480902</v>
      </c>
      <c r="I2791" s="476">
        <v>480953</v>
      </c>
      <c r="J2791" s="476">
        <v>481004</v>
      </c>
      <c r="K2791" s="476">
        <v>481055</v>
      </c>
    </row>
    <row r="2792" spans="1:11">
      <c r="A2792" s="479">
        <v>6944.8</v>
      </c>
      <c r="B2792" s="476">
        <v>481107</v>
      </c>
      <c r="C2792" s="476">
        <v>481158</v>
      </c>
      <c r="D2792" s="476">
        <v>481209</v>
      </c>
      <c r="E2792" s="476">
        <v>481260</v>
      </c>
      <c r="F2792" s="476">
        <v>481311</v>
      </c>
      <c r="G2792" s="476">
        <v>481362</v>
      </c>
      <c r="H2792" s="476">
        <v>481414</v>
      </c>
      <c r="I2792" s="476">
        <v>481465</v>
      </c>
      <c r="J2792" s="476">
        <v>481516</v>
      </c>
      <c r="K2792" s="476">
        <v>481567</v>
      </c>
    </row>
    <row r="2793" spans="1:11">
      <c r="A2793" s="479">
        <v>6944.9</v>
      </c>
      <c r="B2793" s="476">
        <v>481618</v>
      </c>
      <c r="C2793" s="476">
        <v>481669</v>
      </c>
      <c r="D2793" s="476">
        <v>481721</v>
      </c>
      <c r="E2793" s="476">
        <v>481772</v>
      </c>
      <c r="F2793" s="476">
        <v>481823</v>
      </c>
      <c r="G2793" s="476">
        <v>481874</v>
      </c>
      <c r="H2793" s="476">
        <v>481925</v>
      </c>
      <c r="I2793" s="476">
        <v>481976</v>
      </c>
      <c r="J2793" s="476">
        <v>482027</v>
      </c>
      <c r="K2793" s="476">
        <v>482079</v>
      </c>
    </row>
    <row r="2794" spans="1:11">
      <c r="A2794" s="479">
        <v>6945</v>
      </c>
      <c r="B2794" s="476">
        <v>482130</v>
      </c>
      <c r="C2794" s="476">
        <v>482181</v>
      </c>
      <c r="D2794" s="476">
        <v>482233</v>
      </c>
      <c r="E2794" s="476">
        <v>482234</v>
      </c>
      <c r="F2794" s="476">
        <v>482336</v>
      </c>
      <c r="G2794" s="476">
        <v>482387</v>
      </c>
      <c r="H2794" s="476">
        <v>482439</v>
      </c>
      <c r="I2794" s="476">
        <v>482490</v>
      </c>
      <c r="J2794" s="476">
        <v>482542</v>
      </c>
      <c r="K2794" s="476">
        <v>482593</v>
      </c>
    </row>
    <row r="2795" spans="1:11">
      <c r="A2795" s="479">
        <v>6945.1</v>
      </c>
      <c r="B2795" s="476">
        <v>482644</v>
      </c>
      <c r="C2795" s="476">
        <v>482696</v>
      </c>
      <c r="D2795" s="476">
        <v>482747</v>
      </c>
      <c r="E2795" s="476">
        <v>482799</v>
      </c>
      <c r="F2795" s="476">
        <v>482850</v>
      </c>
      <c r="G2795" s="476">
        <v>432902</v>
      </c>
      <c r="H2795" s="476">
        <v>482953</v>
      </c>
      <c r="I2795" s="476">
        <v>483005</v>
      </c>
      <c r="J2795" s="476">
        <v>483056</v>
      </c>
      <c r="K2795" s="476">
        <v>483108</v>
      </c>
    </row>
    <row r="2796" spans="1:11">
      <c r="A2796" s="479">
        <v>6945.2</v>
      </c>
      <c r="B2796" s="476">
        <v>483159</v>
      </c>
      <c r="C2796" s="476">
        <v>483211</v>
      </c>
      <c r="D2796" s="476">
        <v>483262</v>
      </c>
      <c r="E2796" s="476">
        <v>483314</v>
      </c>
      <c r="F2796" s="476">
        <v>483365</v>
      </c>
      <c r="G2796" s="476">
        <v>483417</v>
      </c>
      <c r="H2796" s="476">
        <v>483468</v>
      </c>
      <c r="I2796" s="476">
        <v>483520</v>
      </c>
      <c r="J2796" s="476">
        <v>483571</v>
      </c>
      <c r="K2796" s="476">
        <v>483623</v>
      </c>
    </row>
    <row r="2797" spans="1:11">
      <c r="A2797" s="479">
        <v>6945.3</v>
      </c>
      <c r="B2797" s="476">
        <v>483674</v>
      </c>
      <c r="C2797" s="476">
        <v>483725</v>
      </c>
      <c r="D2797" s="476">
        <v>483777</v>
      </c>
      <c r="E2797" s="476">
        <v>483828</v>
      </c>
      <c r="F2797" s="476">
        <v>483880</v>
      </c>
      <c r="G2797" s="476">
        <v>453931</v>
      </c>
      <c r="H2797" s="476">
        <v>483983</v>
      </c>
      <c r="I2797" s="476">
        <v>484034</v>
      </c>
      <c r="J2797" s="476">
        <v>484086</v>
      </c>
      <c r="K2797" s="476">
        <v>484137</v>
      </c>
    </row>
    <row r="2798" spans="1:11">
      <c r="A2798" s="479">
        <v>6945.4</v>
      </c>
      <c r="B2798" s="476">
        <v>484189</v>
      </c>
      <c r="C2798" s="476">
        <v>484240</v>
      </c>
      <c r="D2798" s="476">
        <v>484292</v>
      </c>
      <c r="E2798" s="476">
        <v>484343</v>
      </c>
      <c r="F2798" s="476">
        <v>484395</v>
      </c>
      <c r="G2798" s="476">
        <v>484446</v>
      </c>
      <c r="H2798" s="476">
        <v>484498</v>
      </c>
      <c r="I2798" s="476">
        <v>484549</v>
      </c>
      <c r="J2798" s="476">
        <v>484601</v>
      </c>
      <c r="K2798" s="476">
        <v>484652</v>
      </c>
    </row>
    <row r="2799" spans="1:11">
      <c r="A2799" s="479">
        <v>6945.5</v>
      </c>
      <c r="B2799" s="476">
        <v>484703</v>
      </c>
      <c r="C2799" s="476">
        <v>484755</v>
      </c>
      <c r="D2799" s="476">
        <v>484806</v>
      </c>
      <c r="E2799" s="476">
        <v>484858</v>
      </c>
      <c r="F2799" s="476">
        <v>484909</v>
      </c>
      <c r="G2799" s="476">
        <v>484961</v>
      </c>
      <c r="H2799" s="476">
        <v>485012</v>
      </c>
      <c r="I2799" s="476">
        <v>485064</v>
      </c>
      <c r="J2799" s="476">
        <v>485115</v>
      </c>
      <c r="K2799" s="476">
        <v>485167</v>
      </c>
    </row>
    <row r="2800" spans="1:11">
      <c r="A2800" s="479">
        <v>6945.6</v>
      </c>
      <c r="B2800" s="476">
        <v>485218</v>
      </c>
      <c r="C2800" s="476">
        <v>485270</v>
      </c>
      <c r="D2800" s="476">
        <v>485321</v>
      </c>
      <c r="E2800" s="476">
        <v>485373</v>
      </c>
      <c r="F2800" s="476">
        <v>485424</v>
      </c>
      <c r="G2800" s="476">
        <v>485476</v>
      </c>
      <c r="H2800" s="476">
        <v>485527</v>
      </c>
      <c r="I2800" s="476">
        <v>485579</v>
      </c>
      <c r="J2800" s="476">
        <v>485630</v>
      </c>
      <c r="K2800" s="476">
        <v>485681</v>
      </c>
    </row>
    <row r="2801" spans="1:11">
      <c r="A2801" s="479">
        <v>6945.7</v>
      </c>
      <c r="B2801" s="476">
        <v>485733</v>
      </c>
      <c r="C2801" s="476">
        <v>485784</v>
      </c>
      <c r="D2801" s="476">
        <v>485836</v>
      </c>
      <c r="E2801" s="476">
        <v>485887</v>
      </c>
      <c r="F2801" s="476">
        <v>485939</v>
      </c>
      <c r="G2801" s="476">
        <v>485990</v>
      </c>
      <c r="H2801" s="476">
        <v>486042</v>
      </c>
      <c r="I2801" s="476">
        <v>486093</v>
      </c>
      <c r="J2801" s="476">
        <v>486145</v>
      </c>
      <c r="K2801" s="476">
        <v>486196</v>
      </c>
    </row>
    <row r="2802" spans="1:11">
      <c r="A2802" s="479">
        <v>6945.8</v>
      </c>
      <c r="B2802" s="476">
        <v>486248</v>
      </c>
      <c r="C2802" s="476">
        <v>486299</v>
      </c>
      <c r="D2802" s="476">
        <v>486351</v>
      </c>
      <c r="E2802" s="476">
        <v>486402</v>
      </c>
      <c r="F2802" s="476">
        <v>486454</v>
      </c>
      <c r="G2802" s="476">
        <v>486505</v>
      </c>
      <c r="H2802" s="476">
        <v>486557</v>
      </c>
      <c r="I2802" s="476">
        <v>486608</v>
      </c>
      <c r="J2802" s="476">
        <v>486659</v>
      </c>
      <c r="K2802" s="476">
        <v>486711</v>
      </c>
    </row>
    <row r="2803" spans="1:11">
      <c r="A2803" s="479">
        <v>6945.9</v>
      </c>
      <c r="B2803" s="476">
        <v>486762</v>
      </c>
      <c r="C2803" s="476">
        <v>486814</v>
      </c>
      <c r="D2803" s="476">
        <v>486865</v>
      </c>
      <c r="E2803" s="476">
        <v>486917</v>
      </c>
      <c r="F2803" s="476">
        <v>486968</v>
      </c>
      <c r="G2803" s="476">
        <v>487020</v>
      </c>
      <c r="H2803" s="476">
        <v>487071</v>
      </c>
      <c r="I2803" s="476">
        <v>487123</v>
      </c>
      <c r="J2803" s="476">
        <v>487174</v>
      </c>
      <c r="K2803" s="476">
        <v>487226</v>
      </c>
    </row>
    <row r="2804" spans="1:11">
      <c r="A2804" s="479">
        <v>6946</v>
      </c>
      <c r="B2804" s="476">
        <v>487277</v>
      </c>
      <c r="C2804" s="476">
        <v>487329</v>
      </c>
      <c r="D2804" s="476">
        <v>487381</v>
      </c>
      <c r="E2804" s="476">
        <v>487433</v>
      </c>
      <c r="F2804" s="476">
        <v>487484</v>
      </c>
      <c r="G2804" s="476">
        <v>487536</v>
      </c>
      <c r="H2804" s="476">
        <v>487588</v>
      </c>
      <c r="I2804" s="476">
        <v>487640</v>
      </c>
      <c r="J2804" s="476">
        <v>487692</v>
      </c>
      <c r="K2804" s="476">
        <v>487743</v>
      </c>
    </row>
    <row r="2805" spans="1:11">
      <c r="A2805" s="479">
        <v>6946.1</v>
      </c>
      <c r="B2805" s="476">
        <v>487795</v>
      </c>
      <c r="C2805" s="476">
        <v>487847</v>
      </c>
      <c r="D2805" s="476">
        <v>487899</v>
      </c>
      <c r="E2805" s="476">
        <v>487951</v>
      </c>
      <c r="F2805" s="476">
        <v>488002</v>
      </c>
      <c r="G2805" s="476">
        <v>488054</v>
      </c>
      <c r="H2805" s="476">
        <v>488106</v>
      </c>
      <c r="I2805" s="476">
        <v>488158</v>
      </c>
      <c r="J2805" s="476">
        <v>488210</v>
      </c>
      <c r="K2805" s="476">
        <v>488251</v>
      </c>
    </row>
    <row r="2806" spans="1:11">
      <c r="A2806" s="479">
        <v>6946.2</v>
      </c>
      <c r="B2806" s="476">
        <v>488313</v>
      </c>
      <c r="C2806" s="476">
        <v>488365</v>
      </c>
      <c r="D2806" s="476">
        <v>488417</v>
      </c>
      <c r="E2806" s="476">
        <v>488469</v>
      </c>
      <c r="F2806" s="476">
        <v>488520</v>
      </c>
      <c r="G2806" s="476">
        <v>488572</v>
      </c>
      <c r="H2806" s="476">
        <v>488624</v>
      </c>
      <c r="I2806" s="476">
        <v>488676</v>
      </c>
      <c r="J2806" s="476">
        <v>488728</v>
      </c>
      <c r="K2806" s="476">
        <v>488779</v>
      </c>
    </row>
    <row r="2807" spans="1:11">
      <c r="A2807" s="479">
        <v>6946.3</v>
      </c>
      <c r="B2807" s="476">
        <v>488831</v>
      </c>
      <c r="C2807" s="476">
        <v>488883</v>
      </c>
      <c r="D2807" s="476">
        <v>488935</v>
      </c>
      <c r="E2807" s="476">
        <v>488986</v>
      </c>
      <c r="F2807" s="476">
        <v>489038</v>
      </c>
      <c r="G2807" s="476">
        <v>489090</v>
      </c>
      <c r="H2807" s="476">
        <v>489142</v>
      </c>
      <c r="I2807" s="476">
        <v>489194</v>
      </c>
      <c r="J2807" s="476">
        <v>489245</v>
      </c>
      <c r="K2807" s="476">
        <v>489297</v>
      </c>
    </row>
    <row r="2808" spans="1:11">
      <c r="A2808" s="479">
        <v>6946.4</v>
      </c>
      <c r="B2808" s="476">
        <v>489349</v>
      </c>
      <c r="C2808" s="476">
        <v>489401</v>
      </c>
      <c r="D2808" s="476">
        <v>489453</v>
      </c>
      <c r="E2808" s="476">
        <v>489504</v>
      </c>
      <c r="F2808" s="476">
        <v>489556</v>
      </c>
      <c r="G2808" s="476">
        <v>489608</v>
      </c>
      <c r="H2808" s="476">
        <v>489660</v>
      </c>
      <c r="I2808" s="476">
        <v>489712</v>
      </c>
      <c r="J2808" s="476">
        <v>489763</v>
      </c>
      <c r="K2808" s="476">
        <v>489815</v>
      </c>
    </row>
    <row r="2809" spans="1:11">
      <c r="A2809" s="479">
        <v>6946.5</v>
      </c>
      <c r="B2809" s="476">
        <v>489867</v>
      </c>
      <c r="C2809" s="476">
        <v>489919</v>
      </c>
      <c r="D2809" s="476">
        <v>489971</v>
      </c>
      <c r="E2809" s="476">
        <v>490022</v>
      </c>
      <c r="F2809" s="476">
        <v>490074</v>
      </c>
      <c r="G2809" s="476">
        <v>490126</v>
      </c>
      <c r="H2809" s="476">
        <v>490178</v>
      </c>
      <c r="I2809" s="476">
        <v>490230</v>
      </c>
      <c r="J2809" s="476">
        <v>490281</v>
      </c>
      <c r="K2809" s="476">
        <v>490333</v>
      </c>
    </row>
    <row r="2810" spans="1:11">
      <c r="A2810" s="479">
        <v>6946.6</v>
      </c>
      <c r="B2810" s="476">
        <v>490385</v>
      </c>
      <c r="C2810" s="476">
        <v>490437</v>
      </c>
      <c r="D2810" s="476">
        <v>490489</v>
      </c>
      <c r="E2810" s="476">
        <v>490540</v>
      </c>
      <c r="F2810" s="476">
        <v>490592</v>
      </c>
      <c r="G2810" s="476">
        <v>490644</v>
      </c>
      <c r="H2810" s="476">
        <v>490696</v>
      </c>
      <c r="I2810" s="476">
        <v>490748</v>
      </c>
      <c r="J2810" s="476">
        <v>490799</v>
      </c>
      <c r="K2810" s="476">
        <v>490851</v>
      </c>
    </row>
    <row r="2811" spans="1:11">
      <c r="A2811" s="479">
        <v>6946.7</v>
      </c>
      <c r="B2811" s="476">
        <v>490903</v>
      </c>
      <c r="C2811" s="476">
        <v>490955</v>
      </c>
      <c r="D2811" s="476">
        <v>491007</v>
      </c>
      <c r="E2811" s="476">
        <v>491058</v>
      </c>
      <c r="F2811" s="476">
        <v>491110</v>
      </c>
      <c r="G2811" s="476">
        <v>491162</v>
      </c>
      <c r="H2811" s="476">
        <v>491214</v>
      </c>
      <c r="I2811" s="476">
        <v>491266</v>
      </c>
      <c r="J2811" s="476">
        <v>491317</v>
      </c>
      <c r="K2811" s="476">
        <v>491369</v>
      </c>
    </row>
    <row r="2812" spans="1:11">
      <c r="A2812" s="479">
        <v>6946.8</v>
      </c>
      <c r="B2812" s="476">
        <v>491421</v>
      </c>
      <c r="C2812" s="476">
        <v>491473</v>
      </c>
      <c r="D2812" s="476">
        <v>491525</v>
      </c>
      <c r="E2812" s="476">
        <v>491576</v>
      </c>
      <c r="F2812" s="476">
        <v>491628</v>
      </c>
      <c r="G2812" s="476">
        <v>491680</v>
      </c>
      <c r="H2812" s="476">
        <v>491732</v>
      </c>
      <c r="I2812" s="476">
        <v>491784</v>
      </c>
      <c r="J2812" s="476">
        <v>491835</v>
      </c>
      <c r="K2812" s="476">
        <v>491887</v>
      </c>
    </row>
    <row r="2813" spans="1:11">
      <c r="A2813" s="479">
        <v>6946.9</v>
      </c>
      <c r="B2813" s="476">
        <v>491939</v>
      </c>
      <c r="C2813" s="476">
        <v>491991</v>
      </c>
      <c r="D2813" s="476">
        <v>492043</v>
      </c>
      <c r="E2813" s="476">
        <v>492094</v>
      </c>
      <c r="F2813" s="476">
        <v>492146</v>
      </c>
      <c r="G2813" s="476">
        <v>492198</v>
      </c>
      <c r="H2813" s="476">
        <v>492250</v>
      </c>
      <c r="I2813" s="476">
        <v>492302</v>
      </c>
      <c r="J2813" s="476">
        <v>492353</v>
      </c>
      <c r="K2813" s="476">
        <v>492205</v>
      </c>
    </row>
    <row r="2814" spans="1:11">
      <c r="A2814" s="479">
        <v>6947</v>
      </c>
      <c r="B2814" s="476">
        <v>492457</v>
      </c>
      <c r="C2814" s="476">
        <v>492509</v>
      </c>
      <c r="D2814" s="476">
        <v>492561</v>
      </c>
      <c r="E2814" s="476">
        <v>492613</v>
      </c>
      <c r="F2814" s="476">
        <v>492665</v>
      </c>
      <c r="G2814" s="476">
        <v>492718</v>
      </c>
      <c r="H2814" s="476">
        <v>492770</v>
      </c>
      <c r="I2814" s="476">
        <v>492822</v>
      </c>
      <c r="J2814" s="476">
        <v>492874</v>
      </c>
      <c r="K2814" s="476">
        <v>492926</v>
      </c>
    </row>
    <row r="2815" spans="1:11">
      <c r="A2815" s="479">
        <v>6947.1</v>
      </c>
      <c r="B2815" s="476">
        <v>492978</v>
      </c>
      <c r="C2815" s="476">
        <v>493030</v>
      </c>
      <c r="D2815" s="476">
        <v>493082</v>
      </c>
      <c r="E2815" s="476">
        <v>493135</v>
      </c>
      <c r="F2815" s="476">
        <v>493187</v>
      </c>
      <c r="G2815" s="476">
        <v>493239</v>
      </c>
      <c r="H2815" s="476">
        <v>493291</v>
      </c>
      <c r="I2815" s="476">
        <v>493343</v>
      </c>
      <c r="J2815" s="476">
        <v>493395</v>
      </c>
      <c r="K2815" s="476">
        <v>493447</v>
      </c>
    </row>
    <row r="2816" spans="1:11">
      <c r="A2816" s="479">
        <v>6947.2</v>
      </c>
      <c r="B2816" s="476">
        <v>493499</v>
      </c>
      <c r="C2816" s="476">
        <v>493552</v>
      </c>
      <c r="D2816" s="476">
        <v>493604</v>
      </c>
      <c r="E2816" s="476">
        <v>493656</v>
      </c>
      <c r="F2816" s="476">
        <v>493708</v>
      </c>
      <c r="G2816" s="476">
        <v>493760</v>
      </c>
      <c r="H2816" s="476">
        <v>493812</v>
      </c>
      <c r="I2816" s="476">
        <v>493864</v>
      </c>
      <c r="J2816" s="476">
        <v>493916</v>
      </c>
      <c r="K2816" s="476">
        <v>493969</v>
      </c>
    </row>
    <row r="2817" spans="1:11">
      <c r="A2817" s="479">
        <v>6947.3</v>
      </c>
      <c r="B2817" s="476">
        <v>494021</v>
      </c>
      <c r="C2817" s="476">
        <v>494073</v>
      </c>
      <c r="D2817" s="476">
        <v>494125</v>
      </c>
      <c r="E2817" s="476">
        <v>494177</v>
      </c>
      <c r="F2817" s="476">
        <v>494229</v>
      </c>
      <c r="G2817" s="476">
        <v>494281</v>
      </c>
      <c r="H2817" s="476">
        <v>494333</v>
      </c>
      <c r="I2817" s="476">
        <v>494385</v>
      </c>
      <c r="J2817" s="476">
        <v>494438</v>
      </c>
      <c r="K2817" s="476">
        <v>494490</v>
      </c>
    </row>
    <row r="2818" spans="1:11">
      <c r="A2818" s="479">
        <v>6947.4</v>
      </c>
      <c r="B2818" s="476">
        <v>494542</v>
      </c>
      <c r="C2818" s="476">
        <v>494594</v>
      </c>
      <c r="D2818" s="476">
        <v>494646</v>
      </c>
      <c r="E2818" s="476">
        <v>494698</v>
      </c>
      <c r="F2818" s="476">
        <v>494750</v>
      </c>
      <c r="G2818" s="476">
        <v>494802</v>
      </c>
      <c r="H2818" s="476">
        <v>494855</v>
      </c>
      <c r="I2818" s="476">
        <v>494907</v>
      </c>
      <c r="J2818" s="476">
        <v>494959</v>
      </c>
      <c r="K2818" s="476">
        <v>495011</v>
      </c>
    </row>
    <row r="2819" spans="1:11">
      <c r="A2819" s="479">
        <v>6947.5</v>
      </c>
      <c r="B2819" s="476">
        <v>495063</v>
      </c>
      <c r="C2819" s="476">
        <v>495115</v>
      </c>
      <c r="D2819" s="476">
        <v>495167</v>
      </c>
      <c r="E2819" s="476">
        <v>495219</v>
      </c>
      <c r="F2819" s="476">
        <v>495272</v>
      </c>
      <c r="G2819" s="476">
        <v>495324</v>
      </c>
      <c r="H2819" s="476">
        <v>495376</v>
      </c>
      <c r="I2819" s="476">
        <v>495428</v>
      </c>
      <c r="J2819" s="476">
        <v>495480</v>
      </c>
      <c r="K2819" s="476">
        <v>495532</v>
      </c>
    </row>
    <row r="2820" spans="1:11">
      <c r="A2820" s="479">
        <v>6947.6</v>
      </c>
      <c r="B2820" s="476">
        <v>495584</v>
      </c>
      <c r="C2820" s="476">
        <v>495636</v>
      </c>
      <c r="D2820" s="476">
        <v>495689</v>
      </c>
      <c r="E2820" s="476">
        <v>495741</v>
      </c>
      <c r="F2820" s="476">
        <v>495793</v>
      </c>
      <c r="G2820" s="476">
        <v>495845</v>
      </c>
      <c r="H2820" s="476">
        <v>495897</v>
      </c>
      <c r="I2820" s="476">
        <v>495949</v>
      </c>
      <c r="J2820" s="476">
        <v>496001</v>
      </c>
      <c r="K2820" s="476">
        <v>496053</v>
      </c>
    </row>
    <row r="2821" spans="1:11">
      <c r="A2821" s="479">
        <v>6947.7</v>
      </c>
      <c r="B2821" s="476">
        <v>496106</v>
      </c>
      <c r="C2821" s="476">
        <v>496158</v>
      </c>
      <c r="D2821" s="476">
        <v>496210</v>
      </c>
      <c r="E2821" s="476">
        <v>496262</v>
      </c>
      <c r="F2821" s="476">
        <v>496314</v>
      </c>
      <c r="G2821" s="476">
        <v>496366</v>
      </c>
      <c r="H2821" s="476">
        <v>496418</v>
      </c>
      <c r="I2821" s="476">
        <v>496470</v>
      </c>
      <c r="J2821" s="476">
        <v>496523</v>
      </c>
      <c r="K2821" s="476">
        <v>496575</v>
      </c>
    </row>
    <row r="2822" spans="1:11">
      <c r="A2822" s="479">
        <v>6947.8</v>
      </c>
      <c r="B2822" s="476">
        <v>496627</v>
      </c>
      <c r="C2822" s="476">
        <v>496679</v>
      </c>
      <c r="D2822" s="476">
        <v>496731</v>
      </c>
      <c r="E2822" s="476">
        <v>496783</v>
      </c>
      <c r="F2822" s="476">
        <v>496835</v>
      </c>
      <c r="G2822" s="476">
        <v>496887</v>
      </c>
      <c r="H2822" s="476">
        <v>496940</v>
      </c>
      <c r="I2822" s="476">
        <v>496992</v>
      </c>
      <c r="J2822" s="476">
        <v>497044</v>
      </c>
      <c r="K2822" s="476">
        <v>497096</v>
      </c>
    </row>
    <row r="2823" spans="1:11">
      <c r="A2823" s="479">
        <v>6947.9</v>
      </c>
      <c r="B2823" s="476">
        <v>497148</v>
      </c>
      <c r="C2823" s="476">
        <v>497200</v>
      </c>
      <c r="D2823" s="476">
        <v>497252</v>
      </c>
      <c r="E2823" s="476">
        <v>497304</v>
      </c>
      <c r="F2823" s="476">
        <v>497357</v>
      </c>
      <c r="G2823" s="476">
        <v>497409</v>
      </c>
      <c r="H2823" s="476">
        <v>497461</v>
      </c>
      <c r="I2823" s="476">
        <v>497513</v>
      </c>
      <c r="J2823" s="476">
        <v>497565</v>
      </c>
      <c r="K2823" s="476">
        <v>497617</v>
      </c>
    </row>
    <row r="2824" spans="1:11">
      <c r="A2824" s="479">
        <v>6948</v>
      </c>
      <c r="B2824" s="476">
        <v>497669</v>
      </c>
      <c r="C2824" s="476">
        <v>497722</v>
      </c>
      <c r="D2824" s="476">
        <v>497774</v>
      </c>
      <c r="E2824" s="476">
        <v>497827</v>
      </c>
      <c r="F2824" s="476">
        <v>497879</v>
      </c>
      <c r="G2824" s="476">
        <v>497932</v>
      </c>
      <c r="H2824" s="476">
        <v>497984</v>
      </c>
      <c r="I2824" s="476">
        <v>498036</v>
      </c>
      <c r="J2824" s="476">
        <v>498089</v>
      </c>
      <c r="K2824" s="476">
        <v>498141</v>
      </c>
    </row>
    <row r="2825" spans="1:11">
      <c r="A2825" s="479">
        <v>6948.1</v>
      </c>
      <c r="B2825" s="476">
        <v>498194</v>
      </c>
      <c r="C2825" s="476">
        <v>498246</v>
      </c>
      <c r="D2825" s="476">
        <v>498299</v>
      </c>
      <c r="E2825" s="476">
        <v>498351</v>
      </c>
      <c r="F2825" s="476">
        <v>498404</v>
      </c>
      <c r="G2825" s="476">
        <v>498456</v>
      </c>
      <c r="H2825" s="476">
        <v>498509</v>
      </c>
      <c r="I2825" s="476">
        <v>498561</v>
      </c>
      <c r="J2825" s="476">
        <v>498613</v>
      </c>
      <c r="K2825" s="476">
        <v>498666</v>
      </c>
    </row>
    <row r="2826" spans="1:11">
      <c r="A2826" s="479">
        <v>6948.2</v>
      </c>
      <c r="B2826" s="476">
        <v>498718</v>
      </c>
      <c r="C2826" s="476">
        <v>498771</v>
      </c>
      <c r="D2826" s="476">
        <v>498823</v>
      </c>
      <c r="E2826" s="476">
        <v>498876</v>
      </c>
      <c r="F2826" s="476">
        <v>498928</v>
      </c>
      <c r="G2826" s="476">
        <v>498981</v>
      </c>
      <c r="H2826" s="476">
        <v>499033</v>
      </c>
      <c r="I2826" s="476">
        <v>499086</v>
      </c>
      <c r="J2826" s="476">
        <v>499138</v>
      </c>
      <c r="K2826" s="476">
        <v>499190</v>
      </c>
    </row>
    <row r="2827" spans="1:11">
      <c r="A2827" s="479">
        <v>6948.3</v>
      </c>
      <c r="B2827" s="476">
        <v>499243</v>
      </c>
      <c r="C2827" s="476">
        <v>499295</v>
      </c>
      <c r="D2827" s="476">
        <v>499348</v>
      </c>
      <c r="E2827" s="476">
        <v>499400</v>
      </c>
      <c r="F2827" s="476">
        <v>499453</v>
      </c>
      <c r="G2827" s="476">
        <v>499505</v>
      </c>
      <c r="H2827" s="476">
        <v>499558</v>
      </c>
      <c r="I2827" s="476">
        <v>499610</v>
      </c>
      <c r="J2827" s="476">
        <v>499663</v>
      </c>
      <c r="K2827" s="476">
        <v>499715</v>
      </c>
    </row>
    <row r="2828" spans="1:11">
      <c r="A2828" s="479">
        <v>6948.4</v>
      </c>
      <c r="B2828" s="476">
        <v>499767</v>
      </c>
      <c r="C2828" s="476">
        <v>499820</v>
      </c>
      <c r="D2828" s="476">
        <v>499872</v>
      </c>
      <c r="E2828" s="476">
        <v>499925</v>
      </c>
      <c r="F2828" s="476">
        <v>499977</v>
      </c>
      <c r="G2828" s="476">
        <v>500030</v>
      </c>
      <c r="H2828" s="476">
        <v>500082</v>
      </c>
      <c r="I2828" s="476">
        <v>500135</v>
      </c>
      <c r="J2828" s="476">
        <v>500187</v>
      </c>
      <c r="K2828" s="476">
        <v>500240</v>
      </c>
    </row>
    <row r="2829" spans="1:11">
      <c r="A2829" s="479">
        <v>6948.5</v>
      </c>
      <c r="B2829" s="476">
        <v>500292</v>
      </c>
      <c r="C2829" s="476">
        <v>500344</v>
      </c>
      <c r="D2829" s="476">
        <v>500397</v>
      </c>
      <c r="E2829" s="476">
        <v>500449</v>
      </c>
      <c r="F2829" s="476">
        <v>500502</v>
      </c>
      <c r="G2829" s="476">
        <v>500554</v>
      </c>
      <c r="H2829" s="476">
        <v>500607</v>
      </c>
      <c r="I2829" s="476">
        <v>500659</v>
      </c>
      <c r="J2829" s="476">
        <v>500712</v>
      </c>
      <c r="K2829" s="476">
        <v>500764</v>
      </c>
    </row>
    <row r="2830" spans="1:11">
      <c r="A2830" s="479">
        <v>6948.6</v>
      </c>
      <c r="B2830" s="476">
        <v>500817</v>
      </c>
      <c r="C2830" s="476">
        <v>500869</v>
      </c>
      <c r="D2830" s="476">
        <v>500921</v>
      </c>
      <c r="E2830" s="476">
        <v>500974</v>
      </c>
      <c r="F2830" s="476">
        <v>501026</v>
      </c>
      <c r="G2830" s="476">
        <v>501079</v>
      </c>
      <c r="H2830" s="476">
        <v>501131</v>
      </c>
      <c r="I2830" s="476">
        <v>501184</v>
      </c>
      <c r="J2830" s="476">
        <v>501236</v>
      </c>
      <c r="K2830" s="476">
        <v>501239</v>
      </c>
    </row>
    <row r="2831" spans="1:11">
      <c r="A2831" s="479">
        <v>6948.7</v>
      </c>
      <c r="B2831" s="476">
        <v>501341</v>
      </c>
      <c r="C2831" s="476">
        <v>501394</v>
      </c>
      <c r="D2831" s="476">
        <v>501446</v>
      </c>
      <c r="E2831" s="476">
        <v>501498</v>
      </c>
      <c r="F2831" s="476">
        <v>501551</v>
      </c>
      <c r="G2831" s="476">
        <v>501603</v>
      </c>
      <c r="H2831" s="476">
        <v>501656</v>
      </c>
      <c r="I2831" s="476">
        <v>501708</v>
      </c>
      <c r="J2831" s="476">
        <v>501761</v>
      </c>
      <c r="K2831" s="476">
        <v>501813</v>
      </c>
    </row>
    <row r="2832" spans="1:11">
      <c r="A2832" s="479">
        <v>6948.8</v>
      </c>
      <c r="B2832" s="476">
        <v>501866</v>
      </c>
      <c r="C2832" s="476">
        <v>501918</v>
      </c>
      <c r="D2832" s="476">
        <v>501971</v>
      </c>
      <c r="E2832" s="476">
        <v>502023</v>
      </c>
      <c r="F2832" s="476">
        <v>502075</v>
      </c>
      <c r="G2832" s="476">
        <v>502128</v>
      </c>
      <c r="H2832" s="476">
        <v>502180</v>
      </c>
      <c r="I2832" s="476">
        <v>502233</v>
      </c>
      <c r="J2832" s="476">
        <v>502285</v>
      </c>
      <c r="K2832" s="476">
        <v>502338</v>
      </c>
    </row>
    <row r="2833" spans="1:11">
      <c r="A2833" s="479">
        <v>6948.9</v>
      </c>
      <c r="B2833" s="476">
        <v>502390</v>
      </c>
      <c r="C2833" s="476">
        <v>502443</v>
      </c>
      <c r="D2833" s="476">
        <v>502495</v>
      </c>
      <c r="E2833" s="476">
        <v>502547</v>
      </c>
      <c r="F2833" s="476">
        <v>502600</v>
      </c>
      <c r="G2833" s="476">
        <v>502652</v>
      </c>
      <c r="H2833" s="476">
        <v>502705</v>
      </c>
      <c r="I2833" s="476">
        <v>502757</v>
      </c>
      <c r="J2833" s="476">
        <v>502810</v>
      </c>
      <c r="K2833" s="476">
        <v>502562</v>
      </c>
    </row>
    <row r="2834" spans="1:11">
      <c r="A2834" s="479">
        <v>6949</v>
      </c>
      <c r="B2834" s="476">
        <v>502915</v>
      </c>
      <c r="C2834" s="476"/>
      <c r="D2834" s="476"/>
      <c r="E2834" s="476"/>
      <c r="F2834" s="476"/>
      <c r="G2834" s="476"/>
      <c r="H2834" s="476"/>
      <c r="I2834" s="476"/>
      <c r="J2834" s="476"/>
      <c r="K2834" s="47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NOV</vt:lpstr>
      <vt:lpstr>DEC</vt:lpstr>
      <vt:lpstr>JAN</vt:lpstr>
      <vt:lpstr>FEB</vt:lpstr>
      <vt:lpstr>MAR</vt:lpstr>
      <vt:lpstr>APR</vt:lpstr>
      <vt:lpstr>MAY</vt:lpstr>
      <vt:lpstr>JUN</vt:lpstr>
      <vt:lpstr>JUL</vt:lpstr>
      <vt:lpstr>AUG</vt:lpstr>
      <vt:lpstr>SEP</vt:lpstr>
      <vt:lpstr>OCT</vt:lpstr>
      <vt:lpstr>VLOOKUP</vt:lpstr>
      <vt:lpstr>APR!Print_Area</vt:lpstr>
      <vt:lpstr>AUG!Print_Area</vt:lpstr>
      <vt:lpstr>DEC!Print_Area</vt:lpstr>
      <vt:lpstr>FEB!Print_Area</vt:lpstr>
      <vt:lpstr>JAN!Print_Area</vt:lpstr>
      <vt:lpstr>JUL!Print_Area</vt:lpstr>
      <vt:lpstr>JUN!Print_Area</vt:lpstr>
      <vt:lpstr>MAR!Print_Area</vt:lpstr>
      <vt:lpstr>MAY!Print_Area</vt:lpstr>
      <vt:lpstr>OCT!Print_Area</vt:lpstr>
      <vt:lpstr>SEP!Print_Area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RIVER</dc:title>
  <dc:subject>MCPHEE IN/OUT FLOW</dc:subject>
  <dc:creator>Vernon Lamb</dc:creator>
  <cp:lastModifiedBy>Eric Sprague</cp:lastModifiedBy>
  <cp:lastPrinted>2016-04-25T14:27:30Z</cp:lastPrinted>
  <dcterms:created xsi:type="dcterms:W3CDTF">1997-11-03T22:03:40Z</dcterms:created>
  <dcterms:modified xsi:type="dcterms:W3CDTF">2021-01-26T19:52:35Z</dcterms:modified>
</cp:coreProperties>
</file>