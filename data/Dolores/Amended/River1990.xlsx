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APR!$A$1:$AC$49</definedName>
    <definedName function="false" hidden="false" localSheetId="9" name="_xlnm.Print_Area" vbProcedure="false">AUG!$A$1:$AD$53</definedName>
    <definedName function="false" hidden="false" localSheetId="1" name="_xlnm.Print_Area" vbProcedure="false">DEC!$A$1:$AC$52</definedName>
    <definedName function="false" hidden="false" localSheetId="3" name="_xlnm.Print_Area" vbProcedure="false">FEB!$A$1:$AC$52</definedName>
    <definedName function="false" hidden="false" localSheetId="2" name="_xlnm.Print_Area" vbProcedure="false">JAN!$A$1:$AC$55</definedName>
    <definedName function="false" hidden="false" localSheetId="8" name="_xlnm.Print_Area" vbProcedure="false">JUL!$A$1:$AD$51</definedName>
    <definedName function="false" hidden="false" localSheetId="7" name="_xlnm.Print_Area" vbProcedure="false">JUN!$A$1:$AD$50</definedName>
    <definedName function="false" hidden="false" localSheetId="4" name="_xlnm.Print_Area" vbProcedure="false">MAR!$A$1:$AC$55</definedName>
    <definedName function="false" hidden="false" localSheetId="6" name="_xlnm.Print_Area" vbProcedure="false">MAY!$A$1:$AC$52</definedName>
    <definedName function="false" hidden="false" localSheetId="0" name="_xlnm.Print_Area" vbProcedure="false">NOV!$A$1:$AC$54</definedName>
    <definedName function="false" hidden="false" localSheetId="11" name="_xlnm.Print_Area" vbProcedure="false">OCT!$A$1:$AD$50</definedName>
    <definedName function="false" hidden="false" localSheetId="10" name="_xlnm.Print_Area" vbProcedure="false">SEP!$A$1:$AD$53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6" authorId="0">
      <text>
        <r>
          <rPr>
            <b val="true"/>
            <sz val="8"/>
            <color rgb="FF000000"/>
            <rFont val="Tahoma"/>
            <family val="0"/>
          </rPr>
          <t xml:space="preserve">E A Birk:
</t>
        </r>
        <r>
          <rPr>
            <sz val="8"/>
            <color rgb="FF000000"/>
            <rFont val="Tahoma"/>
            <family val="0"/>
          </rPr>
          <t xml:space="preserve">River @ Dolores Froze</t>
        </r>
      </text>
    </comment>
  </commentList>
</comments>
</file>

<file path=xl/sharedStrings.xml><?xml version="1.0" encoding="utf-8"?>
<sst xmlns="http://schemas.openxmlformats.org/spreadsheetml/2006/main" count="829" uniqueCount="85">
  <si>
    <t xml:space="preserve">MC  PHEE  RESERVOIR  IN/OUT  FLOW  TABULATION</t>
  </si>
  <si>
    <t xml:space="preserve">AF/cfs  CONVERT FACTOR</t>
  </si>
  <si>
    <t xml:space="preserve">           NOVEMBER  "1989"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</si>
  <si>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</si>
  <si>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</si>
  <si>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</si>
  <si>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</si>
  <si>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</si>
  <si>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</si>
  <si>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</si>
  <si>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</si>
  <si>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</si>
  <si>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</si>
  <si>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</si>
  <si>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</si>
  <si>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</si>
  <si>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</si>
  <si>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</si>
  <si>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</si>
  <si>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</si>
  <si>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</si>
  <si>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</si>
  <si>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</si>
  <si>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</si>
  <si>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</si>
  <si>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</si>
  <si>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</si>
  <si>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</si>
  <si>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</si>
  <si>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</si>
  <si>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</si>
  <si>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</si>
  <si>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</si>
  <si>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</si>
  <si>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</si>
  <si>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</si>
  <si>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</si>
  <si>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</si>
  <si>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</si>
  <si>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</si>
  <si>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</si>
  <si>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</si>
  <si>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</si>
  <si>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</si>
  <si>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</si>
  <si>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</si>
  <si>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</si>
  <si>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</si>
  <si>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</si>
  <si>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</si>
  <si>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</si>
  <si>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</si>
  <si>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</si>
  <si>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"1989"</t>
  </si>
  <si>
    <t xml:space="preserve">"DEC"</t>
  </si>
  <si>
    <t xml:space="preserve">JANUARY  "1990"</t>
  </si>
  <si>
    <t xml:space="preserve">"JAN"</t>
  </si>
  <si>
    <t xml:space="preserve">AVE</t>
  </si>
  <si>
    <t xml:space="preserve">FEBRUARY  "1990"</t>
  </si>
  <si>
    <t xml:space="preserve">FEB</t>
  </si>
  <si>
    <t xml:space="preserve">MARCH  "1990"</t>
  </si>
  <si>
    <t xml:space="preserve">MAR</t>
  </si>
  <si>
    <t xml:space="preserve">APRIL  "1990"</t>
  </si>
  <si>
    <t xml:space="preserve">"APR"</t>
  </si>
  <si>
    <t xml:space="preserve">MVI/CTZ/MWC</t>
  </si>
  <si>
    <t xml:space="preserve">MAY  "1990"</t>
  </si>
  <si>
    <t xml:space="preserve">"MAY"</t>
  </si>
  <si>
    <t xml:space="preserve">AVG</t>
  </si>
  <si>
    <t xml:space="preserve">Diff</t>
  </si>
  <si>
    <t xml:space="preserve">Daily M&amp;I &amp; Evap</t>
  </si>
  <si>
    <t xml:space="preserve">JUNE  "1990"</t>
  </si>
  <si>
    <t xml:space="preserve">FISH </t>
  </si>
  <si>
    <t xml:space="preserve">"JUN"</t>
  </si>
  <si>
    <t xml:space="preserve">LOAN</t>
  </si>
  <si>
    <t xml:space="preserve">JULY  "1990"</t>
  </si>
  <si>
    <t xml:space="preserve">FISH</t>
  </si>
  <si>
    <t xml:space="preserve">"JUL"</t>
  </si>
  <si>
    <t xml:space="preserve">`</t>
  </si>
  <si>
    <t xml:space="preserve">AUGUST  "1990"</t>
  </si>
  <si>
    <t xml:space="preserve">"AUG"</t>
  </si>
  <si>
    <t xml:space="preserve">SEPTEMBER  "1990"</t>
  </si>
  <si>
    <t xml:space="preserve"> TUNNEL</t>
  </si>
  <si>
    <t xml:space="preserve">"SEP"</t>
  </si>
  <si>
    <t xml:space="preserve">OCTOBER  "1990"</t>
  </si>
  <si>
    <t xml:space="preserve">"OCT"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</si>
</sst>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#,##0.00000"/>
    <numFmt numFmtId="179" formatCode="#,##0.0000"/>
    <numFmt numFmtId="180" formatCode="0.00_);[RED]\(0.00\)"/>
  </numFmts>
  <fonts count="17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b val="true"/>
      <sz val="8"/>
      <color rgb="FF000000"/>
      <name val="Tahoma"/>
      <family val="0"/>
    </font>
    <font>
      <sz val="8"/>
      <color rgb="FF000000"/>
      <name val="Tahoma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b val="true"/>
      <sz val="8"/>
      <name val="Arial Narrow"/>
      <family val="0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1EFC1E"/>
        <bgColor rgb="FF33CCCC"/>
      </patternFill>
    </fill>
    <fill>
      <patternFill patternType="solid">
        <fgColor rgb="FFCC9CCC"/>
        <bgColor rgb="FFFF99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n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/>
      <bottom style="thin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CCC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9</xdr:row>
      <xdr:rowOff>57240</xdr:rowOff>
    </xdr:from>
    <xdr:to>
      <xdr:col>22</xdr:col>
      <xdr:colOff>216000</xdr:colOff>
      <xdr:row>11</xdr:row>
      <xdr:rowOff>19440</xdr:rowOff>
    </xdr:to>
    <xdr:sp>
      <xdr:nvSpPr>
        <xdr:cNvPr id="1" name="Text 2"/>
        <xdr:cNvSpPr/>
      </xdr:nvSpPr>
      <xdr:spPr>
        <a:xfrm>
          <a:off x="8494560" y="1299240"/>
          <a:ext cx="21600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H20" activePane="bottomRight" state="frozen"/>
      <selection pane="topLeft" activeCell="A1" activeCellId="0" sqref="A1"/>
      <selection pane="topRight" activeCell="H1" activeCellId="0" sqref="H1"/>
      <selection pane="bottomLeft" activeCell="A20" activeCellId="0" sqref="A20"/>
      <selection pane="bottomRight" activeCell="AB40" activeCellId="0" sqref="AB4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2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10"/>
      <c r="Z2" s="11"/>
      <c r="AA2" s="12"/>
      <c r="AB2" s="13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10"/>
      <c r="Z3" s="11"/>
      <c r="AA3" s="12"/>
      <c r="AB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</row>
    <row r="5" customFormat="false" ht="11.1" hidden="false" customHeight="true" outlineLevel="0" collapsed="false">
      <c r="A5" s="22" t="s">
        <v>22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23" t="s">
        <v>34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22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1"/>
      <c r="AA7" s="12"/>
      <c r="AB7" s="12"/>
      <c r="AC7" s="13"/>
    </row>
    <row r="8" s="1" customFormat="true" ht="11.1" hidden="false" customHeight="true" outlineLevel="0" collapsed="false">
      <c r="A8" s="7" t="s">
        <v>43</v>
      </c>
      <c r="B8" s="29" t="n">
        <v>6903.45</v>
      </c>
      <c r="C8" s="7" t="n">
        <v>296485</v>
      </c>
      <c r="D8" s="7"/>
      <c r="E8" s="7"/>
      <c r="F8" s="7"/>
      <c r="G8" s="7"/>
      <c r="H8" s="12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11"/>
      <c r="AA8" s="12"/>
      <c r="AB8" s="12"/>
      <c r="AC8" s="13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</row>
    <row r="10" customFormat="false" ht="11.1" hidden="false" customHeight="true" outlineLevel="0" collapsed="false">
      <c r="A10" s="13" t="n">
        <v>1</v>
      </c>
      <c r="B10" s="29" t="n">
        <v>6903.38</v>
      </c>
      <c r="C10" s="7" t="n">
        <v>296219</v>
      </c>
      <c r="D10" s="12" t="n">
        <f aca="false">C10-C8</f>
        <v>-266</v>
      </c>
      <c r="E10" s="7" t="n">
        <f aca="false">C10-152000</f>
        <v>144219</v>
      </c>
      <c r="F10" s="6" t="n">
        <f aca="false">D10/$D$2</f>
        <v>-134.106377615326</v>
      </c>
      <c r="G10" s="6" t="n">
        <v>52.08</v>
      </c>
      <c r="H10" s="8" t="n">
        <v>0</v>
      </c>
      <c r="I10" s="6" t="n">
        <f aca="false">G10+H10</f>
        <v>52.08</v>
      </c>
      <c r="J10" s="37" t="n">
        <f aca="false">IF(L10&gt;0,L10,0)</f>
        <v>0</v>
      </c>
      <c r="K10" s="6" t="n">
        <f aca="false">I10+J10</f>
        <v>52.08</v>
      </c>
      <c r="L10" s="6" t="n">
        <f aca="false">F10-(I10-W10)</f>
        <v>-82.8163776153264</v>
      </c>
      <c r="M10" s="6" t="n">
        <v>29</v>
      </c>
      <c r="N10" s="6" t="n">
        <v>0</v>
      </c>
      <c r="O10" s="6" t="n">
        <v>0</v>
      </c>
      <c r="P10" s="6" t="n">
        <f aca="false">M10-(N10+O10)</f>
        <v>29</v>
      </c>
      <c r="Q10" s="6" t="n">
        <v>0</v>
      </c>
      <c r="R10" s="6" t="n">
        <v>0</v>
      </c>
      <c r="S10" s="6" t="n">
        <f aca="false">SUM(P10:R10)</f>
        <v>29</v>
      </c>
      <c r="T10" s="7"/>
      <c r="U10" s="6" t="n">
        <v>0</v>
      </c>
      <c r="V10" s="6" t="n">
        <v>74.37</v>
      </c>
      <c r="W10" s="6" t="n">
        <f aca="false">N10+O10+S10+U10+V10</f>
        <v>103.37</v>
      </c>
      <c r="X10" s="6" t="n">
        <f aca="false">IF(L10&lt;0,L10*-1,0)</f>
        <v>82.8163776153264</v>
      </c>
      <c r="Y10" s="6" t="n">
        <f aca="false">W10+X10</f>
        <v>186.186377615326</v>
      </c>
      <c r="Z10" s="11" t="n">
        <v>0</v>
      </c>
      <c r="AA10" s="12" t="n">
        <v>34</v>
      </c>
      <c r="AB10" s="12" t="n">
        <v>21</v>
      </c>
      <c r="AC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38" t="n">
        <v>6903.32</v>
      </c>
      <c r="C11" s="7" t="n">
        <v>295991</v>
      </c>
      <c r="D11" s="12" t="n">
        <f aca="false">C11-C10</f>
        <v>-228</v>
      </c>
      <c r="E11" s="7" t="n">
        <f aca="false">C11-152000</f>
        <v>143991</v>
      </c>
      <c r="F11" s="6" t="n">
        <f aca="false">D11/$D$2</f>
        <v>-114.94832367028</v>
      </c>
      <c r="G11" s="6" t="n">
        <v>57.93</v>
      </c>
      <c r="H11" s="8" t="n">
        <v>0</v>
      </c>
      <c r="I11" s="6" t="n">
        <f aca="false">G11+H11</f>
        <v>57.93</v>
      </c>
      <c r="J11" s="37" t="n">
        <f aca="false">IF(L11&gt;0,L11,0)</f>
        <v>0</v>
      </c>
      <c r="K11" s="6" t="n">
        <f aca="false">I11+J11</f>
        <v>57.93</v>
      </c>
      <c r="L11" s="6" t="n">
        <f aca="false">F11-(I11-W11)</f>
        <v>-69.5083236702798</v>
      </c>
      <c r="M11" s="6" t="n">
        <v>29</v>
      </c>
      <c r="N11" s="6" t="n">
        <v>0</v>
      </c>
      <c r="O11" s="6" t="n">
        <v>0</v>
      </c>
      <c r="P11" s="6" t="n">
        <f aca="false">M11-(N11+O11)</f>
        <v>29</v>
      </c>
      <c r="Q11" s="6" t="n">
        <v>0</v>
      </c>
      <c r="R11" s="6" t="n">
        <v>0</v>
      </c>
      <c r="S11" s="6" t="n">
        <f aca="false">SUM(P11:R11)</f>
        <v>29</v>
      </c>
      <c r="T11" s="7"/>
      <c r="U11" s="6" t="n">
        <v>0</v>
      </c>
      <c r="V11" s="6" t="n">
        <v>74.37</v>
      </c>
      <c r="W11" s="6" t="n">
        <f aca="false">N11+O11+S11+U11+V11</f>
        <v>103.37</v>
      </c>
      <c r="X11" s="6" t="n">
        <f aca="false">IF(L11&lt;0,L11*-1,0)</f>
        <v>69.5083236702798</v>
      </c>
      <c r="Y11" s="6" t="n">
        <f aca="false">W11+X11</f>
        <v>172.87832367028</v>
      </c>
      <c r="Z11" s="11" t="n">
        <v>0</v>
      </c>
      <c r="AA11" s="12" t="n">
        <v>44</v>
      </c>
      <c r="AB11" s="12" t="n">
        <v>14</v>
      </c>
      <c r="AC11" s="13" t="n">
        <f aca="false">AC10+1</f>
        <v>2</v>
      </c>
    </row>
    <row r="12" customFormat="false" ht="11.1" hidden="false" customHeight="true" outlineLevel="0" collapsed="false">
      <c r="A12" s="13" t="n">
        <f aca="false">A11+1</f>
        <v>3</v>
      </c>
      <c r="B12" s="29" t="n">
        <v>6903.27</v>
      </c>
      <c r="C12" s="7" t="n">
        <v>295802</v>
      </c>
      <c r="D12" s="12" t="n">
        <f aca="false">C12-C11</f>
        <v>-189</v>
      </c>
      <c r="E12" s="7" t="n">
        <f aca="false">C12-152000</f>
        <v>143802</v>
      </c>
      <c r="F12" s="6" t="n">
        <f aca="false">D12/$D$2</f>
        <v>-95.2861104108898</v>
      </c>
      <c r="G12" s="6" t="n">
        <v>52.68</v>
      </c>
      <c r="H12" s="8" t="n">
        <v>0</v>
      </c>
      <c r="I12" s="6" t="n">
        <f aca="false">G12+H12</f>
        <v>52.68</v>
      </c>
      <c r="J12" s="37" t="n">
        <f aca="false">IF(L12&gt;0,L12,0)</f>
        <v>0</v>
      </c>
      <c r="K12" s="6" t="n">
        <f aca="false">I12+J12</f>
        <v>52.68</v>
      </c>
      <c r="L12" s="6" t="n">
        <f aca="false">F12-(I12-W12)</f>
        <v>-44.5961104108898</v>
      </c>
      <c r="M12" s="6" t="n">
        <v>29</v>
      </c>
      <c r="N12" s="6" t="n">
        <v>0</v>
      </c>
      <c r="O12" s="6" t="n">
        <v>0</v>
      </c>
      <c r="P12" s="6" t="n">
        <f aca="false">M12-(N12+O12)</f>
        <v>29</v>
      </c>
      <c r="Q12" s="6" t="n">
        <v>0</v>
      </c>
      <c r="R12" s="6" t="n">
        <v>0</v>
      </c>
      <c r="S12" s="6" t="n">
        <f aca="false">SUM(P12:R12)</f>
        <v>29</v>
      </c>
      <c r="T12" s="7"/>
      <c r="U12" s="6" t="n">
        <v>0</v>
      </c>
      <c r="V12" s="6" t="n">
        <v>74.37</v>
      </c>
      <c r="W12" s="6" t="n">
        <f aca="false">N12+O12+S12+U12+V12</f>
        <v>103.37</v>
      </c>
      <c r="X12" s="6" t="n">
        <f aca="false">IF(L12&lt;0,L12*-1,0)</f>
        <v>44.5961104108898</v>
      </c>
      <c r="Y12" s="6" t="n">
        <f aca="false">W12+X12</f>
        <v>147.96611041089</v>
      </c>
      <c r="Z12" s="11" t="n">
        <v>0</v>
      </c>
      <c r="AA12" s="12" t="n">
        <v>54</v>
      </c>
      <c r="AB12" s="12" t="n">
        <v>18</v>
      </c>
      <c r="AC12" s="13" t="n">
        <f aca="false">AC11+1</f>
        <v>3</v>
      </c>
    </row>
    <row r="13" customFormat="false" ht="11.1" hidden="false" customHeight="true" outlineLevel="0" collapsed="false">
      <c r="A13" s="13" t="n">
        <f aca="false">A12+1</f>
        <v>4</v>
      </c>
      <c r="B13" s="29" t="n">
        <v>6903.23</v>
      </c>
      <c r="C13" s="7" t="n">
        <v>295650</v>
      </c>
      <c r="D13" s="12" t="n">
        <f aca="false">C13-C12</f>
        <v>-152</v>
      </c>
      <c r="E13" s="7" t="n">
        <f aca="false">C13-152000</f>
        <v>143650</v>
      </c>
      <c r="F13" s="6" t="n">
        <f aca="false">D13/$D$2</f>
        <v>-76.6322157801865</v>
      </c>
      <c r="G13" s="6" t="n">
        <v>46.86</v>
      </c>
      <c r="H13" s="8" t="n">
        <v>0</v>
      </c>
      <c r="I13" s="6" t="n">
        <f aca="false">G13+H13</f>
        <v>46.86</v>
      </c>
      <c r="J13" s="37" t="n">
        <f aca="false">IF(L13&gt;0,L13,0)</f>
        <v>0</v>
      </c>
      <c r="K13" s="6" t="n">
        <f aca="false">I13+J13</f>
        <v>46.86</v>
      </c>
      <c r="L13" s="6" t="n">
        <f aca="false">F13-(I13-W13)</f>
        <v>-20.1222157801865</v>
      </c>
      <c r="M13" s="6" t="n">
        <v>29</v>
      </c>
      <c r="N13" s="6" t="n">
        <v>0</v>
      </c>
      <c r="O13" s="6" t="n">
        <v>0</v>
      </c>
      <c r="P13" s="6" t="n">
        <f aca="false">M13-(N13+O13)</f>
        <v>29</v>
      </c>
      <c r="Q13" s="6" t="n">
        <v>0</v>
      </c>
      <c r="R13" s="6" t="n">
        <v>0</v>
      </c>
      <c r="S13" s="6" t="n">
        <f aca="false">SUM(P13:R13)</f>
        <v>29</v>
      </c>
      <c r="T13" s="7"/>
      <c r="U13" s="6" t="n">
        <v>0</v>
      </c>
      <c r="V13" s="6" t="n">
        <v>74.37</v>
      </c>
      <c r="W13" s="6" t="n">
        <f aca="false">N13+O13+S13+U13+V13</f>
        <v>103.37</v>
      </c>
      <c r="X13" s="6" t="n">
        <f aca="false">IF(L13&lt;0,L13*-1,0)</f>
        <v>20.1222157801865</v>
      </c>
      <c r="Y13" s="6" t="n">
        <f aca="false">W13+X13</f>
        <v>123.492215780187</v>
      </c>
      <c r="Z13" s="11" t="n">
        <v>0</v>
      </c>
      <c r="AA13" s="12" t="n">
        <v>52</v>
      </c>
      <c r="AB13" s="12" t="n">
        <v>20</v>
      </c>
      <c r="AC13" s="13" t="n">
        <f aca="false">AC12+1</f>
        <v>4</v>
      </c>
    </row>
    <row r="14" customFormat="false" ht="11.1" hidden="false" customHeight="true" outlineLevel="0" collapsed="false">
      <c r="A14" s="13" t="n">
        <f aca="false">A13+1</f>
        <v>5</v>
      </c>
      <c r="B14" s="29" t="n">
        <v>6903.19</v>
      </c>
      <c r="C14" s="7" t="n">
        <v>295498</v>
      </c>
      <c r="D14" s="12" t="n">
        <f aca="false">C14-C13</f>
        <v>-152</v>
      </c>
      <c r="E14" s="7" t="n">
        <f aca="false">C14-152000</f>
        <v>143498</v>
      </c>
      <c r="F14" s="6" t="n">
        <f aca="false">D14/$D$2</f>
        <v>-76.6322157801865</v>
      </c>
      <c r="G14" s="6" t="n">
        <v>47.84</v>
      </c>
      <c r="H14" s="8" t="n">
        <v>0</v>
      </c>
      <c r="I14" s="6" t="n">
        <f aca="false">G14+H14</f>
        <v>47.84</v>
      </c>
      <c r="J14" s="37" t="n">
        <f aca="false">IF(L14&gt;0,L14,0)</f>
        <v>0</v>
      </c>
      <c r="K14" s="6" t="n">
        <f aca="false">I14+J14</f>
        <v>47.84</v>
      </c>
      <c r="L14" s="6" t="n">
        <f aca="false">F14-(I14-W14)</f>
        <v>-21.1022157801865</v>
      </c>
      <c r="M14" s="6" t="n">
        <v>29</v>
      </c>
      <c r="N14" s="6" t="n">
        <v>0</v>
      </c>
      <c r="O14" s="6" t="n">
        <v>0</v>
      </c>
      <c r="P14" s="6" t="n">
        <f aca="false">M14-(N14+O14)</f>
        <v>29</v>
      </c>
      <c r="Q14" s="6" t="n">
        <v>0</v>
      </c>
      <c r="R14" s="6" t="n">
        <v>0</v>
      </c>
      <c r="S14" s="6" t="n">
        <f aca="false">SUM(P14:R14)</f>
        <v>29</v>
      </c>
      <c r="T14" s="7"/>
      <c r="U14" s="6" t="n">
        <v>0</v>
      </c>
      <c r="V14" s="6" t="n">
        <v>74.37</v>
      </c>
      <c r="W14" s="6" t="n">
        <f aca="false">N14+O14+S14+U14+V14</f>
        <v>103.37</v>
      </c>
      <c r="X14" s="6" t="n">
        <f aca="false">IF(L14&lt;0,L14*-1,0)</f>
        <v>21.1022157801865</v>
      </c>
      <c r="Y14" s="6" t="n">
        <f aca="false">W14+X14</f>
        <v>124.472215780187</v>
      </c>
      <c r="Z14" s="11" t="n">
        <v>0.02</v>
      </c>
      <c r="AA14" s="12" t="n">
        <v>48</v>
      </c>
      <c r="AB14" s="12" t="n">
        <v>20</v>
      </c>
      <c r="AC14" s="13" t="n">
        <f aca="false">AC13+1</f>
        <v>5</v>
      </c>
    </row>
    <row r="15" customFormat="false" ht="11.1" hidden="false" customHeight="true" outlineLevel="0" collapsed="false">
      <c r="A15" s="13" t="n">
        <f aca="false">A14+1</f>
        <v>6</v>
      </c>
      <c r="B15" s="29" t="n">
        <v>6903.16</v>
      </c>
      <c r="C15" s="7" t="n">
        <v>295384</v>
      </c>
      <c r="D15" s="12" t="n">
        <f aca="false">C15-C14</f>
        <v>-114</v>
      </c>
      <c r="E15" s="7" t="n">
        <f aca="false">C15-152000</f>
        <v>143384</v>
      </c>
      <c r="F15" s="6" t="n">
        <f aca="false">D15/$D$2</f>
        <v>-57.4741618351399</v>
      </c>
      <c r="G15" s="6" t="n">
        <v>51.95</v>
      </c>
      <c r="H15" s="8" t="n">
        <v>0</v>
      </c>
      <c r="I15" s="6" t="n">
        <f aca="false">G15+H15</f>
        <v>51.95</v>
      </c>
      <c r="J15" s="37" t="n">
        <f aca="false">IF(L15&gt;0,L15,0)</f>
        <v>0</v>
      </c>
      <c r="K15" s="6" t="n">
        <f aca="false">I15+J15</f>
        <v>51.95</v>
      </c>
      <c r="L15" s="6" t="n">
        <f aca="false">F15-(I15-W15)</f>
        <v>-6.04416183513991</v>
      </c>
      <c r="M15" s="6" t="n">
        <v>29</v>
      </c>
      <c r="N15" s="6" t="n">
        <v>0</v>
      </c>
      <c r="O15" s="6" t="n">
        <v>0</v>
      </c>
      <c r="P15" s="6" t="n">
        <f aca="false">M15-(N15+O15)</f>
        <v>29</v>
      </c>
      <c r="Q15" s="6" t="n">
        <v>0</v>
      </c>
      <c r="R15" s="6" t="n">
        <v>0</v>
      </c>
      <c r="S15" s="6" t="n">
        <f aca="false">SUM(P15:R15)</f>
        <v>29</v>
      </c>
      <c r="T15" s="7"/>
      <c r="U15" s="6" t="n">
        <v>0</v>
      </c>
      <c r="V15" s="6" t="n">
        <v>74.38</v>
      </c>
      <c r="W15" s="6" t="n">
        <f aca="false">N15+O15+S15+U15+V15</f>
        <v>103.38</v>
      </c>
      <c r="X15" s="6" t="n">
        <f aca="false">IF(L15&lt;0,L15*-1,0)</f>
        <v>6.04416183513991</v>
      </c>
      <c r="Y15" s="6" t="n">
        <f aca="false">W15+X15</f>
        <v>109.42416183514</v>
      </c>
      <c r="Z15" s="11" t="n">
        <v>0.01</v>
      </c>
      <c r="AA15" s="12" t="n">
        <v>46</v>
      </c>
      <c r="AB15" s="12" t="n">
        <v>21</v>
      </c>
      <c r="AC15" s="13" t="n">
        <f aca="false">AC14+1</f>
        <v>6</v>
      </c>
    </row>
    <row r="16" customFormat="false" ht="11.1" hidden="false" customHeight="true" outlineLevel="0" collapsed="false">
      <c r="A16" s="13" t="n">
        <f aca="false">A15+1</f>
        <v>7</v>
      </c>
      <c r="B16" s="29" t="n">
        <v>6903.11</v>
      </c>
      <c r="C16" s="7" t="n">
        <v>295195</v>
      </c>
      <c r="D16" s="12" t="n">
        <f aca="false">C16-C15</f>
        <v>-189</v>
      </c>
      <c r="E16" s="7" t="n">
        <f aca="false">C16-152000</f>
        <v>143195</v>
      </c>
      <c r="F16" s="6" t="n">
        <f aca="false">D16/$D$2</f>
        <v>-95.2861104108898</v>
      </c>
      <c r="G16" s="6" t="n">
        <v>47.15</v>
      </c>
      <c r="H16" s="8" t="n">
        <v>0</v>
      </c>
      <c r="I16" s="6" t="n">
        <f aca="false">G16+H16</f>
        <v>47.15</v>
      </c>
      <c r="J16" s="37" t="n">
        <f aca="false">IF(L16&gt;0,L16,0)</f>
        <v>0</v>
      </c>
      <c r="K16" s="6" t="n">
        <f aca="false">I16+J16</f>
        <v>47.15</v>
      </c>
      <c r="L16" s="6" t="n">
        <f aca="false">F16-(I16-W16)</f>
        <v>-39.0561104108898</v>
      </c>
      <c r="M16" s="6" t="n">
        <v>29</v>
      </c>
      <c r="N16" s="6" t="n">
        <v>0</v>
      </c>
      <c r="O16" s="6" t="n">
        <v>0</v>
      </c>
      <c r="P16" s="6" t="n">
        <f aca="false">M16-(N16+O16)</f>
        <v>29</v>
      </c>
      <c r="Q16" s="6" t="n">
        <v>0</v>
      </c>
      <c r="R16" s="6" t="n">
        <v>0</v>
      </c>
      <c r="S16" s="6" t="n">
        <f aca="false">SUM(P16:R16)</f>
        <v>29</v>
      </c>
      <c r="T16" s="7"/>
      <c r="U16" s="6" t="n">
        <v>0</v>
      </c>
      <c r="V16" s="6" t="n">
        <v>74.38</v>
      </c>
      <c r="W16" s="6" t="n">
        <f aca="false">N16+O16+S16+U16+V16</f>
        <v>103.38</v>
      </c>
      <c r="X16" s="6" t="n">
        <f aca="false">IF(L16&lt;0,L16*-1,0)</f>
        <v>39.0561104108898</v>
      </c>
      <c r="Y16" s="6" t="n">
        <f aca="false">W16+X16</f>
        <v>142.43611041089</v>
      </c>
      <c r="Z16" s="11" t="n">
        <v>0</v>
      </c>
      <c r="AA16" s="12" t="n">
        <v>44</v>
      </c>
      <c r="AB16" s="12" t="n">
        <v>20</v>
      </c>
      <c r="AC16" s="13" t="n">
        <f aca="false">AC15+1</f>
        <v>7</v>
      </c>
    </row>
    <row r="17" customFormat="false" ht="11.1" hidden="false" customHeight="true" outlineLevel="0" collapsed="false">
      <c r="A17" s="13" t="n">
        <f aca="false">A16+1</f>
        <v>8</v>
      </c>
      <c r="B17" s="29" t="n">
        <v>6903.07</v>
      </c>
      <c r="C17" s="7" t="n">
        <v>295043</v>
      </c>
      <c r="D17" s="12" t="n">
        <f aca="false">C17-C16</f>
        <v>-152</v>
      </c>
      <c r="E17" s="7" t="n">
        <f aca="false">C17-152000</f>
        <v>143043</v>
      </c>
      <c r="F17" s="6" t="n">
        <f aca="false">D17/$D$2</f>
        <v>-76.6322157801865</v>
      </c>
      <c r="G17" s="6" t="n">
        <v>42.36</v>
      </c>
      <c r="H17" s="8" t="n">
        <v>0</v>
      </c>
      <c r="I17" s="6" t="n">
        <f aca="false">G17+H17</f>
        <v>42.36</v>
      </c>
      <c r="J17" s="37" t="n">
        <f aca="false">IF(L17&gt;0,L17,0)</f>
        <v>0</v>
      </c>
      <c r="K17" s="6" t="n">
        <f aca="false">I17+J17</f>
        <v>42.36</v>
      </c>
      <c r="L17" s="6" t="n">
        <f aca="false">F17-(I17-W17)</f>
        <v>-11.5322157801865</v>
      </c>
      <c r="M17" s="6" t="n">
        <v>29</v>
      </c>
      <c r="N17" s="6" t="n">
        <v>0</v>
      </c>
      <c r="O17" s="6" t="n">
        <v>0</v>
      </c>
      <c r="P17" s="6" t="n">
        <f aca="false">M17-(N17+O17)</f>
        <v>29</v>
      </c>
      <c r="Q17" s="6" t="n">
        <v>0</v>
      </c>
      <c r="R17" s="6" t="n">
        <v>0</v>
      </c>
      <c r="S17" s="6" t="n">
        <f aca="false">SUM(P17:R17)</f>
        <v>29</v>
      </c>
      <c r="T17" s="7"/>
      <c r="U17" s="6" t="n">
        <v>0</v>
      </c>
      <c r="V17" s="6" t="n">
        <v>78.46</v>
      </c>
      <c r="W17" s="6" t="n">
        <f aca="false">N17+O17+S17+U17+V17</f>
        <v>107.46</v>
      </c>
      <c r="X17" s="6" t="n">
        <f aca="false">IF(L17&lt;0,L17*-1,0)</f>
        <v>11.5322157801865</v>
      </c>
      <c r="Y17" s="6" t="n">
        <f aca="false">W17+X17</f>
        <v>118.992215780187</v>
      </c>
      <c r="Z17" s="11" t="n">
        <v>0.03</v>
      </c>
      <c r="AA17" s="12" t="n">
        <v>45</v>
      </c>
      <c r="AB17" s="12" t="n">
        <v>25</v>
      </c>
      <c r="AC17" s="13" t="n">
        <f aca="false">AC16+1</f>
        <v>8</v>
      </c>
    </row>
    <row r="18" customFormat="false" ht="11.1" hidden="false" customHeight="true" outlineLevel="0" collapsed="false">
      <c r="A18" s="13" t="n">
        <f aca="false">A17+1</f>
        <v>9</v>
      </c>
      <c r="B18" s="29" t="n">
        <v>6903.02</v>
      </c>
      <c r="C18" s="7" t="n">
        <v>294853</v>
      </c>
      <c r="D18" s="12" t="n">
        <f aca="false">C18-C17</f>
        <v>-190</v>
      </c>
      <c r="E18" s="7" t="n">
        <f aca="false">C18-152000</f>
        <v>142853</v>
      </c>
      <c r="F18" s="6" t="n">
        <f aca="false">D18/$D$2</f>
        <v>-95.7902697252332</v>
      </c>
      <c r="G18" s="6" t="n">
        <v>39.38</v>
      </c>
      <c r="H18" s="8" t="n">
        <v>0</v>
      </c>
      <c r="I18" s="6" t="n">
        <f aca="false">G18+H18</f>
        <v>39.38</v>
      </c>
      <c r="J18" s="37" t="n">
        <f aca="false">IF(L18&gt;0,L18,0)</f>
        <v>0</v>
      </c>
      <c r="K18" s="6" t="n">
        <f aca="false">I18+J18</f>
        <v>39.38</v>
      </c>
      <c r="L18" s="6" t="n">
        <f aca="false">F18-(I18-W18)</f>
        <v>-27.6702697252332</v>
      </c>
      <c r="M18" s="6" t="n">
        <v>29</v>
      </c>
      <c r="N18" s="6" t="n">
        <v>0</v>
      </c>
      <c r="O18" s="6" t="n">
        <v>0</v>
      </c>
      <c r="P18" s="6" t="n">
        <f aca="false">M18-(N18+O18)</f>
        <v>29</v>
      </c>
      <c r="Q18" s="6" t="n">
        <v>0</v>
      </c>
      <c r="R18" s="6" t="n">
        <v>0</v>
      </c>
      <c r="S18" s="6" t="n">
        <f aca="false">SUM(P18:R18)</f>
        <v>29</v>
      </c>
      <c r="T18" s="7"/>
      <c r="U18" s="6" t="n">
        <v>0</v>
      </c>
      <c r="V18" s="6" t="n">
        <v>78.5</v>
      </c>
      <c r="W18" s="6" t="n">
        <f aca="false">N18+O18+S18+U18+V18</f>
        <v>107.5</v>
      </c>
      <c r="X18" s="6" t="n">
        <f aca="false">IF(L18&lt;0,L18*-1,0)</f>
        <v>27.6702697252332</v>
      </c>
      <c r="Y18" s="6" t="n">
        <f aca="false">W18+X18</f>
        <v>135.170269725233</v>
      </c>
      <c r="Z18" s="11" t="n">
        <v>0</v>
      </c>
      <c r="AA18" s="39" t="n">
        <v>46</v>
      </c>
      <c r="AB18" s="12" t="n">
        <v>23</v>
      </c>
      <c r="AC18" s="13" t="n">
        <f aca="false">AC17+1</f>
        <v>9</v>
      </c>
    </row>
    <row r="19" customFormat="false" ht="11.1" hidden="false" customHeight="true" outlineLevel="0" collapsed="false">
      <c r="A19" s="13" t="n">
        <f aca="false">A18+1</f>
        <v>10</v>
      </c>
      <c r="B19" s="29" t="n">
        <v>6902.97</v>
      </c>
      <c r="C19" s="7" t="n">
        <v>294665</v>
      </c>
      <c r="D19" s="12" t="n">
        <f aca="false">C19-C18</f>
        <v>-188</v>
      </c>
      <c r="E19" s="7" t="n">
        <f aca="false">C19-152000</f>
        <v>142665</v>
      </c>
      <c r="F19" s="6" t="n">
        <f aca="false">D19/$D$2</f>
        <v>-94.7819510965465</v>
      </c>
      <c r="G19" s="6" t="n">
        <v>45.8</v>
      </c>
      <c r="H19" s="8" t="n">
        <v>0</v>
      </c>
      <c r="I19" s="6" t="n">
        <f aca="false">G19+H19</f>
        <v>45.8</v>
      </c>
      <c r="J19" s="37" t="n">
        <f aca="false">IF(L19&gt;0,L19,0)</f>
        <v>0</v>
      </c>
      <c r="K19" s="6" t="n">
        <f aca="false">I19+J19</f>
        <v>45.8</v>
      </c>
      <c r="L19" s="6" t="n">
        <f aca="false">F19-(I19-W19)</f>
        <v>-33.0919510965465</v>
      </c>
      <c r="M19" s="6" t="n">
        <v>29</v>
      </c>
      <c r="N19" s="6" t="n">
        <v>0</v>
      </c>
      <c r="O19" s="6" t="n">
        <v>0</v>
      </c>
      <c r="P19" s="6" t="n">
        <f aca="false">M19-(N19+O19)</f>
        <v>29</v>
      </c>
      <c r="Q19" s="6" t="n">
        <v>0</v>
      </c>
      <c r="R19" s="6" t="n">
        <v>0</v>
      </c>
      <c r="S19" s="6" t="n">
        <f aca="false">SUM(P19:R19)</f>
        <v>29</v>
      </c>
      <c r="T19" s="7"/>
      <c r="U19" s="6" t="n">
        <v>0</v>
      </c>
      <c r="V19" s="6" t="n">
        <v>78.49</v>
      </c>
      <c r="W19" s="6" t="n">
        <f aca="false">N19+O19+S19+U19+V19</f>
        <v>107.49</v>
      </c>
      <c r="X19" s="6" t="n">
        <f aca="false">IF(L19&lt;0,L19*-1,0)</f>
        <v>33.0919510965465</v>
      </c>
      <c r="Y19" s="6" t="n">
        <f aca="false">W19+X19</f>
        <v>140.581951096547</v>
      </c>
      <c r="Z19" s="11" t="n">
        <v>0</v>
      </c>
      <c r="AA19" s="12" t="n">
        <v>45</v>
      </c>
      <c r="AB19" s="12" t="n">
        <v>24</v>
      </c>
      <c r="AC19" s="13" t="n">
        <f aca="false">AC18+1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29" t="n">
        <v>6902.92</v>
      </c>
      <c r="C20" s="7" t="n">
        <v>294476</v>
      </c>
      <c r="D20" s="12" t="n">
        <f aca="false">C20-C19</f>
        <v>-189</v>
      </c>
      <c r="E20" s="7" t="n">
        <f aca="false">C20-152000</f>
        <v>142476</v>
      </c>
      <c r="F20" s="6" t="n">
        <f aca="false">D20/$D$2</f>
        <v>-95.2861104108898</v>
      </c>
      <c r="G20" s="6" t="n">
        <v>48.33</v>
      </c>
      <c r="H20" s="8" t="n">
        <v>0</v>
      </c>
      <c r="I20" s="6" t="n">
        <f aca="false">G20+H20</f>
        <v>48.33</v>
      </c>
      <c r="J20" s="37" t="n">
        <f aca="false">IF(L20&gt;0,L20,0)</f>
        <v>0</v>
      </c>
      <c r="K20" s="6" t="n">
        <f aca="false">I20+J20</f>
        <v>48.33</v>
      </c>
      <c r="L20" s="6" t="n">
        <f aca="false">F20-(I20-W20)</f>
        <v>-36.1161104108898</v>
      </c>
      <c r="M20" s="6" t="n">
        <v>29</v>
      </c>
      <c r="N20" s="6" t="n">
        <v>0</v>
      </c>
      <c r="O20" s="6" t="n">
        <v>0</v>
      </c>
      <c r="P20" s="6" t="n">
        <f aca="false">M20-(N20+O20)</f>
        <v>29</v>
      </c>
      <c r="Q20" s="6" t="n">
        <v>0</v>
      </c>
      <c r="R20" s="6" t="n">
        <v>0</v>
      </c>
      <c r="S20" s="6" t="n">
        <f aca="false">SUM(P20:R20)</f>
        <v>29</v>
      </c>
      <c r="T20" s="7"/>
      <c r="U20" s="6" t="n">
        <v>0</v>
      </c>
      <c r="V20" s="6" t="n">
        <v>78.5</v>
      </c>
      <c r="W20" s="6" t="n">
        <f aca="false">N20+O20+S20+U20+V20</f>
        <v>107.5</v>
      </c>
      <c r="X20" s="6" t="n">
        <f aca="false">IF(L20&lt;0,L20*-1,0)</f>
        <v>36.1161104108898</v>
      </c>
      <c r="Y20" s="6" t="n">
        <f aca="false">W20+X20</f>
        <v>143.61611041089</v>
      </c>
      <c r="Z20" s="11" t="n">
        <v>0</v>
      </c>
      <c r="AA20" s="12" t="n">
        <v>45</v>
      </c>
      <c r="AB20" s="12" t="n">
        <v>23</v>
      </c>
      <c r="AC20" s="13" t="n">
        <f aca="false">AC19+1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29" t="n">
        <v>6902.86</v>
      </c>
      <c r="C21" s="7" t="n">
        <v>294251</v>
      </c>
      <c r="D21" s="12" t="n">
        <f aca="false">C21-C20</f>
        <v>-225</v>
      </c>
      <c r="E21" s="7" t="n">
        <f aca="false">C21-152000</f>
        <v>142251</v>
      </c>
      <c r="F21" s="6" t="n">
        <f aca="false">D21/$D$2</f>
        <v>-113.43584572725</v>
      </c>
      <c r="G21" s="6" t="n">
        <v>46.22</v>
      </c>
      <c r="H21" s="8" t="n">
        <v>0</v>
      </c>
      <c r="I21" s="6" t="n">
        <f aca="false">G21+H21</f>
        <v>46.22</v>
      </c>
      <c r="J21" s="37" t="n">
        <f aca="false">IF(L21&gt;0,L21,0)</f>
        <v>0</v>
      </c>
      <c r="K21" s="6" t="n">
        <f aca="false">I21+J21</f>
        <v>46.22</v>
      </c>
      <c r="L21" s="6" t="n">
        <f aca="false">F21-(I21-W21)</f>
        <v>-52.1658457272498</v>
      </c>
      <c r="M21" s="6" t="n">
        <v>29</v>
      </c>
      <c r="N21" s="6" t="n">
        <v>0</v>
      </c>
      <c r="O21" s="6" t="n">
        <v>0</v>
      </c>
      <c r="P21" s="6" t="n">
        <f aca="false">M21-(N21+O21)</f>
        <v>29</v>
      </c>
      <c r="Q21" s="6" t="n">
        <v>0</v>
      </c>
      <c r="R21" s="6" t="n">
        <v>0</v>
      </c>
      <c r="S21" s="6" t="n">
        <f aca="false">SUM(P21:R21)</f>
        <v>29</v>
      </c>
      <c r="T21" s="7"/>
      <c r="U21" s="6" t="n">
        <v>0</v>
      </c>
      <c r="V21" s="6" t="n">
        <v>78.49</v>
      </c>
      <c r="W21" s="6" t="n">
        <f aca="false">N21+O21+S21+U21+V21</f>
        <v>107.49</v>
      </c>
      <c r="X21" s="6" t="n">
        <f aca="false">IF(L21&lt;0,L21*-1,0)</f>
        <v>52.1658457272498</v>
      </c>
      <c r="Y21" s="6" t="n">
        <f aca="false">W21+X21</f>
        <v>159.65584572725</v>
      </c>
      <c r="Z21" s="11" t="n">
        <v>0</v>
      </c>
      <c r="AA21" s="12" t="n">
        <v>47</v>
      </c>
      <c r="AB21" s="12" t="n">
        <v>24</v>
      </c>
      <c r="AC21" s="13" t="n">
        <f aca="false">AC20+1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29" t="n">
        <v>6902.82</v>
      </c>
      <c r="C22" s="7" t="n">
        <v>294100</v>
      </c>
      <c r="D22" s="12" t="n">
        <f aca="false">C22-C21</f>
        <v>-151</v>
      </c>
      <c r="E22" s="7" t="n">
        <f aca="false">C22-152000</f>
        <v>142100</v>
      </c>
      <c r="F22" s="6" t="n">
        <f aca="false">D22/$D$2</f>
        <v>-76.1280564658432</v>
      </c>
      <c r="G22" s="6" t="n">
        <v>43.47</v>
      </c>
      <c r="H22" s="8" t="n">
        <v>0</v>
      </c>
      <c r="I22" s="6" t="n">
        <f aca="false">G22+H22</f>
        <v>43.47</v>
      </c>
      <c r="J22" s="37" t="n">
        <f aca="false">IF(L22&gt;0,L22,0)</f>
        <v>0</v>
      </c>
      <c r="K22" s="6" t="n">
        <f aca="false">I22+J22</f>
        <v>43.47</v>
      </c>
      <c r="L22" s="6" t="n">
        <f aca="false">F22-(I22-W22)</f>
        <v>-11.9780564658432</v>
      </c>
      <c r="M22" s="6" t="n">
        <v>29</v>
      </c>
      <c r="N22" s="6" t="n">
        <v>0</v>
      </c>
      <c r="O22" s="6" t="n">
        <v>0</v>
      </c>
      <c r="P22" s="6" t="n">
        <f aca="false">M22-(N22+O22)</f>
        <v>29</v>
      </c>
      <c r="Q22" s="6" t="n">
        <v>0</v>
      </c>
      <c r="R22" s="6" t="n">
        <v>0</v>
      </c>
      <c r="S22" s="6" t="n">
        <f aca="false">SUM(P22:R22)</f>
        <v>29</v>
      </c>
      <c r="T22" s="7"/>
      <c r="U22" s="6" t="n">
        <v>0</v>
      </c>
      <c r="V22" s="6" t="n">
        <v>78.62</v>
      </c>
      <c r="W22" s="6" t="n">
        <f aca="false">N22+O22+S22+U22+V22</f>
        <v>107.62</v>
      </c>
      <c r="X22" s="6" t="n">
        <f aca="false">IF(L22&lt;0,L22*-1,0)</f>
        <v>11.9780564658432</v>
      </c>
      <c r="Y22" s="6" t="n">
        <f aca="false">W22+X22</f>
        <v>119.598056465843</v>
      </c>
      <c r="Z22" s="11" t="n">
        <v>0</v>
      </c>
      <c r="AA22" s="12" t="n">
        <v>46</v>
      </c>
      <c r="AB22" s="12" t="n">
        <v>22</v>
      </c>
      <c r="AC22" s="13" t="n">
        <f aca="false">AC21+1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29" t="n">
        <v>6902.77</v>
      </c>
      <c r="C23" s="7" t="n">
        <v>293912</v>
      </c>
      <c r="D23" s="12" t="n">
        <f aca="false">C23-C22</f>
        <v>-188</v>
      </c>
      <c r="E23" s="7" t="n">
        <f aca="false">C23-152000</f>
        <v>141912</v>
      </c>
      <c r="F23" s="6" t="n">
        <f aca="false">D23/$D$2</f>
        <v>-94.7819510965465</v>
      </c>
      <c r="G23" s="6" t="n">
        <v>40.97</v>
      </c>
      <c r="H23" s="8" t="n">
        <v>0</v>
      </c>
      <c r="I23" s="6" t="n">
        <f aca="false">G23+H23</f>
        <v>40.97</v>
      </c>
      <c r="J23" s="37" t="n">
        <f aca="false">IF(L23&gt;0,L23,0)</f>
        <v>0</v>
      </c>
      <c r="K23" s="6" t="n">
        <f aca="false">I23+J23</f>
        <v>40.97</v>
      </c>
      <c r="L23" s="6" t="n">
        <f aca="false">F23-(I23-W23)</f>
        <v>-28.1819510965465</v>
      </c>
      <c r="M23" s="6" t="n">
        <v>29</v>
      </c>
      <c r="N23" s="6" t="n">
        <v>0</v>
      </c>
      <c r="O23" s="6" t="n">
        <v>0</v>
      </c>
      <c r="P23" s="6" t="n">
        <f aca="false">M23-(N23+O23)</f>
        <v>29</v>
      </c>
      <c r="Q23" s="6" t="n">
        <v>0</v>
      </c>
      <c r="R23" s="6" t="n">
        <v>0</v>
      </c>
      <c r="S23" s="6" t="n">
        <f aca="false">SUM(P23:R23)</f>
        <v>29</v>
      </c>
      <c r="T23" s="7"/>
      <c r="U23" s="6" t="n">
        <v>0</v>
      </c>
      <c r="V23" s="6" t="n">
        <v>78.57</v>
      </c>
      <c r="W23" s="6" t="n">
        <f aca="false">N23+O23+S23+U23+V23</f>
        <v>107.57</v>
      </c>
      <c r="X23" s="6" t="n">
        <f aca="false">IF(L23&lt;0,L23*-1,0)</f>
        <v>28.1819510965465</v>
      </c>
      <c r="Y23" s="6" t="n">
        <f aca="false">W23+X23</f>
        <v>135.751951096547</v>
      </c>
      <c r="Z23" s="11" t="n">
        <v>0</v>
      </c>
      <c r="AA23" s="39" t="n">
        <v>46</v>
      </c>
      <c r="AB23" s="12" t="n">
        <v>19</v>
      </c>
      <c r="AC23" s="13" t="n">
        <f aca="false">AC22+1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29" t="n">
        <v>6902.71</v>
      </c>
      <c r="C24" s="7" t="n">
        <v>293686</v>
      </c>
      <c r="D24" s="12" t="n">
        <f aca="false">C24-C23</f>
        <v>-226</v>
      </c>
      <c r="E24" s="7" t="n">
        <f aca="false">C24-152000</f>
        <v>141686</v>
      </c>
      <c r="F24" s="6" t="n">
        <f aca="false">D24/$D$2</f>
        <v>-113.940005041593</v>
      </c>
      <c r="G24" s="6" t="n">
        <v>41.45</v>
      </c>
      <c r="H24" s="8" t="n">
        <v>0</v>
      </c>
      <c r="I24" s="6" t="n">
        <f aca="false">G24+H24</f>
        <v>41.45</v>
      </c>
      <c r="J24" s="37" t="n">
        <f aca="false">IF(L24&gt;0,L24,0)</f>
        <v>0</v>
      </c>
      <c r="K24" s="6" t="n">
        <f aca="false">I24+J24</f>
        <v>41.45</v>
      </c>
      <c r="L24" s="6" t="n">
        <f aca="false">F24-(I24-W24)</f>
        <v>-47.8400050415931</v>
      </c>
      <c r="M24" s="6" t="n">
        <v>29</v>
      </c>
      <c r="N24" s="6" t="n">
        <v>0</v>
      </c>
      <c r="O24" s="6" t="n">
        <v>0</v>
      </c>
      <c r="P24" s="6" t="n">
        <f aca="false">M24-(N24+O24)</f>
        <v>29</v>
      </c>
      <c r="Q24" s="6" t="n">
        <v>0</v>
      </c>
      <c r="R24" s="6" t="n">
        <v>0</v>
      </c>
      <c r="S24" s="6" t="n">
        <f aca="false">SUM(P24:R24)</f>
        <v>29</v>
      </c>
      <c r="T24" s="7"/>
      <c r="U24" s="6" t="n">
        <v>0</v>
      </c>
      <c r="V24" s="6" t="n">
        <v>78.55</v>
      </c>
      <c r="W24" s="6" t="n">
        <f aca="false">N24+O24+S24+U24+V24</f>
        <v>107.55</v>
      </c>
      <c r="X24" s="6" t="n">
        <f aca="false">IF(L24&lt;0,L24*-1,0)</f>
        <v>47.8400050415931</v>
      </c>
      <c r="Y24" s="6" t="n">
        <f aca="false">W24+X24</f>
        <v>155.390005041593</v>
      </c>
      <c r="Z24" s="11" t="n">
        <v>0</v>
      </c>
      <c r="AA24" s="39" t="n">
        <v>41</v>
      </c>
      <c r="AB24" s="12" t="n">
        <v>17</v>
      </c>
      <c r="AC24" s="13" t="n">
        <f aca="false">AC23+1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29" t="n">
        <v>6902.58</v>
      </c>
      <c r="C25" s="7" t="n">
        <v>293197</v>
      </c>
      <c r="D25" s="12" t="n">
        <f aca="false">C25-C24</f>
        <v>-489</v>
      </c>
      <c r="E25" s="7" t="n">
        <f aca="false">C25-152000</f>
        <v>141197</v>
      </c>
      <c r="F25" s="6" t="n">
        <f aca="false">D25/$D$2</f>
        <v>-246.53390471389</v>
      </c>
      <c r="G25" s="6" t="n">
        <v>39.36</v>
      </c>
      <c r="H25" s="8" t="n">
        <v>0</v>
      </c>
      <c r="I25" s="6" t="n">
        <f aca="false">G25+H25</f>
        <v>39.36</v>
      </c>
      <c r="J25" s="37" t="n">
        <f aca="false">IF(L25&gt;0,L25,0)</f>
        <v>0</v>
      </c>
      <c r="K25" s="6" t="n">
        <f aca="false">I25+J25</f>
        <v>39.36</v>
      </c>
      <c r="L25" s="6" t="n">
        <f aca="false">F25-(I25-W25)</f>
        <v>-99.7239047138896</v>
      </c>
      <c r="M25" s="6" t="n">
        <v>29</v>
      </c>
      <c r="N25" s="6" t="n">
        <v>0</v>
      </c>
      <c r="O25" s="6" t="n">
        <v>0</v>
      </c>
      <c r="P25" s="6" t="n">
        <f aca="false">M25-(N25+O25)</f>
        <v>29</v>
      </c>
      <c r="Q25" s="6" t="n">
        <v>78.6</v>
      </c>
      <c r="R25" s="6" t="n">
        <v>0</v>
      </c>
      <c r="S25" s="6" t="n">
        <f aca="false">SUM(P25:R25)</f>
        <v>107.6</v>
      </c>
      <c r="T25" s="7"/>
      <c r="U25" s="6" t="n">
        <v>0</v>
      </c>
      <c r="V25" s="6" t="n">
        <v>78.57</v>
      </c>
      <c r="W25" s="6" t="n">
        <f aca="false">N25+O25+S25+U25+V25</f>
        <v>186.17</v>
      </c>
      <c r="X25" s="6" t="n">
        <f aca="false">IF(L25&lt;0,L25*-1,0)</f>
        <v>99.7239047138896</v>
      </c>
      <c r="Y25" s="6" t="n">
        <f aca="false">W25+X25</f>
        <v>285.89390471389</v>
      </c>
      <c r="Z25" s="11" t="n">
        <v>0</v>
      </c>
      <c r="AA25" s="39" t="n">
        <v>40</v>
      </c>
      <c r="AB25" s="12" t="n">
        <v>16</v>
      </c>
      <c r="AC25" s="13" t="n">
        <f aca="false">AC24+1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29" t="n">
        <v>6902.41</v>
      </c>
      <c r="C26" s="7" t="n">
        <v>292557</v>
      </c>
      <c r="D26" s="12" t="n">
        <f aca="false">C26-C25</f>
        <v>-640</v>
      </c>
      <c r="E26" s="7" t="n">
        <f aca="false">C26-152000</f>
        <v>140557</v>
      </c>
      <c r="F26" s="6" t="n">
        <f aca="false">D26/$D$2</f>
        <v>-322.661961179733</v>
      </c>
      <c r="G26" s="6" t="n">
        <v>40</v>
      </c>
      <c r="H26" s="8" t="n">
        <v>0</v>
      </c>
      <c r="I26" s="6" t="n">
        <f aca="false">G26+H26</f>
        <v>40</v>
      </c>
      <c r="J26" s="37" t="n">
        <f aca="false">IF(L26&gt;0,L26,0)</f>
        <v>0</v>
      </c>
      <c r="K26" s="6" t="n">
        <f aca="false">I26+J26</f>
        <v>40</v>
      </c>
      <c r="L26" s="6" t="n">
        <f aca="false">F26-(I26-W26)</f>
        <v>-46.2619611797328</v>
      </c>
      <c r="M26" s="6" t="n">
        <v>29</v>
      </c>
      <c r="N26" s="6" t="n">
        <v>0</v>
      </c>
      <c r="O26" s="6" t="n">
        <v>0</v>
      </c>
      <c r="P26" s="6" t="n">
        <f aca="false">M26-(N26+O26)</f>
        <v>29</v>
      </c>
      <c r="Q26" s="6" t="n">
        <v>208.4</v>
      </c>
      <c r="R26" s="6" t="n">
        <v>0</v>
      </c>
      <c r="S26" s="6" t="n">
        <f aca="false">SUM(P26:R26)</f>
        <v>237.4</v>
      </c>
      <c r="T26" s="7"/>
      <c r="U26" s="6" t="n">
        <v>0</v>
      </c>
      <c r="V26" s="6" t="n">
        <v>79</v>
      </c>
      <c r="W26" s="6" t="n">
        <f aca="false">N26+O26+S26+U26+V26</f>
        <v>316.4</v>
      </c>
      <c r="X26" s="6" t="n">
        <f aca="false">IF(L26&lt;0,L26*-1,0)</f>
        <v>46.2619611797328</v>
      </c>
      <c r="Y26" s="6" t="n">
        <f aca="false">W26+X26</f>
        <v>362.661961179733</v>
      </c>
      <c r="Z26" s="11" t="n">
        <v>0</v>
      </c>
      <c r="AA26" s="39" t="n">
        <v>48</v>
      </c>
      <c r="AB26" s="12" t="n">
        <v>18</v>
      </c>
      <c r="AC26" s="13" t="n">
        <f aca="false">AC25+1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29" t="n">
        <v>6902.24</v>
      </c>
      <c r="C27" s="7" t="n">
        <v>291918</v>
      </c>
      <c r="D27" s="12" t="n">
        <f aca="false">C27-C26</f>
        <v>-639</v>
      </c>
      <c r="E27" s="7" t="n">
        <f aca="false">C27-152000</f>
        <v>139918</v>
      </c>
      <c r="F27" s="6" t="n">
        <f aca="false">D27/$D$2</f>
        <v>-322.157801865389</v>
      </c>
      <c r="G27" s="6" t="n">
        <v>40</v>
      </c>
      <c r="H27" s="8" t="n">
        <v>0</v>
      </c>
      <c r="I27" s="6" t="n">
        <f aca="false">G27+H27</f>
        <v>40</v>
      </c>
      <c r="J27" s="37" t="n">
        <f aca="false">IF(L27&gt;0,L27,0)</f>
        <v>0</v>
      </c>
      <c r="K27" s="6" t="n">
        <f aca="false">I27+J27</f>
        <v>40</v>
      </c>
      <c r="L27" s="6" t="n">
        <f aca="false">F27-(I27-W27)</f>
        <v>-45.7578018653895</v>
      </c>
      <c r="M27" s="6" t="n">
        <v>29</v>
      </c>
      <c r="N27" s="6" t="n">
        <v>0</v>
      </c>
      <c r="O27" s="6" t="n">
        <v>0</v>
      </c>
      <c r="P27" s="6" t="n">
        <f aca="false">M27-(N27+O27)</f>
        <v>29</v>
      </c>
      <c r="Q27" s="6" t="n">
        <v>208.4</v>
      </c>
      <c r="R27" s="6" t="n">
        <v>0</v>
      </c>
      <c r="S27" s="6" t="n">
        <f aca="false">SUM(P27:R27)</f>
        <v>237.4</v>
      </c>
      <c r="T27" s="7"/>
      <c r="U27" s="6" t="n">
        <v>0</v>
      </c>
      <c r="V27" s="6" t="n">
        <v>79</v>
      </c>
      <c r="W27" s="6" t="n">
        <f aca="false">N27+O27+S27+U27+V27</f>
        <v>316.4</v>
      </c>
      <c r="X27" s="6" t="n">
        <f aca="false">IF(L27&lt;0,L27*-1,0)</f>
        <v>45.7578018653895</v>
      </c>
      <c r="Y27" s="6" t="n">
        <f aca="false">W27+X27</f>
        <v>362.157801865389</v>
      </c>
      <c r="Z27" s="11" t="n">
        <v>0</v>
      </c>
      <c r="AA27" s="39" t="n">
        <v>57</v>
      </c>
      <c r="AB27" s="12" t="n">
        <v>24</v>
      </c>
      <c r="AC27" s="13" t="n">
        <f aca="false">AC26+1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29" t="n">
        <v>6902.07</v>
      </c>
      <c r="C28" s="7" t="n">
        <v>291278</v>
      </c>
      <c r="D28" s="12" t="n">
        <f aca="false">C28-C27</f>
        <v>-640</v>
      </c>
      <c r="E28" s="7" t="n">
        <f aca="false">C28-152000</f>
        <v>139278</v>
      </c>
      <c r="F28" s="6" t="n">
        <f aca="false">D28/$D$2</f>
        <v>-322.661961179733</v>
      </c>
      <c r="G28" s="6" t="n">
        <v>40</v>
      </c>
      <c r="H28" s="8" t="n">
        <v>0</v>
      </c>
      <c r="I28" s="6" t="n">
        <f aca="false">G28+H28</f>
        <v>40</v>
      </c>
      <c r="J28" s="37" t="n">
        <f aca="false">IF(L28&gt;0,L28,0)</f>
        <v>0</v>
      </c>
      <c r="K28" s="6" t="n">
        <f aca="false">I28+J28</f>
        <v>40</v>
      </c>
      <c r="L28" s="6" t="n">
        <f aca="false">F28-(I28-W28)</f>
        <v>-46.2619611797328</v>
      </c>
      <c r="M28" s="6" t="n">
        <v>29</v>
      </c>
      <c r="N28" s="6" t="n">
        <v>0</v>
      </c>
      <c r="O28" s="6" t="n">
        <v>0</v>
      </c>
      <c r="P28" s="6" t="n">
        <f aca="false">M28-(N28+O28)</f>
        <v>29</v>
      </c>
      <c r="Q28" s="6" t="n">
        <v>208.4</v>
      </c>
      <c r="R28" s="6" t="n">
        <v>0</v>
      </c>
      <c r="S28" s="6" t="n">
        <f aca="false">SUM(P28:R28)</f>
        <v>237.4</v>
      </c>
      <c r="T28" s="7"/>
      <c r="U28" s="6" t="n">
        <v>0</v>
      </c>
      <c r="V28" s="6" t="n">
        <v>79</v>
      </c>
      <c r="W28" s="6" t="n">
        <f aca="false">N28+O28+S28+U28+V28</f>
        <v>316.4</v>
      </c>
      <c r="X28" s="6" t="n">
        <f aca="false">IF(L28&lt;0,L28*-1,0)</f>
        <v>46.2619611797328</v>
      </c>
      <c r="Y28" s="6" t="n">
        <f aca="false">W28+X28</f>
        <v>362.661961179733</v>
      </c>
      <c r="Z28" s="11" t="n">
        <v>0</v>
      </c>
      <c r="AA28" s="39" t="n">
        <v>59</v>
      </c>
      <c r="AB28" s="12" t="n">
        <v>23</v>
      </c>
      <c r="AC28" s="13" t="n">
        <f aca="false">AC27+1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29" t="n">
        <v>6901.92</v>
      </c>
      <c r="C29" s="7" t="n">
        <v>290716</v>
      </c>
      <c r="D29" s="12" t="n">
        <f aca="false">C29-C28</f>
        <v>-562</v>
      </c>
      <c r="E29" s="7" t="n">
        <f aca="false">C29-152000</f>
        <v>138716</v>
      </c>
      <c r="F29" s="6" t="n">
        <f aca="false">D29/$D$2</f>
        <v>-283.337534660953</v>
      </c>
      <c r="G29" s="6" t="n">
        <v>40.73</v>
      </c>
      <c r="H29" s="8" t="n">
        <v>0</v>
      </c>
      <c r="I29" s="6" t="n">
        <f aca="false">G29+H29</f>
        <v>40.73</v>
      </c>
      <c r="J29" s="37" t="n">
        <f aca="false">IF(L29&gt;0,L29,0)</f>
        <v>0</v>
      </c>
      <c r="K29" s="6" t="n">
        <f aca="false">I29+J29</f>
        <v>40.73</v>
      </c>
      <c r="L29" s="6" t="n">
        <f aca="false">F29-(I29-W29)</f>
        <v>-21.5075346609529</v>
      </c>
      <c r="M29" s="6" t="n">
        <v>15.58</v>
      </c>
      <c r="N29" s="6" t="n">
        <v>0</v>
      </c>
      <c r="O29" s="6" t="n">
        <v>0</v>
      </c>
      <c r="P29" s="6" t="n">
        <f aca="false">M29-(N29+O29)</f>
        <v>15.58</v>
      </c>
      <c r="Q29" s="6" t="n">
        <v>208.4</v>
      </c>
      <c r="R29" s="6" t="n">
        <v>0</v>
      </c>
      <c r="S29" s="6" t="n">
        <f aca="false">SUM(P29:R29)</f>
        <v>223.98</v>
      </c>
      <c r="T29" s="7"/>
      <c r="U29" s="6" t="n">
        <v>0</v>
      </c>
      <c r="V29" s="6" t="n">
        <v>78.58</v>
      </c>
      <c r="W29" s="6" t="n">
        <f aca="false">N29+O29+S29+U29+V29</f>
        <v>302.56</v>
      </c>
      <c r="X29" s="6" t="n">
        <f aca="false">IF(L29&lt;0,L29*-1,0)</f>
        <v>21.5075346609529</v>
      </c>
      <c r="Y29" s="6" t="n">
        <f aca="false">W29+X29</f>
        <v>324.067534660953</v>
      </c>
      <c r="Z29" s="11" t="n">
        <v>0</v>
      </c>
      <c r="AA29" s="39" t="n">
        <v>56</v>
      </c>
      <c r="AB29" s="12" t="n">
        <v>20</v>
      </c>
      <c r="AC29" s="13" t="n">
        <f aca="false">AC28+1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29" t="n">
        <v>6901.78</v>
      </c>
      <c r="C30" s="7" t="n">
        <v>290193</v>
      </c>
      <c r="D30" s="12" t="n">
        <f aca="false">C30-C29</f>
        <v>-523</v>
      </c>
      <c r="E30" s="7" t="n">
        <f aca="false">C30-152000</f>
        <v>138193</v>
      </c>
      <c r="F30" s="6" t="n">
        <f aca="false">D30/$D$2</f>
        <v>-263.675321401563</v>
      </c>
      <c r="G30" s="6" t="n">
        <v>40</v>
      </c>
      <c r="H30" s="8" t="n">
        <v>0</v>
      </c>
      <c r="I30" s="6" t="n">
        <f aca="false">G30+H30</f>
        <v>40</v>
      </c>
      <c r="J30" s="37" t="n">
        <f aca="false">IF(L30&gt;0,L30,0)</f>
        <v>0</v>
      </c>
      <c r="K30" s="6" t="n">
        <f aca="false">I30+J30</f>
        <v>40</v>
      </c>
      <c r="L30" s="6" t="n">
        <f aca="false">F30-(I30-W30)</f>
        <v>-11.7753214015629</v>
      </c>
      <c r="M30" s="6" t="n">
        <v>5</v>
      </c>
      <c r="N30" s="6" t="n">
        <v>0</v>
      </c>
      <c r="O30" s="6" t="n">
        <v>0</v>
      </c>
      <c r="P30" s="6" t="n">
        <f aca="false">M30-(N30+O30)</f>
        <v>5</v>
      </c>
      <c r="Q30" s="6" t="n">
        <v>208.4</v>
      </c>
      <c r="R30" s="6" t="n">
        <v>0</v>
      </c>
      <c r="S30" s="6" t="n">
        <f aca="false">SUM(P30:R30)</f>
        <v>213.4</v>
      </c>
      <c r="T30" s="7"/>
      <c r="U30" s="6" t="n">
        <v>0</v>
      </c>
      <c r="V30" s="6" t="n">
        <v>78.5</v>
      </c>
      <c r="W30" s="6" t="n">
        <f aca="false">N30+O30+S30+U30+V30</f>
        <v>291.9</v>
      </c>
      <c r="X30" s="6" t="n">
        <f aca="false">IF(L30&lt;0,L30*-1,0)</f>
        <v>11.7753214015629</v>
      </c>
      <c r="Y30" s="6" t="n">
        <f aca="false">W30+X30</f>
        <v>303.675321401563</v>
      </c>
      <c r="Z30" s="11" t="n">
        <v>0</v>
      </c>
      <c r="AA30" s="12" t="n">
        <v>51</v>
      </c>
      <c r="AB30" s="12" t="n">
        <v>20</v>
      </c>
      <c r="AC30" s="13" t="n">
        <f aca="false">AC29+1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29" t="n">
        <v>6901.64</v>
      </c>
      <c r="C31" s="7" t="n">
        <v>289671</v>
      </c>
      <c r="D31" s="12" t="n">
        <f aca="false">C31-C30</f>
        <v>-522</v>
      </c>
      <c r="E31" s="7" t="n">
        <f aca="false">C31-152000</f>
        <v>137671</v>
      </c>
      <c r="F31" s="6" t="n">
        <f aca="false">D31/$D$2</f>
        <v>-263.17116208722</v>
      </c>
      <c r="G31" s="6" t="n">
        <v>39.21</v>
      </c>
      <c r="H31" s="8" t="n">
        <v>0</v>
      </c>
      <c r="I31" s="6" t="n">
        <f aca="false">G31+H31</f>
        <v>39.21</v>
      </c>
      <c r="J31" s="37" t="n">
        <f aca="false">IF(L31&gt;0,L31,0)</f>
        <v>0</v>
      </c>
      <c r="K31" s="6" t="n">
        <f aca="false">I31+J31</f>
        <v>39.21</v>
      </c>
      <c r="L31" s="6" t="n">
        <f aca="false">F31-(I31-W31)</f>
        <v>-10.3611620872196</v>
      </c>
      <c r="M31" s="6" t="n">
        <v>5.13</v>
      </c>
      <c r="N31" s="6" t="n">
        <v>0</v>
      </c>
      <c r="O31" s="6" t="n">
        <v>0</v>
      </c>
      <c r="P31" s="6" t="n">
        <f aca="false">M31-(N31+O31)</f>
        <v>5.13</v>
      </c>
      <c r="Q31" s="6" t="n">
        <v>208.4</v>
      </c>
      <c r="R31" s="6" t="n">
        <v>0</v>
      </c>
      <c r="S31" s="6" t="n">
        <f aca="false">SUM(P31:R31)</f>
        <v>213.53</v>
      </c>
      <c r="T31" s="7"/>
      <c r="U31" s="6" t="n">
        <v>0</v>
      </c>
      <c r="V31" s="6" t="n">
        <v>78.49</v>
      </c>
      <c r="W31" s="6" t="n">
        <f aca="false">N31+O31+S31+U31+V31</f>
        <v>292.02</v>
      </c>
      <c r="X31" s="6" t="n">
        <f aca="false">IF(L31&lt;0,L31*-1,0)</f>
        <v>10.3611620872196</v>
      </c>
      <c r="Y31" s="6" t="n">
        <f aca="false">W31+X31</f>
        <v>302.38116208722</v>
      </c>
      <c r="Z31" s="11" t="n">
        <v>0.38</v>
      </c>
      <c r="AA31" s="12" t="n">
        <v>47</v>
      </c>
      <c r="AB31" s="12" t="n">
        <v>19</v>
      </c>
      <c r="AC31" s="13" t="n">
        <f aca="false">AC30+1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29" t="n">
        <v>6901.5</v>
      </c>
      <c r="C32" s="7" t="n">
        <v>289148</v>
      </c>
      <c r="D32" s="12" t="n">
        <f aca="false">C32-C31</f>
        <v>-523</v>
      </c>
      <c r="E32" s="7" t="n">
        <f aca="false">C32-152000</f>
        <v>137148</v>
      </c>
      <c r="F32" s="6" t="n">
        <f aca="false">D32/$D$2</f>
        <v>-263.675321401563</v>
      </c>
      <c r="G32" s="6" t="n">
        <v>46.61</v>
      </c>
      <c r="H32" s="8" t="n">
        <v>0</v>
      </c>
      <c r="I32" s="6" t="n">
        <f aca="false">G32+H32</f>
        <v>46.61</v>
      </c>
      <c r="J32" s="37" t="n">
        <f aca="false">IF(L32&gt;0,L32,0)</f>
        <v>0</v>
      </c>
      <c r="K32" s="6" t="n">
        <f aca="false">I32+J32</f>
        <v>46.61</v>
      </c>
      <c r="L32" s="6" t="n">
        <f aca="false">F32-(I32-W32)</f>
        <v>-18.2253214015629</v>
      </c>
      <c r="M32" s="6" t="n">
        <v>5.13</v>
      </c>
      <c r="N32" s="6" t="n">
        <v>0</v>
      </c>
      <c r="O32" s="6" t="n">
        <v>0</v>
      </c>
      <c r="P32" s="6" t="n">
        <f aca="false">M32-(N32+O32)</f>
        <v>5.13</v>
      </c>
      <c r="Q32" s="6" t="n">
        <v>208.4</v>
      </c>
      <c r="R32" s="6" t="n">
        <v>0</v>
      </c>
      <c r="S32" s="6" t="n">
        <f aca="false">SUM(P32:R32)</f>
        <v>213.53</v>
      </c>
      <c r="T32" s="7"/>
      <c r="U32" s="6" t="n">
        <v>0</v>
      </c>
      <c r="V32" s="6" t="n">
        <v>78.53</v>
      </c>
      <c r="W32" s="6" t="n">
        <f aca="false">N32+O32+S32+U32+V32</f>
        <v>292.06</v>
      </c>
      <c r="X32" s="6" t="n">
        <f aca="false">IF(L32&lt;0,L32*-1,0)</f>
        <v>18.2253214015629</v>
      </c>
      <c r="Y32" s="6" t="n">
        <f aca="false">W32+X32</f>
        <v>310.285321401563</v>
      </c>
      <c r="Z32" s="11" t="n">
        <v>0.2</v>
      </c>
      <c r="AA32" s="12" t="n">
        <v>49</v>
      </c>
      <c r="AB32" s="39" t="n">
        <v>22</v>
      </c>
      <c r="AC32" s="13" t="n">
        <f aca="false">AC31+1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29" t="n">
        <v>6901.36</v>
      </c>
      <c r="C33" s="7" t="n">
        <v>288626</v>
      </c>
      <c r="D33" s="12" t="n">
        <f aca="false">C33-C32</f>
        <v>-522</v>
      </c>
      <c r="E33" s="7" t="n">
        <f aca="false">C33-152000</f>
        <v>136626</v>
      </c>
      <c r="F33" s="6" t="n">
        <f aca="false">D33/$D$2</f>
        <v>-263.17116208722</v>
      </c>
      <c r="G33" s="6" t="n">
        <v>36.3</v>
      </c>
      <c r="H33" s="8" t="n">
        <v>0</v>
      </c>
      <c r="I33" s="6" t="n">
        <f aca="false">G33+H33</f>
        <v>36.3</v>
      </c>
      <c r="J33" s="37" t="n">
        <f aca="false">IF(L33&gt;0,L33,0)</f>
        <v>0</v>
      </c>
      <c r="K33" s="6" t="n">
        <f aca="false">I33+J33</f>
        <v>36.3</v>
      </c>
      <c r="L33" s="6" t="n">
        <f aca="false">F33-(I33-W33)</f>
        <v>-8.07116208721959</v>
      </c>
      <c r="M33" s="6" t="n">
        <v>5.13</v>
      </c>
      <c r="N33" s="6" t="n">
        <v>0</v>
      </c>
      <c r="O33" s="6" t="n">
        <v>0</v>
      </c>
      <c r="P33" s="6" t="n">
        <f aca="false">M33-(N33+O33)</f>
        <v>5.13</v>
      </c>
      <c r="Q33" s="6" t="n">
        <v>207.75</v>
      </c>
      <c r="R33" s="6" t="n">
        <v>0</v>
      </c>
      <c r="S33" s="6" t="n">
        <f aca="false">SUM(P33:R33)</f>
        <v>212.88</v>
      </c>
      <c r="T33" s="7"/>
      <c r="U33" s="6" t="n">
        <v>0</v>
      </c>
      <c r="V33" s="6" t="n">
        <v>78.52</v>
      </c>
      <c r="W33" s="6" t="n">
        <f aca="false">N33+O33+S33+U33+V33</f>
        <v>291.4</v>
      </c>
      <c r="X33" s="6" t="n">
        <f aca="false">IF(L33&lt;0,L33*-1,0)</f>
        <v>8.07116208721959</v>
      </c>
      <c r="Y33" s="6" t="n">
        <f aca="false">W33+X33</f>
        <v>299.47116208722</v>
      </c>
      <c r="Z33" s="11" t="n">
        <v>0</v>
      </c>
      <c r="AA33" s="12" t="n">
        <v>46</v>
      </c>
      <c r="AB33" s="39" t="n">
        <v>21</v>
      </c>
      <c r="AC33" s="13" t="n">
        <f aca="false">AC32+1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29" t="n">
        <v>6901.22</v>
      </c>
      <c r="C34" s="7" t="n">
        <v>288476</v>
      </c>
      <c r="D34" s="12" t="n">
        <f aca="false">C34-C33</f>
        <v>-150</v>
      </c>
      <c r="E34" s="7" t="n">
        <f aca="false">C34-152000</f>
        <v>136476</v>
      </c>
      <c r="F34" s="6" t="n">
        <f aca="false">D34/$D$2</f>
        <v>-75.6238971514999</v>
      </c>
      <c r="G34" s="6" t="n">
        <v>41.6</v>
      </c>
      <c r="H34" s="8" t="n">
        <v>0</v>
      </c>
      <c r="I34" s="6" t="n">
        <f aca="false">G34+H34</f>
        <v>41.6</v>
      </c>
      <c r="J34" s="37" t="n">
        <f aca="false">IF(L34&gt;0,L34,0)</f>
        <v>174.2761028485</v>
      </c>
      <c r="K34" s="6" t="n">
        <f aca="false">I34+J34</f>
        <v>215.8761028485</v>
      </c>
      <c r="L34" s="6" t="n">
        <f aca="false">F34-(I34-W34)</f>
        <v>174.2761028485</v>
      </c>
      <c r="M34" s="6" t="n">
        <v>5.13</v>
      </c>
      <c r="N34" s="6" t="n">
        <v>0</v>
      </c>
      <c r="O34" s="6" t="n">
        <v>0</v>
      </c>
      <c r="P34" s="6" t="n">
        <f aca="false">M34-(N34+O34)</f>
        <v>5.13</v>
      </c>
      <c r="Q34" s="6" t="n">
        <v>207.87</v>
      </c>
      <c r="R34" s="6" t="n">
        <v>0</v>
      </c>
      <c r="S34" s="6" t="n">
        <f aca="false">SUM(P34:R34)</f>
        <v>213</v>
      </c>
      <c r="T34" s="7"/>
      <c r="U34" s="6" t="n">
        <v>0</v>
      </c>
      <c r="V34" s="6" t="n">
        <v>78.5</v>
      </c>
      <c r="W34" s="6" t="n">
        <f aca="false">N34+O34+S34+U34+V34</f>
        <v>291.5</v>
      </c>
      <c r="X34" s="6" t="n">
        <f aca="false">IF(L34&lt;0,L34*-1,0)</f>
        <v>0</v>
      </c>
      <c r="Y34" s="6" t="n">
        <f aca="false">W34+X34</f>
        <v>291.5</v>
      </c>
      <c r="Z34" s="11" t="n">
        <v>1.12</v>
      </c>
      <c r="AA34" s="12" t="n">
        <v>45</v>
      </c>
      <c r="AB34" s="39" t="n">
        <v>23</v>
      </c>
      <c r="AC34" s="13" t="n">
        <f aca="false">AC33+1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29" t="n">
        <v>6901.08</v>
      </c>
      <c r="C35" s="7" t="n">
        <v>287581</v>
      </c>
      <c r="D35" s="12" t="n">
        <f aca="false">C35-C34</f>
        <v>-895</v>
      </c>
      <c r="E35" s="7" t="n">
        <f aca="false">C35-152000</f>
        <v>135581</v>
      </c>
      <c r="F35" s="6" t="n">
        <f aca="false">D35/$D$2</f>
        <v>-451.222586337283</v>
      </c>
      <c r="G35" s="6" t="n">
        <v>48.12</v>
      </c>
      <c r="H35" s="8" t="n">
        <v>0</v>
      </c>
      <c r="I35" s="6" t="n">
        <f aca="false">G35+H35</f>
        <v>48.12</v>
      </c>
      <c r="J35" s="37" t="n">
        <f aca="false">IF(L35&gt;0,L35,0)</f>
        <v>0</v>
      </c>
      <c r="K35" s="6" t="n">
        <f aca="false">I35+J35</f>
        <v>48.12</v>
      </c>
      <c r="L35" s="6" t="n">
        <f aca="false">F35-(I35-W35)</f>
        <v>-208.842586337283</v>
      </c>
      <c r="M35" s="6" t="n">
        <v>5.17</v>
      </c>
      <c r="N35" s="6" t="n">
        <v>0</v>
      </c>
      <c r="O35" s="6" t="n">
        <v>0</v>
      </c>
      <c r="P35" s="6" t="n">
        <f aca="false">M35-(N35+O35)</f>
        <v>5.17</v>
      </c>
      <c r="Q35" s="6" t="n">
        <v>206.83</v>
      </c>
      <c r="R35" s="6" t="n">
        <v>0</v>
      </c>
      <c r="S35" s="6" t="n">
        <f aca="false">SUM(P35:R35)</f>
        <v>212</v>
      </c>
      <c r="T35" s="7"/>
      <c r="U35" s="6" t="n">
        <v>0</v>
      </c>
      <c r="V35" s="6" t="n">
        <v>78.5</v>
      </c>
      <c r="W35" s="6" t="n">
        <f aca="false">N35+O35+S35+U35+V35</f>
        <v>290.5</v>
      </c>
      <c r="X35" s="6" t="n">
        <f aca="false">IF(L35&lt;0,L35*-1,0)</f>
        <v>208.842586337283</v>
      </c>
      <c r="Y35" s="6" t="n">
        <f aca="false">W35+X35</f>
        <v>499.342586337283</v>
      </c>
      <c r="Z35" s="11" t="n">
        <v>0</v>
      </c>
      <c r="AA35" s="12" t="n">
        <v>37</v>
      </c>
      <c r="AB35" s="12" t="n">
        <v>25</v>
      </c>
      <c r="AC35" s="13" t="n">
        <f aca="false">AC34+1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29" t="n">
        <v>6900.91</v>
      </c>
      <c r="C36" s="7" t="n">
        <v>286949</v>
      </c>
      <c r="D36" s="12" t="n">
        <f aca="false">C36-C35</f>
        <v>-632</v>
      </c>
      <c r="E36" s="7" t="n">
        <f aca="false">C36-152000</f>
        <v>134949</v>
      </c>
      <c r="F36" s="6" t="n">
        <f aca="false">D36/$D$2</f>
        <v>-318.628686664986</v>
      </c>
      <c r="G36" s="6" t="n">
        <v>43.96</v>
      </c>
      <c r="H36" s="8" t="n">
        <v>0</v>
      </c>
      <c r="I36" s="6" t="n">
        <f aca="false">G36+H36</f>
        <v>43.96</v>
      </c>
      <c r="J36" s="37" t="n">
        <f aca="false">IF(L36&gt;0,L36,0)</f>
        <v>0</v>
      </c>
      <c r="K36" s="6" t="n">
        <f aca="false">I36+J36</f>
        <v>43.96</v>
      </c>
      <c r="L36" s="6" t="n">
        <f aca="false">F36-(I36-W36)</f>
        <v>-72.0186866649861</v>
      </c>
      <c r="M36" s="6" t="n">
        <v>5.13</v>
      </c>
      <c r="N36" s="6" t="n">
        <v>0</v>
      </c>
      <c r="O36" s="6" t="n">
        <v>0</v>
      </c>
      <c r="P36" s="6" t="n">
        <f aca="false">M36-(N36+O36)</f>
        <v>5.13</v>
      </c>
      <c r="Q36" s="6" t="n">
        <v>206.87</v>
      </c>
      <c r="R36" s="6" t="n">
        <v>0</v>
      </c>
      <c r="S36" s="6" t="n">
        <f aca="false">SUM(P36:R36)</f>
        <v>212</v>
      </c>
      <c r="T36" s="7"/>
      <c r="U36" s="6" t="n">
        <v>0</v>
      </c>
      <c r="V36" s="6" t="n">
        <v>78.57</v>
      </c>
      <c r="W36" s="6" t="n">
        <f aca="false">N36+O36+S36+U36+V36</f>
        <v>290.57</v>
      </c>
      <c r="X36" s="6" t="n">
        <f aca="false">IF(L36&lt;0,L36*-1,0)</f>
        <v>72.0186866649861</v>
      </c>
      <c r="Y36" s="6" t="n">
        <f aca="false">W36+X36</f>
        <v>362.588686664986</v>
      </c>
      <c r="Z36" s="11" t="n">
        <v>0</v>
      </c>
      <c r="AA36" s="12" t="n">
        <v>37</v>
      </c>
      <c r="AB36" s="12" t="n">
        <v>25</v>
      </c>
      <c r="AC36" s="13" t="n">
        <f aca="false">AC35+1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29" t="n">
        <v>6900.75</v>
      </c>
      <c r="C37" s="7" t="n">
        <v>286256</v>
      </c>
      <c r="D37" s="12" t="n">
        <f aca="false">C37-C36</f>
        <v>-693</v>
      </c>
      <c r="E37" s="7" t="n">
        <f aca="false">C37-152000</f>
        <v>134256</v>
      </c>
      <c r="F37" s="6" t="n">
        <f aca="false">D37/$D$2</f>
        <v>-349.382404839929</v>
      </c>
      <c r="G37" s="6" t="n">
        <v>64.26</v>
      </c>
      <c r="H37" s="8" t="n">
        <v>0</v>
      </c>
      <c r="I37" s="6" t="n">
        <f aca="false">G37+H37</f>
        <v>64.26</v>
      </c>
      <c r="J37" s="37" t="n">
        <f aca="false">IF(L37&gt;0,L37,0)</f>
        <v>0</v>
      </c>
      <c r="K37" s="6" t="n">
        <f aca="false">I37+J37</f>
        <v>64.26</v>
      </c>
      <c r="L37" s="6" t="n">
        <f aca="false">F37-(I37-W37)</f>
        <v>-123.012404839929</v>
      </c>
      <c r="M37" s="6" t="n">
        <v>5.13</v>
      </c>
      <c r="N37" s="6" t="n">
        <v>0</v>
      </c>
      <c r="O37" s="6" t="n">
        <v>0</v>
      </c>
      <c r="P37" s="6" t="n">
        <f aca="false">M37-(N37+O37)</f>
        <v>5.13</v>
      </c>
      <c r="Q37" s="6" t="n">
        <v>206.87</v>
      </c>
      <c r="R37" s="6" t="n">
        <v>0</v>
      </c>
      <c r="S37" s="6" t="n">
        <f aca="false">SUM(P37:R37)</f>
        <v>212</v>
      </c>
      <c r="T37" s="7"/>
      <c r="U37" s="6" t="n">
        <v>0</v>
      </c>
      <c r="V37" s="6" t="n">
        <v>78.63</v>
      </c>
      <c r="W37" s="6" t="n">
        <f aca="false">N37+O37+S37+U37+V37</f>
        <v>290.63</v>
      </c>
      <c r="X37" s="6" t="n">
        <f aca="false">IF(L37&lt;0,L37*-1,0)</f>
        <v>123.012404839929</v>
      </c>
      <c r="Y37" s="6" t="n">
        <f aca="false">W37+X37</f>
        <v>413.642404839929</v>
      </c>
      <c r="Z37" s="11" t="n">
        <v>0</v>
      </c>
      <c r="AA37" s="12" t="n">
        <v>37</v>
      </c>
      <c r="AB37" s="12" t="n">
        <v>25</v>
      </c>
      <c r="AC37" s="13" t="n">
        <f aca="false">AC36+1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29" t="n">
        <v>6900.65</v>
      </c>
      <c r="C38" s="7" t="n">
        <v>285986</v>
      </c>
      <c r="D38" s="12" t="n">
        <f aca="false">C38-C37</f>
        <v>-270</v>
      </c>
      <c r="E38" s="7" t="n">
        <f aca="false">C38-152000</f>
        <v>133986</v>
      </c>
      <c r="F38" s="6" t="n">
        <f aca="false">D38/$D$2</f>
        <v>-136.1230148727</v>
      </c>
      <c r="G38" s="6" t="n">
        <v>28</v>
      </c>
      <c r="H38" s="8" t="n">
        <v>0</v>
      </c>
      <c r="I38" s="6" t="n">
        <f aca="false">G38+H38</f>
        <v>28</v>
      </c>
      <c r="J38" s="37" t="n">
        <f aca="false">IF(L38&gt;0,L38,0)</f>
        <v>10.5269851273002</v>
      </c>
      <c r="K38" s="6" t="n">
        <f aca="false">I38+J38</f>
        <v>38.5269851273002</v>
      </c>
      <c r="L38" s="6" t="n">
        <f aca="false">F38-(I38-W38)</f>
        <v>10.5269851273002</v>
      </c>
      <c r="M38" s="6" t="n">
        <v>5.13</v>
      </c>
      <c r="N38" s="6" t="n">
        <v>0</v>
      </c>
      <c r="O38" s="6" t="n">
        <v>0</v>
      </c>
      <c r="P38" s="6" t="n">
        <f aca="false">M38-(N38+O38)</f>
        <v>5.13</v>
      </c>
      <c r="Q38" s="6" t="n">
        <v>90.87</v>
      </c>
      <c r="R38" s="6" t="n">
        <v>0</v>
      </c>
      <c r="S38" s="6" t="n">
        <f aca="false">SUM(P38:R38)</f>
        <v>96</v>
      </c>
      <c r="T38" s="7"/>
      <c r="U38" s="6" t="n">
        <v>0</v>
      </c>
      <c r="V38" s="6" t="n">
        <v>78.65</v>
      </c>
      <c r="W38" s="6" t="n">
        <f aca="false">N38+O38+S38+U38+V38</f>
        <v>174.65</v>
      </c>
      <c r="X38" s="6" t="n">
        <f aca="false">IF(L38&lt;0,L38*-1,0)</f>
        <v>0</v>
      </c>
      <c r="Y38" s="6" t="n">
        <f aca="false">W38+X38</f>
        <v>174.65</v>
      </c>
      <c r="Z38" s="11" t="n">
        <v>0.04</v>
      </c>
      <c r="AA38" s="39" t="n">
        <v>40</v>
      </c>
      <c r="AB38" s="12" t="n">
        <v>27</v>
      </c>
      <c r="AC38" s="13" t="n">
        <f aca="false">AC37+1</f>
        <v>29</v>
      </c>
    </row>
    <row r="39" customFormat="false" ht="11.1" hidden="false" customHeight="true" outlineLevel="0" collapsed="false">
      <c r="A39" s="13" t="n">
        <v>30</v>
      </c>
      <c r="B39" s="29" t="n">
        <v>6900.6</v>
      </c>
      <c r="C39" s="7" t="n">
        <v>285801</v>
      </c>
      <c r="D39" s="12" t="n">
        <f aca="false">C39-C38</f>
        <v>-185</v>
      </c>
      <c r="E39" s="7" t="n">
        <f aca="false">C39-152000</f>
        <v>133801</v>
      </c>
      <c r="F39" s="6" t="n">
        <f aca="false">D39/$D$2</f>
        <v>-93.2694731535165</v>
      </c>
      <c r="G39" s="6" t="n">
        <v>28</v>
      </c>
      <c r="H39" s="8" t="n">
        <v>0</v>
      </c>
      <c r="I39" s="6" t="n">
        <f aca="false">G39+H39</f>
        <v>28</v>
      </c>
      <c r="J39" s="37" t="n">
        <f aca="false">IF(L39&gt;0,L39,0)</f>
        <v>0</v>
      </c>
      <c r="K39" s="6" t="n">
        <f aca="false">I39+J39</f>
        <v>28</v>
      </c>
      <c r="L39" s="6" t="n">
        <f aca="false">F39-(I39-W39)</f>
        <v>-37.6294731535165</v>
      </c>
      <c r="M39" s="6" t="n">
        <v>5.13</v>
      </c>
      <c r="N39" s="6" t="n">
        <v>0</v>
      </c>
      <c r="O39" s="6" t="n">
        <v>0</v>
      </c>
      <c r="P39" s="6" t="n">
        <f aca="false">M39-(N39+O39)</f>
        <v>5.13</v>
      </c>
      <c r="Q39" s="6" t="n">
        <v>0</v>
      </c>
      <c r="R39" s="6" t="n">
        <v>0</v>
      </c>
      <c r="S39" s="6" t="n">
        <f aca="false">SUM(P39:R39)</f>
        <v>5.13</v>
      </c>
      <c r="T39" s="7"/>
      <c r="U39" s="6" t="n">
        <v>0</v>
      </c>
      <c r="V39" s="6" t="n">
        <v>78.51</v>
      </c>
      <c r="W39" s="6" t="n">
        <f aca="false">N39+O39+S39+U39+V39</f>
        <v>83.64</v>
      </c>
      <c r="X39" s="6" t="n">
        <f aca="false">IF(L39&lt;0,L39*-1,0)</f>
        <v>37.6294731535165</v>
      </c>
      <c r="Y39" s="6" t="n">
        <f aca="false">W39+X39</f>
        <v>121.269473153517</v>
      </c>
      <c r="Z39" s="11" t="n">
        <v>0.12</v>
      </c>
      <c r="AA39" s="39" t="n">
        <v>50</v>
      </c>
      <c r="AB39" s="12" t="n">
        <v>33</v>
      </c>
      <c r="AC39" s="13" t="n">
        <v>30</v>
      </c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-5386.43811444416</v>
      </c>
      <c r="G41" s="7" t="n">
        <f aca="false">SUM(G10:G39)</f>
        <v>1320.62</v>
      </c>
      <c r="H41" s="7" t="n">
        <f aca="false">SUM(H10:H39)</f>
        <v>0</v>
      </c>
      <c r="I41" s="7" t="n">
        <f aca="false">SUM(I10:I39)</f>
        <v>1320.62</v>
      </c>
      <c r="J41" s="7" t="n">
        <f aca="false">SUM(J10:J39)</f>
        <v>184.8030879758</v>
      </c>
      <c r="K41" s="7" t="n">
        <f aca="false">SUM(K10:K39)</f>
        <v>1505.4230879758</v>
      </c>
      <c r="L41" s="7" t="n">
        <f aca="false">SUM(L10:L39)</f>
        <v>-1096.46811444416</v>
      </c>
      <c r="M41" s="7" t="n">
        <f aca="false">SUM(M10:M39)</f>
        <v>617.79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617.79</v>
      </c>
      <c r="Q41" s="7" t="n">
        <f aca="false">SUM(Q10:Q39)</f>
        <v>2664.46</v>
      </c>
      <c r="R41" s="7" t="n">
        <f aca="false">SUM(R10:R39)</f>
        <v>0</v>
      </c>
      <c r="S41" s="7" t="n">
        <f aca="false">SUM(S10:S39)</f>
        <v>3282.25</v>
      </c>
      <c r="T41" s="7"/>
      <c r="U41" s="7" t="n">
        <f aca="false">SUM(U10:U39)</f>
        <v>0</v>
      </c>
      <c r="V41" s="7" t="n">
        <f aca="false">SUM(V10:V39)</f>
        <v>2328.34</v>
      </c>
      <c r="W41" s="7" t="n">
        <f aca="false">SUM(W10:W39)</f>
        <v>5610.59</v>
      </c>
      <c r="X41" s="7" t="n">
        <f aca="false">SUM(X10:X39)</f>
        <v>1281.27120241996</v>
      </c>
      <c r="Y41" s="7" t="n">
        <f aca="false">SUM(Y10:Y39)</f>
        <v>6891.86120241997</v>
      </c>
      <c r="Z41" s="11" t="n">
        <f aca="false">SUM(Z10:Z39)</f>
        <v>1.92</v>
      </c>
      <c r="AA41" s="12" t="n">
        <f aca="false">AVERAGE(AA10:AA39)</f>
        <v>46.0666666666667</v>
      </c>
      <c r="AB41" s="12" t="n">
        <f aca="false">AVERAGE(AB10:AB39)</f>
        <v>21.7333333333333</v>
      </c>
      <c r="AC41" s="13" t="s">
        <v>45</v>
      </c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-10684</v>
      </c>
      <c r="E42" s="7"/>
      <c r="F42" s="7" t="n">
        <f aca="false">F41*$D$2</f>
        <v>-10684</v>
      </c>
      <c r="G42" s="7" t="n">
        <f aca="false">G41*$D$2</f>
        <v>2619.44977</v>
      </c>
      <c r="H42" s="7" t="n">
        <f aca="false">H41*$D$2</f>
        <v>0</v>
      </c>
      <c r="I42" s="7" t="n">
        <f aca="false">I41*$D$2</f>
        <v>2619.44977</v>
      </c>
      <c r="J42" s="7" t="n">
        <f aca="false">J41*$D$2</f>
        <v>366.556925</v>
      </c>
      <c r="K42" s="7" t="n">
        <f aca="false">K41*$D$2</f>
        <v>2986.006695</v>
      </c>
      <c r="L42" s="7" t="n">
        <f aca="false">L41*$D$2</f>
        <v>-2174.844505</v>
      </c>
      <c r="M42" s="7" t="n">
        <f aca="false">M41*$D$2</f>
        <v>1225.386465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1225.386465</v>
      </c>
      <c r="Q42" s="7" t="n">
        <f aca="false">Q41*$D$2</f>
        <v>5284.95641</v>
      </c>
      <c r="R42" s="7" t="n">
        <f aca="false">R41*$D$2</f>
        <v>0</v>
      </c>
      <c r="S42" s="7" t="n">
        <f aca="false">S41*$D$2</f>
        <v>6510.342875</v>
      </c>
      <c r="T42" s="7"/>
      <c r="U42" s="7" t="n">
        <f aca="false">U41*$D$2</f>
        <v>0</v>
      </c>
      <c r="V42" s="7" t="n">
        <f aca="false">V41*$D$2</f>
        <v>4618.26239</v>
      </c>
      <c r="W42" s="7" t="n">
        <f aca="false">W41*$D$2</f>
        <v>11128.605265</v>
      </c>
      <c r="X42" s="7" t="n">
        <f aca="false">X41*$D$2</f>
        <v>2541.40143</v>
      </c>
      <c r="Y42" s="7" t="n">
        <f aca="false">Y41*$D$2</f>
        <v>13670.006695</v>
      </c>
      <c r="Z42" s="11"/>
      <c r="AA42" s="12" t="n">
        <f aca="false">MAX(AA10:AA39)</f>
        <v>59</v>
      </c>
      <c r="AB42" s="12" t="n">
        <f aca="false">MAX(AB10:AB39)</f>
        <v>33</v>
      </c>
      <c r="AC42" s="13" t="s">
        <v>47</v>
      </c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/>
      <c r="G44" s="7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11"/>
      <c r="AA44" s="12" t="n">
        <f aca="false">MIN(AA10:AA39)</f>
        <v>34</v>
      </c>
      <c r="AB44" s="12" t="n">
        <f aca="false">MIN(AB10:AB39)</f>
        <v>14</v>
      </c>
      <c r="AC44" s="13" t="s">
        <v>49</v>
      </c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/>
      <c r="G45" s="7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11"/>
      <c r="AA45" s="12"/>
      <c r="AB45" s="12"/>
      <c r="AC45" s="13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-5386.43811444416</v>
      </c>
      <c r="G47" s="7" t="n">
        <f aca="false">G8+G41</f>
        <v>1320.62</v>
      </c>
      <c r="H47" s="12" t="n">
        <f aca="false">H8+H41</f>
        <v>0</v>
      </c>
      <c r="I47" s="7" t="n">
        <f aca="false">I8+I41</f>
        <v>1320.62</v>
      </c>
      <c r="J47" s="7" t="n">
        <f aca="false">J8+J41</f>
        <v>184.8030879758</v>
      </c>
      <c r="K47" s="7" t="n">
        <f aca="false">K8+K41</f>
        <v>1505.4230879758</v>
      </c>
      <c r="L47" s="7" t="n">
        <f aca="false">L8+L41</f>
        <v>-1096.46811444416</v>
      </c>
      <c r="M47" s="7" t="n">
        <f aca="false">M8+M41</f>
        <v>617.79</v>
      </c>
      <c r="N47" s="7" t="n">
        <f aca="false">N8+N41</f>
        <v>0</v>
      </c>
      <c r="O47" s="7" t="n">
        <f aca="false">O8+O41</f>
        <v>0</v>
      </c>
      <c r="P47" s="7" t="n">
        <f aca="false">P8+P41</f>
        <v>617.79</v>
      </c>
      <c r="Q47" s="7" t="n">
        <f aca="false">Q8+Q41</f>
        <v>2664.46</v>
      </c>
      <c r="R47" s="7" t="n">
        <f aca="false">R8+R41</f>
        <v>0</v>
      </c>
      <c r="S47" s="7" t="n">
        <f aca="false">S8+S41</f>
        <v>3282.25</v>
      </c>
      <c r="T47" s="7"/>
      <c r="U47" s="7" t="n">
        <f aca="false">U8+U41</f>
        <v>0</v>
      </c>
      <c r="V47" s="7" t="n">
        <f aca="false">V8+V41</f>
        <v>2328.34</v>
      </c>
      <c r="W47" s="7" t="n">
        <f aca="false">W8+W41</f>
        <v>5610.59</v>
      </c>
      <c r="X47" s="7" t="n">
        <f aca="false">X8+X41</f>
        <v>1281.27120241996</v>
      </c>
      <c r="Y47" s="7" t="n">
        <f aca="false">Y8+Y41</f>
        <v>6891.86120241997</v>
      </c>
      <c r="Z47" s="11" t="n">
        <f aca="false">Z8+Z41</f>
        <v>1.92</v>
      </c>
      <c r="AA47" s="12"/>
      <c r="AB47" s="12"/>
      <c r="AC47" s="13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-10684</v>
      </c>
      <c r="E48" s="7" t="n">
        <f aca="false">E39</f>
        <v>133801</v>
      </c>
      <c r="F48" s="7" t="n">
        <f aca="false">F47*$D$2</f>
        <v>-10684</v>
      </c>
      <c r="G48" s="7" t="n">
        <f aca="false">G47*$D$2</f>
        <v>2619.44977</v>
      </c>
      <c r="H48" s="12" t="n">
        <f aca="false">H47*$D$2</f>
        <v>0</v>
      </c>
      <c r="I48" s="7" t="n">
        <f aca="false">I47*$D$2</f>
        <v>2619.44977</v>
      </c>
      <c r="J48" s="7" t="n">
        <f aca="false">J47*$D$2</f>
        <v>366.556925</v>
      </c>
      <c r="K48" s="7" t="n">
        <f aca="false">K47*$D$2</f>
        <v>2986.006695</v>
      </c>
      <c r="L48" s="7" t="n">
        <f aca="false">L47*$D$2</f>
        <v>-2174.844505</v>
      </c>
      <c r="M48" s="7" t="n">
        <f aca="false">M47*$D$2</f>
        <v>1225.386465</v>
      </c>
      <c r="N48" s="7" t="n">
        <f aca="false">N47*$D$2</f>
        <v>0</v>
      </c>
      <c r="O48" s="7" t="n">
        <f aca="false">O47*$D$2</f>
        <v>0</v>
      </c>
      <c r="P48" s="7" t="n">
        <f aca="false">P47*$D$2</f>
        <v>1225.386465</v>
      </c>
      <c r="Q48" s="7" t="n">
        <f aca="false">Q47*$D$2</f>
        <v>5284.95641</v>
      </c>
      <c r="R48" s="7" t="n">
        <f aca="false">R47*$D$2</f>
        <v>0</v>
      </c>
      <c r="S48" s="7" t="n">
        <f aca="false">S47*$D$2</f>
        <v>6510.342875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4618.26239</v>
      </c>
      <c r="W48" s="7" t="n">
        <f aca="false">W47*$D$2</f>
        <v>11128.605265</v>
      </c>
      <c r="X48" s="7" t="n">
        <f aca="false">X47*$D$2</f>
        <v>2541.40143</v>
      </c>
      <c r="Y48" s="7" t="n">
        <f aca="false">Y47*$D$2</f>
        <v>13670.006695</v>
      </c>
      <c r="Z48" s="11"/>
      <c r="AA48" s="12"/>
      <c r="AB48" s="12"/>
      <c r="AC48" s="13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</row>
    <row r="50" customFormat="false" ht="14.1" hidden="false" customHeight="true" outlineLevel="0" collapsed="false">
      <c r="A50" s="40"/>
      <c r="B50" s="41"/>
      <c r="C50" s="7"/>
      <c r="D50" s="6"/>
      <c r="E50" s="7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11"/>
      <c r="Z50" s="11"/>
      <c r="AA50" s="12"/>
      <c r="AB50" s="12"/>
      <c r="AC50" s="13"/>
    </row>
    <row r="51" customFormat="false" ht="11.1" hidden="false" customHeight="true" outlineLevel="0" collapsed="false">
      <c r="A51" s="6"/>
      <c r="B51" s="29"/>
      <c r="C51" s="7"/>
      <c r="D51" s="39"/>
      <c r="E51" s="7"/>
      <c r="F51" s="6"/>
      <c r="G51" s="6"/>
      <c r="H51" s="11"/>
      <c r="I51" s="8"/>
      <c r="J51" s="6"/>
      <c r="K51" s="42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11"/>
      <c r="Z51" s="11"/>
      <c r="AA51" s="12"/>
      <c r="AB51" s="12"/>
      <c r="AC51" s="13"/>
    </row>
    <row r="52" customFormat="false" ht="11.1" hidden="false" customHeight="true" outlineLevel="0" collapsed="false">
      <c r="B52" s="39"/>
      <c r="C52" s="7"/>
      <c r="D52" s="7"/>
      <c r="E52" s="7"/>
      <c r="F52" s="39"/>
      <c r="G52" s="39"/>
      <c r="H52" s="11"/>
      <c r="I52" s="39"/>
      <c r="J52" s="39"/>
      <c r="K52" s="39"/>
      <c r="L52" s="39"/>
      <c r="M52" s="37"/>
      <c r="N52" s="37"/>
      <c r="O52" s="37"/>
      <c r="P52" s="37"/>
      <c r="Q52" s="39"/>
      <c r="R52" s="39"/>
      <c r="S52" s="39"/>
      <c r="T52" s="7"/>
      <c r="U52" s="39"/>
      <c r="V52" s="39"/>
      <c r="W52" s="39"/>
      <c r="X52" s="39"/>
      <c r="Y52" s="11"/>
      <c r="Z52" s="11"/>
      <c r="AA52" s="12"/>
      <c r="AB52" s="12"/>
      <c r="AC52" s="13"/>
    </row>
    <row r="53" customFormat="false" ht="11.1" hidden="false" customHeight="true" outlineLevel="0" collapsed="false">
      <c r="A53" s="39"/>
      <c r="B53" s="10"/>
      <c r="C53" s="7"/>
      <c r="D53" s="7"/>
      <c r="E53" s="7"/>
      <c r="F53" s="39"/>
      <c r="G53" s="39"/>
      <c r="H53" s="11"/>
      <c r="I53" s="39"/>
      <c r="J53" s="39"/>
      <c r="K53" s="39"/>
      <c r="L53" s="39"/>
      <c r="M53" s="37"/>
      <c r="N53" s="37"/>
      <c r="O53" s="37"/>
      <c r="P53" s="37"/>
      <c r="Q53" s="39"/>
      <c r="R53" s="39"/>
      <c r="S53" s="39"/>
      <c r="T53" s="7"/>
      <c r="U53" s="39"/>
      <c r="V53" s="39"/>
      <c r="W53" s="39"/>
      <c r="X53" s="39"/>
      <c r="Y53" s="11"/>
      <c r="Z53" s="11"/>
      <c r="AA53" s="12"/>
      <c r="AB53" s="12"/>
      <c r="AC53" s="13"/>
    </row>
    <row r="54" customFormat="false" ht="11.1" hidden="false" customHeight="true" outlineLevel="0" collapsed="false">
      <c r="A54" s="39"/>
      <c r="B54" s="39"/>
      <c r="C54" s="7"/>
      <c r="D54" s="39"/>
      <c r="E54" s="7"/>
      <c r="F54" s="39"/>
      <c r="G54" s="43"/>
      <c r="H54" s="11"/>
      <c r="I54" s="39"/>
      <c r="J54" s="39"/>
      <c r="K54" s="39"/>
      <c r="L54" s="39"/>
      <c r="M54" s="37"/>
      <c r="N54" s="37"/>
      <c r="O54" s="37"/>
      <c r="P54" s="39"/>
      <c r="Q54" s="39"/>
      <c r="R54" s="39"/>
      <c r="S54" s="7"/>
      <c r="T54" s="39"/>
      <c r="U54" s="39"/>
      <c r="V54" s="7"/>
      <c r="W54" s="39"/>
      <c r="X54" s="39"/>
      <c r="Y54" s="11"/>
      <c r="Z54" s="11"/>
      <c r="AA54" s="12"/>
      <c r="AB54" s="13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G22" activePane="bottomRight" state="frozen"/>
      <selection pane="topLeft" activeCell="A1" activeCellId="0" sqref="A1"/>
      <selection pane="topRight" activeCell="G1" activeCellId="0" sqref="G1"/>
      <selection pane="bottomLeft" activeCell="A22" activeCellId="0" sqref="A22"/>
      <selection pane="bottomRight" activeCell="Z42" activeCellId="0" sqref="Z4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53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</row>
    <row r="5" customFormat="false" ht="11.1" hidden="false" customHeight="true" outlineLevel="0" collapsed="false">
      <c r="A5" s="67" t="s">
        <v>54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54</v>
      </c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7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</row>
    <row r="8" s="45" customFormat="true" ht="11.1" hidden="false" customHeight="true" outlineLevel="0" collapsed="false">
      <c r="A8" s="52" t="s">
        <v>43</v>
      </c>
      <c r="B8" s="73" t="n">
        <f aca="false">NOV!B39</f>
        <v>6900.6</v>
      </c>
      <c r="C8" s="52" t="n">
        <f aca="false">NOV!C39</f>
        <v>285801</v>
      </c>
      <c r="D8" s="52" t="n">
        <f aca="false">NOV!$D$48</f>
        <v>-10684</v>
      </c>
      <c r="E8" s="52" t="n">
        <f aca="false">NOV!$E$39</f>
        <v>133801</v>
      </c>
      <c r="F8" s="52" t="n">
        <f aca="false">NOV!F47</f>
        <v>-5386.43811444416</v>
      </c>
      <c r="G8" s="52" t="n">
        <f aca="false">NOV!G47</f>
        <v>1320.62</v>
      </c>
      <c r="H8" s="57" t="n">
        <f aca="false">NOV!H47</f>
        <v>0</v>
      </c>
      <c r="I8" s="52" t="n">
        <f aca="false">NOV!I47</f>
        <v>1320.62</v>
      </c>
      <c r="J8" s="52" t="n">
        <f aca="false">NOV!J47</f>
        <v>184.8030879758</v>
      </c>
      <c r="K8" s="52" t="n">
        <f aca="false">NOV!K47</f>
        <v>1505.4230879758</v>
      </c>
      <c r="L8" s="52" t="n">
        <f aca="false">NOV!L47</f>
        <v>-1096.46811444416</v>
      </c>
      <c r="M8" s="52" t="n">
        <f aca="false">NOV!M47</f>
        <v>617.79</v>
      </c>
      <c r="N8" s="52" t="n">
        <f aca="false">NOV!N47</f>
        <v>0</v>
      </c>
      <c r="O8" s="52" t="n">
        <f aca="false">NOV!O47</f>
        <v>0</v>
      </c>
      <c r="P8" s="52" t="n">
        <f aca="false">NOV!P47</f>
        <v>617.79</v>
      </c>
      <c r="Q8" s="52" t="n">
        <f aca="false">NOV!Q47</f>
        <v>2664.46</v>
      </c>
      <c r="R8" s="52" t="n">
        <f aca="false">NOV!R47</f>
        <v>0</v>
      </c>
      <c r="S8" s="52" t="n">
        <f aca="false">NOV!S47</f>
        <v>3282.25</v>
      </c>
      <c r="T8" s="52" t="n">
        <f aca="false">NOV!T47</f>
        <v>0</v>
      </c>
      <c r="U8" s="52" t="n">
        <f aca="false">NOV!U47</f>
        <v>0</v>
      </c>
      <c r="V8" s="52" t="n">
        <f aca="false">NOV!V47</f>
        <v>2328.34</v>
      </c>
      <c r="W8" s="52" t="n">
        <f aca="false">NOV!W47</f>
        <v>5610.59</v>
      </c>
      <c r="X8" s="52" t="n">
        <f aca="false">NOV!X47</f>
        <v>1281.27120241996</v>
      </c>
      <c r="Y8" s="52" t="n">
        <f aca="false">NOV!Y47</f>
        <v>6891.86120241997</v>
      </c>
      <c r="Z8" s="56" t="n">
        <f aca="false">NOV!Z47</f>
        <v>1.92</v>
      </c>
      <c r="AA8" s="57"/>
      <c r="AB8" s="57"/>
      <c r="AC8" s="58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</row>
    <row r="10" customFormat="false" ht="11.1" hidden="false" customHeight="true" outlineLevel="0" collapsed="false">
      <c r="A10" s="58" t="n">
        <v>1</v>
      </c>
      <c r="B10" s="73" t="n">
        <v>6900.57</v>
      </c>
      <c r="C10" s="52" t="n">
        <v>285690</v>
      </c>
      <c r="D10" s="57" t="n">
        <f aca="false">C10-C8</f>
        <v>-111</v>
      </c>
      <c r="E10" s="52" t="n">
        <f aca="false">C10-152000</f>
        <v>133690</v>
      </c>
      <c r="F10" s="51" t="n">
        <f aca="false">D10/$D$2</f>
        <v>-55.9616838921099</v>
      </c>
      <c r="G10" s="51" t="n">
        <v>32.8</v>
      </c>
      <c r="H10" s="53" t="n">
        <v>0</v>
      </c>
      <c r="I10" s="51" t="n">
        <f aca="false">G10+H10</f>
        <v>32.8</v>
      </c>
      <c r="J10" s="81" t="n">
        <f aca="false">IF(L10&gt;0,L10,0)</f>
        <v>0</v>
      </c>
      <c r="K10" s="51" t="n">
        <f aca="false">I10+J10</f>
        <v>32.8</v>
      </c>
      <c r="L10" s="51" t="n">
        <f aca="false">F10-(I10-W10)</f>
        <v>-4.9816838921099</v>
      </c>
      <c r="M10" s="51" t="n">
        <v>5.13</v>
      </c>
      <c r="N10" s="51" t="n">
        <v>0</v>
      </c>
      <c r="O10" s="51" t="n">
        <v>0</v>
      </c>
      <c r="P10" s="6" t="n">
        <f aca="false">M10-(N10+O10)</f>
        <v>5.13</v>
      </c>
      <c r="Q10" s="51" t="n">
        <v>0</v>
      </c>
      <c r="R10" s="51" t="n">
        <v>0</v>
      </c>
      <c r="S10" s="51" t="n">
        <f aca="false">SUM(P10:R10)</f>
        <v>5.13</v>
      </c>
      <c r="T10" s="52"/>
      <c r="U10" s="51" t="n">
        <v>0</v>
      </c>
      <c r="V10" s="51" t="n">
        <v>78.65</v>
      </c>
      <c r="W10" s="6" t="n">
        <f aca="false">N10+O10+S10+U10+V10</f>
        <v>83.78</v>
      </c>
      <c r="X10" s="51" t="n">
        <f aca="false">IF(L10&lt;0,L10*-1,0)</f>
        <v>4.9816838921099</v>
      </c>
      <c r="Y10" s="51" t="n">
        <f aca="false">W10+X10</f>
        <v>88.7616838921099</v>
      </c>
      <c r="Z10" s="56" t="n">
        <v>0</v>
      </c>
      <c r="AA10" s="57" t="n">
        <v>40</v>
      </c>
      <c r="AB10" s="57" t="n">
        <v>13</v>
      </c>
      <c r="AC10" s="58" t="n">
        <v>1</v>
      </c>
    </row>
    <row r="11" customFormat="false" ht="11.1" hidden="false" customHeight="true" outlineLevel="0" collapsed="false">
      <c r="A11" s="58" t="n">
        <f aca="false">A10+1</f>
        <v>2</v>
      </c>
      <c r="B11" s="73" t="n">
        <v>6900.55</v>
      </c>
      <c r="C11" s="52" t="n">
        <v>285616</v>
      </c>
      <c r="D11" s="57" t="n">
        <f aca="false">C11-C10</f>
        <v>-74</v>
      </c>
      <c r="E11" s="52" t="n">
        <f aca="false">C11-152000</f>
        <v>133616</v>
      </c>
      <c r="F11" s="51" t="n">
        <f aca="false">D11/$D$2</f>
        <v>-37.3077892614066</v>
      </c>
      <c r="G11" s="51" t="n">
        <v>46.4</v>
      </c>
      <c r="H11" s="53" t="n">
        <v>0</v>
      </c>
      <c r="I11" s="51" t="n">
        <f aca="false">G11+H11</f>
        <v>46.4</v>
      </c>
      <c r="J11" s="81" t="n">
        <f aca="false">IF(L11&gt;0,L11,0)</f>
        <v>0</v>
      </c>
      <c r="K11" s="51" t="n">
        <f aca="false">I11+J11</f>
        <v>46.4</v>
      </c>
      <c r="L11" s="51" t="n">
        <f aca="false">F11-(I11-W11)</f>
        <v>-0.0077892614066144</v>
      </c>
      <c r="M11" s="51" t="n">
        <v>5.13</v>
      </c>
      <c r="N11" s="51" t="n">
        <v>0</v>
      </c>
      <c r="O11" s="51" t="n">
        <v>0</v>
      </c>
      <c r="P11" s="6" t="n">
        <f aca="false">M11-(N11+O11)</f>
        <v>5.13</v>
      </c>
      <c r="Q11" s="51" t="n">
        <v>0</v>
      </c>
      <c r="R11" s="51" t="n">
        <v>0</v>
      </c>
      <c r="S11" s="51" t="n">
        <f aca="false">SUM(P11:R11)</f>
        <v>5.13</v>
      </c>
      <c r="T11" s="52"/>
      <c r="U11" s="51" t="n">
        <v>0</v>
      </c>
      <c r="V11" s="51" t="n">
        <v>78.57</v>
      </c>
      <c r="W11" s="6" t="n">
        <f aca="false">N11+O11+S11+U11+V11</f>
        <v>83.7</v>
      </c>
      <c r="X11" s="51" t="n">
        <f aca="false">IF(L11&lt;0,L11*-1,0)</f>
        <v>0.0077892614066144</v>
      </c>
      <c r="Y11" s="51" t="n">
        <f aca="false">W11+X11</f>
        <v>83.7077892614066</v>
      </c>
      <c r="Z11" s="56" t="n">
        <v>0</v>
      </c>
      <c r="AA11" s="57" t="n">
        <v>40</v>
      </c>
      <c r="AB11" s="57" t="n">
        <v>13</v>
      </c>
      <c r="AC11" s="58" t="n">
        <f aca="false">AC10+1</f>
        <v>2</v>
      </c>
    </row>
    <row r="12" customFormat="false" ht="11.1" hidden="false" customHeight="true" outlineLevel="0" collapsed="false">
      <c r="A12" s="58" t="n">
        <f aca="false">A11+1</f>
        <v>3</v>
      </c>
      <c r="B12" s="73" t="n">
        <v>6900.52</v>
      </c>
      <c r="C12" s="52" t="n">
        <v>285505</v>
      </c>
      <c r="D12" s="57" t="n">
        <f aca="false">C12-C11</f>
        <v>-111</v>
      </c>
      <c r="E12" s="52" t="n">
        <f aca="false">C12-152000</f>
        <v>133505</v>
      </c>
      <c r="F12" s="51" t="n">
        <f aca="false">D12/$D$2</f>
        <v>-55.9616838921099</v>
      </c>
      <c r="G12" s="51" t="n">
        <v>28</v>
      </c>
      <c r="H12" s="53" t="n">
        <v>0</v>
      </c>
      <c r="I12" s="51" t="n">
        <f aca="false">G12+H12</f>
        <v>28</v>
      </c>
      <c r="J12" s="81" t="n">
        <f aca="false">IF(L12&gt;0,L12,0)</f>
        <v>0.0283161078900918</v>
      </c>
      <c r="K12" s="51" t="n">
        <f aca="false">I12+J12</f>
        <v>28.0283161078901</v>
      </c>
      <c r="L12" s="51" t="n">
        <f aca="false">F12-(I12-W12)</f>
        <v>0.0283161078900918</v>
      </c>
      <c r="M12" s="51" t="n">
        <v>5.13</v>
      </c>
      <c r="N12" s="51" t="n">
        <v>0</v>
      </c>
      <c r="O12" s="51" t="n">
        <v>0</v>
      </c>
      <c r="P12" s="6" t="n">
        <f aca="false">M12-(N12+O12)</f>
        <v>5.13</v>
      </c>
      <c r="Q12" s="51" t="n">
        <v>0</v>
      </c>
      <c r="R12" s="51" t="n">
        <v>0</v>
      </c>
      <c r="S12" s="51" t="n">
        <f aca="false">SUM(P12:R12)</f>
        <v>5.13</v>
      </c>
      <c r="T12" s="52"/>
      <c r="U12" s="51" t="n">
        <v>0</v>
      </c>
      <c r="V12" s="51" t="n">
        <v>78.86</v>
      </c>
      <c r="W12" s="6" t="n">
        <f aca="false">N12+O12+S12+U12+V12</f>
        <v>83.99</v>
      </c>
      <c r="X12" s="51" t="n">
        <f aca="false">IF(L12&lt;0,L12*-1,0)</f>
        <v>0</v>
      </c>
      <c r="Y12" s="51" t="n">
        <f aca="false">W12+X12</f>
        <v>83.99</v>
      </c>
      <c r="Z12" s="56" t="n">
        <v>0</v>
      </c>
      <c r="AA12" s="57" t="n">
        <v>43</v>
      </c>
      <c r="AB12" s="57" t="n">
        <v>14</v>
      </c>
      <c r="AC12" s="58" t="n">
        <f aca="false">AC11+1</f>
        <v>3</v>
      </c>
    </row>
    <row r="13" customFormat="false" ht="11.1" hidden="false" customHeight="true" outlineLevel="0" collapsed="false">
      <c r="A13" s="58" t="n">
        <f aca="false">A12+1</f>
        <v>4</v>
      </c>
      <c r="B13" s="73" t="n">
        <v>6900.48</v>
      </c>
      <c r="C13" s="52" t="n">
        <v>285357</v>
      </c>
      <c r="D13" s="57" t="n">
        <f aca="false">C13-C12</f>
        <v>-148</v>
      </c>
      <c r="E13" s="52" t="n">
        <f aca="false">C13-152000</f>
        <v>133357</v>
      </c>
      <c r="F13" s="51" t="n">
        <f aca="false">D13/$D$2</f>
        <v>-74.6155785228132</v>
      </c>
      <c r="G13" s="51" t="n">
        <v>9.6</v>
      </c>
      <c r="H13" s="53" t="n">
        <v>0</v>
      </c>
      <c r="I13" s="51" t="n">
        <f aca="false">G13+H13</f>
        <v>9.6</v>
      </c>
      <c r="J13" s="81" t="n">
        <f aca="false">IF(L13&gt;0,L13,0)</f>
        <v>0</v>
      </c>
      <c r="K13" s="51" t="n">
        <f aca="false">I13+J13</f>
        <v>9.6</v>
      </c>
      <c r="L13" s="51" t="n">
        <f aca="false">F13-(I13-W13)</f>
        <v>-0.0455785228132015</v>
      </c>
      <c r="M13" s="51" t="n">
        <v>5.13</v>
      </c>
      <c r="N13" s="51" t="n">
        <v>0</v>
      </c>
      <c r="O13" s="51" t="n">
        <v>0</v>
      </c>
      <c r="P13" s="6" t="n">
        <f aca="false">M13-(N13+O13)</f>
        <v>5.13</v>
      </c>
      <c r="Q13" s="51" t="n">
        <v>0</v>
      </c>
      <c r="R13" s="51" t="n">
        <v>0</v>
      </c>
      <c r="S13" s="51" t="n">
        <f aca="false">SUM(P13:R13)</f>
        <v>5.13</v>
      </c>
      <c r="T13" s="52"/>
      <c r="U13" s="51" t="n">
        <v>0</v>
      </c>
      <c r="V13" s="51" t="n">
        <v>79.04</v>
      </c>
      <c r="W13" s="6" t="n">
        <f aca="false">N13+O13+S13+U13+V13</f>
        <v>84.17</v>
      </c>
      <c r="X13" s="51" t="n">
        <f aca="false">IF(L13&lt;0,L13*-1,0)</f>
        <v>0.0455785228132015</v>
      </c>
      <c r="Y13" s="51" t="n">
        <f aca="false">W13+X13</f>
        <v>84.2155785228132</v>
      </c>
      <c r="Z13" s="56" t="n">
        <v>0</v>
      </c>
      <c r="AA13" s="57" t="n">
        <v>44</v>
      </c>
      <c r="AB13" s="57" t="n">
        <v>17</v>
      </c>
      <c r="AC13" s="58" t="n">
        <f aca="false">AC12+1</f>
        <v>4</v>
      </c>
    </row>
    <row r="14" customFormat="false" ht="11.1" hidden="false" customHeight="true" outlineLevel="0" collapsed="false">
      <c r="A14" s="58" t="n">
        <f aca="false">A13+1</f>
        <v>5</v>
      </c>
      <c r="B14" s="73" t="n">
        <v>6900.45</v>
      </c>
      <c r="C14" s="52" t="n">
        <v>285246</v>
      </c>
      <c r="D14" s="57" t="n">
        <f aca="false">C14-C13</f>
        <v>-111</v>
      </c>
      <c r="E14" s="52" t="n">
        <f aca="false">C14-152000</f>
        <v>133246</v>
      </c>
      <c r="F14" s="51" t="n">
        <f aca="false">D14/$D$2</f>
        <v>-55.9616838921099</v>
      </c>
      <c r="G14" s="51" t="n">
        <v>28.1</v>
      </c>
      <c r="H14" s="53" t="n">
        <v>0</v>
      </c>
      <c r="I14" s="51" t="n">
        <f aca="false">G14+H14</f>
        <v>28.1</v>
      </c>
      <c r="J14" s="81" t="n">
        <f aca="false">IF(L14&gt;0,L14,0)</f>
        <v>0.0183161078900937</v>
      </c>
      <c r="K14" s="51" t="n">
        <f aca="false">I14+J14</f>
        <v>28.1183161078901</v>
      </c>
      <c r="L14" s="51" t="n">
        <f aca="false">F14-(I14-W14)</f>
        <v>0.0183161078900937</v>
      </c>
      <c r="M14" s="51" t="n">
        <v>5.13</v>
      </c>
      <c r="N14" s="51" t="n">
        <v>0</v>
      </c>
      <c r="O14" s="51" t="n">
        <v>0</v>
      </c>
      <c r="P14" s="6" t="n">
        <f aca="false">M14-(N14+O14)</f>
        <v>5.13</v>
      </c>
      <c r="Q14" s="51" t="n">
        <v>0</v>
      </c>
      <c r="R14" s="51" t="n">
        <v>0</v>
      </c>
      <c r="S14" s="51" t="n">
        <f aca="false">SUM(P14:R14)</f>
        <v>5.13</v>
      </c>
      <c r="T14" s="52"/>
      <c r="U14" s="51" t="n">
        <v>0</v>
      </c>
      <c r="V14" s="51" t="n">
        <v>78.95</v>
      </c>
      <c r="W14" s="6" t="n">
        <f aca="false">N14+O14+S14+U14+V14</f>
        <v>84.08</v>
      </c>
      <c r="X14" s="51" t="n">
        <f aca="false">IF(L14&lt;0,L14*-1,0)</f>
        <v>0</v>
      </c>
      <c r="Y14" s="51" t="n">
        <f aca="false">W14+X14</f>
        <v>84.08</v>
      </c>
      <c r="Z14" s="56" t="n">
        <v>0</v>
      </c>
      <c r="AA14" s="57" t="n">
        <v>41</v>
      </c>
      <c r="AB14" s="57" t="n">
        <v>18</v>
      </c>
      <c r="AC14" s="58" t="n">
        <f aca="false">AC13+1</f>
        <v>5</v>
      </c>
    </row>
    <row r="15" customFormat="false" ht="11.1" hidden="false" customHeight="true" outlineLevel="0" collapsed="false">
      <c r="A15" s="58" t="n">
        <f aca="false">A14+1</f>
        <v>6</v>
      </c>
      <c r="B15" s="73" t="n">
        <v>6900.41</v>
      </c>
      <c r="C15" s="52" t="n">
        <v>285098</v>
      </c>
      <c r="D15" s="57" t="n">
        <f aca="false">C15-C14</f>
        <v>-148</v>
      </c>
      <c r="E15" s="52" t="n">
        <f aca="false">C15-152000</f>
        <v>133098</v>
      </c>
      <c r="F15" s="51" t="n">
        <f aca="false">D15/$D$2</f>
        <v>-74.6155785228132</v>
      </c>
      <c r="G15" s="51" t="n">
        <v>9.4</v>
      </c>
      <c r="H15" s="53" t="n">
        <v>0</v>
      </c>
      <c r="I15" s="51" t="n">
        <f aca="false">G15+H15</f>
        <v>9.4</v>
      </c>
      <c r="J15" s="81" t="n">
        <f aca="false">IF(L15&gt;0,L15,0)</f>
        <v>0.0344214771867826</v>
      </c>
      <c r="K15" s="51" t="n">
        <f aca="false">I15+J15</f>
        <v>9.43442147718678</v>
      </c>
      <c r="L15" s="51" t="n">
        <f aca="false">F15-(I15-W15)</f>
        <v>0.0344214771867826</v>
      </c>
      <c r="M15" s="51" t="n">
        <v>5.13</v>
      </c>
      <c r="N15" s="51" t="n">
        <v>0</v>
      </c>
      <c r="O15" s="51" t="n">
        <v>0</v>
      </c>
      <c r="P15" s="6" t="n">
        <f aca="false">M15-(N15+O15)</f>
        <v>5.13</v>
      </c>
      <c r="Q15" s="51" t="n">
        <v>0</v>
      </c>
      <c r="R15" s="51" t="n">
        <v>0</v>
      </c>
      <c r="S15" s="51" t="n">
        <f aca="false">SUM(P15:R15)</f>
        <v>5.13</v>
      </c>
      <c r="T15" s="52"/>
      <c r="U15" s="51" t="n">
        <v>0</v>
      </c>
      <c r="V15" s="51" t="n">
        <v>78.92</v>
      </c>
      <c r="W15" s="6" t="n">
        <f aca="false">N15+O15+S15+U15+V15</f>
        <v>84.05</v>
      </c>
      <c r="X15" s="51" t="n">
        <f aca="false">IF(L15&lt;0,L15*-1,0)</f>
        <v>0</v>
      </c>
      <c r="Y15" s="51" t="n">
        <f aca="false">W15+X15</f>
        <v>84.05</v>
      </c>
      <c r="Z15" s="56" t="n">
        <v>0</v>
      </c>
      <c r="AA15" s="57" t="n">
        <v>36</v>
      </c>
      <c r="AB15" s="57" t="n">
        <v>21</v>
      </c>
      <c r="AC15" s="58" t="n">
        <f aca="false">AC14+1</f>
        <v>6</v>
      </c>
    </row>
    <row r="16" customFormat="false" ht="11.1" hidden="false" customHeight="true" outlineLevel="0" collapsed="false">
      <c r="A16" s="58" t="n">
        <f aca="false">A15+1</f>
        <v>7</v>
      </c>
      <c r="B16" s="73" t="n">
        <v>6900.37</v>
      </c>
      <c r="C16" s="52" t="n">
        <v>284950</v>
      </c>
      <c r="D16" s="57" t="n">
        <f aca="false">C16-C15</f>
        <v>-148</v>
      </c>
      <c r="E16" s="52" t="n">
        <f aca="false">C16-152000</f>
        <v>132950</v>
      </c>
      <c r="F16" s="51" t="n">
        <f aca="false">D16/$D$2</f>
        <v>-74.6155785228132</v>
      </c>
      <c r="G16" s="51" t="n">
        <v>9.4</v>
      </c>
      <c r="H16" s="53" t="n">
        <v>0</v>
      </c>
      <c r="I16" s="51" t="n">
        <f aca="false">G16+H16</f>
        <v>9.4</v>
      </c>
      <c r="J16" s="81" t="n">
        <f aca="false">IF(L16&gt;0,L16,0)</f>
        <v>0</v>
      </c>
      <c r="K16" s="51" t="n">
        <f aca="false">I16+J16</f>
        <v>9.4</v>
      </c>
      <c r="L16" s="51" t="n">
        <f aca="false">F16-(I16-W16)</f>
        <v>-0.00557852281322369</v>
      </c>
      <c r="M16" s="51" t="n">
        <v>5.13</v>
      </c>
      <c r="N16" s="51" t="n">
        <v>0</v>
      </c>
      <c r="O16" s="51" t="n">
        <v>0</v>
      </c>
      <c r="P16" s="6" t="n">
        <f aca="false">M16-(N16+O16)</f>
        <v>5.13</v>
      </c>
      <c r="Q16" s="51" t="n">
        <v>0</v>
      </c>
      <c r="R16" s="51" t="n">
        <v>0</v>
      </c>
      <c r="S16" s="51" t="n">
        <f aca="false">SUM(P16:R16)</f>
        <v>5.13</v>
      </c>
      <c r="T16" s="52"/>
      <c r="U16" s="51" t="n">
        <v>0</v>
      </c>
      <c r="V16" s="51" t="n">
        <v>78.88</v>
      </c>
      <c r="W16" s="6" t="n">
        <f aca="false">N16+O16+S16+U16+V16</f>
        <v>84.01</v>
      </c>
      <c r="X16" s="51" t="n">
        <f aca="false">IF(L16&lt;0,L16*-1,0)</f>
        <v>0.00557852281322369</v>
      </c>
      <c r="Y16" s="51" t="n">
        <f aca="false">W16+X16</f>
        <v>84.0155785228132</v>
      </c>
      <c r="Z16" s="56" t="n">
        <v>0</v>
      </c>
      <c r="AA16" s="57" t="n">
        <v>40</v>
      </c>
      <c r="AB16" s="57" t="n">
        <v>19</v>
      </c>
      <c r="AC16" s="58" t="n">
        <f aca="false">AC15+1</f>
        <v>7</v>
      </c>
    </row>
    <row r="17" customFormat="false" ht="11.1" hidden="false" customHeight="true" outlineLevel="0" collapsed="false">
      <c r="A17" s="58" t="n">
        <f aca="false">A16+1</f>
        <v>8</v>
      </c>
      <c r="B17" s="73" t="n">
        <v>6900.33</v>
      </c>
      <c r="C17" s="52" t="n">
        <v>284801</v>
      </c>
      <c r="D17" s="57" t="n">
        <f aca="false">C17-C16</f>
        <v>-149</v>
      </c>
      <c r="E17" s="52" t="n">
        <f aca="false">C17-152000</f>
        <v>132801</v>
      </c>
      <c r="F17" s="51" t="n">
        <f aca="false">D17/$D$2</f>
        <v>-75.1197378371565</v>
      </c>
      <c r="G17" s="51" t="n">
        <v>9.1</v>
      </c>
      <c r="H17" s="53" t="n">
        <v>0</v>
      </c>
      <c r="I17" s="51" t="n">
        <f aca="false">G17+H17</f>
        <v>9.1</v>
      </c>
      <c r="J17" s="81" t="n">
        <f aca="false">IF(L17&gt;0,L17,0)</f>
        <v>0</v>
      </c>
      <c r="K17" s="51" t="n">
        <f aca="false">I17+J17</f>
        <v>9.1</v>
      </c>
      <c r="L17" s="51" t="n">
        <f aca="false">F17-(I17-W17)</f>
        <v>-0.0197378371565407</v>
      </c>
      <c r="M17" s="51" t="n">
        <v>5.13</v>
      </c>
      <c r="N17" s="51" t="n">
        <v>0</v>
      </c>
      <c r="O17" s="51" t="n">
        <v>0</v>
      </c>
      <c r="P17" s="6" t="n">
        <f aca="false">M17-(N17+O17)</f>
        <v>5.13</v>
      </c>
      <c r="Q17" s="51" t="n">
        <v>0</v>
      </c>
      <c r="R17" s="51" t="n">
        <v>0</v>
      </c>
      <c r="S17" s="51" t="n">
        <f aca="false">SUM(P17:R17)</f>
        <v>5.13</v>
      </c>
      <c r="T17" s="52"/>
      <c r="U17" s="51" t="n">
        <v>0</v>
      </c>
      <c r="V17" s="51" t="n">
        <v>79.07</v>
      </c>
      <c r="W17" s="6" t="n">
        <f aca="false">N17+O17+S17+U17+V17</f>
        <v>84.2</v>
      </c>
      <c r="X17" s="51" t="n">
        <f aca="false">IF(L17&lt;0,L17*-1,0)</f>
        <v>0.0197378371565407</v>
      </c>
      <c r="Y17" s="51" t="n">
        <f aca="false">W17+X17</f>
        <v>84.2197378371565</v>
      </c>
      <c r="Z17" s="56" t="n">
        <v>0</v>
      </c>
      <c r="AA17" s="57" t="n">
        <v>38</v>
      </c>
      <c r="AB17" s="57" t="n">
        <v>17</v>
      </c>
      <c r="AC17" s="58" t="n">
        <f aca="false">AC16+1</f>
        <v>8</v>
      </c>
    </row>
    <row r="18" customFormat="false" ht="11.1" hidden="false" customHeight="true" outlineLevel="0" collapsed="false">
      <c r="A18" s="58" t="n">
        <f aca="false">A17+1</f>
        <v>9</v>
      </c>
      <c r="B18" s="73" t="n">
        <v>6900.29</v>
      </c>
      <c r="C18" s="52" t="n">
        <v>284653</v>
      </c>
      <c r="D18" s="57" t="n">
        <f aca="false">C18-C17</f>
        <v>-148</v>
      </c>
      <c r="E18" s="52" t="n">
        <f aca="false">C18-152000</f>
        <v>132653</v>
      </c>
      <c r="F18" s="51" t="n">
        <f aca="false">D18/$D$2</f>
        <v>-74.6155785228132</v>
      </c>
      <c r="G18" s="51" t="n">
        <v>9.3</v>
      </c>
      <c r="H18" s="53" t="n">
        <v>0</v>
      </c>
      <c r="I18" s="51" t="n">
        <f aca="false">G18+H18</f>
        <v>9.3</v>
      </c>
      <c r="J18" s="81" t="n">
        <f aca="false">IF(L18&gt;0,L18,0)</f>
        <v>0.0144214771867865</v>
      </c>
      <c r="K18" s="51" t="n">
        <f aca="false">I18+J18</f>
        <v>9.31442147718679</v>
      </c>
      <c r="L18" s="51" t="n">
        <f aca="false">F18-(I18-W18)</f>
        <v>0.0144214771867865</v>
      </c>
      <c r="M18" s="51" t="n">
        <v>5.13</v>
      </c>
      <c r="N18" s="51" t="n">
        <v>0</v>
      </c>
      <c r="O18" s="51" t="n">
        <v>0</v>
      </c>
      <c r="P18" s="6" t="n">
        <f aca="false">M18-(N18+O18)</f>
        <v>5.13</v>
      </c>
      <c r="Q18" s="51" t="n">
        <v>0</v>
      </c>
      <c r="R18" s="51" t="n">
        <v>0</v>
      </c>
      <c r="S18" s="51" t="n">
        <f aca="false">SUM(P18:R18)</f>
        <v>5.13</v>
      </c>
      <c r="T18" s="52"/>
      <c r="U18" s="51" t="n">
        <v>0</v>
      </c>
      <c r="V18" s="51" t="n">
        <v>78.8</v>
      </c>
      <c r="W18" s="6" t="n">
        <f aca="false">N18+O18+S18+U18+V18</f>
        <v>83.93</v>
      </c>
      <c r="X18" s="51" t="n">
        <f aca="false">IF(L18&lt;0,L18*-1,0)</f>
        <v>0</v>
      </c>
      <c r="Y18" s="51" t="n">
        <f aca="false">W18+X18</f>
        <v>83.93</v>
      </c>
      <c r="Z18" s="56" t="n">
        <v>0</v>
      </c>
      <c r="AA18" s="82" t="n">
        <v>37</v>
      </c>
      <c r="AB18" s="57" t="n">
        <v>15</v>
      </c>
      <c r="AC18" s="58" t="n">
        <f aca="false">AC17+1</f>
        <v>9</v>
      </c>
    </row>
    <row r="19" customFormat="false" ht="11.1" hidden="false" customHeight="true" outlineLevel="0" collapsed="false">
      <c r="A19" s="58" t="n">
        <f aca="false">A18+1</f>
        <v>10</v>
      </c>
      <c r="B19" s="73" t="n">
        <v>6900.25</v>
      </c>
      <c r="C19" s="52" t="n">
        <v>284505</v>
      </c>
      <c r="D19" s="57" t="n">
        <f aca="false">C19-C18</f>
        <v>-148</v>
      </c>
      <c r="E19" s="52" t="n">
        <f aca="false">C19-152000</f>
        <v>132505</v>
      </c>
      <c r="F19" s="51" t="n">
        <f aca="false">D19/$D$2</f>
        <v>-74.6155785228132</v>
      </c>
      <c r="G19" s="51" t="n">
        <v>9.7</v>
      </c>
      <c r="H19" s="53" t="n">
        <v>0</v>
      </c>
      <c r="I19" s="51" t="n">
        <f aca="false">G19+H19</f>
        <v>9.7</v>
      </c>
      <c r="J19" s="81" t="n">
        <f aca="false">IF(L19&gt;0,L19,0)</f>
        <v>0.0144214771867865</v>
      </c>
      <c r="K19" s="51" t="n">
        <f aca="false">I19+J19</f>
        <v>9.71442147718679</v>
      </c>
      <c r="L19" s="51" t="n">
        <f aca="false">F19-(I19-W19)</f>
        <v>0.0144214771867865</v>
      </c>
      <c r="M19" s="51" t="n">
        <v>5.13</v>
      </c>
      <c r="N19" s="51" t="n">
        <v>0</v>
      </c>
      <c r="O19" s="51" t="n">
        <v>0</v>
      </c>
      <c r="P19" s="6" t="n">
        <f aca="false">M19-(N19+O19)</f>
        <v>5.13</v>
      </c>
      <c r="Q19" s="51" t="n">
        <v>0</v>
      </c>
      <c r="R19" s="51" t="n">
        <v>0</v>
      </c>
      <c r="S19" s="51" t="n">
        <f aca="false">SUM(P19:R19)</f>
        <v>5.13</v>
      </c>
      <c r="T19" s="52"/>
      <c r="U19" s="51" t="n">
        <v>0</v>
      </c>
      <c r="V19" s="51" t="n">
        <v>79.2</v>
      </c>
      <c r="W19" s="6" t="n">
        <f aca="false">N19+O19+S19+U19+V19</f>
        <v>84.33</v>
      </c>
      <c r="X19" s="51" t="n">
        <f aca="false">IF(L19&lt;0,L19*-1,0)</f>
        <v>0</v>
      </c>
      <c r="Y19" s="51" t="n">
        <f aca="false">W19+X19</f>
        <v>84.33</v>
      </c>
      <c r="Z19" s="56" t="n">
        <v>0</v>
      </c>
      <c r="AA19" s="57" t="n">
        <v>21</v>
      </c>
      <c r="AB19" s="57" t="n">
        <v>12</v>
      </c>
      <c r="AC19" s="58" t="n">
        <f aca="false">AC18+1</f>
        <v>10</v>
      </c>
    </row>
    <row r="20" customFormat="false" ht="11.1" hidden="false" customHeight="true" outlineLevel="0" collapsed="false">
      <c r="A20" s="58" t="n">
        <f aca="false">A19+1</f>
        <v>11</v>
      </c>
      <c r="B20" s="73" t="n">
        <v>6900.21</v>
      </c>
      <c r="C20" s="52" t="n">
        <v>284320</v>
      </c>
      <c r="D20" s="57" t="n">
        <f aca="false">C20-C19</f>
        <v>-185</v>
      </c>
      <c r="E20" s="52" t="n">
        <f aca="false">C20-152000</f>
        <v>132320</v>
      </c>
      <c r="F20" s="51" t="n">
        <f aca="false">D20/$D$2</f>
        <v>-93.2694731535165</v>
      </c>
      <c r="G20" s="51" t="n">
        <v>0</v>
      </c>
      <c r="H20" s="53" t="n">
        <v>0</v>
      </c>
      <c r="I20" s="51" t="n">
        <f aca="false">G20+H20</f>
        <v>0</v>
      </c>
      <c r="J20" s="81" t="n">
        <f aca="false">IF(L20&gt;0,L20,0)</f>
        <v>0</v>
      </c>
      <c r="K20" s="51" t="n">
        <f aca="false">I20+J20</f>
        <v>0</v>
      </c>
      <c r="L20" s="51" t="n">
        <f aca="false">F20-(I20-W20)</f>
        <v>-9.11947315351652</v>
      </c>
      <c r="M20" s="51" t="n">
        <v>5.13</v>
      </c>
      <c r="N20" s="51" t="n">
        <v>0</v>
      </c>
      <c r="O20" s="51" t="n">
        <v>0</v>
      </c>
      <c r="P20" s="6" t="n">
        <f aca="false">M20-(N20+O20)</f>
        <v>5.13</v>
      </c>
      <c r="Q20" s="51" t="n">
        <v>0</v>
      </c>
      <c r="R20" s="51" t="n">
        <v>0</v>
      </c>
      <c r="S20" s="51" t="n">
        <f aca="false">SUM(P20:R20)</f>
        <v>5.13</v>
      </c>
      <c r="T20" s="52"/>
      <c r="U20" s="51" t="n">
        <v>0</v>
      </c>
      <c r="V20" s="51" t="n">
        <v>79.02</v>
      </c>
      <c r="W20" s="6" t="n">
        <f aca="false">N20+O20+S20+U20+V20</f>
        <v>84.15</v>
      </c>
      <c r="X20" s="51" t="n">
        <f aca="false">IF(L20&lt;0,L20*-1,0)</f>
        <v>9.11947315351652</v>
      </c>
      <c r="Y20" s="51" t="n">
        <f aca="false">W20+X20</f>
        <v>93.2694731535165</v>
      </c>
      <c r="Z20" s="56" t="n">
        <v>0</v>
      </c>
      <c r="AA20" s="57" t="n">
        <v>28</v>
      </c>
      <c r="AB20" s="57" t="n">
        <v>5</v>
      </c>
      <c r="AC20" s="58" t="n">
        <f aca="false">AC19+1</f>
        <v>11</v>
      </c>
    </row>
    <row r="21" customFormat="false" ht="11.1" hidden="false" customHeight="true" outlineLevel="0" collapsed="false">
      <c r="A21" s="58" t="n">
        <f aca="false">A20+1</f>
        <v>12</v>
      </c>
      <c r="B21" s="73" t="n">
        <v>6900.17</v>
      </c>
      <c r="C21" s="52" t="n">
        <v>284209</v>
      </c>
      <c r="D21" s="57" t="n">
        <f aca="false">C21-C20</f>
        <v>-111</v>
      </c>
      <c r="E21" s="52" t="n">
        <f aca="false">C21-152000</f>
        <v>132209</v>
      </c>
      <c r="F21" s="51" t="n">
        <f aca="false">D21/$D$2</f>
        <v>-55.9616838921099</v>
      </c>
      <c r="G21" s="51" t="n">
        <v>28.3</v>
      </c>
      <c r="H21" s="53" t="n">
        <v>0</v>
      </c>
      <c r="I21" s="51" t="n">
        <f aca="false">G21+H21</f>
        <v>28.3</v>
      </c>
      <c r="J21" s="81" t="n">
        <f aca="false">IF(L21&gt;0,L21,0)</f>
        <v>0</v>
      </c>
      <c r="K21" s="51" t="n">
        <f aca="false">I21+J21</f>
        <v>28.3</v>
      </c>
      <c r="L21" s="51" t="n">
        <f aca="false">F21-(I21-W21)</f>
        <v>-0.0416838921099014</v>
      </c>
      <c r="M21" s="51" t="n">
        <v>4.92</v>
      </c>
      <c r="N21" s="51" t="n">
        <v>0</v>
      </c>
      <c r="O21" s="51" t="n">
        <v>0</v>
      </c>
      <c r="P21" s="6" t="n">
        <f aca="false">M21-(N21+O21)</f>
        <v>4.92</v>
      </c>
      <c r="Q21" s="51" t="n">
        <v>0</v>
      </c>
      <c r="R21" s="51" t="n">
        <v>0</v>
      </c>
      <c r="S21" s="51" t="n">
        <f aca="false">SUM(P21:R21)</f>
        <v>4.92</v>
      </c>
      <c r="T21" s="52"/>
      <c r="U21" s="51" t="n">
        <v>0</v>
      </c>
      <c r="V21" s="51" t="n">
        <v>79.3</v>
      </c>
      <c r="W21" s="6" t="n">
        <f aca="false">N21+O21+S21+U21+V21</f>
        <v>84.22</v>
      </c>
      <c r="X21" s="51" t="n">
        <f aca="false">IF(L21&lt;0,L21*-1,0)</f>
        <v>0.0416838921099014</v>
      </c>
      <c r="Y21" s="51" t="n">
        <f aca="false">W21+X21</f>
        <v>84.2616838921099</v>
      </c>
      <c r="Z21" s="56" t="n">
        <v>0.2</v>
      </c>
      <c r="AA21" s="57" t="n">
        <v>29</v>
      </c>
      <c r="AB21" s="57" t="n">
        <v>8</v>
      </c>
      <c r="AC21" s="58" t="n">
        <f aca="false">AC20+1</f>
        <v>12</v>
      </c>
    </row>
    <row r="22" customFormat="false" ht="11.1" hidden="false" customHeight="true" outlineLevel="0" collapsed="false">
      <c r="A22" s="58" t="n">
        <f aca="false">A21+1</f>
        <v>13</v>
      </c>
      <c r="B22" s="73" t="n">
        <v>6900.13</v>
      </c>
      <c r="C22" s="52" t="n">
        <v>284061</v>
      </c>
      <c r="D22" s="57" t="n">
        <f aca="false">C22-C21</f>
        <v>-148</v>
      </c>
      <c r="E22" s="52" t="n">
        <f aca="false">C22-152000</f>
        <v>132061</v>
      </c>
      <c r="F22" s="51" t="n">
        <f aca="false">D22/$D$2</f>
        <v>-74.6155785228132</v>
      </c>
      <c r="G22" s="51" t="n">
        <v>9.5</v>
      </c>
      <c r="H22" s="53" t="n">
        <v>0</v>
      </c>
      <c r="I22" s="51" t="n">
        <f aca="false">G22+H22</f>
        <v>9.5</v>
      </c>
      <c r="J22" s="81" t="n">
        <f aca="false">IF(L22&gt;0,L22,0)</f>
        <v>0</v>
      </c>
      <c r="K22" s="51" t="n">
        <f aca="false">I22+J22</f>
        <v>9.5</v>
      </c>
      <c r="L22" s="51" t="n">
        <f aca="false">F22-(I22-W22)</f>
        <v>-0.0155785228132004</v>
      </c>
      <c r="M22" s="51" t="n">
        <v>4.76</v>
      </c>
      <c r="N22" s="51" t="n">
        <v>0</v>
      </c>
      <c r="O22" s="51" t="n">
        <v>0</v>
      </c>
      <c r="P22" s="6" t="n">
        <f aca="false">M22-(N22+O22)</f>
        <v>4.76</v>
      </c>
      <c r="Q22" s="51" t="n">
        <v>0</v>
      </c>
      <c r="R22" s="51" t="n">
        <v>0</v>
      </c>
      <c r="S22" s="51" t="n">
        <f aca="false">SUM(P22:R22)</f>
        <v>4.76</v>
      </c>
      <c r="T22" s="52"/>
      <c r="U22" s="51" t="n">
        <v>0</v>
      </c>
      <c r="V22" s="51" t="n">
        <v>79.34</v>
      </c>
      <c r="W22" s="6" t="n">
        <f aca="false">N22+O22+S22+U22+V22</f>
        <v>84.1</v>
      </c>
      <c r="X22" s="51" t="n">
        <f aca="false">IF(L22&lt;0,L22*-1,0)</f>
        <v>0.0155785228132004</v>
      </c>
      <c r="Y22" s="51" t="n">
        <f aca="false">W22+X22</f>
        <v>84.1155785228132</v>
      </c>
      <c r="Z22" s="56" t="n">
        <v>0</v>
      </c>
      <c r="AA22" s="57" t="n">
        <v>28</v>
      </c>
      <c r="AB22" s="57" t="n">
        <v>7</v>
      </c>
      <c r="AC22" s="58" t="n">
        <f aca="false">AC21+1</f>
        <v>13</v>
      </c>
    </row>
    <row r="23" customFormat="false" ht="11.1" hidden="false" customHeight="true" outlineLevel="0" collapsed="false">
      <c r="A23" s="58" t="n">
        <f aca="false">A22+1</f>
        <v>14</v>
      </c>
      <c r="B23" s="73" t="n">
        <v>6900.09</v>
      </c>
      <c r="C23" s="52" t="n">
        <v>283903</v>
      </c>
      <c r="D23" s="57" t="n">
        <f aca="false">C23-C22</f>
        <v>-158</v>
      </c>
      <c r="E23" s="52" t="n">
        <f aca="false">C23-152000</f>
        <v>131903</v>
      </c>
      <c r="F23" s="51" t="n">
        <f aca="false">D23/$D$2</f>
        <v>-79.6571716662465</v>
      </c>
      <c r="G23" s="51" t="n">
        <v>4</v>
      </c>
      <c r="H23" s="53" t="n">
        <v>0</v>
      </c>
      <c r="I23" s="51" t="n">
        <f aca="false">G23+H23</f>
        <v>4</v>
      </c>
      <c r="J23" s="81" t="n">
        <f aca="false">IF(L23&gt;0,L23,0)</f>
        <v>0.0428283337534765</v>
      </c>
      <c r="K23" s="51" t="n">
        <f aca="false">I23+J23</f>
        <v>4.04282833375348</v>
      </c>
      <c r="L23" s="51" t="n">
        <f aca="false">F23-(I23-W23)</f>
        <v>0.0428283337534765</v>
      </c>
      <c r="M23" s="51" t="n">
        <v>4.54</v>
      </c>
      <c r="N23" s="51" t="n">
        <v>0</v>
      </c>
      <c r="O23" s="51" t="n">
        <v>0</v>
      </c>
      <c r="P23" s="6" t="n">
        <f aca="false">M23-(N23+O23)</f>
        <v>4.54</v>
      </c>
      <c r="Q23" s="51" t="n">
        <v>0</v>
      </c>
      <c r="R23" s="51" t="n">
        <v>0</v>
      </c>
      <c r="S23" s="51" t="n">
        <f aca="false">SUM(P23:R23)</f>
        <v>4.54</v>
      </c>
      <c r="T23" s="52"/>
      <c r="U23" s="51" t="n">
        <v>0</v>
      </c>
      <c r="V23" s="51" t="n">
        <v>79.16</v>
      </c>
      <c r="W23" s="6" t="n">
        <f aca="false">N23+O23+S23+U23+V23</f>
        <v>83.7</v>
      </c>
      <c r="X23" s="51" t="n">
        <f aca="false">IF(L23&lt;0,L23*-1,0)</f>
        <v>0</v>
      </c>
      <c r="Y23" s="51" t="n">
        <f aca="false">W23+X23</f>
        <v>83.7</v>
      </c>
      <c r="Z23" s="56" t="n">
        <v>0</v>
      </c>
      <c r="AA23" s="82" t="n">
        <v>30</v>
      </c>
      <c r="AB23" s="57" t="n">
        <v>9</v>
      </c>
      <c r="AC23" s="58" t="n">
        <f aca="false">AC22+1</f>
        <v>14</v>
      </c>
    </row>
    <row r="24" customFormat="false" ht="11.1" hidden="false" customHeight="true" outlineLevel="0" collapsed="false">
      <c r="A24" s="58" t="n">
        <f aca="false">A23+1</f>
        <v>15</v>
      </c>
      <c r="B24" s="73" t="n">
        <v>6900.05</v>
      </c>
      <c r="C24" s="52" t="n">
        <v>283765</v>
      </c>
      <c r="D24" s="57" t="n">
        <f aca="false">C24-C23</f>
        <v>-138</v>
      </c>
      <c r="E24" s="52" t="n">
        <f aca="false">C24-152000</f>
        <v>131765</v>
      </c>
      <c r="F24" s="51" t="n">
        <f aca="false">D24/$D$2</f>
        <v>-69.5739853793799</v>
      </c>
      <c r="G24" s="51" t="n">
        <v>13.5</v>
      </c>
      <c r="H24" s="53" t="n">
        <v>0</v>
      </c>
      <c r="I24" s="51" t="n">
        <f aca="false">G24+H24</f>
        <v>13.5</v>
      </c>
      <c r="J24" s="81" t="n">
        <f aca="false">IF(L24&gt;0,L24,0)</f>
        <v>0.0360146206201222</v>
      </c>
      <c r="K24" s="51" t="n">
        <f aca="false">I24+J24</f>
        <v>13.5360146206201</v>
      </c>
      <c r="L24" s="51" t="n">
        <f aca="false">F24-(I24-W24)</f>
        <v>0.0360146206201222</v>
      </c>
      <c r="M24" s="51" t="n">
        <v>4.4</v>
      </c>
      <c r="N24" s="51" t="n">
        <v>0</v>
      </c>
      <c r="O24" s="51" t="n">
        <v>0</v>
      </c>
      <c r="P24" s="6" t="n">
        <f aca="false">M24-(N24+O24)</f>
        <v>4.4</v>
      </c>
      <c r="Q24" s="51" t="n">
        <v>0</v>
      </c>
      <c r="R24" s="51" t="n">
        <v>0</v>
      </c>
      <c r="S24" s="51" t="n">
        <f aca="false">SUM(P24:R24)</f>
        <v>4.4</v>
      </c>
      <c r="T24" s="52"/>
      <c r="U24" s="51" t="n">
        <v>0</v>
      </c>
      <c r="V24" s="51" t="n">
        <v>78.71</v>
      </c>
      <c r="W24" s="6" t="n">
        <f aca="false">N24+O24+S24+U24+V24</f>
        <v>83.11</v>
      </c>
      <c r="X24" s="51" t="n">
        <f aca="false">IF(L24&lt;0,L24*-1,0)</f>
        <v>0</v>
      </c>
      <c r="Y24" s="51" t="n">
        <f aca="false">W24+X24</f>
        <v>83.11</v>
      </c>
      <c r="Z24" s="56" t="n">
        <v>0</v>
      </c>
      <c r="AA24" s="82" t="n">
        <v>33</v>
      </c>
      <c r="AB24" s="57" t="n">
        <v>8</v>
      </c>
      <c r="AC24" s="58" t="n">
        <f aca="false">AC23+1</f>
        <v>15</v>
      </c>
    </row>
    <row r="25" customFormat="false" ht="11.1" hidden="false" customHeight="true" outlineLevel="0" collapsed="false">
      <c r="A25" s="58" t="n">
        <f aca="false">A24+1</f>
        <v>16</v>
      </c>
      <c r="B25" s="73" t="n">
        <v>6900.01</v>
      </c>
      <c r="C25" s="52" t="n">
        <v>283617</v>
      </c>
      <c r="D25" s="57" t="n">
        <f aca="false">C25-C24</f>
        <v>-148</v>
      </c>
      <c r="E25" s="52" t="n">
        <f aca="false">C25-152000</f>
        <v>131617</v>
      </c>
      <c r="F25" s="51" t="n">
        <f aca="false">D25/$D$2</f>
        <v>-74.6155785228132</v>
      </c>
      <c r="G25" s="51" t="n">
        <v>8.6</v>
      </c>
      <c r="H25" s="53" t="n">
        <v>0</v>
      </c>
      <c r="I25" s="51" t="n">
        <f aca="false">G25+H25</f>
        <v>8.6</v>
      </c>
      <c r="J25" s="81" t="n">
        <f aca="false">IF(L25&gt;0,L25,0)</f>
        <v>0.0244214771868059</v>
      </c>
      <c r="K25" s="51" t="n">
        <f aca="false">I25+J25</f>
        <v>8.62442147718681</v>
      </c>
      <c r="L25" s="51" t="n">
        <f aca="false">F25-(I25-W25)</f>
        <v>0.0244214771868059</v>
      </c>
      <c r="M25" s="51" t="n">
        <v>4.4</v>
      </c>
      <c r="N25" s="51" t="n">
        <v>0</v>
      </c>
      <c r="O25" s="51" t="n">
        <v>0</v>
      </c>
      <c r="P25" s="6" t="n">
        <f aca="false">M25-(N25+O25)</f>
        <v>4.4</v>
      </c>
      <c r="Q25" s="51" t="n">
        <v>0</v>
      </c>
      <c r="R25" s="51" t="n">
        <v>0</v>
      </c>
      <c r="S25" s="51" t="n">
        <f aca="false">SUM(P25:R25)</f>
        <v>4.4</v>
      </c>
      <c r="T25" s="52"/>
      <c r="U25" s="51" t="n">
        <v>0</v>
      </c>
      <c r="V25" s="51" t="n">
        <v>78.84</v>
      </c>
      <c r="W25" s="6" t="n">
        <f aca="false">N25+O25+S25+U25+V25</f>
        <v>83.24</v>
      </c>
      <c r="X25" s="51" t="n">
        <f aca="false">IF(L25&lt;0,L25*-1,0)</f>
        <v>0</v>
      </c>
      <c r="Y25" s="51" t="n">
        <f aca="false">W25+X25</f>
        <v>83.24</v>
      </c>
      <c r="Z25" s="56" t="n">
        <v>0</v>
      </c>
      <c r="AA25" s="82" t="n">
        <v>31</v>
      </c>
      <c r="AB25" s="57" t="n">
        <v>9</v>
      </c>
      <c r="AC25" s="58" t="n">
        <f aca="false">AC24+1</f>
        <v>16</v>
      </c>
    </row>
    <row r="26" customFormat="false" ht="11.1" hidden="false" customHeight="true" outlineLevel="0" collapsed="false">
      <c r="A26" s="58" t="n">
        <f aca="false">A25+1</f>
        <v>17</v>
      </c>
      <c r="B26" s="73" t="n">
        <v>6899.97</v>
      </c>
      <c r="C26" s="52" t="n">
        <v>283470</v>
      </c>
      <c r="D26" s="57" t="n">
        <f aca="false">C26-C25</f>
        <v>-147</v>
      </c>
      <c r="E26" s="52" t="n">
        <f aca="false">C26-152000</f>
        <v>131470</v>
      </c>
      <c r="F26" s="51" t="n">
        <f aca="false">D26/$D$2</f>
        <v>-74.1114192084699</v>
      </c>
      <c r="G26" s="51" t="n">
        <v>9.1</v>
      </c>
      <c r="H26" s="53" t="n">
        <v>0</v>
      </c>
      <c r="I26" s="51" t="n">
        <f aca="false">G26+H26</f>
        <v>9.1</v>
      </c>
      <c r="J26" s="81" t="n">
        <f aca="false">IF(L26&gt;0,L26,0)</f>
        <v>0</v>
      </c>
      <c r="K26" s="51" t="n">
        <f aca="false">I26+J26</f>
        <v>9.1</v>
      </c>
      <c r="L26" s="51" t="n">
        <f aca="false">F26-(I26-W26)</f>
        <v>-0.00141920846985499</v>
      </c>
      <c r="M26" s="51" t="n">
        <v>4.4</v>
      </c>
      <c r="N26" s="51" t="n">
        <v>0</v>
      </c>
      <c r="O26" s="51" t="n">
        <v>0</v>
      </c>
      <c r="P26" s="6" t="n">
        <f aca="false">M26-(N26+O26)</f>
        <v>4.4</v>
      </c>
      <c r="Q26" s="51" t="n">
        <v>0</v>
      </c>
      <c r="R26" s="51" t="n">
        <v>0</v>
      </c>
      <c r="S26" s="51" t="n">
        <f aca="false">SUM(P26:R26)</f>
        <v>4.4</v>
      </c>
      <c r="T26" s="52"/>
      <c r="U26" s="51" t="n">
        <v>0</v>
      </c>
      <c r="V26" s="51" t="n">
        <v>78.81</v>
      </c>
      <c r="W26" s="6" t="n">
        <f aca="false">N26+O26+S26+U26+V26</f>
        <v>83.21</v>
      </c>
      <c r="X26" s="51" t="n">
        <f aca="false">IF(L26&lt;0,L26*-1,0)</f>
        <v>0.00141920846985499</v>
      </c>
      <c r="Y26" s="51" t="n">
        <f aca="false">W26+X26</f>
        <v>83.2114192084699</v>
      </c>
      <c r="Z26" s="56" t="n">
        <v>0</v>
      </c>
      <c r="AA26" s="82" t="n">
        <v>32</v>
      </c>
      <c r="AB26" s="57" t="n">
        <v>9</v>
      </c>
      <c r="AC26" s="58" t="n">
        <f aca="false">AC25+1</f>
        <v>17</v>
      </c>
    </row>
    <row r="27" customFormat="false" ht="11.1" hidden="false" customHeight="true" outlineLevel="0" collapsed="false">
      <c r="A27" s="58" t="n">
        <f aca="false">A26+1</f>
        <v>18</v>
      </c>
      <c r="B27" s="73" t="n">
        <v>6899.92</v>
      </c>
      <c r="C27" s="52" t="n">
        <v>283286</v>
      </c>
      <c r="D27" s="57" t="n">
        <f aca="false">C27-C26</f>
        <v>-184</v>
      </c>
      <c r="E27" s="52" t="n">
        <f aca="false">C27-152000</f>
        <v>131286</v>
      </c>
      <c r="F27" s="51" t="n">
        <f aca="false">D27/$D$2</f>
        <v>-92.7653138391732</v>
      </c>
      <c r="G27" s="51" t="n">
        <v>0</v>
      </c>
      <c r="H27" s="53" t="n">
        <v>0</v>
      </c>
      <c r="I27" s="51" t="n">
        <f aca="false">G27+H27</f>
        <v>0</v>
      </c>
      <c r="J27" s="81" t="n">
        <f aca="false">IF(L27&gt;0,L27,0)</f>
        <v>0</v>
      </c>
      <c r="K27" s="51" t="n">
        <f aca="false">I27+J27</f>
        <v>0</v>
      </c>
      <c r="L27" s="51" t="n">
        <f aca="false">F27-(I27-W27)</f>
        <v>-14.7253138391732</v>
      </c>
      <c r="M27" s="51" t="n">
        <v>4.43</v>
      </c>
      <c r="N27" s="51" t="n">
        <v>0</v>
      </c>
      <c r="O27" s="51" t="n">
        <v>0</v>
      </c>
      <c r="P27" s="6" t="n">
        <f aca="false">M27-(N27+O27)</f>
        <v>4.43</v>
      </c>
      <c r="Q27" s="51" t="n">
        <v>0</v>
      </c>
      <c r="R27" s="51" t="n">
        <v>0</v>
      </c>
      <c r="S27" s="51" t="n">
        <f aca="false">SUM(P27:R27)</f>
        <v>4.43</v>
      </c>
      <c r="T27" s="52"/>
      <c r="U27" s="51" t="n">
        <v>0</v>
      </c>
      <c r="V27" s="51" t="n">
        <v>73.61</v>
      </c>
      <c r="W27" s="6" t="n">
        <f aca="false">N27+O27+S27+U27+V27</f>
        <v>78.04</v>
      </c>
      <c r="X27" s="51" t="n">
        <f aca="false">IF(L27&lt;0,L27*-1,0)</f>
        <v>14.7253138391732</v>
      </c>
      <c r="Y27" s="51" t="n">
        <f aca="false">W27+X27</f>
        <v>92.7653138391732</v>
      </c>
      <c r="Z27" s="56" t="n">
        <v>0</v>
      </c>
      <c r="AA27" s="82" t="n">
        <v>31</v>
      </c>
      <c r="AB27" s="57" t="n">
        <v>5</v>
      </c>
      <c r="AC27" s="58" t="n">
        <f aca="false">AC26+1</f>
        <v>18</v>
      </c>
    </row>
    <row r="28" customFormat="false" ht="11.1" hidden="false" customHeight="true" outlineLevel="0" collapsed="false">
      <c r="A28" s="58" t="n">
        <f aca="false">A27+1</f>
        <v>19</v>
      </c>
      <c r="B28" s="73" t="n">
        <v>6899.89</v>
      </c>
      <c r="C28" s="52" t="n">
        <v>283176</v>
      </c>
      <c r="D28" s="57" t="n">
        <f aca="false">C28-C27</f>
        <v>-110</v>
      </c>
      <c r="E28" s="52" t="n">
        <f aca="false">C28-152000</f>
        <v>131176</v>
      </c>
      <c r="F28" s="51" t="n">
        <f aca="false">D28/$D$2</f>
        <v>-55.4575245777666</v>
      </c>
      <c r="G28" s="51" t="n">
        <v>24.3</v>
      </c>
      <c r="H28" s="53" t="n">
        <v>0</v>
      </c>
      <c r="I28" s="51" t="n">
        <f aca="false">G28+H28</f>
        <v>24.3</v>
      </c>
      <c r="J28" s="81" t="n">
        <f aca="false">IF(L28&gt;0,L28,0)</f>
        <v>0</v>
      </c>
      <c r="K28" s="51" t="n">
        <f aca="false">I28+J28</f>
        <v>24.3</v>
      </c>
      <c r="L28" s="51" t="n">
        <f aca="false">F28-(I28-W28)</f>
        <v>-0.0275245777665631</v>
      </c>
      <c r="M28" s="51" t="n">
        <v>5.33</v>
      </c>
      <c r="N28" s="51" t="n">
        <v>0</v>
      </c>
      <c r="O28" s="51" t="n">
        <v>0</v>
      </c>
      <c r="P28" s="6" t="n">
        <f aca="false">M28-(N28+O28)</f>
        <v>5.33</v>
      </c>
      <c r="Q28" s="51" t="n">
        <v>0</v>
      </c>
      <c r="R28" s="51" t="n">
        <v>0</v>
      </c>
      <c r="S28" s="51" t="n">
        <f aca="false">SUM(P28:R28)</f>
        <v>5.33</v>
      </c>
      <c r="T28" s="52"/>
      <c r="U28" s="51" t="n">
        <v>0</v>
      </c>
      <c r="V28" s="51" t="n">
        <v>74.4</v>
      </c>
      <c r="W28" s="6" t="n">
        <f aca="false">N28+O28+S28+U28+V28</f>
        <v>79.73</v>
      </c>
      <c r="X28" s="51" t="n">
        <f aca="false">IF(L28&lt;0,L28*-1,0)</f>
        <v>0.0275245777665631</v>
      </c>
      <c r="Y28" s="51" t="n">
        <f aca="false">W28+X28</f>
        <v>79.7575245777666</v>
      </c>
      <c r="Z28" s="56" t="n">
        <v>0</v>
      </c>
      <c r="AA28" s="82" t="n">
        <v>34</v>
      </c>
      <c r="AB28" s="57" t="n">
        <v>2</v>
      </c>
      <c r="AC28" s="58" t="n">
        <f aca="false">AC27+1</f>
        <v>19</v>
      </c>
    </row>
    <row r="29" customFormat="false" ht="11.1" hidden="false" customHeight="true" outlineLevel="0" collapsed="false">
      <c r="A29" s="58" t="n">
        <f aca="false">A28+1</f>
        <v>20</v>
      </c>
      <c r="B29" s="73" t="n">
        <v>6899.84</v>
      </c>
      <c r="C29" s="52" t="n">
        <v>282992</v>
      </c>
      <c r="D29" s="57" t="n">
        <f aca="false">C29-C28</f>
        <v>-184</v>
      </c>
      <c r="E29" s="52" t="n">
        <f aca="false">C29-152000</f>
        <v>130992</v>
      </c>
      <c r="F29" s="51" t="n">
        <f aca="false">D29/$D$2</f>
        <v>-92.7653138391732</v>
      </c>
      <c r="G29" s="51" t="n">
        <v>0</v>
      </c>
      <c r="H29" s="53" t="n">
        <v>0</v>
      </c>
      <c r="I29" s="51" t="n">
        <f aca="false">G29+H29</f>
        <v>0</v>
      </c>
      <c r="J29" s="81" t="n">
        <f aca="false">IF(L29&gt;0,L29,0)</f>
        <v>0</v>
      </c>
      <c r="K29" s="51" t="n">
        <f aca="false">I29+J29</f>
        <v>0</v>
      </c>
      <c r="L29" s="51" t="n">
        <f aca="false">F29-(I29-W29)</f>
        <v>-13.2053138391732</v>
      </c>
      <c r="M29" s="51" t="n">
        <v>5.13</v>
      </c>
      <c r="N29" s="51" t="n">
        <v>0</v>
      </c>
      <c r="O29" s="51" t="n">
        <v>0</v>
      </c>
      <c r="P29" s="6" t="n">
        <f aca="false">M29-(N29+O29)</f>
        <v>5.13</v>
      </c>
      <c r="Q29" s="51" t="n">
        <v>0</v>
      </c>
      <c r="R29" s="51" t="n">
        <v>0</v>
      </c>
      <c r="S29" s="51" t="n">
        <f aca="false">SUM(P29:R29)</f>
        <v>5.13</v>
      </c>
      <c r="T29" s="52"/>
      <c r="U29" s="51" t="n">
        <v>0</v>
      </c>
      <c r="V29" s="51" t="n">
        <v>74.43</v>
      </c>
      <c r="W29" s="6" t="n">
        <f aca="false">N29+O29+S29+U29+V29</f>
        <v>79.56</v>
      </c>
      <c r="X29" s="51" t="n">
        <f aca="false">IF(L29&lt;0,L29*-1,0)</f>
        <v>13.2053138391732</v>
      </c>
      <c r="Y29" s="51" t="n">
        <f aca="false">W29+X29</f>
        <v>92.7653138391732</v>
      </c>
      <c r="Z29" s="56" t="n">
        <v>0</v>
      </c>
      <c r="AA29" s="82" t="n">
        <v>39</v>
      </c>
      <c r="AB29" s="57" t="n">
        <v>10</v>
      </c>
      <c r="AC29" s="58" t="n">
        <f aca="false">AC28+1</f>
        <v>20</v>
      </c>
    </row>
    <row r="30" customFormat="false" ht="11.1" hidden="false" customHeight="true" outlineLevel="0" collapsed="false">
      <c r="A30" s="58" t="n">
        <f aca="false">A29+1</f>
        <v>21</v>
      </c>
      <c r="B30" s="73" t="n">
        <v>6899.81</v>
      </c>
      <c r="C30" s="52" t="n">
        <v>282882</v>
      </c>
      <c r="D30" s="57" t="n">
        <f aca="false">C30-C29</f>
        <v>-110</v>
      </c>
      <c r="E30" s="52" t="n">
        <f aca="false">C30-152000</f>
        <v>130882</v>
      </c>
      <c r="F30" s="51" t="n">
        <f aca="false">D30/$D$2</f>
        <v>-55.4575245777666</v>
      </c>
      <c r="G30" s="51" t="n">
        <v>24.2</v>
      </c>
      <c r="H30" s="53" t="n">
        <v>0</v>
      </c>
      <c r="I30" s="51" t="n">
        <f aca="false">G30+H30</f>
        <v>24.2</v>
      </c>
      <c r="J30" s="81" t="n">
        <f aca="false">IF(L30&gt;0,L30,0)</f>
        <v>0</v>
      </c>
      <c r="K30" s="51" t="n">
        <f aca="false">I30+J30</f>
        <v>24.2</v>
      </c>
      <c r="L30" s="51" t="n">
        <f aca="false">F30-(I30-W30)</f>
        <v>-0.0275245777665774</v>
      </c>
      <c r="M30" s="51" t="n">
        <v>5.13</v>
      </c>
      <c r="N30" s="51" t="n">
        <v>0</v>
      </c>
      <c r="O30" s="51" t="n">
        <v>0</v>
      </c>
      <c r="P30" s="6" t="n">
        <f aca="false">M30-(N30+O30)</f>
        <v>5.13</v>
      </c>
      <c r="Q30" s="51" t="n">
        <v>0</v>
      </c>
      <c r="R30" s="51" t="n">
        <v>0</v>
      </c>
      <c r="S30" s="51" t="n">
        <f aca="false">SUM(P30:R30)</f>
        <v>5.13</v>
      </c>
      <c r="T30" s="52"/>
      <c r="U30" s="51" t="n">
        <v>0</v>
      </c>
      <c r="V30" s="51" t="n">
        <v>74.5</v>
      </c>
      <c r="W30" s="6" t="n">
        <f aca="false">N30+O30+S30+U30+V30</f>
        <v>79.63</v>
      </c>
      <c r="X30" s="51" t="n">
        <f aca="false">IF(L30&lt;0,L30*-1,0)</f>
        <v>0.0275245777665774</v>
      </c>
      <c r="Y30" s="51" t="n">
        <f aca="false">W30+X30</f>
        <v>79.6575245777666</v>
      </c>
      <c r="Z30" s="56" t="n">
        <v>0</v>
      </c>
      <c r="AA30" s="57" t="n">
        <v>40</v>
      </c>
      <c r="AB30" s="57" t="n">
        <v>11</v>
      </c>
      <c r="AC30" s="58" t="n">
        <f aca="false">AC29+1</f>
        <v>21</v>
      </c>
    </row>
    <row r="31" customFormat="false" ht="11.1" hidden="false" customHeight="true" outlineLevel="0" collapsed="false">
      <c r="A31" s="58" t="n">
        <f aca="false">A30+1</f>
        <v>22</v>
      </c>
      <c r="B31" s="73" t="n">
        <v>6899.77</v>
      </c>
      <c r="C31" s="52" t="n">
        <v>282735</v>
      </c>
      <c r="D31" s="57" t="n">
        <f aca="false">C31-C30</f>
        <v>-147</v>
      </c>
      <c r="E31" s="52" t="n">
        <f aca="false">C31-152000</f>
        <v>130735</v>
      </c>
      <c r="F31" s="51" t="n">
        <f aca="false">D31/$D$2</f>
        <v>-74.1114192084699</v>
      </c>
      <c r="G31" s="51" t="n">
        <v>5.5</v>
      </c>
      <c r="H31" s="53" t="n">
        <v>0</v>
      </c>
      <c r="I31" s="51" t="n">
        <f aca="false">G31+H31</f>
        <v>5.5</v>
      </c>
      <c r="J31" s="81" t="n">
        <f aca="false">IF(L31&gt;0,L31,0)</f>
        <v>0.0285807915301319</v>
      </c>
      <c r="K31" s="51" t="n">
        <f aca="false">I31+J31</f>
        <v>5.52858079153013</v>
      </c>
      <c r="L31" s="51" t="n">
        <f aca="false">F31-(I31-W31)</f>
        <v>0.0285807915301319</v>
      </c>
      <c r="M31" s="51" t="n">
        <v>5.13</v>
      </c>
      <c r="N31" s="51" t="n">
        <v>0</v>
      </c>
      <c r="O31" s="51" t="n">
        <v>0</v>
      </c>
      <c r="P31" s="6" t="n">
        <f aca="false">M31-(N31+O31)</f>
        <v>5.13</v>
      </c>
      <c r="Q31" s="51" t="n">
        <v>0</v>
      </c>
      <c r="R31" s="51" t="n">
        <v>0</v>
      </c>
      <c r="S31" s="51" t="n">
        <f aca="false">SUM(P31:R31)</f>
        <v>5.13</v>
      </c>
      <c r="T31" s="52"/>
      <c r="U31" s="51" t="n">
        <v>0</v>
      </c>
      <c r="V31" s="51" t="n">
        <v>74.51</v>
      </c>
      <c r="W31" s="6" t="n">
        <f aca="false">N31+O31+S31+U31+V31</f>
        <v>79.64</v>
      </c>
      <c r="X31" s="51" t="n">
        <f aca="false">IF(L31&lt;0,L31*-1,0)</f>
        <v>0</v>
      </c>
      <c r="Y31" s="51" t="n">
        <f aca="false">W31+X31</f>
        <v>79.64</v>
      </c>
      <c r="Z31" s="56" t="n">
        <v>0</v>
      </c>
      <c r="AA31" s="57" t="n">
        <v>45</v>
      </c>
      <c r="AB31" s="57" t="n">
        <v>10</v>
      </c>
      <c r="AC31" s="58" t="n">
        <f aca="false">AC30+1</f>
        <v>22</v>
      </c>
    </row>
    <row r="32" customFormat="false" ht="11.1" hidden="false" customHeight="true" outlineLevel="0" collapsed="false">
      <c r="A32" s="58" t="n">
        <f aca="false">A31+1</f>
        <v>23</v>
      </c>
      <c r="B32" s="73" t="n">
        <v>6899.73</v>
      </c>
      <c r="C32" s="52" t="n">
        <v>282588</v>
      </c>
      <c r="D32" s="57" t="n">
        <f aca="false">C32-C31</f>
        <v>-147</v>
      </c>
      <c r="E32" s="52" t="n">
        <f aca="false">C32-152000</f>
        <v>130588</v>
      </c>
      <c r="F32" s="51" t="n">
        <f aca="false">D32/$D$2</f>
        <v>-74.1114192084699</v>
      </c>
      <c r="G32" s="51" t="n">
        <v>6.4</v>
      </c>
      <c r="H32" s="53" t="n">
        <v>0</v>
      </c>
      <c r="I32" s="51" t="n">
        <f aca="false">G32+H32</f>
        <v>6.4</v>
      </c>
      <c r="J32" s="81" t="n">
        <f aca="false">IF(L32&gt;0,L32,0)</f>
        <v>0</v>
      </c>
      <c r="K32" s="51" t="n">
        <f aca="false">I32+J32</f>
        <v>6.4</v>
      </c>
      <c r="L32" s="51" t="n">
        <f aca="false">F32-(I32-W32)</f>
        <v>-0.0414192084698755</v>
      </c>
      <c r="M32" s="51" t="n">
        <v>5.13</v>
      </c>
      <c r="N32" s="51" t="n">
        <v>0</v>
      </c>
      <c r="O32" s="51" t="n">
        <v>0</v>
      </c>
      <c r="P32" s="6" t="n">
        <f aca="false">M32-(N32+O32)</f>
        <v>5.13</v>
      </c>
      <c r="Q32" s="51" t="n">
        <v>0</v>
      </c>
      <c r="R32" s="51" t="n">
        <v>0</v>
      </c>
      <c r="S32" s="51" t="n">
        <f aca="false">SUM(P32:R32)</f>
        <v>5.13</v>
      </c>
      <c r="T32" s="52"/>
      <c r="U32" s="51" t="n">
        <v>0</v>
      </c>
      <c r="V32" s="51" t="n">
        <v>75.34</v>
      </c>
      <c r="W32" s="6" t="n">
        <f aca="false">N32+O32+S32+U32+V32</f>
        <v>80.47</v>
      </c>
      <c r="X32" s="51" t="n">
        <f aca="false">IF(L32&lt;0,L32*-1,0)</f>
        <v>0.0414192084698755</v>
      </c>
      <c r="Y32" s="51" t="n">
        <f aca="false">W32+X32</f>
        <v>80.5114192084699</v>
      </c>
      <c r="Z32" s="56" t="n">
        <v>0</v>
      </c>
      <c r="AA32" s="57" t="n">
        <v>48</v>
      </c>
      <c r="AB32" s="82" t="n">
        <v>8</v>
      </c>
      <c r="AC32" s="58" t="n">
        <f aca="false">AC31+1</f>
        <v>23</v>
      </c>
    </row>
    <row r="33" customFormat="false" ht="11.1" hidden="false" customHeight="true" outlineLevel="0" collapsed="false">
      <c r="A33" s="58" t="n">
        <f aca="false">A32+1</f>
        <v>24</v>
      </c>
      <c r="B33" s="73" t="n">
        <v>6899.68</v>
      </c>
      <c r="C33" s="52" t="n">
        <v>282404</v>
      </c>
      <c r="D33" s="57" t="n">
        <f aca="false">C33-C32</f>
        <v>-184</v>
      </c>
      <c r="E33" s="52" t="n">
        <f aca="false">C33-152000</f>
        <v>130404</v>
      </c>
      <c r="F33" s="51" t="n">
        <f aca="false">D33/$D$2</f>
        <v>-92.7653138391732</v>
      </c>
      <c r="G33" s="51" t="n">
        <v>0</v>
      </c>
      <c r="H33" s="53" t="n">
        <v>0</v>
      </c>
      <c r="I33" s="51" t="n">
        <f aca="false">G33+H33</f>
        <v>0</v>
      </c>
      <c r="J33" s="81" t="n">
        <f aca="false">IF(L33&gt;0,L33,0)</f>
        <v>0</v>
      </c>
      <c r="K33" s="51" t="n">
        <f aca="false">I33+J33</f>
        <v>0</v>
      </c>
      <c r="L33" s="51" t="n">
        <f aca="false">F33-(I33-W33)</f>
        <v>-12.2553138391732</v>
      </c>
      <c r="M33" s="51" t="n">
        <v>5.13</v>
      </c>
      <c r="N33" s="51" t="n">
        <v>0</v>
      </c>
      <c r="O33" s="51" t="n">
        <v>0</v>
      </c>
      <c r="P33" s="6" t="n">
        <f aca="false">M33-(N33+O33)</f>
        <v>5.13</v>
      </c>
      <c r="Q33" s="51" t="n">
        <v>0</v>
      </c>
      <c r="R33" s="51" t="n">
        <v>0</v>
      </c>
      <c r="S33" s="51" t="n">
        <f aca="false">SUM(P33:R33)</f>
        <v>5.13</v>
      </c>
      <c r="T33" s="52"/>
      <c r="U33" s="51" t="n">
        <v>0</v>
      </c>
      <c r="V33" s="51" t="n">
        <v>75.38</v>
      </c>
      <c r="W33" s="6" t="n">
        <f aca="false">N33+O33+S33+U33+V33</f>
        <v>80.51</v>
      </c>
      <c r="X33" s="51" t="n">
        <f aca="false">IF(L33&lt;0,L33*-1,0)</f>
        <v>12.2553138391732</v>
      </c>
      <c r="Y33" s="51" t="n">
        <f aca="false">W33+X33</f>
        <v>92.7653138391732</v>
      </c>
      <c r="Z33" s="56" t="n">
        <v>0</v>
      </c>
      <c r="AA33" s="57" t="n">
        <v>50</v>
      </c>
      <c r="AB33" s="82" t="n">
        <v>15</v>
      </c>
      <c r="AC33" s="58" t="n">
        <f aca="false">AC32+1</f>
        <v>24</v>
      </c>
    </row>
    <row r="34" customFormat="false" ht="11.1" hidden="false" customHeight="true" outlineLevel="0" collapsed="false">
      <c r="A34" s="58" t="n">
        <f aca="false">A33+1</f>
        <v>25</v>
      </c>
      <c r="B34" s="73" t="n">
        <v>6899.64</v>
      </c>
      <c r="C34" s="52" t="n">
        <v>282257</v>
      </c>
      <c r="D34" s="57" t="n">
        <f aca="false">C34-C33</f>
        <v>-147</v>
      </c>
      <c r="E34" s="52" t="n">
        <f aca="false">C34-152000</f>
        <v>130257</v>
      </c>
      <c r="F34" s="51" t="n">
        <f aca="false">D34/$D$2</f>
        <v>-74.1114192084699</v>
      </c>
      <c r="G34" s="51" t="n">
        <v>6.4</v>
      </c>
      <c r="H34" s="53" t="n">
        <v>0</v>
      </c>
      <c r="I34" s="51" t="n">
        <f aca="false">G34+H34</f>
        <v>6.4</v>
      </c>
      <c r="J34" s="81" t="n">
        <f aca="false">IF(L34&gt;0,L34,0)</f>
        <v>0</v>
      </c>
      <c r="K34" s="51" t="n">
        <f aca="false">I34+J34</f>
        <v>6.4</v>
      </c>
      <c r="L34" s="51" t="n">
        <f aca="false">F34-(I34-W34)</f>
        <v>-0.00141920846988342</v>
      </c>
      <c r="M34" s="51" t="n">
        <v>5.13</v>
      </c>
      <c r="N34" s="51" t="n">
        <v>0</v>
      </c>
      <c r="O34" s="51" t="n">
        <v>0</v>
      </c>
      <c r="P34" s="6" t="n">
        <f aca="false">M34-(N34+O34)</f>
        <v>5.13</v>
      </c>
      <c r="Q34" s="51" t="n">
        <v>0</v>
      </c>
      <c r="R34" s="51" t="n">
        <v>0</v>
      </c>
      <c r="S34" s="51" t="n">
        <f aca="false">SUM(P34:R34)</f>
        <v>5.13</v>
      </c>
      <c r="T34" s="52"/>
      <c r="U34" s="51" t="n">
        <v>0</v>
      </c>
      <c r="V34" s="51" t="n">
        <v>75.38</v>
      </c>
      <c r="W34" s="6" t="n">
        <f aca="false">N34+O34+S34+U34+V34</f>
        <v>80.51</v>
      </c>
      <c r="X34" s="51" t="n">
        <f aca="false">IF(L34&lt;0,L34*-1,0)</f>
        <v>0.00141920846988342</v>
      </c>
      <c r="Y34" s="51" t="n">
        <f aca="false">W34+X34</f>
        <v>80.5114192084699</v>
      </c>
      <c r="Z34" s="56" t="n">
        <v>0</v>
      </c>
      <c r="AA34" s="57" t="n">
        <v>60</v>
      </c>
      <c r="AB34" s="82" t="n">
        <v>9</v>
      </c>
      <c r="AC34" s="58" t="n">
        <f aca="false">AC33+1</f>
        <v>25</v>
      </c>
    </row>
    <row r="35" customFormat="false" ht="11.1" hidden="false" customHeight="true" outlineLevel="0" collapsed="false">
      <c r="A35" s="58" t="n">
        <f aca="false">A34+1</f>
        <v>26</v>
      </c>
      <c r="B35" s="73" t="n">
        <v>6899.6</v>
      </c>
      <c r="C35" s="52" t="n">
        <v>282110</v>
      </c>
      <c r="D35" s="57" t="n">
        <f aca="false">C35-C34</f>
        <v>-147</v>
      </c>
      <c r="E35" s="52" t="n">
        <f aca="false">C35-152000</f>
        <v>130110</v>
      </c>
      <c r="F35" s="51" t="n">
        <f aca="false">D35/$D$2</f>
        <v>-74.1114192084699</v>
      </c>
      <c r="G35" s="51" t="n">
        <v>6.4</v>
      </c>
      <c r="H35" s="53" t="n">
        <v>0</v>
      </c>
      <c r="I35" s="51" t="n">
        <f aca="false">G35+H35</f>
        <v>6.4</v>
      </c>
      <c r="J35" s="81" t="n">
        <f aca="false">IF(L35&gt;0,L35,0)</f>
        <v>0</v>
      </c>
      <c r="K35" s="51" t="n">
        <f aca="false">I35+J35</f>
        <v>6.4</v>
      </c>
      <c r="L35" s="51" t="n">
        <f aca="false">F35-(I35-W35)</f>
        <v>-0.00141920846988342</v>
      </c>
      <c r="M35" s="51" t="n">
        <v>5.13</v>
      </c>
      <c r="N35" s="51" t="n">
        <v>0</v>
      </c>
      <c r="O35" s="51" t="n">
        <v>0</v>
      </c>
      <c r="P35" s="6" t="n">
        <f aca="false">M35-(N35+O35)</f>
        <v>5.13</v>
      </c>
      <c r="Q35" s="51" t="n">
        <v>0</v>
      </c>
      <c r="R35" s="51" t="n">
        <v>0</v>
      </c>
      <c r="S35" s="51" t="n">
        <f aca="false">SUM(P35:R35)</f>
        <v>5.13</v>
      </c>
      <c r="T35" s="52"/>
      <c r="U35" s="51" t="n">
        <v>0</v>
      </c>
      <c r="V35" s="51" t="n">
        <v>75.38</v>
      </c>
      <c r="W35" s="6" t="n">
        <f aca="false">N35+O35+S35+U35+V35</f>
        <v>80.51</v>
      </c>
      <c r="X35" s="51" t="n">
        <f aca="false">IF(L35&lt;0,L35*-1,0)</f>
        <v>0.00141920846988342</v>
      </c>
      <c r="Y35" s="51" t="n">
        <f aca="false">W35+X35</f>
        <v>80.5114192084699</v>
      </c>
      <c r="Z35" s="56" t="n">
        <v>0</v>
      </c>
      <c r="AA35" s="57" t="n">
        <v>62</v>
      </c>
      <c r="AB35" s="57" t="n">
        <v>8</v>
      </c>
      <c r="AC35" s="58" t="n">
        <f aca="false">AC34+1</f>
        <v>26</v>
      </c>
    </row>
    <row r="36" customFormat="false" ht="11.1" hidden="false" customHeight="true" outlineLevel="0" collapsed="false">
      <c r="A36" s="58" t="n">
        <f aca="false">A35+1</f>
        <v>27</v>
      </c>
      <c r="B36" s="73" t="n">
        <v>6899.56</v>
      </c>
      <c r="C36" s="52" t="n">
        <v>281964</v>
      </c>
      <c r="D36" s="57" t="n">
        <f aca="false">C36-C35</f>
        <v>-146</v>
      </c>
      <c r="E36" s="52" t="n">
        <f aca="false">C36-152000</f>
        <v>129964</v>
      </c>
      <c r="F36" s="51" t="n">
        <f aca="false">D36/$D$2</f>
        <v>-73.6072598941265</v>
      </c>
      <c r="G36" s="51" t="n">
        <v>6.9</v>
      </c>
      <c r="H36" s="53" t="n">
        <v>0</v>
      </c>
      <c r="I36" s="51" t="n">
        <f aca="false">G36+H36</f>
        <v>6.9</v>
      </c>
      <c r="J36" s="81" t="n">
        <f aca="false">IF(L36&gt;0,L36,0)</f>
        <v>0.00274010587344264</v>
      </c>
      <c r="K36" s="51" t="n">
        <f aca="false">I36+J36</f>
        <v>6.90274010587344</v>
      </c>
      <c r="L36" s="51" t="n">
        <f aca="false">F36-(I36-W36)</f>
        <v>0.00274010587344264</v>
      </c>
      <c r="M36" s="51" t="n">
        <v>5.13</v>
      </c>
      <c r="N36" s="51" t="n">
        <v>0</v>
      </c>
      <c r="O36" s="51" t="n">
        <v>0</v>
      </c>
      <c r="P36" s="6" t="n">
        <f aca="false">M36-(N36+O36)</f>
        <v>5.13</v>
      </c>
      <c r="Q36" s="51" t="n">
        <v>0</v>
      </c>
      <c r="R36" s="51" t="n">
        <v>0</v>
      </c>
      <c r="S36" s="51" t="n">
        <f aca="false">SUM(P36:R36)</f>
        <v>5.13</v>
      </c>
      <c r="T36" s="52"/>
      <c r="U36" s="51" t="n">
        <v>0</v>
      </c>
      <c r="V36" s="51" t="n">
        <v>75.38</v>
      </c>
      <c r="W36" s="6" t="n">
        <f aca="false">N36+O36+S36+U36+V36</f>
        <v>80.51</v>
      </c>
      <c r="X36" s="51" t="n">
        <f aca="false">IF(L36&lt;0,L36*-1,0)</f>
        <v>0</v>
      </c>
      <c r="Y36" s="51" t="n">
        <f aca="false">W36+X36</f>
        <v>80.51</v>
      </c>
      <c r="Z36" s="56" t="n">
        <v>0</v>
      </c>
      <c r="AA36" s="57" t="n">
        <v>45</v>
      </c>
      <c r="AB36" s="57" t="n">
        <v>11</v>
      </c>
      <c r="AC36" s="58" t="n">
        <f aca="false">AC35+1</f>
        <v>27</v>
      </c>
    </row>
    <row r="37" customFormat="false" ht="11.1" hidden="false" customHeight="true" outlineLevel="0" collapsed="false">
      <c r="A37" s="58" t="n">
        <f aca="false">A36+1</f>
        <v>28</v>
      </c>
      <c r="B37" s="73" t="n">
        <v>6899.52</v>
      </c>
      <c r="C37" s="52" t="n">
        <v>281817</v>
      </c>
      <c r="D37" s="57" t="n">
        <f aca="false">C37-C36</f>
        <v>-147</v>
      </c>
      <c r="E37" s="52" t="n">
        <f aca="false">C37-152000</f>
        <v>129817</v>
      </c>
      <c r="F37" s="51" t="n">
        <f aca="false">D37/$D$2</f>
        <v>-74.1114192084699</v>
      </c>
      <c r="G37" s="51" t="n">
        <v>6.4</v>
      </c>
      <c r="H37" s="53" t="n">
        <v>0</v>
      </c>
      <c r="I37" s="51" t="n">
        <f aca="false">G37+H37</f>
        <v>6.4</v>
      </c>
      <c r="J37" s="81" t="n">
        <f aca="false">IF(L37&gt;0,L37,0)</f>
        <v>0</v>
      </c>
      <c r="K37" s="51" t="n">
        <f aca="false">I37+J37</f>
        <v>6.4</v>
      </c>
      <c r="L37" s="51" t="n">
        <f aca="false">F37-(I37-W37)</f>
        <v>-0.00141920846988342</v>
      </c>
      <c r="M37" s="51" t="n">
        <v>5.13</v>
      </c>
      <c r="N37" s="51" t="n">
        <v>0</v>
      </c>
      <c r="O37" s="51" t="n">
        <v>0</v>
      </c>
      <c r="P37" s="6" t="n">
        <f aca="false">M37-(N37+O37)</f>
        <v>5.13</v>
      </c>
      <c r="Q37" s="51" t="n">
        <v>0</v>
      </c>
      <c r="R37" s="51" t="n">
        <v>0</v>
      </c>
      <c r="S37" s="51" t="n">
        <f aca="false">SUM(P37:R37)</f>
        <v>5.13</v>
      </c>
      <c r="T37" s="52"/>
      <c r="U37" s="51" t="n">
        <v>0</v>
      </c>
      <c r="V37" s="51" t="n">
        <v>75.38</v>
      </c>
      <c r="W37" s="6" t="n">
        <f aca="false">N37+O37+S37+U37+V37</f>
        <v>80.51</v>
      </c>
      <c r="X37" s="51" t="n">
        <f aca="false">IF(L37&lt;0,L37*-1,0)</f>
        <v>0.00141920846988342</v>
      </c>
      <c r="Y37" s="51" t="n">
        <f aca="false">W37+X37</f>
        <v>80.5114192084699</v>
      </c>
      <c r="Z37" s="56" t="n">
        <v>0</v>
      </c>
      <c r="AA37" s="57" t="n">
        <v>46</v>
      </c>
      <c r="AB37" s="57" t="n">
        <v>9</v>
      </c>
      <c r="AC37" s="58" t="n">
        <f aca="false">AC36+1</f>
        <v>28</v>
      </c>
    </row>
    <row r="38" customFormat="false" ht="11.1" hidden="false" customHeight="true" outlineLevel="0" collapsed="false">
      <c r="A38" s="58" t="n">
        <f aca="false">A37+1</f>
        <v>29</v>
      </c>
      <c r="B38" s="73" t="n">
        <v>6899.48</v>
      </c>
      <c r="C38" s="52" t="n">
        <v>281670</v>
      </c>
      <c r="D38" s="57" t="n">
        <f aca="false">C38-C37</f>
        <v>-147</v>
      </c>
      <c r="E38" s="52" t="n">
        <f aca="false">C38-152000</f>
        <v>129670</v>
      </c>
      <c r="F38" s="51" t="n">
        <f aca="false">D38/$D$2</f>
        <v>-74.1114192084699</v>
      </c>
      <c r="G38" s="51" t="n">
        <v>6</v>
      </c>
      <c r="H38" s="53" t="n">
        <v>0</v>
      </c>
      <c r="I38" s="51" t="n">
        <f aca="false">G38+H38</f>
        <v>6</v>
      </c>
      <c r="J38" s="81" t="n">
        <f aca="false">IF(L38&gt;0,L38,0)</f>
        <v>0.0185807915301268</v>
      </c>
      <c r="K38" s="51" t="n">
        <f aca="false">I38+J38</f>
        <v>6.01858079153013</v>
      </c>
      <c r="L38" s="51" t="n">
        <f aca="false">F38-(I38-W38)</f>
        <v>0.0185807915301268</v>
      </c>
      <c r="M38" s="51" t="n">
        <v>5.13</v>
      </c>
      <c r="N38" s="51" t="n">
        <v>0</v>
      </c>
      <c r="O38" s="51" t="n">
        <v>0</v>
      </c>
      <c r="P38" s="6" t="n">
        <f aca="false">M38-(N38+O38)</f>
        <v>5.13</v>
      </c>
      <c r="Q38" s="51" t="n">
        <v>0</v>
      </c>
      <c r="R38" s="51" t="n">
        <v>0</v>
      </c>
      <c r="S38" s="51" t="n">
        <f aca="false">SUM(P38:R38)</f>
        <v>5.13</v>
      </c>
      <c r="T38" s="52"/>
      <c r="U38" s="51" t="n">
        <v>0</v>
      </c>
      <c r="V38" s="51" t="n">
        <v>75</v>
      </c>
      <c r="W38" s="6" t="n">
        <f aca="false">N38+O38+S38+U38+V38</f>
        <v>80.13</v>
      </c>
      <c r="X38" s="51" t="n">
        <f aca="false">IF(L38&lt;0,L38*-1,0)</f>
        <v>0</v>
      </c>
      <c r="Y38" s="51" t="n">
        <f aca="false">W38+X38</f>
        <v>80.13</v>
      </c>
      <c r="Z38" s="56" t="n">
        <v>0</v>
      </c>
      <c r="AA38" s="82" t="n">
        <v>46</v>
      </c>
      <c r="AB38" s="57" t="n">
        <v>19</v>
      </c>
      <c r="AC38" s="58" t="n">
        <f aca="false">AC37+1</f>
        <v>29</v>
      </c>
    </row>
    <row r="39" customFormat="false" ht="11.1" hidden="false" customHeight="true" outlineLevel="0" collapsed="false">
      <c r="A39" s="58" t="n">
        <v>30</v>
      </c>
      <c r="B39" s="73" t="n">
        <v>6899.44</v>
      </c>
      <c r="C39" s="52" t="n">
        <v>281523</v>
      </c>
      <c r="D39" s="57" t="n">
        <f aca="false">C39-C38</f>
        <v>-147</v>
      </c>
      <c r="E39" s="52" t="n">
        <f aca="false">C39-152000</f>
        <v>129523</v>
      </c>
      <c r="F39" s="51" t="n">
        <f aca="false">D39/$D$2</f>
        <v>-74.1114192084699</v>
      </c>
      <c r="G39" s="51" t="n">
        <v>6</v>
      </c>
      <c r="H39" s="53" t="n">
        <v>0</v>
      </c>
      <c r="I39" s="51" t="n">
        <f aca="false">G39+H39</f>
        <v>6</v>
      </c>
      <c r="J39" s="81" t="n">
        <f aca="false">IF(L39&gt;0,L39,0)</f>
        <v>0.0185807915301268</v>
      </c>
      <c r="K39" s="51" t="n">
        <f aca="false">I39+J39</f>
        <v>6.01858079153013</v>
      </c>
      <c r="L39" s="51" t="n">
        <f aca="false">F39-(I39-W39)</f>
        <v>0.0185807915301268</v>
      </c>
      <c r="M39" s="51" t="n">
        <v>5.13</v>
      </c>
      <c r="N39" s="51" t="n">
        <v>0</v>
      </c>
      <c r="O39" s="51" t="n">
        <v>0</v>
      </c>
      <c r="P39" s="6" t="n">
        <f aca="false">M39-(N39+O39)</f>
        <v>5.13</v>
      </c>
      <c r="Q39" s="51" t="n">
        <v>0</v>
      </c>
      <c r="R39" s="51" t="n">
        <v>0</v>
      </c>
      <c r="S39" s="51" t="n">
        <f aca="false">SUM(P39:R39)</f>
        <v>5.13</v>
      </c>
      <c r="T39" s="52"/>
      <c r="U39" s="51" t="n">
        <v>0</v>
      </c>
      <c r="V39" s="51" t="n">
        <v>75</v>
      </c>
      <c r="W39" s="6" t="n">
        <f aca="false">N39+O39+S39+U39+V39</f>
        <v>80.13</v>
      </c>
      <c r="X39" s="51" t="n">
        <f aca="false">IF(L39&lt;0,L39*-1,0)</f>
        <v>0</v>
      </c>
      <c r="Y39" s="51" t="n">
        <f aca="false">W39+X39</f>
        <v>80.13</v>
      </c>
      <c r="Z39" s="56" t="n">
        <v>0</v>
      </c>
      <c r="AA39" s="82" t="n">
        <v>47</v>
      </c>
      <c r="AB39" s="57" t="n">
        <v>8</v>
      </c>
      <c r="AC39" s="58" t="n">
        <v>30</v>
      </c>
    </row>
    <row r="40" customFormat="false" ht="11.1" hidden="false" customHeight="true" outlineLevel="0" collapsed="false">
      <c r="A40" s="58" t="n">
        <v>31</v>
      </c>
      <c r="B40" s="73" t="n">
        <v>6899.4</v>
      </c>
      <c r="C40" s="52" t="n">
        <v>281376</v>
      </c>
      <c r="D40" s="57" t="n">
        <f aca="false">C40-C39</f>
        <v>-147</v>
      </c>
      <c r="E40" s="52" t="n">
        <f aca="false">C40-152000</f>
        <v>129376</v>
      </c>
      <c r="F40" s="51" t="n">
        <f aca="false">D40/$D$2</f>
        <v>-74.1114192084699</v>
      </c>
      <c r="G40" s="51" t="n">
        <v>6</v>
      </c>
      <c r="H40" s="53" t="n">
        <v>0</v>
      </c>
      <c r="I40" s="51" t="n">
        <f aca="false">G40+H40</f>
        <v>6</v>
      </c>
      <c r="J40" s="81" t="n">
        <f aca="false">IF(L40&gt;0,L40,0)</f>
        <v>0.0185807915301268</v>
      </c>
      <c r="K40" s="51" t="n">
        <f aca="false">I40+J40</f>
        <v>6.01858079153013</v>
      </c>
      <c r="L40" s="51" t="n">
        <f aca="false">F40-(I40-W40)</f>
        <v>0.0185807915301268</v>
      </c>
      <c r="M40" s="51" t="n">
        <v>5.13</v>
      </c>
      <c r="N40" s="51" t="n">
        <v>0</v>
      </c>
      <c r="O40" s="51" t="n">
        <v>0</v>
      </c>
      <c r="P40" s="6" t="n">
        <f aca="false">M40-(N40+O40)</f>
        <v>5.13</v>
      </c>
      <c r="Q40" s="51" t="n">
        <v>0</v>
      </c>
      <c r="R40" s="51" t="n">
        <v>0</v>
      </c>
      <c r="S40" s="51" t="n">
        <f aca="false">SUM(P40:R40)</f>
        <v>5.13</v>
      </c>
      <c r="T40" s="52"/>
      <c r="U40" s="51" t="n">
        <v>0</v>
      </c>
      <c r="V40" s="51" t="n">
        <v>75</v>
      </c>
      <c r="W40" s="6" t="n">
        <f aca="false">N40+O40+S40+U40+V40</f>
        <v>80.13</v>
      </c>
      <c r="X40" s="51" t="n">
        <f aca="false">IF(L40&lt;0,L40*-1,0)</f>
        <v>0</v>
      </c>
      <c r="Y40" s="51" t="n">
        <f aca="false">W40+X40</f>
        <v>80.13</v>
      </c>
      <c r="Z40" s="56" t="n">
        <v>0</v>
      </c>
      <c r="AA40" s="82" t="n">
        <v>40</v>
      </c>
      <c r="AB40" s="57" t="n">
        <v>6</v>
      </c>
      <c r="AC40" s="58" t="n">
        <v>31</v>
      </c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7"/>
      <c r="I41" s="74"/>
      <c r="J41" s="74"/>
      <c r="K41" s="74"/>
      <c r="L41" s="83"/>
      <c r="M41" s="83"/>
      <c r="N41" s="83"/>
      <c r="O41" s="74"/>
      <c r="P41" s="74"/>
      <c r="Q41" s="74"/>
      <c r="R41" s="74"/>
      <c r="S41" s="74"/>
      <c r="T41" s="76"/>
      <c r="U41" s="74"/>
      <c r="V41" s="83"/>
      <c r="W41" s="74"/>
      <c r="X41" s="74"/>
      <c r="Y41" s="74"/>
      <c r="Z41" s="78"/>
      <c r="AA41" s="79"/>
      <c r="AB41" s="79"/>
      <c r="AC41" s="80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-2230.90496596925</v>
      </c>
      <c r="G42" s="52" t="n">
        <f aca="false">SUM(G10:G40)</f>
        <v>369.3</v>
      </c>
      <c r="H42" s="52" t="n">
        <f aca="false">SUM(H10:H40)</f>
        <v>0</v>
      </c>
      <c r="I42" s="52" t="n">
        <f aca="false">SUM(I10:I40)</f>
        <v>369.3</v>
      </c>
      <c r="J42" s="52" t="n">
        <f aca="false">SUM(J10:J40)</f>
        <v>0.300224350894901</v>
      </c>
      <c r="K42" s="52" t="n">
        <f aca="false">SUM(K10:K40)</f>
        <v>369.600224350895</v>
      </c>
      <c r="L42" s="52" t="n">
        <f aca="false">SUM(L10:L40)</f>
        <v>-54.2249659692463</v>
      </c>
      <c r="M42" s="52" t="n">
        <f aca="false">SUM(M10:M40)</f>
        <v>155.17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155.17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155.17</v>
      </c>
      <c r="T42" s="52"/>
      <c r="U42" s="52" t="n">
        <f aca="false">SUM(U10:U40)</f>
        <v>0</v>
      </c>
      <c r="V42" s="52" t="n">
        <f aca="false">SUM(V10:V40)</f>
        <v>2390.81</v>
      </c>
      <c r="W42" s="52" t="n">
        <f aca="false">SUM(W10:W40)</f>
        <v>2545.98</v>
      </c>
      <c r="X42" s="52" t="n">
        <f aca="false">SUM(X10:X40)</f>
        <v>54.5251903201412</v>
      </c>
      <c r="Y42" s="52" t="n">
        <f aca="false">SUM(Y10:Y40)</f>
        <v>2600.50519032014</v>
      </c>
      <c r="Z42" s="56" t="n">
        <f aca="false">SUM(Z10:Z40)</f>
        <v>0.2</v>
      </c>
      <c r="AA42" s="57" t="n">
        <f aca="false">AVERAGE(AA10:AA40)</f>
        <v>39.4838709677419</v>
      </c>
      <c r="AB42" s="57" t="n">
        <f aca="false">AVERAGE(AB10:AB40)</f>
        <v>11.1290322580645</v>
      </c>
      <c r="AC42" s="58" t="s">
        <v>45</v>
      </c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-4425</v>
      </c>
      <c r="E43" s="52"/>
      <c r="F43" s="52" t="n">
        <f aca="false">F42*$D$2</f>
        <v>-4425</v>
      </c>
      <c r="G43" s="52" t="n">
        <f aca="false">G42*$D$2</f>
        <v>732.50655</v>
      </c>
      <c r="H43" s="52" t="n">
        <f aca="false">H42*$D$2</f>
        <v>0</v>
      </c>
      <c r="I43" s="52" t="n">
        <f aca="false">I42*$D$2</f>
        <v>732.50655</v>
      </c>
      <c r="J43" s="52" t="n">
        <f aca="false">J42*$D$2</f>
        <v>0.595495000000036</v>
      </c>
      <c r="K43" s="52" t="n">
        <f aca="false">K42*$D$2</f>
        <v>733.102045</v>
      </c>
      <c r="L43" s="52" t="n">
        <f aca="false">L42*$D$2</f>
        <v>-107.55522</v>
      </c>
      <c r="M43" s="52" t="n">
        <f aca="false">M42*$D$2</f>
        <v>307.779695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307.779695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307.779695</v>
      </c>
      <c r="T43" s="52"/>
      <c r="U43" s="52" t="n">
        <f aca="false">U42*$D$2</f>
        <v>0</v>
      </c>
      <c r="V43" s="52" t="n">
        <f aca="false">V42*$D$2</f>
        <v>4742.171635</v>
      </c>
      <c r="W43" s="52" t="n">
        <f aca="false">W42*$D$2</f>
        <v>5049.95133</v>
      </c>
      <c r="X43" s="52" t="n">
        <f aca="false">X42*$D$2</f>
        <v>108.150715</v>
      </c>
      <c r="Y43" s="52" t="n">
        <f aca="false">Y42*$D$2</f>
        <v>5158.102045</v>
      </c>
      <c r="Z43" s="56"/>
      <c r="AA43" s="57" t="n">
        <f aca="false">MAX(AA10:AA40)</f>
        <v>62</v>
      </c>
      <c r="AB43" s="57" t="n">
        <f aca="false">MAX(AB10:AB40)</f>
        <v>21</v>
      </c>
      <c r="AC43" s="58" t="s">
        <v>47</v>
      </c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21</v>
      </c>
      <c r="AB45" s="57" t="n">
        <f aca="false">MIN(AB10:AB40)</f>
        <v>2</v>
      </c>
      <c r="AC45" s="58" t="s">
        <v>49</v>
      </c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-7617.34308041341</v>
      </c>
      <c r="G48" s="52" t="n">
        <f aca="false">G8+G42</f>
        <v>1689.92</v>
      </c>
      <c r="H48" s="57" t="n">
        <f aca="false">H8+H42</f>
        <v>0</v>
      </c>
      <c r="I48" s="52" t="n">
        <f aca="false">I8+I42</f>
        <v>1689.92</v>
      </c>
      <c r="J48" s="52" t="n">
        <f aca="false">J8+J42</f>
        <v>185.103312326695</v>
      </c>
      <c r="K48" s="52" t="n">
        <f aca="false">K8+K42</f>
        <v>1875.0233123267</v>
      </c>
      <c r="L48" s="52" t="n">
        <f aca="false">L8+L42</f>
        <v>-1150.69308041341</v>
      </c>
      <c r="M48" s="52" t="n">
        <f aca="false">M8+M42</f>
        <v>772.96</v>
      </c>
      <c r="N48" s="52" t="n">
        <f aca="false">N8+N42</f>
        <v>0</v>
      </c>
      <c r="O48" s="52" t="n">
        <f aca="false">O8+O42</f>
        <v>0</v>
      </c>
      <c r="P48" s="52" t="n">
        <f aca="false">P8+P42</f>
        <v>772.96</v>
      </c>
      <c r="Q48" s="52" t="n">
        <f aca="false">Q8+Q42</f>
        <v>2664.46</v>
      </c>
      <c r="R48" s="52" t="n">
        <f aca="false">R8+R42</f>
        <v>0</v>
      </c>
      <c r="S48" s="52" t="n">
        <f aca="false">S8+S42</f>
        <v>3437.42</v>
      </c>
      <c r="T48" s="52"/>
      <c r="U48" s="52" t="n">
        <f aca="false">U8+U42</f>
        <v>0</v>
      </c>
      <c r="V48" s="52" t="n">
        <f aca="false">V8+V42</f>
        <v>4719.15</v>
      </c>
      <c r="W48" s="52" t="n">
        <f aca="false">W8+W42</f>
        <v>8156.57</v>
      </c>
      <c r="X48" s="52" t="n">
        <f aca="false">X8+X42</f>
        <v>1335.79639274011</v>
      </c>
      <c r="Y48" s="52" t="n">
        <f aca="false">Y8+Y42</f>
        <v>9492.36639274011</v>
      </c>
      <c r="Z48" s="56" t="n">
        <f aca="false">Z8+Z42</f>
        <v>2.12</v>
      </c>
      <c r="AA48" s="57"/>
      <c r="AB48" s="57"/>
      <c r="AC48" s="58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-15109</v>
      </c>
      <c r="E49" s="52" t="n">
        <f aca="false">E40</f>
        <v>129376</v>
      </c>
      <c r="F49" s="52" t="n">
        <f aca="false">F48*$D$2</f>
        <v>-15109</v>
      </c>
      <c r="G49" s="52" t="n">
        <f aca="false">G48*$D$2</f>
        <v>3351.95632</v>
      </c>
      <c r="H49" s="57" t="n">
        <f aca="false">H48*$D$2</f>
        <v>0</v>
      </c>
      <c r="I49" s="52" t="n">
        <f aca="false">I48*$D$2</f>
        <v>3351.95632</v>
      </c>
      <c r="J49" s="52" t="n">
        <f aca="false">J48*$D$2</f>
        <v>367.15242</v>
      </c>
      <c r="K49" s="52" t="n">
        <f aca="false">K48*$D$2</f>
        <v>3719.10874</v>
      </c>
      <c r="L49" s="52" t="n">
        <f aca="false">L48*$D$2</f>
        <v>-2282.399725</v>
      </c>
      <c r="M49" s="52" t="n">
        <f aca="false">M48*$D$2</f>
        <v>1533.16616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1533.16616</v>
      </c>
      <c r="Q49" s="52" t="n">
        <f aca="false">Q48*$D$2</f>
        <v>5284.95641</v>
      </c>
      <c r="R49" s="52" t="n">
        <f aca="false">R48*$D$2</f>
        <v>0</v>
      </c>
      <c r="S49" s="52" t="n">
        <f aca="false">S48*$D$2</f>
        <v>6818.12257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9360.434025</v>
      </c>
      <c r="W49" s="52" t="n">
        <f aca="false">W48*$D$2</f>
        <v>16178.556595</v>
      </c>
      <c r="X49" s="52" t="n">
        <f aca="false">X48*$D$2</f>
        <v>2649.552145</v>
      </c>
      <c r="Y49" s="52" t="n">
        <f aca="false">Y48*$D$2</f>
        <v>18828.10874</v>
      </c>
      <c r="Z49" s="56"/>
      <c r="AA49" s="57"/>
      <c r="AB49" s="57"/>
      <c r="AC49" s="58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7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56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56"/>
      <c r="I52" s="53"/>
      <c r="J52" s="51"/>
      <c r="K52" s="4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56"/>
      <c r="I53" s="82"/>
      <c r="J53" s="82"/>
      <c r="K53" s="82"/>
      <c r="L53" s="82"/>
      <c r="M53" s="81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56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6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C22" activePane="bottomRight" state="frozen"/>
      <selection pane="topLeft" activeCell="A1" activeCellId="0" sqref="A1"/>
      <selection pane="topRight" activeCell="C1" activeCellId="0" sqref="C1"/>
      <selection pane="bottomLeft" activeCell="A22" activeCellId="0" sqref="A22"/>
      <selection pane="bottomRight" activeCell="Z42" activeCellId="0" sqref="Z4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86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87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55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87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89" t="s">
        <v>13</v>
      </c>
      <c r="N4" s="89"/>
      <c r="O4" s="89"/>
      <c r="P4" s="89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56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89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56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91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6"/>
      <c r="I7" s="52"/>
      <c r="J7" s="52"/>
      <c r="K7" s="52"/>
      <c r="L7" s="52"/>
      <c r="M7" s="87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DEC!B40</f>
        <v>6899.4</v>
      </c>
      <c r="C8" s="52" t="n">
        <f aca="false">DEC!C40</f>
        <v>281376</v>
      </c>
      <c r="D8" s="52" t="n">
        <f aca="false">DEC!$D$49</f>
        <v>-15109</v>
      </c>
      <c r="E8" s="52" t="n">
        <f aca="false">DEC!$E$40</f>
        <v>129376</v>
      </c>
      <c r="F8" s="52" t="n">
        <f aca="false">DEC!F48</f>
        <v>-7617.34308041341</v>
      </c>
      <c r="G8" s="52" t="n">
        <f aca="false">DEC!G48</f>
        <v>1689.92</v>
      </c>
      <c r="H8" s="56" t="n">
        <f aca="false">DEC!H48</f>
        <v>0</v>
      </c>
      <c r="I8" s="52" t="n">
        <f aca="false">DEC!I48</f>
        <v>1689.92</v>
      </c>
      <c r="J8" s="52" t="n">
        <f aca="false">DEC!J48</f>
        <v>185.103312326695</v>
      </c>
      <c r="K8" s="52" t="n">
        <f aca="false">DEC!K48</f>
        <v>1875.0233123267</v>
      </c>
      <c r="L8" s="52" t="n">
        <f aca="false">DEC!L48</f>
        <v>-1150.69308041341</v>
      </c>
      <c r="M8" s="87" t="n">
        <f aca="false">DEC!M48</f>
        <v>772.96</v>
      </c>
      <c r="N8" s="52" t="n">
        <f aca="false">DEC!N48</f>
        <v>0</v>
      </c>
      <c r="O8" s="52" t="n">
        <f aca="false">DEC!O48</f>
        <v>0</v>
      </c>
      <c r="P8" s="52" t="n">
        <f aca="false">DEC!P48</f>
        <v>772.96</v>
      </c>
      <c r="Q8" s="52" t="n">
        <f aca="false">DEC!Q48</f>
        <v>2664.46</v>
      </c>
      <c r="R8" s="52" t="n">
        <f aca="false">DEC!R48</f>
        <v>0</v>
      </c>
      <c r="S8" s="52" t="n">
        <f aca="false">DEC!S48</f>
        <v>3437.42</v>
      </c>
      <c r="T8" s="52" t="n">
        <f aca="false">DEC!T48</f>
        <v>0</v>
      </c>
      <c r="U8" s="52" t="n">
        <f aca="false">DEC!U48</f>
        <v>0</v>
      </c>
      <c r="V8" s="52" t="n">
        <f aca="false">DEC!V48</f>
        <v>4719.15</v>
      </c>
      <c r="W8" s="52" t="n">
        <f aca="false">DEC!W48</f>
        <v>8156.57</v>
      </c>
      <c r="X8" s="52" t="n">
        <f aca="false">DEC!X48</f>
        <v>1335.79639274011</v>
      </c>
      <c r="Y8" s="52" t="n">
        <f aca="false">DEC!Y48</f>
        <v>9492.36639274011</v>
      </c>
      <c r="Z8" s="56" t="n">
        <f aca="false">DEC!Z48</f>
        <v>2.12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95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6899.36</v>
      </c>
      <c r="C10" s="52" t="n">
        <v>281229</v>
      </c>
      <c r="D10" s="57" t="n">
        <f aca="false">C10-C8</f>
        <v>-147</v>
      </c>
      <c r="E10" s="52" t="n">
        <f aca="false">C10-152000</f>
        <v>129229</v>
      </c>
      <c r="F10" s="51" t="n">
        <f aca="false">D10/$D$2</f>
        <v>-74.1114192084699</v>
      </c>
      <c r="G10" s="51" t="n">
        <v>6.38</v>
      </c>
      <c r="H10" s="56" t="n">
        <v>0</v>
      </c>
      <c r="I10" s="51" t="n">
        <f aca="false">G10+H10</f>
        <v>6.38</v>
      </c>
      <c r="J10" s="81" t="n">
        <f aca="false">IF(L10&gt;0,L10,0)</f>
        <v>0.0185807915301268</v>
      </c>
      <c r="K10" s="51" t="n">
        <f aca="false">I10+J10</f>
        <v>6.39858079153013</v>
      </c>
      <c r="L10" s="51" t="n">
        <f aca="false">F10-(I10-W10)</f>
        <v>0.0185807915301268</v>
      </c>
      <c r="M10" s="87" t="n">
        <v>5.13</v>
      </c>
      <c r="N10" s="51" t="n">
        <v>0</v>
      </c>
      <c r="O10" s="51" t="n">
        <v>0</v>
      </c>
      <c r="P10" s="6" t="n">
        <f aca="false">M10-(N10+O10)</f>
        <v>5.13</v>
      </c>
      <c r="Q10" s="51" t="n">
        <v>0</v>
      </c>
      <c r="R10" s="51" t="n">
        <v>0</v>
      </c>
      <c r="S10" s="51" t="n">
        <f aca="false">SUM(P10:R10)</f>
        <v>5.13</v>
      </c>
      <c r="T10" s="52"/>
      <c r="U10" s="51" t="n">
        <v>0</v>
      </c>
      <c r="V10" s="51" t="n">
        <v>75.38</v>
      </c>
      <c r="W10" s="6" t="n">
        <f aca="false">N10+O10+S10+U10+V10</f>
        <v>80.51</v>
      </c>
      <c r="X10" s="51" t="n">
        <f aca="false">IF(L10&lt;0,L10*-1,0)</f>
        <v>0</v>
      </c>
      <c r="Y10" s="51" t="n">
        <f aca="false">W10+X10</f>
        <v>80.51</v>
      </c>
      <c r="Z10" s="56" t="n">
        <v>0</v>
      </c>
      <c r="AA10" s="57" t="n">
        <v>43</v>
      </c>
      <c r="AB10" s="57" t="n">
        <v>10</v>
      </c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6899.32</v>
      </c>
      <c r="C11" s="52" t="n">
        <v>281082</v>
      </c>
      <c r="D11" s="57" t="n">
        <f aca="false">C11-C10</f>
        <v>-147</v>
      </c>
      <c r="E11" s="52" t="n">
        <f aca="false">C11-152000</f>
        <v>129082</v>
      </c>
      <c r="F11" s="51" t="n">
        <f aca="false">D11/$D$2</f>
        <v>-74.1114192084699</v>
      </c>
      <c r="G11" s="51" t="n">
        <v>6.38</v>
      </c>
      <c r="H11" s="56" t="n">
        <v>0</v>
      </c>
      <c r="I11" s="51" t="n">
        <f aca="false">G11+H11</f>
        <v>6.38</v>
      </c>
      <c r="J11" s="81" t="n">
        <f aca="false">IF(L11&gt;0,L11,0)</f>
        <v>0.0185807915301268</v>
      </c>
      <c r="K11" s="51" t="n">
        <f aca="false">I11+J11</f>
        <v>6.39858079153013</v>
      </c>
      <c r="L11" s="51" t="n">
        <f aca="false">F11-(I11-W11)</f>
        <v>0.0185807915301268</v>
      </c>
      <c r="M11" s="87" t="n">
        <v>5.13</v>
      </c>
      <c r="N11" s="51" t="n">
        <v>0</v>
      </c>
      <c r="O11" s="51" t="n">
        <v>0</v>
      </c>
      <c r="P11" s="6" t="n">
        <f aca="false">M11-(N11+O11)</f>
        <v>5.13</v>
      </c>
      <c r="Q11" s="51" t="n">
        <v>0</v>
      </c>
      <c r="R11" s="51" t="n">
        <v>0</v>
      </c>
      <c r="S11" s="51" t="n">
        <f aca="false">SUM(P11:R11)</f>
        <v>5.13</v>
      </c>
      <c r="T11" s="52"/>
      <c r="U11" s="51" t="n">
        <v>0</v>
      </c>
      <c r="V11" s="51" t="n">
        <v>75.38</v>
      </c>
      <c r="W11" s="6" t="n">
        <f aca="false">N11+O11+S11+U11+V11</f>
        <v>80.51</v>
      </c>
      <c r="X11" s="51" t="n">
        <f aca="false">IF(L11&lt;0,L11*-1,0)</f>
        <v>0</v>
      </c>
      <c r="Y11" s="51" t="n">
        <f aca="false">W11+X11</f>
        <v>80.51</v>
      </c>
      <c r="Z11" s="56" t="n">
        <v>0.16</v>
      </c>
      <c r="AA11" s="57" t="n">
        <v>40</v>
      </c>
      <c r="AB11" s="57" t="n">
        <v>9</v>
      </c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6899.28</v>
      </c>
      <c r="C12" s="52" t="n">
        <v>280935</v>
      </c>
      <c r="D12" s="57" t="n">
        <f aca="false">C12-C11</f>
        <v>-147</v>
      </c>
      <c r="E12" s="52" t="n">
        <f aca="false">C12-152000</f>
        <v>128935</v>
      </c>
      <c r="F12" s="51" t="n">
        <f aca="false">D12/$D$2</f>
        <v>-74.1114192084699</v>
      </c>
      <c r="G12" s="51" t="n">
        <v>7.79</v>
      </c>
      <c r="H12" s="56" t="n">
        <v>0</v>
      </c>
      <c r="I12" s="51" t="n">
        <f aca="false">G12+H12</f>
        <v>7.79</v>
      </c>
      <c r="J12" s="81" t="n">
        <f aca="false">IF(L12&gt;0,L12,0)</f>
        <v>0.0185807915301268</v>
      </c>
      <c r="K12" s="51" t="n">
        <f aca="false">I12+J12</f>
        <v>7.80858079153013</v>
      </c>
      <c r="L12" s="51" t="n">
        <f aca="false">F12-(I12-W12)</f>
        <v>0.0185807915301268</v>
      </c>
      <c r="M12" s="87" t="n">
        <v>5.13</v>
      </c>
      <c r="N12" s="51" t="n">
        <v>0</v>
      </c>
      <c r="O12" s="51" t="n">
        <v>0</v>
      </c>
      <c r="P12" s="6" t="n">
        <f aca="false">M12-(N12+O12)</f>
        <v>5.13</v>
      </c>
      <c r="Q12" s="51" t="n">
        <v>0</v>
      </c>
      <c r="R12" s="51" t="n">
        <v>0</v>
      </c>
      <c r="S12" s="51" t="n">
        <f aca="false">SUM(P12:R12)</f>
        <v>5.13</v>
      </c>
      <c r="T12" s="52"/>
      <c r="U12" s="51" t="n">
        <v>0</v>
      </c>
      <c r="V12" s="51" t="n">
        <v>76.79</v>
      </c>
      <c r="W12" s="6" t="n">
        <f aca="false">N12+O12+S12+U12+V12</f>
        <v>81.92</v>
      </c>
      <c r="X12" s="51" t="n">
        <f aca="false">IF(L12&lt;0,L12*-1,0)</f>
        <v>0</v>
      </c>
      <c r="Y12" s="51" t="n">
        <f aca="false">W12+X12</f>
        <v>81.92</v>
      </c>
      <c r="Z12" s="56" t="n">
        <v>0</v>
      </c>
      <c r="AA12" s="57" t="n">
        <v>25</v>
      </c>
      <c r="AB12" s="57" t="n">
        <v>16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6899.25</v>
      </c>
      <c r="C13" s="52" t="n">
        <v>280825</v>
      </c>
      <c r="D13" s="57" t="n">
        <f aca="false">C13-C12</f>
        <v>-110</v>
      </c>
      <c r="E13" s="52" t="n">
        <f aca="false">C13-152000</f>
        <v>128825</v>
      </c>
      <c r="F13" s="51" t="n">
        <f aca="false">D13/$D$2</f>
        <v>-55.4575245777666</v>
      </c>
      <c r="G13" s="51" t="n">
        <v>28.12</v>
      </c>
      <c r="H13" s="56" t="n">
        <v>0</v>
      </c>
      <c r="I13" s="51" t="n">
        <f aca="false">G13+H13</f>
        <v>28.12</v>
      </c>
      <c r="J13" s="81" t="n">
        <f aca="false">IF(L13&gt;0,L13,0)</f>
        <v>0.0124754222334147</v>
      </c>
      <c r="K13" s="51" t="n">
        <f aca="false">I13+J13</f>
        <v>28.1324754222334</v>
      </c>
      <c r="L13" s="51" t="n">
        <f aca="false">F13-(I13-W13)</f>
        <v>0.0124754222334147</v>
      </c>
      <c r="M13" s="87" t="n">
        <v>5.13</v>
      </c>
      <c r="N13" s="51" t="n">
        <v>0</v>
      </c>
      <c r="O13" s="51" t="n">
        <v>0</v>
      </c>
      <c r="P13" s="6" t="n">
        <f aca="false">M13-(N13+O13)</f>
        <v>5.13</v>
      </c>
      <c r="Q13" s="51" t="n">
        <v>0</v>
      </c>
      <c r="R13" s="51" t="n">
        <v>0</v>
      </c>
      <c r="S13" s="51" t="n">
        <f aca="false">SUM(P13:R13)</f>
        <v>5.13</v>
      </c>
      <c r="T13" s="52"/>
      <c r="U13" s="51" t="n">
        <v>0</v>
      </c>
      <c r="V13" s="51" t="n">
        <v>78.46</v>
      </c>
      <c r="W13" s="6" t="n">
        <f aca="false">N13+O13+S13+U13+V13</f>
        <v>83.59</v>
      </c>
      <c r="X13" s="51" t="n">
        <f aca="false">IF(L13&lt;0,L13*-1,0)</f>
        <v>0</v>
      </c>
      <c r="Y13" s="51" t="n">
        <f aca="false">W13+X13</f>
        <v>83.59</v>
      </c>
      <c r="Z13" s="56" t="n">
        <v>0</v>
      </c>
      <c r="AA13" s="57" t="n">
        <v>23</v>
      </c>
      <c r="AB13" s="57" t="n">
        <v>-4</v>
      </c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6899.22</v>
      </c>
      <c r="C14" s="52" t="n">
        <v>280715</v>
      </c>
      <c r="D14" s="57" t="n">
        <f aca="false">C14-C13</f>
        <v>-110</v>
      </c>
      <c r="E14" s="52" t="n">
        <f aca="false">C14-152000</f>
        <v>128715</v>
      </c>
      <c r="F14" s="51" t="n">
        <f aca="false">D14/$D$2</f>
        <v>-55.4575245777666</v>
      </c>
      <c r="G14" s="51" t="n">
        <v>28.12</v>
      </c>
      <c r="H14" s="56" t="n">
        <v>0</v>
      </c>
      <c r="I14" s="51" t="n">
        <f aca="false">G14+H14</f>
        <v>28.12</v>
      </c>
      <c r="J14" s="81" t="n">
        <f aca="false">IF(L14&gt;0,L14,0)</f>
        <v>0.0124754222334147</v>
      </c>
      <c r="K14" s="51" t="n">
        <f aca="false">I14+J14</f>
        <v>28.1324754222334</v>
      </c>
      <c r="L14" s="51" t="n">
        <f aca="false">F14-(I14-W14)</f>
        <v>0.0124754222334147</v>
      </c>
      <c r="M14" s="87" t="n">
        <v>5.13</v>
      </c>
      <c r="N14" s="51" t="n">
        <v>0</v>
      </c>
      <c r="O14" s="51" t="n">
        <v>0</v>
      </c>
      <c r="P14" s="6" t="n">
        <f aca="false">M14-(N14+O14)</f>
        <v>5.13</v>
      </c>
      <c r="Q14" s="51" t="n">
        <v>0</v>
      </c>
      <c r="R14" s="51" t="n">
        <v>0</v>
      </c>
      <c r="S14" s="51" t="n">
        <f aca="false">SUM(P14:R14)</f>
        <v>5.13</v>
      </c>
      <c r="T14" s="52"/>
      <c r="U14" s="51" t="n">
        <v>0</v>
      </c>
      <c r="V14" s="51" t="n">
        <v>78.46</v>
      </c>
      <c r="W14" s="6" t="n">
        <f aca="false">N14+O14+S14+U14+V14</f>
        <v>83.59</v>
      </c>
      <c r="X14" s="51" t="n">
        <f aca="false">IF(L14&lt;0,L14*-1,0)</f>
        <v>0</v>
      </c>
      <c r="Y14" s="51" t="n">
        <f aca="false">W14+X14</f>
        <v>83.59</v>
      </c>
      <c r="Z14" s="56" t="n">
        <v>0</v>
      </c>
      <c r="AA14" s="57" t="n">
        <v>28</v>
      </c>
      <c r="AB14" s="57" t="n">
        <v>-2</v>
      </c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6899.18</v>
      </c>
      <c r="C15" s="52" t="n">
        <v>280568</v>
      </c>
      <c r="D15" s="57" t="n">
        <f aca="false">C15-C14</f>
        <v>-147</v>
      </c>
      <c r="E15" s="52" t="n">
        <f aca="false">C15-152000</f>
        <v>128568</v>
      </c>
      <c r="F15" s="51" t="n">
        <f aca="false">D15/$D$2</f>
        <v>-74.1114192084699</v>
      </c>
      <c r="G15" s="51" t="n">
        <v>9.456</v>
      </c>
      <c r="H15" s="56" t="n">
        <v>0</v>
      </c>
      <c r="I15" s="51" t="n">
        <f aca="false">G15+H15</f>
        <v>9.456</v>
      </c>
      <c r="J15" s="81" t="n">
        <f aca="false">IF(L15&gt;0,L15,0)</f>
        <v>0.0225807915301175</v>
      </c>
      <c r="K15" s="51" t="n">
        <f aca="false">I15+J15</f>
        <v>9.47858079153012</v>
      </c>
      <c r="L15" s="51" t="n">
        <f aca="false">F15-(I15-W15)</f>
        <v>0.0225807915301175</v>
      </c>
      <c r="M15" s="87" t="n">
        <v>5.13</v>
      </c>
      <c r="N15" s="51" t="n">
        <v>0</v>
      </c>
      <c r="O15" s="51" t="n">
        <v>0</v>
      </c>
      <c r="P15" s="6" t="n">
        <f aca="false">M15-(N15+O15)</f>
        <v>5.13</v>
      </c>
      <c r="Q15" s="51" t="n">
        <v>0</v>
      </c>
      <c r="R15" s="51" t="n">
        <v>0</v>
      </c>
      <c r="S15" s="51" t="n">
        <f aca="false">SUM(P15:R15)</f>
        <v>5.13</v>
      </c>
      <c r="T15" s="52"/>
      <c r="U15" s="51" t="n">
        <v>0</v>
      </c>
      <c r="V15" s="51" t="n">
        <v>78.46</v>
      </c>
      <c r="W15" s="6" t="n">
        <f aca="false">N15+O15+S15+U15+V15</f>
        <v>83.59</v>
      </c>
      <c r="X15" s="51" t="n">
        <f aca="false">IF(L15&lt;0,L15*-1,0)</f>
        <v>0</v>
      </c>
      <c r="Y15" s="51" t="n">
        <f aca="false">W15+X15</f>
        <v>83.59</v>
      </c>
      <c r="Z15" s="56" t="n">
        <v>0</v>
      </c>
      <c r="AA15" s="57" t="n">
        <v>33</v>
      </c>
      <c r="AB15" s="57" t="n">
        <v>3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6899.14</v>
      </c>
      <c r="C16" s="52" t="n">
        <v>280421</v>
      </c>
      <c r="D16" s="57" t="n">
        <f aca="false">C16-C15</f>
        <v>-147</v>
      </c>
      <c r="E16" s="52" t="n">
        <f aca="false">C16-152000</f>
        <v>128421</v>
      </c>
      <c r="F16" s="51" t="n">
        <f aca="false">D16/$D$2</f>
        <v>-74.1114192084699</v>
      </c>
      <c r="G16" s="51" t="n">
        <v>9.46</v>
      </c>
      <c r="H16" s="56" t="n">
        <v>0</v>
      </c>
      <c r="I16" s="51" t="n">
        <f aca="false">G16+H16</f>
        <v>9.46</v>
      </c>
      <c r="J16" s="81" t="n">
        <f aca="false">IF(L16&gt;0,L16,0)</f>
        <v>0.0185807915301268</v>
      </c>
      <c r="K16" s="51" t="n">
        <f aca="false">I16+J16</f>
        <v>9.47858079153013</v>
      </c>
      <c r="L16" s="51" t="n">
        <f aca="false">F16-(I16-W16)</f>
        <v>0.0185807915301268</v>
      </c>
      <c r="M16" s="87" t="n">
        <v>5.13</v>
      </c>
      <c r="N16" s="51" t="n">
        <v>0</v>
      </c>
      <c r="O16" s="51" t="n">
        <v>0</v>
      </c>
      <c r="P16" s="6" t="n">
        <f aca="false">M16-(N16+O16)</f>
        <v>5.13</v>
      </c>
      <c r="Q16" s="51" t="n">
        <v>0</v>
      </c>
      <c r="R16" s="51" t="n">
        <v>0</v>
      </c>
      <c r="S16" s="51" t="n">
        <f aca="false">SUM(P16:R16)</f>
        <v>5.13</v>
      </c>
      <c r="T16" s="52"/>
      <c r="U16" s="51" t="n">
        <v>0</v>
      </c>
      <c r="V16" s="51" t="n">
        <v>78.46</v>
      </c>
      <c r="W16" s="6" t="n">
        <f aca="false">N16+O16+S16+U16+V16</f>
        <v>83.59</v>
      </c>
      <c r="X16" s="51" t="n">
        <f aca="false">IF(L16&lt;0,L16*-1,0)</f>
        <v>0</v>
      </c>
      <c r="Y16" s="51" t="n">
        <f aca="false">W16+X16</f>
        <v>83.59</v>
      </c>
      <c r="Z16" s="56" t="n">
        <v>0</v>
      </c>
      <c r="AA16" s="57" t="n">
        <v>38</v>
      </c>
      <c r="AB16" s="57" t="n">
        <v>8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6899.1</v>
      </c>
      <c r="C17" s="52" t="n">
        <v>280274</v>
      </c>
      <c r="D17" s="57" t="n">
        <f aca="false">C17-C16</f>
        <v>-147</v>
      </c>
      <c r="E17" s="52" t="n">
        <f aca="false">C17-152000</f>
        <v>128274</v>
      </c>
      <c r="F17" s="51" t="n">
        <f aca="false">D17/$D$2</f>
        <v>-74.1114192084699</v>
      </c>
      <c r="G17" s="51" t="n">
        <v>9.46</v>
      </c>
      <c r="H17" s="56" t="n">
        <v>0</v>
      </c>
      <c r="I17" s="51" t="n">
        <f aca="false">G17+H17</f>
        <v>9.46</v>
      </c>
      <c r="J17" s="81" t="n">
        <f aca="false">IF(L17&gt;0,L17,0)</f>
        <v>0.0185807915301268</v>
      </c>
      <c r="K17" s="51" t="n">
        <f aca="false">I17+J17</f>
        <v>9.47858079153013</v>
      </c>
      <c r="L17" s="51" t="n">
        <f aca="false">F17-(I17-W17)</f>
        <v>0.0185807915301268</v>
      </c>
      <c r="M17" s="87" t="n">
        <v>5.13</v>
      </c>
      <c r="N17" s="51" t="n">
        <v>0</v>
      </c>
      <c r="O17" s="51" t="n">
        <v>0</v>
      </c>
      <c r="P17" s="6" t="n">
        <f aca="false">M17-(N17+O17)</f>
        <v>5.13</v>
      </c>
      <c r="Q17" s="51" t="n">
        <v>0</v>
      </c>
      <c r="R17" s="51" t="n">
        <v>0</v>
      </c>
      <c r="S17" s="51" t="n">
        <f aca="false">SUM(P17:R17)</f>
        <v>5.13</v>
      </c>
      <c r="T17" s="52"/>
      <c r="U17" s="51" t="n">
        <v>0</v>
      </c>
      <c r="V17" s="51" t="n">
        <v>78.46</v>
      </c>
      <c r="W17" s="6" t="n">
        <f aca="false">N17+O17+S17+U17+V17</f>
        <v>83.59</v>
      </c>
      <c r="X17" s="51" t="n">
        <f aca="false">IF(L17&lt;0,L17*-1,0)</f>
        <v>0</v>
      </c>
      <c r="Y17" s="51" t="n">
        <f aca="false">W17+X17</f>
        <v>83.59</v>
      </c>
      <c r="Z17" s="56" t="n">
        <v>0</v>
      </c>
      <c r="AA17" s="57" t="n">
        <v>43</v>
      </c>
      <c r="AB17" s="57" t="n">
        <v>10</v>
      </c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6899.07</v>
      </c>
      <c r="C18" s="52" t="n">
        <v>280164</v>
      </c>
      <c r="D18" s="57" t="n">
        <f aca="false">C18-C17</f>
        <v>-110</v>
      </c>
      <c r="E18" s="52" t="n">
        <f aca="false">C18-152000</f>
        <v>128164</v>
      </c>
      <c r="F18" s="51" t="n">
        <f aca="false">D18/$D$2</f>
        <v>-55.4575245777666</v>
      </c>
      <c r="G18" s="51" t="n">
        <v>28.12</v>
      </c>
      <c r="H18" s="56" t="n">
        <v>0</v>
      </c>
      <c r="I18" s="51" t="n">
        <v>27.61</v>
      </c>
      <c r="J18" s="81" t="n">
        <f aca="false">IF(L18&gt;0,L18,0)</f>
        <v>0.52247542223342</v>
      </c>
      <c r="K18" s="51" t="n">
        <f aca="false">I18+J18</f>
        <v>28.1324754222334</v>
      </c>
      <c r="L18" s="51" t="n">
        <f aca="false">F18-(I18-W18)</f>
        <v>0.52247542223342</v>
      </c>
      <c r="M18" s="87" t="n">
        <v>5.13</v>
      </c>
      <c r="N18" s="51" t="n">
        <v>0</v>
      </c>
      <c r="O18" s="51" t="n">
        <v>0</v>
      </c>
      <c r="P18" s="6" t="n">
        <f aca="false">M18-(N18+O18)</f>
        <v>5.13</v>
      </c>
      <c r="Q18" s="51" t="n">
        <v>0</v>
      </c>
      <c r="R18" s="51" t="n">
        <v>0</v>
      </c>
      <c r="S18" s="51" t="n">
        <f aca="false">SUM(P18:R18)</f>
        <v>5.13</v>
      </c>
      <c r="T18" s="52"/>
      <c r="U18" s="51" t="n">
        <v>0</v>
      </c>
      <c r="V18" s="51" t="n">
        <v>78.46</v>
      </c>
      <c r="W18" s="6" t="n">
        <f aca="false">N18+O18+S18+U18+V18</f>
        <v>83.59</v>
      </c>
      <c r="X18" s="51" t="n">
        <f aca="false">IF(L18&lt;0,L18*-1,0)</f>
        <v>0</v>
      </c>
      <c r="Y18" s="51" t="n">
        <f aca="false">W18+X18</f>
        <v>83.59</v>
      </c>
      <c r="Z18" s="56" t="n">
        <v>0</v>
      </c>
      <c r="AA18" s="82" t="n">
        <v>52</v>
      </c>
      <c r="AB18" s="57" t="n">
        <v>15</v>
      </c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6899.04</v>
      </c>
      <c r="C19" s="52" t="n">
        <v>280053</v>
      </c>
      <c r="D19" s="57" t="n">
        <f aca="false">C19-C18</f>
        <v>-111</v>
      </c>
      <c r="E19" s="52" t="n">
        <f aca="false">C19-152000</f>
        <v>128053</v>
      </c>
      <c r="F19" s="51" t="n">
        <f aca="false">D19/$D$2</f>
        <v>-55.9616838921099</v>
      </c>
      <c r="G19" s="51" t="n">
        <v>0</v>
      </c>
      <c r="H19" s="56" t="n">
        <v>0</v>
      </c>
      <c r="I19" s="51" t="n">
        <v>28.15</v>
      </c>
      <c r="J19" s="81" t="n">
        <f aca="false">IF(L19&gt;0,L19,0)</f>
        <v>0</v>
      </c>
      <c r="K19" s="51" t="n">
        <f aca="false">I19+J19</f>
        <v>28.15</v>
      </c>
      <c r="L19" s="51" t="n">
        <f aca="false">F19-(I19-W19)</f>
        <v>-0.521683892109913</v>
      </c>
      <c r="M19" s="87" t="n">
        <v>5.13</v>
      </c>
      <c r="N19" s="51" t="n">
        <v>0</v>
      </c>
      <c r="O19" s="51" t="n">
        <v>0</v>
      </c>
      <c r="P19" s="6" t="n">
        <f aca="false">M19-(N19+O19)</f>
        <v>5.13</v>
      </c>
      <c r="Q19" s="51" t="n">
        <v>0</v>
      </c>
      <c r="R19" s="51" t="n">
        <v>0</v>
      </c>
      <c r="S19" s="51" t="n">
        <f aca="false">SUM(P19:R19)</f>
        <v>5.13</v>
      </c>
      <c r="T19" s="52"/>
      <c r="U19" s="51" t="n">
        <v>0</v>
      </c>
      <c r="V19" s="51" t="n">
        <v>78.46</v>
      </c>
      <c r="W19" s="6" t="n">
        <f aca="false">N19+O19+S19+U19+V19</f>
        <v>83.59</v>
      </c>
      <c r="X19" s="51" t="n">
        <f aca="false">IF(L19&lt;0,L19*-1,0)</f>
        <v>0.521683892109913</v>
      </c>
      <c r="Y19" s="51" t="n">
        <f aca="false">W19+X19</f>
        <v>84.1116838921099</v>
      </c>
      <c r="Z19" s="56" t="n">
        <v>0</v>
      </c>
      <c r="AA19" s="57" t="n">
        <v>54</v>
      </c>
      <c r="AB19" s="57" t="n">
        <v>20</v>
      </c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6899.01</v>
      </c>
      <c r="C20" s="52" t="n">
        <v>279943</v>
      </c>
      <c r="D20" s="57" t="n">
        <f aca="false">C20-C19</f>
        <v>-110</v>
      </c>
      <c r="E20" s="52" t="n">
        <f aca="false">C20-152000</f>
        <v>127943</v>
      </c>
      <c r="F20" s="51" t="n">
        <f aca="false">D20/$D$2</f>
        <v>-55.4575245777666</v>
      </c>
      <c r="G20" s="51" t="n">
        <v>0</v>
      </c>
      <c r="H20" s="56" t="n">
        <v>0</v>
      </c>
      <c r="I20" s="51" t="n">
        <v>9.99</v>
      </c>
      <c r="J20" s="81" t="n">
        <f aca="false">IF(L20&gt;0,L20,0)</f>
        <v>18.1724754222334</v>
      </c>
      <c r="K20" s="51" t="n">
        <f aca="false">I20+J20</f>
        <v>28.1624754222334</v>
      </c>
      <c r="L20" s="51" t="n">
        <f aca="false">F20-(I20-W20)</f>
        <v>18.1724754222334</v>
      </c>
      <c r="M20" s="87" t="n">
        <v>5.13</v>
      </c>
      <c r="N20" s="51" t="n">
        <v>0</v>
      </c>
      <c r="O20" s="51" t="n">
        <v>0</v>
      </c>
      <c r="P20" s="6" t="n">
        <f aca="false">M20-(N20+O20)</f>
        <v>5.13</v>
      </c>
      <c r="Q20" s="51" t="n">
        <v>0</v>
      </c>
      <c r="R20" s="51" t="n">
        <v>0</v>
      </c>
      <c r="S20" s="51" t="n">
        <f aca="false">SUM(P20:R20)</f>
        <v>5.13</v>
      </c>
      <c r="T20" s="52"/>
      <c r="U20" s="51" t="n">
        <v>0</v>
      </c>
      <c r="V20" s="51" t="n">
        <v>78.49</v>
      </c>
      <c r="W20" s="6" t="n">
        <f aca="false">N20+O20+S20+U20+V20</f>
        <v>83.62</v>
      </c>
      <c r="X20" s="51" t="n">
        <f aca="false">IF(L20&lt;0,L20*-1,0)</f>
        <v>0</v>
      </c>
      <c r="Y20" s="51" t="n">
        <f aca="false">W20+X20</f>
        <v>83.62</v>
      </c>
      <c r="Z20" s="56" t="n">
        <v>0</v>
      </c>
      <c r="AA20" s="57" t="n">
        <v>54</v>
      </c>
      <c r="AB20" s="57" t="n">
        <v>20</v>
      </c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6898.97</v>
      </c>
      <c r="C21" s="52" t="n">
        <v>279797</v>
      </c>
      <c r="D21" s="57" t="n">
        <f aca="false">C21-C20</f>
        <v>-146</v>
      </c>
      <c r="E21" s="52" t="n">
        <f aca="false">C21-152000</f>
        <v>127797</v>
      </c>
      <c r="F21" s="51" t="n">
        <f aca="false">D21/$D$2</f>
        <v>-73.6072598941265</v>
      </c>
      <c r="G21" s="51" t="n">
        <v>0</v>
      </c>
      <c r="H21" s="56" t="n">
        <v>0</v>
      </c>
      <c r="I21" s="51" t="n">
        <v>10.42</v>
      </c>
      <c r="J21" s="81" t="n">
        <f aca="false">IF(L21&gt;0,L21,0)</f>
        <v>0</v>
      </c>
      <c r="K21" s="51" t="n">
        <f aca="false">I21+J21</f>
        <v>10.42</v>
      </c>
      <c r="L21" s="51" t="n">
        <f aca="false">F21-(I21-W21)</f>
        <v>-0.407259894126554</v>
      </c>
      <c r="M21" s="87" t="n">
        <v>5.13</v>
      </c>
      <c r="N21" s="51" t="n">
        <v>0</v>
      </c>
      <c r="O21" s="51" t="n">
        <v>0</v>
      </c>
      <c r="P21" s="6" t="n">
        <f aca="false">M21-(N21+O21)</f>
        <v>5.13</v>
      </c>
      <c r="Q21" s="51" t="n">
        <v>0</v>
      </c>
      <c r="R21" s="51" t="n">
        <v>0</v>
      </c>
      <c r="S21" s="51" t="n">
        <f aca="false">SUM(P21:R21)</f>
        <v>5.13</v>
      </c>
      <c r="T21" s="52"/>
      <c r="U21" s="51" t="n">
        <v>0</v>
      </c>
      <c r="V21" s="51" t="n">
        <v>78.49</v>
      </c>
      <c r="W21" s="6" t="n">
        <f aca="false">N21+O21+S21+U21+V21</f>
        <v>83.62</v>
      </c>
      <c r="X21" s="51" t="n">
        <f aca="false">IF(L21&lt;0,L21*-1,0)</f>
        <v>0.407259894126554</v>
      </c>
      <c r="Y21" s="51" t="n">
        <f aca="false">W21+X21</f>
        <v>84.0272598941266</v>
      </c>
      <c r="Z21" s="56" t="n">
        <v>0</v>
      </c>
      <c r="AA21" s="57" t="n">
        <v>51</v>
      </c>
      <c r="AB21" s="57" t="n">
        <v>20</v>
      </c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v>13</v>
      </c>
      <c r="B22" s="73" t="n">
        <v>6898.93</v>
      </c>
      <c r="C22" s="52" t="n">
        <v>279651</v>
      </c>
      <c r="D22" s="57" t="n">
        <f aca="false">C22-C21</f>
        <v>-146</v>
      </c>
      <c r="E22" s="52" t="n">
        <f aca="false">C22-152000</f>
        <v>127651</v>
      </c>
      <c r="F22" s="51" t="n">
        <f aca="false">D22/$D$2</f>
        <v>-73.6072598941265</v>
      </c>
      <c r="G22" s="51" t="n">
        <v>0</v>
      </c>
      <c r="H22" s="56" t="n">
        <v>0</v>
      </c>
      <c r="I22" s="51" t="n">
        <v>10.66</v>
      </c>
      <c r="J22" s="81" t="n">
        <f aca="false">IF(L22&gt;0,L22,0)</f>
        <v>0</v>
      </c>
      <c r="K22" s="51" t="n">
        <f aca="false">I22+J22</f>
        <v>10.66</v>
      </c>
      <c r="L22" s="51" t="n">
        <f aca="false">F22-(I22-W22)</f>
        <v>-0.217259894126542</v>
      </c>
      <c r="M22" s="87" t="n">
        <v>5.13</v>
      </c>
      <c r="N22" s="51" t="n">
        <v>0</v>
      </c>
      <c r="O22" s="51" t="n">
        <v>0</v>
      </c>
      <c r="P22" s="6" t="n">
        <f aca="false">M22-(N22+O22)</f>
        <v>5.13</v>
      </c>
      <c r="Q22" s="51" t="n">
        <v>0</v>
      </c>
      <c r="R22" s="51" t="n">
        <v>0</v>
      </c>
      <c r="S22" s="51" t="n">
        <f aca="false">SUM(P22:R22)</f>
        <v>5.13</v>
      </c>
      <c r="T22" s="52"/>
      <c r="U22" s="51" t="n">
        <v>0</v>
      </c>
      <c r="V22" s="51" t="n">
        <v>78.92</v>
      </c>
      <c r="W22" s="6" t="n">
        <f aca="false">N22+O22+S22+U22+V22</f>
        <v>84.05</v>
      </c>
      <c r="X22" s="51" t="n">
        <f aca="false">IF(L22&lt;0,L22*-1,0)</f>
        <v>0.217259894126542</v>
      </c>
      <c r="Y22" s="51" t="n">
        <f aca="false">W22+X22</f>
        <v>84.2672598941265</v>
      </c>
      <c r="Z22" s="56" t="n">
        <v>0</v>
      </c>
      <c r="AA22" s="57" t="n">
        <v>47</v>
      </c>
      <c r="AB22" s="57" t="n">
        <v>19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6898.89</v>
      </c>
      <c r="C23" s="52" t="n">
        <v>279505</v>
      </c>
      <c r="D23" s="57" t="n">
        <f aca="false">C23-C22</f>
        <v>-146</v>
      </c>
      <c r="E23" s="52" t="n">
        <f aca="false">C23-152000</f>
        <v>127505</v>
      </c>
      <c r="F23" s="51" t="n">
        <f aca="false">D23/$D$2</f>
        <v>-73.6072598941265</v>
      </c>
      <c r="G23" s="51" t="n">
        <v>10.7</v>
      </c>
      <c r="H23" s="56" t="n">
        <v>0</v>
      </c>
      <c r="I23" s="51" t="n">
        <v>11.46</v>
      </c>
      <c r="J23" s="81" t="n">
        <f aca="false">IF(L23&gt;0,L23,0)</f>
        <v>0</v>
      </c>
      <c r="K23" s="51" t="n">
        <f aca="false">I23+J23</f>
        <v>11.46</v>
      </c>
      <c r="L23" s="51" t="n">
        <f aca="false">F23-(I23-W23)</f>
        <v>-0.777259894126559</v>
      </c>
      <c r="M23" s="87" t="n">
        <v>5.13</v>
      </c>
      <c r="N23" s="51" t="n">
        <v>0</v>
      </c>
      <c r="O23" s="51" t="n">
        <v>0</v>
      </c>
      <c r="P23" s="6" t="n">
        <f aca="false">M23-(N23+O23)</f>
        <v>5.13</v>
      </c>
      <c r="Q23" s="51" t="n">
        <v>0</v>
      </c>
      <c r="R23" s="51" t="n">
        <v>0</v>
      </c>
      <c r="S23" s="51" t="n">
        <f aca="false">SUM(P23:R23)</f>
        <v>5.13</v>
      </c>
      <c r="T23" s="52"/>
      <c r="U23" s="51" t="n">
        <v>0</v>
      </c>
      <c r="V23" s="51" t="n">
        <v>79.16</v>
      </c>
      <c r="W23" s="6" t="n">
        <f aca="false">N23+O23+S23+U23+V23</f>
        <v>84.29</v>
      </c>
      <c r="X23" s="51" t="n">
        <f aca="false">IF(L23&lt;0,L23*-1,0)</f>
        <v>0.777259894126559</v>
      </c>
      <c r="Y23" s="51" t="n">
        <f aca="false">W23+X23</f>
        <v>85.0672598941265</v>
      </c>
      <c r="Z23" s="56" t="n">
        <v>0</v>
      </c>
      <c r="AA23" s="82" t="n">
        <v>41</v>
      </c>
      <c r="AB23" s="57" t="n">
        <v>17</v>
      </c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6898.85</v>
      </c>
      <c r="C24" s="52" t="n">
        <v>279360</v>
      </c>
      <c r="D24" s="57" t="n">
        <f aca="false">C24-C23</f>
        <v>-145</v>
      </c>
      <c r="E24" s="52" t="n">
        <f aca="false">C24-152000</f>
        <v>127360</v>
      </c>
      <c r="F24" s="51" t="n">
        <f aca="false">D24/$D$2</f>
        <v>-73.1031005797832</v>
      </c>
      <c r="G24" s="51" t="n">
        <v>11.5</v>
      </c>
      <c r="H24" s="56" t="n">
        <v>0</v>
      </c>
      <c r="I24" s="51" t="n">
        <v>10.52</v>
      </c>
      <c r="J24" s="81" t="n">
        <f aca="false">IF(L24&gt;0,L24,0)</f>
        <v>0.956899420216786</v>
      </c>
      <c r="K24" s="51" t="n">
        <f aca="false">I24+J24</f>
        <v>11.4768994202168</v>
      </c>
      <c r="L24" s="51" t="n">
        <f aca="false">F24-(I24-W24)</f>
        <v>0.956899420216786</v>
      </c>
      <c r="M24" s="87" t="n">
        <v>5.13</v>
      </c>
      <c r="N24" s="51" t="n">
        <v>0</v>
      </c>
      <c r="O24" s="51" t="n">
        <v>0</v>
      </c>
      <c r="P24" s="6" t="n">
        <f aca="false">M24-(N24+O24)</f>
        <v>5.13</v>
      </c>
      <c r="Q24" s="51" t="n">
        <v>0</v>
      </c>
      <c r="R24" s="51" t="n">
        <v>0</v>
      </c>
      <c r="S24" s="51" t="n">
        <f aca="false">SUM(P24:R24)</f>
        <v>5.13</v>
      </c>
      <c r="T24" s="52"/>
      <c r="U24" s="51" t="n">
        <v>0</v>
      </c>
      <c r="V24" s="51" t="n">
        <v>79.45</v>
      </c>
      <c r="W24" s="6" t="n">
        <f aca="false">N24+O24+S24+U24+V24</f>
        <v>84.58</v>
      </c>
      <c r="X24" s="51" t="n">
        <f aca="false">IF(L24&lt;0,L24*-1,0)</f>
        <v>0</v>
      </c>
      <c r="Y24" s="51" t="n">
        <f aca="false">W24+X24</f>
        <v>84.58</v>
      </c>
      <c r="Z24" s="56" t="n">
        <v>0.15</v>
      </c>
      <c r="AA24" s="82" t="n">
        <v>33</v>
      </c>
      <c r="AB24" s="57" t="n">
        <v>16</v>
      </c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6898.81</v>
      </c>
      <c r="C25" s="52" t="n">
        <v>279214</v>
      </c>
      <c r="D25" s="57" t="n">
        <f aca="false">C25-C24</f>
        <v>-146</v>
      </c>
      <c r="E25" s="52" t="n">
        <f aca="false">C25-152000</f>
        <v>127214</v>
      </c>
      <c r="F25" s="51" t="n">
        <f aca="false">D25/$D$2</f>
        <v>-73.6072598941265</v>
      </c>
      <c r="G25" s="51" t="n">
        <v>0</v>
      </c>
      <c r="H25" s="56" t="n">
        <v>0</v>
      </c>
      <c r="I25" s="51" t="n">
        <v>10.02</v>
      </c>
      <c r="J25" s="81" t="n">
        <f aca="false">IF(L25&gt;0,L25,0)</f>
        <v>0.522740105873453</v>
      </c>
      <c r="K25" s="51" t="n">
        <f aca="false">I25+J25</f>
        <v>10.5427401058735</v>
      </c>
      <c r="L25" s="51" t="n">
        <f aca="false">F25-(I25-W25)</f>
        <v>0.522740105873453</v>
      </c>
      <c r="M25" s="87" t="n">
        <v>5.13</v>
      </c>
      <c r="N25" s="51" t="n">
        <v>0</v>
      </c>
      <c r="O25" s="51" t="n">
        <v>0</v>
      </c>
      <c r="P25" s="6" t="n">
        <f aca="false">M25-(N25+O25)</f>
        <v>5.13</v>
      </c>
      <c r="Q25" s="51" t="n">
        <v>0</v>
      </c>
      <c r="R25" s="51" t="n">
        <v>0</v>
      </c>
      <c r="S25" s="51" t="n">
        <f aca="false">SUM(P25:R25)</f>
        <v>5.13</v>
      </c>
      <c r="T25" s="52"/>
      <c r="U25" s="51" t="n">
        <v>0</v>
      </c>
      <c r="V25" s="51" t="n">
        <v>79.02</v>
      </c>
      <c r="W25" s="6" t="n">
        <f aca="false">N25+O25+S25+U25+V25</f>
        <v>84.15</v>
      </c>
      <c r="X25" s="51" t="n">
        <f aca="false">IF(L25&lt;0,L25*-1,0)</f>
        <v>0</v>
      </c>
      <c r="Y25" s="51" t="n">
        <f aca="false">W25+X25</f>
        <v>84.15</v>
      </c>
      <c r="Z25" s="56" t="n">
        <v>0</v>
      </c>
      <c r="AA25" s="82" t="n">
        <v>35</v>
      </c>
      <c r="AB25" s="57" t="n">
        <v>11</v>
      </c>
      <c r="AC25" s="58" t="n">
        <f aca="false">AC24+1</f>
        <v>16</v>
      </c>
      <c r="AD25" s="92"/>
      <c r="AE25" s="96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6898.77</v>
      </c>
      <c r="C26" s="52" t="n">
        <v>279068</v>
      </c>
      <c r="D26" s="57" t="n">
        <f aca="false">C26-C25</f>
        <v>-146</v>
      </c>
      <c r="E26" s="52" t="n">
        <f aca="false">C26-152000</f>
        <v>127068</v>
      </c>
      <c r="F26" s="51" t="n">
        <f aca="false">D26/$D$2</f>
        <v>-73.6072598941265</v>
      </c>
      <c r="G26" s="51" t="n">
        <v>0</v>
      </c>
      <c r="H26" s="56" t="n">
        <v>0</v>
      </c>
      <c r="I26" s="51" t="n">
        <v>28.45</v>
      </c>
      <c r="J26" s="81" t="n">
        <f aca="false">IF(L26&gt;0,L26,0)</f>
        <v>0</v>
      </c>
      <c r="K26" s="51" t="n">
        <f aca="false">I26+J26</f>
        <v>28.45</v>
      </c>
      <c r="L26" s="51" t="n">
        <f aca="false">F26-(I26-W26)</f>
        <v>-18.4072598941265</v>
      </c>
      <c r="M26" s="87" t="n">
        <v>4.92</v>
      </c>
      <c r="N26" s="51" t="n">
        <v>0</v>
      </c>
      <c r="O26" s="51" t="n">
        <v>0</v>
      </c>
      <c r="P26" s="6" t="n">
        <f aca="false">M26-(N26+O26)</f>
        <v>4.92</v>
      </c>
      <c r="Q26" s="51" t="n">
        <v>0</v>
      </c>
      <c r="R26" s="51" t="n">
        <v>0</v>
      </c>
      <c r="S26" s="51" t="n">
        <f aca="false">SUM(P26:R26)</f>
        <v>4.92</v>
      </c>
      <c r="T26" s="52"/>
      <c r="U26" s="51" t="n">
        <v>0</v>
      </c>
      <c r="V26" s="51" t="n">
        <v>78.73</v>
      </c>
      <c r="W26" s="6" t="n">
        <f aca="false">N26+O26+S26+U26+V26</f>
        <v>83.65</v>
      </c>
      <c r="X26" s="51" t="n">
        <f aca="false">IF(L26&lt;0,L26*-1,0)</f>
        <v>18.4072598941265</v>
      </c>
      <c r="Y26" s="51" t="n">
        <f aca="false">W26+X26</f>
        <v>102.057259894127</v>
      </c>
      <c r="Z26" s="56" t="n">
        <v>0</v>
      </c>
      <c r="AA26" s="82" t="n">
        <v>32</v>
      </c>
      <c r="AB26" s="57" t="n">
        <v>11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6898.74</v>
      </c>
      <c r="C27" s="52" t="n">
        <v>278959</v>
      </c>
      <c r="D27" s="57" t="n">
        <f aca="false">C27-C26</f>
        <v>-109</v>
      </c>
      <c r="E27" s="52" t="n">
        <f aca="false">C27-152000</f>
        <v>126959</v>
      </c>
      <c r="F27" s="51" t="n">
        <f aca="false">D27/$D$2</f>
        <v>-54.9533652634232</v>
      </c>
      <c r="G27" s="51" t="n">
        <v>0</v>
      </c>
      <c r="H27" s="56" t="n">
        <v>0</v>
      </c>
      <c r="I27" s="51" t="n">
        <v>46.42</v>
      </c>
      <c r="J27" s="81" t="n">
        <f aca="false">IF(L27&gt;0,L27,0)</f>
        <v>0</v>
      </c>
      <c r="K27" s="51" t="n">
        <f aca="false">I27+J27</f>
        <v>46.42</v>
      </c>
      <c r="L27" s="51" t="n">
        <f aca="false">F27-(I27-W27)</f>
        <v>-17.9533652634232</v>
      </c>
      <c r="M27" s="87" t="n">
        <v>4.76</v>
      </c>
      <c r="N27" s="51" t="n">
        <v>0</v>
      </c>
      <c r="O27" s="51" t="n">
        <v>0</v>
      </c>
      <c r="P27" s="6" t="n">
        <f aca="false">M27-(N27+O27)</f>
        <v>4.76</v>
      </c>
      <c r="Q27" s="51" t="n">
        <v>0</v>
      </c>
      <c r="R27" s="51" t="n">
        <v>0</v>
      </c>
      <c r="S27" s="51" t="n">
        <f aca="false">SUM(P27:R27)</f>
        <v>4.76</v>
      </c>
      <c r="T27" s="52"/>
      <c r="U27" s="51" t="n">
        <v>0</v>
      </c>
      <c r="V27" s="51" t="n">
        <v>78.66</v>
      </c>
      <c r="W27" s="6" t="n">
        <f aca="false">N27+O27+S27+U27+V27</f>
        <v>83.42</v>
      </c>
      <c r="X27" s="51" t="n">
        <f aca="false">IF(L27&lt;0,L27*-1,0)</f>
        <v>17.9533652634232</v>
      </c>
      <c r="Y27" s="51" t="n">
        <f aca="false">W27+X27</f>
        <v>101.373365263423</v>
      </c>
      <c r="Z27" s="56" t="n">
        <v>0.28</v>
      </c>
      <c r="AA27" s="82" t="n">
        <v>32</v>
      </c>
      <c r="AB27" s="57" t="n">
        <v>10</v>
      </c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6898.72</v>
      </c>
      <c r="C28" s="52" t="n">
        <v>278886</v>
      </c>
      <c r="D28" s="57" t="n">
        <f aca="false">C28-C27</f>
        <v>-73</v>
      </c>
      <c r="E28" s="52" t="n">
        <f aca="false">C28-152000</f>
        <v>126886</v>
      </c>
      <c r="F28" s="51" t="n">
        <f aca="false">D28/$D$2</f>
        <v>-36.8036299470633</v>
      </c>
      <c r="G28" s="51" t="n">
        <v>0</v>
      </c>
      <c r="H28" s="56" t="n">
        <v>0</v>
      </c>
      <c r="I28" s="51" t="n">
        <v>27.75</v>
      </c>
      <c r="J28" s="81" t="n">
        <f aca="false">IF(L28&gt;0,L28,0)</f>
        <v>18.6763700529367</v>
      </c>
      <c r="K28" s="51" t="n">
        <f aca="false">I28+J28</f>
        <v>46.4263700529367</v>
      </c>
      <c r="L28" s="51" t="n">
        <f aca="false">F28-(I28-W28)</f>
        <v>18.6763700529367</v>
      </c>
      <c r="M28" s="87" t="n">
        <v>4.76</v>
      </c>
      <c r="N28" s="51" t="n">
        <v>0</v>
      </c>
      <c r="O28" s="51" t="n">
        <v>0</v>
      </c>
      <c r="P28" s="6" t="n">
        <f aca="false">M28-(N28+O28)</f>
        <v>4.76</v>
      </c>
      <c r="Q28" s="51" t="n">
        <v>0</v>
      </c>
      <c r="R28" s="51" t="n">
        <v>0</v>
      </c>
      <c r="S28" s="51" t="n">
        <f aca="false">SUM(P28:R28)</f>
        <v>4.76</v>
      </c>
      <c r="T28" s="52"/>
      <c r="U28" s="51" t="n">
        <v>0</v>
      </c>
      <c r="V28" s="51" t="n">
        <v>78.47</v>
      </c>
      <c r="W28" s="6" t="n">
        <f aca="false">N28+O28+S28+U28+V28</f>
        <v>83.23</v>
      </c>
      <c r="X28" s="51" t="n">
        <f aca="false">IF(L28&lt;0,L28*-1,0)</f>
        <v>0</v>
      </c>
      <c r="Y28" s="51" t="n">
        <f aca="false">W28+X28</f>
        <v>83.23</v>
      </c>
      <c r="Z28" s="56" t="n">
        <v>0.17</v>
      </c>
      <c r="AA28" s="82" t="n">
        <v>31</v>
      </c>
      <c r="AB28" s="57" t="n">
        <v>19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6898.69</v>
      </c>
      <c r="C29" s="52" t="n">
        <v>278776</v>
      </c>
      <c r="D29" s="57" t="n">
        <f aca="false">C29-C28</f>
        <v>-110</v>
      </c>
      <c r="E29" s="52" t="n">
        <f aca="false">C29-152000</f>
        <v>126776</v>
      </c>
      <c r="F29" s="51" t="n">
        <f aca="false">D29/$D$2</f>
        <v>-55.4575245777666</v>
      </c>
      <c r="G29" s="51" t="n">
        <v>0</v>
      </c>
      <c r="H29" s="56" t="n">
        <v>0</v>
      </c>
      <c r="I29" s="51" t="n">
        <v>46.41</v>
      </c>
      <c r="J29" s="81" t="n">
        <f aca="false">IF(L29&gt;0,L29,0)</f>
        <v>0</v>
      </c>
      <c r="K29" s="51" t="n">
        <f aca="false">I29+J29</f>
        <v>46.41</v>
      </c>
      <c r="L29" s="51" t="n">
        <f aca="false">F29-(I29-W29)</f>
        <v>-18.6475245777666</v>
      </c>
      <c r="M29" s="87" t="n">
        <v>4.76</v>
      </c>
      <c r="N29" s="51" t="n">
        <v>0</v>
      </c>
      <c r="O29" s="51" t="n">
        <v>0</v>
      </c>
      <c r="P29" s="6" t="n">
        <f aca="false">M29-(N29+O29)</f>
        <v>4.76</v>
      </c>
      <c r="Q29" s="51" t="n">
        <v>0</v>
      </c>
      <c r="R29" s="51" t="n">
        <v>0</v>
      </c>
      <c r="S29" s="51" t="n">
        <f aca="false">SUM(P29:R29)</f>
        <v>4.76</v>
      </c>
      <c r="T29" s="52"/>
      <c r="U29" s="51" t="n">
        <v>0</v>
      </c>
      <c r="V29" s="51" t="n">
        <v>78.46</v>
      </c>
      <c r="W29" s="6" t="n">
        <f aca="false">N29+O29+S29+U29+V29</f>
        <v>83.22</v>
      </c>
      <c r="X29" s="51" t="n">
        <f aca="false">IF(L29&lt;0,L29*-1,0)</f>
        <v>18.6475245777666</v>
      </c>
      <c r="Y29" s="51" t="n">
        <f aca="false">W29+X29</f>
        <v>101.867524577767</v>
      </c>
      <c r="Z29" s="56" t="n">
        <v>0</v>
      </c>
      <c r="AA29" s="82" t="n">
        <v>28</v>
      </c>
      <c r="AB29" s="57" t="n">
        <v>21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6898.67</v>
      </c>
      <c r="C30" s="52" t="n">
        <v>278703</v>
      </c>
      <c r="D30" s="57" t="n">
        <f aca="false">C30-C29</f>
        <v>-73</v>
      </c>
      <c r="E30" s="52" t="n">
        <f aca="false">C30-152000</f>
        <v>126703</v>
      </c>
      <c r="F30" s="51" t="n">
        <f aca="false">D30/$D$2</f>
        <v>-36.8036299470633</v>
      </c>
      <c r="G30" s="51" t="n">
        <v>0</v>
      </c>
      <c r="H30" s="56" t="n">
        <v>0</v>
      </c>
      <c r="I30" s="51" t="n">
        <v>28.25</v>
      </c>
      <c r="J30" s="81" t="n">
        <f aca="false">IF(L30&gt;0,L30,0)</f>
        <v>18.1663700529367</v>
      </c>
      <c r="K30" s="51" t="n">
        <f aca="false">I30+J30</f>
        <v>46.4163700529367</v>
      </c>
      <c r="L30" s="51" t="n">
        <f aca="false">F30-(I30-W30)</f>
        <v>18.1663700529367</v>
      </c>
      <c r="M30" s="87" t="n">
        <v>4.76</v>
      </c>
      <c r="N30" s="51" t="n">
        <v>0</v>
      </c>
      <c r="O30" s="51" t="n">
        <v>0</v>
      </c>
      <c r="P30" s="6" t="n">
        <f aca="false">M30-(N30+O30)</f>
        <v>4.76</v>
      </c>
      <c r="Q30" s="51" t="n">
        <v>0</v>
      </c>
      <c r="R30" s="51" t="n">
        <v>0</v>
      </c>
      <c r="S30" s="51" t="n">
        <f aca="false">SUM(P30:R30)</f>
        <v>4.76</v>
      </c>
      <c r="T30" s="52"/>
      <c r="U30" s="51" t="n">
        <v>0</v>
      </c>
      <c r="V30" s="51" t="n">
        <v>78.46</v>
      </c>
      <c r="W30" s="6" t="n">
        <f aca="false">N30+O30+S30+U30+V30</f>
        <v>83.22</v>
      </c>
      <c r="X30" s="51" t="n">
        <f aca="false">IF(L30&lt;0,L30*-1,0)</f>
        <v>0</v>
      </c>
      <c r="Y30" s="51" t="n">
        <f aca="false">W30+X30</f>
        <v>83.22</v>
      </c>
      <c r="Z30" s="56" t="n">
        <v>0</v>
      </c>
      <c r="AA30" s="57" t="n">
        <v>34</v>
      </c>
      <c r="AB30" s="57" t="n">
        <v>11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6898.64</v>
      </c>
      <c r="C31" s="52" t="n">
        <v>278594</v>
      </c>
      <c r="D31" s="57" t="n">
        <f aca="false">C31-C30</f>
        <v>-109</v>
      </c>
      <c r="E31" s="52" t="n">
        <f aca="false">C31-152000</f>
        <v>126594</v>
      </c>
      <c r="F31" s="51" t="n">
        <f aca="false">D31/$D$2</f>
        <v>-54.9533652634232</v>
      </c>
      <c r="G31" s="51" t="n">
        <v>0</v>
      </c>
      <c r="H31" s="56" t="n">
        <v>0</v>
      </c>
      <c r="I31" s="51" t="n">
        <v>9.59</v>
      </c>
      <c r="J31" s="81" t="n">
        <f aca="false">IF(L31&gt;0,L31,0)</f>
        <v>18.6766347365768</v>
      </c>
      <c r="K31" s="51" t="n">
        <f aca="false">I31+J31</f>
        <v>28.2666347365768</v>
      </c>
      <c r="L31" s="51" t="n">
        <f aca="false">F31-(I31-W31)</f>
        <v>18.6766347365768</v>
      </c>
      <c r="M31" s="87" t="n">
        <v>4.76</v>
      </c>
      <c r="N31" s="51" t="n">
        <v>0</v>
      </c>
      <c r="O31" s="51" t="n">
        <v>0</v>
      </c>
      <c r="P31" s="6" t="n">
        <f aca="false">M31-(N31+O31)</f>
        <v>4.76</v>
      </c>
      <c r="Q31" s="51" t="n">
        <v>0</v>
      </c>
      <c r="R31" s="51" t="n">
        <v>0</v>
      </c>
      <c r="S31" s="51" t="n">
        <f aca="false">SUM(P31:R31)</f>
        <v>4.76</v>
      </c>
      <c r="T31" s="52"/>
      <c r="U31" s="51" t="n">
        <v>0</v>
      </c>
      <c r="V31" s="51" t="n">
        <v>78.46</v>
      </c>
      <c r="W31" s="6" t="n">
        <f aca="false">N31+O31+S31+U31+V31</f>
        <v>83.22</v>
      </c>
      <c r="X31" s="51" t="n">
        <f aca="false">IF(L31&lt;0,L31*-1,0)</f>
        <v>0</v>
      </c>
      <c r="Y31" s="51" t="n">
        <f aca="false">W31+X31</f>
        <v>83.22</v>
      </c>
      <c r="Z31" s="56" t="n">
        <v>0</v>
      </c>
      <c r="AA31" s="57" t="n">
        <v>34</v>
      </c>
      <c r="AB31" s="57" t="n">
        <v>16</v>
      </c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6898.6</v>
      </c>
      <c r="C32" s="52" t="n">
        <v>278448</v>
      </c>
      <c r="D32" s="57" t="n">
        <f aca="false">C32-C31</f>
        <v>-146</v>
      </c>
      <c r="E32" s="52" t="n">
        <f aca="false">C32-152000</f>
        <v>126448</v>
      </c>
      <c r="F32" s="51" t="n">
        <f aca="false">D32/$D$2</f>
        <v>-73.6072598941265</v>
      </c>
      <c r="G32" s="51" t="n">
        <v>0</v>
      </c>
      <c r="H32" s="56" t="n">
        <v>0</v>
      </c>
      <c r="I32" s="51" t="n">
        <v>9.61</v>
      </c>
      <c r="J32" s="81" t="n">
        <f aca="false">IF(L32&gt;0,L32,0)</f>
        <v>0.0227401058734529</v>
      </c>
      <c r="K32" s="51" t="n">
        <f aca="false">I32+J32</f>
        <v>9.63274010587345</v>
      </c>
      <c r="L32" s="51" t="n">
        <f aca="false">F32-(I32-W32)</f>
        <v>0.0227401058734529</v>
      </c>
      <c r="M32" s="87" t="n">
        <v>4.78</v>
      </c>
      <c r="N32" s="51" t="n">
        <v>0</v>
      </c>
      <c r="O32" s="51" t="n">
        <v>0</v>
      </c>
      <c r="P32" s="6" t="n">
        <f aca="false">M32-(N32+O32)</f>
        <v>4.78</v>
      </c>
      <c r="Q32" s="51" t="n">
        <v>0</v>
      </c>
      <c r="R32" s="51" t="n">
        <v>0</v>
      </c>
      <c r="S32" s="51" t="n">
        <f aca="false">SUM(P32:R32)</f>
        <v>4.78</v>
      </c>
      <c r="T32" s="52"/>
      <c r="U32" s="51" t="n">
        <v>0</v>
      </c>
      <c r="V32" s="51" t="n">
        <v>78.46</v>
      </c>
      <c r="W32" s="6" t="n">
        <f aca="false">N32+O32+S32+U32+V32</f>
        <v>83.24</v>
      </c>
      <c r="X32" s="51" t="n">
        <f aca="false">IF(L32&lt;0,L32*-1,0)</f>
        <v>0</v>
      </c>
      <c r="Y32" s="51" t="n">
        <f aca="false">W32+X32</f>
        <v>83.24</v>
      </c>
      <c r="Z32" s="56" t="n">
        <v>0</v>
      </c>
      <c r="AA32" s="57" t="n">
        <v>33</v>
      </c>
      <c r="AB32" s="82" t="n">
        <v>4</v>
      </c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6898.56</v>
      </c>
      <c r="C33" s="52" t="n">
        <v>278302</v>
      </c>
      <c r="D33" s="57" t="n">
        <f aca="false">C33-C32</f>
        <v>-146</v>
      </c>
      <c r="E33" s="52" t="n">
        <f aca="false">C33-152000</f>
        <v>126302</v>
      </c>
      <c r="F33" s="51" t="n">
        <f aca="false">D33/$D$2</f>
        <v>-73.6072598941265</v>
      </c>
      <c r="G33" s="51" t="n">
        <v>0</v>
      </c>
      <c r="H33" s="56" t="n">
        <v>0</v>
      </c>
      <c r="I33" s="51" t="n">
        <v>9.61</v>
      </c>
      <c r="J33" s="81" t="n">
        <f aca="false">IF(L33&gt;0,L33,0)</f>
        <v>0.0227401058734529</v>
      </c>
      <c r="K33" s="51" t="n">
        <f aca="false">I33+J33</f>
        <v>9.63274010587345</v>
      </c>
      <c r="L33" s="51" t="n">
        <f aca="false">F33-(I33-W33)</f>
        <v>0.0227401058734529</v>
      </c>
      <c r="M33" s="87" t="n">
        <v>4.78</v>
      </c>
      <c r="N33" s="51" t="n">
        <v>0</v>
      </c>
      <c r="O33" s="51" t="n">
        <v>0</v>
      </c>
      <c r="P33" s="6" t="n">
        <f aca="false">M33-(N33+O33)</f>
        <v>4.78</v>
      </c>
      <c r="Q33" s="51" t="n">
        <v>0</v>
      </c>
      <c r="R33" s="51" t="n">
        <v>0</v>
      </c>
      <c r="S33" s="51" t="n">
        <f aca="false">SUM(P33:R33)</f>
        <v>4.78</v>
      </c>
      <c r="T33" s="52"/>
      <c r="U33" s="51" t="n">
        <v>0</v>
      </c>
      <c r="V33" s="51" t="n">
        <v>78.46</v>
      </c>
      <c r="W33" s="6" t="n">
        <f aca="false">N33+O33+S33+U33+V33</f>
        <v>83.24</v>
      </c>
      <c r="X33" s="51" t="n">
        <f aca="false">IF(L33&lt;0,L33*-1,0)</f>
        <v>0</v>
      </c>
      <c r="Y33" s="51" t="n">
        <f aca="false">W33+X33</f>
        <v>83.24</v>
      </c>
      <c r="Z33" s="56" t="n">
        <v>0</v>
      </c>
      <c r="AA33" s="57" t="n">
        <v>30</v>
      </c>
      <c r="AB33" s="82" t="n">
        <v>5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6898.52</v>
      </c>
      <c r="C34" s="52" t="n">
        <v>278156</v>
      </c>
      <c r="D34" s="57" t="n">
        <f aca="false">C34-C33</f>
        <v>-146</v>
      </c>
      <c r="E34" s="52" t="n">
        <f aca="false">C34-152000</f>
        <v>126156</v>
      </c>
      <c r="F34" s="51" t="n">
        <f aca="false">D34/$D$2</f>
        <v>-73.6072598941265</v>
      </c>
      <c r="G34" s="51" t="n">
        <v>0</v>
      </c>
      <c r="H34" s="56" t="n">
        <v>0</v>
      </c>
      <c r="I34" s="51" t="n">
        <v>10.11</v>
      </c>
      <c r="J34" s="81" t="n">
        <f aca="false">IF(L34&gt;0,L34,0)</f>
        <v>0</v>
      </c>
      <c r="K34" s="51" t="n">
        <v>9.61</v>
      </c>
      <c r="L34" s="51" t="n">
        <f aca="false">F34-(I34-W34)</f>
        <v>-0.477259894126547</v>
      </c>
      <c r="M34" s="87" t="n">
        <v>4.78</v>
      </c>
      <c r="N34" s="51" t="n">
        <v>0</v>
      </c>
      <c r="O34" s="51" t="n">
        <v>0</v>
      </c>
      <c r="P34" s="6" t="n">
        <f aca="false">M34-(N34+O34)</f>
        <v>4.78</v>
      </c>
      <c r="Q34" s="51" t="n">
        <v>0</v>
      </c>
      <c r="R34" s="51" t="n">
        <v>0</v>
      </c>
      <c r="S34" s="51" t="n">
        <f aca="false">SUM(P34:R34)</f>
        <v>4.78</v>
      </c>
      <c r="T34" s="52"/>
      <c r="U34" s="51" t="n">
        <v>0</v>
      </c>
      <c r="V34" s="51" t="n">
        <v>78.46</v>
      </c>
      <c r="W34" s="6" t="n">
        <f aca="false">N34+O34+S34+U34+V34</f>
        <v>83.24</v>
      </c>
      <c r="X34" s="51" t="n">
        <f aca="false">IF(L34&lt;0,L34*-1,0)</f>
        <v>0.477259894126547</v>
      </c>
      <c r="Y34" s="51" t="n">
        <f aca="false">W34+X34</f>
        <v>83.7172598941265</v>
      </c>
      <c r="Z34" s="56" t="n">
        <v>0</v>
      </c>
      <c r="AA34" s="57" t="n">
        <v>28</v>
      </c>
      <c r="AB34" s="82" t="n">
        <v>3</v>
      </c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6898.48</v>
      </c>
      <c r="C35" s="52" t="n">
        <v>278011</v>
      </c>
      <c r="D35" s="57" t="n">
        <f aca="false">C35-C34</f>
        <v>-145</v>
      </c>
      <c r="E35" s="52" t="n">
        <f aca="false">C35-152000</f>
        <v>126011</v>
      </c>
      <c r="F35" s="51" t="n">
        <f aca="false">D35/$D$2</f>
        <v>-73.1031005797832</v>
      </c>
      <c r="G35" s="51" t="n">
        <v>0</v>
      </c>
      <c r="H35" s="56" t="n">
        <v>0</v>
      </c>
      <c r="I35" s="51" t="n">
        <v>27.79</v>
      </c>
      <c r="J35" s="81" t="n">
        <f aca="false">IF(L35&gt;0,L35,0)</f>
        <v>0</v>
      </c>
      <c r="K35" s="51" t="n">
        <v>10.11</v>
      </c>
      <c r="L35" s="51" t="n">
        <f aca="false">F35-(I35-W35)</f>
        <v>-17.6631005797832</v>
      </c>
      <c r="M35" s="87" t="n">
        <v>4.77</v>
      </c>
      <c r="N35" s="51" t="n">
        <v>0</v>
      </c>
      <c r="O35" s="51" t="n">
        <v>0</v>
      </c>
      <c r="P35" s="6" t="n">
        <f aca="false">M35-(N35+O35)</f>
        <v>4.77</v>
      </c>
      <c r="Q35" s="51" t="n">
        <v>0</v>
      </c>
      <c r="R35" s="51" t="n">
        <v>0</v>
      </c>
      <c r="S35" s="51" t="n">
        <f aca="false">SUM(P35:R35)</f>
        <v>4.77</v>
      </c>
      <c r="T35" s="52"/>
      <c r="U35" s="51" t="n">
        <v>0</v>
      </c>
      <c r="V35" s="51" t="n">
        <v>78.46</v>
      </c>
      <c r="W35" s="6" t="n">
        <f aca="false">N35+O35+S35+U35+V35</f>
        <v>83.23</v>
      </c>
      <c r="X35" s="51" t="n">
        <f aca="false">IF(L35&lt;0,L35*-1,0)</f>
        <v>17.6631005797832</v>
      </c>
      <c r="Y35" s="51" t="n">
        <f aca="false">W35+X35</f>
        <v>100.893100579783</v>
      </c>
      <c r="Z35" s="56" t="n">
        <v>0</v>
      </c>
      <c r="AA35" s="57" t="n">
        <v>29</v>
      </c>
      <c r="AB35" s="57" t="n">
        <v>4</v>
      </c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6898.45</v>
      </c>
      <c r="C36" s="52" t="n">
        <v>277901</v>
      </c>
      <c r="D36" s="57" t="n">
        <f aca="false">C36-C35</f>
        <v>-110</v>
      </c>
      <c r="E36" s="52" t="n">
        <f aca="false">C36-152000</f>
        <v>125901</v>
      </c>
      <c r="F36" s="51" t="n">
        <f aca="false">D36/$D$2</f>
        <v>-55.4575245777666</v>
      </c>
      <c r="G36" s="51" t="n">
        <v>0</v>
      </c>
      <c r="H36" s="56" t="n">
        <v>0</v>
      </c>
      <c r="I36" s="51" t="n">
        <v>9.68</v>
      </c>
      <c r="J36" s="81" t="n">
        <f aca="false">IF(L36&gt;0,L36,0)</f>
        <v>18.1224754222334</v>
      </c>
      <c r="K36" s="51" t="n">
        <v>27.79</v>
      </c>
      <c r="L36" s="51" t="n">
        <f aca="false">F36-(I36-W36)</f>
        <v>18.1224754222334</v>
      </c>
      <c r="M36" s="87" t="n">
        <v>4.8</v>
      </c>
      <c r="N36" s="51" t="n">
        <v>0</v>
      </c>
      <c r="O36" s="51" t="n">
        <v>0</v>
      </c>
      <c r="P36" s="6" t="n">
        <f aca="false">M36-(N36+O36)</f>
        <v>4.8</v>
      </c>
      <c r="Q36" s="51" t="n">
        <v>0</v>
      </c>
      <c r="R36" s="51" t="n">
        <v>0</v>
      </c>
      <c r="S36" s="51" t="n">
        <f aca="false">SUM(P36:R36)</f>
        <v>4.8</v>
      </c>
      <c r="T36" s="52"/>
      <c r="U36" s="51" t="n">
        <v>0</v>
      </c>
      <c r="V36" s="51" t="n">
        <v>78.46</v>
      </c>
      <c r="W36" s="6" t="n">
        <f aca="false">N36+O36+S36+U36+V36</f>
        <v>83.26</v>
      </c>
      <c r="X36" s="51" t="n">
        <f aca="false">IF(L36&lt;0,L36*-1,0)</f>
        <v>0</v>
      </c>
      <c r="Y36" s="51" t="n">
        <f aca="false">W36+X36</f>
        <v>83.26</v>
      </c>
      <c r="Z36" s="56" t="n">
        <v>0</v>
      </c>
      <c r="AA36" s="57" t="n">
        <v>31</v>
      </c>
      <c r="AB36" s="57" t="n">
        <v>-1</v>
      </c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f aca="false">A36+1</f>
        <v>28</v>
      </c>
      <c r="B37" s="73" t="n">
        <v>6898.41</v>
      </c>
      <c r="C37" s="52" t="n">
        <v>277755</v>
      </c>
      <c r="D37" s="57" t="n">
        <f aca="false">C37-C36</f>
        <v>-146</v>
      </c>
      <c r="E37" s="52" t="n">
        <f aca="false">C37-152000</f>
        <v>125755</v>
      </c>
      <c r="F37" s="51" t="n">
        <f aca="false">D37/$D$2</f>
        <v>-73.6072598941265</v>
      </c>
      <c r="G37" s="51" t="n">
        <v>0</v>
      </c>
      <c r="H37" s="56" t="n">
        <v>0</v>
      </c>
      <c r="I37" s="51" t="n">
        <v>28.25</v>
      </c>
      <c r="J37" s="81" t="n">
        <f aca="false">IF(L37&gt;0,L37,0)</f>
        <v>0</v>
      </c>
      <c r="K37" s="51" t="n">
        <v>9.68</v>
      </c>
      <c r="L37" s="51" t="n">
        <f aca="false">F37-(I37-W37)</f>
        <v>-18.5472598941266</v>
      </c>
      <c r="M37" s="87" t="n">
        <v>4.85</v>
      </c>
      <c r="N37" s="51" t="n">
        <v>0</v>
      </c>
      <c r="O37" s="51" t="n">
        <v>0</v>
      </c>
      <c r="P37" s="6" t="n">
        <f aca="false">M37-(N37+O37)</f>
        <v>4.85</v>
      </c>
      <c r="Q37" s="51" t="n">
        <v>0</v>
      </c>
      <c r="R37" s="51" t="n">
        <v>0</v>
      </c>
      <c r="S37" s="51" t="n">
        <f aca="false">SUM(P37:R37)</f>
        <v>4.85</v>
      </c>
      <c r="T37" s="52"/>
      <c r="U37" s="51" t="n">
        <v>0</v>
      </c>
      <c r="V37" s="51" t="n">
        <v>78.46</v>
      </c>
      <c r="W37" s="6" t="n">
        <f aca="false">N37+O37+S37+U37+V37</f>
        <v>83.31</v>
      </c>
      <c r="X37" s="51" t="n">
        <f aca="false">IF(L37&lt;0,L37*-1,0)</f>
        <v>18.5472598941266</v>
      </c>
      <c r="Y37" s="51" t="n">
        <f aca="false">W37+X37</f>
        <v>101.857259894127</v>
      </c>
      <c r="Z37" s="56" t="n">
        <v>0</v>
      </c>
      <c r="AA37" s="57" t="n">
        <v>33</v>
      </c>
      <c r="AB37" s="57" t="n">
        <v>5</v>
      </c>
      <c r="AC37" s="58" t="n">
        <f aca="false">AC36+1</f>
        <v>28</v>
      </c>
      <c r="AD37" s="92"/>
      <c r="AE37" s="94"/>
      <c r="AF37" s="93"/>
    </row>
    <row r="38" customFormat="false" ht="11.1" hidden="false" customHeight="true" outlineLevel="0" collapsed="false">
      <c r="A38" s="58" t="n">
        <f aca="false">A37+1</f>
        <v>29</v>
      </c>
      <c r="B38" s="73" t="n">
        <v>6898.38</v>
      </c>
      <c r="C38" s="52" t="n">
        <v>277646</v>
      </c>
      <c r="D38" s="57" t="n">
        <f aca="false">C38-C37</f>
        <v>-109</v>
      </c>
      <c r="E38" s="52" t="n">
        <f aca="false">C38-152000</f>
        <v>125646</v>
      </c>
      <c r="F38" s="51" t="n">
        <f aca="false">D38/$D$2</f>
        <v>-54.9533652634232</v>
      </c>
      <c r="G38" s="51" t="n">
        <v>0</v>
      </c>
      <c r="H38" s="56" t="n">
        <v>0</v>
      </c>
      <c r="I38" s="51" t="n">
        <v>9.63</v>
      </c>
      <c r="J38" s="81" t="n">
        <f aca="false">IF(L38&gt;0,L38,0)</f>
        <v>18.6366347365768</v>
      </c>
      <c r="K38" s="51" t="n">
        <v>28.25</v>
      </c>
      <c r="L38" s="51" t="n">
        <f aca="false">F38-(I38-W38)</f>
        <v>18.6366347365768</v>
      </c>
      <c r="M38" s="87" t="n">
        <v>4.76</v>
      </c>
      <c r="N38" s="51" t="n">
        <v>0</v>
      </c>
      <c r="O38" s="51" t="n">
        <v>0</v>
      </c>
      <c r="P38" s="6" t="n">
        <f aca="false">M38-(N38+O38)</f>
        <v>4.76</v>
      </c>
      <c r="Q38" s="51" t="n">
        <v>0</v>
      </c>
      <c r="R38" s="51" t="n">
        <v>0</v>
      </c>
      <c r="S38" s="51" t="n">
        <f aca="false">SUM(P38:R38)</f>
        <v>4.76</v>
      </c>
      <c r="T38" s="52"/>
      <c r="U38" s="51" t="n">
        <v>0</v>
      </c>
      <c r="V38" s="51" t="n">
        <v>78.46</v>
      </c>
      <c r="W38" s="6" t="n">
        <f aca="false">N38+O38+S38+U38+V38</f>
        <v>83.22</v>
      </c>
      <c r="X38" s="51" t="n">
        <f aca="false">IF(L38&lt;0,L38*-1,0)</f>
        <v>0</v>
      </c>
      <c r="Y38" s="51" t="n">
        <f aca="false">W38+X38</f>
        <v>83.22</v>
      </c>
      <c r="Z38" s="56" t="n">
        <v>0</v>
      </c>
      <c r="AA38" s="82" t="n">
        <v>33</v>
      </c>
      <c r="AB38" s="57" t="n">
        <v>4</v>
      </c>
      <c r="AC38" s="58" t="n">
        <f aca="false">AC37+1</f>
        <v>29</v>
      </c>
      <c r="AD38" s="92"/>
      <c r="AE38" s="94"/>
      <c r="AF38" s="93"/>
    </row>
    <row r="39" customFormat="false" ht="11.1" hidden="false" customHeight="true" outlineLevel="0" collapsed="false">
      <c r="A39" s="58" t="n">
        <v>30</v>
      </c>
      <c r="B39" s="73" t="n">
        <v>3898.34</v>
      </c>
      <c r="C39" s="52" t="n">
        <v>277500</v>
      </c>
      <c r="D39" s="57" t="n">
        <f aca="false">C39-C38</f>
        <v>-146</v>
      </c>
      <c r="E39" s="52" t="n">
        <f aca="false">C39-152000</f>
        <v>125500</v>
      </c>
      <c r="F39" s="51" t="n">
        <f aca="false">D39/$D$2</f>
        <v>-73.6072598941265</v>
      </c>
      <c r="G39" s="51" t="n">
        <v>0</v>
      </c>
      <c r="H39" s="56" t="n">
        <v>0</v>
      </c>
      <c r="I39" s="51" t="n">
        <v>46.43</v>
      </c>
      <c r="J39" s="81" t="n">
        <f aca="false">IF(L39&gt;0,L39,0)</f>
        <v>0</v>
      </c>
      <c r="K39" s="51" t="n">
        <v>9.63</v>
      </c>
      <c r="L39" s="51" t="n">
        <f aca="false">F39-(I39-W39)</f>
        <v>-36.7772598941265</v>
      </c>
      <c r="M39" s="87" t="n">
        <v>4.8</v>
      </c>
      <c r="N39" s="51" t="n">
        <v>0</v>
      </c>
      <c r="O39" s="51" t="n">
        <v>0</v>
      </c>
      <c r="P39" s="6" t="n">
        <f aca="false">M39-(N39+O39)</f>
        <v>4.8</v>
      </c>
      <c r="Q39" s="51" t="n">
        <v>0</v>
      </c>
      <c r="R39" s="51" t="n">
        <v>0</v>
      </c>
      <c r="S39" s="51" t="n">
        <f aca="false">SUM(P39:R39)</f>
        <v>4.8</v>
      </c>
      <c r="T39" s="52"/>
      <c r="U39" s="51" t="n">
        <v>0</v>
      </c>
      <c r="V39" s="51" t="n">
        <v>78.46</v>
      </c>
      <c r="W39" s="6" t="n">
        <f aca="false">N39+O39+S39+U39+V39</f>
        <v>83.26</v>
      </c>
      <c r="X39" s="51" t="n">
        <f aca="false">IF(L39&lt;0,L39*-1,0)</f>
        <v>36.7772598941265</v>
      </c>
      <c r="Y39" s="51" t="n">
        <f aca="false">W39+X39</f>
        <v>120.037259894127</v>
      </c>
      <c r="Z39" s="56" t="n">
        <v>0</v>
      </c>
      <c r="AA39" s="82" t="n">
        <v>40</v>
      </c>
      <c r="AB39" s="57" t="n">
        <v>7</v>
      </c>
      <c r="AC39" s="58" t="n">
        <v>30</v>
      </c>
      <c r="AD39" s="92"/>
      <c r="AE39" s="94"/>
      <c r="AF39" s="93"/>
    </row>
    <row r="40" customFormat="false" ht="11.1" hidden="false" customHeight="true" outlineLevel="0" collapsed="false">
      <c r="A40" s="58" t="n">
        <v>31</v>
      </c>
      <c r="B40" s="73" t="n">
        <v>6898.32</v>
      </c>
      <c r="C40" s="52" t="n">
        <v>277427</v>
      </c>
      <c r="D40" s="57" t="n">
        <f aca="false">C40-C39</f>
        <v>-73</v>
      </c>
      <c r="E40" s="52" t="n">
        <f aca="false">C40-152000</f>
        <v>125427</v>
      </c>
      <c r="F40" s="51" t="n">
        <f aca="false">D40/$D$2</f>
        <v>-36.8036299470633</v>
      </c>
      <c r="G40" s="51" t="n">
        <v>0</v>
      </c>
      <c r="H40" s="56" t="n">
        <v>0</v>
      </c>
      <c r="I40" s="51" t="n">
        <f aca="false">G40+H40</f>
        <v>0</v>
      </c>
      <c r="J40" s="81" t="n">
        <f aca="false">IF(L40&gt;0,L40,0)</f>
        <v>46.4363700529367</v>
      </c>
      <c r="K40" s="51" t="n">
        <v>46.43</v>
      </c>
      <c r="L40" s="51" t="n">
        <f aca="false">F40-(I40-W40)</f>
        <v>46.4363700529367</v>
      </c>
      <c r="M40" s="87" t="n">
        <v>4.78</v>
      </c>
      <c r="N40" s="51" t="n">
        <v>0</v>
      </c>
      <c r="O40" s="51" t="n">
        <v>0</v>
      </c>
      <c r="P40" s="6" t="n">
        <f aca="false">M40-(N40+O40)</f>
        <v>4.78</v>
      </c>
      <c r="Q40" s="51" t="n">
        <v>0</v>
      </c>
      <c r="R40" s="51" t="n">
        <v>0</v>
      </c>
      <c r="S40" s="51" t="n">
        <f aca="false">SUM(P40:R40)</f>
        <v>4.78</v>
      </c>
      <c r="T40" s="52"/>
      <c r="U40" s="51" t="n">
        <v>0</v>
      </c>
      <c r="V40" s="51" t="n">
        <v>78.46</v>
      </c>
      <c r="W40" s="6" t="n">
        <f aca="false">N40+O40+S40+U40+V40</f>
        <v>83.24</v>
      </c>
      <c r="X40" s="51" t="n">
        <f aca="false">IF(L40&lt;0,L40*-1,0)</f>
        <v>0</v>
      </c>
      <c r="Y40" s="51" t="n">
        <f aca="false">W40+X40</f>
        <v>83.24</v>
      </c>
      <c r="Z40" s="56" t="n">
        <v>0.1</v>
      </c>
      <c r="AA40" s="82" t="n">
        <v>33</v>
      </c>
      <c r="AB40" s="57" t="n">
        <v>10</v>
      </c>
      <c r="AC40" s="58" t="n">
        <v>31</v>
      </c>
      <c r="AD40" s="92"/>
      <c r="AE40" s="92"/>
      <c r="AF40" s="93"/>
    </row>
    <row r="41" customFormat="false" ht="3" hidden="false" customHeight="true" outlineLevel="0" collapsed="false">
      <c r="A41" s="74"/>
      <c r="B41" s="83"/>
      <c r="C41" s="76"/>
      <c r="D41" s="74"/>
      <c r="E41" s="76"/>
      <c r="F41" s="74"/>
      <c r="G41" s="83"/>
      <c r="H41" s="78"/>
      <c r="I41" s="74"/>
      <c r="J41" s="74"/>
      <c r="K41" s="74"/>
      <c r="L41" s="74"/>
      <c r="M41" s="97"/>
      <c r="N41" s="83"/>
      <c r="O41" s="74"/>
      <c r="P41" s="74"/>
      <c r="Q41" s="74"/>
      <c r="R41" s="74"/>
      <c r="S41" s="74"/>
      <c r="T41" s="76"/>
      <c r="U41" s="74"/>
      <c r="V41" s="83"/>
      <c r="W41" s="74"/>
      <c r="X41" s="74"/>
      <c r="Y41" s="74"/>
      <c r="Z41" s="78"/>
      <c r="AA41" s="79" t="n">
        <v>39</v>
      </c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-1990.92513234182</v>
      </c>
      <c r="G42" s="52" t="n">
        <f aca="false">SUM(G10:G40)</f>
        <v>155.486</v>
      </c>
      <c r="H42" s="56" t="n">
        <f aca="false">SUM(H10:H40)</f>
        <v>0</v>
      </c>
      <c r="I42" s="52" t="n">
        <f aca="false">SUM(I10:I40)</f>
        <v>561.976</v>
      </c>
      <c r="J42" s="52" t="n">
        <f aca="false">SUM(J10:J40)</f>
        <v>159.075361230149</v>
      </c>
      <c r="K42" s="52" t="n">
        <f aca="false">SUM(K10:K40)</f>
        <v>647.465881018402</v>
      </c>
      <c r="L42" s="52" t="n">
        <f aca="false">SUM(L10:L40)</f>
        <v>28.6788676581799</v>
      </c>
      <c r="M42" s="87" t="n">
        <f aca="false">SUM(M10:M40)</f>
        <v>153.9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153.9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153.9</v>
      </c>
      <c r="T42" s="52"/>
      <c r="U42" s="52" t="n">
        <f aca="false">SUM(U10:U40)</f>
        <v>0</v>
      </c>
      <c r="V42" s="52" t="n">
        <f aca="false">SUM(V10:V40)</f>
        <v>2427.68</v>
      </c>
      <c r="W42" s="52" t="n">
        <f aca="false">SUM(W10:W40)</f>
        <v>2581.58</v>
      </c>
      <c r="X42" s="52" t="n">
        <f aca="false">SUM(X10:X40)</f>
        <v>130.396493571969</v>
      </c>
      <c r="Y42" s="52" t="n">
        <f aca="false">SUM(Y10:Y40)</f>
        <v>2711.97649357197</v>
      </c>
      <c r="Z42" s="56" t="n">
        <f aca="false">SUM(Z10:Z40)</f>
        <v>0.86</v>
      </c>
      <c r="AA42" s="57" t="n">
        <f aca="false">AVERAGE(AA10:AA40)</f>
        <v>36.1612903225806</v>
      </c>
      <c r="AB42" s="57" t="n">
        <f aca="false">AVERAGE(AB10:AB40)</f>
        <v>10.2258064516129</v>
      </c>
      <c r="AC42" s="58" t="s">
        <v>57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-3949</v>
      </c>
      <c r="E43" s="52"/>
      <c r="F43" s="52" t="n">
        <f aca="false">F42*$D$2</f>
        <v>-3949</v>
      </c>
      <c r="G43" s="52" t="n">
        <f aca="false">G42*$D$2</f>
        <v>308.406481</v>
      </c>
      <c r="H43" s="56" t="n">
        <f aca="false">H42*$D$2</f>
        <v>0</v>
      </c>
      <c r="I43" s="52" t="n">
        <f aca="false">I42*$D$2</f>
        <v>1114.679396</v>
      </c>
      <c r="J43" s="52" t="n">
        <f aca="false">J42*$D$2</f>
        <v>315.525979</v>
      </c>
      <c r="K43" s="52" t="n">
        <f aca="false">K42*$D$2</f>
        <v>1284.248575</v>
      </c>
      <c r="L43" s="52" t="n">
        <f aca="false">L42*$D$2</f>
        <v>56.8845339999998</v>
      </c>
      <c r="M43" s="87" t="n">
        <f aca="false">M42*$D$2</f>
        <v>305.26065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305.26065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305.26065</v>
      </c>
      <c r="T43" s="52"/>
      <c r="U43" s="52" t="n">
        <f aca="false">U42*$D$2</f>
        <v>0</v>
      </c>
      <c r="V43" s="52" t="n">
        <f aca="false">V42*$D$2</f>
        <v>4815.30328</v>
      </c>
      <c r="W43" s="52" t="n">
        <f aca="false">W42*$D$2</f>
        <v>5120.56393</v>
      </c>
      <c r="X43" s="52" t="n">
        <f aca="false">X42*$D$2</f>
        <v>258.641445</v>
      </c>
      <c r="Y43" s="52" t="n">
        <f aca="false">Y42*$D$2</f>
        <v>5379.205375</v>
      </c>
      <c r="Z43" s="56"/>
      <c r="AA43" s="57" t="n">
        <f aca="false">MAX(AA10:AA40)</f>
        <v>54</v>
      </c>
      <c r="AB43" s="57" t="n">
        <f aca="false">MAX(AB10:AB40)</f>
        <v>21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95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56"/>
      <c r="I45" s="52"/>
      <c r="J45" s="52"/>
      <c r="K45" s="52"/>
      <c r="L45" s="52"/>
      <c r="M45" s="87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23</v>
      </c>
      <c r="AB45" s="57" t="n">
        <f aca="false">MIN(AB10:AB40)</f>
        <v>-4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56"/>
      <c r="I46" s="52"/>
      <c r="J46" s="52"/>
      <c r="K46" s="52"/>
      <c r="L46" s="52"/>
      <c r="M46" s="87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8"/>
      <c r="I47" s="76"/>
      <c r="J47" s="76"/>
      <c r="K47" s="76"/>
      <c r="L47" s="76"/>
      <c r="M47" s="95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-9608.26821275523</v>
      </c>
      <c r="G48" s="52" t="n">
        <f aca="false">G8+G42</f>
        <v>1845.406</v>
      </c>
      <c r="H48" s="56" t="n">
        <f aca="false">H8+H42</f>
        <v>0</v>
      </c>
      <c r="I48" s="52" t="n">
        <f aca="false">I8+I42</f>
        <v>2251.896</v>
      </c>
      <c r="J48" s="52" t="n">
        <f aca="false">J8+J42</f>
        <v>344.178673556844</v>
      </c>
      <c r="K48" s="52" t="n">
        <f aca="false">K8+K42</f>
        <v>2522.4891933451</v>
      </c>
      <c r="L48" s="52" t="n">
        <f aca="false">L8+L42</f>
        <v>-1122.01421275523</v>
      </c>
      <c r="M48" s="87" t="n">
        <f aca="false">M8+M42</f>
        <v>926.86</v>
      </c>
      <c r="N48" s="52" t="n">
        <f aca="false">N8+N42</f>
        <v>0</v>
      </c>
      <c r="O48" s="52" t="n">
        <f aca="false">O8+O42</f>
        <v>0</v>
      </c>
      <c r="P48" s="52" t="n">
        <f aca="false">P8+P42</f>
        <v>926.86</v>
      </c>
      <c r="Q48" s="52" t="n">
        <f aca="false">Q8+Q42</f>
        <v>2664.46</v>
      </c>
      <c r="R48" s="52" t="n">
        <f aca="false">R8+R42</f>
        <v>0</v>
      </c>
      <c r="S48" s="52" t="n">
        <f aca="false">S8+S42</f>
        <v>3591.32</v>
      </c>
      <c r="T48" s="52"/>
      <c r="U48" s="52" t="n">
        <f aca="false">U8+U42</f>
        <v>0</v>
      </c>
      <c r="V48" s="52" t="n">
        <f aca="false">V8+V42</f>
        <v>7146.83</v>
      </c>
      <c r="W48" s="52" t="n">
        <f aca="false">W8+W42</f>
        <v>10738.15</v>
      </c>
      <c r="X48" s="52" t="n">
        <f aca="false">X8+X42</f>
        <v>1466.19288631207</v>
      </c>
      <c r="Y48" s="52" t="n">
        <f aca="false">Y8+Y42</f>
        <v>12204.3428863121</v>
      </c>
      <c r="Z48" s="56" t="n">
        <f aca="false">Z8+Z42</f>
        <v>2.98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-19058</v>
      </c>
      <c r="E49" s="52" t="n">
        <f aca="false">E40</f>
        <v>125427</v>
      </c>
      <c r="F49" s="52" t="n">
        <f aca="false">F48*$D$2</f>
        <v>-19058</v>
      </c>
      <c r="G49" s="52" t="n">
        <f aca="false">G48*$D$2</f>
        <v>3660.362801</v>
      </c>
      <c r="H49" s="56" t="n">
        <f aca="false">H48*$D$2</f>
        <v>0</v>
      </c>
      <c r="I49" s="52" t="n">
        <f aca="false">I48*$D$2</f>
        <v>4466.635716</v>
      </c>
      <c r="J49" s="52" t="n">
        <f aca="false">J48*$D$2</f>
        <v>682.678399</v>
      </c>
      <c r="K49" s="52" t="n">
        <f aca="false">K48*$D$2</f>
        <v>5003.357315</v>
      </c>
      <c r="L49" s="52" t="n">
        <f aca="false">L48*$D$2</f>
        <v>-2225.515191</v>
      </c>
      <c r="M49" s="87" t="n">
        <f aca="false">M48*$D$2</f>
        <v>1838.42681</v>
      </c>
      <c r="N49" s="52" t="n">
        <f aca="false">N48*$D$2</f>
        <v>0</v>
      </c>
      <c r="O49" s="52" t="n">
        <f aca="false">O48*$D$2</f>
        <v>0</v>
      </c>
      <c r="P49" s="52" t="n">
        <f aca="false">P48*$D$2</f>
        <v>1838.42681</v>
      </c>
      <c r="Q49" s="52" t="n">
        <f aca="false">Q48*$D$2</f>
        <v>5284.95641</v>
      </c>
      <c r="R49" s="52" t="n">
        <f aca="false">R48*$D$2</f>
        <v>0</v>
      </c>
      <c r="S49" s="52" t="n">
        <f aca="false">S48*$D$2</f>
        <v>7123.38322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14175.737305</v>
      </c>
      <c r="W49" s="52" t="n">
        <f aca="false">W48*$D$2</f>
        <v>21299.120525</v>
      </c>
      <c r="X49" s="52" t="n">
        <f aca="false">X48*$D$2</f>
        <v>2908.19359</v>
      </c>
      <c r="Y49" s="52" t="n">
        <f aca="false">Y48*$D$2</f>
        <v>24207.314115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8"/>
      <c r="I50" s="74"/>
      <c r="J50" s="74"/>
      <c r="K50" s="74"/>
      <c r="L50" s="74"/>
      <c r="M50" s="95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56"/>
      <c r="I51" s="51"/>
      <c r="J51" s="51"/>
      <c r="K51" s="51"/>
      <c r="L51" s="51"/>
      <c r="M51" s="87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56"/>
      <c r="I52" s="53"/>
      <c r="J52" s="51"/>
      <c r="K52" s="42"/>
      <c r="L52" s="51"/>
      <c r="M52" s="87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56"/>
      <c r="I53" s="82"/>
      <c r="J53" s="82"/>
      <c r="K53" s="82"/>
      <c r="L53" s="82"/>
      <c r="M53" s="87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  <c r="AD53" s="98"/>
      <c r="AE53" s="98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56"/>
      <c r="I54" s="82"/>
      <c r="J54" s="82"/>
      <c r="K54" s="82"/>
      <c r="L54" s="82"/>
      <c r="M54" s="87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  <c r="AC54" s="98"/>
      <c r="AD54" s="98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6"/>
      <c r="I55" s="82"/>
      <c r="J55" s="82"/>
      <c r="K55" s="82"/>
      <c r="L55" s="82"/>
      <c r="M55" s="87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8"/>
      <c r="AD55" s="98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F18" activePane="bottomRight" state="frozen"/>
      <selection pane="topLeft" activeCell="A1" activeCellId="0" sqref="A1"/>
      <selection pane="topRight" activeCell="F1" activeCellId="0" sqref="F1"/>
      <selection pane="bottomLeft" activeCell="A18" activeCellId="0" sqref="A18"/>
      <selection pane="bottomRight" activeCell="Z38" activeCellId="0" sqref="Z38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58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59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59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6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JAN!B40</f>
        <v>6898.32</v>
      </c>
      <c r="C8" s="52" t="n">
        <f aca="false">JAN!C40</f>
        <v>277427</v>
      </c>
      <c r="D8" s="52" t="n">
        <f aca="false">JAN!$D$49</f>
        <v>-19058</v>
      </c>
      <c r="E8" s="52" t="n">
        <f aca="false">JAN!$E$40</f>
        <v>125427</v>
      </c>
      <c r="F8" s="52" t="n">
        <f aca="false">JAN!F48</f>
        <v>-9608.26821275523</v>
      </c>
      <c r="G8" s="52" t="n">
        <f aca="false">JAN!G48</f>
        <v>1845.406</v>
      </c>
      <c r="H8" s="56" t="n">
        <f aca="false">JAN!H48</f>
        <v>0</v>
      </c>
      <c r="I8" s="52" t="n">
        <f aca="false">JAN!I48</f>
        <v>2251.896</v>
      </c>
      <c r="J8" s="52" t="n">
        <f aca="false">JAN!J48</f>
        <v>344.178673556844</v>
      </c>
      <c r="K8" s="52" t="n">
        <f aca="false">JAN!K48</f>
        <v>2522.4891933451</v>
      </c>
      <c r="L8" s="52" t="n">
        <f aca="false">JAN!L48</f>
        <v>-1122.01421275523</v>
      </c>
      <c r="M8" s="52" t="n">
        <f aca="false">JAN!M48</f>
        <v>926.86</v>
      </c>
      <c r="N8" s="52" t="n">
        <f aca="false">JAN!N48</f>
        <v>0</v>
      </c>
      <c r="O8" s="52" t="n">
        <f aca="false">JAN!O48</f>
        <v>0</v>
      </c>
      <c r="P8" s="52" t="n">
        <f aca="false">JAN!P48</f>
        <v>926.86</v>
      </c>
      <c r="Q8" s="52" t="n">
        <f aca="false">JAN!Q48</f>
        <v>2664.46</v>
      </c>
      <c r="R8" s="52" t="n">
        <f aca="false">JAN!R48</f>
        <v>0</v>
      </c>
      <c r="S8" s="52" t="n">
        <f aca="false">JAN!S48</f>
        <v>3591.32</v>
      </c>
      <c r="T8" s="52" t="n">
        <f aca="false">JAN!T48</f>
        <v>0</v>
      </c>
      <c r="U8" s="52" t="n">
        <f aca="false">JAN!U48</f>
        <v>0</v>
      </c>
      <c r="V8" s="52" t="n">
        <f aca="false">JAN!V48</f>
        <v>7146.83</v>
      </c>
      <c r="W8" s="52" t="n">
        <f aca="false">JAN!W48</f>
        <v>10738.15</v>
      </c>
      <c r="X8" s="52" t="n">
        <f aca="false">JAN!X48</f>
        <v>1466.19288631207</v>
      </c>
      <c r="Y8" s="52" t="n">
        <f aca="false">JAN!Y48</f>
        <v>12204.3428863121</v>
      </c>
      <c r="Z8" s="56" t="n">
        <f aca="false">JAN!Z48</f>
        <v>2.98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6898.31</v>
      </c>
      <c r="C10" s="52" t="n">
        <v>277391</v>
      </c>
      <c r="D10" s="57" t="n">
        <f aca="false">C10-C8</f>
        <v>-36</v>
      </c>
      <c r="E10" s="52" t="n">
        <f aca="false">C10-152000</f>
        <v>125391</v>
      </c>
      <c r="F10" s="51" t="n">
        <f aca="false">D10/$D$2</f>
        <v>-18.14973531636</v>
      </c>
      <c r="G10" s="51" t="n">
        <v>65.07</v>
      </c>
      <c r="H10" s="56" t="n">
        <v>0</v>
      </c>
      <c r="I10" s="51" t="n">
        <f aca="false">G10+H10</f>
        <v>65.07</v>
      </c>
      <c r="J10" s="81" t="n">
        <f aca="false">IF(L10&gt;0,L10,0)</f>
        <v>0.000264683640036623</v>
      </c>
      <c r="K10" s="51" t="n">
        <f aca="false">I10+J10</f>
        <v>65.07026468364</v>
      </c>
      <c r="L10" s="51" t="n">
        <f aca="false">F10-(I10-W10)</f>
        <v>0.000264683640036623</v>
      </c>
      <c r="M10" s="51" t="n">
        <v>4.76</v>
      </c>
      <c r="N10" s="51" t="n">
        <v>0</v>
      </c>
      <c r="O10" s="51" t="n">
        <v>0</v>
      </c>
      <c r="P10" s="6" t="n">
        <f aca="false">M10-(N10+O10)</f>
        <v>4.76</v>
      </c>
      <c r="Q10" s="51" t="n">
        <v>0</v>
      </c>
      <c r="R10" s="51" t="n">
        <v>0</v>
      </c>
      <c r="S10" s="51" t="n">
        <f aca="false">SUM(P10:R10)</f>
        <v>4.76</v>
      </c>
      <c r="T10" s="52"/>
      <c r="U10" s="51" t="n">
        <v>0</v>
      </c>
      <c r="V10" s="51" t="n">
        <v>78.46</v>
      </c>
      <c r="W10" s="6" t="n">
        <f aca="false">N10+O10+S10+U10+V10</f>
        <v>83.22</v>
      </c>
      <c r="X10" s="51" t="n">
        <f aca="false">IF(L10&lt;0,L10*-1,0)</f>
        <v>0</v>
      </c>
      <c r="Y10" s="51" t="n">
        <f aca="false">W10+X10</f>
        <v>83.22</v>
      </c>
      <c r="Z10" s="56" t="n">
        <v>0.43</v>
      </c>
      <c r="AA10" s="57" t="n">
        <v>33</v>
      </c>
      <c r="AB10" s="57" t="n">
        <v>15</v>
      </c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6898.28</v>
      </c>
      <c r="C11" s="52" t="n">
        <v>277281</v>
      </c>
      <c r="D11" s="57" t="n">
        <f aca="false">C11-C10</f>
        <v>-110</v>
      </c>
      <c r="E11" s="52" t="n">
        <f aca="false">C11-152000</f>
        <v>125281</v>
      </c>
      <c r="F11" s="51" t="n">
        <f aca="false">D11/$D$2</f>
        <v>-55.4575245777666</v>
      </c>
      <c r="G11" s="51" t="n">
        <v>27.75</v>
      </c>
      <c r="H11" s="56" t="n">
        <v>0</v>
      </c>
      <c r="I11" s="51" t="n">
        <f aca="false">G11+H11</f>
        <v>27.75</v>
      </c>
      <c r="J11" s="81" t="n">
        <f aca="false">IF(L11&gt;0,L11,0)</f>
        <v>0.0124754222334289</v>
      </c>
      <c r="K11" s="51" t="n">
        <f aca="false">I11+J11</f>
        <v>27.7624754222334</v>
      </c>
      <c r="L11" s="51" t="n">
        <f aca="false">F11-(I11-W11)</f>
        <v>0.0124754222334289</v>
      </c>
      <c r="M11" s="51" t="n">
        <v>4.76</v>
      </c>
      <c r="N11" s="51" t="n">
        <v>0</v>
      </c>
      <c r="O11" s="51" t="n">
        <v>0</v>
      </c>
      <c r="P11" s="6" t="n">
        <f aca="false">M11-(N11+O11)</f>
        <v>4.76</v>
      </c>
      <c r="Q11" s="51" t="n">
        <v>0</v>
      </c>
      <c r="R11" s="51" t="n">
        <v>0</v>
      </c>
      <c r="S11" s="51" t="n">
        <f aca="false">SUM(P11:R11)</f>
        <v>4.76</v>
      </c>
      <c r="T11" s="52"/>
      <c r="U11" s="51" t="n">
        <v>0</v>
      </c>
      <c r="V11" s="51" t="n">
        <v>78.46</v>
      </c>
      <c r="W11" s="6" t="n">
        <f aca="false">N11+O11+S11+U11+V11</f>
        <v>83.22</v>
      </c>
      <c r="X11" s="51" t="n">
        <f aca="false">IF(L11&lt;0,L11*-1,0)</f>
        <v>0</v>
      </c>
      <c r="Y11" s="51" t="n">
        <f aca="false">W11+X11</f>
        <v>83.22</v>
      </c>
      <c r="Z11" s="56" t="n">
        <v>0</v>
      </c>
      <c r="AA11" s="57" t="n">
        <v>35</v>
      </c>
      <c r="AB11" s="57" t="n">
        <v>16</v>
      </c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6898.25</v>
      </c>
      <c r="C12" s="52" t="n">
        <v>277172</v>
      </c>
      <c r="D12" s="57" t="n">
        <f aca="false">C12-C11</f>
        <v>-109</v>
      </c>
      <c r="E12" s="52" t="n">
        <f aca="false">C12-152000</f>
        <v>125172</v>
      </c>
      <c r="F12" s="51" t="n">
        <f aca="false">D12/$D$2</f>
        <v>-54.9533652634232</v>
      </c>
      <c r="G12" s="51" t="n">
        <v>28.25</v>
      </c>
      <c r="H12" s="56" t="n">
        <v>0</v>
      </c>
      <c r="I12" s="51" t="n">
        <f aca="false">G12+H12</f>
        <v>28.25</v>
      </c>
      <c r="J12" s="81" t="n">
        <f aca="false">IF(L12&gt;0,L12,0)</f>
        <v>0.016634736576755</v>
      </c>
      <c r="K12" s="51" t="n">
        <f aca="false">I12+J12</f>
        <v>28.2666347365768</v>
      </c>
      <c r="L12" s="51" t="n">
        <f aca="false">F12-(I12-W12)</f>
        <v>0.016634736576755</v>
      </c>
      <c r="M12" s="51" t="n">
        <v>4.76</v>
      </c>
      <c r="N12" s="51" t="n">
        <v>0</v>
      </c>
      <c r="O12" s="51" t="n">
        <v>0</v>
      </c>
      <c r="P12" s="6" t="n">
        <f aca="false">M12-(N12+O12)</f>
        <v>4.76</v>
      </c>
      <c r="Q12" s="51" t="n">
        <v>0</v>
      </c>
      <c r="R12" s="51" t="n">
        <v>0</v>
      </c>
      <c r="S12" s="51" t="n">
        <f aca="false">SUM(P12:R12)</f>
        <v>4.76</v>
      </c>
      <c r="T12" s="52"/>
      <c r="U12" s="51" t="n">
        <v>0</v>
      </c>
      <c r="V12" s="51" t="n">
        <v>78.46</v>
      </c>
      <c r="W12" s="6" t="n">
        <f aca="false">N12+O12+S12+U12+V12</f>
        <v>83.22</v>
      </c>
      <c r="X12" s="51" t="n">
        <f aca="false">IF(L12&lt;0,L12*-1,0)</f>
        <v>0</v>
      </c>
      <c r="Y12" s="51" t="n">
        <f aca="false">W12+X12</f>
        <v>83.22</v>
      </c>
      <c r="Z12" s="56" t="n">
        <v>0</v>
      </c>
      <c r="AA12" s="57" t="n">
        <v>38</v>
      </c>
      <c r="AB12" s="57" t="n">
        <v>12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6898.21</v>
      </c>
      <c r="C13" s="52" t="n">
        <v>277026</v>
      </c>
      <c r="D13" s="57" t="n">
        <f aca="false">C13-C12</f>
        <v>-146</v>
      </c>
      <c r="E13" s="52" t="n">
        <f aca="false">C13-152000</f>
        <v>125026</v>
      </c>
      <c r="F13" s="51" t="n">
        <f aca="false">D13/$D$2</f>
        <v>-73.6072598941265</v>
      </c>
      <c r="G13" s="51" t="n">
        <v>9.59</v>
      </c>
      <c r="H13" s="56" t="n">
        <v>0</v>
      </c>
      <c r="I13" s="51" t="n">
        <f aca="false">G13+H13</f>
        <v>9.59</v>
      </c>
      <c r="J13" s="81" t="n">
        <f aca="false">IF(L13&gt;0,L13,0)</f>
        <v>0.0227401058734529</v>
      </c>
      <c r="K13" s="51" t="n">
        <f aca="false">I13+J13</f>
        <v>9.61274010587345</v>
      </c>
      <c r="L13" s="51" t="n">
        <f aca="false">F13-(I13-W13)</f>
        <v>0.0227401058734529</v>
      </c>
      <c r="M13" s="51" t="n">
        <v>4.76</v>
      </c>
      <c r="N13" s="51" t="n">
        <v>0</v>
      </c>
      <c r="O13" s="51" t="n">
        <v>0</v>
      </c>
      <c r="P13" s="6" t="n">
        <f aca="false">M13-(N13+O13)</f>
        <v>4.76</v>
      </c>
      <c r="Q13" s="51" t="n">
        <v>0</v>
      </c>
      <c r="R13" s="51" t="n">
        <v>0</v>
      </c>
      <c r="S13" s="51" t="n">
        <f aca="false">SUM(P13:R13)</f>
        <v>4.76</v>
      </c>
      <c r="T13" s="52"/>
      <c r="U13" s="51" t="n">
        <v>0</v>
      </c>
      <c r="V13" s="51" t="n">
        <v>78.46</v>
      </c>
      <c r="W13" s="6" t="n">
        <f aca="false">N13+O13+S13+U13+V13</f>
        <v>83.22</v>
      </c>
      <c r="X13" s="51" t="n">
        <f aca="false">IF(L13&lt;0,L13*-1,0)</f>
        <v>0</v>
      </c>
      <c r="Y13" s="51" t="n">
        <f aca="false">W13+X13</f>
        <v>83.22</v>
      </c>
      <c r="Z13" s="56" t="n">
        <v>0</v>
      </c>
      <c r="AA13" s="57" t="n">
        <v>42</v>
      </c>
      <c r="AB13" s="57" t="n">
        <v>9</v>
      </c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6898.17</v>
      </c>
      <c r="C14" s="52" t="n">
        <v>276880</v>
      </c>
      <c r="D14" s="57" t="n">
        <f aca="false">C14-C13</f>
        <v>-146</v>
      </c>
      <c r="E14" s="52" t="n">
        <f aca="false">C14-152000</f>
        <v>124880</v>
      </c>
      <c r="F14" s="51" t="n">
        <f aca="false">D14/$D$2</f>
        <v>-73.6072598941265</v>
      </c>
      <c r="G14" s="51" t="n">
        <v>9.59</v>
      </c>
      <c r="H14" s="56" t="n">
        <v>0</v>
      </c>
      <c r="I14" s="51" t="n">
        <f aca="false">G14+H14</f>
        <v>9.59</v>
      </c>
      <c r="J14" s="81" t="n">
        <f aca="false">IF(L14&gt;0,L14,0)</f>
        <v>0.0227401058734529</v>
      </c>
      <c r="K14" s="51" t="n">
        <f aca="false">I14+J14</f>
        <v>9.61274010587345</v>
      </c>
      <c r="L14" s="51" t="n">
        <f aca="false">F14-(I14-W14)</f>
        <v>0.0227401058734529</v>
      </c>
      <c r="M14" s="51" t="n">
        <v>4.76</v>
      </c>
      <c r="N14" s="51" t="n">
        <v>0</v>
      </c>
      <c r="O14" s="51" t="n">
        <v>0</v>
      </c>
      <c r="P14" s="6" t="n">
        <f aca="false">M14-(N14+O14)</f>
        <v>4.76</v>
      </c>
      <c r="Q14" s="51" t="n">
        <v>0</v>
      </c>
      <c r="R14" s="51" t="n">
        <v>0</v>
      </c>
      <c r="S14" s="51" t="n">
        <f aca="false">SUM(P14:R14)</f>
        <v>4.76</v>
      </c>
      <c r="T14" s="52"/>
      <c r="U14" s="51" t="n">
        <v>0</v>
      </c>
      <c r="V14" s="51" t="n">
        <v>78.46</v>
      </c>
      <c r="W14" s="6" t="n">
        <f aca="false">N14+O14+S14+U14+V14</f>
        <v>83.22</v>
      </c>
      <c r="X14" s="51" t="n">
        <f aca="false">IF(L14&lt;0,L14*-1,0)</f>
        <v>0</v>
      </c>
      <c r="Y14" s="51" t="n">
        <f aca="false">W14+X14</f>
        <v>83.22</v>
      </c>
      <c r="Z14" s="56" t="n">
        <v>0</v>
      </c>
      <c r="AA14" s="57" t="n">
        <v>38</v>
      </c>
      <c r="AB14" s="57" t="n">
        <v>3</v>
      </c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6898.14</v>
      </c>
      <c r="C15" s="52" t="n">
        <v>276771</v>
      </c>
      <c r="D15" s="57" t="n">
        <f aca="false">C15-C14</f>
        <v>-109</v>
      </c>
      <c r="E15" s="52" t="n">
        <f aca="false">C15-152000</f>
        <v>124771</v>
      </c>
      <c r="F15" s="51" t="n">
        <f aca="false">D15/$D$2</f>
        <v>-54.9533652634232</v>
      </c>
      <c r="G15" s="51" t="n">
        <v>28.25</v>
      </c>
      <c r="H15" s="56" t="n">
        <v>0</v>
      </c>
      <c r="I15" s="51" t="n">
        <f aca="false">G15+H15</f>
        <v>28.25</v>
      </c>
      <c r="J15" s="81" t="n">
        <f aca="false">IF(L15&gt;0,L15,0)</f>
        <v>0.016634736576755</v>
      </c>
      <c r="K15" s="51" t="n">
        <f aca="false">I15+J15</f>
        <v>28.2666347365768</v>
      </c>
      <c r="L15" s="51" t="n">
        <f aca="false">F15-(I15-W15)</f>
        <v>0.016634736576755</v>
      </c>
      <c r="M15" s="51" t="n">
        <v>4.76</v>
      </c>
      <c r="N15" s="51" t="n">
        <v>0</v>
      </c>
      <c r="O15" s="51" t="n">
        <v>0</v>
      </c>
      <c r="P15" s="6" t="n">
        <f aca="false">M15-(N15+O15)</f>
        <v>4.76</v>
      </c>
      <c r="Q15" s="51" t="n">
        <v>0</v>
      </c>
      <c r="R15" s="51" t="n">
        <v>0</v>
      </c>
      <c r="S15" s="51" t="n">
        <f aca="false">SUM(P15:R15)</f>
        <v>4.76</v>
      </c>
      <c r="T15" s="52"/>
      <c r="U15" s="51" t="n">
        <v>0</v>
      </c>
      <c r="V15" s="51" t="n">
        <v>78.46</v>
      </c>
      <c r="W15" s="6" t="n">
        <f aca="false">N15+O15+S15+U15+V15</f>
        <v>83.22</v>
      </c>
      <c r="X15" s="51" t="n">
        <f aca="false">IF(L15&lt;0,L15*-1,0)</f>
        <v>0</v>
      </c>
      <c r="Y15" s="51" t="n">
        <f aca="false">W15+X15</f>
        <v>83.22</v>
      </c>
      <c r="Z15" s="56" t="n">
        <v>0</v>
      </c>
      <c r="AA15" s="57" t="n">
        <v>43</v>
      </c>
      <c r="AB15" s="57" t="n">
        <v>6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6898.1</v>
      </c>
      <c r="C16" s="52" t="n">
        <v>276625</v>
      </c>
      <c r="D16" s="57" t="n">
        <f aca="false">C16-C15</f>
        <v>-146</v>
      </c>
      <c r="E16" s="52" t="n">
        <f aca="false">C16-152000</f>
        <v>124625</v>
      </c>
      <c r="F16" s="51" t="n">
        <f aca="false">D16/$D$2</f>
        <v>-73.6072598941265</v>
      </c>
      <c r="G16" s="51" t="n">
        <v>9.59</v>
      </c>
      <c r="H16" s="56" t="n">
        <v>0</v>
      </c>
      <c r="I16" s="51" t="n">
        <f aca="false">G16+H16</f>
        <v>9.59</v>
      </c>
      <c r="J16" s="81" t="n">
        <f aca="false">IF(L16&gt;0,L16,0)</f>
        <v>0.0227401058734529</v>
      </c>
      <c r="K16" s="51" t="n">
        <f aca="false">I16+J16</f>
        <v>9.61274010587345</v>
      </c>
      <c r="L16" s="51" t="n">
        <f aca="false">F16-(I16-W16)</f>
        <v>0.0227401058734529</v>
      </c>
      <c r="M16" s="51" t="n">
        <v>4.76</v>
      </c>
      <c r="N16" s="51" t="n">
        <v>0</v>
      </c>
      <c r="O16" s="51" t="n">
        <v>0</v>
      </c>
      <c r="P16" s="6" t="n">
        <f aca="false">M16-(N16+O16)</f>
        <v>4.76</v>
      </c>
      <c r="Q16" s="51" t="n">
        <v>0</v>
      </c>
      <c r="R16" s="51" t="n">
        <v>0</v>
      </c>
      <c r="S16" s="51" t="n">
        <f aca="false">SUM(P16:R16)</f>
        <v>4.76</v>
      </c>
      <c r="T16" s="52"/>
      <c r="U16" s="51" t="n">
        <v>0</v>
      </c>
      <c r="V16" s="51" t="n">
        <v>78.46</v>
      </c>
      <c r="W16" s="6" t="n">
        <f aca="false">N16+O16+S16+U16+V16</f>
        <v>83.22</v>
      </c>
      <c r="X16" s="51" t="n">
        <f aca="false">IF(L16&lt;0,L16*-1,0)</f>
        <v>0</v>
      </c>
      <c r="Y16" s="51" t="n">
        <f aca="false">W16+X16</f>
        <v>83.22</v>
      </c>
      <c r="Z16" s="56" t="n">
        <v>0</v>
      </c>
      <c r="AA16" s="57" t="n">
        <v>44</v>
      </c>
      <c r="AB16" s="57" t="n">
        <v>7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6898.07</v>
      </c>
      <c r="C17" s="52" t="n">
        <v>276516</v>
      </c>
      <c r="D17" s="57" t="n">
        <f aca="false">C17-C16</f>
        <v>-109</v>
      </c>
      <c r="E17" s="52" t="n">
        <f aca="false">C17-152000</f>
        <v>124516</v>
      </c>
      <c r="F17" s="51" t="n">
        <f aca="false">D17/$D$2</f>
        <v>-54.9533652634232</v>
      </c>
      <c r="G17" s="51" t="n">
        <v>28.25</v>
      </c>
      <c r="H17" s="56" t="n">
        <v>0</v>
      </c>
      <c r="I17" s="51" t="n">
        <f aca="false">G17+H17</f>
        <v>28.25</v>
      </c>
      <c r="J17" s="81" t="n">
        <f aca="false">IF(L17&gt;0,L17,0)</f>
        <v>0.016634736576755</v>
      </c>
      <c r="K17" s="51" t="n">
        <f aca="false">I17+J17</f>
        <v>28.2666347365768</v>
      </c>
      <c r="L17" s="51" t="n">
        <f aca="false">F17-(I17-W17)</f>
        <v>0.016634736576755</v>
      </c>
      <c r="M17" s="51" t="n">
        <v>4.76</v>
      </c>
      <c r="N17" s="51" t="n">
        <v>0</v>
      </c>
      <c r="O17" s="51" t="n">
        <v>0</v>
      </c>
      <c r="P17" s="6" t="n">
        <f aca="false">M17-(N17+O17)</f>
        <v>4.76</v>
      </c>
      <c r="Q17" s="51" t="n">
        <v>0</v>
      </c>
      <c r="R17" s="51" t="n">
        <v>0</v>
      </c>
      <c r="S17" s="51" t="n">
        <f aca="false">SUM(P17:R17)</f>
        <v>4.76</v>
      </c>
      <c r="T17" s="52"/>
      <c r="U17" s="51" t="n">
        <v>0</v>
      </c>
      <c r="V17" s="51" t="n">
        <v>78.46</v>
      </c>
      <c r="W17" s="6" t="n">
        <f aca="false">N17+O17+S17+U17+V17</f>
        <v>83.22</v>
      </c>
      <c r="X17" s="51" t="n">
        <f aca="false">IF(L17&lt;0,L17*-1,0)</f>
        <v>0</v>
      </c>
      <c r="Y17" s="51" t="n">
        <f aca="false">W17+X17</f>
        <v>83.22</v>
      </c>
      <c r="Z17" s="56" t="n">
        <v>0.17</v>
      </c>
      <c r="AA17" s="57" t="n">
        <v>33</v>
      </c>
      <c r="AB17" s="57" t="n">
        <v>12</v>
      </c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6898.03</v>
      </c>
      <c r="C18" s="52" t="n">
        <v>276370</v>
      </c>
      <c r="D18" s="57" t="n">
        <f aca="false">C18-C17</f>
        <v>-146</v>
      </c>
      <c r="E18" s="52" t="n">
        <f aca="false">C18-152000</f>
        <v>124370</v>
      </c>
      <c r="F18" s="51" t="n">
        <f aca="false">D18/$D$2</f>
        <v>-73.6072598941265</v>
      </c>
      <c r="G18" s="51" t="n">
        <v>9.13</v>
      </c>
      <c r="H18" s="56" t="n">
        <v>0</v>
      </c>
      <c r="I18" s="51" t="n">
        <f aca="false">G18+H18</f>
        <v>9.13</v>
      </c>
      <c r="J18" s="81" t="n">
        <f aca="false">IF(L18&gt;0,L18,0)</f>
        <v>0.0227401058734671</v>
      </c>
      <c r="K18" s="51" t="n">
        <f aca="false">I18+J18</f>
        <v>9.15274010587347</v>
      </c>
      <c r="L18" s="51" t="n">
        <f aca="false">F18-(I18-W18)</f>
        <v>0.0227401058734671</v>
      </c>
      <c r="M18" s="51" t="n">
        <v>4.76</v>
      </c>
      <c r="N18" s="51" t="n">
        <v>0</v>
      </c>
      <c r="O18" s="51" t="n">
        <v>0</v>
      </c>
      <c r="P18" s="6" t="n">
        <f aca="false">M18-(N18+O18)</f>
        <v>4.76</v>
      </c>
      <c r="Q18" s="51" t="n">
        <v>0</v>
      </c>
      <c r="R18" s="51" t="n">
        <v>0</v>
      </c>
      <c r="S18" s="51" t="n">
        <f aca="false">SUM(P18:R18)</f>
        <v>4.76</v>
      </c>
      <c r="T18" s="52"/>
      <c r="U18" s="51" t="n">
        <v>0</v>
      </c>
      <c r="V18" s="51" t="n">
        <v>78</v>
      </c>
      <c r="W18" s="6" t="n">
        <f aca="false">N18+O18+S18+U18+V18</f>
        <v>82.76</v>
      </c>
      <c r="X18" s="51" t="n">
        <f aca="false">IF(L18&lt;0,L18*-1,0)</f>
        <v>0</v>
      </c>
      <c r="Y18" s="51" t="n">
        <f aca="false">W18+X18</f>
        <v>82.76</v>
      </c>
      <c r="Z18" s="56" t="n">
        <v>0</v>
      </c>
      <c r="AA18" s="82" t="n">
        <v>36</v>
      </c>
      <c r="AB18" s="57" t="n">
        <v>2</v>
      </c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6898</v>
      </c>
      <c r="C19" s="52" t="n">
        <v>276261</v>
      </c>
      <c r="D19" s="57" t="n">
        <f aca="false">C19-C18</f>
        <v>-109</v>
      </c>
      <c r="E19" s="52" t="n">
        <f aca="false">C19-152000</f>
        <v>124261</v>
      </c>
      <c r="F19" s="51" t="n">
        <f aca="false">D19/$D$2</f>
        <v>-54.9533652634232</v>
      </c>
      <c r="G19" s="51" t="n">
        <v>28.25</v>
      </c>
      <c r="H19" s="56" t="n">
        <v>0</v>
      </c>
      <c r="I19" s="51" t="n">
        <f aca="false">G19+H19</f>
        <v>28.25</v>
      </c>
      <c r="J19" s="81" t="n">
        <f aca="false">IF(L19&gt;0,L19,0)</f>
        <v>0.016634736576755</v>
      </c>
      <c r="K19" s="51" t="n">
        <f aca="false">I19+J19</f>
        <v>28.2666347365768</v>
      </c>
      <c r="L19" s="51" t="n">
        <f aca="false">F19-(I19-W19)</f>
        <v>0.016634736576755</v>
      </c>
      <c r="M19" s="51" t="n">
        <v>4.76</v>
      </c>
      <c r="N19" s="51" t="n">
        <v>0</v>
      </c>
      <c r="O19" s="51" t="n">
        <v>0</v>
      </c>
      <c r="P19" s="6" t="n">
        <f aca="false">M19-(N19+O19)</f>
        <v>4.76</v>
      </c>
      <c r="Q19" s="51" t="n">
        <v>0</v>
      </c>
      <c r="R19" s="51" t="n">
        <v>0</v>
      </c>
      <c r="S19" s="51" t="n">
        <f aca="false">SUM(P19:R19)</f>
        <v>4.76</v>
      </c>
      <c r="T19" s="52"/>
      <c r="U19" s="51" t="n">
        <v>0</v>
      </c>
      <c r="V19" s="51" t="n">
        <v>78.46</v>
      </c>
      <c r="W19" s="6" t="n">
        <f aca="false">N19+O19+S19+U19+V19</f>
        <v>83.22</v>
      </c>
      <c r="X19" s="51" t="n">
        <f aca="false">IF(L19&lt;0,L19*-1,0)</f>
        <v>0</v>
      </c>
      <c r="Y19" s="51" t="n">
        <f aca="false">W19+X19</f>
        <v>83.22</v>
      </c>
      <c r="Z19" s="56" t="n">
        <v>0</v>
      </c>
      <c r="AA19" s="57" t="n">
        <v>41</v>
      </c>
      <c r="AB19" s="57" t="n">
        <v>8</v>
      </c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6897.97</v>
      </c>
      <c r="C20" s="52" t="n">
        <v>276152</v>
      </c>
      <c r="D20" s="57" t="n">
        <f aca="false">C20-C19</f>
        <v>-109</v>
      </c>
      <c r="E20" s="52" t="n">
        <f aca="false">C20-152000</f>
        <v>124152</v>
      </c>
      <c r="F20" s="51" t="n">
        <f aca="false">D20/$D$2</f>
        <v>-54.9533652634232</v>
      </c>
      <c r="G20" s="51" t="n">
        <v>27.79</v>
      </c>
      <c r="H20" s="56" t="n">
        <v>0</v>
      </c>
      <c r="I20" s="51" t="n">
        <f aca="false">G20+H20</f>
        <v>27.79</v>
      </c>
      <c r="J20" s="81" t="n">
        <f aca="false">IF(L20&gt;0,L20,0)</f>
        <v>0.0166347365767621</v>
      </c>
      <c r="K20" s="51" t="n">
        <f aca="false">I20+J20</f>
        <v>27.8066347365768</v>
      </c>
      <c r="L20" s="51" t="n">
        <f aca="false">F20-(I20-W20)</f>
        <v>0.0166347365767621</v>
      </c>
      <c r="M20" s="51" t="n">
        <v>4.76</v>
      </c>
      <c r="N20" s="51" t="n">
        <v>0</v>
      </c>
      <c r="O20" s="51" t="n">
        <v>0</v>
      </c>
      <c r="P20" s="6" t="n">
        <f aca="false">M20-(N20+O20)</f>
        <v>4.76</v>
      </c>
      <c r="Q20" s="51" t="n">
        <v>0</v>
      </c>
      <c r="R20" s="51" t="n">
        <v>0</v>
      </c>
      <c r="S20" s="51" t="n">
        <f aca="false">SUM(P20:R20)</f>
        <v>4.76</v>
      </c>
      <c r="T20" s="52"/>
      <c r="U20" s="51" t="n">
        <v>0</v>
      </c>
      <c r="V20" s="51" t="n">
        <v>78</v>
      </c>
      <c r="W20" s="6" t="n">
        <f aca="false">N20+O20+S20+U20+V20</f>
        <v>82.76</v>
      </c>
      <c r="X20" s="51" t="n">
        <f aca="false">IF(L20&lt;0,L20*-1,0)</f>
        <v>0</v>
      </c>
      <c r="Y20" s="51" t="n">
        <f aca="false">W20+X20</f>
        <v>82.76</v>
      </c>
      <c r="Z20" s="56" t="n">
        <v>0</v>
      </c>
      <c r="AA20" s="57" t="n">
        <v>48</v>
      </c>
      <c r="AB20" s="57" t="n">
        <v>14</v>
      </c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6897.95</v>
      </c>
      <c r="C21" s="52" t="n">
        <v>276080</v>
      </c>
      <c r="D21" s="57" t="n">
        <f aca="false">C21-C20</f>
        <v>-72</v>
      </c>
      <c r="E21" s="52" t="n">
        <f aca="false">C21-152000</f>
        <v>124080</v>
      </c>
      <c r="F21" s="51" t="n">
        <f aca="false">D21/$D$2</f>
        <v>-36.2994706327199</v>
      </c>
      <c r="G21" s="51" t="n">
        <v>45.85</v>
      </c>
      <c r="H21" s="56" t="n">
        <v>0</v>
      </c>
      <c r="I21" s="51" t="n">
        <f aca="false">G21+H21</f>
        <v>45.85</v>
      </c>
      <c r="J21" s="81" t="n">
        <f aca="false">IF(L21&gt;0,L21,0)</f>
        <v>0.0105293672800713</v>
      </c>
      <c r="K21" s="51" t="n">
        <f aca="false">I21+J21</f>
        <v>45.8605293672801</v>
      </c>
      <c r="L21" s="51" t="n">
        <f aca="false">F21-(I21-W21)</f>
        <v>0.0105293672800713</v>
      </c>
      <c r="M21" s="51" t="n">
        <v>4.76</v>
      </c>
      <c r="N21" s="51" t="n">
        <v>0</v>
      </c>
      <c r="O21" s="51" t="n">
        <v>0</v>
      </c>
      <c r="P21" s="6" t="n">
        <f aca="false">M21-(N21+O21)</f>
        <v>4.76</v>
      </c>
      <c r="Q21" s="51" t="n">
        <v>0</v>
      </c>
      <c r="R21" s="51" t="n">
        <v>0</v>
      </c>
      <c r="S21" s="51" t="n">
        <f aca="false">SUM(P21:R21)</f>
        <v>4.76</v>
      </c>
      <c r="T21" s="52"/>
      <c r="U21" s="51" t="n">
        <v>0</v>
      </c>
      <c r="V21" s="51" t="n">
        <v>77.4</v>
      </c>
      <c r="W21" s="6" t="n">
        <f aca="false">N21+O21+S21+U21+V21</f>
        <v>82.16</v>
      </c>
      <c r="X21" s="51" t="n">
        <f aca="false">IF(L21&lt;0,L21*-1,0)</f>
        <v>0</v>
      </c>
      <c r="Y21" s="51" t="n">
        <f aca="false">W21+X21</f>
        <v>82.16</v>
      </c>
      <c r="Z21" s="56" t="n">
        <v>0</v>
      </c>
      <c r="AA21" s="57" t="n">
        <v>45</v>
      </c>
      <c r="AB21" s="57" t="n">
        <v>18</v>
      </c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6897.92</v>
      </c>
      <c r="C22" s="52" t="n">
        <v>275951</v>
      </c>
      <c r="D22" s="57" t="n">
        <f aca="false">C22-C21</f>
        <v>-129</v>
      </c>
      <c r="E22" s="52" t="n">
        <f aca="false">C22-152000</f>
        <v>123951</v>
      </c>
      <c r="F22" s="51" t="n">
        <f aca="false">D22/$D$2</f>
        <v>-65.0365515502899</v>
      </c>
      <c r="G22" s="51" t="n">
        <v>17.14</v>
      </c>
      <c r="H22" s="56" t="n">
        <v>0</v>
      </c>
      <c r="I22" s="51" t="n">
        <f aca="false">G22+H22</f>
        <v>17.14</v>
      </c>
      <c r="J22" s="81" t="n">
        <f aca="false">IF(L22&gt;0,L22,0)</f>
        <v>0.0134484497101255</v>
      </c>
      <c r="K22" s="51" t="n">
        <f aca="false">I22+J22</f>
        <v>17.1534484497101</v>
      </c>
      <c r="L22" s="51" t="n">
        <f aca="false">F22-(I22-W22)</f>
        <v>0.0134484497101255</v>
      </c>
      <c r="M22" s="51" t="n">
        <v>4.76</v>
      </c>
      <c r="N22" s="51" t="n">
        <v>0</v>
      </c>
      <c r="O22" s="51" t="n">
        <v>0</v>
      </c>
      <c r="P22" s="6" t="n">
        <f aca="false">M22-(N22+O22)</f>
        <v>4.76</v>
      </c>
      <c r="Q22" s="51" t="n">
        <v>0</v>
      </c>
      <c r="R22" s="51" t="n">
        <v>0</v>
      </c>
      <c r="S22" s="51" t="n">
        <f aca="false">SUM(P22:R22)</f>
        <v>4.76</v>
      </c>
      <c r="T22" s="52"/>
      <c r="U22" s="51" t="n">
        <v>0</v>
      </c>
      <c r="V22" s="51" t="n">
        <v>77.43</v>
      </c>
      <c r="W22" s="6" t="n">
        <f aca="false">N22+O22+S22+U22+V22</f>
        <v>82.19</v>
      </c>
      <c r="X22" s="51" t="n">
        <f aca="false">IF(L22&lt;0,L22*-1,0)</f>
        <v>0</v>
      </c>
      <c r="Y22" s="51" t="n">
        <f aca="false">W22+X22</f>
        <v>82.19</v>
      </c>
      <c r="Z22" s="56" t="n">
        <v>0</v>
      </c>
      <c r="AA22" s="57" t="n">
        <v>39</v>
      </c>
      <c r="AB22" s="57" t="n">
        <v>21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6897.92</v>
      </c>
      <c r="C23" s="52" t="n">
        <v>275951</v>
      </c>
      <c r="D23" s="57" t="n">
        <f aca="false">C23-C22</f>
        <v>0</v>
      </c>
      <c r="E23" s="52" t="n">
        <f aca="false">C23-152000</f>
        <v>123951</v>
      </c>
      <c r="F23" s="51" t="n">
        <f aca="false">D23/$D$2</f>
        <v>0</v>
      </c>
      <c r="G23" s="51" t="n">
        <v>82.23</v>
      </c>
      <c r="H23" s="56" t="n">
        <v>0</v>
      </c>
      <c r="I23" s="51" t="n">
        <f aca="false">G23+H23</f>
        <v>82.23</v>
      </c>
      <c r="J23" s="81" t="n">
        <f aca="false">IF(L23&gt;0,L23,0)</f>
        <v>0</v>
      </c>
      <c r="K23" s="51" t="n">
        <f aca="false">I23+J23</f>
        <v>82.23</v>
      </c>
      <c r="L23" s="51" t="n">
        <f aca="false">F23-(I23-W23)</f>
        <v>0</v>
      </c>
      <c r="M23" s="51" t="n">
        <v>4.76</v>
      </c>
      <c r="N23" s="51" t="n">
        <v>0</v>
      </c>
      <c r="O23" s="51" t="n">
        <v>0</v>
      </c>
      <c r="P23" s="6" t="n">
        <f aca="false">M23-(N23+O23)</f>
        <v>4.76</v>
      </c>
      <c r="Q23" s="51" t="n">
        <v>0</v>
      </c>
      <c r="R23" s="51" t="n">
        <v>0</v>
      </c>
      <c r="S23" s="51" t="n">
        <f aca="false">SUM(P23:R23)</f>
        <v>4.76</v>
      </c>
      <c r="T23" s="52"/>
      <c r="U23" s="51" t="n">
        <v>0</v>
      </c>
      <c r="V23" s="51" t="n">
        <v>77.47</v>
      </c>
      <c r="W23" s="6" t="n">
        <f aca="false">N23+O23+S23+U23+V23</f>
        <v>82.23</v>
      </c>
      <c r="X23" s="51" t="n">
        <f aca="false">IF(L23&lt;0,L23*-1,0)</f>
        <v>0</v>
      </c>
      <c r="Y23" s="51" t="n">
        <f aca="false">W23+X23</f>
        <v>82.23</v>
      </c>
      <c r="Z23" s="56" t="n">
        <v>0.59</v>
      </c>
      <c r="AA23" s="82" t="n">
        <v>26</v>
      </c>
      <c r="AB23" s="57" t="n">
        <v>18</v>
      </c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6897.89</v>
      </c>
      <c r="C24" s="52" t="n">
        <v>275863</v>
      </c>
      <c r="D24" s="57" t="n">
        <f aca="false">C24-C23</f>
        <v>-88</v>
      </c>
      <c r="E24" s="52" t="n">
        <f aca="false">C24-152000</f>
        <v>123863</v>
      </c>
      <c r="F24" s="51" t="n">
        <f aca="false">D24/$D$2</f>
        <v>-44.3660196622133</v>
      </c>
      <c r="G24" s="51" t="n">
        <v>37.78</v>
      </c>
      <c r="H24" s="56" t="n">
        <v>0</v>
      </c>
      <c r="I24" s="51" t="n">
        <f aca="false">G24+H24</f>
        <v>37.78</v>
      </c>
      <c r="J24" s="81" t="n">
        <f aca="false">IF(L24&gt;0,L24,0)</f>
        <v>0.013980337786748</v>
      </c>
      <c r="K24" s="51" t="n">
        <f aca="false">I24+J24</f>
        <v>37.7939803377867</v>
      </c>
      <c r="L24" s="51" t="n">
        <f aca="false">F24-(I24-W24)</f>
        <v>0.013980337786748</v>
      </c>
      <c r="M24" s="51" t="n">
        <v>4.76</v>
      </c>
      <c r="N24" s="51" t="n">
        <v>0</v>
      </c>
      <c r="O24" s="51" t="n">
        <v>0</v>
      </c>
      <c r="P24" s="6" t="n">
        <f aca="false">M24-(N24+O24)</f>
        <v>4.76</v>
      </c>
      <c r="Q24" s="51" t="n">
        <v>0</v>
      </c>
      <c r="R24" s="51" t="n">
        <v>0</v>
      </c>
      <c r="S24" s="51" t="n">
        <f aca="false">SUM(P24:R24)</f>
        <v>4.76</v>
      </c>
      <c r="T24" s="52"/>
      <c r="U24" s="51" t="n">
        <v>0</v>
      </c>
      <c r="V24" s="51" t="n">
        <v>77.4</v>
      </c>
      <c r="W24" s="6" t="n">
        <f aca="false">N24+O24+S24+U24+V24</f>
        <v>82.16</v>
      </c>
      <c r="X24" s="51" t="n">
        <f aca="false">IF(L24&lt;0,L24*-1,0)</f>
        <v>0</v>
      </c>
      <c r="Y24" s="51" t="n">
        <f aca="false">W24+X24</f>
        <v>82.16</v>
      </c>
      <c r="Z24" s="56" t="n">
        <v>0</v>
      </c>
      <c r="AA24" s="82" t="n">
        <v>27</v>
      </c>
      <c r="AB24" s="57" t="n">
        <v>-8</v>
      </c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6897.86</v>
      </c>
      <c r="C25" s="52" t="n">
        <v>275574</v>
      </c>
      <c r="D25" s="57" t="n">
        <f aca="false">C25-C24</f>
        <v>-289</v>
      </c>
      <c r="E25" s="52" t="n">
        <f aca="false">C25-152000</f>
        <v>123574</v>
      </c>
      <c r="F25" s="51" t="n">
        <f aca="false">D25/$D$2</f>
        <v>-145.702041845223</v>
      </c>
      <c r="G25" s="51" t="n">
        <v>0</v>
      </c>
      <c r="H25" s="56" t="n">
        <v>0</v>
      </c>
      <c r="I25" s="51" t="n">
        <f aca="false">G25+H25</f>
        <v>0</v>
      </c>
      <c r="J25" s="81" t="n">
        <f aca="false">IF(L25&gt;0,L25,0)</f>
        <v>0</v>
      </c>
      <c r="K25" s="51" t="n">
        <f aca="false">I25+J25</f>
        <v>0</v>
      </c>
      <c r="L25" s="51" t="n">
        <f aca="false">F25-(I25-W25)</f>
        <v>-63.5420418452231</v>
      </c>
      <c r="M25" s="51" t="n">
        <v>4.76</v>
      </c>
      <c r="N25" s="51" t="n">
        <v>0</v>
      </c>
      <c r="O25" s="51" t="n">
        <v>0</v>
      </c>
      <c r="P25" s="6" t="n">
        <f aca="false">M25-(N25+O25)</f>
        <v>4.76</v>
      </c>
      <c r="Q25" s="51" t="n">
        <v>0</v>
      </c>
      <c r="R25" s="51" t="n">
        <v>0</v>
      </c>
      <c r="S25" s="51" t="n">
        <f aca="false">SUM(P25:R25)</f>
        <v>4.76</v>
      </c>
      <c r="T25" s="52"/>
      <c r="U25" s="51" t="n">
        <v>0</v>
      </c>
      <c r="V25" s="51" t="n">
        <v>77.4</v>
      </c>
      <c r="W25" s="6" t="n">
        <f aca="false">N25+O25+S25+U25+V25</f>
        <v>82.16</v>
      </c>
      <c r="X25" s="51" t="n">
        <f aca="false">IF(L25&lt;0,L25*-1,0)</f>
        <v>63.5420418452231</v>
      </c>
      <c r="Y25" s="51" t="n">
        <f aca="false">W25+X25</f>
        <v>145.702041845223</v>
      </c>
      <c r="Z25" s="56" t="n">
        <v>0</v>
      </c>
      <c r="AA25" s="82" t="n">
        <v>35</v>
      </c>
      <c r="AB25" s="57" t="n">
        <v>5</v>
      </c>
      <c r="AC25" s="58" t="n">
        <f aca="false">AC24+1</f>
        <v>16</v>
      </c>
      <c r="AD25" s="92"/>
      <c r="AE25" s="94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6897.83</v>
      </c>
      <c r="C26" s="52" t="n">
        <v>275646</v>
      </c>
      <c r="D26" s="57" t="n">
        <f aca="false">C26-C25</f>
        <v>72</v>
      </c>
      <c r="E26" s="52" t="n">
        <f aca="false">C26-152000</f>
        <v>123646</v>
      </c>
      <c r="F26" s="51" t="n">
        <f aca="false">D26/$D$2</f>
        <v>36.2994706327199</v>
      </c>
      <c r="G26" s="51" t="n">
        <v>118.47</v>
      </c>
      <c r="H26" s="56" t="n">
        <v>0</v>
      </c>
      <c r="I26" s="51" t="n">
        <f aca="false">G26+H26</f>
        <v>118.47</v>
      </c>
      <c r="J26" s="81" t="n">
        <f aca="false">IF(L26&gt;0,L26,0)</f>
        <v>0</v>
      </c>
      <c r="K26" s="51" t="n">
        <f aca="false">I26+J26</f>
        <v>118.47</v>
      </c>
      <c r="L26" s="51" t="n">
        <f aca="false">F26-(I26-W26)</f>
        <v>-0.0105293672800499</v>
      </c>
      <c r="M26" s="51" t="n">
        <v>4.76</v>
      </c>
      <c r="N26" s="51" t="n">
        <v>0</v>
      </c>
      <c r="O26" s="51" t="n">
        <v>0</v>
      </c>
      <c r="P26" s="6" t="n">
        <f aca="false">M26-(N26+O26)</f>
        <v>4.76</v>
      </c>
      <c r="Q26" s="51" t="n">
        <v>0</v>
      </c>
      <c r="R26" s="51" t="n">
        <v>0</v>
      </c>
      <c r="S26" s="51" t="n">
        <f aca="false">SUM(P26:R26)</f>
        <v>4.76</v>
      </c>
      <c r="T26" s="52"/>
      <c r="U26" s="51" t="n">
        <v>0</v>
      </c>
      <c r="V26" s="51" t="n">
        <v>77.4</v>
      </c>
      <c r="W26" s="6" t="n">
        <f aca="false">N26+O26+S26+U26+V26</f>
        <v>82.16</v>
      </c>
      <c r="X26" s="51" t="n">
        <f aca="false">IF(L26&lt;0,L26*-1,0)</f>
        <v>0.0105293672800499</v>
      </c>
      <c r="Y26" s="51" t="n">
        <f aca="false">W26+X26</f>
        <v>82.1705293672801</v>
      </c>
      <c r="Z26" s="56" t="n">
        <v>0</v>
      </c>
      <c r="AA26" s="82" t="n">
        <v>39</v>
      </c>
      <c r="AB26" s="57" t="n">
        <v>8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6897.8</v>
      </c>
      <c r="C27" s="52" t="n">
        <v>275537</v>
      </c>
      <c r="D27" s="57" t="n">
        <f aca="false">C27-C26</f>
        <v>-109</v>
      </c>
      <c r="E27" s="52" t="n">
        <f aca="false">C27-152000</f>
        <v>123537</v>
      </c>
      <c r="F27" s="51" t="n">
        <f aca="false">D27/$D$2</f>
        <v>-54.9533652634232</v>
      </c>
      <c r="G27" s="51" t="n">
        <v>27.19</v>
      </c>
      <c r="H27" s="56" t="n">
        <v>0</v>
      </c>
      <c r="I27" s="51" t="n">
        <f aca="false">G27+H27</f>
        <v>27.19</v>
      </c>
      <c r="J27" s="81" t="n">
        <f aca="false">IF(L27&gt;0,L27,0)</f>
        <v>0.0166347365767692</v>
      </c>
      <c r="K27" s="51" t="n">
        <f aca="false">I27+J27</f>
        <v>27.2066347365768</v>
      </c>
      <c r="L27" s="51" t="n">
        <f aca="false">F27-(I27-W27)</f>
        <v>0.0166347365767692</v>
      </c>
      <c r="M27" s="51" t="n">
        <v>4.76</v>
      </c>
      <c r="N27" s="51" t="n">
        <v>0</v>
      </c>
      <c r="O27" s="51" t="n">
        <v>0</v>
      </c>
      <c r="P27" s="6" t="n">
        <f aca="false">M27-(N27+O27)</f>
        <v>4.76</v>
      </c>
      <c r="Q27" s="51" t="n">
        <v>0</v>
      </c>
      <c r="R27" s="51" t="n">
        <v>0</v>
      </c>
      <c r="S27" s="51" t="n">
        <f aca="false">SUM(P27:R27)</f>
        <v>4.76</v>
      </c>
      <c r="T27" s="52"/>
      <c r="U27" s="51" t="n">
        <v>0</v>
      </c>
      <c r="V27" s="51" t="n">
        <v>77.4</v>
      </c>
      <c r="W27" s="6" t="n">
        <f aca="false">N27+O27+S27+U27+V27</f>
        <v>82.16</v>
      </c>
      <c r="X27" s="51" t="n">
        <f aca="false">IF(L27&lt;0,L27*-1,0)</f>
        <v>0</v>
      </c>
      <c r="Y27" s="51" t="n">
        <f aca="false">W27+X27</f>
        <v>82.16</v>
      </c>
      <c r="Z27" s="99" t="n">
        <v>0.24</v>
      </c>
      <c r="AA27" s="82" t="n">
        <v>38</v>
      </c>
      <c r="AB27" s="57" t="n">
        <v>12</v>
      </c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6897.79</v>
      </c>
      <c r="C28" s="100" t="n">
        <v>275501</v>
      </c>
      <c r="D28" s="57" t="n">
        <f aca="false">C28-C27</f>
        <v>-36</v>
      </c>
      <c r="E28" s="52" t="n">
        <f aca="false">C28-152000</f>
        <v>123501</v>
      </c>
      <c r="F28" s="51" t="n">
        <f aca="false">D28/$D$2</f>
        <v>-18.14973531636</v>
      </c>
      <c r="G28" s="51" t="n">
        <v>62.25</v>
      </c>
      <c r="H28" s="56" t="n">
        <v>0</v>
      </c>
      <c r="I28" s="51" t="n">
        <f aca="false">G28+H28</f>
        <v>62.25</v>
      </c>
      <c r="J28" s="81" t="n">
        <f aca="false">IF(L28&gt;0,L28,0)</f>
        <v>0.000264683640036623</v>
      </c>
      <c r="K28" s="51" t="n">
        <f aca="false">I28+J28</f>
        <v>62.25026468364</v>
      </c>
      <c r="L28" s="51" t="n">
        <f aca="false">F28-(I28-W28)</f>
        <v>0.000264683640036623</v>
      </c>
      <c r="M28" s="51" t="n">
        <v>3</v>
      </c>
      <c r="N28" s="51" t="n">
        <v>0</v>
      </c>
      <c r="O28" s="51" t="n">
        <v>0</v>
      </c>
      <c r="P28" s="6" t="n">
        <f aca="false">M28-(N28+O28)</f>
        <v>3</v>
      </c>
      <c r="Q28" s="51" t="n">
        <v>0</v>
      </c>
      <c r="R28" s="51" t="n">
        <v>0</v>
      </c>
      <c r="S28" s="51" t="n">
        <f aca="false">SUM(P28:R28)</f>
        <v>3</v>
      </c>
      <c r="T28" s="52"/>
      <c r="U28" s="51" t="n">
        <v>0</v>
      </c>
      <c r="V28" s="51" t="n">
        <v>77.4</v>
      </c>
      <c r="W28" s="6" t="n">
        <f aca="false">N28+O28+S28+U28+V28</f>
        <v>80.4</v>
      </c>
      <c r="X28" s="51" t="n">
        <f aca="false">IF(L28&lt;0,L28*-1,0)</f>
        <v>0</v>
      </c>
      <c r="Y28" s="51" t="n">
        <f aca="false">W28+X28</f>
        <v>80.4</v>
      </c>
      <c r="Z28" s="56" t="n">
        <v>0.14</v>
      </c>
      <c r="AA28" s="82" t="n">
        <v>34</v>
      </c>
      <c r="AB28" s="57" t="n">
        <v>20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6897.77</v>
      </c>
      <c r="C29" s="52" t="n">
        <v>275429</v>
      </c>
      <c r="D29" s="57" t="n">
        <f aca="false">C29-C28</f>
        <v>-72</v>
      </c>
      <c r="E29" s="52" t="n">
        <f aca="false">C29-152000</f>
        <v>123429</v>
      </c>
      <c r="F29" s="51" t="n">
        <f aca="false">D29/$D$2</f>
        <v>-36.2994706327199</v>
      </c>
      <c r="G29" s="51" t="n">
        <v>41.09</v>
      </c>
      <c r="H29" s="56" t="n">
        <v>0</v>
      </c>
      <c r="I29" s="51" t="n">
        <f aca="false">G29+H29</f>
        <v>41.09</v>
      </c>
      <c r="J29" s="81" t="n">
        <f aca="false">IF(L29&gt;0,L29,0)</f>
        <v>0.0105293672800642</v>
      </c>
      <c r="K29" s="51" t="n">
        <f aca="false">I29+J29</f>
        <v>41.1005293672801</v>
      </c>
      <c r="L29" s="51" t="n">
        <f aca="false">F29-(I29-W29)</f>
        <v>0.0105293672800642</v>
      </c>
      <c r="M29" s="51" t="n">
        <v>0</v>
      </c>
      <c r="N29" s="51" t="n">
        <v>0</v>
      </c>
      <c r="O29" s="51" t="n">
        <v>0</v>
      </c>
      <c r="P29" s="6" t="n">
        <f aca="false">M29-(N29+O29)</f>
        <v>0</v>
      </c>
      <c r="Q29" s="51" t="n">
        <v>0</v>
      </c>
      <c r="R29" s="51" t="n">
        <v>0</v>
      </c>
      <c r="S29" s="51" t="n">
        <f aca="false">SUM(P29:R29)</f>
        <v>0</v>
      </c>
      <c r="T29" s="52"/>
      <c r="U29" s="51" t="n">
        <v>0</v>
      </c>
      <c r="V29" s="51" t="n">
        <v>77.4</v>
      </c>
      <c r="W29" s="6" t="n">
        <f aca="false">N29+O29+S29+U29+V29</f>
        <v>77.4</v>
      </c>
      <c r="X29" s="51" t="n">
        <f aca="false">IF(L29&lt;0,L29*-1,0)</f>
        <v>0</v>
      </c>
      <c r="Y29" s="51" t="n">
        <f aca="false">W29+X29</f>
        <v>77.4</v>
      </c>
      <c r="Z29" s="56" t="n">
        <v>0</v>
      </c>
      <c r="AA29" s="82" t="n">
        <v>36</v>
      </c>
      <c r="AB29" s="57" t="n">
        <v>4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6897.74</v>
      </c>
      <c r="C30" s="52" t="n">
        <v>275320</v>
      </c>
      <c r="D30" s="57" t="n">
        <f aca="false">C30-C29</f>
        <v>-109</v>
      </c>
      <c r="E30" s="52" t="n">
        <f aca="false">C30-152000</f>
        <v>123320</v>
      </c>
      <c r="F30" s="51" t="n">
        <f aca="false">D30/$D$2</f>
        <v>-54.9533652634232</v>
      </c>
      <c r="G30" s="51" t="n">
        <v>27.19</v>
      </c>
      <c r="H30" s="56" t="n">
        <v>0</v>
      </c>
      <c r="I30" s="51" t="n">
        <f aca="false">G30+H30</f>
        <v>27.19</v>
      </c>
      <c r="J30" s="81" t="n">
        <f aca="false">IF(L30&gt;0,L30,0)</f>
        <v>0.0166347365767692</v>
      </c>
      <c r="K30" s="51" t="n">
        <f aca="false">I30+J30</f>
        <v>27.2066347365768</v>
      </c>
      <c r="L30" s="51" t="n">
        <f aca="false">F30-(I30-W30)</f>
        <v>0.0166347365767692</v>
      </c>
      <c r="M30" s="51" t="n">
        <v>4.76</v>
      </c>
      <c r="N30" s="51" t="n">
        <v>0</v>
      </c>
      <c r="O30" s="51" t="n">
        <v>0</v>
      </c>
      <c r="P30" s="6" t="n">
        <f aca="false">M30-(N30+O30)</f>
        <v>4.76</v>
      </c>
      <c r="Q30" s="51" t="n">
        <v>0</v>
      </c>
      <c r="R30" s="51" t="n">
        <v>0</v>
      </c>
      <c r="S30" s="51" t="n">
        <f aca="false">SUM(P30:R30)</f>
        <v>4.76</v>
      </c>
      <c r="T30" s="52"/>
      <c r="U30" s="51" t="n">
        <v>0</v>
      </c>
      <c r="V30" s="51" t="n">
        <v>77.4</v>
      </c>
      <c r="W30" s="6" t="n">
        <f aca="false">N30+O30+S30+U30+V30</f>
        <v>82.16</v>
      </c>
      <c r="X30" s="51" t="n">
        <f aca="false">IF(L30&lt;0,L30*-1,0)</f>
        <v>0</v>
      </c>
      <c r="Y30" s="51" t="n">
        <f aca="false">W30+X30</f>
        <v>82.16</v>
      </c>
      <c r="Z30" s="56" t="n">
        <v>0</v>
      </c>
      <c r="AA30" s="57" t="n">
        <v>38</v>
      </c>
      <c r="AB30" s="57" t="n">
        <v>10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6897.71</v>
      </c>
      <c r="C31" s="52" t="n">
        <v>275212</v>
      </c>
      <c r="D31" s="57" t="n">
        <f aca="false">C31-C30</f>
        <v>-108</v>
      </c>
      <c r="E31" s="52" t="n">
        <f aca="false">C31-152000</f>
        <v>123212</v>
      </c>
      <c r="F31" s="51" t="n">
        <f aca="false">D31/$D$2</f>
        <v>-54.4492059490799</v>
      </c>
      <c r="G31" s="51" t="n">
        <v>27.73</v>
      </c>
      <c r="H31" s="56" t="n">
        <v>0</v>
      </c>
      <c r="I31" s="51" t="n">
        <f aca="false">G31+H31</f>
        <v>27.73</v>
      </c>
      <c r="J31" s="81" t="n">
        <f aca="false">IF(L31&gt;0,L31,0)</f>
        <v>0.0107940509200972</v>
      </c>
      <c r="K31" s="51" t="n">
        <f aca="false">I31+J31</f>
        <v>27.7407940509201</v>
      </c>
      <c r="L31" s="51" t="n">
        <f aca="false">F31-(I31-W31)</f>
        <v>0.0107940509200972</v>
      </c>
      <c r="M31" s="51" t="n">
        <v>4.79</v>
      </c>
      <c r="N31" s="51" t="n">
        <v>0</v>
      </c>
      <c r="O31" s="51" t="n">
        <v>0</v>
      </c>
      <c r="P31" s="6" t="n">
        <f aca="false">M31-(N31+O31)</f>
        <v>4.79</v>
      </c>
      <c r="Q31" s="51" t="n">
        <v>0</v>
      </c>
      <c r="R31" s="51" t="n">
        <v>0</v>
      </c>
      <c r="S31" s="51" t="n">
        <f aca="false">SUM(P31:R31)</f>
        <v>4.79</v>
      </c>
      <c r="T31" s="52"/>
      <c r="U31" s="51" t="n">
        <v>0</v>
      </c>
      <c r="V31" s="51" t="n">
        <v>77.4</v>
      </c>
      <c r="W31" s="6" t="n">
        <f aca="false">N31+O31+S31+U31+V31</f>
        <v>82.19</v>
      </c>
      <c r="X31" s="51" t="n">
        <f aca="false">IF(L31&lt;0,L31*-1,0)</f>
        <v>0</v>
      </c>
      <c r="Y31" s="51" t="n">
        <f aca="false">W31+X31</f>
        <v>82.19</v>
      </c>
      <c r="Z31" s="56" t="n">
        <v>0</v>
      </c>
      <c r="AA31" s="57" t="n">
        <v>39</v>
      </c>
      <c r="AB31" s="57" t="n">
        <v>20</v>
      </c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6897.68</v>
      </c>
      <c r="C32" s="52" t="n">
        <v>275103</v>
      </c>
      <c r="D32" s="57" t="n">
        <f aca="false">C32-C31</f>
        <v>-109</v>
      </c>
      <c r="E32" s="52" t="n">
        <f aca="false">C32-152000</f>
        <v>123103</v>
      </c>
      <c r="F32" s="51" t="n">
        <f aca="false">D32/$D$2</f>
        <v>-54.9533652634232</v>
      </c>
      <c r="G32" s="51" t="n">
        <v>26.83</v>
      </c>
      <c r="H32" s="56" t="n">
        <v>0</v>
      </c>
      <c r="I32" s="51" t="n">
        <f aca="false">G32+H32</f>
        <v>26.83</v>
      </c>
      <c r="J32" s="81" t="n">
        <f aca="false">IF(L32&gt;0,L32,0)</f>
        <v>0.0166347365767692</v>
      </c>
      <c r="K32" s="51" t="n">
        <f aca="false">I32+J32</f>
        <v>26.8466347365768</v>
      </c>
      <c r="L32" s="51" t="n">
        <f aca="false">F32-(I32-W32)</f>
        <v>0.0166347365767692</v>
      </c>
      <c r="M32" s="51" t="n">
        <v>4.4</v>
      </c>
      <c r="N32" s="51" t="n">
        <v>0</v>
      </c>
      <c r="O32" s="51" t="n">
        <v>0</v>
      </c>
      <c r="P32" s="6" t="n">
        <f aca="false">M32-(N32+O32)</f>
        <v>4.4</v>
      </c>
      <c r="Q32" s="51" t="n">
        <v>0</v>
      </c>
      <c r="R32" s="51" t="n">
        <v>0</v>
      </c>
      <c r="S32" s="51" t="n">
        <f aca="false">SUM(P32:R32)</f>
        <v>4.4</v>
      </c>
      <c r="T32" s="52"/>
      <c r="U32" s="51" t="n">
        <v>0</v>
      </c>
      <c r="V32" s="51" t="n">
        <v>77.4</v>
      </c>
      <c r="W32" s="6" t="n">
        <f aca="false">N32+O32+S32+U32+V32</f>
        <v>81.8</v>
      </c>
      <c r="X32" s="51" t="n">
        <f aca="false">IF(L32&lt;0,L32*-1,0)</f>
        <v>0</v>
      </c>
      <c r="Y32" s="51" t="n">
        <f aca="false">W32+X32</f>
        <v>81.8</v>
      </c>
      <c r="Z32" s="56" t="n">
        <v>0</v>
      </c>
      <c r="AA32" s="57" t="n">
        <v>46</v>
      </c>
      <c r="AB32" s="82" t="n">
        <v>17</v>
      </c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6897.65</v>
      </c>
      <c r="C33" s="52" t="n">
        <v>274995</v>
      </c>
      <c r="D33" s="57" t="n">
        <f aca="false">C33-C32</f>
        <v>-108</v>
      </c>
      <c r="E33" s="52" t="n">
        <f aca="false">C33-152000</f>
        <v>122995</v>
      </c>
      <c r="F33" s="51" t="n">
        <f aca="false">D33/$D$2</f>
        <v>-54.4492059490799</v>
      </c>
      <c r="G33" s="51" t="n">
        <v>27.34</v>
      </c>
      <c r="H33" s="56" t="n">
        <v>0</v>
      </c>
      <c r="I33" s="51" t="n">
        <f aca="false">G33+H33</f>
        <v>27.34</v>
      </c>
      <c r="J33" s="81" t="n">
        <f aca="false">IF(L33&gt;0,L33,0)</f>
        <v>0.0107940509200972</v>
      </c>
      <c r="K33" s="51" t="n">
        <f aca="false">I33+J33</f>
        <v>27.3507940509201</v>
      </c>
      <c r="L33" s="51" t="n">
        <f aca="false">F33-(I33-W33)</f>
        <v>0.0107940509200972</v>
      </c>
      <c r="M33" s="51" t="n">
        <v>4.4</v>
      </c>
      <c r="N33" s="51" t="n">
        <v>0</v>
      </c>
      <c r="O33" s="51" t="n">
        <v>0</v>
      </c>
      <c r="P33" s="6" t="n">
        <f aca="false">M33-(N33+O33)</f>
        <v>4.4</v>
      </c>
      <c r="Q33" s="51" t="n">
        <v>0</v>
      </c>
      <c r="R33" s="51" t="n">
        <v>0</v>
      </c>
      <c r="S33" s="51" t="n">
        <f aca="false">SUM(P33:R33)</f>
        <v>4.4</v>
      </c>
      <c r="T33" s="52"/>
      <c r="U33" s="51" t="n">
        <v>0</v>
      </c>
      <c r="V33" s="51" t="n">
        <v>77.4</v>
      </c>
      <c r="W33" s="6" t="n">
        <f aca="false">N33+O33+S33+U33+V33</f>
        <v>81.8</v>
      </c>
      <c r="X33" s="51" t="n">
        <f aca="false">IF(L33&lt;0,L33*-1,0)</f>
        <v>0</v>
      </c>
      <c r="Y33" s="51" t="n">
        <f aca="false">W33+X33</f>
        <v>81.8</v>
      </c>
      <c r="Z33" s="56" t="n">
        <v>0</v>
      </c>
      <c r="AA33" s="57" t="n">
        <v>54</v>
      </c>
      <c r="AB33" s="82" t="n">
        <v>14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6897.58</v>
      </c>
      <c r="C34" s="52" t="n">
        <v>274741</v>
      </c>
      <c r="D34" s="57" t="n">
        <f aca="false">C34-C33</f>
        <v>-254</v>
      </c>
      <c r="E34" s="52" t="n">
        <f aca="false">C34-152000</f>
        <v>122741</v>
      </c>
      <c r="F34" s="51" t="n">
        <f aca="false">D34/$D$2</f>
        <v>-128.056465843206</v>
      </c>
      <c r="G34" s="51" t="n">
        <v>0</v>
      </c>
      <c r="H34" s="56" t="n">
        <v>0</v>
      </c>
      <c r="I34" s="51" t="n">
        <f aca="false">G34+H34</f>
        <v>0</v>
      </c>
      <c r="J34" s="81" t="n">
        <f aca="false">IF(L34&gt;0,L34,0)</f>
        <v>0</v>
      </c>
      <c r="K34" s="51" t="n">
        <f aca="false">I34+J34</f>
        <v>0</v>
      </c>
      <c r="L34" s="51" t="n">
        <f aca="false">F34-(I34-W34)</f>
        <v>-29.9864658432064</v>
      </c>
      <c r="M34" s="51" t="n">
        <v>20.67</v>
      </c>
      <c r="N34" s="51" t="n">
        <v>0</v>
      </c>
      <c r="O34" s="51" t="n">
        <v>0</v>
      </c>
      <c r="P34" s="6" t="n">
        <f aca="false">M34-(N34+O34)</f>
        <v>20.67</v>
      </c>
      <c r="Q34" s="51" t="n">
        <v>0</v>
      </c>
      <c r="R34" s="51" t="n">
        <v>0</v>
      </c>
      <c r="S34" s="51" t="n">
        <f aca="false">SUM(P34:R34)</f>
        <v>20.67</v>
      </c>
      <c r="T34" s="52"/>
      <c r="U34" s="51" t="n">
        <v>0</v>
      </c>
      <c r="V34" s="51" t="n">
        <v>77.4</v>
      </c>
      <c r="W34" s="6" t="n">
        <f aca="false">N34+O34+S34+U34+V34</f>
        <v>98.07</v>
      </c>
      <c r="X34" s="51" t="n">
        <f aca="false">IF(L34&lt;0,L34*-1,0)</f>
        <v>29.9864658432064</v>
      </c>
      <c r="Y34" s="51" t="n">
        <f aca="false">W34+X34</f>
        <v>128.056465843206</v>
      </c>
      <c r="Z34" s="56" t="n">
        <v>0</v>
      </c>
      <c r="AA34" s="57" t="n">
        <v>54</v>
      </c>
      <c r="AB34" s="82" t="n">
        <v>17</v>
      </c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6597.54</v>
      </c>
      <c r="C35" s="52" t="n">
        <v>274597</v>
      </c>
      <c r="D35" s="57" t="n">
        <f aca="false">C35-C34</f>
        <v>-144</v>
      </c>
      <c r="E35" s="52" t="n">
        <f aca="false">C35-152000</f>
        <v>122597</v>
      </c>
      <c r="F35" s="51" t="n">
        <f aca="false">D35/$D$2</f>
        <v>-72.5989412654399</v>
      </c>
      <c r="G35" s="51" t="n">
        <v>45.28</v>
      </c>
      <c r="H35" s="56" t="n">
        <v>0</v>
      </c>
      <c r="I35" s="51" t="n">
        <f aca="false">G35+H35</f>
        <v>45.28</v>
      </c>
      <c r="J35" s="81" t="n">
        <f aca="false">IF(L35&gt;0,L35,0)</f>
        <v>0.0210587345601283</v>
      </c>
      <c r="K35" s="51" t="n">
        <f aca="false">I35+J35</f>
        <v>45.3010587345601</v>
      </c>
      <c r="L35" s="51" t="n">
        <f aca="false">F35-(I35-W35)</f>
        <v>0.0210587345601283</v>
      </c>
      <c r="M35" s="51" t="n">
        <v>40.5</v>
      </c>
      <c r="N35" s="51" t="n">
        <v>0</v>
      </c>
      <c r="O35" s="51" t="n">
        <v>0</v>
      </c>
      <c r="P35" s="6" t="n">
        <f aca="false">M35-(N35+O35)</f>
        <v>40.5</v>
      </c>
      <c r="Q35" s="51" t="n">
        <v>0</v>
      </c>
      <c r="R35" s="51" t="n">
        <v>0</v>
      </c>
      <c r="S35" s="51" t="n">
        <f aca="false">SUM(P35:R35)</f>
        <v>40.5</v>
      </c>
      <c r="T35" s="52"/>
      <c r="U35" s="51" t="n">
        <v>0</v>
      </c>
      <c r="V35" s="51" t="n">
        <v>77.4</v>
      </c>
      <c r="W35" s="6" t="n">
        <f aca="false">N35+O35+S35+U35+V35</f>
        <v>117.9</v>
      </c>
      <c r="X35" s="51" t="n">
        <f aca="false">IF(L35&lt;0,L35*-1,0)</f>
        <v>0</v>
      </c>
      <c r="Y35" s="51" t="n">
        <f aca="false">W35+X35</f>
        <v>117.9</v>
      </c>
      <c r="Z35" s="56" t="n">
        <v>0.16</v>
      </c>
      <c r="AA35" s="57" t="n">
        <v>55</v>
      </c>
      <c r="AB35" s="57" t="n">
        <v>19</v>
      </c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6897.54</v>
      </c>
      <c r="C36" s="52" t="n">
        <v>274597</v>
      </c>
      <c r="D36" s="57" t="n">
        <f aca="false">C36-C35</f>
        <v>0</v>
      </c>
      <c r="E36" s="52" t="n">
        <f aca="false">C36-152000</f>
        <v>122597</v>
      </c>
      <c r="F36" s="51" t="n">
        <f aca="false">D36/$D$2</f>
        <v>0</v>
      </c>
      <c r="G36" s="51" t="n">
        <v>117.24</v>
      </c>
      <c r="H36" s="56" t="n">
        <v>0</v>
      </c>
      <c r="I36" s="51" t="n">
        <f aca="false">G36+H36</f>
        <v>117.24</v>
      </c>
      <c r="J36" s="81" t="n">
        <f aca="false">IF(L36&gt;0,L36,0)</f>
        <v>0</v>
      </c>
      <c r="K36" s="51" t="n">
        <f aca="false">I36+J36</f>
        <v>117.24</v>
      </c>
      <c r="L36" s="51" t="n">
        <f aca="false">F36-(I36-W36)</f>
        <v>0</v>
      </c>
      <c r="M36" s="51" t="n">
        <v>39.79</v>
      </c>
      <c r="N36" s="51" t="n">
        <v>0</v>
      </c>
      <c r="O36" s="51" t="n">
        <v>0</v>
      </c>
      <c r="P36" s="6" t="n">
        <f aca="false">M36-(N36+O36)</f>
        <v>39.79</v>
      </c>
      <c r="Q36" s="51" t="n">
        <v>0</v>
      </c>
      <c r="R36" s="51" t="n">
        <v>0</v>
      </c>
      <c r="S36" s="51" t="n">
        <f aca="false">SUM(P36:R36)</f>
        <v>39.79</v>
      </c>
      <c r="T36" s="52"/>
      <c r="U36" s="51" t="n">
        <v>0</v>
      </c>
      <c r="V36" s="51" t="n">
        <v>77.45</v>
      </c>
      <c r="W36" s="6" t="n">
        <f aca="false">N36+O36+S36+U36+V36</f>
        <v>117.24</v>
      </c>
      <c r="X36" s="51" t="n">
        <f aca="false">IF(L36&lt;0,L36*-1,0)</f>
        <v>0</v>
      </c>
      <c r="Y36" s="51" t="n">
        <f aca="false">W36+X36</f>
        <v>117.24</v>
      </c>
      <c r="Z36" s="56" t="n">
        <v>0.3</v>
      </c>
      <c r="AA36" s="57" t="n">
        <v>47</v>
      </c>
      <c r="AB36" s="57" t="n">
        <v>24</v>
      </c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v>28</v>
      </c>
      <c r="B37" s="73" t="n">
        <v>6897.51</v>
      </c>
      <c r="C37" s="52" t="n">
        <v>274488</v>
      </c>
      <c r="D37" s="57" t="n">
        <f aca="false">C37-C36</f>
        <v>-109</v>
      </c>
      <c r="E37" s="52" t="n">
        <f aca="false">C37-152000</f>
        <v>122488</v>
      </c>
      <c r="F37" s="51" t="n">
        <f aca="false">D37/$D$2</f>
        <v>-54.9533652634232</v>
      </c>
      <c r="G37" s="51" t="n">
        <v>62.34</v>
      </c>
      <c r="H37" s="56" t="n">
        <v>0</v>
      </c>
      <c r="I37" s="51" t="n">
        <f aca="false">G37+H37</f>
        <v>62.34</v>
      </c>
      <c r="J37" s="81" t="n">
        <f aca="false">IF(L37&gt;0,L37,0)</f>
        <v>0.016634736576755</v>
      </c>
      <c r="K37" s="51" t="n">
        <f aca="false">I37+J37</f>
        <v>62.3566347365768</v>
      </c>
      <c r="L37" s="51" t="n">
        <f aca="false">F37-(I37-W37)</f>
        <v>0.016634736576755</v>
      </c>
      <c r="M37" s="51" t="n">
        <v>39.91</v>
      </c>
      <c r="N37" s="51" t="n">
        <v>0</v>
      </c>
      <c r="O37" s="51" t="n">
        <v>0</v>
      </c>
      <c r="P37" s="6" t="n">
        <f aca="false">M37-(N37+O37)</f>
        <v>39.91</v>
      </c>
      <c r="Q37" s="51" t="n">
        <v>0</v>
      </c>
      <c r="R37" s="51" t="n">
        <v>0</v>
      </c>
      <c r="S37" s="51" t="n">
        <f aca="false">SUM(P37:R37)</f>
        <v>39.91</v>
      </c>
      <c r="T37" s="52"/>
      <c r="U37" s="51" t="n">
        <v>0</v>
      </c>
      <c r="V37" s="51" t="n">
        <v>77.4</v>
      </c>
      <c r="W37" s="6" t="n">
        <f aca="false">N37+O37+S37+U37+V37</f>
        <v>117.31</v>
      </c>
      <c r="X37" s="51" t="n">
        <f aca="false">IF(L37&lt;0,L37*-1,0)</f>
        <v>0</v>
      </c>
      <c r="Y37" s="51" t="n">
        <f aca="false">W37+X37</f>
        <v>117.31</v>
      </c>
      <c r="Z37" s="56" t="n">
        <v>0.16</v>
      </c>
      <c r="AA37" s="57" t="n">
        <v>39</v>
      </c>
      <c r="AB37" s="57" t="n">
        <v>29</v>
      </c>
      <c r="AC37" s="58" t="n">
        <v>28</v>
      </c>
      <c r="AD37" s="92"/>
      <c r="AE37" s="94"/>
      <c r="AF37" s="93"/>
    </row>
    <row r="38" customFormat="false" ht="3" hidden="false" customHeight="true" outlineLevel="0" collapsed="false">
      <c r="A38" s="74"/>
      <c r="B38" s="74"/>
      <c r="C38" s="76"/>
      <c r="D38" s="74"/>
      <c r="E38" s="76"/>
      <c r="F38" s="74"/>
      <c r="G38" s="74"/>
      <c r="H38" s="78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6"/>
      <c r="U38" s="74"/>
      <c r="V38" s="74"/>
      <c r="W38" s="74"/>
      <c r="X38" s="74"/>
      <c r="Y38" s="74"/>
      <c r="Z38" s="78"/>
      <c r="AA38" s="79"/>
      <c r="AB38" s="79"/>
      <c r="AC38" s="80"/>
      <c r="AD38" s="92"/>
      <c r="AE38" s="92"/>
      <c r="AF38" s="93"/>
    </row>
    <row r="39" customFormat="false" ht="11.1" hidden="false" customHeight="true" outlineLevel="0" collapsed="false">
      <c r="A39" s="51" t="s">
        <v>44</v>
      </c>
      <c r="B39" s="51"/>
      <c r="C39" s="52"/>
      <c r="D39" s="52"/>
      <c r="E39" s="52"/>
      <c r="F39" s="52" t="n">
        <f aca="false">SUM(F10:F37)</f>
        <v>-1481.72422485505</v>
      </c>
      <c r="G39" s="52" t="n">
        <f aca="false">SUM(G10:G37)</f>
        <v>1037.46</v>
      </c>
      <c r="H39" s="56" t="n">
        <f aca="false">SUM(H10:H37)</f>
        <v>0</v>
      </c>
      <c r="I39" s="52" t="n">
        <f aca="false">SUM(I10:I37)</f>
        <v>1037.46</v>
      </c>
      <c r="J39" s="52" t="n">
        <f aca="false">SUM(J10:J37)</f>
        <v>0.344812200655504</v>
      </c>
      <c r="K39" s="52" t="n">
        <f aca="false">SUM(K10:K37)</f>
        <v>1037.80481220066</v>
      </c>
      <c r="L39" s="52" t="n">
        <f aca="false">SUM(L10:L37)</f>
        <v>-93.194224855054</v>
      </c>
      <c r="M39" s="52" t="n">
        <f aca="false">SUM(M10:M37)</f>
        <v>247.9</v>
      </c>
      <c r="N39" s="52" t="n">
        <f aca="false">SUM(N10:N37)</f>
        <v>0</v>
      </c>
      <c r="O39" s="52" t="n">
        <f aca="false">SUM(O10:O37)</f>
        <v>0</v>
      </c>
      <c r="P39" s="52" t="n">
        <f aca="false">SUM(P10:P37)</f>
        <v>247.9</v>
      </c>
      <c r="Q39" s="52" t="n">
        <f aca="false">SUM(Q10:Q37)</f>
        <v>0</v>
      </c>
      <c r="R39" s="52" t="n">
        <f aca="false">SUM(R10:R37)</f>
        <v>0</v>
      </c>
      <c r="S39" s="52" t="n">
        <f aca="false">SUM(S10:S37)</f>
        <v>247.9</v>
      </c>
      <c r="T39" s="52"/>
      <c r="U39" s="52" t="n">
        <f aca="false">SUM(U10:U37)</f>
        <v>0</v>
      </c>
      <c r="V39" s="52" t="n">
        <f aca="false">SUM(V10:V37)</f>
        <v>2178.09</v>
      </c>
      <c r="W39" s="52" t="n">
        <f aca="false">SUM(W10:W37)</f>
        <v>2425.99</v>
      </c>
      <c r="X39" s="52" t="n">
        <f aca="false">SUM(X10:X37)</f>
        <v>93.5390370557095</v>
      </c>
      <c r="Y39" s="52" t="n">
        <f aca="false">SUM(Y10:Y37)</f>
        <v>2519.52903705571</v>
      </c>
      <c r="Z39" s="56" t="n">
        <f aca="false">SUM(Z10:Z37)</f>
        <v>2.19</v>
      </c>
      <c r="AA39" s="57" t="n">
        <f aca="false">AVERAGE(AA10:AA37)</f>
        <v>40.0714285714286</v>
      </c>
      <c r="AB39" s="57" t="n">
        <f aca="false">AVERAGE(AB10:AB37)</f>
        <v>12.5714285714286</v>
      </c>
      <c r="AC39" s="58" t="s">
        <v>57</v>
      </c>
      <c r="AD39" s="92"/>
      <c r="AE39" s="92"/>
      <c r="AF39" s="93"/>
    </row>
    <row r="40" customFormat="false" ht="11.1" hidden="false" customHeight="true" outlineLevel="0" collapsed="false">
      <c r="A40" s="51" t="s">
        <v>46</v>
      </c>
      <c r="B40" s="51"/>
      <c r="C40" s="52"/>
      <c r="D40" s="52" t="n">
        <f aca="false">SUM(D10:D37)</f>
        <v>-2939</v>
      </c>
      <c r="E40" s="52"/>
      <c r="F40" s="52" t="n">
        <f aca="false">F39*$D$2</f>
        <v>-2939</v>
      </c>
      <c r="G40" s="52" t="n">
        <f aca="false">G39*$D$2</f>
        <v>2057.80191</v>
      </c>
      <c r="H40" s="56" t="n">
        <f aca="false">H39*$D$2</f>
        <v>0</v>
      </c>
      <c r="I40" s="52" t="n">
        <f aca="false">I39*$D$2</f>
        <v>2057.80191</v>
      </c>
      <c r="J40" s="52" t="n">
        <f aca="false">J39*$D$2</f>
        <v>0.683935000000192</v>
      </c>
      <c r="K40" s="52" t="n">
        <f aca="false">K39*$D$2</f>
        <v>2058.485845</v>
      </c>
      <c r="L40" s="52" t="n">
        <f aca="false">L39*$D$2</f>
        <v>-184.850745</v>
      </c>
      <c r="M40" s="52" t="n">
        <f aca="false">M39*$D$2</f>
        <v>491.70965</v>
      </c>
      <c r="N40" s="52" t="n">
        <f aca="false">N39*$D$2</f>
        <v>0</v>
      </c>
      <c r="O40" s="52" t="n">
        <f aca="false">O39*$D$2</f>
        <v>0</v>
      </c>
      <c r="P40" s="52" t="n">
        <f aca="false">P39*$D$2</f>
        <v>491.70965</v>
      </c>
      <c r="Q40" s="52" t="n">
        <f aca="false">Q39*$D$2</f>
        <v>0</v>
      </c>
      <c r="R40" s="52" t="n">
        <f aca="false">R39*$D$2</f>
        <v>0</v>
      </c>
      <c r="S40" s="52" t="n">
        <f aca="false">S39*$D$2</f>
        <v>491.70965</v>
      </c>
      <c r="T40" s="52"/>
      <c r="U40" s="52" t="n">
        <f aca="false">U39*$D$2</f>
        <v>0</v>
      </c>
      <c r="V40" s="52" t="n">
        <f aca="false">V39*$D$2</f>
        <v>4320.241515</v>
      </c>
      <c r="W40" s="52" t="n">
        <f aca="false">W39*$D$2</f>
        <v>4811.951165</v>
      </c>
      <c r="X40" s="52" t="n">
        <f aca="false">X39*$D$2</f>
        <v>185.53468</v>
      </c>
      <c r="Y40" s="52" t="n">
        <f aca="false">Y39*$D$2</f>
        <v>4997.485845</v>
      </c>
      <c r="Z40" s="56"/>
      <c r="AA40" s="57" t="n">
        <f aca="false">MAX(AA10:AA37)</f>
        <v>55</v>
      </c>
      <c r="AB40" s="57" t="n">
        <f aca="false">MAX(AB10:AB37)</f>
        <v>29</v>
      </c>
      <c r="AC40" s="58" t="s">
        <v>47</v>
      </c>
      <c r="AD40" s="92"/>
      <c r="AE40" s="92"/>
      <c r="AF40" s="93"/>
    </row>
    <row r="41" customFormat="false" ht="3" hidden="false" customHeight="true" outlineLevel="0" collapsed="false">
      <c r="A41" s="74"/>
      <c r="B41" s="74"/>
      <c r="C41" s="76"/>
      <c r="D41" s="76"/>
      <c r="E41" s="76"/>
      <c r="F41" s="76"/>
      <c r="G41" s="76"/>
      <c r="H41" s="78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56"/>
      <c r="AA41" s="57"/>
      <c r="AB41" s="57"/>
      <c r="AC41" s="58"/>
      <c r="AD41" s="92"/>
      <c r="AE41" s="92"/>
      <c r="AF41" s="93"/>
    </row>
    <row r="42" customFormat="false" ht="11.1" hidden="false" customHeight="true" outlineLevel="0" collapsed="false">
      <c r="A42" s="51" t="s">
        <v>48</v>
      </c>
      <c r="B42" s="51"/>
      <c r="C42" s="52"/>
      <c r="D42" s="52"/>
      <c r="E42" s="52"/>
      <c r="F42" s="52"/>
      <c r="G42" s="52"/>
      <c r="H42" s="56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6"/>
      <c r="AA42" s="57" t="n">
        <f aca="false">MIN(AA10:AA37)</f>
        <v>26</v>
      </c>
      <c r="AB42" s="57" t="n">
        <f aca="false">MIN(AB10:AB37)</f>
        <v>-8</v>
      </c>
      <c r="AC42" s="58" t="s">
        <v>49</v>
      </c>
      <c r="AD42" s="92"/>
      <c r="AE42" s="92"/>
      <c r="AF42" s="93"/>
    </row>
    <row r="43" customFormat="false" ht="11.1" hidden="false" customHeight="true" outlineLevel="0" collapsed="false">
      <c r="A43" s="51" t="s">
        <v>50</v>
      </c>
      <c r="B43" s="51"/>
      <c r="C43" s="52"/>
      <c r="D43" s="52"/>
      <c r="E43" s="52"/>
      <c r="F43" s="52"/>
      <c r="G43" s="52"/>
      <c r="H43" s="56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6"/>
      <c r="AA43" s="57"/>
      <c r="AB43" s="57"/>
      <c r="AC43" s="58"/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8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51</v>
      </c>
      <c r="B45" s="51"/>
      <c r="C45" s="52"/>
      <c r="D45" s="52"/>
      <c r="E45" s="52"/>
      <c r="F45" s="52" t="n">
        <f aca="false">F8+F39</f>
        <v>-11089.9924376103</v>
      </c>
      <c r="G45" s="52" t="n">
        <f aca="false">G8+G39</f>
        <v>2882.866</v>
      </c>
      <c r="H45" s="56" t="n">
        <f aca="false">H8+H39</f>
        <v>0</v>
      </c>
      <c r="I45" s="52" t="n">
        <f aca="false">I8+I39</f>
        <v>3289.356</v>
      </c>
      <c r="J45" s="52" t="n">
        <f aca="false">J8+J39</f>
        <v>344.523485757499</v>
      </c>
      <c r="K45" s="52" t="n">
        <f aca="false">K8+K39</f>
        <v>3560.29400554575</v>
      </c>
      <c r="L45" s="52" t="n">
        <f aca="false">L8+L39</f>
        <v>-1215.20843761028</v>
      </c>
      <c r="M45" s="52" t="n">
        <f aca="false">M8+M39</f>
        <v>1174.76</v>
      </c>
      <c r="N45" s="52" t="n">
        <f aca="false">N8+N39</f>
        <v>0</v>
      </c>
      <c r="O45" s="52" t="n">
        <f aca="false">O8+O39</f>
        <v>0</v>
      </c>
      <c r="P45" s="52" t="n">
        <f aca="false">P8+P39</f>
        <v>1174.76</v>
      </c>
      <c r="Q45" s="52" t="n">
        <f aca="false">Q8+Q39</f>
        <v>2664.46</v>
      </c>
      <c r="R45" s="52" t="n">
        <f aca="false">R8+R39</f>
        <v>0</v>
      </c>
      <c r="S45" s="52" t="n">
        <f aca="false">S8+S39</f>
        <v>3839.22</v>
      </c>
      <c r="T45" s="52"/>
      <c r="U45" s="52" t="n">
        <f aca="false">U8+U39</f>
        <v>0</v>
      </c>
      <c r="V45" s="52" t="n">
        <f aca="false">V8+V39</f>
        <v>9324.92</v>
      </c>
      <c r="W45" s="52" t="n">
        <f aca="false">W8+W39</f>
        <v>13164.14</v>
      </c>
      <c r="X45" s="52" t="n">
        <f aca="false">X8+X39</f>
        <v>1559.73192336778</v>
      </c>
      <c r="Y45" s="52" t="n">
        <f aca="false">Y8+Y39</f>
        <v>14723.8719233678</v>
      </c>
      <c r="Z45" s="56" t="n">
        <f aca="false">Z8+Z39</f>
        <v>5.17</v>
      </c>
      <c r="AA45" s="57"/>
      <c r="AB45" s="57"/>
      <c r="AC45" s="58"/>
      <c r="AD45" s="92"/>
      <c r="AE45" s="92"/>
      <c r="AF45" s="93"/>
    </row>
    <row r="46" customFormat="false" ht="11.1" hidden="false" customHeight="true" outlineLevel="0" collapsed="false">
      <c r="A46" s="51" t="s">
        <v>52</v>
      </c>
      <c r="B46" s="51"/>
      <c r="C46" s="52"/>
      <c r="D46" s="52" t="n">
        <f aca="false">D8+D40</f>
        <v>-21997</v>
      </c>
      <c r="E46" s="52" t="n">
        <f aca="false">E37</f>
        <v>122488</v>
      </c>
      <c r="F46" s="52" t="n">
        <f aca="false">F45*$D$2</f>
        <v>-21997</v>
      </c>
      <c r="G46" s="52" t="n">
        <f aca="false">G45*$D$2</f>
        <v>5718.164711</v>
      </c>
      <c r="H46" s="56" t="n">
        <f aca="false">H45*$D$2</f>
        <v>0</v>
      </c>
      <c r="I46" s="52" t="n">
        <f aca="false">I45*$D$2</f>
        <v>6524.437626</v>
      </c>
      <c r="J46" s="52" t="n">
        <f aca="false">J45*$D$2</f>
        <v>683.362334</v>
      </c>
      <c r="K46" s="52" t="n">
        <f aca="false">K45*$D$2</f>
        <v>7061.84316</v>
      </c>
      <c r="L46" s="52" t="n">
        <f aca="false">L45*$D$2</f>
        <v>-2410.365936</v>
      </c>
      <c r="M46" s="52" t="n">
        <f aca="false">M45*$D$2</f>
        <v>2330.13646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2330.13646</v>
      </c>
      <c r="Q46" s="52" t="n">
        <f aca="false">Q45*$D$2</f>
        <v>5284.95641</v>
      </c>
      <c r="R46" s="52" t="n">
        <f aca="false">R45*$D$2</f>
        <v>0</v>
      </c>
      <c r="S46" s="52" t="n">
        <f aca="false">S45*$D$2</f>
        <v>7615.09287</v>
      </c>
      <c r="T46" s="52" t="n">
        <f aca="false">T45*$D$2</f>
        <v>0</v>
      </c>
      <c r="U46" s="52" t="n">
        <f aca="false">U45*$D$2</f>
        <v>0</v>
      </c>
      <c r="V46" s="52" t="n">
        <f aca="false">V45*$D$2</f>
        <v>18495.97882</v>
      </c>
      <c r="W46" s="52" t="n">
        <f aca="false">W45*$D$2</f>
        <v>26111.07169</v>
      </c>
      <c r="X46" s="52" t="n">
        <f aca="false">X45*$D$2</f>
        <v>3093.72827</v>
      </c>
      <c r="Y46" s="52" t="n">
        <f aca="false">Y45*$D$2</f>
        <v>29204.79996</v>
      </c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4"/>
      <c r="E47" s="76"/>
      <c r="F47" s="74"/>
      <c r="G47" s="74"/>
      <c r="H47" s="78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6"/>
      <c r="U47" s="74"/>
      <c r="V47" s="74"/>
      <c r="W47" s="74"/>
      <c r="X47" s="74"/>
      <c r="Y47" s="74"/>
      <c r="Z47" s="56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/>
      <c r="B48" s="84"/>
      <c r="C48" s="52"/>
      <c r="D48" s="51"/>
      <c r="E48" s="52"/>
      <c r="F48" s="51"/>
      <c r="G48" s="51"/>
      <c r="H48" s="56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2"/>
      <c r="U48" s="51"/>
      <c r="V48" s="51"/>
      <c r="W48" s="51"/>
      <c r="X48" s="51"/>
      <c r="Y48" s="51"/>
      <c r="Z48" s="56"/>
      <c r="AA48" s="57"/>
      <c r="AB48" s="57"/>
      <c r="AC48" s="58"/>
      <c r="AD48" s="88"/>
      <c r="AE48" s="88"/>
    </row>
    <row r="49" customFormat="false" ht="11.1" hidden="false" customHeight="true" outlineLevel="0" collapsed="false">
      <c r="A49" s="51"/>
      <c r="B49" s="73"/>
      <c r="C49" s="52"/>
      <c r="D49" s="82"/>
      <c r="E49" s="52"/>
      <c r="F49" s="51"/>
      <c r="G49" s="51"/>
      <c r="H49" s="2"/>
      <c r="I49" s="52"/>
      <c r="J49" s="51"/>
      <c r="K49" s="42"/>
      <c r="L49" s="51"/>
      <c r="M49" s="51"/>
      <c r="N49" s="51"/>
      <c r="O49" s="51"/>
      <c r="P49" s="51"/>
      <c r="Q49" s="51"/>
      <c r="R49" s="51"/>
      <c r="S49" s="51"/>
      <c r="T49" s="52"/>
      <c r="U49" s="51"/>
      <c r="V49" s="51"/>
      <c r="W49" s="51"/>
      <c r="X49" s="51"/>
      <c r="Y49" s="51"/>
      <c r="Z49" s="56"/>
      <c r="AA49" s="57"/>
      <c r="AB49" s="57"/>
      <c r="AC49" s="58"/>
      <c r="AD49" s="88"/>
      <c r="AE49" s="88"/>
    </row>
    <row r="50" customFormat="false" ht="11.1" hidden="false" customHeight="true" outlineLevel="0" collapsed="false">
      <c r="A50" s="82"/>
      <c r="B50" s="82"/>
      <c r="C50" s="52"/>
      <c r="D50" s="52"/>
      <c r="E50" s="52"/>
      <c r="F50" s="82"/>
      <c r="G50" s="82"/>
      <c r="H50" s="56"/>
      <c r="I50" s="52"/>
      <c r="J50" s="82"/>
      <c r="K50" s="82"/>
      <c r="L50" s="82"/>
      <c r="M50" s="81"/>
      <c r="N50" s="81"/>
      <c r="O50" s="81"/>
      <c r="P50" s="81"/>
      <c r="Q50" s="82"/>
      <c r="R50" s="82"/>
      <c r="S50" s="82"/>
      <c r="T50" s="52"/>
      <c r="U50" s="82"/>
      <c r="V50" s="82"/>
      <c r="W50" s="82"/>
      <c r="X50" s="82"/>
      <c r="Y50" s="82"/>
      <c r="Z50" s="56"/>
      <c r="AA50" s="57"/>
      <c r="AB50" s="57"/>
      <c r="AC50" s="58"/>
      <c r="AD50" s="98"/>
      <c r="AE50" s="98"/>
    </row>
    <row r="51" customFormat="false" ht="11.1" hidden="false" customHeight="true" outlineLevel="0" collapsed="false">
      <c r="A51" s="82"/>
      <c r="B51" s="55"/>
      <c r="C51" s="52"/>
      <c r="D51" s="52"/>
      <c r="E51" s="52"/>
      <c r="F51" s="82"/>
      <c r="G51" s="82"/>
      <c r="H51" s="56"/>
      <c r="I51" s="52"/>
      <c r="J51" s="82"/>
      <c r="K51" s="82"/>
      <c r="L51" s="82"/>
      <c r="M51" s="81"/>
      <c r="N51" s="81"/>
      <c r="O51" s="81"/>
      <c r="P51" s="81"/>
      <c r="Q51" s="82"/>
      <c r="R51" s="82"/>
      <c r="S51" s="82"/>
      <c r="T51" s="52"/>
      <c r="U51" s="82"/>
      <c r="V51" s="82"/>
      <c r="W51" s="82"/>
      <c r="X51" s="82"/>
      <c r="Y51" s="82"/>
      <c r="Z51" s="56"/>
      <c r="AA51" s="57"/>
      <c r="AB51" s="57"/>
      <c r="AC51" s="58"/>
      <c r="AD51" s="98"/>
      <c r="AE51" s="98"/>
    </row>
    <row r="52" customFormat="false" ht="11.1" hidden="false" customHeight="true" outlineLevel="0" collapsed="false">
      <c r="A52" s="82"/>
      <c r="B52" s="82"/>
      <c r="C52" s="52"/>
      <c r="D52" s="82"/>
      <c r="E52" s="52"/>
      <c r="F52" s="82"/>
      <c r="G52" s="85"/>
      <c r="H52" s="56"/>
      <c r="I52" s="82"/>
      <c r="J52" s="82"/>
      <c r="K52" s="82"/>
      <c r="L52" s="82"/>
      <c r="M52" s="81"/>
      <c r="N52" s="81"/>
      <c r="O52" s="81"/>
      <c r="P52" s="81"/>
      <c r="Q52" s="82"/>
      <c r="R52" s="82"/>
      <c r="S52" s="82"/>
      <c r="T52" s="52"/>
      <c r="U52" s="82"/>
      <c r="V52" s="82"/>
      <c r="W52" s="82"/>
      <c r="X52" s="82"/>
      <c r="Y52" s="82"/>
      <c r="Z52" s="56"/>
      <c r="AA52" s="57"/>
      <c r="AB52" s="57"/>
      <c r="AC52" s="58"/>
      <c r="AD52" s="98"/>
      <c r="AE52" s="98"/>
    </row>
    <row r="53" customFormat="false" ht="11.1" hidden="false" customHeight="true" outlineLevel="0" collapsed="false">
      <c r="P53" s="47"/>
      <c r="S53" s="44"/>
      <c r="T53" s="45"/>
      <c r="V53" s="44"/>
      <c r="Y53" s="44"/>
      <c r="AB53" s="49"/>
      <c r="AC53" s="5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D21" activePane="bottomRight" state="frozen"/>
      <selection pane="topLeft" activeCell="A1" activeCellId="0" sqref="A1"/>
      <selection pane="topRight" activeCell="D1" activeCellId="0" sqref="D1"/>
      <selection pane="bottomLeft" activeCell="A21" activeCellId="0" sqref="A21"/>
      <selection pane="bottomRight" activeCell="Z40" activeCellId="0" sqref="Z4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60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61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61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6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FEB!B37</f>
        <v>6897.51</v>
      </c>
      <c r="C8" s="52" t="n">
        <f aca="false">FEB!C37</f>
        <v>274488</v>
      </c>
      <c r="D8" s="52" t="n">
        <f aca="false">FEB!$D$46</f>
        <v>-21997</v>
      </c>
      <c r="E8" s="52" t="n">
        <f aca="false">FEB!$E$37</f>
        <v>122488</v>
      </c>
      <c r="F8" s="52" t="n">
        <f aca="false">FEB!F45</f>
        <v>-11089.9924376103</v>
      </c>
      <c r="G8" s="52" t="n">
        <f aca="false">FEB!G45</f>
        <v>2882.866</v>
      </c>
      <c r="H8" s="56" t="n">
        <f aca="false">FEB!H45</f>
        <v>0</v>
      </c>
      <c r="I8" s="52" t="n">
        <f aca="false">FEB!I45</f>
        <v>3289.356</v>
      </c>
      <c r="J8" s="52" t="n">
        <f aca="false">FEB!J45</f>
        <v>344.523485757499</v>
      </c>
      <c r="K8" s="52" t="n">
        <f aca="false">FEB!K45</f>
        <v>3560.29400554575</v>
      </c>
      <c r="L8" s="52" t="n">
        <f aca="false">FEB!L45</f>
        <v>-1215.20843761028</v>
      </c>
      <c r="M8" s="52" t="n">
        <f aca="false">FEB!M45</f>
        <v>1174.76</v>
      </c>
      <c r="N8" s="52" t="n">
        <f aca="false">FEB!N45</f>
        <v>0</v>
      </c>
      <c r="O8" s="52" t="n">
        <f aca="false">FEB!O45</f>
        <v>0</v>
      </c>
      <c r="P8" s="52" t="n">
        <f aca="false">FEB!P45</f>
        <v>1174.76</v>
      </c>
      <c r="Q8" s="52" t="n">
        <f aca="false">FEB!Q45</f>
        <v>2664.46</v>
      </c>
      <c r="R8" s="52" t="n">
        <f aca="false">FEB!R45</f>
        <v>0</v>
      </c>
      <c r="S8" s="52" t="n">
        <f aca="false">FEB!S45</f>
        <v>3839.22</v>
      </c>
      <c r="T8" s="52" t="n">
        <f aca="false">FEB!T45</f>
        <v>0</v>
      </c>
      <c r="U8" s="52" t="n">
        <f aca="false">FEB!U45</f>
        <v>0</v>
      </c>
      <c r="V8" s="52" t="n">
        <f aca="false">FEB!V45</f>
        <v>9324.92</v>
      </c>
      <c r="W8" s="52" t="n">
        <f aca="false">FEB!W45</f>
        <v>13164.14</v>
      </c>
      <c r="X8" s="52" t="n">
        <f aca="false">FEB!X45</f>
        <v>1559.73192336778</v>
      </c>
      <c r="Y8" s="52" t="n">
        <f aca="false">FEB!Y45</f>
        <v>14723.8719233678</v>
      </c>
      <c r="Z8" s="56" t="n">
        <f aca="false">FEB!Z45</f>
        <v>5.17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6897.45</v>
      </c>
      <c r="C10" s="52" t="n">
        <v>274271</v>
      </c>
      <c r="D10" s="57" t="n">
        <f aca="false">C10-C8</f>
        <v>-217</v>
      </c>
      <c r="E10" s="52" t="n">
        <f aca="false">C10-152000</f>
        <v>122271</v>
      </c>
      <c r="F10" s="51" t="n">
        <f aca="false">D10/$D$2</f>
        <v>-109.402571212503</v>
      </c>
      <c r="G10" s="51" t="n">
        <v>7.57</v>
      </c>
      <c r="H10" s="99" t="n">
        <v>0</v>
      </c>
      <c r="I10" s="51" t="n">
        <f aca="false">G10+H10</f>
        <v>7.57</v>
      </c>
      <c r="J10" s="81" t="n">
        <f aca="false">IF(L10&gt;0,L10,0)</f>
        <v>0.0274287874968593</v>
      </c>
      <c r="K10" s="51" t="n">
        <f aca="false">I10+J10</f>
        <v>7.59742878749686</v>
      </c>
      <c r="L10" s="51" t="n">
        <f aca="false">F10-(I10-W10)</f>
        <v>0.0274287874968593</v>
      </c>
      <c r="M10" s="51" t="n">
        <v>39.6</v>
      </c>
      <c r="N10" s="51" t="n">
        <v>0</v>
      </c>
      <c r="O10" s="51" t="n">
        <v>0</v>
      </c>
      <c r="P10" s="6" t="n">
        <f aca="false">M10-(N10+O10)</f>
        <v>39.6</v>
      </c>
      <c r="Q10" s="51" t="n">
        <v>0</v>
      </c>
      <c r="R10" s="51" t="n">
        <v>0</v>
      </c>
      <c r="S10" s="51" t="n">
        <f aca="false">SUM(P10:R10)</f>
        <v>39.6</v>
      </c>
      <c r="T10" s="52"/>
      <c r="U10" s="51" t="n">
        <v>0</v>
      </c>
      <c r="V10" s="51" t="n">
        <v>77.4</v>
      </c>
      <c r="W10" s="6" t="n">
        <f aca="false">N10+O10+S10+U10+V10</f>
        <v>117</v>
      </c>
      <c r="X10" s="51" t="n">
        <f aca="false">IF(L10&lt;0,L10*-1,0)</f>
        <v>0</v>
      </c>
      <c r="Y10" s="51" t="n">
        <f aca="false">W10+X10</f>
        <v>117</v>
      </c>
      <c r="Z10" s="56" t="n">
        <v>0.05</v>
      </c>
      <c r="AA10" s="57" t="n">
        <v>44</v>
      </c>
      <c r="AB10" s="57" t="n">
        <v>22</v>
      </c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6897.42</v>
      </c>
      <c r="C11" s="52" t="n">
        <v>274163</v>
      </c>
      <c r="D11" s="57" t="n">
        <f aca="false">C11-C10</f>
        <v>-108</v>
      </c>
      <c r="E11" s="52" t="n">
        <f aca="false">C11-152000</f>
        <v>122163</v>
      </c>
      <c r="F11" s="51" t="n">
        <f aca="false">D11/$D$2</f>
        <v>-54.4492059490799</v>
      </c>
      <c r="G11" s="51" t="n">
        <v>50.39</v>
      </c>
      <c r="H11" s="99" t="n">
        <v>0</v>
      </c>
      <c r="I11" s="51" t="n">
        <f aca="false">G11+H11</f>
        <v>50.39</v>
      </c>
      <c r="J11" s="81" t="n">
        <f aca="false">IF(L11&gt;0,L11,0)</f>
        <v>0.010794050920083</v>
      </c>
      <c r="K11" s="51" t="n">
        <f aca="false">I11+J11</f>
        <v>50.4007940509201</v>
      </c>
      <c r="L11" s="51" t="n">
        <f aca="false">F11-(I11-W11)</f>
        <v>0.010794050920083</v>
      </c>
      <c r="M11" s="51" t="n">
        <v>39.64</v>
      </c>
      <c r="N11" s="51" t="n">
        <v>0</v>
      </c>
      <c r="O11" s="51" t="n">
        <v>0</v>
      </c>
      <c r="P11" s="6" t="n">
        <f aca="false">M11-(N11+O11)</f>
        <v>39.64</v>
      </c>
      <c r="Q11" s="51" t="n">
        <v>0</v>
      </c>
      <c r="R11" s="51" t="n">
        <v>0</v>
      </c>
      <c r="S11" s="51" t="n">
        <f aca="false">SUM(P11:R11)</f>
        <v>39.64</v>
      </c>
      <c r="T11" s="52"/>
      <c r="U11" s="51" t="n">
        <v>0</v>
      </c>
      <c r="V11" s="51" t="n">
        <v>65.21</v>
      </c>
      <c r="W11" s="6" t="n">
        <f aca="false">N11+O11+S11+U11+V11</f>
        <v>104.85</v>
      </c>
      <c r="X11" s="51" t="n">
        <f aca="false">IF(L11&lt;0,L11*-1,0)</f>
        <v>0</v>
      </c>
      <c r="Y11" s="51" t="n">
        <f aca="false">W11+X11</f>
        <v>104.85</v>
      </c>
      <c r="Z11" s="56" t="n">
        <v>0</v>
      </c>
      <c r="AA11" s="57" t="n">
        <v>43</v>
      </c>
      <c r="AB11" s="57" t="n">
        <v>23</v>
      </c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6897.4</v>
      </c>
      <c r="C12" s="52" t="n">
        <v>274090</v>
      </c>
      <c r="D12" s="57" t="n">
        <f aca="false">C12-C11</f>
        <v>-73</v>
      </c>
      <c r="E12" s="52" t="n">
        <f aca="false">C12-152000</f>
        <v>122090</v>
      </c>
      <c r="F12" s="51" t="n">
        <f aca="false">D12/$D$2</f>
        <v>-36.8036299470633</v>
      </c>
      <c r="G12" s="51" t="n">
        <v>25.88</v>
      </c>
      <c r="H12" s="99" t="n">
        <v>0</v>
      </c>
      <c r="I12" s="51" t="n">
        <f aca="false">G12+H12</f>
        <v>25.88</v>
      </c>
      <c r="J12" s="81" t="n">
        <f aca="false">IF(L12&gt;0,L12,0)</f>
        <v>0.00637005293673099</v>
      </c>
      <c r="K12" s="51" t="n">
        <f aca="false">I12+J12</f>
        <v>25.8863700529367</v>
      </c>
      <c r="L12" s="51" t="n">
        <f aca="false">F12-(I12-W12)</f>
        <v>0.00637005293673099</v>
      </c>
      <c r="M12" s="51" t="n">
        <v>19.88</v>
      </c>
      <c r="N12" s="51" t="n">
        <v>0</v>
      </c>
      <c r="O12" s="51" t="n">
        <v>0</v>
      </c>
      <c r="P12" s="6" t="n">
        <f aca="false">M12-(N12+O12)</f>
        <v>19.88</v>
      </c>
      <c r="Q12" s="51" t="n">
        <v>0</v>
      </c>
      <c r="R12" s="51" t="n">
        <v>0</v>
      </c>
      <c r="S12" s="51" t="n">
        <f aca="false">SUM(P12:R12)</f>
        <v>19.88</v>
      </c>
      <c r="T12" s="52"/>
      <c r="U12" s="51" t="n">
        <v>0</v>
      </c>
      <c r="V12" s="51" t="n">
        <v>42.81</v>
      </c>
      <c r="W12" s="6" t="n">
        <f aca="false">N12+O12+S12+U12+V12</f>
        <v>62.69</v>
      </c>
      <c r="X12" s="51" t="n">
        <f aca="false">IF(L12&lt;0,L12*-1,0)</f>
        <v>0</v>
      </c>
      <c r="Y12" s="51" t="n">
        <f aca="false">W12+X12</f>
        <v>62.69</v>
      </c>
      <c r="Z12" s="56" t="n">
        <v>0</v>
      </c>
      <c r="AA12" s="57" t="n">
        <v>44</v>
      </c>
      <c r="AB12" s="57" t="n">
        <v>22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6897.43</v>
      </c>
      <c r="C13" s="52" t="n">
        <v>274199</v>
      </c>
      <c r="D13" s="57" t="n">
        <f aca="false">C13-C12</f>
        <v>109</v>
      </c>
      <c r="E13" s="52" t="n">
        <f aca="false">C13-152000</f>
        <v>122199</v>
      </c>
      <c r="F13" s="51" t="n">
        <f aca="false">D13/$D$2</f>
        <v>54.9533652634232</v>
      </c>
      <c r="G13" s="51" t="n">
        <v>96.2</v>
      </c>
      <c r="H13" s="99" t="n">
        <v>0</v>
      </c>
      <c r="I13" s="51" t="n">
        <f aca="false">G13+H13</f>
        <v>96.2</v>
      </c>
      <c r="J13" s="81" t="n">
        <f aca="false">IF(L13&gt;0,L13,0)</f>
        <v>0</v>
      </c>
      <c r="K13" s="51" t="n">
        <f aca="false">I13+J13</f>
        <v>96.2</v>
      </c>
      <c r="L13" s="51" t="n">
        <f aca="false">F13-(I13-W13)</f>
        <v>-0.016634736576755</v>
      </c>
      <c r="M13" s="51" t="n">
        <v>5.13</v>
      </c>
      <c r="N13" s="51" t="n">
        <v>0</v>
      </c>
      <c r="O13" s="51" t="n">
        <v>0</v>
      </c>
      <c r="P13" s="6" t="n">
        <f aca="false">M13-(N13+O13)</f>
        <v>5.13</v>
      </c>
      <c r="Q13" s="51" t="n">
        <v>0</v>
      </c>
      <c r="R13" s="51" t="n">
        <v>0</v>
      </c>
      <c r="S13" s="51" t="n">
        <f aca="false">SUM(P13:R13)</f>
        <v>5.13</v>
      </c>
      <c r="T13" s="52"/>
      <c r="U13" s="51" t="n">
        <v>0</v>
      </c>
      <c r="V13" s="51" t="n">
        <v>36.1</v>
      </c>
      <c r="W13" s="6" t="n">
        <f aca="false">N13+O13+S13+U13+V13</f>
        <v>41.23</v>
      </c>
      <c r="X13" s="51" t="n">
        <f aca="false">IF(L13&lt;0,L13*-1,0)</f>
        <v>0.016634736576755</v>
      </c>
      <c r="Y13" s="51" t="n">
        <f aca="false">W13+X13</f>
        <v>41.2466347365768</v>
      </c>
      <c r="Z13" s="56" t="n">
        <v>0</v>
      </c>
      <c r="AA13" s="57" t="n">
        <v>45</v>
      </c>
      <c r="AB13" s="57" t="n">
        <v>21</v>
      </c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6897.5</v>
      </c>
      <c r="C14" s="52" t="n">
        <v>274452</v>
      </c>
      <c r="D14" s="57" t="n">
        <f aca="false">C14-C13</f>
        <v>253</v>
      </c>
      <c r="E14" s="52" t="n">
        <f aca="false">C14-152000</f>
        <v>122452</v>
      </c>
      <c r="F14" s="51" t="n">
        <f aca="false">D14/$D$2</f>
        <v>127.552306528863</v>
      </c>
      <c r="G14" s="51" t="n">
        <v>157.22</v>
      </c>
      <c r="H14" s="99" t="n">
        <v>0</v>
      </c>
      <c r="I14" s="51" t="n">
        <f aca="false">G14+H14</f>
        <v>157.22</v>
      </c>
      <c r="J14" s="81" t="n">
        <f aca="false">IF(L14&gt;0,L14,0)</f>
        <v>0</v>
      </c>
      <c r="K14" s="51" t="n">
        <f aca="false">I14+J14</f>
        <v>157.22</v>
      </c>
      <c r="L14" s="51" t="n">
        <f aca="false">F14-(I14-W14)</f>
        <v>-0.0276934711368852</v>
      </c>
      <c r="M14" s="51" t="n">
        <v>4.88</v>
      </c>
      <c r="N14" s="51" t="n">
        <v>0</v>
      </c>
      <c r="O14" s="51" t="n">
        <v>0</v>
      </c>
      <c r="P14" s="6" t="n">
        <f aca="false">M14-(N14+O14)</f>
        <v>4.88</v>
      </c>
      <c r="Q14" s="51" t="n">
        <v>0</v>
      </c>
      <c r="R14" s="51" t="n">
        <v>0</v>
      </c>
      <c r="S14" s="51" t="n">
        <f aca="false">SUM(P14:R14)</f>
        <v>4.88</v>
      </c>
      <c r="T14" s="52"/>
      <c r="U14" s="51" t="n">
        <v>0</v>
      </c>
      <c r="V14" s="51" t="n">
        <v>24.76</v>
      </c>
      <c r="W14" s="6" t="n">
        <f aca="false">N14+O14+S14+U14+V14</f>
        <v>29.64</v>
      </c>
      <c r="X14" s="51" t="n">
        <f aca="false">IF(L14&lt;0,L14*-1,0)</f>
        <v>0.0276934711368852</v>
      </c>
      <c r="Y14" s="51" t="n">
        <f aca="false">W14+X14</f>
        <v>29.6676934711369</v>
      </c>
      <c r="Z14" s="56" t="n">
        <v>0.22</v>
      </c>
      <c r="AA14" s="57" t="n">
        <v>43</v>
      </c>
      <c r="AB14" s="57" t="n">
        <v>23</v>
      </c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6897.51</v>
      </c>
      <c r="C15" s="52" t="n">
        <v>274488</v>
      </c>
      <c r="D15" s="57" t="n">
        <f aca="false">C15-C14</f>
        <v>36</v>
      </c>
      <c r="E15" s="52" t="n">
        <f aca="false">C15-152000</f>
        <v>122488</v>
      </c>
      <c r="F15" s="51" t="n">
        <f aca="false">D15/$D$2</f>
        <v>18.14973531636</v>
      </c>
      <c r="G15" s="51" t="n">
        <v>42.07</v>
      </c>
      <c r="H15" s="99" t="n">
        <v>0</v>
      </c>
      <c r="I15" s="51" t="n">
        <f aca="false">G15+H15</f>
        <v>42.07</v>
      </c>
      <c r="J15" s="81" t="n">
        <f aca="false">IF(L15&gt;0,L15,0)</f>
        <v>0</v>
      </c>
      <c r="K15" s="51" t="n">
        <f aca="false">I15+J15</f>
        <v>42.07</v>
      </c>
      <c r="L15" s="51" t="n">
        <f aca="false">F15-(I15-W15)</f>
        <v>-0.000264683640029517</v>
      </c>
      <c r="M15" s="51" t="n">
        <v>4.76</v>
      </c>
      <c r="N15" s="51" t="n">
        <v>0</v>
      </c>
      <c r="O15" s="51" t="n">
        <v>0</v>
      </c>
      <c r="P15" s="6" t="n">
        <f aca="false">M15-(N15+O15)</f>
        <v>4.76</v>
      </c>
      <c r="Q15" s="51" t="n">
        <v>0</v>
      </c>
      <c r="R15" s="51" t="n">
        <v>0</v>
      </c>
      <c r="S15" s="51" t="n">
        <f aca="false">SUM(P15:R15)</f>
        <v>4.76</v>
      </c>
      <c r="T15" s="52"/>
      <c r="U15" s="51" t="n">
        <v>0</v>
      </c>
      <c r="V15" s="51" t="n">
        <v>19.16</v>
      </c>
      <c r="W15" s="6" t="n">
        <f aca="false">N15+O15+S15+U15+V15</f>
        <v>23.92</v>
      </c>
      <c r="X15" s="51" t="n">
        <f aca="false">IF(L15&lt;0,L15*-1,0)</f>
        <v>0.000264683640029517</v>
      </c>
      <c r="Y15" s="51" t="n">
        <f aca="false">W15+X15</f>
        <v>23.92026468364</v>
      </c>
      <c r="Z15" s="56" t="n">
        <v>0.16</v>
      </c>
      <c r="AA15" s="57" t="n">
        <v>39</v>
      </c>
      <c r="AB15" s="57" t="n">
        <v>22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6897.51</v>
      </c>
      <c r="C16" s="52" t="n">
        <v>274488</v>
      </c>
      <c r="D16" s="57" t="n">
        <f aca="false">C16-C15</f>
        <v>0</v>
      </c>
      <c r="E16" s="52" t="n">
        <f aca="false">C16-152000</f>
        <v>122488</v>
      </c>
      <c r="F16" s="51" t="n">
        <f aca="false">D16/$D$2</f>
        <v>0</v>
      </c>
      <c r="G16" s="51" t="n">
        <v>25.06</v>
      </c>
      <c r="H16" s="99" t="n">
        <v>0</v>
      </c>
      <c r="I16" s="51" t="n">
        <f aca="false">G16+H16</f>
        <v>25.06</v>
      </c>
      <c r="J16" s="81" t="n">
        <f aca="false">IF(L16&gt;0,L16,0)</f>
        <v>0</v>
      </c>
      <c r="K16" s="51" t="n">
        <f aca="false">I16+J16</f>
        <v>25.06</v>
      </c>
      <c r="L16" s="51" t="n">
        <f aca="false">F16-(I16-W16)</f>
        <v>0</v>
      </c>
      <c r="M16" s="51" t="n">
        <v>4.76</v>
      </c>
      <c r="N16" s="51" t="n">
        <v>0</v>
      </c>
      <c r="O16" s="51" t="n">
        <v>0</v>
      </c>
      <c r="P16" s="6" t="n">
        <f aca="false">M16-(N16+O16)</f>
        <v>4.76</v>
      </c>
      <c r="Q16" s="51" t="n">
        <v>0</v>
      </c>
      <c r="R16" s="51" t="n">
        <v>0</v>
      </c>
      <c r="S16" s="51" t="n">
        <f aca="false">SUM(P16:R16)</f>
        <v>4.76</v>
      </c>
      <c r="T16" s="52"/>
      <c r="U16" s="51" t="n">
        <v>0</v>
      </c>
      <c r="V16" s="51" t="n">
        <v>20.3</v>
      </c>
      <c r="W16" s="6" t="n">
        <f aca="false">N16+O16+S16+U16+V16</f>
        <v>25.06</v>
      </c>
      <c r="X16" s="51" t="n">
        <f aca="false">IF(L16&lt;0,L16*-1,0)</f>
        <v>0</v>
      </c>
      <c r="Y16" s="51" t="n">
        <f aca="false">W16+X16</f>
        <v>25.06</v>
      </c>
      <c r="Z16" s="56" t="n">
        <v>0</v>
      </c>
      <c r="AA16" s="57" t="n">
        <v>41</v>
      </c>
      <c r="AB16" s="57" t="n">
        <v>19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6897.53</v>
      </c>
      <c r="C17" s="52" t="n">
        <v>274560</v>
      </c>
      <c r="D17" s="57" t="n">
        <f aca="false">C17-C16</f>
        <v>72</v>
      </c>
      <c r="E17" s="52" t="n">
        <f aca="false">C17-152000</f>
        <v>122560</v>
      </c>
      <c r="F17" s="51" t="n">
        <f aca="false">D17/$D$2</f>
        <v>36.2994706327199</v>
      </c>
      <c r="G17" s="51" t="n">
        <v>61.37</v>
      </c>
      <c r="H17" s="99" t="n">
        <v>0</v>
      </c>
      <c r="I17" s="51" t="n">
        <f aca="false">G17+H17</f>
        <v>61.37</v>
      </c>
      <c r="J17" s="81" t="n">
        <f aca="false">IF(L17&gt;0,L17,0)</f>
        <v>0</v>
      </c>
      <c r="K17" s="51" t="n">
        <f aca="false">I17+J17</f>
        <v>61.37</v>
      </c>
      <c r="L17" s="51" t="n">
        <f aca="false">F17-(I17-W17)</f>
        <v>-0.010529367280057</v>
      </c>
      <c r="M17" s="51" t="n">
        <v>4.76</v>
      </c>
      <c r="N17" s="51" t="n">
        <v>0</v>
      </c>
      <c r="O17" s="51" t="n">
        <v>0</v>
      </c>
      <c r="P17" s="6" t="n">
        <f aca="false">M17-(N17+O17)</f>
        <v>4.76</v>
      </c>
      <c r="Q17" s="51" t="n">
        <v>0</v>
      </c>
      <c r="R17" s="51" t="n">
        <v>0</v>
      </c>
      <c r="S17" s="51" t="n">
        <f aca="false">SUM(P17:R17)</f>
        <v>4.76</v>
      </c>
      <c r="T17" s="52"/>
      <c r="U17" s="51" t="n">
        <v>0</v>
      </c>
      <c r="V17" s="51" t="n">
        <v>20.3</v>
      </c>
      <c r="W17" s="6" t="n">
        <f aca="false">N17+O17+S17+U17+V17</f>
        <v>25.06</v>
      </c>
      <c r="X17" s="51" t="n">
        <f aca="false">IF(L17&lt;0,L17*-1,0)</f>
        <v>0.010529367280057</v>
      </c>
      <c r="Y17" s="51" t="n">
        <f aca="false">W17+X17</f>
        <v>25.0705293672801</v>
      </c>
      <c r="Z17" s="56" t="n">
        <v>0</v>
      </c>
      <c r="AA17" s="57" t="n">
        <v>53</v>
      </c>
      <c r="AB17" s="57" t="n">
        <v>23</v>
      </c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6897.55</v>
      </c>
      <c r="C18" s="52" t="n">
        <v>274633</v>
      </c>
      <c r="D18" s="57" t="n">
        <f aca="false">C18-C17</f>
        <v>73</v>
      </c>
      <c r="E18" s="52" t="n">
        <f aca="false">C18-152000</f>
        <v>122633</v>
      </c>
      <c r="F18" s="51" t="n">
        <f aca="false">D18/$D$2</f>
        <v>36.8036299470633</v>
      </c>
      <c r="G18" s="51" t="n">
        <v>61.87</v>
      </c>
      <c r="H18" s="99" t="n">
        <v>0</v>
      </c>
      <c r="I18" s="51" t="n">
        <f aca="false">G18+H18</f>
        <v>61.87</v>
      </c>
      <c r="J18" s="81" t="n">
        <f aca="false">IF(L18&gt;0,L18,0)</f>
        <v>0</v>
      </c>
      <c r="K18" s="51" t="n">
        <f aca="false">I18+J18</f>
        <v>61.87</v>
      </c>
      <c r="L18" s="51" t="n">
        <f aca="false">F18-(I18-W18)</f>
        <v>-0.00637005293672388</v>
      </c>
      <c r="M18" s="51" t="n">
        <v>4.76</v>
      </c>
      <c r="N18" s="51" t="n">
        <v>0</v>
      </c>
      <c r="O18" s="51" t="n">
        <v>0</v>
      </c>
      <c r="P18" s="6" t="n">
        <f aca="false">M18-(N18+O18)</f>
        <v>4.76</v>
      </c>
      <c r="Q18" s="51" t="n">
        <v>0</v>
      </c>
      <c r="R18" s="51" t="n">
        <v>0</v>
      </c>
      <c r="S18" s="51" t="n">
        <f aca="false">SUM(P18:R18)</f>
        <v>4.76</v>
      </c>
      <c r="T18" s="52"/>
      <c r="U18" s="51" t="n">
        <v>0</v>
      </c>
      <c r="V18" s="51" t="n">
        <v>20.3</v>
      </c>
      <c r="W18" s="6" t="n">
        <f aca="false">N18+O18+S18+U18+V18</f>
        <v>25.06</v>
      </c>
      <c r="X18" s="51" t="n">
        <f aca="false">IF(L18&lt;0,L18*-1,0)</f>
        <v>0.00637005293672388</v>
      </c>
      <c r="Y18" s="51" t="n">
        <f aca="false">W18+X18</f>
        <v>25.0663700529367</v>
      </c>
      <c r="Z18" s="56" t="n">
        <v>0</v>
      </c>
      <c r="AA18" s="82" t="n">
        <v>54</v>
      </c>
      <c r="AB18" s="57" t="n">
        <v>24</v>
      </c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6897.57</v>
      </c>
      <c r="C19" s="52" t="n">
        <v>274705</v>
      </c>
      <c r="D19" s="57" t="n">
        <f aca="false">C19-C18</f>
        <v>72</v>
      </c>
      <c r="E19" s="52" t="n">
        <f aca="false">C19-152000</f>
        <v>122705</v>
      </c>
      <c r="F19" s="51" t="n">
        <f aca="false">D19/$D$2</f>
        <v>36.2994706327199</v>
      </c>
      <c r="G19" s="51" t="n">
        <v>61.43</v>
      </c>
      <c r="H19" s="99" t="n">
        <v>0</v>
      </c>
      <c r="I19" s="51" t="n">
        <f aca="false">G19+H19</f>
        <v>61.43</v>
      </c>
      <c r="J19" s="81" t="n">
        <f aca="false">IF(L19&gt;0,L19,0)</f>
        <v>0</v>
      </c>
      <c r="K19" s="51" t="n">
        <f aca="false">I19+J19</f>
        <v>61.43</v>
      </c>
      <c r="L19" s="51" t="n">
        <f aca="false">F19-(I19-W19)</f>
        <v>-0.0105293672800642</v>
      </c>
      <c r="M19" s="101" t="n">
        <v>4.76</v>
      </c>
      <c r="N19" s="101" t="n">
        <v>0</v>
      </c>
      <c r="O19" s="51" t="n">
        <v>0</v>
      </c>
      <c r="P19" s="6" t="n">
        <f aca="false">M19-(N19+O19)</f>
        <v>4.76</v>
      </c>
      <c r="Q19" s="51" t="n">
        <v>0</v>
      </c>
      <c r="R19" s="51" t="n">
        <v>0</v>
      </c>
      <c r="S19" s="51" t="n">
        <f aca="false">SUM(P19:R19)</f>
        <v>4.76</v>
      </c>
      <c r="T19" s="52"/>
      <c r="U19" s="51" t="n">
        <v>0</v>
      </c>
      <c r="V19" s="51" t="n">
        <v>20.36</v>
      </c>
      <c r="W19" s="6" t="n">
        <f aca="false">N19+O19+S19+U19+V19</f>
        <v>25.12</v>
      </c>
      <c r="X19" s="51" t="n">
        <f aca="false">IF(L19&lt;0,L19*-1,0)</f>
        <v>0.0105293672800642</v>
      </c>
      <c r="Y19" s="51" t="n">
        <f aca="false">W19+X19</f>
        <v>25.1305293672801</v>
      </c>
      <c r="Z19" s="56" t="n">
        <v>0.2</v>
      </c>
      <c r="AA19" s="57" t="n">
        <v>49</v>
      </c>
      <c r="AB19" s="57" t="n">
        <v>20</v>
      </c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6897.64</v>
      </c>
      <c r="C20" s="52" t="n">
        <v>274958</v>
      </c>
      <c r="D20" s="57" t="n">
        <f aca="false">C20-C19</f>
        <v>253</v>
      </c>
      <c r="E20" s="52" t="n">
        <f aca="false">C20-152000</f>
        <v>122958</v>
      </c>
      <c r="F20" s="51" t="n">
        <f aca="false">D20/$D$2</f>
        <v>127.552306528863</v>
      </c>
      <c r="G20" s="51" t="n">
        <v>152.8</v>
      </c>
      <c r="H20" s="99" t="n">
        <v>0</v>
      </c>
      <c r="I20" s="51" t="n">
        <f aca="false">G20+H20</f>
        <v>152.8</v>
      </c>
      <c r="J20" s="81" t="n">
        <f aca="false">IF(L20&gt;0,L20,0)</f>
        <v>0</v>
      </c>
      <c r="K20" s="51" t="n">
        <f aca="false">I20+J20</f>
        <v>152.8</v>
      </c>
      <c r="L20" s="51" t="n">
        <f aca="false">F20-(I20-W20)</f>
        <v>-0.0276934711368995</v>
      </c>
      <c r="M20" s="101" t="n">
        <v>4.76</v>
      </c>
      <c r="N20" s="101" t="n">
        <v>0</v>
      </c>
      <c r="O20" s="51" t="n">
        <v>0</v>
      </c>
      <c r="P20" s="6" t="n">
        <f aca="false">M20-(N20+O20)</f>
        <v>4.76</v>
      </c>
      <c r="Q20" s="51" t="n">
        <v>0</v>
      </c>
      <c r="R20" s="51" t="n">
        <v>0</v>
      </c>
      <c r="S20" s="51" t="n">
        <f aca="false">SUM(P20:R20)</f>
        <v>4.76</v>
      </c>
      <c r="T20" s="52"/>
      <c r="U20" s="51" t="n">
        <v>0</v>
      </c>
      <c r="V20" s="51" t="n">
        <v>20.46</v>
      </c>
      <c r="W20" s="6" t="n">
        <f aca="false">N20+O20+S20+U20+V20</f>
        <v>25.22</v>
      </c>
      <c r="X20" s="51" t="n">
        <f aca="false">IF(L20&lt;0,L20*-1,0)</f>
        <v>0.0276934711368995</v>
      </c>
      <c r="Y20" s="51" t="n">
        <f aca="false">W20+X20</f>
        <v>25.2476934711369</v>
      </c>
      <c r="Z20" s="56" t="n">
        <v>0.49</v>
      </c>
      <c r="AA20" s="57" t="n">
        <v>38</v>
      </c>
      <c r="AB20" s="57" t="n">
        <v>33</v>
      </c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6897.6</v>
      </c>
      <c r="C21" s="52" t="n">
        <v>274814</v>
      </c>
      <c r="D21" s="57" t="n">
        <f aca="false">C21-C20</f>
        <v>-144</v>
      </c>
      <c r="E21" s="52" t="n">
        <f aca="false">C21-152000</f>
        <v>122814</v>
      </c>
      <c r="F21" s="51" t="n">
        <f aca="false">D21/$D$2</f>
        <v>-72.5989412654399</v>
      </c>
      <c r="G21" s="51" t="n">
        <v>52.69</v>
      </c>
      <c r="H21" s="99" t="n">
        <v>0</v>
      </c>
      <c r="I21" s="51" t="n">
        <f aca="false">G21+H21</f>
        <v>52.69</v>
      </c>
      <c r="J21" s="81" t="n">
        <f aca="false">IF(L21&gt;0,L21,0)</f>
        <v>0.0210587345601283</v>
      </c>
      <c r="K21" s="51" t="n">
        <f aca="false">I21+J21</f>
        <v>52.7110587345601</v>
      </c>
      <c r="L21" s="51" t="n">
        <f aca="false">F21-(I21-W21)</f>
        <v>0.0210587345601283</v>
      </c>
      <c r="M21" s="101" t="n">
        <v>4.76</v>
      </c>
      <c r="N21" s="101" t="n">
        <v>0</v>
      </c>
      <c r="O21" s="51" t="n">
        <v>0</v>
      </c>
      <c r="P21" s="6" t="n">
        <f aca="false">M21-(N21+O21)</f>
        <v>4.76</v>
      </c>
      <c r="Q21" s="51" t="n">
        <v>91.42</v>
      </c>
      <c r="R21" s="51" t="n">
        <v>8.82</v>
      </c>
      <c r="S21" s="51" t="n">
        <f aca="false">SUM(P21:R21)</f>
        <v>105</v>
      </c>
      <c r="T21" s="52"/>
      <c r="U21" s="51" t="n">
        <v>0</v>
      </c>
      <c r="V21" s="51" t="n">
        <v>20.31</v>
      </c>
      <c r="W21" s="6" t="n">
        <f aca="false">N21+O21+S21+U21+V21</f>
        <v>125.31</v>
      </c>
      <c r="X21" s="51" t="n">
        <f aca="false">IF(L21&lt;0,L21*-1,0)</f>
        <v>0</v>
      </c>
      <c r="Y21" s="51" t="n">
        <f aca="false">W21+X21</f>
        <v>125.31</v>
      </c>
      <c r="Z21" s="56" t="n">
        <v>0.11</v>
      </c>
      <c r="AA21" s="57" t="n">
        <v>34</v>
      </c>
      <c r="AB21" s="57" t="n">
        <v>28</v>
      </c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6897.52</v>
      </c>
      <c r="C22" s="52" t="n">
        <v>274524</v>
      </c>
      <c r="D22" s="57" t="n">
        <f aca="false">C22-C21</f>
        <v>-290</v>
      </c>
      <c r="E22" s="52" t="n">
        <f aca="false">C22-152000</f>
        <v>122524</v>
      </c>
      <c r="F22" s="51" t="n">
        <f aca="false">D22/$D$2</f>
        <v>-146.206201159566</v>
      </c>
      <c r="G22" s="51" t="n">
        <v>42.06</v>
      </c>
      <c r="H22" s="99" t="n">
        <v>0</v>
      </c>
      <c r="I22" s="51" t="n">
        <f aca="false">G22+H22</f>
        <v>42.06</v>
      </c>
      <c r="J22" s="81" t="n">
        <f aca="false">IF(L22&gt;0,L22,0)</f>
        <v>0.0337988404335761</v>
      </c>
      <c r="K22" s="51" t="n">
        <f aca="false">I22+J22</f>
        <v>42.0937988404336</v>
      </c>
      <c r="L22" s="51" t="n">
        <f aca="false">F22-(I22-W22)</f>
        <v>0.0337988404335761</v>
      </c>
      <c r="M22" s="101" t="n">
        <v>4.76</v>
      </c>
      <c r="N22" s="101" t="n">
        <v>0</v>
      </c>
      <c r="O22" s="51" t="n">
        <v>0</v>
      </c>
      <c r="P22" s="6" t="n">
        <f aca="false">M22-(N22+O22)</f>
        <v>4.76</v>
      </c>
      <c r="Q22" s="51" t="n">
        <v>149.36</v>
      </c>
      <c r="R22" s="51" t="n">
        <v>13.88</v>
      </c>
      <c r="S22" s="51" t="n">
        <f aca="false">SUM(P22:R22)</f>
        <v>168</v>
      </c>
      <c r="T22" s="52"/>
      <c r="U22" s="51" t="n">
        <v>0</v>
      </c>
      <c r="V22" s="51" t="n">
        <v>20.3</v>
      </c>
      <c r="W22" s="6" t="n">
        <f aca="false">N22+O22+S22+U22+V22</f>
        <v>188.3</v>
      </c>
      <c r="X22" s="51" t="n">
        <f aca="false">IF(L22&lt;0,L22*-1,0)</f>
        <v>0</v>
      </c>
      <c r="Y22" s="51" t="n">
        <f aca="false">W22+X22</f>
        <v>188.3</v>
      </c>
      <c r="Z22" s="56" t="n">
        <v>0</v>
      </c>
      <c r="AA22" s="57" t="n">
        <v>33</v>
      </c>
      <c r="AB22" s="57" t="n">
        <v>22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6897.44</v>
      </c>
      <c r="C23" s="52" t="n">
        <v>274235</v>
      </c>
      <c r="D23" s="57" t="n">
        <f aca="false">C23-C22</f>
        <v>-289</v>
      </c>
      <c r="E23" s="52" t="n">
        <f aca="false">C23-152000</f>
        <v>122235</v>
      </c>
      <c r="F23" s="51" t="n">
        <f aca="false">D23/$D$2</f>
        <v>-145.702041845223</v>
      </c>
      <c r="G23" s="51" t="n">
        <v>48.57</v>
      </c>
      <c r="H23" s="56" t="n">
        <v>0</v>
      </c>
      <c r="I23" s="51" t="n">
        <f aca="false">G23+H23</f>
        <v>48.57</v>
      </c>
      <c r="J23" s="81" t="n">
        <f aca="false">IF(L23&gt;0,L23,0)</f>
        <v>0.0379581547769305</v>
      </c>
      <c r="K23" s="51" t="n">
        <f aca="false">I23+J23</f>
        <v>48.6079581547769</v>
      </c>
      <c r="L23" s="51" t="n">
        <f aca="false">F23-(I23-W23)</f>
        <v>0.0379581547769305</v>
      </c>
      <c r="M23" s="51" t="n">
        <v>4.76</v>
      </c>
      <c r="N23" s="51" t="n">
        <v>0</v>
      </c>
      <c r="O23" s="51" t="n">
        <v>0</v>
      </c>
      <c r="P23" s="6" t="n">
        <f aca="false">M23-(N23+O23)</f>
        <v>4.76</v>
      </c>
      <c r="Q23" s="51" t="n">
        <v>155.39</v>
      </c>
      <c r="R23" s="51" t="n">
        <v>13.85</v>
      </c>
      <c r="S23" s="51" t="n">
        <f aca="false">SUM(P23:R23)</f>
        <v>174</v>
      </c>
      <c r="T23" s="52"/>
      <c r="U23" s="51" t="n">
        <v>0</v>
      </c>
      <c r="V23" s="51" t="n">
        <v>20.31</v>
      </c>
      <c r="W23" s="6" t="n">
        <f aca="false">N23+O23+S23+U23+V23</f>
        <v>194.31</v>
      </c>
      <c r="X23" s="51" t="n">
        <f aca="false">IF(L23&lt;0,L23*-1,0)</f>
        <v>0</v>
      </c>
      <c r="Y23" s="51" t="n">
        <f aca="false">W23+X23</f>
        <v>194.31</v>
      </c>
      <c r="Z23" s="56" t="n">
        <v>0</v>
      </c>
      <c r="AA23" s="82" t="n">
        <v>30</v>
      </c>
      <c r="AB23" s="57" t="n">
        <v>13</v>
      </c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6897.35</v>
      </c>
      <c r="C24" s="52" t="n">
        <v>273909</v>
      </c>
      <c r="D24" s="57" t="n">
        <f aca="false">C24-C23</f>
        <v>-326</v>
      </c>
      <c r="E24" s="52" t="n">
        <f aca="false">C24-152000</f>
        <v>121909</v>
      </c>
      <c r="F24" s="51" t="n">
        <f aca="false">D24/$D$2</f>
        <v>-164.355936475926</v>
      </c>
      <c r="G24" s="51" t="n">
        <v>27.92</v>
      </c>
      <c r="H24" s="56" t="n">
        <v>0</v>
      </c>
      <c r="I24" s="51" t="n">
        <f aca="false">G24+H24</f>
        <v>27.92</v>
      </c>
      <c r="J24" s="81" t="n">
        <f aca="false">IF(L24&gt;0,L24,0)</f>
        <v>0.0440635240735787</v>
      </c>
      <c r="K24" s="51" t="n">
        <f aca="false">I24+J24</f>
        <v>27.9640635240736</v>
      </c>
      <c r="L24" s="51" t="n">
        <f aca="false">F24-(I24-W24)</f>
        <v>0.0440635240735787</v>
      </c>
      <c r="M24" s="51" t="n">
        <v>4.76</v>
      </c>
      <c r="N24" s="51" t="n">
        <v>0</v>
      </c>
      <c r="O24" s="51" t="n">
        <v>0</v>
      </c>
      <c r="P24" s="6" t="n">
        <f aca="false">M24-(N24+O24)</f>
        <v>4.76</v>
      </c>
      <c r="Q24" s="51" t="n">
        <v>155.46</v>
      </c>
      <c r="R24" s="51" t="n">
        <v>11.78</v>
      </c>
      <c r="S24" s="51" t="n">
        <f aca="false">SUM(P24:R24)</f>
        <v>172</v>
      </c>
      <c r="T24" s="52"/>
      <c r="U24" s="51" t="n">
        <v>0</v>
      </c>
      <c r="V24" s="51" t="n">
        <v>20.32</v>
      </c>
      <c r="W24" s="6" t="n">
        <f aca="false">N24+O24+S24+U24+V24</f>
        <v>192.32</v>
      </c>
      <c r="X24" s="51" t="n">
        <f aca="false">IF(L24&lt;0,L24*-1,0)</f>
        <v>0</v>
      </c>
      <c r="Y24" s="51" t="n">
        <f aca="false">W24+X24</f>
        <v>192.32</v>
      </c>
      <c r="Z24" s="56" t="n">
        <v>0</v>
      </c>
      <c r="AA24" s="82" t="n">
        <v>34</v>
      </c>
      <c r="AB24" s="57" t="n">
        <v>9</v>
      </c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6897.33</v>
      </c>
      <c r="C25" s="52" t="n">
        <v>273837</v>
      </c>
      <c r="D25" s="57" t="n">
        <f aca="false">C25-C24</f>
        <v>-72</v>
      </c>
      <c r="E25" s="52" t="n">
        <f aca="false">C25-152000</f>
        <v>121837</v>
      </c>
      <c r="F25" s="51" t="n">
        <f aca="false">D25/$D$2</f>
        <v>-36.2994706327199</v>
      </c>
      <c r="G25" s="51" t="n">
        <v>90.99</v>
      </c>
      <c r="H25" s="56" t="n">
        <v>0</v>
      </c>
      <c r="I25" s="51" t="n">
        <f aca="false">G25+H25</f>
        <v>90.99</v>
      </c>
      <c r="J25" s="81" t="n">
        <f aca="false">IF(L25&gt;0,L25,0)</f>
        <v>0.0105293672800642</v>
      </c>
      <c r="K25" s="51" t="n">
        <f aca="false">I25+J25</f>
        <v>91.0005293672801</v>
      </c>
      <c r="L25" s="51" t="n">
        <f aca="false">F25-(I25-W25)</f>
        <v>0.0105293672800642</v>
      </c>
      <c r="M25" s="51" t="n">
        <v>4.76</v>
      </c>
      <c r="N25" s="51" t="n">
        <v>0</v>
      </c>
      <c r="O25" s="51" t="n">
        <v>0</v>
      </c>
      <c r="P25" s="6" t="n">
        <f aca="false">M25-(N25+O25)</f>
        <v>4.76</v>
      </c>
      <c r="Q25" s="51" t="n">
        <v>96.95</v>
      </c>
      <c r="R25" s="51" t="n">
        <v>5.29</v>
      </c>
      <c r="S25" s="51" t="n">
        <f aca="false">SUM(P25:R25)</f>
        <v>107</v>
      </c>
      <c r="T25" s="52"/>
      <c r="U25" s="51" t="n">
        <v>0</v>
      </c>
      <c r="V25" s="51" t="n">
        <v>20.3</v>
      </c>
      <c r="W25" s="6" t="n">
        <f aca="false">N25+O25+S25+U25+V25</f>
        <v>127.3</v>
      </c>
      <c r="X25" s="51" t="n">
        <f aca="false">IF(L25&lt;0,L25*-1,0)</f>
        <v>0</v>
      </c>
      <c r="Y25" s="51" t="n">
        <f aca="false">W25+X25</f>
        <v>127.3</v>
      </c>
      <c r="Z25" s="56" t="n">
        <v>0</v>
      </c>
      <c r="AA25" s="82" t="n">
        <v>46</v>
      </c>
      <c r="AB25" s="57" t="n">
        <v>11</v>
      </c>
      <c r="AC25" s="58" t="n">
        <f aca="false">AC24+1</f>
        <v>16</v>
      </c>
      <c r="AD25" s="92"/>
      <c r="AE25" s="96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6897.34</v>
      </c>
      <c r="C26" s="52" t="n">
        <v>273873</v>
      </c>
      <c r="D26" s="57" t="n">
        <f aca="false">C26-C25</f>
        <v>36</v>
      </c>
      <c r="E26" s="52" t="n">
        <f aca="false">C26-152000</f>
        <v>121873</v>
      </c>
      <c r="F26" s="51" t="n">
        <f aca="false">D26/$D$2</f>
        <v>18.14973531636</v>
      </c>
      <c r="G26" s="51" t="n">
        <v>43.21</v>
      </c>
      <c r="H26" s="56" t="n">
        <v>0</v>
      </c>
      <c r="I26" s="51" t="n">
        <f aca="false">G26+H26</f>
        <v>43.21</v>
      </c>
      <c r="J26" s="81" t="n">
        <f aca="false">IF(L26&gt;0,L26,0)</f>
        <v>0</v>
      </c>
      <c r="K26" s="51" t="n">
        <f aca="false">I26+J26</f>
        <v>43.21</v>
      </c>
      <c r="L26" s="51" t="n">
        <f aca="false">F26-(I26-W26)</f>
        <v>-0.000264683640029517</v>
      </c>
      <c r="M26" s="51" t="n">
        <v>4.76</v>
      </c>
      <c r="N26" s="51" t="n">
        <v>0</v>
      </c>
      <c r="O26" s="51" t="n">
        <v>0</v>
      </c>
      <c r="P26" s="6" t="n">
        <f aca="false">M26-(N26+O26)</f>
        <v>4.76</v>
      </c>
      <c r="Q26" s="51" t="n">
        <v>0</v>
      </c>
      <c r="R26" s="51" t="n">
        <v>0</v>
      </c>
      <c r="S26" s="51" t="n">
        <f aca="false">SUM(P26:R26)</f>
        <v>4.76</v>
      </c>
      <c r="T26" s="52"/>
      <c r="U26" s="51" t="n">
        <v>0</v>
      </c>
      <c r="V26" s="51" t="n">
        <v>20.3</v>
      </c>
      <c r="W26" s="6" t="n">
        <f aca="false">N26+O26+S26+U26+V26</f>
        <v>25.06</v>
      </c>
      <c r="X26" s="51" t="n">
        <f aca="false">IF(L26&lt;0,L26*-1,0)</f>
        <v>0.000264683640029517</v>
      </c>
      <c r="Y26" s="51" t="n">
        <f aca="false">W26+X26</f>
        <v>25.06026468364</v>
      </c>
      <c r="Z26" s="56" t="n">
        <v>0</v>
      </c>
      <c r="AA26" s="82" t="n">
        <v>49</v>
      </c>
      <c r="AB26" s="57" t="n">
        <v>14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3897.35</v>
      </c>
      <c r="C27" s="52" t="n">
        <v>273909</v>
      </c>
      <c r="D27" s="57" t="n">
        <f aca="false">C27-C26</f>
        <v>36</v>
      </c>
      <c r="E27" s="52" t="n">
        <f aca="false">C27-152000</f>
        <v>121909</v>
      </c>
      <c r="F27" s="51" t="n">
        <f aca="false">D27/$D$2</f>
        <v>18.14973531636</v>
      </c>
      <c r="G27" s="51" t="n">
        <v>43.23</v>
      </c>
      <c r="H27" s="56" t="n">
        <v>0</v>
      </c>
      <c r="I27" s="51" t="n">
        <f aca="false">G27+H27</f>
        <v>43.23</v>
      </c>
      <c r="J27" s="81" t="n">
        <f aca="false">IF(L27&gt;0,L27,0)</f>
        <v>0</v>
      </c>
      <c r="K27" s="51" t="n">
        <f aca="false">I27+J27</f>
        <v>43.23</v>
      </c>
      <c r="L27" s="51" t="n">
        <f aca="false">F27-(I27-W27)</f>
        <v>-0.000264683640029517</v>
      </c>
      <c r="M27" s="51" t="n">
        <v>4.76</v>
      </c>
      <c r="N27" s="51" t="n">
        <v>0</v>
      </c>
      <c r="O27" s="51" t="n">
        <v>0</v>
      </c>
      <c r="P27" s="6" t="n">
        <f aca="false">M27-(N27+O27)</f>
        <v>4.76</v>
      </c>
      <c r="Q27" s="51" t="n">
        <v>0</v>
      </c>
      <c r="R27" s="51" t="n">
        <v>0</v>
      </c>
      <c r="S27" s="51" t="n">
        <f aca="false">SUM(P27:R27)</f>
        <v>4.76</v>
      </c>
      <c r="T27" s="52"/>
      <c r="U27" s="51" t="n">
        <v>0</v>
      </c>
      <c r="V27" s="51" t="n">
        <v>20.32</v>
      </c>
      <c r="W27" s="6" t="n">
        <f aca="false">N27+O27+S27+U27+V27</f>
        <v>25.08</v>
      </c>
      <c r="X27" s="51" t="n">
        <f aca="false">IF(L27&lt;0,L27*-1,0)</f>
        <v>0.000264683640029517</v>
      </c>
      <c r="Y27" s="51" t="n">
        <f aca="false">W27+X27</f>
        <v>25.08026468364</v>
      </c>
      <c r="Z27" s="56" t="n">
        <v>0</v>
      </c>
      <c r="AA27" s="82" t="n">
        <v>52</v>
      </c>
      <c r="AB27" s="57" t="n">
        <v>19</v>
      </c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6897.37</v>
      </c>
      <c r="C28" s="100" t="n">
        <v>273982</v>
      </c>
      <c r="D28" s="57" t="n">
        <f aca="false">C28-C27</f>
        <v>73</v>
      </c>
      <c r="E28" s="52" t="n">
        <f aca="false">C28-152000</f>
        <v>121982</v>
      </c>
      <c r="F28" s="51" t="n">
        <f aca="false">D28/$D$2</f>
        <v>36.8036299470633</v>
      </c>
      <c r="G28" s="51" t="n">
        <v>61.89</v>
      </c>
      <c r="H28" s="56" t="n">
        <v>0</v>
      </c>
      <c r="I28" s="51" t="n">
        <f aca="false">G28+H28</f>
        <v>61.89</v>
      </c>
      <c r="J28" s="81" t="n">
        <f aca="false">IF(L28&gt;0,L28,0)</f>
        <v>0</v>
      </c>
      <c r="K28" s="51" t="n">
        <f aca="false">I28+J28</f>
        <v>61.89</v>
      </c>
      <c r="L28" s="51" t="n">
        <f aca="false">F28-(I28-W28)</f>
        <v>-0.00637005293673099</v>
      </c>
      <c r="M28" s="51" t="n">
        <v>4.76</v>
      </c>
      <c r="N28" s="51" t="n">
        <v>0</v>
      </c>
      <c r="O28" s="51" t="n">
        <v>0</v>
      </c>
      <c r="P28" s="6" t="n">
        <f aca="false">M28-(N28+O28)</f>
        <v>4.76</v>
      </c>
      <c r="Q28" s="51" t="n">
        <v>0</v>
      </c>
      <c r="R28" s="51" t="n">
        <v>0</v>
      </c>
      <c r="S28" s="51" t="n">
        <f aca="false">SUM(P28:R28)</f>
        <v>4.76</v>
      </c>
      <c r="T28" s="52"/>
      <c r="U28" s="51" t="n">
        <v>0</v>
      </c>
      <c r="V28" s="51" t="n">
        <v>20.32</v>
      </c>
      <c r="W28" s="6" t="n">
        <f aca="false">N28+O28+S28+U28+V28</f>
        <v>25.08</v>
      </c>
      <c r="X28" s="51" t="n">
        <f aca="false">IF(L28&lt;0,L28*-1,0)</f>
        <v>0.00637005293673099</v>
      </c>
      <c r="Y28" s="51" t="n">
        <f aca="false">W28+X28</f>
        <v>25.0863700529367</v>
      </c>
      <c r="Z28" s="56" t="n">
        <v>0</v>
      </c>
      <c r="AA28" s="82" t="n">
        <v>57</v>
      </c>
      <c r="AB28" s="57" t="n">
        <v>25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6897.38</v>
      </c>
      <c r="C29" s="52" t="n">
        <v>274018</v>
      </c>
      <c r="D29" s="57" t="n">
        <f aca="false">C29-C28</f>
        <v>36</v>
      </c>
      <c r="E29" s="52" t="n">
        <f aca="false">C29-152000</f>
        <v>122018</v>
      </c>
      <c r="F29" s="51" t="n">
        <f aca="false">D29/$D$2</f>
        <v>18.14973531636</v>
      </c>
      <c r="G29" s="51" t="n">
        <v>43.21</v>
      </c>
      <c r="H29" s="56" t="n">
        <v>0</v>
      </c>
      <c r="I29" s="51" t="n">
        <f aca="false">G29+H29</f>
        <v>43.21</v>
      </c>
      <c r="J29" s="81" t="n">
        <f aca="false">IF(L29&gt;0,L29,0)</f>
        <v>0</v>
      </c>
      <c r="K29" s="51" t="n">
        <f aca="false">I29+J29</f>
        <v>43.21</v>
      </c>
      <c r="L29" s="51" t="n">
        <f aca="false">F29-(I29-W29)</f>
        <v>-0.000264683640029517</v>
      </c>
      <c r="M29" s="51" t="n">
        <v>4.76</v>
      </c>
      <c r="N29" s="51" t="n">
        <v>0</v>
      </c>
      <c r="O29" s="51" t="n">
        <v>0</v>
      </c>
      <c r="P29" s="6" t="n">
        <f aca="false">M29-(N29+O29)</f>
        <v>4.76</v>
      </c>
      <c r="Q29" s="51" t="n">
        <v>0</v>
      </c>
      <c r="R29" s="51" t="n">
        <v>0</v>
      </c>
      <c r="S29" s="51" t="n">
        <f aca="false">SUM(P29:R29)</f>
        <v>4.76</v>
      </c>
      <c r="T29" s="52"/>
      <c r="U29" s="51" t="n">
        <v>0</v>
      </c>
      <c r="V29" s="51" t="n">
        <v>20.3</v>
      </c>
      <c r="W29" s="6" t="n">
        <f aca="false">N29+O29+S29+U29+V29</f>
        <v>25.06</v>
      </c>
      <c r="X29" s="51" t="n">
        <f aca="false">IF(L29&lt;0,L29*-1,0)</f>
        <v>0.000264683640029517</v>
      </c>
      <c r="Y29" s="51" t="n">
        <f aca="false">W29+X29</f>
        <v>25.06026468364</v>
      </c>
      <c r="Z29" s="56" t="n">
        <v>0</v>
      </c>
      <c r="AA29" s="82" t="n">
        <v>56</v>
      </c>
      <c r="AB29" s="57" t="n">
        <v>29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6897.44</v>
      </c>
      <c r="C30" s="52" t="n">
        <v>274235</v>
      </c>
      <c r="D30" s="57" t="n">
        <f aca="false">C30-C29</f>
        <v>217</v>
      </c>
      <c r="E30" s="52" t="n">
        <f aca="false">C30-152000</f>
        <v>122235</v>
      </c>
      <c r="F30" s="51" t="n">
        <f aca="false">D30/$D$2</f>
        <v>109.402571212503</v>
      </c>
      <c r="G30" s="101" t="n">
        <v>134.49</v>
      </c>
      <c r="H30" s="56" t="n">
        <v>0</v>
      </c>
      <c r="I30" s="51" t="n">
        <f aca="false">G30+H30</f>
        <v>134.49</v>
      </c>
      <c r="J30" s="81" t="n">
        <f aca="false">IF(L30&gt;0,L30,0)</f>
        <v>0</v>
      </c>
      <c r="K30" s="51" t="n">
        <f aca="false">I30+J30</f>
        <v>134.49</v>
      </c>
      <c r="L30" s="51" t="n">
        <f aca="false">F30-(I30-W30)</f>
        <v>-0.0274287874968593</v>
      </c>
      <c r="M30" s="51" t="n">
        <v>4.76</v>
      </c>
      <c r="N30" s="51" t="n">
        <v>0</v>
      </c>
      <c r="O30" s="51" t="n">
        <v>0</v>
      </c>
      <c r="P30" s="6" t="n">
        <f aca="false">M30-(N30+O30)</f>
        <v>4.76</v>
      </c>
      <c r="Q30" s="51" t="n">
        <v>0</v>
      </c>
      <c r="R30" s="51" t="n">
        <v>0</v>
      </c>
      <c r="S30" s="51" t="n">
        <f aca="false">SUM(P30:R30)</f>
        <v>4.76</v>
      </c>
      <c r="T30" s="52"/>
      <c r="U30" s="51" t="n">
        <v>0</v>
      </c>
      <c r="V30" s="51" t="n">
        <v>20.3</v>
      </c>
      <c r="W30" s="6" t="n">
        <f aca="false">N30+O30+S30+U30+V30</f>
        <v>25.06</v>
      </c>
      <c r="X30" s="51" t="n">
        <f aca="false">IF(L30&lt;0,L30*-1,0)</f>
        <v>0.0274287874968593</v>
      </c>
      <c r="Y30" s="51" t="n">
        <f aca="false">W30+X30</f>
        <v>25.0874287874969</v>
      </c>
      <c r="Z30" s="56" t="n">
        <v>0</v>
      </c>
      <c r="AA30" s="57" t="n">
        <v>60</v>
      </c>
      <c r="AB30" s="57" t="n">
        <v>30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6897.52</v>
      </c>
      <c r="C31" s="52" t="n">
        <v>274524</v>
      </c>
      <c r="D31" s="57" t="n">
        <f aca="false">C31-C30</f>
        <v>289</v>
      </c>
      <c r="E31" s="52" t="n">
        <f aca="false">C31-152000</f>
        <v>122524</v>
      </c>
      <c r="F31" s="51" t="n">
        <f aca="false">D31/$D$2</f>
        <v>145.702041845223</v>
      </c>
      <c r="G31" s="51" t="n">
        <v>170.8</v>
      </c>
      <c r="H31" s="56" t="n">
        <v>0</v>
      </c>
      <c r="I31" s="51" t="n">
        <f aca="false">G31+H31</f>
        <v>170.8</v>
      </c>
      <c r="J31" s="81" t="n">
        <f aca="false">IF(L31&gt;0,L31,0)</f>
        <v>0</v>
      </c>
      <c r="K31" s="51" t="n">
        <f aca="false">I31+J31</f>
        <v>170.8</v>
      </c>
      <c r="L31" s="51" t="n">
        <f aca="false">F31-(I31-W31)</f>
        <v>-0.0379581547769305</v>
      </c>
      <c r="M31" s="51" t="n">
        <v>4.76</v>
      </c>
      <c r="N31" s="51" t="n">
        <v>0</v>
      </c>
      <c r="O31" s="51" t="n">
        <v>0</v>
      </c>
      <c r="P31" s="6" t="n">
        <f aca="false">M31-(N31+O31)</f>
        <v>4.76</v>
      </c>
      <c r="Q31" s="51" t="n">
        <v>0</v>
      </c>
      <c r="R31" s="51" t="n">
        <v>0</v>
      </c>
      <c r="S31" s="51" t="n">
        <f aca="false">SUM(P31:R31)</f>
        <v>4.76</v>
      </c>
      <c r="T31" s="52"/>
      <c r="U31" s="51" t="n">
        <v>0</v>
      </c>
      <c r="V31" s="51" t="n">
        <v>20.3</v>
      </c>
      <c r="W31" s="6" t="n">
        <f aca="false">N31+O31+S31+U31+V31</f>
        <v>25.06</v>
      </c>
      <c r="X31" s="51" t="n">
        <f aca="false">IF(L31&lt;0,L31*-1,0)</f>
        <v>0.0379581547769305</v>
      </c>
      <c r="Y31" s="51" t="n">
        <f aca="false">W31+X31</f>
        <v>25.0979581547769</v>
      </c>
      <c r="Z31" s="56" t="n">
        <v>0</v>
      </c>
      <c r="AA31" s="57" t="n">
        <v>62</v>
      </c>
      <c r="AB31" s="57" t="n">
        <v>30</v>
      </c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6897.52</v>
      </c>
      <c r="C32" s="52" t="n">
        <v>274524</v>
      </c>
      <c r="D32" s="57" t="n">
        <f aca="false">C32-C31</f>
        <v>0</v>
      </c>
      <c r="E32" s="52" t="n">
        <f aca="false">C32-152000</f>
        <v>122524</v>
      </c>
      <c r="F32" s="51" t="n">
        <f aca="false">D32/$D$2</f>
        <v>0</v>
      </c>
      <c r="G32" s="51" t="n">
        <v>24.63</v>
      </c>
      <c r="H32" s="56" t="n">
        <v>0</v>
      </c>
      <c r="I32" s="51" t="n">
        <f aca="false">G32+H32</f>
        <v>24.63</v>
      </c>
      <c r="J32" s="81" t="n">
        <f aca="false">IF(L32&gt;0,L32,0)</f>
        <v>0</v>
      </c>
      <c r="K32" s="51" t="n">
        <f aca="false">I32+J32</f>
        <v>24.63</v>
      </c>
      <c r="L32" s="51" t="n">
        <f aca="false">F32-(I32-W32)</f>
        <v>0</v>
      </c>
      <c r="M32" s="51" t="n">
        <v>4.34</v>
      </c>
      <c r="N32" s="51" t="n">
        <v>0</v>
      </c>
      <c r="O32" s="51" t="n">
        <v>0</v>
      </c>
      <c r="P32" s="6" t="n">
        <f aca="false">M32-(N32+O32)</f>
        <v>4.34</v>
      </c>
      <c r="Q32" s="51" t="n">
        <v>0</v>
      </c>
      <c r="R32" s="51" t="n">
        <v>0</v>
      </c>
      <c r="S32" s="51" t="n">
        <f aca="false">SUM(P32:R32)</f>
        <v>4.34</v>
      </c>
      <c r="T32" s="52"/>
      <c r="U32" s="51" t="n">
        <v>0</v>
      </c>
      <c r="V32" s="51" t="n">
        <v>20.29</v>
      </c>
      <c r="W32" s="6" t="n">
        <f aca="false">N32+O32+S32+U32+V32</f>
        <v>24.63</v>
      </c>
      <c r="X32" s="51" t="n">
        <f aca="false">IF(L32&lt;0,L32*-1,0)</f>
        <v>0</v>
      </c>
      <c r="Y32" s="51" t="n">
        <f aca="false">W32+X32</f>
        <v>24.63</v>
      </c>
      <c r="Z32" s="56" t="n">
        <v>0</v>
      </c>
      <c r="AA32" s="57" t="n">
        <v>61</v>
      </c>
      <c r="AB32" s="82" t="n">
        <v>31</v>
      </c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6897.57</v>
      </c>
      <c r="C33" s="52" t="n">
        <v>274705</v>
      </c>
      <c r="D33" s="57" t="n">
        <f aca="false">C33-C32</f>
        <v>181</v>
      </c>
      <c r="E33" s="52" t="n">
        <f aca="false">C33-152000</f>
        <v>122705</v>
      </c>
      <c r="F33" s="51" t="n">
        <f aca="false">D33/$D$2</f>
        <v>91.2528358961432</v>
      </c>
      <c r="G33" s="51" t="n">
        <v>115.63</v>
      </c>
      <c r="H33" s="56" t="n">
        <v>0</v>
      </c>
      <c r="I33" s="51" t="n">
        <f aca="false">G33+H33</f>
        <v>115.63</v>
      </c>
      <c r="J33" s="81" t="n">
        <f aca="false">IF(L33&gt;0,L33,0)</f>
        <v>0</v>
      </c>
      <c r="K33" s="51" t="n">
        <f aca="false">I33+J33</f>
        <v>115.63</v>
      </c>
      <c r="L33" s="51" t="n">
        <f aca="false">F33-(I33-W33)</f>
        <v>-0.0271641038568191</v>
      </c>
      <c r="M33" s="51" t="n">
        <v>4.06</v>
      </c>
      <c r="N33" s="51" t="n">
        <v>0</v>
      </c>
      <c r="O33" s="51" t="n">
        <v>0</v>
      </c>
      <c r="P33" s="6" t="n">
        <f aca="false">M33-(N33+O33)</f>
        <v>4.06</v>
      </c>
      <c r="Q33" s="51" t="n">
        <v>0</v>
      </c>
      <c r="R33" s="51" t="n">
        <v>0</v>
      </c>
      <c r="S33" s="51" t="n">
        <f aca="false">SUM(P33:R33)</f>
        <v>4.06</v>
      </c>
      <c r="T33" s="52"/>
      <c r="U33" s="51" t="n">
        <v>0</v>
      </c>
      <c r="V33" s="51" t="n">
        <v>20.29</v>
      </c>
      <c r="W33" s="6" t="n">
        <f aca="false">N33+O33+S33+U33+V33</f>
        <v>24.35</v>
      </c>
      <c r="X33" s="51" t="n">
        <f aca="false">IF(L33&lt;0,L33*-1,0)</f>
        <v>0.0271641038568191</v>
      </c>
      <c r="Y33" s="51" t="n">
        <f aca="false">W33+X33</f>
        <v>24.3771641038568</v>
      </c>
      <c r="Z33" s="56" t="n">
        <v>0</v>
      </c>
      <c r="AA33" s="57" t="n">
        <v>62</v>
      </c>
      <c r="AB33" s="82" t="n">
        <v>30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6897.62</v>
      </c>
      <c r="C34" s="52" t="n">
        <v>274886</v>
      </c>
      <c r="D34" s="57" t="n">
        <f aca="false">C34-C33</f>
        <v>181</v>
      </c>
      <c r="E34" s="52" t="n">
        <f aca="false">C34-152000</f>
        <v>122886</v>
      </c>
      <c r="F34" s="51" t="n">
        <f aca="false">D34/$D$2</f>
        <v>91.2528358961432</v>
      </c>
      <c r="G34" s="51" t="n">
        <v>115.63</v>
      </c>
      <c r="H34" s="56" t="n">
        <v>0</v>
      </c>
      <c r="I34" s="51" t="n">
        <f aca="false">G34+H34</f>
        <v>115.63</v>
      </c>
      <c r="J34" s="81" t="n">
        <f aca="false">IF(L34&gt;0,L34,0)</f>
        <v>0</v>
      </c>
      <c r="K34" s="51" t="n">
        <f aca="false">I34+J34</f>
        <v>115.63</v>
      </c>
      <c r="L34" s="51" t="n">
        <f aca="false">F34-(I34-W34)</f>
        <v>-0.0271641038568191</v>
      </c>
      <c r="M34" s="51" t="n">
        <v>4.06</v>
      </c>
      <c r="N34" s="51" t="n">
        <v>0</v>
      </c>
      <c r="O34" s="51" t="n">
        <v>0</v>
      </c>
      <c r="P34" s="6" t="n">
        <f aca="false">M34-(N34+O34)</f>
        <v>4.06</v>
      </c>
      <c r="Q34" s="51" t="n">
        <v>0</v>
      </c>
      <c r="R34" s="51" t="n">
        <v>0</v>
      </c>
      <c r="S34" s="51" t="n">
        <f aca="false">SUM(P34:R34)</f>
        <v>4.06</v>
      </c>
      <c r="T34" s="52"/>
      <c r="U34" s="51" t="n">
        <v>0</v>
      </c>
      <c r="V34" s="51" t="n">
        <v>20.29</v>
      </c>
      <c r="W34" s="6" t="n">
        <f aca="false">N34+O34+S34+U34+V34</f>
        <v>24.35</v>
      </c>
      <c r="X34" s="51" t="n">
        <f aca="false">IF(L34&lt;0,L34*-1,0)</f>
        <v>0.0271641038568191</v>
      </c>
      <c r="Y34" s="51" t="n">
        <f aca="false">W34+X34</f>
        <v>24.3771641038568</v>
      </c>
      <c r="Z34" s="56" t="n">
        <v>0</v>
      </c>
      <c r="AA34" s="57" t="n">
        <v>63</v>
      </c>
      <c r="AB34" s="82" t="n">
        <v>31</v>
      </c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6897.53</v>
      </c>
      <c r="C35" s="52" t="n">
        <v>274560</v>
      </c>
      <c r="D35" s="57" t="n">
        <f aca="false">C35-C34</f>
        <v>-326</v>
      </c>
      <c r="E35" s="52" t="n">
        <f aca="false">C35-152000</f>
        <v>122560</v>
      </c>
      <c r="F35" s="51" t="n">
        <f aca="false">D35/$D$2</f>
        <v>-164.355936475926</v>
      </c>
      <c r="G35" s="51" t="n">
        <v>0</v>
      </c>
      <c r="H35" s="56" t="n">
        <v>0</v>
      </c>
      <c r="I35" s="51" t="n">
        <f aca="false">G35+H35</f>
        <v>0</v>
      </c>
      <c r="J35" s="81" t="n">
        <f aca="false">IF(L35&gt;0,L35,0)</f>
        <v>0</v>
      </c>
      <c r="K35" s="51" t="n">
        <f aca="false">I35+J35</f>
        <v>0</v>
      </c>
      <c r="L35" s="51" t="n">
        <f aca="false">F35-(I35-W35)</f>
        <v>-4.40593647592638</v>
      </c>
      <c r="M35" s="51" t="n">
        <v>4.06</v>
      </c>
      <c r="N35" s="51" t="n">
        <v>0.08</v>
      </c>
      <c r="O35" s="51" t="n">
        <v>0</v>
      </c>
      <c r="P35" s="6" t="n">
        <f aca="false">M35-(N35+O35)</f>
        <v>3.98</v>
      </c>
      <c r="Q35" s="51" t="n">
        <v>135.59</v>
      </c>
      <c r="R35" s="51" t="n">
        <v>0</v>
      </c>
      <c r="S35" s="51" t="n">
        <f aca="false">SUM(P35:R35)</f>
        <v>139.57</v>
      </c>
      <c r="T35" s="52"/>
      <c r="U35" s="51" t="n">
        <v>0</v>
      </c>
      <c r="V35" s="51" t="n">
        <v>20.3</v>
      </c>
      <c r="W35" s="6" t="n">
        <f aca="false">N35+O35+S35+U35+V35</f>
        <v>159.95</v>
      </c>
      <c r="X35" s="51" t="n">
        <f aca="false">IF(L35&lt;0,L35*-1,0)</f>
        <v>4.40593647592638</v>
      </c>
      <c r="Y35" s="51" t="n">
        <f aca="false">W35+X35</f>
        <v>164.355936475926</v>
      </c>
      <c r="Z35" s="56" t="n">
        <v>0</v>
      </c>
      <c r="AA35" s="57" t="n">
        <v>63</v>
      </c>
      <c r="AB35" s="57" t="n">
        <v>29</v>
      </c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6897.41</v>
      </c>
      <c r="C36" s="52" t="n">
        <v>274126</v>
      </c>
      <c r="D36" s="57" t="n">
        <f aca="false">C36-C35</f>
        <v>-434</v>
      </c>
      <c r="E36" s="52" t="n">
        <f aca="false">C36-152000</f>
        <v>122126</v>
      </c>
      <c r="F36" s="51" t="n">
        <f aca="false">D36/$D$2</f>
        <v>-218.805142425006</v>
      </c>
      <c r="G36" s="51" t="n">
        <v>99.31</v>
      </c>
      <c r="H36" s="56" t="n">
        <v>0</v>
      </c>
      <c r="I36" s="51" t="n">
        <f aca="false">G36+H36</f>
        <v>99.31</v>
      </c>
      <c r="J36" s="81" t="n">
        <f aca="false">IF(L36&gt;0,L36,0)</f>
        <v>0.0548575749936617</v>
      </c>
      <c r="K36" s="51" t="n">
        <f aca="false">I36+J36</f>
        <v>99.3648575749937</v>
      </c>
      <c r="L36" s="51" t="n">
        <f aca="false">F36-(I36-W36)</f>
        <v>0.0548575749936617</v>
      </c>
      <c r="M36" s="51" t="n">
        <v>4.06</v>
      </c>
      <c r="N36" s="51" t="n">
        <v>0</v>
      </c>
      <c r="O36" s="51" t="n">
        <v>0</v>
      </c>
      <c r="P36" s="6" t="n">
        <f aca="false">M36-(N36+O36)</f>
        <v>4.06</v>
      </c>
      <c r="Q36" s="51" t="n">
        <v>293.84</v>
      </c>
      <c r="R36" s="51" t="n">
        <v>0</v>
      </c>
      <c r="S36" s="51" t="n">
        <f aca="false">SUM(P36:R36)</f>
        <v>297.9</v>
      </c>
      <c r="T36" s="52"/>
      <c r="U36" s="51" t="n">
        <v>0</v>
      </c>
      <c r="V36" s="51" t="n">
        <v>20.27</v>
      </c>
      <c r="W36" s="6" t="n">
        <f aca="false">N36+O36+S36+U36+V36</f>
        <v>318.17</v>
      </c>
      <c r="X36" s="51" t="n">
        <f aca="false">IF(L36&lt;0,L36*-1,0)</f>
        <v>0</v>
      </c>
      <c r="Y36" s="51" t="n">
        <f aca="false">W36+X36</f>
        <v>318.17</v>
      </c>
      <c r="Z36" s="56" t="n">
        <v>0</v>
      </c>
      <c r="AA36" s="57" t="n">
        <v>64</v>
      </c>
      <c r="AB36" s="57" t="n">
        <v>27</v>
      </c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f aca="false">A36+1</f>
        <v>28</v>
      </c>
      <c r="B37" s="73" t="n">
        <v>6897.29</v>
      </c>
      <c r="C37" s="52" t="n">
        <v>273692</v>
      </c>
      <c r="D37" s="57" t="n">
        <f aca="false">C37-C36</f>
        <v>-434</v>
      </c>
      <c r="E37" s="52" t="n">
        <f aca="false">C37-152000</f>
        <v>121692</v>
      </c>
      <c r="F37" s="51" t="n">
        <f aca="false">D37/$D$2</f>
        <v>-218.805142425006</v>
      </c>
      <c r="G37" s="51" t="n">
        <v>99.73</v>
      </c>
      <c r="H37" s="56" t="n">
        <v>0</v>
      </c>
      <c r="I37" s="51" t="n">
        <f aca="false">G37+H37</f>
        <v>99.73</v>
      </c>
      <c r="J37" s="81" t="n">
        <f aca="false">IF(L37&gt;0,L37,0)</f>
        <v>0.0548575749936617</v>
      </c>
      <c r="K37" s="51" t="n">
        <f aca="false">I37+J37</f>
        <v>99.7848575749937</v>
      </c>
      <c r="L37" s="51" t="n">
        <f aca="false">F37-(I37-W37)</f>
        <v>0.0548575749936617</v>
      </c>
      <c r="M37" s="51" t="n">
        <v>4.07</v>
      </c>
      <c r="N37" s="51" t="n">
        <v>0</v>
      </c>
      <c r="O37" s="51" t="n">
        <v>0</v>
      </c>
      <c r="P37" s="6" t="n">
        <f aca="false">M37-(N37+O37)</f>
        <v>4.07</v>
      </c>
      <c r="Q37" s="51" t="n">
        <v>294.26</v>
      </c>
      <c r="R37" s="51" t="n">
        <v>0</v>
      </c>
      <c r="S37" s="51" t="n">
        <f aca="false">SUM(P37:R37)</f>
        <v>298.33</v>
      </c>
      <c r="T37" s="52"/>
      <c r="U37" s="51" t="n">
        <v>0</v>
      </c>
      <c r="V37" s="51" t="n">
        <v>20.26</v>
      </c>
      <c r="W37" s="6" t="n">
        <f aca="false">N37+O37+S37+U37+V37</f>
        <v>318.59</v>
      </c>
      <c r="X37" s="51" t="n">
        <f aca="false">IF(L37&lt;0,L37*-1,0)</f>
        <v>0</v>
      </c>
      <c r="Y37" s="51" t="n">
        <f aca="false">W37+X37</f>
        <v>318.59</v>
      </c>
      <c r="Z37" s="56" t="n">
        <v>0</v>
      </c>
      <c r="AA37" s="57" t="n">
        <v>54</v>
      </c>
      <c r="AB37" s="57" t="n">
        <v>33</v>
      </c>
      <c r="AC37" s="58" t="n">
        <f aca="false">AC36+1</f>
        <v>28</v>
      </c>
      <c r="AD37" s="92"/>
      <c r="AE37" s="94"/>
      <c r="AF37" s="93"/>
    </row>
    <row r="38" customFormat="false" ht="11.1" hidden="false" customHeight="true" outlineLevel="0" collapsed="false">
      <c r="A38" s="58" t="n">
        <f aca="false">A37+1</f>
        <v>29</v>
      </c>
      <c r="B38" s="73" t="n">
        <v>6897.16</v>
      </c>
      <c r="C38" s="52" t="n">
        <v>273222</v>
      </c>
      <c r="D38" s="57" t="n">
        <f aca="false">C38-C37</f>
        <v>-470</v>
      </c>
      <c r="E38" s="52" t="n">
        <f aca="false">C38-152000</f>
        <v>121222</v>
      </c>
      <c r="F38" s="51" t="n">
        <f aca="false">D38/$D$2</f>
        <v>-236.954877741366</v>
      </c>
      <c r="G38" s="51" t="n">
        <v>82.11</v>
      </c>
      <c r="H38" s="56" t="n">
        <v>0</v>
      </c>
      <c r="I38" s="51" t="n">
        <f aca="false">G38+H38</f>
        <v>82.11</v>
      </c>
      <c r="J38" s="81" t="n">
        <f aca="false">IF(L38&gt;0,L38,0)</f>
        <v>0.0551222586337303</v>
      </c>
      <c r="K38" s="51" t="n">
        <f aca="false">I38+J38</f>
        <v>82.1651222586337</v>
      </c>
      <c r="L38" s="51" t="n">
        <f aca="false">F38-(I38-W38)</f>
        <v>0.0551222586337303</v>
      </c>
      <c r="M38" s="51" t="n">
        <v>4.06</v>
      </c>
      <c r="N38" s="51" t="n">
        <v>0</v>
      </c>
      <c r="O38" s="51" t="n">
        <v>0</v>
      </c>
      <c r="P38" s="6" t="n">
        <f aca="false">M38-(N38+O38)</f>
        <v>4.06</v>
      </c>
      <c r="Q38" s="51" t="n">
        <v>294.78</v>
      </c>
      <c r="R38" s="51" t="n">
        <v>0</v>
      </c>
      <c r="S38" s="51" t="n">
        <f aca="false">SUM(P38:R38)</f>
        <v>298.84</v>
      </c>
      <c r="T38" s="52"/>
      <c r="U38" s="51" t="n">
        <v>0</v>
      </c>
      <c r="V38" s="51" t="n">
        <v>20.28</v>
      </c>
      <c r="W38" s="6" t="n">
        <f aca="false">N38+O38+S38+U38+V38</f>
        <v>319.12</v>
      </c>
      <c r="X38" s="51" t="n">
        <f aca="false">IF(L38&lt;0,L38*-1,0)</f>
        <v>0</v>
      </c>
      <c r="Y38" s="51" t="n">
        <f aca="false">W38+X38</f>
        <v>319.12</v>
      </c>
      <c r="Z38" s="56" t="n">
        <v>0</v>
      </c>
      <c r="AA38" s="82" t="n">
        <v>45</v>
      </c>
      <c r="AB38" s="57" t="n">
        <v>30</v>
      </c>
      <c r="AC38" s="58" t="n">
        <f aca="false">AC37+1</f>
        <v>29</v>
      </c>
      <c r="AD38" s="92"/>
      <c r="AE38" s="94"/>
      <c r="AF38" s="93"/>
    </row>
    <row r="39" customFormat="false" ht="11.1" hidden="false" customHeight="true" outlineLevel="0" collapsed="false">
      <c r="A39" s="58" t="n">
        <v>30</v>
      </c>
      <c r="B39" s="73" t="n">
        <v>6897.1</v>
      </c>
      <c r="C39" s="52" t="n">
        <v>273005</v>
      </c>
      <c r="D39" s="57" t="n">
        <f aca="false">C39-C38</f>
        <v>-217</v>
      </c>
      <c r="E39" s="52" t="n">
        <f aca="false">C39-152000</f>
        <v>121005</v>
      </c>
      <c r="F39" s="51" t="n">
        <f aca="false">D39/$D$2</f>
        <v>-109.402571212503</v>
      </c>
      <c r="G39" s="51" t="n">
        <v>107.86</v>
      </c>
      <c r="H39" s="56" t="n">
        <v>0</v>
      </c>
      <c r="I39" s="51" t="n">
        <f aca="false">G39+H39</f>
        <v>107.86</v>
      </c>
      <c r="J39" s="81" t="n">
        <f aca="false">IF(L39&gt;0,L39,0)</f>
        <v>0.0274287874968735</v>
      </c>
      <c r="K39" s="51" t="n">
        <f aca="false">I39+J39</f>
        <v>107.887428787497</v>
      </c>
      <c r="L39" s="51" t="n">
        <f aca="false">F39-(I39-W39)</f>
        <v>0.0274287874968735</v>
      </c>
      <c r="M39" s="51" t="n">
        <v>4.06</v>
      </c>
      <c r="N39" s="51" t="n">
        <v>0</v>
      </c>
      <c r="O39" s="51" t="n">
        <v>0</v>
      </c>
      <c r="P39" s="6" t="n">
        <f aca="false">M39-(N39+O39)</f>
        <v>4.06</v>
      </c>
      <c r="Q39" s="51" t="n">
        <v>192.93</v>
      </c>
      <c r="R39" s="51" t="n">
        <v>0</v>
      </c>
      <c r="S39" s="51" t="n">
        <f aca="false">SUM(P39:R39)</f>
        <v>196.99</v>
      </c>
      <c r="T39" s="52"/>
      <c r="U39" s="51" t="n">
        <v>0</v>
      </c>
      <c r="V39" s="51" t="n">
        <v>20.3</v>
      </c>
      <c r="W39" s="6" t="n">
        <f aca="false">N39+O39+S39+U39+V39</f>
        <v>217.29</v>
      </c>
      <c r="X39" s="51" t="n">
        <f aca="false">IF(L39&lt;0,L39*-1,0)</f>
        <v>0</v>
      </c>
      <c r="Y39" s="51" t="n">
        <f aca="false">W39+X39</f>
        <v>217.29</v>
      </c>
      <c r="Z39" s="56" t="n">
        <v>0</v>
      </c>
      <c r="AA39" s="82" t="n">
        <v>48</v>
      </c>
      <c r="AB39" s="57" t="n">
        <v>29</v>
      </c>
      <c r="AC39" s="58" t="n">
        <v>30</v>
      </c>
      <c r="AD39" s="92"/>
      <c r="AE39" s="94"/>
      <c r="AF39" s="93"/>
    </row>
    <row r="40" customFormat="false" ht="11.1" hidden="false" customHeight="true" outlineLevel="0" collapsed="false">
      <c r="A40" s="58" t="n">
        <v>31</v>
      </c>
      <c r="B40" s="73" t="n">
        <v>6897.14</v>
      </c>
      <c r="C40" s="52" t="n">
        <v>273150</v>
      </c>
      <c r="D40" s="57" t="n">
        <f aca="false">C40-C39</f>
        <v>145</v>
      </c>
      <c r="E40" s="52" t="n">
        <f aca="false">C40-152000</f>
        <v>121150</v>
      </c>
      <c r="F40" s="51" t="n">
        <f aca="false">D40/$D$2</f>
        <v>73.1031005797832</v>
      </c>
      <c r="G40" s="51" t="n">
        <v>97.47</v>
      </c>
      <c r="H40" s="56" t="n">
        <v>0</v>
      </c>
      <c r="I40" s="51" t="n">
        <f aca="false">G40+H40</f>
        <v>97.47</v>
      </c>
      <c r="J40" s="81" t="n">
        <f aca="false">IF(L40&gt;0,L40,0)</f>
        <v>0</v>
      </c>
      <c r="K40" s="51" t="n">
        <f aca="false">I40+J40</f>
        <v>97.47</v>
      </c>
      <c r="L40" s="51" t="n">
        <f aca="false">F40-(I40-W40)</f>
        <v>-0.016899420216788</v>
      </c>
      <c r="M40" s="51" t="n">
        <v>4.06</v>
      </c>
      <c r="N40" s="51" t="n">
        <v>0</v>
      </c>
      <c r="O40" s="51" t="n">
        <v>0</v>
      </c>
      <c r="P40" s="6" t="n">
        <f aca="false">M40-(N40+O40)</f>
        <v>4.06</v>
      </c>
      <c r="Q40" s="51" t="n">
        <v>0</v>
      </c>
      <c r="R40" s="51" t="n">
        <v>0</v>
      </c>
      <c r="S40" s="51" t="n">
        <f aca="false">SUM(P40:R40)</f>
        <v>4.06</v>
      </c>
      <c r="T40" s="52"/>
      <c r="U40" s="51" t="n">
        <v>0</v>
      </c>
      <c r="V40" s="51" t="n">
        <v>20.29</v>
      </c>
      <c r="W40" s="6" t="n">
        <f aca="false">N40+O40+S40+U40+V40</f>
        <v>24.35</v>
      </c>
      <c r="X40" s="51" t="n">
        <f aca="false">IF(L40&lt;0,L40*-1,0)</f>
        <v>0.016899420216788</v>
      </c>
      <c r="Y40" s="51" t="n">
        <f aca="false">W40+X40</f>
        <v>24.3668994202168</v>
      </c>
      <c r="Z40" s="56" t="n">
        <v>0</v>
      </c>
      <c r="AA40" s="82" t="n">
        <v>52</v>
      </c>
      <c r="AB40" s="57" t="n">
        <v>31</v>
      </c>
      <c r="AC40" s="58" t="n">
        <v>31</v>
      </c>
      <c r="AD40" s="92"/>
      <c r="AE40" s="92"/>
      <c r="AF40" s="93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8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-674.565162591379</v>
      </c>
      <c r="G42" s="52" t="n">
        <f aca="false">SUM(G10:G40)</f>
        <v>2243.29</v>
      </c>
      <c r="H42" s="56" t="n">
        <f aca="false">SUM(H10:H40)</f>
        <v>0</v>
      </c>
      <c r="I42" s="52" t="n">
        <f aca="false">SUM(I10:I40)</f>
        <v>2243.29</v>
      </c>
      <c r="J42" s="52" t="n">
        <f aca="false">SUM(J10:J40)</f>
        <v>0.384267708595878</v>
      </c>
      <c r="K42" s="52" t="n">
        <f aca="false">SUM(K10:K40)</f>
        <v>2243.6742677086</v>
      </c>
      <c r="L42" s="52" t="n">
        <f aca="false">SUM(L10:L40)</f>
        <v>-4.26516259137895</v>
      </c>
      <c r="M42" s="52" t="n">
        <f aca="false">SUM(M10:M40)</f>
        <v>226.88</v>
      </c>
      <c r="N42" s="52" t="n">
        <f aca="false">SUM(N10:N40)</f>
        <v>0.08</v>
      </c>
      <c r="O42" s="52" t="n">
        <f aca="false">SUM(O10:O40)</f>
        <v>0</v>
      </c>
      <c r="P42" s="52" t="n">
        <f aca="false">SUM(P10:P40)</f>
        <v>226.8</v>
      </c>
      <c r="Q42" s="52" t="n">
        <f aca="false">SUM(Q10:Q40)</f>
        <v>1859.98</v>
      </c>
      <c r="R42" s="52" t="n">
        <f aca="false">SUM(R10:R40)</f>
        <v>53.62</v>
      </c>
      <c r="S42" s="52" t="n">
        <f aca="false">SUM(S10:S40)</f>
        <v>2140.4</v>
      </c>
      <c r="T42" s="52"/>
      <c r="U42" s="52" t="n">
        <f aca="false">SUM(U10:U40)</f>
        <v>0</v>
      </c>
      <c r="V42" s="52" t="n">
        <f aca="false">SUM(V10:V40)</f>
        <v>773.11</v>
      </c>
      <c r="W42" s="52" t="n">
        <f aca="false">SUM(W10:W40)</f>
        <v>2913.59</v>
      </c>
      <c r="X42" s="52" t="n">
        <f aca="false">SUM(X10:X40)</f>
        <v>4.64943029997483</v>
      </c>
      <c r="Y42" s="52" t="n">
        <f aca="false">SUM(Y10:Y40)</f>
        <v>2918.23943029997</v>
      </c>
      <c r="Z42" s="56" t="n">
        <f aca="false">SUM(Z10:Z40)</f>
        <v>1.23</v>
      </c>
      <c r="AA42" s="57" t="n">
        <f aca="false">AVERAGE(AA10:AA40)</f>
        <v>48.9677419354839</v>
      </c>
      <c r="AB42" s="57" t="n">
        <f aca="false">AVERAGE(AB10:AB40)</f>
        <v>24.2903225806452</v>
      </c>
      <c r="AC42" s="58" t="s">
        <v>57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-1338</v>
      </c>
      <c r="E43" s="52"/>
      <c r="F43" s="52" t="n">
        <f aca="false">F42*$D$2</f>
        <v>-1338</v>
      </c>
      <c r="G43" s="52" t="n">
        <f aca="false">G42*$D$2</f>
        <v>4449.565715</v>
      </c>
      <c r="H43" s="56" t="n">
        <f aca="false">H42*$D$2</f>
        <v>0</v>
      </c>
      <c r="I43" s="52" t="n">
        <f aca="false">I42*$D$2</f>
        <v>4449.565715</v>
      </c>
      <c r="J43" s="52" t="n">
        <f aca="false">J42*$D$2</f>
        <v>0.762194999999925</v>
      </c>
      <c r="K43" s="52" t="n">
        <f aca="false">K42*$D$2</f>
        <v>4450.32791</v>
      </c>
      <c r="L43" s="52" t="n">
        <f aca="false">L42*$D$2</f>
        <v>-8.45995000000015</v>
      </c>
      <c r="M43" s="52" t="n">
        <f aca="false">M42*$D$2</f>
        <v>450.01648</v>
      </c>
      <c r="N43" s="52" t="n">
        <f aca="false">N42*$D$2</f>
        <v>0.15868</v>
      </c>
      <c r="O43" s="52" t="n">
        <f aca="false">O42*$D$2</f>
        <v>0</v>
      </c>
      <c r="P43" s="52" t="n">
        <f aca="false">P42*$D$2</f>
        <v>449.8578</v>
      </c>
      <c r="Q43" s="52" t="n">
        <f aca="false">Q42*$D$2</f>
        <v>3689.27033</v>
      </c>
      <c r="R43" s="52" t="n">
        <f aca="false">R42*$D$2</f>
        <v>106.35527</v>
      </c>
      <c r="S43" s="52" t="n">
        <f aca="false">S42*$D$2</f>
        <v>4245.4834</v>
      </c>
      <c r="T43" s="52"/>
      <c r="U43" s="52" t="n">
        <f aca="false">U42*$D$2</f>
        <v>0</v>
      </c>
      <c r="V43" s="52" t="n">
        <f aca="false">V42*$D$2</f>
        <v>1533.463685</v>
      </c>
      <c r="W43" s="52" t="n">
        <f aca="false">W42*$D$2</f>
        <v>5779.105765</v>
      </c>
      <c r="X43" s="52" t="n">
        <f aca="false">X42*$D$2</f>
        <v>9.22214500000008</v>
      </c>
      <c r="Y43" s="52" t="n">
        <f aca="false">Y42*$D$2</f>
        <v>5788.32791</v>
      </c>
      <c r="Z43" s="56"/>
      <c r="AA43" s="57" t="n">
        <f aca="false">MAX(AA10:AA40)</f>
        <v>64</v>
      </c>
      <c r="AB43" s="57" t="n">
        <f aca="false">MAX(AB10:AB40)</f>
        <v>33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56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30</v>
      </c>
      <c r="AB45" s="57" t="n">
        <f aca="false">MIN(AB10:AB40)</f>
        <v>9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56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8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-11764.5576002017</v>
      </c>
      <c r="G48" s="52" t="n">
        <f aca="false">G8+G42</f>
        <v>5126.156</v>
      </c>
      <c r="H48" s="56" t="n">
        <f aca="false">H8+H42</f>
        <v>0</v>
      </c>
      <c r="I48" s="52" t="n">
        <f aca="false">I8+I42</f>
        <v>5532.646</v>
      </c>
      <c r="J48" s="52" t="n">
        <f aca="false">J8+J42</f>
        <v>344.907753466095</v>
      </c>
      <c r="K48" s="52" t="n">
        <f aca="false">K8+K42</f>
        <v>5803.96827325435</v>
      </c>
      <c r="L48" s="52" t="n">
        <f aca="false">L8+L42</f>
        <v>-1219.47360020166</v>
      </c>
      <c r="M48" s="52" t="n">
        <f aca="false">M8+M42</f>
        <v>1401.64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1401.56</v>
      </c>
      <c r="Q48" s="52" t="n">
        <f aca="false">Q8+Q42</f>
        <v>4524.44</v>
      </c>
      <c r="R48" s="52" t="n">
        <f aca="false">R8+R42</f>
        <v>53.62</v>
      </c>
      <c r="S48" s="52" t="n">
        <f aca="false">S8+S42</f>
        <v>5979.62</v>
      </c>
      <c r="T48" s="52"/>
      <c r="U48" s="52" t="n">
        <f aca="false">U8+U42</f>
        <v>0</v>
      </c>
      <c r="V48" s="52" t="n">
        <f aca="false">V8+V42</f>
        <v>10098.03</v>
      </c>
      <c r="W48" s="52" t="n">
        <f aca="false">W8+W42</f>
        <v>16077.73</v>
      </c>
      <c r="X48" s="52" t="n">
        <f aca="false">X8+X42</f>
        <v>1564.38135366776</v>
      </c>
      <c r="Y48" s="52" t="n">
        <f aca="false">Y8+Y42</f>
        <v>17642.1113536678</v>
      </c>
      <c r="Z48" s="56" t="n">
        <f aca="false">Z8+Z42</f>
        <v>6.4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-23335</v>
      </c>
      <c r="E49" s="52" t="n">
        <f aca="false">E40</f>
        <v>121150</v>
      </c>
      <c r="F49" s="52" t="n">
        <f aca="false">F48*$D$2</f>
        <v>-23335</v>
      </c>
      <c r="G49" s="52" t="n">
        <f aca="false">G48*$D$2</f>
        <v>10167.730426</v>
      </c>
      <c r="H49" s="56" t="n">
        <f aca="false">H48*$D$2</f>
        <v>0</v>
      </c>
      <c r="I49" s="52" t="n">
        <f aca="false">I48*$D$2</f>
        <v>10974.003341</v>
      </c>
      <c r="J49" s="52" t="n">
        <f aca="false">J48*$D$2</f>
        <v>684.124529</v>
      </c>
      <c r="K49" s="52" t="n">
        <f aca="false">K48*$D$2</f>
        <v>11512.17107</v>
      </c>
      <c r="L49" s="52" t="n">
        <f aca="false">L48*$D$2</f>
        <v>-2418.825886</v>
      </c>
      <c r="M49" s="52" t="n">
        <f aca="false">M48*$D$2</f>
        <v>2780.15294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2779.99426</v>
      </c>
      <c r="Q49" s="52" t="n">
        <f aca="false">Q48*$D$2</f>
        <v>8974.22674</v>
      </c>
      <c r="R49" s="52" t="n">
        <f aca="false">R48*$D$2</f>
        <v>106.35527</v>
      </c>
      <c r="S49" s="52" t="n">
        <f aca="false">S48*$D$2</f>
        <v>11860.57627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20029.442505</v>
      </c>
      <c r="W49" s="52" t="n">
        <f aca="false">W48*$D$2</f>
        <v>31890.177455</v>
      </c>
      <c r="X49" s="52" t="n">
        <f aca="false">X48*$D$2</f>
        <v>3102.950415</v>
      </c>
      <c r="Y49" s="52" t="n">
        <f aca="false">Y48*$D$2</f>
        <v>34993.12787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8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56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56"/>
      <c r="I52" s="53"/>
      <c r="J52" s="51"/>
      <c r="K52" s="4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56"/>
      <c r="I53" s="82"/>
      <c r="J53" s="82"/>
      <c r="K53" s="82"/>
      <c r="L53" s="82"/>
      <c r="M53" s="81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  <c r="AD53" s="98"/>
      <c r="AE53" s="98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56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  <c r="AC54" s="98"/>
      <c r="AD54" s="98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6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8"/>
      <c r="AD55" s="98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E16" activePane="bottomRight" state="frozen"/>
      <selection pane="topLeft" activeCell="A1" activeCellId="0" sqref="A1"/>
      <selection pane="topRight" activeCell="E1" activeCellId="0" sqref="E1"/>
      <selection pane="bottomLeft" activeCell="A16" activeCellId="0" sqref="A16"/>
      <selection pane="bottomRight" activeCell="AD1" activeCellId="0" sqref="AD1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02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103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  <c r="AC1" s="104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105" t="s">
        <v>62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6"/>
      <c r="X2" s="6"/>
      <c r="Y2" s="10"/>
      <c r="Z2" s="11"/>
      <c r="AA2" s="12"/>
      <c r="AB2" s="13"/>
      <c r="AC2" s="104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 t="n">
        <v>5</v>
      </c>
      <c r="Y3" s="10"/>
      <c r="Z3" s="11"/>
      <c r="AA3" s="12"/>
      <c r="AB3" s="13"/>
      <c r="AC3" s="10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04"/>
    </row>
    <row r="5" customFormat="false" ht="11.1" hidden="false" customHeight="true" outlineLevel="0" collapsed="false">
      <c r="A5" s="22" t="s">
        <v>63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64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63</v>
      </c>
      <c r="AD5" s="10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  <c r="AD6" s="104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1"/>
      <c r="AA7" s="12"/>
      <c r="AB7" s="12"/>
      <c r="AC7" s="13"/>
    </row>
    <row r="8" s="1" customFormat="true" ht="11.1" hidden="false" customHeight="true" outlineLevel="0" collapsed="false">
      <c r="A8" s="7" t="s">
        <v>43</v>
      </c>
      <c r="B8" s="29" t="n">
        <f aca="false">MAR!B40</f>
        <v>6897.14</v>
      </c>
      <c r="C8" s="7" t="n">
        <f aca="false">MAR!C40</f>
        <v>273150</v>
      </c>
      <c r="D8" s="7" t="n">
        <f aca="false">MAR!D49</f>
        <v>-23335</v>
      </c>
      <c r="E8" s="7" t="n">
        <f aca="false">MAR!E49</f>
        <v>121150</v>
      </c>
      <c r="F8" s="7" t="n">
        <f aca="false">MAR!F48</f>
        <v>-11764.5576002017</v>
      </c>
      <c r="G8" s="7" t="n">
        <f aca="false">MAR!G48</f>
        <v>5126.156</v>
      </c>
      <c r="H8" s="12" t="n">
        <f aca="false">MAR!H48</f>
        <v>0</v>
      </c>
      <c r="I8" s="7" t="n">
        <f aca="false">MAR!I48</f>
        <v>5532.646</v>
      </c>
      <c r="J8" s="7" t="n">
        <f aca="false">MAR!J48</f>
        <v>344.907753466095</v>
      </c>
      <c r="K8" s="7" t="n">
        <f aca="false">MAR!K48</f>
        <v>5803.96827325435</v>
      </c>
      <c r="L8" s="7" t="n">
        <f aca="false">MAR!L48</f>
        <v>-1219.47360020166</v>
      </c>
      <c r="M8" s="7" t="n">
        <f aca="false">MAR!M48</f>
        <v>1401.64</v>
      </c>
      <c r="N8" s="7" t="n">
        <f aca="false">MAR!N48</f>
        <v>0.08</v>
      </c>
      <c r="O8" s="7" t="n">
        <f aca="false">MAR!O48</f>
        <v>0</v>
      </c>
      <c r="P8" s="7" t="n">
        <f aca="false">MAR!P48</f>
        <v>1401.56</v>
      </c>
      <c r="Q8" s="7" t="n">
        <f aca="false">MAR!Q48</f>
        <v>4524.44</v>
      </c>
      <c r="R8" s="7" t="n">
        <f aca="false">MAR!R48</f>
        <v>53.62</v>
      </c>
      <c r="S8" s="7" t="n">
        <f aca="false">MAR!S48</f>
        <v>5979.62</v>
      </c>
      <c r="T8" s="7" t="n">
        <f aca="false">MAR!T48</f>
        <v>0</v>
      </c>
      <c r="U8" s="7" t="n">
        <f aca="false">MAR!U48</f>
        <v>0</v>
      </c>
      <c r="V8" s="7" t="n">
        <f aca="false">MAR!V48</f>
        <v>10098.03</v>
      </c>
      <c r="W8" s="7" t="n">
        <f aca="false">MAR!W48</f>
        <v>16077.73</v>
      </c>
      <c r="X8" s="7" t="n">
        <f aca="false">MAR!X48</f>
        <v>1564.38135366776</v>
      </c>
      <c r="Y8" s="7" t="n">
        <f aca="false">MAR!Y48</f>
        <v>17642.1113536678</v>
      </c>
      <c r="Z8" s="11" t="n">
        <f aca="false">MAR!Z48</f>
        <v>6.4</v>
      </c>
      <c r="AA8" s="12"/>
      <c r="AB8" s="12"/>
      <c r="AC8" s="13"/>
      <c r="AD8" s="104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  <c r="AD9" s="104"/>
    </row>
    <row r="10" customFormat="false" ht="11.1" hidden="false" customHeight="true" outlineLevel="0" collapsed="false">
      <c r="A10" s="13" t="n">
        <v>1</v>
      </c>
      <c r="B10" s="29" t="n">
        <v>6897.18</v>
      </c>
      <c r="C10" s="7" t="n">
        <v>273294</v>
      </c>
      <c r="D10" s="12" t="n">
        <f aca="false">C10-C8</f>
        <v>144</v>
      </c>
      <c r="E10" s="7" t="n">
        <f aca="false">C10-152000</f>
        <v>121294</v>
      </c>
      <c r="F10" s="6" t="n">
        <f aca="false">D10/$D$2</f>
        <v>72.5989412654399</v>
      </c>
      <c r="G10" s="6" t="n">
        <v>107.68</v>
      </c>
      <c r="H10" s="8" t="n">
        <v>0</v>
      </c>
      <c r="I10" s="6" t="n">
        <f aca="false">G10+H10</f>
        <v>107.68</v>
      </c>
      <c r="J10" s="106" t="n">
        <f aca="false">IF(L10&gt;0,L10,0)</f>
        <v>0</v>
      </c>
      <c r="K10" s="6" t="n">
        <f aca="false">I10+J10</f>
        <v>107.68</v>
      </c>
      <c r="L10" s="6" t="n">
        <f aca="false">F10-(I10-W10)</f>
        <v>-10.6910587345601</v>
      </c>
      <c r="M10" s="6" t="n">
        <v>4.12</v>
      </c>
      <c r="N10" s="6" t="n">
        <v>0</v>
      </c>
      <c r="O10" s="6" t="n">
        <v>0</v>
      </c>
      <c r="P10" s="6" t="n">
        <f aca="false">M10-(N10+O10)</f>
        <v>4.12</v>
      </c>
      <c r="Q10" s="6" t="n">
        <v>0</v>
      </c>
      <c r="R10" s="6" t="n">
        <v>0</v>
      </c>
      <c r="S10" s="6" t="n">
        <f aca="false">SUM(P10:R10)</f>
        <v>4.12</v>
      </c>
      <c r="T10" s="7" t="n">
        <f aca="false">I10-S10</f>
        <v>103.56</v>
      </c>
      <c r="U10" s="6" t="n">
        <v>0</v>
      </c>
      <c r="V10" s="6" t="n">
        <v>20.27</v>
      </c>
      <c r="W10" s="6" t="n">
        <f aca="false">N10+O10+S10+U10+V10</f>
        <v>24.39</v>
      </c>
      <c r="X10" s="6" t="n">
        <f aca="false">IF(L10&lt;0,L10*-1,0)</f>
        <v>10.6910587345601</v>
      </c>
      <c r="Y10" s="6" t="n">
        <f aca="false">W10+X10</f>
        <v>35.0810587345601</v>
      </c>
      <c r="Z10" s="11" t="n">
        <v>0.23</v>
      </c>
      <c r="AA10" s="12" t="n">
        <v>58</v>
      </c>
      <c r="AB10" s="12" t="n">
        <v>27</v>
      </c>
      <c r="AC10" s="13" t="n">
        <v>1</v>
      </c>
      <c r="AD10" s="12"/>
      <c r="AF10" s="6"/>
    </row>
    <row r="11" customFormat="false" ht="11.1" hidden="false" customHeight="true" outlineLevel="0" collapsed="false">
      <c r="A11" s="13" t="n">
        <f aca="false">A10+1</f>
        <v>2</v>
      </c>
      <c r="B11" s="29" t="n">
        <v>6897.22</v>
      </c>
      <c r="C11" s="7" t="n">
        <v>273439</v>
      </c>
      <c r="D11" s="12" t="n">
        <f aca="false">C11-C10</f>
        <v>145</v>
      </c>
      <c r="E11" s="7" t="n">
        <f aca="false">C11-152000</f>
        <v>121439</v>
      </c>
      <c r="F11" s="6" t="n">
        <f aca="false">D11/$D$2</f>
        <v>73.1031005797832</v>
      </c>
      <c r="G11" s="6" t="n">
        <v>112.22</v>
      </c>
      <c r="H11" s="8" t="n">
        <v>0</v>
      </c>
      <c r="I11" s="6" t="n">
        <f aca="false">G11+H11</f>
        <v>112.22</v>
      </c>
      <c r="J11" s="106" t="n">
        <f aca="false">IF(L11&gt;0,L11,0)</f>
        <v>0</v>
      </c>
      <c r="K11" s="6" t="n">
        <f aca="false">I11+J11</f>
        <v>112.22</v>
      </c>
      <c r="L11" s="6" t="n">
        <f aca="false">F11-(I11-W11)</f>
        <v>-15.0068994202168</v>
      </c>
      <c r="M11" s="6" t="n">
        <v>3.82</v>
      </c>
      <c r="N11" s="6" t="n">
        <v>0</v>
      </c>
      <c r="O11" s="6" t="n">
        <v>0</v>
      </c>
      <c r="P11" s="6" t="n">
        <f aca="false">M11-(N11+O11)</f>
        <v>3.82</v>
      </c>
      <c r="Q11" s="6" t="n">
        <v>0</v>
      </c>
      <c r="R11" s="6" t="n">
        <v>0</v>
      </c>
      <c r="S11" s="6" t="n">
        <f aca="false">SUM(P11:R11)</f>
        <v>3.82</v>
      </c>
      <c r="T11" s="7" t="n">
        <f aca="false">(I11-S11)+T10</f>
        <v>211.96</v>
      </c>
      <c r="U11" s="6" t="n">
        <v>0</v>
      </c>
      <c r="V11" s="6" t="n">
        <v>20.29</v>
      </c>
      <c r="W11" s="6" t="n">
        <f aca="false">N11+O11+S11+U11+V11</f>
        <v>24.11</v>
      </c>
      <c r="X11" s="6" t="n">
        <f aca="false">IF(L11&lt;0,L11*-1,0)</f>
        <v>15.0068994202168</v>
      </c>
      <c r="Y11" s="6" t="n">
        <f aca="false">W11+X11</f>
        <v>39.1168994202168</v>
      </c>
      <c r="Z11" s="11" t="n">
        <v>0.03</v>
      </c>
      <c r="AA11" s="12" t="n">
        <v>58</v>
      </c>
      <c r="AB11" s="12" t="n">
        <v>27</v>
      </c>
      <c r="AC11" s="13" t="n">
        <f aca="false">AC10+1</f>
        <v>2</v>
      </c>
      <c r="AD11" s="12"/>
      <c r="AF11" s="6"/>
    </row>
    <row r="12" customFormat="false" ht="11.1" hidden="false" customHeight="true" outlineLevel="0" collapsed="false">
      <c r="A12" s="13" t="n">
        <f aca="false">A11+1</f>
        <v>3</v>
      </c>
      <c r="B12" s="29" t="n">
        <v>6897.29</v>
      </c>
      <c r="C12" s="7" t="n">
        <v>273692</v>
      </c>
      <c r="D12" s="12" t="n">
        <f aca="false">C12-C11</f>
        <v>253</v>
      </c>
      <c r="E12" s="7" t="n">
        <f aca="false">C12-152000</f>
        <v>121692</v>
      </c>
      <c r="F12" s="6" t="n">
        <f aca="false">D12/$D$2</f>
        <v>127.552306528863</v>
      </c>
      <c r="G12" s="6" t="n">
        <v>125.34</v>
      </c>
      <c r="H12" s="8" t="n">
        <v>28.38</v>
      </c>
      <c r="I12" s="6" t="n">
        <f aca="false">G12+H12</f>
        <v>153.72</v>
      </c>
      <c r="J12" s="106" t="n">
        <f aca="false">IF(L12&gt;0,L12,0)</f>
        <v>0</v>
      </c>
      <c r="K12" s="6" t="n">
        <f aca="false">I12+J12</f>
        <v>153.72</v>
      </c>
      <c r="L12" s="6" t="n">
        <f aca="false">F12-(I12-W12)</f>
        <v>-0.0276934711368852</v>
      </c>
      <c r="M12" s="6" t="n">
        <v>5.84</v>
      </c>
      <c r="N12" s="6" t="n">
        <v>0</v>
      </c>
      <c r="O12" s="6" t="n">
        <v>0</v>
      </c>
      <c r="P12" s="6" t="n">
        <f aca="false">M12-(N12+O12)</f>
        <v>5.84</v>
      </c>
      <c r="Q12" s="6" t="n">
        <v>0</v>
      </c>
      <c r="R12" s="6" t="n">
        <v>0</v>
      </c>
      <c r="S12" s="6" t="n">
        <f aca="false">SUM(P12:R12)</f>
        <v>5.84</v>
      </c>
      <c r="T12" s="7" t="n">
        <f aca="false">(I12-S12)+T11</f>
        <v>359.84</v>
      </c>
      <c r="U12" s="6" t="n">
        <v>0</v>
      </c>
      <c r="V12" s="6" t="n">
        <v>20.3</v>
      </c>
      <c r="W12" s="6" t="n">
        <f aca="false">N12+O12+S12+U12+V12</f>
        <v>26.14</v>
      </c>
      <c r="X12" s="6" t="n">
        <f aca="false">IF(L12&lt;0,L12*-1,0)</f>
        <v>0.0276934711368852</v>
      </c>
      <c r="Y12" s="6" t="n">
        <f aca="false">W12+X12</f>
        <v>26.1676934711369</v>
      </c>
      <c r="Z12" s="11" t="n">
        <v>0</v>
      </c>
      <c r="AA12" s="12" t="n">
        <v>57</v>
      </c>
      <c r="AB12" s="12" t="n">
        <v>28</v>
      </c>
      <c r="AC12" s="13" t="n">
        <f aca="false">AC11+1</f>
        <v>3</v>
      </c>
      <c r="AD12" s="12"/>
      <c r="AF12" s="6"/>
    </row>
    <row r="13" customFormat="false" ht="11.1" hidden="false" customHeight="true" outlineLevel="0" collapsed="false">
      <c r="A13" s="13" t="n">
        <f aca="false">A12+1</f>
        <v>4</v>
      </c>
      <c r="B13" s="29" t="n">
        <v>6897.33</v>
      </c>
      <c r="C13" s="7" t="n">
        <v>273837</v>
      </c>
      <c r="D13" s="12" t="n">
        <f aca="false">C13-C12</f>
        <v>145</v>
      </c>
      <c r="E13" s="7" t="n">
        <f aca="false">C13-152000</f>
        <v>121837</v>
      </c>
      <c r="F13" s="6" t="n">
        <f aca="false">D13/$D$2</f>
        <v>73.1031005797832</v>
      </c>
      <c r="G13" s="6" t="n">
        <v>131.26</v>
      </c>
      <c r="H13" s="8" t="n">
        <v>0</v>
      </c>
      <c r="I13" s="6" t="n">
        <f aca="false">G13+H13</f>
        <v>131.26</v>
      </c>
      <c r="J13" s="106" t="n">
        <f aca="false">IF(L13&gt;0,L13,0)</f>
        <v>0</v>
      </c>
      <c r="K13" s="6" t="n">
        <f aca="false">I13+J13</f>
        <v>131.26</v>
      </c>
      <c r="L13" s="6" t="n">
        <f aca="false">F13-(I13-W13)</f>
        <v>-31.6568994202168</v>
      </c>
      <c r="M13" s="6" t="n">
        <v>6.2</v>
      </c>
      <c r="N13" s="6" t="n">
        <v>0</v>
      </c>
      <c r="O13" s="6" t="n">
        <v>0</v>
      </c>
      <c r="P13" s="6" t="n">
        <f aca="false">M13-(N13+O13)</f>
        <v>6.2</v>
      </c>
      <c r="Q13" s="6" t="n">
        <v>0</v>
      </c>
      <c r="R13" s="6" t="n">
        <v>0</v>
      </c>
      <c r="S13" s="6" t="n">
        <f aca="false">SUM(P13:R13)</f>
        <v>6.2</v>
      </c>
      <c r="T13" s="7" t="n">
        <f aca="false">(I13-S13)+T12</f>
        <v>484.9</v>
      </c>
      <c r="U13" s="6" t="n">
        <v>0</v>
      </c>
      <c r="V13" s="6" t="n">
        <v>20.3</v>
      </c>
      <c r="W13" s="6" t="n">
        <f aca="false">N13+O13+S13+U13+V13</f>
        <v>26.5</v>
      </c>
      <c r="X13" s="6" t="n">
        <f aca="false">IF(L13&lt;0,L13*-1,0)</f>
        <v>31.6568994202168</v>
      </c>
      <c r="Y13" s="6" t="n">
        <f aca="false">W13+X13</f>
        <v>58.1568994202168</v>
      </c>
      <c r="Z13" s="11" t="n">
        <v>0</v>
      </c>
      <c r="AA13" s="12" t="n">
        <v>58</v>
      </c>
      <c r="AB13" s="12" t="n">
        <v>30</v>
      </c>
      <c r="AC13" s="13" t="n">
        <f aca="false">AC12+1</f>
        <v>4</v>
      </c>
      <c r="AD13" s="12"/>
      <c r="AF13" s="6"/>
    </row>
    <row r="14" customFormat="false" ht="11.1" hidden="false" customHeight="true" outlineLevel="0" collapsed="false">
      <c r="A14" s="13" t="n">
        <f aca="false">A13+1</f>
        <v>5</v>
      </c>
      <c r="B14" s="29" t="n">
        <v>6897.36</v>
      </c>
      <c r="C14" s="7" t="n">
        <v>273946</v>
      </c>
      <c r="D14" s="12" t="n">
        <f aca="false">C14-C13</f>
        <v>109</v>
      </c>
      <c r="E14" s="7" t="n">
        <f aca="false">C14-152000</f>
        <v>121946</v>
      </c>
      <c r="F14" s="6" t="n">
        <f aca="false">D14/$D$2</f>
        <v>54.9533652634232</v>
      </c>
      <c r="G14" s="6" t="n">
        <v>89.2</v>
      </c>
      <c r="H14" s="8" t="n">
        <v>0</v>
      </c>
      <c r="I14" s="6" t="n">
        <f aca="false">G14+H14</f>
        <v>89.2</v>
      </c>
      <c r="J14" s="106" t="n">
        <f aca="false">IF(L14&gt;0,L14,0)</f>
        <v>0</v>
      </c>
      <c r="K14" s="6" t="n">
        <f aca="false">I14+J14</f>
        <v>89.2</v>
      </c>
      <c r="L14" s="6" t="n">
        <f aca="false">F14-(I14-W14)</f>
        <v>-8.29663473657676</v>
      </c>
      <c r="M14" s="6" t="n">
        <v>5.64</v>
      </c>
      <c r="N14" s="6" t="n">
        <v>0</v>
      </c>
      <c r="O14" s="6" t="n">
        <v>0</v>
      </c>
      <c r="P14" s="6" t="n">
        <f aca="false">M14-(N14+O14)</f>
        <v>5.64</v>
      </c>
      <c r="Q14" s="6" t="n">
        <v>0</v>
      </c>
      <c r="R14" s="6" t="n">
        <v>0</v>
      </c>
      <c r="S14" s="6" t="n">
        <f aca="false">SUM(P14:R14)</f>
        <v>5.64</v>
      </c>
      <c r="T14" s="7" t="n">
        <f aca="false">(I14-S14)+T13</f>
        <v>568.46</v>
      </c>
      <c r="U14" s="6" t="n">
        <v>0</v>
      </c>
      <c r="V14" s="6" t="n">
        <v>20.31</v>
      </c>
      <c r="W14" s="6" t="n">
        <f aca="false">N14+O14+S14+U14+V14</f>
        <v>25.95</v>
      </c>
      <c r="X14" s="6" t="n">
        <f aca="false">IF(L14&lt;0,L14*-1,0)</f>
        <v>8.29663473657676</v>
      </c>
      <c r="Y14" s="6" t="n">
        <f aca="false">W14+X14</f>
        <v>34.2466347365767</v>
      </c>
      <c r="Z14" s="11" t="n">
        <v>0.11</v>
      </c>
      <c r="AA14" s="12" t="n">
        <v>55</v>
      </c>
      <c r="AB14" s="12" t="n">
        <v>39</v>
      </c>
      <c r="AC14" s="13" t="n">
        <f aca="false">AC13+1</f>
        <v>5</v>
      </c>
      <c r="AD14" s="12"/>
      <c r="AF14" s="6"/>
    </row>
    <row r="15" customFormat="false" ht="11.1" hidden="false" customHeight="true" outlineLevel="0" collapsed="false">
      <c r="A15" s="13" t="n">
        <f aca="false">A14+1</f>
        <v>6</v>
      </c>
      <c r="B15" s="29" t="n">
        <v>6897.4</v>
      </c>
      <c r="C15" s="7" t="n">
        <v>274090</v>
      </c>
      <c r="D15" s="12" t="n">
        <f aca="false">C15-C14</f>
        <v>144</v>
      </c>
      <c r="E15" s="7" t="n">
        <f aca="false">C15-152000</f>
        <v>122090</v>
      </c>
      <c r="F15" s="6" t="n">
        <f aca="false">D15/$D$2</f>
        <v>72.5989412654399</v>
      </c>
      <c r="G15" s="6" t="n">
        <v>82.43</v>
      </c>
      <c r="H15" s="8" t="n">
        <v>16.23</v>
      </c>
      <c r="I15" s="6" t="n">
        <f aca="false">G15+H15</f>
        <v>98.66</v>
      </c>
      <c r="J15" s="106" t="n">
        <f aca="false">IF(L15&gt;0,L15,0)</f>
        <v>0</v>
      </c>
      <c r="K15" s="6" t="n">
        <f aca="false">I15+J15</f>
        <v>98.66</v>
      </c>
      <c r="L15" s="6" t="n">
        <f aca="false">F15-(I15-W15)</f>
        <v>-0.0210587345601283</v>
      </c>
      <c r="M15" s="6" t="n">
        <v>5.74</v>
      </c>
      <c r="N15" s="6" t="n">
        <v>0</v>
      </c>
      <c r="O15" s="6" t="n">
        <v>0</v>
      </c>
      <c r="P15" s="6" t="n">
        <f aca="false">M15-(N15+O15)</f>
        <v>5.74</v>
      </c>
      <c r="Q15" s="6" t="n">
        <v>0</v>
      </c>
      <c r="R15" s="6" t="n">
        <v>0</v>
      </c>
      <c r="S15" s="6" t="n">
        <f aca="false">SUM(P15:R15)</f>
        <v>5.74</v>
      </c>
      <c r="T15" s="7" t="n">
        <f aca="false">(I15-S15)+T14</f>
        <v>661.38</v>
      </c>
      <c r="U15" s="6" t="n">
        <v>0</v>
      </c>
      <c r="V15" s="6" t="n">
        <v>20.3</v>
      </c>
      <c r="W15" s="6" t="n">
        <f aca="false">N15+O15+S15+U15+V15</f>
        <v>26.04</v>
      </c>
      <c r="X15" s="6" t="n">
        <f aca="false">IF(L15&lt;0,L15*-1,0)</f>
        <v>0.0210587345601283</v>
      </c>
      <c r="Y15" s="6" t="n">
        <f aca="false">W15+X15</f>
        <v>26.0610587345601</v>
      </c>
      <c r="Z15" s="11" t="n">
        <v>0</v>
      </c>
      <c r="AA15" s="12" t="n">
        <v>53</v>
      </c>
      <c r="AB15" s="12" t="n">
        <v>26</v>
      </c>
      <c r="AC15" s="13" t="n">
        <f aca="false">AC14+1</f>
        <v>6</v>
      </c>
      <c r="AD15" s="12"/>
      <c r="AF15" s="6"/>
    </row>
    <row r="16" customFormat="false" ht="11.1" hidden="false" customHeight="true" outlineLevel="0" collapsed="false">
      <c r="A16" s="13" t="n">
        <f aca="false">A15+1</f>
        <v>7</v>
      </c>
      <c r="B16" s="29" t="n">
        <v>6897.45</v>
      </c>
      <c r="C16" s="7" t="n">
        <v>274271</v>
      </c>
      <c r="D16" s="12" t="n">
        <f aca="false">C16-C15</f>
        <v>181</v>
      </c>
      <c r="E16" s="7" t="n">
        <f aca="false">C16-152000</f>
        <v>122271</v>
      </c>
      <c r="F16" s="6" t="n">
        <f aca="false">D16/$D$2</f>
        <v>91.2528358961432</v>
      </c>
      <c r="G16" s="6" t="n">
        <v>81.98</v>
      </c>
      <c r="H16" s="8" t="n">
        <v>37.85</v>
      </c>
      <c r="I16" s="6" t="n">
        <f aca="false">G16+H16</f>
        <v>119.83</v>
      </c>
      <c r="J16" s="106" t="n">
        <f aca="false">IF(L16&gt;0,L16,0)</f>
        <v>0</v>
      </c>
      <c r="K16" s="6" t="n">
        <f aca="false">I16+J16</f>
        <v>119.83</v>
      </c>
      <c r="L16" s="6" t="n">
        <f aca="false">F16-(I16-W16)</f>
        <v>-0.0271641038568333</v>
      </c>
      <c r="M16" s="6" t="n">
        <v>8.25</v>
      </c>
      <c r="N16" s="6" t="n">
        <v>0</v>
      </c>
      <c r="O16" s="6" t="n">
        <v>0</v>
      </c>
      <c r="P16" s="6" t="n">
        <f aca="false">M16-(N16+O16)</f>
        <v>8.25</v>
      </c>
      <c r="Q16" s="6" t="n">
        <v>0</v>
      </c>
      <c r="R16" s="6" t="n">
        <v>0</v>
      </c>
      <c r="S16" s="6" t="n">
        <f aca="false">SUM(P16:R16)</f>
        <v>8.25</v>
      </c>
      <c r="T16" s="7" t="n">
        <f aca="false">(I16-S16)+T15</f>
        <v>772.96</v>
      </c>
      <c r="U16" s="6" t="n">
        <v>0</v>
      </c>
      <c r="V16" s="6" t="n">
        <v>20.3</v>
      </c>
      <c r="W16" s="6" t="n">
        <f aca="false">N16+O16+S16+U16+V16</f>
        <v>28.55</v>
      </c>
      <c r="X16" s="6" t="n">
        <f aca="false">IF(L16&lt;0,L16*-1,0)</f>
        <v>0.0271641038568333</v>
      </c>
      <c r="Y16" s="6" t="n">
        <f aca="false">W16+X16</f>
        <v>28.5771641038568</v>
      </c>
      <c r="Z16" s="11" t="n">
        <v>0.08</v>
      </c>
      <c r="AA16" s="12" t="n">
        <v>51</v>
      </c>
      <c r="AB16" s="12" t="n">
        <v>26</v>
      </c>
      <c r="AC16" s="13" t="n">
        <f aca="false">AC15+1</f>
        <v>7</v>
      </c>
      <c r="AD16" s="12"/>
      <c r="AF16" s="6"/>
    </row>
    <row r="17" customFormat="false" ht="11.1" hidden="false" customHeight="true" outlineLevel="0" collapsed="false">
      <c r="A17" s="13" t="n">
        <f aca="false">A16+1</f>
        <v>8</v>
      </c>
      <c r="B17" s="29" t="n">
        <v>6897.53</v>
      </c>
      <c r="C17" s="7" t="n">
        <v>274560</v>
      </c>
      <c r="D17" s="12" t="n">
        <f aca="false">C17-C16</f>
        <v>289</v>
      </c>
      <c r="E17" s="7" t="n">
        <f aca="false">C17-152000</f>
        <v>122560</v>
      </c>
      <c r="F17" s="6" t="n">
        <f aca="false">D17/$D$2</f>
        <v>145.702041845223</v>
      </c>
      <c r="G17" s="6" t="n">
        <v>95.71</v>
      </c>
      <c r="H17" s="8" t="n">
        <v>79.71</v>
      </c>
      <c r="I17" s="6" t="n">
        <f aca="false">G17+H17</f>
        <v>175.42</v>
      </c>
      <c r="J17" s="106" t="n">
        <f aca="false">IF(L17&gt;0,L17,0)</f>
        <v>0</v>
      </c>
      <c r="K17" s="6" t="n">
        <f aca="false">I17+J17</f>
        <v>175.42</v>
      </c>
      <c r="L17" s="6" t="n">
        <f aca="false">F17-(I17-W17)</f>
        <v>-0.0379581547769021</v>
      </c>
      <c r="M17" s="6" t="n">
        <v>9.34</v>
      </c>
      <c r="N17" s="6" t="n">
        <v>0</v>
      </c>
      <c r="O17" s="6" t="n">
        <v>0</v>
      </c>
      <c r="P17" s="6" t="n">
        <f aca="false">M17-(N17+O17)</f>
        <v>9.34</v>
      </c>
      <c r="Q17" s="6" t="n">
        <v>0</v>
      </c>
      <c r="R17" s="6" t="n">
        <v>0</v>
      </c>
      <c r="S17" s="6" t="n">
        <f aca="false">SUM(P17:R17)</f>
        <v>9.34</v>
      </c>
      <c r="T17" s="7" t="n">
        <f aca="false">(I17-S17)+T16</f>
        <v>939.04</v>
      </c>
      <c r="U17" s="6" t="n">
        <v>0</v>
      </c>
      <c r="V17" s="6" t="n">
        <v>20.34</v>
      </c>
      <c r="W17" s="6" t="n">
        <f aca="false">N17+O17+S17+U17+V17</f>
        <v>29.68</v>
      </c>
      <c r="X17" s="6" t="n">
        <f aca="false">IF(L17&lt;0,L17*-1,0)</f>
        <v>0.0379581547769021</v>
      </c>
      <c r="Y17" s="6" t="n">
        <f aca="false">W17+X17</f>
        <v>29.7179581547769</v>
      </c>
      <c r="Z17" s="11" t="n">
        <v>0.2</v>
      </c>
      <c r="AA17" s="12" t="n">
        <v>59</v>
      </c>
      <c r="AB17" s="12" t="n">
        <v>27</v>
      </c>
      <c r="AC17" s="13" t="n">
        <f aca="false">AC16+1</f>
        <v>8</v>
      </c>
      <c r="AD17" s="12"/>
      <c r="AF17" s="6"/>
    </row>
    <row r="18" customFormat="false" ht="11.1" hidden="false" customHeight="true" outlineLevel="0" collapsed="false">
      <c r="A18" s="13" t="n">
        <f aca="false">A17+1</f>
        <v>9</v>
      </c>
      <c r="B18" s="29" t="n">
        <v>6897.56</v>
      </c>
      <c r="C18" s="7" t="n">
        <v>274669</v>
      </c>
      <c r="D18" s="12" t="n">
        <f aca="false">C18-C17</f>
        <v>109</v>
      </c>
      <c r="E18" s="7" t="n">
        <f aca="false">C18-152000</f>
        <v>122669</v>
      </c>
      <c r="F18" s="6" t="n">
        <f aca="false">D18/$D$2</f>
        <v>54.9533652634232</v>
      </c>
      <c r="G18" s="6" t="n">
        <v>99.15</v>
      </c>
      <c r="H18" s="8" t="n">
        <v>0</v>
      </c>
      <c r="I18" s="6" t="n">
        <f aca="false">G18+H18</f>
        <v>99.15</v>
      </c>
      <c r="J18" s="106" t="n">
        <f aca="false">IF(L18&gt;0,L18,0)</f>
        <v>0</v>
      </c>
      <c r="K18" s="6" t="n">
        <f aca="false">I18+J18</f>
        <v>99.15</v>
      </c>
      <c r="L18" s="6" t="n">
        <f aca="false">F18-(I18-W18)</f>
        <v>-13.9366347365768</v>
      </c>
      <c r="M18" s="6" t="n">
        <v>9.93</v>
      </c>
      <c r="N18" s="6" t="n">
        <v>0</v>
      </c>
      <c r="O18" s="6" t="n">
        <v>0</v>
      </c>
      <c r="P18" s="6" t="n">
        <f aca="false">M18-(N18+O18)</f>
        <v>9.93</v>
      </c>
      <c r="Q18" s="6" t="n">
        <v>0</v>
      </c>
      <c r="R18" s="6" t="n">
        <v>0</v>
      </c>
      <c r="S18" s="6" t="n">
        <f aca="false">SUM(P18:R18)</f>
        <v>9.93</v>
      </c>
      <c r="T18" s="7" t="n">
        <f aca="false">(I18-S18)+T17</f>
        <v>1028.26</v>
      </c>
      <c r="U18" s="6" t="n">
        <v>0</v>
      </c>
      <c r="V18" s="6" t="n">
        <v>20.33</v>
      </c>
      <c r="W18" s="6" t="n">
        <f aca="false">N18+O18+S18+U18+V18</f>
        <v>30.26</v>
      </c>
      <c r="X18" s="6" t="n">
        <f aca="false">IF(L18&lt;0,L18*-1,0)</f>
        <v>13.9366347365768</v>
      </c>
      <c r="Y18" s="6" t="n">
        <f aca="false">W18+X18</f>
        <v>44.1966347365768</v>
      </c>
      <c r="Z18" s="11" t="n">
        <v>0</v>
      </c>
      <c r="AA18" s="39" t="n">
        <v>49</v>
      </c>
      <c r="AB18" s="12" t="n">
        <v>27</v>
      </c>
      <c r="AC18" s="13" t="n">
        <f aca="false">AC17+1</f>
        <v>9</v>
      </c>
      <c r="AD18" s="12"/>
      <c r="AF18" s="6"/>
    </row>
    <row r="19" customFormat="false" ht="11.1" hidden="false" customHeight="true" outlineLevel="0" collapsed="false">
      <c r="A19" s="13" t="n">
        <f aca="false">A18+1</f>
        <v>10</v>
      </c>
      <c r="B19" s="29" t="n">
        <v>6897.6</v>
      </c>
      <c r="C19" s="7" t="n">
        <v>274814</v>
      </c>
      <c r="D19" s="12" t="n">
        <f aca="false">C19-C18</f>
        <v>145</v>
      </c>
      <c r="E19" s="7" t="n">
        <f aca="false">C19-152000</f>
        <v>122814</v>
      </c>
      <c r="F19" s="6" t="n">
        <f aca="false">D19/$D$2</f>
        <v>73.1031005797832</v>
      </c>
      <c r="G19" s="6" t="n">
        <v>88.82</v>
      </c>
      <c r="H19" s="8" t="n">
        <v>13.89</v>
      </c>
      <c r="I19" s="6" t="n">
        <f aca="false">G19+H19</f>
        <v>102.71</v>
      </c>
      <c r="J19" s="106" t="n">
        <f aca="false">IF(L19&gt;0,L19,0)</f>
        <v>0</v>
      </c>
      <c r="K19" s="6" t="n">
        <f aca="false">I19+J19</f>
        <v>102.71</v>
      </c>
      <c r="L19" s="6" t="n">
        <f aca="false">F19-(I19-W19)</f>
        <v>-0.016899420216788</v>
      </c>
      <c r="M19" s="6" t="n">
        <v>9.26</v>
      </c>
      <c r="N19" s="6" t="n">
        <v>0</v>
      </c>
      <c r="O19" s="6" t="n">
        <v>0</v>
      </c>
      <c r="P19" s="6" t="n">
        <f aca="false">M19-(N19+O19)</f>
        <v>9.26</v>
      </c>
      <c r="Q19" s="6" t="n">
        <v>0</v>
      </c>
      <c r="R19" s="6" t="n">
        <v>0</v>
      </c>
      <c r="S19" s="6" t="n">
        <f aca="false">SUM(P19:R19)</f>
        <v>9.26</v>
      </c>
      <c r="T19" s="7" t="n">
        <f aca="false">(I19-S19)+T18</f>
        <v>1121.71</v>
      </c>
      <c r="U19" s="6" t="n">
        <v>0</v>
      </c>
      <c r="V19" s="6" t="n">
        <v>20.33</v>
      </c>
      <c r="W19" s="6" t="n">
        <f aca="false">N19+O19+S19+U19+V19</f>
        <v>29.59</v>
      </c>
      <c r="X19" s="6" t="n">
        <f aca="false">IF(L19&lt;0,L19*-1,0)</f>
        <v>0.016899420216788</v>
      </c>
      <c r="Y19" s="6" t="n">
        <f aca="false">W19+X19</f>
        <v>29.6068994202168</v>
      </c>
      <c r="Z19" s="11" t="n">
        <v>0</v>
      </c>
      <c r="AA19" s="12" t="n">
        <v>60</v>
      </c>
      <c r="AB19" s="12" t="n">
        <v>26</v>
      </c>
      <c r="AC19" s="13" t="n">
        <f aca="false">AC18+1</f>
        <v>10</v>
      </c>
      <c r="AD19" s="12"/>
      <c r="AF19" s="6"/>
    </row>
    <row r="20" customFormat="false" ht="11.1" hidden="false" customHeight="true" outlineLevel="0" collapsed="false">
      <c r="A20" s="13" t="n">
        <f aca="false">A19+1</f>
        <v>11</v>
      </c>
      <c r="B20" s="29" t="n">
        <v>6897.64</v>
      </c>
      <c r="C20" s="7" t="n">
        <v>274958</v>
      </c>
      <c r="D20" s="12" t="n">
        <f aca="false">C20-C19</f>
        <v>144</v>
      </c>
      <c r="E20" s="7" t="n">
        <f aca="false">C20-152000</f>
        <v>122958</v>
      </c>
      <c r="F20" s="6" t="n">
        <f aca="false">D20/$D$2</f>
        <v>72.5989412654399</v>
      </c>
      <c r="G20" s="6" t="n">
        <v>92.68</v>
      </c>
      <c r="H20" s="8" t="n">
        <v>13.743</v>
      </c>
      <c r="I20" s="6" t="n">
        <f aca="false">G20+H20</f>
        <v>106.423</v>
      </c>
      <c r="J20" s="106" t="n">
        <f aca="false">IF(L20&gt;0,L20,0)</f>
        <v>0</v>
      </c>
      <c r="K20" s="6" t="n">
        <f aca="false">I20+J20</f>
        <v>106.423</v>
      </c>
      <c r="L20" s="6" t="n">
        <f aca="false">F20-(I20-W20)</f>
        <v>-0.0240587345601284</v>
      </c>
      <c r="M20" s="6" t="n">
        <v>13.48</v>
      </c>
      <c r="N20" s="6" t="n">
        <v>0</v>
      </c>
      <c r="O20" s="6" t="n">
        <v>0</v>
      </c>
      <c r="P20" s="6" t="n">
        <f aca="false">M20-(N20+O20)</f>
        <v>13.48</v>
      </c>
      <c r="Q20" s="6" t="n">
        <v>0</v>
      </c>
      <c r="R20" s="6" t="n">
        <v>0</v>
      </c>
      <c r="S20" s="6" t="n">
        <f aca="false">SUM(P20:R20)</f>
        <v>13.48</v>
      </c>
      <c r="T20" s="7" t="n">
        <f aca="false">(I20-S20)+T19</f>
        <v>1214.653</v>
      </c>
      <c r="U20" s="6" t="n">
        <v>0</v>
      </c>
      <c r="V20" s="6" t="n">
        <v>20.32</v>
      </c>
      <c r="W20" s="6" t="n">
        <f aca="false">N20+O20+S20+U20+V20</f>
        <v>33.8</v>
      </c>
      <c r="X20" s="6" t="n">
        <f aca="false">IF(L20&lt;0,L20*-1,0)</f>
        <v>0.0240587345601284</v>
      </c>
      <c r="Y20" s="6" t="n">
        <f aca="false">W20+X20</f>
        <v>33.8240587345601</v>
      </c>
      <c r="Z20" s="11" t="n">
        <v>0</v>
      </c>
      <c r="AA20" s="12" t="n">
        <v>63</v>
      </c>
      <c r="AB20" s="12" t="n">
        <v>30</v>
      </c>
      <c r="AC20" s="13" t="n">
        <f aca="false">AC19+1</f>
        <v>11</v>
      </c>
      <c r="AD20" s="12"/>
      <c r="AF20" s="6"/>
    </row>
    <row r="21" customFormat="false" ht="11.1" hidden="false" customHeight="true" outlineLevel="0" collapsed="false">
      <c r="A21" s="13" t="n">
        <f aca="false">A20+1</f>
        <v>12</v>
      </c>
      <c r="B21" s="29" t="n">
        <v>6897.69</v>
      </c>
      <c r="C21" s="7" t="n">
        <v>275139</v>
      </c>
      <c r="D21" s="12" t="n">
        <f aca="false">C21-C20</f>
        <v>181</v>
      </c>
      <c r="E21" s="7" t="n">
        <f aca="false">C21-152000</f>
        <v>123139</v>
      </c>
      <c r="F21" s="6" t="n">
        <f aca="false">D21/$D$2</f>
        <v>91.2528358961432</v>
      </c>
      <c r="G21" s="6" t="n">
        <v>108.68</v>
      </c>
      <c r="H21" s="8" t="n">
        <v>27.49</v>
      </c>
      <c r="I21" s="6" t="n">
        <f aca="false">G21+H21</f>
        <v>136.17</v>
      </c>
      <c r="J21" s="106" t="n">
        <f aca="false">IF(L21&gt;0,L21,0)</f>
        <v>0</v>
      </c>
      <c r="K21" s="6" t="n">
        <f aca="false">I21+J21</f>
        <v>136.17</v>
      </c>
      <c r="L21" s="6" t="n">
        <f aca="false">F21-(I21-W21)</f>
        <v>-0.0271641038568333</v>
      </c>
      <c r="M21" s="6" t="n">
        <v>24.55</v>
      </c>
      <c r="N21" s="6" t="n">
        <v>0</v>
      </c>
      <c r="O21" s="6" t="n">
        <v>0</v>
      </c>
      <c r="P21" s="6" t="n">
        <f aca="false">M21-(N21+O21)</f>
        <v>24.55</v>
      </c>
      <c r="Q21" s="6" t="n">
        <v>0</v>
      </c>
      <c r="R21" s="6" t="n">
        <v>0</v>
      </c>
      <c r="S21" s="6" t="n">
        <f aca="false">SUM(P21:R21)</f>
        <v>24.55</v>
      </c>
      <c r="T21" s="7" t="n">
        <f aca="false">(I21-S21)+T20</f>
        <v>1326.273</v>
      </c>
      <c r="U21" s="6" t="n">
        <v>0</v>
      </c>
      <c r="V21" s="6" t="n">
        <v>20.34</v>
      </c>
      <c r="W21" s="6" t="n">
        <f aca="false">N21+O21+S21+U21+V21</f>
        <v>44.89</v>
      </c>
      <c r="X21" s="6" t="n">
        <f aca="false">IF(L21&lt;0,L21*-1,0)</f>
        <v>0.0271641038568333</v>
      </c>
      <c r="Y21" s="6" t="n">
        <f aca="false">W21+X21</f>
        <v>44.9171641038568</v>
      </c>
      <c r="Z21" s="11" t="n">
        <v>0</v>
      </c>
      <c r="AA21" s="12" t="n">
        <v>62</v>
      </c>
      <c r="AB21" s="12" t="n">
        <v>30</v>
      </c>
      <c r="AC21" s="13" t="n">
        <f aca="false">AC20+1</f>
        <v>12</v>
      </c>
      <c r="AD21" s="12"/>
      <c r="AF21" s="6"/>
    </row>
    <row r="22" customFormat="false" ht="11.1" hidden="false" customHeight="true" outlineLevel="0" collapsed="false">
      <c r="A22" s="13" t="n">
        <f aca="false">A21+1</f>
        <v>13</v>
      </c>
      <c r="B22" s="29" t="n">
        <v>6897.74</v>
      </c>
      <c r="C22" s="7" t="n">
        <v>275320</v>
      </c>
      <c r="D22" s="12" t="n">
        <f aca="false">C22-C21</f>
        <v>181</v>
      </c>
      <c r="E22" s="7" t="n">
        <f aca="false">C22-152000</f>
        <v>123320</v>
      </c>
      <c r="F22" s="6" t="n">
        <f aca="false">D22/$D$2</f>
        <v>91.2528358961432</v>
      </c>
      <c r="G22" s="6" t="n">
        <v>124.17</v>
      </c>
      <c r="H22" s="8" t="n">
        <v>11.49</v>
      </c>
      <c r="I22" s="6" t="n">
        <f aca="false">G22+H22</f>
        <v>135.66</v>
      </c>
      <c r="J22" s="106" t="n">
        <f aca="false">IF(L22&gt;0,L22,0)</f>
        <v>0</v>
      </c>
      <c r="K22" s="6" t="n">
        <f aca="false">I22+J22</f>
        <v>135.66</v>
      </c>
      <c r="L22" s="6" t="n">
        <f aca="false">F22-(I22-W22)</f>
        <v>-0.0271641038568191</v>
      </c>
      <c r="M22" s="6" t="n">
        <v>24.07</v>
      </c>
      <c r="N22" s="6" t="n">
        <v>0</v>
      </c>
      <c r="O22" s="6" t="n">
        <v>0</v>
      </c>
      <c r="P22" s="6" t="n">
        <f aca="false">M22-(N22+O22)</f>
        <v>24.07</v>
      </c>
      <c r="Q22" s="6" t="n">
        <v>0</v>
      </c>
      <c r="R22" s="6" t="n">
        <v>0</v>
      </c>
      <c r="S22" s="6" t="n">
        <f aca="false">SUM(P22:R22)</f>
        <v>24.07</v>
      </c>
      <c r="T22" s="7" t="n">
        <f aca="false">(I22-S22)+T21</f>
        <v>1437.863</v>
      </c>
      <c r="U22" s="6" t="n">
        <v>0</v>
      </c>
      <c r="V22" s="6" t="n">
        <v>20.31</v>
      </c>
      <c r="W22" s="6" t="n">
        <f aca="false">N22+O22+S22+U22+V22</f>
        <v>44.38</v>
      </c>
      <c r="X22" s="6" t="n">
        <f aca="false">IF(L22&lt;0,L22*-1,0)</f>
        <v>0.0271641038568191</v>
      </c>
      <c r="Y22" s="6" t="n">
        <f aca="false">W22+X22</f>
        <v>44.4071641038568</v>
      </c>
      <c r="Z22" s="11" t="n">
        <v>0</v>
      </c>
      <c r="AA22" s="12" t="n">
        <v>62</v>
      </c>
      <c r="AB22" s="12" t="n">
        <v>33</v>
      </c>
      <c r="AC22" s="13" t="n">
        <f aca="false">AC21+1</f>
        <v>13</v>
      </c>
      <c r="AD22" s="12"/>
      <c r="AF22" s="6"/>
    </row>
    <row r="23" customFormat="false" ht="11.1" hidden="false" customHeight="true" outlineLevel="0" collapsed="false">
      <c r="A23" s="13" t="n">
        <f aca="false">A22+1</f>
        <v>14</v>
      </c>
      <c r="B23" s="29" t="n">
        <v>6897.79</v>
      </c>
      <c r="C23" s="7" t="n">
        <v>275501</v>
      </c>
      <c r="D23" s="12" t="n">
        <f aca="false">C23-C22</f>
        <v>181</v>
      </c>
      <c r="E23" s="7" t="n">
        <f aca="false">C23-152000</f>
        <v>123501</v>
      </c>
      <c r="F23" s="6" t="n">
        <f aca="false">D23/$D$2</f>
        <v>91.2528358961432</v>
      </c>
      <c r="G23" s="6" t="n">
        <v>128.05</v>
      </c>
      <c r="H23" s="8" t="n">
        <v>10.87</v>
      </c>
      <c r="I23" s="6" t="n">
        <f aca="false">G23+H23</f>
        <v>138.92</v>
      </c>
      <c r="J23" s="106" t="n">
        <f aca="false">IF(L23&gt;0,L23,0)</f>
        <v>0</v>
      </c>
      <c r="K23" s="6" t="n">
        <f aca="false">I23+J23</f>
        <v>138.92</v>
      </c>
      <c r="L23" s="6" t="n">
        <f aca="false">F23-(I23-W23)</f>
        <v>-0.0271641038568333</v>
      </c>
      <c r="M23" s="6" t="n">
        <v>27.33</v>
      </c>
      <c r="N23" s="6" t="n">
        <v>0</v>
      </c>
      <c r="O23" s="6" t="n">
        <v>0</v>
      </c>
      <c r="P23" s="6" t="n">
        <f aca="false">M23-(N23+O23)</f>
        <v>27.33</v>
      </c>
      <c r="Q23" s="6" t="n">
        <v>0</v>
      </c>
      <c r="R23" s="6" t="n">
        <v>0</v>
      </c>
      <c r="S23" s="6" t="n">
        <f aca="false">SUM(P23:R23)</f>
        <v>27.33</v>
      </c>
      <c r="T23" s="7" t="n">
        <f aca="false">(I23-S23)+T22</f>
        <v>1549.453</v>
      </c>
      <c r="U23" s="6" t="n">
        <v>0</v>
      </c>
      <c r="V23" s="6" t="n">
        <v>20.31</v>
      </c>
      <c r="W23" s="6" t="n">
        <f aca="false">N23+O23+S23+U23+V23</f>
        <v>47.64</v>
      </c>
      <c r="X23" s="6" t="n">
        <f aca="false">IF(L23&lt;0,L23*-1,0)</f>
        <v>0.0271641038568333</v>
      </c>
      <c r="Y23" s="6" t="n">
        <f aca="false">W23+X23</f>
        <v>47.6671641038568</v>
      </c>
      <c r="Z23" s="11" t="n">
        <v>0</v>
      </c>
      <c r="AA23" s="39" t="n">
        <v>63</v>
      </c>
      <c r="AB23" s="12" t="n">
        <v>31</v>
      </c>
      <c r="AC23" s="13" t="n">
        <f aca="false">AC22+1</f>
        <v>14</v>
      </c>
      <c r="AD23" s="12"/>
      <c r="AF23" s="6"/>
    </row>
    <row r="24" customFormat="false" ht="11.1" hidden="false" customHeight="true" outlineLevel="0" collapsed="false">
      <c r="A24" s="13" t="n">
        <f aca="false">A23+1</f>
        <v>15</v>
      </c>
      <c r="B24" s="29" t="n">
        <v>6897.84</v>
      </c>
      <c r="C24" s="7" t="n">
        <v>275682</v>
      </c>
      <c r="D24" s="12" t="n">
        <f aca="false">C24-C23</f>
        <v>181</v>
      </c>
      <c r="E24" s="7" t="n">
        <f aca="false">C24-152000</f>
        <v>123682</v>
      </c>
      <c r="F24" s="6" t="n">
        <f aca="false">D24/$D$2</f>
        <v>91.2528358961432</v>
      </c>
      <c r="G24" s="6" t="n">
        <v>157.71</v>
      </c>
      <c r="H24" s="8" t="n">
        <v>0</v>
      </c>
      <c r="I24" s="6" t="n">
        <f aca="false">G24+H24</f>
        <v>157.71</v>
      </c>
      <c r="J24" s="106" t="n">
        <f aca="false">IF(L24&gt;0,L24,0)</f>
        <v>0</v>
      </c>
      <c r="K24" s="6" t="n">
        <f aca="false">I24+J24</f>
        <v>157.71</v>
      </c>
      <c r="L24" s="6" t="n">
        <f aca="false">F24-(I24-W24)</f>
        <v>-18.5071641038568</v>
      </c>
      <c r="M24" s="6" t="n">
        <v>27.6</v>
      </c>
      <c r="N24" s="6" t="n">
        <v>0</v>
      </c>
      <c r="O24" s="6" t="n">
        <v>0</v>
      </c>
      <c r="P24" s="6" t="n">
        <f aca="false">M24-(N24+O24)</f>
        <v>27.6</v>
      </c>
      <c r="Q24" s="6" t="n">
        <v>0</v>
      </c>
      <c r="R24" s="6" t="n">
        <v>0</v>
      </c>
      <c r="S24" s="6" t="n">
        <f aca="false">SUM(P24:R24)</f>
        <v>27.6</v>
      </c>
      <c r="T24" s="7" t="n">
        <f aca="false">(I24-S24)+T23</f>
        <v>1679.563</v>
      </c>
      <c r="U24" s="6" t="n">
        <v>0</v>
      </c>
      <c r="V24" s="6" t="n">
        <v>20.35</v>
      </c>
      <c r="W24" s="6" t="n">
        <f aca="false">N24+O24+S24+U24+V24</f>
        <v>47.95</v>
      </c>
      <c r="X24" s="6" t="n">
        <f aca="false">IF(L24&lt;0,L24*-1,0)</f>
        <v>18.5071641038568</v>
      </c>
      <c r="Y24" s="6" t="n">
        <f aca="false">W24+X24</f>
        <v>66.4571641038568</v>
      </c>
      <c r="Z24" s="11" t="n">
        <v>0</v>
      </c>
      <c r="AA24" s="39" t="n">
        <v>64</v>
      </c>
      <c r="AB24" s="12" t="n">
        <v>30</v>
      </c>
      <c r="AC24" s="13" t="n">
        <f aca="false">AC23+1</f>
        <v>15</v>
      </c>
      <c r="AD24" s="12"/>
      <c r="AF24" s="6"/>
    </row>
    <row r="25" customFormat="false" ht="11.1" hidden="false" customHeight="true" outlineLevel="0" collapsed="false">
      <c r="A25" s="13" t="n">
        <f aca="false">A24+1</f>
        <v>16</v>
      </c>
      <c r="B25" s="29" t="n">
        <v>6897.93</v>
      </c>
      <c r="C25" s="7" t="n">
        <v>276007</v>
      </c>
      <c r="D25" s="12" t="n">
        <f aca="false">C25-C24</f>
        <v>325</v>
      </c>
      <c r="E25" s="7" t="n">
        <f aca="false">C25-152000</f>
        <v>124007</v>
      </c>
      <c r="F25" s="6" t="n">
        <f aca="false">D25/$D$2</f>
        <v>163.851777161583</v>
      </c>
      <c r="G25" s="6" t="n">
        <v>207.81</v>
      </c>
      <c r="H25" s="8" t="n">
        <v>20.46</v>
      </c>
      <c r="I25" s="6" t="n">
        <f aca="false">G25+H25</f>
        <v>228.27</v>
      </c>
      <c r="J25" s="106" t="n">
        <f aca="false">IF(L25&gt;0,L25,0)</f>
        <v>0</v>
      </c>
      <c r="K25" s="6" t="n">
        <f aca="false">I25+J25</f>
        <v>228.27</v>
      </c>
      <c r="L25" s="6" t="n">
        <f aca="false">F25-(I25-W25)</f>
        <v>-0.0382228384169707</v>
      </c>
      <c r="M25" s="6" t="n">
        <v>39.89</v>
      </c>
      <c r="N25" s="6" t="n">
        <v>0</v>
      </c>
      <c r="O25" s="6" t="n">
        <v>0</v>
      </c>
      <c r="P25" s="6" t="n">
        <f aca="false">M25-(N25+O25)</f>
        <v>39.89</v>
      </c>
      <c r="Q25" s="6" t="n">
        <v>0</v>
      </c>
      <c r="R25" s="6" t="n">
        <v>4.11</v>
      </c>
      <c r="S25" s="6" t="n">
        <f aca="false">SUM(P25:R25)</f>
        <v>44</v>
      </c>
      <c r="T25" s="7" t="n">
        <f aca="false">(I25-S25)+T24</f>
        <v>1863.833</v>
      </c>
      <c r="U25" s="6" t="n">
        <v>0</v>
      </c>
      <c r="V25" s="6" t="n">
        <v>20.38</v>
      </c>
      <c r="W25" s="6" t="n">
        <f aca="false">N25+O25+S25+U25+V25</f>
        <v>64.38</v>
      </c>
      <c r="X25" s="6" t="n">
        <f aca="false">IF(L25&lt;0,L25*-1,0)</f>
        <v>0.0382228384169707</v>
      </c>
      <c r="Y25" s="6" t="n">
        <f aca="false">W25+X25</f>
        <v>64.418222838417</v>
      </c>
      <c r="Z25" s="11" t="n">
        <v>0.05</v>
      </c>
      <c r="AA25" s="39" t="n">
        <v>68</v>
      </c>
      <c r="AB25" s="12" t="n">
        <v>33</v>
      </c>
      <c r="AC25" s="13" t="n">
        <f aca="false">AC24+1</f>
        <v>16</v>
      </c>
      <c r="AD25" s="12"/>
      <c r="AF25" s="6"/>
    </row>
    <row r="26" customFormat="false" ht="11.1" hidden="false" customHeight="true" outlineLevel="0" collapsed="false">
      <c r="A26" s="13" t="n">
        <f aca="false">A25+1</f>
        <v>17</v>
      </c>
      <c r="B26" s="29" t="n">
        <v>6898.07</v>
      </c>
      <c r="C26" s="7" t="n">
        <v>276516</v>
      </c>
      <c r="D26" s="12" t="n">
        <f aca="false">C26-C25</f>
        <v>509</v>
      </c>
      <c r="E26" s="7" t="n">
        <f aca="false">C26-152000</f>
        <v>124516</v>
      </c>
      <c r="F26" s="6" t="n">
        <f aca="false">D26/$D$2</f>
        <v>256.617091000756</v>
      </c>
      <c r="G26" s="6" t="n">
        <v>285.51</v>
      </c>
      <c r="H26" s="8" t="n">
        <v>64.68</v>
      </c>
      <c r="I26" s="6" t="n">
        <f aca="false">G26+H26</f>
        <v>350.19</v>
      </c>
      <c r="J26" s="106" t="n">
        <f aca="false">IF(L26&gt;0,L26,0)</f>
        <v>0</v>
      </c>
      <c r="K26" s="6" t="n">
        <f aca="false">I26+J26</f>
        <v>350.19</v>
      </c>
      <c r="L26" s="6" t="n">
        <f aca="false">F26-(I26-W26)</f>
        <v>-0.0629089992437457</v>
      </c>
      <c r="M26" s="6" t="n">
        <v>62.48</v>
      </c>
      <c r="N26" s="6" t="n">
        <v>0</v>
      </c>
      <c r="O26" s="6" t="n">
        <v>0</v>
      </c>
      <c r="P26" s="6" t="n">
        <f aca="false">M26-(N26+O26)</f>
        <v>62.48</v>
      </c>
      <c r="Q26" s="6" t="n">
        <v>0</v>
      </c>
      <c r="R26" s="6" t="n">
        <v>10.52</v>
      </c>
      <c r="S26" s="6" t="n">
        <f aca="false">SUM(P26:R26)</f>
        <v>73</v>
      </c>
      <c r="T26" s="7" t="n">
        <f aca="false">(I26-S26)+T25</f>
        <v>2141.023</v>
      </c>
      <c r="U26" s="6" t="n">
        <v>0</v>
      </c>
      <c r="V26" s="6" t="n">
        <v>20.51</v>
      </c>
      <c r="W26" s="6" t="n">
        <f aca="false">N26+O26+S26+U26+V26</f>
        <v>93.51</v>
      </c>
      <c r="X26" s="6" t="n">
        <f aca="false">IF(L26&lt;0,L26*-1,0)</f>
        <v>0.0629089992437457</v>
      </c>
      <c r="Y26" s="6" t="n">
        <f aca="false">W26+X26</f>
        <v>93.5729089992438</v>
      </c>
      <c r="Z26" s="11" t="n">
        <v>0.21</v>
      </c>
      <c r="AA26" s="39" t="n">
        <v>57</v>
      </c>
      <c r="AB26" s="12" t="n">
        <v>37</v>
      </c>
      <c r="AC26" s="13" t="n">
        <f aca="false">AC25+1</f>
        <v>17</v>
      </c>
      <c r="AD26" s="12"/>
      <c r="AF26" s="6"/>
    </row>
    <row r="27" customFormat="false" ht="11.1" hidden="false" customHeight="true" outlineLevel="0" collapsed="false">
      <c r="A27" s="13" t="n">
        <f aca="false">A26+1</f>
        <v>18</v>
      </c>
      <c r="B27" s="29" t="n">
        <v>6898.2</v>
      </c>
      <c r="C27" s="7" t="n">
        <v>276990</v>
      </c>
      <c r="D27" s="12" t="n">
        <f aca="false">C27-C26</f>
        <v>474</v>
      </c>
      <c r="E27" s="7" t="n">
        <f aca="false">C27-152000</f>
        <v>124990</v>
      </c>
      <c r="F27" s="6" t="n">
        <f aca="false">D27/$D$2</f>
        <v>238.97151499874</v>
      </c>
      <c r="G27" s="6" t="n">
        <v>254.55</v>
      </c>
      <c r="H27" s="8" t="n">
        <v>85.3</v>
      </c>
      <c r="I27" s="6" t="n">
        <f aca="false">G27+H27</f>
        <v>339.85</v>
      </c>
      <c r="J27" s="106" t="n">
        <f aca="false">IF(L27&gt;0,L27,0)</f>
        <v>0</v>
      </c>
      <c r="K27" s="6" t="n">
        <f aca="false">I27+J27</f>
        <v>339.85</v>
      </c>
      <c r="L27" s="6" t="n">
        <f aca="false">F27-(I27-W27)</f>
        <v>-0.0584850012604363</v>
      </c>
      <c r="M27" s="6" t="n">
        <v>70.33</v>
      </c>
      <c r="N27" s="6" t="n">
        <v>0</v>
      </c>
      <c r="O27" s="6" t="n">
        <v>0</v>
      </c>
      <c r="P27" s="6" t="n">
        <f aca="false">M27-(N27+O27)</f>
        <v>70.33</v>
      </c>
      <c r="Q27" s="6" t="n">
        <v>0</v>
      </c>
      <c r="R27" s="6" t="n">
        <v>9.67</v>
      </c>
      <c r="S27" s="6" t="n">
        <f aca="false">SUM(P27:R27)</f>
        <v>80</v>
      </c>
      <c r="T27" s="7" t="n">
        <f aca="false">(I27-S27)+T26</f>
        <v>2400.873</v>
      </c>
      <c r="U27" s="6" t="n">
        <v>0</v>
      </c>
      <c r="V27" s="6" t="n">
        <v>20.82</v>
      </c>
      <c r="W27" s="6" t="n">
        <f aca="false">N27+O27+S27+U27+V27</f>
        <v>100.82</v>
      </c>
      <c r="X27" s="6" t="n">
        <f aca="false">IF(L27&lt;0,L27*-1,0)</f>
        <v>0.0584850012604363</v>
      </c>
      <c r="Y27" s="6" t="n">
        <f aca="false">W27+X27</f>
        <v>100.87848500126</v>
      </c>
      <c r="Z27" s="11" t="n">
        <v>0.45</v>
      </c>
      <c r="AA27" s="39" t="n">
        <v>51</v>
      </c>
      <c r="AB27" s="12" t="n">
        <v>33</v>
      </c>
      <c r="AC27" s="13" t="n">
        <f aca="false">AC26+1</f>
        <v>18</v>
      </c>
      <c r="AD27" s="12"/>
      <c r="AF27" s="6"/>
    </row>
    <row r="28" customFormat="false" ht="11.1" hidden="false" customHeight="true" outlineLevel="0" collapsed="false">
      <c r="A28" s="13" t="n">
        <f aca="false">A27+1</f>
        <v>19</v>
      </c>
      <c r="B28" s="29" t="n">
        <v>6898.29</v>
      </c>
      <c r="C28" s="7" t="n">
        <v>277318</v>
      </c>
      <c r="D28" s="12" t="n">
        <f aca="false">C28-C27</f>
        <v>328</v>
      </c>
      <c r="E28" s="7" t="n">
        <f aca="false">C28-152000</f>
        <v>125318</v>
      </c>
      <c r="F28" s="6" t="n">
        <f aca="false">D28/$D$2</f>
        <v>165.364255104613</v>
      </c>
      <c r="G28" s="6" t="n">
        <v>239.27</v>
      </c>
      <c r="H28" s="8" t="n">
        <v>27.03</v>
      </c>
      <c r="I28" s="6" t="n">
        <f aca="false">G28+H28</f>
        <v>266.3</v>
      </c>
      <c r="J28" s="106" t="n">
        <f aca="false">IF(L28&gt;0,L28,0)</f>
        <v>0</v>
      </c>
      <c r="K28" s="6" t="n">
        <f aca="false">I28+J28</f>
        <v>266.3</v>
      </c>
      <c r="L28" s="6" t="n">
        <f aca="false">F28-(I28-W28)</f>
        <v>-0.0457448953869744</v>
      </c>
      <c r="M28" s="6" t="n">
        <v>70.33</v>
      </c>
      <c r="N28" s="6" t="n">
        <v>0</v>
      </c>
      <c r="O28" s="6" t="n">
        <v>0</v>
      </c>
      <c r="P28" s="6" t="n">
        <f aca="false">M28-(N28+O28)</f>
        <v>70.33</v>
      </c>
      <c r="Q28" s="6" t="n">
        <v>0</v>
      </c>
      <c r="R28" s="6" t="n">
        <v>9.67</v>
      </c>
      <c r="S28" s="6" t="n">
        <f aca="false">SUM(P28:R28)</f>
        <v>80</v>
      </c>
      <c r="T28" s="7" t="n">
        <f aca="false">(I28-S28)+T27</f>
        <v>2587.173</v>
      </c>
      <c r="U28" s="6" t="n">
        <v>0</v>
      </c>
      <c r="V28" s="6" t="n">
        <v>20.89</v>
      </c>
      <c r="W28" s="6" t="n">
        <f aca="false">N28+O28+S28+U28+V28</f>
        <v>100.89</v>
      </c>
      <c r="X28" s="6" t="n">
        <f aca="false">IF(L28&lt;0,L28*-1,0)</f>
        <v>0.0457448953869744</v>
      </c>
      <c r="Y28" s="6" t="n">
        <f aca="false">W28+X28</f>
        <v>100.935744895387</v>
      </c>
      <c r="Z28" s="11" t="n">
        <v>0.09</v>
      </c>
      <c r="AA28" s="39" t="n">
        <v>58</v>
      </c>
      <c r="AB28" s="12" t="n">
        <v>35</v>
      </c>
      <c r="AC28" s="13" t="n">
        <f aca="false">AC27+1</f>
        <v>19</v>
      </c>
      <c r="AD28" s="12"/>
      <c r="AF28" s="6"/>
    </row>
    <row r="29" customFormat="false" ht="11.1" hidden="false" customHeight="true" outlineLevel="0" collapsed="false">
      <c r="A29" s="13" t="n">
        <f aca="false">A28+1</f>
        <v>20</v>
      </c>
      <c r="B29" s="29" t="n">
        <v>6898.38</v>
      </c>
      <c r="C29" s="7" t="n">
        <v>277646</v>
      </c>
      <c r="D29" s="12" t="n">
        <f aca="false">C29-C28</f>
        <v>328</v>
      </c>
      <c r="E29" s="7" t="n">
        <f aca="false">C29-152000</f>
        <v>125646</v>
      </c>
      <c r="F29" s="6" t="n">
        <f aca="false">D29/$D$2</f>
        <v>165.364255104613</v>
      </c>
      <c r="G29" s="6" t="n">
        <v>213.09</v>
      </c>
      <c r="H29" s="8" t="n">
        <v>70.18</v>
      </c>
      <c r="I29" s="6" t="n">
        <f aca="false">G29+H29</f>
        <v>283.27</v>
      </c>
      <c r="J29" s="106" t="n">
        <f aca="false">IF(L29&gt;0,L29,0)</f>
        <v>0</v>
      </c>
      <c r="K29" s="6" t="n">
        <f aca="false">I29+J29</f>
        <v>283.27</v>
      </c>
      <c r="L29" s="6" t="n">
        <f aca="false">F29-(I29-W29)</f>
        <v>-0.0457448953869175</v>
      </c>
      <c r="M29" s="6" t="n">
        <v>82.6</v>
      </c>
      <c r="N29" s="6" t="n">
        <v>0</v>
      </c>
      <c r="O29" s="6" t="n">
        <v>0</v>
      </c>
      <c r="P29" s="6" t="n">
        <f aca="false">M29-(N29+O29)</f>
        <v>82.6</v>
      </c>
      <c r="Q29" s="6" t="n">
        <v>0</v>
      </c>
      <c r="R29" s="6" t="n">
        <v>14.4</v>
      </c>
      <c r="S29" s="6" t="n">
        <f aca="false">SUM(P29:R29)</f>
        <v>97</v>
      </c>
      <c r="T29" s="7" t="n">
        <f aca="false">(I29-S29)+T28</f>
        <v>2773.443</v>
      </c>
      <c r="U29" s="6" t="n">
        <v>0</v>
      </c>
      <c r="V29" s="6" t="n">
        <v>20.86</v>
      </c>
      <c r="W29" s="6" t="n">
        <f aca="false">N29+O29+S29+U29+V29</f>
        <v>117.86</v>
      </c>
      <c r="X29" s="6" t="n">
        <f aca="false">IF(L29&lt;0,L29*-1,0)</f>
        <v>0.0457448953869175</v>
      </c>
      <c r="Y29" s="6" t="n">
        <f aca="false">W29+X29</f>
        <v>117.905744895387</v>
      </c>
      <c r="Z29" s="11" t="n">
        <v>0</v>
      </c>
      <c r="AA29" s="39" t="n">
        <v>62</v>
      </c>
      <c r="AB29" s="12" t="n">
        <v>30</v>
      </c>
      <c r="AC29" s="13" t="n">
        <f aca="false">AC28+1</f>
        <v>20</v>
      </c>
      <c r="AD29" s="12"/>
      <c r="AF29" s="6"/>
    </row>
    <row r="30" customFormat="false" ht="11.1" hidden="false" customHeight="true" outlineLevel="0" collapsed="false">
      <c r="A30" s="13" t="n">
        <f aca="false">A29+1</f>
        <v>21</v>
      </c>
      <c r="B30" s="29" t="n">
        <v>6898.47</v>
      </c>
      <c r="C30" s="7" t="n">
        <v>277974</v>
      </c>
      <c r="D30" s="12" t="n">
        <f aca="false">C30-C29</f>
        <v>328</v>
      </c>
      <c r="E30" s="7" t="n">
        <f aca="false">C30-152000</f>
        <v>125974</v>
      </c>
      <c r="F30" s="6" t="n">
        <f aca="false">D30/$D$2</f>
        <v>165.364255104613</v>
      </c>
      <c r="G30" s="6" t="n">
        <v>251.55</v>
      </c>
      <c r="H30" s="8" t="n">
        <v>37.58</v>
      </c>
      <c r="I30" s="6" t="n">
        <f aca="false">G30+H30</f>
        <v>289.13</v>
      </c>
      <c r="J30" s="106" t="n">
        <f aca="false">IF(L30&gt;0,L30,0)</f>
        <v>0</v>
      </c>
      <c r="K30" s="6" t="n">
        <f aca="false">I30+J30</f>
        <v>289.13</v>
      </c>
      <c r="L30" s="6" t="n">
        <f aca="false">F30-(I30-W30)</f>
        <v>-0.0457448953869459</v>
      </c>
      <c r="M30" s="6" t="n">
        <v>93.55</v>
      </c>
      <c r="N30" s="6" t="n">
        <v>0</v>
      </c>
      <c r="O30" s="6" t="n">
        <v>0</v>
      </c>
      <c r="P30" s="6" t="n">
        <f aca="false">M30-(N30+O30)</f>
        <v>93.55</v>
      </c>
      <c r="Q30" s="6" t="n">
        <v>0</v>
      </c>
      <c r="R30" s="6" t="n">
        <v>9.45</v>
      </c>
      <c r="S30" s="6" t="n">
        <f aca="false">SUM(P30:R30)</f>
        <v>103</v>
      </c>
      <c r="T30" s="7" t="n">
        <f aca="false">(I30-S30)+T29</f>
        <v>2959.573</v>
      </c>
      <c r="U30" s="6" t="n">
        <v>0</v>
      </c>
      <c r="V30" s="6" t="n">
        <v>20.72</v>
      </c>
      <c r="W30" s="6" t="n">
        <f aca="false">N30+O30+S30+U30+V30</f>
        <v>123.72</v>
      </c>
      <c r="X30" s="6" t="n">
        <f aca="false">IF(L30&lt;0,L30*-1,0)</f>
        <v>0.0457448953869459</v>
      </c>
      <c r="Y30" s="6" t="n">
        <f aca="false">W30+X30</f>
        <v>123.765744895387</v>
      </c>
      <c r="Z30" s="11" t="n">
        <v>0</v>
      </c>
      <c r="AA30" s="12" t="n">
        <v>64</v>
      </c>
      <c r="AB30" s="12" t="n">
        <v>31</v>
      </c>
      <c r="AC30" s="13" t="n">
        <f aca="false">AC29+1</f>
        <v>21</v>
      </c>
      <c r="AD30" s="12"/>
      <c r="AF30" s="6"/>
    </row>
    <row r="31" customFormat="false" ht="11.1" hidden="false" customHeight="true" outlineLevel="0" collapsed="false">
      <c r="A31" s="13" t="n">
        <f aca="false">A30+1</f>
        <v>22</v>
      </c>
      <c r="B31" s="29" t="n">
        <v>6898.56</v>
      </c>
      <c r="C31" s="7" t="n">
        <v>278302</v>
      </c>
      <c r="D31" s="12" t="n">
        <f aca="false">C31-C30</f>
        <v>328</v>
      </c>
      <c r="E31" s="7" t="n">
        <f aca="false">C31-152000</f>
        <v>126302</v>
      </c>
      <c r="F31" s="6" t="n">
        <f aca="false">D31/$D$2</f>
        <v>165.364255104613</v>
      </c>
      <c r="G31" s="6" t="n">
        <v>316.95</v>
      </c>
      <c r="H31" s="8" t="n">
        <v>0</v>
      </c>
      <c r="I31" s="6" t="n">
        <f aca="false">G31+H31</f>
        <v>316.95</v>
      </c>
      <c r="J31" s="106" t="n">
        <f aca="false">IF(L31&gt;0,L31,0)</f>
        <v>0</v>
      </c>
      <c r="K31" s="6" t="n">
        <f aca="false">I31+J31</f>
        <v>316.95</v>
      </c>
      <c r="L31" s="6" t="n">
        <f aca="false">F31-(I31-W31)</f>
        <v>-27.7757448953869</v>
      </c>
      <c r="M31" s="6" t="n">
        <v>93.52</v>
      </c>
      <c r="N31" s="6" t="n">
        <v>0</v>
      </c>
      <c r="O31" s="6" t="n">
        <v>0</v>
      </c>
      <c r="P31" s="6" t="n">
        <f aca="false">M31-(N31+O31)</f>
        <v>93.52</v>
      </c>
      <c r="Q31" s="6" t="n">
        <v>0</v>
      </c>
      <c r="R31" s="6" t="n">
        <v>9.48</v>
      </c>
      <c r="S31" s="6" t="n">
        <f aca="false">SUM(P31:R31)</f>
        <v>103</v>
      </c>
      <c r="T31" s="7" t="n">
        <f aca="false">(I31-S31)+T30</f>
        <v>3173.523</v>
      </c>
      <c r="U31" s="6" t="n">
        <v>0</v>
      </c>
      <c r="V31" s="6" t="n">
        <v>20.81</v>
      </c>
      <c r="W31" s="6" t="n">
        <f aca="false">N31+O31+S31+U31+V31</f>
        <v>123.81</v>
      </c>
      <c r="X31" s="6" t="n">
        <f aca="false">IF(L31&lt;0,L31*-1,0)</f>
        <v>27.7757448953869</v>
      </c>
      <c r="Y31" s="6" t="n">
        <f aca="false">W31+X31</f>
        <v>151.585744895387</v>
      </c>
      <c r="Z31" s="11" t="n">
        <v>0</v>
      </c>
      <c r="AA31" s="12" t="n">
        <v>68</v>
      </c>
      <c r="AB31" s="12" t="n">
        <v>33</v>
      </c>
      <c r="AC31" s="13" t="n">
        <f aca="false">AC30+1</f>
        <v>22</v>
      </c>
      <c r="AD31" s="12"/>
      <c r="AF31" s="6"/>
    </row>
    <row r="32" customFormat="false" ht="11.1" hidden="false" customHeight="true" outlineLevel="0" collapsed="false">
      <c r="A32" s="13" t="n">
        <f aca="false">A31+1</f>
        <v>23</v>
      </c>
      <c r="B32" s="29" t="n">
        <v>6898.71</v>
      </c>
      <c r="C32" s="7" t="n">
        <v>278813</v>
      </c>
      <c r="D32" s="12" t="n">
        <f aca="false">C32-C31</f>
        <v>511</v>
      </c>
      <c r="E32" s="7" t="n">
        <f aca="false">C32-152000</f>
        <v>126813</v>
      </c>
      <c r="F32" s="6" t="n">
        <f aca="false">D32/$D$2</f>
        <v>257.625409629443</v>
      </c>
      <c r="G32" s="6" t="n">
        <v>344.76</v>
      </c>
      <c r="H32" s="8" t="n">
        <v>78.77</v>
      </c>
      <c r="I32" s="6" t="n">
        <f aca="false">G32+H32</f>
        <v>423.53</v>
      </c>
      <c r="J32" s="106" t="n">
        <f aca="false">IF(L32&gt;0,L32,0)</f>
        <v>0</v>
      </c>
      <c r="K32" s="6" t="n">
        <f aca="false">I32+J32</f>
        <v>423.53</v>
      </c>
      <c r="L32" s="6" t="n">
        <f aca="false">F32-(I32-W32)</f>
        <v>-0.0645903705570277</v>
      </c>
      <c r="M32" s="6" t="n">
        <v>110.44</v>
      </c>
      <c r="N32" s="6" t="n">
        <v>0</v>
      </c>
      <c r="O32" s="6" t="n">
        <v>0</v>
      </c>
      <c r="P32" s="6" t="n">
        <f aca="false">M32-(N32+O32)</f>
        <v>110.44</v>
      </c>
      <c r="Q32" s="6" t="n">
        <v>0</v>
      </c>
      <c r="R32" s="6" t="n">
        <v>15.56</v>
      </c>
      <c r="S32" s="6" t="n">
        <f aca="false">SUM(P32:R32)</f>
        <v>126</v>
      </c>
      <c r="T32" s="7" t="n">
        <f aca="false">(I32-S32)+T31</f>
        <v>3471.053</v>
      </c>
      <c r="U32" s="6" t="n">
        <v>19</v>
      </c>
      <c r="V32" s="6" t="n">
        <v>20.84</v>
      </c>
      <c r="W32" s="6" t="n">
        <f aca="false">N32+O32+S32+U32+V32</f>
        <v>165.84</v>
      </c>
      <c r="X32" s="6" t="n">
        <f aca="false">IF(L32&lt;0,L32*-1,0)</f>
        <v>0.0645903705570277</v>
      </c>
      <c r="Y32" s="6" t="n">
        <f aca="false">W32+X32</f>
        <v>165.904590370557</v>
      </c>
      <c r="Z32" s="11" t="n">
        <v>0.25</v>
      </c>
      <c r="AA32" s="12" t="n">
        <v>56</v>
      </c>
      <c r="AB32" s="39" t="n">
        <v>30</v>
      </c>
      <c r="AC32" s="13" t="n">
        <f aca="false">AC31+1</f>
        <v>23</v>
      </c>
      <c r="AD32" s="12"/>
      <c r="AF32" s="6"/>
    </row>
    <row r="33" customFormat="false" ht="11.1" hidden="false" customHeight="true" outlineLevel="0" collapsed="false">
      <c r="A33" s="13" t="n">
        <f aca="false">A32+1</f>
        <v>24</v>
      </c>
      <c r="B33" s="29" t="n">
        <v>6898.84</v>
      </c>
      <c r="C33" s="7" t="n">
        <v>279323</v>
      </c>
      <c r="D33" s="12" t="n">
        <f aca="false">C33-C32</f>
        <v>510</v>
      </c>
      <c r="E33" s="7" t="n">
        <f aca="false">C33-152000</f>
        <v>127323</v>
      </c>
      <c r="F33" s="6" t="n">
        <f aca="false">D33/$D$2</f>
        <v>257.1212503151</v>
      </c>
      <c r="G33" s="6" t="n">
        <v>346.45</v>
      </c>
      <c r="H33" s="8" t="n">
        <v>97.64</v>
      </c>
      <c r="I33" s="6" t="n">
        <f aca="false">G33+H33</f>
        <v>444.09</v>
      </c>
      <c r="J33" s="106" t="n">
        <f aca="false">IF(L33&gt;0,L33,0)</f>
        <v>0</v>
      </c>
      <c r="K33" s="6" t="n">
        <f aca="false">I33+J33</f>
        <v>444.09</v>
      </c>
      <c r="L33" s="6" t="n">
        <f aca="false">F33-(I33-W33)</f>
        <v>-0.0687496849003537</v>
      </c>
      <c r="M33" s="6" t="n">
        <v>119.61</v>
      </c>
      <c r="N33" s="6" t="n">
        <v>0</v>
      </c>
      <c r="O33" s="6" t="n">
        <v>0</v>
      </c>
      <c r="P33" s="6" t="n">
        <f aca="false">M33-(N33+O33)</f>
        <v>119.61</v>
      </c>
      <c r="Q33" s="6" t="n">
        <v>0</v>
      </c>
      <c r="R33" s="6" t="n">
        <v>18.39</v>
      </c>
      <c r="S33" s="6" t="n">
        <f aca="false">SUM(P33:R33)</f>
        <v>138</v>
      </c>
      <c r="T33" s="7" t="n">
        <f aca="false">(I33-S33)+T32</f>
        <v>3777.143</v>
      </c>
      <c r="U33" s="6" t="n">
        <v>28</v>
      </c>
      <c r="V33" s="6" t="n">
        <v>20.9</v>
      </c>
      <c r="W33" s="6" t="n">
        <f aca="false">N33+O33+S33+U33+V33</f>
        <v>186.9</v>
      </c>
      <c r="X33" s="6" t="n">
        <f aca="false">IF(L33&lt;0,L33*-1,0)</f>
        <v>0.0687496849003537</v>
      </c>
      <c r="Y33" s="6" t="n">
        <f aca="false">W33+X33</f>
        <v>186.9687496849</v>
      </c>
      <c r="Z33" s="11" t="n">
        <v>0.33</v>
      </c>
      <c r="AA33" s="12" t="n">
        <v>49</v>
      </c>
      <c r="AB33" s="39" t="n">
        <v>36</v>
      </c>
      <c r="AC33" s="13" t="n">
        <f aca="false">AC32+1</f>
        <v>24</v>
      </c>
      <c r="AD33" s="12"/>
      <c r="AF33" s="6"/>
    </row>
    <row r="34" customFormat="false" ht="11.1" hidden="false" customHeight="true" outlineLevel="0" collapsed="false">
      <c r="A34" s="13" t="n">
        <f aca="false">A33+1</f>
        <v>25</v>
      </c>
      <c r="B34" s="29" t="n">
        <v>6898.91</v>
      </c>
      <c r="C34" s="7" t="n">
        <v>279578</v>
      </c>
      <c r="D34" s="12" t="n">
        <f aca="false">C34-C33</f>
        <v>255</v>
      </c>
      <c r="E34" s="7" t="n">
        <f aca="false">C34-152000</f>
        <v>127578</v>
      </c>
      <c r="F34" s="6" t="n">
        <f aca="false">D34/$D$2</f>
        <v>128.56062515755</v>
      </c>
      <c r="G34" s="6" t="n">
        <v>309.76</v>
      </c>
      <c r="H34" s="8" t="n">
        <v>3.14</v>
      </c>
      <c r="I34" s="6" t="n">
        <f aca="false">G34+H34</f>
        <v>312.9</v>
      </c>
      <c r="J34" s="106" t="n">
        <f aca="false">IF(L34&gt;0,L34,0)</f>
        <v>0</v>
      </c>
      <c r="K34" s="6" t="n">
        <f aca="false">I34+J34</f>
        <v>312.9</v>
      </c>
      <c r="L34" s="6" t="n">
        <f aca="false">F34-(I34-W34)</f>
        <v>-0.0293748424501814</v>
      </c>
      <c r="M34" s="6" t="n">
        <v>119.59</v>
      </c>
      <c r="N34" s="6" t="n">
        <v>0</v>
      </c>
      <c r="O34" s="6" t="n">
        <v>0</v>
      </c>
      <c r="P34" s="6" t="n">
        <f aca="false">M34-(N34+O34)</f>
        <v>119.59</v>
      </c>
      <c r="Q34" s="6" t="n">
        <v>0</v>
      </c>
      <c r="R34" s="6" t="n">
        <v>18.41</v>
      </c>
      <c r="S34" s="6" t="n">
        <f aca="false">SUM(P34:R34)</f>
        <v>138</v>
      </c>
      <c r="T34" s="7" t="n">
        <f aca="false">(I34-S34)+T33</f>
        <v>3952.043</v>
      </c>
      <c r="U34" s="6" t="n">
        <v>26</v>
      </c>
      <c r="V34" s="6" t="n">
        <v>20.31</v>
      </c>
      <c r="W34" s="6" t="n">
        <f aca="false">N34+O34+S34+U34+V34</f>
        <v>184.31</v>
      </c>
      <c r="X34" s="6" t="n">
        <f aca="false">IF(L34&lt;0,L34*-1,0)</f>
        <v>0.0293748424501814</v>
      </c>
      <c r="Y34" s="6" t="n">
        <f aca="false">W34+X34</f>
        <v>184.33937484245</v>
      </c>
      <c r="Z34" s="11" t="n">
        <v>0.02</v>
      </c>
      <c r="AA34" s="12" t="n">
        <v>54</v>
      </c>
      <c r="AB34" s="39" t="n">
        <v>30</v>
      </c>
      <c r="AC34" s="13" t="n">
        <f aca="false">AC33+1</f>
        <v>25</v>
      </c>
      <c r="AD34" s="12"/>
      <c r="AF34" s="6"/>
    </row>
    <row r="35" customFormat="false" ht="11.1" hidden="false" customHeight="true" outlineLevel="0" collapsed="false">
      <c r="A35" s="13" t="n">
        <f aca="false">A34+1</f>
        <v>26</v>
      </c>
      <c r="B35" s="29" t="n">
        <v>6898.93</v>
      </c>
      <c r="C35" s="7" t="n">
        <v>279651</v>
      </c>
      <c r="D35" s="12" t="n">
        <f aca="false">C35-C34</f>
        <v>73</v>
      </c>
      <c r="E35" s="7" t="n">
        <f aca="false">C35-152000</f>
        <v>127651</v>
      </c>
      <c r="F35" s="6" t="n">
        <f aca="false">D35/$D$2</f>
        <v>36.8036299470633</v>
      </c>
      <c r="G35" s="6" t="n">
        <v>292.56</v>
      </c>
      <c r="H35" s="8" t="n">
        <v>0</v>
      </c>
      <c r="I35" s="6" t="n">
        <f aca="false">G35+H35</f>
        <v>292.56</v>
      </c>
      <c r="J35" s="106" t="n">
        <f aca="false">IF(L35&gt;0,L35,0)</f>
        <v>0</v>
      </c>
      <c r="K35" s="6" t="n">
        <f aca="false">I35+J35</f>
        <v>292.56</v>
      </c>
      <c r="L35" s="6" t="n">
        <f aca="false">F35-(I35-W35)</f>
        <v>-51.0863700529367</v>
      </c>
      <c r="M35" s="6" t="n">
        <v>126.32</v>
      </c>
      <c r="N35" s="6" t="n">
        <v>0</v>
      </c>
      <c r="O35" s="6" t="n">
        <v>0</v>
      </c>
      <c r="P35" s="6" t="n">
        <f aca="false">M35-(N35+O35)</f>
        <v>126.32</v>
      </c>
      <c r="Q35" s="6" t="n">
        <v>0</v>
      </c>
      <c r="R35" s="6" t="n">
        <v>22.68</v>
      </c>
      <c r="S35" s="6" t="n">
        <f aca="false">SUM(P35:R35)</f>
        <v>149</v>
      </c>
      <c r="T35" s="7" t="n">
        <f aca="false">(I35-S35)+T34</f>
        <v>4095.603</v>
      </c>
      <c r="U35" s="6" t="n">
        <v>36</v>
      </c>
      <c r="V35" s="6" t="n">
        <v>19.67</v>
      </c>
      <c r="W35" s="6" t="n">
        <f aca="false">N35+O35+S35+U35+V35</f>
        <v>204.67</v>
      </c>
      <c r="X35" s="6" t="n">
        <f aca="false">IF(L35&lt;0,L35*-1,0)</f>
        <v>51.0863700529367</v>
      </c>
      <c r="Y35" s="6" t="n">
        <f aca="false">W35+X35</f>
        <v>255.756370052937</v>
      </c>
      <c r="Z35" s="11" t="n">
        <v>0</v>
      </c>
      <c r="AA35" s="12" t="n">
        <v>48</v>
      </c>
      <c r="AB35" s="12" t="n">
        <v>30</v>
      </c>
      <c r="AC35" s="13" t="n">
        <f aca="false">AC34+1</f>
        <v>26</v>
      </c>
      <c r="AD35" s="12"/>
      <c r="AF35" s="3"/>
    </row>
    <row r="36" customFormat="false" ht="11.1" hidden="false" customHeight="true" outlineLevel="0" collapsed="false">
      <c r="A36" s="13" t="n">
        <f aca="false">A35+1</f>
        <v>27</v>
      </c>
      <c r="B36" s="29" t="n">
        <v>6898.88</v>
      </c>
      <c r="C36" s="7" t="n">
        <v>279469</v>
      </c>
      <c r="D36" s="12" t="n">
        <f aca="false">C36-C35</f>
        <v>-182</v>
      </c>
      <c r="E36" s="7" t="n">
        <f aca="false">C36-152000</f>
        <v>127469</v>
      </c>
      <c r="F36" s="6" t="n">
        <f aca="false">D36/$D$2</f>
        <v>-91.7569952104865</v>
      </c>
      <c r="G36" s="6" t="n">
        <v>275.68</v>
      </c>
      <c r="H36" s="8" t="n">
        <v>7.18</v>
      </c>
      <c r="I36" s="6" t="n">
        <f aca="false">G36+H36</f>
        <v>282.86</v>
      </c>
      <c r="J36" s="106" t="n">
        <f aca="false">IF(L36&gt;0,L36,0)</f>
        <v>0.0230047895134646</v>
      </c>
      <c r="K36" s="6" t="n">
        <f aca="false">I36+J36</f>
        <v>282.883004789513</v>
      </c>
      <c r="L36" s="6" t="n">
        <f aca="false">F36-(I36-W36)</f>
        <v>0.0230047895134646</v>
      </c>
      <c r="M36" s="6" t="n">
        <v>143.25</v>
      </c>
      <c r="N36" s="6" t="n">
        <v>0</v>
      </c>
      <c r="O36" s="6" t="n">
        <v>0</v>
      </c>
      <c r="P36" s="6" t="n">
        <f aca="false">M36-(N36+O36)</f>
        <v>143.25</v>
      </c>
      <c r="Q36" s="6" t="n">
        <v>154.63</v>
      </c>
      <c r="R36" s="6" t="n">
        <v>25.12</v>
      </c>
      <c r="S36" s="6" t="n">
        <f aca="false">SUM(P36:R36)</f>
        <v>323</v>
      </c>
      <c r="T36" s="7" t="n">
        <f aca="false">(I36-S36)+T35</f>
        <v>4055.463</v>
      </c>
      <c r="U36" s="6" t="n">
        <v>32</v>
      </c>
      <c r="V36" s="6" t="n">
        <v>19.64</v>
      </c>
      <c r="W36" s="6" t="n">
        <f aca="false">N36+O36+S36+U36+V36</f>
        <v>374.64</v>
      </c>
      <c r="X36" s="6" t="n">
        <f aca="false">IF(L36&lt;0,L36*-1,0)</f>
        <v>0</v>
      </c>
      <c r="Y36" s="6" t="n">
        <f aca="false">W36+X36</f>
        <v>374.64</v>
      </c>
      <c r="Z36" s="11" t="n">
        <v>0.01</v>
      </c>
      <c r="AA36" s="12" t="n">
        <v>50</v>
      </c>
      <c r="AB36" s="12" t="n">
        <v>24</v>
      </c>
      <c r="AC36" s="13" t="n">
        <f aca="false">AC35+1</f>
        <v>27</v>
      </c>
      <c r="AD36" s="12"/>
      <c r="AF36" s="6"/>
    </row>
    <row r="37" customFormat="false" ht="11.1" hidden="false" customHeight="true" outlineLevel="0" collapsed="false">
      <c r="A37" s="13" t="n">
        <f aca="false">A36+1</f>
        <v>28</v>
      </c>
      <c r="B37" s="29" t="n">
        <v>6898.79</v>
      </c>
      <c r="C37" s="7" t="n">
        <v>279141</v>
      </c>
      <c r="D37" s="12" t="n">
        <f aca="false">C37-C36</f>
        <v>-328</v>
      </c>
      <c r="E37" s="7" t="n">
        <f aca="false">C37-152000</f>
        <v>127141</v>
      </c>
      <c r="F37" s="6" t="n">
        <f aca="false">D37/$D$2</f>
        <v>-165.364255104613</v>
      </c>
      <c r="G37" s="6" t="n">
        <v>253.62</v>
      </c>
      <c r="H37" s="8" t="n">
        <v>30.43</v>
      </c>
      <c r="I37" s="6" t="n">
        <f aca="false">G37+H37</f>
        <v>284.05</v>
      </c>
      <c r="J37" s="106" t="n">
        <f aca="false">IF(L37&gt;0,L37,0)</f>
        <v>0.0457448953869175</v>
      </c>
      <c r="K37" s="6" t="n">
        <f aca="false">I37+J37</f>
        <v>284.095744895387</v>
      </c>
      <c r="L37" s="6" t="n">
        <f aca="false">F37-(I37-W37)</f>
        <v>0.0457448953869175</v>
      </c>
      <c r="M37" s="6" t="n">
        <v>143.18</v>
      </c>
      <c r="N37" s="6" t="n">
        <v>0</v>
      </c>
      <c r="O37" s="6" t="n">
        <v>0</v>
      </c>
      <c r="P37" s="6" t="n">
        <f aca="false">M37-(N37+O37)</f>
        <v>143.18</v>
      </c>
      <c r="Q37" s="6" t="n">
        <v>250.7</v>
      </c>
      <c r="R37" s="6" t="n">
        <v>28.12</v>
      </c>
      <c r="S37" s="6" t="n">
        <f aca="false">SUM(P37:R37)</f>
        <v>422</v>
      </c>
      <c r="T37" s="7" t="n">
        <f aca="false">(I37-S37)+T36</f>
        <v>3917.513</v>
      </c>
      <c r="U37" s="6" t="n">
        <v>8</v>
      </c>
      <c r="V37" s="6" t="n">
        <v>19.46</v>
      </c>
      <c r="W37" s="6" t="n">
        <f aca="false">N37+O37+S37+U37+V37</f>
        <v>449.46</v>
      </c>
      <c r="X37" s="6" t="n">
        <f aca="false">IF(L37&lt;0,L37*-1,0)</f>
        <v>0</v>
      </c>
      <c r="Y37" s="6" t="n">
        <f aca="false">W37+X37</f>
        <v>449.46</v>
      </c>
      <c r="Z37" s="11" t="n">
        <v>0</v>
      </c>
      <c r="AA37" s="12" t="n">
        <v>52</v>
      </c>
      <c r="AB37" s="12" t="n">
        <v>27</v>
      </c>
      <c r="AC37" s="13" t="n">
        <f aca="false">AC36+1</f>
        <v>28</v>
      </c>
      <c r="AD37" s="12"/>
      <c r="AF37" s="6"/>
    </row>
    <row r="38" customFormat="false" ht="11.1" hidden="false" customHeight="true" outlineLevel="0" collapsed="false">
      <c r="A38" s="13" t="n">
        <f aca="false">A37+1</f>
        <v>29</v>
      </c>
      <c r="B38" s="29" t="n">
        <v>6898.71</v>
      </c>
      <c r="C38" s="7" t="n">
        <v>278849</v>
      </c>
      <c r="D38" s="12" t="n">
        <f aca="false">C38-C37</f>
        <v>-292</v>
      </c>
      <c r="E38" s="7" t="n">
        <f aca="false">C38-152000</f>
        <v>126849</v>
      </c>
      <c r="F38" s="6" t="n">
        <f aca="false">D38/$D$2</f>
        <v>-147.214519788253</v>
      </c>
      <c r="G38" s="6" t="n">
        <v>349.14</v>
      </c>
      <c r="H38" s="8" t="n">
        <v>0</v>
      </c>
      <c r="I38" s="6" t="n">
        <f aca="false">G38+H38</f>
        <v>349.14</v>
      </c>
      <c r="J38" s="106" t="n">
        <f aca="false">IF(L38&gt;0,L38,0)</f>
        <v>0</v>
      </c>
      <c r="K38" s="6" t="n">
        <f aca="false">I38+J38</f>
        <v>349.14</v>
      </c>
      <c r="L38" s="6" t="n">
        <f aca="false">F38-(I38-W38)</f>
        <v>-40.7645197882531</v>
      </c>
      <c r="M38" s="6" t="n">
        <v>142.96</v>
      </c>
      <c r="N38" s="6" t="n">
        <v>0</v>
      </c>
      <c r="O38" s="6" t="n">
        <v>0</v>
      </c>
      <c r="P38" s="6" t="n">
        <f aca="false">M38-(N38+O38)</f>
        <v>142.96</v>
      </c>
      <c r="Q38" s="6" t="n">
        <v>250.01</v>
      </c>
      <c r="R38" s="6" t="n">
        <v>30.03</v>
      </c>
      <c r="S38" s="6" t="n">
        <f aca="false">SUM(P38:R38)</f>
        <v>423</v>
      </c>
      <c r="T38" s="7" t="n">
        <f aca="false">(I38-S38)+T37</f>
        <v>3843.653</v>
      </c>
      <c r="U38" s="6" t="n">
        <v>13</v>
      </c>
      <c r="V38" s="6" t="n">
        <v>19.59</v>
      </c>
      <c r="W38" s="6" t="n">
        <f aca="false">N38+O38+S38+U38+V38</f>
        <v>455.59</v>
      </c>
      <c r="X38" s="6" t="n">
        <f aca="false">IF(L38&lt;0,L38*-1,0)</f>
        <v>40.7645197882531</v>
      </c>
      <c r="Y38" s="6" t="n">
        <f aca="false">W38+X38</f>
        <v>496.354519788253</v>
      </c>
      <c r="Z38" s="11" t="n">
        <v>0.21</v>
      </c>
      <c r="AA38" s="39" t="n">
        <v>46</v>
      </c>
      <c r="AB38" s="12" t="n">
        <v>28</v>
      </c>
      <c r="AC38" s="13" t="n">
        <f aca="false">AC37+1</f>
        <v>29</v>
      </c>
      <c r="AD38" s="12"/>
      <c r="AF38" s="6"/>
    </row>
    <row r="39" customFormat="false" ht="11.1" hidden="false" customHeight="true" outlineLevel="0" collapsed="false">
      <c r="A39" s="13" t="n">
        <v>30</v>
      </c>
      <c r="B39" s="29" t="n">
        <v>6898.67</v>
      </c>
      <c r="C39" s="7" t="n">
        <v>278703</v>
      </c>
      <c r="D39" s="12" t="n">
        <f aca="false">C39-C38</f>
        <v>-146</v>
      </c>
      <c r="E39" s="7" t="n">
        <f aca="false">C39-152000</f>
        <v>126703</v>
      </c>
      <c r="F39" s="6" t="n">
        <f aca="false">D39/$D$2</f>
        <v>-73.6072598941265</v>
      </c>
      <c r="G39" s="6" t="n">
        <v>318.99</v>
      </c>
      <c r="H39" s="8" t="n">
        <v>50.03</v>
      </c>
      <c r="I39" s="6" t="n">
        <f aca="false">G39+H39</f>
        <v>369.02</v>
      </c>
      <c r="J39" s="106" t="n">
        <f aca="false">IF(L39&gt;0,L39,0)</f>
        <v>0.0227401058734529</v>
      </c>
      <c r="K39" s="6" t="n">
        <f aca="false">I39+J39</f>
        <v>369.042740105873</v>
      </c>
      <c r="L39" s="6" t="n">
        <f aca="false">F39-(I39-W39)</f>
        <v>0.0227401058734529</v>
      </c>
      <c r="M39" s="6" t="n">
        <v>142.86</v>
      </c>
      <c r="N39" s="6" t="n">
        <v>0</v>
      </c>
      <c r="O39" s="6" t="n">
        <v>0</v>
      </c>
      <c r="P39" s="6" t="n">
        <f aca="false">M39-(N39+O39)</f>
        <v>142.86</v>
      </c>
      <c r="Q39" s="6" t="n">
        <v>250</v>
      </c>
      <c r="R39" s="6" t="n">
        <v>30.14</v>
      </c>
      <c r="S39" s="6" t="n">
        <f aca="false">SUM(P39:R39)</f>
        <v>423</v>
      </c>
      <c r="T39" s="7" t="n">
        <f aca="false">(I39-S39)+T38</f>
        <v>3789.673</v>
      </c>
      <c r="U39" s="6" t="n">
        <v>0</v>
      </c>
      <c r="V39" s="6" t="n">
        <v>19.65</v>
      </c>
      <c r="W39" s="6" t="n">
        <f aca="false">N39+O39+S39+U39+V39</f>
        <v>442.65</v>
      </c>
      <c r="X39" s="6" t="n">
        <f aca="false">IF(L39&lt;0,L39*-1,0)</f>
        <v>0</v>
      </c>
      <c r="Y39" s="6" t="n">
        <f aca="false">W39+X39</f>
        <v>442.65</v>
      </c>
      <c r="Z39" s="11" t="n">
        <v>0.34</v>
      </c>
      <c r="AA39" s="39" t="n">
        <v>46</v>
      </c>
      <c r="AB39" s="12" t="n">
        <v>28</v>
      </c>
      <c r="AC39" s="13" t="n">
        <v>30</v>
      </c>
      <c r="AD39" s="12"/>
      <c r="AF39" s="6"/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  <c r="AD40" s="104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2799.59667254853</v>
      </c>
      <c r="G41" s="7" t="n">
        <f aca="false">SUM(G10:G39)</f>
        <v>5884.77</v>
      </c>
      <c r="H41" s="7" t="n">
        <f aca="false">SUM(H10:H39)</f>
        <v>812.073</v>
      </c>
      <c r="I41" s="7" t="n">
        <f aca="false">SUM(I10:I39)</f>
        <v>6696.843</v>
      </c>
      <c r="J41" s="7" t="n">
        <f aca="false">SUM(J10:J39)</f>
        <v>0.091489790773835</v>
      </c>
      <c r="K41" s="7" t="n">
        <f aca="false">SUM(K10:K39)</f>
        <v>6696.93448979077</v>
      </c>
      <c r="L41" s="7" t="n">
        <f aca="false">SUM(L10:L39)</f>
        <v>-218.326327451475</v>
      </c>
      <c r="M41" s="7" t="n">
        <f aca="false">SUM(M10:M39)</f>
        <v>1746.08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1746.08</v>
      </c>
      <c r="Q41" s="7" t="n">
        <f aca="false">SUM(Q10:Q39)</f>
        <v>905.34</v>
      </c>
      <c r="R41" s="7" t="n">
        <f aca="false">SUM(R10:R39)</f>
        <v>255.75</v>
      </c>
      <c r="S41" s="7" t="n">
        <f aca="false">SUM(S10:S39)</f>
        <v>2907.17</v>
      </c>
      <c r="T41" s="7"/>
      <c r="U41" s="7" t="n">
        <f aca="false">SUM(U10:U39)</f>
        <v>162</v>
      </c>
      <c r="V41" s="7" t="n">
        <f aca="false">SUM(V10:V39)</f>
        <v>609.75</v>
      </c>
      <c r="W41" s="7" t="n">
        <f aca="false">SUM(W10:W39)</f>
        <v>3678.92</v>
      </c>
      <c r="X41" s="7" t="n">
        <f aca="false">SUM(X10:X39)</f>
        <v>218.417817242248</v>
      </c>
      <c r="Y41" s="7" t="n">
        <f aca="false">SUM(Y10:Y39)</f>
        <v>3897.33781724225</v>
      </c>
      <c r="Z41" s="11" t="n">
        <f aca="false">SUM(Z10:Z39)</f>
        <v>2.61</v>
      </c>
      <c r="AA41" s="12" t="n">
        <f aca="false">AVERAGE(AA10:AA39)</f>
        <v>56.7</v>
      </c>
      <c r="AB41" s="12" t="n">
        <f aca="false">AVERAGE(AB10:AB39)</f>
        <v>30.0666666666667</v>
      </c>
      <c r="AC41" s="13" t="s">
        <v>45</v>
      </c>
      <c r="AD41" s="104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5553</v>
      </c>
      <c r="E42" s="7"/>
      <c r="F42" s="7" t="n">
        <f aca="false">F41*$D$2</f>
        <v>5553</v>
      </c>
      <c r="G42" s="7" t="n">
        <f aca="false">G41*$D$2</f>
        <v>11672.441295</v>
      </c>
      <c r="H42" s="7" t="n">
        <f aca="false">H41*$D$2</f>
        <v>1610.7467955</v>
      </c>
      <c r="I42" s="7" t="n">
        <f aca="false">I41*$D$2</f>
        <v>13283.1880905</v>
      </c>
      <c r="J42" s="7" t="n">
        <f aca="false">J41*$D$2</f>
        <v>0.181469999999902</v>
      </c>
      <c r="K42" s="7" t="n">
        <f aca="false">K41*$D$2</f>
        <v>13283.3695605</v>
      </c>
      <c r="L42" s="7" t="n">
        <f aca="false">L41*$D$2</f>
        <v>-433.0502705</v>
      </c>
      <c r="M42" s="7" t="n">
        <f aca="false">M41*$D$2</f>
        <v>3463.34968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3463.34968</v>
      </c>
      <c r="Q42" s="7" t="n">
        <f aca="false">Q41*$D$2</f>
        <v>1795.74189</v>
      </c>
      <c r="R42" s="7" t="n">
        <f aca="false">R41*$D$2</f>
        <v>507.280125</v>
      </c>
      <c r="S42" s="7" t="n">
        <f aca="false">S41*$D$2</f>
        <v>5766.371695</v>
      </c>
      <c r="T42" s="7"/>
      <c r="U42" s="7" t="n">
        <f aca="false">U41*$D$2</f>
        <v>321.327</v>
      </c>
      <c r="V42" s="7" t="n">
        <f aca="false">V41*$D$2</f>
        <v>1209.439125</v>
      </c>
      <c r="W42" s="7" t="n">
        <f aca="false">W41*$D$2</f>
        <v>7297.13782</v>
      </c>
      <c r="X42" s="7" t="n">
        <f aca="false">X41*$D$2</f>
        <v>433.2317405</v>
      </c>
      <c r="Y42" s="7" t="n">
        <f aca="false">Y41*$D$2</f>
        <v>7730.3695605</v>
      </c>
      <c r="Z42" s="11"/>
      <c r="AA42" s="12" t="n">
        <f aca="false">MAX(AA10:AA39)</f>
        <v>68</v>
      </c>
      <c r="AB42" s="12" t="n">
        <f aca="false">MAX(AB10:AB39)</f>
        <v>39</v>
      </c>
      <c r="AC42" s="13" t="s">
        <v>47</v>
      </c>
      <c r="AD42" s="104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  <c r="AD43" s="104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2799.59667254853</v>
      </c>
      <c r="G44" s="7" t="n">
        <f aca="false">G7+G41</f>
        <v>5884.77</v>
      </c>
      <c r="H44" s="12" t="n">
        <f aca="false">H7+H41</f>
        <v>812.073</v>
      </c>
      <c r="I44" s="7" t="n">
        <f aca="false">I7+I41</f>
        <v>6696.843</v>
      </c>
      <c r="J44" s="7" t="n">
        <f aca="false">J7+J41</f>
        <v>0.091489790773835</v>
      </c>
      <c r="K44" s="7" t="n">
        <f aca="false">K7+K41</f>
        <v>6696.93448979077</v>
      </c>
      <c r="L44" s="7" t="n">
        <f aca="false">L7+L41</f>
        <v>-218.326327451475</v>
      </c>
      <c r="M44" s="7" t="n">
        <f aca="false">M7+M41</f>
        <v>1746.08</v>
      </c>
      <c r="N44" s="7" t="n">
        <f aca="false">N7+N41</f>
        <v>0</v>
      </c>
      <c r="O44" s="7" t="n">
        <f aca="false">O7+O41</f>
        <v>0</v>
      </c>
      <c r="P44" s="7" t="n">
        <f aca="false">P7+P41</f>
        <v>1746.08</v>
      </c>
      <c r="Q44" s="7" t="n">
        <f aca="false">Q7+Q41</f>
        <v>905.34</v>
      </c>
      <c r="R44" s="7" t="n">
        <f aca="false">R7+R41</f>
        <v>255.75</v>
      </c>
      <c r="S44" s="7" t="n">
        <f aca="false">S7+S41</f>
        <v>2907.17</v>
      </c>
      <c r="T44" s="7" t="n">
        <f aca="false">T39</f>
        <v>3789.673</v>
      </c>
      <c r="U44" s="7" t="n">
        <f aca="false">U7+U41</f>
        <v>162</v>
      </c>
      <c r="V44" s="7" t="n">
        <f aca="false">V7+V41</f>
        <v>609.75</v>
      </c>
      <c r="W44" s="7" t="n">
        <f aca="false">W7+W41</f>
        <v>3678.92</v>
      </c>
      <c r="X44" s="7" t="n">
        <f aca="false">X7+X41</f>
        <v>218.417817242248</v>
      </c>
      <c r="Y44" s="7" t="n">
        <f aca="false">Y7+Y41</f>
        <v>3897.33781724225</v>
      </c>
      <c r="Z44" s="11"/>
      <c r="AA44" s="12" t="n">
        <f aca="false">MIN(AA10:AA39)</f>
        <v>46</v>
      </c>
      <c r="AB44" s="12" t="n">
        <f aca="false">MIN(AB10:AB39)</f>
        <v>24</v>
      </c>
      <c r="AC44" s="13" t="s">
        <v>49</v>
      </c>
      <c r="AD44" s="104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5553</v>
      </c>
      <c r="G45" s="7" t="n">
        <f aca="false">G44*$D$2</f>
        <v>11672.441295</v>
      </c>
      <c r="H45" s="12" t="n">
        <f aca="false">H44*$D$2</f>
        <v>1610.7467955</v>
      </c>
      <c r="I45" s="7" t="n">
        <f aca="false">I44*$D$2</f>
        <v>13283.1880905</v>
      </c>
      <c r="J45" s="7" t="n">
        <f aca="false">J44*$D$2</f>
        <v>0.181469999999902</v>
      </c>
      <c r="K45" s="7" t="n">
        <f aca="false">K44*$D$2</f>
        <v>13283.3695605</v>
      </c>
      <c r="L45" s="7" t="n">
        <f aca="false">L44*$D$2</f>
        <v>-433.0502705</v>
      </c>
      <c r="M45" s="7" t="n">
        <f aca="false">M44*$D$2</f>
        <v>3463.34968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3463.34968</v>
      </c>
      <c r="Q45" s="7" t="n">
        <f aca="false">Q44*$D$2</f>
        <v>1795.74189</v>
      </c>
      <c r="R45" s="7" t="n">
        <f aca="false">R44*$D$2</f>
        <v>507.280125</v>
      </c>
      <c r="S45" s="7" t="n">
        <f aca="false">S44*$D$2</f>
        <v>5766.371695</v>
      </c>
      <c r="T45" s="7" t="n">
        <f aca="false">T44*$D$2</f>
        <v>7516.8163955</v>
      </c>
      <c r="U45" s="7" t="n">
        <f aca="false">U44*$D$2</f>
        <v>321.327</v>
      </c>
      <c r="V45" s="7" t="n">
        <f aca="false">V44*$D$2</f>
        <v>1209.439125</v>
      </c>
      <c r="W45" s="7" t="n">
        <f aca="false">W44*$D$2</f>
        <v>7297.13782</v>
      </c>
      <c r="X45" s="7" t="n">
        <f aca="false">X44*$D$2</f>
        <v>433.2317405</v>
      </c>
      <c r="Y45" s="7" t="n">
        <f aca="false">Y44*$D$2</f>
        <v>7730.3695605</v>
      </c>
      <c r="Z45" s="11"/>
      <c r="AA45" s="12"/>
      <c r="AB45" s="12"/>
      <c r="AC45" s="13"/>
      <c r="AD45" s="104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  <c r="AD46" s="104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-8964.96092765314</v>
      </c>
      <c r="G47" s="7" t="n">
        <f aca="false">G8+G41</f>
        <v>11010.926</v>
      </c>
      <c r="H47" s="12" t="n">
        <f aca="false">H8+H41</f>
        <v>812.073</v>
      </c>
      <c r="I47" s="7" t="n">
        <f aca="false">I8+I41</f>
        <v>12229.489</v>
      </c>
      <c r="J47" s="7" t="n">
        <f aca="false">J8+J41</f>
        <v>344.999243256869</v>
      </c>
      <c r="K47" s="7" t="n">
        <f aca="false">K8+K41</f>
        <v>12500.9027630451</v>
      </c>
      <c r="L47" s="7" t="n">
        <f aca="false">L8+L41</f>
        <v>-1437.79992765314</v>
      </c>
      <c r="M47" s="7" t="n">
        <f aca="false">M8+M41</f>
        <v>3147.72</v>
      </c>
      <c r="N47" s="7" t="n">
        <f aca="false">N8+N41</f>
        <v>0.08</v>
      </c>
      <c r="O47" s="7" t="n">
        <f aca="false">O8+O41</f>
        <v>0</v>
      </c>
      <c r="P47" s="7" t="n">
        <f aca="false">P8+P41</f>
        <v>3147.64</v>
      </c>
      <c r="Q47" s="7" t="n">
        <f aca="false">Q8+Q41</f>
        <v>5429.78</v>
      </c>
      <c r="R47" s="7" t="n">
        <f aca="false">R8+R41</f>
        <v>309.37</v>
      </c>
      <c r="S47" s="7" t="n">
        <f aca="false">S8+S41</f>
        <v>8886.79</v>
      </c>
      <c r="T47" s="7"/>
      <c r="U47" s="7" t="n">
        <f aca="false">U8+U41</f>
        <v>162</v>
      </c>
      <c r="V47" s="7" t="n">
        <f aca="false">V8+V41</f>
        <v>10707.78</v>
      </c>
      <c r="W47" s="7" t="n">
        <f aca="false">W8+W41</f>
        <v>19756.65</v>
      </c>
      <c r="X47" s="7" t="n">
        <f aca="false">X8+X41</f>
        <v>1782.79917091001</v>
      </c>
      <c r="Y47" s="7" t="n">
        <f aca="false">Y8+Y41</f>
        <v>21539.44917091</v>
      </c>
      <c r="Z47" s="11" t="n">
        <f aca="false">Z8+Z41</f>
        <v>9.01</v>
      </c>
      <c r="AA47" s="12"/>
      <c r="AB47" s="12"/>
      <c r="AC47" s="13"/>
      <c r="AD47" s="104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-17782</v>
      </c>
      <c r="E48" s="7" t="n">
        <f aca="false">E39</f>
        <v>126703</v>
      </c>
      <c r="F48" s="7" t="n">
        <f aca="false">F47*$D$2</f>
        <v>-17782</v>
      </c>
      <c r="G48" s="7" t="n">
        <f aca="false">G47*$D$2</f>
        <v>21840.171721</v>
      </c>
      <c r="H48" s="12" t="n">
        <f aca="false">H47*$D$2</f>
        <v>1610.7467955</v>
      </c>
      <c r="I48" s="7" t="n">
        <f aca="false">I47*$D$2</f>
        <v>24257.1914315</v>
      </c>
      <c r="J48" s="7" t="n">
        <f aca="false">J47*$D$2</f>
        <v>684.305999</v>
      </c>
      <c r="K48" s="7" t="n">
        <f aca="false">K47*$D$2</f>
        <v>24795.5406305</v>
      </c>
      <c r="L48" s="7" t="n">
        <f aca="false">L47*$D$2</f>
        <v>-2851.8761565</v>
      </c>
      <c r="M48" s="7" t="n">
        <f aca="false">M47*$D$2</f>
        <v>6243.50262</v>
      </c>
      <c r="N48" s="7" t="n">
        <f aca="false">N47*$D$2</f>
        <v>0.15868</v>
      </c>
      <c r="O48" s="7" t="n">
        <f aca="false">O47*$D$2</f>
        <v>0</v>
      </c>
      <c r="P48" s="7" t="n">
        <f aca="false">P47*$D$2</f>
        <v>6243.34394</v>
      </c>
      <c r="Q48" s="7" t="n">
        <f aca="false">Q47*$D$2</f>
        <v>10769.96863</v>
      </c>
      <c r="R48" s="7" t="n">
        <f aca="false">R47*$D$2</f>
        <v>613.635395</v>
      </c>
      <c r="S48" s="7" t="n">
        <f aca="false">S47*$D$2</f>
        <v>17626.947965</v>
      </c>
      <c r="T48" s="7" t="n">
        <f aca="false">T47*$D$2</f>
        <v>0</v>
      </c>
      <c r="U48" s="7" t="n">
        <f aca="false">U47*$D$2</f>
        <v>321.327</v>
      </c>
      <c r="V48" s="7" t="n">
        <f aca="false">V47*$D$2</f>
        <v>21238.88163</v>
      </c>
      <c r="W48" s="7" t="n">
        <f aca="false">W47*$D$2</f>
        <v>39187.315275</v>
      </c>
      <c r="X48" s="7" t="n">
        <f aca="false">X47*$D$2</f>
        <v>3536.1821555</v>
      </c>
      <c r="Y48" s="7" t="n">
        <f aca="false">Y47*$D$2</f>
        <v>42723.4974305</v>
      </c>
      <c r="Z48" s="11"/>
      <c r="AA48" s="12"/>
      <c r="AB48" s="12"/>
      <c r="AC48" s="13"/>
      <c r="AD48" s="104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  <c r="AD49" s="104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3" activePane="bottomRight" state="frozen"/>
      <selection pane="topLeft" activeCell="A1" activeCellId="0" sqref="A1"/>
      <selection pane="topRight" activeCell="B1" activeCellId="0" sqref="B1"/>
      <selection pane="bottomLeft" activeCell="A23" activeCellId="0" sqref="A23"/>
      <selection pane="bottomRight" activeCell="AD1" activeCellId="0" sqref="AD1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7.1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8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82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32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5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5"/>
      <c r="I2" s="51"/>
      <c r="J2" s="51"/>
      <c r="K2" s="60" t="s">
        <v>65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5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07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</row>
    <row r="5" customFormat="false" ht="11.1" hidden="false" customHeight="true" outlineLevel="0" collapsed="false">
      <c r="A5" s="67" t="s">
        <v>66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07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66</v>
      </c>
      <c r="AD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08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APR!F44</f>
        <v>2799.59667254853</v>
      </c>
      <c r="G7" s="52" t="n">
        <f aca="false">APR!G44</f>
        <v>5884.77</v>
      </c>
      <c r="H7" s="55" t="n">
        <f aca="false">APR!H44</f>
        <v>812.073</v>
      </c>
      <c r="I7" s="52" t="n">
        <f aca="false">APR!I44</f>
        <v>6696.843</v>
      </c>
      <c r="J7" s="52" t="n">
        <f aca="false">APR!J44</f>
        <v>0.091489790773835</v>
      </c>
      <c r="K7" s="52" t="n">
        <f aca="false">APR!K44</f>
        <v>6696.93448979077</v>
      </c>
      <c r="L7" s="52" t="n">
        <f aca="false">APR!L44</f>
        <v>-218.326327451475</v>
      </c>
      <c r="M7" s="52" t="n">
        <f aca="false">APR!M44</f>
        <v>1746.08</v>
      </c>
      <c r="N7" s="52" t="n">
        <f aca="false">APR!N44</f>
        <v>0</v>
      </c>
      <c r="O7" s="52" t="n">
        <f aca="false">APR!O44</f>
        <v>0</v>
      </c>
      <c r="P7" s="52" t="n">
        <f aca="false">APR!P44</f>
        <v>1746.08</v>
      </c>
      <c r="Q7" s="52" t="n">
        <f aca="false">APR!Q44</f>
        <v>905.34</v>
      </c>
      <c r="R7" s="52" t="n">
        <f aca="false">APR!R44</f>
        <v>255.75</v>
      </c>
      <c r="S7" s="52" t="n">
        <f aca="false">APR!S44</f>
        <v>2907.17</v>
      </c>
      <c r="T7" s="52" t="n">
        <f aca="false">APR!T44</f>
        <v>3789.673</v>
      </c>
      <c r="U7" s="52" t="n">
        <f aca="false">APR!U44</f>
        <v>162</v>
      </c>
      <c r="V7" s="52" t="n">
        <f aca="false">APR!V44</f>
        <v>609.75</v>
      </c>
      <c r="W7" s="52" t="n">
        <f aca="false">APR!W44</f>
        <v>3678.92</v>
      </c>
      <c r="X7" s="52" t="n">
        <f aca="false">APR!X44</f>
        <v>218.417817242248</v>
      </c>
      <c r="Y7" s="52" t="n">
        <f aca="false">APR!Y44</f>
        <v>3897.33781724225</v>
      </c>
      <c r="Z7" s="56"/>
      <c r="AA7" s="57"/>
      <c r="AB7" s="57"/>
      <c r="AC7" s="58"/>
      <c r="AD7" s="93"/>
      <c r="AE7" s="93"/>
    </row>
    <row r="8" s="45" customFormat="true" ht="11.1" hidden="false" customHeight="true" outlineLevel="0" collapsed="false">
      <c r="A8" s="52" t="s">
        <v>43</v>
      </c>
      <c r="B8" s="73" t="n">
        <f aca="false">APR!B39</f>
        <v>6898.67</v>
      </c>
      <c r="C8" s="52" t="n">
        <f aca="false">APR!C39</f>
        <v>278703</v>
      </c>
      <c r="D8" s="52" t="n">
        <f aca="false">APR!D48</f>
        <v>-17782</v>
      </c>
      <c r="E8" s="52" t="n">
        <f aca="false">APR!E48</f>
        <v>126703</v>
      </c>
      <c r="F8" s="52" t="n">
        <f aca="false">APR!F47</f>
        <v>-8964.96092765314</v>
      </c>
      <c r="G8" s="52" t="n">
        <f aca="false">APR!G47</f>
        <v>11010.926</v>
      </c>
      <c r="H8" s="55" t="n">
        <f aca="false">APR!H47</f>
        <v>812.073</v>
      </c>
      <c r="I8" s="52" t="n">
        <f aca="false">APR!I47</f>
        <v>12229.489</v>
      </c>
      <c r="J8" s="52" t="n">
        <f aca="false">APR!J47</f>
        <v>344.999243256869</v>
      </c>
      <c r="K8" s="52" t="n">
        <f aca="false">APR!K47</f>
        <v>12500.9027630451</v>
      </c>
      <c r="L8" s="52" t="n">
        <f aca="false">APR!L47</f>
        <v>-1437.79992765314</v>
      </c>
      <c r="M8" s="52" t="n">
        <f aca="false">APR!M47</f>
        <v>3147.72</v>
      </c>
      <c r="N8" s="52" t="n">
        <f aca="false">APR!N47</f>
        <v>0.08</v>
      </c>
      <c r="O8" s="52" t="n">
        <f aca="false">APR!O47</f>
        <v>0</v>
      </c>
      <c r="P8" s="52" t="n">
        <f aca="false">APR!P47</f>
        <v>3147.64</v>
      </c>
      <c r="Q8" s="52" t="n">
        <f aca="false">APR!Q47</f>
        <v>5429.78</v>
      </c>
      <c r="R8" s="52" t="n">
        <f aca="false">APR!R47</f>
        <v>309.37</v>
      </c>
      <c r="S8" s="52" t="n">
        <f aca="false">APR!S47</f>
        <v>8886.79</v>
      </c>
      <c r="T8" s="52" t="n">
        <f aca="false">APR!T47</f>
        <v>0</v>
      </c>
      <c r="U8" s="52" t="n">
        <f aca="false">APR!U47</f>
        <v>162</v>
      </c>
      <c r="V8" s="52" t="n">
        <f aca="false">APR!V47</f>
        <v>10707.78</v>
      </c>
      <c r="W8" s="52" t="n">
        <f aca="false">APR!W47</f>
        <v>19756.65</v>
      </c>
      <c r="X8" s="52" t="n">
        <f aca="false">APR!X47</f>
        <v>1782.79917091001</v>
      </c>
      <c r="Y8" s="52" t="n">
        <f aca="false">APR!Y47</f>
        <v>21539.44917091</v>
      </c>
      <c r="Z8" s="56" t="n">
        <f aca="false">APR!Z47</f>
        <v>9.01</v>
      </c>
      <c r="AA8" s="57"/>
      <c r="AB8" s="57"/>
      <c r="AC8" s="58"/>
      <c r="AD8" s="92"/>
      <c r="AE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3"/>
    </row>
    <row r="10" customFormat="false" ht="11.1" hidden="false" customHeight="true" outlineLevel="0" collapsed="false">
      <c r="A10" s="58" t="n">
        <v>1</v>
      </c>
      <c r="B10" s="73" t="n">
        <v>6898.71</v>
      </c>
      <c r="C10" s="52" t="n">
        <v>278849</v>
      </c>
      <c r="D10" s="57" t="n">
        <f aca="false">C10-C8</f>
        <v>146</v>
      </c>
      <c r="E10" s="52" t="n">
        <f aca="false">C10-152000</f>
        <v>126849</v>
      </c>
      <c r="F10" s="51" t="n">
        <f aca="false">D10/$D$2</f>
        <v>73.6072598941265</v>
      </c>
      <c r="G10" s="51" t="n">
        <v>289.46</v>
      </c>
      <c r="H10" s="55" t="n">
        <v>3.7</v>
      </c>
      <c r="I10" s="51" t="n">
        <f aca="false">G10+H10</f>
        <v>293.16</v>
      </c>
      <c r="J10" s="81" t="n">
        <f aca="false">IF(L10&gt;0,L10,0)</f>
        <v>166.187259894127</v>
      </c>
      <c r="K10" s="51" t="n">
        <f aca="false">I10+J10</f>
        <v>459.347259894127</v>
      </c>
      <c r="L10" s="51" t="n">
        <f aca="false">F10-(I10-W10)</f>
        <v>166.187259894127</v>
      </c>
      <c r="M10" s="51" t="n">
        <v>142.85</v>
      </c>
      <c r="N10" s="51" t="n">
        <v>0</v>
      </c>
      <c r="O10" s="51" t="n">
        <v>0</v>
      </c>
      <c r="P10" s="6" t="n">
        <f aca="false">M10-(N10+O10)</f>
        <v>142.85</v>
      </c>
      <c r="Q10" s="51" t="n">
        <v>197.42</v>
      </c>
      <c r="R10" s="51" t="n">
        <v>24.73</v>
      </c>
      <c r="S10" s="51" t="n">
        <f aca="false">SUM(P10:R10)</f>
        <v>365</v>
      </c>
      <c r="T10" s="52" t="n">
        <f aca="false">(I10-S10)+T7</f>
        <v>3717.833</v>
      </c>
      <c r="U10" s="51" t="n">
        <v>0</v>
      </c>
      <c r="V10" s="51" t="n">
        <v>20.74</v>
      </c>
      <c r="W10" s="6" t="n">
        <f aca="false">N10+O10+S10+U10+V10</f>
        <v>385.74</v>
      </c>
      <c r="X10" s="51" t="n">
        <f aca="false">IF(L10&lt;0,L10*-1,0)</f>
        <v>0</v>
      </c>
      <c r="Y10" s="51" t="n">
        <f aca="false">W10+X10</f>
        <v>385.74</v>
      </c>
      <c r="Z10" s="56" t="n">
        <v>0.38</v>
      </c>
      <c r="AA10" s="57" t="n">
        <v>46</v>
      </c>
      <c r="AB10" s="57" t="n">
        <v>30</v>
      </c>
      <c r="AC10" s="58" t="n">
        <v>1</v>
      </c>
      <c r="AD10" s="94"/>
      <c r="AE10" s="93"/>
    </row>
    <row r="11" customFormat="false" ht="11.1" hidden="false" customHeight="true" outlineLevel="0" collapsed="false">
      <c r="A11" s="58" t="n">
        <f aca="false">A10+1</f>
        <v>2</v>
      </c>
      <c r="B11" s="73" t="n">
        <v>6898.84</v>
      </c>
      <c r="C11" s="52" t="n">
        <v>279323</v>
      </c>
      <c r="D11" s="57" t="n">
        <f aca="false">C11-C10</f>
        <v>474</v>
      </c>
      <c r="E11" s="52" t="n">
        <f aca="false">C11-152000</f>
        <v>127323</v>
      </c>
      <c r="F11" s="51" t="n">
        <f aca="false">D11/$D$2</f>
        <v>238.97151499874</v>
      </c>
      <c r="G11" s="51" t="n">
        <v>304.46</v>
      </c>
      <c r="H11" s="55" t="n">
        <v>7.2</v>
      </c>
      <c r="I11" s="51" t="n">
        <f aca="false">G11+H11</f>
        <v>311.66</v>
      </c>
      <c r="J11" s="81" t="n">
        <f aca="false">IF(L11&gt;0,L11,0)</f>
        <v>90.2315149987397</v>
      </c>
      <c r="K11" s="51" t="n">
        <f aca="false">I11+J11</f>
        <v>401.89151499874</v>
      </c>
      <c r="L11" s="51" t="n">
        <f aca="false">F11-(I11-W11)</f>
        <v>90.2315149987397</v>
      </c>
      <c r="M11" s="51" t="n">
        <v>119.75</v>
      </c>
      <c r="N11" s="51" t="n">
        <v>0</v>
      </c>
      <c r="O11" s="51" t="n">
        <v>0</v>
      </c>
      <c r="P11" s="6" t="n">
        <f aca="false">M11-(N11+O11)</f>
        <v>119.75</v>
      </c>
      <c r="Q11" s="51" t="n">
        <v>0</v>
      </c>
      <c r="R11" s="51" t="n">
        <v>15.25</v>
      </c>
      <c r="S11" s="51" t="n">
        <f aca="false">SUM(P11:R11)</f>
        <v>135</v>
      </c>
      <c r="T11" s="52" t="n">
        <f aca="false">(I11-S11)+T10</f>
        <v>3894.493</v>
      </c>
      <c r="U11" s="51" t="n">
        <v>7</v>
      </c>
      <c r="V11" s="51" t="n">
        <v>20.92</v>
      </c>
      <c r="W11" s="6" t="n">
        <f aca="false">N11+O11+S11+U11+V11</f>
        <v>162.92</v>
      </c>
      <c r="X11" s="51" t="n">
        <f aca="false">IF(L11&lt;0,L11*-1,0)</f>
        <v>0</v>
      </c>
      <c r="Y11" s="51" t="n">
        <f aca="false">W11+X11</f>
        <v>162.92</v>
      </c>
      <c r="Z11" s="56" t="n">
        <v>0.073</v>
      </c>
      <c r="AA11" s="57" t="n">
        <v>51</v>
      </c>
      <c r="AB11" s="57" t="n">
        <v>33</v>
      </c>
      <c r="AC11" s="58" t="n">
        <f aca="false">AC10+1</f>
        <v>2</v>
      </c>
      <c r="AD11" s="94"/>
      <c r="AE11" s="93"/>
    </row>
    <row r="12" customFormat="false" ht="11.1" hidden="false" customHeight="true" outlineLevel="0" collapsed="false">
      <c r="A12" s="58" t="n">
        <f aca="false">A11+1</f>
        <v>3</v>
      </c>
      <c r="B12" s="73" t="n">
        <v>6898.96</v>
      </c>
      <c r="C12" s="52" t="n">
        <v>279761</v>
      </c>
      <c r="D12" s="57" t="n">
        <f aca="false">C12-C11</f>
        <v>438</v>
      </c>
      <c r="E12" s="52" t="n">
        <f aca="false">C12-152000</f>
        <v>127761</v>
      </c>
      <c r="F12" s="51" t="n">
        <f aca="false">D12/$D$2</f>
        <v>220.82177968238</v>
      </c>
      <c r="G12" s="51" t="n">
        <v>309.53</v>
      </c>
      <c r="H12" s="55" t="n">
        <v>5.4</v>
      </c>
      <c r="I12" s="51" t="n">
        <f aca="false">G12+H12</f>
        <v>314.93</v>
      </c>
      <c r="J12" s="81" t="n">
        <f aca="false">IF(L12&gt;0,L12,0)</f>
        <v>58.7817796823797</v>
      </c>
      <c r="K12" s="51" t="n">
        <f aca="false">I12+J12</f>
        <v>373.71177968238</v>
      </c>
      <c r="L12" s="51" t="n">
        <f aca="false">F12-(I12-W12)</f>
        <v>58.7817796823797</v>
      </c>
      <c r="M12" s="51" t="n">
        <v>105.23</v>
      </c>
      <c r="N12" s="51" t="n">
        <v>0</v>
      </c>
      <c r="O12" s="51" t="n">
        <v>0</v>
      </c>
      <c r="P12" s="6" t="n">
        <f aca="false">M12-(N12+O12)</f>
        <v>105.23</v>
      </c>
      <c r="Q12" s="51" t="n">
        <v>0</v>
      </c>
      <c r="R12" s="51" t="n">
        <v>16.77</v>
      </c>
      <c r="S12" s="51" t="n">
        <f aca="false">SUM(P12:R12)</f>
        <v>122</v>
      </c>
      <c r="T12" s="52" t="n">
        <f aca="false">(I12-S12)+T11</f>
        <v>4087.423</v>
      </c>
      <c r="U12" s="51" t="n">
        <v>10</v>
      </c>
      <c r="V12" s="51" t="n">
        <v>20.89</v>
      </c>
      <c r="W12" s="6" t="n">
        <f aca="false">N12+O12+S12+U12+V12</f>
        <v>152.89</v>
      </c>
      <c r="X12" s="51" t="n">
        <f aca="false">IF(L12&lt;0,L12*-1,0)</f>
        <v>0</v>
      </c>
      <c r="Y12" s="51" t="n">
        <f aca="false">W12+X12</f>
        <v>152.89</v>
      </c>
      <c r="Z12" s="56" t="n">
        <v>0</v>
      </c>
      <c r="AA12" s="57" t="n">
        <v>62</v>
      </c>
      <c r="AB12" s="57" t="n">
        <v>32</v>
      </c>
      <c r="AC12" s="58" t="n">
        <f aca="false">AC11+1</f>
        <v>3</v>
      </c>
      <c r="AD12" s="94"/>
      <c r="AE12" s="93"/>
    </row>
    <row r="13" customFormat="false" ht="11.1" hidden="false" customHeight="true" outlineLevel="0" collapsed="false">
      <c r="A13" s="58" t="n">
        <f aca="false">A12+1</f>
        <v>4</v>
      </c>
      <c r="B13" s="73" t="n">
        <v>6899.13</v>
      </c>
      <c r="C13" s="52" t="n">
        <v>280384</v>
      </c>
      <c r="D13" s="57" t="n">
        <f aca="false">C13-C12</f>
        <v>623</v>
      </c>
      <c r="E13" s="52" t="n">
        <f aca="false">C13-152000</f>
        <v>128384</v>
      </c>
      <c r="F13" s="51" t="n">
        <f aca="false">D13/$D$2</f>
        <v>314.091252835896</v>
      </c>
      <c r="G13" s="51" t="n">
        <v>379.94</v>
      </c>
      <c r="H13" s="55" t="n">
        <v>27</v>
      </c>
      <c r="I13" s="51" t="n">
        <f aca="false">G13+H13</f>
        <v>406.94</v>
      </c>
      <c r="J13" s="81" t="n">
        <f aca="false">IF(L13&gt;0,L13,0)</f>
        <v>70.5612528358961</v>
      </c>
      <c r="K13" s="51" t="n">
        <f aca="false">I13+J13</f>
        <v>477.501252835896</v>
      </c>
      <c r="L13" s="51" t="n">
        <f aca="false">F13-(I13-W13)</f>
        <v>70.5612528358961</v>
      </c>
      <c r="M13" s="51" t="n">
        <v>105.31</v>
      </c>
      <c r="N13" s="51" t="n">
        <v>0</v>
      </c>
      <c r="O13" s="51" t="n">
        <v>0</v>
      </c>
      <c r="P13" s="6" t="n">
        <f aca="false">M13-(N13+O13)</f>
        <v>105.31</v>
      </c>
      <c r="Q13" s="51" t="n">
        <v>0</v>
      </c>
      <c r="R13" s="51" t="n">
        <v>26.69</v>
      </c>
      <c r="S13" s="51" t="n">
        <f aca="false">SUM(P13:R13)</f>
        <v>132</v>
      </c>
      <c r="T13" s="52" t="n">
        <f aca="false">(I13-S13)+T12</f>
        <v>4362.363</v>
      </c>
      <c r="U13" s="51" t="n">
        <v>11</v>
      </c>
      <c r="V13" s="51" t="n">
        <v>20.41</v>
      </c>
      <c r="W13" s="6" t="n">
        <f aca="false">N13+O13+S13+U13+V13</f>
        <v>163.41</v>
      </c>
      <c r="X13" s="51" t="n">
        <f aca="false">IF(L13&lt;0,L13*-1,0)</f>
        <v>0</v>
      </c>
      <c r="Y13" s="51" t="n">
        <f aca="false">W13+X13</f>
        <v>163.41</v>
      </c>
      <c r="Z13" s="56" t="n">
        <v>0</v>
      </c>
      <c r="AA13" s="57" t="n">
        <v>63</v>
      </c>
      <c r="AB13" s="57" t="n">
        <v>33</v>
      </c>
      <c r="AC13" s="58" t="n">
        <f aca="false">AC12+1</f>
        <v>4</v>
      </c>
      <c r="AD13" s="94"/>
      <c r="AE13" s="93"/>
    </row>
    <row r="14" customFormat="false" ht="11.1" hidden="false" customHeight="true" outlineLevel="0" collapsed="false">
      <c r="A14" s="58" t="n">
        <f aca="false">A13+1</f>
        <v>5</v>
      </c>
      <c r="B14" s="73" t="n">
        <v>6899.3</v>
      </c>
      <c r="C14" s="52" t="n">
        <v>281008</v>
      </c>
      <c r="D14" s="57" t="n">
        <f aca="false">C14-C13</f>
        <v>624</v>
      </c>
      <c r="E14" s="52" t="n">
        <f aca="false">C14-152000</f>
        <v>129008</v>
      </c>
      <c r="F14" s="51" t="n">
        <f aca="false">D14/$D$2</f>
        <v>314.595412150239</v>
      </c>
      <c r="G14" s="51" t="n">
        <v>399.03</v>
      </c>
      <c r="H14" s="55" t="n">
        <v>31</v>
      </c>
      <c r="I14" s="51" t="n">
        <f aca="false">G14+H14</f>
        <v>430.03</v>
      </c>
      <c r="J14" s="81" t="n">
        <f aca="false">IF(L14&gt;0,L14,0)</f>
        <v>74.2654121502395</v>
      </c>
      <c r="K14" s="51" t="n">
        <f aca="false">I14+J14</f>
        <v>504.29541215024</v>
      </c>
      <c r="L14" s="51" t="n">
        <f aca="false">F14-(I14-W14)</f>
        <v>74.2654121502395</v>
      </c>
      <c r="M14" s="51" t="n">
        <v>107.4</v>
      </c>
      <c r="N14" s="51" t="n">
        <v>0</v>
      </c>
      <c r="O14" s="51" t="n">
        <v>0</v>
      </c>
      <c r="P14" s="6" t="n">
        <f aca="false">M14-(N14+O14)</f>
        <v>107.4</v>
      </c>
      <c r="Q14" s="51" t="n">
        <v>0</v>
      </c>
      <c r="R14" s="51" t="n">
        <v>29.6</v>
      </c>
      <c r="S14" s="51" t="n">
        <f aca="false">SUM(P14:R14)</f>
        <v>137</v>
      </c>
      <c r="T14" s="52" t="n">
        <f aca="false">(I14-S14)+T13</f>
        <v>4655.393</v>
      </c>
      <c r="U14" s="51" t="n">
        <v>33</v>
      </c>
      <c r="V14" s="51" t="n">
        <v>19.7</v>
      </c>
      <c r="W14" s="6" t="n">
        <f aca="false">N14+O14+S14+U14+V14</f>
        <v>189.7</v>
      </c>
      <c r="X14" s="51" t="n">
        <f aca="false">IF(L14&lt;0,L14*-1,0)</f>
        <v>0</v>
      </c>
      <c r="Y14" s="51" t="n">
        <f aca="false">W14+X14</f>
        <v>189.7</v>
      </c>
      <c r="Z14" s="56" t="n">
        <v>0</v>
      </c>
      <c r="AA14" s="57" t="n">
        <v>66</v>
      </c>
      <c r="AB14" s="57" t="n">
        <v>29</v>
      </c>
      <c r="AC14" s="58" t="n">
        <f aca="false">AC13+1</f>
        <v>5</v>
      </c>
      <c r="AD14" s="94"/>
      <c r="AE14" s="93"/>
    </row>
    <row r="15" customFormat="false" ht="11.1" hidden="false" customHeight="true" outlineLevel="0" collapsed="false">
      <c r="A15" s="58" t="n">
        <f aca="false">A14+1</f>
        <v>6</v>
      </c>
      <c r="B15" s="73" t="n">
        <v>6899.47</v>
      </c>
      <c r="C15" s="52" t="n">
        <v>281633</v>
      </c>
      <c r="D15" s="57" t="n">
        <f aca="false">C15-C14</f>
        <v>625</v>
      </c>
      <c r="E15" s="52" t="n">
        <f aca="false">C15-152000</f>
        <v>129633</v>
      </c>
      <c r="F15" s="51" t="n">
        <f aca="false">D15/$D$2</f>
        <v>315.099571464583</v>
      </c>
      <c r="G15" s="51" t="n">
        <v>450.97</v>
      </c>
      <c r="H15" s="55" t="n">
        <v>13</v>
      </c>
      <c r="I15" s="51" t="n">
        <f aca="false">G15+H15</f>
        <v>463.97</v>
      </c>
      <c r="J15" s="81" t="n">
        <f aca="false">IF(L15&gt;0,L15,0)</f>
        <v>51.8295714645828</v>
      </c>
      <c r="K15" s="51" t="n">
        <f aca="false">I15+J15</f>
        <v>515.799571464583</v>
      </c>
      <c r="L15" s="51" t="n">
        <f aca="false">F15-(I15-W15)</f>
        <v>51.8295714645828</v>
      </c>
      <c r="M15" s="51" t="n">
        <v>107.41</v>
      </c>
      <c r="N15" s="51" t="n">
        <v>0</v>
      </c>
      <c r="O15" s="51" t="n">
        <v>0</v>
      </c>
      <c r="P15" s="6" t="n">
        <f aca="false">M15-(N15+O15)</f>
        <v>107.41</v>
      </c>
      <c r="Q15" s="51" t="n">
        <v>0</v>
      </c>
      <c r="R15" s="51" t="n">
        <v>29.59</v>
      </c>
      <c r="S15" s="51" t="n">
        <f aca="false">SUM(P15:R15)</f>
        <v>137</v>
      </c>
      <c r="T15" s="52" t="n">
        <f aca="false">(I15-S15)+T14</f>
        <v>4982.363</v>
      </c>
      <c r="U15" s="51" t="n">
        <v>44</v>
      </c>
      <c r="V15" s="51" t="n">
        <v>19.7</v>
      </c>
      <c r="W15" s="6" t="n">
        <f aca="false">N15+O15+S15+U15+V15</f>
        <v>200.7</v>
      </c>
      <c r="X15" s="51" t="n">
        <f aca="false">IF(L15&lt;0,L15*-1,0)</f>
        <v>0</v>
      </c>
      <c r="Y15" s="51" t="n">
        <f aca="false">W15+X15</f>
        <v>200.7</v>
      </c>
      <c r="Z15" s="56" t="n">
        <v>0</v>
      </c>
      <c r="AA15" s="57" t="n">
        <v>68</v>
      </c>
      <c r="AB15" s="57" t="n">
        <v>34</v>
      </c>
      <c r="AC15" s="58" t="n">
        <f aca="false">AC14+1</f>
        <v>6</v>
      </c>
      <c r="AD15" s="94"/>
      <c r="AE15" s="93"/>
    </row>
    <row r="16" customFormat="false" ht="11.1" hidden="false" customHeight="true" outlineLevel="0" collapsed="false">
      <c r="A16" s="58" t="n">
        <f aca="false">A15+1</f>
        <v>7</v>
      </c>
      <c r="B16" s="73" t="n">
        <v>6899.69</v>
      </c>
      <c r="C16" s="52" t="n">
        <v>282441</v>
      </c>
      <c r="D16" s="57" t="n">
        <f aca="false">C16-C15</f>
        <v>808</v>
      </c>
      <c r="E16" s="52" t="n">
        <f aca="false">C16-152000</f>
        <v>130441</v>
      </c>
      <c r="F16" s="51" t="n">
        <f aca="false">D16/$D$2</f>
        <v>407.360725989413</v>
      </c>
      <c r="G16" s="51" t="n">
        <v>577.02</v>
      </c>
      <c r="H16" s="55" t="n">
        <v>20</v>
      </c>
      <c r="I16" s="51" t="n">
        <f aca="false">G16+H16</f>
        <v>597.02</v>
      </c>
      <c r="J16" s="81" t="n">
        <f aca="false">IF(L16&gt;0,L16,0)</f>
        <v>34.0407259894126</v>
      </c>
      <c r="K16" s="51" t="n">
        <f aca="false">I16+J16</f>
        <v>631.060725989413</v>
      </c>
      <c r="L16" s="51" t="n">
        <f aca="false">F16-(I16-W16)</f>
        <v>34.0407259894126</v>
      </c>
      <c r="M16" s="51" t="n">
        <v>113.35</v>
      </c>
      <c r="N16" s="51" t="n">
        <v>0</v>
      </c>
      <c r="O16" s="51" t="n">
        <v>0</v>
      </c>
      <c r="P16" s="6" t="n">
        <f aca="false">M16-(N16+O16)</f>
        <v>113.35</v>
      </c>
      <c r="Q16" s="51" t="n">
        <v>0</v>
      </c>
      <c r="R16" s="51" t="n">
        <v>31.65</v>
      </c>
      <c r="S16" s="51" t="n">
        <f aca="false">SUM(P16:R16)</f>
        <v>145</v>
      </c>
      <c r="T16" s="52" t="n">
        <f aca="false">(I16-S16)+T15</f>
        <v>5434.383</v>
      </c>
      <c r="U16" s="51" t="n">
        <v>59</v>
      </c>
      <c r="V16" s="51" t="n">
        <v>19.7</v>
      </c>
      <c r="W16" s="6" t="n">
        <f aca="false">N16+O16+S16+U16+V16</f>
        <v>223.7</v>
      </c>
      <c r="X16" s="51" t="n">
        <f aca="false">IF(L16&lt;0,L16*-1,0)</f>
        <v>0</v>
      </c>
      <c r="Y16" s="51" t="n">
        <f aca="false">W16+X16</f>
        <v>223.7</v>
      </c>
      <c r="Z16" s="56" t="n">
        <v>0</v>
      </c>
      <c r="AA16" s="57" t="n">
        <v>66</v>
      </c>
      <c r="AB16" s="57" t="n">
        <v>38</v>
      </c>
      <c r="AC16" s="58" t="n">
        <f aca="false">AC15+1</f>
        <v>7</v>
      </c>
      <c r="AD16" s="94"/>
      <c r="AE16" s="93"/>
    </row>
    <row r="17" customFormat="false" ht="11.1" hidden="false" customHeight="true" outlineLevel="0" collapsed="false">
      <c r="A17" s="58" t="n">
        <f aca="false">A16+1</f>
        <v>8</v>
      </c>
      <c r="B17" s="73" t="n">
        <v>6899.95</v>
      </c>
      <c r="C17" s="52" t="n">
        <v>283396</v>
      </c>
      <c r="D17" s="57" t="n">
        <f aca="false">C17-C16</f>
        <v>955</v>
      </c>
      <c r="E17" s="52" t="n">
        <f aca="false">C17-152000</f>
        <v>131396</v>
      </c>
      <c r="F17" s="51" t="n">
        <f aca="false">D17/$D$2</f>
        <v>481.472145197883</v>
      </c>
      <c r="G17" s="51" t="n">
        <v>697.31</v>
      </c>
      <c r="H17" s="55" t="n">
        <v>35</v>
      </c>
      <c r="I17" s="51" t="n">
        <f aca="false">G17+H17</f>
        <v>732.31</v>
      </c>
      <c r="J17" s="81" t="n">
        <f aca="false">IF(L17&gt;0,L17,0)</f>
        <v>49.8621451978826</v>
      </c>
      <c r="K17" s="51" t="n">
        <f aca="false">I17+J17</f>
        <v>782.172145197883</v>
      </c>
      <c r="L17" s="51" t="n">
        <f aca="false">F17-(I17-W17)</f>
        <v>49.8621451978826</v>
      </c>
      <c r="M17" s="51" t="n">
        <v>148.8</v>
      </c>
      <c r="N17" s="51" t="n">
        <v>0</v>
      </c>
      <c r="O17" s="51" t="n">
        <v>0</v>
      </c>
      <c r="P17" s="6" t="n">
        <f aca="false">M17-(N17+O17)</f>
        <v>148.8</v>
      </c>
      <c r="Q17" s="51" t="n">
        <v>0</v>
      </c>
      <c r="R17" s="51" t="n">
        <v>55.2</v>
      </c>
      <c r="S17" s="51" t="n">
        <f aca="false">SUM(P17:R17)</f>
        <v>204</v>
      </c>
      <c r="T17" s="52" t="n">
        <f aca="false">(I17-S17)+T16</f>
        <v>5962.693</v>
      </c>
      <c r="U17" s="51" t="n">
        <v>77</v>
      </c>
      <c r="V17" s="51" t="n">
        <v>19.7</v>
      </c>
      <c r="W17" s="6" t="n">
        <f aca="false">N17+O17+S17+U17+V17</f>
        <v>300.7</v>
      </c>
      <c r="X17" s="51" t="n">
        <f aca="false">IF(L17&lt;0,L17*-1,0)</f>
        <v>0</v>
      </c>
      <c r="Y17" s="51" t="n">
        <f aca="false">W17+X17</f>
        <v>300.7</v>
      </c>
      <c r="Z17" s="56" t="n">
        <v>0</v>
      </c>
      <c r="AA17" s="57" t="n">
        <v>66</v>
      </c>
      <c r="AB17" s="57" t="n">
        <v>35</v>
      </c>
      <c r="AC17" s="58" t="n">
        <f aca="false">AC16+1</f>
        <v>8</v>
      </c>
      <c r="AD17" s="94"/>
      <c r="AE17" s="93"/>
    </row>
    <row r="18" customFormat="false" ht="11.1" hidden="false" customHeight="true" outlineLevel="0" collapsed="false">
      <c r="A18" s="58" t="n">
        <f aca="false">A17+1</f>
        <v>9</v>
      </c>
      <c r="B18" s="73" t="n">
        <v>6900.14</v>
      </c>
      <c r="C18" s="52" t="n">
        <v>284098</v>
      </c>
      <c r="D18" s="57" t="n">
        <f aca="false">C18-C17</f>
        <v>702</v>
      </c>
      <c r="E18" s="52" t="n">
        <f aca="false">C18-152000</f>
        <v>132098</v>
      </c>
      <c r="F18" s="51" t="n">
        <f aca="false">D18/$D$2</f>
        <v>353.919838669019</v>
      </c>
      <c r="G18" s="51" t="n">
        <v>724.65</v>
      </c>
      <c r="H18" s="55" t="n">
        <v>20</v>
      </c>
      <c r="I18" s="51" t="n">
        <f aca="false">G18+H18</f>
        <v>744.65</v>
      </c>
      <c r="J18" s="81" t="n">
        <f aca="false">IF(L18&gt;0,L18,0)</f>
        <v>0</v>
      </c>
      <c r="K18" s="51" t="n">
        <f aca="false">I18+J18</f>
        <v>744.65</v>
      </c>
      <c r="L18" s="51" t="n">
        <f aca="false">F18-(I18-W18)</f>
        <v>-32.0301613309806</v>
      </c>
      <c r="M18" s="51" t="n">
        <v>160.21</v>
      </c>
      <c r="N18" s="51" t="n">
        <v>0</v>
      </c>
      <c r="O18" s="51" t="n">
        <v>0</v>
      </c>
      <c r="P18" s="6" t="n">
        <f aca="false">M18-(N18+O18)</f>
        <v>160.21</v>
      </c>
      <c r="Q18" s="51" t="n">
        <v>59.4</v>
      </c>
      <c r="R18" s="51" t="n">
        <v>64.39</v>
      </c>
      <c r="S18" s="51" t="n">
        <f aca="false">SUM(P18:R18)</f>
        <v>284</v>
      </c>
      <c r="T18" s="52" t="n">
        <f aca="false">(I18-S18)+T17</f>
        <v>6423.343</v>
      </c>
      <c r="U18" s="51" t="n">
        <v>55</v>
      </c>
      <c r="V18" s="51" t="n">
        <v>19.7</v>
      </c>
      <c r="W18" s="6" t="n">
        <f aca="false">N18+O18+S18+U18+V18</f>
        <v>358.7</v>
      </c>
      <c r="X18" s="51" t="n">
        <f aca="false">IF(L18&lt;0,L18*-1,0)</f>
        <v>32.0301613309806</v>
      </c>
      <c r="Y18" s="51" t="n">
        <f aca="false">W18+X18</f>
        <v>390.730161330981</v>
      </c>
      <c r="Z18" s="56" t="n">
        <v>0</v>
      </c>
      <c r="AA18" s="57" t="n">
        <v>59</v>
      </c>
      <c r="AB18" s="57" t="n">
        <v>31</v>
      </c>
      <c r="AC18" s="58" t="n">
        <f aca="false">AC17+1</f>
        <v>9</v>
      </c>
      <c r="AD18" s="94"/>
      <c r="AE18" s="93"/>
    </row>
    <row r="19" customFormat="false" ht="11.1" hidden="false" customHeight="true" outlineLevel="0" collapsed="false">
      <c r="A19" s="58" t="n">
        <f aca="false">A18+1</f>
        <v>10</v>
      </c>
      <c r="B19" s="73" t="n">
        <v>6900.29</v>
      </c>
      <c r="C19" s="52" t="n">
        <v>284653</v>
      </c>
      <c r="D19" s="57" t="n">
        <f aca="false">C19-C18</f>
        <v>555</v>
      </c>
      <c r="E19" s="52" t="n">
        <f aca="false">C19-152000</f>
        <v>132653</v>
      </c>
      <c r="F19" s="51" t="n">
        <f aca="false">D19/$D$2</f>
        <v>279.80841946055</v>
      </c>
      <c r="G19" s="51" t="n">
        <v>698.24</v>
      </c>
      <c r="H19" s="55" t="n">
        <v>9.2</v>
      </c>
      <c r="I19" s="51" t="n">
        <f aca="false">G19+H19</f>
        <v>707.44</v>
      </c>
      <c r="J19" s="81" t="n">
        <f aca="false">IF(L19&gt;0,L19,0)</f>
        <v>12.8284194605495</v>
      </c>
      <c r="K19" s="51" t="n">
        <f aca="false">I19+J19</f>
        <v>720.26841946055</v>
      </c>
      <c r="L19" s="51" t="n">
        <f aca="false">F19-(I19-W19)</f>
        <v>12.8284194605495</v>
      </c>
      <c r="M19" s="51" t="n">
        <v>175.19</v>
      </c>
      <c r="N19" s="51" t="n">
        <v>0</v>
      </c>
      <c r="O19" s="51" t="n">
        <v>0</v>
      </c>
      <c r="P19" s="6" t="n">
        <f aca="false">M19-(N19+O19)</f>
        <v>175.19</v>
      </c>
      <c r="Q19" s="51" t="n">
        <v>112.3</v>
      </c>
      <c r="R19" s="51" t="n">
        <v>64.28</v>
      </c>
      <c r="S19" s="51" t="n">
        <f aca="false">SUM(P19:R19)</f>
        <v>351.77</v>
      </c>
      <c r="T19" s="52" t="n">
        <f aca="false">(I19-S19)+T18</f>
        <v>6779.013</v>
      </c>
      <c r="U19" s="51" t="n">
        <v>69</v>
      </c>
      <c r="V19" s="51" t="n">
        <v>19.69</v>
      </c>
      <c r="W19" s="6" t="n">
        <f aca="false">N19+O19+S19+U19+V19</f>
        <v>440.46</v>
      </c>
      <c r="X19" s="51" t="n">
        <f aca="false">IF(L19&lt;0,L19*-1,0)</f>
        <v>0</v>
      </c>
      <c r="Y19" s="51" t="n">
        <f aca="false">W19+X19</f>
        <v>440.46</v>
      </c>
      <c r="Z19" s="56" t="n">
        <v>0</v>
      </c>
      <c r="AA19" s="57" t="n">
        <v>63</v>
      </c>
      <c r="AB19" s="57" t="n">
        <v>34</v>
      </c>
      <c r="AC19" s="58" t="n">
        <f aca="false">AC18+1</f>
        <v>10</v>
      </c>
      <c r="AD19" s="94"/>
      <c r="AE19" s="93"/>
    </row>
    <row r="20" customFormat="false" ht="11.1" hidden="false" customHeight="true" outlineLevel="0" collapsed="false">
      <c r="A20" s="58" t="n">
        <f aca="false">A19+1</f>
        <v>11</v>
      </c>
      <c r="B20" s="73" t="n">
        <v>6900.39</v>
      </c>
      <c r="C20" s="52" t="n">
        <v>285024</v>
      </c>
      <c r="D20" s="57" t="n">
        <f aca="false">C20-C19</f>
        <v>371</v>
      </c>
      <c r="E20" s="52" t="n">
        <f aca="false">C20-152000</f>
        <v>133024</v>
      </c>
      <c r="F20" s="51" t="n">
        <f aca="false">D20/$D$2</f>
        <v>187.043105621376</v>
      </c>
      <c r="G20" s="51" t="n">
        <v>785.81</v>
      </c>
      <c r="H20" s="55" t="n">
        <v>6.9</v>
      </c>
      <c r="I20" s="51" t="n">
        <f aca="false">G20+H20</f>
        <v>792.71</v>
      </c>
      <c r="J20" s="81" t="n">
        <f aca="false">IF(L20&gt;0,L20,0)</f>
        <v>0</v>
      </c>
      <c r="K20" s="51" t="n">
        <f aca="false">I20+J20</f>
        <v>792.71</v>
      </c>
      <c r="L20" s="51" t="n">
        <f aca="false">F20-(I20-W20)</f>
        <v>-159.976894378624</v>
      </c>
      <c r="M20" s="51" t="n">
        <v>183.79</v>
      </c>
      <c r="N20" s="51" t="n">
        <v>0</v>
      </c>
      <c r="O20" s="51" t="n">
        <v>0</v>
      </c>
      <c r="P20" s="6" t="n">
        <f aca="false">M20-(N20+O20)</f>
        <v>183.79</v>
      </c>
      <c r="Q20" s="51" t="n">
        <v>117.47</v>
      </c>
      <c r="R20" s="51" t="n">
        <v>64.74</v>
      </c>
      <c r="S20" s="51" t="n">
        <f aca="false">SUM(P20:R20)</f>
        <v>366</v>
      </c>
      <c r="T20" s="52" t="n">
        <f aca="false">(I20-S20)+T19</f>
        <v>7205.723</v>
      </c>
      <c r="U20" s="51" t="n">
        <v>60</v>
      </c>
      <c r="V20" s="51" t="n">
        <v>19.69</v>
      </c>
      <c r="W20" s="6" t="n">
        <f aca="false">N20+O20+S20+U20+V20</f>
        <v>445.69</v>
      </c>
      <c r="X20" s="51" t="n">
        <f aca="false">IF(L20&lt;0,L20*-1,0)</f>
        <v>159.976894378624</v>
      </c>
      <c r="Y20" s="51" t="n">
        <f aca="false">W20+X20</f>
        <v>605.666894378624</v>
      </c>
      <c r="Z20" s="56" t="n">
        <v>0</v>
      </c>
      <c r="AA20" s="57" t="n">
        <v>65</v>
      </c>
      <c r="AB20" s="57" t="n">
        <v>34</v>
      </c>
      <c r="AC20" s="58" t="n">
        <f aca="false">AC19+1</f>
        <v>11</v>
      </c>
      <c r="AD20" s="94"/>
      <c r="AE20" s="93"/>
    </row>
    <row r="21" customFormat="false" ht="11.1" hidden="false" customHeight="true" outlineLevel="0" collapsed="false">
      <c r="A21" s="58" t="n">
        <f aca="false">A20+1</f>
        <v>12</v>
      </c>
      <c r="B21" s="73" t="n">
        <v>6900.49</v>
      </c>
      <c r="C21" s="52" t="n">
        <v>285394</v>
      </c>
      <c r="D21" s="57" t="n">
        <f aca="false">C21-C20</f>
        <v>370</v>
      </c>
      <c r="E21" s="52" t="n">
        <f aca="false">C21-152000</f>
        <v>133394</v>
      </c>
      <c r="F21" s="51" t="n">
        <f aca="false">D21/$D$2</f>
        <v>186.538946307033</v>
      </c>
      <c r="G21" s="51" t="n">
        <v>632.21</v>
      </c>
      <c r="H21" s="55" t="n">
        <v>4.2</v>
      </c>
      <c r="I21" s="51" t="n">
        <f aca="false">G21+H21</f>
        <v>636.41</v>
      </c>
      <c r="J21" s="81" t="n">
        <f aca="false">IF(L21&gt;0,L21,0)</f>
        <v>29.8189463070329</v>
      </c>
      <c r="K21" s="51" t="n">
        <f aca="false">I21+J21</f>
        <v>666.228946307033</v>
      </c>
      <c r="L21" s="51" t="n">
        <f aca="false">F21-(I21-W21)</f>
        <v>29.8189463070329</v>
      </c>
      <c r="M21" s="51" t="n">
        <v>194.42</v>
      </c>
      <c r="N21" s="51" t="n">
        <v>0</v>
      </c>
      <c r="O21" s="51" t="n">
        <v>0</v>
      </c>
      <c r="P21" s="6" t="n">
        <f aca="false">M21-(N21+O21)</f>
        <v>194.42</v>
      </c>
      <c r="Q21" s="51" t="n">
        <v>117.3</v>
      </c>
      <c r="R21" s="51" t="n">
        <v>65.28</v>
      </c>
      <c r="S21" s="51" t="n">
        <f aca="false">SUM(P21:R21)</f>
        <v>377</v>
      </c>
      <c r="T21" s="52" t="n">
        <f aca="false">(I21-S21)+T20</f>
        <v>7465.133</v>
      </c>
      <c r="U21" s="51" t="n">
        <v>83</v>
      </c>
      <c r="V21" s="51" t="n">
        <v>19.69</v>
      </c>
      <c r="W21" s="6" t="n">
        <f aca="false">N21+O21+S21+U21+V21</f>
        <v>479.69</v>
      </c>
      <c r="X21" s="51" t="n">
        <f aca="false">IF(L21&lt;0,L21*-1,0)</f>
        <v>0</v>
      </c>
      <c r="Y21" s="51" t="n">
        <f aca="false">W21+X21</f>
        <v>479.69</v>
      </c>
      <c r="Z21" s="56" t="n">
        <v>0</v>
      </c>
      <c r="AA21" s="57" t="n">
        <v>68</v>
      </c>
      <c r="AB21" s="57" t="n">
        <v>33</v>
      </c>
      <c r="AC21" s="58" t="n">
        <f aca="false">AC20+1</f>
        <v>12</v>
      </c>
      <c r="AD21" s="94"/>
      <c r="AE21" s="93"/>
    </row>
    <row r="22" customFormat="false" ht="11.1" hidden="false" customHeight="true" outlineLevel="0" collapsed="false">
      <c r="A22" s="58" t="n">
        <f aca="false">A21+1</f>
        <v>13</v>
      </c>
      <c r="B22" s="73" t="n">
        <v>6900.59</v>
      </c>
      <c r="C22" s="52" t="n">
        <v>285764</v>
      </c>
      <c r="D22" s="57" t="n">
        <f aca="false">C22-C21</f>
        <v>370</v>
      </c>
      <c r="E22" s="52" t="n">
        <f aca="false">C22-152000</f>
        <v>133764</v>
      </c>
      <c r="F22" s="51" t="n">
        <f aca="false">D22/$D$2</f>
        <v>186.538946307033</v>
      </c>
      <c r="G22" s="51" t="n">
        <v>592.72</v>
      </c>
      <c r="H22" s="55" t="n">
        <v>2.6</v>
      </c>
      <c r="I22" s="51" t="n">
        <f aca="false">G22+H22</f>
        <v>595.32</v>
      </c>
      <c r="J22" s="81" t="n">
        <f aca="false">IF(L22&gt;0,L22,0)</f>
        <v>70.918946307033</v>
      </c>
      <c r="K22" s="51" t="n">
        <f aca="false">I22+J22</f>
        <v>666.238946307033</v>
      </c>
      <c r="L22" s="51" t="n">
        <f aca="false">F22-(I22-W22)</f>
        <v>70.918946307033</v>
      </c>
      <c r="M22" s="51" t="n">
        <v>194.51</v>
      </c>
      <c r="N22" s="51" t="n">
        <v>0</v>
      </c>
      <c r="O22" s="51" t="n">
        <v>0</v>
      </c>
      <c r="P22" s="6" t="n">
        <f aca="false">M22-(N22+O22)</f>
        <v>194.51</v>
      </c>
      <c r="Q22" s="51" t="n">
        <v>117.18</v>
      </c>
      <c r="R22" s="51" t="n">
        <v>65.31</v>
      </c>
      <c r="S22" s="51" t="n">
        <f aca="false">SUM(P22:R22)</f>
        <v>377</v>
      </c>
      <c r="T22" s="52" t="n">
        <f aca="false">(I22-S22)+T21</f>
        <v>7683.453</v>
      </c>
      <c r="U22" s="51" t="n">
        <v>83</v>
      </c>
      <c r="V22" s="51" t="n">
        <v>19.7</v>
      </c>
      <c r="W22" s="6" t="n">
        <f aca="false">N22+O22+S22+U22+V22</f>
        <v>479.7</v>
      </c>
      <c r="X22" s="51" t="n">
        <f aca="false">IF(L22&lt;0,L22*-1,0)</f>
        <v>0</v>
      </c>
      <c r="Y22" s="51" t="n">
        <f aca="false">W22+X22</f>
        <v>479.7</v>
      </c>
      <c r="Z22" s="56" t="n">
        <v>0</v>
      </c>
      <c r="AA22" s="57" t="n">
        <v>69</v>
      </c>
      <c r="AB22" s="57" t="n">
        <v>38</v>
      </c>
      <c r="AC22" s="58" t="n">
        <f aca="false">AC21+1</f>
        <v>13</v>
      </c>
      <c r="AD22" s="94"/>
      <c r="AE22" s="93"/>
    </row>
    <row r="23" customFormat="false" ht="11.1" hidden="false" customHeight="true" outlineLevel="0" collapsed="false">
      <c r="A23" s="58" t="n">
        <f aca="false">A22+1</f>
        <v>14</v>
      </c>
      <c r="B23" s="73" t="n">
        <v>6900.78</v>
      </c>
      <c r="C23" s="52" t="n">
        <v>286467</v>
      </c>
      <c r="D23" s="57" t="n">
        <f aca="false">C23-C22</f>
        <v>703</v>
      </c>
      <c r="E23" s="52" t="n">
        <f aca="false">C23-152000</f>
        <v>134467</v>
      </c>
      <c r="F23" s="51" t="n">
        <f aca="false">D23/$D$2</f>
        <v>354.423997983363</v>
      </c>
      <c r="G23" s="51" t="n">
        <v>802.83</v>
      </c>
      <c r="H23" s="55" t="n">
        <v>0.15</v>
      </c>
      <c r="I23" s="51" t="n">
        <f aca="false">G23+H23</f>
        <v>802.98</v>
      </c>
      <c r="J23" s="81" t="n">
        <f aca="false">IF(L23&gt;0,L23,0)</f>
        <v>45.1339979833627</v>
      </c>
      <c r="K23" s="51" t="n">
        <f aca="false">I23+J23</f>
        <v>848.113997983363</v>
      </c>
      <c r="L23" s="51" t="n">
        <f aca="false">F23-(I23-W23)</f>
        <v>45.1339979833627</v>
      </c>
      <c r="M23" s="51" t="n">
        <v>208.9</v>
      </c>
      <c r="N23" s="51" t="n">
        <v>0</v>
      </c>
      <c r="O23" s="51" t="n">
        <v>0</v>
      </c>
      <c r="P23" s="6" t="n">
        <f aca="false">M23-(N23+O23)</f>
        <v>208.9</v>
      </c>
      <c r="Q23" s="51" t="n">
        <v>117.21</v>
      </c>
      <c r="R23" s="51" t="n">
        <v>64.89</v>
      </c>
      <c r="S23" s="51" t="n">
        <f aca="false">SUM(P23:R23)</f>
        <v>391</v>
      </c>
      <c r="T23" s="52" t="n">
        <f aca="false">(I23-S23)+T22</f>
        <v>8095.433</v>
      </c>
      <c r="U23" s="51" t="n">
        <v>83</v>
      </c>
      <c r="V23" s="51" t="n">
        <v>19.69</v>
      </c>
      <c r="W23" s="6" t="n">
        <f aca="false">N23+O23+S23+U23+V23</f>
        <v>493.69</v>
      </c>
      <c r="X23" s="51" t="n">
        <f aca="false">IF(L23&lt;0,L23*-1,0)</f>
        <v>0</v>
      </c>
      <c r="Y23" s="51" t="n">
        <f aca="false">W23+X23</f>
        <v>493.69</v>
      </c>
      <c r="Z23" s="56" t="n">
        <v>0.07</v>
      </c>
      <c r="AA23" s="57" t="n">
        <v>65</v>
      </c>
      <c r="AB23" s="57" t="n">
        <v>40</v>
      </c>
      <c r="AC23" s="58" t="n">
        <f aca="false">AC22+1</f>
        <v>14</v>
      </c>
      <c r="AD23" s="94"/>
      <c r="AE23" s="93"/>
    </row>
    <row r="24" customFormat="false" ht="11.1" hidden="false" customHeight="true" outlineLevel="0" collapsed="false">
      <c r="A24" s="58" t="n">
        <f aca="false">A23+1</f>
        <v>15</v>
      </c>
      <c r="B24" s="73" t="n">
        <v>6900.98</v>
      </c>
      <c r="C24" s="52" t="n">
        <v>287208</v>
      </c>
      <c r="D24" s="57" t="n">
        <f aca="false">C24-C23</f>
        <v>741</v>
      </c>
      <c r="E24" s="52" t="n">
        <f aca="false">C24-152000</f>
        <v>135208</v>
      </c>
      <c r="F24" s="51" t="n">
        <f aca="false">D24/$D$2</f>
        <v>373.582051928409</v>
      </c>
      <c r="G24" s="51" t="n">
        <v>933.87</v>
      </c>
      <c r="H24" s="55" t="n">
        <v>0.11</v>
      </c>
      <c r="I24" s="51" t="n">
        <f aca="false">G24+H24</f>
        <v>933.98</v>
      </c>
      <c r="J24" s="81" t="n">
        <f aca="false">IF(L24&gt;0,L24,0)</f>
        <v>0</v>
      </c>
      <c r="K24" s="101" t="n">
        <f aca="false">I24+J24</f>
        <v>933.98</v>
      </c>
      <c r="L24" s="51" t="n">
        <f aca="false">F24-(I24-W24)</f>
        <v>-44.6779480715906</v>
      </c>
      <c r="M24" s="51" t="n">
        <v>218.98</v>
      </c>
      <c r="N24" s="51" t="n">
        <v>0</v>
      </c>
      <c r="O24" s="51" t="n">
        <v>0</v>
      </c>
      <c r="P24" s="6" t="n">
        <f aca="false">M24-(N24+O24)</f>
        <v>218.98</v>
      </c>
      <c r="Q24" s="51" t="n">
        <v>117.52</v>
      </c>
      <c r="R24" s="51" t="n">
        <v>69.5</v>
      </c>
      <c r="S24" s="51" t="n">
        <f aca="false">SUM(P24:R24)</f>
        <v>406</v>
      </c>
      <c r="T24" s="52" t="n">
        <f aca="false">(I24-S24)+T23</f>
        <v>8623.413</v>
      </c>
      <c r="U24" s="51" t="n">
        <v>90</v>
      </c>
      <c r="V24" s="51" t="n">
        <v>19.72</v>
      </c>
      <c r="W24" s="6" t="n">
        <f aca="false">N24+O24+S24+U24+V24</f>
        <v>515.72</v>
      </c>
      <c r="X24" s="51" t="n">
        <f aca="false">IF(L24&lt;0,L24*-1,0)</f>
        <v>44.6779480715906</v>
      </c>
      <c r="Y24" s="51" t="n">
        <f aca="false">W24+X24</f>
        <v>560.397948071591</v>
      </c>
      <c r="Z24" s="56" t="n">
        <v>0</v>
      </c>
      <c r="AA24" s="57" t="n">
        <v>62</v>
      </c>
      <c r="AB24" s="57" t="n">
        <v>31</v>
      </c>
      <c r="AC24" s="58" t="n">
        <f aca="false">AC23+1</f>
        <v>15</v>
      </c>
      <c r="AD24" s="94"/>
      <c r="AE24" s="93"/>
    </row>
    <row r="25" customFormat="false" ht="11.1" hidden="false" customHeight="true" outlineLevel="0" collapsed="false">
      <c r="A25" s="58" t="n">
        <f aca="false">A24+1</f>
        <v>16</v>
      </c>
      <c r="B25" s="73" t="n">
        <v>6901.12</v>
      </c>
      <c r="C25" s="52" t="n">
        <v>287730</v>
      </c>
      <c r="D25" s="57" t="n">
        <f aca="false">C25-C24</f>
        <v>522</v>
      </c>
      <c r="E25" s="52" t="n">
        <f aca="false">C25-152000</f>
        <v>135730</v>
      </c>
      <c r="F25" s="51" t="n">
        <f aca="false">D25/$D$2</f>
        <v>263.17116208722</v>
      </c>
      <c r="G25" s="51" t="n">
        <v>836.48</v>
      </c>
      <c r="H25" s="55" t="n">
        <v>0.07</v>
      </c>
      <c r="I25" s="51" t="n">
        <f aca="false">G25+H25</f>
        <v>836.55</v>
      </c>
      <c r="J25" s="81" t="n">
        <f aca="false">IF(L25&gt;0,L25,0)</f>
        <v>0</v>
      </c>
      <c r="K25" s="51" t="n">
        <f aca="false">I25+J25</f>
        <v>836.55</v>
      </c>
      <c r="L25" s="51" t="n">
        <f aca="false">F25-(I25-W25)</f>
        <v>-53.6788379127805</v>
      </c>
      <c r="M25" s="51" t="n">
        <v>219.12</v>
      </c>
      <c r="N25" s="51" t="n">
        <v>0</v>
      </c>
      <c r="O25" s="51" t="n">
        <v>0</v>
      </c>
      <c r="P25" s="6" t="n">
        <f aca="false">M25-(N25+O25)</f>
        <v>219.12</v>
      </c>
      <c r="Q25" s="51" t="n">
        <v>117.52</v>
      </c>
      <c r="R25" s="51" t="n">
        <v>69.36</v>
      </c>
      <c r="S25" s="51" t="n">
        <f aca="false">SUM(P25:R25)</f>
        <v>406</v>
      </c>
      <c r="T25" s="52" t="n">
        <f aca="false">(I25-S25)+T24</f>
        <v>9053.963</v>
      </c>
      <c r="U25" s="51" t="n">
        <v>94</v>
      </c>
      <c r="V25" s="51" t="n">
        <v>19.7</v>
      </c>
      <c r="W25" s="6" t="n">
        <f aca="false">N25+O25+S25+U25+V25</f>
        <v>519.7</v>
      </c>
      <c r="X25" s="51" t="n">
        <f aca="false">IF(L25&lt;0,L25*-1,0)</f>
        <v>53.6788379127805</v>
      </c>
      <c r="Y25" s="51" t="n">
        <f aca="false">W25+X25</f>
        <v>573.37883791278</v>
      </c>
      <c r="Z25" s="56" t="n">
        <v>0</v>
      </c>
      <c r="AA25" s="57" t="n">
        <v>70</v>
      </c>
      <c r="AB25" s="57" t="n">
        <v>32</v>
      </c>
      <c r="AC25" s="58" t="n">
        <f aca="false">AC24+1</f>
        <v>16</v>
      </c>
      <c r="AD25" s="94"/>
      <c r="AE25" s="93"/>
    </row>
    <row r="26" customFormat="false" ht="11.1" hidden="false" customHeight="true" outlineLevel="0" collapsed="false">
      <c r="A26" s="58" t="n">
        <f aca="false">A25+1</f>
        <v>17</v>
      </c>
      <c r="B26" s="73" t="n">
        <v>6901.22</v>
      </c>
      <c r="C26" s="52" t="n">
        <v>288103</v>
      </c>
      <c r="D26" s="57" t="n">
        <f aca="false">C26-C25</f>
        <v>373</v>
      </c>
      <c r="E26" s="52" t="n">
        <f aca="false">C26-152000</f>
        <v>136103</v>
      </c>
      <c r="F26" s="51" t="n">
        <f aca="false">D26/$D$2</f>
        <v>188.051424250063</v>
      </c>
      <c r="G26" s="51" t="n">
        <v>782.79</v>
      </c>
      <c r="H26" s="55" t="n">
        <v>0.02</v>
      </c>
      <c r="I26" s="51" t="n">
        <f aca="false">G26+H26</f>
        <v>782.81</v>
      </c>
      <c r="J26" s="81" t="n">
        <f aca="false">IF(L26&gt;0,L26,0)</f>
        <v>0</v>
      </c>
      <c r="K26" s="101" t="n">
        <f aca="false">I26+J26</f>
        <v>782.81</v>
      </c>
      <c r="L26" s="51" t="n">
        <f aca="false">F26-(I26-W26)</f>
        <v>-32.0485757499369</v>
      </c>
      <c r="M26" s="51" t="n">
        <v>219.34</v>
      </c>
      <c r="N26" s="51" t="n">
        <v>0</v>
      </c>
      <c r="O26" s="51" t="n">
        <v>0</v>
      </c>
      <c r="P26" s="6" t="n">
        <f aca="false">M26-(N26+O26)</f>
        <v>219.34</v>
      </c>
      <c r="Q26" s="51" t="n">
        <v>162.72</v>
      </c>
      <c r="R26" s="51" t="n">
        <v>71.94</v>
      </c>
      <c r="S26" s="51" t="n">
        <f aca="false">SUM(P26:R26)</f>
        <v>454</v>
      </c>
      <c r="T26" s="52" t="n">
        <f aca="false">(I26-S26)+T25</f>
        <v>9382.773</v>
      </c>
      <c r="U26" s="51" t="n">
        <v>89</v>
      </c>
      <c r="V26" s="51" t="n">
        <v>19.71</v>
      </c>
      <c r="W26" s="6" t="n">
        <f aca="false">N26+O26+S26+U26+V26</f>
        <v>562.71</v>
      </c>
      <c r="X26" s="51" t="n">
        <f aca="false">IF(L26&lt;0,L26*-1,0)</f>
        <v>32.0485757499369</v>
      </c>
      <c r="Y26" s="51" t="n">
        <f aca="false">W26+X26</f>
        <v>594.758575749937</v>
      </c>
      <c r="Z26" s="56" t="n">
        <v>0</v>
      </c>
      <c r="AA26" s="57" t="n">
        <v>72</v>
      </c>
      <c r="AB26" s="57" t="n">
        <v>37</v>
      </c>
      <c r="AC26" s="58" t="n">
        <f aca="false">AC25+1</f>
        <v>17</v>
      </c>
      <c r="AD26" s="94"/>
      <c r="AE26" s="93"/>
    </row>
    <row r="27" customFormat="false" ht="11.1" hidden="false" customHeight="true" outlineLevel="0" collapsed="false">
      <c r="A27" s="58" t="n">
        <f aca="false">A26+1</f>
        <v>18</v>
      </c>
      <c r="B27" s="73" t="n">
        <v>6901.34</v>
      </c>
      <c r="C27" s="52" t="n">
        <v>288551</v>
      </c>
      <c r="D27" s="57" t="n">
        <f aca="false">C27-C26</f>
        <v>448</v>
      </c>
      <c r="E27" s="52" t="n">
        <f aca="false">C27-152000</f>
        <v>136551</v>
      </c>
      <c r="F27" s="51" t="n">
        <f aca="false">D27/$D$2</f>
        <v>225.863372825813</v>
      </c>
      <c r="G27" s="51" t="n">
        <v>856.83</v>
      </c>
      <c r="H27" s="55" t="n">
        <v>0</v>
      </c>
      <c r="I27" s="51" t="n">
        <f aca="false">G27+H27</f>
        <v>856.83</v>
      </c>
      <c r="J27" s="81" t="n">
        <f aca="false">IF(L27&gt;0,L27,0)</f>
        <v>0</v>
      </c>
      <c r="K27" s="51" t="n">
        <f aca="false">I27+J27</f>
        <v>856.83</v>
      </c>
      <c r="L27" s="51" t="n">
        <f aca="false">F27-(I27-W27)</f>
        <v>-46.2866271741872</v>
      </c>
      <c r="M27" s="51" t="n">
        <v>219.27</v>
      </c>
      <c r="N27" s="51" t="n">
        <v>0</v>
      </c>
      <c r="O27" s="51" t="n">
        <v>0</v>
      </c>
      <c r="P27" s="6" t="n">
        <f aca="false">M27-(N27+O27)</f>
        <v>219.27</v>
      </c>
      <c r="Q27" s="51" t="n">
        <v>190.68</v>
      </c>
      <c r="R27" s="51" t="n">
        <v>73.05</v>
      </c>
      <c r="S27" s="51" t="n">
        <f aca="false">SUM(P27:R27)</f>
        <v>483</v>
      </c>
      <c r="T27" s="52" t="n">
        <f aca="false">(I27-S27)+T26</f>
        <v>9756.603</v>
      </c>
      <c r="U27" s="51" t="n">
        <v>82</v>
      </c>
      <c r="V27" s="51" t="n">
        <v>19.68</v>
      </c>
      <c r="W27" s="6" t="n">
        <f aca="false">N27+O27+S27+U27+V27</f>
        <v>584.68</v>
      </c>
      <c r="X27" s="51" t="n">
        <f aca="false">IF(L27&lt;0,L27*-1,0)</f>
        <v>46.2866271741872</v>
      </c>
      <c r="Y27" s="51" t="n">
        <f aca="false">W27+X27</f>
        <v>630.966627174187</v>
      </c>
      <c r="Z27" s="56" t="n">
        <v>0</v>
      </c>
      <c r="AA27" s="57" t="n">
        <v>71</v>
      </c>
      <c r="AB27" s="57" t="n">
        <v>37</v>
      </c>
      <c r="AC27" s="58" t="n">
        <f aca="false">AC26+1</f>
        <v>18</v>
      </c>
      <c r="AD27" s="94"/>
      <c r="AE27" s="93"/>
    </row>
    <row r="28" customFormat="false" ht="11.1" hidden="false" customHeight="true" outlineLevel="0" collapsed="false">
      <c r="A28" s="58" t="n">
        <f aca="false">A27+1</f>
        <v>19</v>
      </c>
      <c r="B28" s="73" t="n">
        <v>6901.46</v>
      </c>
      <c r="C28" s="100" t="n">
        <v>288999</v>
      </c>
      <c r="D28" s="57" t="n">
        <f aca="false">C28-C27</f>
        <v>448</v>
      </c>
      <c r="E28" s="52" t="n">
        <f aca="false">C28-152000</f>
        <v>136999</v>
      </c>
      <c r="F28" s="51" t="n">
        <f aca="false">D28/$D$2</f>
        <v>225.863372825813</v>
      </c>
      <c r="G28" s="51" t="n">
        <v>897.37</v>
      </c>
      <c r="H28" s="55" t="n">
        <v>0</v>
      </c>
      <c r="I28" s="51" t="n">
        <f aca="false">G28+H28</f>
        <v>897.37</v>
      </c>
      <c r="J28" s="81" t="n">
        <f aca="false">IF(L28&gt;0,L28,0)</f>
        <v>0</v>
      </c>
      <c r="K28" s="51" t="n">
        <f aca="false">I28+J28</f>
        <v>897.37</v>
      </c>
      <c r="L28" s="51" t="n">
        <f aca="false">F28-(I28-W28)</f>
        <v>-77.786627174187</v>
      </c>
      <c r="M28" s="51" t="n">
        <v>219.89</v>
      </c>
      <c r="N28" s="51" t="n">
        <v>0</v>
      </c>
      <c r="O28" s="51" t="n">
        <v>0</v>
      </c>
      <c r="P28" s="6" t="n">
        <f aca="false">M28-(N28+O28)</f>
        <v>219.89</v>
      </c>
      <c r="Q28" s="51" t="n">
        <v>191.26</v>
      </c>
      <c r="R28" s="51" t="n">
        <v>72.85</v>
      </c>
      <c r="S28" s="51" t="n">
        <f aca="false">SUM(P28:R28)</f>
        <v>484</v>
      </c>
      <c r="T28" s="52" t="n">
        <f aca="false">(I28-S28)+T27</f>
        <v>10169.973</v>
      </c>
      <c r="U28" s="51" t="n">
        <v>90</v>
      </c>
      <c r="V28" s="51" t="n">
        <v>19.72</v>
      </c>
      <c r="W28" s="6" t="n">
        <f aca="false">N28+O28+S28+U28+V28</f>
        <v>593.72</v>
      </c>
      <c r="X28" s="51" t="n">
        <f aca="false">IF(L28&lt;0,L28*-1,0)</f>
        <v>77.786627174187</v>
      </c>
      <c r="Y28" s="51" t="n">
        <f aca="false">W28+X28</f>
        <v>671.506627174187</v>
      </c>
      <c r="Z28" s="56" t="n">
        <v>0</v>
      </c>
      <c r="AA28" s="57" t="n">
        <v>68</v>
      </c>
      <c r="AB28" s="57" t="n">
        <v>33</v>
      </c>
      <c r="AC28" s="58" t="n">
        <f aca="false">AC27+1</f>
        <v>19</v>
      </c>
      <c r="AD28" s="94"/>
      <c r="AE28" s="93"/>
    </row>
    <row r="29" customFormat="false" ht="11.1" hidden="false" customHeight="true" outlineLevel="0" collapsed="false">
      <c r="A29" s="58" t="n">
        <f aca="false">A28+1</f>
        <v>20</v>
      </c>
      <c r="B29" s="73" t="n">
        <v>6901.59</v>
      </c>
      <c r="C29" s="52" t="n">
        <v>289484</v>
      </c>
      <c r="D29" s="57" t="n">
        <f aca="false">C29-C28</f>
        <v>485</v>
      </c>
      <c r="E29" s="52" t="n">
        <f aca="false">C29-152000</f>
        <v>137484</v>
      </c>
      <c r="F29" s="51" t="n">
        <f aca="false">D29/$D$2</f>
        <v>244.517267456516</v>
      </c>
      <c r="G29" s="51" t="n">
        <v>804.78</v>
      </c>
      <c r="H29" s="55" t="n">
        <v>0</v>
      </c>
      <c r="I29" s="51" t="n">
        <f aca="false">G29+H29</f>
        <v>804.78</v>
      </c>
      <c r="J29" s="81" t="n">
        <f aca="false">IF(L29&gt;0,L29,0)</f>
        <v>43.4272674565163</v>
      </c>
      <c r="K29" s="51" t="n">
        <f aca="false">I29+J29</f>
        <v>848.207267456516</v>
      </c>
      <c r="L29" s="51" t="n">
        <f aca="false">F29-(I29-W29)</f>
        <v>43.4272674565163</v>
      </c>
      <c r="M29" s="51" t="n">
        <v>220.08</v>
      </c>
      <c r="N29" s="51" t="n">
        <v>0</v>
      </c>
      <c r="O29" s="51" t="n">
        <v>0</v>
      </c>
      <c r="P29" s="6" t="n">
        <f aca="false">M29-(N29+O29)</f>
        <v>220.08</v>
      </c>
      <c r="Q29" s="51" t="n">
        <v>191.44</v>
      </c>
      <c r="R29" s="51" t="n">
        <v>72.48</v>
      </c>
      <c r="S29" s="51" t="n">
        <f aca="false">SUM(P29:R29)</f>
        <v>484</v>
      </c>
      <c r="T29" s="52" t="n">
        <f aca="false">(I29-S29)+T28</f>
        <v>10490.753</v>
      </c>
      <c r="U29" s="51" t="n">
        <v>100</v>
      </c>
      <c r="V29" s="51" t="n">
        <v>19.69</v>
      </c>
      <c r="W29" s="6" t="n">
        <f aca="false">N29+O29+S29+U29+V29</f>
        <v>603.69</v>
      </c>
      <c r="X29" s="51" t="n">
        <f aca="false">IF(L29&lt;0,L29*-1,0)</f>
        <v>0</v>
      </c>
      <c r="Y29" s="51" t="n">
        <f aca="false">W29+X29</f>
        <v>603.69</v>
      </c>
      <c r="Z29" s="56" t="n">
        <v>0</v>
      </c>
      <c r="AA29" s="57" t="n">
        <v>67</v>
      </c>
      <c r="AB29" s="57" t="n">
        <v>30</v>
      </c>
      <c r="AC29" s="58" t="n">
        <f aca="false">AC28+1</f>
        <v>20</v>
      </c>
      <c r="AD29" s="94"/>
      <c r="AE29" s="93"/>
    </row>
    <row r="30" customFormat="false" ht="11.1" hidden="false" customHeight="true" outlineLevel="0" collapsed="false">
      <c r="A30" s="58" t="n">
        <f aca="false">A29+1</f>
        <v>21</v>
      </c>
      <c r="B30" s="110" t="n">
        <v>6901.75</v>
      </c>
      <c r="C30" s="52" t="n">
        <v>290081</v>
      </c>
      <c r="D30" s="57" t="n">
        <f aca="false">C30-C29</f>
        <v>597</v>
      </c>
      <c r="E30" s="52" t="n">
        <f aca="false">C30-152000</f>
        <v>138081</v>
      </c>
      <c r="F30" s="51" t="n">
        <f aca="false">D30/$D$2</f>
        <v>300.983110662969</v>
      </c>
      <c r="G30" s="51" t="n">
        <v>894.49</v>
      </c>
      <c r="H30" s="55" t="n">
        <v>0</v>
      </c>
      <c r="I30" s="51" t="n">
        <f aca="false">G30+H30</f>
        <v>894.49</v>
      </c>
      <c r="J30" s="81" t="n">
        <f aca="false">IF(L30&gt;0,L30,0)</f>
        <v>8.20311066296949</v>
      </c>
      <c r="K30" s="51" t="n">
        <f aca="false">I30+J30</f>
        <v>902.693110662969</v>
      </c>
      <c r="L30" s="51" t="n">
        <f aca="false">F30-(I30-W30)</f>
        <v>8.20311066296949</v>
      </c>
      <c r="M30" s="51" t="n">
        <v>220.45</v>
      </c>
      <c r="N30" s="51" t="n">
        <v>0</v>
      </c>
      <c r="O30" s="51" t="n">
        <v>0</v>
      </c>
      <c r="P30" s="6" t="n">
        <f aca="false">M30-(N30+O30)</f>
        <v>220.45</v>
      </c>
      <c r="Q30" s="51" t="n">
        <v>190.84</v>
      </c>
      <c r="R30" s="51" t="n">
        <v>76.71</v>
      </c>
      <c r="S30" s="51" t="n">
        <f aca="false">SUM(P30:R30)</f>
        <v>488</v>
      </c>
      <c r="T30" s="52" t="n">
        <f aca="false">(I30-S30)+T29</f>
        <v>10897.243</v>
      </c>
      <c r="U30" s="51" t="n">
        <v>94</v>
      </c>
      <c r="V30" s="51" t="n">
        <v>19.71</v>
      </c>
      <c r="W30" s="6" t="n">
        <f aca="false">N30+O30+S30+U30+V30</f>
        <v>601.71</v>
      </c>
      <c r="X30" s="51" t="n">
        <f aca="false">IF(L30&lt;0,L30*-1,0)</f>
        <v>0</v>
      </c>
      <c r="Y30" s="51" t="n">
        <f aca="false">W30+X30</f>
        <v>601.71</v>
      </c>
      <c r="Z30" s="56" t="n">
        <v>0</v>
      </c>
      <c r="AA30" s="57" t="n">
        <v>72</v>
      </c>
      <c r="AB30" s="57" t="n">
        <v>34</v>
      </c>
      <c r="AC30" s="58" t="n">
        <f aca="false">AC29+1</f>
        <v>21</v>
      </c>
      <c r="AD30" s="94"/>
      <c r="AE30" s="93"/>
    </row>
    <row r="31" customFormat="false" ht="11.1" hidden="false" customHeight="true" outlineLevel="0" collapsed="false">
      <c r="A31" s="58" t="n">
        <f aca="false">A30+1</f>
        <v>22</v>
      </c>
      <c r="B31" s="73" t="n">
        <v>6902.01</v>
      </c>
      <c r="C31" s="52" t="n">
        <v>291052</v>
      </c>
      <c r="D31" s="57" t="n">
        <f aca="false">C31-C30</f>
        <v>971</v>
      </c>
      <c r="E31" s="52" t="n">
        <f aca="false">C31-152000</f>
        <v>139052</v>
      </c>
      <c r="F31" s="51" t="n">
        <f aca="false">D31/$D$2</f>
        <v>489.538694227376</v>
      </c>
      <c r="G31" s="51" t="n">
        <v>1135.3</v>
      </c>
      <c r="H31" s="55" t="n">
        <v>0</v>
      </c>
      <c r="I31" s="51" t="n">
        <f aca="false">G31+H31</f>
        <v>1135.3</v>
      </c>
      <c r="J31" s="81" t="n">
        <f aca="false">IF(L31&gt;0,L31,0)</f>
        <v>0</v>
      </c>
      <c r="K31" s="51" t="n">
        <f aca="false">I31+J31</f>
        <v>1135.3</v>
      </c>
      <c r="L31" s="51" t="n">
        <f aca="false">F31-(I31-W31)</f>
        <v>-23.0513057726241</v>
      </c>
      <c r="M31" s="51" t="n">
        <v>235.64</v>
      </c>
      <c r="N31" s="51" t="n">
        <v>0</v>
      </c>
      <c r="O31" s="51" t="n">
        <v>0</v>
      </c>
      <c r="P31" s="6" t="n">
        <f aca="false">M31-(N31+O31)</f>
        <v>235.64</v>
      </c>
      <c r="Q31" s="51" t="n">
        <v>195.58</v>
      </c>
      <c r="R31" s="51" t="n">
        <v>81.78</v>
      </c>
      <c r="S31" s="101" t="n">
        <f aca="false">SUM(P31:R31)</f>
        <v>513</v>
      </c>
      <c r="T31" s="52" t="n">
        <f aca="false">(I31-S31)+T30</f>
        <v>11519.543</v>
      </c>
      <c r="U31" s="51" t="n">
        <v>90</v>
      </c>
      <c r="V31" s="51" t="n">
        <v>19.71</v>
      </c>
      <c r="W31" s="6" t="n">
        <f aca="false">N31+O31+S31+U31+V31</f>
        <v>622.71</v>
      </c>
      <c r="X31" s="51" t="n">
        <f aca="false">IF(L31&lt;0,L31*-1,0)</f>
        <v>23.0513057726241</v>
      </c>
      <c r="Y31" s="51" t="n">
        <f aca="false">W31+X31</f>
        <v>645.761305772624</v>
      </c>
      <c r="Z31" s="56" t="n">
        <v>0</v>
      </c>
      <c r="AA31" s="57" t="n">
        <v>76</v>
      </c>
      <c r="AB31" s="57" t="n">
        <v>36</v>
      </c>
      <c r="AC31" s="58" t="n">
        <f aca="false">AC30+1</f>
        <v>22</v>
      </c>
      <c r="AD31" s="94"/>
      <c r="AE31" s="93"/>
    </row>
    <row r="32" customFormat="false" ht="11.1" hidden="false" customHeight="true" outlineLevel="0" collapsed="false">
      <c r="A32" s="58" t="n">
        <f aca="false">A31+1</f>
        <v>23</v>
      </c>
      <c r="B32" s="73" t="n">
        <v>6902.36</v>
      </c>
      <c r="C32" s="52" t="n">
        <v>292369</v>
      </c>
      <c r="D32" s="57" t="n">
        <f aca="false">C32-C31</f>
        <v>1317</v>
      </c>
      <c r="E32" s="52" t="n">
        <f aca="false">C32-152000</f>
        <v>140369</v>
      </c>
      <c r="F32" s="51" t="n">
        <f aca="false">D32/$D$2</f>
        <v>663.977816990169</v>
      </c>
      <c r="G32" s="51" t="n">
        <v>1209.41</v>
      </c>
      <c r="H32" s="55" t="n">
        <v>0</v>
      </c>
      <c r="I32" s="51" t="n">
        <f aca="false">G32+H32</f>
        <v>1209.41</v>
      </c>
      <c r="J32" s="81" t="n">
        <f aca="false">IF(L32&gt;0,L32,0)</f>
        <v>92.2678169901689</v>
      </c>
      <c r="K32" s="51" t="n">
        <f aca="false">I32+J32</f>
        <v>1301.67781699017</v>
      </c>
      <c r="L32" s="51" t="n">
        <f aca="false">F32-(I32-W32)</f>
        <v>92.2678169901689</v>
      </c>
      <c r="M32" s="51" t="n">
        <v>242.31</v>
      </c>
      <c r="N32" s="51" t="n">
        <v>0</v>
      </c>
      <c r="O32" s="51" t="n">
        <v>0</v>
      </c>
      <c r="P32" s="6" t="n">
        <f aca="false">M32-(N32+O32)</f>
        <v>242.31</v>
      </c>
      <c r="Q32" s="51" t="n">
        <v>198.09</v>
      </c>
      <c r="R32" s="51" t="n">
        <v>78.6</v>
      </c>
      <c r="S32" s="51" t="n">
        <f aca="false">SUM(P32:R32)</f>
        <v>519</v>
      </c>
      <c r="T32" s="52" t="n">
        <f aca="false">(I32-S32)+T31</f>
        <v>12209.953</v>
      </c>
      <c r="U32" s="51" t="n">
        <v>99</v>
      </c>
      <c r="V32" s="51" t="n">
        <v>19.7</v>
      </c>
      <c r="W32" s="6" t="n">
        <f aca="false">N32+O32+S32+U32+V32</f>
        <v>637.7</v>
      </c>
      <c r="X32" s="51" t="n">
        <f aca="false">IF(L32&lt;0,L32*-1,0)</f>
        <v>0</v>
      </c>
      <c r="Y32" s="51" t="n">
        <f aca="false">W32+X32</f>
        <v>637.7</v>
      </c>
      <c r="Z32" s="56" t="n">
        <v>0</v>
      </c>
      <c r="AA32" s="57" t="n">
        <v>71</v>
      </c>
      <c r="AB32" s="57" t="n">
        <v>40</v>
      </c>
      <c r="AC32" s="58" t="n">
        <f aca="false">AC31+1</f>
        <v>23</v>
      </c>
      <c r="AD32" s="94"/>
      <c r="AE32" s="93"/>
    </row>
    <row r="33" customFormat="false" ht="11.1" hidden="false" customHeight="true" outlineLevel="0" collapsed="false">
      <c r="A33" s="58" t="n">
        <f aca="false">A32+1</f>
        <v>24</v>
      </c>
      <c r="B33" s="73" t="n">
        <v>6902.71</v>
      </c>
      <c r="C33" s="52" t="n">
        <v>293686</v>
      </c>
      <c r="D33" s="57" t="n">
        <f aca="false">C33-C32</f>
        <v>1317</v>
      </c>
      <c r="E33" s="52" t="n">
        <f aca="false">C33-152000</f>
        <v>141686</v>
      </c>
      <c r="F33" s="51" t="n">
        <f aca="false">D33/$D$2</f>
        <v>663.977816990169</v>
      </c>
      <c r="G33" s="51" t="n">
        <v>1449.07</v>
      </c>
      <c r="H33" s="55" t="n">
        <v>0</v>
      </c>
      <c r="I33" s="51" t="n">
        <f aca="false">G33+H33</f>
        <v>1449.07</v>
      </c>
      <c r="J33" s="81" t="n">
        <f aca="false">IF(L33&gt;0,L33,0)</f>
        <v>0</v>
      </c>
      <c r="K33" s="51" t="n">
        <f aca="false">I33+J33</f>
        <v>1449.07</v>
      </c>
      <c r="L33" s="51" t="n">
        <f aca="false">F33-(I33-W33)</f>
        <v>-92.392183009831</v>
      </c>
      <c r="M33" s="51" t="n">
        <v>243.49</v>
      </c>
      <c r="N33" s="51" t="n">
        <v>0</v>
      </c>
      <c r="O33" s="51" t="n">
        <v>0</v>
      </c>
      <c r="P33" s="6" t="n">
        <f aca="false">M33-(N33+O33)</f>
        <v>243.49</v>
      </c>
      <c r="Q33" s="51" t="n">
        <v>232.58</v>
      </c>
      <c r="R33" s="51" t="n">
        <v>77.93</v>
      </c>
      <c r="S33" s="51" t="n">
        <f aca="false">SUM(P33:R33)</f>
        <v>554</v>
      </c>
      <c r="T33" s="52" t="n">
        <f aca="false">(I33-S33)+T32</f>
        <v>13105.023</v>
      </c>
      <c r="U33" s="51" t="n">
        <v>119</v>
      </c>
      <c r="V33" s="51" t="n">
        <v>19.7</v>
      </c>
      <c r="W33" s="6" t="n">
        <f aca="false">N33+O33+S33+U33+V33</f>
        <v>692.7</v>
      </c>
      <c r="X33" s="51" t="n">
        <f aca="false">IF(L33&lt;0,L33*-1,0)</f>
        <v>92.392183009831</v>
      </c>
      <c r="Y33" s="51" t="n">
        <f aca="false">W33+X33</f>
        <v>785.092183009831</v>
      </c>
      <c r="Z33" s="56" t="n">
        <v>0</v>
      </c>
      <c r="AA33" s="57" t="n">
        <v>68</v>
      </c>
      <c r="AB33" s="57" t="n">
        <v>38</v>
      </c>
      <c r="AC33" s="58" t="n">
        <f aca="false">AC32+1</f>
        <v>24</v>
      </c>
      <c r="AD33" s="94"/>
      <c r="AE33" s="93"/>
    </row>
    <row r="34" customFormat="false" ht="11.1" hidden="false" customHeight="true" outlineLevel="0" collapsed="false">
      <c r="A34" s="58" t="n">
        <f aca="false">A33+1</f>
        <v>25</v>
      </c>
      <c r="B34" s="73" t="n">
        <v>6902.96</v>
      </c>
      <c r="C34" s="52" t="n">
        <v>294627</v>
      </c>
      <c r="D34" s="57" t="n">
        <f aca="false">C34-C33</f>
        <v>941</v>
      </c>
      <c r="E34" s="52" t="n">
        <f aca="false">C34-152000</f>
        <v>142627</v>
      </c>
      <c r="F34" s="51" t="n">
        <f aca="false">D34/$D$2</f>
        <v>474.413914797076</v>
      </c>
      <c r="G34" s="51" t="n">
        <v>1397.99</v>
      </c>
      <c r="H34" s="55" t="n">
        <v>0</v>
      </c>
      <c r="I34" s="51" t="n">
        <f aca="false">G34+H34</f>
        <v>1397.99</v>
      </c>
      <c r="J34" s="81" t="n">
        <f aca="false">IF(L34&gt;0,L34,0)</f>
        <v>0</v>
      </c>
      <c r="K34" s="51" t="n">
        <f aca="false">I34+J34</f>
        <v>1397.99</v>
      </c>
      <c r="L34" s="51" t="n">
        <f aca="false">F34-(I34-W34)</f>
        <v>-229.776085202924</v>
      </c>
      <c r="M34" s="51" t="n">
        <v>244.03</v>
      </c>
      <c r="N34" s="51" t="n">
        <v>0</v>
      </c>
      <c r="O34" s="51" t="n">
        <v>0</v>
      </c>
      <c r="P34" s="6" t="n">
        <f aca="false">M34-(N34+O34)</f>
        <v>244.03</v>
      </c>
      <c r="Q34" s="51" t="n">
        <v>258.55</v>
      </c>
      <c r="R34" s="51" t="n">
        <v>76.42</v>
      </c>
      <c r="S34" s="51" t="n">
        <f aca="false">SUM(P34:R34)</f>
        <v>579</v>
      </c>
      <c r="T34" s="52" t="n">
        <f aca="false">(I34-S34)+T33</f>
        <v>13924.013</v>
      </c>
      <c r="U34" s="51" t="n">
        <v>95</v>
      </c>
      <c r="V34" s="51" t="n">
        <v>19.8</v>
      </c>
      <c r="W34" s="6" t="n">
        <f aca="false">N34+O34+S34+U34+V34</f>
        <v>693.8</v>
      </c>
      <c r="X34" s="51" t="n">
        <f aca="false">IF(L34&lt;0,L34*-1,0)</f>
        <v>229.776085202924</v>
      </c>
      <c r="Y34" s="51" t="n">
        <f aca="false">W34+X34</f>
        <v>923.576085202924</v>
      </c>
      <c r="Z34" s="56" t="n">
        <v>0</v>
      </c>
      <c r="AA34" s="57" t="n">
        <v>70</v>
      </c>
      <c r="AB34" s="57" t="n">
        <v>33</v>
      </c>
      <c r="AC34" s="58" t="n">
        <f aca="false">AC33+1</f>
        <v>25</v>
      </c>
      <c r="AD34" s="94"/>
      <c r="AE34" s="93"/>
    </row>
    <row r="35" customFormat="false" ht="11.1" hidden="false" customHeight="true" outlineLevel="0" collapsed="false">
      <c r="A35" s="58" t="n">
        <f aca="false">A34+1</f>
        <v>26</v>
      </c>
      <c r="B35" s="73" t="n">
        <v>6903.21</v>
      </c>
      <c r="C35" s="52" t="n">
        <v>295574</v>
      </c>
      <c r="D35" s="57" t="n">
        <f aca="false">C35-C34</f>
        <v>947</v>
      </c>
      <c r="E35" s="52" t="n">
        <f aca="false">C35-152000</f>
        <v>143574</v>
      </c>
      <c r="F35" s="51" t="n">
        <f aca="false">D35/$D$2</f>
        <v>477.438870683136</v>
      </c>
      <c r="G35" s="51" t="n">
        <v>1251.56</v>
      </c>
      <c r="H35" s="55" t="n">
        <v>0</v>
      </c>
      <c r="I35" s="51" t="n">
        <f aca="false">G35+H35</f>
        <v>1251.56</v>
      </c>
      <c r="J35" s="81" t="n">
        <f aca="false">IF(L35&gt;0,L35,0)</f>
        <v>0</v>
      </c>
      <c r="K35" s="51" t="n">
        <f aca="false">I35+J35</f>
        <v>1251.56</v>
      </c>
      <c r="L35" s="51" t="n">
        <f aca="false">F35-(I35-W35)</f>
        <v>-70.2811293168641</v>
      </c>
      <c r="M35" s="51" t="n">
        <v>244.49</v>
      </c>
      <c r="N35" s="51" t="n">
        <v>0</v>
      </c>
      <c r="O35" s="51" t="n">
        <v>0</v>
      </c>
      <c r="P35" s="6" t="n">
        <f aca="false">M35-(N35+O35)</f>
        <v>244.49</v>
      </c>
      <c r="Q35" s="51" t="n">
        <v>258.86</v>
      </c>
      <c r="R35" s="51" t="n">
        <v>80.65</v>
      </c>
      <c r="S35" s="51" t="n">
        <f aca="false">SUM(P35:R35)</f>
        <v>584</v>
      </c>
      <c r="T35" s="52" t="n">
        <f aca="false">(I35-S35)+T34</f>
        <v>14591.573</v>
      </c>
      <c r="U35" s="51" t="n">
        <v>100</v>
      </c>
      <c r="V35" s="51" t="n">
        <v>19.84</v>
      </c>
      <c r="W35" s="6" t="n">
        <f aca="false">N35+O35+S35+U35+V35</f>
        <v>703.84</v>
      </c>
      <c r="X35" s="51" t="n">
        <f aca="false">IF(L35&lt;0,L35*-1,0)</f>
        <v>70.2811293168641</v>
      </c>
      <c r="Y35" s="51" t="n">
        <f aca="false">W35+X35</f>
        <v>774.121129316864</v>
      </c>
      <c r="Z35" s="56" t="n">
        <v>0</v>
      </c>
      <c r="AA35" s="57" t="n">
        <v>72</v>
      </c>
      <c r="AB35" s="57" t="n">
        <v>34</v>
      </c>
      <c r="AC35" s="58" t="n">
        <f aca="false">AC34+1</f>
        <v>26</v>
      </c>
      <c r="AD35" s="94"/>
      <c r="AE35" s="93"/>
    </row>
    <row r="36" customFormat="false" ht="11.1" hidden="false" customHeight="true" outlineLevel="0" collapsed="false">
      <c r="A36" s="58" t="n">
        <f aca="false">A35+1</f>
        <v>27</v>
      </c>
      <c r="B36" s="73" t="n">
        <v>6903.46</v>
      </c>
      <c r="C36" s="52" t="n">
        <v>296523</v>
      </c>
      <c r="D36" s="57" t="n">
        <f aca="false">C36-C35</f>
        <v>949</v>
      </c>
      <c r="E36" s="52" t="n">
        <f aca="false">C36-152000</f>
        <v>144523</v>
      </c>
      <c r="F36" s="51" t="n">
        <f aca="false">D36/$D$2</f>
        <v>478.447189311823</v>
      </c>
      <c r="G36" s="51" t="n">
        <v>1084.48</v>
      </c>
      <c r="H36" s="55" t="n">
        <v>0</v>
      </c>
      <c r="I36" s="51" t="n">
        <f aca="false">G36+H36</f>
        <v>1084.48</v>
      </c>
      <c r="J36" s="81" t="n">
        <f aca="false">IF(L36&gt;0,L36,0)</f>
        <v>48.8371893118225</v>
      </c>
      <c r="K36" s="51" t="n">
        <f aca="false">I36+J36</f>
        <v>1133.31718931182</v>
      </c>
      <c r="L36" s="51" t="n">
        <f aca="false">F36-(I36-W36)</f>
        <v>48.8371893118225</v>
      </c>
      <c r="M36" s="51" t="n">
        <v>245.33</v>
      </c>
      <c r="N36" s="51" t="n">
        <v>0</v>
      </c>
      <c r="O36" s="51" t="n">
        <v>0</v>
      </c>
      <c r="P36" s="6" t="n">
        <f aca="false">M36-(N36+O36)</f>
        <v>245.33</v>
      </c>
      <c r="Q36" s="51" t="n">
        <v>215.12</v>
      </c>
      <c r="R36" s="51" t="n">
        <v>82.55</v>
      </c>
      <c r="S36" s="51" t="n">
        <f aca="false">SUM(P36:R36)</f>
        <v>543</v>
      </c>
      <c r="T36" s="52" t="n">
        <f aca="false">(I36-S36)+T35</f>
        <v>15133.053</v>
      </c>
      <c r="U36" s="51" t="n">
        <v>92</v>
      </c>
      <c r="V36" s="51" t="n">
        <v>19.87</v>
      </c>
      <c r="W36" s="6" t="n">
        <f aca="false">N36+O36+S36+U36+V36</f>
        <v>654.87</v>
      </c>
      <c r="X36" s="51" t="n">
        <f aca="false">IF(L36&lt;0,L36*-1,0)</f>
        <v>0</v>
      </c>
      <c r="Y36" s="51" t="n">
        <f aca="false">W36+X36</f>
        <v>654.87</v>
      </c>
      <c r="Z36" s="56" t="n">
        <v>0</v>
      </c>
      <c r="AA36" s="57" t="n">
        <v>73</v>
      </c>
      <c r="AB36" s="57" t="n">
        <v>36</v>
      </c>
      <c r="AC36" s="58" t="n">
        <f aca="false">AC35+1</f>
        <v>27</v>
      </c>
      <c r="AD36" s="94"/>
      <c r="AE36" s="93"/>
    </row>
    <row r="37" customFormat="false" ht="11.1" hidden="false" customHeight="true" outlineLevel="0" collapsed="false">
      <c r="A37" s="58" t="n">
        <v>28</v>
      </c>
      <c r="B37" s="73" t="n">
        <v>6903.71</v>
      </c>
      <c r="C37" s="52" t="n">
        <v>297471</v>
      </c>
      <c r="D37" s="57" t="n">
        <f aca="false">C37-C36</f>
        <v>948</v>
      </c>
      <c r="E37" s="52" t="n">
        <f aca="false">C37-152000</f>
        <v>145471</v>
      </c>
      <c r="F37" s="51" t="n">
        <f aca="false">D37/$D$2</f>
        <v>477.943029997479</v>
      </c>
      <c r="G37" s="51" t="n">
        <v>1088.99</v>
      </c>
      <c r="H37" s="55" t="n">
        <v>0</v>
      </c>
      <c r="I37" s="51" t="n">
        <f aca="false">G37+H37</f>
        <v>1088.99</v>
      </c>
      <c r="J37" s="81" t="n">
        <f aca="false">IF(L37&gt;0,L37,0)</f>
        <v>0</v>
      </c>
      <c r="K37" s="51" t="n">
        <f aca="false">I37+J37</f>
        <v>1088.99</v>
      </c>
      <c r="L37" s="51" t="n">
        <f aca="false">F37-(I37-W37)</f>
        <v>-18.1869700025208</v>
      </c>
      <c r="M37" s="51" t="n">
        <v>245.48</v>
      </c>
      <c r="N37" s="51" t="n">
        <v>0</v>
      </c>
      <c r="O37" s="51" t="n">
        <v>0</v>
      </c>
      <c r="P37" s="6" t="n">
        <f aca="false">M37-(N37+O37)</f>
        <v>245.48</v>
      </c>
      <c r="Q37" s="51" t="n">
        <v>158.48</v>
      </c>
      <c r="R37" s="51" t="n">
        <v>80.04</v>
      </c>
      <c r="S37" s="51" t="n">
        <f aca="false">SUM(P37:R37)</f>
        <v>484</v>
      </c>
      <c r="T37" s="52" t="n">
        <f aca="false">(I37-S37)+T36</f>
        <v>15738.043</v>
      </c>
      <c r="U37" s="51" t="n">
        <v>89</v>
      </c>
      <c r="V37" s="51" t="n">
        <v>19.86</v>
      </c>
      <c r="W37" s="6" t="n">
        <f aca="false">N37+O37+S37+U37+V37</f>
        <v>592.86</v>
      </c>
      <c r="X37" s="51" t="n">
        <f aca="false">IF(L37&lt;0,L37*-1,0)</f>
        <v>18.1869700025208</v>
      </c>
      <c r="Y37" s="51" t="n">
        <f aca="false">W37+X37</f>
        <v>611.046970002521</v>
      </c>
      <c r="Z37" s="56" t="n">
        <v>0.24</v>
      </c>
      <c r="AA37" s="57" t="n">
        <v>70</v>
      </c>
      <c r="AB37" s="57" t="n">
        <v>38</v>
      </c>
      <c r="AC37" s="58" t="n">
        <v>28</v>
      </c>
      <c r="AD37" s="94"/>
      <c r="AE37" s="93"/>
    </row>
    <row r="38" customFormat="false" ht="11.1" hidden="false" customHeight="true" outlineLevel="0" collapsed="false">
      <c r="A38" s="58" t="n">
        <v>29</v>
      </c>
      <c r="B38" s="73" t="n">
        <v>6903.98</v>
      </c>
      <c r="C38" s="52" t="n">
        <v>298495</v>
      </c>
      <c r="D38" s="57" t="n">
        <f aca="false">C38-C37</f>
        <v>1024</v>
      </c>
      <c r="E38" s="52" t="n">
        <f aca="false">C38-152000</f>
        <v>146495</v>
      </c>
      <c r="F38" s="51" t="n">
        <f aca="false">D38/$D$2</f>
        <v>516.259137887572</v>
      </c>
      <c r="G38" s="51" t="n">
        <v>1142.32</v>
      </c>
      <c r="H38" s="55" t="n">
        <v>0</v>
      </c>
      <c r="I38" s="51" t="n">
        <f aca="false">G38+H38</f>
        <v>1142.32</v>
      </c>
      <c r="J38" s="81" t="n">
        <f aca="false">IF(L38&gt;0,L38,0)</f>
        <v>0</v>
      </c>
      <c r="K38" s="51" t="n">
        <f aca="false">I38+J38</f>
        <v>1142.32</v>
      </c>
      <c r="L38" s="51" t="n">
        <f aca="false">F38-(I38-W38)</f>
        <v>-33.8908621124275</v>
      </c>
      <c r="M38" s="51" t="n">
        <v>245.52</v>
      </c>
      <c r="N38" s="51" t="n">
        <v>0</v>
      </c>
      <c r="O38" s="51" t="n">
        <v>0</v>
      </c>
      <c r="P38" s="6" t="n">
        <f aca="false">M38-(N38+O38)</f>
        <v>245.52</v>
      </c>
      <c r="Q38" s="51" t="n">
        <v>159.84</v>
      </c>
      <c r="R38" s="51" t="n">
        <v>82.64</v>
      </c>
      <c r="S38" s="51" t="n">
        <f aca="false">SUM(P38:R38)</f>
        <v>488</v>
      </c>
      <c r="T38" s="52" t="n">
        <f aca="false">(I38-S38)+T37</f>
        <v>16392.363</v>
      </c>
      <c r="U38" s="51" t="n">
        <v>84</v>
      </c>
      <c r="V38" s="51" t="n">
        <v>20.17</v>
      </c>
      <c r="W38" s="6" t="n">
        <f aca="false">N38+O38+S38+U38+V38</f>
        <v>592.17</v>
      </c>
      <c r="X38" s="51" t="n">
        <f aca="false">IF(L38&lt;0,L38*-1,0)</f>
        <v>33.8908621124275</v>
      </c>
      <c r="Y38" s="51" t="n">
        <f aca="false">W38+X38</f>
        <v>626.060862112427</v>
      </c>
      <c r="Z38" s="56" t="n">
        <v>0.03</v>
      </c>
      <c r="AA38" s="57" t="n">
        <v>68</v>
      </c>
      <c r="AB38" s="57" t="n">
        <v>40</v>
      </c>
      <c r="AC38" s="58" t="n">
        <v>29</v>
      </c>
      <c r="AD38" s="94"/>
      <c r="AE38" s="93"/>
    </row>
    <row r="39" customFormat="false" ht="11.1" hidden="false" customHeight="true" outlineLevel="0" collapsed="false">
      <c r="A39" s="58" t="n">
        <v>30</v>
      </c>
      <c r="B39" s="73" t="n">
        <v>6904.05</v>
      </c>
      <c r="C39" s="52" t="n">
        <v>298762</v>
      </c>
      <c r="D39" s="57" t="n">
        <f aca="false">C39-C38</f>
        <v>267</v>
      </c>
      <c r="E39" s="52" t="n">
        <f aca="false">C39-152000</f>
        <v>146762</v>
      </c>
      <c r="F39" s="51" t="n">
        <f aca="false">D39/$D$2</f>
        <v>134.61053692967</v>
      </c>
      <c r="G39" s="51" t="n">
        <v>883.18</v>
      </c>
      <c r="H39" s="55" t="n">
        <v>0</v>
      </c>
      <c r="I39" s="51" t="n">
        <f aca="false">G39+H39</f>
        <v>883.18</v>
      </c>
      <c r="J39" s="81" t="n">
        <f aca="false">IF(L39&gt;0,L39,0)</f>
        <v>0</v>
      </c>
      <c r="K39" s="51" t="n">
        <f aca="false">I39+J39</f>
        <v>883.18</v>
      </c>
      <c r="L39" s="51" t="n">
        <f aca="false">F39-(I39-W39)</f>
        <v>-155.39946307033</v>
      </c>
      <c r="M39" s="51" t="n">
        <v>245.78</v>
      </c>
      <c r="N39" s="51" t="n">
        <v>0</v>
      </c>
      <c r="O39" s="51" t="n">
        <v>0</v>
      </c>
      <c r="P39" s="6" t="n">
        <f aca="false">M39-(N39+O39)</f>
        <v>245.78</v>
      </c>
      <c r="Q39" s="51" t="n">
        <v>160.44</v>
      </c>
      <c r="R39" s="51" t="n">
        <v>82.78</v>
      </c>
      <c r="S39" s="51" t="n">
        <f aca="false">SUM(P39:R39)</f>
        <v>489</v>
      </c>
      <c r="T39" s="52" t="n">
        <f aca="false">(I39-S39)+T38</f>
        <v>16786.543</v>
      </c>
      <c r="U39" s="51" t="n">
        <v>84</v>
      </c>
      <c r="V39" s="51" t="n">
        <v>20.17</v>
      </c>
      <c r="W39" s="6" t="n">
        <f aca="false">N39+O39+S39+U39+V39</f>
        <v>593.17</v>
      </c>
      <c r="X39" s="51" t="n">
        <f aca="false">IF(L39&lt;0,L39*-1,0)</f>
        <v>155.39946307033</v>
      </c>
      <c r="Y39" s="51" t="n">
        <f aca="false">W39+X39</f>
        <v>748.56946307033</v>
      </c>
      <c r="Z39" s="56" t="n">
        <v>0</v>
      </c>
      <c r="AA39" s="57" t="n">
        <v>66</v>
      </c>
      <c r="AB39" s="57" t="n">
        <v>34</v>
      </c>
      <c r="AC39" s="58" t="n">
        <v>30</v>
      </c>
      <c r="AD39" s="94"/>
      <c r="AE39" s="93"/>
    </row>
    <row r="40" customFormat="false" ht="11.1" hidden="false" customHeight="true" outlineLevel="0" collapsed="false">
      <c r="A40" s="58" t="n">
        <v>31</v>
      </c>
      <c r="B40" s="73" t="n">
        <v>6904.09</v>
      </c>
      <c r="C40" s="52" t="n">
        <v>298915</v>
      </c>
      <c r="D40" s="57" t="n">
        <f aca="false">C40-C39</f>
        <v>153</v>
      </c>
      <c r="E40" s="52" t="n">
        <f aca="false">C40-152000</f>
        <v>146915</v>
      </c>
      <c r="F40" s="51" t="n">
        <f aca="false">D40/$D$2</f>
        <v>77.1363750945299</v>
      </c>
      <c r="G40" s="51" t="n">
        <v>740.42</v>
      </c>
      <c r="H40" s="55" t="n">
        <v>0</v>
      </c>
      <c r="I40" s="51" t="n">
        <f aca="false">G40+H40</f>
        <v>740.42</v>
      </c>
      <c r="J40" s="81" t="n">
        <f aca="false">IF(L40&gt;0,L40,0)</f>
        <v>0</v>
      </c>
      <c r="K40" s="51" t="n">
        <f aca="false">I40+J40</f>
        <v>740.42</v>
      </c>
      <c r="L40" s="51" t="n">
        <f aca="false">F40-(I40-W40)</f>
        <v>-74.1736249054701</v>
      </c>
      <c r="M40" s="51" t="n">
        <v>246.24</v>
      </c>
      <c r="N40" s="51" t="n">
        <v>0</v>
      </c>
      <c r="O40" s="51" t="n">
        <v>0</v>
      </c>
      <c r="P40" s="6" t="n">
        <f aca="false">M40-(N40+O40)</f>
        <v>246.24</v>
      </c>
      <c r="Q40" s="51" t="n">
        <v>160.57</v>
      </c>
      <c r="R40" s="51" t="n">
        <v>83.19</v>
      </c>
      <c r="S40" s="51" t="n">
        <f aca="false">SUM(P40:R40)</f>
        <v>490</v>
      </c>
      <c r="T40" s="52" t="n">
        <f aca="false">(I40-S40)+T39</f>
        <v>17036.963</v>
      </c>
      <c r="U40" s="51" t="n">
        <v>79</v>
      </c>
      <c r="V40" s="51" t="n">
        <v>20.11</v>
      </c>
      <c r="W40" s="6" t="n">
        <f aca="false">N40+O40+S40+U40+V40</f>
        <v>589.11</v>
      </c>
      <c r="X40" s="51" t="n">
        <f aca="false">IF(L40&lt;0,L40*-1,0)</f>
        <v>74.1736249054701</v>
      </c>
      <c r="Y40" s="51" t="n">
        <f aca="false">W40+X40</f>
        <v>663.28362490547</v>
      </c>
      <c r="Z40" s="56" t="n">
        <v>0</v>
      </c>
      <c r="AA40" s="57" t="n">
        <v>69</v>
      </c>
      <c r="AB40" s="57" t="n">
        <v>35</v>
      </c>
      <c r="AC40" s="58" t="n">
        <v>31</v>
      </c>
      <c r="AD40" s="94"/>
      <c r="AE40" s="93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09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2"/>
      <c r="AE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10190.0680615074</v>
      </c>
      <c r="G42" s="52" t="n">
        <f aca="false">SUM(G10:G40)</f>
        <v>25033.51</v>
      </c>
      <c r="H42" s="55" t="n">
        <f aca="false">SUM(H10:H40)</f>
        <v>185.55</v>
      </c>
      <c r="I42" s="52" t="n">
        <f aca="false">SUM(I10:I40)</f>
        <v>25219.06</v>
      </c>
      <c r="J42" s="52" t="n">
        <f aca="false">SUM(J10:J40)</f>
        <v>947.195356692715</v>
      </c>
      <c r="K42" s="52" t="n">
        <f aca="false">SUM(K10:K40)</f>
        <v>26166.2553566927</v>
      </c>
      <c r="L42" s="52" t="n">
        <f aca="false">SUM(L10:L40)</f>
        <v>-196.441938492564</v>
      </c>
      <c r="M42" s="52" t="n">
        <f aca="false">SUM(M10:M40)</f>
        <v>6042.56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6042.56</v>
      </c>
      <c r="Q42" s="52" t="n">
        <f aca="false">SUM(Q10:Q40)</f>
        <v>3998.37</v>
      </c>
      <c r="R42" s="52" t="n">
        <f aca="false">SUM(R10:R40)</f>
        <v>1930.84</v>
      </c>
      <c r="S42" s="52" t="n">
        <f aca="false">SUM(S10:S40)</f>
        <v>11971.77</v>
      </c>
      <c r="T42" s="52"/>
      <c r="U42" s="52" t="n">
        <f aca="false">SUM(U10:U40)</f>
        <v>2244</v>
      </c>
      <c r="V42" s="52" t="n">
        <f aca="false">SUM(V10:V40)</f>
        <v>616.78</v>
      </c>
      <c r="W42" s="52" t="n">
        <f aca="false">SUM(W10:W40)</f>
        <v>14832.55</v>
      </c>
      <c r="X42" s="52" t="n">
        <f aca="false">SUM(X10:X40)</f>
        <v>1143.63729518528</v>
      </c>
      <c r="Y42" s="52" t="n">
        <f aca="false">SUM(Y10:Y40)</f>
        <v>15976.1872951853</v>
      </c>
      <c r="Z42" s="56" t="n">
        <f aca="false">SUM(Z10:Z40)</f>
        <v>0.793</v>
      </c>
      <c r="AA42" s="57" t="n">
        <f aca="false">AVERAGE(AA10:AA40)</f>
        <v>66.5161290322581</v>
      </c>
      <c r="AB42" s="57" t="n">
        <f aca="false">AVERAGE(AB10:AB40)</f>
        <v>34.5806451612903</v>
      </c>
      <c r="AC42" s="58" t="s">
        <v>67</v>
      </c>
      <c r="AD42" s="92"/>
      <c r="AE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20212</v>
      </c>
      <c r="E43" s="52"/>
      <c r="F43" s="52" t="n">
        <f aca="false">F42*$D$2</f>
        <v>20212</v>
      </c>
      <c r="G43" s="52" t="n">
        <f aca="false">G42*$D$2</f>
        <v>49653.967085</v>
      </c>
      <c r="H43" s="55" t="n">
        <f aca="false">H42*$D$2</f>
        <v>368.038425</v>
      </c>
      <c r="I43" s="52" t="n">
        <f aca="false">I42*$D$2</f>
        <v>50022.00551</v>
      </c>
      <c r="J43" s="52" t="n">
        <f aca="false">J42*$D$2</f>
        <v>1878.76199</v>
      </c>
      <c r="K43" s="52" t="n">
        <f aca="false">K42*$D$2</f>
        <v>51900.7675</v>
      </c>
      <c r="L43" s="52" t="n">
        <f aca="false">L42*$D$2</f>
        <v>-389.642585</v>
      </c>
      <c r="M43" s="52" t="n">
        <f aca="false">M42*$D$2</f>
        <v>11985.41776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11985.41776</v>
      </c>
      <c r="Q43" s="52" t="n">
        <f aca="false">Q42*$D$2</f>
        <v>7930.766895</v>
      </c>
      <c r="R43" s="52" t="n">
        <f aca="false">R42*$D$2</f>
        <v>3829.82114</v>
      </c>
      <c r="S43" s="52" t="n">
        <f aca="false">S42*$D$2</f>
        <v>23746.005795</v>
      </c>
      <c r="T43" s="52"/>
      <c r="U43" s="52" t="n">
        <f aca="false">U42*$D$2</f>
        <v>4450.974</v>
      </c>
      <c r="V43" s="52" t="n">
        <f aca="false">V42*$D$2</f>
        <v>1223.38313</v>
      </c>
      <c r="W43" s="111" t="n">
        <f aca="false">W42*$D$2</f>
        <v>29420.362925</v>
      </c>
      <c r="X43" s="52" t="n">
        <f aca="false">X42*$D$2</f>
        <v>2268.404575</v>
      </c>
      <c r="Y43" s="52" t="n">
        <f aca="false">Y42*$D$2</f>
        <v>31688.7675</v>
      </c>
      <c r="Z43" s="56"/>
      <c r="AA43" s="57" t="n">
        <f aca="false">MAX(AA10:AA40)</f>
        <v>76</v>
      </c>
      <c r="AB43" s="57" t="n">
        <f aca="false">MAX(AB10:AB40)</f>
        <v>40</v>
      </c>
      <c r="AC43" s="58" t="s">
        <v>47</v>
      </c>
      <c r="AD43" s="92"/>
      <c r="AE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09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12989.664734056</v>
      </c>
      <c r="G45" s="52" t="n">
        <f aca="false">G7+G42</f>
        <v>30918.28</v>
      </c>
      <c r="H45" s="55" t="n">
        <f aca="false">H7+H42</f>
        <v>997.623</v>
      </c>
      <c r="I45" s="52" t="n">
        <f aca="false">I7+I42</f>
        <v>31915.903</v>
      </c>
      <c r="J45" s="52" t="n">
        <f aca="false">J7+J42</f>
        <v>947.286846483489</v>
      </c>
      <c r="K45" s="52" t="n">
        <f aca="false">K7+K42</f>
        <v>32863.1898464835</v>
      </c>
      <c r="L45" s="52" t="n">
        <f aca="false">L7+L42</f>
        <v>-414.768265944038</v>
      </c>
      <c r="M45" s="52" t="n">
        <f aca="false">M7+M42</f>
        <v>7788.64</v>
      </c>
      <c r="N45" s="52" t="n">
        <f aca="false">N7+N42</f>
        <v>0</v>
      </c>
      <c r="O45" s="52" t="n">
        <f aca="false">O7+O42</f>
        <v>0</v>
      </c>
      <c r="P45" s="52" t="n">
        <f aca="false">P7+P42</f>
        <v>7788.64</v>
      </c>
      <c r="Q45" s="52" t="n">
        <f aca="false">Q7+Q42</f>
        <v>4903.71</v>
      </c>
      <c r="R45" s="52" t="n">
        <f aca="false">R7+R42</f>
        <v>2186.59</v>
      </c>
      <c r="S45" s="52" t="n">
        <f aca="false">S7+S42</f>
        <v>14878.94</v>
      </c>
      <c r="T45" s="52" t="n">
        <f aca="false">T40+T42</f>
        <v>17036.963</v>
      </c>
      <c r="U45" s="52" t="n">
        <f aca="false">U7+U42</f>
        <v>2406</v>
      </c>
      <c r="V45" s="52" t="n">
        <f aca="false">V7+V42</f>
        <v>1226.53</v>
      </c>
      <c r="W45" s="52" t="n">
        <f aca="false">W7+W42</f>
        <v>18511.47</v>
      </c>
      <c r="X45" s="52" t="n">
        <f aca="false">X7+X42</f>
        <v>1362.05511242753</v>
      </c>
      <c r="Y45" s="52" t="n">
        <f aca="false">Y7+Y42</f>
        <v>19873.5251124275</v>
      </c>
      <c r="Z45" s="56"/>
      <c r="AA45" s="57" t="n">
        <f aca="false">MIN(AA10:AA40)</f>
        <v>46</v>
      </c>
      <c r="AB45" s="57" t="n">
        <f aca="false">MIN(AB10:AB40)</f>
        <v>29</v>
      </c>
      <c r="AC45" s="58" t="s">
        <v>49</v>
      </c>
      <c r="AD45" s="92"/>
      <c r="AE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25765</v>
      </c>
      <c r="G46" s="52" t="n">
        <f aca="false">G45*$D$2</f>
        <v>61326.40838</v>
      </c>
      <c r="H46" s="55" t="n">
        <f aca="false">H45*$D$2</f>
        <v>1978.7852205</v>
      </c>
      <c r="I46" s="52" t="n">
        <f aca="false">I45*$D$2</f>
        <v>63305.1936005</v>
      </c>
      <c r="J46" s="52" t="n">
        <f aca="false">J45*$D$2</f>
        <v>1878.94346</v>
      </c>
      <c r="K46" s="52" t="n">
        <f aca="false">K45*$D$2</f>
        <v>65184.1370605</v>
      </c>
      <c r="L46" s="52" t="n">
        <f aca="false">L45*$D$2</f>
        <v>-822.6928555</v>
      </c>
      <c r="M46" s="52" t="n">
        <f aca="false">M45*$D$2</f>
        <v>15448.76744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15448.76744</v>
      </c>
      <c r="Q46" s="52" t="n">
        <f aca="false">Q45*$D$2</f>
        <v>9726.508785</v>
      </c>
      <c r="R46" s="52" t="n">
        <f aca="false">R45*$D$2</f>
        <v>4337.101265</v>
      </c>
      <c r="S46" s="52" t="n">
        <f aca="false">S45*$D$2</f>
        <v>29512.37749</v>
      </c>
      <c r="T46" s="52" t="n">
        <f aca="false">T45*$D$2</f>
        <v>33792.8161105</v>
      </c>
      <c r="U46" s="52" t="n">
        <f aca="false">U45*$D$2</f>
        <v>4772.301</v>
      </c>
      <c r="V46" s="52" t="n">
        <f aca="false">V45*$D$2</f>
        <v>2432.822255</v>
      </c>
      <c r="W46" s="52" t="n">
        <f aca="false">W45*$D$2</f>
        <v>36717.500745</v>
      </c>
      <c r="X46" s="52" t="n">
        <f aca="false">X45*$D$2</f>
        <v>2701.6363155</v>
      </c>
      <c r="Y46" s="52" t="n">
        <f aca="false">Y45*$D$2</f>
        <v>39419.1370605</v>
      </c>
      <c r="Z46" s="56"/>
      <c r="AA46" s="57"/>
      <c r="AB46" s="57"/>
      <c r="AC46" s="58"/>
      <c r="AD46" s="92"/>
      <c r="AE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0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1225.1071338543</v>
      </c>
      <c r="G48" s="52" t="n">
        <f aca="false">G8+G42</f>
        <v>36044.436</v>
      </c>
      <c r="H48" s="55" t="n">
        <f aca="false">H8+H42</f>
        <v>997.623</v>
      </c>
      <c r="I48" s="52" t="n">
        <f aca="false">I8+I42</f>
        <v>37448.549</v>
      </c>
      <c r="J48" s="52" t="n">
        <f aca="false">J8+J42</f>
        <v>1292.19459994958</v>
      </c>
      <c r="K48" s="52" t="n">
        <f aca="false">K8+K42</f>
        <v>38667.1581197378</v>
      </c>
      <c r="L48" s="52" t="n">
        <f aca="false">L8+L42</f>
        <v>-1634.2418661457</v>
      </c>
      <c r="M48" s="52" t="n">
        <f aca="false">M8+M42</f>
        <v>9190.28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9190.2</v>
      </c>
      <c r="Q48" s="52" t="n">
        <f aca="false">Q8+Q42</f>
        <v>9428.15</v>
      </c>
      <c r="R48" s="52" t="n">
        <f aca="false">R8+R42</f>
        <v>2240.21</v>
      </c>
      <c r="S48" s="52" t="n">
        <f aca="false">S8+S42</f>
        <v>20858.56</v>
      </c>
      <c r="T48" s="52"/>
      <c r="U48" s="52" t="n">
        <f aca="false">U8+U42</f>
        <v>2406</v>
      </c>
      <c r="V48" s="52" t="n">
        <f aca="false">V8+V42</f>
        <v>11324.56</v>
      </c>
      <c r="W48" s="52" t="n">
        <f aca="false">W8+W42</f>
        <v>34589.2</v>
      </c>
      <c r="X48" s="52" t="n">
        <f aca="false">X8+X42</f>
        <v>2926.43646609529</v>
      </c>
      <c r="Y48" s="52" t="n">
        <f aca="false">Y8+Y42</f>
        <v>37515.6364660953</v>
      </c>
      <c r="Z48" s="56" t="n">
        <f aca="false">Z8+Z42</f>
        <v>9.803</v>
      </c>
      <c r="AA48" s="57"/>
      <c r="AB48" s="57"/>
      <c r="AC48" s="58"/>
      <c r="AD48" s="92"/>
      <c r="AE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2430</v>
      </c>
      <c r="E49" s="52" t="n">
        <f aca="false">E40</f>
        <v>146915</v>
      </c>
      <c r="F49" s="52" t="n">
        <f aca="false">F48*$D$2</f>
        <v>2430</v>
      </c>
      <c r="G49" s="52" t="n">
        <f aca="false">G48*$D$2</f>
        <v>71494.138806</v>
      </c>
      <c r="H49" s="55" t="n">
        <f aca="false">H48*$D$2</f>
        <v>1978.7852205</v>
      </c>
      <c r="I49" s="52" t="n">
        <f aca="false">I48*$D$2</f>
        <v>74279.1969415</v>
      </c>
      <c r="J49" s="52" t="n">
        <f aca="false">J48*$D$2</f>
        <v>2563.067989</v>
      </c>
      <c r="K49" s="52" t="n">
        <f aca="false">K48*$D$2</f>
        <v>76696.3081305</v>
      </c>
      <c r="L49" s="52" t="n">
        <f aca="false">L48*$D$2</f>
        <v>-3241.5187415</v>
      </c>
      <c r="M49" s="52" t="n">
        <f aca="false">M48*$D$2</f>
        <v>18228.92038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18228.7617</v>
      </c>
      <c r="Q49" s="52" t="n">
        <f aca="false">Q48*$D$2</f>
        <v>18700.735525</v>
      </c>
      <c r="R49" s="52" t="n">
        <f aca="false">R48*$D$2</f>
        <v>4443.456535</v>
      </c>
      <c r="S49" s="52" t="n">
        <f aca="false">S48*$D$2</f>
        <v>41372.95376</v>
      </c>
      <c r="T49" s="52" t="n">
        <f aca="false">T48*$D$2</f>
        <v>0</v>
      </c>
      <c r="U49" s="52" t="n">
        <f aca="false">U48*$D$2</f>
        <v>4772.301</v>
      </c>
      <c r="V49" s="52" t="n">
        <f aca="false">V48*$D$2</f>
        <v>22462.26476</v>
      </c>
      <c r="W49" s="52" t="n">
        <f aca="false">W48*$D$2</f>
        <v>68607.6782</v>
      </c>
      <c r="X49" s="52" t="n">
        <f aca="false">X48*$D$2</f>
        <v>5804.5867305</v>
      </c>
      <c r="Y49" s="52" t="n">
        <f aca="false">Y48*$D$2</f>
        <v>74412.2649305</v>
      </c>
      <c r="Z49" s="56"/>
      <c r="AA49" s="57"/>
      <c r="AB49" s="57"/>
      <c r="AC49" s="58"/>
      <c r="AD49" s="92"/>
      <c r="AE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112"/>
      <c r="G50" s="112"/>
      <c r="H50" s="109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3"/>
    </row>
    <row r="51" customFormat="false" ht="11.1" hidden="false" customHeight="true" outlineLevel="0" collapsed="false">
      <c r="A51" s="82"/>
      <c r="B51" s="55"/>
      <c r="C51" s="52"/>
      <c r="D51" s="52" t="s">
        <v>68</v>
      </c>
      <c r="E51" s="45" t="e">
        <f aca="false">#REF!-#REF!</f>
        <v>#REF!</v>
      </c>
      <c r="F51" s="113" t="s">
        <v>69</v>
      </c>
      <c r="G51" s="114"/>
      <c r="I51" s="82"/>
      <c r="J51" s="82"/>
      <c r="K51" s="82"/>
      <c r="L51" s="82"/>
      <c r="M51" s="81"/>
      <c r="N51" s="81"/>
      <c r="O51" s="81"/>
      <c r="P51" s="82"/>
      <c r="Q51" s="82"/>
      <c r="R51" s="82"/>
      <c r="S51" s="52"/>
      <c r="T51" s="82"/>
      <c r="U51" s="52"/>
      <c r="V51" s="52"/>
      <c r="W51" s="82"/>
      <c r="X51" s="82"/>
      <c r="Y51" s="55"/>
      <c r="Z51" s="56"/>
      <c r="AA51" s="57"/>
      <c r="AB51" s="58"/>
      <c r="AC51" s="98"/>
    </row>
    <row r="52" customFormat="false" ht="11.1" hidden="false" customHeight="true" outlineLevel="0" collapsed="false">
      <c r="A52" s="82"/>
      <c r="B52" s="0"/>
      <c r="C52" s="52"/>
      <c r="D52" s="0"/>
      <c r="E52" s="52"/>
      <c r="F52" s="82"/>
      <c r="G52" s="115"/>
      <c r="H52" s="116"/>
      <c r="I52" s="117"/>
      <c r="J52" s="82"/>
      <c r="K52" s="82"/>
      <c r="L52" s="82"/>
      <c r="M52" s="81"/>
      <c r="N52" s="81"/>
      <c r="O52" s="81"/>
      <c r="P52" s="82"/>
      <c r="Q52" s="82"/>
      <c r="R52" s="82"/>
      <c r="S52" s="52"/>
      <c r="T52" s="82"/>
      <c r="U52" s="82"/>
      <c r="V52" s="52"/>
      <c r="W52" s="82"/>
      <c r="X52" s="82"/>
      <c r="Y52" s="55"/>
      <c r="Z52" s="56"/>
      <c r="AA52" s="57"/>
      <c r="AB52" s="58"/>
      <c r="AC52" s="98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E1" activeCellId="0" sqref="AE1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103" width="6.82"/>
    <col collapsed="false" customWidth="true" hidden="false" outlineLevel="0" max="25" min="24" style="0" width="7.82"/>
    <col collapsed="false" customWidth="true" hidden="false" outlineLevel="0" max="26" min="26" style="103" width="8.16"/>
    <col collapsed="false" customWidth="true" hidden="false" outlineLevel="0" max="27" min="27" style="2" width="4.66"/>
    <col collapsed="false" customWidth="true" hidden="false" outlineLevel="0" max="28" min="28" style="4" width="4.66"/>
    <col collapsed="false" customWidth="true" hidden="false" outlineLevel="0" max="29" min="29" style="5" width="4.66"/>
    <col collapsed="false" customWidth="true" hidden="false" outlineLevel="0" max="30" min="30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11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10"/>
      <c r="X1" s="6"/>
      <c r="Y1" s="6"/>
      <c r="Z1" s="10"/>
      <c r="AA1" s="11"/>
      <c r="AB1" s="12"/>
      <c r="AC1" s="13"/>
      <c r="AD1" s="104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11"/>
      <c r="I2" s="6"/>
      <c r="J2" s="6"/>
      <c r="K2" s="105" t="s">
        <v>70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"/>
      <c r="X2" s="6"/>
      <c r="Y2" s="6"/>
      <c r="Z2" s="10"/>
      <c r="AA2" s="11"/>
      <c r="AB2" s="12"/>
      <c r="AC2" s="13"/>
      <c r="AD2" s="104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10"/>
      <c r="X3" s="6"/>
      <c r="Y3" s="6"/>
      <c r="Z3" s="10"/>
      <c r="AA3" s="11"/>
      <c r="AB3" s="12"/>
      <c r="AC3" s="13"/>
      <c r="AD3" s="104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20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18" t="s">
        <v>71</v>
      </c>
      <c r="X4" s="16" t="s">
        <v>10</v>
      </c>
      <c r="Y4" s="16" t="s">
        <v>11</v>
      </c>
      <c r="Z4" s="16" t="s">
        <v>12</v>
      </c>
      <c r="AA4" s="20" t="s">
        <v>19</v>
      </c>
      <c r="AB4" s="21" t="s">
        <v>20</v>
      </c>
      <c r="AC4" s="21" t="s">
        <v>21</v>
      </c>
      <c r="AD4" s="21" t="s">
        <v>3</v>
      </c>
      <c r="AE4" s="104"/>
    </row>
    <row r="5" customFormat="false" ht="11.1" hidden="false" customHeight="true" outlineLevel="0" collapsed="false">
      <c r="A5" s="22" t="s">
        <v>72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20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64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18" t="s">
        <v>73</v>
      </c>
      <c r="X5" s="16" t="s">
        <v>40</v>
      </c>
      <c r="Y5" s="16" t="s">
        <v>40</v>
      </c>
      <c r="Z5" s="16" t="s">
        <v>40</v>
      </c>
      <c r="AA5" s="24"/>
      <c r="AB5" s="21" t="s">
        <v>41</v>
      </c>
      <c r="AC5" s="21" t="s">
        <v>41</v>
      </c>
      <c r="AD5" s="25" t="s">
        <v>72</v>
      </c>
      <c r="AE5" s="104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19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120"/>
      <c r="X6" s="26"/>
      <c r="Y6" s="26"/>
      <c r="Z6" s="26"/>
      <c r="AA6" s="11"/>
      <c r="AB6" s="13"/>
      <c r="AC6" s="13"/>
      <c r="AD6" s="13"/>
      <c r="AF6" s="121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 t="n">
        <f aca="false">MAY!F45</f>
        <v>12989.664734056</v>
      </c>
      <c r="G7" s="7" t="n">
        <f aca="false">MAY!G45</f>
        <v>30918.28</v>
      </c>
      <c r="H7" s="11" t="n">
        <f aca="false">MAY!H45</f>
        <v>997.623</v>
      </c>
      <c r="I7" s="7" t="n">
        <f aca="false">MAY!I45</f>
        <v>31915.903</v>
      </c>
      <c r="J7" s="7" t="n">
        <f aca="false">MAY!J45</f>
        <v>947.286846483489</v>
      </c>
      <c r="K7" s="7" t="n">
        <f aca="false">MAY!K45</f>
        <v>32863.1898464835</v>
      </c>
      <c r="L7" s="7" t="n">
        <f aca="false">MAY!L45</f>
        <v>-414.768265944038</v>
      </c>
      <c r="M7" s="7" t="n">
        <f aca="false">MAY!M45</f>
        <v>7788.64</v>
      </c>
      <c r="N7" s="7" t="n">
        <f aca="false">MAY!N45</f>
        <v>0</v>
      </c>
      <c r="O7" s="7" t="n">
        <f aca="false">MAY!O45</f>
        <v>0</v>
      </c>
      <c r="P7" s="7" t="n">
        <f aca="false">MAY!P45</f>
        <v>7788.64</v>
      </c>
      <c r="Q7" s="7" t="n">
        <f aca="false">MAY!Q45</f>
        <v>4903.71</v>
      </c>
      <c r="R7" s="7" t="n">
        <f aca="false">MAY!R45</f>
        <v>2186.59</v>
      </c>
      <c r="S7" s="7" t="n">
        <f aca="false">MAY!S45</f>
        <v>14878.94</v>
      </c>
      <c r="T7" s="7" t="n">
        <f aca="false">MAY!T45</f>
        <v>17036.963</v>
      </c>
      <c r="U7" s="7" t="n">
        <f aca="false">MAY!U45</f>
        <v>2406</v>
      </c>
      <c r="V7" s="7" t="n">
        <f aca="false">MAY!V45</f>
        <v>1226.53</v>
      </c>
      <c r="W7" s="10"/>
      <c r="X7" s="7" t="n">
        <f aca="false">MAY!W45</f>
        <v>18511.47</v>
      </c>
      <c r="Y7" s="7" t="n">
        <f aca="false">MAY!X45</f>
        <v>1362.05511242753</v>
      </c>
      <c r="Z7" s="7" t="n">
        <f aca="false">MAY!Y45</f>
        <v>19873.5251124275</v>
      </c>
      <c r="AA7" s="11"/>
      <c r="AB7" s="12"/>
      <c r="AC7" s="12"/>
      <c r="AD7" s="13"/>
      <c r="AF7" s="122"/>
    </row>
    <row r="8" s="1" customFormat="true" ht="11.1" hidden="false" customHeight="true" outlineLevel="0" collapsed="false">
      <c r="A8" s="7" t="s">
        <v>43</v>
      </c>
      <c r="B8" s="29" t="n">
        <f aca="false">MAY!B40</f>
        <v>6904.09</v>
      </c>
      <c r="C8" s="7" t="n">
        <f aca="false">MAY!C40</f>
        <v>298915</v>
      </c>
      <c r="D8" s="7" t="n">
        <f aca="false">MAY!D49</f>
        <v>2430</v>
      </c>
      <c r="E8" s="7" t="n">
        <f aca="false">MAY!E49</f>
        <v>146915</v>
      </c>
      <c r="F8" s="7" t="n">
        <f aca="false">MAY!F48</f>
        <v>1225.1071338543</v>
      </c>
      <c r="G8" s="7" t="n">
        <f aca="false">MAY!G48</f>
        <v>36044.436</v>
      </c>
      <c r="H8" s="11" t="n">
        <f aca="false">MAY!H48</f>
        <v>997.623</v>
      </c>
      <c r="I8" s="7" t="n">
        <f aca="false">MAY!I48</f>
        <v>37448.549</v>
      </c>
      <c r="J8" s="7" t="n">
        <f aca="false">MAY!J48</f>
        <v>1292.19459994958</v>
      </c>
      <c r="K8" s="7" t="n">
        <f aca="false">MAY!K48</f>
        <v>38667.1581197378</v>
      </c>
      <c r="L8" s="7" t="n">
        <f aca="false">MAY!L48</f>
        <v>-1634.2418661457</v>
      </c>
      <c r="M8" s="7" t="n">
        <f aca="false">MAY!M48</f>
        <v>9190.28</v>
      </c>
      <c r="N8" s="7" t="n">
        <f aca="false">MAY!N48</f>
        <v>0.08</v>
      </c>
      <c r="O8" s="7" t="n">
        <f aca="false">MAY!O48</f>
        <v>0</v>
      </c>
      <c r="P8" s="7" t="n">
        <f aca="false">MAY!P48</f>
        <v>9190.2</v>
      </c>
      <c r="Q8" s="7" t="n">
        <f aca="false">MAY!Q48</f>
        <v>9428.15</v>
      </c>
      <c r="R8" s="7" t="n">
        <f aca="false">MAY!R48</f>
        <v>2240.21</v>
      </c>
      <c r="S8" s="7" t="n">
        <f aca="false">MAY!S48</f>
        <v>20858.56</v>
      </c>
      <c r="T8" s="7" t="n">
        <f aca="false">MAY!T48</f>
        <v>0</v>
      </c>
      <c r="U8" s="7" t="n">
        <f aca="false">MAY!U48</f>
        <v>2406</v>
      </c>
      <c r="V8" s="7" t="n">
        <f aca="false">MAY!V48</f>
        <v>11324.56</v>
      </c>
      <c r="W8" s="10"/>
      <c r="X8" s="7" t="n">
        <f aca="false">MAY!W48</f>
        <v>34589.2</v>
      </c>
      <c r="Y8" s="7" t="n">
        <f aca="false">MAY!X48</f>
        <v>2926.43646609529</v>
      </c>
      <c r="Z8" s="7" t="n">
        <f aca="false">MAY!Y48</f>
        <v>37515.6364660953</v>
      </c>
      <c r="AA8" s="11" t="n">
        <f aca="false">MAY!Z48</f>
        <v>9.803</v>
      </c>
      <c r="AB8" s="12"/>
      <c r="AC8" s="12"/>
      <c r="AD8" s="13"/>
      <c r="AE8" s="123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4"/>
      <c r="I9" s="30"/>
      <c r="J9" s="30"/>
      <c r="K9" s="30"/>
      <c r="L9" s="30"/>
      <c r="M9" s="30"/>
      <c r="N9" s="30"/>
      <c r="O9" s="30" t="n">
        <v>0</v>
      </c>
      <c r="P9" s="30"/>
      <c r="Q9" s="30"/>
      <c r="R9" s="30" t="n">
        <v>0</v>
      </c>
      <c r="S9" s="30"/>
      <c r="T9" s="32"/>
      <c r="U9" s="30"/>
      <c r="V9" s="30"/>
      <c r="W9" s="124"/>
      <c r="X9" s="30"/>
      <c r="Y9" s="30"/>
      <c r="Z9" s="30"/>
      <c r="AA9" s="34"/>
      <c r="AB9" s="35"/>
      <c r="AC9" s="35"/>
      <c r="AD9" s="36"/>
      <c r="AE9" s="104"/>
    </row>
    <row r="10" customFormat="false" ht="11.1" hidden="false" customHeight="true" outlineLevel="0" collapsed="false">
      <c r="A10" s="13" t="n">
        <v>1</v>
      </c>
      <c r="B10" s="29" t="n">
        <v>6904.13</v>
      </c>
      <c r="C10" s="7" t="n">
        <v>298956</v>
      </c>
      <c r="D10" s="12" t="n">
        <f aca="false">C10-C8</f>
        <v>41</v>
      </c>
      <c r="E10" s="7" t="n">
        <f aca="false">C10-152000</f>
        <v>146956</v>
      </c>
      <c r="F10" s="6" t="n">
        <f aca="false">D10/$D$2</f>
        <v>20.6705318880766</v>
      </c>
      <c r="G10" s="6" t="n">
        <v>804.57</v>
      </c>
      <c r="H10" s="11" t="n">
        <v>3.7</v>
      </c>
      <c r="I10" s="6" t="n">
        <f aca="false">G10+H10</f>
        <v>808.27</v>
      </c>
      <c r="J10" s="106" t="n">
        <f aca="false">IF(L10&gt;0,L10,0)</f>
        <v>0</v>
      </c>
      <c r="K10" s="6" t="n">
        <f aca="false">I10+J10</f>
        <v>808.27</v>
      </c>
      <c r="L10" s="6" t="n">
        <f aca="false">F10-(I10-X10)</f>
        <v>-193.459468111924</v>
      </c>
      <c r="M10" s="6" t="n">
        <v>246.53</v>
      </c>
      <c r="N10" s="6" t="n">
        <v>0</v>
      </c>
      <c r="O10" s="51" t="n">
        <v>0</v>
      </c>
      <c r="P10" s="6" t="n">
        <f aca="false">M10-(N10+O10)</f>
        <v>246.53</v>
      </c>
      <c r="Q10" s="6" t="n">
        <v>183.58</v>
      </c>
      <c r="R10" s="6" t="n">
        <v>74.89</v>
      </c>
      <c r="S10" s="6" t="n">
        <f aca="false">SUM(P10:R10)</f>
        <v>505</v>
      </c>
      <c r="T10" s="7" t="n">
        <f aca="false">(I10-S10)+T7</f>
        <v>17340.233</v>
      </c>
      <c r="U10" s="6" t="n">
        <v>69</v>
      </c>
      <c r="V10" s="6" t="n">
        <v>20.14</v>
      </c>
      <c r="W10" s="10" t="n">
        <v>0</v>
      </c>
      <c r="X10" s="6" t="n">
        <f aca="false">N10+O10+S10+U10+V10</f>
        <v>594.14</v>
      </c>
      <c r="Y10" s="6" t="n">
        <f aca="false">IF(L10&lt;0,L10*-1,0)</f>
        <v>193.459468111924</v>
      </c>
      <c r="Z10" s="6" t="n">
        <f aca="false">X10+Y10</f>
        <v>787.599468111923</v>
      </c>
      <c r="AA10" s="11" t="n">
        <v>0</v>
      </c>
      <c r="AB10" s="12" t="n">
        <v>65</v>
      </c>
      <c r="AC10" s="12" t="n">
        <v>38</v>
      </c>
      <c r="AD10" s="13" t="n">
        <v>1</v>
      </c>
      <c r="AE10" s="12"/>
      <c r="AF10" s="125"/>
      <c r="AG10" s="6"/>
    </row>
    <row r="11" customFormat="false" ht="11.1" hidden="false" customHeight="true" outlineLevel="0" collapsed="false">
      <c r="A11" s="13" t="n">
        <f aca="false">A10+1</f>
        <v>2</v>
      </c>
      <c r="B11" s="29" t="n">
        <v>6914.16</v>
      </c>
      <c r="C11" s="7" t="n">
        <v>299071</v>
      </c>
      <c r="D11" s="12" t="n">
        <f aca="false">C11-C10</f>
        <v>115</v>
      </c>
      <c r="E11" s="7" t="n">
        <f aca="false">C11-152000</f>
        <v>147071</v>
      </c>
      <c r="F11" s="6" t="n">
        <f aca="false">D11/$D$2</f>
        <v>57.9783211494832</v>
      </c>
      <c r="G11" s="6" t="n">
        <v>671.09</v>
      </c>
      <c r="H11" s="11" t="n">
        <v>7.2</v>
      </c>
      <c r="I11" s="6" t="n">
        <f aca="false">G11+H11</f>
        <v>678.29</v>
      </c>
      <c r="J11" s="106" t="n">
        <f aca="false">IF(L11&gt;0,L11,0)</f>
        <v>0</v>
      </c>
      <c r="K11" s="6" t="n">
        <f aca="false">I11+J11</f>
        <v>678.29</v>
      </c>
      <c r="L11" s="6" t="n">
        <f aca="false">F11-(I11-X11)</f>
        <v>-16.1016788505168</v>
      </c>
      <c r="M11" s="6" t="n">
        <v>246.46</v>
      </c>
      <c r="N11" s="6" t="n">
        <v>0</v>
      </c>
      <c r="O11" s="51" t="n">
        <v>0</v>
      </c>
      <c r="P11" s="6" t="n">
        <f aca="false">M11-(N11+O11)</f>
        <v>246.46</v>
      </c>
      <c r="Q11" s="6" t="n">
        <v>195.99</v>
      </c>
      <c r="R11" s="6" t="n">
        <v>82.55</v>
      </c>
      <c r="S11" s="6" t="n">
        <f aca="false">SUM(P11:R11)</f>
        <v>525</v>
      </c>
      <c r="T11" s="52" t="n">
        <f aca="false">(I11-S11)+T10</f>
        <v>17493.523</v>
      </c>
      <c r="U11" s="6" t="n">
        <v>59</v>
      </c>
      <c r="V11" s="6" t="n">
        <v>20.21</v>
      </c>
      <c r="W11" s="10" t="n">
        <v>0</v>
      </c>
      <c r="X11" s="6" t="n">
        <f aca="false">N11+O11+S11+U11+V11</f>
        <v>604.21</v>
      </c>
      <c r="Y11" s="6" t="n">
        <f aca="false">IF(L11&lt;0,L11*-1,0)</f>
        <v>16.1016788505168</v>
      </c>
      <c r="Z11" s="6" t="n">
        <f aca="false">X11+Y11</f>
        <v>620.311678850517</v>
      </c>
      <c r="AA11" s="11" t="n">
        <v>0</v>
      </c>
      <c r="AB11" s="12" t="n">
        <v>73</v>
      </c>
      <c r="AC11" s="12" t="n">
        <v>26</v>
      </c>
      <c r="AD11" s="13" t="n">
        <f aca="false">AD10+1</f>
        <v>2</v>
      </c>
      <c r="AE11" s="12"/>
      <c r="AG11" s="6"/>
    </row>
    <row r="12" customFormat="false" ht="11.1" hidden="false" customHeight="true" outlineLevel="0" collapsed="false">
      <c r="A12" s="13" t="n">
        <f aca="false">A11+1</f>
        <v>3</v>
      </c>
      <c r="B12" s="29" t="n">
        <v>6904.19</v>
      </c>
      <c r="C12" s="7" t="n">
        <v>299185</v>
      </c>
      <c r="D12" s="12" t="n">
        <f aca="false">C12-C11</f>
        <v>114</v>
      </c>
      <c r="E12" s="7" t="n">
        <f aca="false">C12-152000</f>
        <v>147185</v>
      </c>
      <c r="F12" s="6" t="n">
        <f aca="false">D12/$D$2</f>
        <v>57.4741618351399</v>
      </c>
      <c r="G12" s="6" t="n">
        <v>786.57</v>
      </c>
      <c r="H12" s="11" t="n">
        <v>5.43</v>
      </c>
      <c r="I12" s="6" t="n">
        <f aca="false">G12+H12</f>
        <v>792</v>
      </c>
      <c r="J12" s="106" t="n">
        <f aca="false">IF(L12&gt;0,L12,0)</f>
        <v>0</v>
      </c>
      <c r="K12" s="6" t="n">
        <f aca="false">I12+J12</f>
        <v>792</v>
      </c>
      <c r="L12" s="6" t="n">
        <f aca="false">F12-(I12-X12)</f>
        <v>-108.33583816486</v>
      </c>
      <c r="M12" s="6" t="n">
        <v>246.43</v>
      </c>
      <c r="N12" s="6" t="n">
        <v>0</v>
      </c>
      <c r="O12" s="6" t="n">
        <v>0</v>
      </c>
      <c r="P12" s="6" t="n">
        <f aca="false">M12-(N12+O12)</f>
        <v>246.43</v>
      </c>
      <c r="Q12" s="6" t="n">
        <v>196.29</v>
      </c>
      <c r="R12" s="6" t="n">
        <v>83.28</v>
      </c>
      <c r="S12" s="6" t="n">
        <f aca="false">SUM(P12:R12)</f>
        <v>526</v>
      </c>
      <c r="T12" s="52" t="n">
        <f aca="false">(I12-S12)+T11</f>
        <v>17759.523</v>
      </c>
      <c r="U12" s="6" t="n">
        <v>80</v>
      </c>
      <c r="V12" s="6" t="n">
        <v>20.19</v>
      </c>
      <c r="W12" s="10" t="n">
        <v>0</v>
      </c>
      <c r="X12" s="6" t="n">
        <f aca="false">N12+O12+S12+U12+V12</f>
        <v>626.19</v>
      </c>
      <c r="Y12" s="6" t="n">
        <f aca="false">IF(L12&lt;0,L12*-1,0)</f>
        <v>108.33583816486</v>
      </c>
      <c r="Z12" s="6" t="n">
        <f aca="false">X12+Y12</f>
        <v>734.52583816486</v>
      </c>
      <c r="AA12" s="11" t="n">
        <v>0</v>
      </c>
      <c r="AB12" s="12" t="n">
        <v>78</v>
      </c>
      <c r="AC12" s="12" t="n">
        <v>31</v>
      </c>
      <c r="AD12" s="13" t="n">
        <f aca="false">AD11+1</f>
        <v>3</v>
      </c>
      <c r="AE12" s="12"/>
      <c r="AG12" s="6"/>
    </row>
    <row r="13" customFormat="false" ht="11.1" hidden="false" customHeight="true" outlineLevel="0" collapsed="false">
      <c r="A13" s="13" t="n">
        <f aca="false">A12+1</f>
        <v>4</v>
      </c>
      <c r="B13" s="29" t="n">
        <v>6904.45</v>
      </c>
      <c r="C13" s="7" t="n">
        <v>300178</v>
      </c>
      <c r="D13" s="12" t="n">
        <f aca="false">C13-C12</f>
        <v>993</v>
      </c>
      <c r="E13" s="7" t="n">
        <f aca="false">C13-152000</f>
        <v>148178</v>
      </c>
      <c r="F13" s="6" t="n">
        <f aca="false">D13/$D$2</f>
        <v>500.630199142929</v>
      </c>
      <c r="G13" s="6" t="n">
        <v>1132.69</v>
      </c>
      <c r="H13" s="11" t="n">
        <v>27</v>
      </c>
      <c r="I13" s="6" t="n">
        <f aca="false">G13+H13</f>
        <v>1159.69</v>
      </c>
      <c r="J13" s="106" t="n">
        <f aca="false">IF(L13&gt;0,L13,0)</f>
        <v>0</v>
      </c>
      <c r="K13" s="6" t="n">
        <f aca="false">I13+J13</f>
        <v>1159.69</v>
      </c>
      <c r="L13" s="6" t="n">
        <f aca="false">F13-(I13-X13)</f>
        <v>-34.0198008570709</v>
      </c>
      <c r="M13" s="6" t="n">
        <v>246.67</v>
      </c>
      <c r="N13" s="6" t="n">
        <v>0</v>
      </c>
      <c r="O13" s="6" t="n">
        <v>0</v>
      </c>
      <c r="P13" s="6" t="n">
        <f aca="false">M13-(N13+O13)</f>
        <v>246.67</v>
      </c>
      <c r="Q13" s="6" t="n">
        <v>196.79</v>
      </c>
      <c r="R13" s="6" t="n">
        <v>82.54</v>
      </c>
      <c r="S13" s="6" t="n">
        <f aca="false">SUM(P13:R13)</f>
        <v>526</v>
      </c>
      <c r="T13" s="52" t="n">
        <f aca="false">(I13-S13)+T12</f>
        <v>18393.213</v>
      </c>
      <c r="U13" s="6" t="n">
        <v>79</v>
      </c>
      <c r="V13" s="6" t="n">
        <v>20.04</v>
      </c>
      <c r="W13" s="10" t="n">
        <v>0</v>
      </c>
      <c r="X13" s="6" t="n">
        <f aca="false">N13+O13+S13+U13+V13</f>
        <v>625.04</v>
      </c>
      <c r="Y13" s="6" t="n">
        <f aca="false">IF(L13&lt;0,L13*-1,0)</f>
        <v>34.0198008570709</v>
      </c>
      <c r="Z13" s="6" t="n">
        <f aca="false">X13+Y13</f>
        <v>659.059800857071</v>
      </c>
      <c r="AA13" s="11" t="n">
        <v>0</v>
      </c>
      <c r="AB13" s="12" t="n">
        <v>88</v>
      </c>
      <c r="AC13" s="12" t="n">
        <v>33</v>
      </c>
      <c r="AD13" s="13" t="n">
        <f aca="false">AD12+1</f>
        <v>4</v>
      </c>
      <c r="AE13" s="12"/>
      <c r="AG13" s="6"/>
    </row>
    <row r="14" customFormat="false" ht="11.1" hidden="false" customHeight="true" outlineLevel="0" collapsed="false">
      <c r="A14" s="13" t="n">
        <f aca="false">A13+1</f>
        <v>5</v>
      </c>
      <c r="B14" s="29" t="n">
        <v>6904.82</v>
      </c>
      <c r="C14" s="7" t="n">
        <v>301595</v>
      </c>
      <c r="D14" s="12" t="n">
        <f aca="false">C14-C13</f>
        <v>1417</v>
      </c>
      <c r="E14" s="7" t="n">
        <f aca="false">C14-152000</f>
        <v>149595</v>
      </c>
      <c r="F14" s="6" t="n">
        <f aca="false">D14/$D$2</f>
        <v>714.393748424502</v>
      </c>
      <c r="G14" s="6" t="n">
        <v>1382.48</v>
      </c>
      <c r="H14" s="11" t="n">
        <v>31</v>
      </c>
      <c r="I14" s="6" t="n">
        <f aca="false">G14+H14</f>
        <v>1413.48</v>
      </c>
      <c r="J14" s="106" t="n">
        <f aca="false">IF(L14&gt;0,L14,0)</f>
        <v>0</v>
      </c>
      <c r="K14" s="6" t="n">
        <f aca="false">I14+J14</f>
        <v>1413.48</v>
      </c>
      <c r="L14" s="6" t="n">
        <f aca="false">F14-(I14-X14)</f>
        <v>-98.9632515754979</v>
      </c>
      <c r="M14" s="6" t="n">
        <v>247.55</v>
      </c>
      <c r="N14" s="6" t="n">
        <v>0</v>
      </c>
      <c r="O14" s="6" t="n">
        <v>0</v>
      </c>
      <c r="P14" s="6" t="n">
        <f aca="false">M14-(N14+O14)</f>
        <v>247.55</v>
      </c>
      <c r="Q14" s="6" t="n">
        <v>168.7</v>
      </c>
      <c r="R14" s="6" t="n">
        <v>82.753</v>
      </c>
      <c r="S14" s="6" t="n">
        <f aca="false">SUM(P14:R14)</f>
        <v>499.003</v>
      </c>
      <c r="T14" s="52" t="n">
        <f aca="false">(I14-S14)+T13</f>
        <v>19307.69</v>
      </c>
      <c r="U14" s="6" t="n">
        <v>81</v>
      </c>
      <c r="V14" s="6" t="n">
        <v>20.12</v>
      </c>
      <c r="W14" s="10" t="n">
        <v>0</v>
      </c>
      <c r="X14" s="6" t="n">
        <f aca="false">N14+O14+S14+U14+V14</f>
        <v>600.123</v>
      </c>
      <c r="Y14" s="6" t="n">
        <f aca="false">IF(L14&lt;0,L14*-1,0)</f>
        <v>98.9632515754979</v>
      </c>
      <c r="Z14" s="6" t="n">
        <f aca="false">X14+Y14</f>
        <v>699.086251575498</v>
      </c>
      <c r="AA14" s="11" t="n">
        <v>0</v>
      </c>
      <c r="AB14" s="12" t="n">
        <v>89</v>
      </c>
      <c r="AC14" s="12" t="n">
        <v>45</v>
      </c>
      <c r="AD14" s="13" t="n">
        <v>5</v>
      </c>
      <c r="AE14" s="12"/>
      <c r="AG14" s="6"/>
    </row>
    <row r="15" customFormat="false" ht="11.1" hidden="false" customHeight="true" outlineLevel="0" collapsed="false">
      <c r="A15" s="13" t="n">
        <f aca="false">A14+1</f>
        <v>6</v>
      </c>
      <c r="B15" s="29" t="n">
        <v>6905.17</v>
      </c>
      <c r="C15" s="7" t="n">
        <v>302939</v>
      </c>
      <c r="D15" s="12" t="n">
        <f aca="false">C15-C14</f>
        <v>1344</v>
      </c>
      <c r="E15" s="7" t="n">
        <f aca="false">C15-152000</f>
        <v>150939</v>
      </c>
      <c r="F15" s="6" t="n">
        <f aca="false">D15/$D$2</f>
        <v>677.590118477439</v>
      </c>
      <c r="G15" s="6" t="n">
        <v>1420.23</v>
      </c>
      <c r="H15" s="11" t="n">
        <v>13</v>
      </c>
      <c r="I15" s="6" t="n">
        <f aca="false">G15+H15</f>
        <v>1433.23</v>
      </c>
      <c r="J15" s="106" t="n">
        <f aca="false">IF(L15&gt;0,L15,0)</f>
        <v>0</v>
      </c>
      <c r="K15" s="6" t="n">
        <f aca="false">I15+J15</f>
        <v>1433.23</v>
      </c>
      <c r="L15" s="6" t="n">
        <f aca="false">F15-(I15-X15)</f>
        <v>-165.459881522561</v>
      </c>
      <c r="M15" s="6" t="n">
        <v>248.55</v>
      </c>
      <c r="N15" s="6" t="n">
        <v>0</v>
      </c>
      <c r="O15" s="6" t="n">
        <v>0</v>
      </c>
      <c r="P15" s="6" t="n">
        <f aca="false">M15-(N15+O15)</f>
        <v>248.55</v>
      </c>
      <c r="Q15" s="6" t="n">
        <v>160.98</v>
      </c>
      <c r="R15" s="6" t="n">
        <v>75.47</v>
      </c>
      <c r="S15" s="6" t="n">
        <f aca="false">SUM(P15:R15)</f>
        <v>485</v>
      </c>
      <c r="T15" s="52" t="n">
        <f aca="false">(I15-S15)+T14</f>
        <v>20255.92</v>
      </c>
      <c r="U15" s="6" t="n">
        <v>85</v>
      </c>
      <c r="V15" s="6" t="n">
        <v>20.18</v>
      </c>
      <c r="W15" s="10" t="n">
        <v>0</v>
      </c>
      <c r="X15" s="6" t="n">
        <f aca="false">N15+O15+S15+U15+V15</f>
        <v>590.18</v>
      </c>
      <c r="Y15" s="6" t="n">
        <f aca="false">IF(L15&lt;0,L15*-1,0)</f>
        <v>165.459881522561</v>
      </c>
      <c r="Z15" s="6" t="n">
        <f aca="false">X15+Y15</f>
        <v>755.639881522561</v>
      </c>
      <c r="AA15" s="11" t="n">
        <v>0</v>
      </c>
      <c r="AB15" s="12" t="n">
        <v>87</v>
      </c>
      <c r="AC15" s="12" t="n">
        <v>42</v>
      </c>
      <c r="AD15" s="13" t="n">
        <f aca="false">AD14+1</f>
        <v>6</v>
      </c>
      <c r="AE15" s="12"/>
      <c r="AG15" s="6"/>
    </row>
    <row r="16" customFormat="false" ht="11.1" hidden="false" customHeight="true" outlineLevel="0" collapsed="false">
      <c r="A16" s="13" t="n">
        <f aca="false">A15+1</f>
        <v>7</v>
      </c>
      <c r="B16" s="29" t="n">
        <v>6905.48</v>
      </c>
      <c r="C16" s="7" t="n">
        <v>304132</v>
      </c>
      <c r="D16" s="12" t="n">
        <f aca="false">C16-C15</f>
        <v>1193</v>
      </c>
      <c r="E16" s="7" t="n">
        <f aca="false">C16-152000</f>
        <v>152132</v>
      </c>
      <c r="F16" s="6" t="n">
        <f aca="false">D16/$D$2</f>
        <v>601.462062011596</v>
      </c>
      <c r="G16" s="6" t="n">
        <v>1428.98</v>
      </c>
      <c r="H16" s="11" t="n">
        <v>20</v>
      </c>
      <c r="I16" s="6" t="n">
        <f aca="false">G16+H16</f>
        <v>1448.98</v>
      </c>
      <c r="J16" s="106" t="n">
        <f aca="false">IF(L16&gt;0,L16,0)</f>
        <v>0</v>
      </c>
      <c r="K16" s="6" t="n">
        <f aca="false">I16+J16</f>
        <v>1448.98</v>
      </c>
      <c r="L16" s="6" t="n">
        <f aca="false">F16-(I16-X16)</f>
        <v>-248.277937988404</v>
      </c>
      <c r="M16" s="6" t="n">
        <v>249.27</v>
      </c>
      <c r="N16" s="6" t="n">
        <v>0</v>
      </c>
      <c r="O16" s="6" t="n">
        <v>0</v>
      </c>
      <c r="P16" s="6" t="n">
        <f aca="false">M16-(N16+O16)</f>
        <v>249.27</v>
      </c>
      <c r="Q16" s="6" t="n">
        <v>161.29</v>
      </c>
      <c r="R16" s="6" t="n">
        <v>84.44</v>
      </c>
      <c r="S16" s="6" t="n">
        <f aca="false">SUM(P16:R16)</f>
        <v>495</v>
      </c>
      <c r="T16" s="52" t="n">
        <f aca="false">(I16-S16)+T15</f>
        <v>21209.9</v>
      </c>
      <c r="U16" s="6" t="n">
        <v>84</v>
      </c>
      <c r="V16" s="6" t="n">
        <v>20.24</v>
      </c>
      <c r="W16" s="10" t="n">
        <v>0</v>
      </c>
      <c r="X16" s="6" t="n">
        <f aca="false">N16+O16+S16+U16+V16</f>
        <v>599.24</v>
      </c>
      <c r="Y16" s="6" t="n">
        <f aca="false">IF(L16&lt;0,L16*-1,0)</f>
        <v>248.277937988404</v>
      </c>
      <c r="Z16" s="6" t="n">
        <f aca="false">X16+Y16</f>
        <v>847.517937988404</v>
      </c>
      <c r="AA16" s="11" t="n">
        <v>0</v>
      </c>
      <c r="AB16" s="12" t="n">
        <v>86</v>
      </c>
      <c r="AC16" s="12" t="n">
        <v>42</v>
      </c>
      <c r="AD16" s="13" t="n">
        <f aca="false">AD15+1</f>
        <v>7</v>
      </c>
      <c r="AE16" s="12"/>
      <c r="AG16" s="6"/>
    </row>
    <row r="17" customFormat="false" ht="11.1" hidden="false" customHeight="true" outlineLevel="0" collapsed="false">
      <c r="A17" s="13" t="n">
        <f aca="false">A16+1</f>
        <v>8</v>
      </c>
      <c r="B17" s="29" t="n">
        <v>6905.78</v>
      </c>
      <c r="C17" s="7" t="n">
        <v>305290</v>
      </c>
      <c r="D17" s="12" t="n">
        <f aca="false">C17-C16</f>
        <v>1158</v>
      </c>
      <c r="E17" s="7" t="n">
        <f aca="false">C17-152000</f>
        <v>153290</v>
      </c>
      <c r="F17" s="6" t="n">
        <f aca="false">D17/$D$2</f>
        <v>583.816486009579</v>
      </c>
      <c r="G17" s="6" t="n">
        <v>1267.77</v>
      </c>
      <c r="H17" s="11" t="n">
        <v>35</v>
      </c>
      <c r="I17" s="6" t="n">
        <f aca="false">G17+H17</f>
        <v>1302.77</v>
      </c>
      <c r="J17" s="106" t="n">
        <f aca="false">IF(L17&gt;0,L17,0)</f>
        <v>0</v>
      </c>
      <c r="K17" s="6" t="n">
        <f aca="false">I17+J17</f>
        <v>1302.77</v>
      </c>
      <c r="L17" s="6" t="n">
        <f aca="false">F17-(I17-X17)</f>
        <v>-139.803513990421</v>
      </c>
      <c r="M17" s="6" t="n">
        <v>249.76</v>
      </c>
      <c r="N17" s="6" t="n">
        <v>0</v>
      </c>
      <c r="O17" s="6" t="n">
        <v>0</v>
      </c>
      <c r="P17" s="6" t="n">
        <f aca="false">M17-(N17+O17)</f>
        <v>249.76</v>
      </c>
      <c r="Q17" s="6" t="n">
        <v>132.72</v>
      </c>
      <c r="R17" s="6" t="n">
        <v>87.52</v>
      </c>
      <c r="S17" s="6" t="n">
        <f aca="false">SUM(P17:R17)</f>
        <v>470</v>
      </c>
      <c r="T17" s="52" t="n">
        <f aca="false">(I17-S17)+T16</f>
        <v>22042.67</v>
      </c>
      <c r="U17" s="6" t="n">
        <v>89</v>
      </c>
      <c r="V17" s="6" t="n">
        <v>20.15</v>
      </c>
      <c r="W17" s="10" t="n">
        <v>0</v>
      </c>
      <c r="X17" s="6" t="n">
        <f aca="false">N17+O17+S17+U17+V17</f>
        <v>579.15</v>
      </c>
      <c r="Y17" s="6" t="n">
        <f aca="false">IF(L17&lt;0,L17*-1,0)</f>
        <v>139.803513990421</v>
      </c>
      <c r="Z17" s="6" t="n">
        <f aca="false">X17+Y17</f>
        <v>718.953513990421</v>
      </c>
      <c r="AA17" s="11" t="n">
        <v>0</v>
      </c>
      <c r="AB17" s="12" t="n">
        <v>76</v>
      </c>
      <c r="AC17" s="12" t="n">
        <v>42</v>
      </c>
      <c r="AD17" s="13" t="n">
        <f aca="false">AD16+1</f>
        <v>8</v>
      </c>
      <c r="AE17" s="12"/>
      <c r="AG17" s="6"/>
    </row>
    <row r="18" customFormat="false" ht="11.1" hidden="false" customHeight="true" outlineLevel="0" collapsed="false">
      <c r="A18" s="13" t="n">
        <f aca="false">A17+1</f>
        <v>9</v>
      </c>
      <c r="B18" s="29" t="n">
        <v>6906.08</v>
      </c>
      <c r="C18" s="7" t="n">
        <v>306451</v>
      </c>
      <c r="D18" s="12" t="n">
        <f aca="false">C18-C17</f>
        <v>1161</v>
      </c>
      <c r="E18" s="7" t="n">
        <f aca="false">C18-152000</f>
        <v>154451</v>
      </c>
      <c r="F18" s="6" t="n">
        <f aca="false">D18/$D$2</f>
        <v>585.328963952609</v>
      </c>
      <c r="G18" s="6" t="n">
        <v>1343.91</v>
      </c>
      <c r="H18" s="11" t="n">
        <v>20</v>
      </c>
      <c r="I18" s="6" t="n">
        <f aca="false">G18+H18</f>
        <v>1363.91</v>
      </c>
      <c r="J18" s="106" t="n">
        <f aca="false">IF(L18&gt;0,L18,0)</f>
        <v>0</v>
      </c>
      <c r="K18" s="6" t="n">
        <f aca="false">I18+J18</f>
        <v>1363.91</v>
      </c>
      <c r="L18" s="6" t="n">
        <f aca="false">F18-(I18-X18)</f>
        <v>-173.501036047391</v>
      </c>
      <c r="M18" s="6" t="n">
        <v>250</v>
      </c>
      <c r="N18" s="6" t="n">
        <v>0</v>
      </c>
      <c r="O18" s="6" t="n">
        <v>0</v>
      </c>
      <c r="P18" s="6" t="n">
        <f aca="false">M18-(N18+O18)</f>
        <v>250</v>
      </c>
      <c r="Q18" s="6" t="n">
        <v>161.83</v>
      </c>
      <c r="R18" s="6" t="n">
        <v>86</v>
      </c>
      <c r="S18" s="6" t="n">
        <f aca="false">SUM(P18:R18)</f>
        <v>497.83</v>
      </c>
      <c r="T18" s="52" t="n">
        <f aca="false">(I18-S18)+T17</f>
        <v>22908.75</v>
      </c>
      <c r="U18" s="6" t="n">
        <v>87</v>
      </c>
      <c r="V18" s="6" t="n">
        <v>20.25</v>
      </c>
      <c r="W18" s="10" t="n">
        <v>0</v>
      </c>
      <c r="X18" s="6" t="n">
        <f aca="false">N18+O18+S18+U18+V18</f>
        <v>605.08</v>
      </c>
      <c r="Y18" s="6" t="n">
        <f aca="false">IF(L18&lt;0,L18*-1,0)</f>
        <v>173.501036047391</v>
      </c>
      <c r="Z18" s="6" t="n">
        <f aca="false">X18+Y18</f>
        <v>778.581036047391</v>
      </c>
      <c r="AA18" s="11" t="n">
        <v>0.1</v>
      </c>
      <c r="AB18" s="12" t="n">
        <v>69</v>
      </c>
      <c r="AC18" s="12" t="n">
        <v>44</v>
      </c>
      <c r="AD18" s="13" t="n">
        <f aca="false">AD17+1</f>
        <v>9</v>
      </c>
      <c r="AE18" s="12"/>
      <c r="AG18" s="6"/>
    </row>
    <row r="19" customFormat="false" ht="11.1" hidden="false" customHeight="true" outlineLevel="0" collapsed="false">
      <c r="A19" s="13" t="n">
        <f aca="false">A18+1</f>
        <v>10</v>
      </c>
      <c r="B19" s="29" t="n">
        <v>6906.37</v>
      </c>
      <c r="C19" s="7" t="n">
        <v>307576</v>
      </c>
      <c r="D19" s="12" t="n">
        <f aca="false">C19-C18</f>
        <v>1125</v>
      </c>
      <c r="E19" s="7" t="n">
        <f aca="false">C19-152000</f>
        <v>155576</v>
      </c>
      <c r="F19" s="6" t="n">
        <f aca="false">D19/$D$2</f>
        <v>567.179228636249</v>
      </c>
      <c r="G19" s="6" t="n">
        <v>1289.99</v>
      </c>
      <c r="H19" s="11" t="n">
        <v>9.2</v>
      </c>
      <c r="I19" s="6" t="n">
        <f aca="false">G19+H19</f>
        <v>1299.19</v>
      </c>
      <c r="J19" s="106" t="n">
        <f aca="false">IF(L19&gt;0,L19,0)</f>
        <v>0</v>
      </c>
      <c r="K19" s="6" t="n">
        <f aca="false">I19+J19</f>
        <v>1299.19</v>
      </c>
      <c r="L19" s="6" t="n">
        <f aca="false">F19-(I19-X19)</f>
        <v>-125.640771363751</v>
      </c>
      <c r="M19" s="6" t="n">
        <v>250.13</v>
      </c>
      <c r="N19" s="6" t="n">
        <v>0</v>
      </c>
      <c r="O19" s="6" t="n">
        <v>0</v>
      </c>
      <c r="P19" s="6" t="n">
        <f aca="false">M19-(N19+O19)</f>
        <v>250.13</v>
      </c>
      <c r="Q19" s="6" t="n">
        <v>162.37</v>
      </c>
      <c r="R19" s="6" t="n">
        <v>88.5</v>
      </c>
      <c r="S19" s="6" t="n">
        <f aca="false">SUM(P19:R19)</f>
        <v>501</v>
      </c>
      <c r="T19" s="52" t="n">
        <f aca="false">(I19-S19)+T18</f>
        <v>23706.94</v>
      </c>
      <c r="U19" s="6" t="n">
        <v>85</v>
      </c>
      <c r="V19" s="6" t="n">
        <v>20.37</v>
      </c>
      <c r="W19" s="10" t="n">
        <v>0</v>
      </c>
      <c r="X19" s="6" t="n">
        <f aca="false">N19+O19+S19+U19+V19</f>
        <v>606.37</v>
      </c>
      <c r="Y19" s="6" t="n">
        <f aca="false">IF(L19&lt;0,L19*-1,0)</f>
        <v>125.640771363751</v>
      </c>
      <c r="Z19" s="6" t="n">
        <f aca="false">X19+Y19</f>
        <v>732.010771363751</v>
      </c>
      <c r="AA19" s="11" t="n">
        <v>0.36</v>
      </c>
      <c r="AB19" s="12" t="n">
        <v>72</v>
      </c>
      <c r="AC19" s="12" t="n">
        <v>46</v>
      </c>
      <c r="AD19" s="13" t="n">
        <f aca="false">AD18+1</f>
        <v>10</v>
      </c>
      <c r="AE19" s="12"/>
      <c r="AG19" s="6"/>
    </row>
    <row r="20" customFormat="false" ht="11.1" hidden="false" customHeight="true" outlineLevel="0" collapsed="false">
      <c r="A20" s="13" t="n">
        <f aca="false">A19+1</f>
        <v>11</v>
      </c>
      <c r="B20" s="29" t="n">
        <v>6906.67</v>
      </c>
      <c r="C20" s="7" t="n">
        <v>308742</v>
      </c>
      <c r="D20" s="12" t="n">
        <f aca="false">C20-C19</f>
        <v>1166</v>
      </c>
      <c r="E20" s="7" t="n">
        <f aca="false">C20-152000</f>
        <v>156742</v>
      </c>
      <c r="F20" s="6" t="n">
        <f aca="false">D20/$D$2</f>
        <v>587.849760524326</v>
      </c>
      <c r="G20" s="6" t="n">
        <v>1326.39</v>
      </c>
      <c r="H20" s="11" t="n">
        <v>6.9</v>
      </c>
      <c r="I20" s="6" t="n">
        <f aca="false">G20+H20</f>
        <v>1333.29</v>
      </c>
      <c r="J20" s="106" t="n">
        <f aca="false">IF(L20&gt;0,L20,0)</f>
        <v>0</v>
      </c>
      <c r="K20" s="6" t="n">
        <f aca="false">I20+J20</f>
        <v>1333.29</v>
      </c>
      <c r="L20" s="6" t="n">
        <f aca="false">F20-(I20-X20)</f>
        <v>-140.200239475675</v>
      </c>
      <c r="M20" s="6" t="n">
        <v>247.72</v>
      </c>
      <c r="N20" s="6" t="n">
        <v>0</v>
      </c>
      <c r="O20" s="6" t="n">
        <v>0</v>
      </c>
      <c r="P20" s="6" t="n">
        <f aca="false">M20-(N20+O20)</f>
        <v>247.72</v>
      </c>
      <c r="Q20" s="6" t="n">
        <v>162.8</v>
      </c>
      <c r="R20" s="6" t="n">
        <v>89.48</v>
      </c>
      <c r="S20" s="6" t="n">
        <f aca="false">SUM(P20:R20)</f>
        <v>500</v>
      </c>
      <c r="T20" s="52" t="n">
        <f aca="false">(I20-S20)+T19</f>
        <v>24540.23</v>
      </c>
      <c r="U20" s="6" t="n">
        <v>85</v>
      </c>
      <c r="V20" s="6" t="n">
        <v>20.24</v>
      </c>
      <c r="W20" s="10" t="n">
        <v>0</v>
      </c>
      <c r="X20" s="6" t="n">
        <f aca="false">N20+O20+S20+U20+V20</f>
        <v>605.24</v>
      </c>
      <c r="Y20" s="6" t="n">
        <f aca="false">IF(L20&lt;0,L20*-1,0)</f>
        <v>140.200239475675</v>
      </c>
      <c r="Z20" s="6" t="n">
        <f aca="false">X20+Y20</f>
        <v>745.440239475674</v>
      </c>
      <c r="AA20" s="11" t="n">
        <v>0.06</v>
      </c>
      <c r="AB20" s="12" t="n">
        <v>74</v>
      </c>
      <c r="AC20" s="12" t="n">
        <v>45</v>
      </c>
      <c r="AD20" s="13" t="n">
        <f aca="false">AD19+1</f>
        <v>11</v>
      </c>
      <c r="AE20" s="12"/>
      <c r="AG20" s="6"/>
    </row>
    <row r="21" customFormat="false" ht="11.1" hidden="false" customHeight="true" outlineLevel="0" collapsed="false">
      <c r="A21" s="13" t="n">
        <f aca="false">A20+1</f>
        <v>12</v>
      </c>
      <c r="B21" s="29" t="n">
        <v>6906.82</v>
      </c>
      <c r="C21" s="7" t="n">
        <v>309326</v>
      </c>
      <c r="D21" s="12" t="n">
        <f aca="false">C21-C20</f>
        <v>584</v>
      </c>
      <c r="E21" s="7" t="n">
        <f aca="false">C21-152000</f>
        <v>157326</v>
      </c>
      <c r="F21" s="6" t="n">
        <f aca="false">D21/$D$2</f>
        <v>294.429039576506</v>
      </c>
      <c r="G21" s="6" t="n">
        <v>1121.05</v>
      </c>
      <c r="H21" s="11" t="n">
        <v>4.2</v>
      </c>
      <c r="I21" s="6" t="n">
        <f aca="false">G21+H21</f>
        <v>1125.25</v>
      </c>
      <c r="J21" s="106" t="n">
        <f aca="false">IF(L21&gt;0,L21,0)</f>
        <v>0</v>
      </c>
      <c r="K21" s="6" t="n">
        <f aca="false">I21+J21</f>
        <v>1125.25</v>
      </c>
      <c r="L21" s="6" t="n">
        <f aca="false">F21-(I21-X21)</f>
        <v>-234.240960423494</v>
      </c>
      <c r="M21" s="6" t="n">
        <v>242.15</v>
      </c>
      <c r="N21" s="6" t="n">
        <v>0</v>
      </c>
      <c r="O21" s="6" t="n">
        <v>0</v>
      </c>
      <c r="P21" s="6" t="n">
        <f aca="false">M21-(N21+O21)</f>
        <v>242.15</v>
      </c>
      <c r="Q21" s="6" t="n">
        <v>165.9</v>
      </c>
      <c r="R21" s="6" t="n">
        <v>86.26</v>
      </c>
      <c r="S21" s="6" t="n">
        <f aca="false">SUM(P21:R21)</f>
        <v>494.31</v>
      </c>
      <c r="T21" s="52" t="n">
        <f aca="false">(I21-S21)+T20</f>
        <v>25171.17</v>
      </c>
      <c r="U21" s="6" t="n">
        <v>82</v>
      </c>
      <c r="V21" s="6" t="n">
        <v>20.27</v>
      </c>
      <c r="W21" s="10" t="n">
        <v>0</v>
      </c>
      <c r="X21" s="6" t="n">
        <f aca="false">N21+O21+S21+U21+V21</f>
        <v>596.58</v>
      </c>
      <c r="Y21" s="6" t="n">
        <f aca="false">IF(L21&lt;0,L21*-1,0)</f>
        <v>234.240960423494</v>
      </c>
      <c r="Z21" s="6" t="n">
        <f aca="false">X21+Y21</f>
        <v>830.820960423494</v>
      </c>
      <c r="AA21" s="11" t="n">
        <v>0</v>
      </c>
      <c r="AB21" s="12" t="n">
        <v>75</v>
      </c>
      <c r="AC21" s="12" t="n">
        <v>48</v>
      </c>
      <c r="AD21" s="13" t="n">
        <f aca="false">AD20+1</f>
        <v>12</v>
      </c>
      <c r="AE21" s="12"/>
      <c r="AG21" s="6"/>
    </row>
    <row r="22" customFormat="false" ht="11.1" hidden="false" customHeight="true" outlineLevel="0" collapsed="false">
      <c r="A22" s="13" t="n">
        <f aca="false">A21+1</f>
        <v>13</v>
      </c>
      <c r="B22" s="29" t="n">
        <v>6906.93</v>
      </c>
      <c r="C22" s="7" t="n">
        <v>309755</v>
      </c>
      <c r="D22" s="12" t="n">
        <f aca="false">C22-C21</f>
        <v>429</v>
      </c>
      <c r="E22" s="7" t="n">
        <f aca="false">C22-152000</f>
        <v>157755</v>
      </c>
      <c r="F22" s="6" t="n">
        <f aca="false">D22/$D$2</f>
        <v>216.28434585329</v>
      </c>
      <c r="G22" s="6" t="n">
        <v>933.09</v>
      </c>
      <c r="H22" s="11" t="n">
        <v>2.6</v>
      </c>
      <c r="I22" s="6" t="n">
        <f aca="false">G22+H22</f>
        <v>935.69</v>
      </c>
      <c r="J22" s="106" t="n">
        <f aca="false">IF(L22&gt;0,L22,0)</f>
        <v>0</v>
      </c>
      <c r="K22" s="6" t="n">
        <f aca="false">I22+J22</f>
        <v>935.69</v>
      </c>
      <c r="L22" s="6" t="n">
        <f aca="false">F22-(I22-X22)</f>
        <v>-140.19565414671</v>
      </c>
      <c r="M22" s="6" t="n">
        <v>239.11</v>
      </c>
      <c r="N22" s="6" t="n">
        <v>0</v>
      </c>
      <c r="O22" s="6" t="n">
        <v>0</v>
      </c>
      <c r="P22" s="6" t="n">
        <f aca="false">M22-(N22+O22)</f>
        <v>239.11</v>
      </c>
      <c r="Q22" s="6" t="n">
        <v>163.64</v>
      </c>
      <c r="R22" s="6" t="n">
        <v>86.25</v>
      </c>
      <c r="S22" s="6" t="n">
        <f aca="false">SUM(P22:R22)</f>
        <v>489</v>
      </c>
      <c r="T22" s="52" t="n">
        <f aca="false">(I22-S22)+T21</f>
        <v>25617.86</v>
      </c>
      <c r="U22" s="6" t="n">
        <v>70</v>
      </c>
      <c r="V22" s="6" t="n">
        <v>20.21</v>
      </c>
      <c r="W22" s="10" t="n">
        <v>0</v>
      </c>
      <c r="X22" s="6" t="n">
        <f aca="false">N22+O22+S22+U22+V22</f>
        <v>579.21</v>
      </c>
      <c r="Y22" s="6" t="n">
        <f aca="false">IF(L22&lt;0,L22*-1,0)</f>
        <v>140.19565414671</v>
      </c>
      <c r="Z22" s="6" t="n">
        <f aca="false">X22+Y22</f>
        <v>719.40565414671</v>
      </c>
      <c r="AA22" s="11" t="n">
        <v>0</v>
      </c>
      <c r="AB22" s="12" t="n">
        <v>79</v>
      </c>
      <c r="AC22" s="12" t="n">
        <v>50</v>
      </c>
      <c r="AD22" s="13" t="n">
        <f aca="false">AD21+1</f>
        <v>13</v>
      </c>
      <c r="AE22" s="12"/>
      <c r="AG22" s="6"/>
    </row>
    <row r="23" customFormat="false" ht="11.1" hidden="false" customHeight="true" outlineLevel="0" collapsed="false">
      <c r="A23" s="13" t="n">
        <f aca="false">A22+1</f>
        <v>14</v>
      </c>
      <c r="B23" s="29" t="n">
        <v>6906.97</v>
      </c>
      <c r="C23" s="7" t="n">
        <v>309911</v>
      </c>
      <c r="D23" s="12" t="n">
        <f aca="false">C23-C22</f>
        <v>156</v>
      </c>
      <c r="E23" s="7" t="n">
        <f aca="false">C23-152000</f>
        <v>157911</v>
      </c>
      <c r="F23" s="6" t="n">
        <f aca="false">D23/$D$2</f>
        <v>78.6488530375599</v>
      </c>
      <c r="G23" s="6" t="n">
        <v>792.14</v>
      </c>
      <c r="H23" s="11" t="n">
        <v>0</v>
      </c>
      <c r="I23" s="6" t="n">
        <f aca="false">G23+H23</f>
        <v>792.14</v>
      </c>
      <c r="J23" s="106" t="n">
        <f aca="false">IF(L23&gt;0,L23,0)</f>
        <v>0</v>
      </c>
      <c r="K23" s="6" t="n">
        <f aca="false">I23+J23</f>
        <v>792.14</v>
      </c>
      <c r="L23" s="6" t="n">
        <f aca="false">F23-(I23-X23)</f>
        <v>-143.25114696244</v>
      </c>
      <c r="M23" s="6" t="n">
        <v>236.1</v>
      </c>
      <c r="N23" s="6" t="n">
        <v>0</v>
      </c>
      <c r="O23" s="6" t="n">
        <v>0</v>
      </c>
      <c r="P23" s="6" t="n">
        <f aca="false">M23-(N23+O23)</f>
        <v>236.1</v>
      </c>
      <c r="Q23" s="6" t="n">
        <v>163.99</v>
      </c>
      <c r="R23" s="6" t="n">
        <v>85.91</v>
      </c>
      <c r="S23" s="6" t="n">
        <f aca="false">SUM(P23:R23)</f>
        <v>486</v>
      </c>
      <c r="T23" s="52" t="n">
        <f aca="false">(I23-S23)+T22</f>
        <v>25924</v>
      </c>
      <c r="U23" s="6" t="n">
        <v>64</v>
      </c>
      <c r="V23" s="6" t="n">
        <v>20.24</v>
      </c>
      <c r="W23" s="10" t="n">
        <v>0</v>
      </c>
      <c r="X23" s="6" t="n">
        <f aca="false">N23+O23+S23+U23+V23</f>
        <v>570.24</v>
      </c>
      <c r="Y23" s="6" t="n">
        <f aca="false">IF(L23&lt;0,L23*-1,0)</f>
        <v>143.25114696244</v>
      </c>
      <c r="Z23" s="6" t="n">
        <f aca="false">X23+Y23</f>
        <v>713.49114696244</v>
      </c>
      <c r="AA23" s="11" t="n">
        <v>0</v>
      </c>
      <c r="AB23" s="12" t="n">
        <v>78</v>
      </c>
      <c r="AC23" s="12" t="n">
        <v>41</v>
      </c>
      <c r="AD23" s="13" t="n">
        <f aca="false">AD22+1</f>
        <v>14</v>
      </c>
      <c r="AE23" s="12"/>
      <c r="AG23" s="6"/>
    </row>
    <row r="24" customFormat="false" ht="11.1" hidden="false" customHeight="true" outlineLevel="0" collapsed="false">
      <c r="A24" s="13" t="n">
        <f aca="false">A23+1</f>
        <v>15</v>
      </c>
      <c r="B24" s="29" t="n">
        <v>6906.9</v>
      </c>
      <c r="C24" s="7" t="n">
        <v>309638</v>
      </c>
      <c r="D24" s="12" t="n">
        <f aca="false">C24-C23</f>
        <v>-273</v>
      </c>
      <c r="E24" s="7" t="n">
        <f aca="false">C24-152000</f>
        <v>157638</v>
      </c>
      <c r="F24" s="6" t="n">
        <f aca="false">D24/$D$2</f>
        <v>-137.63549281573</v>
      </c>
      <c r="G24" s="6" t="n">
        <v>676.81</v>
      </c>
      <c r="H24" s="11" t="n">
        <v>0</v>
      </c>
      <c r="I24" s="6" t="n">
        <f aca="false">G24+H24</f>
        <v>676.81</v>
      </c>
      <c r="J24" s="106" t="n">
        <f aca="false">IF(L24&gt;0,L24,0)</f>
        <v>0</v>
      </c>
      <c r="K24" s="6" t="n">
        <f aca="false">I24+J24</f>
        <v>676.81</v>
      </c>
      <c r="L24" s="6" t="n">
        <f aca="false">F24-(I24-X24)</f>
        <v>-226.74549281573</v>
      </c>
      <c r="M24" s="6" t="n">
        <v>232.98</v>
      </c>
      <c r="N24" s="6" t="n">
        <v>0</v>
      </c>
      <c r="O24" s="6" t="n">
        <v>0</v>
      </c>
      <c r="P24" s="6" t="n">
        <f aca="false">M24-(N24+O24)</f>
        <v>232.98</v>
      </c>
      <c r="Q24" s="6" t="n">
        <v>163.69</v>
      </c>
      <c r="R24" s="6" t="n">
        <v>85.33</v>
      </c>
      <c r="S24" s="6" t="n">
        <f aca="false">SUM(P24:R24)</f>
        <v>482</v>
      </c>
      <c r="T24" s="52" t="n">
        <f aca="false">(I24-S24)+T23</f>
        <v>26118.81</v>
      </c>
      <c r="U24" s="6" t="n">
        <v>77</v>
      </c>
      <c r="V24" s="6" t="n">
        <v>28.7</v>
      </c>
      <c r="W24" s="10" t="n">
        <v>8.7</v>
      </c>
      <c r="X24" s="6" t="n">
        <f aca="false">N24+O24+S24+U24+V24</f>
        <v>587.7</v>
      </c>
      <c r="Y24" s="6" t="n">
        <f aca="false">IF(L24&lt;0,L24*-1,0)</f>
        <v>226.74549281573</v>
      </c>
      <c r="Z24" s="6" t="n">
        <f aca="false">X24+Y24</f>
        <v>814.44549281573</v>
      </c>
      <c r="AA24" s="11" t="n">
        <v>0</v>
      </c>
      <c r="AB24" s="12" t="n">
        <v>77</v>
      </c>
      <c r="AC24" s="12" t="n">
        <v>34</v>
      </c>
      <c r="AD24" s="13" t="n">
        <f aca="false">AD23+1</f>
        <v>15</v>
      </c>
      <c r="AE24" s="12"/>
      <c r="AG24" s="6"/>
    </row>
    <row r="25" customFormat="false" ht="11.1" hidden="false" customHeight="true" outlineLevel="0" collapsed="false">
      <c r="A25" s="13" t="n">
        <f aca="false">A24+1</f>
        <v>16</v>
      </c>
      <c r="B25" s="29" t="n">
        <v>6906.82</v>
      </c>
      <c r="C25" s="7" t="n">
        <v>309326</v>
      </c>
      <c r="D25" s="12" t="n">
        <f aca="false">C25-C24</f>
        <v>-312</v>
      </c>
      <c r="E25" s="7" t="n">
        <f aca="false">C25-152000</f>
        <v>157326</v>
      </c>
      <c r="F25" s="6" t="n">
        <f aca="false">D25/$D$2</f>
        <v>-157.29770607512</v>
      </c>
      <c r="G25" s="6" t="n">
        <v>559.5</v>
      </c>
      <c r="H25" s="11" t="n">
        <v>0</v>
      </c>
      <c r="I25" s="6" t="n">
        <f aca="false">G25+H25</f>
        <v>559.5</v>
      </c>
      <c r="J25" s="106" t="n">
        <f aca="false">IF(L25&gt;0,L25,0)</f>
        <v>0</v>
      </c>
      <c r="K25" s="6" t="n">
        <f aca="false">I25+J25</f>
        <v>559.5</v>
      </c>
      <c r="L25" s="6" t="n">
        <f aca="false">F25-(I25-X25)</f>
        <v>-119.94770607512</v>
      </c>
      <c r="M25" s="6" t="n">
        <v>232.58</v>
      </c>
      <c r="N25" s="6" t="n">
        <v>0</v>
      </c>
      <c r="O25" s="6" t="n">
        <v>0</v>
      </c>
      <c r="P25" s="6" t="n">
        <f aca="false">M25-(N25+O25)</f>
        <v>232.58</v>
      </c>
      <c r="Q25" s="6" t="n">
        <v>163.69</v>
      </c>
      <c r="R25" s="6" t="n">
        <v>85.73</v>
      </c>
      <c r="S25" s="6" t="n">
        <f aca="false">SUM(P25:R25)</f>
        <v>482</v>
      </c>
      <c r="T25" s="52" t="n">
        <f aca="false">(I25-S25)+T24</f>
        <v>26196.31</v>
      </c>
      <c r="U25" s="6" t="n">
        <v>80</v>
      </c>
      <c r="V25" s="6" t="n">
        <v>34.85</v>
      </c>
      <c r="W25" s="10" t="n">
        <v>14.85</v>
      </c>
      <c r="X25" s="6" t="n">
        <f aca="false">N25+O25+S25+U25+V25</f>
        <v>596.85</v>
      </c>
      <c r="Y25" s="6" t="n">
        <f aca="false">IF(L25&lt;0,L25*-1,0)</f>
        <v>119.94770607512</v>
      </c>
      <c r="Z25" s="6" t="n">
        <f aca="false">X25+Y25</f>
        <v>716.79770607512</v>
      </c>
      <c r="AA25" s="11" t="n">
        <v>0</v>
      </c>
      <c r="AB25" s="12" t="n">
        <v>79</v>
      </c>
      <c r="AC25" s="12" t="n">
        <v>34</v>
      </c>
      <c r="AD25" s="13" t="n">
        <f aca="false">AD24+1</f>
        <v>16</v>
      </c>
      <c r="AE25" s="12"/>
      <c r="AG25" s="6"/>
    </row>
    <row r="26" customFormat="false" ht="11.1" hidden="false" customHeight="true" outlineLevel="0" collapsed="false">
      <c r="A26" s="13" t="n">
        <f aca="false">A25+1</f>
        <v>17</v>
      </c>
      <c r="B26" s="29" t="n">
        <v>6906.74</v>
      </c>
      <c r="C26" s="7" t="n">
        <v>309014</v>
      </c>
      <c r="D26" s="12" t="n">
        <f aca="false">C26-C25</f>
        <v>-312</v>
      </c>
      <c r="E26" s="7" t="n">
        <f aca="false">C26-152000</f>
        <v>157014</v>
      </c>
      <c r="F26" s="6" t="n">
        <f aca="false">D26/$D$2</f>
        <v>-157.29770607512</v>
      </c>
      <c r="G26" s="6" t="n">
        <v>497.62</v>
      </c>
      <c r="H26" s="11" t="n">
        <v>0</v>
      </c>
      <c r="I26" s="6" t="n">
        <f aca="false">G26+H26</f>
        <v>497.62</v>
      </c>
      <c r="J26" s="106" t="n">
        <f aca="false">IF(L26&gt;0,L26,0)</f>
        <v>0</v>
      </c>
      <c r="K26" s="6" t="n">
        <f aca="false">I26+J26</f>
        <v>497.62</v>
      </c>
      <c r="L26" s="6" t="n">
        <f aca="false">F26-(I26-X26)</f>
        <v>-52.1077060751198</v>
      </c>
      <c r="M26" s="6" t="n">
        <v>232.36</v>
      </c>
      <c r="N26" s="6" t="n">
        <v>0</v>
      </c>
      <c r="O26" s="6" t="n">
        <v>0</v>
      </c>
      <c r="P26" s="6" t="n">
        <f aca="false">M26-(N26+O26)</f>
        <v>232.36</v>
      </c>
      <c r="Q26" s="6" t="n">
        <v>163.09</v>
      </c>
      <c r="R26" s="6" t="n">
        <v>85.55</v>
      </c>
      <c r="S26" s="6" t="n">
        <f aca="false">SUM(P26:R26)</f>
        <v>481</v>
      </c>
      <c r="T26" s="52" t="n">
        <f aca="false">(I26-S26)+T25</f>
        <v>26212.93</v>
      </c>
      <c r="U26" s="6" t="n">
        <v>87</v>
      </c>
      <c r="V26" s="6" t="n">
        <v>34.81</v>
      </c>
      <c r="W26" s="10" t="n">
        <v>14.81</v>
      </c>
      <c r="X26" s="6" t="n">
        <f aca="false">N26+O26+S26+U26+V26</f>
        <v>602.81</v>
      </c>
      <c r="Y26" s="6" t="n">
        <f aca="false">IF(L26&lt;0,L26*-1,0)</f>
        <v>52.1077060751198</v>
      </c>
      <c r="Z26" s="6" t="n">
        <f aca="false">X26+Y26</f>
        <v>654.91770607512</v>
      </c>
      <c r="AA26" s="11" t="n">
        <v>0</v>
      </c>
      <c r="AB26" s="12" t="n">
        <v>78</v>
      </c>
      <c r="AC26" s="12" t="n">
        <v>33</v>
      </c>
      <c r="AD26" s="13" t="n">
        <f aca="false">AD25+1</f>
        <v>17</v>
      </c>
      <c r="AE26" s="12"/>
      <c r="AG26" s="6"/>
    </row>
    <row r="27" customFormat="false" ht="11.1" hidden="false" customHeight="true" outlineLevel="0" collapsed="false">
      <c r="A27" s="13" t="n">
        <f aca="false">A26+1</f>
        <v>18</v>
      </c>
      <c r="B27" s="29" t="n">
        <v>6906.73</v>
      </c>
      <c r="C27" s="7" t="n">
        <v>308975</v>
      </c>
      <c r="D27" s="12" t="n">
        <f aca="false">C27-C26</f>
        <v>-39</v>
      </c>
      <c r="E27" s="7" t="n">
        <f aca="false">C27-152000</f>
        <v>156975</v>
      </c>
      <c r="F27" s="6" t="n">
        <f aca="false">D27/$D$2</f>
        <v>-19.66221325939</v>
      </c>
      <c r="G27" s="6" t="n">
        <v>472.51</v>
      </c>
      <c r="H27" s="11" t="n">
        <v>0</v>
      </c>
      <c r="I27" s="6" t="n">
        <f aca="false">G27+H27</f>
        <v>472.51</v>
      </c>
      <c r="J27" s="106" t="n">
        <f aca="false">IF(L27&gt;0,L27,0)</f>
        <v>120.62778674061</v>
      </c>
      <c r="K27" s="6" t="n">
        <f aca="false">I27+J27</f>
        <v>593.13778674061</v>
      </c>
      <c r="L27" s="6" t="n">
        <f aca="false">F27-(I27-X27)</f>
        <v>120.62778674061</v>
      </c>
      <c r="M27" s="6" t="n">
        <v>232.27</v>
      </c>
      <c r="N27" s="6" t="n">
        <v>0</v>
      </c>
      <c r="O27" s="6" t="n">
        <v>0</v>
      </c>
      <c r="P27" s="6" t="n">
        <f aca="false">M27-(N27+O27)</f>
        <v>232.27</v>
      </c>
      <c r="Q27" s="6" t="n">
        <v>163.11</v>
      </c>
      <c r="R27" s="6" t="n">
        <v>85.62</v>
      </c>
      <c r="S27" s="6" t="n">
        <f aca="false">SUM(P27:R27)</f>
        <v>481</v>
      </c>
      <c r="T27" s="52" t="n">
        <f aca="false">(I27-S27)+T26</f>
        <v>26204.44</v>
      </c>
      <c r="U27" s="6" t="n">
        <v>97</v>
      </c>
      <c r="V27" s="6" t="n">
        <v>34.8</v>
      </c>
      <c r="W27" s="10" t="n">
        <v>14.8</v>
      </c>
      <c r="X27" s="6" t="n">
        <f aca="false">N27+O27+S27+U27+V27</f>
        <v>612.8</v>
      </c>
      <c r="Y27" s="6" t="n">
        <f aca="false">IF(L27&lt;0,L27*-1,0)</f>
        <v>0</v>
      </c>
      <c r="Z27" s="6" t="n">
        <f aca="false">X27+Y27</f>
        <v>612.8</v>
      </c>
      <c r="AA27" s="11" t="n">
        <v>0</v>
      </c>
      <c r="AB27" s="12" t="n">
        <v>84</v>
      </c>
      <c r="AC27" s="12" t="n">
        <v>35</v>
      </c>
      <c r="AD27" s="13" t="n">
        <f aca="false">AD26+1</f>
        <v>18</v>
      </c>
      <c r="AE27" s="12"/>
      <c r="AG27" s="6"/>
    </row>
    <row r="28" customFormat="false" ht="11.1" hidden="false" customHeight="true" outlineLevel="0" collapsed="false">
      <c r="A28" s="13" t="n">
        <f aca="false">A27+1</f>
        <v>19</v>
      </c>
      <c r="B28" s="29" t="n">
        <v>6906.47</v>
      </c>
      <c r="C28" s="7" t="n">
        <v>307964</v>
      </c>
      <c r="D28" s="12" t="n">
        <f aca="false">C28-C27</f>
        <v>-1011</v>
      </c>
      <c r="E28" s="7" t="n">
        <f aca="false">C28-152000</f>
        <v>155964</v>
      </c>
      <c r="F28" s="6" t="n">
        <f aca="false">D28/$D$2</f>
        <v>-509.705066801109</v>
      </c>
      <c r="G28" s="6" t="n">
        <v>473.71</v>
      </c>
      <c r="H28" s="11" t="n">
        <v>0</v>
      </c>
      <c r="I28" s="6" t="n">
        <f aca="false">G28+H28</f>
        <v>473.71</v>
      </c>
      <c r="J28" s="106" t="n">
        <f aca="false">IF(L28&gt;0,L28,0)</f>
        <v>0</v>
      </c>
      <c r="K28" s="6" t="n">
        <f aca="false">I28+J28</f>
        <v>473.71</v>
      </c>
      <c r="L28" s="6" t="n">
        <f aca="false">F28-(I28-X28)</f>
        <v>-370.625066801109</v>
      </c>
      <c r="M28" s="6" t="n">
        <v>232.04</v>
      </c>
      <c r="N28" s="6" t="n">
        <v>0</v>
      </c>
      <c r="O28" s="6" t="n">
        <v>0</v>
      </c>
      <c r="P28" s="6" t="n">
        <f aca="false">M28-(N28+O28)</f>
        <v>232.04</v>
      </c>
      <c r="Q28" s="6" t="n">
        <v>163.43</v>
      </c>
      <c r="R28" s="6" t="n">
        <v>85.53</v>
      </c>
      <c r="S28" s="6" t="n">
        <f aca="false">SUM(P28:R28)</f>
        <v>481</v>
      </c>
      <c r="T28" s="52" t="n">
        <f aca="false">(I28-S28)+T27</f>
        <v>26197.15</v>
      </c>
      <c r="U28" s="6" t="n">
        <v>97</v>
      </c>
      <c r="V28" s="6" t="n">
        <v>34.79</v>
      </c>
      <c r="W28" s="10" t="n">
        <v>14.79</v>
      </c>
      <c r="X28" s="6" t="n">
        <f aca="false">N28+O28+S28+U28+V28</f>
        <v>612.79</v>
      </c>
      <c r="Y28" s="6" t="n">
        <f aca="false">IF(L28&lt;0,L28*-1,0)</f>
        <v>370.625066801109</v>
      </c>
      <c r="Z28" s="6" t="n">
        <f aca="false">X28+Y28</f>
        <v>983.415066801109</v>
      </c>
      <c r="AA28" s="11" t="n">
        <v>0</v>
      </c>
      <c r="AB28" s="12" t="n">
        <v>79</v>
      </c>
      <c r="AC28" s="12" t="n">
        <v>42</v>
      </c>
      <c r="AD28" s="13" t="n">
        <f aca="false">AD27+1</f>
        <v>19</v>
      </c>
      <c r="AE28" s="12"/>
      <c r="AG28" s="6"/>
    </row>
    <row r="29" customFormat="false" ht="11.1" hidden="false" customHeight="true" outlineLevel="0" collapsed="false">
      <c r="A29" s="13" t="n">
        <f aca="false">A28+1</f>
        <v>20</v>
      </c>
      <c r="B29" s="29" t="n">
        <v>6906.32</v>
      </c>
      <c r="C29" s="7" t="n">
        <v>307381</v>
      </c>
      <c r="D29" s="12" t="n">
        <f aca="false">C29-C28</f>
        <v>-583</v>
      </c>
      <c r="E29" s="7" t="n">
        <f aca="false">C29-152000</f>
        <v>155381</v>
      </c>
      <c r="F29" s="6" t="n">
        <f aca="false">D29/$D$2</f>
        <v>-293.924880262163</v>
      </c>
      <c r="G29" s="6" t="n">
        <v>427.65</v>
      </c>
      <c r="H29" s="11" t="n">
        <v>0</v>
      </c>
      <c r="I29" s="6" t="n">
        <f aca="false">G29+H29</f>
        <v>427.65</v>
      </c>
      <c r="J29" s="106" t="n">
        <f aca="false">IF(L29&gt;0,L29,0)</f>
        <v>0</v>
      </c>
      <c r="K29" s="6" t="n">
        <f aca="false">I29+J29</f>
        <v>427.65</v>
      </c>
      <c r="L29" s="6" t="n">
        <f aca="false">F29-(I29-X29)</f>
        <v>-102.914880262163</v>
      </c>
      <c r="M29" s="6" t="n">
        <v>231.82</v>
      </c>
      <c r="N29" s="6" t="n">
        <v>0</v>
      </c>
      <c r="O29" s="126" t="n">
        <v>0</v>
      </c>
      <c r="P29" s="6" t="n">
        <f aca="false">M29-(N29+O29)</f>
        <v>231.82</v>
      </c>
      <c r="Q29" s="6" t="n">
        <v>162.99</v>
      </c>
      <c r="R29" s="6" t="n">
        <v>86.19</v>
      </c>
      <c r="S29" s="6" t="n">
        <f aca="false">SUM(P29:R29)</f>
        <v>481</v>
      </c>
      <c r="T29" s="52" t="n">
        <f aca="false">(I29-S29)+T28</f>
        <v>26143.8</v>
      </c>
      <c r="U29" s="6" t="n">
        <v>95</v>
      </c>
      <c r="V29" s="6" t="n">
        <v>42.66</v>
      </c>
      <c r="W29" s="10" t="n">
        <v>22.6</v>
      </c>
      <c r="X29" s="6" t="n">
        <f aca="false">N29+O29+S29+U29+V29</f>
        <v>618.66</v>
      </c>
      <c r="Y29" s="6" t="n">
        <f aca="false">IF(L29&lt;0,L29*-1,0)</f>
        <v>102.914880262163</v>
      </c>
      <c r="Z29" s="6" t="n">
        <f aca="false">X29+Y29</f>
        <v>721.574880262163</v>
      </c>
      <c r="AA29" s="11" t="n">
        <v>0</v>
      </c>
      <c r="AB29" s="12" t="n">
        <v>82</v>
      </c>
      <c r="AC29" s="12" t="n">
        <v>45</v>
      </c>
      <c r="AD29" s="13" t="n">
        <f aca="false">AD28+1</f>
        <v>20</v>
      </c>
      <c r="AE29" s="12"/>
      <c r="AG29" s="6"/>
    </row>
    <row r="30" customFormat="false" ht="11.1" hidden="false" customHeight="true" outlineLevel="0" collapsed="false">
      <c r="A30" s="13" t="n">
        <f aca="false">A29+1</f>
        <v>21</v>
      </c>
      <c r="B30" s="29" t="n">
        <v>6906.12</v>
      </c>
      <c r="C30" s="7" t="n">
        <v>306606</v>
      </c>
      <c r="D30" s="12" t="n">
        <f aca="false">C30-C29</f>
        <v>-775</v>
      </c>
      <c r="E30" s="7" t="n">
        <f aca="false">C30-152000</f>
        <v>154606</v>
      </c>
      <c r="F30" s="6" t="n">
        <f aca="false">D30/$D$2</f>
        <v>-390.723468616083</v>
      </c>
      <c r="G30" s="6" t="n">
        <v>393.39</v>
      </c>
      <c r="H30" s="11" t="n">
        <v>0</v>
      </c>
      <c r="I30" s="6" t="n">
        <f aca="false">G30+H30</f>
        <v>393.39</v>
      </c>
      <c r="J30" s="106" t="n">
        <f aca="false">IF(L30&gt;0,L30,0)</f>
        <v>0</v>
      </c>
      <c r="K30" s="6" t="n">
        <f aca="false">I30+J30</f>
        <v>393.39</v>
      </c>
      <c r="L30" s="6" t="n">
        <f aca="false">F30-(I30-X30)</f>
        <v>-111.113468616083</v>
      </c>
      <c r="M30" s="6" t="n">
        <v>231.82</v>
      </c>
      <c r="N30" s="6" t="n">
        <v>0</v>
      </c>
      <c r="O30" s="6" t="n">
        <v>0</v>
      </c>
      <c r="P30" s="6" t="n">
        <f aca="false">M30-(N30+O30)</f>
        <v>231.82</v>
      </c>
      <c r="Q30" s="6" t="n">
        <v>162.15</v>
      </c>
      <c r="R30" s="6" t="n">
        <v>87.03</v>
      </c>
      <c r="S30" s="6" t="n">
        <f aca="false">SUM(P30:R30)</f>
        <v>481</v>
      </c>
      <c r="T30" s="52" t="n">
        <f aca="false">(I30-S30)+T29</f>
        <v>26056.19</v>
      </c>
      <c r="U30" s="6" t="n">
        <v>144</v>
      </c>
      <c r="V30" s="6" t="n">
        <v>48</v>
      </c>
      <c r="W30" s="10" t="n">
        <v>58</v>
      </c>
      <c r="X30" s="6" t="n">
        <f aca="false">N30+O30+S30+U30+V30</f>
        <v>673</v>
      </c>
      <c r="Y30" s="6" t="n">
        <f aca="false">IF(L30&lt;0,L30*-1,0)</f>
        <v>111.113468616083</v>
      </c>
      <c r="Z30" s="6" t="n">
        <f aca="false">X30+Y30</f>
        <v>784.113468616083</v>
      </c>
      <c r="AA30" s="11" t="n">
        <v>0</v>
      </c>
      <c r="AB30" s="12" t="n">
        <v>84</v>
      </c>
      <c r="AC30" s="12" t="n">
        <v>48</v>
      </c>
      <c r="AD30" s="13" t="n">
        <f aca="false">AD29+1</f>
        <v>21</v>
      </c>
      <c r="AE30" s="12"/>
      <c r="AG30" s="6"/>
    </row>
    <row r="31" customFormat="false" ht="11.1" hidden="false" customHeight="true" outlineLevel="0" collapsed="false">
      <c r="A31" s="13" t="n">
        <f aca="false">A30+1</f>
        <v>22</v>
      </c>
      <c r="B31" s="29" t="n">
        <v>6905.92</v>
      </c>
      <c r="C31" s="7" t="n">
        <v>305831</v>
      </c>
      <c r="D31" s="12" t="n">
        <f aca="false">C31-C30</f>
        <v>-775</v>
      </c>
      <c r="E31" s="7" t="n">
        <f aca="false">C31-152000</f>
        <v>153831</v>
      </c>
      <c r="F31" s="6" t="n">
        <f aca="false">D31/$D$2</f>
        <v>-390.723468616083</v>
      </c>
      <c r="G31" s="6" t="n">
        <v>375.81</v>
      </c>
      <c r="H31" s="11" t="n">
        <v>0</v>
      </c>
      <c r="I31" s="6" t="n">
        <f aca="false">G31+H31</f>
        <v>375.81</v>
      </c>
      <c r="J31" s="106" t="n">
        <f aca="false">IF(L31&gt;0,L31,0)</f>
        <v>0</v>
      </c>
      <c r="K31" s="6" t="n">
        <f aca="false">I31+J31</f>
        <v>375.81</v>
      </c>
      <c r="L31" s="6" t="n">
        <f aca="false">F31-(I31-X31)</f>
        <v>-130.893468616083</v>
      </c>
      <c r="M31" s="6" t="n">
        <v>239.28</v>
      </c>
      <c r="N31" s="6" t="n">
        <v>0</v>
      </c>
      <c r="O31" s="6" t="n">
        <v>0</v>
      </c>
      <c r="P31" s="6" t="n">
        <f aca="false">M31-(N31+O31)</f>
        <v>239.28</v>
      </c>
      <c r="Q31" s="6" t="n">
        <v>162.4</v>
      </c>
      <c r="R31" s="6" t="n">
        <v>87.32</v>
      </c>
      <c r="S31" s="6" t="n">
        <f aca="false">SUM(P31:R31)</f>
        <v>489</v>
      </c>
      <c r="T31" s="52" t="n">
        <f aca="false">(I31-S31)+T30</f>
        <v>25943</v>
      </c>
      <c r="U31" s="6" t="n">
        <v>100</v>
      </c>
      <c r="V31" s="6" t="n">
        <v>46.64</v>
      </c>
      <c r="W31" s="10" t="n">
        <v>26.64</v>
      </c>
      <c r="X31" s="6" t="n">
        <f aca="false">N31+O31+S31+U31+V31</f>
        <v>635.64</v>
      </c>
      <c r="Y31" s="6" t="n">
        <f aca="false">IF(L31&lt;0,L31*-1,0)</f>
        <v>130.893468616083</v>
      </c>
      <c r="Z31" s="6" t="n">
        <f aca="false">X31+Y31</f>
        <v>766.533468616083</v>
      </c>
      <c r="AA31" s="11" t="n">
        <v>0</v>
      </c>
      <c r="AB31" s="12" t="n">
        <v>88</v>
      </c>
      <c r="AC31" s="12" t="n">
        <v>47</v>
      </c>
      <c r="AD31" s="13" t="n">
        <f aca="false">AD30+1</f>
        <v>22</v>
      </c>
      <c r="AE31" s="12"/>
      <c r="AG31" s="6"/>
    </row>
    <row r="32" customFormat="false" ht="11.1" hidden="false" customHeight="true" outlineLevel="0" collapsed="false">
      <c r="A32" s="13" t="n">
        <f aca="false">A31+1</f>
        <v>23</v>
      </c>
      <c r="B32" s="29" t="n">
        <v>6905.72</v>
      </c>
      <c r="C32" s="7" t="n">
        <v>305058</v>
      </c>
      <c r="D32" s="12" t="n">
        <f aca="false">C32-C31</f>
        <v>-773</v>
      </c>
      <c r="E32" s="7" t="n">
        <f aca="false">C32-152000</f>
        <v>153058</v>
      </c>
      <c r="F32" s="6" t="n">
        <f aca="false">D32/$D$2</f>
        <v>-389.715149987396</v>
      </c>
      <c r="G32" s="6" t="n">
        <v>361.28</v>
      </c>
      <c r="H32" s="11" t="n">
        <v>0</v>
      </c>
      <c r="I32" s="6" t="n">
        <f aca="false">G32+H32</f>
        <v>361.28</v>
      </c>
      <c r="J32" s="106" t="n">
        <f aca="false">IF(L32&gt;0,L32,0)</f>
        <v>0</v>
      </c>
      <c r="K32" s="6" t="n">
        <f aca="false">I32+J32</f>
        <v>361.28</v>
      </c>
      <c r="L32" s="6" t="n">
        <f aca="false">F32-(I32-X32)</f>
        <v>-84.705149987396</v>
      </c>
      <c r="M32" s="6" t="n">
        <v>243.75</v>
      </c>
      <c r="N32" s="6" t="n">
        <v>0</v>
      </c>
      <c r="O32" s="6" t="n">
        <v>0</v>
      </c>
      <c r="P32" s="6" t="n">
        <f aca="false">M32-(N32+O32)</f>
        <v>243.75</v>
      </c>
      <c r="Q32" s="6" t="n">
        <v>161.91</v>
      </c>
      <c r="R32" s="6" t="n">
        <v>87.34</v>
      </c>
      <c r="S32" s="6" t="n">
        <f aca="false">SUM(P32:R32)</f>
        <v>493</v>
      </c>
      <c r="T32" s="52" t="n">
        <f aca="false">(I32-S32)+T31</f>
        <v>25811.28</v>
      </c>
      <c r="U32" s="6" t="n">
        <v>127</v>
      </c>
      <c r="V32" s="6" t="n">
        <v>46.29</v>
      </c>
      <c r="W32" s="10" t="n">
        <v>26.29</v>
      </c>
      <c r="X32" s="6" t="n">
        <f aca="false">N32+O32+S32+U32+V32</f>
        <v>666.29</v>
      </c>
      <c r="Y32" s="6" t="n">
        <f aca="false">IF(L32&lt;0,L32*-1,0)</f>
        <v>84.705149987396</v>
      </c>
      <c r="Z32" s="6" t="n">
        <f aca="false">X32+Y32</f>
        <v>750.995149987396</v>
      </c>
      <c r="AA32" s="11" t="n">
        <v>0</v>
      </c>
      <c r="AB32" s="12" t="n">
        <v>88</v>
      </c>
      <c r="AC32" s="12" t="n">
        <v>49</v>
      </c>
      <c r="AD32" s="13" t="n">
        <f aca="false">AD31+1</f>
        <v>23</v>
      </c>
      <c r="AE32" s="12"/>
      <c r="AG32" s="6"/>
    </row>
    <row r="33" customFormat="false" ht="11.1" hidden="false" customHeight="true" outlineLevel="0" collapsed="false">
      <c r="A33" s="13" t="n">
        <f aca="false">A32+1</f>
        <v>24</v>
      </c>
      <c r="B33" s="29" t="n">
        <v>6905.51</v>
      </c>
      <c r="C33" s="7" t="n">
        <v>304248</v>
      </c>
      <c r="D33" s="12" t="n">
        <f aca="false">C33-C32</f>
        <v>-810</v>
      </c>
      <c r="E33" s="7" t="n">
        <f aca="false">C33-152000</f>
        <v>152248</v>
      </c>
      <c r="F33" s="6" t="n">
        <f aca="false">D33/$D$2</f>
        <v>-408.369044618099</v>
      </c>
      <c r="G33" s="6" t="n">
        <v>346.63</v>
      </c>
      <c r="H33" s="11" t="n">
        <v>0</v>
      </c>
      <c r="I33" s="6" t="n">
        <f aca="false">G33+H33</f>
        <v>346.63</v>
      </c>
      <c r="J33" s="106" t="n">
        <f aca="false">IF(L33&gt;0,L33,0)</f>
        <v>0</v>
      </c>
      <c r="K33" s="6" t="n">
        <f aca="false">I33+J33</f>
        <v>346.63</v>
      </c>
      <c r="L33" s="6" t="n">
        <f aca="false">F33-(I33-X33)</f>
        <v>-86.6990446180994</v>
      </c>
      <c r="M33" s="6" t="n">
        <v>243.67</v>
      </c>
      <c r="N33" s="6" t="n">
        <v>0</v>
      </c>
      <c r="O33" s="6" t="n">
        <v>0</v>
      </c>
      <c r="P33" s="6" t="n">
        <f aca="false">M33-(N33+O33)</f>
        <v>243.67</v>
      </c>
      <c r="Q33" s="6" t="n">
        <v>170.91</v>
      </c>
      <c r="R33" s="6" t="n">
        <v>87.42</v>
      </c>
      <c r="S33" s="6" t="n">
        <f aca="false">SUM(P33:R33)</f>
        <v>502</v>
      </c>
      <c r="T33" s="52" t="n">
        <f aca="false">(I33-S33)+T32</f>
        <v>25655.91</v>
      </c>
      <c r="U33" s="6" t="n">
        <v>120</v>
      </c>
      <c r="V33" s="6" t="n">
        <v>46.3</v>
      </c>
      <c r="W33" s="10" t="n">
        <v>26.3</v>
      </c>
      <c r="X33" s="6" t="n">
        <f aca="false">N33+O33+S33+U33+V33</f>
        <v>668.3</v>
      </c>
      <c r="Y33" s="6" t="n">
        <f aca="false">IF(L33&lt;0,L33*-1,0)</f>
        <v>86.6990446180994</v>
      </c>
      <c r="Z33" s="6" t="n">
        <f aca="false">X33+Y33</f>
        <v>754.999044618099</v>
      </c>
      <c r="AA33" s="11" t="n">
        <v>0</v>
      </c>
      <c r="AB33" s="12" t="n">
        <v>90</v>
      </c>
      <c r="AC33" s="12" t="n">
        <v>50</v>
      </c>
      <c r="AD33" s="13" t="n">
        <f aca="false">AD32+1</f>
        <v>24</v>
      </c>
      <c r="AE33" s="12"/>
      <c r="AG33" s="6"/>
    </row>
    <row r="34" customFormat="false" ht="11.1" hidden="false" customHeight="true" outlineLevel="0" collapsed="false">
      <c r="A34" s="13" t="n">
        <f aca="false">A33+1</f>
        <v>25</v>
      </c>
      <c r="B34" s="29" t="n">
        <v>6905.28</v>
      </c>
      <c r="C34" s="7" t="n">
        <v>303362</v>
      </c>
      <c r="D34" s="12" t="n">
        <f aca="false">C34-C33</f>
        <v>-886</v>
      </c>
      <c r="E34" s="7" t="n">
        <f aca="false">C34-152000</f>
        <v>151362</v>
      </c>
      <c r="F34" s="6" t="n">
        <f aca="false">D34/$D$2</f>
        <v>-446.685152508193</v>
      </c>
      <c r="G34" s="6" t="n">
        <v>329.28</v>
      </c>
      <c r="H34" s="11" t="n">
        <v>0</v>
      </c>
      <c r="I34" s="6" t="n">
        <f aca="false">G34+H34</f>
        <v>329.28</v>
      </c>
      <c r="J34" s="106" t="n">
        <f aca="false">IF(L34&gt;0,L34,0)</f>
        <v>0</v>
      </c>
      <c r="K34" s="6" t="n">
        <f aca="false">I34+J34</f>
        <v>329.28</v>
      </c>
      <c r="L34" s="6" t="n">
        <f aca="false">F34-(I34-X34)</f>
        <v>-103.665152508193</v>
      </c>
      <c r="M34" s="6" t="n">
        <v>243.47</v>
      </c>
      <c r="N34" s="6" t="n">
        <v>0</v>
      </c>
      <c r="O34" s="6" t="n">
        <v>0</v>
      </c>
      <c r="P34" s="6" t="n">
        <f aca="false">M34-(N34+O34)</f>
        <v>243.47</v>
      </c>
      <c r="Q34" s="6" t="n">
        <v>182.66</v>
      </c>
      <c r="R34" s="6" t="n">
        <v>86.87</v>
      </c>
      <c r="S34" s="6" t="n">
        <f aca="false">SUM(P34:R34)</f>
        <v>513</v>
      </c>
      <c r="T34" s="52" t="n">
        <f aca="false">(I34-S34)+T33</f>
        <v>25472.19</v>
      </c>
      <c r="U34" s="6" t="n">
        <v>113</v>
      </c>
      <c r="V34" s="6" t="n">
        <v>46.3</v>
      </c>
      <c r="W34" s="10" t="n">
        <v>26.3</v>
      </c>
      <c r="X34" s="6" t="n">
        <f aca="false">N34+O34+S34+U34+V34</f>
        <v>672.3</v>
      </c>
      <c r="Y34" s="6" t="n">
        <f aca="false">IF(L34&lt;0,L34*-1,0)</f>
        <v>103.665152508193</v>
      </c>
      <c r="Z34" s="6" t="n">
        <f aca="false">X34+Y34</f>
        <v>775.965152508193</v>
      </c>
      <c r="AA34" s="11" t="n">
        <v>0</v>
      </c>
      <c r="AB34" s="12" t="n">
        <v>89</v>
      </c>
      <c r="AC34" s="12" t="n">
        <v>51</v>
      </c>
      <c r="AD34" s="13" t="n">
        <f aca="false">AD33+1</f>
        <v>25</v>
      </c>
      <c r="AE34" s="12"/>
      <c r="AG34" s="6"/>
    </row>
    <row r="35" customFormat="false" ht="11.1" hidden="false" customHeight="true" outlineLevel="0" collapsed="false">
      <c r="A35" s="13" t="n">
        <f aca="false">A34+1</f>
        <v>26</v>
      </c>
      <c r="B35" s="29" t="n">
        <v>6905</v>
      </c>
      <c r="C35" s="7" t="n">
        <v>302396</v>
      </c>
      <c r="D35" s="12" t="n">
        <f aca="false">C35-C34</f>
        <v>-966</v>
      </c>
      <c r="E35" s="7" t="n">
        <f aca="false">C35-152000</f>
        <v>150396</v>
      </c>
      <c r="F35" s="6" t="n">
        <f aca="false">D35/$D$2</f>
        <v>-487.017897655659</v>
      </c>
      <c r="G35" s="6" t="n">
        <v>269.82</v>
      </c>
      <c r="H35" s="11" t="n">
        <v>0</v>
      </c>
      <c r="I35" s="6" t="n">
        <f aca="false">G35+H35</f>
        <v>269.82</v>
      </c>
      <c r="J35" s="106" t="n">
        <f aca="false">IF(L35&gt;0,L35,0)</f>
        <v>0</v>
      </c>
      <c r="K35" s="6" t="n">
        <f aca="false">I35+J35</f>
        <v>269.82</v>
      </c>
      <c r="L35" s="6" t="n">
        <f aca="false">F35-(I35-X35)</f>
        <v>-62.7278976556592</v>
      </c>
      <c r="M35" s="6" t="n">
        <v>251.7</v>
      </c>
      <c r="N35" s="6" t="n">
        <v>0</v>
      </c>
      <c r="O35" s="6" t="n">
        <v>0</v>
      </c>
      <c r="P35" s="6" t="n">
        <f aca="false">M35-(N35+O35)</f>
        <v>251.7</v>
      </c>
      <c r="Q35" s="6" t="n">
        <v>181.63</v>
      </c>
      <c r="R35" s="6" t="n">
        <v>78.67</v>
      </c>
      <c r="S35" s="6" t="n">
        <f aca="false">SUM(P35:R35)</f>
        <v>512</v>
      </c>
      <c r="T35" s="52" t="n">
        <f aca="false">(I35-S35)+T34</f>
        <v>25230.01</v>
      </c>
      <c r="U35" s="127" t="n">
        <v>134</v>
      </c>
      <c r="V35" s="6" t="n">
        <v>48.11</v>
      </c>
      <c r="W35" s="10" t="n">
        <v>28.11</v>
      </c>
      <c r="X35" s="6" t="n">
        <f aca="false">N35+O35+S35+U35+V35</f>
        <v>694.11</v>
      </c>
      <c r="Y35" s="6" t="n">
        <f aca="false">IF(L35&lt;0,L35*-1,0)</f>
        <v>62.7278976556592</v>
      </c>
      <c r="Z35" s="6" t="n">
        <f aca="false">X35+Y35</f>
        <v>756.837897655659</v>
      </c>
      <c r="AA35" s="11" t="n">
        <v>0</v>
      </c>
      <c r="AB35" s="12" t="n">
        <v>93</v>
      </c>
      <c r="AC35" s="12" t="n">
        <v>49</v>
      </c>
      <c r="AD35" s="13" t="n">
        <f aca="false">AD34+1</f>
        <v>26</v>
      </c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29" t="n">
        <v>6904.6</v>
      </c>
      <c r="C36" s="7" t="n">
        <v>300866</v>
      </c>
      <c r="D36" s="12" t="n">
        <f aca="false">C36-C35</f>
        <v>-1530</v>
      </c>
      <c r="E36" s="7" t="n">
        <f aca="false">C36-152000</f>
        <v>148866</v>
      </c>
      <c r="F36" s="6" t="n">
        <f aca="false">D36/$D$2</f>
        <v>-771.363750945299</v>
      </c>
      <c r="G36" s="6" t="n">
        <v>233.92</v>
      </c>
      <c r="H36" s="11" t="n">
        <v>0</v>
      </c>
      <c r="I36" s="6" t="n">
        <f aca="false">G36+H36</f>
        <v>233.92</v>
      </c>
      <c r="J36" s="106" t="n">
        <f aca="false">IF(L36&gt;0,L36,0)</f>
        <v>0</v>
      </c>
      <c r="K36" s="6" t="n">
        <f aca="false">I36+J36</f>
        <v>233.92</v>
      </c>
      <c r="L36" s="6" t="n">
        <f aca="false">F36-(I36-X36)</f>
        <v>-294.593750945299</v>
      </c>
      <c r="M36" s="6" t="n">
        <v>256.64</v>
      </c>
      <c r="N36" s="6" t="n">
        <v>0</v>
      </c>
      <c r="O36" s="6" t="n">
        <v>0</v>
      </c>
      <c r="P36" s="6" t="n">
        <f aca="false">M36-(N36+O36)</f>
        <v>256.64</v>
      </c>
      <c r="Q36" s="6" t="n">
        <v>181.33</v>
      </c>
      <c r="R36" s="6" t="n">
        <v>87.03</v>
      </c>
      <c r="S36" s="6" t="n">
        <f aca="false">SUM(P36:R36)</f>
        <v>525</v>
      </c>
      <c r="T36" s="52" t="n">
        <f aca="false">(I36-S36)+T35</f>
        <v>24938.93</v>
      </c>
      <c r="U36" s="6" t="n">
        <v>136</v>
      </c>
      <c r="V36" s="6" t="n">
        <v>49.69</v>
      </c>
      <c r="W36" s="10" t="n">
        <v>29.69</v>
      </c>
      <c r="X36" s="6" t="n">
        <f aca="false">N36+O36+S36+U36+V36</f>
        <v>710.69</v>
      </c>
      <c r="Y36" s="6" t="n">
        <f aca="false">IF(L36&lt;0,L36*-1,0)</f>
        <v>294.593750945299</v>
      </c>
      <c r="Z36" s="6" t="n">
        <f aca="false">X36+Y36</f>
        <v>1005.2837509453</v>
      </c>
      <c r="AA36" s="11" t="n">
        <v>0</v>
      </c>
      <c r="AB36" s="12" t="n">
        <v>91</v>
      </c>
      <c r="AC36" s="12" t="n">
        <v>60</v>
      </c>
      <c r="AD36" s="13" t="n">
        <f aca="false">AD35+1</f>
        <v>27</v>
      </c>
      <c r="AE36" s="12"/>
      <c r="AG36" s="6"/>
    </row>
    <row r="37" customFormat="false" ht="11.1" hidden="false" customHeight="true" outlineLevel="0" collapsed="false">
      <c r="A37" s="13" t="n">
        <f aca="false">A36+1</f>
        <v>28</v>
      </c>
      <c r="B37" s="29" t="n">
        <v>6904.48</v>
      </c>
      <c r="C37" s="7" t="n">
        <v>300407</v>
      </c>
      <c r="D37" s="12" t="n">
        <f aca="false">C37-C36</f>
        <v>-459</v>
      </c>
      <c r="E37" s="7" t="n">
        <f aca="false">C37-152000</f>
        <v>148407</v>
      </c>
      <c r="F37" s="6" t="n">
        <f aca="false">D37/$D$2</f>
        <v>-231.40912528359</v>
      </c>
      <c r="G37" s="6" t="n">
        <v>224.51</v>
      </c>
      <c r="H37" s="11" t="n">
        <v>0</v>
      </c>
      <c r="I37" s="6" t="n">
        <f aca="false">G37+H37</f>
        <v>224.51</v>
      </c>
      <c r="J37" s="106" t="n">
        <f aca="false">IF(L37&gt;0,L37,0)</f>
        <v>263.73087471641</v>
      </c>
      <c r="K37" s="6" t="n">
        <f aca="false">I37+J37</f>
        <v>488.24087471641</v>
      </c>
      <c r="L37" s="6" t="n">
        <f aca="false">F37-(I37-X37)</f>
        <v>263.73087471641</v>
      </c>
      <c r="M37" s="6" t="n">
        <v>258.54</v>
      </c>
      <c r="N37" s="6" t="n">
        <v>0</v>
      </c>
      <c r="O37" s="6" t="n">
        <v>0</v>
      </c>
      <c r="P37" s="6" t="n">
        <f aca="false">M37-(N37+O37)</f>
        <v>258.54</v>
      </c>
      <c r="Q37" s="6" t="n">
        <v>180.5</v>
      </c>
      <c r="R37" s="6" t="n">
        <v>86.96</v>
      </c>
      <c r="S37" s="6" t="n">
        <f aca="false">SUM(P37:R37)</f>
        <v>526</v>
      </c>
      <c r="T37" s="52" t="n">
        <f aca="false">(I37-S37)+T36</f>
        <v>24637.44</v>
      </c>
      <c r="U37" s="6" t="n">
        <v>144</v>
      </c>
      <c r="V37" s="6" t="n">
        <v>49.65</v>
      </c>
      <c r="W37" s="10" t="n">
        <v>26.65</v>
      </c>
      <c r="X37" s="6" t="n">
        <f aca="false">N37+O37+S37+U37+V37</f>
        <v>719.65</v>
      </c>
      <c r="Y37" s="6" t="n">
        <f aca="false">IF(L37&lt;0,L37*-1,0)</f>
        <v>0</v>
      </c>
      <c r="Z37" s="6" t="n">
        <f aca="false">X37+Y37</f>
        <v>719.65</v>
      </c>
      <c r="AA37" s="11" t="n">
        <v>0</v>
      </c>
      <c r="AB37" s="12" t="n">
        <v>91</v>
      </c>
      <c r="AC37" s="12" t="n">
        <v>60</v>
      </c>
      <c r="AD37" s="13" t="n">
        <f aca="false">AD36+1</f>
        <v>28</v>
      </c>
      <c r="AE37" s="12"/>
      <c r="AG37" s="6"/>
    </row>
    <row r="38" customFormat="false" ht="11.1" hidden="false" customHeight="true" outlineLevel="0" collapsed="false">
      <c r="A38" s="13" t="n">
        <f aca="false">A37+1</f>
        <v>29</v>
      </c>
      <c r="B38" s="29" t="n">
        <v>6904.18</v>
      </c>
      <c r="C38" s="7" t="n">
        <v>299260</v>
      </c>
      <c r="D38" s="12" t="n">
        <f aca="false">C38-C37</f>
        <v>-1147</v>
      </c>
      <c r="E38" s="7" t="n">
        <f aca="false">C38-152000</f>
        <v>147260</v>
      </c>
      <c r="F38" s="6" t="n">
        <f aca="false">D38/$D$2</f>
        <v>-578.270733551802</v>
      </c>
      <c r="G38" s="6" t="n">
        <v>212.55</v>
      </c>
      <c r="H38" s="11" t="n">
        <v>0</v>
      </c>
      <c r="I38" s="6" t="n">
        <f aca="false">G38+H38</f>
        <v>212.55</v>
      </c>
      <c r="J38" s="106" t="n">
        <f aca="false">IF(L38&gt;0,L38,0)</f>
        <v>0</v>
      </c>
      <c r="K38" s="6" t="n">
        <f aca="false">I38+J38</f>
        <v>212.55</v>
      </c>
      <c r="L38" s="6" t="n">
        <f aca="false">F38-(I38-X38)</f>
        <v>-72.1407335518024</v>
      </c>
      <c r="M38" s="6" t="n">
        <v>257.5</v>
      </c>
      <c r="N38" s="6" t="n">
        <v>0</v>
      </c>
      <c r="O38" s="6" t="n">
        <v>0</v>
      </c>
      <c r="P38" s="6" t="n">
        <f aca="false">M38-(N38+O38)</f>
        <v>257.5</v>
      </c>
      <c r="Q38" s="6" t="n">
        <v>180.14</v>
      </c>
      <c r="R38" s="6" t="n">
        <v>86.36</v>
      </c>
      <c r="S38" s="6" t="n">
        <f aca="false">SUM(P38:R38)</f>
        <v>524</v>
      </c>
      <c r="T38" s="52" t="n">
        <f aca="false">(I38-S38)+T37</f>
        <v>24325.99</v>
      </c>
      <c r="U38" s="6" t="n">
        <v>145</v>
      </c>
      <c r="V38" s="6" t="n">
        <v>49.68</v>
      </c>
      <c r="W38" s="10" t="n">
        <v>29.68</v>
      </c>
      <c r="X38" s="6" t="n">
        <f aca="false">N38+O38+S38+U38+V38</f>
        <v>718.68</v>
      </c>
      <c r="Y38" s="6" t="n">
        <f aca="false">IF(L38&lt;0,L38*-1,0)</f>
        <v>72.1407335518024</v>
      </c>
      <c r="Z38" s="6" t="n">
        <f aca="false">X38+Y38</f>
        <v>790.820733551802</v>
      </c>
      <c r="AA38" s="11" t="n">
        <v>0</v>
      </c>
      <c r="AB38" s="12" t="n">
        <v>94</v>
      </c>
      <c r="AC38" s="12" t="n">
        <v>55</v>
      </c>
      <c r="AD38" s="13" t="n">
        <f aca="false">AD37+1</f>
        <v>29</v>
      </c>
      <c r="AE38" s="12"/>
      <c r="AG38" s="6"/>
    </row>
    <row r="39" customFormat="false" ht="11.1" hidden="false" customHeight="true" outlineLevel="0" collapsed="false">
      <c r="A39" s="13" t="n">
        <v>30</v>
      </c>
      <c r="B39" s="29" t="n">
        <v>6903.88</v>
      </c>
      <c r="C39" s="7" t="n">
        <v>298116</v>
      </c>
      <c r="D39" s="12" t="n">
        <f aca="false">C39-C38</f>
        <v>-1144</v>
      </c>
      <c r="E39" s="7" t="n">
        <f aca="false">C39-152000</f>
        <v>146116</v>
      </c>
      <c r="F39" s="6" t="n">
        <f aca="false">D39/$D$2</f>
        <v>-576.758255608772</v>
      </c>
      <c r="G39" s="6" t="n">
        <v>198.47</v>
      </c>
      <c r="H39" s="11" t="n">
        <v>0</v>
      </c>
      <c r="I39" s="6" t="n">
        <f aca="false">G39+H39</f>
        <v>198.47</v>
      </c>
      <c r="J39" s="106" t="n">
        <f aca="false">IF(L39&gt;0,L39,0)</f>
        <v>0</v>
      </c>
      <c r="K39" s="6" t="n">
        <f aca="false">I39+J39</f>
        <v>198.47</v>
      </c>
      <c r="L39" s="6" t="n">
        <f aca="false">F39-(I39-X39)</f>
        <v>-57.5282556087724</v>
      </c>
      <c r="M39" s="6" t="n">
        <v>256.82</v>
      </c>
      <c r="N39" s="6" t="n">
        <v>0</v>
      </c>
      <c r="O39" s="6" t="n">
        <v>0</v>
      </c>
      <c r="P39" s="6" t="n">
        <f aca="false">M39-(N39+O39)</f>
        <v>256.82</v>
      </c>
      <c r="Q39" s="6" t="n">
        <v>179.4</v>
      </c>
      <c r="R39" s="6" t="n">
        <v>86.78</v>
      </c>
      <c r="S39" s="6" t="n">
        <f aca="false">SUM(P39:R39)</f>
        <v>523</v>
      </c>
      <c r="T39" s="52" t="n">
        <f aca="false">(I39-S39)+T38</f>
        <v>24001.46</v>
      </c>
      <c r="U39" s="6" t="n">
        <v>145</v>
      </c>
      <c r="V39" s="6" t="n">
        <v>49.7</v>
      </c>
      <c r="W39" s="10" t="n">
        <v>29.7</v>
      </c>
      <c r="X39" s="6" t="n">
        <f aca="false">N39+O39+S39+U39+V39</f>
        <v>717.7</v>
      </c>
      <c r="Y39" s="6" t="n">
        <f aca="false">IF(L39&lt;0,L39*-1,0)</f>
        <v>57.5282556087724</v>
      </c>
      <c r="Z39" s="6" t="n">
        <f aca="false">X39+Y39</f>
        <v>775.228255608772</v>
      </c>
      <c r="AA39" s="11" t="n">
        <v>0</v>
      </c>
      <c r="AB39" s="12" t="n">
        <v>92</v>
      </c>
      <c r="AC39" s="12" t="n">
        <v>62</v>
      </c>
      <c r="AD39" s="13" t="n">
        <v>30</v>
      </c>
      <c r="AE39" s="12"/>
      <c r="AG39" s="6"/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4" t="n">
        <v>0.29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124"/>
      <c r="X40" s="30"/>
      <c r="Y40" s="30"/>
      <c r="Z40" s="30"/>
      <c r="AA40" s="34"/>
      <c r="AB40" s="35"/>
      <c r="AC40" s="35"/>
      <c r="AD40" s="36"/>
      <c r="AE40" s="104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-402.823292160323</v>
      </c>
      <c r="G41" s="7" t="n">
        <f aca="false">SUM(G10:G39)</f>
        <v>21754.41</v>
      </c>
      <c r="H41" s="11" t="n">
        <f aca="false">SUM(H10:H39)</f>
        <v>185.23</v>
      </c>
      <c r="I41" s="7" t="n">
        <f aca="false">SUM(I10:I39)</f>
        <v>21939.64</v>
      </c>
      <c r="J41" s="7" t="n">
        <f aca="false">SUM(J10:J39)</f>
        <v>384.35866145702</v>
      </c>
      <c r="K41" s="7" t="n">
        <f aca="false">SUM(K10:K39)</f>
        <v>22323.998661457</v>
      </c>
      <c r="L41" s="7" t="n">
        <f aca="false">SUM(L10:L39)</f>
        <v>-3453.50029216032</v>
      </c>
      <c r="M41" s="7" t="n">
        <f aca="false">SUM(M10:M39)</f>
        <v>7323.67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7323.67</v>
      </c>
      <c r="Q41" s="7" t="n">
        <f aca="false">SUM(Q10:Q39)</f>
        <v>5099.9</v>
      </c>
      <c r="R41" s="7" t="n">
        <f aca="false">SUM(R10:R39)</f>
        <v>2551.573</v>
      </c>
      <c r="S41" s="7" t="n">
        <f aca="false">SUM(S10:S39)</f>
        <v>14975.143</v>
      </c>
      <c r="T41" s="7"/>
      <c r="U41" s="7" t="n">
        <f aca="false">SUM(U10:U39)</f>
        <v>2940</v>
      </c>
      <c r="V41" s="7" t="n">
        <f aca="false">SUM(V10:V39)</f>
        <v>973.82</v>
      </c>
      <c r="W41" s="10" t="n">
        <f aca="false">SUM(W10:W39)</f>
        <v>397.91</v>
      </c>
      <c r="X41" s="7" t="n">
        <f aca="false">SUM(X10:X39)</f>
        <v>18888.963</v>
      </c>
      <c r="Y41" s="7" t="n">
        <f aca="false">SUM(Y10:Y39)</f>
        <v>3837.85895361734</v>
      </c>
      <c r="Z41" s="7" t="n">
        <f aca="false">SUM(Z10:Z39)</f>
        <v>22726.8219536173</v>
      </c>
      <c r="AA41" s="11" t="n">
        <f aca="false">SUM(AA10:AA39)</f>
        <v>0.52</v>
      </c>
      <c r="AB41" s="12" t="n">
        <f aca="false">AVERAGE(AB10:AB39)</f>
        <v>82.2666666666667</v>
      </c>
      <c r="AC41" s="12" t="n">
        <f aca="false">AVERAGE(AC10:AC39)</f>
        <v>44.2333333333333</v>
      </c>
      <c r="AD41" s="13" t="s">
        <v>67</v>
      </c>
      <c r="AE41" s="104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-799</v>
      </c>
      <c r="E42" s="7"/>
      <c r="F42" s="7" t="n">
        <f aca="false">F41*$D$2</f>
        <v>-799</v>
      </c>
      <c r="G42" s="7" t="n">
        <f aca="false">G41*$D$2</f>
        <v>43149.872235</v>
      </c>
      <c r="H42" s="11" t="n">
        <f aca="false">H41*$D$2</f>
        <v>367.403705</v>
      </c>
      <c r="I42" s="7" t="n">
        <f aca="false">I41*$D$2</f>
        <v>43517.27594</v>
      </c>
      <c r="J42" s="7" t="n">
        <f aca="false">J41*$D$2</f>
        <v>762.375405</v>
      </c>
      <c r="K42" s="7" t="n">
        <f aca="false">K41*$D$2</f>
        <v>44279.651345</v>
      </c>
      <c r="L42" s="7" t="n">
        <f aca="false">L41*$D$2</f>
        <v>-6850.0178295</v>
      </c>
      <c r="M42" s="7" t="n">
        <f aca="false">M41*$D$2</f>
        <v>14526.499445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14526.499445</v>
      </c>
      <c r="Q42" s="7" t="n">
        <f aca="false">Q41*$D$2</f>
        <v>10115.65165</v>
      </c>
      <c r="R42" s="7" t="n">
        <f aca="false">R41*$D$2</f>
        <v>5061.0450455</v>
      </c>
      <c r="S42" s="7" t="n">
        <f aca="false">S41*$D$2</f>
        <v>29703.1961405</v>
      </c>
      <c r="T42" s="7"/>
      <c r="U42" s="7" t="n">
        <f aca="false">U41*$D$2</f>
        <v>5831.49</v>
      </c>
      <c r="V42" s="7" t="n">
        <f aca="false">V41*$D$2</f>
        <v>1931.57197</v>
      </c>
      <c r="W42" s="10" t="n">
        <f aca="false">W41*$D$2</f>
        <v>789.254485</v>
      </c>
      <c r="X42" s="7" t="n">
        <f aca="false">X41*$D$2</f>
        <v>37466.2581105</v>
      </c>
      <c r="Y42" s="7" t="n">
        <f aca="false">Y41*$D$2</f>
        <v>7612.3932345</v>
      </c>
      <c r="Z42" s="7" t="n">
        <f aca="false">Z41*$D$2</f>
        <v>45078.651345</v>
      </c>
      <c r="AA42" s="11"/>
      <c r="AB42" s="12" t="n">
        <f aca="false">MAX(AB10:AB39)</f>
        <v>94</v>
      </c>
      <c r="AC42" s="12" t="n">
        <f aca="false">MAX(AC10:AC39)</f>
        <v>62</v>
      </c>
      <c r="AD42" s="13" t="s">
        <v>47</v>
      </c>
      <c r="AE42" s="104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4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124"/>
      <c r="X43" s="32"/>
      <c r="Y43" s="32"/>
      <c r="Z43" s="32"/>
      <c r="AA43" s="11"/>
      <c r="AB43" s="12"/>
      <c r="AC43" s="12"/>
      <c r="AD43" s="13"/>
      <c r="AE43" s="104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12586.8414418956</v>
      </c>
      <c r="G44" s="7" t="n">
        <f aca="false">G7+G41</f>
        <v>52672.69</v>
      </c>
      <c r="H44" s="11" t="n">
        <f aca="false">H7+H41</f>
        <v>1182.853</v>
      </c>
      <c r="I44" s="7" t="n">
        <f aca="false">I7+I41</f>
        <v>53855.543</v>
      </c>
      <c r="J44" s="7" t="n">
        <f aca="false">J7+J41</f>
        <v>1331.64550794051</v>
      </c>
      <c r="K44" s="7" t="n">
        <f aca="false">K7+K41</f>
        <v>55187.1885079405</v>
      </c>
      <c r="L44" s="7" t="n">
        <f aca="false">L7+L41</f>
        <v>-3868.26855810436</v>
      </c>
      <c r="M44" s="7" t="n">
        <f aca="false">M7+M41</f>
        <v>15112.31</v>
      </c>
      <c r="N44" s="7" t="n">
        <f aca="false">N7+N41</f>
        <v>0</v>
      </c>
      <c r="O44" s="7" t="n">
        <f aca="false">O7+O41</f>
        <v>0</v>
      </c>
      <c r="P44" s="7" t="n">
        <f aca="false">P7+P41</f>
        <v>15112.31</v>
      </c>
      <c r="Q44" s="7" t="n">
        <f aca="false">Q7+Q41</f>
        <v>10003.61</v>
      </c>
      <c r="R44" s="7" t="n">
        <f aca="false">R7+R41</f>
        <v>4738.163</v>
      </c>
      <c r="S44" s="7" t="n">
        <f aca="false">S7+S41</f>
        <v>29854.083</v>
      </c>
      <c r="T44" s="128" t="n">
        <f aca="false">T39</f>
        <v>24001.46</v>
      </c>
      <c r="U44" s="7" t="n">
        <f aca="false">U7+U41</f>
        <v>5346</v>
      </c>
      <c r="V44" s="7" t="n">
        <f aca="false">V7+V41</f>
        <v>2200.35</v>
      </c>
      <c r="W44" s="129" t="n">
        <f aca="false">W41</f>
        <v>397.91</v>
      </c>
      <c r="X44" s="7" t="n">
        <f aca="false">X7+X41</f>
        <v>37400.433</v>
      </c>
      <c r="Y44" s="7" t="n">
        <f aca="false">Y7+Y41</f>
        <v>5199.91406604487</v>
      </c>
      <c r="Z44" s="7" t="n">
        <f aca="false">Z7+Z41</f>
        <v>42600.3470660449</v>
      </c>
      <c r="AA44" s="11"/>
      <c r="AB44" s="12" t="n">
        <f aca="false">MIN(AB10:AB39)</f>
        <v>65</v>
      </c>
      <c r="AC44" s="12" t="n">
        <f aca="false">MIN(AC10:AC39)</f>
        <v>26</v>
      </c>
      <c r="AD44" s="13" t="s">
        <v>49</v>
      </c>
      <c r="AE44" s="104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24966</v>
      </c>
      <c r="G45" s="7" t="n">
        <f aca="false">G44*$D$2</f>
        <v>104476.280615</v>
      </c>
      <c r="H45" s="11" t="n">
        <f aca="false">H44*$D$2</f>
        <v>2346.1889255</v>
      </c>
      <c r="I45" s="7" t="n">
        <f aca="false">I44*$D$2</f>
        <v>106822.4695405</v>
      </c>
      <c r="J45" s="7" t="n">
        <f aca="false">J44*$D$2</f>
        <v>2641.318865</v>
      </c>
      <c r="K45" s="7" t="n">
        <f aca="false">K44*$D$2</f>
        <v>109463.7884055</v>
      </c>
      <c r="L45" s="7" t="n">
        <f aca="false">L44*$D$2</f>
        <v>-7672.710685</v>
      </c>
      <c r="M45" s="7" t="n">
        <f aca="false">M44*$D$2</f>
        <v>29975.266885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29975.266885</v>
      </c>
      <c r="Q45" s="7" t="n">
        <f aca="false">Q44*$D$2</f>
        <v>19842.160435</v>
      </c>
      <c r="R45" s="7" t="n">
        <f aca="false">R44*$D$2</f>
        <v>9398.1463105</v>
      </c>
      <c r="S45" s="7" t="n">
        <f aca="false">S44*$D$2</f>
        <v>59215.5736305</v>
      </c>
      <c r="T45" s="7" t="n">
        <f aca="false">T44*$D$2</f>
        <v>47606.89591</v>
      </c>
      <c r="U45" s="7" t="n">
        <f aca="false">U44*$D$2</f>
        <v>10603.791</v>
      </c>
      <c r="V45" s="7" t="n">
        <f aca="false">V44*$D$2</f>
        <v>4364.394225</v>
      </c>
      <c r="W45" s="10" t="n">
        <f aca="false">W42</f>
        <v>789.254485</v>
      </c>
      <c r="X45" s="7" t="n">
        <f aca="false">X44*$D$2</f>
        <v>74183.7588555</v>
      </c>
      <c r="Y45" s="7" t="n">
        <f aca="false">Y44*$D$2</f>
        <v>10314.02955</v>
      </c>
      <c r="Z45" s="7" t="n">
        <f aca="false">Z44*$D$2</f>
        <v>84497.7884055</v>
      </c>
      <c r="AA45" s="11"/>
      <c r="AB45" s="12"/>
      <c r="AC45" s="12"/>
      <c r="AD45" s="13"/>
      <c r="AE45" s="104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4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124"/>
      <c r="X46" s="32"/>
      <c r="Y46" s="32"/>
      <c r="Z46" s="32"/>
      <c r="AA46" s="34"/>
      <c r="AB46" s="12"/>
      <c r="AC46" s="12"/>
      <c r="AD46" s="13"/>
      <c r="AE46" s="104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822.283841693976</v>
      </c>
      <c r="G47" s="7" t="n">
        <f aca="false">G8+G41</f>
        <v>57798.846</v>
      </c>
      <c r="H47" s="11" t="n">
        <f aca="false">H8+H41</f>
        <v>1182.853</v>
      </c>
      <c r="I47" s="7" t="n">
        <f aca="false">I8+I41</f>
        <v>59388.189</v>
      </c>
      <c r="J47" s="7" t="n">
        <f aca="false">J8+J41</f>
        <v>1676.5532614066</v>
      </c>
      <c r="K47" s="7" t="n">
        <f aca="false">K8+K41</f>
        <v>60991.1567811949</v>
      </c>
      <c r="L47" s="7" t="n">
        <f aca="false">L8+L41</f>
        <v>-5087.74215830603</v>
      </c>
      <c r="M47" s="7" t="n">
        <f aca="false">M8+M41</f>
        <v>16513.95</v>
      </c>
      <c r="N47" s="7" t="n">
        <f aca="false">N8+N41</f>
        <v>0.08</v>
      </c>
      <c r="O47" s="7" t="n">
        <f aca="false">O8+O41</f>
        <v>0</v>
      </c>
      <c r="P47" s="7" t="n">
        <f aca="false">P8+P41</f>
        <v>16513.87</v>
      </c>
      <c r="Q47" s="7" t="n">
        <f aca="false">Q8+Q41</f>
        <v>14528.05</v>
      </c>
      <c r="R47" s="7" t="n">
        <f aca="false">R8+R41</f>
        <v>4791.783</v>
      </c>
      <c r="S47" s="7" t="n">
        <f aca="false">S8+S41</f>
        <v>35833.703</v>
      </c>
      <c r="T47" s="7" t="n">
        <f aca="false">T39</f>
        <v>24001.46</v>
      </c>
      <c r="U47" s="7" t="n">
        <f aca="false">U8+U41</f>
        <v>5346</v>
      </c>
      <c r="V47" s="7" t="n">
        <f aca="false">V8+V41</f>
        <v>12298.38</v>
      </c>
      <c r="W47" s="103" t="n">
        <f aca="false">W44</f>
        <v>397.91</v>
      </c>
      <c r="X47" s="7" t="n">
        <f aca="false">X8+X41</f>
        <v>53478.163</v>
      </c>
      <c r="Y47" s="7" t="n">
        <f aca="false">Y8+Y41</f>
        <v>6764.29541971263</v>
      </c>
      <c r="Z47" s="7" t="n">
        <f aca="false">Z8+Z41</f>
        <v>60242.4584197126</v>
      </c>
      <c r="AA47" s="11" t="n">
        <f aca="false">AA8+AA41</f>
        <v>10.323</v>
      </c>
      <c r="AB47" s="12"/>
      <c r="AC47" s="12"/>
      <c r="AD47" s="13"/>
      <c r="AE47" s="104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1631</v>
      </c>
      <c r="E48" s="7" t="n">
        <f aca="false">E39</f>
        <v>146116</v>
      </c>
      <c r="F48" s="7" t="n">
        <f aca="false">F47*$D$2</f>
        <v>1631</v>
      </c>
      <c r="G48" s="7" t="n">
        <f aca="false">G47*$D$2</f>
        <v>114644.011041</v>
      </c>
      <c r="H48" s="11" t="n">
        <f aca="false">H47*$D$2</f>
        <v>2346.1889255</v>
      </c>
      <c r="I48" s="7" t="n">
        <f aca="false">I47*$D$2</f>
        <v>117796.4728815</v>
      </c>
      <c r="J48" s="7" t="n">
        <f aca="false">J47*$D$2</f>
        <v>3325.443394</v>
      </c>
      <c r="K48" s="7" t="n">
        <f aca="false">K47*$D$2</f>
        <v>120975.9594755</v>
      </c>
      <c r="L48" s="7" t="n">
        <f aca="false">L47*$D$2</f>
        <v>-10091.536571</v>
      </c>
      <c r="M48" s="7" t="n">
        <f aca="false">M47*$D$2</f>
        <v>32755.419825</v>
      </c>
      <c r="N48" s="7" t="n">
        <f aca="false">N47*$D$2</f>
        <v>0.15868</v>
      </c>
      <c r="O48" s="7" t="n">
        <f aca="false">O47*$D$2</f>
        <v>0</v>
      </c>
      <c r="P48" s="7" t="n">
        <f aca="false">P47*$D$2</f>
        <v>32755.261145</v>
      </c>
      <c r="Q48" s="7" t="n">
        <f aca="false">Q47*$D$2</f>
        <v>28816.387175</v>
      </c>
      <c r="R48" s="7" t="n">
        <f aca="false">R47*$D$2</f>
        <v>9504.5015805</v>
      </c>
      <c r="S48" s="7" t="n">
        <f aca="false">S47*$D$2</f>
        <v>71076.1499005</v>
      </c>
      <c r="T48" s="7" t="n">
        <f aca="false">T47*$D$2</f>
        <v>47606.89591</v>
      </c>
      <c r="U48" s="7" t="n">
        <f aca="false">U47*$D$2</f>
        <v>10603.791</v>
      </c>
      <c r="V48" s="7" t="n">
        <f aca="false">V47*$D$2</f>
        <v>24393.83673</v>
      </c>
      <c r="W48" s="103" t="n">
        <f aca="false">W45</f>
        <v>789.254485</v>
      </c>
      <c r="X48" s="7" t="n">
        <f aca="false">X47*$D$2</f>
        <v>106073.9363105</v>
      </c>
      <c r="Y48" s="7" t="n">
        <f aca="false">Y47*$D$2</f>
        <v>13416.979965</v>
      </c>
      <c r="Z48" s="7" t="n">
        <f aca="false">Z47*$D$2</f>
        <v>119490.9162755</v>
      </c>
      <c r="AA48" s="11"/>
      <c r="AB48" s="12"/>
      <c r="AC48" s="12"/>
      <c r="AD48" s="13"/>
      <c r="AE48" s="104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4"/>
      <c r="I49" s="30"/>
      <c r="J49" s="30"/>
      <c r="K49" s="130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124"/>
      <c r="X49" s="30"/>
      <c r="Y49" s="30"/>
      <c r="Z49" s="30"/>
      <c r="AA49" s="11"/>
      <c r="AB49" s="12"/>
      <c r="AC49" s="12"/>
      <c r="AD49" s="13"/>
      <c r="AE49" s="104"/>
    </row>
    <row r="50" customFormat="false" ht="11.1" hidden="false" customHeight="true" outlineLevel="0" collapsed="false">
      <c r="R50" s="39"/>
      <c r="S50" s="7"/>
    </row>
    <row r="51" customFormat="false" ht="11.1" hidden="false" customHeight="true" outlineLevel="0" collapsed="false">
      <c r="B51" s="41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1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pane xSplit="1" ySplit="7" topLeftCell="G10" activePane="bottomRight" state="frozen"/>
      <selection pane="topLeft" activeCell="A3" activeCellId="0" sqref="A3"/>
      <selection pane="topRight" activeCell="G3" activeCellId="0" sqref="G3"/>
      <selection pane="bottomLeft" activeCell="A10" activeCellId="0" sqref="A10"/>
      <selection pane="bottomRight" activeCell="T10" activeCellId="0" sqref="T1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6.32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8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8" min="27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5"/>
      <c r="X1" s="51"/>
      <c r="Y1" s="51"/>
      <c r="Z1" s="55"/>
      <c r="AA1" s="57"/>
      <c r="AB1" s="57"/>
      <c r="AC1" s="5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74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5"/>
      <c r="X2" s="51"/>
      <c r="Y2" s="51"/>
      <c r="Z2" s="55"/>
      <c r="AA2" s="57"/>
      <c r="AB2" s="57"/>
      <c r="AC2" s="5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5"/>
      <c r="X3" s="51"/>
      <c r="Y3" s="51"/>
      <c r="Z3" s="55"/>
      <c r="AA3" s="57"/>
      <c r="AB3" s="57"/>
      <c r="AC3" s="5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107" t="s">
        <v>75</v>
      </c>
      <c r="X4" s="62" t="s">
        <v>10</v>
      </c>
      <c r="Y4" s="62" t="s">
        <v>11</v>
      </c>
      <c r="Z4" s="62" t="s">
        <v>12</v>
      </c>
      <c r="AA4" s="107" t="s">
        <v>19</v>
      </c>
      <c r="AB4" s="66" t="s">
        <v>20</v>
      </c>
      <c r="AC4" s="66" t="s">
        <v>21</v>
      </c>
      <c r="AD4" s="66" t="s">
        <v>3</v>
      </c>
      <c r="AE4" s="88"/>
    </row>
    <row r="5" customFormat="false" ht="11.1" hidden="false" customHeight="true" outlineLevel="0" collapsed="false">
      <c r="A5" s="67" t="s">
        <v>76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107" t="s">
        <v>73</v>
      </c>
      <c r="X5" s="62" t="s">
        <v>40</v>
      </c>
      <c r="Y5" s="62" t="s">
        <v>40</v>
      </c>
      <c r="Z5" s="62" t="s">
        <v>40</v>
      </c>
      <c r="AA5" s="131"/>
      <c r="AB5" s="66" t="s">
        <v>41</v>
      </c>
      <c r="AC5" s="66" t="s">
        <v>41</v>
      </c>
      <c r="AD5" s="69" t="s">
        <v>76</v>
      </c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132"/>
      <c r="S6" s="70"/>
      <c r="T6" s="133"/>
      <c r="U6" s="70"/>
      <c r="V6" s="70"/>
      <c r="W6" s="108"/>
      <c r="X6" s="70"/>
      <c r="Y6" s="70"/>
      <c r="Z6" s="70"/>
      <c r="AA6" s="55"/>
      <c r="AB6" s="58"/>
      <c r="AC6" s="58"/>
      <c r="AD6" s="58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JUN!F44</f>
        <v>12586.8414418956</v>
      </c>
      <c r="G7" s="52" t="n">
        <f aca="false">JUN!G44</f>
        <v>52672.69</v>
      </c>
      <c r="H7" s="56" t="n">
        <f aca="false">JUN!H44</f>
        <v>1182.853</v>
      </c>
      <c r="I7" s="52" t="n">
        <f aca="false">JUN!I44</f>
        <v>53855.543</v>
      </c>
      <c r="J7" s="52" t="n">
        <f aca="false">JUN!J44</f>
        <v>1331.64550794051</v>
      </c>
      <c r="K7" s="52" t="n">
        <f aca="false">JUN!K44</f>
        <v>55187.1885079405</v>
      </c>
      <c r="L7" s="52" t="n">
        <f aca="false">JUN!L44</f>
        <v>-3868.26855810436</v>
      </c>
      <c r="M7" s="52" t="n">
        <f aca="false">JUN!M44</f>
        <v>15112.31</v>
      </c>
      <c r="N7" s="52" t="n">
        <f aca="false">JUN!N44</f>
        <v>0</v>
      </c>
      <c r="O7" s="52" t="n">
        <f aca="false">JUN!O44</f>
        <v>0</v>
      </c>
      <c r="P7" s="52" t="n">
        <f aca="false">JUN!P44</f>
        <v>15112.31</v>
      </c>
      <c r="Q7" s="52" t="n">
        <f aca="false">JUN!Q44</f>
        <v>10003.61</v>
      </c>
      <c r="R7" s="52" t="n">
        <f aca="false">JUN!R44</f>
        <v>4738.163</v>
      </c>
      <c r="S7" s="52" t="n">
        <f aca="false">JUN!S44</f>
        <v>29854.083</v>
      </c>
      <c r="T7" s="52" t="n">
        <f aca="false">JUN!T44</f>
        <v>24001.46</v>
      </c>
      <c r="U7" s="52" t="n">
        <f aca="false">JUN!U44</f>
        <v>5346</v>
      </c>
      <c r="V7" s="52" t="n">
        <f aca="false">JUN!V44</f>
        <v>2200.35</v>
      </c>
      <c r="W7" s="55" t="n">
        <f aca="false">JUN!W44</f>
        <v>397.91</v>
      </c>
      <c r="X7" s="52" t="n">
        <f aca="false">JUN!X44</f>
        <v>37400.433</v>
      </c>
      <c r="Y7" s="52" t="n">
        <f aca="false">JUN!Y44</f>
        <v>5199.91406604487</v>
      </c>
      <c r="Z7" s="52" t="n">
        <f aca="false">JUN!Z44</f>
        <v>42600.3470660449</v>
      </c>
      <c r="AA7" s="55"/>
      <c r="AB7" s="57"/>
      <c r="AC7" s="57"/>
      <c r="AD7" s="58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JUN!B39</f>
        <v>6903.88</v>
      </c>
      <c r="C8" s="52" t="n">
        <f aca="false">JUN!C39</f>
        <v>298116</v>
      </c>
      <c r="D8" s="52" t="n">
        <f aca="false">JUN!D48</f>
        <v>1631</v>
      </c>
      <c r="E8" s="52" t="n">
        <f aca="false">JUN!E48</f>
        <v>146116</v>
      </c>
      <c r="F8" s="52" t="n">
        <f aca="false">JUN!F47</f>
        <v>822.283841693976</v>
      </c>
      <c r="G8" s="52" t="n">
        <f aca="false">JUN!G47</f>
        <v>57798.846</v>
      </c>
      <c r="H8" s="56" t="n">
        <f aca="false">JUN!H47</f>
        <v>1182.853</v>
      </c>
      <c r="I8" s="52" t="n">
        <f aca="false">JUN!I47</f>
        <v>59388.189</v>
      </c>
      <c r="J8" s="52" t="n">
        <f aca="false">JUN!J47</f>
        <v>1676.5532614066</v>
      </c>
      <c r="K8" s="52" t="n">
        <f aca="false">JUN!K47</f>
        <v>60991.1567811949</v>
      </c>
      <c r="L8" s="52" t="n">
        <f aca="false">JUN!L47</f>
        <v>-5087.74215830603</v>
      </c>
      <c r="M8" s="52" t="n">
        <f aca="false">JUN!M47</f>
        <v>16513.95</v>
      </c>
      <c r="N8" s="52" t="n">
        <f aca="false">JUN!N47</f>
        <v>0.08</v>
      </c>
      <c r="O8" s="52" t="n">
        <f aca="false">JUN!O47</f>
        <v>0</v>
      </c>
      <c r="P8" s="52" t="n">
        <f aca="false">JUN!P47</f>
        <v>16513.87</v>
      </c>
      <c r="Q8" s="52" t="n">
        <f aca="false">JUN!Q47</f>
        <v>14528.05</v>
      </c>
      <c r="R8" s="52" t="n">
        <f aca="false">JUN!R47</f>
        <v>4791.783</v>
      </c>
      <c r="S8" s="52" t="n">
        <f aca="false">JUN!S47</f>
        <v>35833.703</v>
      </c>
      <c r="T8" s="52" t="n">
        <f aca="false">JUN!T47</f>
        <v>24001.46</v>
      </c>
      <c r="U8" s="52" t="n">
        <f aca="false">JUN!U47</f>
        <v>5346</v>
      </c>
      <c r="V8" s="52" t="n">
        <f aca="false">JUN!V47</f>
        <v>12298.38</v>
      </c>
      <c r="W8" s="55" t="n">
        <f aca="false">JUN!W48</f>
        <v>789.254485</v>
      </c>
      <c r="X8" s="52" t="n">
        <f aca="false">JUN!X47</f>
        <v>53478.163</v>
      </c>
      <c r="Y8" s="52" t="n">
        <f aca="false">JUN!Y47</f>
        <v>6764.29541971263</v>
      </c>
      <c r="Z8" s="52" t="n">
        <f aca="false">JUN!Z47</f>
        <v>60242.4584197126</v>
      </c>
      <c r="AA8" s="81" t="n">
        <f aca="false">JUN!AA47</f>
        <v>10.323</v>
      </c>
      <c r="AB8" s="57"/>
      <c r="AC8" s="57"/>
      <c r="AD8" s="58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109"/>
      <c r="X9" s="74"/>
      <c r="Y9" s="74"/>
      <c r="Z9" s="74"/>
      <c r="AA9" s="109"/>
      <c r="AB9" s="79"/>
      <c r="AC9" s="79"/>
      <c r="AD9" s="80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6903.58</v>
      </c>
      <c r="C10" s="52" t="n">
        <v>296978</v>
      </c>
      <c r="D10" s="57" t="n">
        <f aca="false">C10-C8</f>
        <v>-1138</v>
      </c>
      <c r="E10" s="52" t="n">
        <f aca="false">C10-152000</f>
        <v>144978</v>
      </c>
      <c r="F10" s="51" t="n">
        <f aca="false">D10/$D$2</f>
        <v>-573.733299722712</v>
      </c>
      <c r="G10" s="51" t="n">
        <v>193.8</v>
      </c>
      <c r="H10" s="56" t="n">
        <v>0</v>
      </c>
      <c r="I10" s="51" t="n">
        <f aca="false">G10+H10</f>
        <v>193.8</v>
      </c>
      <c r="J10" s="81" t="n">
        <f aca="false">IF(L10&gt;0,L10,0)</f>
        <v>0</v>
      </c>
      <c r="K10" s="51" t="n">
        <f aca="false">I10+J10</f>
        <v>193.8</v>
      </c>
      <c r="L10" s="51" t="n">
        <f aca="false">F10-(I10-X10)</f>
        <v>-43.8332997227122</v>
      </c>
      <c r="M10" s="51" t="n">
        <v>256.71</v>
      </c>
      <c r="N10" s="51" t="n">
        <v>0</v>
      </c>
      <c r="O10" s="51" t="n">
        <v>0</v>
      </c>
      <c r="P10" s="6" t="n">
        <f aca="false">M10-(N10+O10)</f>
        <v>256.71</v>
      </c>
      <c r="Q10" s="51" t="n">
        <v>178.72</v>
      </c>
      <c r="R10" s="51" t="n">
        <v>86.57</v>
      </c>
      <c r="S10" s="51" t="n">
        <f aca="false">SUM(P10:R10)</f>
        <v>522</v>
      </c>
      <c r="T10" s="52" t="n">
        <f aca="false">(I10-S10)+T7</f>
        <v>23673.26</v>
      </c>
      <c r="U10" s="51" t="n">
        <v>152</v>
      </c>
      <c r="V10" s="51" t="n">
        <v>49.7</v>
      </c>
      <c r="W10" s="55" t="n">
        <f aca="false">V10-20</f>
        <v>29.7</v>
      </c>
      <c r="X10" s="6" t="n">
        <f aca="false">N10+O10+S10+U10+V10</f>
        <v>723.7</v>
      </c>
      <c r="Y10" s="51" t="n">
        <f aca="false">IF(L10&lt;0,L10*-1,0)</f>
        <v>43.8332997227122</v>
      </c>
      <c r="Z10" s="51" t="n">
        <f aca="false">X10+Y10</f>
        <v>767.533299722712</v>
      </c>
      <c r="AA10" s="55" t="s">
        <v>77</v>
      </c>
      <c r="AB10" s="134" t="n">
        <v>92</v>
      </c>
      <c r="AC10" s="134" t="n">
        <v>60</v>
      </c>
      <c r="AD10" s="58" t="n">
        <v>1</v>
      </c>
      <c r="AE10" s="12"/>
      <c r="AF10" s="125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58" t="n">
        <f aca="false">A10+1</f>
        <v>2</v>
      </c>
      <c r="B11" s="73" t="n">
        <v>6903.3</v>
      </c>
      <c r="C11" s="52" t="n">
        <v>295916</v>
      </c>
      <c r="D11" s="57" t="n">
        <f aca="false">C11-C10</f>
        <v>-1062</v>
      </c>
      <c r="E11" s="52" t="n">
        <f aca="false">C11-152000</f>
        <v>143916</v>
      </c>
      <c r="F11" s="51" t="n">
        <f aca="false">D11/$D$2</f>
        <v>-535.417191832619</v>
      </c>
      <c r="G11" s="51" t="n">
        <v>183.66</v>
      </c>
      <c r="H11" s="56" t="n">
        <v>0</v>
      </c>
      <c r="I11" s="51" t="n">
        <f aca="false">G11+H11</f>
        <v>183.66</v>
      </c>
      <c r="J11" s="81" t="n">
        <f aca="false">IF(L11&gt;0,L11,0)</f>
        <v>0</v>
      </c>
      <c r="K11" s="51" t="n">
        <f aca="false">I11+J11</f>
        <v>183.66</v>
      </c>
      <c r="L11" s="51" t="n">
        <f aca="false">F11-(I11-X11)</f>
        <v>-46.3971918326191</v>
      </c>
      <c r="M11" s="51" t="n">
        <v>255.83</v>
      </c>
      <c r="N11" s="51" t="n">
        <v>0</v>
      </c>
      <c r="O11" s="51" t="n">
        <v>0</v>
      </c>
      <c r="P11" s="6" t="n">
        <f aca="false">M11-(N11+O11)</f>
        <v>255.83</v>
      </c>
      <c r="Q11" s="51" t="n">
        <v>174.45</v>
      </c>
      <c r="R11" s="51" t="n">
        <v>85.72</v>
      </c>
      <c r="S11" s="51" t="n">
        <f aca="false">SUM(P11:R11)</f>
        <v>516</v>
      </c>
      <c r="T11" s="52" t="n">
        <f aca="false">(I11-S11)+T10</f>
        <v>23340.92</v>
      </c>
      <c r="U11" s="51" t="n">
        <v>107</v>
      </c>
      <c r="V11" s="51" t="n">
        <v>49.68</v>
      </c>
      <c r="W11" s="55" t="n">
        <f aca="false">V11-20</f>
        <v>29.68</v>
      </c>
      <c r="X11" s="6" t="n">
        <f aca="false">N11+O11+S11+U11+V11</f>
        <v>672.68</v>
      </c>
      <c r="Y11" s="51" t="n">
        <f aca="false">IF(L11&lt;0,L11*-1,0)</f>
        <v>46.3971918326191</v>
      </c>
      <c r="Z11" s="51" t="n">
        <f aca="false">X11+Y11</f>
        <v>719.077191832619</v>
      </c>
      <c r="AA11" s="55" t="n">
        <v>0.05</v>
      </c>
      <c r="AB11" s="57" t="n">
        <v>89</v>
      </c>
      <c r="AC11" s="57" t="n">
        <v>61</v>
      </c>
      <c r="AD11" s="58" t="n">
        <f aca="false">AD10+1</f>
        <v>2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58" t="n">
        <f aca="false">A11+1</f>
        <v>3</v>
      </c>
      <c r="B12" s="73" t="n">
        <v>6903.06</v>
      </c>
      <c r="C12" s="52" t="n">
        <v>295005</v>
      </c>
      <c r="D12" s="57" t="n">
        <f aca="false">C12-C11</f>
        <v>-911</v>
      </c>
      <c r="E12" s="52" t="n">
        <f aca="false">C12-152000</f>
        <v>143005</v>
      </c>
      <c r="F12" s="51" t="n">
        <f aca="false">D12/$D$2</f>
        <v>-459.289135366776</v>
      </c>
      <c r="G12" s="51" t="n">
        <v>200.65</v>
      </c>
      <c r="H12" s="56" t="n">
        <v>0</v>
      </c>
      <c r="I12" s="51" t="n">
        <f aca="false">G12+H12</f>
        <v>200.65</v>
      </c>
      <c r="J12" s="81" t="n">
        <f aca="false">IF(L12&gt;0,L12,0)</f>
        <v>32.7508646332242</v>
      </c>
      <c r="K12" s="51" t="n">
        <f aca="false">I12+J12</f>
        <v>233.400864633224</v>
      </c>
      <c r="L12" s="51" t="n">
        <f aca="false">F12-(I12-X12)</f>
        <v>32.7508646332242</v>
      </c>
      <c r="M12" s="51" t="n">
        <v>255.1</v>
      </c>
      <c r="N12" s="51" t="n">
        <v>0</v>
      </c>
      <c r="O12" s="51" t="n">
        <v>0</v>
      </c>
      <c r="P12" s="6" t="n">
        <f aca="false">M12-(N12+O12)</f>
        <v>255.1</v>
      </c>
      <c r="Q12" s="51" t="n">
        <v>169.65</v>
      </c>
      <c r="R12" s="51" t="n">
        <v>84.25</v>
      </c>
      <c r="S12" s="51" t="n">
        <f aca="false">SUM(P12:R12)</f>
        <v>509</v>
      </c>
      <c r="T12" s="52" t="n">
        <f aca="false">(I12-S12)+T11</f>
        <v>23032.57</v>
      </c>
      <c r="U12" s="51" t="n">
        <v>134</v>
      </c>
      <c r="V12" s="51" t="n">
        <v>49.69</v>
      </c>
      <c r="W12" s="55" t="n">
        <f aca="false">V12-20</f>
        <v>29.69</v>
      </c>
      <c r="X12" s="6" t="n">
        <f aca="false">N12+O12+S12+U12+V12</f>
        <v>692.69</v>
      </c>
      <c r="Y12" s="51" t="n">
        <f aca="false">IF(L12&lt;0,L12*-1,0)</f>
        <v>0</v>
      </c>
      <c r="Z12" s="51" t="n">
        <f aca="false">X12+Y12</f>
        <v>692.69</v>
      </c>
      <c r="AA12" s="55" t="n">
        <v>0</v>
      </c>
      <c r="AB12" s="57" t="n">
        <v>87</v>
      </c>
      <c r="AC12" s="57" t="n">
        <v>57</v>
      </c>
      <c r="AD12" s="58" t="n">
        <f aca="false">AD11+1</f>
        <v>3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58" t="n">
        <f aca="false">A12+1</f>
        <v>4</v>
      </c>
      <c r="B13" s="73" t="n">
        <v>6902.82</v>
      </c>
      <c r="C13" s="52" t="n">
        <v>294100</v>
      </c>
      <c r="D13" s="57" t="n">
        <f aca="false">C13-C12</f>
        <v>-905</v>
      </c>
      <c r="E13" s="52" t="n">
        <f aca="false">C13-152000</f>
        <v>142100</v>
      </c>
      <c r="F13" s="51" t="n">
        <f aca="false">D13/$D$2</f>
        <v>-456.264179480716</v>
      </c>
      <c r="G13" s="51" t="n">
        <v>258.49</v>
      </c>
      <c r="H13" s="56" t="n">
        <v>0</v>
      </c>
      <c r="I13" s="51" t="n">
        <f aca="false">G13+H13</f>
        <v>258.49</v>
      </c>
      <c r="J13" s="81" t="n">
        <f aca="false">IF(L13&gt;0,L13,0)</f>
        <v>0</v>
      </c>
      <c r="K13" s="51" t="n">
        <f aca="false">I13+J13</f>
        <v>258.49</v>
      </c>
      <c r="L13" s="51" t="n">
        <f aca="false">F13-(I13-X13)</f>
        <v>-45.0641794807158</v>
      </c>
      <c r="M13" s="51" t="n">
        <v>254.08</v>
      </c>
      <c r="N13" s="51" t="n">
        <v>0</v>
      </c>
      <c r="O13" s="51" t="n">
        <v>0</v>
      </c>
      <c r="P13" s="6" t="n">
        <f aca="false">M13-(N13+O13)</f>
        <v>254.08</v>
      </c>
      <c r="Q13" s="51" t="n">
        <v>169.78</v>
      </c>
      <c r="R13" s="51" t="n">
        <v>79.14</v>
      </c>
      <c r="S13" s="51" t="n">
        <f aca="false">SUM(P13:R13)</f>
        <v>503</v>
      </c>
      <c r="T13" s="52" t="n">
        <f aca="false">(I13-S13)+T12</f>
        <v>22788.06</v>
      </c>
      <c r="U13" s="51" t="n">
        <v>117</v>
      </c>
      <c r="V13" s="51" t="n">
        <v>49.69</v>
      </c>
      <c r="W13" s="55" t="n">
        <f aca="false">V13-20</f>
        <v>29.69</v>
      </c>
      <c r="X13" s="6" t="n">
        <f aca="false">N13+O13+S13+U13+V13</f>
        <v>669.69</v>
      </c>
      <c r="Y13" s="51" t="n">
        <f aca="false">IF(L13&lt;0,L13*-1,0)</f>
        <v>45.0641794807158</v>
      </c>
      <c r="Z13" s="51" t="n">
        <f aca="false">X13+Y13</f>
        <v>714.754179480716</v>
      </c>
      <c r="AA13" s="55" t="n">
        <v>0</v>
      </c>
      <c r="AB13" s="57" t="n">
        <v>86</v>
      </c>
      <c r="AC13" s="57" t="n">
        <v>56</v>
      </c>
      <c r="AD13" s="58" t="n">
        <f aca="false">AD12+1</f>
        <v>4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58" t="n">
        <f aca="false">A13+1</f>
        <v>5</v>
      </c>
      <c r="B14" s="73" t="n">
        <v>6902.58</v>
      </c>
      <c r="C14" s="52" t="n">
        <v>293197</v>
      </c>
      <c r="D14" s="57" t="n">
        <f aca="false">C14-C13</f>
        <v>-903</v>
      </c>
      <c r="E14" s="52" t="n">
        <f aca="false">C14-152000</f>
        <v>141197</v>
      </c>
      <c r="F14" s="51" t="n">
        <f aca="false">D14/$D$2</f>
        <v>-455.255860852029</v>
      </c>
      <c r="G14" s="51" t="n">
        <v>208.52</v>
      </c>
      <c r="H14" s="56" t="n">
        <v>0</v>
      </c>
      <c r="I14" s="51" t="n">
        <f aca="false">G14+H14</f>
        <v>208.52</v>
      </c>
      <c r="J14" s="81" t="n">
        <f aca="false">IF(L14&gt;0,L14,0)</f>
        <v>0</v>
      </c>
      <c r="K14" s="51" t="n">
        <f aca="false">I14+J14</f>
        <v>208.52</v>
      </c>
      <c r="L14" s="51" t="n">
        <f aca="false">F14-(I14-X14)</f>
        <v>-0.0358608520292023</v>
      </c>
      <c r="M14" s="51" t="n">
        <v>249.35</v>
      </c>
      <c r="N14" s="51" t="n">
        <v>0</v>
      </c>
      <c r="O14" s="51" t="n">
        <v>0</v>
      </c>
      <c r="P14" s="6" t="n">
        <f aca="false">M14-(N14+O14)</f>
        <v>249.35</v>
      </c>
      <c r="Q14" s="51" t="n">
        <v>168.76</v>
      </c>
      <c r="R14" s="51" t="n">
        <v>65.89</v>
      </c>
      <c r="S14" s="51" t="n">
        <f aca="false">SUM(P14:R14)</f>
        <v>484</v>
      </c>
      <c r="T14" s="52" t="n">
        <f aca="false">(I14-S14)+T13</f>
        <v>22512.58</v>
      </c>
      <c r="U14" s="51" t="n">
        <v>130</v>
      </c>
      <c r="V14" s="51" t="n">
        <v>49.74</v>
      </c>
      <c r="W14" s="55" t="n">
        <f aca="false">V14-20</f>
        <v>29.74</v>
      </c>
      <c r="X14" s="6" t="n">
        <f aca="false">N14+O14+S14+U14+V14</f>
        <v>663.74</v>
      </c>
      <c r="Y14" s="51" t="n">
        <f aca="false">IF(L14&lt;0,L14*-1,0)</f>
        <v>0.0358608520292023</v>
      </c>
      <c r="Z14" s="51" t="n">
        <f aca="false">X14+Y14</f>
        <v>663.775860852029</v>
      </c>
      <c r="AA14" s="55" t="n">
        <v>0.17</v>
      </c>
      <c r="AB14" s="57" t="n">
        <v>81</v>
      </c>
      <c r="AC14" s="57" t="n">
        <v>56</v>
      </c>
      <c r="AD14" s="58" t="n">
        <f aca="false">AD13+1</f>
        <v>5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58" t="n">
        <f aca="false">A14+1</f>
        <v>6</v>
      </c>
      <c r="B15" s="73" t="n">
        <v>6902.51</v>
      </c>
      <c r="C15" s="52" t="n">
        <v>292934</v>
      </c>
      <c r="D15" s="57" t="n">
        <f aca="false">C15-C14</f>
        <v>-263</v>
      </c>
      <c r="E15" s="52" t="n">
        <f aca="false">C15-152000</f>
        <v>140934</v>
      </c>
      <c r="F15" s="51" t="n">
        <f aca="false">D15/$D$2</f>
        <v>-132.593899672296</v>
      </c>
      <c r="G15" s="51" t="n">
        <v>395.52</v>
      </c>
      <c r="H15" s="56" t="n">
        <v>0</v>
      </c>
      <c r="I15" s="51" t="n">
        <f aca="false">G15+H15</f>
        <v>395.52</v>
      </c>
      <c r="J15" s="81" t="n">
        <f aca="false">IF(L15&gt;0,L15,0)</f>
        <v>129.626100327704</v>
      </c>
      <c r="K15" s="51" t="n">
        <f aca="false">I15+J15</f>
        <v>525.146100327704</v>
      </c>
      <c r="L15" s="51" t="n">
        <f aca="false">F15-(I15-X15)</f>
        <v>129.626100327704</v>
      </c>
      <c r="M15" s="51" t="n">
        <v>234.73</v>
      </c>
      <c r="N15" s="51" t="n">
        <v>0</v>
      </c>
      <c r="O15" s="51" t="n">
        <v>0</v>
      </c>
      <c r="P15" s="6" t="n">
        <f aca="false">M15-(N15+O15)</f>
        <v>234.73</v>
      </c>
      <c r="Q15" s="51" t="n">
        <v>164.9</v>
      </c>
      <c r="R15" s="51" t="n">
        <v>81.37</v>
      </c>
      <c r="S15" s="51" t="n">
        <f aca="false">SUM(P15:R15)</f>
        <v>481</v>
      </c>
      <c r="T15" s="52" t="n">
        <f aca="false">(I15-S15)+T14</f>
        <v>22427.1</v>
      </c>
      <c r="U15" s="51" t="n">
        <v>127</v>
      </c>
      <c r="V15" s="51" t="n">
        <v>49.74</v>
      </c>
      <c r="W15" s="55" t="n">
        <f aca="false">V15-20</f>
        <v>29.74</v>
      </c>
      <c r="X15" s="6" t="n">
        <f aca="false">N15+O15+S15+U15+V15</f>
        <v>657.74</v>
      </c>
      <c r="Y15" s="51" t="n">
        <f aca="false">IF(L15&lt;0,L15*-1,0)</f>
        <v>0</v>
      </c>
      <c r="Z15" s="51" t="n">
        <f aca="false">X15+Y15</f>
        <v>657.74</v>
      </c>
      <c r="AA15" s="55" t="n">
        <v>0.1</v>
      </c>
      <c r="AB15" s="57" t="n">
        <v>78</v>
      </c>
      <c r="AC15" s="57" t="n">
        <v>52</v>
      </c>
      <c r="AD15" s="58" t="n">
        <f aca="false">AD14+1</f>
        <v>6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58" t="n">
        <f aca="false">A15+1</f>
        <v>7</v>
      </c>
      <c r="B16" s="73" t="n">
        <v>6902.48</v>
      </c>
      <c r="C16" s="52" t="n">
        <v>292821</v>
      </c>
      <c r="D16" s="57" t="n">
        <f aca="false">C16-C15</f>
        <v>-113</v>
      </c>
      <c r="E16" s="52" t="n">
        <f aca="false">C16-152000</f>
        <v>140821</v>
      </c>
      <c r="F16" s="51" t="n">
        <f aca="false">D16/$D$2</f>
        <v>-56.9700025207966</v>
      </c>
      <c r="G16" s="51" t="n">
        <v>506.53</v>
      </c>
      <c r="H16" s="56" t="n">
        <v>0</v>
      </c>
      <c r="I16" s="51" t="n">
        <f aca="false">G16+H16</f>
        <v>506.53</v>
      </c>
      <c r="J16" s="81" t="n">
        <f aca="false">IF(L16&gt;0,L16,0)</f>
        <v>45.5199974792034</v>
      </c>
      <c r="K16" s="51" t="n">
        <f aca="false">I16+J16</f>
        <v>552.049997479203</v>
      </c>
      <c r="L16" s="51" t="n">
        <f aca="false">F16-(I16-X16)</f>
        <v>45.5199974792034</v>
      </c>
      <c r="M16" s="51" t="n">
        <v>234.41</v>
      </c>
      <c r="N16" s="51" t="n">
        <v>0</v>
      </c>
      <c r="O16" s="51" t="n">
        <v>0</v>
      </c>
      <c r="P16" s="6" t="n">
        <f aca="false">M16-(N16+O16)</f>
        <v>234.41</v>
      </c>
      <c r="Q16" s="51" t="n">
        <v>164.01</v>
      </c>
      <c r="R16" s="51" t="n">
        <v>82.58</v>
      </c>
      <c r="S16" s="51" t="n">
        <f aca="false">SUM(P16:R16)</f>
        <v>481</v>
      </c>
      <c r="T16" s="52" t="n">
        <f aca="false">(I16-S16)+T15</f>
        <v>22452.63</v>
      </c>
      <c r="U16" s="51" t="n">
        <v>78</v>
      </c>
      <c r="V16" s="51" t="n">
        <v>50.02</v>
      </c>
      <c r="W16" s="55" t="n">
        <f aca="false">V16-20</f>
        <v>30.02</v>
      </c>
      <c r="X16" s="6" t="n">
        <f aca="false">N16+O16+S16+U16+V16</f>
        <v>609.02</v>
      </c>
      <c r="Y16" s="51" t="n">
        <f aca="false">IF(L16&lt;0,L16*-1,0)</f>
        <v>0</v>
      </c>
      <c r="Z16" s="51" t="n">
        <f aca="false">X16+Y16</f>
        <v>609.02</v>
      </c>
      <c r="AA16" s="55" t="n">
        <v>0.4</v>
      </c>
      <c r="AB16" s="134" t="n">
        <v>76</v>
      </c>
      <c r="AC16" s="134" t="n">
        <v>54</v>
      </c>
      <c r="AD16" s="58" t="n">
        <f aca="false">AD15+1</f>
        <v>7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58" t="n">
        <f aca="false">A16+1</f>
        <v>8</v>
      </c>
      <c r="B17" s="73" t="n">
        <v>6902.44</v>
      </c>
      <c r="C17" s="52" t="n">
        <v>292670</v>
      </c>
      <c r="D17" s="57" t="n">
        <f aca="false">C17-C16</f>
        <v>-151</v>
      </c>
      <c r="E17" s="52" t="n">
        <f aca="false">C17-152000</f>
        <v>140670</v>
      </c>
      <c r="F17" s="51" t="n">
        <f aca="false">D17/$D$2</f>
        <v>-76.1280564658432</v>
      </c>
      <c r="G17" s="51" t="n">
        <v>444.48</v>
      </c>
      <c r="H17" s="56" t="n">
        <v>0</v>
      </c>
      <c r="I17" s="51" t="n">
        <f aca="false">G17+H17</f>
        <v>444.48</v>
      </c>
      <c r="J17" s="81" t="n">
        <f aca="false">IF(L17&gt;0,L17,0)</f>
        <v>14.1119435341568</v>
      </c>
      <c r="K17" s="51" t="n">
        <f aca="false">I17+J17</f>
        <v>458.591943534157</v>
      </c>
      <c r="L17" s="51" t="n">
        <f aca="false">F17-(I17-X17)</f>
        <v>14.1119435341568</v>
      </c>
      <c r="M17" s="51" t="n">
        <v>234.65</v>
      </c>
      <c r="N17" s="51" t="n">
        <v>0</v>
      </c>
      <c r="O17" s="51" t="n">
        <v>0</v>
      </c>
      <c r="P17" s="6" t="n">
        <f aca="false">M17-(N17+O17)</f>
        <v>234.65</v>
      </c>
      <c r="Q17" s="51" t="n">
        <v>164.83</v>
      </c>
      <c r="R17" s="51" t="n">
        <v>47.52</v>
      </c>
      <c r="S17" s="51" t="n">
        <f aca="false">SUM(P17:R17)</f>
        <v>447</v>
      </c>
      <c r="T17" s="52" t="n">
        <f aca="false">(I17-S17)+T16</f>
        <v>22450.11</v>
      </c>
      <c r="U17" s="51" t="n">
        <v>38</v>
      </c>
      <c r="V17" s="51" t="n">
        <v>49.72</v>
      </c>
      <c r="W17" s="55" t="n">
        <f aca="false">V17-20</f>
        <v>29.72</v>
      </c>
      <c r="X17" s="6" t="n">
        <f aca="false">N17+O17+S17+U17+V17</f>
        <v>534.72</v>
      </c>
      <c r="Y17" s="51" t="n">
        <f aca="false">IF(L17&lt;0,L17*-1,0)</f>
        <v>0</v>
      </c>
      <c r="Z17" s="51" t="n">
        <f aca="false">X17+Y17</f>
        <v>534.72</v>
      </c>
      <c r="AA17" s="55" t="n">
        <v>0</v>
      </c>
      <c r="AB17" s="57" t="n">
        <v>73</v>
      </c>
      <c r="AC17" s="57" t="n">
        <v>54</v>
      </c>
      <c r="AD17" s="58" t="n">
        <f aca="false">AD16+1</f>
        <v>8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58" t="n">
        <f aca="false">A17+1</f>
        <v>9</v>
      </c>
      <c r="B18" s="73" t="n">
        <v>6902.38</v>
      </c>
      <c r="C18" s="52" t="n">
        <v>292444</v>
      </c>
      <c r="D18" s="57" t="n">
        <f aca="false">C18-C17</f>
        <v>-226</v>
      </c>
      <c r="E18" s="52" t="n">
        <f aca="false">C18-152000</f>
        <v>140444</v>
      </c>
      <c r="F18" s="51" t="n">
        <f aca="false">D18/$D$2</f>
        <v>-113.940005041593</v>
      </c>
      <c r="G18" s="51" t="n">
        <v>405.64</v>
      </c>
      <c r="H18" s="56" t="n">
        <v>0</v>
      </c>
      <c r="I18" s="51" t="n">
        <f aca="false">G18+H18</f>
        <v>405.64</v>
      </c>
      <c r="J18" s="81" t="n">
        <f aca="false">IF(L18&gt;0,L18,0)</f>
        <v>10.1199949584069</v>
      </c>
      <c r="K18" s="51" t="n">
        <f aca="false">I18+J18</f>
        <v>415.759994958407</v>
      </c>
      <c r="L18" s="51" t="n">
        <f aca="false">F18-(I18-X18)</f>
        <v>10.1199949584069</v>
      </c>
      <c r="M18" s="51" t="n">
        <v>224.16</v>
      </c>
      <c r="N18" s="51" t="n">
        <v>0</v>
      </c>
      <c r="O18" s="51" t="n">
        <v>0</v>
      </c>
      <c r="P18" s="6" t="n">
        <f aca="false">M18-(N18+O18)</f>
        <v>224.16</v>
      </c>
      <c r="Q18" s="51" t="n">
        <v>142.43</v>
      </c>
      <c r="R18" s="51" t="n">
        <v>54.41</v>
      </c>
      <c r="S18" s="51" t="n">
        <f aca="false">SUM(P18:R18)</f>
        <v>421</v>
      </c>
      <c r="T18" s="52" t="n">
        <f aca="false">(I18-S18)+T17</f>
        <v>22434.75</v>
      </c>
      <c r="U18" s="51" t="n">
        <v>59</v>
      </c>
      <c r="V18" s="51" t="n">
        <v>49.7</v>
      </c>
      <c r="W18" s="55" t="n">
        <f aca="false">V18-20</f>
        <v>29.7</v>
      </c>
      <c r="X18" s="6" t="n">
        <f aca="false">N18+O18+S18+U18+V18</f>
        <v>529.7</v>
      </c>
      <c r="Y18" s="51" t="n">
        <f aca="false">IF(L18&lt;0,L18*-1,0)</f>
        <v>0</v>
      </c>
      <c r="Z18" s="51" t="n">
        <f aca="false">X18+Y18</f>
        <v>529.7</v>
      </c>
      <c r="AA18" s="55" t="n">
        <v>0</v>
      </c>
      <c r="AB18" s="82" t="n">
        <v>76</v>
      </c>
      <c r="AC18" s="57" t="n">
        <v>52</v>
      </c>
      <c r="AD18" s="58" t="n">
        <f aca="false">AD17+1</f>
        <v>9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58" t="n">
        <f aca="false">A18+1</f>
        <v>10</v>
      </c>
      <c r="B19" s="73" t="n">
        <v>6902.25</v>
      </c>
      <c r="C19" s="52" t="n">
        <v>291955</v>
      </c>
      <c r="D19" s="57" t="n">
        <f aca="false">C19-C18</f>
        <v>-489</v>
      </c>
      <c r="E19" s="52" t="n">
        <f aca="false">C19-152000</f>
        <v>139955</v>
      </c>
      <c r="F19" s="51" t="n">
        <f aca="false">D19/$D$2</f>
        <v>-246.53390471389</v>
      </c>
      <c r="G19" s="51" t="n">
        <v>360.92</v>
      </c>
      <c r="H19" s="56" t="n">
        <v>0</v>
      </c>
      <c r="I19" s="51" t="n">
        <f aca="false">G19+H19</f>
        <v>360.92</v>
      </c>
      <c r="J19" s="81" t="n">
        <f aca="false">IF(L19&gt;0,L19,0)</f>
        <v>0</v>
      </c>
      <c r="K19" s="51" t="n">
        <f aca="false">I19+J19</f>
        <v>360.92</v>
      </c>
      <c r="L19" s="51" t="n">
        <f aca="false">F19-(I19-X19)</f>
        <v>-65.7439047138896</v>
      </c>
      <c r="M19" s="51" t="n">
        <v>217.01</v>
      </c>
      <c r="N19" s="51" t="n">
        <v>0</v>
      </c>
      <c r="O19" s="51" t="n">
        <v>0</v>
      </c>
      <c r="P19" s="6" t="n">
        <f aca="false">M19-(N19+O19)</f>
        <v>217.01</v>
      </c>
      <c r="Q19" s="51" t="n">
        <v>125.09</v>
      </c>
      <c r="R19" s="51" t="n">
        <v>76.9</v>
      </c>
      <c r="S19" s="51" t="n">
        <f aca="false">SUM(P19:R19)</f>
        <v>419</v>
      </c>
      <c r="T19" s="52" t="n">
        <f aca="false">(I19-S19)+T18</f>
        <v>22376.67</v>
      </c>
      <c r="U19" s="51" t="n">
        <v>73</v>
      </c>
      <c r="V19" s="51" t="n">
        <v>49.71</v>
      </c>
      <c r="W19" s="55" t="n">
        <f aca="false">V19-20</f>
        <v>29.71</v>
      </c>
      <c r="X19" s="6" t="n">
        <f aca="false">N19+O19+S19+U19+V19</f>
        <v>541.71</v>
      </c>
      <c r="Y19" s="51" t="n">
        <f aca="false">IF(L19&lt;0,L19*-1,0)</f>
        <v>65.7439047138896</v>
      </c>
      <c r="Z19" s="51" t="n">
        <f aca="false">X19+Y19</f>
        <v>607.45390471389</v>
      </c>
      <c r="AA19" s="55" t="n">
        <v>0</v>
      </c>
      <c r="AB19" s="57" t="n">
        <v>79</v>
      </c>
      <c r="AC19" s="57" t="n">
        <v>51</v>
      </c>
      <c r="AD19" s="58" t="n">
        <f aca="false">AD18+1</f>
        <v>10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58" t="n">
        <f aca="false">A19+1</f>
        <v>11</v>
      </c>
      <c r="B20" s="73" t="n">
        <v>6902.08</v>
      </c>
      <c r="C20" s="52" t="n">
        <v>291315</v>
      </c>
      <c r="D20" s="57" t="n">
        <f aca="false">C20-C19</f>
        <v>-640</v>
      </c>
      <c r="E20" s="52" t="n">
        <f aca="false">C20-152000</f>
        <v>139315</v>
      </c>
      <c r="F20" s="51" t="n">
        <f aca="false">D20/$D$2</f>
        <v>-322.661961179733</v>
      </c>
      <c r="G20" s="51" t="n">
        <v>293.18</v>
      </c>
      <c r="H20" s="56" t="n">
        <v>0</v>
      </c>
      <c r="I20" s="51" t="n">
        <f aca="false">G20+H20</f>
        <v>293.18</v>
      </c>
      <c r="J20" s="81" t="n">
        <f aca="false">IF(L20&gt;0,L20,0)</f>
        <v>0</v>
      </c>
      <c r="K20" s="51" t="n">
        <f aca="false">I20+J20</f>
        <v>293.18</v>
      </c>
      <c r="L20" s="51" t="n">
        <f aca="false">F20-(I20-X20)</f>
        <v>-45.1319611797327</v>
      </c>
      <c r="M20" s="51" t="n">
        <v>216.81</v>
      </c>
      <c r="N20" s="51" t="n">
        <v>0</v>
      </c>
      <c r="O20" s="51" t="n">
        <v>0</v>
      </c>
      <c r="P20" s="6" t="n">
        <f aca="false">M20-(N20+O20)</f>
        <v>216.81</v>
      </c>
      <c r="Q20" s="51" t="n">
        <v>124.74</v>
      </c>
      <c r="R20" s="51" t="n">
        <v>76.45</v>
      </c>
      <c r="S20" s="51" t="n">
        <f aca="false">SUM(P20:R20)</f>
        <v>418</v>
      </c>
      <c r="T20" s="52" t="n">
        <f aca="false">(I20-S20)+T19</f>
        <v>22251.85</v>
      </c>
      <c r="U20" s="51" t="n">
        <v>103</v>
      </c>
      <c r="V20" s="51" t="n">
        <v>49.71</v>
      </c>
      <c r="W20" s="55" t="n">
        <f aca="false">V20-20</f>
        <v>29.71</v>
      </c>
      <c r="X20" s="6" t="n">
        <f aca="false">N20+O20+S20+U20+V20</f>
        <v>570.71</v>
      </c>
      <c r="Y20" s="51" t="n">
        <f aca="false">IF(L20&lt;0,L20*-1,0)</f>
        <v>45.1319611797327</v>
      </c>
      <c r="Z20" s="51" t="n">
        <f aca="false">X20+Y20</f>
        <v>615.841961179733</v>
      </c>
      <c r="AA20" s="55" t="n">
        <v>0</v>
      </c>
      <c r="AB20" s="57" t="n">
        <v>85</v>
      </c>
      <c r="AC20" s="57" t="n">
        <v>52</v>
      </c>
      <c r="AD20" s="58" t="n">
        <f aca="false">AD19+1</f>
        <v>11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58" t="n">
        <f aca="false">A20+1</f>
        <v>12</v>
      </c>
      <c r="B21" s="73" t="n">
        <v>6901.88</v>
      </c>
      <c r="C21" s="52" t="n">
        <v>290567</v>
      </c>
      <c r="D21" s="57" t="n">
        <f aca="false">C21-C20</f>
        <v>-748</v>
      </c>
      <c r="E21" s="52" t="n">
        <f aca="false">C21-152000</f>
        <v>138567</v>
      </c>
      <c r="F21" s="51" t="n">
        <f aca="false">D21/$D$2</f>
        <v>-377.111167128813</v>
      </c>
      <c r="G21" s="51" t="n">
        <v>250.15</v>
      </c>
      <c r="H21" s="56" t="n">
        <v>0</v>
      </c>
      <c r="I21" s="51" t="n">
        <f aca="false">G21+H21</f>
        <v>250.15</v>
      </c>
      <c r="J21" s="81" t="n">
        <f aca="false">IF(L21&gt;0,L21,0)</f>
        <v>0</v>
      </c>
      <c r="K21" s="51" t="n">
        <f aca="false">I21+J21</f>
        <v>250.15</v>
      </c>
      <c r="L21" s="51" t="n">
        <f aca="false">F21-(I21-X21)</f>
        <v>-78.4711671288127</v>
      </c>
      <c r="M21" s="51" t="n">
        <v>216.3</v>
      </c>
      <c r="N21" s="51" t="n">
        <v>0</v>
      </c>
      <c r="O21" s="51" t="n">
        <v>0</v>
      </c>
      <c r="P21" s="6" t="n">
        <f aca="false">M21-(N21+O21)</f>
        <v>216.3</v>
      </c>
      <c r="Q21" s="51" t="n">
        <v>124.53</v>
      </c>
      <c r="R21" s="51" t="n">
        <v>46.17</v>
      </c>
      <c r="S21" s="51" t="n">
        <f aca="false">SUM(P21:R21)</f>
        <v>387</v>
      </c>
      <c r="T21" s="52" t="n">
        <f aca="false">(I21-S21)+T20</f>
        <v>22115</v>
      </c>
      <c r="U21" s="51" t="n">
        <v>112</v>
      </c>
      <c r="V21" s="51" t="n">
        <v>49.79</v>
      </c>
      <c r="W21" s="55" t="n">
        <f aca="false">V21-20</f>
        <v>29.79</v>
      </c>
      <c r="X21" s="6" t="n">
        <f aca="false">N21+O21+S21+U21+V21</f>
        <v>548.79</v>
      </c>
      <c r="Y21" s="51" t="n">
        <f aca="false">IF(L21&lt;0,L21*-1,0)</f>
        <v>78.4711671288127</v>
      </c>
      <c r="Z21" s="51" t="n">
        <f aca="false">X21+Y21</f>
        <v>627.261167128813</v>
      </c>
      <c r="AA21" s="55" t="n">
        <v>0</v>
      </c>
      <c r="AB21" s="57" t="n">
        <v>85</v>
      </c>
      <c r="AC21" s="57" t="n">
        <v>55</v>
      </c>
      <c r="AD21" s="58" t="n">
        <f aca="false">AD20+1</f>
        <v>12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58" t="n">
        <f aca="false">A21+1</f>
        <v>13</v>
      </c>
      <c r="B22" s="73" t="n">
        <v>6901.72</v>
      </c>
      <c r="C22" s="52" t="n">
        <v>289969</v>
      </c>
      <c r="D22" s="57" t="n">
        <f aca="false">C22-C21</f>
        <v>-598</v>
      </c>
      <c r="E22" s="52" t="n">
        <f aca="false">C22-152000</f>
        <v>137969</v>
      </c>
      <c r="F22" s="51" t="n">
        <f aca="false">D22/$D$2</f>
        <v>-301.487269977313</v>
      </c>
      <c r="G22" s="51" t="n">
        <v>226.99</v>
      </c>
      <c r="H22" s="56" t="n">
        <v>0</v>
      </c>
      <c r="I22" s="51" t="n">
        <f aca="false">G22+H22</f>
        <v>226.99</v>
      </c>
      <c r="J22" s="81" t="n">
        <f aca="false">IF(L22&gt;0,L22,0)</f>
        <v>33.5627300226871</v>
      </c>
      <c r="K22" s="51" t="n">
        <f aca="false">I22+J22</f>
        <v>260.552730022687</v>
      </c>
      <c r="L22" s="51" t="n">
        <f aca="false">F22-(I22-X22)</f>
        <v>33.5627300226871</v>
      </c>
      <c r="M22" s="51" t="n">
        <v>215.86</v>
      </c>
      <c r="N22" s="51" t="n">
        <v>0</v>
      </c>
      <c r="O22" s="51" t="n">
        <v>0</v>
      </c>
      <c r="P22" s="6" t="n">
        <f aca="false">M22-(N22+O22)</f>
        <v>215.86</v>
      </c>
      <c r="Q22" s="51" t="n">
        <v>124.42</v>
      </c>
      <c r="R22" s="51" t="n">
        <v>76.72</v>
      </c>
      <c r="S22" s="51" t="n">
        <f aca="false">SUM(P22:R22)</f>
        <v>417</v>
      </c>
      <c r="T22" s="52" t="n">
        <f aca="false">(I22-S22)+T21</f>
        <v>21924.99</v>
      </c>
      <c r="U22" s="51" t="n">
        <v>95</v>
      </c>
      <c r="V22" s="51" t="n">
        <v>50.04</v>
      </c>
      <c r="W22" s="55" t="n">
        <f aca="false">V22-20</f>
        <v>30.04</v>
      </c>
      <c r="X22" s="6" t="n">
        <f aca="false">N22+O22+S22+U22+V22</f>
        <v>562.04</v>
      </c>
      <c r="Y22" s="51" t="n">
        <f aca="false">IF(L22&lt;0,L22*-1,0)</f>
        <v>0</v>
      </c>
      <c r="Z22" s="51" t="n">
        <f aca="false">X22+Y22</f>
        <v>562.04</v>
      </c>
      <c r="AA22" s="55" t="n">
        <v>0</v>
      </c>
      <c r="AB22" s="57" t="n">
        <v>86</v>
      </c>
      <c r="AC22" s="57" t="n">
        <v>54</v>
      </c>
      <c r="AD22" s="58" t="n">
        <f aca="false">AD21+1</f>
        <v>13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58" t="n">
        <f aca="false">A22+1</f>
        <v>14</v>
      </c>
      <c r="B23" s="73" t="n">
        <v>6901.57</v>
      </c>
      <c r="C23" s="52" t="n">
        <v>289409</v>
      </c>
      <c r="D23" s="57" t="n">
        <f aca="false">C23-C22</f>
        <v>-560</v>
      </c>
      <c r="E23" s="52" t="n">
        <f aca="false">C23-152000</f>
        <v>137409</v>
      </c>
      <c r="F23" s="51" t="n">
        <f aca="false">D23/$D$2</f>
        <v>-282.329216032266</v>
      </c>
      <c r="G23" s="51" t="n">
        <v>262.61</v>
      </c>
      <c r="H23" s="56" t="n">
        <v>0</v>
      </c>
      <c r="I23" s="51" t="n">
        <f aca="false">G23+H23</f>
        <v>262.61</v>
      </c>
      <c r="J23" s="81" t="n">
        <f aca="false">IF(L23&gt;0,L23,0)</f>
        <v>0</v>
      </c>
      <c r="K23" s="51" t="n">
        <f aca="false">I23+J23</f>
        <v>262.61</v>
      </c>
      <c r="L23" s="51" t="n">
        <f aca="false">F23-(I23-X23)</f>
        <v>-6.35921603226615</v>
      </c>
      <c r="M23" s="51" t="n">
        <v>215.2</v>
      </c>
      <c r="N23" s="51" t="n">
        <v>0</v>
      </c>
      <c r="O23" s="51" t="n">
        <v>0</v>
      </c>
      <c r="P23" s="6" t="n">
        <f aca="false">M23-(N23+O23)</f>
        <v>215.2</v>
      </c>
      <c r="Q23" s="51" t="n">
        <v>124.82</v>
      </c>
      <c r="R23" s="51" t="n">
        <v>75.98</v>
      </c>
      <c r="S23" s="51" t="n">
        <f aca="false">SUM(P23:R23)</f>
        <v>416</v>
      </c>
      <c r="T23" s="52" t="n">
        <f aca="false">(I23-S23)+T22</f>
        <v>21771.6</v>
      </c>
      <c r="U23" s="51" t="n">
        <v>72</v>
      </c>
      <c r="V23" s="51" t="n">
        <v>50.58</v>
      </c>
      <c r="W23" s="55" t="n">
        <f aca="false">V23-20</f>
        <v>30.58</v>
      </c>
      <c r="X23" s="6" t="n">
        <f aca="false">N23+O23+S23+U23+V23</f>
        <v>538.58</v>
      </c>
      <c r="Y23" s="51" t="n">
        <f aca="false">IF(L23&lt;0,L23*-1,0)</f>
        <v>6.35921603226615</v>
      </c>
      <c r="Z23" s="51" t="n">
        <f aca="false">X23+Y23</f>
        <v>544.939216032266</v>
      </c>
      <c r="AA23" s="55" t="n">
        <v>0.1</v>
      </c>
      <c r="AB23" s="57" t="n">
        <v>88</v>
      </c>
      <c r="AC23" s="57" t="n">
        <v>57</v>
      </c>
      <c r="AD23" s="58" t="n">
        <f aca="false">AD22+1</f>
        <v>14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58" t="n">
        <f aca="false">A23+1</f>
        <v>15</v>
      </c>
      <c r="B24" s="73" t="n">
        <v>6901.42</v>
      </c>
      <c r="C24" s="52" t="n">
        <v>288850</v>
      </c>
      <c r="D24" s="57" t="n">
        <f aca="false">C24-C23</f>
        <v>-559</v>
      </c>
      <c r="E24" s="52" t="n">
        <f aca="false">C24-152000</f>
        <v>136850</v>
      </c>
      <c r="F24" s="51" t="n">
        <f aca="false">D24/$D$2</f>
        <v>-281.825056717923</v>
      </c>
      <c r="G24" s="51" t="n">
        <v>261.48</v>
      </c>
      <c r="H24" s="56" t="n">
        <v>0</v>
      </c>
      <c r="I24" s="51" t="n">
        <f aca="false">G24+H24</f>
        <v>261.48</v>
      </c>
      <c r="J24" s="81" t="n">
        <f aca="false">IF(L24&gt;0,L24,0)</f>
        <v>6.20494328207712</v>
      </c>
      <c r="K24" s="51" t="n">
        <f aca="false">I24+J24</f>
        <v>267.684943282077</v>
      </c>
      <c r="L24" s="51" t="n">
        <f aca="false">F24-(I24-X24)</f>
        <v>6.20494328207712</v>
      </c>
      <c r="M24" s="51" t="n">
        <v>214.56</v>
      </c>
      <c r="N24" s="51" t="n">
        <v>0</v>
      </c>
      <c r="O24" s="51" t="n">
        <v>0</v>
      </c>
      <c r="P24" s="6" t="n">
        <f aca="false">M24-(N24+O24)</f>
        <v>214.56</v>
      </c>
      <c r="Q24" s="51" t="n">
        <v>124.34</v>
      </c>
      <c r="R24" s="51" t="n">
        <v>61.1</v>
      </c>
      <c r="S24" s="51" t="n">
        <f aca="false">SUM(P24:R24)</f>
        <v>400</v>
      </c>
      <c r="T24" s="52" t="n">
        <f aca="false">(I24-S24)+T23</f>
        <v>21633.08</v>
      </c>
      <c r="U24" s="51" t="n">
        <v>99</v>
      </c>
      <c r="V24" s="51" t="n">
        <v>50.51</v>
      </c>
      <c r="W24" s="55" t="n">
        <f aca="false">V24-20</f>
        <v>30.51</v>
      </c>
      <c r="X24" s="6" t="n">
        <f aca="false">N24+O24+S24+U24+V24</f>
        <v>549.51</v>
      </c>
      <c r="Y24" s="51" t="n">
        <f aca="false">IF(L24&lt;0,L24*-1,0)</f>
        <v>0</v>
      </c>
      <c r="Z24" s="51" t="n">
        <f aca="false">X24+Y24</f>
        <v>549.51</v>
      </c>
      <c r="AA24" s="55" t="n">
        <v>0.6</v>
      </c>
      <c r="AB24" s="82" t="n">
        <v>80</v>
      </c>
      <c r="AC24" s="57" t="n">
        <v>57</v>
      </c>
      <c r="AD24" s="58" t="n">
        <f aca="false">AD23+1</f>
        <v>15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58" t="n">
        <f aca="false">A24+1</f>
        <v>16</v>
      </c>
      <c r="B25" s="73" t="n">
        <v>6901.3</v>
      </c>
      <c r="C25" s="52" t="n">
        <v>288402</v>
      </c>
      <c r="D25" s="57" t="n">
        <f aca="false">C25-C24</f>
        <v>-448</v>
      </c>
      <c r="E25" s="52" t="n">
        <f aca="false">C25-152000</f>
        <v>136402</v>
      </c>
      <c r="F25" s="51" t="n">
        <f aca="false">D25/$D$2</f>
        <v>-225.863372825813</v>
      </c>
      <c r="G25" s="51" t="n">
        <v>237.21</v>
      </c>
      <c r="H25" s="56" t="n">
        <v>0</v>
      </c>
      <c r="I25" s="51" t="n">
        <f aca="false">G25+H25</f>
        <v>237.21</v>
      </c>
      <c r="J25" s="81" t="n">
        <f aca="false">IF(L25&gt;0,L25,0)</f>
        <v>55.3966271741871</v>
      </c>
      <c r="K25" s="51" t="n">
        <f aca="false">I25+J25</f>
        <v>292.606627174187</v>
      </c>
      <c r="L25" s="51" t="n">
        <f aca="false">F25-(I25-X25)</f>
        <v>55.3966271741871</v>
      </c>
      <c r="M25" s="51" t="n">
        <v>198.5</v>
      </c>
      <c r="N25" s="51" t="n">
        <v>0</v>
      </c>
      <c r="O25" s="51" t="n">
        <v>0</v>
      </c>
      <c r="P25" s="6" t="n">
        <f aca="false">M25-(N25+O25)</f>
        <v>198.5</v>
      </c>
      <c r="Q25" s="51" t="n">
        <v>124.47</v>
      </c>
      <c r="R25" s="51" t="n">
        <v>67.03</v>
      </c>
      <c r="S25" s="51" t="n">
        <f aca="false">SUM(P25:R25)</f>
        <v>390</v>
      </c>
      <c r="T25" s="52" t="n">
        <f aca="false">(I25-S25)+T24</f>
        <v>21480.29</v>
      </c>
      <c r="U25" s="51" t="n">
        <v>78</v>
      </c>
      <c r="V25" s="51" t="n">
        <v>50.47</v>
      </c>
      <c r="W25" s="55" t="n">
        <f aca="false">V25-20</f>
        <v>30.47</v>
      </c>
      <c r="X25" s="6" t="n">
        <f aca="false">N25+O25+S25+U25+V25</f>
        <v>518.47</v>
      </c>
      <c r="Y25" s="51" t="n">
        <f aca="false">IF(L25&lt;0,L25*-1,0)</f>
        <v>0</v>
      </c>
      <c r="Z25" s="51" t="n">
        <f aca="false">X25+Y25</f>
        <v>518.47</v>
      </c>
      <c r="AA25" s="55" t="n">
        <v>0</v>
      </c>
      <c r="AB25" s="82" t="n">
        <v>80</v>
      </c>
      <c r="AC25" s="57" t="n">
        <v>51</v>
      </c>
      <c r="AD25" s="58" t="n">
        <f aca="false">AD24+1</f>
        <v>16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58" t="n">
        <f aca="false">A25+1</f>
        <v>17</v>
      </c>
      <c r="B26" s="73" t="n">
        <v>6901.13</v>
      </c>
      <c r="C26" s="52" t="n">
        <v>287767</v>
      </c>
      <c r="D26" s="57" t="n">
        <f aca="false">C26-C25</f>
        <v>-635</v>
      </c>
      <c r="E26" s="52" t="n">
        <f aca="false">C26-152000</f>
        <v>135767</v>
      </c>
      <c r="F26" s="51" t="n">
        <f aca="false">D26/$D$2</f>
        <v>-320.141164608016</v>
      </c>
      <c r="G26" s="51" t="n">
        <v>217.35</v>
      </c>
      <c r="H26" s="56" t="n">
        <v>0</v>
      </c>
      <c r="I26" s="51" t="n">
        <f aca="false">G26+H26</f>
        <v>217.35</v>
      </c>
      <c r="J26" s="81" t="n">
        <f aca="false">IF(L26&gt;0,L26,0)</f>
        <v>0</v>
      </c>
      <c r="K26" s="51" t="n">
        <f aca="false">I26+J26</f>
        <v>217.35</v>
      </c>
      <c r="L26" s="51" t="n">
        <f aca="false">F26-(I26-X26)</f>
        <v>-6.92116460801611</v>
      </c>
      <c r="M26" s="51" t="n">
        <v>187.63</v>
      </c>
      <c r="N26" s="51" t="n">
        <v>0</v>
      </c>
      <c r="O26" s="51" t="n">
        <v>0</v>
      </c>
      <c r="P26" s="6" t="n">
        <f aca="false">M26-(N26+O26)</f>
        <v>187.63</v>
      </c>
      <c r="Q26" s="51" t="n">
        <v>124.18</v>
      </c>
      <c r="R26" s="51" t="n">
        <v>84.19</v>
      </c>
      <c r="S26" s="51" t="n">
        <f aca="false">SUM(P26:R26)</f>
        <v>396</v>
      </c>
      <c r="T26" s="52" t="n">
        <f aca="false">(I26-S26)+T25</f>
        <v>21301.64</v>
      </c>
      <c r="U26" s="51" t="n">
        <v>84</v>
      </c>
      <c r="V26" s="51" t="n">
        <v>50.57</v>
      </c>
      <c r="W26" s="55" t="n">
        <f aca="false">V26-20</f>
        <v>30.57</v>
      </c>
      <c r="X26" s="6" t="n">
        <f aca="false">N26+O26+S26+U26+V26</f>
        <v>530.57</v>
      </c>
      <c r="Y26" s="51" t="n">
        <f aca="false">IF(L26&lt;0,L26*-1,0)</f>
        <v>6.92116460801611</v>
      </c>
      <c r="Z26" s="51" t="n">
        <f aca="false">X26+Y26</f>
        <v>537.491164608016</v>
      </c>
      <c r="AA26" s="55" t="n">
        <v>0.05</v>
      </c>
      <c r="AB26" s="82" t="n">
        <v>85</v>
      </c>
      <c r="AC26" s="57" t="n">
        <v>50</v>
      </c>
      <c r="AD26" s="58" t="n">
        <f aca="false">AD25+1</f>
        <v>17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58" t="n">
        <f aca="false">A26+1</f>
        <v>18</v>
      </c>
      <c r="B27" s="73" t="n">
        <v>6900.92</v>
      </c>
      <c r="C27" s="52" t="n">
        <v>286986</v>
      </c>
      <c r="D27" s="57" t="n">
        <f aca="false">C27-C26</f>
        <v>-781</v>
      </c>
      <c r="E27" s="52" t="n">
        <f aca="false">C27-152000</f>
        <v>134986</v>
      </c>
      <c r="F27" s="51" t="n">
        <f aca="false">D27/$D$2</f>
        <v>-393.748424502143</v>
      </c>
      <c r="G27" s="51" t="n">
        <v>217.16</v>
      </c>
      <c r="H27" s="56" t="n">
        <v>0</v>
      </c>
      <c r="I27" s="51" t="n">
        <f aca="false">G27+H27</f>
        <v>217.16</v>
      </c>
      <c r="J27" s="81" t="n">
        <f aca="false">IF(L27&gt;0,L27,0)</f>
        <v>0</v>
      </c>
      <c r="K27" s="51" t="n">
        <f aca="false">I27+J27</f>
        <v>217.16</v>
      </c>
      <c r="L27" s="51" t="n">
        <f aca="false">F27-(I27-X27)</f>
        <v>-59.3884245021426</v>
      </c>
      <c r="M27" s="51" t="n">
        <v>179.61</v>
      </c>
      <c r="N27" s="51" t="n">
        <v>0</v>
      </c>
      <c r="O27" s="51" t="n">
        <v>0</v>
      </c>
      <c r="P27" s="6" t="n">
        <f aca="false">M27-(N27+O27)</f>
        <v>179.61</v>
      </c>
      <c r="Q27" s="51" t="n">
        <v>137.62</v>
      </c>
      <c r="R27" s="51" t="n">
        <v>82.77</v>
      </c>
      <c r="S27" s="51" t="n">
        <f aca="false">SUM(P27:R27)</f>
        <v>400</v>
      </c>
      <c r="T27" s="52" t="n">
        <f aca="false">(I27-S27)+T26</f>
        <v>21118.8</v>
      </c>
      <c r="U27" s="51" t="n">
        <v>101</v>
      </c>
      <c r="V27" s="51" t="n">
        <v>50.52</v>
      </c>
      <c r="W27" s="55" t="n">
        <f aca="false">V27-20</f>
        <v>30.52</v>
      </c>
      <c r="X27" s="6" t="n">
        <f aca="false">N27+O27+S27+U27+V27</f>
        <v>551.52</v>
      </c>
      <c r="Y27" s="51" t="n">
        <f aca="false">IF(L27&lt;0,L27*-1,0)</f>
        <v>59.3884245021426</v>
      </c>
      <c r="Z27" s="51" t="n">
        <f aca="false">X27+Y27</f>
        <v>610.908424502143</v>
      </c>
      <c r="AA27" s="55" t="n">
        <v>0</v>
      </c>
      <c r="AB27" s="82" t="n">
        <v>84</v>
      </c>
      <c r="AC27" s="57" t="n">
        <v>53</v>
      </c>
      <c r="AD27" s="58" t="n">
        <f aca="false">AD26+1</f>
        <v>18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58" t="n">
        <f aca="false">A27+1</f>
        <v>19</v>
      </c>
      <c r="B28" s="73" t="n">
        <v>6900.71</v>
      </c>
      <c r="C28" s="52" t="n">
        <v>286208</v>
      </c>
      <c r="D28" s="57" t="n">
        <f aca="false">C28-C27</f>
        <v>-778</v>
      </c>
      <c r="E28" s="52" t="n">
        <f aca="false">C28-152000</f>
        <v>134208</v>
      </c>
      <c r="F28" s="51" t="n">
        <f aca="false">D28/$D$2</f>
        <v>-392.235946559113</v>
      </c>
      <c r="G28" s="51" t="n">
        <v>207.28</v>
      </c>
      <c r="H28" s="56" t="n">
        <v>0</v>
      </c>
      <c r="I28" s="51" t="n">
        <f aca="false">G28+H28</f>
        <v>207.28</v>
      </c>
      <c r="J28" s="81" t="n">
        <f aca="false">IF(L28&gt;0,L28,0)</f>
        <v>0</v>
      </c>
      <c r="K28" s="51" t="n">
        <f aca="false">I28+J28</f>
        <v>207.28</v>
      </c>
      <c r="L28" s="51" t="n">
        <f aca="false">F28-(I28-X28)</f>
        <v>-54.9159465591126</v>
      </c>
      <c r="M28" s="51" t="n">
        <v>174.68</v>
      </c>
      <c r="N28" s="51" t="n">
        <v>0</v>
      </c>
      <c r="O28" s="51" t="n">
        <v>0</v>
      </c>
      <c r="P28" s="6" t="n">
        <f aca="false">M28-(N28+O28)</f>
        <v>174.68</v>
      </c>
      <c r="Q28" s="51" t="n">
        <v>147.07</v>
      </c>
      <c r="R28" s="51" t="n">
        <v>72.25</v>
      </c>
      <c r="S28" s="51" t="n">
        <f aca="false">SUM(P28:R28)</f>
        <v>394</v>
      </c>
      <c r="T28" s="52" t="n">
        <f aca="false">(I28-S28)+T27</f>
        <v>20932.08</v>
      </c>
      <c r="U28" s="51" t="n">
        <v>100</v>
      </c>
      <c r="V28" s="51" t="n">
        <v>50.6</v>
      </c>
      <c r="W28" s="55" t="n">
        <f aca="false">V28-20</f>
        <v>30.6</v>
      </c>
      <c r="X28" s="6" t="n">
        <f aca="false">N28+O28+S28+U28+V28</f>
        <v>544.6</v>
      </c>
      <c r="Y28" s="51" t="n">
        <f aca="false">IF(L28&lt;0,L28*-1,0)</f>
        <v>54.9159465591126</v>
      </c>
      <c r="Z28" s="51" t="n">
        <f aca="false">X28+Y28</f>
        <v>599.515946559113</v>
      </c>
      <c r="AA28" s="55" t="n">
        <v>0</v>
      </c>
      <c r="AB28" s="82" t="n">
        <v>84</v>
      </c>
      <c r="AC28" s="57" t="n">
        <v>54</v>
      </c>
      <c r="AD28" s="58" t="n">
        <f aca="false">AD27+1</f>
        <v>19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58" t="n">
        <f aca="false">A28+1</f>
        <v>20</v>
      </c>
      <c r="B29" s="73" t="n">
        <v>6900.48</v>
      </c>
      <c r="C29" s="52" t="n">
        <v>285357</v>
      </c>
      <c r="D29" s="57" t="n">
        <f aca="false">C29-C28</f>
        <v>-851</v>
      </c>
      <c r="E29" s="52" t="n">
        <f aca="false">C29-152000</f>
        <v>133357</v>
      </c>
      <c r="F29" s="51" t="n">
        <f aca="false">D29/$D$2</f>
        <v>-429.039576506176</v>
      </c>
      <c r="G29" s="51" t="n">
        <v>104.43</v>
      </c>
      <c r="H29" s="56" t="n">
        <v>0</v>
      </c>
      <c r="I29" s="51" t="n">
        <f aca="false">G29+H29</f>
        <v>104.43</v>
      </c>
      <c r="J29" s="81" t="n">
        <f aca="false">IF(L29&gt;0,L29,0)</f>
        <v>0.110423493824101</v>
      </c>
      <c r="K29" s="51" t="n">
        <f aca="false">I29+J29</f>
        <v>104.540423493824</v>
      </c>
      <c r="L29" s="51" t="n">
        <f aca="false">F29-(I29-X29)</f>
        <v>0.110423493824101</v>
      </c>
      <c r="M29" s="51" t="n">
        <v>168.74</v>
      </c>
      <c r="N29" s="51" t="n">
        <v>0</v>
      </c>
      <c r="O29" s="51" t="n">
        <v>0</v>
      </c>
      <c r="P29" s="6" t="n">
        <f aca="false">M29-(N29+O29)</f>
        <v>168.74</v>
      </c>
      <c r="Q29" s="51" t="n">
        <v>146.43</v>
      </c>
      <c r="R29" s="51" t="n">
        <v>72.83</v>
      </c>
      <c r="S29" s="51" t="n">
        <f aca="false">SUM(P29:R29)</f>
        <v>388</v>
      </c>
      <c r="T29" s="52" t="n">
        <f aca="false">(I29-S29)+T28</f>
        <v>20648.51</v>
      </c>
      <c r="U29" s="51" t="n">
        <v>95</v>
      </c>
      <c r="V29" s="51" t="n">
        <v>50.58</v>
      </c>
      <c r="W29" s="55" t="n">
        <f aca="false">V29-20</f>
        <v>30.58</v>
      </c>
      <c r="X29" s="6" t="n">
        <f aca="false">N29+O29+S29+U29+V29</f>
        <v>533.58</v>
      </c>
      <c r="Y29" s="51" t="n">
        <f aca="false">IF(L29&lt;0,L29*-1,0)</f>
        <v>0</v>
      </c>
      <c r="Z29" s="51" t="n">
        <f aca="false">X29+Y29</f>
        <v>533.58</v>
      </c>
      <c r="AA29" s="55" t="n">
        <v>0.06</v>
      </c>
      <c r="AB29" s="82" t="n">
        <v>85</v>
      </c>
      <c r="AC29" s="57" t="n">
        <v>56</v>
      </c>
      <c r="AD29" s="58" t="n">
        <f aca="false">AD28+1</f>
        <v>20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58" t="n">
        <f aca="false">A29+1</f>
        <v>21</v>
      </c>
      <c r="B30" s="73" t="n">
        <v>6900.25</v>
      </c>
      <c r="C30" s="52" t="n">
        <v>284505</v>
      </c>
      <c r="D30" s="57" t="n">
        <f aca="false">C30-C29</f>
        <v>-852</v>
      </c>
      <c r="E30" s="52" t="n">
        <f aca="false">C30-152000</f>
        <v>132505</v>
      </c>
      <c r="F30" s="51" t="n">
        <f aca="false">D30/$D$2</f>
        <v>-429.543735820519</v>
      </c>
      <c r="G30" s="51" t="n">
        <v>96.94</v>
      </c>
      <c r="H30" s="56" t="n">
        <v>0</v>
      </c>
      <c r="I30" s="51" t="n">
        <f aca="false">G30+H30</f>
        <v>96.94</v>
      </c>
      <c r="J30" s="81" t="n">
        <f aca="false">IF(L30&gt;0,L30,0)</f>
        <v>0.106264179480775</v>
      </c>
      <c r="K30" s="51" t="n">
        <f aca="false">I30+J30</f>
        <v>97.0462641794808</v>
      </c>
      <c r="L30" s="51" t="n">
        <f aca="false">F30-(I30-X30)</f>
        <v>0.106264179480775</v>
      </c>
      <c r="M30" s="51" t="n">
        <v>163.27</v>
      </c>
      <c r="N30" s="51" t="n">
        <v>0</v>
      </c>
      <c r="O30" s="51" t="n">
        <v>0</v>
      </c>
      <c r="P30" s="6" t="n">
        <f aca="false">M30-(N30+O30)</f>
        <v>163.27</v>
      </c>
      <c r="Q30" s="51" t="n">
        <v>146.32</v>
      </c>
      <c r="R30" s="51" t="n">
        <v>77.41</v>
      </c>
      <c r="S30" s="51" t="n">
        <f aca="false">SUM(P30:R30)</f>
        <v>387</v>
      </c>
      <c r="T30" s="52" t="n">
        <f aca="false">(I30-S30)+T29</f>
        <v>20358.45</v>
      </c>
      <c r="U30" s="51" t="n">
        <v>89</v>
      </c>
      <c r="V30" s="51" t="n">
        <v>50.59</v>
      </c>
      <c r="W30" s="55" t="n">
        <f aca="false">V30-20</f>
        <v>30.59</v>
      </c>
      <c r="X30" s="6" t="n">
        <f aca="false">N30+O30+S30+U30+V30</f>
        <v>526.59</v>
      </c>
      <c r="Y30" s="51" t="n">
        <f aca="false">IF(L30&lt;0,L30*-1,0)</f>
        <v>0</v>
      </c>
      <c r="Z30" s="51" t="n">
        <f aca="false">X30+Y30</f>
        <v>526.59</v>
      </c>
      <c r="AA30" s="55" t="n">
        <v>0</v>
      </c>
      <c r="AB30" s="57" t="n">
        <v>83</v>
      </c>
      <c r="AC30" s="57" t="n">
        <v>52</v>
      </c>
      <c r="AD30" s="58" t="n">
        <f aca="false">AD29+1</f>
        <v>21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58" t="n">
        <f aca="false">A30+1</f>
        <v>22</v>
      </c>
      <c r="B31" s="73" t="n">
        <v>6900.03</v>
      </c>
      <c r="C31" s="52" t="n">
        <v>283691</v>
      </c>
      <c r="D31" s="57" t="n">
        <f aca="false">C31-C30</f>
        <v>-814</v>
      </c>
      <c r="E31" s="52" t="n">
        <f aca="false">C31-152000</f>
        <v>131691</v>
      </c>
      <c r="F31" s="51" t="n">
        <f aca="false">D31/$D$2</f>
        <v>-410.385681875473</v>
      </c>
      <c r="G31" s="51" t="n">
        <v>109.11</v>
      </c>
      <c r="H31" s="56" t="n">
        <v>0</v>
      </c>
      <c r="I31" s="51" t="n">
        <f aca="false">G31+H31</f>
        <v>109.11</v>
      </c>
      <c r="J31" s="81" t="n">
        <f aca="false">IF(L31&gt;0,L31,0)</f>
        <v>0.00431812452734448</v>
      </c>
      <c r="K31" s="51" t="n">
        <f aca="false">I31+J31</f>
        <v>109.114318124527</v>
      </c>
      <c r="L31" s="51" t="n">
        <f aca="false">F31-(I31-X31)</f>
        <v>0.00431812452734448</v>
      </c>
      <c r="M31" s="51" t="n">
        <v>162.71</v>
      </c>
      <c r="N31" s="51" t="n">
        <v>0</v>
      </c>
      <c r="O31" s="51" t="n">
        <v>0</v>
      </c>
      <c r="P31" s="6" t="n">
        <f aca="false">M31-(N31+O31)</f>
        <v>162.71</v>
      </c>
      <c r="Q31" s="51" t="n">
        <v>146.02</v>
      </c>
      <c r="R31" s="51" t="n">
        <v>78.17</v>
      </c>
      <c r="S31" s="51" t="n">
        <f aca="false">SUM(P31:R31)</f>
        <v>386.9</v>
      </c>
      <c r="T31" s="52" t="n">
        <f aca="false">(I31-S31)+T30</f>
        <v>20080.66</v>
      </c>
      <c r="U31" s="51" t="n">
        <v>82</v>
      </c>
      <c r="V31" s="51" t="n">
        <v>50.6</v>
      </c>
      <c r="W31" s="55" t="n">
        <f aca="false">V31-20</f>
        <v>30.6</v>
      </c>
      <c r="X31" s="6" t="n">
        <f aca="false">N31+O31+S31+U31+V31</f>
        <v>519.5</v>
      </c>
      <c r="Y31" s="51" t="n">
        <f aca="false">IF(L31&lt;0,L31*-1,0)</f>
        <v>0</v>
      </c>
      <c r="Z31" s="51" t="n">
        <f aca="false">X31+Y31</f>
        <v>519.5</v>
      </c>
      <c r="AA31" s="55" t="n">
        <v>0</v>
      </c>
      <c r="AB31" s="57" t="n">
        <v>84</v>
      </c>
      <c r="AC31" s="57" t="n">
        <v>51</v>
      </c>
      <c r="AD31" s="58" t="n">
        <f aca="false">AD30+1</f>
        <v>22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58" t="n">
        <f aca="false">A31+1</f>
        <v>23</v>
      </c>
      <c r="B32" s="73" t="n">
        <v>6899.81</v>
      </c>
      <c r="C32" s="52" t="n">
        <v>282882</v>
      </c>
      <c r="D32" s="57" t="n">
        <f aca="false">C32-C31</f>
        <v>-809</v>
      </c>
      <c r="E32" s="52" t="n">
        <f aca="false">C32-152000</f>
        <v>130882</v>
      </c>
      <c r="F32" s="51" t="n">
        <f aca="false">D32/$D$2</f>
        <v>-407.864885303756</v>
      </c>
      <c r="G32" s="51" t="n">
        <v>137.05</v>
      </c>
      <c r="H32" s="56" t="n">
        <v>0</v>
      </c>
      <c r="I32" s="51" t="n">
        <f aca="false">G32+H32</f>
        <v>137.05</v>
      </c>
      <c r="J32" s="81" t="n">
        <f aca="false">IF(L32&gt;0,L32,0)</f>
        <v>0</v>
      </c>
      <c r="K32" s="51" t="n">
        <f aca="false">I32+J32</f>
        <v>137.05</v>
      </c>
      <c r="L32" s="51" t="n">
        <f aca="false">F32-(I32-X32)</f>
        <v>-25.3148853037559</v>
      </c>
      <c r="M32" s="51" t="n">
        <v>162.44</v>
      </c>
      <c r="N32" s="51" t="n">
        <v>0</v>
      </c>
      <c r="O32" s="51" t="n">
        <v>0</v>
      </c>
      <c r="P32" s="6" t="n">
        <f aca="false">M32-(N32+O32)</f>
        <v>162.44</v>
      </c>
      <c r="Q32" s="51" t="n">
        <v>145.62</v>
      </c>
      <c r="R32" s="51" t="n">
        <v>78.94</v>
      </c>
      <c r="S32" s="51" t="n">
        <f aca="false">SUM(P32:R32)</f>
        <v>387</v>
      </c>
      <c r="T32" s="52" t="n">
        <f aca="false">(I32-S32)+T31</f>
        <v>19830.71</v>
      </c>
      <c r="U32" s="51" t="n">
        <v>82</v>
      </c>
      <c r="V32" s="51" t="n">
        <v>50.6</v>
      </c>
      <c r="W32" s="55" t="n">
        <f aca="false">V32-20</f>
        <v>30.6</v>
      </c>
      <c r="X32" s="6" t="n">
        <f aca="false">N32+O32+S32+U32+V32</f>
        <v>519.6</v>
      </c>
      <c r="Y32" s="51" t="n">
        <f aca="false">IF(L32&lt;0,L32*-1,0)</f>
        <v>25.3148853037559</v>
      </c>
      <c r="Z32" s="51" t="n">
        <f aca="false">X32+Y32</f>
        <v>544.914885303756</v>
      </c>
      <c r="AA32" s="55" t="n">
        <v>0</v>
      </c>
      <c r="AB32" s="57" t="n">
        <v>83</v>
      </c>
      <c r="AC32" s="82" t="n">
        <v>53</v>
      </c>
      <c r="AD32" s="58" t="n">
        <f aca="false">AD31+1</f>
        <v>23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58" t="n">
        <f aca="false">A32+1</f>
        <v>24</v>
      </c>
      <c r="B33" s="73" t="n">
        <v>6899.58</v>
      </c>
      <c r="C33" s="52" t="n">
        <v>282037</v>
      </c>
      <c r="D33" s="57" t="n">
        <f aca="false">C33-C32</f>
        <v>-845</v>
      </c>
      <c r="E33" s="52" t="n">
        <f aca="false">C33-152000</f>
        <v>130037</v>
      </c>
      <c r="F33" s="51" t="n">
        <f aca="false">D33/$D$2</f>
        <v>-426.014620620116</v>
      </c>
      <c r="G33" s="51" t="n">
        <v>130</v>
      </c>
      <c r="H33" s="56" t="n">
        <v>0</v>
      </c>
      <c r="I33" s="51" t="n">
        <f aca="false">G33+H33</f>
        <v>130</v>
      </c>
      <c r="J33" s="81" t="n">
        <f aca="false">IF(L33&gt;0,L33,0)</f>
        <v>0</v>
      </c>
      <c r="K33" s="51" t="n">
        <f aca="false">I33+J33</f>
        <v>130</v>
      </c>
      <c r="L33" s="51" t="n">
        <f aca="false">F33-(I33-X33)</f>
        <v>-17.204620620116</v>
      </c>
      <c r="M33" s="51" t="n">
        <v>172.34</v>
      </c>
      <c r="N33" s="51" t="n">
        <v>0</v>
      </c>
      <c r="O33" s="51" t="n">
        <v>0</v>
      </c>
      <c r="P33" s="6" t="n">
        <f aca="false">M33-(N33+O33)</f>
        <v>172.34</v>
      </c>
      <c r="Q33" s="51" t="n">
        <v>145.26</v>
      </c>
      <c r="R33" s="51" t="n">
        <v>79.4</v>
      </c>
      <c r="S33" s="51" t="n">
        <f aca="false">SUM(P33:R33)</f>
        <v>397</v>
      </c>
      <c r="T33" s="52" t="n">
        <f aca="false">(I33-S33)+T32</f>
        <v>19563.71</v>
      </c>
      <c r="U33" s="51" t="n">
        <v>82</v>
      </c>
      <c r="V33" s="51" t="n">
        <v>59.81</v>
      </c>
      <c r="W33" s="55" t="n">
        <f aca="false">V33-20</f>
        <v>39.81</v>
      </c>
      <c r="X33" s="6" t="n">
        <f aca="false">N33+O33+S33+U33+V33</f>
        <v>538.81</v>
      </c>
      <c r="Y33" s="51" t="n">
        <f aca="false">IF(L33&lt;0,L33*-1,0)</f>
        <v>17.204620620116</v>
      </c>
      <c r="Z33" s="51" t="n">
        <f aca="false">X33+Y33</f>
        <v>556.014620620116</v>
      </c>
      <c r="AA33" s="55" t="n">
        <v>0.1</v>
      </c>
      <c r="AB33" s="57" t="n">
        <v>78</v>
      </c>
      <c r="AC33" s="82" t="n">
        <v>55</v>
      </c>
      <c r="AD33" s="58" t="n">
        <f aca="false">AD32+1</f>
        <v>24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58" t="n">
        <f aca="false">A33+1</f>
        <v>25</v>
      </c>
      <c r="B34" s="73" t="n">
        <v>6899.33</v>
      </c>
      <c r="C34" s="52" t="n">
        <v>281119</v>
      </c>
      <c r="D34" s="57" t="n">
        <f aca="false">C34-C33</f>
        <v>-918</v>
      </c>
      <c r="E34" s="52" t="n">
        <f aca="false">C34-152000</f>
        <v>129119</v>
      </c>
      <c r="F34" s="51" t="n">
        <f aca="false">D34/$D$2</f>
        <v>-462.818250567179</v>
      </c>
      <c r="G34" s="51" t="n">
        <v>144.17</v>
      </c>
      <c r="H34" s="56" t="n">
        <v>0</v>
      </c>
      <c r="I34" s="51" t="n">
        <f aca="false">G34+H34</f>
        <v>144.17</v>
      </c>
      <c r="J34" s="81" t="n">
        <f aca="false">IF(L34&gt;0,L34,0)</f>
        <v>0</v>
      </c>
      <c r="K34" s="51" t="n">
        <f aca="false">I34+J34</f>
        <v>144.17</v>
      </c>
      <c r="L34" s="51" t="n">
        <f aca="false">F34-(I34-X34)</f>
        <v>-54.6282505671792</v>
      </c>
      <c r="M34" s="51" t="n">
        <v>179.48</v>
      </c>
      <c r="N34" s="51" t="n">
        <v>0</v>
      </c>
      <c r="O34" s="51" t="n">
        <v>0</v>
      </c>
      <c r="P34" s="6" t="n">
        <f aca="false">M34-(N34+O34)</f>
        <v>179.48</v>
      </c>
      <c r="Q34" s="51" t="n">
        <v>134.68</v>
      </c>
      <c r="R34" s="51" t="n">
        <v>82.84</v>
      </c>
      <c r="S34" s="51" t="n">
        <f aca="false">SUM(P34:R34)</f>
        <v>397</v>
      </c>
      <c r="T34" s="52" t="n">
        <f aca="false">(I34-S34)+T33</f>
        <v>19310.88</v>
      </c>
      <c r="U34" s="51" t="n">
        <v>80</v>
      </c>
      <c r="V34" s="51" t="n">
        <v>75.36</v>
      </c>
      <c r="W34" s="55" t="n">
        <f aca="false">V34-20</f>
        <v>55.36</v>
      </c>
      <c r="X34" s="6" t="n">
        <f aca="false">N34+O34+S34+U34+V34</f>
        <v>552.36</v>
      </c>
      <c r="Y34" s="51" t="n">
        <f aca="false">IF(L34&lt;0,L34*-1,0)</f>
        <v>54.6282505671792</v>
      </c>
      <c r="Z34" s="51" t="n">
        <f aca="false">X34+Y34</f>
        <v>606.988250567179</v>
      </c>
      <c r="AA34" s="55" t="n">
        <v>0</v>
      </c>
      <c r="AB34" s="57" t="n">
        <v>81</v>
      </c>
      <c r="AC34" s="82" t="n">
        <v>52</v>
      </c>
      <c r="AD34" s="58" t="n">
        <f aca="false">AD33+1</f>
        <v>25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58" t="n">
        <f aca="false">A34+1</f>
        <v>26</v>
      </c>
      <c r="B35" s="73" t="n">
        <v>6899.03</v>
      </c>
      <c r="C35" s="52" t="n">
        <v>281017</v>
      </c>
      <c r="D35" s="57" t="n">
        <f aca="false">C35-C34</f>
        <v>-102</v>
      </c>
      <c r="E35" s="52" t="n">
        <f aca="false">C35-152000</f>
        <v>129017</v>
      </c>
      <c r="F35" s="51" t="n">
        <f aca="false">D35/$D$2</f>
        <v>-51.4242500630199</v>
      </c>
      <c r="G35" s="51" t="n">
        <v>134.8</v>
      </c>
      <c r="H35" s="56" t="n">
        <v>0</v>
      </c>
      <c r="I35" s="51" t="n">
        <f aca="false">G35+H35</f>
        <v>134.8</v>
      </c>
      <c r="J35" s="81" t="n">
        <f aca="false">IF(L35&gt;0,L35,0)</f>
        <v>398.14574993698</v>
      </c>
      <c r="K35" s="51" t="n">
        <f aca="false">I35+J35</f>
        <v>532.94574993698</v>
      </c>
      <c r="L35" s="51" t="n">
        <f aca="false">F35-(I35-X35)</f>
        <v>398.14574993698</v>
      </c>
      <c r="M35" s="51" t="n">
        <v>185.98</v>
      </c>
      <c r="N35" s="51" t="n">
        <v>0</v>
      </c>
      <c r="O35" s="51" t="n">
        <v>0</v>
      </c>
      <c r="P35" s="6" t="n">
        <f aca="false">M35-(N35+O35)</f>
        <v>185.98</v>
      </c>
      <c r="Q35" s="51" t="n">
        <v>166.31</v>
      </c>
      <c r="R35" s="51" t="n">
        <v>81.71</v>
      </c>
      <c r="S35" s="51" t="n">
        <f aca="false">SUM(P35:R35)</f>
        <v>434</v>
      </c>
      <c r="T35" s="52" t="n">
        <f aca="false">(I35-S35)+T34</f>
        <v>19011.68</v>
      </c>
      <c r="U35" s="51" t="n">
        <v>83</v>
      </c>
      <c r="V35" s="51" t="n">
        <v>67.37</v>
      </c>
      <c r="W35" s="55" t="n">
        <f aca="false">V35-20</f>
        <v>47.37</v>
      </c>
      <c r="X35" s="6" t="n">
        <f aca="false">N35+O35+S35+U35+V35</f>
        <v>584.37</v>
      </c>
      <c r="Y35" s="51" t="n">
        <f aca="false">IF(L35&lt;0,L35*-1,0)</f>
        <v>0</v>
      </c>
      <c r="Z35" s="51" t="n">
        <f aca="false">X35+Y35</f>
        <v>584.37</v>
      </c>
      <c r="AA35" s="55" t="n">
        <v>0</v>
      </c>
      <c r="AB35" s="57" t="n">
        <v>81</v>
      </c>
      <c r="AC35" s="57" t="n">
        <v>52</v>
      </c>
      <c r="AD35" s="58" t="n">
        <f aca="false">AD34+1</f>
        <v>26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58" t="n">
        <f aca="false">A35+1</f>
        <v>27</v>
      </c>
      <c r="B36" s="73" t="n">
        <v>6898.75</v>
      </c>
      <c r="C36" s="52" t="n">
        <v>278995</v>
      </c>
      <c r="D36" s="57" t="n">
        <f aca="false">C36-C35</f>
        <v>-2022</v>
      </c>
      <c r="E36" s="52" t="n">
        <f aca="false">C36-152000</f>
        <v>126995</v>
      </c>
      <c r="F36" s="51" t="n">
        <f aca="false">D36/$D$2</f>
        <v>-1019.41013360222</v>
      </c>
      <c r="G36" s="51" t="n">
        <v>118.23</v>
      </c>
      <c r="H36" s="56" t="n">
        <v>0</v>
      </c>
      <c r="I36" s="51" t="n">
        <f aca="false">G36+H36</f>
        <v>118.23</v>
      </c>
      <c r="J36" s="81" t="n">
        <f aca="false">IF(L36&gt;0,L36,0)</f>
        <v>0</v>
      </c>
      <c r="K36" s="51" t="n">
        <f aca="false">I36+J36</f>
        <v>118.23</v>
      </c>
      <c r="L36" s="51" t="n">
        <f aca="false">F36-(I36-X36)</f>
        <v>-561.150133602218</v>
      </c>
      <c r="M36" s="51" t="n">
        <v>190</v>
      </c>
      <c r="N36" s="51" t="n">
        <v>0</v>
      </c>
      <c r="O36" s="51" t="n">
        <v>0</v>
      </c>
      <c r="P36" s="6" t="n">
        <f aca="false">M36-(N36+O36)</f>
        <v>190</v>
      </c>
      <c r="Q36" s="51" t="n">
        <v>165.32</v>
      </c>
      <c r="R36" s="51" t="n">
        <v>80.68</v>
      </c>
      <c r="S36" s="51" t="n">
        <f aca="false">SUM(P36:R36)</f>
        <v>436</v>
      </c>
      <c r="T36" s="52" t="n">
        <f aca="false">(I36-S36)+T35</f>
        <v>18693.91</v>
      </c>
      <c r="U36" s="51" t="n">
        <v>89</v>
      </c>
      <c r="V36" s="51" t="n">
        <v>51.49</v>
      </c>
      <c r="W36" s="55" t="n">
        <f aca="false">V36-20</f>
        <v>31.49</v>
      </c>
      <c r="X36" s="6" t="n">
        <f aca="false">N36+O36+S36+U36+V36</f>
        <v>576.49</v>
      </c>
      <c r="Y36" s="51" t="n">
        <f aca="false">IF(L36&lt;0,L36*-1,0)</f>
        <v>561.150133602218</v>
      </c>
      <c r="Z36" s="51" t="n">
        <f aca="false">X36+Y36</f>
        <v>1137.64013360222</v>
      </c>
      <c r="AA36" s="55" t="n">
        <v>0</v>
      </c>
      <c r="AB36" s="57" t="n">
        <v>82</v>
      </c>
      <c r="AC36" s="57" t="n">
        <v>48</v>
      </c>
      <c r="AD36" s="58" t="n">
        <f aca="false">AD35+1</f>
        <v>27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58" t="n">
        <f aca="false">A36+1</f>
        <v>28</v>
      </c>
      <c r="B37" s="73" t="n">
        <v>6898.47</v>
      </c>
      <c r="C37" s="52" t="n">
        <v>277974</v>
      </c>
      <c r="D37" s="57" t="n">
        <f aca="false">C37-C36</f>
        <v>-1021</v>
      </c>
      <c r="E37" s="52" t="n">
        <f aca="false">C37-152000</f>
        <v>125974</v>
      </c>
      <c r="F37" s="51" t="n">
        <f aca="false">D37/$D$2</f>
        <v>-514.746659944542</v>
      </c>
      <c r="G37" s="51" t="n">
        <v>108.71</v>
      </c>
      <c r="H37" s="56" t="n">
        <v>0</v>
      </c>
      <c r="I37" s="51" t="n">
        <f aca="false">G37+H37</f>
        <v>108.71</v>
      </c>
      <c r="J37" s="81" t="n">
        <f aca="false">IF(L37&gt;0,L37,0)</f>
        <v>0</v>
      </c>
      <c r="K37" s="51" t="n">
        <f aca="false">I37+J37</f>
        <v>108.71</v>
      </c>
      <c r="L37" s="51" t="n">
        <f aca="false">F37-(I37-X37)</f>
        <v>-32.9566599445424</v>
      </c>
      <c r="M37" s="51" t="n">
        <v>189.65</v>
      </c>
      <c r="N37" s="51" t="n">
        <v>0</v>
      </c>
      <c r="O37" s="51" t="n">
        <v>0</v>
      </c>
      <c r="P37" s="6" t="n">
        <f aca="false">M37-(N37+O37)</f>
        <v>189.65</v>
      </c>
      <c r="Q37" s="51" t="n">
        <v>164.9</v>
      </c>
      <c r="R37" s="51" t="n">
        <v>80.45</v>
      </c>
      <c r="S37" s="51" t="n">
        <f aca="false">SUM(P37:R37)</f>
        <v>435</v>
      </c>
      <c r="T37" s="52" t="n">
        <f aca="false">(I37-S37)+T36</f>
        <v>18367.62</v>
      </c>
      <c r="U37" s="51" t="n">
        <v>104</v>
      </c>
      <c r="V37" s="51" t="n">
        <v>51.5</v>
      </c>
      <c r="W37" s="55" t="n">
        <f aca="false">V37-20</f>
        <v>31.5</v>
      </c>
      <c r="X37" s="6" t="n">
        <f aca="false">N37+O37+S37+U37+V37</f>
        <v>590.5</v>
      </c>
      <c r="Y37" s="51" t="n">
        <f aca="false">IF(L37&lt;0,L37*-1,0)</f>
        <v>32.9566599445424</v>
      </c>
      <c r="Z37" s="51" t="n">
        <f aca="false">X37+Y37</f>
        <v>623.456659944543</v>
      </c>
      <c r="AA37" s="55" t="n">
        <v>0</v>
      </c>
      <c r="AB37" s="57" t="n">
        <v>83</v>
      </c>
      <c r="AC37" s="57" t="n">
        <v>49</v>
      </c>
      <c r="AD37" s="58" t="n">
        <f aca="false">AD36+1</f>
        <v>28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58" t="n">
        <f aca="false">A37+1</f>
        <v>29</v>
      </c>
      <c r="B38" s="73" t="n">
        <v>6898.19</v>
      </c>
      <c r="C38" s="52" t="n">
        <v>276953</v>
      </c>
      <c r="D38" s="57" t="n">
        <f aca="false">C38-C37</f>
        <v>-1021</v>
      </c>
      <c r="E38" s="52" t="n">
        <f aca="false">C38-152000</f>
        <v>124953</v>
      </c>
      <c r="F38" s="51" t="n">
        <f aca="false">D38/$D$2</f>
        <v>-514.746659944542</v>
      </c>
      <c r="G38" s="51" t="n">
        <v>99.99</v>
      </c>
      <c r="H38" s="56" t="n">
        <v>0</v>
      </c>
      <c r="I38" s="51" t="n">
        <f aca="false">G38+H38</f>
        <v>99.99</v>
      </c>
      <c r="J38" s="81" t="n">
        <f aca="false">IF(L38&gt;0,L38,0)</f>
        <v>0</v>
      </c>
      <c r="K38" s="51" t="n">
        <f aca="false">I38+J38</f>
        <v>99.99</v>
      </c>
      <c r="L38" s="51" t="n">
        <f aca="false">F38-(I38-X38)</f>
        <v>-37.0366599445424</v>
      </c>
      <c r="M38" s="51" t="n">
        <v>189.04</v>
      </c>
      <c r="N38" s="51" t="n">
        <v>0</v>
      </c>
      <c r="O38" s="51" t="n">
        <v>0</v>
      </c>
      <c r="P38" s="6" t="n">
        <f aca="false">M38-(N38+O38)</f>
        <v>189.04</v>
      </c>
      <c r="Q38" s="51" t="n">
        <v>164.62</v>
      </c>
      <c r="R38" s="51" t="n">
        <v>81.34</v>
      </c>
      <c r="S38" s="51" t="n">
        <f aca="false">SUM(P38:R38)</f>
        <v>435</v>
      </c>
      <c r="T38" s="52" t="n">
        <f aca="false">(I38-S38)+T37</f>
        <v>18032.61</v>
      </c>
      <c r="U38" s="51" t="n">
        <v>91</v>
      </c>
      <c r="V38" s="51" t="n">
        <v>51.7</v>
      </c>
      <c r="W38" s="55" t="n">
        <f aca="false">V38-20</f>
        <v>31.7</v>
      </c>
      <c r="X38" s="6" t="n">
        <f aca="false">N38+O38+S38+U38+V38</f>
        <v>577.7</v>
      </c>
      <c r="Y38" s="51" t="n">
        <f aca="false">IF(L38&lt;0,L38*-1,0)</f>
        <v>37.0366599445424</v>
      </c>
      <c r="Z38" s="51" t="n">
        <f aca="false">X38+Y38</f>
        <v>614.736659944543</v>
      </c>
      <c r="AA38" s="55" t="n">
        <v>0</v>
      </c>
      <c r="AB38" s="82" t="n">
        <v>84</v>
      </c>
      <c r="AC38" s="57" t="n">
        <v>49</v>
      </c>
      <c r="AD38" s="58" t="n">
        <f aca="false">AD37+1</f>
        <v>29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58" t="n">
        <v>30</v>
      </c>
      <c r="B39" s="73" t="n">
        <v>6897.92</v>
      </c>
      <c r="C39" s="52" t="n">
        <v>275971</v>
      </c>
      <c r="D39" s="57" t="n">
        <f aca="false">C39-C38</f>
        <v>-982</v>
      </c>
      <c r="E39" s="52" t="n">
        <f aca="false">C39-152000</f>
        <v>123971</v>
      </c>
      <c r="F39" s="51" t="n">
        <f aca="false">D39/$D$2</f>
        <v>-495.084446685152</v>
      </c>
      <c r="G39" s="51" t="n">
        <v>107.02</v>
      </c>
      <c r="H39" s="56" t="n">
        <v>0</v>
      </c>
      <c r="I39" s="51" t="n">
        <f aca="false">G39+H39</f>
        <v>107.02</v>
      </c>
      <c r="J39" s="81" t="n">
        <f aca="false">IF(L39&gt;0,L39,0)</f>
        <v>0</v>
      </c>
      <c r="K39" s="51" t="n">
        <f aca="false">I39+J39</f>
        <v>107.02</v>
      </c>
      <c r="L39" s="51" t="n">
        <f aca="false">F39-(I39-X39)</f>
        <v>-22.0444466851525</v>
      </c>
      <c r="M39" s="51" t="n">
        <v>188.44</v>
      </c>
      <c r="N39" s="51" t="n">
        <v>0</v>
      </c>
      <c r="O39" s="51" t="n">
        <v>0</v>
      </c>
      <c r="P39" s="6" t="n">
        <f aca="false">M39-(N39+O39)</f>
        <v>188.44</v>
      </c>
      <c r="Q39" s="51" t="n">
        <v>179.4</v>
      </c>
      <c r="R39" s="51" t="n">
        <v>67.16</v>
      </c>
      <c r="S39" s="51" t="n">
        <f aca="false">SUM(P39:R39)</f>
        <v>435</v>
      </c>
      <c r="T39" s="52" t="n">
        <f aca="false">(I39-S39)+T38</f>
        <v>17704.63</v>
      </c>
      <c r="U39" s="51" t="n">
        <v>93</v>
      </c>
      <c r="V39" s="51" t="n">
        <v>52.06</v>
      </c>
      <c r="W39" s="55" t="n">
        <f aca="false">V39-20</f>
        <v>32.06</v>
      </c>
      <c r="X39" s="6" t="n">
        <f aca="false">N39+O39+S39+U39+V39</f>
        <v>580.06</v>
      </c>
      <c r="Y39" s="51" t="n">
        <f aca="false">IF(L39&lt;0,L39*-1,0)</f>
        <v>22.0444466851525</v>
      </c>
      <c r="Z39" s="51" t="n">
        <f aca="false">X39+Y39</f>
        <v>602.104446685152</v>
      </c>
      <c r="AA39" s="55" t="n">
        <v>0</v>
      </c>
      <c r="AB39" s="82" t="n">
        <v>82</v>
      </c>
      <c r="AC39" s="57" t="n">
        <v>48</v>
      </c>
      <c r="AD39" s="58" t="n">
        <v>30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58" t="n">
        <v>31</v>
      </c>
      <c r="B40" s="73" t="n">
        <v>6897.62</v>
      </c>
      <c r="C40" s="52" t="n">
        <v>274886</v>
      </c>
      <c r="D40" s="57" t="n">
        <f aca="false">C40-C39</f>
        <v>-1085</v>
      </c>
      <c r="E40" s="52" t="n">
        <f aca="false">C40-152000</f>
        <v>122886</v>
      </c>
      <c r="F40" s="51" t="n">
        <f aca="false">D40/$D$2</f>
        <v>-547.012856062516</v>
      </c>
      <c r="G40" s="51" t="n">
        <v>104.52</v>
      </c>
      <c r="H40" s="56" t="n">
        <v>0</v>
      </c>
      <c r="I40" s="51" t="n">
        <f aca="false">G40+H40</f>
        <v>104.52</v>
      </c>
      <c r="J40" s="81" t="n">
        <f aca="false">IF(L40&gt;0,L40,0)</f>
        <v>0</v>
      </c>
      <c r="K40" s="51" t="n">
        <f aca="false">I40+J40</f>
        <v>104.52</v>
      </c>
      <c r="L40" s="51" t="n">
        <f aca="false">F40-(I40-X40)</f>
        <v>-84.6428560625158</v>
      </c>
      <c r="M40" s="51" t="n">
        <v>193.8</v>
      </c>
      <c r="N40" s="51" t="n">
        <v>0</v>
      </c>
      <c r="O40" s="51" t="n">
        <v>0</v>
      </c>
      <c r="P40" s="6" t="n">
        <f aca="false">M40-(N40+O40)</f>
        <v>193.8</v>
      </c>
      <c r="Q40" s="51" t="n">
        <v>164.32</v>
      </c>
      <c r="R40" s="51" t="n">
        <v>63.44</v>
      </c>
      <c r="S40" s="51" t="n">
        <f aca="false">SUM(P40:R40)</f>
        <v>421.56</v>
      </c>
      <c r="T40" s="52" t="n">
        <f aca="false">(I40-S40)+T39</f>
        <v>17387.59</v>
      </c>
      <c r="U40" s="51" t="n">
        <v>93</v>
      </c>
      <c r="V40" s="51" t="n">
        <v>52.33</v>
      </c>
      <c r="W40" s="55" t="n">
        <f aca="false">V40-20</f>
        <v>32.33</v>
      </c>
      <c r="X40" s="6" t="n">
        <f aca="false">N40+O40+S40+U40+V40</f>
        <v>566.89</v>
      </c>
      <c r="Y40" s="51" t="n">
        <f aca="false">IF(L40&lt;0,L40*-1,0)</f>
        <v>84.6428560625158</v>
      </c>
      <c r="Z40" s="51" t="n">
        <f aca="false">X40+Y40</f>
        <v>651.532856062516</v>
      </c>
      <c r="AA40" s="55" t="n">
        <v>0.14</v>
      </c>
      <c r="AB40" s="82" t="n">
        <v>83</v>
      </c>
      <c r="AC40" s="57" t="n">
        <v>50</v>
      </c>
      <c r="AD40" s="58" t="n">
        <v>31</v>
      </c>
      <c r="AE40" s="104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8"/>
      <c r="I41" s="74"/>
      <c r="J41" s="74"/>
      <c r="K41" s="74"/>
      <c r="L41" s="74"/>
      <c r="M41" s="74"/>
      <c r="N41" s="74"/>
      <c r="O41" s="74" t="n">
        <v>0</v>
      </c>
      <c r="P41" s="74"/>
      <c r="Q41" s="74"/>
      <c r="R41" s="74"/>
      <c r="S41" s="74"/>
      <c r="T41" s="76"/>
      <c r="U41" s="74"/>
      <c r="V41" s="74"/>
      <c r="W41" s="109"/>
      <c r="X41" s="74"/>
      <c r="Y41" s="74"/>
      <c r="Z41" s="74"/>
      <c r="AA41" s="109" t="n">
        <v>0</v>
      </c>
      <c r="AB41" s="79"/>
      <c r="AC41" s="79"/>
      <c r="AD41" s="80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-11711.6208721956</v>
      </c>
      <c r="G42" s="52" t="n">
        <f aca="false">SUM(G10:G40)</f>
        <v>6726.59</v>
      </c>
      <c r="H42" s="56" t="n">
        <f aca="false">SUM(H10:H40)</f>
        <v>0</v>
      </c>
      <c r="I42" s="52" t="n">
        <f aca="false">SUM(I10:I40)</f>
        <v>6726.59</v>
      </c>
      <c r="J42" s="52" t="n">
        <f aca="false">SUM(J10:J40)</f>
        <v>725.659957146459</v>
      </c>
      <c r="K42" s="52" t="n">
        <f aca="false">SUM(K10:K40)</f>
        <v>7452.24995714646</v>
      </c>
      <c r="L42" s="52" t="n">
        <f aca="false">SUM(L10:L40)</f>
        <v>-561.580872195613</v>
      </c>
      <c r="M42" s="52" t="n">
        <f aca="false">SUM(M10:M40)</f>
        <v>6381.07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6381.07</v>
      </c>
      <c r="Q42" s="52" t="n">
        <f aca="false">SUM(Q10:Q40)</f>
        <v>4648.01</v>
      </c>
      <c r="R42" s="52" t="n">
        <f aca="false">SUM(R10:R40)</f>
        <v>2311.38</v>
      </c>
      <c r="S42" s="52" t="n">
        <f aca="false">SUM(S10:S40)</f>
        <v>13340.46</v>
      </c>
      <c r="T42" s="52"/>
      <c r="U42" s="52" t="n">
        <f aca="false">SUM(U10:U40)</f>
        <v>2922</v>
      </c>
      <c r="V42" s="52" t="n">
        <f aca="false">SUM(V10:V40)</f>
        <v>1614.17</v>
      </c>
      <c r="W42" s="55" t="n">
        <f aca="false">SUM(W10:W41)</f>
        <v>994.17</v>
      </c>
      <c r="X42" s="52" t="n">
        <f aca="false">SUM(X10:X40)</f>
        <v>17876.63</v>
      </c>
      <c r="Y42" s="52" t="n">
        <f aca="false">SUM(Y10:Y40)</f>
        <v>1287.24082934207</v>
      </c>
      <c r="Z42" s="52" t="n">
        <f aca="false">SUM(Z10:Z40)</f>
        <v>19163.8708293421</v>
      </c>
      <c r="AA42" s="55" t="n">
        <f aca="false">SUM(AA10:AA40)</f>
        <v>1.77</v>
      </c>
      <c r="AB42" s="57" t="n">
        <f aca="false">AVERAGE(AB10:AB40)</f>
        <v>82.6774193548387</v>
      </c>
      <c r="AC42" s="57" t="n">
        <f aca="false">AVERAGE(AC10:AC40)</f>
        <v>53.258064516129</v>
      </c>
      <c r="AD42" s="58" t="s">
        <v>67</v>
      </c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-23230</v>
      </c>
      <c r="E43" s="52"/>
      <c r="F43" s="52" t="n">
        <f aca="false">F42*$D$2</f>
        <v>-23230</v>
      </c>
      <c r="G43" s="52" t="n">
        <f aca="false">G42*$D$2</f>
        <v>13342.191265</v>
      </c>
      <c r="H43" s="56" t="n">
        <f aca="false">H42*$D$2</f>
        <v>0</v>
      </c>
      <c r="I43" s="52" t="n">
        <f aca="false">I42*$D$2</f>
        <v>13342.191265</v>
      </c>
      <c r="J43" s="52" t="n">
        <f aca="false">J42*$D$2</f>
        <v>1439.346525</v>
      </c>
      <c r="K43" s="52" t="n">
        <f aca="false">K42*$D$2</f>
        <v>14781.53779</v>
      </c>
      <c r="L43" s="52" t="n">
        <f aca="false">L42*$D$2</f>
        <v>-1113.89566</v>
      </c>
      <c r="M43" s="52" t="n">
        <f aca="false">M42*$D$2</f>
        <v>12656.852345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12656.852345</v>
      </c>
      <c r="Q43" s="52" t="n">
        <f aca="false">Q42*$D$2</f>
        <v>9219.327835</v>
      </c>
      <c r="R43" s="52" t="n">
        <f aca="false">R42*$D$2</f>
        <v>4584.62223</v>
      </c>
      <c r="S43" s="52" t="n">
        <f aca="false">S42*$D$2</f>
        <v>26460.80241</v>
      </c>
      <c r="T43" s="52"/>
      <c r="U43" s="52" t="n">
        <f aca="false">U42*$D$2</f>
        <v>5795.787</v>
      </c>
      <c r="V43" s="52" t="n">
        <f aca="false">V42*$D$2</f>
        <v>3201.706195</v>
      </c>
      <c r="W43" s="55" t="n">
        <f aca="false">W42*$D$2</f>
        <v>1971.936195</v>
      </c>
      <c r="X43" s="52" t="n">
        <f aca="false">X42*$D$2</f>
        <v>35458.295605</v>
      </c>
      <c r="Y43" s="52" t="n">
        <f aca="false">Y42*$D$2</f>
        <v>2553.242185</v>
      </c>
      <c r="Z43" s="52" t="n">
        <f aca="false">Z42*$D$2</f>
        <v>38011.53779</v>
      </c>
      <c r="AA43" s="55"/>
      <c r="AB43" s="57" t="n">
        <f aca="false">MAX(AB10:AB40)</f>
        <v>92</v>
      </c>
      <c r="AC43" s="57" t="n">
        <f aca="false">MAX(AC10:AC40)</f>
        <v>61</v>
      </c>
      <c r="AD43" s="58" t="s">
        <v>47</v>
      </c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109"/>
      <c r="X44" s="76"/>
      <c r="Y44" s="76"/>
      <c r="Z44" s="76"/>
      <c r="AA44" s="55"/>
      <c r="AB44" s="57"/>
      <c r="AC44" s="57"/>
      <c r="AD44" s="58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875.220569700024</v>
      </c>
      <c r="G45" s="52" t="n">
        <f aca="false">G7+G42</f>
        <v>59399.28</v>
      </c>
      <c r="H45" s="56" t="n">
        <f aca="false">H7+H42</f>
        <v>1182.853</v>
      </c>
      <c r="I45" s="52" t="n">
        <f aca="false">I7+I42</f>
        <v>60582.133</v>
      </c>
      <c r="J45" s="52" t="n">
        <f aca="false">J7+J42</f>
        <v>2057.30546508697</v>
      </c>
      <c r="K45" s="52" t="n">
        <f aca="false">K7+K42</f>
        <v>62639.438465087</v>
      </c>
      <c r="L45" s="52" t="n">
        <f aca="false">L7+L42</f>
        <v>-4429.84943029997</v>
      </c>
      <c r="M45" s="52" t="n">
        <f aca="false">M7+M42</f>
        <v>21493.38</v>
      </c>
      <c r="N45" s="52" t="n">
        <f aca="false">N7+N42</f>
        <v>0</v>
      </c>
      <c r="O45" s="52" t="n">
        <f aca="false">O7+O42</f>
        <v>0</v>
      </c>
      <c r="P45" s="52" t="n">
        <f aca="false">P7+P42</f>
        <v>21493.38</v>
      </c>
      <c r="Q45" s="52" t="n">
        <f aca="false">Q7+Q42</f>
        <v>14651.62</v>
      </c>
      <c r="R45" s="52" t="n">
        <f aca="false">R7+R42</f>
        <v>7049.543</v>
      </c>
      <c r="S45" s="52" t="n">
        <f aca="false">S7+S42</f>
        <v>43194.543</v>
      </c>
      <c r="T45" s="135" t="n">
        <f aca="false">T40</f>
        <v>17387.59</v>
      </c>
      <c r="U45" s="52" t="n">
        <f aca="false">U7+U42</f>
        <v>8268</v>
      </c>
      <c r="V45" s="52" t="n">
        <f aca="false">V7+V42</f>
        <v>3814.52</v>
      </c>
      <c r="W45" s="136" t="n">
        <f aca="false">W42+W7</f>
        <v>1392.08</v>
      </c>
      <c r="X45" s="52" t="n">
        <f aca="false">X7+X42</f>
        <v>55277.063</v>
      </c>
      <c r="Y45" s="52" t="n">
        <f aca="false">Y7+Y42</f>
        <v>6487.15489538694</v>
      </c>
      <c r="Z45" s="52" t="n">
        <f aca="false">Z7+Z42</f>
        <v>61764.2178953869</v>
      </c>
      <c r="AA45" s="55"/>
      <c r="AB45" s="57" t="n">
        <f aca="false">MIN(AB10:AB40)</f>
        <v>73</v>
      </c>
      <c r="AC45" s="57" t="n">
        <f aca="false">MIN(AC10:AC40)</f>
        <v>48</v>
      </c>
      <c r="AD45" s="58" t="s">
        <v>49</v>
      </c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1736</v>
      </c>
      <c r="G46" s="52" t="n">
        <f aca="false">G45*$D$2</f>
        <v>117818.47188</v>
      </c>
      <c r="H46" s="56" t="n">
        <f aca="false">H45*$D$2</f>
        <v>2346.1889255</v>
      </c>
      <c r="I46" s="52" t="n">
        <f aca="false">I45*$D$2</f>
        <v>120164.6608055</v>
      </c>
      <c r="J46" s="52" t="n">
        <f aca="false">J45*$D$2</f>
        <v>4080.66539</v>
      </c>
      <c r="K46" s="52" t="n">
        <f aca="false">K45*$D$2</f>
        <v>124245.3261955</v>
      </c>
      <c r="L46" s="52" t="n">
        <f aca="false">L45*$D$2</f>
        <v>-8786.606345</v>
      </c>
      <c r="M46" s="52" t="n">
        <f aca="false">M45*$D$2</f>
        <v>42632.11923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42632.11923</v>
      </c>
      <c r="Q46" s="52" t="n">
        <f aca="false">Q45*$D$2</f>
        <v>29061.48827</v>
      </c>
      <c r="R46" s="52" t="n">
        <f aca="false">R45*$D$2</f>
        <v>13982.7685405</v>
      </c>
      <c r="S46" s="52" t="n">
        <f aca="false">S45*$D$2</f>
        <v>85676.3760405</v>
      </c>
      <c r="T46" s="52" t="n">
        <f aca="false">T45*$D$2</f>
        <v>34488.284765</v>
      </c>
      <c r="U46" s="52" t="n">
        <f aca="false">U45*$D$2</f>
        <v>16399.578</v>
      </c>
      <c r="V46" s="52" t="n">
        <f aca="false">V45*$D$2</f>
        <v>7566.10042</v>
      </c>
      <c r="W46" s="55" t="n">
        <f aca="false">W45*$D$2</f>
        <v>2761.19068</v>
      </c>
      <c r="X46" s="52" t="n">
        <f aca="false">X45*$D$2</f>
        <v>109642.0544605</v>
      </c>
      <c r="Y46" s="52" t="n">
        <f aca="false">Y45*$D$2</f>
        <v>12867.271735</v>
      </c>
      <c r="Z46" s="52" t="n">
        <f aca="false">Z45*$D$2</f>
        <v>122509.3261955</v>
      </c>
      <c r="AA46" s="55"/>
      <c r="AB46" s="57"/>
      <c r="AC46" s="57"/>
      <c r="AD46" s="58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8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109"/>
      <c r="X47" s="76"/>
      <c r="Y47" s="76"/>
      <c r="Z47" s="76"/>
      <c r="AA47" s="109"/>
      <c r="AB47" s="57"/>
      <c r="AC47" s="57"/>
      <c r="AD47" s="58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-10889.3370305016</v>
      </c>
      <c r="G48" s="52" t="n">
        <f aca="false">G8+G42</f>
        <v>64525.436</v>
      </c>
      <c r="H48" s="56" t="n">
        <f aca="false">H8+H42</f>
        <v>1182.853</v>
      </c>
      <c r="I48" s="52" t="n">
        <f aca="false">I8+I42</f>
        <v>66114.779</v>
      </c>
      <c r="J48" s="52" t="n">
        <f aca="false">J8+J42</f>
        <v>2402.21321855306</v>
      </c>
      <c r="K48" s="52" t="n">
        <f aca="false">K8+K42</f>
        <v>68443.4067383413</v>
      </c>
      <c r="L48" s="52" t="n">
        <f aca="false">L8+L42</f>
        <v>-5649.32303050164</v>
      </c>
      <c r="M48" s="52" t="n">
        <f aca="false">M8+M42</f>
        <v>22895.02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22894.94</v>
      </c>
      <c r="Q48" s="52" t="n">
        <f aca="false">Q8+Q42</f>
        <v>19176.06</v>
      </c>
      <c r="R48" s="52" t="n">
        <f aca="false">R8+R42</f>
        <v>7103.163</v>
      </c>
      <c r="S48" s="52" t="n">
        <f aca="false">S8+S42</f>
        <v>49174.163</v>
      </c>
      <c r="T48" s="52" t="n">
        <f aca="false">T45</f>
        <v>17387.59</v>
      </c>
      <c r="U48" s="52" t="n">
        <f aca="false">U8+U42</f>
        <v>8268</v>
      </c>
      <c r="V48" s="52" t="n">
        <f aca="false">V8+V42</f>
        <v>13912.55</v>
      </c>
      <c r="W48" s="55" t="n">
        <f aca="false">W45</f>
        <v>1392.08</v>
      </c>
      <c r="X48" s="52" t="n">
        <f aca="false">X8+X42</f>
        <v>71354.793</v>
      </c>
      <c r="Y48" s="52" t="n">
        <f aca="false">Y8+Y42</f>
        <v>8051.5362490547</v>
      </c>
      <c r="Z48" s="52" t="n">
        <f aca="false">Z8+Z42</f>
        <v>79406.3292490547</v>
      </c>
      <c r="AA48" s="55" t="n">
        <f aca="false">AA8+AA42</f>
        <v>12.093</v>
      </c>
      <c r="AB48" s="57"/>
      <c r="AC48" s="57"/>
      <c r="AD48" s="58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-21599</v>
      </c>
      <c r="E49" s="52" t="n">
        <f aca="false">E40</f>
        <v>122886</v>
      </c>
      <c r="F49" s="52" t="n">
        <f aca="false">F48*$D$2</f>
        <v>-21599</v>
      </c>
      <c r="G49" s="52" t="n">
        <f aca="false">G48*$D$2</f>
        <v>127986.202306</v>
      </c>
      <c r="H49" s="56" t="n">
        <f aca="false">H48*$D$2</f>
        <v>2346.1889255</v>
      </c>
      <c r="I49" s="52" t="n">
        <f aca="false">I48*$D$2</f>
        <v>131138.6641465</v>
      </c>
      <c r="J49" s="52" t="n">
        <f aca="false">J48*$D$2</f>
        <v>4764.789919</v>
      </c>
      <c r="K49" s="52" t="n">
        <f aca="false">K48*$D$2</f>
        <v>135757.4972655</v>
      </c>
      <c r="L49" s="52" t="n">
        <f aca="false">L48*$D$2</f>
        <v>-11205.432231</v>
      </c>
      <c r="M49" s="52" t="n">
        <f aca="false">M48*$D$2</f>
        <v>45412.27217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45412.11349</v>
      </c>
      <c r="Q49" s="52" t="n">
        <f aca="false">Q48*$D$2</f>
        <v>38035.71501</v>
      </c>
      <c r="R49" s="52" t="n">
        <f aca="false">R48*$D$2</f>
        <v>14089.1238105</v>
      </c>
      <c r="S49" s="52" t="n">
        <f aca="false">S48*$D$2</f>
        <v>97536.9523105</v>
      </c>
      <c r="T49" s="52" t="n">
        <f aca="false">T48*$D$2</f>
        <v>34488.284765</v>
      </c>
      <c r="U49" s="52" t="n">
        <f aca="false">U48*$D$2</f>
        <v>16399.578</v>
      </c>
      <c r="V49" s="52" t="n">
        <f aca="false">V48*$D$2</f>
        <v>27595.542925</v>
      </c>
      <c r="W49" s="55" t="n">
        <f aca="false">W48*$D$2</f>
        <v>2761.19068</v>
      </c>
      <c r="X49" s="52" t="n">
        <f aca="false">X48*$D$2</f>
        <v>141532.2319155</v>
      </c>
      <c r="Y49" s="52" t="n">
        <f aca="false">Y48*$D$2</f>
        <v>15970.22215</v>
      </c>
      <c r="Z49" s="52" t="n">
        <f aca="false">Z48*$D$2</f>
        <v>157502.4540655</v>
      </c>
      <c r="AA49" s="55"/>
      <c r="AB49" s="57"/>
      <c r="AC49" s="57"/>
      <c r="AD49" s="58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8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109"/>
      <c r="X50" s="74"/>
      <c r="Y50" s="74"/>
      <c r="Z50" s="74"/>
      <c r="AA50" s="55"/>
      <c r="AB50" s="57"/>
      <c r="AC50" s="57"/>
      <c r="AD50" s="58"/>
      <c r="AE50" s="92"/>
      <c r="AF50" s="93"/>
    </row>
    <row r="51" customFormat="false" ht="11.1" hidden="false" customHeight="true" outlineLevel="0" collapsed="false">
      <c r="A51" s="82"/>
      <c r="B51" s="82"/>
      <c r="C51" s="52"/>
      <c r="D51" s="82"/>
      <c r="E51" s="52"/>
      <c r="F51" s="82"/>
      <c r="G51" s="85"/>
      <c r="H51" s="56"/>
      <c r="I51" s="82"/>
      <c r="J51" s="82"/>
      <c r="K51" s="82"/>
      <c r="L51" s="82"/>
      <c r="M51" s="81"/>
      <c r="N51" s="81"/>
      <c r="O51" s="81"/>
      <c r="P51" s="82"/>
      <c r="Q51" s="82"/>
      <c r="R51" s="82"/>
      <c r="S51" s="52"/>
      <c r="T51" s="82"/>
      <c r="U51" s="82"/>
      <c r="V51" s="52"/>
      <c r="W51" s="55"/>
      <c r="X51" s="82"/>
      <c r="Y51" s="82"/>
      <c r="Z51" s="55"/>
      <c r="AA51" s="57"/>
      <c r="AB51" s="57"/>
      <c r="AC51" s="58"/>
      <c r="AD51" s="98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E21" activePane="bottomRight" state="frozen"/>
      <selection pane="topLeft" activeCell="A1" activeCellId="0" sqref="A1"/>
      <selection pane="topRight" activeCell="E1" activeCellId="0" sqref="E1"/>
      <selection pane="bottomLeft" activeCell="A21" activeCellId="0" sqref="A21"/>
      <selection pane="bottomRight" activeCell="S25" activeCellId="0" sqref="S25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37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8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5.1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5"/>
      <c r="X1" s="51"/>
      <c r="Y1" s="51"/>
      <c r="Z1" s="55"/>
      <c r="AA1" s="56"/>
      <c r="AB1" s="57"/>
      <c r="AC1" s="5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78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5"/>
      <c r="X2" s="51"/>
      <c r="Y2" s="51"/>
      <c r="Z2" s="55"/>
      <c r="AA2" s="56"/>
      <c r="AB2" s="57"/>
      <c r="AC2" s="5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5"/>
      <c r="X3" s="51"/>
      <c r="Y3" s="51"/>
      <c r="Z3" s="55"/>
      <c r="AA3" s="56"/>
      <c r="AB3" s="57"/>
      <c r="AC3" s="5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107" t="s">
        <v>75</v>
      </c>
      <c r="X4" s="62" t="s">
        <v>10</v>
      </c>
      <c r="Y4" s="62" t="s">
        <v>11</v>
      </c>
      <c r="Z4" s="62" t="s">
        <v>12</v>
      </c>
      <c r="AA4" s="65" t="s">
        <v>19</v>
      </c>
      <c r="AB4" s="66" t="s">
        <v>20</v>
      </c>
      <c r="AC4" s="66" t="s">
        <v>21</v>
      </c>
      <c r="AD4" s="66" t="s">
        <v>3</v>
      </c>
      <c r="AE4" s="88"/>
    </row>
    <row r="5" customFormat="false" ht="11.1" hidden="false" customHeight="true" outlineLevel="0" collapsed="false">
      <c r="A5" s="67" t="s">
        <v>79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107" t="s">
        <v>73</v>
      </c>
      <c r="X5" s="62" t="s">
        <v>40</v>
      </c>
      <c r="Y5" s="62" t="s">
        <v>40</v>
      </c>
      <c r="Z5" s="62" t="s">
        <v>40</v>
      </c>
      <c r="AA5" s="68"/>
      <c r="AB5" s="66" t="s">
        <v>41</v>
      </c>
      <c r="AC5" s="66" t="s">
        <v>41</v>
      </c>
      <c r="AD5" s="69" t="s">
        <v>79</v>
      </c>
      <c r="AE5" s="88"/>
      <c r="AG5" s="138"/>
      <c r="AH5" s="13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108"/>
      <c r="X6" s="70"/>
      <c r="Y6" s="70"/>
      <c r="Z6" s="70"/>
      <c r="AA6" s="56"/>
      <c r="AB6" s="58"/>
      <c r="AC6" s="58"/>
      <c r="AD6" s="58"/>
      <c r="AE6" s="92"/>
      <c r="AF6" s="93"/>
      <c r="AG6" s="138"/>
      <c r="AH6" s="138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JUL!F45</f>
        <v>875.220569700024</v>
      </c>
      <c r="G7" s="52" t="n">
        <f aca="false">JUL!G45</f>
        <v>59399.28</v>
      </c>
      <c r="H7" s="52" t="n">
        <f aca="false">JUL!H45</f>
        <v>1182.853</v>
      </c>
      <c r="I7" s="52" t="n">
        <f aca="false">JUL!I45</f>
        <v>60582.133</v>
      </c>
      <c r="J7" s="52" t="n">
        <f aca="false">JUL!J45</f>
        <v>2057.30546508697</v>
      </c>
      <c r="K7" s="52" t="n">
        <f aca="false">JUL!K45</f>
        <v>62639.438465087</v>
      </c>
      <c r="L7" s="52" t="n">
        <f aca="false">JUL!L45</f>
        <v>-4429.84943029997</v>
      </c>
      <c r="M7" s="52" t="n">
        <f aca="false">JUL!M45</f>
        <v>21493.38</v>
      </c>
      <c r="N7" s="52" t="n">
        <f aca="false">JUL!N45</f>
        <v>0</v>
      </c>
      <c r="O7" s="52" t="n">
        <f aca="false">JUL!O45</f>
        <v>0</v>
      </c>
      <c r="P7" s="52" t="n">
        <f aca="false">JUL!P45</f>
        <v>21493.38</v>
      </c>
      <c r="Q7" s="52" t="n">
        <f aca="false">JUL!Q45</f>
        <v>14651.62</v>
      </c>
      <c r="R7" s="52" t="n">
        <f aca="false">JUL!R45</f>
        <v>7049.543</v>
      </c>
      <c r="S7" s="52" t="n">
        <f aca="false">JUL!S45</f>
        <v>43194.543</v>
      </c>
      <c r="T7" s="52" t="n">
        <f aca="false">JUL!T45</f>
        <v>17387.59</v>
      </c>
      <c r="U7" s="52" t="n">
        <f aca="false">JUL!U45</f>
        <v>8268</v>
      </c>
      <c r="V7" s="52" t="n">
        <f aca="false">JUL!V45</f>
        <v>3814.52</v>
      </c>
      <c r="W7" s="55" t="n">
        <f aca="false">JUL!W45</f>
        <v>1392.08</v>
      </c>
      <c r="X7" s="52" t="n">
        <f aca="false">JUL!X45</f>
        <v>55277.063</v>
      </c>
      <c r="Y7" s="52" t="n">
        <f aca="false">JUL!Y45</f>
        <v>6487.15489538694</v>
      </c>
      <c r="Z7" s="52" t="n">
        <f aca="false">JUL!Z45</f>
        <v>61764.2178953869</v>
      </c>
      <c r="AA7" s="56"/>
      <c r="AB7" s="57"/>
      <c r="AC7" s="57"/>
      <c r="AD7" s="58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JUL!B40</f>
        <v>6897.62</v>
      </c>
      <c r="C8" s="52" t="n">
        <f aca="false">JUL!C40</f>
        <v>274886</v>
      </c>
      <c r="D8" s="52" t="n">
        <f aca="false">JUL!D49</f>
        <v>-21599</v>
      </c>
      <c r="E8" s="52" t="n">
        <f aca="false">JUL!E49</f>
        <v>122886</v>
      </c>
      <c r="F8" s="52" t="n">
        <f aca="false">JUL!F48</f>
        <v>-10889.3370305016</v>
      </c>
      <c r="G8" s="52" t="n">
        <f aca="false">JUL!G48</f>
        <v>64525.436</v>
      </c>
      <c r="H8" s="57" t="n">
        <f aca="false">JUL!H48</f>
        <v>1182.853</v>
      </c>
      <c r="I8" s="52" t="n">
        <f aca="false">JUL!I48</f>
        <v>66114.779</v>
      </c>
      <c r="J8" s="52" t="n">
        <f aca="false">JUL!J48</f>
        <v>2402.21321855306</v>
      </c>
      <c r="K8" s="52" t="n">
        <f aca="false">JUL!K48</f>
        <v>68443.4067383413</v>
      </c>
      <c r="L8" s="52" t="n">
        <f aca="false">JUL!L48</f>
        <v>-5649.32303050164</v>
      </c>
      <c r="M8" s="52" t="n">
        <f aca="false">JUL!M48</f>
        <v>22895.02</v>
      </c>
      <c r="N8" s="52" t="n">
        <f aca="false">JUL!N48</f>
        <v>0.08</v>
      </c>
      <c r="O8" s="52" t="n">
        <f aca="false">JUL!O48</f>
        <v>0</v>
      </c>
      <c r="P8" s="52" t="n">
        <f aca="false">JUL!P48</f>
        <v>22894.94</v>
      </c>
      <c r="Q8" s="52" t="n">
        <f aca="false">JUL!Q48</f>
        <v>19176.06</v>
      </c>
      <c r="R8" s="52" t="n">
        <f aca="false">JUL!R48</f>
        <v>7103.163</v>
      </c>
      <c r="S8" s="52" t="n">
        <f aca="false">JUL!S48</f>
        <v>49174.163</v>
      </c>
      <c r="T8" s="52" t="n">
        <f aca="false">JUL!T48</f>
        <v>17387.59</v>
      </c>
      <c r="U8" s="52" t="n">
        <f aca="false">JUL!U48</f>
        <v>8268</v>
      </c>
      <c r="V8" s="52" t="n">
        <f aca="false">JUL!V48</f>
        <v>13912.55</v>
      </c>
      <c r="W8" s="55" t="n">
        <f aca="false">JUL!W49</f>
        <v>2761.19068</v>
      </c>
      <c r="X8" s="52" t="n">
        <f aca="false">JUL!X48</f>
        <v>71354.793</v>
      </c>
      <c r="Y8" s="52" t="n">
        <f aca="false">JUL!Y48</f>
        <v>8051.5362490547</v>
      </c>
      <c r="Z8" s="52" t="n">
        <f aca="false">JUL!Z48</f>
        <v>79406.3292490547</v>
      </c>
      <c r="AA8" s="56" t="n">
        <f aca="false">JUL!AA48</f>
        <v>12.093</v>
      </c>
      <c r="AB8" s="57"/>
      <c r="AC8" s="57"/>
      <c r="AD8" s="58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109"/>
      <c r="X9" s="74"/>
      <c r="Y9" s="74"/>
      <c r="Z9" s="74"/>
      <c r="AA9" s="78"/>
      <c r="AB9" s="79"/>
      <c r="AC9" s="79"/>
      <c r="AD9" s="80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6897.34</v>
      </c>
      <c r="C10" s="52" t="n">
        <v>273873</v>
      </c>
      <c r="D10" s="57" t="n">
        <f aca="false">C10-C8</f>
        <v>-1013</v>
      </c>
      <c r="E10" s="52" t="n">
        <f aca="false">C10-152000</f>
        <v>121873</v>
      </c>
      <c r="F10" s="51" t="n">
        <f aca="false">D10/$D$2</f>
        <v>-510.713385429796</v>
      </c>
      <c r="G10" s="51" t="n">
        <v>101.71</v>
      </c>
      <c r="H10" s="53" t="n">
        <v>0</v>
      </c>
      <c r="I10" s="51" t="n">
        <f aca="false">G10+H10</f>
        <v>101.71</v>
      </c>
      <c r="J10" s="81" t="n">
        <f aca="false">IF(L10&gt;0,L10,0)</f>
        <v>0</v>
      </c>
      <c r="K10" s="51" t="n">
        <f aca="false">I10+J10</f>
        <v>101.71</v>
      </c>
      <c r="L10" s="51" t="n">
        <f aca="false">F10-(I10-X10)</f>
        <v>-3.08338542979573</v>
      </c>
      <c r="M10" s="51" t="n">
        <v>197.16</v>
      </c>
      <c r="N10" s="87" t="n">
        <v>0</v>
      </c>
      <c r="O10" s="51" t="n">
        <v>0</v>
      </c>
      <c r="P10" s="6" t="n">
        <f aca="false">M10-(N10+O10)</f>
        <v>197.16</v>
      </c>
      <c r="Q10" s="51" t="n">
        <v>162.89</v>
      </c>
      <c r="R10" s="51" t="n">
        <v>81.95</v>
      </c>
      <c r="S10" s="51" t="n">
        <f aca="false">SUM(P10:R10)</f>
        <v>442</v>
      </c>
      <c r="T10" s="52" t="n">
        <f aca="false">(I10-S10)+T7</f>
        <v>17047.3</v>
      </c>
      <c r="U10" s="51" t="n">
        <v>115</v>
      </c>
      <c r="V10" s="51" t="n">
        <v>52.34</v>
      </c>
      <c r="W10" s="55" t="n">
        <f aca="false">V10-20</f>
        <v>32.34</v>
      </c>
      <c r="X10" s="6" t="n">
        <f aca="false">N10+O10+S10+U10+V10</f>
        <v>609.34</v>
      </c>
      <c r="Y10" s="51" t="n">
        <f aca="false">IF(L10&lt;0,L10*-1,0)</f>
        <v>3.08338542979573</v>
      </c>
      <c r="Z10" s="51" t="n">
        <f aca="false">X10+Y10</f>
        <v>612.423385429796</v>
      </c>
      <c r="AA10" s="56" t="n">
        <v>0.02</v>
      </c>
      <c r="AB10" s="57" t="n">
        <v>83</v>
      </c>
      <c r="AC10" s="57" t="n">
        <v>52</v>
      </c>
      <c r="AD10" s="58" t="n">
        <v>1</v>
      </c>
      <c r="AE10" s="12"/>
      <c r="AF10" s="125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58" t="n">
        <f aca="false">A10+1</f>
        <v>2</v>
      </c>
      <c r="B11" s="73" t="n">
        <v>6897</v>
      </c>
      <c r="C11" s="52" t="n">
        <v>272643</v>
      </c>
      <c r="D11" s="57" t="n">
        <f aca="false">C11-C10</f>
        <v>-1230</v>
      </c>
      <c r="E11" s="52" t="n">
        <f aca="false">C11-152000</f>
        <v>120643</v>
      </c>
      <c r="F11" s="51" t="n">
        <f aca="false">D11/$D$2</f>
        <v>-620.115956642299</v>
      </c>
      <c r="G11" s="51" t="n">
        <v>97.95</v>
      </c>
      <c r="H11" s="53" t="n">
        <v>0</v>
      </c>
      <c r="I11" s="51" t="n">
        <f aca="false">G11+H11</f>
        <v>97.95</v>
      </c>
      <c r="J11" s="81" t="n">
        <f aca="false">IF(L11&gt;0,L11,0)</f>
        <v>0</v>
      </c>
      <c r="K11" s="51" t="n">
        <f aca="false">I11+J11</f>
        <v>97.95</v>
      </c>
      <c r="L11" s="51" t="n">
        <f aca="false">F11-(I11-X11)</f>
        <v>-101.695956642299</v>
      </c>
      <c r="M11" s="51" t="n">
        <v>197.07</v>
      </c>
      <c r="N11" s="87" t="n">
        <v>0</v>
      </c>
      <c r="O11" s="51" t="n">
        <v>0</v>
      </c>
      <c r="P11" s="6" t="n">
        <f aca="false">M11-(N11+O11)</f>
        <v>197.07</v>
      </c>
      <c r="Q11" s="51" t="n">
        <v>162.52</v>
      </c>
      <c r="R11" s="51" t="n">
        <v>82.41</v>
      </c>
      <c r="S11" s="51" t="n">
        <f aca="false">SUM(P11:R11)</f>
        <v>442</v>
      </c>
      <c r="T11" s="52" t="n">
        <f aca="false">(I11-S11)+T10</f>
        <v>16703.25</v>
      </c>
      <c r="U11" s="51" t="n">
        <v>122</v>
      </c>
      <c r="V11" s="51" t="n">
        <v>52.37</v>
      </c>
      <c r="W11" s="55" t="n">
        <f aca="false">V11-20</f>
        <v>32.37</v>
      </c>
      <c r="X11" s="6" t="n">
        <f aca="false">N11+O11+S11+U11+V11</f>
        <v>616.37</v>
      </c>
      <c r="Y11" s="51" t="n">
        <f aca="false">IF(L11&lt;0,L11*-1,0)</f>
        <v>101.695956642299</v>
      </c>
      <c r="Z11" s="51" t="n">
        <f aca="false">X11+Y11</f>
        <v>718.065956642299</v>
      </c>
      <c r="AA11" s="56" t="n">
        <v>0</v>
      </c>
      <c r="AB11" s="57" t="n">
        <v>78</v>
      </c>
      <c r="AC11" s="57" t="n">
        <v>53</v>
      </c>
      <c r="AD11" s="58" t="n">
        <f aca="false">AD10+1</f>
        <v>2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58" t="n">
        <f aca="false">A11+1</f>
        <v>3</v>
      </c>
      <c r="B12" s="73" t="n">
        <v>6896.69</v>
      </c>
      <c r="C12" s="52" t="n">
        <v>271531</v>
      </c>
      <c r="D12" s="57" t="n">
        <f aca="false">C12-C11</f>
        <v>-1112</v>
      </c>
      <c r="E12" s="52" t="n">
        <f aca="false">C12-152000</f>
        <v>119531</v>
      </c>
      <c r="F12" s="51" t="n">
        <f aca="false">D12/$D$2</f>
        <v>-560.625157549786</v>
      </c>
      <c r="G12" s="51" t="n">
        <v>96.24</v>
      </c>
      <c r="H12" s="53" t="n">
        <v>0</v>
      </c>
      <c r="I12" s="51" t="n">
        <f aca="false">G12+H12</f>
        <v>96.24</v>
      </c>
      <c r="J12" s="81" t="n">
        <f aca="false">IF(L12&gt;0,L12,0)</f>
        <v>0</v>
      </c>
      <c r="K12" s="51" t="n">
        <f aca="false">I12+J12</f>
        <v>96.24</v>
      </c>
      <c r="L12" s="51" t="n">
        <f aca="false">F12-(I12-X12)</f>
        <v>-61.5151575497857</v>
      </c>
      <c r="M12" s="51" t="n">
        <v>196.94</v>
      </c>
      <c r="N12" s="87" t="n">
        <v>0</v>
      </c>
      <c r="O12" s="51" t="n">
        <v>0</v>
      </c>
      <c r="P12" s="6" t="n">
        <f aca="false">M12-(N12+O12)</f>
        <v>196.94</v>
      </c>
      <c r="Q12" s="51" t="n">
        <v>129.19</v>
      </c>
      <c r="R12" s="51" t="n">
        <v>83.87</v>
      </c>
      <c r="S12" s="51" t="n">
        <f aca="false">SUM(P12:R12)</f>
        <v>410</v>
      </c>
      <c r="T12" s="52" t="n">
        <f aca="false">(I12-S12)+T11</f>
        <v>16389.49</v>
      </c>
      <c r="U12" s="51" t="n">
        <v>133</v>
      </c>
      <c r="V12" s="51" t="n">
        <v>52.35</v>
      </c>
      <c r="W12" s="55" t="n">
        <f aca="false">V12-20</f>
        <v>32.35</v>
      </c>
      <c r="X12" s="6" t="n">
        <f aca="false">N12+O12+S12+U12+V12</f>
        <v>595.35</v>
      </c>
      <c r="Y12" s="51" t="n">
        <f aca="false">IF(L12&lt;0,L12*-1,0)</f>
        <v>61.5151575497857</v>
      </c>
      <c r="Z12" s="51" t="n">
        <f aca="false">X12+Y12</f>
        <v>656.865157549786</v>
      </c>
      <c r="AA12" s="56" t="n">
        <v>0</v>
      </c>
      <c r="AB12" s="57" t="n">
        <v>81</v>
      </c>
      <c r="AC12" s="57" t="n">
        <v>48</v>
      </c>
      <c r="AD12" s="58" t="n">
        <f aca="false">AD11+1</f>
        <v>3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58" t="n">
        <f aca="false">A12+1</f>
        <v>4</v>
      </c>
      <c r="B13" s="73" t="n">
        <v>6896.38</v>
      </c>
      <c r="C13" s="52" t="n">
        <v>270418</v>
      </c>
      <c r="D13" s="57" t="n">
        <f aca="false">C13-C12</f>
        <v>-1113</v>
      </c>
      <c r="E13" s="52" t="n">
        <f aca="false">C13-152000</f>
        <v>118418</v>
      </c>
      <c r="F13" s="51" t="n">
        <f aca="false">D13/$D$2</f>
        <v>-561.129316864129</v>
      </c>
      <c r="G13" s="51" t="n">
        <v>91.34</v>
      </c>
      <c r="H13" s="53" t="n">
        <v>0</v>
      </c>
      <c r="I13" s="51" t="n">
        <f aca="false">G13+H13</f>
        <v>91.34</v>
      </c>
      <c r="J13" s="81" t="n">
        <f aca="false">IF(L13&gt;0,L13,0)</f>
        <v>0</v>
      </c>
      <c r="K13" s="51" t="n">
        <f aca="false">I13+J13</f>
        <v>91.34</v>
      </c>
      <c r="L13" s="51" t="n">
        <f aca="false">F13-(I13-X13)</f>
        <v>-30.0693168641291</v>
      </c>
      <c r="M13" s="51" t="n">
        <v>196.99</v>
      </c>
      <c r="N13" s="87" t="n">
        <v>0</v>
      </c>
      <c r="O13" s="51" t="n">
        <v>0</v>
      </c>
      <c r="P13" s="6" t="n">
        <f aca="false">M13-(N13+O13)</f>
        <v>196.99</v>
      </c>
      <c r="Q13" s="51" t="n">
        <v>160.85</v>
      </c>
      <c r="R13" s="51" t="n">
        <v>82.16</v>
      </c>
      <c r="S13" s="51" t="n">
        <f aca="false">SUM(P13:R13)</f>
        <v>440</v>
      </c>
      <c r="T13" s="52" t="n">
        <f aca="false">(I13-S13)+T12</f>
        <v>16040.83</v>
      </c>
      <c r="U13" s="51" t="n">
        <v>130</v>
      </c>
      <c r="V13" s="51" t="n">
        <v>52.4</v>
      </c>
      <c r="W13" s="55" t="n">
        <f aca="false">V13-20</f>
        <v>32.4</v>
      </c>
      <c r="X13" s="6" t="n">
        <f aca="false">N13+O13+S13+U13+V13</f>
        <v>622.4</v>
      </c>
      <c r="Y13" s="51" t="n">
        <f aca="false">IF(L13&lt;0,L13*-1,0)</f>
        <v>30.0693168641291</v>
      </c>
      <c r="Z13" s="51" t="n">
        <f aca="false">X13+Y13</f>
        <v>652.469316864129</v>
      </c>
      <c r="AA13" s="56" t="n">
        <v>0.38</v>
      </c>
      <c r="AB13" s="57" t="n">
        <v>83</v>
      </c>
      <c r="AC13" s="57" t="n">
        <v>52</v>
      </c>
      <c r="AD13" s="58" t="n">
        <f aca="false">AD12+1</f>
        <v>4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58" t="n">
        <f aca="false">A13+1</f>
        <v>5</v>
      </c>
      <c r="B14" s="73" t="n">
        <v>6896.08</v>
      </c>
      <c r="C14" s="52" t="n">
        <v>269342</v>
      </c>
      <c r="D14" s="57" t="n">
        <f aca="false">C14-C13</f>
        <v>-1076</v>
      </c>
      <c r="E14" s="52" t="n">
        <f aca="false">C14-152000</f>
        <v>117342</v>
      </c>
      <c r="F14" s="51" t="n">
        <f aca="false">D14/$D$2</f>
        <v>-542.475422233426</v>
      </c>
      <c r="G14" s="51" t="n">
        <v>88.62</v>
      </c>
      <c r="H14" s="53" t="n">
        <v>0</v>
      </c>
      <c r="I14" s="51" t="n">
        <f aca="false">G14+H14</f>
        <v>88.62</v>
      </c>
      <c r="J14" s="81" t="n">
        <f aca="false">IF(L14&gt;0,L14,0)</f>
        <v>0</v>
      </c>
      <c r="K14" s="51" t="n">
        <f aca="false">I14+J14</f>
        <v>88.62</v>
      </c>
      <c r="L14" s="51" t="n">
        <f aca="false">F14-(I14-X14)</f>
        <v>-17.6254222334258</v>
      </c>
      <c r="M14" s="51" t="n">
        <v>196.12</v>
      </c>
      <c r="N14" s="87" t="n">
        <v>0</v>
      </c>
      <c r="O14" s="51" t="n">
        <v>0</v>
      </c>
      <c r="P14" s="6" t="n">
        <f aca="false">M14-(N14+O14)</f>
        <v>196.12</v>
      </c>
      <c r="Q14" s="51" t="n">
        <v>160.9</v>
      </c>
      <c r="R14" s="51" t="n">
        <v>81.98</v>
      </c>
      <c r="S14" s="51" t="n">
        <f aca="false">SUM(P14:R14)</f>
        <v>439</v>
      </c>
      <c r="T14" s="52" t="n">
        <f aca="false">(I14-S14)+T13</f>
        <v>15690.45</v>
      </c>
      <c r="U14" s="51" t="n">
        <v>122</v>
      </c>
      <c r="V14" s="51" t="n">
        <v>52.47</v>
      </c>
      <c r="W14" s="55" t="n">
        <f aca="false">V14-20</f>
        <v>32.47</v>
      </c>
      <c r="X14" s="6" t="n">
        <f aca="false">N14+O14+S14+U14+V14</f>
        <v>613.47</v>
      </c>
      <c r="Y14" s="51" t="n">
        <f aca="false">IF(L14&lt;0,L14*-1,0)</f>
        <v>17.6254222334258</v>
      </c>
      <c r="Z14" s="51" t="n">
        <f aca="false">X14+Y14</f>
        <v>631.095422233426</v>
      </c>
      <c r="AA14" s="56" t="n">
        <v>0.25</v>
      </c>
      <c r="AB14" s="57" t="n">
        <v>83</v>
      </c>
      <c r="AC14" s="57" t="n">
        <v>50</v>
      </c>
      <c r="AD14" s="58" t="n">
        <f aca="false">AD13+1</f>
        <v>5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58" t="n">
        <f aca="false">A14+1</f>
        <v>6</v>
      </c>
      <c r="B15" s="73" t="n">
        <v>6895.78</v>
      </c>
      <c r="C15" s="52" t="n">
        <v>268272</v>
      </c>
      <c r="D15" s="57" t="n">
        <f aca="false">C15-C14</f>
        <v>-1070</v>
      </c>
      <c r="E15" s="52" t="n">
        <f aca="false">C15-152000</f>
        <v>116272</v>
      </c>
      <c r="F15" s="51" t="n">
        <f aca="false">D15/$D$2</f>
        <v>-539.450466347366</v>
      </c>
      <c r="G15" s="51" t="n">
        <v>147.37</v>
      </c>
      <c r="H15" s="53" t="n">
        <v>0</v>
      </c>
      <c r="I15" s="51" t="n">
        <f aca="false">G15+H15</f>
        <v>147.37</v>
      </c>
      <c r="J15" s="81" t="n">
        <f aca="false">IF(L15&gt;0,L15,0)</f>
        <v>0</v>
      </c>
      <c r="K15" s="51" t="n">
        <f aca="false">I15+J15</f>
        <v>147.37</v>
      </c>
      <c r="L15" s="51" t="n">
        <f aca="false">F15-(I15-X15)</f>
        <v>-57.3904663473658</v>
      </c>
      <c r="M15" s="51" t="n">
        <v>195.1</v>
      </c>
      <c r="N15" s="87" t="n">
        <v>0</v>
      </c>
      <c r="O15" s="51" t="n">
        <v>0</v>
      </c>
      <c r="P15" s="6" t="n">
        <f aca="false">M15-(N15+O15)</f>
        <v>195.1</v>
      </c>
      <c r="Q15" s="51" t="n">
        <v>160.23</v>
      </c>
      <c r="R15" s="51" t="n">
        <v>81.67</v>
      </c>
      <c r="S15" s="51" t="n">
        <f aca="false">SUM(P15:R15)</f>
        <v>437</v>
      </c>
      <c r="T15" s="52" t="n">
        <f aca="false">(I15-S15)+T14</f>
        <v>15400.82</v>
      </c>
      <c r="U15" s="51" t="n">
        <v>140</v>
      </c>
      <c r="V15" s="51" t="n">
        <v>52.43</v>
      </c>
      <c r="W15" s="55" t="n">
        <f aca="false">V15-20</f>
        <v>32.43</v>
      </c>
      <c r="X15" s="6" t="n">
        <f aca="false">N15+O15+S15+U15+V15</f>
        <v>629.43</v>
      </c>
      <c r="Y15" s="51" t="n">
        <f aca="false">IF(L15&lt;0,L15*-1,0)</f>
        <v>57.3904663473658</v>
      </c>
      <c r="Z15" s="51" t="n">
        <f aca="false">X15+Y15</f>
        <v>686.820466347366</v>
      </c>
      <c r="AA15" s="56" t="n">
        <v>0</v>
      </c>
      <c r="AB15" s="57" t="n">
        <v>81</v>
      </c>
      <c r="AC15" s="57" t="n">
        <v>47</v>
      </c>
      <c r="AD15" s="58" t="n">
        <f aca="false">AD14+1</f>
        <v>6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58" t="n">
        <f aca="false">A15+1</f>
        <v>7</v>
      </c>
      <c r="B16" s="73" t="n">
        <v>6895.5</v>
      </c>
      <c r="C16" s="52" t="n">
        <v>267275</v>
      </c>
      <c r="D16" s="57" t="n">
        <f aca="false">C16-C15</f>
        <v>-997</v>
      </c>
      <c r="E16" s="52" t="n">
        <f aca="false">C16-152000</f>
        <v>115275</v>
      </c>
      <c r="F16" s="51" t="n">
        <f aca="false">D16/$D$2</f>
        <v>-502.646836400303</v>
      </c>
      <c r="G16" s="51" t="n">
        <v>146.66</v>
      </c>
      <c r="H16" s="53" t="n">
        <v>0</v>
      </c>
      <c r="I16" s="51" t="n">
        <f aca="false">G16+H16</f>
        <v>146.66</v>
      </c>
      <c r="J16" s="81" t="n">
        <f aca="false">IF(L16&gt;0,L16,0)</f>
        <v>0</v>
      </c>
      <c r="K16" s="51" t="n">
        <f aca="false">I16+J16</f>
        <v>146.66</v>
      </c>
      <c r="L16" s="51" t="n">
        <f aca="false">F16-(I16-X16)</f>
        <v>-46.9268364003025</v>
      </c>
      <c r="M16" s="51" t="n">
        <v>194.25</v>
      </c>
      <c r="N16" s="87" t="n">
        <v>0</v>
      </c>
      <c r="O16" s="51" t="n">
        <v>0</v>
      </c>
      <c r="P16" s="6" t="n">
        <f aca="false">M16-(N16+O16)</f>
        <v>194.25</v>
      </c>
      <c r="Q16" s="51" t="n">
        <v>160.59</v>
      </c>
      <c r="R16" s="51" t="n">
        <v>80.16</v>
      </c>
      <c r="S16" s="51" t="n">
        <f aca="false">SUM(P16:R16)</f>
        <v>435</v>
      </c>
      <c r="T16" s="52" t="n">
        <f aca="false">(I16-S16)+T15</f>
        <v>15112.48</v>
      </c>
      <c r="U16" s="51" t="n">
        <v>115</v>
      </c>
      <c r="V16" s="51" t="n">
        <v>52.38</v>
      </c>
      <c r="W16" s="55" t="n">
        <f aca="false">V16-20</f>
        <v>32.38</v>
      </c>
      <c r="X16" s="6" t="n">
        <f aca="false">N16+O16+S16+U16+V16</f>
        <v>602.38</v>
      </c>
      <c r="Y16" s="51" t="n">
        <f aca="false">IF(L16&lt;0,L16*-1,0)</f>
        <v>46.9268364003025</v>
      </c>
      <c r="Z16" s="51" t="n">
        <f aca="false">X16+Y16</f>
        <v>649.306836400303</v>
      </c>
      <c r="AA16" s="56" t="n">
        <v>0</v>
      </c>
      <c r="AB16" s="57" t="n">
        <v>83</v>
      </c>
      <c r="AC16" s="57" t="n">
        <v>47</v>
      </c>
      <c r="AD16" s="58" t="n">
        <f aca="false">AD15+1</f>
        <v>7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58" t="n">
        <f aca="false">A16+1</f>
        <v>8</v>
      </c>
      <c r="B17" s="73" t="n">
        <v>6895.18</v>
      </c>
      <c r="C17" s="52" t="n">
        <v>266136</v>
      </c>
      <c r="D17" s="57" t="n">
        <f aca="false">C17-C16</f>
        <v>-1139</v>
      </c>
      <c r="E17" s="52" t="n">
        <f aca="false">C17-152000</f>
        <v>114136</v>
      </c>
      <c r="F17" s="51" t="n">
        <f aca="false">D17/$D$2</f>
        <v>-574.237459037056</v>
      </c>
      <c r="G17" s="51" t="n">
        <v>140.16</v>
      </c>
      <c r="H17" s="53" t="n">
        <v>0</v>
      </c>
      <c r="I17" s="51" t="n">
        <f aca="false">G17+H17</f>
        <v>140.16</v>
      </c>
      <c r="J17" s="81" t="n">
        <f aca="false">IF(L17&gt;0,L17,0)</f>
        <v>0</v>
      </c>
      <c r="K17" s="51" t="n">
        <f aca="false">I17+J17</f>
        <v>140.16</v>
      </c>
      <c r="L17" s="51" t="n">
        <f aca="false">F17-(I17-X17)</f>
        <v>-96.9774590370557</v>
      </c>
      <c r="M17" s="51" t="n">
        <v>193.86</v>
      </c>
      <c r="N17" s="87" t="n">
        <v>0</v>
      </c>
      <c r="O17" s="51" t="n">
        <v>0</v>
      </c>
      <c r="P17" s="6" t="n">
        <f aca="false">M17-(N17+O17)</f>
        <v>193.86</v>
      </c>
      <c r="Q17" s="51" t="n">
        <v>159.68</v>
      </c>
      <c r="R17" s="51" t="n">
        <v>79.46</v>
      </c>
      <c r="S17" s="51" t="n">
        <f aca="false">SUM(P17:R17)</f>
        <v>433</v>
      </c>
      <c r="T17" s="52" t="n">
        <f aca="false">(I17-S17)+T16</f>
        <v>14819.64</v>
      </c>
      <c r="U17" s="51" t="n">
        <v>132</v>
      </c>
      <c r="V17" s="51" t="n">
        <v>52.42</v>
      </c>
      <c r="W17" s="55" t="n">
        <f aca="false">V17-20</f>
        <v>32.42</v>
      </c>
      <c r="X17" s="6" t="n">
        <f aca="false">N17+O17+S17+U17+V17</f>
        <v>617.42</v>
      </c>
      <c r="Y17" s="51" t="n">
        <f aca="false">IF(L17&lt;0,L17*-1,0)</f>
        <v>96.9774590370557</v>
      </c>
      <c r="Z17" s="51" t="n">
        <f aca="false">X17+Y17</f>
        <v>714.397459037056</v>
      </c>
      <c r="AA17" s="56" t="n">
        <v>0</v>
      </c>
      <c r="AB17" s="57" t="n">
        <v>85</v>
      </c>
      <c r="AC17" s="57" t="n">
        <v>50</v>
      </c>
      <c r="AD17" s="58" t="n">
        <f aca="false">AD16+1</f>
        <v>8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58" t="n">
        <f aca="false">A17+1</f>
        <v>9</v>
      </c>
      <c r="B18" s="73" t="n">
        <v>6894.88</v>
      </c>
      <c r="C18" s="52" t="n">
        <v>265072</v>
      </c>
      <c r="D18" s="57" t="n">
        <f aca="false">C18-C17</f>
        <v>-1064</v>
      </c>
      <c r="E18" s="52" t="n">
        <f aca="false">C18-152000</f>
        <v>113072</v>
      </c>
      <c r="F18" s="51" t="n">
        <f aca="false">D18/$D$2</f>
        <v>-536.425510461306</v>
      </c>
      <c r="G18" s="51" t="n">
        <v>140.26</v>
      </c>
      <c r="H18" s="53" t="n">
        <v>0</v>
      </c>
      <c r="I18" s="51" t="n">
        <f aca="false">G18+H18</f>
        <v>140.26</v>
      </c>
      <c r="J18" s="81" t="n">
        <f aca="false">IF(L18&gt;0,L18,0)</f>
        <v>0</v>
      </c>
      <c r="K18" s="51" t="n">
        <f aca="false">I18+J18</f>
        <v>140.26</v>
      </c>
      <c r="L18" s="51" t="n">
        <f aca="false">F18-(I18-X18)</f>
        <v>-50.2455104613057</v>
      </c>
      <c r="M18" s="51" t="n">
        <v>193.12</v>
      </c>
      <c r="N18" s="87" t="n">
        <v>0</v>
      </c>
      <c r="O18" s="51" t="n">
        <v>0</v>
      </c>
      <c r="P18" s="6" t="n">
        <f aca="false">M18-(N18+O18)</f>
        <v>193.12</v>
      </c>
      <c r="Q18" s="51" t="n">
        <v>169.33</v>
      </c>
      <c r="R18" s="51" t="n">
        <v>79.55</v>
      </c>
      <c r="S18" s="51" t="n">
        <f aca="false">SUM(P18:R18)</f>
        <v>442</v>
      </c>
      <c r="T18" s="52" t="n">
        <f aca="false">(I18-S18)+T17</f>
        <v>14517.9</v>
      </c>
      <c r="U18" s="51" t="n">
        <v>132</v>
      </c>
      <c r="V18" s="51" t="n">
        <v>52.44</v>
      </c>
      <c r="W18" s="55" t="n">
        <f aca="false">V18-20</f>
        <v>32.44</v>
      </c>
      <c r="X18" s="6" t="n">
        <f aca="false">N18+O18+S18+U18+V18</f>
        <v>626.44</v>
      </c>
      <c r="Y18" s="51" t="n">
        <f aca="false">IF(L18&lt;0,L18*-1,0)</f>
        <v>50.2455104613057</v>
      </c>
      <c r="Z18" s="51" t="n">
        <f aca="false">X18+Y18</f>
        <v>676.685510461306</v>
      </c>
      <c r="AA18" s="56" t="n">
        <v>0</v>
      </c>
      <c r="AB18" s="82" t="n">
        <v>84</v>
      </c>
      <c r="AC18" s="57" t="n">
        <v>53</v>
      </c>
      <c r="AD18" s="58" t="n">
        <f aca="false">AD17+1</f>
        <v>9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58" t="n">
        <f aca="false">A18+1</f>
        <v>10</v>
      </c>
      <c r="B19" s="73" t="n">
        <v>6894.6</v>
      </c>
      <c r="C19" s="52" t="n">
        <v>264084</v>
      </c>
      <c r="D19" s="57" t="n">
        <f aca="false">C19-C18</f>
        <v>-988</v>
      </c>
      <c r="E19" s="52" t="n">
        <f aca="false">C19-152000</f>
        <v>112084</v>
      </c>
      <c r="F19" s="51" t="n">
        <f aca="false">D19/$D$2</f>
        <v>-498.109402571213</v>
      </c>
      <c r="G19" s="51" t="n">
        <v>138.66</v>
      </c>
      <c r="H19" s="53" t="n">
        <v>0</v>
      </c>
      <c r="I19" s="51" t="n">
        <f aca="false">G19+H19</f>
        <v>138.66</v>
      </c>
      <c r="J19" s="81" t="n">
        <v>0</v>
      </c>
      <c r="K19" s="51" t="n">
        <f aca="false">I19+J19</f>
        <v>138.66</v>
      </c>
      <c r="L19" s="51" t="n">
        <f aca="false">F19-(I19-X19)</f>
        <v>-15.3094025712124</v>
      </c>
      <c r="M19" s="51" t="n">
        <v>192.79</v>
      </c>
      <c r="N19" s="87" t="n">
        <v>0</v>
      </c>
      <c r="O19" s="51" t="n">
        <v>0</v>
      </c>
      <c r="P19" s="6" t="n">
        <f aca="false">M19-(N19+O19)</f>
        <v>192.79</v>
      </c>
      <c r="Q19" s="51" t="n">
        <v>158.87</v>
      </c>
      <c r="R19" s="51" t="n">
        <v>79.34</v>
      </c>
      <c r="S19" s="51" t="n">
        <f aca="false">SUM(P19:R19)</f>
        <v>431</v>
      </c>
      <c r="T19" s="52" t="n">
        <f aca="false">(I19-S19)+T18</f>
        <v>14225.56</v>
      </c>
      <c r="U19" s="51" t="n">
        <v>138</v>
      </c>
      <c r="V19" s="51" t="n">
        <v>52.46</v>
      </c>
      <c r="W19" s="55" t="n">
        <f aca="false">V19-20</f>
        <v>32.46</v>
      </c>
      <c r="X19" s="6" t="n">
        <f aca="false">N19+O19+S19+U19+V19</f>
        <v>621.46</v>
      </c>
      <c r="Y19" s="51" t="n">
        <f aca="false">IF(L19&lt;0,L19*-1,0)</f>
        <v>15.3094025712124</v>
      </c>
      <c r="Z19" s="51" t="n">
        <f aca="false">X19+Y19</f>
        <v>636.769402571213</v>
      </c>
      <c r="AA19" s="56" t="n">
        <v>0</v>
      </c>
      <c r="AB19" s="57" t="n">
        <v>83</v>
      </c>
      <c r="AC19" s="57" t="n">
        <v>56</v>
      </c>
      <c r="AD19" s="58" t="n">
        <f aca="false">AD18+1</f>
        <v>10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58" t="n">
        <v>11</v>
      </c>
      <c r="B20" s="73" t="n">
        <v>6894.32</v>
      </c>
      <c r="C20" s="52" t="n">
        <v>263096</v>
      </c>
      <c r="D20" s="57" t="n">
        <f aca="false">C20-C19</f>
        <v>-988</v>
      </c>
      <c r="E20" s="52" t="n">
        <f aca="false">C20-152000</f>
        <v>111096</v>
      </c>
      <c r="F20" s="51" t="n">
        <f aca="false">D20/$D$2</f>
        <v>-498.109402571213</v>
      </c>
      <c r="G20" s="51" t="n">
        <v>138.26</v>
      </c>
      <c r="H20" s="53" t="n">
        <v>0</v>
      </c>
      <c r="I20" s="51" t="n">
        <f aca="false">G20+H20</f>
        <v>138.26</v>
      </c>
      <c r="J20" s="81" t="n">
        <f aca="false">IF(L20&gt;0,L20,0)</f>
        <v>0</v>
      </c>
      <c r="K20" s="51" t="n">
        <f aca="false">I20+J20</f>
        <v>138.26</v>
      </c>
      <c r="L20" s="51" t="n">
        <f aca="false">F20-(I20-X20)</f>
        <v>-25.8494025712125</v>
      </c>
      <c r="M20" s="51" t="n">
        <v>192.03</v>
      </c>
      <c r="N20" s="87" t="n">
        <v>0</v>
      </c>
      <c r="O20" s="51" t="n">
        <v>0</v>
      </c>
      <c r="P20" s="6" t="n">
        <f aca="false">M20-(N20+O20)</f>
        <v>192.03</v>
      </c>
      <c r="Q20" s="51" t="n">
        <v>158.63</v>
      </c>
      <c r="R20" s="51" t="n">
        <v>79.34</v>
      </c>
      <c r="S20" s="51" t="n">
        <f aca="false">SUM(P20:R20)</f>
        <v>430</v>
      </c>
      <c r="T20" s="52" t="n">
        <f aca="false">(I20-S20)+T19</f>
        <v>13933.82</v>
      </c>
      <c r="U20" s="51" t="n">
        <v>128</v>
      </c>
      <c r="V20" s="51" t="n">
        <v>52.52</v>
      </c>
      <c r="W20" s="55" t="n">
        <f aca="false">V20-20</f>
        <v>32.52</v>
      </c>
      <c r="X20" s="6" t="n">
        <f aca="false">N20+O20+S20+U20+V20</f>
        <v>610.52</v>
      </c>
      <c r="Y20" s="51" t="n">
        <f aca="false">IF(L20&lt;0,L20*-1,0)</f>
        <v>25.8494025712125</v>
      </c>
      <c r="Z20" s="51" t="n">
        <f aca="false">X20+Y20</f>
        <v>636.369402571212</v>
      </c>
      <c r="AA20" s="56" t="n">
        <v>0</v>
      </c>
      <c r="AB20" s="57" t="n">
        <v>82</v>
      </c>
      <c r="AC20" s="57" t="n">
        <v>53</v>
      </c>
      <c r="AD20" s="58" t="n">
        <v>11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58" t="n">
        <v>12</v>
      </c>
      <c r="B21" s="73" t="n">
        <v>6894.03</v>
      </c>
      <c r="C21" s="52" t="n">
        <v>262073</v>
      </c>
      <c r="D21" s="57" t="n">
        <f aca="false">C21-C20</f>
        <v>-1023</v>
      </c>
      <c r="E21" s="52" t="n">
        <f aca="false">C21-152000</f>
        <v>110073</v>
      </c>
      <c r="F21" s="51" t="n">
        <f aca="false">D21/$D$2</f>
        <v>-515.754978573229</v>
      </c>
      <c r="G21" s="51" t="n">
        <v>137.66</v>
      </c>
      <c r="H21" s="53" t="n">
        <v>0</v>
      </c>
      <c r="I21" s="51" t="n">
        <f aca="false">G21+H21</f>
        <v>137.66</v>
      </c>
      <c r="J21" s="81" t="n">
        <f aca="false">IF(L21&gt;0,L21,0)</f>
        <v>0</v>
      </c>
      <c r="K21" s="51" t="n">
        <f aca="false">I21+J21</f>
        <v>137.66</v>
      </c>
      <c r="L21" s="51" t="n">
        <f aca="false">F21-(I21-X21)</f>
        <v>-34.7449785732291</v>
      </c>
      <c r="M21" s="51" t="n">
        <v>191.67</v>
      </c>
      <c r="N21" s="87" t="n">
        <v>0</v>
      </c>
      <c r="O21" s="51" t="n">
        <v>0</v>
      </c>
      <c r="P21" s="6" t="n">
        <f aca="false">M21-(N21+O21)</f>
        <v>191.67</v>
      </c>
      <c r="Q21" s="51" t="n">
        <v>157.89</v>
      </c>
      <c r="R21" s="51" t="n">
        <v>80.44</v>
      </c>
      <c r="S21" s="51" t="n">
        <f aca="false">SUM(P21:R21)</f>
        <v>430</v>
      </c>
      <c r="T21" s="52" t="n">
        <f aca="false">(I21-S21)+T20</f>
        <v>13641.48</v>
      </c>
      <c r="U21" s="51" t="n">
        <v>136</v>
      </c>
      <c r="V21" s="51" t="n">
        <v>52.67</v>
      </c>
      <c r="W21" s="55" t="n">
        <f aca="false">V21-20</f>
        <v>32.67</v>
      </c>
      <c r="X21" s="6" t="n">
        <f aca="false">N21+O21+S21+U21+V21</f>
        <v>618.67</v>
      </c>
      <c r="Y21" s="51" t="n">
        <f aca="false">IF(L21&lt;0,L21*-1,0)</f>
        <v>34.7449785732291</v>
      </c>
      <c r="Z21" s="51" t="n">
        <f aca="false">X21+Y21</f>
        <v>653.414978573229</v>
      </c>
      <c r="AA21" s="56" t="n">
        <v>0.18</v>
      </c>
      <c r="AB21" s="57" t="n">
        <v>84</v>
      </c>
      <c r="AC21" s="57" t="n">
        <v>53</v>
      </c>
      <c r="AD21" s="58" t="n">
        <v>12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58" t="n">
        <v>13</v>
      </c>
      <c r="B22" s="73" t="n">
        <v>6894.02</v>
      </c>
      <c r="C22" s="52" t="n">
        <v>262037</v>
      </c>
      <c r="D22" s="57" t="n">
        <f aca="false">C22-C21</f>
        <v>-36</v>
      </c>
      <c r="E22" s="52" t="n">
        <f aca="false">C22-152000</f>
        <v>110037</v>
      </c>
      <c r="F22" s="51" t="n">
        <f aca="false">D22/$D$2</f>
        <v>-18.14973531636</v>
      </c>
      <c r="G22" s="51" t="n">
        <v>149.02</v>
      </c>
      <c r="H22" s="53" t="n">
        <v>0</v>
      </c>
      <c r="I22" s="51" t="n">
        <f aca="false">G22+H22</f>
        <v>149.02</v>
      </c>
      <c r="J22" s="81" t="n">
        <f aca="false">IF(L22&gt;0,L22,0)</f>
        <v>339.09026468364</v>
      </c>
      <c r="K22" s="51" t="n">
        <f aca="false">I22+J22</f>
        <v>488.11026468364</v>
      </c>
      <c r="L22" s="51" t="n">
        <f aca="false">F22-(I22-X22)</f>
        <v>339.09026468364</v>
      </c>
      <c r="M22" s="51" t="n">
        <v>127.29</v>
      </c>
      <c r="N22" s="87" t="n">
        <v>0</v>
      </c>
      <c r="O22" s="51" t="n">
        <v>0</v>
      </c>
      <c r="P22" s="6" t="n">
        <f aca="false">M22-(N22+O22)</f>
        <v>127.29</v>
      </c>
      <c r="Q22" s="51" t="n">
        <v>158.3</v>
      </c>
      <c r="R22" s="51" t="n">
        <v>62.41</v>
      </c>
      <c r="S22" s="51" t="n">
        <f aca="false">SUM(P22:R22)</f>
        <v>348</v>
      </c>
      <c r="T22" s="52" t="n">
        <f aca="false">(I22-S22)+T21</f>
        <v>13442.5</v>
      </c>
      <c r="U22" s="51" t="n">
        <v>105</v>
      </c>
      <c r="V22" s="51" t="n">
        <v>53.26</v>
      </c>
      <c r="W22" s="55" t="n">
        <f aca="false">V22-20</f>
        <v>33.26</v>
      </c>
      <c r="X22" s="6" t="n">
        <f aca="false">N22+O22+S22+U22+V22</f>
        <v>506.26</v>
      </c>
      <c r="Y22" s="51" t="n">
        <f aca="false">IF(L22&lt;0,L22*-1,0)</f>
        <v>0</v>
      </c>
      <c r="Z22" s="51" t="n">
        <f aca="false">X22+Y22</f>
        <v>506.26</v>
      </c>
      <c r="AA22" s="56" t="n">
        <v>2.31</v>
      </c>
      <c r="AB22" s="57" t="n">
        <v>64</v>
      </c>
      <c r="AC22" s="57" t="n">
        <v>54</v>
      </c>
      <c r="AD22" s="58" t="n">
        <v>13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58" t="n">
        <v>14</v>
      </c>
      <c r="B23" s="73" t="n">
        <v>6893.99</v>
      </c>
      <c r="C23" s="52" t="n">
        <v>261932</v>
      </c>
      <c r="D23" s="57" t="n">
        <f aca="false">C23-C22</f>
        <v>-105</v>
      </c>
      <c r="E23" s="52" t="n">
        <f aca="false">C23-152000</f>
        <v>109932</v>
      </c>
      <c r="F23" s="51" t="n">
        <f aca="false">D23/$D$2</f>
        <v>-52.9367280060499</v>
      </c>
      <c r="G23" s="51" t="n">
        <v>198.83</v>
      </c>
      <c r="H23" s="53" t="n">
        <v>0</v>
      </c>
      <c r="I23" s="51" t="n">
        <f aca="false">G23+H23</f>
        <v>198.83</v>
      </c>
      <c r="J23" s="81" t="n">
        <f aca="false">IF(L23&gt;0,L23,0)</f>
        <v>131.92327199395</v>
      </c>
      <c r="K23" s="51" t="n">
        <f aca="false">I23+J23</f>
        <v>330.75327199395</v>
      </c>
      <c r="L23" s="51" t="n">
        <f aca="false">F23-(I23-X23)</f>
        <v>131.92327199395</v>
      </c>
      <c r="M23" s="51" t="n">
        <v>82.77</v>
      </c>
      <c r="N23" s="87" t="n">
        <v>0</v>
      </c>
      <c r="O23" s="51" t="n">
        <v>0</v>
      </c>
      <c r="P23" s="6" t="n">
        <f aca="false">M23-(N23+O23)</f>
        <v>82.77</v>
      </c>
      <c r="Q23" s="51" t="n">
        <v>159.31</v>
      </c>
      <c r="R23" s="51" t="n">
        <v>48.92</v>
      </c>
      <c r="S23" s="51" t="n">
        <f aca="false">SUM(P23:R23)</f>
        <v>291</v>
      </c>
      <c r="T23" s="52" t="n">
        <f aca="false">(I23-S23)+T22</f>
        <v>13350.33</v>
      </c>
      <c r="U23" s="51" t="n">
        <v>39</v>
      </c>
      <c r="V23" s="51" t="n">
        <v>53.69</v>
      </c>
      <c r="W23" s="55" t="n">
        <f aca="false">V23-20</f>
        <v>33.69</v>
      </c>
      <c r="X23" s="6" t="n">
        <f aca="false">N23+O23+S23+U23+V23</f>
        <v>383.69</v>
      </c>
      <c r="Y23" s="51" t="n">
        <f aca="false">IF(L23&lt;0,L23*-1,0)</f>
        <v>0</v>
      </c>
      <c r="Z23" s="51" t="n">
        <f aca="false">X23+Y23</f>
        <v>383.69</v>
      </c>
      <c r="AA23" s="56" t="n">
        <v>1.19</v>
      </c>
      <c r="AB23" s="57" t="n">
        <v>61</v>
      </c>
      <c r="AC23" s="57" t="n">
        <v>51</v>
      </c>
      <c r="AD23" s="58" t="n">
        <v>14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58" t="n">
        <v>15</v>
      </c>
      <c r="B24" s="73" t="n">
        <v>6893.94</v>
      </c>
      <c r="C24" s="52" t="n">
        <v>261757</v>
      </c>
      <c r="D24" s="57" t="n">
        <f aca="false">C24-C23</f>
        <v>-175</v>
      </c>
      <c r="E24" s="52" t="n">
        <f aca="false">C24-152000</f>
        <v>109757</v>
      </c>
      <c r="F24" s="51" t="n">
        <f aca="false">D24/$D$2</f>
        <v>-88.2278800100832</v>
      </c>
      <c r="G24" s="51" t="n">
        <v>309.79</v>
      </c>
      <c r="H24" s="53" t="n">
        <v>0</v>
      </c>
      <c r="I24" s="51" t="n">
        <f aca="false">G24+H24</f>
        <v>309.79</v>
      </c>
      <c r="J24" s="81" t="n">
        <f aca="false">IF(L24&gt;0,L24,0)</f>
        <v>38.3221199899168</v>
      </c>
      <c r="K24" s="51" t="n">
        <f aca="false">I24+J24</f>
        <v>348.112119989917</v>
      </c>
      <c r="L24" s="51" t="n">
        <f aca="false">F24-(I24-X24)</f>
        <v>38.3221199899168</v>
      </c>
      <c r="M24" s="51" t="n">
        <v>130.07</v>
      </c>
      <c r="N24" s="87" t="n">
        <v>0</v>
      </c>
      <c r="O24" s="51" t="n">
        <v>0</v>
      </c>
      <c r="P24" s="6" t="n">
        <f aca="false">M24-(N24+O24)</f>
        <v>130.07</v>
      </c>
      <c r="Q24" s="51" t="n">
        <v>158.47</v>
      </c>
      <c r="R24" s="51" t="n">
        <v>55.46</v>
      </c>
      <c r="S24" s="51" t="n">
        <f aca="false">SUM(P24:R24)</f>
        <v>344</v>
      </c>
      <c r="T24" s="52" t="n">
        <f aca="false">(I24-S24)+T23</f>
        <v>13316.12</v>
      </c>
      <c r="U24" s="51" t="n">
        <v>39</v>
      </c>
      <c r="V24" s="51" t="n">
        <v>53.34</v>
      </c>
      <c r="W24" s="55" t="n">
        <f aca="false">V24-20</f>
        <v>33.34</v>
      </c>
      <c r="X24" s="6" t="n">
        <f aca="false">N24+O24+S24+U24+V24</f>
        <v>436.34</v>
      </c>
      <c r="Y24" s="51" t="n">
        <f aca="false">IF(L24&lt;0,L24*-1,0)</f>
        <v>0</v>
      </c>
      <c r="Z24" s="51" t="n">
        <f aca="false">X24+Y24</f>
        <v>436.34</v>
      </c>
      <c r="AA24" s="56" t="n">
        <v>0.5</v>
      </c>
      <c r="AB24" s="57" t="n">
        <v>66</v>
      </c>
      <c r="AC24" s="57" t="n">
        <v>52</v>
      </c>
      <c r="AD24" s="58" t="n">
        <v>15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58" t="n">
        <v>16</v>
      </c>
      <c r="B25" s="73" t="n">
        <v>6893.87</v>
      </c>
      <c r="C25" s="52" t="n">
        <v>261512</v>
      </c>
      <c r="D25" s="57" t="n">
        <f aca="false">C25-C24</f>
        <v>-245</v>
      </c>
      <c r="E25" s="52" t="n">
        <f aca="false">C25-152000</f>
        <v>109512</v>
      </c>
      <c r="F25" s="51" t="n">
        <f aca="false">D25/$D$2</f>
        <v>-123.519032014116</v>
      </c>
      <c r="G25" s="51" t="n">
        <v>351.21</v>
      </c>
      <c r="H25" s="53" t="n">
        <v>0</v>
      </c>
      <c r="I25" s="51" t="n">
        <f aca="false">G25+H25</f>
        <v>351.21</v>
      </c>
      <c r="J25" s="81" t="n">
        <f aca="false">IF(L25&gt;0,L25,0)</f>
        <v>0</v>
      </c>
      <c r="K25" s="51" t="n">
        <f aca="false">I25+J25</f>
        <v>351.21</v>
      </c>
      <c r="L25" s="51" t="n">
        <f aca="false">F25-(I25-X25)</f>
        <v>-37.1390320141164</v>
      </c>
      <c r="M25" s="51" t="n">
        <v>130.05</v>
      </c>
      <c r="N25" s="87" t="n">
        <v>0</v>
      </c>
      <c r="O25" s="51" t="n">
        <v>0</v>
      </c>
      <c r="P25" s="6" t="n">
        <f aca="false">M25-(N25+O25)</f>
        <v>130.05</v>
      </c>
      <c r="Q25" s="51" t="n">
        <v>158.76</v>
      </c>
      <c r="R25" s="51" t="n">
        <v>52.19</v>
      </c>
      <c r="S25" s="51" t="n">
        <f aca="false">SUM(P25:R25)</f>
        <v>341</v>
      </c>
      <c r="T25" s="52" t="n">
        <f aca="false">(I25-S25)+T24</f>
        <v>13326.33</v>
      </c>
      <c r="U25" s="51" t="n">
        <v>43</v>
      </c>
      <c r="V25" s="51" t="n">
        <v>53.59</v>
      </c>
      <c r="W25" s="55" t="n">
        <f aca="false">V25-20</f>
        <v>33.59</v>
      </c>
      <c r="X25" s="6" t="n">
        <f aca="false">N25+O25+S25+U25+V25</f>
        <v>437.59</v>
      </c>
      <c r="Y25" s="51" t="n">
        <f aca="false">IF(L25&lt;0,L25*-1,0)</f>
        <v>37.1390320141164</v>
      </c>
      <c r="Z25" s="51" t="n">
        <f aca="false">X25+Y25</f>
        <v>474.729032014117</v>
      </c>
      <c r="AA25" s="56" t="n">
        <v>0.55</v>
      </c>
      <c r="AB25" s="57" t="n">
        <v>69</v>
      </c>
      <c r="AC25" s="57" t="n">
        <v>52</v>
      </c>
      <c r="AD25" s="58" t="n">
        <v>16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58" t="n">
        <v>17</v>
      </c>
      <c r="B26" s="73" t="n">
        <v>6893.8</v>
      </c>
      <c r="C26" s="52" t="n">
        <v>261267</v>
      </c>
      <c r="D26" s="57" t="n">
        <f aca="false">C26-C25</f>
        <v>-245</v>
      </c>
      <c r="E26" s="52" t="n">
        <f aca="false">C26-152000</f>
        <v>109267</v>
      </c>
      <c r="F26" s="51" t="n">
        <f aca="false">D26/$D$2</f>
        <v>-123.519032014116</v>
      </c>
      <c r="G26" s="51" t="n">
        <v>351.76</v>
      </c>
      <c r="H26" s="53" t="n">
        <v>0</v>
      </c>
      <c r="I26" s="51" t="n">
        <f aca="false">G26+H26</f>
        <v>351.76</v>
      </c>
      <c r="J26" s="81" t="n">
        <f aca="false">IF(L26&gt;0,L26,0)</f>
        <v>0</v>
      </c>
      <c r="K26" s="51" t="n">
        <f aca="false">I26+J26</f>
        <v>351.76</v>
      </c>
      <c r="L26" s="51" t="n">
        <f aca="false">F26-(I26-X26)</f>
        <v>-53.0790320141165</v>
      </c>
      <c r="M26" s="51" t="n">
        <v>110.55</v>
      </c>
      <c r="N26" s="87" t="n">
        <v>0</v>
      </c>
      <c r="O26" s="51" t="n">
        <v>0</v>
      </c>
      <c r="P26" s="6" t="n">
        <f aca="false">M26-(N26+O26)</f>
        <v>110.55</v>
      </c>
      <c r="Q26" s="51" t="n">
        <v>157.93</v>
      </c>
      <c r="R26" s="51" t="n">
        <v>58.52</v>
      </c>
      <c r="S26" s="51" t="n">
        <f aca="false">SUM(P26:R26)</f>
        <v>327</v>
      </c>
      <c r="T26" s="52" t="n">
        <f aca="false">(I26-S26)+T25</f>
        <v>13351.09</v>
      </c>
      <c r="U26" s="51" t="n">
        <v>42</v>
      </c>
      <c r="V26" s="51" t="n">
        <v>53.2</v>
      </c>
      <c r="W26" s="55" t="n">
        <f aca="false">V26-20</f>
        <v>33.2</v>
      </c>
      <c r="X26" s="6" t="n">
        <f aca="false">N26+O26+S26+U26+V26</f>
        <v>422.2</v>
      </c>
      <c r="Y26" s="51" t="n">
        <f aca="false">IF(L26&lt;0,L26*-1,0)</f>
        <v>53.0790320141165</v>
      </c>
      <c r="Z26" s="51" t="n">
        <f aca="false">X26+Y26</f>
        <v>475.279032014116</v>
      </c>
      <c r="AA26" s="56" t="n">
        <v>0</v>
      </c>
      <c r="AB26" s="57" t="n">
        <v>76</v>
      </c>
      <c r="AC26" s="57" t="n">
        <v>51</v>
      </c>
      <c r="AD26" s="58" t="n">
        <v>17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58" t="n">
        <v>18</v>
      </c>
      <c r="B27" s="73" t="n">
        <v>6893.73</v>
      </c>
      <c r="C27" s="52" t="n">
        <v>261022</v>
      </c>
      <c r="D27" s="57" t="n">
        <f aca="false">C27-C26</f>
        <v>-245</v>
      </c>
      <c r="E27" s="52" t="n">
        <f aca="false">C27-152000</f>
        <v>109022</v>
      </c>
      <c r="F27" s="51" t="n">
        <f aca="false">D27/$D$2</f>
        <v>-123.519032014116</v>
      </c>
      <c r="G27" s="51" t="n">
        <v>312.67</v>
      </c>
      <c r="H27" s="53" t="n">
        <v>0</v>
      </c>
      <c r="I27" s="51" t="n">
        <f aca="false">G27+H27</f>
        <v>312.67</v>
      </c>
      <c r="J27" s="81" t="n">
        <f aca="false">IF(L27&gt;0,L27,0)</f>
        <v>0</v>
      </c>
      <c r="K27" s="51" t="n">
        <f aca="false">I27+J27</f>
        <v>312.67</v>
      </c>
      <c r="L27" s="51" t="n">
        <f aca="false">F27-(I27-X27)</f>
        <v>-1.43903201411648</v>
      </c>
      <c r="M27" s="51" t="n">
        <v>99.03</v>
      </c>
      <c r="N27" s="87" t="n">
        <v>0</v>
      </c>
      <c r="O27" s="51" t="n">
        <v>0</v>
      </c>
      <c r="P27" s="6" t="n">
        <f aca="false">M27-(N27+O27)</f>
        <v>99.03</v>
      </c>
      <c r="Q27" s="51" t="n">
        <v>157.7</v>
      </c>
      <c r="R27" s="51" t="n">
        <v>59.27</v>
      </c>
      <c r="S27" s="51" t="n">
        <f aca="false">SUM(P27:R27)</f>
        <v>316</v>
      </c>
      <c r="T27" s="52" t="n">
        <f aca="false">(I27-S27)+T26</f>
        <v>13347.76</v>
      </c>
      <c r="U27" s="51" t="n">
        <v>65</v>
      </c>
      <c r="V27" s="51" t="n">
        <v>53.75</v>
      </c>
      <c r="W27" s="55" t="n">
        <f aca="false">V27-20</f>
        <v>33.75</v>
      </c>
      <c r="X27" s="6" t="n">
        <f aca="false">N27+O27+S27+U27+V27</f>
        <v>434.75</v>
      </c>
      <c r="Y27" s="51" t="n">
        <f aca="false">IF(L27&lt;0,L27*-1,0)</f>
        <v>1.43903201411648</v>
      </c>
      <c r="Z27" s="51" t="n">
        <f aca="false">X27+Y27</f>
        <v>436.189032014117</v>
      </c>
      <c r="AA27" s="56" t="n">
        <v>0</v>
      </c>
      <c r="AB27" s="57" t="n">
        <v>77</v>
      </c>
      <c r="AC27" s="57" t="n">
        <v>50</v>
      </c>
      <c r="AD27" s="58" t="n">
        <v>18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58" t="n">
        <v>19</v>
      </c>
      <c r="B28" s="73" t="n">
        <v>6893.65</v>
      </c>
      <c r="C28" s="52" t="n">
        <v>260743</v>
      </c>
      <c r="D28" s="57" t="n">
        <f aca="false">C28-C27</f>
        <v>-279</v>
      </c>
      <c r="E28" s="52" t="n">
        <f aca="false">C28-152000</f>
        <v>108743</v>
      </c>
      <c r="F28" s="51" t="n">
        <f aca="false">D28/$D$2</f>
        <v>-140.66044870179</v>
      </c>
      <c r="G28" s="51" t="n">
        <v>257.51</v>
      </c>
      <c r="H28" s="53" t="n">
        <v>0</v>
      </c>
      <c r="I28" s="51" t="n">
        <f aca="false">G28+H28</f>
        <v>257.51</v>
      </c>
      <c r="J28" s="81" t="n">
        <f aca="false">IF(L28&gt;0,L28,0)</f>
        <v>47.7095512982102</v>
      </c>
      <c r="K28" s="51" t="n">
        <f aca="false">I28+J28</f>
        <v>305.21955129821</v>
      </c>
      <c r="L28" s="51" t="n">
        <f aca="false">F28-(I28-X28)</f>
        <v>47.7095512982102</v>
      </c>
      <c r="M28" s="51" t="n">
        <v>99.01</v>
      </c>
      <c r="N28" s="87" t="n">
        <v>0</v>
      </c>
      <c r="O28" s="51" t="n">
        <v>0</v>
      </c>
      <c r="P28" s="6" t="n">
        <f aca="false">M28-(N28+O28)</f>
        <v>99.01</v>
      </c>
      <c r="Q28" s="51" t="n">
        <v>157.27</v>
      </c>
      <c r="R28" s="101" t="n">
        <v>60.72</v>
      </c>
      <c r="S28" s="51" t="n">
        <f aca="false">SUM(P28:R28)</f>
        <v>317</v>
      </c>
      <c r="T28" s="52" t="n">
        <f aca="false">(I28-S28)+T27</f>
        <v>13288.27</v>
      </c>
      <c r="U28" s="51" t="n">
        <v>75</v>
      </c>
      <c r="V28" s="51" t="n">
        <v>53.88</v>
      </c>
      <c r="W28" s="55" t="n">
        <f aca="false">V28-20</f>
        <v>33.88</v>
      </c>
      <c r="X28" s="6" t="n">
        <f aca="false">N28+O28+S28+U28+V28</f>
        <v>445.88</v>
      </c>
      <c r="Y28" s="51" t="n">
        <f aca="false">IF(L28&lt;0,L28*-1,0)</f>
        <v>0</v>
      </c>
      <c r="Z28" s="51" t="n">
        <f aca="false">X28+Y28</f>
        <v>445.88</v>
      </c>
      <c r="AA28" s="56" t="n">
        <v>0.02</v>
      </c>
      <c r="AB28" s="57" t="n">
        <v>76</v>
      </c>
      <c r="AC28" s="57" t="n">
        <v>48</v>
      </c>
      <c r="AD28" s="58" t="n">
        <v>19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58" t="n">
        <v>20</v>
      </c>
      <c r="B29" s="73" t="n">
        <v>6893.52</v>
      </c>
      <c r="C29" s="52" t="n">
        <v>260288</v>
      </c>
      <c r="D29" s="57" t="n">
        <f aca="false">C29-C28</f>
        <v>-455</v>
      </c>
      <c r="E29" s="52" t="n">
        <f aca="false">C29-152000</f>
        <v>108288</v>
      </c>
      <c r="F29" s="51" t="n">
        <f aca="false">D29/$D$2</f>
        <v>-229.392488026216</v>
      </c>
      <c r="G29" s="51" t="n">
        <v>228.81</v>
      </c>
      <c r="H29" s="53" t="n">
        <v>0</v>
      </c>
      <c r="I29" s="51" t="n">
        <f aca="false">G29+H29</f>
        <v>228.81</v>
      </c>
      <c r="J29" s="81" t="n">
        <f aca="false">IF(L29&gt;0,L29,0)</f>
        <v>11.8875119737837</v>
      </c>
      <c r="K29" s="51" t="n">
        <f aca="false">I29+J29</f>
        <v>240.697511973784</v>
      </c>
      <c r="L29" s="51" t="n">
        <f aca="false">F29-(I29-X29)</f>
        <v>11.8875119737837</v>
      </c>
      <c r="M29" s="51" t="n">
        <v>98.97</v>
      </c>
      <c r="N29" s="87" t="n">
        <v>0</v>
      </c>
      <c r="O29" s="51" t="n">
        <v>0</v>
      </c>
      <c r="P29" s="6" t="n">
        <f aca="false">M29-(N29+O29)</f>
        <v>98.97</v>
      </c>
      <c r="Q29" s="51" t="n">
        <v>156.73</v>
      </c>
      <c r="R29" s="101" t="n">
        <v>58.3</v>
      </c>
      <c r="S29" s="51" t="n">
        <f aca="false">SUM(P29:R29)</f>
        <v>314</v>
      </c>
      <c r="T29" s="52" t="n">
        <f aca="false">(I29-S29)+T28</f>
        <v>13203.08</v>
      </c>
      <c r="U29" s="51" t="n">
        <v>102</v>
      </c>
      <c r="V29" s="51" t="n">
        <v>54.09</v>
      </c>
      <c r="W29" s="55" t="n">
        <f aca="false">V29-20</f>
        <v>34.09</v>
      </c>
      <c r="X29" s="6" t="n">
        <f aca="false">N29+O29+S29+U29+V29</f>
        <v>470.09</v>
      </c>
      <c r="Y29" s="51" t="n">
        <f aca="false">IF(L29&lt;0,L29*-1,0)</f>
        <v>0</v>
      </c>
      <c r="Z29" s="51" t="n">
        <f aca="false">X29+Y29</f>
        <v>470.09</v>
      </c>
      <c r="AA29" s="56" t="n">
        <v>0.02</v>
      </c>
      <c r="AB29" s="57" t="n">
        <v>76</v>
      </c>
      <c r="AC29" s="57" t="n">
        <v>53</v>
      </c>
      <c r="AD29" s="58" t="n">
        <v>20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58" t="n">
        <v>21</v>
      </c>
      <c r="B30" s="73" t="n">
        <v>6893.34</v>
      </c>
      <c r="C30" s="52" t="n">
        <v>259658</v>
      </c>
      <c r="D30" s="57" t="n">
        <f aca="false">C30-C29</f>
        <v>-630</v>
      </c>
      <c r="E30" s="52" t="n">
        <f aca="false">C30-152000</f>
        <v>107658</v>
      </c>
      <c r="F30" s="51" t="n">
        <f aca="false">D30/$D$2</f>
        <v>-317.620368036299</v>
      </c>
      <c r="G30" s="51" t="n">
        <v>248.07</v>
      </c>
      <c r="H30" s="53" t="n">
        <v>0</v>
      </c>
      <c r="I30" s="51" t="n">
        <f aca="false">G30+H30</f>
        <v>248.07</v>
      </c>
      <c r="J30" s="81" t="n">
        <f aca="false">IF(L30&gt;0,L30,0)</f>
        <v>0</v>
      </c>
      <c r="K30" s="51" t="n">
        <f aca="false">I30+J30</f>
        <v>248.07</v>
      </c>
      <c r="L30" s="51" t="n">
        <f aca="false">F30-(I30-X30)</f>
        <v>-53.8703680362995</v>
      </c>
      <c r="M30" s="51" t="n">
        <v>116.53</v>
      </c>
      <c r="N30" s="87" t="n">
        <v>0</v>
      </c>
      <c r="O30" s="51" t="n">
        <v>0</v>
      </c>
      <c r="P30" s="6" t="n">
        <f aca="false">M30-(N30+O30)</f>
        <v>116.53</v>
      </c>
      <c r="Q30" s="51" t="n">
        <v>156.22</v>
      </c>
      <c r="R30" s="101" t="n">
        <v>68.25</v>
      </c>
      <c r="S30" s="51" t="n">
        <f aca="false">SUM(P30:R30)</f>
        <v>341</v>
      </c>
      <c r="T30" s="52" t="n">
        <f aca="false">(I30-S30)+T29</f>
        <v>13110.15</v>
      </c>
      <c r="U30" s="51" t="n">
        <v>117</v>
      </c>
      <c r="V30" s="51" t="n">
        <v>53.82</v>
      </c>
      <c r="W30" s="55" t="n">
        <f aca="false">V30-20</f>
        <v>33.82</v>
      </c>
      <c r="X30" s="6" t="n">
        <f aca="false">N30+O30+S30+U30+V30</f>
        <v>511.82</v>
      </c>
      <c r="Y30" s="51" t="n">
        <f aca="false">IF(L30&lt;0,L30*-1,0)</f>
        <v>53.8703680362995</v>
      </c>
      <c r="Z30" s="51" t="n">
        <f aca="false">X30+Y30</f>
        <v>565.690368036299</v>
      </c>
      <c r="AA30" s="56" t="n">
        <v>0</v>
      </c>
      <c r="AB30" s="57" t="n">
        <v>75</v>
      </c>
      <c r="AC30" s="57" t="n">
        <v>52</v>
      </c>
      <c r="AD30" s="58" t="n">
        <v>21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58" t="n">
        <v>22</v>
      </c>
      <c r="B31" s="73" t="n">
        <v>6893.14</v>
      </c>
      <c r="C31" s="52" t="n">
        <v>258959</v>
      </c>
      <c r="D31" s="57" t="n">
        <f aca="false">C31-C30</f>
        <v>-699</v>
      </c>
      <c r="E31" s="52" t="n">
        <f aca="false">C31-152000</f>
        <v>106959</v>
      </c>
      <c r="F31" s="51" t="n">
        <f aca="false">D31/$D$2</f>
        <v>-352.407360725989</v>
      </c>
      <c r="G31" s="51" t="n">
        <v>227.71</v>
      </c>
      <c r="H31" s="53" t="n">
        <v>0</v>
      </c>
      <c r="I31" s="51" t="n">
        <f aca="false">G31+H31</f>
        <v>227.71</v>
      </c>
      <c r="J31" s="81" t="n">
        <f aca="false">IF(L31&gt;0,L31,0)</f>
        <v>0</v>
      </c>
      <c r="K31" s="51" t="n">
        <f aca="false">I31+J31</f>
        <v>227.71</v>
      </c>
      <c r="L31" s="51" t="n">
        <f aca="false">F31-(I31-X31)</f>
        <v>-72.3773607259894</v>
      </c>
      <c r="M31" s="51" t="n">
        <v>126.71</v>
      </c>
      <c r="N31" s="87" t="n">
        <v>0</v>
      </c>
      <c r="O31" s="51" t="n">
        <v>0</v>
      </c>
      <c r="P31" s="6" t="n">
        <f aca="false">M31-(N31+O31)</f>
        <v>126.71</v>
      </c>
      <c r="Q31" s="51" t="n">
        <v>156.38</v>
      </c>
      <c r="R31" s="51" t="n">
        <v>67.91</v>
      </c>
      <c r="S31" s="51" t="n">
        <f aca="false">SUM(P31:R31)</f>
        <v>351</v>
      </c>
      <c r="T31" s="52" t="n">
        <f aca="false">(I31-S31)+T30</f>
        <v>12986.86</v>
      </c>
      <c r="U31" s="51" t="n">
        <v>103</v>
      </c>
      <c r="V31" s="51" t="n">
        <v>53.74</v>
      </c>
      <c r="W31" s="55" t="n">
        <f aca="false">V31-20</f>
        <v>33.74</v>
      </c>
      <c r="X31" s="6" t="n">
        <f aca="false">N31+O31+S31+U31+V31</f>
        <v>507.74</v>
      </c>
      <c r="Y31" s="51" t="n">
        <f aca="false">IF(L31&lt;0,L31*-1,0)</f>
        <v>72.3773607259894</v>
      </c>
      <c r="Z31" s="51" t="n">
        <f aca="false">X31+Y31</f>
        <v>580.117360725989</v>
      </c>
      <c r="AA31" s="56" t="n">
        <v>0</v>
      </c>
      <c r="AB31" s="57" t="n">
        <v>77</v>
      </c>
      <c r="AC31" s="57" t="n">
        <v>50</v>
      </c>
      <c r="AD31" s="58" t="n">
        <v>22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58" t="n">
        <v>23</v>
      </c>
      <c r="B32" s="73" t="n">
        <v>6892.95</v>
      </c>
      <c r="C32" s="52" t="n">
        <v>258296</v>
      </c>
      <c r="D32" s="57" t="n">
        <f aca="false">C32-C31</f>
        <v>-663</v>
      </c>
      <c r="E32" s="52" t="n">
        <f aca="false">C32-152000</f>
        <v>106296</v>
      </c>
      <c r="F32" s="51" t="n">
        <f aca="false">D32/$D$2</f>
        <v>-334.257625409629</v>
      </c>
      <c r="G32" s="51" t="n">
        <v>212.74</v>
      </c>
      <c r="H32" s="53" t="n">
        <v>0</v>
      </c>
      <c r="I32" s="51" t="n">
        <f aca="false">G32+H32</f>
        <v>212.74</v>
      </c>
      <c r="J32" s="81" t="n">
        <f aca="false">IF(L32&gt;0,L32,0)</f>
        <v>0</v>
      </c>
      <c r="K32" s="51" t="n">
        <f aca="false">I32+J32</f>
        <v>212.74</v>
      </c>
      <c r="L32" s="51" t="n">
        <f aca="false">F32-(I32-X32)</f>
        <v>-19.4376254096295</v>
      </c>
      <c r="M32" s="51" t="n">
        <v>126.6</v>
      </c>
      <c r="N32" s="87" t="n">
        <v>0</v>
      </c>
      <c r="O32" s="51" t="n">
        <v>0</v>
      </c>
      <c r="P32" s="6" t="n">
        <f aca="false">M32-(N32+O32)</f>
        <v>126.6</v>
      </c>
      <c r="Q32" s="51" t="n">
        <v>155.15</v>
      </c>
      <c r="R32" s="51" t="n">
        <v>70.25</v>
      </c>
      <c r="S32" s="51" t="n">
        <f aca="false">SUM(P32:R32)</f>
        <v>352</v>
      </c>
      <c r="T32" s="52" t="n">
        <f aca="false">(I32-S32)+T31</f>
        <v>12847.6</v>
      </c>
      <c r="U32" s="51" t="n">
        <v>122</v>
      </c>
      <c r="V32" s="51" t="n">
        <v>53.56</v>
      </c>
      <c r="W32" s="55" t="n">
        <f aca="false">V32-20</f>
        <v>33.56</v>
      </c>
      <c r="X32" s="6" t="n">
        <f aca="false">N32+O32+S32+U32+V32</f>
        <v>527.56</v>
      </c>
      <c r="Y32" s="51" t="n">
        <f aca="false">IF(L32&lt;0,L32*-1,0)</f>
        <v>19.4376254096295</v>
      </c>
      <c r="Z32" s="51" t="n">
        <f aca="false">X32+Y32</f>
        <v>546.997625409629</v>
      </c>
      <c r="AA32" s="56" t="n">
        <v>0</v>
      </c>
      <c r="AB32" s="57" t="n">
        <v>77</v>
      </c>
      <c r="AC32" s="57" t="n">
        <v>50</v>
      </c>
      <c r="AD32" s="58" t="n">
        <v>23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58" t="n">
        <v>24</v>
      </c>
      <c r="B33" s="73" t="n">
        <v>6892.74</v>
      </c>
      <c r="C33" s="52" t="n">
        <v>257568</v>
      </c>
      <c r="D33" s="57" t="n">
        <f aca="false">C33-C32</f>
        <v>-728</v>
      </c>
      <c r="E33" s="52" t="n">
        <f aca="false">C33-152000</f>
        <v>105568</v>
      </c>
      <c r="F33" s="51" t="n">
        <f aca="false">D33/$D$2</f>
        <v>-367.027980841946</v>
      </c>
      <c r="G33" s="51" t="n">
        <v>198.94</v>
      </c>
      <c r="H33" s="53" t="n">
        <v>0</v>
      </c>
      <c r="I33" s="51" t="n">
        <f aca="false">G33+H33</f>
        <v>198.94</v>
      </c>
      <c r="J33" s="81" t="n">
        <f aca="false">IF(L33&gt;0,L33,0)</f>
        <v>0</v>
      </c>
      <c r="K33" s="51" t="n">
        <f aca="false">I33+J33</f>
        <v>198.94</v>
      </c>
      <c r="L33" s="51" t="n">
        <f aca="false">F33-(I33-X33)</f>
        <v>-41.737980841946</v>
      </c>
      <c r="M33" s="51" t="n">
        <v>126.59</v>
      </c>
      <c r="N33" s="87" t="n">
        <v>0</v>
      </c>
      <c r="O33" s="51" t="n">
        <v>0</v>
      </c>
      <c r="P33" s="6" t="n">
        <f aca="false">M33-(N33+O33)</f>
        <v>126.59</v>
      </c>
      <c r="Q33" s="51" t="n">
        <v>154.62</v>
      </c>
      <c r="R33" s="51" t="n">
        <v>68.79</v>
      </c>
      <c r="S33" s="51" t="n">
        <f aca="false">SUM(P33:R33)</f>
        <v>350</v>
      </c>
      <c r="T33" s="52" t="n">
        <f aca="false">(I33-S33)+T32</f>
        <v>12696.54</v>
      </c>
      <c r="U33" s="51" t="n">
        <v>122</v>
      </c>
      <c r="V33" s="51" t="n">
        <v>52.23</v>
      </c>
      <c r="W33" s="55" t="n">
        <f aca="false">V33-20</f>
        <v>32.23</v>
      </c>
      <c r="X33" s="6" t="n">
        <f aca="false">N33+O33+S33+U33+V33</f>
        <v>524.23</v>
      </c>
      <c r="Y33" s="51" t="n">
        <f aca="false">IF(L33&lt;0,L33*-1,0)</f>
        <v>41.737980841946</v>
      </c>
      <c r="Z33" s="51" t="n">
        <f aca="false">X33+Y33</f>
        <v>565.967980841946</v>
      </c>
      <c r="AA33" s="56" t="n">
        <v>0</v>
      </c>
      <c r="AB33" s="57" t="n">
        <v>78</v>
      </c>
      <c r="AC33" s="57" t="n">
        <v>50</v>
      </c>
      <c r="AD33" s="58" t="n">
        <v>24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58" t="n">
        <v>25</v>
      </c>
      <c r="B34" s="73" t="n">
        <v>6892.53</v>
      </c>
      <c r="C34" s="52" t="n">
        <v>256840</v>
      </c>
      <c r="D34" s="57" t="n">
        <f aca="false">C34-C33</f>
        <v>-728</v>
      </c>
      <c r="E34" s="52" t="n">
        <f aca="false">C34-152000</f>
        <v>104840</v>
      </c>
      <c r="F34" s="51" t="n">
        <f aca="false">D34/$D$2</f>
        <v>-367.027980841946</v>
      </c>
      <c r="G34" s="51" t="n">
        <v>185.48</v>
      </c>
      <c r="H34" s="53" t="n">
        <v>0</v>
      </c>
      <c r="I34" s="51" t="n">
        <f aca="false">G34+H34</f>
        <v>185.48</v>
      </c>
      <c r="J34" s="81" t="n">
        <f aca="false">IF(L34&gt;0,L34,0)</f>
        <v>0</v>
      </c>
      <c r="K34" s="51" t="n">
        <f aca="false">I34+J34</f>
        <v>185.48</v>
      </c>
      <c r="L34" s="51" t="n">
        <f aca="false">F34-(I34-X34)</f>
        <v>-19.0079808419461</v>
      </c>
      <c r="M34" s="51" t="n">
        <v>126.3</v>
      </c>
      <c r="N34" s="87" t="n">
        <v>0</v>
      </c>
      <c r="O34" s="51" t="n">
        <v>0</v>
      </c>
      <c r="P34" s="6" t="n">
        <f aca="false">M34-(N34+O34)</f>
        <v>126.3</v>
      </c>
      <c r="Q34" s="51" t="n">
        <v>154.12</v>
      </c>
      <c r="R34" s="51" t="n">
        <v>68.58</v>
      </c>
      <c r="S34" s="51" t="n">
        <f aca="false">SUM(P34:R34)</f>
        <v>349</v>
      </c>
      <c r="T34" s="52" t="n">
        <f aca="false">(I34-S34)+T33</f>
        <v>12533.02</v>
      </c>
      <c r="U34" s="51" t="n">
        <v>133</v>
      </c>
      <c r="V34" s="51" t="n">
        <v>51.5</v>
      </c>
      <c r="W34" s="55" t="n">
        <f aca="false">V34-20</f>
        <v>31.5</v>
      </c>
      <c r="X34" s="6" t="n">
        <f aca="false">N34+O34+S34+U34+V34</f>
        <v>533.5</v>
      </c>
      <c r="Y34" s="51" t="n">
        <f aca="false">IF(L34&lt;0,L34*-1,0)</f>
        <v>19.0079808419461</v>
      </c>
      <c r="Z34" s="51" t="n">
        <f aca="false">X34+Y34</f>
        <v>552.507980841946</v>
      </c>
      <c r="AA34" s="56" t="n">
        <v>0</v>
      </c>
      <c r="AB34" s="57" t="n">
        <v>77</v>
      </c>
      <c r="AC34" s="57" t="n">
        <v>49</v>
      </c>
      <c r="AD34" s="58" t="n">
        <v>25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58" t="n">
        <v>26</v>
      </c>
      <c r="B35" s="73" t="n">
        <v>6892.31</v>
      </c>
      <c r="C35" s="52" t="n">
        <v>256077</v>
      </c>
      <c r="D35" s="57" t="n">
        <f aca="false">C35-C34</f>
        <v>-763</v>
      </c>
      <c r="E35" s="52" t="n">
        <f aca="false">C35-152000</f>
        <v>104077</v>
      </c>
      <c r="F35" s="51" t="n">
        <f aca="false">D35/$D$2</f>
        <v>-384.673556843963</v>
      </c>
      <c r="G35" s="51" t="n">
        <v>174.79</v>
      </c>
      <c r="H35" s="53" t="n">
        <v>0</v>
      </c>
      <c r="I35" s="51" t="n">
        <f aca="false">G35+H35</f>
        <v>174.79</v>
      </c>
      <c r="J35" s="81" t="n">
        <f aca="false">IF(L35&gt;0,L35,0)</f>
        <v>0</v>
      </c>
      <c r="K35" s="51" t="n">
        <f aca="false">I35+J35</f>
        <v>174.79</v>
      </c>
      <c r="L35" s="51" t="n">
        <f aca="false">F35-(I35-X35)</f>
        <v>-48.9635568439626</v>
      </c>
      <c r="M35" s="51" t="n">
        <v>125.65</v>
      </c>
      <c r="N35" s="87" t="n">
        <v>0</v>
      </c>
      <c r="O35" s="51" t="n">
        <v>0</v>
      </c>
      <c r="P35" s="6" t="n">
        <f aca="false">M35-(N35+O35)</f>
        <v>125.65</v>
      </c>
      <c r="Q35" s="51" t="n">
        <v>154.1</v>
      </c>
      <c r="R35" s="51" t="n">
        <v>70.25</v>
      </c>
      <c r="S35" s="51" t="n">
        <f aca="false">SUM(P35:R35)</f>
        <v>350</v>
      </c>
      <c r="T35" s="52" t="n">
        <f aca="false">(I35-S35)+T34</f>
        <v>12357.81</v>
      </c>
      <c r="U35" s="51" t="n">
        <v>109</v>
      </c>
      <c r="V35" s="51" t="n">
        <v>51.5</v>
      </c>
      <c r="W35" s="55" t="n">
        <f aca="false">V35-20</f>
        <v>31.5</v>
      </c>
      <c r="X35" s="6" t="n">
        <f aca="false">N35+O35+S35+U35+V35</f>
        <v>510.5</v>
      </c>
      <c r="Y35" s="51" t="n">
        <f aca="false">IF(L35&lt;0,L35*-1,0)</f>
        <v>48.9635568439626</v>
      </c>
      <c r="Z35" s="51" t="n">
        <f aca="false">X35+Y35</f>
        <v>559.463556843963</v>
      </c>
      <c r="AA35" s="56" t="n">
        <v>0</v>
      </c>
      <c r="AB35" s="57" t="n">
        <v>81</v>
      </c>
      <c r="AC35" s="57" t="n">
        <v>48</v>
      </c>
      <c r="AD35" s="58" t="n">
        <v>26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58" t="n">
        <v>27</v>
      </c>
      <c r="B36" s="73" t="n">
        <v>6892.03</v>
      </c>
      <c r="C36" s="52" t="n">
        <v>255107</v>
      </c>
      <c r="D36" s="57" t="n">
        <f aca="false">C36-C35</f>
        <v>-970</v>
      </c>
      <c r="E36" s="52" t="n">
        <f aca="false">C36-152000</f>
        <v>103107</v>
      </c>
      <c r="F36" s="51" t="n">
        <f aca="false">D36/$D$2</f>
        <v>-489.034534913033</v>
      </c>
      <c r="G36" s="51" t="n">
        <v>168.06</v>
      </c>
      <c r="H36" s="53" t="n">
        <v>0</v>
      </c>
      <c r="I36" s="51" t="n">
        <f aca="false">G36+H36</f>
        <v>168.06</v>
      </c>
      <c r="J36" s="81" t="n">
        <f aca="false">IF(L36&gt;0,L36,0)</f>
        <v>0</v>
      </c>
      <c r="K36" s="51" t="n">
        <f aca="false">I36+J36</f>
        <v>168.06</v>
      </c>
      <c r="L36" s="51" t="n">
        <f aca="false">F36-(I36-X36)</f>
        <v>-117.594534913033</v>
      </c>
      <c r="M36" s="51" t="n">
        <v>136.35</v>
      </c>
      <c r="N36" s="87" t="n">
        <v>0</v>
      </c>
      <c r="O36" s="51" t="n">
        <v>0</v>
      </c>
      <c r="P36" s="6" t="n">
        <f aca="false">M36-(N36+O36)</f>
        <v>136.35</v>
      </c>
      <c r="Q36" s="51" t="n">
        <v>153.87</v>
      </c>
      <c r="R36" s="51" t="n">
        <v>68.78</v>
      </c>
      <c r="S36" s="51" t="n">
        <f aca="false">SUM(P36:R36)</f>
        <v>359</v>
      </c>
      <c r="T36" s="52" t="n">
        <f aca="false">(I36-S36)+T35</f>
        <v>12166.87</v>
      </c>
      <c r="U36" s="51" t="n">
        <v>129</v>
      </c>
      <c r="V36" s="51" t="n">
        <v>51.5</v>
      </c>
      <c r="W36" s="55" t="n">
        <f aca="false">V36-20</f>
        <v>31.5</v>
      </c>
      <c r="X36" s="6" t="n">
        <f aca="false">N36+O36+S36+U36+V36</f>
        <v>539.5</v>
      </c>
      <c r="Y36" s="51" t="n">
        <f aca="false">IF(L36&lt;0,L36*-1,0)</f>
        <v>117.594534913033</v>
      </c>
      <c r="Z36" s="51" t="n">
        <f aca="false">X36+Y36</f>
        <v>657.094534913033</v>
      </c>
      <c r="AA36" s="56" t="n">
        <v>0</v>
      </c>
      <c r="AB36" s="57" t="n">
        <v>81</v>
      </c>
      <c r="AC36" s="57" t="n">
        <v>49</v>
      </c>
      <c r="AD36" s="58" t="n">
        <v>27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39" t="n">
        <v>28</v>
      </c>
      <c r="B37" s="110" t="n">
        <v>6891.77</v>
      </c>
      <c r="C37" s="111" t="n">
        <v>254213</v>
      </c>
      <c r="D37" s="134" t="n">
        <f aca="false">C37-C36</f>
        <v>-894</v>
      </c>
      <c r="E37" s="111" t="n">
        <f aca="false">C37-152000</f>
        <v>102213</v>
      </c>
      <c r="F37" s="101" t="n">
        <f aca="false">D37/$D$2</f>
        <v>-450.718427022939</v>
      </c>
      <c r="G37" s="101" t="n">
        <v>162.55</v>
      </c>
      <c r="H37" s="140" t="n">
        <v>0</v>
      </c>
      <c r="I37" s="101" t="n">
        <f aca="false">G37+H37</f>
        <v>162.55</v>
      </c>
      <c r="J37" s="141" t="n">
        <f aca="false">IF(L37&gt;0,L37,0)</f>
        <v>0</v>
      </c>
      <c r="K37" s="101" t="n">
        <f aca="false">I37+J37</f>
        <v>162.55</v>
      </c>
      <c r="L37" s="101" t="n">
        <f aca="false">F37-(I37-X37)</f>
        <v>-60.7684270229393</v>
      </c>
      <c r="M37" s="101" t="n">
        <v>157.09</v>
      </c>
      <c r="N37" s="142" t="n">
        <v>0</v>
      </c>
      <c r="O37" s="101" t="n">
        <v>0</v>
      </c>
      <c r="P37" s="6" t="n">
        <f aca="false">M37-(N37+O37)</f>
        <v>157.09</v>
      </c>
      <c r="Q37" s="101" t="n">
        <v>153.28</v>
      </c>
      <c r="R37" s="101" t="n">
        <v>69.63</v>
      </c>
      <c r="S37" s="101" t="n">
        <f aca="false">SUM(P37:R37)</f>
        <v>380</v>
      </c>
      <c r="T37" s="111" t="n">
        <f aca="false">(I37-S37)+T36</f>
        <v>11949.42</v>
      </c>
      <c r="U37" s="101" t="n">
        <v>121</v>
      </c>
      <c r="V37" s="51" t="n">
        <v>51.5</v>
      </c>
      <c r="W37" s="55" t="n">
        <f aca="false">V37-20</f>
        <v>31.5</v>
      </c>
      <c r="X37" s="6" t="n">
        <f aca="false">N37+O37+S37+U37+V37</f>
        <v>552.5</v>
      </c>
      <c r="Y37" s="101" t="n">
        <f aca="false">IF(L37&lt;0,L37*-1,0)</f>
        <v>60.7684270229393</v>
      </c>
      <c r="Z37" s="101" t="n">
        <f aca="false">X37+Y37</f>
        <v>613.268427022939</v>
      </c>
      <c r="AA37" s="99" t="n">
        <v>0</v>
      </c>
      <c r="AB37" s="134" t="n">
        <v>82</v>
      </c>
      <c r="AC37" s="134" t="n">
        <v>49</v>
      </c>
      <c r="AD37" s="139" t="n">
        <v>28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39" t="n">
        <v>29</v>
      </c>
      <c r="B38" s="110" t="n">
        <v>6891.51</v>
      </c>
      <c r="C38" s="111" t="n">
        <v>253320</v>
      </c>
      <c r="D38" s="134" t="n">
        <f aca="false">C38-C37</f>
        <v>-893</v>
      </c>
      <c r="E38" s="111" t="n">
        <f aca="false">C38-152000</f>
        <v>101320</v>
      </c>
      <c r="F38" s="101" t="n">
        <f aca="false">D38/$D$2</f>
        <v>-450.214267708596</v>
      </c>
      <c r="G38" s="101" t="n">
        <v>155.56</v>
      </c>
      <c r="H38" s="140" t="n">
        <v>0</v>
      </c>
      <c r="I38" s="101" t="n">
        <f aca="false">G38+H38</f>
        <v>155.56</v>
      </c>
      <c r="J38" s="141" t="n">
        <f aca="false">IF(L38&gt;0,L38,0)</f>
        <v>0</v>
      </c>
      <c r="K38" s="101" t="n">
        <f aca="false">I38+J38</f>
        <v>155.56</v>
      </c>
      <c r="L38" s="101" t="n">
        <f aca="false">F38-(I38-X38)</f>
        <v>-44.2542677085959</v>
      </c>
      <c r="M38" s="101" t="n">
        <v>164.15</v>
      </c>
      <c r="N38" s="142" t="n">
        <v>0</v>
      </c>
      <c r="O38" s="101" t="n">
        <v>0</v>
      </c>
      <c r="P38" s="6" t="n">
        <f aca="false">M38-(N38+O38)</f>
        <v>164.15</v>
      </c>
      <c r="Q38" s="101" t="n">
        <v>152.37</v>
      </c>
      <c r="R38" s="101" t="n">
        <v>74.48</v>
      </c>
      <c r="S38" s="101" t="n">
        <f aca="false">SUM(P38:R38)</f>
        <v>391</v>
      </c>
      <c r="T38" s="111" t="n">
        <f aca="false">(I38-S38)+T37</f>
        <v>11713.98</v>
      </c>
      <c r="U38" s="101" t="n">
        <v>119</v>
      </c>
      <c r="V38" s="51" t="n">
        <v>51.52</v>
      </c>
      <c r="W38" s="55" t="n">
        <f aca="false">V38-20</f>
        <v>31.52</v>
      </c>
      <c r="X38" s="6" t="n">
        <f aca="false">N38+O38+S38+U38+V38</f>
        <v>561.52</v>
      </c>
      <c r="Y38" s="101" t="n">
        <f aca="false">IF(L38&lt;0,L38*-1,0)</f>
        <v>44.2542677085959</v>
      </c>
      <c r="Z38" s="101" t="n">
        <f aca="false">X38+Y38</f>
        <v>605.774267708596</v>
      </c>
      <c r="AA38" s="99" t="n">
        <v>0</v>
      </c>
      <c r="AB38" s="134" t="n">
        <v>86</v>
      </c>
      <c r="AC38" s="134" t="n">
        <v>52</v>
      </c>
      <c r="AD38" s="139" t="n">
        <v>29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139" t="n">
        <v>30</v>
      </c>
      <c r="B39" s="110" t="n">
        <v>6891.22</v>
      </c>
      <c r="C39" s="111" t="n">
        <v>252324</v>
      </c>
      <c r="D39" s="134" t="n">
        <f aca="false">C39-C38</f>
        <v>-996</v>
      </c>
      <c r="E39" s="111" t="n">
        <f aca="false">C39-152000</f>
        <v>100324</v>
      </c>
      <c r="F39" s="101" t="n">
        <f aca="false">D39/$D$2</f>
        <v>-502.142677085959</v>
      </c>
      <c r="G39" s="101" t="n">
        <v>152.05</v>
      </c>
      <c r="H39" s="140" t="n">
        <v>0</v>
      </c>
      <c r="I39" s="101" t="n">
        <f aca="false">G39+H39</f>
        <v>152.05</v>
      </c>
      <c r="J39" s="141" t="n">
        <f aca="false">IF(L39&gt;0,L39,0)</f>
        <v>0</v>
      </c>
      <c r="K39" s="101" t="n">
        <f aca="false">I39+J39</f>
        <v>152.05</v>
      </c>
      <c r="L39" s="101" t="n">
        <f aca="false">F39-(I39-X39)</f>
        <v>-69.6926770859592</v>
      </c>
      <c r="M39" s="101" t="n">
        <v>170.71</v>
      </c>
      <c r="N39" s="142" t="n">
        <v>0</v>
      </c>
      <c r="O39" s="101" t="n">
        <v>0</v>
      </c>
      <c r="P39" s="6" t="n">
        <f aca="false">M39-(N39+O39)</f>
        <v>170.71</v>
      </c>
      <c r="Q39" s="101" t="n">
        <v>153.45</v>
      </c>
      <c r="R39" s="101" t="n">
        <v>74.84</v>
      </c>
      <c r="S39" s="101" t="n">
        <f aca="false">SUM(P39:R39)</f>
        <v>399</v>
      </c>
      <c r="T39" s="111" t="n">
        <f aca="false">(I39-S39)+T38</f>
        <v>11467.03</v>
      </c>
      <c r="U39" s="101" t="n">
        <v>134</v>
      </c>
      <c r="V39" s="51" t="n">
        <v>51.5</v>
      </c>
      <c r="W39" s="55" t="n">
        <f aca="false">V39-20</f>
        <v>31.5</v>
      </c>
      <c r="X39" s="6" t="n">
        <f aca="false">N39+O39+S39+U39+V39</f>
        <v>584.5</v>
      </c>
      <c r="Y39" s="101" t="n">
        <f aca="false">IF(L39&lt;0,L39*-1,0)</f>
        <v>69.6926770859592</v>
      </c>
      <c r="Z39" s="101" t="n">
        <f aca="false">X39+Y39</f>
        <v>654.192677085959</v>
      </c>
      <c r="AA39" s="99" t="n">
        <v>0</v>
      </c>
      <c r="AB39" s="134" t="n">
        <v>85</v>
      </c>
      <c r="AC39" s="134" t="n">
        <v>54</v>
      </c>
      <c r="AD39" s="139" t="n">
        <v>30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139" t="n">
        <v>31</v>
      </c>
      <c r="B40" s="110" t="n">
        <v>6890.96</v>
      </c>
      <c r="C40" s="111" t="n">
        <v>251433</v>
      </c>
      <c r="D40" s="134" t="n">
        <f aca="false">C40-C39</f>
        <v>-891</v>
      </c>
      <c r="E40" s="111" t="n">
        <f aca="false">C40-152000</f>
        <v>99433</v>
      </c>
      <c r="F40" s="101" t="n">
        <f aca="false">D40/$D$2</f>
        <v>-449.205949079909</v>
      </c>
      <c r="G40" s="101" t="n">
        <v>147.63</v>
      </c>
      <c r="H40" s="140" t="n">
        <v>0</v>
      </c>
      <c r="I40" s="101" t="n">
        <f aca="false">G40+H40</f>
        <v>147.63</v>
      </c>
      <c r="J40" s="141" t="n">
        <f aca="false">IF(L40&gt;0,L40,0)</f>
        <v>0</v>
      </c>
      <c r="K40" s="101" t="n">
        <f aca="false">I40+J40</f>
        <v>147.63</v>
      </c>
      <c r="L40" s="101" t="n">
        <f aca="false">F40-(I40-X40)</f>
        <v>-21.3259490799093</v>
      </c>
      <c r="M40" s="101" t="n">
        <v>174.87</v>
      </c>
      <c r="N40" s="142" t="n">
        <v>0</v>
      </c>
      <c r="O40" s="101" t="n">
        <v>0</v>
      </c>
      <c r="P40" s="6" t="n">
        <f aca="false">M40-(N40+O40)</f>
        <v>174.87</v>
      </c>
      <c r="Q40" s="101" t="n">
        <v>153.04</v>
      </c>
      <c r="R40" s="101" t="n">
        <v>72.09</v>
      </c>
      <c r="S40" s="101" t="n">
        <f aca="false">SUM(P40:R40)</f>
        <v>400</v>
      </c>
      <c r="T40" s="111" t="n">
        <f aca="false">(I40-S40)+T39</f>
        <v>11214.66</v>
      </c>
      <c r="U40" s="101" t="n">
        <v>124</v>
      </c>
      <c r="V40" s="51" t="n">
        <v>51.51</v>
      </c>
      <c r="W40" s="55" t="n">
        <f aca="false">V40-20</f>
        <v>31.51</v>
      </c>
      <c r="X40" s="6" t="n">
        <f aca="false">N40+O40+S40+U40+V40</f>
        <v>575.51</v>
      </c>
      <c r="Y40" s="101" t="n">
        <f aca="false">IF(L40&lt;0,L40*-1,0)</f>
        <v>21.3259490799093</v>
      </c>
      <c r="Z40" s="101" t="n">
        <f aca="false">X40+Y40</f>
        <v>596.835949079909</v>
      </c>
      <c r="AA40" s="99" t="n">
        <v>0</v>
      </c>
      <c r="AB40" s="134" t="n">
        <v>85</v>
      </c>
      <c r="AC40" s="134" t="n">
        <v>54</v>
      </c>
      <c r="AD40" s="139" t="n">
        <v>31</v>
      </c>
      <c r="AE40" s="104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7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109"/>
      <c r="X41" s="74"/>
      <c r="Y41" s="74"/>
      <c r="Z41" s="74"/>
      <c r="AA41" s="78"/>
      <c r="AB41" s="79"/>
      <c r="AC41" s="79"/>
      <c r="AD41" s="80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-11824.0483992942</v>
      </c>
      <c r="G42" s="52" t="n">
        <f aca="false">SUM(G10:G40)</f>
        <v>5658.07</v>
      </c>
      <c r="H42" s="52" t="n">
        <f aca="false">SUM(H10:H40)</f>
        <v>0</v>
      </c>
      <c r="I42" s="52" t="n">
        <f aca="false">SUM(I10:I40)</f>
        <v>5658.07</v>
      </c>
      <c r="J42" s="52" t="n">
        <f aca="false">SUM(J10:J40)</f>
        <v>568.932719939501</v>
      </c>
      <c r="K42" s="52" t="n">
        <f aca="false">SUM(K10:K40)</f>
        <v>6227.0027199395</v>
      </c>
      <c r="L42" s="52" t="n">
        <f aca="false">SUM(L10:L40)</f>
        <v>-633.188399294177</v>
      </c>
      <c r="M42" s="52" t="n">
        <f aca="false">SUM(M10:M40)</f>
        <v>4766.39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4766.39</v>
      </c>
      <c r="Q42" s="52" t="n">
        <f aca="false">SUM(Q10:Q40)</f>
        <v>4862.64</v>
      </c>
      <c r="R42" s="52" t="n">
        <f aca="false">SUM(R10:R40)</f>
        <v>2201.97</v>
      </c>
      <c r="S42" s="52" t="n">
        <f aca="false">SUM(S10:S40)</f>
        <v>11831</v>
      </c>
      <c r="T42" s="52"/>
      <c r="U42" s="52" t="n">
        <f aca="false">SUM(U10:U40)</f>
        <v>3386</v>
      </c>
      <c r="V42" s="52" t="n">
        <f aca="false">SUM(V10:V40)</f>
        <v>1631.93</v>
      </c>
      <c r="W42" s="55" t="n">
        <f aca="false">SUM(W10:W40)</f>
        <v>1011.93</v>
      </c>
      <c r="X42" s="52" t="n">
        <f aca="false">SUM(X10:X40)</f>
        <v>16848.93</v>
      </c>
      <c r="Y42" s="52" t="n">
        <f aca="false">SUM(Y10:Y40)</f>
        <v>1202.12111923368</v>
      </c>
      <c r="Z42" s="52" t="n">
        <f aca="false">SUM(Z10:Z40)</f>
        <v>18051.0511192337</v>
      </c>
      <c r="AA42" s="56" t="n">
        <f aca="false">SUM(AA10:AA40)</f>
        <v>5.42</v>
      </c>
      <c r="AB42" s="57" t="n">
        <f aca="false">AVERAGE(AB10:AB40)</f>
        <v>78.6774193548387</v>
      </c>
      <c r="AC42" s="57" t="n">
        <f aca="false">AVERAGE(AC10:AC40)</f>
        <v>51.0322580645161</v>
      </c>
      <c r="AD42" s="58" t="s">
        <v>67</v>
      </c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-23453</v>
      </c>
      <c r="E43" s="52"/>
      <c r="F43" s="52" t="n">
        <f aca="false">F42*$D$2</f>
        <v>-23453</v>
      </c>
      <c r="G43" s="52" t="n">
        <f aca="false">G42*$D$2</f>
        <v>11222.781845</v>
      </c>
      <c r="H43" s="52" t="n">
        <f aca="false">H42*$D$2</f>
        <v>0</v>
      </c>
      <c r="I43" s="52" t="n">
        <f aca="false">I42*$D$2</f>
        <v>11222.781845</v>
      </c>
      <c r="J43" s="52" t="n">
        <f aca="false">J42*$D$2</f>
        <v>1128.47805</v>
      </c>
      <c r="K43" s="52" t="n">
        <f aca="false">K42*$D$2</f>
        <v>12351.259895</v>
      </c>
      <c r="L43" s="52" t="n">
        <f aca="false">L42*$D$2</f>
        <v>-1255.92919</v>
      </c>
      <c r="M43" s="52" t="n">
        <f aca="false">M42*$D$2</f>
        <v>9454.134565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9454.134565</v>
      </c>
      <c r="Q43" s="52" t="n">
        <f aca="false">Q42*$D$2</f>
        <v>9645.04644</v>
      </c>
      <c r="R43" s="52" t="n">
        <f aca="false">R42*$D$2</f>
        <v>4367.607495</v>
      </c>
      <c r="S43" s="52" t="n">
        <f aca="false">S42*$D$2</f>
        <v>23466.7885</v>
      </c>
      <c r="T43" s="52"/>
      <c r="U43" s="52" t="n">
        <f aca="false">U42*$D$2</f>
        <v>6716.131</v>
      </c>
      <c r="V43" s="52" t="n">
        <f aca="false">V42*$D$2</f>
        <v>3236.933155</v>
      </c>
      <c r="W43" s="55" t="n">
        <f aca="false">W42*$D$2</f>
        <v>2007.163155</v>
      </c>
      <c r="X43" s="52" t="n">
        <f aca="false">X42*$D$2</f>
        <v>33419.852655</v>
      </c>
      <c r="Y43" s="52" t="n">
        <f aca="false">Y42*$D$2</f>
        <v>2384.40724</v>
      </c>
      <c r="Z43" s="52" t="n">
        <f aca="false">Z42*$D$2</f>
        <v>35804.259895</v>
      </c>
      <c r="AA43" s="56"/>
      <c r="AB43" s="57" t="n">
        <f aca="false">MAX(AB10:AB40)</f>
        <v>86</v>
      </c>
      <c r="AC43" s="57" t="n">
        <f aca="false">MAX(AC10:AC40)</f>
        <v>56</v>
      </c>
      <c r="AD43" s="58" t="s">
        <v>47</v>
      </c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109"/>
      <c r="X44" s="76"/>
      <c r="Y44" s="76"/>
      <c r="Z44" s="76"/>
      <c r="AA44" s="56"/>
      <c r="AB44" s="57"/>
      <c r="AC44" s="57"/>
      <c r="AD44" s="58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-10948.8278295942</v>
      </c>
      <c r="G45" s="52" t="n">
        <f aca="false">G7+G42</f>
        <v>65057.35</v>
      </c>
      <c r="H45" s="52" t="n">
        <f aca="false">H7+H42</f>
        <v>1182.853</v>
      </c>
      <c r="I45" s="52" t="n">
        <f aca="false">I7+I42</f>
        <v>66240.203</v>
      </c>
      <c r="J45" s="52" t="n">
        <f aca="false">J7+J42</f>
        <v>2626.23818502647</v>
      </c>
      <c r="K45" s="52" t="n">
        <f aca="false">K7+K42</f>
        <v>68866.4411850265</v>
      </c>
      <c r="L45" s="52" t="n">
        <f aca="false">L7+L42</f>
        <v>-5063.03782959415</v>
      </c>
      <c r="M45" s="52" t="n">
        <f aca="false">M7+M42</f>
        <v>26259.77</v>
      </c>
      <c r="N45" s="52" t="n">
        <f aca="false">N7+N42</f>
        <v>0</v>
      </c>
      <c r="O45" s="52" t="n">
        <f aca="false">O7+O42</f>
        <v>0</v>
      </c>
      <c r="P45" s="52" t="n">
        <f aca="false">P7+P42</f>
        <v>26259.77</v>
      </c>
      <c r="Q45" s="52" t="n">
        <f aca="false">Q7+Q42</f>
        <v>19514.26</v>
      </c>
      <c r="R45" s="52" t="n">
        <f aca="false">R7+R42</f>
        <v>9251.513</v>
      </c>
      <c r="S45" s="52" t="n">
        <f aca="false">S7+S42</f>
        <v>55025.543</v>
      </c>
      <c r="T45" s="135" t="n">
        <f aca="false">T40</f>
        <v>11214.66</v>
      </c>
      <c r="U45" s="52" t="n">
        <f aca="false">U7+U42</f>
        <v>11654</v>
      </c>
      <c r="V45" s="52" t="n">
        <f aca="false">V7+V42</f>
        <v>5446.45</v>
      </c>
      <c r="W45" s="136" t="n">
        <f aca="false">W7+W42</f>
        <v>2404.01</v>
      </c>
      <c r="X45" s="52" t="n">
        <f aca="false">X7+X42</f>
        <v>72125.993</v>
      </c>
      <c r="Y45" s="52" t="n">
        <f aca="false">Y7+Y42</f>
        <v>7689.27601462062</v>
      </c>
      <c r="Z45" s="52" t="n">
        <f aca="false">Z7+Z42</f>
        <v>79815.2690146206</v>
      </c>
      <c r="AA45" s="56"/>
      <c r="AB45" s="57" t="n">
        <f aca="false">MIN(AB10:AB40)</f>
        <v>61</v>
      </c>
      <c r="AC45" s="57" t="n">
        <f aca="false">MIN(AC10:AC40)</f>
        <v>47</v>
      </c>
      <c r="AD45" s="58" t="s">
        <v>49</v>
      </c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-21717</v>
      </c>
      <c r="G46" s="52" t="n">
        <f aca="false">G45*$D$2</f>
        <v>129041.253725</v>
      </c>
      <c r="H46" s="52" t="n">
        <f aca="false">H45*$D$2</f>
        <v>2346.1889255</v>
      </c>
      <c r="I46" s="52" t="n">
        <f aca="false">I45*$D$2</f>
        <v>131387.4426505</v>
      </c>
      <c r="J46" s="52" t="n">
        <f aca="false">J45*$D$2</f>
        <v>5209.14344</v>
      </c>
      <c r="K46" s="52" t="n">
        <f aca="false">K45*$D$2</f>
        <v>136596.5860905</v>
      </c>
      <c r="L46" s="52" t="n">
        <f aca="false">L45*$D$2</f>
        <v>-10042.535535</v>
      </c>
      <c r="M46" s="52" t="n">
        <f aca="false">M45*$D$2</f>
        <v>52086.253795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52086.253795</v>
      </c>
      <c r="Q46" s="52" t="n">
        <f aca="false">Q45*$D$2</f>
        <v>38706.53471</v>
      </c>
      <c r="R46" s="52" t="n">
        <f aca="false">R45*$D$2</f>
        <v>18350.3760355</v>
      </c>
      <c r="S46" s="52" t="n">
        <f aca="false">S45*$D$2</f>
        <v>109143.1645405</v>
      </c>
      <c r="T46" s="52" t="n">
        <f aca="false">T45*$D$2</f>
        <v>22244.27811</v>
      </c>
      <c r="U46" s="52" t="n">
        <f aca="false">U45*$D$2</f>
        <v>23115.709</v>
      </c>
      <c r="V46" s="52" t="n">
        <f aca="false">V45*$D$2</f>
        <v>10803.033575</v>
      </c>
      <c r="W46" s="55" t="n">
        <f aca="false">W45*$D$2</f>
        <v>4768.353835</v>
      </c>
      <c r="X46" s="52" t="n">
        <f aca="false">X45*$D$2</f>
        <v>143061.9071155</v>
      </c>
      <c r="Y46" s="52" t="n">
        <f aca="false">Y45*$D$2</f>
        <v>15251.678975</v>
      </c>
      <c r="Z46" s="52" t="n">
        <f aca="false">Z45*$D$2</f>
        <v>158313.5860905</v>
      </c>
      <c r="AA46" s="56"/>
      <c r="AB46" s="57"/>
      <c r="AC46" s="57"/>
      <c r="AD46" s="58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109"/>
      <c r="X47" s="76"/>
      <c r="Y47" s="76"/>
      <c r="Z47" s="76"/>
      <c r="AA47" s="78"/>
      <c r="AB47" s="57"/>
      <c r="AC47" s="57"/>
      <c r="AD47" s="58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-22713.3854297958</v>
      </c>
      <c r="G48" s="52" t="n">
        <f aca="false">G8+G42</f>
        <v>70183.506</v>
      </c>
      <c r="H48" s="57" t="n">
        <f aca="false">H8+H42</f>
        <v>1182.853</v>
      </c>
      <c r="I48" s="52" t="n">
        <f aca="false">I8+I42</f>
        <v>71772.849</v>
      </c>
      <c r="J48" s="52" t="n">
        <f aca="false">J8+J42</f>
        <v>2971.14593849256</v>
      </c>
      <c r="K48" s="52" t="n">
        <f aca="false">K8+K42</f>
        <v>74670.4094582808</v>
      </c>
      <c r="L48" s="52" t="n">
        <f aca="false">L8+L42</f>
        <v>-6282.51142979582</v>
      </c>
      <c r="M48" s="52" t="n">
        <f aca="false">M8+M42</f>
        <v>27661.41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27661.33</v>
      </c>
      <c r="Q48" s="52" t="n">
        <f aca="false">Q8+Q42</f>
        <v>24038.7</v>
      </c>
      <c r="R48" s="52" t="n">
        <f aca="false">R8+R42</f>
        <v>9305.133</v>
      </c>
      <c r="S48" s="52" t="n">
        <f aca="false">S8+S42</f>
        <v>61005.163</v>
      </c>
      <c r="T48" s="52" t="n">
        <f aca="false">T45</f>
        <v>11214.66</v>
      </c>
      <c r="U48" s="52" t="n">
        <f aca="false">U8+U42</f>
        <v>11654</v>
      </c>
      <c r="V48" s="52" t="n">
        <f aca="false">V8+V42</f>
        <v>15544.48</v>
      </c>
      <c r="W48" s="55" t="n">
        <f aca="false">W45</f>
        <v>2404.01</v>
      </c>
      <c r="X48" s="52" t="n">
        <f aca="false">X8+X42</f>
        <v>88203.723</v>
      </c>
      <c r="Y48" s="52" t="n">
        <f aca="false">Y8+Y42</f>
        <v>9253.65736828838</v>
      </c>
      <c r="Z48" s="52" t="n">
        <f aca="false">Z8+Z42</f>
        <v>97457.3803682884</v>
      </c>
      <c r="AA48" s="56" t="n">
        <f aca="false">AA8+AA42</f>
        <v>17.513</v>
      </c>
      <c r="AB48" s="57"/>
      <c r="AC48" s="57"/>
      <c r="AD48" s="58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-45052</v>
      </c>
      <c r="E49" s="52" t="n">
        <f aca="false">E40</f>
        <v>99433</v>
      </c>
      <c r="F49" s="52" t="n">
        <f aca="false">F48*$D$2</f>
        <v>-45052</v>
      </c>
      <c r="G49" s="52" t="n">
        <f aca="false">G48*$D$2</f>
        <v>139208.984151</v>
      </c>
      <c r="H49" s="57" t="n">
        <f aca="false">H48*$D$2</f>
        <v>2346.1889255</v>
      </c>
      <c r="I49" s="52" t="n">
        <f aca="false">I48*$D$2</f>
        <v>142361.4459915</v>
      </c>
      <c r="J49" s="52" t="n">
        <f aca="false">J48*$D$2</f>
        <v>5893.267969</v>
      </c>
      <c r="K49" s="52" t="n">
        <f aca="false">K48*$D$2</f>
        <v>148108.7571605</v>
      </c>
      <c r="L49" s="52" t="n">
        <f aca="false">L48*$D$2</f>
        <v>-12461.361421</v>
      </c>
      <c r="M49" s="52" t="n">
        <f aca="false">M48*$D$2</f>
        <v>54866.406735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54866.248055</v>
      </c>
      <c r="Q49" s="52" t="n">
        <f aca="false">Q48*$D$2</f>
        <v>47680.76145</v>
      </c>
      <c r="R49" s="52" t="n">
        <f aca="false">R48*$D$2</f>
        <v>18456.7313055</v>
      </c>
      <c r="S49" s="52" t="n">
        <f aca="false">S48*$D$2</f>
        <v>121003.7408105</v>
      </c>
      <c r="T49" s="52" t="n">
        <f aca="false">T48*$D$2</f>
        <v>22244.27811</v>
      </c>
      <c r="U49" s="52" t="n">
        <f aca="false">U48*$D$2</f>
        <v>23115.709</v>
      </c>
      <c r="V49" s="52" t="n">
        <f aca="false">V48*$D$2</f>
        <v>30832.47608</v>
      </c>
      <c r="W49" s="55" t="n">
        <f aca="false">W48*$D$2</f>
        <v>4768.353835</v>
      </c>
      <c r="X49" s="52" t="n">
        <f aca="false">X48*$D$2</f>
        <v>174952.0845705</v>
      </c>
      <c r="Y49" s="52" t="n">
        <f aca="false">Y48*$D$2</f>
        <v>18354.62939</v>
      </c>
      <c r="Z49" s="52" t="n">
        <f aca="false">Z48*$D$2</f>
        <v>193306.7139605</v>
      </c>
      <c r="AA49" s="56"/>
      <c r="AB49" s="57"/>
      <c r="AC49" s="57"/>
      <c r="AD49" s="58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7"/>
      <c r="I50" s="74"/>
      <c r="J50" s="74"/>
      <c r="K50" s="112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109"/>
      <c r="X50" s="74"/>
      <c r="Y50" s="74"/>
      <c r="Z50" s="74"/>
      <c r="AA50" s="56"/>
      <c r="AB50" s="57"/>
      <c r="AC50" s="57"/>
      <c r="AD50" s="58"/>
      <c r="AE50" s="92"/>
      <c r="AF50" s="93"/>
    </row>
    <row r="51" customFormat="false" ht="11.1" hidden="false" customHeight="true" outlineLevel="0" collapsed="false">
      <c r="A51" s="82"/>
      <c r="B51" s="82"/>
      <c r="C51" s="52"/>
      <c r="D51" s="82"/>
      <c r="E51" s="52"/>
      <c r="F51" s="82"/>
      <c r="G51" s="85"/>
      <c r="H51" s="53"/>
      <c r="I51" s="82"/>
      <c r="J51" s="82"/>
      <c r="K51" s="82"/>
      <c r="L51" s="82"/>
      <c r="M51" s="81"/>
      <c r="N51" s="81"/>
      <c r="O51" s="81"/>
      <c r="P51" s="82"/>
      <c r="Q51" s="82"/>
      <c r="R51" s="82"/>
      <c r="S51" s="0"/>
      <c r="T51" s="52"/>
      <c r="V51" s="52"/>
      <c r="W51" s="55"/>
      <c r="X51" s="82"/>
      <c r="Y51" s="82"/>
      <c r="Z51" s="55"/>
      <c r="AA51" s="56"/>
      <c r="AB51" s="57"/>
      <c r="AC51" s="58"/>
      <c r="AD51" s="98"/>
    </row>
    <row r="52" customFormat="false" ht="11.1" hidden="false" customHeight="true" outlineLevel="0" collapsed="false">
      <c r="Q52" s="143"/>
      <c r="S52" s="52"/>
      <c r="T52" s="52"/>
    </row>
    <row r="53" customFormat="false" ht="11.1" hidden="false" customHeight="true" outlineLevel="0" collapsed="false">
      <c r="Q53" s="143"/>
      <c r="S53" s="52"/>
      <c r="T53" s="52"/>
    </row>
    <row r="54" customFormat="false" ht="11.1" hidden="false" customHeight="true" outlineLevel="0" collapsed="false">
      <c r="S54" s="52"/>
      <c r="T54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E20" activePane="bottomRight" state="frozen"/>
      <selection pane="topLeft" activeCell="A1" activeCellId="0" sqref="A1"/>
      <selection pane="topRight" activeCell="E1" activeCellId="0" sqref="E1"/>
      <selection pane="bottomLeft" activeCell="A20" activeCellId="0" sqref="A20"/>
      <selection pane="bottomRight" activeCell="T21" activeCellId="0" sqref="T21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37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8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16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8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6" width="5.32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5"/>
      <c r="X1" s="51"/>
      <c r="Y1" s="51"/>
      <c r="Z1" s="55"/>
      <c r="AA1" s="56"/>
      <c r="AB1" s="57"/>
      <c r="AC1" s="5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80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5"/>
      <c r="X2" s="51"/>
      <c r="Y2" s="51"/>
      <c r="Z2" s="55"/>
      <c r="AA2" s="56"/>
      <c r="AB2" s="57"/>
      <c r="AC2" s="5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5"/>
      <c r="X3" s="51"/>
      <c r="Y3" s="51"/>
      <c r="Z3" s="55"/>
      <c r="AA3" s="56"/>
      <c r="AB3" s="57"/>
      <c r="AC3" s="5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81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107" t="s">
        <v>75</v>
      </c>
      <c r="X4" s="62" t="s">
        <v>10</v>
      </c>
      <c r="Y4" s="62" t="s">
        <v>11</v>
      </c>
      <c r="Z4" s="62" t="s">
        <v>12</v>
      </c>
      <c r="AA4" s="65" t="s">
        <v>19</v>
      </c>
      <c r="AB4" s="66" t="s">
        <v>20</v>
      </c>
      <c r="AC4" s="66" t="s">
        <v>21</v>
      </c>
      <c r="AD4" s="66" t="s">
        <v>3</v>
      </c>
      <c r="AE4" s="88"/>
    </row>
    <row r="5" customFormat="false" ht="11.1" hidden="false" customHeight="true" outlineLevel="0" collapsed="false">
      <c r="A5" s="67" t="s">
        <v>82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107" t="s">
        <v>73</v>
      </c>
      <c r="X5" s="62" t="s">
        <v>40</v>
      </c>
      <c r="Y5" s="62" t="s">
        <v>40</v>
      </c>
      <c r="Z5" s="62" t="s">
        <v>40</v>
      </c>
      <c r="AA5" s="68"/>
      <c r="AB5" s="66" t="s">
        <v>41</v>
      </c>
      <c r="AC5" s="66" t="s">
        <v>41</v>
      </c>
      <c r="AD5" s="69" t="s">
        <v>82</v>
      </c>
      <c r="AE5" s="88"/>
      <c r="AG5" s="138"/>
      <c r="AH5" s="138"/>
    </row>
    <row r="6" customFormat="false" ht="11.1" hidden="false" customHeight="true" outlineLevel="0" collapsed="false">
      <c r="A6" s="70"/>
      <c r="B6" s="70"/>
      <c r="C6" s="144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108"/>
      <c r="X6" s="70"/>
      <c r="Y6" s="70"/>
      <c r="Z6" s="70"/>
      <c r="AA6" s="56"/>
      <c r="AB6" s="58"/>
      <c r="AC6" s="58"/>
      <c r="AD6" s="58"/>
      <c r="AE6" s="92"/>
      <c r="AF6" s="93"/>
      <c r="AG6" s="138"/>
      <c r="AH6" s="138"/>
    </row>
    <row r="7" customFormat="false" ht="11.1" hidden="false" customHeight="true" outlineLevel="0" collapsed="false">
      <c r="A7" s="51" t="s">
        <v>42</v>
      </c>
      <c r="B7" s="51"/>
      <c r="C7" s="145"/>
      <c r="D7" s="52"/>
      <c r="E7" s="52"/>
      <c r="F7" s="52" t="n">
        <f aca="false">AUG!F45</f>
        <v>-10948.8278295942</v>
      </c>
      <c r="G7" s="52" t="n">
        <f aca="false">AUG!G45</f>
        <v>65057.35</v>
      </c>
      <c r="H7" s="52" t="n">
        <f aca="false">AUG!H45</f>
        <v>1182.853</v>
      </c>
      <c r="I7" s="52" t="n">
        <f aca="false">AUG!I45</f>
        <v>66240.203</v>
      </c>
      <c r="J7" s="52" t="n">
        <f aca="false">AUG!J45</f>
        <v>2626.23818502647</v>
      </c>
      <c r="K7" s="52" t="n">
        <f aca="false">AUG!K45</f>
        <v>68866.4411850265</v>
      </c>
      <c r="L7" s="52" t="n">
        <f aca="false">AUG!L45</f>
        <v>-5063.03782959415</v>
      </c>
      <c r="M7" s="52" t="n">
        <f aca="false">AUG!M45</f>
        <v>26259.77</v>
      </c>
      <c r="N7" s="52" t="n">
        <f aca="false">AUG!N45</f>
        <v>0</v>
      </c>
      <c r="O7" s="52" t="n">
        <f aca="false">AUG!O45</f>
        <v>0</v>
      </c>
      <c r="P7" s="52" t="n">
        <f aca="false">AUG!P45</f>
        <v>26259.77</v>
      </c>
      <c r="Q7" s="52" t="n">
        <f aca="false">AUG!Q45</f>
        <v>19514.26</v>
      </c>
      <c r="R7" s="52" t="n">
        <f aca="false">AUG!R45</f>
        <v>9251.513</v>
      </c>
      <c r="S7" s="52" t="n">
        <f aca="false">AUG!S45</f>
        <v>55025.543</v>
      </c>
      <c r="T7" s="52" t="n">
        <f aca="false">AUG!T45</f>
        <v>11214.66</v>
      </c>
      <c r="U7" s="52" t="n">
        <f aca="false">AUG!U45</f>
        <v>11654</v>
      </c>
      <c r="V7" s="52" t="n">
        <f aca="false">AUG!V45</f>
        <v>5446.45</v>
      </c>
      <c r="W7" s="55" t="n">
        <f aca="false">AUG!W45</f>
        <v>2404.01</v>
      </c>
      <c r="X7" s="52" t="n">
        <f aca="false">AUG!X45</f>
        <v>72125.993</v>
      </c>
      <c r="Y7" s="52" t="n">
        <f aca="false">AUG!Y45</f>
        <v>7689.27601462062</v>
      </c>
      <c r="Z7" s="52" t="n">
        <f aca="false">AUG!Z45</f>
        <v>79815.2690146206</v>
      </c>
      <c r="AA7" s="56"/>
      <c r="AB7" s="57"/>
      <c r="AC7" s="57"/>
      <c r="AD7" s="58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AUG!B40</f>
        <v>6890.96</v>
      </c>
      <c r="C8" s="52" t="n">
        <f aca="false">AUG!C40</f>
        <v>251433</v>
      </c>
      <c r="D8" s="52" t="n">
        <f aca="false">AUG!D49</f>
        <v>-45052</v>
      </c>
      <c r="E8" s="52" t="n">
        <f aca="false">AUG!E49</f>
        <v>99433</v>
      </c>
      <c r="F8" s="52" t="n">
        <f aca="false">AUG!F48</f>
        <v>-22713.3854297958</v>
      </c>
      <c r="G8" s="52" t="n">
        <f aca="false">AUG!G48</f>
        <v>70183.506</v>
      </c>
      <c r="H8" s="52" t="n">
        <f aca="false">AUG!H48</f>
        <v>1182.853</v>
      </c>
      <c r="I8" s="52" t="n">
        <f aca="false">AUG!I48</f>
        <v>71772.849</v>
      </c>
      <c r="J8" s="52" t="n">
        <f aca="false">AUG!J48</f>
        <v>2971.14593849256</v>
      </c>
      <c r="K8" s="52" t="n">
        <f aca="false">AUG!K48</f>
        <v>74670.4094582808</v>
      </c>
      <c r="L8" s="52" t="n">
        <f aca="false">AUG!L48</f>
        <v>-6282.51142979582</v>
      </c>
      <c r="M8" s="52" t="n">
        <f aca="false">AUG!M48</f>
        <v>27661.41</v>
      </c>
      <c r="N8" s="52" t="n">
        <f aca="false">AUG!N48</f>
        <v>0.08</v>
      </c>
      <c r="O8" s="52" t="n">
        <f aca="false">AUG!O48</f>
        <v>0</v>
      </c>
      <c r="P8" s="52" t="n">
        <f aca="false">AUG!P48</f>
        <v>27661.33</v>
      </c>
      <c r="Q8" s="52" t="n">
        <f aca="false">AUG!Q48</f>
        <v>24038.7</v>
      </c>
      <c r="R8" s="52" t="n">
        <f aca="false">AUG!R48</f>
        <v>9305.133</v>
      </c>
      <c r="S8" s="52" t="n">
        <f aca="false">AUG!S48</f>
        <v>61005.163</v>
      </c>
      <c r="T8" s="52" t="n">
        <f aca="false">AUG!T48</f>
        <v>11214.66</v>
      </c>
      <c r="U8" s="52" t="n">
        <f aca="false">AUG!U48</f>
        <v>11654</v>
      </c>
      <c r="V8" s="52" t="n">
        <f aca="false">AUG!V48</f>
        <v>15544.48</v>
      </c>
      <c r="W8" s="55" t="n">
        <f aca="false">AUG!W49</f>
        <v>4768.353835</v>
      </c>
      <c r="X8" s="52" t="n">
        <f aca="false">AUG!X48</f>
        <v>88203.723</v>
      </c>
      <c r="Y8" s="52" t="n">
        <f aca="false">AUG!Y48</f>
        <v>9253.65736828838</v>
      </c>
      <c r="Z8" s="52" t="n">
        <f aca="false">AUG!Z48</f>
        <v>97457.3803682884</v>
      </c>
      <c r="AA8" s="56" t="n">
        <f aca="false">AUG!AA48</f>
        <v>17.513</v>
      </c>
      <c r="AB8" s="57"/>
      <c r="AC8" s="57"/>
      <c r="AD8" s="58"/>
      <c r="AE8" s="92"/>
      <c r="AF8" s="94"/>
      <c r="AG8" s="44"/>
      <c r="AH8" s="4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109"/>
      <c r="X9" s="74"/>
      <c r="Y9" s="74"/>
      <c r="Z9" s="74"/>
      <c r="AA9" s="78"/>
      <c r="AB9" s="79" t="n">
        <v>0</v>
      </c>
      <c r="AC9" s="79"/>
      <c r="AD9" s="80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6890.7</v>
      </c>
      <c r="C10" s="52" t="n">
        <v>250549</v>
      </c>
      <c r="D10" s="57" t="n">
        <f aca="false">C10-C8</f>
        <v>-884</v>
      </c>
      <c r="E10" s="52" t="n">
        <f aca="false">C10-151978</f>
        <v>98571</v>
      </c>
      <c r="F10" s="51" t="n">
        <f aca="false">D10/$D$2</f>
        <v>-445.676833879506</v>
      </c>
      <c r="G10" s="51" t="n">
        <v>143</v>
      </c>
      <c r="H10" s="53" t="n">
        <v>0</v>
      </c>
      <c r="I10" s="51" t="n">
        <f aca="false">G10+H10</f>
        <v>143</v>
      </c>
      <c r="J10" s="81" t="n">
        <f aca="false">IF(L10&gt;0,L10,0)</f>
        <v>0</v>
      </c>
      <c r="K10" s="51" t="n">
        <f aca="false">I10+J10</f>
        <v>143</v>
      </c>
      <c r="L10" s="51" t="n">
        <f aca="false">F10-(I10-X10)</f>
        <v>-38.1768338795059</v>
      </c>
      <c r="M10" s="51" t="n">
        <v>174.38</v>
      </c>
      <c r="N10" s="6" t="n">
        <v>0</v>
      </c>
      <c r="O10" s="51" t="n">
        <v>0</v>
      </c>
      <c r="P10" s="6" t="n">
        <f aca="false">M10-(N10+O10)</f>
        <v>174.38</v>
      </c>
      <c r="Q10" s="51" t="n">
        <v>152.81</v>
      </c>
      <c r="R10" s="51" t="n">
        <v>73.81</v>
      </c>
      <c r="S10" s="51" t="n">
        <f aca="false">SUM(P10:R10)</f>
        <v>401</v>
      </c>
      <c r="T10" s="52" t="n">
        <f aca="false">(I10-S10)+T7</f>
        <v>10956.66</v>
      </c>
      <c r="U10" s="51" t="n">
        <v>98</v>
      </c>
      <c r="V10" s="51" t="n">
        <v>51.5</v>
      </c>
      <c r="W10" s="55" t="n">
        <f aca="false">V10-20</f>
        <v>31.5</v>
      </c>
      <c r="X10" s="6" t="n">
        <f aca="false">N10+O10+S10+U10+V10</f>
        <v>550.5</v>
      </c>
      <c r="Y10" s="51" t="n">
        <f aca="false">IF(L10&lt;0,L10*-1,0)</f>
        <v>38.1768338795059</v>
      </c>
      <c r="Z10" s="51" t="n">
        <f aca="false">X10+Y10</f>
        <v>588.676833879506</v>
      </c>
      <c r="AA10" s="56" t="n">
        <v>0</v>
      </c>
      <c r="AB10" s="57" t="n">
        <v>86</v>
      </c>
      <c r="AC10" s="57" t="n">
        <v>53</v>
      </c>
      <c r="AD10" s="58" t="n">
        <v>1</v>
      </c>
      <c r="AE10" s="94"/>
      <c r="AF10" s="94"/>
    </row>
    <row r="11" customFormat="false" ht="11.1" hidden="false" customHeight="true" outlineLevel="0" collapsed="false">
      <c r="A11" s="58" t="n">
        <v>2</v>
      </c>
      <c r="B11" s="73" t="n">
        <v>6890.43</v>
      </c>
      <c r="C11" s="52" t="n">
        <v>249630</v>
      </c>
      <c r="D11" s="57" t="n">
        <f aca="false">C11-C10</f>
        <v>-919</v>
      </c>
      <c r="E11" s="52" t="n">
        <f aca="false">C11-151978</f>
        <v>97652</v>
      </c>
      <c r="F11" s="51" t="n">
        <f aca="false">D11/$D$2</f>
        <v>-463.322409881523</v>
      </c>
      <c r="G11" s="51" t="n">
        <v>140.18</v>
      </c>
      <c r="H11" s="53" t="n">
        <v>0</v>
      </c>
      <c r="I11" s="51" t="n">
        <f aca="false">G11+H11</f>
        <v>140.18</v>
      </c>
      <c r="J11" s="81" t="n">
        <f aca="false">IF(L11&gt;0,L11,0)</f>
        <v>0</v>
      </c>
      <c r="K11" s="51" t="n">
        <f aca="false">I11+J11</f>
        <v>140.18</v>
      </c>
      <c r="L11" s="51" t="n">
        <f aca="false">F11-(I11-X11)</f>
        <v>-48.9324098815225</v>
      </c>
      <c r="M11" s="51" t="n">
        <v>173.78</v>
      </c>
      <c r="N11" s="6" t="n">
        <v>0</v>
      </c>
      <c r="O11" s="51" t="n">
        <v>0</v>
      </c>
      <c r="P11" s="6" t="n">
        <f aca="false">M11-(N11+O11)</f>
        <v>173.78</v>
      </c>
      <c r="Q11" s="51" t="n">
        <v>152.42</v>
      </c>
      <c r="R11" s="51" t="n">
        <v>73.8</v>
      </c>
      <c r="S11" s="51" t="n">
        <f aca="false">SUM(P11:R11)</f>
        <v>400</v>
      </c>
      <c r="T11" s="52" t="n">
        <f aca="false">(I11-S11)+T10</f>
        <v>10696.84</v>
      </c>
      <c r="U11" s="51" t="n">
        <v>103</v>
      </c>
      <c r="V11" s="51" t="n">
        <v>51.57</v>
      </c>
      <c r="W11" s="55" t="n">
        <f aca="false">V11-20</f>
        <v>31.57</v>
      </c>
      <c r="X11" s="6" t="n">
        <f aca="false">N11+O11+S11+U11+V11</f>
        <v>554.57</v>
      </c>
      <c r="Y11" s="51" t="n">
        <f aca="false">IF(L11&lt;0,L11*-1,0)</f>
        <v>48.9324098815225</v>
      </c>
      <c r="Z11" s="51" t="n">
        <f aca="false">X11+Y11</f>
        <v>603.502409881523</v>
      </c>
      <c r="AA11" s="56" t="n">
        <v>0.2</v>
      </c>
      <c r="AB11" s="57" t="n">
        <v>85</v>
      </c>
      <c r="AC11" s="57" t="n">
        <v>55</v>
      </c>
      <c r="AD11" s="58" t="n">
        <v>2</v>
      </c>
      <c r="AE11" s="94"/>
      <c r="AF11" s="94"/>
    </row>
    <row r="12" customFormat="false" ht="11.1" hidden="false" customHeight="true" outlineLevel="0" collapsed="false">
      <c r="A12" s="58" t="n">
        <v>3</v>
      </c>
      <c r="B12" s="73" t="n">
        <v>6890.16</v>
      </c>
      <c r="C12" s="52" t="n">
        <v>248712</v>
      </c>
      <c r="D12" s="57" t="n">
        <f aca="false">C12-C11</f>
        <v>-918</v>
      </c>
      <c r="E12" s="52" t="n">
        <f aca="false">C12-151978</f>
        <v>96734</v>
      </c>
      <c r="F12" s="51" t="n">
        <f aca="false">D12/$D$2</f>
        <v>-462.818250567179</v>
      </c>
      <c r="G12" s="51" t="n">
        <v>139.1</v>
      </c>
      <c r="H12" s="53" t="n">
        <v>0</v>
      </c>
      <c r="I12" s="51" t="n">
        <f aca="false">G12+H12</f>
        <v>139.1</v>
      </c>
      <c r="J12" s="81" t="n">
        <f aca="false">IF(L12&gt;0,L12,0)</f>
        <v>0</v>
      </c>
      <c r="K12" s="51" t="n">
        <f aca="false">I12+J12</f>
        <v>139.1</v>
      </c>
      <c r="L12" s="51" t="n">
        <f aca="false">F12-(I12-X12)</f>
        <v>-45.2582505671793</v>
      </c>
      <c r="M12" s="51" t="n">
        <v>173.6</v>
      </c>
      <c r="N12" s="6" t="n">
        <v>0</v>
      </c>
      <c r="O12" s="51" t="n">
        <v>0</v>
      </c>
      <c r="P12" s="6" t="n">
        <f aca="false">M12-(N12+O12)</f>
        <v>173.6</v>
      </c>
      <c r="Q12" s="51" t="n">
        <v>151.79</v>
      </c>
      <c r="R12" s="51" t="n">
        <v>73.61</v>
      </c>
      <c r="S12" s="51" t="n">
        <f aca="false">SUM(P12:R12)</f>
        <v>399</v>
      </c>
      <c r="T12" s="52" t="n">
        <f aca="false">(I12-S12)+T11</f>
        <v>10436.94</v>
      </c>
      <c r="U12" s="51" t="n">
        <v>106</v>
      </c>
      <c r="V12" s="51" t="n">
        <v>51.66</v>
      </c>
      <c r="W12" s="55" t="n">
        <f aca="false">V12-20</f>
        <v>31.66</v>
      </c>
      <c r="X12" s="6" t="n">
        <f aca="false">N12+O12+S12+U12+V12</f>
        <v>556.66</v>
      </c>
      <c r="Y12" s="51" t="n">
        <f aca="false">IF(L12&lt;0,L12*-1,0)</f>
        <v>45.2582505671793</v>
      </c>
      <c r="Z12" s="51" t="n">
        <f aca="false">X12+Y12</f>
        <v>601.918250567179</v>
      </c>
      <c r="AA12" s="56" t="n">
        <v>0</v>
      </c>
      <c r="AB12" s="57" t="n">
        <v>84</v>
      </c>
      <c r="AC12" s="57" t="n">
        <v>53</v>
      </c>
      <c r="AD12" s="58" t="n">
        <v>3</v>
      </c>
      <c r="AE12" s="94"/>
      <c r="AF12" s="94"/>
    </row>
    <row r="13" customFormat="false" ht="11.1" hidden="false" customHeight="true" outlineLevel="0" collapsed="false">
      <c r="A13" s="58" t="n">
        <v>4</v>
      </c>
      <c r="B13" s="73" t="n">
        <v>6889.96</v>
      </c>
      <c r="C13" s="52" t="n">
        <v>248033</v>
      </c>
      <c r="D13" s="57" t="n">
        <f aca="false">C13-C12</f>
        <v>-679</v>
      </c>
      <c r="E13" s="52" t="n">
        <f aca="false">C13-151978</f>
        <v>96055</v>
      </c>
      <c r="F13" s="51" t="n">
        <f aca="false">D13/$D$2</f>
        <v>-342.324174439123</v>
      </c>
      <c r="G13" s="51" t="n">
        <v>153.94</v>
      </c>
      <c r="H13" s="53" t="n">
        <v>0</v>
      </c>
      <c r="I13" s="51" t="n">
        <f aca="false">G13+H13</f>
        <v>153.94</v>
      </c>
      <c r="J13" s="81" t="n">
        <f aca="false">IF(L13&gt;0,L13,0)</f>
        <v>63.2358255608772</v>
      </c>
      <c r="K13" s="51" t="n">
        <f aca="false">I13+J13</f>
        <v>217.175825560877</v>
      </c>
      <c r="L13" s="51" t="n">
        <f aca="false">F13-(I13-X13)</f>
        <v>63.2358255608772</v>
      </c>
      <c r="M13" s="51" t="n">
        <v>173.6</v>
      </c>
      <c r="N13" s="6" t="n">
        <v>0</v>
      </c>
      <c r="O13" s="51" t="n">
        <v>0</v>
      </c>
      <c r="P13" s="6" t="n">
        <f aca="false">M13-(N13+O13)</f>
        <v>173.6</v>
      </c>
      <c r="Q13" s="51" t="n">
        <v>151.17</v>
      </c>
      <c r="R13" s="51" t="n">
        <v>73.23</v>
      </c>
      <c r="S13" s="51" t="n">
        <f aca="false">SUM(P13:R13)</f>
        <v>398</v>
      </c>
      <c r="T13" s="52" t="n">
        <f aca="false">(I13-S13)+T12</f>
        <v>10192.88</v>
      </c>
      <c r="U13" s="51" t="n">
        <v>120</v>
      </c>
      <c r="V13" s="51" t="n">
        <v>41.5</v>
      </c>
      <c r="W13" s="55" t="n">
        <f aca="false">V13-20</f>
        <v>21.5</v>
      </c>
      <c r="X13" s="6" t="n">
        <f aca="false">N13+O13+S13+U13+V13</f>
        <v>559.5</v>
      </c>
      <c r="Y13" s="51" t="n">
        <f aca="false">IF(L13&lt;0,L13*-1,0)</f>
        <v>0</v>
      </c>
      <c r="Z13" s="51" t="n">
        <f aca="false">X13+Y13</f>
        <v>559.5</v>
      </c>
      <c r="AA13" s="56" t="n">
        <v>0.21</v>
      </c>
      <c r="AB13" s="57" t="n">
        <v>76</v>
      </c>
      <c r="AC13" s="57" t="n">
        <v>52</v>
      </c>
      <c r="AD13" s="58" t="n">
        <v>4</v>
      </c>
      <c r="AE13" s="94"/>
      <c r="AF13" s="94"/>
    </row>
    <row r="14" customFormat="false" ht="11.1" hidden="false" customHeight="true" outlineLevel="0" collapsed="false">
      <c r="A14" s="58" t="n">
        <v>5</v>
      </c>
      <c r="B14" s="73" t="n">
        <v>6889.75</v>
      </c>
      <c r="C14" s="52" t="n">
        <v>247326</v>
      </c>
      <c r="D14" s="57" t="n">
        <f aca="false">C14-C13</f>
        <v>-707</v>
      </c>
      <c r="E14" s="52" t="n">
        <f aca="false">C14-151978</f>
        <v>95348</v>
      </c>
      <c r="F14" s="51" t="n">
        <f aca="false">D14/$D$2</f>
        <v>-356.440635240736</v>
      </c>
      <c r="G14" s="51" t="n">
        <v>180.01</v>
      </c>
      <c r="H14" s="53" t="n">
        <v>0</v>
      </c>
      <c r="I14" s="51" t="n">
        <f aca="false">G14+H14</f>
        <v>180.01</v>
      </c>
      <c r="J14" s="81" t="n">
        <f aca="false">IF(L14&gt;0,L14,0)</f>
        <v>0</v>
      </c>
      <c r="K14" s="51" t="n">
        <f aca="false">I14+J14</f>
        <v>180.01</v>
      </c>
      <c r="L14" s="51" t="n">
        <f aca="false">F14-(I14-X14)</f>
        <v>-33.590635240736</v>
      </c>
      <c r="M14" s="51" t="n">
        <v>173.48</v>
      </c>
      <c r="N14" s="6" t="n">
        <v>0</v>
      </c>
      <c r="O14" s="51" t="n">
        <v>0</v>
      </c>
      <c r="P14" s="6" t="n">
        <f aca="false">M14-(N14+O14)</f>
        <v>173.48</v>
      </c>
      <c r="Q14" s="51" t="n">
        <v>151.44</v>
      </c>
      <c r="R14" s="51" t="n">
        <v>74.08</v>
      </c>
      <c r="S14" s="51" t="n">
        <f aca="false">SUM(P14:R14)</f>
        <v>399</v>
      </c>
      <c r="T14" s="52" t="n">
        <f aca="false">(I14-S14)+T13</f>
        <v>9973.88999999998</v>
      </c>
      <c r="U14" s="51" t="n">
        <v>72</v>
      </c>
      <c r="V14" s="51" t="n">
        <v>31.86</v>
      </c>
      <c r="W14" s="55" t="n">
        <f aca="false">V14-20</f>
        <v>11.86</v>
      </c>
      <c r="X14" s="6" t="n">
        <f aca="false">N14+O14+S14+U14+V14</f>
        <v>502.86</v>
      </c>
      <c r="Y14" s="51" t="n">
        <f aca="false">IF(L14&lt;0,L14*-1,0)</f>
        <v>33.590635240736</v>
      </c>
      <c r="Z14" s="51" t="n">
        <f aca="false">X14+Y14</f>
        <v>536.450635240736</v>
      </c>
      <c r="AA14" s="56" t="n">
        <v>0.02</v>
      </c>
      <c r="AB14" s="57" t="n">
        <v>73</v>
      </c>
      <c r="AC14" s="57" t="n">
        <v>52</v>
      </c>
      <c r="AD14" s="58" t="n">
        <v>5</v>
      </c>
      <c r="AE14" s="94"/>
      <c r="AF14" s="94"/>
    </row>
    <row r="15" customFormat="false" ht="11.1" hidden="false" customHeight="true" outlineLevel="0" collapsed="false">
      <c r="A15" s="58" t="n">
        <v>6</v>
      </c>
      <c r="B15" s="73" t="n">
        <v>6889.61</v>
      </c>
      <c r="C15" s="52" t="n">
        <v>246855</v>
      </c>
      <c r="D15" s="57" t="n">
        <f aca="false">C15-C14</f>
        <v>-471</v>
      </c>
      <c r="E15" s="52" t="n">
        <f aca="false">C15-151978</f>
        <v>94877</v>
      </c>
      <c r="F15" s="51" t="n">
        <f aca="false">D15/$D$2</f>
        <v>-237.45903705571</v>
      </c>
      <c r="G15" s="51" t="n">
        <v>205.54</v>
      </c>
      <c r="H15" s="53" t="n">
        <v>0</v>
      </c>
      <c r="I15" s="51" t="n">
        <f aca="false">G15+H15</f>
        <v>205.54</v>
      </c>
      <c r="J15" s="81" t="n">
        <f aca="false">IF(L15&gt;0,L15,0)</f>
        <v>9.86096294429044</v>
      </c>
      <c r="K15" s="51" t="n">
        <f aca="false">I15+J15</f>
        <v>215.40096294429</v>
      </c>
      <c r="L15" s="51" t="n">
        <f aca="false">F15-(I15-X15)</f>
        <v>9.86096294429044</v>
      </c>
      <c r="M15" s="51" t="n">
        <v>157.95</v>
      </c>
      <c r="N15" s="6" t="n">
        <v>0</v>
      </c>
      <c r="O15" s="51" t="n">
        <v>0</v>
      </c>
      <c r="P15" s="6" t="n">
        <f aca="false">M15-(N15+O15)</f>
        <v>157.95</v>
      </c>
      <c r="Q15" s="51" t="n">
        <v>101.54</v>
      </c>
      <c r="R15" s="51" t="n">
        <v>73.51</v>
      </c>
      <c r="S15" s="51" t="n">
        <f aca="false">SUM(P15:R15)</f>
        <v>333</v>
      </c>
      <c r="T15" s="52" t="n">
        <f aca="false">(I15-S15)+T14</f>
        <v>9846.42999999998</v>
      </c>
      <c r="U15" s="51" t="n">
        <v>88</v>
      </c>
      <c r="V15" s="51" t="n">
        <v>31.86</v>
      </c>
      <c r="W15" s="55" t="n">
        <f aca="false">V15-20</f>
        <v>11.86</v>
      </c>
      <c r="X15" s="6" t="n">
        <f aca="false">N15+O15+S15+U15+V15</f>
        <v>452.86</v>
      </c>
      <c r="Y15" s="51" t="n">
        <f aca="false">IF(L15&lt;0,L15*-1,0)</f>
        <v>0</v>
      </c>
      <c r="Z15" s="51" t="n">
        <f aca="false">X15+Y15</f>
        <v>452.86</v>
      </c>
      <c r="AA15" s="56" t="n">
        <v>0</v>
      </c>
      <c r="AB15" s="57" t="n">
        <v>76</v>
      </c>
      <c r="AC15" s="57" t="n">
        <v>50</v>
      </c>
      <c r="AD15" s="58" t="n">
        <v>6</v>
      </c>
      <c r="AE15" s="94"/>
      <c r="AF15" s="94"/>
    </row>
    <row r="16" customFormat="false" ht="11.1" hidden="false" customHeight="true" outlineLevel="0" collapsed="false">
      <c r="A16" s="58" t="n">
        <v>7</v>
      </c>
      <c r="B16" s="73" t="n">
        <v>6889.46</v>
      </c>
      <c r="C16" s="52" t="n">
        <v>246350</v>
      </c>
      <c r="D16" s="57" t="n">
        <f aca="false">C16-C15</f>
        <v>-505</v>
      </c>
      <c r="E16" s="52" t="n">
        <f aca="false">C16-151978</f>
        <v>94372</v>
      </c>
      <c r="F16" s="51" t="n">
        <f aca="false">D16/$D$2</f>
        <v>-254.600453743383</v>
      </c>
      <c r="G16" s="51" t="n">
        <v>190.54</v>
      </c>
      <c r="H16" s="53" t="n">
        <v>0</v>
      </c>
      <c r="I16" s="51" t="n">
        <f aca="false">G16+H16</f>
        <v>190.54</v>
      </c>
      <c r="J16" s="81" t="n">
        <f aca="false">IF(L16&gt;0,L16,0)</f>
        <v>0</v>
      </c>
      <c r="K16" s="51" t="n">
        <f aca="false">I16+J16</f>
        <v>190.54</v>
      </c>
      <c r="L16" s="51" t="n">
        <f aca="false">F16-(I16-X16)</f>
        <v>-34.2404537433829</v>
      </c>
      <c r="M16" s="51" t="n">
        <v>151.9</v>
      </c>
      <c r="N16" s="6" t="n">
        <v>0</v>
      </c>
      <c r="O16" s="51" t="n">
        <v>0</v>
      </c>
      <c r="P16" s="6" t="n">
        <f aca="false">M16-(N16+O16)</f>
        <v>151.9</v>
      </c>
      <c r="Q16" s="51" t="n">
        <v>78.16</v>
      </c>
      <c r="R16" s="51" t="n">
        <v>73.94</v>
      </c>
      <c r="S16" s="51" t="n">
        <f aca="false">SUM(P16:R16)</f>
        <v>304</v>
      </c>
      <c r="T16" s="52" t="n">
        <f aca="false">(I16-S16)+T15</f>
        <v>9732.96999999998</v>
      </c>
      <c r="U16" s="51" t="n">
        <v>75</v>
      </c>
      <c r="V16" s="51" t="n">
        <v>31.9</v>
      </c>
      <c r="W16" s="55" t="n">
        <f aca="false">V16-20</f>
        <v>11.9</v>
      </c>
      <c r="X16" s="6" t="n">
        <f aca="false">N16+O16+S16+U16+V16</f>
        <v>410.9</v>
      </c>
      <c r="Y16" s="51" t="n">
        <f aca="false">IF(L16&lt;0,L16*-1,0)</f>
        <v>34.2404537433829</v>
      </c>
      <c r="Z16" s="51" t="n">
        <f aca="false">X16+Y16</f>
        <v>445.140453743383</v>
      </c>
      <c r="AA16" s="56" t="n">
        <v>0</v>
      </c>
      <c r="AB16" s="57" t="n">
        <v>78</v>
      </c>
      <c r="AC16" s="57" t="n">
        <v>50</v>
      </c>
      <c r="AD16" s="58" t="n">
        <v>7</v>
      </c>
      <c r="AE16" s="94"/>
      <c r="AF16" s="94"/>
    </row>
    <row r="17" customFormat="false" ht="11.1" hidden="false" customHeight="true" outlineLevel="0" collapsed="false">
      <c r="A17" s="58" t="n">
        <v>8</v>
      </c>
      <c r="B17" s="73" t="n">
        <v>6889.31</v>
      </c>
      <c r="C17" s="52" t="n">
        <v>245845</v>
      </c>
      <c r="D17" s="57" t="n">
        <f aca="false">C17-C16</f>
        <v>-505</v>
      </c>
      <c r="E17" s="52" t="n">
        <f aca="false">C17-151978</f>
        <v>93867</v>
      </c>
      <c r="F17" s="51" t="n">
        <f aca="false">D17/$D$2</f>
        <v>-254.600453743383</v>
      </c>
      <c r="G17" s="51" t="n">
        <v>204.28</v>
      </c>
      <c r="H17" s="53" t="n">
        <v>0</v>
      </c>
      <c r="I17" s="51" t="n">
        <f aca="false">G17+H17</f>
        <v>204.28</v>
      </c>
      <c r="J17" s="81" t="n">
        <f aca="false">IF(L17&gt;0,L17,0)</f>
        <v>0</v>
      </c>
      <c r="K17" s="51" t="n">
        <f aca="false">I17+J17</f>
        <v>204.28</v>
      </c>
      <c r="L17" s="51" t="n">
        <f aca="false">F17-(I17-X17)</f>
        <v>-45.9704537433829</v>
      </c>
      <c r="M17" s="51" t="n">
        <v>151.9</v>
      </c>
      <c r="N17" s="6" t="n">
        <v>0</v>
      </c>
      <c r="O17" s="51" t="n">
        <v>0</v>
      </c>
      <c r="P17" s="6" t="n">
        <f aca="false">M17-(N17+O17)</f>
        <v>151.9</v>
      </c>
      <c r="Q17" s="51" t="n">
        <v>77.97</v>
      </c>
      <c r="R17" s="51" t="n">
        <v>73.13</v>
      </c>
      <c r="S17" s="51" t="n">
        <f aca="false">SUM(P17:R17)</f>
        <v>303</v>
      </c>
      <c r="T17" s="52" t="n">
        <f aca="false">(I17-S17)+T16</f>
        <v>9634.24999999999</v>
      </c>
      <c r="U17" s="51" t="n">
        <v>78</v>
      </c>
      <c r="V17" s="51" t="n">
        <v>31.91</v>
      </c>
      <c r="W17" s="55" t="n">
        <f aca="false">V17-20</f>
        <v>11.91</v>
      </c>
      <c r="X17" s="6" t="n">
        <f aca="false">N17+O17+S17+U17+V17</f>
        <v>412.91</v>
      </c>
      <c r="Y17" s="51" t="n">
        <f aca="false">IF(L17&lt;0,L17*-1,0)</f>
        <v>45.9704537433829</v>
      </c>
      <c r="Z17" s="51" t="n">
        <f aca="false">X17+Y17</f>
        <v>458.880453743383</v>
      </c>
      <c r="AA17" s="56" t="n">
        <v>0</v>
      </c>
      <c r="AB17" s="57" t="n">
        <v>81</v>
      </c>
      <c r="AC17" s="57" t="n">
        <v>50</v>
      </c>
      <c r="AD17" s="58" t="n">
        <v>8</v>
      </c>
      <c r="AE17" s="94"/>
      <c r="AF17" s="94"/>
    </row>
    <row r="18" customFormat="false" ht="11.1" hidden="false" customHeight="true" outlineLevel="0" collapsed="false">
      <c r="A18" s="58" t="n">
        <v>9</v>
      </c>
      <c r="B18" s="73" t="n">
        <v>6889.16</v>
      </c>
      <c r="C18" s="52" t="n">
        <v>245340</v>
      </c>
      <c r="D18" s="57" t="n">
        <f aca="false">C18-C17</f>
        <v>-505</v>
      </c>
      <c r="E18" s="52" t="n">
        <f aca="false">C18-151978</f>
        <v>93362</v>
      </c>
      <c r="F18" s="51" t="n">
        <f aca="false">D18/$D$2</f>
        <v>-254.600453743383</v>
      </c>
      <c r="G18" s="51" t="n">
        <v>188.22</v>
      </c>
      <c r="H18" s="53" t="n">
        <v>0</v>
      </c>
      <c r="I18" s="51" t="n">
        <f aca="false">G18+H18</f>
        <v>188.22</v>
      </c>
      <c r="J18" s="81" t="n">
        <f aca="false">IF(L18&gt;0,L18,0)</f>
        <v>0</v>
      </c>
      <c r="K18" s="51" t="n">
        <f aca="false">I18+J18</f>
        <v>188.22</v>
      </c>
      <c r="L18" s="51" t="n">
        <f aca="false">F18-(I18-X18)</f>
        <v>-42.9204537433829</v>
      </c>
      <c r="M18" s="51" t="n">
        <v>151.85</v>
      </c>
      <c r="N18" s="51" t="n">
        <v>0</v>
      </c>
      <c r="O18" s="51" t="n">
        <v>0</v>
      </c>
      <c r="P18" s="6" t="n">
        <f aca="false">M18-(N18+O18)</f>
        <v>151.85</v>
      </c>
      <c r="Q18" s="51" t="n">
        <v>77.88</v>
      </c>
      <c r="R18" s="51" t="n">
        <v>72.27</v>
      </c>
      <c r="S18" s="51" t="n">
        <f aca="false">SUM(P18:R18)</f>
        <v>302</v>
      </c>
      <c r="T18" s="52" t="n">
        <f aca="false">(I18-S18)+T17</f>
        <v>9520.46999999999</v>
      </c>
      <c r="U18" s="51" t="n">
        <v>66</v>
      </c>
      <c r="V18" s="51" t="n">
        <v>31.9</v>
      </c>
      <c r="W18" s="55" t="n">
        <f aca="false">V18-20</f>
        <v>11.9</v>
      </c>
      <c r="X18" s="6" t="n">
        <f aca="false">N18+O18+S18+U18+V18</f>
        <v>399.9</v>
      </c>
      <c r="Y18" s="51" t="n">
        <f aca="false">IF(L18&lt;0,L18*-1,0)</f>
        <v>42.9204537433829</v>
      </c>
      <c r="Z18" s="51" t="n">
        <f aca="false">X18+Y18</f>
        <v>442.820453743383</v>
      </c>
      <c r="AA18" s="56" t="n">
        <v>0</v>
      </c>
      <c r="AB18" s="57" t="n">
        <v>80</v>
      </c>
      <c r="AC18" s="57" t="n">
        <v>50</v>
      </c>
      <c r="AD18" s="58" t="n">
        <v>9</v>
      </c>
      <c r="AE18" s="94"/>
      <c r="AF18" s="94"/>
    </row>
    <row r="19" customFormat="false" ht="11.1" hidden="false" customHeight="true" outlineLevel="0" collapsed="false">
      <c r="A19" s="58" t="n">
        <v>10</v>
      </c>
      <c r="B19" s="73" t="n">
        <v>6889.02</v>
      </c>
      <c r="C19" s="52" t="n">
        <v>244869</v>
      </c>
      <c r="D19" s="57" t="n">
        <f aca="false">C19-C18</f>
        <v>-471</v>
      </c>
      <c r="E19" s="52" t="n">
        <f aca="false">C19-151978</f>
        <v>92891</v>
      </c>
      <c r="F19" s="51" t="n">
        <f aca="false">D19/$D$2</f>
        <v>-237.45903705571</v>
      </c>
      <c r="G19" s="51" t="n">
        <v>172.06</v>
      </c>
      <c r="H19" s="53" t="n">
        <v>0.01</v>
      </c>
      <c r="I19" s="51" t="n">
        <f aca="false">G19+H19</f>
        <v>172.07</v>
      </c>
      <c r="J19" s="81" t="n">
        <f aca="false">IF(L19&gt;0,L19,0)</f>
        <v>0</v>
      </c>
      <c r="K19" s="51" t="n">
        <f aca="false">I19+J19</f>
        <v>172.07</v>
      </c>
      <c r="L19" s="51" t="n">
        <f aca="false">F19-(I19-X19)</f>
        <v>-6.63903705570959</v>
      </c>
      <c r="M19" s="51" t="n">
        <v>151.39</v>
      </c>
      <c r="N19" s="51" t="n">
        <v>0</v>
      </c>
      <c r="O19" s="51" t="n">
        <v>0</v>
      </c>
      <c r="P19" s="6" t="n">
        <f aca="false">M19-(N19+O19)</f>
        <v>151.39</v>
      </c>
      <c r="Q19" s="51" t="n">
        <v>77.66</v>
      </c>
      <c r="R19" s="51" t="n">
        <v>72.95</v>
      </c>
      <c r="S19" s="51" t="n">
        <f aca="false">SUM(P19:R19)</f>
        <v>302</v>
      </c>
      <c r="T19" s="52" t="n">
        <f aca="false">(I19-S19)+T18</f>
        <v>9390.53999999998</v>
      </c>
      <c r="U19" s="51" t="n">
        <v>69</v>
      </c>
      <c r="V19" s="51" t="n">
        <v>31.89</v>
      </c>
      <c r="W19" s="55" t="n">
        <f aca="false">V19-20</f>
        <v>11.89</v>
      </c>
      <c r="X19" s="6" t="n">
        <f aca="false">N19+O19+S19+U19+V19</f>
        <v>402.89</v>
      </c>
      <c r="Y19" s="51" t="n">
        <f aca="false">IF(L19&lt;0,L19*-1,0)</f>
        <v>6.63903705570959</v>
      </c>
      <c r="Z19" s="51" t="n">
        <f aca="false">X19+Y19</f>
        <v>409.52903705571</v>
      </c>
      <c r="AA19" s="56" t="n">
        <v>0</v>
      </c>
      <c r="AB19" s="57" t="n">
        <v>81</v>
      </c>
      <c r="AC19" s="57" t="n">
        <v>49</v>
      </c>
      <c r="AD19" s="58" t="n">
        <v>10</v>
      </c>
      <c r="AE19" s="94"/>
      <c r="AF19" s="94"/>
    </row>
    <row r="20" customFormat="false" ht="11.1" hidden="false" customHeight="true" outlineLevel="0" collapsed="false">
      <c r="A20" s="58" t="n">
        <v>11</v>
      </c>
      <c r="B20" s="73" t="n">
        <v>3888.83</v>
      </c>
      <c r="C20" s="52" t="n">
        <v>244235</v>
      </c>
      <c r="D20" s="57" t="n">
        <f aca="false">C20-C19</f>
        <v>-634</v>
      </c>
      <c r="E20" s="52" t="n">
        <f aca="false">C20-151978</f>
        <v>92257</v>
      </c>
      <c r="F20" s="51" t="n">
        <f aca="false">D20/$D$2</f>
        <v>-319.637005293673</v>
      </c>
      <c r="G20" s="51" t="n">
        <v>163.9</v>
      </c>
      <c r="H20" s="53" t="n">
        <v>0</v>
      </c>
      <c r="I20" s="51" t="n">
        <f aca="false">G20+H20</f>
        <v>163.9</v>
      </c>
      <c r="J20" s="81" t="n">
        <f aca="false">IF(L20&gt;0,L20,0)</f>
        <v>0</v>
      </c>
      <c r="K20" s="51" t="n">
        <f aca="false">I20+J20</f>
        <v>163.9</v>
      </c>
      <c r="L20" s="51" t="n">
        <f aca="false">F20-(I20-X20)</f>
        <v>-84.5470052936728</v>
      </c>
      <c r="M20" s="51" t="n">
        <v>151.46</v>
      </c>
      <c r="N20" s="51" t="n">
        <v>0</v>
      </c>
      <c r="O20" s="51" t="n">
        <v>0</v>
      </c>
      <c r="P20" s="6" t="n">
        <f aca="false">M20-(N20+O20)</f>
        <v>151.46</v>
      </c>
      <c r="Q20" s="51" t="n">
        <v>77.45</v>
      </c>
      <c r="R20" s="51" t="n">
        <v>73.09</v>
      </c>
      <c r="S20" s="51" t="n">
        <f aca="false">SUM(P20:R20)</f>
        <v>302</v>
      </c>
      <c r="T20" s="52" t="n">
        <f aca="false">(I20-S20)+T19</f>
        <v>9252.43999999998</v>
      </c>
      <c r="U20" s="51" t="n">
        <v>65</v>
      </c>
      <c r="V20" s="51" t="n">
        <v>31.99</v>
      </c>
      <c r="W20" s="55" t="n">
        <f aca="false">V20-20</f>
        <v>11.99</v>
      </c>
      <c r="X20" s="6" t="n">
        <f aca="false">N20+O20+S20+U20+V20</f>
        <v>398.99</v>
      </c>
      <c r="Y20" s="51" t="n">
        <f aca="false">IF(L20&lt;0,L20*-1,0)</f>
        <v>84.5470052936728</v>
      </c>
      <c r="Z20" s="51" t="n">
        <f aca="false">X20+Y20</f>
        <v>483.537005293673</v>
      </c>
      <c r="AA20" s="56" t="n">
        <v>0</v>
      </c>
      <c r="AB20" s="57" t="n">
        <v>86</v>
      </c>
      <c r="AC20" s="57" t="n">
        <v>50</v>
      </c>
      <c r="AD20" s="58" t="n">
        <v>11</v>
      </c>
      <c r="AE20" s="94"/>
      <c r="AF20" s="94"/>
    </row>
    <row r="21" customFormat="false" ht="11.1" hidden="false" customHeight="true" outlineLevel="0" collapsed="false">
      <c r="A21" s="58" t="n">
        <v>12</v>
      </c>
      <c r="B21" s="73" t="n">
        <v>6888.65</v>
      </c>
      <c r="C21" s="52" t="n">
        <v>243635</v>
      </c>
      <c r="D21" s="57" t="n">
        <f aca="false">C21-C20</f>
        <v>-600</v>
      </c>
      <c r="E21" s="52" t="n">
        <f aca="false">C21-151978</f>
        <v>91657</v>
      </c>
      <c r="F21" s="51" t="n">
        <f aca="false">D21/$D$2</f>
        <v>-302.495588605999</v>
      </c>
      <c r="G21" s="51" t="n">
        <v>153.13</v>
      </c>
      <c r="H21" s="53" t="n">
        <v>0</v>
      </c>
      <c r="I21" s="51" t="n">
        <f aca="false">G21+H21</f>
        <v>153.13</v>
      </c>
      <c r="J21" s="81" t="n">
        <f aca="false">IF(L21&gt;0,L21,0)</f>
        <v>0</v>
      </c>
      <c r="K21" s="51" t="n">
        <f aca="false">I21+J21</f>
        <v>153.13</v>
      </c>
      <c r="L21" s="51" t="n">
        <f aca="false">F21-(I21-X21)</f>
        <v>-44.8355886059995</v>
      </c>
      <c r="M21" s="51" t="n">
        <v>150.74</v>
      </c>
      <c r="N21" s="51" t="n">
        <v>0</v>
      </c>
      <c r="O21" s="51" t="n">
        <v>0</v>
      </c>
      <c r="P21" s="6" t="n">
        <f aca="false">M21-(N21+O21)</f>
        <v>150.74</v>
      </c>
      <c r="Q21" s="51" t="n">
        <v>77.64</v>
      </c>
      <c r="R21" s="51" t="n">
        <v>72.62</v>
      </c>
      <c r="S21" s="51" t="n">
        <f aca="false">SUM(P21:R21)</f>
        <v>301</v>
      </c>
      <c r="T21" s="52" t="n">
        <f aca="false">(I21-S21)+T20</f>
        <v>9104.56999999998</v>
      </c>
      <c r="U21" s="51" t="n">
        <v>78</v>
      </c>
      <c r="V21" s="51" t="n">
        <v>31.79</v>
      </c>
      <c r="W21" s="55" t="n">
        <f aca="false">V21-20</f>
        <v>11.79</v>
      </c>
      <c r="X21" s="6" t="n">
        <f aca="false">N21+O21+S21+U21+V21</f>
        <v>410.79</v>
      </c>
      <c r="Y21" s="51" t="n">
        <f aca="false">IF(L21&lt;0,L21*-1,0)</f>
        <v>44.8355886059995</v>
      </c>
      <c r="Z21" s="51" t="n">
        <f aca="false">X21+Y21</f>
        <v>455.625588606</v>
      </c>
      <c r="AA21" s="56" t="n">
        <v>0</v>
      </c>
      <c r="AB21" s="57" t="n">
        <v>85</v>
      </c>
      <c r="AC21" s="57" t="n">
        <v>53</v>
      </c>
      <c r="AD21" s="58" t="n">
        <v>12</v>
      </c>
      <c r="AE21" s="94"/>
      <c r="AF21" s="94"/>
    </row>
    <row r="22" customFormat="false" ht="11.1" hidden="false" customHeight="true" outlineLevel="0" collapsed="false">
      <c r="A22" s="58" t="n">
        <v>13</v>
      </c>
      <c r="B22" s="73" t="n">
        <v>6888.59</v>
      </c>
      <c r="C22" s="52" t="n">
        <v>243402</v>
      </c>
      <c r="D22" s="57" t="n">
        <f aca="false">C22-C21</f>
        <v>-233</v>
      </c>
      <c r="E22" s="52" t="n">
        <f aca="false">C22-151978</f>
        <v>91424</v>
      </c>
      <c r="F22" s="51" t="n">
        <f aca="false">D22/$D$2</f>
        <v>-117.469120241996</v>
      </c>
      <c r="G22" s="51" t="n">
        <v>146.05</v>
      </c>
      <c r="H22" s="53" t="n">
        <v>0.01</v>
      </c>
      <c r="I22" s="51" t="n">
        <f aca="false">G22+H22</f>
        <v>146.06</v>
      </c>
      <c r="J22" s="81" t="n">
        <f aca="false">IF(L22&gt;0,L22,0)</f>
        <v>135.990879758004</v>
      </c>
      <c r="K22" s="51" t="n">
        <f aca="false">I22+J22</f>
        <v>282.050879758003</v>
      </c>
      <c r="L22" s="51" t="n">
        <f aca="false">F22-(I22-X22)</f>
        <v>135.990879758004</v>
      </c>
      <c r="M22" s="51" t="n">
        <v>150.61</v>
      </c>
      <c r="N22" s="51" t="n">
        <v>0</v>
      </c>
      <c r="O22" s="51" t="n">
        <v>0</v>
      </c>
      <c r="P22" s="6" t="n">
        <f aca="false">M22-(N22+O22)</f>
        <v>150.61</v>
      </c>
      <c r="Q22" s="51" t="n">
        <v>79.06</v>
      </c>
      <c r="R22" s="51" t="n">
        <v>72.33</v>
      </c>
      <c r="S22" s="51" t="n">
        <f aca="false">SUM(P22:R22)</f>
        <v>302</v>
      </c>
      <c r="T22" s="52" t="n">
        <f aca="false">(I22-S22)+T21</f>
        <v>8948.62999999998</v>
      </c>
      <c r="U22" s="51" t="n">
        <v>66</v>
      </c>
      <c r="V22" s="51" t="n">
        <v>31.52</v>
      </c>
      <c r="W22" s="55" t="n">
        <f aca="false">V22-20</f>
        <v>11.52</v>
      </c>
      <c r="X22" s="6" t="n">
        <f aca="false">N22+O22+S22+U22+V22</f>
        <v>399.52</v>
      </c>
      <c r="Y22" s="51" t="n">
        <f aca="false">IF(L22&lt;0,L22*-1,0)</f>
        <v>0</v>
      </c>
      <c r="Z22" s="51" t="n">
        <f aca="false">X22+Y22</f>
        <v>399.52</v>
      </c>
      <c r="AA22" s="56" t="n">
        <v>0</v>
      </c>
      <c r="AB22" s="57" t="n">
        <v>86</v>
      </c>
      <c r="AC22" s="57" t="n">
        <v>52</v>
      </c>
      <c r="AD22" s="58" t="n">
        <v>13</v>
      </c>
      <c r="AE22" s="94"/>
      <c r="AF22" s="94"/>
    </row>
    <row r="23" customFormat="false" ht="11.1" hidden="false" customHeight="true" outlineLevel="0" collapsed="false">
      <c r="A23" s="58" t="n">
        <v>14</v>
      </c>
      <c r="B23" s="73" t="n">
        <v>6888.38</v>
      </c>
      <c r="C23" s="52" t="n">
        <v>242735</v>
      </c>
      <c r="D23" s="57" t="n">
        <f aca="false">C23-C22</f>
        <v>-667</v>
      </c>
      <c r="E23" s="52" t="n">
        <f aca="false">C23-151978</f>
        <v>90757</v>
      </c>
      <c r="F23" s="51" t="n">
        <f aca="false">D23/$D$2</f>
        <v>-336.274262667003</v>
      </c>
      <c r="G23" s="51" t="n">
        <v>139.33</v>
      </c>
      <c r="H23" s="53" t="n">
        <v>0.01</v>
      </c>
      <c r="I23" s="51" t="n">
        <f aca="false">G23+H23</f>
        <v>139.34</v>
      </c>
      <c r="J23" s="81" t="n">
        <f aca="false">IF(L23&gt;0,L23,0)</f>
        <v>0</v>
      </c>
      <c r="K23" s="51" t="n">
        <f aca="false">I23+J23</f>
        <v>139.34</v>
      </c>
      <c r="L23" s="51" t="n">
        <f aca="false">F23-(I23-X23)</f>
        <v>-78.8342626670028</v>
      </c>
      <c r="M23" s="51" t="n">
        <v>139.93</v>
      </c>
      <c r="N23" s="51" t="n">
        <v>0</v>
      </c>
      <c r="O23" s="51" t="n">
        <v>0</v>
      </c>
      <c r="P23" s="6" t="n">
        <f aca="false">M23-(N23+O23)</f>
        <v>139.93</v>
      </c>
      <c r="Q23" s="51" t="n">
        <v>79.4</v>
      </c>
      <c r="R23" s="51" t="n">
        <v>73.67</v>
      </c>
      <c r="S23" s="51" t="n">
        <f aca="false">SUM(P23:R23)</f>
        <v>293</v>
      </c>
      <c r="T23" s="52" t="n">
        <f aca="false">(I23-S23)+T22</f>
        <v>8794.96999999998</v>
      </c>
      <c r="U23" s="51" t="n">
        <v>72</v>
      </c>
      <c r="V23" s="51" t="n">
        <v>31.78</v>
      </c>
      <c r="W23" s="55" t="n">
        <f aca="false">V23-20</f>
        <v>11.78</v>
      </c>
      <c r="X23" s="6" t="n">
        <f aca="false">N23+O23+S23+U23+V23</f>
        <v>396.78</v>
      </c>
      <c r="Y23" s="51" t="n">
        <f aca="false">IF(L23&lt;0,L23*-1,0)</f>
        <v>78.8342626670028</v>
      </c>
      <c r="Z23" s="51" t="n">
        <f aca="false">X23+Y23</f>
        <v>475.614262667003</v>
      </c>
      <c r="AA23" s="56" t="n">
        <v>0</v>
      </c>
      <c r="AB23" s="57" t="n">
        <v>85</v>
      </c>
      <c r="AC23" s="57" t="n">
        <v>52</v>
      </c>
      <c r="AD23" s="58" t="n">
        <v>14</v>
      </c>
      <c r="AE23" s="94"/>
      <c r="AF23" s="94"/>
    </row>
    <row r="24" customFormat="false" ht="11.1" hidden="false" customHeight="true" outlineLevel="0" collapsed="false">
      <c r="A24" s="58" t="n">
        <v>15</v>
      </c>
      <c r="B24" s="73" t="n">
        <v>6888.17</v>
      </c>
      <c r="C24" s="52" t="n">
        <v>242036</v>
      </c>
      <c r="D24" s="57" t="n">
        <f aca="false">C24-C23</f>
        <v>-699</v>
      </c>
      <c r="E24" s="52" t="n">
        <f aca="false">C24-151978</f>
        <v>90058</v>
      </c>
      <c r="F24" s="51" t="n">
        <f aca="false">D24/$D$2</f>
        <v>-352.407360725989</v>
      </c>
      <c r="G24" s="51" t="n">
        <v>90.4</v>
      </c>
      <c r="H24" s="53" t="n">
        <v>0</v>
      </c>
      <c r="I24" s="51" t="n">
        <f aca="false">G24+H24</f>
        <v>90.4</v>
      </c>
      <c r="J24" s="81" t="n">
        <f aca="false">IF(L24&gt;0,L24,0)</f>
        <v>0</v>
      </c>
      <c r="K24" s="51" t="n">
        <f aca="false">I24+J24</f>
        <v>90.4</v>
      </c>
      <c r="L24" s="51" t="n">
        <f aca="false">F24-(I24-X24)</f>
        <v>-62.9173607259894</v>
      </c>
      <c r="M24" s="51" t="n">
        <v>133.43</v>
      </c>
      <c r="N24" s="51" t="n">
        <v>0</v>
      </c>
      <c r="O24" s="51" t="n">
        <v>0</v>
      </c>
      <c r="P24" s="6" t="n">
        <f aca="false">M24-(N24+O24)</f>
        <v>133.43</v>
      </c>
      <c r="Q24" s="51" t="n">
        <v>78.85</v>
      </c>
      <c r="R24" s="51" t="n">
        <v>72.72</v>
      </c>
      <c r="S24" s="51" t="n">
        <f aca="false">SUM(P24:R24)</f>
        <v>285</v>
      </c>
      <c r="T24" s="52" t="n">
        <f aca="false">(I24-S24)+T23</f>
        <v>8600.36999999998</v>
      </c>
      <c r="U24" s="51" t="n">
        <v>63</v>
      </c>
      <c r="V24" s="51" t="n">
        <v>31.89</v>
      </c>
      <c r="W24" s="55" t="n">
        <f aca="false">V24-20</f>
        <v>11.89</v>
      </c>
      <c r="X24" s="6" t="n">
        <f aca="false">N24+O24+S24+U24+V24</f>
        <v>379.89</v>
      </c>
      <c r="Y24" s="51" t="n">
        <f aca="false">IF(L24&lt;0,L24*-1,0)</f>
        <v>62.9173607259894</v>
      </c>
      <c r="Z24" s="51" t="n">
        <f aca="false">X24+Y24</f>
        <v>442.807360725989</v>
      </c>
      <c r="AA24" s="56" t="n">
        <v>0</v>
      </c>
      <c r="AB24" s="57" t="n">
        <v>85</v>
      </c>
      <c r="AC24" s="57" t="n">
        <v>53</v>
      </c>
      <c r="AD24" s="58" t="n">
        <v>15</v>
      </c>
      <c r="AE24" s="94"/>
      <c r="AF24" s="94"/>
    </row>
    <row r="25" customFormat="false" ht="11.1" hidden="false" customHeight="true" outlineLevel="0" collapsed="false">
      <c r="A25" s="58" t="n">
        <v>16</v>
      </c>
      <c r="B25" s="73" t="n">
        <v>6887.95</v>
      </c>
      <c r="C25" s="52" t="n">
        <v>241304</v>
      </c>
      <c r="D25" s="57" t="n">
        <f aca="false">C25-C24</f>
        <v>-732</v>
      </c>
      <c r="E25" s="52" t="n">
        <f aca="false">C25-151978</f>
        <v>89326</v>
      </c>
      <c r="F25" s="51" t="n">
        <f aca="false">D25/$D$2</f>
        <v>-369.044618099319</v>
      </c>
      <c r="G25" s="51" t="n">
        <v>91.68</v>
      </c>
      <c r="H25" s="53" t="n">
        <v>0</v>
      </c>
      <c r="I25" s="51" t="n">
        <f aca="false">G25+H25</f>
        <v>91.68</v>
      </c>
      <c r="J25" s="81" t="n">
        <f aca="false">IF(L25&gt;0,L25,0)</f>
        <v>0</v>
      </c>
      <c r="K25" s="51" t="n">
        <f aca="false">I25+J25</f>
        <v>91.68</v>
      </c>
      <c r="L25" s="51" t="n">
        <f aca="false">F25-(I25-X25)</f>
        <v>-91.8246180993194</v>
      </c>
      <c r="M25" s="51" t="n">
        <v>132.79</v>
      </c>
      <c r="N25" s="51" t="n">
        <v>0</v>
      </c>
      <c r="O25" s="51" t="n">
        <v>0</v>
      </c>
      <c r="P25" s="6" t="n">
        <f aca="false">M25-(N25+O25)</f>
        <v>132.79</v>
      </c>
      <c r="Q25" s="51" t="n">
        <v>78.7</v>
      </c>
      <c r="R25" s="51" t="n">
        <v>73.51</v>
      </c>
      <c r="S25" s="51" t="n">
        <f aca="false">SUM(P25:R25)</f>
        <v>285</v>
      </c>
      <c r="T25" s="52" t="n">
        <f aca="false">(I25-S25)+T24</f>
        <v>8407.04999999998</v>
      </c>
      <c r="U25" s="51" t="n">
        <v>52</v>
      </c>
      <c r="V25" s="51" t="n">
        <v>31.9</v>
      </c>
      <c r="W25" s="55" t="n">
        <f aca="false">V25-20</f>
        <v>11.9</v>
      </c>
      <c r="X25" s="6" t="n">
        <f aca="false">N25+O25+S25+U25+V25</f>
        <v>368.9</v>
      </c>
      <c r="Y25" s="51" t="n">
        <f aca="false">IF(L25&lt;0,L25*-1,0)</f>
        <v>91.8246180993194</v>
      </c>
      <c r="Z25" s="51" t="n">
        <f aca="false">X25+Y25</f>
        <v>460.724618099319</v>
      </c>
      <c r="AA25" s="56" t="n">
        <v>0</v>
      </c>
      <c r="AB25" s="57" t="n">
        <v>82</v>
      </c>
      <c r="AC25" s="57" t="n">
        <v>52</v>
      </c>
      <c r="AD25" s="58" t="n">
        <v>16</v>
      </c>
      <c r="AE25" s="94"/>
      <c r="AF25" s="94"/>
    </row>
    <row r="26" customFormat="false" ht="11.1" hidden="false" customHeight="true" outlineLevel="0" collapsed="false">
      <c r="A26" s="58" t="n">
        <v>17</v>
      </c>
      <c r="B26" s="73" t="n">
        <v>6887.78</v>
      </c>
      <c r="C26" s="52" t="n">
        <v>240744</v>
      </c>
      <c r="D26" s="57" t="n">
        <f aca="false">C26-C25</f>
        <v>-560</v>
      </c>
      <c r="E26" s="52" t="n">
        <f aca="false">C26-151978</f>
        <v>88766</v>
      </c>
      <c r="F26" s="51" t="n">
        <f aca="false">D26/$D$2</f>
        <v>-282.329216032266</v>
      </c>
      <c r="G26" s="51" t="n">
        <v>110.66</v>
      </c>
      <c r="H26" s="53" t="n">
        <v>0</v>
      </c>
      <c r="I26" s="51" t="n">
        <f aca="false">G26+H26</f>
        <v>110.66</v>
      </c>
      <c r="J26" s="81" t="n">
        <f aca="false">IF(L26&gt;0,L26,0)</f>
        <v>0</v>
      </c>
      <c r="K26" s="51" t="n">
        <f aca="false">I26+J26</f>
        <v>110.66</v>
      </c>
      <c r="L26" s="51" t="n">
        <f aca="false">F26-(I26-X26)</f>
        <v>-42.3492160322662</v>
      </c>
      <c r="M26" s="51" t="n">
        <v>116.59</v>
      </c>
      <c r="N26" s="51" t="n">
        <v>0</v>
      </c>
      <c r="O26" s="51" t="n">
        <v>0</v>
      </c>
      <c r="P26" s="6" t="n">
        <f aca="false">M26-(N26+O26)</f>
        <v>116.59</v>
      </c>
      <c r="Q26" s="51" t="n">
        <v>78.72</v>
      </c>
      <c r="R26" s="51" t="n">
        <v>69.69</v>
      </c>
      <c r="S26" s="51" t="n">
        <f aca="false">SUM(P26:R26)</f>
        <v>265</v>
      </c>
      <c r="T26" s="52" t="n">
        <f aca="false">(I26-S26)+T25</f>
        <v>8252.70999999998</v>
      </c>
      <c r="U26" s="51" t="n">
        <v>55</v>
      </c>
      <c r="V26" s="51" t="n">
        <v>30.64</v>
      </c>
      <c r="W26" s="55" t="n">
        <f aca="false">V26-20</f>
        <v>10.64</v>
      </c>
      <c r="X26" s="6" t="n">
        <f aca="false">N26+O26+S26+U26+V26</f>
        <v>350.64</v>
      </c>
      <c r="Y26" s="51" t="n">
        <f aca="false">IF(L26&lt;0,L26*-1,0)</f>
        <v>42.3492160322662</v>
      </c>
      <c r="Z26" s="51" t="n">
        <f aca="false">X26+Y26</f>
        <v>392.989216032266</v>
      </c>
      <c r="AA26" s="56" t="n">
        <v>0.05</v>
      </c>
      <c r="AB26" s="57" t="n">
        <v>76</v>
      </c>
      <c r="AC26" s="57" t="n">
        <v>53</v>
      </c>
      <c r="AD26" s="58" t="n">
        <v>17</v>
      </c>
      <c r="AE26" s="94"/>
      <c r="AF26" s="94"/>
    </row>
    <row r="27" customFormat="false" ht="11.1" hidden="false" customHeight="true" outlineLevel="0" collapsed="false">
      <c r="A27" s="58" t="n">
        <v>18</v>
      </c>
      <c r="B27" s="73" t="n">
        <v>6887.79</v>
      </c>
      <c r="C27" s="52" t="n">
        <v>240777</v>
      </c>
      <c r="D27" s="57" t="n">
        <f aca="false">C27-C26</f>
        <v>33</v>
      </c>
      <c r="E27" s="52" t="n">
        <f aca="false">C27-151978</f>
        <v>88799</v>
      </c>
      <c r="F27" s="51" t="n">
        <f aca="false">D27/$D$2</f>
        <v>16.63725737333</v>
      </c>
      <c r="G27" s="51" t="n">
        <v>307.74</v>
      </c>
      <c r="H27" s="53" t="n">
        <v>0</v>
      </c>
      <c r="I27" s="51" t="n">
        <f aca="false">G27+H27</f>
        <v>307.74</v>
      </c>
      <c r="J27" s="81" t="n">
        <f aca="false">IF(L27&gt;0,L27,0)</f>
        <v>0</v>
      </c>
      <c r="K27" s="51" t="n">
        <f aca="false">I27+J27</f>
        <v>307.74</v>
      </c>
      <c r="L27" s="51" t="n">
        <f aca="false">F27-(I27-X27)</f>
        <v>-0.00274262667001324</v>
      </c>
      <c r="M27" s="51" t="n">
        <v>95.94</v>
      </c>
      <c r="N27" s="51" t="n">
        <v>0</v>
      </c>
      <c r="O27" s="51" t="n">
        <v>0</v>
      </c>
      <c r="P27" s="6" t="n">
        <f aca="false">M27-(N27+O27)</f>
        <v>95.94</v>
      </c>
      <c r="Q27" s="51" t="n">
        <v>75.41</v>
      </c>
      <c r="R27" s="51" t="n">
        <v>63.65</v>
      </c>
      <c r="S27" s="51" t="n">
        <f aca="false">SUM(P27:R27)</f>
        <v>235</v>
      </c>
      <c r="T27" s="52" t="n">
        <f aca="false">(I27-S27)+T26</f>
        <v>8325.44999999998</v>
      </c>
      <c r="U27" s="51" t="n">
        <v>25</v>
      </c>
      <c r="V27" s="51" t="n">
        <v>31.1</v>
      </c>
      <c r="W27" s="55" t="n">
        <f aca="false">V27-20</f>
        <v>11.1</v>
      </c>
      <c r="X27" s="6" t="n">
        <f aca="false">N27+O27+S27+U27+V27</f>
        <v>291.1</v>
      </c>
      <c r="Y27" s="51" t="n">
        <f aca="false">IF(L27&lt;0,L27*-1,0)</f>
        <v>0.00274262667001324</v>
      </c>
      <c r="Z27" s="51" t="n">
        <f aca="false">X27+Y27</f>
        <v>291.10274262667</v>
      </c>
      <c r="AA27" s="56" t="n">
        <v>0.6</v>
      </c>
      <c r="AB27" s="57" t="n">
        <v>77</v>
      </c>
      <c r="AC27" s="57" t="n">
        <v>48</v>
      </c>
      <c r="AD27" s="58" t="n">
        <v>18</v>
      </c>
      <c r="AE27" s="94"/>
      <c r="AF27" s="94"/>
    </row>
    <row r="28" customFormat="false" ht="11.1" hidden="false" customHeight="true" outlineLevel="0" collapsed="false">
      <c r="A28" s="58" t="n">
        <v>19</v>
      </c>
      <c r="B28" s="73" t="n">
        <v>6887.73</v>
      </c>
      <c r="C28" s="52" t="n">
        <v>240579</v>
      </c>
      <c r="D28" s="57" t="n">
        <f aca="false">C28-C27</f>
        <v>-198</v>
      </c>
      <c r="E28" s="52" t="n">
        <f aca="false">C28-151978</f>
        <v>88601</v>
      </c>
      <c r="F28" s="51" t="n">
        <f aca="false">D28/$D$2</f>
        <v>-99.8235442399798</v>
      </c>
      <c r="G28" s="51" t="n">
        <v>197.74</v>
      </c>
      <c r="H28" s="53" t="n">
        <v>0</v>
      </c>
      <c r="I28" s="51" t="n">
        <f aca="false">G28+H28</f>
        <v>197.74</v>
      </c>
      <c r="J28" s="81" t="n">
        <f aca="false">IF(L28&gt;0,L28,0)</f>
        <v>0.0264557600201414</v>
      </c>
      <c r="K28" s="51" t="n">
        <f aca="false">I28+J28</f>
        <v>197.76645576002</v>
      </c>
      <c r="L28" s="51" t="n">
        <f aca="false">F28-(I28-X28)</f>
        <v>0.0264557600201414</v>
      </c>
      <c r="M28" s="51" t="n">
        <v>91.3</v>
      </c>
      <c r="N28" s="51" t="n">
        <v>0</v>
      </c>
      <c r="O28" s="51" t="n">
        <v>0</v>
      </c>
      <c r="P28" s="6" t="n">
        <f aca="false">M28-(N28+O28)</f>
        <v>91.3</v>
      </c>
      <c r="Q28" s="51" t="n">
        <v>73.43</v>
      </c>
      <c r="R28" s="51" t="n">
        <v>63.27</v>
      </c>
      <c r="S28" s="51" t="n">
        <f aca="false">SUM(P28:R28)</f>
        <v>228</v>
      </c>
      <c r="T28" s="52" t="n">
        <f aca="false">(I28-S28)+T27</f>
        <v>8295.18999999998</v>
      </c>
      <c r="U28" s="51" t="n">
        <v>39</v>
      </c>
      <c r="V28" s="51" t="n">
        <v>30.59</v>
      </c>
      <c r="W28" s="55" t="n">
        <f aca="false">V28-20</f>
        <v>10.59</v>
      </c>
      <c r="X28" s="6" t="n">
        <f aca="false">N28+O28+S28+U28+V28</f>
        <v>297.59</v>
      </c>
      <c r="Y28" s="51" t="n">
        <f aca="false">IF(L28&lt;0,L28*-1,0)</f>
        <v>0</v>
      </c>
      <c r="Z28" s="51" t="n">
        <f aca="false">X28+Y28</f>
        <v>297.59</v>
      </c>
      <c r="AA28" s="56" t="n">
        <v>0.51</v>
      </c>
      <c r="AB28" s="57" t="n">
        <v>66</v>
      </c>
      <c r="AC28" s="57" t="n">
        <v>49</v>
      </c>
      <c r="AD28" s="58" t="n">
        <v>19</v>
      </c>
      <c r="AE28" s="94"/>
      <c r="AF28" s="94"/>
    </row>
    <row r="29" customFormat="false" ht="11.1" hidden="false" customHeight="true" outlineLevel="0" collapsed="false">
      <c r="A29" s="58" t="n">
        <v>20</v>
      </c>
      <c r="B29" s="73" t="n">
        <v>6887.72</v>
      </c>
      <c r="C29" s="52" t="n">
        <v>240546</v>
      </c>
      <c r="D29" s="57" t="n">
        <f aca="false">C29-C28</f>
        <v>-33</v>
      </c>
      <c r="E29" s="52" t="n">
        <f aca="false">C29-151978</f>
        <v>88568</v>
      </c>
      <c r="F29" s="51" t="n">
        <f aca="false">D29/$D$2</f>
        <v>-16.63725737333</v>
      </c>
      <c r="G29" s="51" t="n">
        <v>234.65</v>
      </c>
      <c r="H29" s="53" t="n">
        <v>0</v>
      </c>
      <c r="I29" s="51" t="n">
        <f aca="false">G29+H29</f>
        <v>234.65</v>
      </c>
      <c r="J29" s="81" t="n">
        <f aca="false">IF(L29&gt;0,L29,0)</f>
        <v>14.36274262667</v>
      </c>
      <c r="K29" s="51" t="n">
        <f aca="false">I29+J29</f>
        <v>249.01274262667</v>
      </c>
      <c r="L29" s="51" t="n">
        <f aca="false">F29-(I29-X29)</f>
        <v>14.36274262667</v>
      </c>
      <c r="M29" s="51" t="n">
        <v>93.71</v>
      </c>
      <c r="N29" s="51" t="n">
        <v>0</v>
      </c>
      <c r="O29" s="51" t="n">
        <v>0</v>
      </c>
      <c r="P29" s="6" t="n">
        <f aca="false">M29-(N29+O29)</f>
        <v>93.71</v>
      </c>
      <c r="Q29" s="51" t="n">
        <v>59.51</v>
      </c>
      <c r="R29" s="51" t="n">
        <v>62.78</v>
      </c>
      <c r="S29" s="51" t="n">
        <f aca="false">SUM(P29:R29)</f>
        <v>216</v>
      </c>
      <c r="T29" s="52" t="n">
        <f aca="false">(I29-S29)+T28</f>
        <v>8313.83999999998</v>
      </c>
      <c r="U29" s="51" t="n">
        <v>19</v>
      </c>
      <c r="V29" s="51" t="n">
        <v>30.65</v>
      </c>
      <c r="W29" s="55" t="n">
        <f aca="false">V29-20</f>
        <v>10.65</v>
      </c>
      <c r="X29" s="6" t="n">
        <f aca="false">N29+O29+S29+U29+V29</f>
        <v>265.65</v>
      </c>
      <c r="Y29" s="51" t="n">
        <f aca="false">IF(L29&lt;0,L29*-1,0)</f>
        <v>0</v>
      </c>
      <c r="Z29" s="51" t="n">
        <f aca="false">X29+Y29</f>
        <v>265.65</v>
      </c>
      <c r="AA29" s="56" t="n">
        <v>0.16</v>
      </c>
      <c r="AB29" s="57" t="n">
        <v>64</v>
      </c>
      <c r="AC29" s="57" t="n">
        <v>39</v>
      </c>
      <c r="AD29" s="58" t="n">
        <v>20</v>
      </c>
      <c r="AE29" s="94"/>
      <c r="AF29" s="94"/>
    </row>
    <row r="30" customFormat="false" ht="11.1" hidden="false" customHeight="true" outlineLevel="0" collapsed="false">
      <c r="A30" s="58" t="n">
        <v>21</v>
      </c>
      <c r="B30" s="73" t="n">
        <v>6887.66</v>
      </c>
      <c r="C30" s="52" t="n">
        <v>240348</v>
      </c>
      <c r="D30" s="57" t="n">
        <f aca="false">C30-C29</f>
        <v>-198</v>
      </c>
      <c r="E30" s="52" t="n">
        <f aca="false">C30-151978</f>
        <v>88370</v>
      </c>
      <c r="F30" s="51" t="n">
        <f aca="false">D30/$D$2</f>
        <v>-99.8235442399798</v>
      </c>
      <c r="G30" s="51" t="n">
        <v>232.1</v>
      </c>
      <c r="H30" s="53" t="n">
        <v>0</v>
      </c>
      <c r="I30" s="51" t="n">
        <f aca="false">G30+H30</f>
        <v>232.1</v>
      </c>
      <c r="J30" s="81" t="n">
        <f aca="false">IF(L30&gt;0,L30,0)</f>
        <v>0</v>
      </c>
      <c r="K30" s="51" t="n">
        <f aca="false">I30+J30</f>
        <v>232.1</v>
      </c>
      <c r="L30" s="51" t="n">
        <f aca="false">F30-(I30-X30)</f>
        <v>-60.1835442399798</v>
      </c>
      <c r="M30" s="51" t="n">
        <v>95.71</v>
      </c>
      <c r="N30" s="51" t="n">
        <v>0</v>
      </c>
      <c r="O30" s="51" t="n">
        <v>0</v>
      </c>
      <c r="P30" s="6" t="n">
        <f aca="false">M30-(N30+O30)</f>
        <v>95.71</v>
      </c>
      <c r="Q30" s="51" t="n">
        <v>52.62</v>
      </c>
      <c r="R30" s="51" t="n">
        <v>62.67</v>
      </c>
      <c r="S30" s="51" t="n">
        <f aca="false">SUM(P30:R30)</f>
        <v>211</v>
      </c>
      <c r="T30" s="52" t="n">
        <f aca="false">(I30-S30)+T29</f>
        <v>8334.93999999998</v>
      </c>
      <c r="U30" s="51" t="n">
        <v>30</v>
      </c>
      <c r="V30" s="51" t="n">
        <v>30.74</v>
      </c>
      <c r="W30" s="55" t="n">
        <f aca="false">V30-20</f>
        <v>10.74</v>
      </c>
      <c r="X30" s="6" t="n">
        <f aca="false">N30+O30+S30+U30+V30</f>
        <v>271.74</v>
      </c>
      <c r="Y30" s="51" t="n">
        <f aca="false">IF(L30&lt;0,L30*-1,0)</f>
        <v>60.1835442399798</v>
      </c>
      <c r="Z30" s="51" t="n">
        <f aca="false">X30+Y30</f>
        <v>331.92354423998</v>
      </c>
      <c r="AA30" s="56" t="n">
        <v>0</v>
      </c>
      <c r="AB30" s="57" t="n">
        <v>66</v>
      </c>
      <c r="AC30" s="57" t="n">
        <v>44</v>
      </c>
      <c r="AD30" s="58" t="n">
        <v>21</v>
      </c>
      <c r="AE30" s="94"/>
      <c r="AF30" s="94"/>
    </row>
    <row r="31" customFormat="false" ht="11.1" hidden="false" customHeight="true" outlineLevel="0" collapsed="false">
      <c r="A31" s="58" t="n">
        <v>22</v>
      </c>
      <c r="B31" s="73" t="n">
        <v>6887.61</v>
      </c>
      <c r="C31" s="52" t="n">
        <v>240183</v>
      </c>
      <c r="D31" s="57" t="n">
        <f aca="false">C31-C30</f>
        <v>-165</v>
      </c>
      <c r="E31" s="52" t="n">
        <f aca="false">C31-151978</f>
        <v>88205</v>
      </c>
      <c r="F31" s="51" t="n">
        <f aca="false">D31/$D$2</f>
        <v>-83.1862868666499</v>
      </c>
      <c r="G31" s="51" t="n">
        <v>179.46</v>
      </c>
      <c r="H31" s="53" t="n">
        <v>0</v>
      </c>
      <c r="I31" s="51" t="n">
        <f aca="false">G31+H31</f>
        <v>179.46</v>
      </c>
      <c r="J31" s="81" t="n">
        <f aca="false">IF(L31&gt;0,L31,0)</f>
        <v>0.0237131333501424</v>
      </c>
      <c r="K31" s="51" t="n">
        <f aca="false">I31+J31</f>
        <v>179.48371313335</v>
      </c>
      <c r="L31" s="51" t="n">
        <f aca="false">F31-(I31-X31)</f>
        <v>0.0237131333501424</v>
      </c>
      <c r="M31" s="51" t="n">
        <v>95.73</v>
      </c>
      <c r="N31" s="51" t="n">
        <v>0</v>
      </c>
      <c r="O31" s="51" t="n">
        <v>0</v>
      </c>
      <c r="P31" s="6" t="n">
        <f aca="false">M31-(N31+O31)</f>
        <v>95.73</v>
      </c>
      <c r="Q31" s="51" t="n">
        <v>52.17</v>
      </c>
      <c r="R31" s="51" t="n">
        <v>62.1</v>
      </c>
      <c r="S31" s="51" t="n">
        <f aca="false">SUM(P31:R31)</f>
        <v>210</v>
      </c>
      <c r="T31" s="52" t="n">
        <f aca="false">(I31-S31)+T30</f>
        <v>8304.39999999998</v>
      </c>
      <c r="U31" s="51" t="n">
        <v>22</v>
      </c>
      <c r="V31" s="51" t="n">
        <v>30.67</v>
      </c>
      <c r="W31" s="55" t="n">
        <f aca="false">V31-20</f>
        <v>10.67</v>
      </c>
      <c r="X31" s="6" t="n">
        <f aca="false">N31+O31+S31+U31+V31</f>
        <v>262.67</v>
      </c>
      <c r="Y31" s="51" t="n">
        <f aca="false">IF(L31&lt;0,L31*-1,0)</f>
        <v>0</v>
      </c>
      <c r="Z31" s="51" t="n">
        <f aca="false">X31+Y31</f>
        <v>262.67</v>
      </c>
      <c r="AA31" s="56" t="n">
        <v>0.1</v>
      </c>
      <c r="AB31" s="57" t="n">
        <v>69</v>
      </c>
      <c r="AC31" s="57" t="n">
        <v>43</v>
      </c>
      <c r="AD31" s="58" t="n">
        <v>22</v>
      </c>
      <c r="AE31" s="94"/>
      <c r="AF31" s="94"/>
    </row>
    <row r="32" customFormat="false" ht="11.1" hidden="false" customHeight="true" outlineLevel="0" collapsed="false">
      <c r="A32" s="58" t="n">
        <v>23</v>
      </c>
      <c r="B32" s="73" t="n">
        <v>6887.56</v>
      </c>
      <c r="C32" s="52" t="n">
        <v>240019</v>
      </c>
      <c r="D32" s="57" t="n">
        <f aca="false">C32-C31</f>
        <v>-164</v>
      </c>
      <c r="E32" s="52" t="n">
        <f aca="false">C32-151978</f>
        <v>88041</v>
      </c>
      <c r="F32" s="51" t="n">
        <f aca="false">D32/$D$2</f>
        <v>-82.6821275523065</v>
      </c>
      <c r="G32" s="51" t="n">
        <v>172.3</v>
      </c>
      <c r="H32" s="53" t="n">
        <v>0</v>
      </c>
      <c r="I32" s="51" t="n">
        <f aca="false">G32+H32</f>
        <v>172.3</v>
      </c>
      <c r="J32" s="81" t="n">
        <f aca="false">IF(L32&gt;0,L32,0)</f>
        <v>0.527872447693454</v>
      </c>
      <c r="K32" s="51" t="n">
        <f aca="false">I32+J32</f>
        <v>172.827872447693</v>
      </c>
      <c r="L32" s="51" t="n">
        <f aca="false">F32-(I32-X32)</f>
        <v>0.527872447693454</v>
      </c>
      <c r="M32" s="51" t="n">
        <v>95.93</v>
      </c>
      <c r="N32" s="51" t="n">
        <v>0</v>
      </c>
      <c r="O32" s="51" t="n">
        <v>0</v>
      </c>
      <c r="P32" s="6" t="n">
        <f aca="false">M32-(N32+O32)</f>
        <v>95.93</v>
      </c>
      <c r="Q32" s="51" t="n">
        <v>52.14</v>
      </c>
      <c r="R32" s="51" t="n">
        <v>62.93</v>
      </c>
      <c r="S32" s="51" t="n">
        <f aca="false">SUM(P32:R32)</f>
        <v>211</v>
      </c>
      <c r="T32" s="52" t="n">
        <f aca="false">(I32-S32)+T31</f>
        <v>8265.69999999998</v>
      </c>
      <c r="U32" s="51" t="n">
        <v>14</v>
      </c>
      <c r="V32" s="51" t="n">
        <v>30.51</v>
      </c>
      <c r="W32" s="55" t="n">
        <f aca="false">V32-20</f>
        <v>10.51</v>
      </c>
      <c r="X32" s="6" t="n">
        <f aca="false">N32+O32+S32+U32+V32</f>
        <v>255.51</v>
      </c>
      <c r="Y32" s="51" t="n">
        <f aca="false">IF(L32&lt;0,L32*-1,0)</f>
        <v>0</v>
      </c>
      <c r="Z32" s="51" t="n">
        <f aca="false">X32+Y32</f>
        <v>255.51</v>
      </c>
      <c r="AA32" s="56" t="n">
        <v>0</v>
      </c>
      <c r="AB32" s="57" t="n">
        <v>72</v>
      </c>
      <c r="AC32" s="57" t="n">
        <v>44</v>
      </c>
      <c r="AD32" s="58" t="n">
        <v>23</v>
      </c>
      <c r="AE32" s="94"/>
      <c r="AF32" s="94"/>
    </row>
    <row r="33" customFormat="false" ht="11.1" hidden="false" customHeight="true" outlineLevel="0" collapsed="false">
      <c r="A33" s="58" t="n">
        <v>24</v>
      </c>
      <c r="B33" s="73" t="n">
        <v>6887.51</v>
      </c>
      <c r="C33" s="52" t="n">
        <v>239854</v>
      </c>
      <c r="D33" s="57" t="n">
        <f aca="false">C33-C32</f>
        <v>-165</v>
      </c>
      <c r="E33" s="52" t="n">
        <f aca="false">C33-151978</f>
        <v>87876</v>
      </c>
      <c r="F33" s="51" t="n">
        <f aca="false">D33/$D$2</f>
        <v>-83.1862868666499</v>
      </c>
      <c r="G33" s="51" t="n">
        <v>173.3</v>
      </c>
      <c r="H33" s="53" t="n">
        <v>0</v>
      </c>
      <c r="I33" s="51" t="n">
        <f aca="false">G33+H33</f>
        <v>173.3</v>
      </c>
      <c r="J33" s="81" t="n">
        <f aca="false">IF(L33&gt;0,L33,0)</f>
        <v>0.0237131333501139</v>
      </c>
      <c r="K33" s="51" t="n">
        <f aca="false">I33+J33</f>
        <v>173.32371313335</v>
      </c>
      <c r="L33" s="51" t="n">
        <f aca="false">F33-(I33-X33)</f>
        <v>0.0237131333501139</v>
      </c>
      <c r="M33" s="51" t="n">
        <v>95.76</v>
      </c>
      <c r="N33" s="51" t="n">
        <v>0</v>
      </c>
      <c r="O33" s="51" t="n">
        <v>0</v>
      </c>
      <c r="P33" s="6" t="n">
        <f aca="false">M33-(N33+O33)</f>
        <v>95.76</v>
      </c>
      <c r="Q33" s="51" t="n">
        <v>52.12</v>
      </c>
      <c r="R33" s="51" t="n">
        <v>62.12</v>
      </c>
      <c r="S33" s="51" t="n">
        <f aca="false">SUM(P33:R33)</f>
        <v>210</v>
      </c>
      <c r="T33" s="52" t="n">
        <f aca="false">(I33-S33)+T32</f>
        <v>8228.99999999998</v>
      </c>
      <c r="U33" s="51" t="n">
        <v>16</v>
      </c>
      <c r="V33" s="51" t="n">
        <v>30.51</v>
      </c>
      <c r="W33" s="55" t="n">
        <f aca="false">V33-20</f>
        <v>10.51</v>
      </c>
      <c r="X33" s="6" t="n">
        <f aca="false">N33+O33+S33+U33+V33</f>
        <v>256.51</v>
      </c>
      <c r="Y33" s="51" t="n">
        <f aca="false">IF(L33&lt;0,L33*-1,0)</f>
        <v>0</v>
      </c>
      <c r="Z33" s="51" t="n">
        <f aca="false">X33+Y33</f>
        <v>256.51</v>
      </c>
      <c r="AA33" s="56" t="n">
        <v>0</v>
      </c>
      <c r="AB33" s="57" t="n">
        <v>72</v>
      </c>
      <c r="AC33" s="57" t="n">
        <v>44</v>
      </c>
      <c r="AD33" s="58" t="n">
        <v>24</v>
      </c>
      <c r="AE33" s="94"/>
      <c r="AF33" s="94"/>
    </row>
    <row r="34" customFormat="false" ht="11.1" hidden="false" customHeight="true" outlineLevel="0" collapsed="false">
      <c r="A34" s="58" t="n">
        <v>25</v>
      </c>
      <c r="B34" s="73" t="n">
        <v>6887.42</v>
      </c>
      <c r="C34" s="52" t="n">
        <v>239557</v>
      </c>
      <c r="D34" s="57" t="n">
        <f aca="false">C34-C33</f>
        <v>-297</v>
      </c>
      <c r="E34" s="52" t="n">
        <f aca="false">C34-151978</f>
        <v>87579</v>
      </c>
      <c r="F34" s="51" t="n">
        <f aca="false">D34/$D$2</f>
        <v>-149.73531635997</v>
      </c>
      <c r="G34" s="51" t="n">
        <v>109.24</v>
      </c>
      <c r="H34" s="53" t="n">
        <v>0</v>
      </c>
      <c r="I34" s="51" t="n">
        <f aca="false">G34+H34</f>
        <v>109.24</v>
      </c>
      <c r="J34" s="81" t="n">
        <f aca="false">IF(L34&gt;0,L34,0)</f>
        <v>0</v>
      </c>
      <c r="K34" s="51" t="n">
        <f aca="false">I34+J34</f>
        <v>109.24</v>
      </c>
      <c r="L34" s="51" t="n">
        <f aca="false">F34-(I34-X34)</f>
        <v>-0.465316359969762</v>
      </c>
      <c r="M34" s="51" t="n">
        <v>95.71</v>
      </c>
      <c r="N34" s="51" t="n">
        <v>0</v>
      </c>
      <c r="O34" s="51" t="n">
        <v>0</v>
      </c>
      <c r="P34" s="6" t="n">
        <f aca="false">M34-(N34+O34)</f>
        <v>95.71</v>
      </c>
      <c r="Q34" s="51" t="n">
        <v>52.12</v>
      </c>
      <c r="R34" s="51" t="n">
        <v>58.17</v>
      </c>
      <c r="S34" s="51" t="n">
        <f aca="false">SUM(P34:R34)</f>
        <v>206</v>
      </c>
      <c r="T34" s="52" t="n">
        <f aca="false">(I34-S34)+T33</f>
        <v>8132.23999999998</v>
      </c>
      <c r="U34" s="51" t="n">
        <v>22</v>
      </c>
      <c r="V34" s="51" t="n">
        <v>30.51</v>
      </c>
      <c r="W34" s="55" t="n">
        <f aca="false">V34-20</f>
        <v>10.51</v>
      </c>
      <c r="X34" s="6" t="n">
        <f aca="false">N34+O34+S34+U34+V34</f>
        <v>258.51</v>
      </c>
      <c r="Y34" s="51" t="n">
        <f aca="false">IF(L34&lt;0,L34*-1,0)</f>
        <v>0.465316359969762</v>
      </c>
      <c r="Z34" s="51" t="n">
        <f aca="false">X34+Y34</f>
        <v>258.97531635997</v>
      </c>
      <c r="AA34" s="56" t="n">
        <v>0</v>
      </c>
      <c r="AB34" s="57" t="n">
        <v>70</v>
      </c>
      <c r="AC34" s="57" t="n">
        <v>42</v>
      </c>
      <c r="AD34" s="58" t="n">
        <v>25</v>
      </c>
      <c r="AE34" s="94"/>
      <c r="AF34" s="94"/>
    </row>
    <row r="35" customFormat="false" ht="11.1" hidden="false" customHeight="true" outlineLevel="0" collapsed="false">
      <c r="A35" s="58" t="n">
        <v>26</v>
      </c>
      <c r="B35" s="73" t="n">
        <v>6887.35</v>
      </c>
      <c r="C35" s="52" t="n">
        <v>239326</v>
      </c>
      <c r="D35" s="57" t="n">
        <f aca="false">C35-C34</f>
        <v>-231</v>
      </c>
      <c r="E35" s="52" t="n">
        <f aca="false">C35-151978</f>
        <v>87348</v>
      </c>
      <c r="F35" s="51" t="n">
        <f aca="false">D35/$D$2</f>
        <v>-116.46080161331</v>
      </c>
      <c r="G35" s="51" t="n">
        <v>133.01</v>
      </c>
      <c r="H35" s="53" t="n">
        <v>0</v>
      </c>
      <c r="I35" s="51" t="n">
        <f aca="false">G35+H35</f>
        <v>133.01</v>
      </c>
      <c r="J35" s="81" t="n">
        <f aca="false">IF(L35&gt;0,L35,0)</f>
        <v>0.0291983866902115</v>
      </c>
      <c r="K35" s="51" t="n">
        <f aca="false">I35+J35</f>
        <v>133.03919838669</v>
      </c>
      <c r="L35" s="51" t="n">
        <f aca="false">F35-(I35-X35)</f>
        <v>0.0291983866902115</v>
      </c>
      <c r="M35" s="51" t="n">
        <v>95.7</v>
      </c>
      <c r="N35" s="51" t="n">
        <v>0</v>
      </c>
      <c r="O35" s="51" t="n">
        <v>0</v>
      </c>
      <c r="P35" s="6" t="n">
        <f aca="false">M35-(N35+O35)</f>
        <v>95.7</v>
      </c>
      <c r="Q35" s="51" t="n">
        <v>52</v>
      </c>
      <c r="R35" s="51" t="n">
        <v>50.3</v>
      </c>
      <c r="S35" s="51" t="n">
        <f aca="false">SUM(P35:R35)</f>
        <v>198</v>
      </c>
      <c r="T35" s="52" t="n">
        <f aca="false">(I35-S35)+T34</f>
        <v>8067.24999999998</v>
      </c>
      <c r="U35" s="51" t="n">
        <v>21</v>
      </c>
      <c r="V35" s="51" t="n">
        <v>30.5</v>
      </c>
      <c r="W35" s="55" t="n">
        <f aca="false">V35-20</f>
        <v>10.5</v>
      </c>
      <c r="X35" s="6" t="n">
        <f aca="false">N35+O35+S35+U35+V35</f>
        <v>249.5</v>
      </c>
      <c r="Y35" s="51" t="n">
        <f aca="false">IF(L35&lt;0,L35*-1,0)</f>
        <v>0</v>
      </c>
      <c r="Z35" s="51" t="n">
        <f aca="false">X35+Y35</f>
        <v>249.5</v>
      </c>
      <c r="AA35" s="56" t="n">
        <v>0</v>
      </c>
      <c r="AB35" s="57" t="n">
        <v>70</v>
      </c>
      <c r="AC35" s="57" t="n">
        <v>42</v>
      </c>
      <c r="AD35" s="58" t="n">
        <v>26</v>
      </c>
      <c r="AE35" s="94"/>
      <c r="AF35" s="94"/>
    </row>
    <row r="36" customFormat="false" ht="11.1" hidden="false" customHeight="true" outlineLevel="0" collapsed="false">
      <c r="A36" s="58" t="n">
        <v>27</v>
      </c>
      <c r="B36" s="73" t="n">
        <v>6887.31</v>
      </c>
      <c r="C36" s="52" t="n">
        <v>239195</v>
      </c>
      <c r="D36" s="57" t="n">
        <f aca="false">C36-C35</f>
        <v>-131</v>
      </c>
      <c r="E36" s="52" t="n">
        <f aca="false">C36-151978</f>
        <v>87217</v>
      </c>
      <c r="F36" s="51" t="n">
        <f aca="false">D36/$D$2</f>
        <v>-66.0448701789766</v>
      </c>
      <c r="G36" s="51" t="n">
        <v>173.48</v>
      </c>
      <c r="H36" s="53" t="n">
        <v>0</v>
      </c>
      <c r="I36" s="51" t="n">
        <f aca="false">G36+H36</f>
        <v>173.48</v>
      </c>
      <c r="J36" s="81" t="n">
        <f aca="false">IF(L36&gt;0,L36,0)</f>
        <v>0.0151298210234501</v>
      </c>
      <c r="K36" s="51" t="n">
        <f aca="false">I36+J36</f>
        <v>173.495129821023</v>
      </c>
      <c r="L36" s="51" t="n">
        <f aca="false">F36-(I36-X36)</f>
        <v>0.0151298210234501</v>
      </c>
      <c r="M36" s="51" t="n">
        <v>95.7</v>
      </c>
      <c r="N36" s="51" t="n">
        <v>0</v>
      </c>
      <c r="O36" s="51" t="n">
        <v>0</v>
      </c>
      <c r="P36" s="6" t="n">
        <f aca="false">M36-(N36+O36)</f>
        <v>95.7</v>
      </c>
      <c r="Q36" s="51" t="n">
        <v>52</v>
      </c>
      <c r="R36" s="51" t="n">
        <v>41.3</v>
      </c>
      <c r="S36" s="51" t="n">
        <f aca="false">SUM(P36:R36)</f>
        <v>189</v>
      </c>
      <c r="T36" s="52" t="n">
        <f aca="false">(I36-S36)+T35</f>
        <v>8051.72999999998</v>
      </c>
      <c r="U36" s="51" t="n">
        <v>20</v>
      </c>
      <c r="V36" s="51" t="n">
        <v>30.54</v>
      </c>
      <c r="W36" s="55" t="n">
        <f aca="false">V36-20</f>
        <v>10.54</v>
      </c>
      <c r="X36" s="6" t="n">
        <f aca="false">N36+O36+S36+U36+V36</f>
        <v>239.54</v>
      </c>
      <c r="Y36" s="51" t="n">
        <f aca="false">IF(L36&lt;0,L36*-1,0)</f>
        <v>0</v>
      </c>
      <c r="Z36" s="51" t="n">
        <f aca="false">X36+Y36</f>
        <v>239.54</v>
      </c>
      <c r="AA36" s="56" t="n">
        <v>0.23</v>
      </c>
      <c r="AB36" s="57" t="n">
        <v>71</v>
      </c>
      <c r="AC36" s="57" t="n">
        <v>46</v>
      </c>
      <c r="AD36" s="58" t="n">
        <v>27</v>
      </c>
      <c r="AE36" s="94"/>
      <c r="AF36" s="94"/>
    </row>
    <row r="37" customFormat="false" ht="11.1" hidden="false" customHeight="true" outlineLevel="0" collapsed="false">
      <c r="A37" s="58" t="n">
        <v>28</v>
      </c>
      <c r="B37" s="73" t="n">
        <v>6887.29</v>
      </c>
      <c r="C37" s="52" t="n">
        <v>239129</v>
      </c>
      <c r="D37" s="57" t="n">
        <f aca="false">C37-C36</f>
        <v>-66</v>
      </c>
      <c r="E37" s="52" t="n">
        <f aca="false">C37-151978</f>
        <v>87151</v>
      </c>
      <c r="F37" s="51" t="n">
        <f aca="false">D37/$D$2</f>
        <v>-33.2745147466599</v>
      </c>
      <c r="G37" s="51" t="n">
        <v>214.82</v>
      </c>
      <c r="H37" s="53" t="n">
        <v>0</v>
      </c>
      <c r="I37" s="51" t="n">
        <f aca="false">G37+H37</f>
        <v>214.82</v>
      </c>
      <c r="J37" s="81" t="n">
        <f aca="false">IF(L37&gt;0,L37,0)</f>
        <v>0.0054852533400549</v>
      </c>
      <c r="K37" s="51" t="n">
        <f aca="false">I37+J37</f>
        <v>214.82548525334</v>
      </c>
      <c r="L37" s="51" t="n">
        <f aca="false">F37-(I37-X37)</f>
        <v>0.0054852533400549</v>
      </c>
      <c r="M37" s="51" t="n">
        <v>95.7</v>
      </c>
      <c r="N37" s="51" t="n">
        <v>0</v>
      </c>
      <c r="O37" s="51" t="n">
        <v>0</v>
      </c>
      <c r="P37" s="6" t="n">
        <f aca="false">M37-(N37+O37)</f>
        <v>95.7</v>
      </c>
      <c r="Q37" s="51" t="n">
        <v>52</v>
      </c>
      <c r="R37" s="51" t="n">
        <v>40.3</v>
      </c>
      <c r="S37" s="51" t="n">
        <f aca="false">SUM(P37:R37)</f>
        <v>188</v>
      </c>
      <c r="T37" s="52" t="n">
        <f aca="false">(I37-S37)+T36</f>
        <v>8078.54999999998</v>
      </c>
      <c r="U37" s="51" t="n">
        <v>30</v>
      </c>
      <c r="V37" s="51" t="n">
        <v>30.1</v>
      </c>
      <c r="W37" s="55" t="n">
        <f aca="false">V37-20</f>
        <v>10.1</v>
      </c>
      <c r="X37" s="6" t="n">
        <f aca="false">N37+O37+S37+U37+V37</f>
        <v>248.1</v>
      </c>
      <c r="Y37" s="51" t="n">
        <f aca="false">IF(L37&lt;0,L37*-1,0)</f>
        <v>0</v>
      </c>
      <c r="Z37" s="51" t="n">
        <f aca="false">X37+Y37</f>
        <v>248.1</v>
      </c>
      <c r="AA37" s="56" t="n">
        <v>0.11</v>
      </c>
      <c r="AB37" s="57" t="n">
        <v>70</v>
      </c>
      <c r="AC37" s="57" t="n">
        <v>49</v>
      </c>
      <c r="AD37" s="58" t="n">
        <v>28</v>
      </c>
      <c r="AE37" s="94"/>
      <c r="AF37" s="94"/>
    </row>
    <row r="38" customFormat="false" ht="11.1" hidden="false" customHeight="true" outlineLevel="0" collapsed="false">
      <c r="A38" s="58" t="n">
        <v>29</v>
      </c>
      <c r="B38" s="73" t="n">
        <v>6887.3</v>
      </c>
      <c r="C38" s="52" t="n">
        <v>239162</v>
      </c>
      <c r="D38" s="57" t="n">
        <f aca="false">C38-C37</f>
        <v>33</v>
      </c>
      <c r="E38" s="52" t="n">
        <f aca="false">C38-151978</f>
        <v>87184</v>
      </c>
      <c r="F38" s="51" t="n">
        <f aca="false">D38/$D$2</f>
        <v>16.63725737333</v>
      </c>
      <c r="G38" s="51" t="n">
        <v>248.99</v>
      </c>
      <c r="H38" s="53" t="n">
        <v>0</v>
      </c>
      <c r="I38" s="51" t="n">
        <f aca="false">G38+H38</f>
        <v>248.99</v>
      </c>
      <c r="J38" s="81" t="n">
        <f aca="false">IF(L38&gt;0,L38,0)</f>
        <v>0</v>
      </c>
      <c r="K38" s="51" t="n">
        <f aca="false">I38+J38</f>
        <v>248.99</v>
      </c>
      <c r="L38" s="51" t="n">
        <f aca="false">F38-(I38-X38)</f>
        <v>-0.00274262667004166</v>
      </c>
      <c r="M38" s="51" t="n">
        <v>95.7</v>
      </c>
      <c r="N38" s="51" t="n">
        <v>0</v>
      </c>
      <c r="O38" s="51" t="n">
        <v>0</v>
      </c>
      <c r="P38" s="6" t="n">
        <f aca="false">M38-(N38+O38)</f>
        <v>95.7</v>
      </c>
      <c r="Q38" s="51" t="n">
        <v>52</v>
      </c>
      <c r="R38" s="51" t="n">
        <v>27.3</v>
      </c>
      <c r="S38" s="51" t="n">
        <f aca="false">SUM(P38:R38)</f>
        <v>175</v>
      </c>
      <c r="T38" s="52" t="n">
        <f aca="false">(I38-S38)+T37</f>
        <v>8152.53999999998</v>
      </c>
      <c r="U38" s="51" t="n">
        <v>28</v>
      </c>
      <c r="V38" s="51" t="n">
        <v>29.35</v>
      </c>
      <c r="W38" s="55" t="n">
        <f aca="false">V38-20</f>
        <v>9.35</v>
      </c>
      <c r="X38" s="6" t="n">
        <f aca="false">N38+O38+S38+U38+V38</f>
        <v>232.35</v>
      </c>
      <c r="Y38" s="51" t="n">
        <f aca="false">IF(L38&lt;0,L38*-1,0)</f>
        <v>0.00274262667004166</v>
      </c>
      <c r="Z38" s="51" t="n">
        <f aca="false">X38+Y38</f>
        <v>232.35274262667</v>
      </c>
      <c r="AA38" s="56" t="n">
        <v>0</v>
      </c>
      <c r="AB38" s="57" t="n">
        <v>70</v>
      </c>
      <c r="AC38" s="57" t="n">
        <v>40</v>
      </c>
      <c r="AD38" s="58" t="n">
        <v>29</v>
      </c>
      <c r="AE38" s="94"/>
      <c r="AF38" s="94"/>
    </row>
    <row r="39" customFormat="false" ht="11.1" hidden="false" customHeight="true" outlineLevel="0" collapsed="false">
      <c r="A39" s="58" t="n">
        <v>30</v>
      </c>
      <c r="B39" s="73" t="n">
        <v>6887.32</v>
      </c>
      <c r="C39" s="52" t="n">
        <v>239227</v>
      </c>
      <c r="D39" s="57" t="n">
        <f aca="false">C39-C38</f>
        <v>65</v>
      </c>
      <c r="E39" s="52" t="n">
        <f aca="false">C39-151978</f>
        <v>87249</v>
      </c>
      <c r="F39" s="51" t="n">
        <f aca="false">D39/$D$2</f>
        <v>32.7703554323166</v>
      </c>
      <c r="G39" s="51" t="n">
        <v>229.28</v>
      </c>
      <c r="H39" s="53" t="n">
        <v>0</v>
      </c>
      <c r="I39" s="51" t="n">
        <f aca="false">G39+H39</f>
        <v>229.28</v>
      </c>
      <c r="J39" s="81" t="n">
        <f aca="false">IF(L39&gt;0,L39,0)</f>
        <v>0</v>
      </c>
      <c r="K39" s="51" t="n">
        <f aca="false">I39+J39</f>
        <v>229.28</v>
      </c>
      <c r="L39" s="51" t="n">
        <f aca="false">F39-(I39-X39)</f>
        <v>-0.509644567683388</v>
      </c>
      <c r="M39" s="51" t="n">
        <v>95.7</v>
      </c>
      <c r="N39" s="51" t="n">
        <v>0</v>
      </c>
      <c r="O39" s="51" t="n">
        <v>0</v>
      </c>
      <c r="P39" s="6" t="n">
        <f aca="false">M39-(N39+O39)</f>
        <v>95.7</v>
      </c>
      <c r="Q39" s="51" t="n">
        <v>52</v>
      </c>
      <c r="R39" s="51" t="n">
        <v>1.3</v>
      </c>
      <c r="S39" s="51" t="n">
        <f aca="false">SUM(P39:R39)</f>
        <v>149</v>
      </c>
      <c r="T39" s="52" t="n">
        <f aca="false">(I39-S39)+T38</f>
        <v>8232.81999999998</v>
      </c>
      <c r="U39" s="51" t="n">
        <v>18</v>
      </c>
      <c r="V39" s="51" t="n">
        <v>29</v>
      </c>
      <c r="W39" s="55" t="n">
        <f aca="false">V39-20</f>
        <v>9</v>
      </c>
      <c r="X39" s="6" t="n">
        <f aca="false">N39+O39+S39+U39+V39</f>
        <v>196</v>
      </c>
      <c r="Y39" s="51" t="n">
        <f aca="false">IF(L39&lt;0,L39*-1,0)</f>
        <v>0.509644567683388</v>
      </c>
      <c r="Z39" s="51" t="n">
        <f aca="false">X39+Y39</f>
        <v>196.509644567683</v>
      </c>
      <c r="AA39" s="56" t="n">
        <v>0.22</v>
      </c>
      <c r="AB39" s="134" t="n">
        <v>66</v>
      </c>
      <c r="AC39" s="57" t="n">
        <v>42</v>
      </c>
      <c r="AD39" s="58" t="n">
        <v>30</v>
      </c>
      <c r="AE39" s="94"/>
      <c r="AF39" s="94"/>
    </row>
    <row r="40" customFormat="false" ht="3" hidden="false" customHeight="true" outlineLevel="0" collapsed="false">
      <c r="A40" s="74"/>
      <c r="B40" s="74"/>
      <c r="C40" s="76"/>
      <c r="D40" s="74"/>
      <c r="E40" s="76"/>
      <c r="F40" s="74"/>
      <c r="G40" s="74"/>
      <c r="H40" s="77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6"/>
      <c r="U40" s="74"/>
      <c r="V40" s="74"/>
      <c r="W40" s="109"/>
      <c r="X40" s="74"/>
      <c r="Y40" s="74"/>
      <c r="Z40" s="74"/>
      <c r="AA40" s="78"/>
      <c r="AB40" s="79"/>
      <c r="AC40" s="79"/>
      <c r="AD40" s="80"/>
      <c r="AE40" s="92"/>
      <c r="AF40" s="93"/>
    </row>
    <row r="41" customFormat="false" ht="11.1" hidden="false" customHeight="true" outlineLevel="0" collapsed="false">
      <c r="A41" s="51" t="s">
        <v>44</v>
      </c>
      <c r="B41" s="51"/>
      <c r="C41" s="52"/>
      <c r="D41" s="52"/>
      <c r="E41" s="52"/>
      <c r="F41" s="52" t="n">
        <f aca="false">SUM(F10:F39)</f>
        <v>-6153.76859087472</v>
      </c>
      <c r="G41" s="52" t="n">
        <f aca="false">SUM(G10:G39)</f>
        <v>5218.13</v>
      </c>
      <c r="H41" s="52" t="n">
        <f aca="false">SUM(H10:H39)</f>
        <v>0.03</v>
      </c>
      <c r="I41" s="52" t="n">
        <f aca="false">SUM(I10:I39)</f>
        <v>5218.16</v>
      </c>
      <c r="J41" s="52" t="n">
        <f aca="false">SUM(J10:J39)</f>
        <v>224.101978825309</v>
      </c>
      <c r="K41" s="52" t="n">
        <f aca="false">SUM(K10:K39)</f>
        <v>5442.26197882531</v>
      </c>
      <c r="L41" s="52" t="n">
        <f aca="false">SUM(L10:L39)</f>
        <v>-538.098590874716</v>
      </c>
      <c r="M41" s="52" t="n">
        <f aca="false">SUM(M10:M39)</f>
        <v>3847.67</v>
      </c>
      <c r="N41" s="52" t="n">
        <f aca="false">SUM(N10:N39)</f>
        <v>0</v>
      </c>
      <c r="O41" s="52" t="n">
        <f aca="false">SUM(O10:O39)</f>
        <v>0</v>
      </c>
      <c r="P41" s="52" t="n">
        <f aca="false">SUM(P10:P39)</f>
        <v>3847.67</v>
      </c>
      <c r="Q41" s="52" t="n">
        <f aca="false">SUM(Q10:Q39)</f>
        <v>2452.18</v>
      </c>
      <c r="R41" s="52" t="n">
        <f aca="false">SUM(R10:R39)</f>
        <v>1900.15</v>
      </c>
      <c r="S41" s="52" t="n">
        <f aca="false">SUM(S10:S39)</f>
        <v>8200</v>
      </c>
      <c r="T41" s="52"/>
      <c r="U41" s="52" t="n">
        <f aca="false">SUM(U10:U39)</f>
        <v>1630</v>
      </c>
      <c r="V41" s="52" t="n">
        <f aca="false">SUM(V10:V40)</f>
        <v>1003.83</v>
      </c>
      <c r="W41" s="55" t="n">
        <f aca="false">SUM(W10:W39)</f>
        <v>403.83</v>
      </c>
      <c r="X41" s="52" t="n">
        <f aca="false">SUM(X10:X39)</f>
        <v>10833.83</v>
      </c>
      <c r="Y41" s="52" t="n">
        <f aca="false">SUM(Y10:Y39)</f>
        <v>762.200569700025</v>
      </c>
      <c r="Z41" s="52" t="n">
        <f aca="false">SUM(Z10:Z39)</f>
        <v>11596.0305697</v>
      </c>
      <c r="AA41" s="56" t="n">
        <f aca="false">SUM(AA10:AA39)</f>
        <v>2.41</v>
      </c>
      <c r="AB41" s="57" t="n">
        <f aca="false">AVERAGE(AB10:AB39)</f>
        <v>76.2666666666667</v>
      </c>
      <c r="AC41" s="57" t="n">
        <f aca="false">AVERAGE(AC10:AC39)</f>
        <v>48.3666666666667</v>
      </c>
      <c r="AD41" s="58" t="s">
        <v>67</v>
      </c>
      <c r="AE41" s="92"/>
      <c r="AF41" s="93"/>
    </row>
    <row r="42" customFormat="false" ht="11.1" hidden="false" customHeight="true" outlineLevel="0" collapsed="false">
      <c r="A42" s="51" t="s">
        <v>46</v>
      </c>
      <c r="B42" s="51"/>
      <c r="C42" s="52"/>
      <c r="D42" s="52" t="n">
        <f aca="false">SUM(D10:D40)</f>
        <v>-12206</v>
      </c>
      <c r="E42" s="52"/>
      <c r="F42" s="52" t="n">
        <f aca="false">F41*$D$2</f>
        <v>-12206</v>
      </c>
      <c r="G42" s="52" t="n">
        <f aca="false">G41*$D$2</f>
        <v>10350.160855</v>
      </c>
      <c r="H42" s="52" t="n">
        <f aca="false">H41*$D$2</f>
        <v>0.059505</v>
      </c>
      <c r="I42" s="52" t="n">
        <f aca="false">I41*$D$2</f>
        <v>10350.22036</v>
      </c>
      <c r="J42" s="52" t="n">
        <f aca="false">J41*$D$2</f>
        <v>444.506275</v>
      </c>
      <c r="K42" s="52" t="n">
        <f aca="false">K41*$D$2</f>
        <v>10794.726635</v>
      </c>
      <c r="L42" s="52" t="n">
        <f aca="false">L41*$D$2</f>
        <v>-1067.318555</v>
      </c>
      <c r="M42" s="52" t="n">
        <f aca="false">M41*$D$2</f>
        <v>7631.853445</v>
      </c>
      <c r="N42" s="52" t="n">
        <f aca="false">N41*$D$2</f>
        <v>0</v>
      </c>
      <c r="O42" s="52" t="n">
        <f aca="false">O41*$D$2</f>
        <v>0</v>
      </c>
      <c r="P42" s="52" t="n">
        <f aca="false">P41*$D$2</f>
        <v>7631.853445</v>
      </c>
      <c r="Q42" s="52" t="n">
        <f aca="false">Q41*$D$2</f>
        <v>4863.89903</v>
      </c>
      <c r="R42" s="52" t="n">
        <f aca="false">R41*$D$2</f>
        <v>3768.947525</v>
      </c>
      <c r="S42" s="52" t="n">
        <f aca="false">S41*$D$2</f>
        <v>16264.7</v>
      </c>
      <c r="T42" s="52"/>
      <c r="U42" s="52" t="n">
        <f aca="false">U41*$D$2</f>
        <v>3233.105</v>
      </c>
      <c r="V42" s="52" t="n">
        <f aca="false">V41*$D$2</f>
        <v>1991.096805</v>
      </c>
      <c r="W42" s="55" t="n">
        <f aca="false">W41*$D$2</f>
        <v>800.996805</v>
      </c>
      <c r="X42" s="52" t="n">
        <f aca="false">X41*$D$2</f>
        <v>21488.901805</v>
      </c>
      <c r="Y42" s="52" t="n">
        <f aca="false">Y41*$D$2</f>
        <v>1511.82483</v>
      </c>
      <c r="Z42" s="52" t="n">
        <f aca="false">Z41*$D$2</f>
        <v>23000.726635</v>
      </c>
      <c r="AA42" s="56"/>
      <c r="AB42" s="57" t="n">
        <f aca="false">MAX(AB10:AB39)</f>
        <v>86</v>
      </c>
      <c r="AC42" s="57" t="n">
        <f aca="false">MAX(AC10:AC39)</f>
        <v>55</v>
      </c>
      <c r="AD42" s="58" t="s">
        <v>47</v>
      </c>
      <c r="AE42" s="92"/>
      <c r="AF42" s="93"/>
    </row>
    <row r="43" customFormat="false" ht="3" hidden="false" customHeight="true" outlineLevel="0" collapsed="false">
      <c r="A43" s="74"/>
      <c r="B43" s="74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109"/>
      <c r="X43" s="76"/>
      <c r="Y43" s="76"/>
      <c r="Z43" s="76"/>
      <c r="AA43" s="76"/>
      <c r="AB43" s="76"/>
      <c r="AC43" s="76"/>
      <c r="AD43" s="76"/>
      <c r="AE43" s="92"/>
      <c r="AF43" s="93"/>
    </row>
    <row r="44" customFormat="false" ht="11.1" hidden="false" customHeight="true" outlineLevel="0" collapsed="false">
      <c r="A44" s="51" t="s">
        <v>48</v>
      </c>
      <c r="B44" s="51"/>
      <c r="C44" s="52"/>
      <c r="D44" s="52"/>
      <c r="E44" s="52"/>
      <c r="F44" s="52" t="n">
        <f aca="false">F7+F41</f>
        <v>-17102.5964204689</v>
      </c>
      <c r="G44" s="52" t="n">
        <f aca="false">G7+G41</f>
        <v>70275.48</v>
      </c>
      <c r="H44" s="52" t="n">
        <f aca="false">H7+H41</f>
        <v>1182.883</v>
      </c>
      <c r="I44" s="52" t="n">
        <f aca="false">I7+I41</f>
        <v>71458.363</v>
      </c>
      <c r="J44" s="52" t="n">
        <f aca="false">J7+J41</f>
        <v>2850.34016385178</v>
      </c>
      <c r="K44" s="52" t="n">
        <f aca="false">K7+K41</f>
        <v>74308.7031638518</v>
      </c>
      <c r="L44" s="52" t="n">
        <f aca="false">L7+L41</f>
        <v>-5601.13642046887</v>
      </c>
      <c r="M44" s="52" t="n">
        <f aca="false">M7+M41</f>
        <v>30107.44</v>
      </c>
      <c r="N44" s="52" t="n">
        <f aca="false">N7+N41</f>
        <v>0</v>
      </c>
      <c r="O44" s="52" t="n">
        <f aca="false">O7+O41</f>
        <v>0</v>
      </c>
      <c r="P44" s="52" t="n">
        <f aca="false">P7+P41</f>
        <v>30107.44</v>
      </c>
      <c r="Q44" s="52" t="n">
        <f aca="false">Q7+Q41</f>
        <v>21966.44</v>
      </c>
      <c r="R44" s="52" t="n">
        <f aca="false">R7+R41</f>
        <v>11151.663</v>
      </c>
      <c r="S44" s="52" t="n">
        <f aca="false">S7+S41</f>
        <v>63225.543</v>
      </c>
      <c r="T44" s="52" t="n">
        <f aca="false">T39</f>
        <v>8232.81999999998</v>
      </c>
      <c r="U44" s="52" t="n">
        <f aca="false">U7+U41</f>
        <v>13284</v>
      </c>
      <c r="V44" s="52" t="n">
        <f aca="false">V7+V41</f>
        <v>6450.28</v>
      </c>
      <c r="W44" s="55" t="n">
        <f aca="false">W7+W42</f>
        <v>3205.006805</v>
      </c>
      <c r="X44" s="52" t="n">
        <f aca="false">X7+X41</f>
        <v>82959.823</v>
      </c>
      <c r="Y44" s="52" t="n">
        <f aca="false">Y7+Y41</f>
        <v>8451.47658432065</v>
      </c>
      <c r="Z44" s="52" t="n">
        <f aca="false">Z7+Z41</f>
        <v>91411.2995843206</v>
      </c>
      <c r="AA44" s="56"/>
      <c r="AB44" s="57" t="n">
        <f aca="false">MIN(AB10:AB39)</f>
        <v>64</v>
      </c>
      <c r="AC44" s="57" t="n">
        <f aca="false">MIN(AC10:AC39)</f>
        <v>39</v>
      </c>
      <c r="AD44" s="58" t="s">
        <v>49</v>
      </c>
      <c r="AE44" s="92"/>
      <c r="AF44" s="93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F44*$D$2</f>
        <v>-33923</v>
      </c>
      <c r="G45" s="52" t="n">
        <f aca="false">G44*$D$2</f>
        <v>139391.41458</v>
      </c>
      <c r="H45" s="52" t="n">
        <f aca="false">H44*$D$2</f>
        <v>2346.2484305</v>
      </c>
      <c r="I45" s="52" t="n">
        <f aca="false">I44*$D$2</f>
        <v>141737.6630105</v>
      </c>
      <c r="J45" s="52" t="n">
        <f aca="false">J44*$D$2</f>
        <v>5653.649715</v>
      </c>
      <c r="K45" s="52" t="n">
        <f aca="false">K44*$D$2</f>
        <v>147391.3127255</v>
      </c>
      <c r="L45" s="52" t="n">
        <f aca="false">L44*$D$2</f>
        <v>-11109.85409</v>
      </c>
      <c r="M45" s="52" t="n">
        <f aca="false">M44*$D$2</f>
        <v>59718.10724</v>
      </c>
      <c r="N45" s="52" t="n">
        <f aca="false">N44*$D$2</f>
        <v>0</v>
      </c>
      <c r="O45" s="52" t="n">
        <f aca="false">O44*$D$2</f>
        <v>0</v>
      </c>
      <c r="P45" s="52" t="n">
        <f aca="false">P44*$D$2</f>
        <v>59718.10724</v>
      </c>
      <c r="Q45" s="52" t="n">
        <f aca="false">Q44*$D$2</f>
        <v>43570.43374</v>
      </c>
      <c r="R45" s="52" t="n">
        <f aca="false">R44*$D$2</f>
        <v>22119.3235605</v>
      </c>
      <c r="S45" s="52" t="n">
        <f aca="false">S44*$D$2</f>
        <v>125407.8645405</v>
      </c>
      <c r="T45" s="52" t="n">
        <f aca="false">T44*$D$2</f>
        <v>16329.79847</v>
      </c>
      <c r="U45" s="52" t="n">
        <f aca="false">U44*$D$2</f>
        <v>26348.814</v>
      </c>
      <c r="V45" s="52" t="n">
        <f aca="false">V44*$D$2</f>
        <v>12794.13038</v>
      </c>
      <c r="W45" s="55" t="n">
        <f aca="false">W44*$D$2</f>
        <v>6357.1309977175</v>
      </c>
      <c r="X45" s="52" t="n">
        <f aca="false">X44*$D$2</f>
        <v>164550.8089205</v>
      </c>
      <c r="Y45" s="52" t="n">
        <f aca="false">Y44*$D$2</f>
        <v>16763.503805</v>
      </c>
      <c r="Z45" s="52" t="n">
        <f aca="false">Z44*$D$2</f>
        <v>181314.3127255</v>
      </c>
      <c r="AA45" s="56"/>
      <c r="AB45" s="57"/>
      <c r="AC45" s="57"/>
      <c r="AD45" s="58"/>
      <c r="AE45" s="92"/>
      <c r="AF45" s="93"/>
    </row>
    <row r="46" customFormat="false" ht="3" hidden="false" customHeight="true" outlineLevel="0" collapsed="false">
      <c r="A46" s="74"/>
      <c r="B46" s="74"/>
      <c r="C46" s="76"/>
      <c r="D46" s="76"/>
      <c r="E46" s="76"/>
      <c r="F46" s="76"/>
      <c r="G46" s="76"/>
      <c r="H46" s="79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109"/>
      <c r="X46" s="76"/>
      <c r="Y46" s="76"/>
      <c r="Z46" s="76"/>
      <c r="AA46" s="78"/>
      <c r="AB46" s="78"/>
      <c r="AC46" s="78"/>
      <c r="AD46" s="78"/>
      <c r="AE46" s="92"/>
      <c r="AF46" s="93"/>
    </row>
    <row r="47" customFormat="false" ht="11.1" hidden="false" customHeight="true" outlineLevel="0" collapsed="false">
      <c r="A47" s="51" t="s">
        <v>51</v>
      </c>
      <c r="B47" s="51"/>
      <c r="C47" s="52"/>
      <c r="D47" s="52"/>
      <c r="E47" s="52"/>
      <c r="F47" s="52" t="n">
        <f aca="false">F8+F41</f>
        <v>-28867.1540206705</v>
      </c>
      <c r="G47" s="52" t="n">
        <f aca="false">G8+G41</f>
        <v>75401.636</v>
      </c>
      <c r="H47" s="57" t="n">
        <f aca="false">H8+H41</f>
        <v>1182.883</v>
      </c>
      <c r="I47" s="52" t="n">
        <f aca="false">I8+I41</f>
        <v>76991.009</v>
      </c>
      <c r="J47" s="52" t="n">
        <f aca="false">J8+J41</f>
        <v>3195.24791731787</v>
      </c>
      <c r="K47" s="52" t="n">
        <f aca="false">K8+K41</f>
        <v>80112.6714371061</v>
      </c>
      <c r="L47" s="52" t="n">
        <f aca="false">L8+L41</f>
        <v>-6820.61002067053</v>
      </c>
      <c r="M47" s="52" t="n">
        <f aca="false">M8+M41</f>
        <v>31509.08</v>
      </c>
      <c r="N47" s="52" t="n">
        <f aca="false">N8+N41</f>
        <v>0.08</v>
      </c>
      <c r="O47" s="52" t="n">
        <f aca="false">O8+O41</f>
        <v>0</v>
      </c>
      <c r="P47" s="52" t="n">
        <f aca="false">P8+P41</f>
        <v>31509</v>
      </c>
      <c r="Q47" s="52" t="n">
        <f aca="false">Q8+Q41</f>
        <v>26490.88</v>
      </c>
      <c r="R47" s="52" t="n">
        <f aca="false">R8+R41</f>
        <v>11205.283</v>
      </c>
      <c r="S47" s="52" t="n">
        <f aca="false">S8+S41</f>
        <v>69205.163</v>
      </c>
      <c r="T47" s="52" t="n">
        <f aca="false">T44</f>
        <v>8232.81999999998</v>
      </c>
      <c r="U47" s="52" t="n">
        <f aca="false">U8+U41</f>
        <v>13284</v>
      </c>
      <c r="V47" s="52" t="n">
        <f aca="false">V8+V41</f>
        <v>16548.31</v>
      </c>
      <c r="W47" s="55" t="n">
        <f aca="false">W44</f>
        <v>3205.006805</v>
      </c>
      <c r="X47" s="52" t="n">
        <f aca="false">X8+X41</f>
        <v>99037.553</v>
      </c>
      <c r="Y47" s="52" t="n">
        <f aca="false">Y8+Y41</f>
        <v>10015.8579379884</v>
      </c>
      <c r="Z47" s="52" t="n">
        <f aca="false">Z8+Z41</f>
        <v>109053.410937988</v>
      </c>
      <c r="AA47" s="56" t="n">
        <f aca="false">AA8+AA41</f>
        <v>19.923</v>
      </c>
      <c r="AB47" s="57"/>
      <c r="AC47" s="57"/>
      <c r="AD47" s="58"/>
      <c r="AE47" s="92"/>
      <c r="AF47" s="93"/>
    </row>
    <row r="48" customFormat="false" ht="11.1" hidden="false" customHeight="true" outlineLevel="0" collapsed="false">
      <c r="A48" s="51" t="s">
        <v>52</v>
      </c>
      <c r="B48" s="51"/>
      <c r="C48" s="52"/>
      <c r="D48" s="52" t="n">
        <f aca="false">D8+D42</f>
        <v>-57258</v>
      </c>
      <c r="E48" s="52" t="n">
        <f aca="false">E39</f>
        <v>87249</v>
      </c>
      <c r="F48" s="52" t="n">
        <f aca="false">F47*$D$2</f>
        <v>-57258</v>
      </c>
      <c r="G48" s="52" t="n">
        <f aca="false">G47*$D$2</f>
        <v>149559.145006</v>
      </c>
      <c r="H48" s="57" t="n">
        <f aca="false">H47*$D$2</f>
        <v>2346.2484305</v>
      </c>
      <c r="I48" s="52" t="n">
        <f aca="false">I47*$D$2</f>
        <v>152711.6663515</v>
      </c>
      <c r="J48" s="52" t="n">
        <f aca="false">J47*$D$2</f>
        <v>6337.774244</v>
      </c>
      <c r="K48" s="52" t="n">
        <f aca="false">K47*$D$2</f>
        <v>158903.4837955</v>
      </c>
      <c r="L48" s="52" t="n">
        <f aca="false">L47*$D$2</f>
        <v>-13528.679976</v>
      </c>
      <c r="M48" s="52" t="n">
        <f aca="false">M47*$D$2</f>
        <v>62498.26018</v>
      </c>
      <c r="N48" s="52" t="n">
        <f aca="false">N47*$D$2</f>
        <v>0.15868</v>
      </c>
      <c r="O48" s="52" t="n">
        <f aca="false">O47*$D$2</f>
        <v>0</v>
      </c>
      <c r="P48" s="52" t="n">
        <f aca="false">P47*$D$2</f>
        <v>62498.1015</v>
      </c>
      <c r="Q48" s="52" t="n">
        <f aca="false">Q47*$D$2</f>
        <v>52544.66048</v>
      </c>
      <c r="R48" s="52" t="n">
        <f aca="false">R47*$D$2</f>
        <v>22225.6788305</v>
      </c>
      <c r="S48" s="52" t="n">
        <f aca="false">S47*$D$2</f>
        <v>137268.4408105</v>
      </c>
      <c r="T48" s="52" t="n">
        <f aca="false">T47*$D$2</f>
        <v>16329.79847</v>
      </c>
      <c r="U48" s="52" t="n">
        <f aca="false">U47*$D$2</f>
        <v>26348.814</v>
      </c>
      <c r="V48" s="52" t="n">
        <f aca="false">V47*$D$2</f>
        <v>32823.572885</v>
      </c>
      <c r="W48" s="55" t="n">
        <f aca="false">W47*$D$2</f>
        <v>6357.1309977175</v>
      </c>
      <c r="X48" s="52" t="n">
        <f aca="false">X47*$D$2</f>
        <v>196440.9863755</v>
      </c>
      <c r="Y48" s="52" t="n">
        <f aca="false">Y47*$D$2</f>
        <v>19866.45422</v>
      </c>
      <c r="Z48" s="52" t="n">
        <f aca="false">Z47*$D$2</f>
        <v>216307.4405955</v>
      </c>
      <c r="AA48" s="56"/>
      <c r="AB48" s="57"/>
      <c r="AC48" s="57"/>
      <c r="AD48" s="58"/>
      <c r="AE48" s="92"/>
      <c r="AF48" s="93"/>
    </row>
    <row r="49" customFormat="false" ht="3" hidden="false" customHeight="true" outlineLevel="0" collapsed="false">
      <c r="A49" s="74"/>
      <c r="B49" s="74"/>
      <c r="C49" s="76"/>
      <c r="D49" s="74"/>
      <c r="E49" s="76"/>
      <c r="F49" s="74"/>
      <c r="G49" s="74"/>
      <c r="H49" s="77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6"/>
      <c r="U49" s="74"/>
      <c r="V49" s="74"/>
      <c r="W49" s="109"/>
      <c r="X49" s="74"/>
      <c r="Y49" s="74"/>
      <c r="Z49" s="74"/>
      <c r="AA49" s="74"/>
      <c r="AB49" s="74"/>
      <c r="AC49" s="74"/>
      <c r="AD49" s="74"/>
      <c r="AE49" s="92"/>
      <c r="AF49" s="93"/>
    </row>
    <row r="50" customFormat="false" ht="11.1" hidden="false" customHeight="true" outlineLevel="0" collapsed="false">
      <c r="A50" s="82"/>
      <c r="B50" s="82"/>
      <c r="C50" s="52"/>
      <c r="D50" s="82"/>
      <c r="E50" s="52"/>
      <c r="F50" s="82"/>
      <c r="G50" s="53"/>
      <c r="I50" s="42"/>
      <c r="J50" s="82"/>
      <c r="K50" s="82"/>
      <c r="L50" s="82"/>
      <c r="M50" s="81"/>
      <c r="N50" s="7"/>
      <c r="O50" s="81"/>
      <c r="P50" s="82"/>
      <c r="Q50" s="82"/>
      <c r="R50" s="82"/>
      <c r="S50" s="0"/>
      <c r="T50" s="52"/>
      <c r="U50" s="47"/>
      <c r="V50" s="52"/>
      <c r="W50" s="55"/>
      <c r="X50" s="82"/>
      <c r="Y50" s="82"/>
      <c r="Z50" s="55"/>
      <c r="AA50" s="56"/>
      <c r="AB50" s="57"/>
      <c r="AC50" s="58"/>
      <c r="AD50" s="98"/>
    </row>
    <row r="51" customFormat="false" ht="11.1" hidden="false" customHeight="true" outlineLevel="0" collapsed="false">
      <c r="Q51" s="143"/>
      <c r="S51" s="52"/>
      <c r="T51" s="51"/>
      <c r="U51" s="47"/>
    </row>
    <row r="52" customFormat="false" ht="11.1" hidden="false" customHeight="true" outlineLevel="0" collapsed="false">
      <c r="Q52" s="143"/>
      <c r="S52" s="52"/>
      <c r="T52" s="51"/>
      <c r="U52" s="47"/>
    </row>
    <row r="53" customFormat="false" ht="11.1" hidden="false" customHeight="true" outlineLevel="0" collapsed="false">
      <c r="Q53" s="143"/>
    </row>
    <row r="54" customFormat="false" ht="11.1" hidden="false" customHeight="true" outlineLevel="0" collapsed="false">
      <c r="Q54" s="143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F21" activePane="bottomRight" state="frozen"/>
      <selection pane="topLeft" activeCell="A1" activeCellId="0" sqref="A1"/>
      <selection pane="topRight" activeCell="F1" activeCellId="0" sqref="F1"/>
      <selection pane="bottomLeft" activeCell="A21" activeCellId="0" sqref="A21"/>
      <selection pane="bottomRight" activeCell="M20" activeCellId="0" sqref="M20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46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66"/>
    <col collapsed="false" customWidth="true" hidden="false" outlineLevel="0" max="14" min="14" style="47" width="8.66"/>
    <col collapsed="false" customWidth="true" hidden="false" outlineLevel="0" max="15" min="15" style="47" width="7.66"/>
    <col collapsed="false" customWidth="true" hidden="false" outlineLevel="0" max="16" min="16" style="44" width="8.32"/>
    <col collapsed="false" customWidth="true" hidden="false" outlineLevel="0" max="17" min="17" style="44" width="6.66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3" min="23" style="44" width="6.82"/>
    <col collapsed="false" customWidth="true" hidden="false" outlineLevel="0" max="25" min="24" style="44" width="7.82"/>
    <col collapsed="false" customWidth="true" hidden="false" outlineLevel="0" max="26" min="26" style="48" width="8.16"/>
    <col collapsed="false" customWidth="true" hidden="false" outlineLevel="0" max="27" min="27" style="48" width="5.16"/>
    <col collapsed="false" customWidth="true" hidden="false" outlineLevel="0" max="28" min="28" style="49" width="4.66"/>
    <col collapsed="false" customWidth="true" hidden="false" outlineLevel="0" max="29" min="29" style="50" width="4.66"/>
    <col collapsed="false" customWidth="true" hidden="false" outlineLevel="0" max="30" min="30" style="44" width="5.66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147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1"/>
      <c r="Z1" s="55"/>
      <c r="AA1" s="55"/>
      <c r="AB1" s="57"/>
      <c r="AC1" s="5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147"/>
      <c r="I2" s="51"/>
      <c r="J2" s="51"/>
      <c r="K2" s="60" t="s">
        <v>83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1"/>
      <c r="Z2" s="55"/>
      <c r="AA2" s="55"/>
      <c r="AB2" s="57"/>
      <c r="AC2" s="5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147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1"/>
      <c r="Z3" s="55"/>
      <c r="AA3" s="55"/>
      <c r="AB3" s="57"/>
      <c r="AC3" s="5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48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3" t="s">
        <v>75</v>
      </c>
      <c r="X4" s="62" t="s">
        <v>10</v>
      </c>
      <c r="Y4" s="62" t="s">
        <v>11</v>
      </c>
      <c r="Z4" s="62" t="s">
        <v>12</v>
      </c>
      <c r="AA4" s="107" t="s">
        <v>19</v>
      </c>
      <c r="AB4" s="66" t="s">
        <v>20</v>
      </c>
      <c r="AC4" s="66" t="s">
        <v>21</v>
      </c>
      <c r="AD4" s="66" t="s">
        <v>3</v>
      </c>
      <c r="AE4" s="88"/>
    </row>
    <row r="5" customFormat="false" ht="11.1" hidden="false" customHeight="true" outlineLevel="0" collapsed="false">
      <c r="A5" s="67" t="s">
        <v>84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48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3" t="s">
        <v>73</v>
      </c>
      <c r="X5" s="62" t="s">
        <v>40</v>
      </c>
      <c r="Y5" s="62" t="s">
        <v>40</v>
      </c>
      <c r="Z5" s="62" t="s">
        <v>40</v>
      </c>
      <c r="AA5" s="131"/>
      <c r="AB5" s="66" t="s">
        <v>41</v>
      </c>
      <c r="AC5" s="66" t="s">
        <v>41</v>
      </c>
      <c r="AD5" s="69" t="s">
        <v>84</v>
      </c>
      <c r="AE5" s="88"/>
      <c r="AG5" s="138"/>
      <c r="AH5" s="13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47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1"/>
      <c r="X6" s="70"/>
      <c r="Y6" s="70"/>
      <c r="Z6" s="70"/>
      <c r="AA6" s="55"/>
      <c r="AB6" s="58"/>
      <c r="AC6" s="58"/>
      <c r="AD6" s="58"/>
      <c r="AE6" s="92"/>
      <c r="AF6" s="93"/>
      <c r="AG6" s="138"/>
      <c r="AH6" s="138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SEP!F44</f>
        <v>-17102.5964204689</v>
      </c>
      <c r="G7" s="52" t="n">
        <f aca="false">SEP!G44</f>
        <v>70275.48</v>
      </c>
      <c r="H7" s="149" t="n">
        <f aca="false">SEP!H44</f>
        <v>1182.883</v>
      </c>
      <c r="I7" s="52" t="n">
        <f aca="false">SEP!I44</f>
        <v>71458.363</v>
      </c>
      <c r="J7" s="52" t="n">
        <f aca="false">SEP!J44</f>
        <v>2850.34016385178</v>
      </c>
      <c r="K7" s="52" t="n">
        <f aca="false">SEP!K44</f>
        <v>74308.7031638518</v>
      </c>
      <c r="L7" s="52" t="n">
        <f aca="false">SEP!L44</f>
        <v>-5601.13642046887</v>
      </c>
      <c r="M7" s="52" t="n">
        <f aca="false">SEP!M44</f>
        <v>30107.44</v>
      </c>
      <c r="N7" s="52" t="n">
        <f aca="false">SEP!N44</f>
        <v>0</v>
      </c>
      <c r="O7" s="52" t="n">
        <f aca="false">SEP!O44</f>
        <v>0</v>
      </c>
      <c r="P7" s="52" t="n">
        <f aca="false">SEP!P44</f>
        <v>30107.44</v>
      </c>
      <c r="Q7" s="52" t="n">
        <f aca="false">SEP!Q44</f>
        <v>21966.44</v>
      </c>
      <c r="R7" s="52" t="n">
        <f aca="false">SEP!R44</f>
        <v>11151.663</v>
      </c>
      <c r="S7" s="52" t="n">
        <f aca="false">SEP!S44</f>
        <v>63225.543</v>
      </c>
      <c r="T7" s="52" t="n">
        <f aca="false">SEP!T44</f>
        <v>8232.81999999998</v>
      </c>
      <c r="U7" s="52" t="n">
        <f aca="false">SEP!U44</f>
        <v>13284</v>
      </c>
      <c r="V7" s="52" t="n">
        <f aca="false">SEP!V44</f>
        <v>6450.28</v>
      </c>
      <c r="W7" s="52" t="n">
        <f aca="false">SEP!W44</f>
        <v>3205.006805</v>
      </c>
      <c r="X7" s="52" t="n">
        <f aca="false">SEP!X44</f>
        <v>82959.823</v>
      </c>
      <c r="Y7" s="52" t="n">
        <f aca="false">SEP!Y44</f>
        <v>8451.47658432065</v>
      </c>
      <c r="Z7" s="52" t="n">
        <f aca="false">SEP!Z44</f>
        <v>91411.2995843206</v>
      </c>
      <c r="AA7" s="55"/>
      <c r="AB7" s="57"/>
      <c r="AC7" s="57"/>
      <c r="AD7" s="58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SEP!B39</f>
        <v>6887.32</v>
      </c>
      <c r="C8" s="52" t="n">
        <f aca="false">SEP!C39</f>
        <v>239227</v>
      </c>
      <c r="D8" s="52" t="n">
        <f aca="false">SEP!D48</f>
        <v>-57258</v>
      </c>
      <c r="E8" s="52" t="n">
        <f aca="false">SEP!E48</f>
        <v>87249</v>
      </c>
      <c r="F8" s="52" t="n">
        <f aca="false">SEP!F47</f>
        <v>-28867.1540206705</v>
      </c>
      <c r="G8" s="52" t="n">
        <f aca="false">SEP!G47</f>
        <v>75401.636</v>
      </c>
      <c r="H8" s="147" t="n">
        <f aca="false">SEP!H47</f>
        <v>1182.883</v>
      </c>
      <c r="I8" s="52" t="n">
        <f aca="false">SEP!I47</f>
        <v>76991.009</v>
      </c>
      <c r="J8" s="52" t="n">
        <f aca="false">SEP!J47</f>
        <v>3195.24791731787</v>
      </c>
      <c r="K8" s="52" t="n">
        <f aca="false">SEP!K47</f>
        <v>80112.6714371061</v>
      </c>
      <c r="L8" s="52" t="n">
        <f aca="false">SEP!L47</f>
        <v>-6820.61002067053</v>
      </c>
      <c r="M8" s="52" t="n">
        <f aca="false">SEP!M47</f>
        <v>31509.08</v>
      </c>
      <c r="N8" s="52" t="n">
        <f aca="false">SEP!N47</f>
        <v>0.08</v>
      </c>
      <c r="O8" s="52" t="n">
        <f aca="false">SEP!O47</f>
        <v>0</v>
      </c>
      <c r="P8" s="52" t="n">
        <f aca="false">SEP!P47</f>
        <v>31509</v>
      </c>
      <c r="Q8" s="52" t="n">
        <f aca="false">SEP!Q47</f>
        <v>26490.88</v>
      </c>
      <c r="R8" s="52" t="n">
        <f aca="false">SEP!R47</f>
        <v>11205.283</v>
      </c>
      <c r="S8" s="52" t="n">
        <f aca="false">SEP!S47</f>
        <v>69205.163</v>
      </c>
      <c r="T8" s="52" t="n">
        <f aca="false">SEP!T47</f>
        <v>8232.81999999998</v>
      </c>
      <c r="U8" s="52" t="n">
        <f aca="false">SEP!U47</f>
        <v>13284</v>
      </c>
      <c r="V8" s="52" t="n">
        <f aca="false">SEP!V47</f>
        <v>16548.31</v>
      </c>
      <c r="W8" s="52" t="n">
        <f aca="false">SEP!W48</f>
        <v>6357.1309977175</v>
      </c>
      <c r="X8" s="52" t="n">
        <f aca="false">SEP!X47</f>
        <v>99037.553</v>
      </c>
      <c r="Y8" s="52" t="n">
        <f aca="false">SEP!Y47</f>
        <v>10015.8579379884</v>
      </c>
      <c r="Z8" s="52" t="n">
        <f aca="false">SEP!Z47</f>
        <v>109053.410937988</v>
      </c>
      <c r="AA8" s="55" t="n">
        <f aca="false">SEP!AA47</f>
        <v>19.923</v>
      </c>
      <c r="AB8" s="57"/>
      <c r="AC8" s="57"/>
      <c r="AD8" s="58"/>
      <c r="AE8" s="92"/>
      <c r="AF8" s="93"/>
      <c r="AG8" s="44"/>
      <c r="AH8" s="4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50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6"/>
      <c r="X9" s="74"/>
      <c r="Y9" s="74"/>
      <c r="Z9" s="74"/>
      <c r="AA9" s="109"/>
      <c r="AB9" s="79"/>
      <c r="AC9" s="79"/>
      <c r="AD9" s="80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6887.39</v>
      </c>
      <c r="C10" s="52" t="n">
        <v>239458</v>
      </c>
      <c r="D10" s="57" t="n">
        <f aca="false">C10-C8</f>
        <v>231</v>
      </c>
      <c r="E10" s="52" t="n">
        <f aca="false">C10-152000</f>
        <v>87458</v>
      </c>
      <c r="F10" s="51" t="n">
        <f aca="false">D10/$D$2</f>
        <v>116.46080161331</v>
      </c>
      <c r="G10" s="51" t="n">
        <v>275.49</v>
      </c>
      <c r="H10" s="147" t="n">
        <v>0</v>
      </c>
      <c r="I10" s="51" t="n">
        <f aca="false">G10+H10</f>
        <v>275.49</v>
      </c>
      <c r="J10" s="81" t="n">
        <f aca="false">IF(L10&gt;0,L10,0)</f>
        <v>0</v>
      </c>
      <c r="K10" s="51" t="n">
        <f aca="false">I10+J10</f>
        <v>275.49</v>
      </c>
      <c r="L10" s="51" t="n">
        <f aca="false">F10-(I10-X10)</f>
        <v>-0.0291983866902115</v>
      </c>
      <c r="M10" s="51" t="n">
        <v>77.57</v>
      </c>
      <c r="N10" s="51" t="n">
        <v>0</v>
      </c>
      <c r="O10" s="51" t="n">
        <v>0</v>
      </c>
      <c r="P10" s="6" t="n">
        <f aca="false">M10-(N10+O10)</f>
        <v>77.57</v>
      </c>
      <c r="Q10" s="51" t="n">
        <v>0</v>
      </c>
      <c r="R10" s="51" t="n">
        <v>32.43</v>
      </c>
      <c r="S10" s="51" t="n">
        <f aca="false">SUM(P10:R10)</f>
        <v>110</v>
      </c>
      <c r="T10" s="52" t="n">
        <f aca="false">(I10-S10)+T7</f>
        <v>8398.30999999998</v>
      </c>
      <c r="U10" s="51" t="n">
        <v>20</v>
      </c>
      <c r="V10" s="51" t="n">
        <v>29</v>
      </c>
      <c r="W10" s="52" t="n">
        <f aca="false">V10-20</f>
        <v>9</v>
      </c>
      <c r="X10" s="6" t="n">
        <f aca="false">N10+O10+S10+U10+V10</f>
        <v>159</v>
      </c>
      <c r="Y10" s="51" t="n">
        <f aca="false">IF(L10&lt;0,L10*-1,0)</f>
        <v>0.0291983866902115</v>
      </c>
      <c r="Z10" s="51" t="n">
        <f aca="false">X10+Y10</f>
        <v>159.02919838669</v>
      </c>
      <c r="AA10" s="55" t="n">
        <v>0.51</v>
      </c>
      <c r="AB10" s="57" t="n">
        <v>68</v>
      </c>
      <c r="AC10" s="57" t="n">
        <v>47</v>
      </c>
      <c r="AD10" s="58" t="n">
        <v>1</v>
      </c>
      <c r="AE10" s="94"/>
      <c r="AF10" s="94"/>
    </row>
    <row r="11" customFormat="false" ht="11.1" hidden="false" customHeight="true" outlineLevel="0" collapsed="false">
      <c r="A11" s="58" t="n">
        <f aca="false">A10+1</f>
        <v>2</v>
      </c>
      <c r="B11" s="73" t="n">
        <v>6887.45</v>
      </c>
      <c r="C11" s="52" t="n">
        <v>239656</v>
      </c>
      <c r="D11" s="57" t="n">
        <f aca="false">C11-C10</f>
        <v>198</v>
      </c>
      <c r="E11" s="52" t="n">
        <f aca="false">C11-152000</f>
        <v>87656</v>
      </c>
      <c r="F11" s="51" t="n">
        <f aca="false">D11/$D$2</f>
        <v>99.8235442399798</v>
      </c>
      <c r="G11" s="51" t="n">
        <v>250.85</v>
      </c>
      <c r="H11" s="147" t="n">
        <v>0</v>
      </c>
      <c r="I11" s="51" t="n">
        <f aca="false">G11+H11</f>
        <v>250.85</v>
      </c>
      <c r="J11" s="81" t="n">
        <f aca="false">IF(L11&gt;0,L11,0)</f>
        <v>0</v>
      </c>
      <c r="K11" s="51" t="n">
        <f aca="false">I11+J11</f>
        <v>250.85</v>
      </c>
      <c r="L11" s="51" t="n">
        <f aca="false">F11-(I11-X11)</f>
        <v>-0.0264557600201698</v>
      </c>
      <c r="M11" s="51" t="n">
        <v>77.57</v>
      </c>
      <c r="N11" s="51" t="n">
        <v>0</v>
      </c>
      <c r="O11" s="51" t="n">
        <v>0</v>
      </c>
      <c r="P11" s="6" t="n">
        <f aca="false">M11-(N11+O11)</f>
        <v>77.57</v>
      </c>
      <c r="Q11" s="51" t="n">
        <v>0</v>
      </c>
      <c r="R11" s="51" t="n">
        <v>30.43</v>
      </c>
      <c r="S11" s="51" t="n">
        <f aca="false">SUM(P11:R11)</f>
        <v>108</v>
      </c>
      <c r="T11" s="52" t="n">
        <f aca="false">(I11-S11)+T10</f>
        <v>8541.15999999998</v>
      </c>
      <c r="U11" s="51" t="n">
        <v>14</v>
      </c>
      <c r="V11" s="51" t="n">
        <v>29</v>
      </c>
      <c r="W11" s="52" t="n">
        <f aca="false">V11-20</f>
        <v>9</v>
      </c>
      <c r="X11" s="6" t="n">
        <f aca="false">N11+O11+S11+U11+V11</f>
        <v>151</v>
      </c>
      <c r="Y11" s="51" t="n">
        <f aca="false">IF(L11&lt;0,L11*-1,0)</f>
        <v>0.0264557600201698</v>
      </c>
      <c r="Z11" s="51" t="n">
        <f aca="false">X11+Y11</f>
        <v>151.02645576002</v>
      </c>
      <c r="AA11" s="55" t="n">
        <v>0.04</v>
      </c>
      <c r="AB11" s="57" t="n">
        <v>54</v>
      </c>
      <c r="AC11" s="57" t="n">
        <v>46</v>
      </c>
      <c r="AD11" s="58" t="n">
        <f aca="false">AD10+1</f>
        <v>2</v>
      </c>
      <c r="AE11" s="94"/>
      <c r="AF11" s="94"/>
    </row>
    <row r="12" customFormat="false" ht="11.1" hidden="false" customHeight="true" outlineLevel="0" collapsed="false">
      <c r="A12" s="58" t="n">
        <f aca="false">A11+1</f>
        <v>3</v>
      </c>
      <c r="B12" s="73" t="n">
        <v>6887.5</v>
      </c>
      <c r="C12" s="52" t="n">
        <v>239821</v>
      </c>
      <c r="D12" s="57" t="n">
        <f aca="false">C12-C11</f>
        <v>165</v>
      </c>
      <c r="E12" s="52" t="n">
        <f aca="false">C12-152000</f>
        <v>87821</v>
      </c>
      <c r="F12" s="51" t="n">
        <f aca="false">D12/$D$2</f>
        <v>83.1862868666499</v>
      </c>
      <c r="G12" s="51" t="n">
        <v>322.17</v>
      </c>
      <c r="H12" s="147" t="n">
        <v>0</v>
      </c>
      <c r="I12" s="51" t="n">
        <f aca="false">G12+H12</f>
        <v>322.17</v>
      </c>
      <c r="J12" s="81" t="n">
        <f aca="false">IF(L12&gt;0,L12,0)</f>
        <v>0</v>
      </c>
      <c r="K12" s="51" t="n">
        <f aca="false">I12+J12</f>
        <v>322.17</v>
      </c>
      <c r="L12" s="51" t="n">
        <f aca="false">F12-(I12-X12)</f>
        <v>-94.9537131333502</v>
      </c>
      <c r="M12" s="51" t="n">
        <v>77.57</v>
      </c>
      <c r="N12" s="51" t="n">
        <v>0</v>
      </c>
      <c r="O12" s="51" t="n">
        <v>0</v>
      </c>
      <c r="P12" s="6" t="n">
        <f aca="false">M12-(N12+O12)</f>
        <v>77.57</v>
      </c>
      <c r="Q12" s="51" t="n">
        <v>0</v>
      </c>
      <c r="R12" s="51" t="n">
        <v>25.43</v>
      </c>
      <c r="S12" s="51" t="n">
        <f aca="false">SUM(P12:R12)</f>
        <v>103</v>
      </c>
      <c r="T12" s="52" t="n">
        <f aca="false">(I12-S12)+T11</f>
        <v>8760.32999999998</v>
      </c>
      <c r="U12" s="51" t="n">
        <v>12</v>
      </c>
      <c r="V12" s="51" t="n">
        <v>29.03</v>
      </c>
      <c r="W12" s="52" t="n">
        <f aca="false">V12-20</f>
        <v>9.03</v>
      </c>
      <c r="X12" s="6" t="n">
        <f aca="false">N12+O12+S12+U12+V12</f>
        <v>144.03</v>
      </c>
      <c r="Y12" s="51" t="n">
        <f aca="false">IF(L12&lt;0,L12*-1,0)</f>
        <v>94.9537131333502</v>
      </c>
      <c r="Z12" s="51" t="n">
        <f aca="false">X12+Y12</f>
        <v>238.98371313335</v>
      </c>
      <c r="AA12" s="55" t="n">
        <v>0</v>
      </c>
      <c r="AB12" s="57" t="n">
        <v>59</v>
      </c>
      <c r="AC12" s="57" t="n">
        <v>39</v>
      </c>
      <c r="AD12" s="58" t="n">
        <f aca="false">AD11+1</f>
        <v>3</v>
      </c>
      <c r="AE12" s="94"/>
      <c r="AF12" s="94"/>
    </row>
    <row r="13" customFormat="false" ht="11.1" hidden="false" customHeight="true" outlineLevel="0" collapsed="false">
      <c r="A13" s="58" t="n">
        <f aca="false">A12+1</f>
        <v>4</v>
      </c>
      <c r="B13" s="73" t="n">
        <v>6887.553</v>
      </c>
      <c r="C13" s="52" t="n">
        <v>239986</v>
      </c>
      <c r="D13" s="57" t="n">
        <f aca="false">C13-C12</f>
        <v>165</v>
      </c>
      <c r="E13" s="52" t="n">
        <f aca="false">C13-152000</f>
        <v>87986</v>
      </c>
      <c r="F13" s="51" t="n">
        <f aca="false">D13/$D$2</f>
        <v>83.1862868666499</v>
      </c>
      <c r="G13" s="51" t="n">
        <v>262.42</v>
      </c>
      <c r="H13" s="147" t="n">
        <v>0</v>
      </c>
      <c r="I13" s="51" t="n">
        <f aca="false">G13+H13</f>
        <v>262.42</v>
      </c>
      <c r="J13" s="81" t="n">
        <f aca="false">IF(L13&gt;0,L13,0)</f>
        <v>0</v>
      </c>
      <c r="K13" s="51" t="n">
        <f aca="false">I13+J13</f>
        <v>262.42</v>
      </c>
      <c r="L13" s="51" t="n">
        <f aca="false">F13-(I13-X13)</f>
        <v>-18.1337131333502</v>
      </c>
      <c r="M13" s="51" t="n">
        <v>70.42</v>
      </c>
      <c r="N13" s="51" t="n">
        <v>0</v>
      </c>
      <c r="O13" s="51" t="n">
        <v>0</v>
      </c>
      <c r="P13" s="6" t="n">
        <f aca="false">M13-(N13+O13)</f>
        <v>70.42</v>
      </c>
      <c r="Q13" s="51" t="n">
        <v>0</v>
      </c>
      <c r="R13" s="51" t="n">
        <v>25.58</v>
      </c>
      <c r="S13" s="51" t="n">
        <f aca="false">SUM(P13:R13)</f>
        <v>96</v>
      </c>
      <c r="T13" s="52" t="n">
        <f aca="false">(I13-S13)+T12</f>
        <v>8926.74999999998</v>
      </c>
      <c r="U13" s="51" t="n">
        <v>36</v>
      </c>
      <c r="V13" s="51" t="n">
        <v>29.1</v>
      </c>
      <c r="W13" s="52" t="n">
        <f aca="false">V13-20</f>
        <v>9.1</v>
      </c>
      <c r="X13" s="6" t="n">
        <f aca="false">N13+O13+S13+U13+V13</f>
        <v>161.1</v>
      </c>
      <c r="Y13" s="51" t="n">
        <f aca="false">IF(L13&lt;0,L13*-1,0)</f>
        <v>18.1337131333502</v>
      </c>
      <c r="Z13" s="51" t="n">
        <f aca="false">X13+Y13</f>
        <v>179.23371313335</v>
      </c>
      <c r="AA13" s="55" t="n">
        <v>0</v>
      </c>
      <c r="AB13" s="57" t="n">
        <v>69</v>
      </c>
      <c r="AC13" s="57" t="n">
        <v>34</v>
      </c>
      <c r="AD13" s="58" t="n">
        <f aca="false">AD12+1</f>
        <v>4</v>
      </c>
      <c r="AE13" s="94"/>
      <c r="AF13" s="94"/>
    </row>
    <row r="14" customFormat="false" ht="11.1" hidden="false" customHeight="true" outlineLevel="0" collapsed="false">
      <c r="A14" s="58" t="n">
        <f aca="false">A13+1</f>
        <v>5</v>
      </c>
      <c r="B14" s="73" t="n">
        <v>6887.6</v>
      </c>
      <c r="C14" s="52" t="n">
        <v>240151</v>
      </c>
      <c r="D14" s="57" t="n">
        <f aca="false">C14-C13</f>
        <v>165</v>
      </c>
      <c r="E14" s="52" t="n">
        <f aca="false">C14-152000</f>
        <v>88151</v>
      </c>
      <c r="F14" s="51" t="n">
        <f aca="false">D14/$D$2</f>
        <v>83.1862868666499</v>
      </c>
      <c r="G14" s="51" t="n">
        <v>228.19</v>
      </c>
      <c r="H14" s="147" t="n">
        <v>0</v>
      </c>
      <c r="I14" s="51" t="n">
        <f aca="false">G14+H14</f>
        <v>228.19</v>
      </c>
      <c r="J14" s="81" t="n">
        <f aca="false">IF(L14&gt;0,L14,0)</f>
        <v>0</v>
      </c>
      <c r="K14" s="51" t="n">
        <f aca="false">I14+J14</f>
        <v>228.19</v>
      </c>
      <c r="L14" s="51" t="n">
        <f aca="false">F14-(I14-X14)</f>
        <v>-3.44371313335013</v>
      </c>
      <c r="M14" s="51" t="n">
        <v>67.3</v>
      </c>
      <c r="N14" s="51" t="n">
        <v>0</v>
      </c>
      <c r="O14" s="51" t="n">
        <v>0</v>
      </c>
      <c r="P14" s="6" t="n">
        <f aca="false">M14-(N14+O14)</f>
        <v>67.3</v>
      </c>
      <c r="Q14" s="51" t="n">
        <v>0</v>
      </c>
      <c r="R14" s="51" t="n">
        <v>24.7</v>
      </c>
      <c r="S14" s="51" t="n">
        <f aca="false">SUM(P14:R14)</f>
        <v>92</v>
      </c>
      <c r="T14" s="52" t="n">
        <f aca="false">(I14-S14)+T13</f>
        <v>9062.93999999998</v>
      </c>
      <c r="U14" s="51" t="n">
        <v>21</v>
      </c>
      <c r="V14" s="51" t="n">
        <v>28.56</v>
      </c>
      <c r="W14" s="52" t="n">
        <f aca="false">V14-20</f>
        <v>8.56</v>
      </c>
      <c r="X14" s="6" t="n">
        <f aca="false">N14+O14+S14+U14+V14</f>
        <v>141.56</v>
      </c>
      <c r="Y14" s="51" t="n">
        <f aca="false">IF(L14&lt;0,L14*-1,0)</f>
        <v>3.44371313335013</v>
      </c>
      <c r="Z14" s="51" t="n">
        <f aca="false">X14+Y14</f>
        <v>145.00371313335</v>
      </c>
      <c r="AA14" s="55" t="n">
        <v>0</v>
      </c>
      <c r="AB14" s="57" t="n">
        <v>70</v>
      </c>
      <c r="AC14" s="57" t="n">
        <v>38</v>
      </c>
      <c r="AD14" s="58" t="n">
        <f aca="false">AD13+1</f>
        <v>5</v>
      </c>
      <c r="AE14" s="94"/>
      <c r="AF14" s="94"/>
    </row>
    <row r="15" customFormat="false" ht="11.1" hidden="false" customHeight="true" outlineLevel="0" collapsed="false">
      <c r="A15" s="58" t="n">
        <f aca="false">A14+1</f>
        <v>6</v>
      </c>
      <c r="B15" s="73" t="n">
        <v>6887.64</v>
      </c>
      <c r="C15" s="52" t="n">
        <v>240282</v>
      </c>
      <c r="D15" s="57" t="n">
        <f aca="false">C15-C14</f>
        <v>131</v>
      </c>
      <c r="E15" s="52" t="n">
        <f aca="false">C15-152000</f>
        <v>88282</v>
      </c>
      <c r="F15" s="51" t="n">
        <f aca="false">D15/$D$2</f>
        <v>66.0448701789766</v>
      </c>
      <c r="G15" s="51" t="n">
        <v>206.96</v>
      </c>
      <c r="H15" s="147" t="n">
        <v>0</v>
      </c>
      <c r="I15" s="51" t="n">
        <f aca="false">G15+H15</f>
        <v>206.96</v>
      </c>
      <c r="J15" s="81" t="n">
        <f aca="false">IF(L15&gt;0,L15,0)</f>
        <v>0</v>
      </c>
      <c r="K15" s="51" t="n">
        <f aca="false">I15+J15</f>
        <v>206.96</v>
      </c>
      <c r="L15" s="51" t="n">
        <f aca="false">F15-(I15-X15)</f>
        <v>-2.40512982102346</v>
      </c>
      <c r="M15" s="51" t="n">
        <v>67.3</v>
      </c>
      <c r="N15" s="51" t="n">
        <v>0</v>
      </c>
      <c r="O15" s="51" t="n">
        <v>0</v>
      </c>
      <c r="P15" s="6" t="n">
        <f aca="false">M15-(N15+O15)</f>
        <v>67.3</v>
      </c>
      <c r="Q15" s="51" t="n">
        <v>0</v>
      </c>
      <c r="R15" s="51" t="n">
        <v>25.7</v>
      </c>
      <c r="S15" s="51" t="n">
        <f aca="false">SUM(P15:R15)</f>
        <v>93</v>
      </c>
      <c r="T15" s="52" t="n">
        <f aca="false">(I15-S15)+T14</f>
        <v>9176.89999999998</v>
      </c>
      <c r="U15" s="51" t="n">
        <v>18</v>
      </c>
      <c r="V15" s="51" t="n">
        <v>27.51</v>
      </c>
      <c r="W15" s="52" t="n">
        <f aca="false">V15-20</f>
        <v>7.51</v>
      </c>
      <c r="X15" s="6" t="n">
        <f aca="false">N15+O15+S15+U15+V15</f>
        <v>138.51</v>
      </c>
      <c r="Y15" s="51" t="n">
        <f aca="false">IF(L15&lt;0,L15*-1,0)</f>
        <v>2.40512982102346</v>
      </c>
      <c r="Z15" s="51" t="n">
        <f aca="false">X15+Y15</f>
        <v>140.915129821023</v>
      </c>
      <c r="AA15" s="55" t="n">
        <v>0</v>
      </c>
      <c r="AB15" s="57" t="n">
        <v>67</v>
      </c>
      <c r="AC15" s="57" t="n">
        <v>39</v>
      </c>
      <c r="AD15" s="58" t="n">
        <f aca="false">AD14+1</f>
        <v>6</v>
      </c>
      <c r="AE15" s="94"/>
      <c r="AF15" s="94"/>
    </row>
    <row r="16" customFormat="false" ht="11.1" hidden="false" customHeight="true" outlineLevel="0" collapsed="false">
      <c r="A16" s="58" t="n">
        <f aca="false">A15+1</f>
        <v>7</v>
      </c>
      <c r="B16" s="73" t="n">
        <v>6887.68</v>
      </c>
      <c r="C16" s="52" t="n">
        <v>240414</v>
      </c>
      <c r="D16" s="57" t="n">
        <f aca="false">C16-C15</f>
        <v>132</v>
      </c>
      <c r="E16" s="52" t="n">
        <f aca="false">C16-152000</f>
        <v>88414</v>
      </c>
      <c r="F16" s="51" t="n">
        <f aca="false">D16/$D$2</f>
        <v>66.5490294933199</v>
      </c>
      <c r="G16" s="51" t="n">
        <v>198.53</v>
      </c>
      <c r="H16" s="147" t="n">
        <v>0</v>
      </c>
      <c r="I16" s="51" t="n">
        <f aca="false">G16+H16</f>
        <v>198.53</v>
      </c>
      <c r="J16" s="81" t="n">
        <f aca="false">IF(L16&gt;0,L16,0)</f>
        <v>0</v>
      </c>
      <c r="K16" s="51" t="n">
        <f aca="false">I16+J16</f>
        <v>198.53</v>
      </c>
      <c r="L16" s="51" t="n">
        <f aca="false">F16-(I16-X16)</f>
        <v>-8.32097050668011</v>
      </c>
      <c r="M16" s="51" t="n">
        <v>67.22</v>
      </c>
      <c r="N16" s="51" t="n">
        <v>0</v>
      </c>
      <c r="O16" s="51" t="n">
        <v>0</v>
      </c>
      <c r="P16" s="6" t="n">
        <f aca="false">M16-(N16+O16)</f>
        <v>67.22</v>
      </c>
      <c r="Q16" s="51" t="n">
        <v>0</v>
      </c>
      <c r="R16" s="51" t="n">
        <v>26.78</v>
      </c>
      <c r="S16" s="51" t="n">
        <f aca="false">SUM(P16:R16)</f>
        <v>94</v>
      </c>
      <c r="T16" s="52" t="n">
        <f aca="false">(I16-S16)+T15</f>
        <v>9281.42999999998</v>
      </c>
      <c r="U16" s="51" t="n">
        <v>2</v>
      </c>
      <c r="V16" s="51" t="n">
        <v>27.66</v>
      </c>
      <c r="W16" s="52" t="n">
        <f aca="false">V16-20</f>
        <v>7.66</v>
      </c>
      <c r="X16" s="6" t="n">
        <f aca="false">N16+O16+S16+U16+V16</f>
        <v>123.66</v>
      </c>
      <c r="Y16" s="51" t="n">
        <f aca="false">IF(L16&lt;0,L16*-1,0)</f>
        <v>8.32097050668011</v>
      </c>
      <c r="Z16" s="51" t="n">
        <f aca="false">X16+Y16</f>
        <v>131.98097050668</v>
      </c>
      <c r="AA16" s="55" t="n">
        <v>0.36</v>
      </c>
      <c r="AB16" s="57" t="n">
        <v>56</v>
      </c>
      <c r="AC16" s="57" t="n">
        <v>46</v>
      </c>
      <c r="AD16" s="58" t="n">
        <f aca="false">AD15+1</f>
        <v>7</v>
      </c>
      <c r="AE16" s="94"/>
      <c r="AF16" s="94"/>
    </row>
    <row r="17" customFormat="false" ht="11.1" hidden="false" customHeight="true" outlineLevel="0" collapsed="false">
      <c r="A17" s="58" t="n">
        <f aca="false">A16+1</f>
        <v>8</v>
      </c>
      <c r="B17" s="73" t="n">
        <v>6887.74</v>
      </c>
      <c r="C17" s="52" t="n">
        <v>240612</v>
      </c>
      <c r="D17" s="57" t="n">
        <f aca="false">C17-C16</f>
        <v>198</v>
      </c>
      <c r="E17" s="52" t="n">
        <f aca="false">C17-152000</f>
        <v>88612</v>
      </c>
      <c r="F17" s="51" t="n">
        <f aca="false">D17/$D$2</f>
        <v>99.8235442399798</v>
      </c>
      <c r="G17" s="51" t="n">
        <v>304.23</v>
      </c>
      <c r="H17" s="147" t="n">
        <v>0</v>
      </c>
      <c r="I17" s="51" t="n">
        <f aca="false">G17+H17</f>
        <v>304.23</v>
      </c>
      <c r="J17" s="81" t="n">
        <f aca="false">IF(L17&gt;0,L17,0)</f>
        <v>0</v>
      </c>
      <c r="K17" s="51" t="n">
        <f aca="false">I17+J17</f>
        <v>304.23</v>
      </c>
      <c r="L17" s="51" t="n">
        <f aca="false">F17-(I17-X17)</f>
        <v>-83.3564557600202</v>
      </c>
      <c r="M17" s="51" t="n">
        <v>64.78</v>
      </c>
      <c r="N17" s="51" t="n">
        <v>0</v>
      </c>
      <c r="O17" s="51" t="n">
        <v>0</v>
      </c>
      <c r="P17" s="6" t="n">
        <f aca="false">M17-(N17+O17)</f>
        <v>64.78</v>
      </c>
      <c r="Q17" s="51" t="n">
        <v>0</v>
      </c>
      <c r="R17" s="51" t="n">
        <v>24.22</v>
      </c>
      <c r="S17" s="51" t="n">
        <f aca="false">SUM(P17:R17)</f>
        <v>89</v>
      </c>
      <c r="T17" s="52" t="n">
        <f aca="false">(I17-S17)+T16</f>
        <v>9496.65999999998</v>
      </c>
      <c r="U17" s="51" t="n">
        <v>5</v>
      </c>
      <c r="V17" s="51" t="n">
        <v>27.05</v>
      </c>
      <c r="W17" s="52" t="n">
        <f aca="false">V17-20</f>
        <v>7.05</v>
      </c>
      <c r="X17" s="6" t="n">
        <f aca="false">N17+O17+S17+U17+V17</f>
        <v>121.05</v>
      </c>
      <c r="Y17" s="51" t="n">
        <f aca="false">IF(L17&lt;0,L17*-1,0)</f>
        <v>83.3564557600202</v>
      </c>
      <c r="Z17" s="51" t="n">
        <f aca="false">X17+Y17</f>
        <v>204.40645576002</v>
      </c>
      <c r="AA17" s="55" t="n">
        <v>0</v>
      </c>
      <c r="AB17" s="57" t="n">
        <v>44</v>
      </c>
      <c r="AC17" s="57" t="n">
        <v>30</v>
      </c>
      <c r="AD17" s="58" t="n">
        <f aca="false">AD16+1</f>
        <v>8</v>
      </c>
      <c r="AE17" s="94"/>
      <c r="AF17" s="94"/>
    </row>
    <row r="18" customFormat="false" ht="11.1" hidden="false" customHeight="true" outlineLevel="0" collapsed="false">
      <c r="A18" s="58" t="n">
        <f aca="false">A17+1</f>
        <v>9</v>
      </c>
      <c r="B18" s="73" t="n">
        <v>6887.8</v>
      </c>
      <c r="C18" s="52" t="n">
        <v>240810</v>
      </c>
      <c r="D18" s="57" t="n">
        <f aca="false">C18-C17</f>
        <v>198</v>
      </c>
      <c r="E18" s="52" t="n">
        <f aca="false">C18-152000</f>
        <v>88810</v>
      </c>
      <c r="F18" s="51" t="n">
        <f aca="false">D18/$D$2</f>
        <v>99.8235442399798</v>
      </c>
      <c r="G18" s="51" t="n">
        <v>271.11</v>
      </c>
      <c r="H18" s="147" t="n">
        <v>0</v>
      </c>
      <c r="I18" s="51" t="n">
        <f aca="false">G18+H18</f>
        <v>271.11</v>
      </c>
      <c r="J18" s="81" t="n">
        <f aca="false">IF(L18&gt;0,L18,0)</f>
        <v>0</v>
      </c>
      <c r="K18" s="51" t="n">
        <f aca="false">I18+J18</f>
        <v>271.11</v>
      </c>
      <c r="L18" s="51" t="n">
        <f aca="false">F18-(I18-X18)</f>
        <v>-58.3864557600202</v>
      </c>
      <c r="M18" s="51" t="n">
        <v>61.6</v>
      </c>
      <c r="N18" s="51" t="n">
        <v>0</v>
      </c>
      <c r="O18" s="51" t="n">
        <v>0</v>
      </c>
      <c r="P18" s="6" t="n">
        <f aca="false">M18-(N18+O18)</f>
        <v>61.6</v>
      </c>
      <c r="Q18" s="51" t="n">
        <v>0</v>
      </c>
      <c r="R18" s="51" t="n">
        <v>19.4</v>
      </c>
      <c r="S18" s="51" t="n">
        <f aca="false">SUM(P18:R18)</f>
        <v>81</v>
      </c>
      <c r="T18" s="52" t="n">
        <f aca="false">(I18-S18)+T17</f>
        <v>9686.76999999998</v>
      </c>
      <c r="U18" s="51" t="n">
        <v>0</v>
      </c>
      <c r="V18" s="51" t="n">
        <v>31.9</v>
      </c>
      <c r="W18" s="52" t="n">
        <f aca="false">V18-20</f>
        <v>11.9</v>
      </c>
      <c r="X18" s="6" t="n">
        <f aca="false">N18+O18+S18+U18+V18</f>
        <v>112.9</v>
      </c>
      <c r="Y18" s="51" t="n">
        <f aca="false">IF(L18&lt;0,L18*-1,0)</f>
        <v>58.3864557600202</v>
      </c>
      <c r="Z18" s="51" t="n">
        <f aca="false">X18+Y18</f>
        <v>171.28645576002</v>
      </c>
      <c r="AA18" s="55" t="n">
        <v>0</v>
      </c>
      <c r="AB18" s="82" t="n">
        <v>52</v>
      </c>
      <c r="AC18" s="57" t="n">
        <v>24</v>
      </c>
      <c r="AD18" s="58" t="n">
        <f aca="false">AD17+1</f>
        <v>9</v>
      </c>
      <c r="AE18" s="94"/>
      <c r="AF18" s="94"/>
    </row>
    <row r="19" customFormat="false" ht="11.1" hidden="false" customHeight="true" outlineLevel="0" collapsed="false">
      <c r="A19" s="58" t="n">
        <f aca="false">A18+1</f>
        <v>10</v>
      </c>
      <c r="B19" s="73" t="n">
        <v>6887.87</v>
      </c>
      <c r="C19" s="52" t="n">
        <v>241041</v>
      </c>
      <c r="D19" s="57" t="n">
        <f aca="false">C19-C18</f>
        <v>231</v>
      </c>
      <c r="E19" s="52" t="n">
        <f aca="false">C19-152000</f>
        <v>89041</v>
      </c>
      <c r="F19" s="51" t="n">
        <f aca="false">D19/$D$2</f>
        <v>116.46080161331</v>
      </c>
      <c r="G19" s="51" t="n">
        <v>233.95</v>
      </c>
      <c r="H19" s="147" t="n">
        <v>0</v>
      </c>
      <c r="I19" s="51" t="n">
        <f aca="false">G19+H19</f>
        <v>233.95</v>
      </c>
      <c r="J19" s="81" t="n">
        <f aca="false">IF(L19&gt;0,L19,0)</f>
        <v>0</v>
      </c>
      <c r="K19" s="51" t="n">
        <f aca="false">I19+J19</f>
        <v>233.95</v>
      </c>
      <c r="L19" s="51" t="n">
        <f aca="false">F19-(I19-X19)</f>
        <v>-5.54919838669019</v>
      </c>
      <c r="M19" s="51" t="n">
        <v>59.5</v>
      </c>
      <c r="N19" s="51" t="n">
        <v>0</v>
      </c>
      <c r="O19" s="51" t="n">
        <v>0</v>
      </c>
      <c r="P19" s="6" t="n">
        <f aca="false">M19-(N19+O19)</f>
        <v>59.5</v>
      </c>
      <c r="Q19" s="51" t="n">
        <v>0</v>
      </c>
      <c r="R19" s="51" t="n">
        <v>20.54</v>
      </c>
      <c r="S19" s="51" t="n">
        <f aca="false">SUM(P19:R19)</f>
        <v>80.04</v>
      </c>
      <c r="T19" s="52" t="n">
        <f aca="false">(I19-S19)+T18</f>
        <v>9840.67999999998</v>
      </c>
      <c r="U19" s="51" t="n">
        <v>0</v>
      </c>
      <c r="V19" s="51" t="n">
        <v>31.9</v>
      </c>
      <c r="W19" s="52" t="n">
        <f aca="false">V19-20</f>
        <v>11.9</v>
      </c>
      <c r="X19" s="6" t="n">
        <f aca="false">N19+O19+S19+U19+V19</f>
        <v>111.94</v>
      </c>
      <c r="Y19" s="51" t="n">
        <f aca="false">IF(L19&lt;0,L19*-1,0)</f>
        <v>5.54919838669019</v>
      </c>
      <c r="Z19" s="51" t="n">
        <f aca="false">X19+Y19</f>
        <v>117.48919838669</v>
      </c>
      <c r="AA19" s="55" t="n">
        <v>0</v>
      </c>
      <c r="AB19" s="57" t="n">
        <v>56</v>
      </c>
      <c r="AC19" s="57" t="n">
        <v>22</v>
      </c>
      <c r="AD19" s="58" t="n">
        <f aca="false">AD18+1</f>
        <v>10</v>
      </c>
      <c r="AE19" s="94"/>
      <c r="AF19" s="94"/>
    </row>
    <row r="20" customFormat="false" ht="11.1" hidden="false" customHeight="true" outlineLevel="0" collapsed="false">
      <c r="A20" s="58" t="n">
        <f aca="false">A19+1</f>
        <v>11</v>
      </c>
      <c r="B20" s="73" t="n">
        <v>6887.92</v>
      </c>
      <c r="C20" s="52" t="n">
        <v>241205</v>
      </c>
      <c r="D20" s="57" t="n">
        <f aca="false">C20-C19</f>
        <v>164</v>
      </c>
      <c r="E20" s="52" t="n">
        <f aca="false">C20-152000</f>
        <v>89205</v>
      </c>
      <c r="F20" s="51" t="n">
        <f aca="false">D20/$D$2</f>
        <v>82.6821275523065</v>
      </c>
      <c r="G20" s="51" t="n">
        <v>218.99</v>
      </c>
      <c r="H20" s="147" t="n">
        <v>0</v>
      </c>
      <c r="I20" s="51" t="n">
        <f aca="false">G20+H20</f>
        <v>218.99</v>
      </c>
      <c r="J20" s="81" t="n">
        <f aca="false">IF(L20&gt;0,L20,0)</f>
        <v>0</v>
      </c>
      <c r="K20" s="51" t="n">
        <f aca="false">I20+J20</f>
        <v>218.99</v>
      </c>
      <c r="L20" s="51" t="n">
        <f aca="false">F20-(I20-X20)</f>
        <v>-28.4078724476935</v>
      </c>
      <c r="M20" s="51" t="n">
        <v>55.25</v>
      </c>
      <c r="N20" s="51" t="n">
        <v>0</v>
      </c>
      <c r="O20" s="51" t="n">
        <v>0</v>
      </c>
      <c r="P20" s="6" t="n">
        <f aca="false">M20-(N20+O20)</f>
        <v>55.25</v>
      </c>
      <c r="Q20" s="51" t="n">
        <v>0</v>
      </c>
      <c r="R20" s="51" t="n">
        <v>20.75</v>
      </c>
      <c r="S20" s="51" t="n">
        <f aca="false">SUM(P20:R20)</f>
        <v>76</v>
      </c>
      <c r="T20" s="52" t="n">
        <f aca="false">(I20-S20)+T19</f>
        <v>9983.66999999998</v>
      </c>
      <c r="U20" s="51" t="n">
        <v>0</v>
      </c>
      <c r="V20" s="51" t="n">
        <v>31.9</v>
      </c>
      <c r="W20" s="52" t="n">
        <f aca="false">V20-20</f>
        <v>11.9</v>
      </c>
      <c r="X20" s="6" t="n">
        <f aca="false">N20+O20+S20+U20+V20</f>
        <v>107.9</v>
      </c>
      <c r="Y20" s="51" t="n">
        <f aca="false">IF(L20&lt;0,L20*-1,0)</f>
        <v>28.4078724476935</v>
      </c>
      <c r="Z20" s="51" t="n">
        <f aca="false">X20+Y20</f>
        <v>136.307872447694</v>
      </c>
      <c r="AA20" s="55" t="n">
        <v>0</v>
      </c>
      <c r="AB20" s="57" t="n">
        <v>59</v>
      </c>
      <c r="AC20" s="57" t="n">
        <v>25</v>
      </c>
      <c r="AD20" s="58" t="n">
        <f aca="false">AD19+1</f>
        <v>11</v>
      </c>
      <c r="AE20" s="94"/>
      <c r="AF20" s="94"/>
      <c r="AG20" s="151"/>
      <c r="AH20" s="151"/>
      <c r="AI20" s="151"/>
    </row>
    <row r="21" customFormat="false" ht="11.1" hidden="false" customHeight="true" outlineLevel="0" collapsed="false">
      <c r="A21" s="58" t="n">
        <f aca="false">A20+1</f>
        <v>12</v>
      </c>
      <c r="B21" s="73" t="n">
        <v>6887.95</v>
      </c>
      <c r="C21" s="52" t="n">
        <v>241304</v>
      </c>
      <c r="D21" s="57" t="n">
        <f aca="false">C21-C20</f>
        <v>99</v>
      </c>
      <c r="E21" s="52" t="n">
        <f aca="false">C21-152000</f>
        <v>89304</v>
      </c>
      <c r="F21" s="51" t="n">
        <f aca="false">D21/$D$2</f>
        <v>49.9117721199899</v>
      </c>
      <c r="G21" s="51" t="n">
        <v>203.93</v>
      </c>
      <c r="H21" s="147" t="n">
        <v>0</v>
      </c>
      <c r="I21" s="51" t="n">
        <f aca="false">G21+H21</f>
        <v>203.93</v>
      </c>
      <c r="J21" s="81" t="n">
        <f aca="false">IF(L21&gt;0,L21,0)</f>
        <v>0</v>
      </c>
      <c r="K21" s="51" t="n">
        <f aca="false">I21+J21</f>
        <v>203.93</v>
      </c>
      <c r="L21" s="51" t="n">
        <f aca="false">F21-(I21-X21)</f>
        <v>-47.1182278800101</v>
      </c>
      <c r="M21" s="51" t="n">
        <v>55.49</v>
      </c>
      <c r="N21" s="51" t="n">
        <v>0</v>
      </c>
      <c r="O21" s="51" t="n">
        <v>0</v>
      </c>
      <c r="P21" s="6" t="n">
        <f aca="false">M21-(N21+O21)</f>
        <v>55.49</v>
      </c>
      <c r="Q21" s="51" t="n">
        <v>0</v>
      </c>
      <c r="R21" s="51" t="n">
        <v>19.51</v>
      </c>
      <c r="S21" s="51" t="n">
        <f aca="false">SUM(P21:R21)</f>
        <v>75</v>
      </c>
      <c r="T21" s="52" t="n">
        <f aca="false">(I21-S21)+T20</f>
        <v>10112.6</v>
      </c>
      <c r="U21" s="51" t="n">
        <v>0</v>
      </c>
      <c r="V21" s="51" t="n">
        <v>31.9</v>
      </c>
      <c r="W21" s="52" t="n">
        <f aca="false">V21-20</f>
        <v>11.9</v>
      </c>
      <c r="X21" s="6" t="n">
        <f aca="false">N21+O21+S21+U21+V21</f>
        <v>106.9</v>
      </c>
      <c r="Y21" s="51" t="n">
        <f aca="false">IF(L21&lt;0,L21*-1,0)</f>
        <v>47.1182278800101</v>
      </c>
      <c r="Z21" s="51" t="n">
        <f aca="false">X21+Y21</f>
        <v>154.01822788001</v>
      </c>
      <c r="AA21" s="55" t="n">
        <v>0</v>
      </c>
      <c r="AB21" s="57" t="n">
        <v>61</v>
      </c>
      <c r="AC21" s="57" t="n">
        <v>26</v>
      </c>
      <c r="AD21" s="58" t="n">
        <f aca="false">AD20+1</f>
        <v>12</v>
      </c>
      <c r="AE21" s="92"/>
      <c r="AF21" s="94"/>
    </row>
    <row r="22" customFormat="false" ht="11.1" hidden="false" customHeight="true" outlineLevel="0" collapsed="false">
      <c r="A22" s="58" t="n">
        <f aca="false">A21+1</f>
        <v>13</v>
      </c>
      <c r="B22" s="73" t="n">
        <v>6887.95</v>
      </c>
      <c r="C22" s="52" t="n">
        <v>241304</v>
      </c>
      <c r="D22" s="57" t="n">
        <f aca="false">C22-C21</f>
        <v>0</v>
      </c>
      <c r="E22" s="52" t="n">
        <f aca="false">C22-152000</f>
        <v>89304</v>
      </c>
      <c r="F22" s="51" t="n">
        <f aca="false">D22/$D$2</f>
        <v>0</v>
      </c>
      <c r="G22" s="51" t="n">
        <v>188</v>
      </c>
      <c r="H22" s="147" t="n">
        <v>0</v>
      </c>
      <c r="I22" s="51" t="n">
        <f aca="false">G22+H22</f>
        <v>188</v>
      </c>
      <c r="J22" s="81" t="n">
        <f aca="false">IF(L22&gt;0,L22,0)</f>
        <v>0</v>
      </c>
      <c r="K22" s="51" t="n">
        <f aca="false">I22+J22</f>
        <v>188</v>
      </c>
      <c r="L22" s="51" t="n">
        <f aca="false">F22-(I22-X22)</f>
        <v>-80.1</v>
      </c>
      <c r="M22" s="51" t="n">
        <v>55.53</v>
      </c>
      <c r="N22" s="51" t="n">
        <v>0</v>
      </c>
      <c r="O22" s="51" t="n">
        <v>0</v>
      </c>
      <c r="P22" s="6" t="n">
        <f aca="false">M22-(N22+O22)</f>
        <v>55.53</v>
      </c>
      <c r="Q22" s="51" t="n">
        <v>0</v>
      </c>
      <c r="R22" s="51" t="n">
        <v>20.47</v>
      </c>
      <c r="S22" s="51" t="n">
        <f aca="false">SUM(P22:R22)</f>
        <v>76</v>
      </c>
      <c r="T22" s="52" t="n">
        <f aca="false">(I22-S22)+T21</f>
        <v>10224.6</v>
      </c>
      <c r="U22" s="51" t="n">
        <v>0</v>
      </c>
      <c r="V22" s="51" t="n">
        <v>31.9</v>
      </c>
      <c r="W22" s="52" t="n">
        <f aca="false">V22-20</f>
        <v>11.9</v>
      </c>
      <c r="X22" s="6" t="n">
        <f aca="false">N22+O22+S22+U22+V22</f>
        <v>107.9</v>
      </c>
      <c r="Y22" s="51" t="n">
        <f aca="false">IF(L22&lt;0,L22*-1,0)</f>
        <v>80.1</v>
      </c>
      <c r="Z22" s="51" t="n">
        <f aca="false">X22+Y22</f>
        <v>188</v>
      </c>
      <c r="AA22" s="55" t="n">
        <v>0</v>
      </c>
      <c r="AB22" s="57" t="n">
        <v>60</v>
      </c>
      <c r="AC22" s="57" t="n">
        <v>25</v>
      </c>
      <c r="AD22" s="58" t="n">
        <f aca="false">AD21+1</f>
        <v>13</v>
      </c>
      <c r="AE22" s="92"/>
      <c r="AF22" s="94"/>
    </row>
    <row r="23" customFormat="false" ht="11.1" hidden="false" customHeight="true" outlineLevel="0" collapsed="false">
      <c r="A23" s="58" t="n">
        <f aca="false">A22+1</f>
        <v>14</v>
      </c>
      <c r="B23" s="73" t="n">
        <v>6887.99</v>
      </c>
      <c r="C23" s="52" t="n">
        <v>241436</v>
      </c>
      <c r="D23" s="57" t="n">
        <f aca="false">C23-C22</f>
        <v>132</v>
      </c>
      <c r="E23" s="52" t="n">
        <f aca="false">C23-152000</f>
        <v>89436</v>
      </c>
      <c r="F23" s="51" t="n">
        <f aca="false">D23/$D$2</f>
        <v>66.5490294933199</v>
      </c>
      <c r="G23" s="51" t="n">
        <v>179.79</v>
      </c>
      <c r="H23" s="147" t="n">
        <v>0</v>
      </c>
      <c r="I23" s="51" t="n">
        <f aca="false">G23+H23</f>
        <v>179.79</v>
      </c>
      <c r="J23" s="81" t="n">
        <f aca="false">IF(L23&gt;0,L23,0)</f>
        <v>0</v>
      </c>
      <c r="K23" s="51" t="n">
        <f aca="false">I23+J23</f>
        <v>179.79</v>
      </c>
      <c r="L23" s="51" t="n">
        <f aca="false">F23-(I23-X23)</f>
        <v>-5.31097050668009</v>
      </c>
      <c r="M23" s="51" t="n">
        <v>55.53</v>
      </c>
      <c r="N23" s="51" t="n">
        <v>0</v>
      </c>
      <c r="O23" s="51" t="n">
        <v>0</v>
      </c>
      <c r="P23" s="6" t="n">
        <f aca="false">M23-(N23+O23)</f>
        <v>55.53</v>
      </c>
      <c r="Q23" s="51" t="n">
        <v>0</v>
      </c>
      <c r="R23" s="101" t="n">
        <v>20.47</v>
      </c>
      <c r="S23" s="51" t="n">
        <f aca="false">SUM(P23:R23)</f>
        <v>76</v>
      </c>
      <c r="T23" s="52" t="n">
        <f aca="false">(I23-S23)+T22</f>
        <v>10328.39</v>
      </c>
      <c r="U23" s="51" t="n">
        <v>0</v>
      </c>
      <c r="V23" s="51" t="n">
        <v>31.93</v>
      </c>
      <c r="W23" s="52" t="n">
        <f aca="false">V23-20</f>
        <v>11.93</v>
      </c>
      <c r="X23" s="6" t="n">
        <f aca="false">N23+O23+S23+U23+V23</f>
        <v>107.93</v>
      </c>
      <c r="Y23" s="51" t="n">
        <f aca="false">IF(L23&lt;0,L23*-1,0)</f>
        <v>5.31097050668009</v>
      </c>
      <c r="Z23" s="51" t="n">
        <f aca="false">X23+Y23</f>
        <v>113.24097050668</v>
      </c>
      <c r="AA23" s="55" t="n">
        <v>0</v>
      </c>
      <c r="AB23" s="82" t="n">
        <v>67</v>
      </c>
      <c r="AC23" s="57" t="n">
        <v>26</v>
      </c>
      <c r="AD23" s="58" t="n">
        <f aca="false">AD22+1</f>
        <v>14</v>
      </c>
      <c r="AE23" s="92"/>
      <c r="AF23" s="94"/>
    </row>
    <row r="24" customFormat="false" ht="11.1" hidden="false" customHeight="true" outlineLevel="0" collapsed="false">
      <c r="A24" s="58" t="n">
        <f aca="false">A23+1</f>
        <v>15</v>
      </c>
      <c r="B24" s="73" t="n">
        <v>6887.9</v>
      </c>
      <c r="C24" s="52" t="n">
        <v>241139</v>
      </c>
      <c r="D24" s="57" t="n">
        <f aca="false">C24-C23</f>
        <v>-297</v>
      </c>
      <c r="E24" s="52" t="n">
        <f aca="false">C24-152000</f>
        <v>89139</v>
      </c>
      <c r="F24" s="51" t="n">
        <f aca="false">D24/$D$2</f>
        <v>-149.73531635997</v>
      </c>
      <c r="G24" s="51" t="n">
        <v>151.49</v>
      </c>
      <c r="H24" s="147" t="n">
        <v>0</v>
      </c>
      <c r="I24" s="51" t="n">
        <f aca="false">G24+H24</f>
        <v>151.49</v>
      </c>
      <c r="J24" s="81" t="n">
        <f aca="false">IF(L24&gt;0,L24,0)</f>
        <v>7.57468364003026</v>
      </c>
      <c r="K24" s="51" t="n">
        <f aca="false">I24+J24</f>
        <v>159.06468364003</v>
      </c>
      <c r="L24" s="51" t="n">
        <f aca="false">F24-(I24-X24)</f>
        <v>7.57468364003026</v>
      </c>
      <c r="M24" s="51" t="n">
        <v>55.53</v>
      </c>
      <c r="N24" s="51" t="n">
        <v>0</v>
      </c>
      <c r="O24" s="51" t="n">
        <v>0</v>
      </c>
      <c r="P24" s="6" t="n">
        <f aca="false">M24-(N24+O24)</f>
        <v>55.53</v>
      </c>
      <c r="Q24" s="51" t="n">
        <v>201.87</v>
      </c>
      <c r="R24" s="101" t="n">
        <v>19.4</v>
      </c>
      <c r="S24" s="51" t="n">
        <f aca="false">SUM(P24:R24)</f>
        <v>276.8</v>
      </c>
      <c r="T24" s="52" t="n">
        <f aca="false">(I24-S24)+T23</f>
        <v>10203.08</v>
      </c>
      <c r="U24" s="51" t="n">
        <v>0</v>
      </c>
      <c r="V24" s="51" t="n">
        <v>32</v>
      </c>
      <c r="W24" s="52" t="n">
        <f aca="false">V24-20</f>
        <v>12</v>
      </c>
      <c r="X24" s="6" t="n">
        <f aca="false">N24+O24+S24+U24+V24</f>
        <v>308.8</v>
      </c>
      <c r="Y24" s="51" t="n">
        <f aca="false">IF(L24&lt;0,L24*-1,0)</f>
        <v>0</v>
      </c>
      <c r="Z24" s="51" t="n">
        <f aca="false">X24+Y24</f>
        <v>308.8</v>
      </c>
      <c r="AA24" s="55" t="n">
        <v>0</v>
      </c>
      <c r="AB24" s="82" t="n">
        <v>68</v>
      </c>
      <c r="AC24" s="57" t="n">
        <v>24</v>
      </c>
      <c r="AD24" s="58" t="n">
        <f aca="false">AD23+1</f>
        <v>15</v>
      </c>
      <c r="AE24" s="92"/>
      <c r="AF24" s="94"/>
    </row>
    <row r="25" customFormat="false" ht="11.1" hidden="false" customHeight="true" outlineLevel="0" collapsed="false">
      <c r="A25" s="58" t="n">
        <f aca="false">A24+1</f>
        <v>16</v>
      </c>
      <c r="B25" s="73" t="n">
        <v>6887.74</v>
      </c>
      <c r="C25" s="52" t="n">
        <v>240612</v>
      </c>
      <c r="D25" s="57" t="n">
        <f aca="false">C25-C24</f>
        <v>-527</v>
      </c>
      <c r="E25" s="52" t="n">
        <f aca="false">C25-152000</f>
        <v>88612</v>
      </c>
      <c r="F25" s="51" t="n">
        <f aca="false">D25/$D$2</f>
        <v>-265.691958658936</v>
      </c>
      <c r="G25" s="51" t="n">
        <v>139.37</v>
      </c>
      <c r="H25" s="147" t="n">
        <v>0</v>
      </c>
      <c r="I25" s="51" t="n">
        <f aca="false">G25+H25</f>
        <v>139.37</v>
      </c>
      <c r="J25" s="81" t="n">
        <f aca="false">IF(L25&gt;0,L25,0)</f>
        <v>0</v>
      </c>
      <c r="K25" s="51" t="n">
        <f aca="false">I25+J25</f>
        <v>139.37</v>
      </c>
      <c r="L25" s="51" t="n">
        <f aca="false">F25-(I25-X25)</f>
        <v>-90.9519586589362</v>
      </c>
      <c r="M25" s="51" t="n">
        <v>55.45</v>
      </c>
      <c r="N25" s="51" t="n">
        <v>0</v>
      </c>
      <c r="O25" s="51" t="n">
        <v>0</v>
      </c>
      <c r="P25" s="6" t="n">
        <f aca="false">M25-(N25+O25)</f>
        <v>55.45</v>
      </c>
      <c r="Q25" s="51" t="n">
        <v>200.01</v>
      </c>
      <c r="R25" s="51" t="n">
        <v>19.54</v>
      </c>
      <c r="S25" s="51" t="n">
        <f aca="false">SUM(P25:R25)</f>
        <v>275</v>
      </c>
      <c r="T25" s="52" t="n">
        <f aca="false">(I25-S25)+T24</f>
        <v>10067.45</v>
      </c>
      <c r="U25" s="51" t="n">
        <v>7</v>
      </c>
      <c r="V25" s="51" t="n">
        <v>32.11</v>
      </c>
      <c r="W25" s="52" t="n">
        <f aca="false">V25-20</f>
        <v>12.11</v>
      </c>
      <c r="X25" s="6" t="n">
        <f aca="false">N25+O25+S25+U25+V25</f>
        <v>314.11</v>
      </c>
      <c r="Y25" s="51" t="n">
        <f aca="false">IF(L25&lt;0,L25*-1,0)</f>
        <v>90.9519586589362</v>
      </c>
      <c r="Z25" s="51" t="n">
        <f aca="false">X25+Y25</f>
        <v>405.061958658936</v>
      </c>
      <c r="AA25" s="55" t="n">
        <v>0</v>
      </c>
      <c r="AB25" s="82" t="n">
        <v>65</v>
      </c>
      <c r="AC25" s="57" t="n">
        <v>24</v>
      </c>
      <c r="AD25" s="58" t="n">
        <f aca="false">AD24+1</f>
        <v>16</v>
      </c>
      <c r="AE25" s="92"/>
      <c r="AF25" s="94"/>
    </row>
    <row r="26" customFormat="false" ht="11.1" hidden="false" customHeight="true" outlineLevel="0" collapsed="false">
      <c r="A26" s="58" t="n">
        <f aca="false">A25+1</f>
        <v>17</v>
      </c>
      <c r="B26" s="73" t="n">
        <v>6887.61</v>
      </c>
      <c r="C26" s="52" t="n">
        <v>240183</v>
      </c>
      <c r="D26" s="57" t="n">
        <f aca="false">C26-C25</f>
        <v>-429</v>
      </c>
      <c r="E26" s="52" t="n">
        <f aca="false">C26-152000</f>
        <v>88183</v>
      </c>
      <c r="F26" s="51" t="n">
        <f aca="false">D26/$D$2</f>
        <v>-216.28434585329</v>
      </c>
      <c r="G26" s="51" t="n">
        <v>132.9</v>
      </c>
      <c r="H26" s="147" t="n">
        <v>0</v>
      </c>
      <c r="I26" s="51" t="n">
        <f aca="false">G26+H26</f>
        <v>132.9</v>
      </c>
      <c r="J26" s="81" t="n">
        <f aca="false">IF(L26&gt;0,L26,0)</f>
        <v>0</v>
      </c>
      <c r="K26" s="51" t="n">
        <f aca="false">I26+J26</f>
        <v>132.9</v>
      </c>
      <c r="L26" s="51" t="n">
        <f aca="false">F26-(I26-X26)</f>
        <v>-30.0743458532896</v>
      </c>
      <c r="M26" s="51" t="n">
        <v>55.14</v>
      </c>
      <c r="N26" s="51" t="n">
        <v>0</v>
      </c>
      <c r="O26" s="51" t="n">
        <v>0</v>
      </c>
      <c r="P26" s="6" t="n">
        <f aca="false">M26-(N26+O26)</f>
        <v>55.14</v>
      </c>
      <c r="Q26" s="51" t="n">
        <v>200.17</v>
      </c>
      <c r="R26" s="51" t="n">
        <v>19.69</v>
      </c>
      <c r="S26" s="51" t="n">
        <f aca="false">SUM(P26:R26)</f>
        <v>275</v>
      </c>
      <c r="T26" s="52" t="n">
        <f aca="false">(I26-S26)+T25</f>
        <v>9925.34999999998</v>
      </c>
      <c r="U26" s="51" t="n">
        <v>12</v>
      </c>
      <c r="V26" s="51" t="n">
        <v>32.11</v>
      </c>
      <c r="W26" s="52" t="n">
        <f aca="false">V26-20</f>
        <v>12.11</v>
      </c>
      <c r="X26" s="6" t="n">
        <f aca="false">N26+O26+S26+U26+V26</f>
        <v>319.11</v>
      </c>
      <c r="Y26" s="51" t="n">
        <f aca="false">IF(L26&lt;0,L26*-1,0)</f>
        <v>30.0743458532896</v>
      </c>
      <c r="Z26" s="51" t="n">
        <f aca="false">X26+Y26</f>
        <v>349.18434585329</v>
      </c>
      <c r="AA26" s="55" t="n">
        <v>0</v>
      </c>
      <c r="AB26" s="82" t="n">
        <v>62</v>
      </c>
      <c r="AC26" s="57" t="n">
        <v>21</v>
      </c>
      <c r="AD26" s="58" t="n">
        <f aca="false">AD25+1</f>
        <v>17</v>
      </c>
      <c r="AE26" s="92"/>
      <c r="AF26" s="94"/>
    </row>
    <row r="27" customFormat="false" ht="11.1" hidden="false" customHeight="true" outlineLevel="0" collapsed="false">
      <c r="A27" s="58" t="n">
        <f aca="false">A26+1</f>
        <v>18</v>
      </c>
      <c r="B27" s="73" t="n">
        <v>6887.54</v>
      </c>
      <c r="C27" s="52" t="n">
        <v>239953</v>
      </c>
      <c r="D27" s="57" t="n">
        <f aca="false">C27-C26</f>
        <v>-230</v>
      </c>
      <c r="E27" s="52" t="n">
        <f aca="false">C27-152000</f>
        <v>87953</v>
      </c>
      <c r="F27" s="51" t="n">
        <f aca="false">D27/$D$2</f>
        <v>-115.956642298966</v>
      </c>
      <c r="G27" s="51" t="n">
        <v>123.19</v>
      </c>
      <c r="H27" s="147" t="n">
        <v>0</v>
      </c>
      <c r="I27" s="51" t="n">
        <f aca="false">G27+H27</f>
        <v>123.19</v>
      </c>
      <c r="J27" s="81" t="n">
        <f aca="false">IF(L27&gt;0,L27,0)</f>
        <v>77.9633577010335</v>
      </c>
      <c r="K27" s="51" t="n">
        <f aca="false">I27+J27</f>
        <v>201.153357701034</v>
      </c>
      <c r="L27" s="51" t="n">
        <f aca="false">F27-(I27-X27)</f>
        <v>77.9633577010335</v>
      </c>
      <c r="M27" s="51" t="n">
        <v>55.1</v>
      </c>
      <c r="N27" s="51" t="n">
        <v>0</v>
      </c>
      <c r="O27" s="51" t="n">
        <v>0</v>
      </c>
      <c r="P27" s="6" t="n">
        <f aca="false">M27-(N27+O27)</f>
        <v>55.1</v>
      </c>
      <c r="Q27" s="51" t="n">
        <v>200.23</v>
      </c>
      <c r="R27" s="51" t="n">
        <v>19.67</v>
      </c>
      <c r="S27" s="51" t="n">
        <f aca="false">SUM(P27:R27)</f>
        <v>275</v>
      </c>
      <c r="T27" s="52" t="n">
        <f aca="false">(I27-S27)+T26</f>
        <v>9773.53999999998</v>
      </c>
      <c r="U27" s="51" t="n">
        <v>11</v>
      </c>
      <c r="V27" s="51" t="n">
        <v>31.11</v>
      </c>
      <c r="W27" s="52" t="n">
        <f aca="false">V27-20</f>
        <v>11.11</v>
      </c>
      <c r="X27" s="6" t="n">
        <f aca="false">N27+O27+S27+U27+V27</f>
        <v>317.11</v>
      </c>
      <c r="Y27" s="51" t="n">
        <f aca="false">IF(L27&lt;0,L27*-1,0)</f>
        <v>0</v>
      </c>
      <c r="Z27" s="51" t="n">
        <f aca="false">X27+Y27</f>
        <v>317.11</v>
      </c>
      <c r="AA27" s="55" t="n">
        <v>0</v>
      </c>
      <c r="AB27" s="82" t="n">
        <v>60</v>
      </c>
      <c r="AC27" s="57" t="n">
        <v>21</v>
      </c>
      <c r="AD27" s="58" t="n">
        <f aca="false">AD26+1</f>
        <v>18</v>
      </c>
      <c r="AE27" s="92"/>
      <c r="AF27" s="94"/>
    </row>
    <row r="28" customFormat="false" ht="11.1" hidden="false" customHeight="true" outlineLevel="0" collapsed="false">
      <c r="A28" s="58" t="n">
        <f aca="false">A27+1</f>
        <v>19</v>
      </c>
      <c r="B28" s="73" t="n">
        <v>6887.47</v>
      </c>
      <c r="C28" s="100" t="n">
        <v>239722</v>
      </c>
      <c r="D28" s="57" t="n">
        <f aca="false">C28-C27</f>
        <v>-231</v>
      </c>
      <c r="E28" s="52" t="n">
        <f aca="false">C28-152000</f>
        <v>87722</v>
      </c>
      <c r="F28" s="51" t="n">
        <f aca="false">D28/$D$2</f>
        <v>-116.46080161331</v>
      </c>
      <c r="G28" s="51" t="n">
        <v>125.06</v>
      </c>
      <c r="H28" s="147" t="n">
        <v>0</v>
      </c>
      <c r="I28" s="51" t="n">
        <f aca="false">G28+H28</f>
        <v>125.06</v>
      </c>
      <c r="J28" s="81" t="n">
        <f aca="false">IF(L28&gt;0,L28,0)</f>
        <v>64.7291983866902</v>
      </c>
      <c r="K28" s="51" t="n">
        <f aca="false">I28+J28</f>
        <v>189.78919838669</v>
      </c>
      <c r="L28" s="51" t="n">
        <f aca="false">F28-(I28-X28)</f>
        <v>64.7291983866902</v>
      </c>
      <c r="M28" s="51" t="n">
        <v>55.1</v>
      </c>
      <c r="N28" s="51" t="n">
        <v>0</v>
      </c>
      <c r="O28" s="51" t="n">
        <v>0</v>
      </c>
      <c r="P28" s="6" t="n">
        <f aca="false">M28-(N28+O28)</f>
        <v>55.1</v>
      </c>
      <c r="Q28" s="51" t="n">
        <v>199.55</v>
      </c>
      <c r="R28" s="51" t="n">
        <v>19.35</v>
      </c>
      <c r="S28" s="51" t="n">
        <f aca="false">SUM(P28:R28)</f>
        <v>274</v>
      </c>
      <c r="T28" s="52" t="n">
        <f aca="false">(I28-S28)+T27</f>
        <v>9624.59999999998</v>
      </c>
      <c r="U28" s="51" t="n">
        <v>0</v>
      </c>
      <c r="V28" s="51" t="n">
        <v>32.25</v>
      </c>
      <c r="W28" s="52" t="n">
        <f aca="false">V28-20</f>
        <v>12.25</v>
      </c>
      <c r="X28" s="6" t="n">
        <f aca="false">N28+O28+S28+U28+V28</f>
        <v>306.25</v>
      </c>
      <c r="Y28" s="51" t="n">
        <f aca="false">IF(L28&lt;0,L28*-1,0)</f>
        <v>0</v>
      </c>
      <c r="Z28" s="51" t="n">
        <f aca="false">X28+Y28</f>
        <v>306.25</v>
      </c>
      <c r="AA28" s="55" t="n">
        <v>0.4</v>
      </c>
      <c r="AB28" s="82" t="n">
        <v>56</v>
      </c>
      <c r="AC28" s="57" t="n">
        <v>22</v>
      </c>
      <c r="AD28" s="58" t="n">
        <f aca="false">AD27+1</f>
        <v>19</v>
      </c>
      <c r="AE28" s="92"/>
      <c r="AF28" s="94"/>
    </row>
    <row r="29" customFormat="false" ht="11.1" hidden="false" customHeight="true" outlineLevel="0" collapsed="false">
      <c r="A29" s="58" t="n">
        <f aca="false">A28+1</f>
        <v>20</v>
      </c>
      <c r="B29" s="73" t="n">
        <v>6887.35</v>
      </c>
      <c r="C29" s="52" t="n">
        <v>239326</v>
      </c>
      <c r="D29" s="57" t="n">
        <f aca="false">C29-C28</f>
        <v>-396</v>
      </c>
      <c r="E29" s="52" t="n">
        <f aca="false">C29-152000</f>
        <v>87326</v>
      </c>
      <c r="F29" s="51" t="n">
        <f aca="false">D29/$D$2</f>
        <v>-199.64708847996</v>
      </c>
      <c r="G29" s="51" t="n">
        <v>163.43</v>
      </c>
      <c r="H29" s="147" t="n">
        <v>0</v>
      </c>
      <c r="I29" s="51" t="n">
        <f aca="false">G29+H29</f>
        <v>163.43</v>
      </c>
      <c r="J29" s="81" t="n">
        <f aca="false">IF(L29&gt;0,L29,0)</f>
        <v>0</v>
      </c>
      <c r="K29" s="51" t="n">
        <f aca="false">I29+J29</f>
        <v>163.43</v>
      </c>
      <c r="L29" s="51" t="n">
        <f aca="false">F29-(I29-X29)</f>
        <v>-56.5170884799597</v>
      </c>
      <c r="M29" s="51" t="n">
        <v>55.1</v>
      </c>
      <c r="N29" s="51" t="n">
        <v>0</v>
      </c>
      <c r="O29" s="51" t="n">
        <v>0</v>
      </c>
      <c r="P29" s="6" t="n">
        <f aca="false">M29-(N29+O29)</f>
        <v>55.1</v>
      </c>
      <c r="Q29" s="51" t="n">
        <v>199.95</v>
      </c>
      <c r="R29" s="51" t="n">
        <v>18.95</v>
      </c>
      <c r="S29" s="51" t="n">
        <f aca="false">SUM(P29:R29)</f>
        <v>274</v>
      </c>
      <c r="T29" s="52" t="n">
        <f aca="false">(I29-S29)+T28</f>
        <v>9514.02999999998</v>
      </c>
      <c r="U29" s="51" t="n">
        <v>0</v>
      </c>
      <c r="V29" s="51" t="n">
        <v>32.56</v>
      </c>
      <c r="W29" s="52" t="n">
        <f aca="false">V29-20</f>
        <v>12.56</v>
      </c>
      <c r="X29" s="6" t="n">
        <f aca="false">N29+O29+S29+U29+V29</f>
        <v>306.56</v>
      </c>
      <c r="Y29" s="51" t="n">
        <f aca="false">IF(L29&lt;0,L29*-1,0)</f>
        <v>56.5170884799597</v>
      </c>
      <c r="Z29" s="51" t="n">
        <f aca="false">X29+Y29</f>
        <v>363.07708847996</v>
      </c>
      <c r="AA29" s="55" t="n">
        <v>0</v>
      </c>
      <c r="AB29" s="82" t="n">
        <v>58</v>
      </c>
      <c r="AC29" s="57" t="n">
        <v>27</v>
      </c>
      <c r="AD29" s="58" t="n">
        <f aca="false">AD28+1</f>
        <v>20</v>
      </c>
      <c r="AE29" s="92"/>
      <c r="AF29" s="94"/>
    </row>
    <row r="30" customFormat="false" ht="11.1" hidden="false" customHeight="true" outlineLevel="0" collapsed="false">
      <c r="A30" s="58" t="n">
        <f aca="false">A29+1</f>
        <v>21</v>
      </c>
      <c r="B30" s="73" t="n">
        <v>6887.24</v>
      </c>
      <c r="C30" s="52" t="n">
        <v>238964</v>
      </c>
      <c r="D30" s="57" t="n">
        <f aca="false">C30-C29</f>
        <v>-362</v>
      </c>
      <c r="E30" s="52" t="n">
        <f aca="false">C30-152000</f>
        <v>86964</v>
      </c>
      <c r="F30" s="51" t="n">
        <f aca="false">D30/$D$2</f>
        <v>-182.505671792286</v>
      </c>
      <c r="G30" s="51" t="n">
        <v>138.73</v>
      </c>
      <c r="H30" s="147" t="n">
        <v>0</v>
      </c>
      <c r="I30" s="51" t="n">
        <f aca="false">G30+H30</f>
        <v>138.73</v>
      </c>
      <c r="J30" s="81" t="n">
        <f aca="false">IF(L30&gt;0,L30,0)</f>
        <v>0</v>
      </c>
      <c r="K30" s="51" t="n">
        <f aca="false">I30+J30</f>
        <v>138.73</v>
      </c>
      <c r="L30" s="51" t="n">
        <f aca="false">F30-(I30-X30)</f>
        <v>-14.2656717922863</v>
      </c>
      <c r="M30" s="51" t="n">
        <v>55.1</v>
      </c>
      <c r="N30" s="51" t="n">
        <v>0</v>
      </c>
      <c r="O30" s="51" t="n">
        <v>0</v>
      </c>
      <c r="P30" s="6" t="n">
        <f aca="false">M30-(N30+O30)</f>
        <v>55.1</v>
      </c>
      <c r="Q30" s="51" t="n">
        <v>199.72</v>
      </c>
      <c r="R30" s="51" t="n">
        <v>20.18</v>
      </c>
      <c r="S30" s="51" t="n">
        <f aca="false">SUM(P30:R30)</f>
        <v>275</v>
      </c>
      <c r="T30" s="52" t="n">
        <f aca="false">(I30-S30)+T29</f>
        <v>9377.75999999998</v>
      </c>
      <c r="U30" s="51" t="n">
        <v>0</v>
      </c>
      <c r="V30" s="51" t="n">
        <v>31.97</v>
      </c>
      <c r="W30" s="52" t="n">
        <f aca="false">V30-20</f>
        <v>11.97</v>
      </c>
      <c r="X30" s="6" t="n">
        <f aca="false">N30+O30+S30+U30+V30</f>
        <v>306.97</v>
      </c>
      <c r="Y30" s="51" t="n">
        <f aca="false">IF(L30&lt;0,L30*-1,0)</f>
        <v>14.2656717922863</v>
      </c>
      <c r="Z30" s="51" t="n">
        <f aca="false">X30+Y30</f>
        <v>321.235671792286</v>
      </c>
      <c r="AA30" s="55" t="n">
        <v>0</v>
      </c>
      <c r="AB30" s="57" t="n">
        <v>53</v>
      </c>
      <c r="AC30" s="57" t="n">
        <v>23</v>
      </c>
      <c r="AD30" s="58" t="n">
        <f aca="false">AD29+1</f>
        <v>21</v>
      </c>
      <c r="AE30" s="92"/>
      <c r="AF30" s="94"/>
    </row>
    <row r="31" customFormat="false" ht="11.1" hidden="false" customHeight="true" outlineLevel="0" collapsed="false">
      <c r="A31" s="58" t="n">
        <f aca="false">A30+1</f>
        <v>22</v>
      </c>
      <c r="B31" s="73" t="n">
        <v>6887.13</v>
      </c>
      <c r="C31" s="52" t="n">
        <v>238601</v>
      </c>
      <c r="D31" s="57" t="n">
        <f aca="false">C31-C30</f>
        <v>-363</v>
      </c>
      <c r="E31" s="52" t="n">
        <f aca="false">C31-152000</f>
        <v>86601</v>
      </c>
      <c r="F31" s="51" t="n">
        <f aca="false">D31/$D$2</f>
        <v>-183.00983110663</v>
      </c>
      <c r="G31" s="51" t="n">
        <v>122.14</v>
      </c>
      <c r="H31" s="147" t="n">
        <v>0</v>
      </c>
      <c r="I31" s="51" t="n">
        <f aca="false">G31+H31</f>
        <v>122.14</v>
      </c>
      <c r="J31" s="81" t="n">
        <f aca="false">IF(L31&gt;0,L31,0)</f>
        <v>0</v>
      </c>
      <c r="K31" s="51" t="n">
        <f aca="false">I31+J31</f>
        <v>122.14</v>
      </c>
      <c r="L31" s="51" t="n">
        <f aca="false">F31-(I31-X31)</f>
        <v>-1.21983110662967</v>
      </c>
      <c r="M31" s="51" t="n">
        <v>51.82</v>
      </c>
      <c r="N31" s="51" t="n">
        <v>0</v>
      </c>
      <c r="O31" s="51" t="n">
        <v>0</v>
      </c>
      <c r="P31" s="6" t="n">
        <f aca="false">M31-(N31+O31)</f>
        <v>51.82</v>
      </c>
      <c r="Q31" s="51" t="n">
        <v>199.55</v>
      </c>
      <c r="R31" s="51" t="n">
        <v>20.63</v>
      </c>
      <c r="S31" s="51" t="n">
        <f aca="false">SUM(P31:R31)</f>
        <v>272</v>
      </c>
      <c r="T31" s="52" t="n">
        <f aca="false">(I31-S31)+T30</f>
        <v>9227.89999999998</v>
      </c>
      <c r="U31" s="51" t="n">
        <v>0</v>
      </c>
      <c r="V31" s="51" t="n">
        <v>31.93</v>
      </c>
      <c r="W31" s="52" t="n">
        <f aca="false">V31-20</f>
        <v>11.93</v>
      </c>
      <c r="X31" s="6" t="n">
        <f aca="false">N31+O31+S31+U31+V31</f>
        <v>303.93</v>
      </c>
      <c r="Y31" s="51" t="n">
        <f aca="false">IF(L31&lt;0,L31*-1,0)</f>
        <v>1.21983110662967</v>
      </c>
      <c r="Z31" s="51" t="n">
        <f aca="false">X31+Y31</f>
        <v>305.14983110663</v>
      </c>
      <c r="AA31" s="55" t="n">
        <v>0</v>
      </c>
      <c r="AB31" s="57" t="n">
        <v>59</v>
      </c>
      <c r="AC31" s="57" t="n">
        <v>26</v>
      </c>
      <c r="AD31" s="58" t="n">
        <f aca="false">AD30+1</f>
        <v>22</v>
      </c>
      <c r="AE31" s="92"/>
      <c r="AF31" s="94"/>
      <c r="AG31" s="151"/>
      <c r="AH31" s="151"/>
      <c r="AI31" s="151"/>
    </row>
    <row r="32" customFormat="false" ht="11.1" hidden="false" customHeight="true" outlineLevel="0" collapsed="false">
      <c r="A32" s="58" t="n">
        <f aca="false">A31+1</f>
        <v>23</v>
      </c>
      <c r="B32" s="73" t="n">
        <v>6887.11</v>
      </c>
      <c r="C32" s="52" t="n">
        <v>238535</v>
      </c>
      <c r="D32" s="57" t="n">
        <f aca="false">C32-C31</f>
        <v>-66</v>
      </c>
      <c r="E32" s="52" t="n">
        <f aca="false">C32-152000</f>
        <v>86535</v>
      </c>
      <c r="F32" s="51" t="n">
        <f aca="false">D32/$D$2</f>
        <v>-33.2745147466599</v>
      </c>
      <c r="G32" s="51" t="n">
        <v>132.51</v>
      </c>
      <c r="H32" s="147" t="n">
        <v>0</v>
      </c>
      <c r="I32" s="51" t="n">
        <f aca="false">G32+H32</f>
        <v>132.51</v>
      </c>
      <c r="J32" s="81" t="n">
        <f aca="false">IF(L32&gt;0,L32,0)</f>
        <v>14.1554852533401</v>
      </c>
      <c r="K32" s="51" t="n">
        <f aca="false">I32+J32</f>
        <v>146.66548525334</v>
      </c>
      <c r="L32" s="51" t="n">
        <f aca="false">F32-(I32-X32)</f>
        <v>14.1554852533401</v>
      </c>
      <c r="M32" s="51" t="n">
        <v>48.8</v>
      </c>
      <c r="N32" s="51" t="n">
        <v>0</v>
      </c>
      <c r="O32" s="51" t="n">
        <v>0</v>
      </c>
      <c r="P32" s="6" t="n">
        <f aca="false">M32-(N32+O32)</f>
        <v>48.8</v>
      </c>
      <c r="Q32" s="51" t="n">
        <v>78.67</v>
      </c>
      <c r="R32" s="51" t="n">
        <v>20.53</v>
      </c>
      <c r="S32" s="51" t="n">
        <f aca="false">SUM(P32:R32)</f>
        <v>148</v>
      </c>
      <c r="T32" s="52" t="n">
        <f aca="false">(I32-S32)+T31</f>
        <v>9212.40999999998</v>
      </c>
      <c r="U32" s="51" t="n">
        <v>0</v>
      </c>
      <c r="V32" s="51" t="n">
        <v>31.94</v>
      </c>
      <c r="W32" s="52" t="n">
        <f aca="false">V32-20</f>
        <v>11.94</v>
      </c>
      <c r="X32" s="6" t="n">
        <f aca="false">N32+O32+S32+U32+V32</f>
        <v>179.94</v>
      </c>
      <c r="Y32" s="51" t="n">
        <f aca="false">IF(L32&lt;0,L32*-1,0)</f>
        <v>0</v>
      </c>
      <c r="Z32" s="51" t="n">
        <f aca="false">X32+Y32</f>
        <v>179.94</v>
      </c>
      <c r="AA32" s="55" t="n">
        <v>0</v>
      </c>
      <c r="AB32" s="57" t="n">
        <v>62</v>
      </c>
      <c r="AC32" s="82" t="n">
        <v>28</v>
      </c>
      <c r="AD32" s="58" t="n">
        <f aca="false">AD31+1</f>
        <v>23</v>
      </c>
      <c r="AE32" s="92"/>
      <c r="AF32" s="94"/>
    </row>
    <row r="33" customFormat="false" ht="11.1" hidden="false" customHeight="true" outlineLevel="0" collapsed="false">
      <c r="A33" s="58" t="n">
        <f aca="false">A32+1</f>
        <v>24</v>
      </c>
      <c r="B33" s="73" t="n">
        <v>6887.14</v>
      </c>
      <c r="C33" s="52" t="n">
        <v>238634</v>
      </c>
      <c r="D33" s="57" t="n">
        <f aca="false">C33-C32</f>
        <v>99</v>
      </c>
      <c r="E33" s="52" t="n">
        <f aca="false">C33-152000</f>
        <v>86634</v>
      </c>
      <c r="F33" s="51" t="n">
        <f aca="false">D33/$D$2</f>
        <v>49.9117721199899</v>
      </c>
      <c r="G33" s="51" t="n">
        <v>129</v>
      </c>
      <c r="H33" s="147" t="n">
        <v>0</v>
      </c>
      <c r="I33" s="51" t="n">
        <f aca="false">G33+H33</f>
        <v>129</v>
      </c>
      <c r="J33" s="81" t="n">
        <f aca="false">IF(L33&gt;0,L33,0)</f>
        <v>22.9117721199899</v>
      </c>
      <c r="K33" s="51" t="n">
        <f aca="false">I33+J33</f>
        <v>151.91177211999</v>
      </c>
      <c r="L33" s="51" t="n">
        <f aca="false">F33-(I33-X33)</f>
        <v>22.9117721199899</v>
      </c>
      <c r="M33" s="51" t="n">
        <v>48.8</v>
      </c>
      <c r="N33" s="51" t="n">
        <v>0</v>
      </c>
      <c r="O33" s="51" t="n">
        <v>0</v>
      </c>
      <c r="P33" s="6" t="n">
        <f aca="false">M33-(N33+O33)</f>
        <v>48.8</v>
      </c>
      <c r="Q33" s="51" t="n">
        <v>0</v>
      </c>
      <c r="R33" s="51" t="n">
        <v>21.2</v>
      </c>
      <c r="S33" s="51" t="n">
        <f aca="false">SUM(P33:R33)</f>
        <v>70</v>
      </c>
      <c r="T33" s="52" t="n">
        <f aca="false">(I33-S33)+T32</f>
        <v>9271.40999999998</v>
      </c>
      <c r="U33" s="51" t="n">
        <v>0</v>
      </c>
      <c r="V33" s="51" t="n">
        <v>32</v>
      </c>
      <c r="W33" s="52" t="n">
        <f aca="false">V33-20</f>
        <v>12</v>
      </c>
      <c r="X33" s="6" t="n">
        <f aca="false">N33+O33+S33+U33+V33</f>
        <v>102</v>
      </c>
      <c r="Y33" s="51" t="n">
        <f aca="false">IF(L33&lt;0,L33*-1,0)</f>
        <v>0</v>
      </c>
      <c r="Z33" s="51" t="n">
        <f aca="false">X33+Y33</f>
        <v>102</v>
      </c>
      <c r="AA33" s="55" t="n">
        <v>0</v>
      </c>
      <c r="AB33" s="57" t="n">
        <v>63</v>
      </c>
      <c r="AC33" s="82" t="n">
        <v>29</v>
      </c>
      <c r="AD33" s="58" t="n">
        <f aca="false">AD32+1</f>
        <v>24</v>
      </c>
      <c r="AE33" s="92"/>
      <c r="AF33" s="94"/>
    </row>
    <row r="34" customFormat="false" ht="11.1" hidden="false" customHeight="true" outlineLevel="0" collapsed="false">
      <c r="A34" s="58" t="n">
        <v>25</v>
      </c>
      <c r="B34" s="73" t="n">
        <v>6887.15</v>
      </c>
      <c r="C34" s="52" t="n">
        <v>238667</v>
      </c>
      <c r="D34" s="57" t="n">
        <f aca="false">C34-C33</f>
        <v>33</v>
      </c>
      <c r="E34" s="52" t="n">
        <f aca="false">C34-152000</f>
        <v>86667</v>
      </c>
      <c r="F34" s="51" t="n">
        <f aca="false">D34/$D$2</f>
        <v>16.63725737333</v>
      </c>
      <c r="G34" s="51" t="n">
        <v>128.36</v>
      </c>
      <c r="H34" s="147" t="n">
        <v>0</v>
      </c>
      <c r="I34" s="51" t="n">
        <f aca="false">G34+H34</f>
        <v>128.36</v>
      </c>
      <c r="J34" s="81" t="n">
        <f aca="false">IF(L34&gt;0,L34,0)</f>
        <v>0</v>
      </c>
      <c r="K34" s="51" t="n">
        <f aca="false">I34+J34</f>
        <v>128.36</v>
      </c>
      <c r="L34" s="51" t="n">
        <f aca="false">F34-(I34-X34)</f>
        <v>-11.00274262667</v>
      </c>
      <c r="M34" s="51" t="n">
        <v>48.8</v>
      </c>
      <c r="N34" s="51" t="n">
        <v>0</v>
      </c>
      <c r="O34" s="51" t="n">
        <v>0</v>
      </c>
      <c r="P34" s="6" t="n">
        <f aca="false">M34-(N34+O34)</f>
        <v>48.8</v>
      </c>
      <c r="Q34" s="51" t="n">
        <v>0</v>
      </c>
      <c r="R34" s="51" t="n">
        <v>21.2</v>
      </c>
      <c r="S34" s="51" t="n">
        <f aca="false">SUM(P34:R34)</f>
        <v>70</v>
      </c>
      <c r="T34" s="52" t="n">
        <f aca="false">(I34-S34)+T33</f>
        <v>9329.76999999998</v>
      </c>
      <c r="U34" s="51" t="n">
        <v>0</v>
      </c>
      <c r="V34" s="51" t="n">
        <v>30.72</v>
      </c>
      <c r="W34" s="52" t="n">
        <f aca="false">V34-20</f>
        <v>10.72</v>
      </c>
      <c r="X34" s="6" t="n">
        <f aca="false">N34+O34+S34+U34+V34</f>
        <v>100.72</v>
      </c>
      <c r="Y34" s="51" t="n">
        <f aca="false">IF(L34&lt;0,L34*-1,0)</f>
        <v>11.00274262667</v>
      </c>
      <c r="Z34" s="51" t="n">
        <f aca="false">X34+Y34</f>
        <v>111.72274262667</v>
      </c>
      <c r="AA34" s="55" t="n">
        <v>0</v>
      </c>
      <c r="AB34" s="57" t="n">
        <v>62</v>
      </c>
      <c r="AC34" s="82" t="n">
        <v>29</v>
      </c>
      <c r="AD34" s="58" t="n">
        <v>25</v>
      </c>
      <c r="AE34" s="92"/>
      <c r="AF34" s="94"/>
    </row>
    <row r="35" customFormat="false" ht="11.1" hidden="false" customHeight="true" outlineLevel="0" collapsed="false">
      <c r="A35" s="58" t="n">
        <v>26</v>
      </c>
      <c r="B35" s="73" t="n">
        <v>6887.16</v>
      </c>
      <c r="C35" s="52" t="n">
        <v>238700</v>
      </c>
      <c r="D35" s="57" t="n">
        <f aca="false">C35-C34</f>
        <v>33</v>
      </c>
      <c r="E35" s="52" t="n">
        <f aca="false">C35-152000</f>
        <v>86700</v>
      </c>
      <c r="F35" s="51" t="n">
        <f aca="false">D35/$D$2</f>
        <v>16.63725737333</v>
      </c>
      <c r="G35" s="51" t="n">
        <v>131.23</v>
      </c>
      <c r="H35" s="147" t="n">
        <v>0</v>
      </c>
      <c r="I35" s="51" t="n">
        <f aca="false">G35+H35</f>
        <v>131.23</v>
      </c>
      <c r="J35" s="81" t="n">
        <f aca="false">IF(L35&gt;0,L35,0)</f>
        <v>0</v>
      </c>
      <c r="K35" s="51" t="n">
        <f aca="false">I35+J35</f>
        <v>131.23</v>
      </c>
      <c r="L35" s="51" t="n">
        <f aca="false">F35-(I35-X35)</f>
        <v>-15.09274262667</v>
      </c>
      <c r="M35" s="51" t="n">
        <v>48.8</v>
      </c>
      <c r="N35" s="51" t="n">
        <v>0</v>
      </c>
      <c r="O35" s="51" t="n">
        <v>0</v>
      </c>
      <c r="P35" s="6" t="n">
        <f aca="false">M35-(N35+O35)</f>
        <v>48.8</v>
      </c>
      <c r="Q35" s="51" t="n">
        <v>0</v>
      </c>
      <c r="R35" s="51" t="n">
        <v>20.2</v>
      </c>
      <c r="S35" s="51" t="n">
        <f aca="false">SUM(P35:R35)</f>
        <v>69</v>
      </c>
      <c r="T35" s="52" t="n">
        <f aca="false">(I35-S35)+T34</f>
        <v>9391.99999999998</v>
      </c>
      <c r="U35" s="51" t="n">
        <v>0</v>
      </c>
      <c r="V35" s="51" t="n">
        <v>30.5</v>
      </c>
      <c r="W35" s="52" t="n">
        <f aca="false">V35-20</f>
        <v>10.5</v>
      </c>
      <c r="X35" s="6" t="n">
        <f aca="false">N35+O35+S35+U35+V35</f>
        <v>99.5</v>
      </c>
      <c r="Y35" s="51" t="n">
        <f aca="false">IF(L35&lt;0,L35*-1,0)</f>
        <v>15.09274262667</v>
      </c>
      <c r="Z35" s="51" t="n">
        <f aca="false">X35+Y35</f>
        <v>114.59274262667</v>
      </c>
      <c r="AA35" s="55" t="n">
        <v>0</v>
      </c>
      <c r="AB35" s="57" t="n">
        <v>67</v>
      </c>
      <c r="AC35" s="82" t="n">
        <v>25</v>
      </c>
      <c r="AD35" s="58" t="n">
        <v>26</v>
      </c>
      <c r="AE35" s="92"/>
      <c r="AF35" s="94"/>
    </row>
    <row r="36" customFormat="false" ht="11.1" hidden="false" customHeight="true" outlineLevel="0" collapsed="false">
      <c r="A36" s="58" t="n">
        <v>27</v>
      </c>
      <c r="B36" s="73" t="n">
        <v>6887.17</v>
      </c>
      <c r="C36" s="52" t="n">
        <v>238733</v>
      </c>
      <c r="D36" s="57" t="n">
        <f aca="false">C36-C35</f>
        <v>33</v>
      </c>
      <c r="E36" s="52" t="n">
        <f aca="false">C36-152000</f>
        <v>86733</v>
      </c>
      <c r="F36" s="51" t="n">
        <f aca="false">D36/$D$2</f>
        <v>16.63725737333</v>
      </c>
      <c r="G36" s="51" t="n">
        <v>129.37</v>
      </c>
      <c r="H36" s="147" t="n">
        <v>0</v>
      </c>
      <c r="I36" s="51" t="n">
        <f aca="false">G36+H36</f>
        <v>129.37</v>
      </c>
      <c r="J36" s="81" t="n">
        <f aca="false">IF(L36&gt;0,L36,0)</f>
        <v>0</v>
      </c>
      <c r="K36" s="51" t="n">
        <f aca="false">I36+J36</f>
        <v>129.37</v>
      </c>
      <c r="L36" s="51" t="n">
        <f aca="false">F36-(I36-X36)</f>
        <v>-14.33274262667</v>
      </c>
      <c r="M36" s="51" t="n">
        <v>48.8</v>
      </c>
      <c r="N36" s="51" t="n">
        <v>0</v>
      </c>
      <c r="O36" s="51" t="n">
        <v>0</v>
      </c>
      <c r="P36" s="6" t="n">
        <f aca="false">M36-(N36+O36)</f>
        <v>48.8</v>
      </c>
      <c r="Q36" s="51" t="n">
        <v>0</v>
      </c>
      <c r="R36" s="51" t="n">
        <v>19.2</v>
      </c>
      <c r="S36" s="51" t="n">
        <f aca="false">SUM(P36:R36)</f>
        <v>68</v>
      </c>
      <c r="T36" s="52" t="n">
        <f aca="false">(I36-S36)+T35</f>
        <v>9453.36999999998</v>
      </c>
      <c r="U36" s="51" t="n">
        <v>0</v>
      </c>
      <c r="V36" s="51" t="n">
        <v>30.4</v>
      </c>
      <c r="W36" s="52" t="n">
        <f aca="false">V36-20</f>
        <v>10.4</v>
      </c>
      <c r="X36" s="6" t="n">
        <f aca="false">N36+O36+S36+U36+V36</f>
        <v>98.4</v>
      </c>
      <c r="Y36" s="51" t="n">
        <f aca="false">IF(L36&lt;0,L36*-1,0)</f>
        <v>14.33274262667</v>
      </c>
      <c r="Z36" s="51" t="n">
        <f aca="false">X36+Y36</f>
        <v>112.73274262667</v>
      </c>
      <c r="AA36" s="55" t="n">
        <v>0</v>
      </c>
      <c r="AB36" s="57" t="n">
        <v>64</v>
      </c>
      <c r="AC36" s="82" t="n">
        <v>28</v>
      </c>
      <c r="AD36" s="58" t="n">
        <v>27</v>
      </c>
      <c r="AE36" s="92"/>
      <c r="AF36" s="94"/>
    </row>
    <row r="37" customFormat="false" ht="11.1" hidden="false" customHeight="true" outlineLevel="0" collapsed="false">
      <c r="A37" s="58" t="n">
        <v>28</v>
      </c>
      <c r="B37" s="73" t="n">
        <v>6887.18</v>
      </c>
      <c r="C37" s="52" t="n">
        <v>238766</v>
      </c>
      <c r="D37" s="57" t="n">
        <f aca="false">C37-C36</f>
        <v>33</v>
      </c>
      <c r="E37" s="52" t="n">
        <f aca="false">C37-152000</f>
        <v>86766</v>
      </c>
      <c r="F37" s="51" t="n">
        <f aca="false">D37/$D$2</f>
        <v>16.63725737333</v>
      </c>
      <c r="G37" s="51" t="n">
        <v>125.97</v>
      </c>
      <c r="H37" s="147" t="n">
        <v>0</v>
      </c>
      <c r="I37" s="51" t="n">
        <f aca="false">G37+H37</f>
        <v>125.97</v>
      </c>
      <c r="J37" s="81" t="n">
        <f aca="false">IF(L37&gt;0,L37,0)</f>
        <v>0</v>
      </c>
      <c r="K37" s="51" t="n">
        <f aca="false">I37+J37</f>
        <v>125.97</v>
      </c>
      <c r="L37" s="51" t="n">
        <f aca="false">F37-(I37-X37)</f>
        <v>-10.00274262667</v>
      </c>
      <c r="M37" s="51" t="n">
        <v>48.8</v>
      </c>
      <c r="N37" s="51" t="n">
        <v>0</v>
      </c>
      <c r="O37" s="51" t="n">
        <v>0</v>
      </c>
      <c r="P37" s="6" t="n">
        <f aca="false">M37-(N37+O37)</f>
        <v>48.8</v>
      </c>
      <c r="Q37" s="51" t="n">
        <v>0</v>
      </c>
      <c r="R37" s="51" t="n">
        <v>20.2</v>
      </c>
      <c r="S37" s="51" t="n">
        <f aca="false">SUM(P37:R37)</f>
        <v>69</v>
      </c>
      <c r="T37" s="52" t="n">
        <f aca="false">(I37-S37)+T36</f>
        <v>9510.33999999998</v>
      </c>
      <c r="U37" s="51" t="n">
        <v>0</v>
      </c>
      <c r="V37" s="51" t="n">
        <v>30.33</v>
      </c>
      <c r="W37" s="52" t="n">
        <f aca="false">V37-20</f>
        <v>10.33</v>
      </c>
      <c r="X37" s="6" t="n">
        <f aca="false">N37+O37+S37+U37+V37</f>
        <v>99.33</v>
      </c>
      <c r="Y37" s="51" t="n">
        <f aca="false">IF(L37&lt;0,L37*-1,0)</f>
        <v>10.00274262667</v>
      </c>
      <c r="Z37" s="51" t="n">
        <f aca="false">X37+Y37</f>
        <v>109.33274262667</v>
      </c>
      <c r="AA37" s="55" t="n">
        <v>0</v>
      </c>
      <c r="AB37" s="57" t="n">
        <v>66</v>
      </c>
      <c r="AC37" s="82" t="n">
        <v>30</v>
      </c>
      <c r="AD37" s="58" t="n">
        <v>28</v>
      </c>
      <c r="AE37" s="92"/>
      <c r="AF37" s="94"/>
    </row>
    <row r="38" customFormat="false" ht="11.1" hidden="false" customHeight="true" outlineLevel="0" collapsed="false">
      <c r="A38" s="58" t="n">
        <v>29</v>
      </c>
      <c r="B38" s="73" t="n">
        <v>6887.19</v>
      </c>
      <c r="C38" s="52" t="n">
        <v>238799</v>
      </c>
      <c r="D38" s="57" t="n">
        <f aca="false">C38-C37</f>
        <v>33</v>
      </c>
      <c r="E38" s="52" t="n">
        <f aca="false">C38-152000</f>
        <v>86799</v>
      </c>
      <c r="F38" s="51" t="n">
        <f aca="false">D38/$D$2</f>
        <v>16.63725737333</v>
      </c>
      <c r="G38" s="51" t="n">
        <v>124.28</v>
      </c>
      <c r="H38" s="147" t="n">
        <v>0</v>
      </c>
      <c r="I38" s="51" t="n">
        <f aca="false">G38+H38</f>
        <v>124.28</v>
      </c>
      <c r="J38" s="81" t="n">
        <f aca="false">IF(L38&gt;0,L38,0)</f>
        <v>0</v>
      </c>
      <c r="K38" s="51" t="n">
        <f aca="false">I38+J38</f>
        <v>124.28</v>
      </c>
      <c r="L38" s="51" t="n">
        <f aca="false">F38-(I38-X38)</f>
        <v>-8.14274262667003</v>
      </c>
      <c r="M38" s="51" t="n">
        <v>48.8</v>
      </c>
      <c r="N38" s="51" t="n">
        <v>0</v>
      </c>
      <c r="O38" s="51" t="n">
        <v>0</v>
      </c>
      <c r="P38" s="6" t="n">
        <f aca="false">M38-(N38+O38)</f>
        <v>48.8</v>
      </c>
      <c r="Q38" s="51" t="n">
        <v>0</v>
      </c>
      <c r="R38" s="51" t="n">
        <v>20.2</v>
      </c>
      <c r="S38" s="51" t="n">
        <f aca="false">SUM(P38:R38)</f>
        <v>69</v>
      </c>
      <c r="T38" s="52" t="n">
        <f aca="false">(I38-S38)+T37</f>
        <v>9565.61999999998</v>
      </c>
      <c r="U38" s="51" t="n">
        <v>0</v>
      </c>
      <c r="V38" s="51" t="n">
        <v>30.5</v>
      </c>
      <c r="W38" s="52" t="n">
        <f aca="false">V38-20</f>
        <v>10.5</v>
      </c>
      <c r="X38" s="6" t="n">
        <f aca="false">N38+O38+S38+U38+V38</f>
        <v>99.5</v>
      </c>
      <c r="Y38" s="51" t="n">
        <f aca="false">IF(L38&lt;0,L38*-1,0)</f>
        <v>8.14274262667003</v>
      </c>
      <c r="Z38" s="51" t="n">
        <f aca="false">X38+Y38</f>
        <v>107.64274262667</v>
      </c>
      <c r="AA38" s="55" t="n">
        <v>0</v>
      </c>
      <c r="AB38" s="57" t="n">
        <v>64</v>
      </c>
      <c r="AC38" s="82" t="n">
        <v>34</v>
      </c>
      <c r="AD38" s="58" t="n">
        <v>29</v>
      </c>
      <c r="AE38" s="92"/>
      <c r="AF38" s="94"/>
    </row>
    <row r="39" customFormat="false" ht="11.1" hidden="false" customHeight="true" outlineLevel="0" collapsed="false">
      <c r="A39" s="58" t="n">
        <v>30</v>
      </c>
      <c r="B39" s="73" t="n">
        <v>6887.2</v>
      </c>
      <c r="C39" s="52" t="n">
        <v>238832</v>
      </c>
      <c r="D39" s="57" t="n">
        <f aca="false">C39-C38</f>
        <v>33</v>
      </c>
      <c r="E39" s="52" t="n">
        <f aca="false">C39-152000</f>
        <v>86832</v>
      </c>
      <c r="F39" s="51" t="n">
        <f aca="false">D39/$D$2</f>
        <v>16.63725737333</v>
      </c>
      <c r="G39" s="51" t="n">
        <v>118.98</v>
      </c>
      <c r="H39" s="147" t="n">
        <v>0</v>
      </c>
      <c r="I39" s="51" t="n">
        <f aca="false">G39+H39</f>
        <v>118.98</v>
      </c>
      <c r="J39" s="81" t="n">
        <f aca="false">IF(L39&gt;0,L39,0)</f>
        <v>0</v>
      </c>
      <c r="K39" s="51" t="n">
        <f aca="false">I39+J39</f>
        <v>118.98</v>
      </c>
      <c r="L39" s="51" t="n">
        <f aca="false">F39-(I39-X39)</f>
        <v>-3.84274262667003</v>
      </c>
      <c r="M39" s="51" t="n">
        <v>48.8</v>
      </c>
      <c r="N39" s="51" t="n">
        <v>0</v>
      </c>
      <c r="O39" s="51" t="n">
        <v>0</v>
      </c>
      <c r="P39" s="6" t="n">
        <f aca="false">M39-(N39+O39)</f>
        <v>48.8</v>
      </c>
      <c r="Q39" s="51" t="n">
        <v>0</v>
      </c>
      <c r="R39" s="51" t="n">
        <v>19.2</v>
      </c>
      <c r="S39" s="51" t="n">
        <f aca="false">SUM(P39:R39)</f>
        <v>68</v>
      </c>
      <c r="T39" s="52" t="n">
        <f aca="false">(I39-S39)+T38</f>
        <v>9616.59999999998</v>
      </c>
      <c r="U39" s="51" t="n">
        <v>0</v>
      </c>
      <c r="V39" s="51" t="n">
        <v>30.5</v>
      </c>
      <c r="W39" s="52" t="n">
        <f aca="false">V39-20</f>
        <v>10.5</v>
      </c>
      <c r="X39" s="6" t="n">
        <f aca="false">N39+O39+S39+U39+V39</f>
        <v>98.5</v>
      </c>
      <c r="Y39" s="51" t="n">
        <f aca="false">IF(L39&lt;0,L39*-1,0)</f>
        <v>3.84274262667003</v>
      </c>
      <c r="Z39" s="51" t="n">
        <f aca="false">X39+Y39</f>
        <v>102.34274262667</v>
      </c>
      <c r="AA39" s="55" t="n">
        <v>0</v>
      </c>
      <c r="AB39" s="57" t="n">
        <v>66</v>
      </c>
      <c r="AC39" s="82" t="n">
        <v>33</v>
      </c>
      <c r="AD39" s="58" t="n">
        <v>30</v>
      </c>
      <c r="AE39" s="92"/>
      <c r="AF39" s="94"/>
    </row>
    <row r="40" customFormat="false" ht="11.1" hidden="false" customHeight="true" outlineLevel="0" collapsed="false">
      <c r="A40" s="58" t="n">
        <v>31</v>
      </c>
      <c r="B40" s="73" t="n">
        <v>6887.21</v>
      </c>
      <c r="C40" s="52" t="n">
        <v>238865</v>
      </c>
      <c r="D40" s="57" t="n">
        <f aca="false">C40-C39</f>
        <v>33</v>
      </c>
      <c r="E40" s="52" t="n">
        <f aca="false">C40-152000</f>
        <v>86865</v>
      </c>
      <c r="F40" s="51" t="n">
        <f aca="false">D40/$D$2</f>
        <v>16.63725737333</v>
      </c>
      <c r="G40" s="51" t="n">
        <v>115.2</v>
      </c>
      <c r="H40" s="147" t="n">
        <v>0</v>
      </c>
      <c r="I40" s="51" t="n">
        <f aca="false">G40+H40</f>
        <v>115.2</v>
      </c>
      <c r="J40" s="81" t="n">
        <f aca="false">IF(L40&gt;0,L40,0)</f>
        <v>0.907257373329969</v>
      </c>
      <c r="K40" s="51" t="n">
        <f aca="false">I40+J40</f>
        <v>116.10725737333</v>
      </c>
      <c r="L40" s="51" t="n">
        <f aca="false">F40-(I40-X40)</f>
        <v>0.907257373329969</v>
      </c>
      <c r="M40" s="51" t="n">
        <v>48.8</v>
      </c>
      <c r="N40" s="51" t="n">
        <v>0</v>
      </c>
      <c r="O40" s="51" t="n">
        <v>0</v>
      </c>
      <c r="P40" s="6" t="n">
        <f aca="false">M40-(N40+O40)</f>
        <v>48.8</v>
      </c>
      <c r="Q40" s="51" t="n">
        <v>0</v>
      </c>
      <c r="R40" s="51" t="n">
        <v>20.2</v>
      </c>
      <c r="S40" s="51" t="n">
        <f aca="false">SUM(P40:R40)</f>
        <v>69</v>
      </c>
      <c r="T40" s="52" t="n">
        <f aca="false">(I40-S40)+T39</f>
        <v>9662.79999999998</v>
      </c>
      <c r="U40" s="51" t="n">
        <v>0</v>
      </c>
      <c r="V40" s="51" t="n">
        <v>30.47</v>
      </c>
      <c r="W40" s="52" t="n">
        <f aca="false">V40-20</f>
        <v>10.47</v>
      </c>
      <c r="X40" s="6" t="n">
        <f aca="false">N40+O40+S40+U40+V40</f>
        <v>99.47</v>
      </c>
      <c r="Y40" s="51" t="n">
        <f aca="false">IF(L40&lt;0,L40*-1,0)</f>
        <v>0</v>
      </c>
      <c r="Z40" s="51" t="n">
        <f aca="false">X40+Y40</f>
        <v>99.47</v>
      </c>
      <c r="AA40" s="55" t="n">
        <v>0</v>
      </c>
      <c r="AB40" s="57" t="n">
        <v>62</v>
      </c>
      <c r="AC40" s="82" t="n">
        <v>35</v>
      </c>
      <c r="AD40" s="58" t="n">
        <v>31</v>
      </c>
      <c r="AE40" s="92"/>
      <c r="AF40" s="94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50" t="n">
        <v>0</v>
      </c>
      <c r="I41" s="74"/>
      <c r="J41" s="74"/>
      <c r="K41" s="74"/>
      <c r="L41" s="74"/>
      <c r="M41" s="74" t="n">
        <v>0</v>
      </c>
      <c r="N41" s="74"/>
      <c r="O41" s="74"/>
      <c r="P41" s="74"/>
      <c r="Q41" s="74"/>
      <c r="R41" s="74" t="n">
        <v>0</v>
      </c>
      <c r="S41" s="74"/>
      <c r="T41" s="76"/>
      <c r="U41" s="74"/>
      <c r="V41" s="74" t="n">
        <v>0</v>
      </c>
      <c r="W41" s="74"/>
      <c r="X41" s="74"/>
      <c r="Y41" s="74"/>
      <c r="Z41" s="74"/>
      <c r="AA41" s="109"/>
      <c r="AB41" s="79"/>
      <c r="AC41" s="79"/>
      <c r="AD41" s="80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-182.505671792286</v>
      </c>
      <c r="G42" s="52" t="n">
        <f aca="false">SUM(G10:G40)</f>
        <v>5575.82</v>
      </c>
      <c r="H42" s="147" t="n">
        <f aca="false">SUM(H10:H40)</f>
        <v>0</v>
      </c>
      <c r="I42" s="52" t="n">
        <f aca="false">SUM(I10:I40)</f>
        <v>5575.82</v>
      </c>
      <c r="J42" s="52" t="n">
        <f aca="false">SUM(J10:J40)</f>
        <v>188.241754474414</v>
      </c>
      <c r="K42" s="52" t="n">
        <f aca="false">SUM(K10:K40)</f>
        <v>5764.06175447441</v>
      </c>
      <c r="L42" s="52" t="n">
        <f aca="false">SUM(L10:L40)</f>
        <v>-502.745671792286</v>
      </c>
      <c r="M42" s="52" t="n">
        <f aca="false">SUM(M10:M40)</f>
        <v>1790.17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1790.17</v>
      </c>
      <c r="Q42" s="52" t="n">
        <f aca="false">SUM(Q10:Q40)</f>
        <v>1679.72</v>
      </c>
      <c r="R42" s="52" t="n">
        <f aca="false">SUM(R10:R40)</f>
        <v>675.95</v>
      </c>
      <c r="S42" s="52" t="n">
        <f aca="false">SUM(S10:S40)</f>
        <v>4145.84</v>
      </c>
      <c r="T42" s="52"/>
      <c r="U42" s="52" t="n">
        <f aca="false">SUM(U10:U40)</f>
        <v>158</v>
      </c>
      <c r="V42" s="52" t="n">
        <f aca="false">SUM(V10:V40)</f>
        <v>951.74</v>
      </c>
      <c r="W42" s="52" t="n">
        <f aca="false">SUM(W10:W40)</f>
        <v>331.74</v>
      </c>
      <c r="X42" s="52" t="n">
        <f aca="false">SUM(X10:X40)</f>
        <v>5255.58</v>
      </c>
      <c r="Y42" s="52" t="n">
        <f aca="false">SUM(Y10:Y40)</f>
        <v>690.9874262667</v>
      </c>
      <c r="Z42" s="52" t="n">
        <f aca="false">SUM(Z10:Z40)</f>
        <v>5946.5674262667</v>
      </c>
      <c r="AA42" s="55" t="n">
        <f aca="false">SUM(AA10:AA40)</f>
        <v>1.31</v>
      </c>
      <c r="AB42" s="57" t="n">
        <f aca="false">AVERAGE(AB10:AB40)</f>
        <v>61.258064516129</v>
      </c>
      <c r="AC42" s="57" t="n">
        <f aca="false">AVERAGE(AC10:AC40)</f>
        <v>29.8709677419355</v>
      </c>
      <c r="AD42" s="58" t="s">
        <v>67</v>
      </c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-362</v>
      </c>
      <c r="E43" s="52"/>
      <c r="F43" s="52" t="n">
        <f aca="false">F42*$D$2</f>
        <v>-362</v>
      </c>
      <c r="G43" s="52" t="n">
        <f aca="false">G42*$D$2</f>
        <v>11059.63897</v>
      </c>
      <c r="H43" s="147" t="n">
        <f aca="false">H42*$D$2</f>
        <v>0</v>
      </c>
      <c r="I43" s="52" t="n">
        <f aca="false">I42*$D$2</f>
        <v>11059.63897</v>
      </c>
      <c r="J43" s="52" t="n">
        <f aca="false">J42*$D$2</f>
        <v>373.37752</v>
      </c>
      <c r="K43" s="52" t="n">
        <f aca="false">K42*$D$2</f>
        <v>11433.01649</v>
      </c>
      <c r="L43" s="52" t="n">
        <f aca="false">L42*$D$2</f>
        <v>-997.19604</v>
      </c>
      <c r="M43" s="52" t="n">
        <f aca="false">M42*$D$2</f>
        <v>3550.802195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3550.802195</v>
      </c>
      <c r="Q43" s="52" t="n">
        <f aca="false">Q42*$D$2</f>
        <v>3331.72462</v>
      </c>
      <c r="R43" s="52" t="n">
        <f aca="false">R42*$D$2</f>
        <v>1340.746825</v>
      </c>
      <c r="S43" s="52" t="n">
        <f aca="false">S42*$D$2</f>
        <v>8223.27364</v>
      </c>
      <c r="T43" s="52"/>
      <c r="U43" s="52" t="n">
        <f aca="false">U42*$D$2</f>
        <v>313.393</v>
      </c>
      <c r="V43" s="52" t="n">
        <f aca="false">V42*$D$2</f>
        <v>1887.77629</v>
      </c>
      <c r="W43" s="52" t="n">
        <f aca="false">W42*$D$2</f>
        <v>658.00629</v>
      </c>
      <c r="X43" s="52" t="n">
        <f aca="false">X42*$D$2</f>
        <v>10424.44293</v>
      </c>
      <c r="Y43" s="52" t="n">
        <f aca="false">Y42*$D$2</f>
        <v>1370.57356</v>
      </c>
      <c r="Z43" s="52" t="n">
        <f aca="false">Z42*$D$2</f>
        <v>11795.01649</v>
      </c>
      <c r="AA43" s="55"/>
      <c r="AB43" s="57" t="n">
        <f aca="false">MAX(AB10:AB40)</f>
        <v>70</v>
      </c>
      <c r="AC43" s="57" t="n">
        <f aca="false">MAX(AC10:AC40)</f>
        <v>47</v>
      </c>
      <c r="AD43" s="58" t="s">
        <v>47</v>
      </c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50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4"/>
      <c r="X44" s="76"/>
      <c r="Y44" s="76"/>
      <c r="Z44" s="76"/>
      <c r="AA44" s="109"/>
      <c r="AB44" s="76"/>
      <c r="AC44" s="76"/>
      <c r="AD44" s="76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-17285.1020922612</v>
      </c>
      <c r="G45" s="52" t="n">
        <f aca="false">G7+G42</f>
        <v>75851.3</v>
      </c>
      <c r="H45" s="147" t="n">
        <f aca="false">H7+H42</f>
        <v>1182.883</v>
      </c>
      <c r="I45" s="52" t="n">
        <f aca="false">I7+I42</f>
        <v>77034.183</v>
      </c>
      <c r="J45" s="52" t="n">
        <f aca="false">J7+J42</f>
        <v>3038.58191832619</v>
      </c>
      <c r="K45" s="52" t="n">
        <f aca="false">K7+K42</f>
        <v>80072.7649183262</v>
      </c>
      <c r="L45" s="52" t="n">
        <f aca="false">L7+L42</f>
        <v>-6103.88209226115</v>
      </c>
      <c r="M45" s="52" t="n">
        <f aca="false">M7+M42</f>
        <v>31897.61</v>
      </c>
      <c r="N45" s="52" t="n">
        <f aca="false">N7+N42</f>
        <v>0</v>
      </c>
      <c r="O45" s="52" t="n">
        <f aca="false">O7+O42</f>
        <v>0</v>
      </c>
      <c r="P45" s="52" t="n">
        <f aca="false">P7+P42</f>
        <v>31897.61</v>
      </c>
      <c r="Q45" s="52" t="n">
        <f aca="false">Q7+Q42</f>
        <v>23646.16</v>
      </c>
      <c r="R45" s="52" t="n">
        <f aca="false">R7+R42</f>
        <v>11827.613</v>
      </c>
      <c r="S45" s="52" t="n">
        <f aca="false">S7+S42</f>
        <v>67371.383</v>
      </c>
      <c r="T45" s="52" t="n">
        <f aca="false">T40</f>
        <v>9662.79999999998</v>
      </c>
      <c r="U45" s="52" t="n">
        <f aca="false">U7+U42</f>
        <v>13442</v>
      </c>
      <c r="V45" s="52" t="n">
        <f aca="false">V7+V42</f>
        <v>7402.02</v>
      </c>
      <c r="W45" s="52" t="n">
        <f aca="false">W7+W42</f>
        <v>3536.746805</v>
      </c>
      <c r="X45" s="52" t="n">
        <f aca="false">X7+X42</f>
        <v>88215.403</v>
      </c>
      <c r="Y45" s="52" t="n">
        <f aca="false">Y7+Y42</f>
        <v>9142.46401058735</v>
      </c>
      <c r="Z45" s="52" t="n">
        <f aca="false">Z7+Z42</f>
        <v>97357.8670105873</v>
      </c>
      <c r="AA45" s="55"/>
      <c r="AB45" s="57" t="n">
        <f aca="false">MIN(AB10:AB40)</f>
        <v>44</v>
      </c>
      <c r="AC45" s="57" t="n">
        <f aca="false">MIN(AC10:AC40)</f>
        <v>21</v>
      </c>
      <c r="AD45" s="58" t="s">
        <v>49</v>
      </c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-34285</v>
      </c>
      <c r="G46" s="52" t="n">
        <f aca="false">G45*$D$2</f>
        <v>150451.05355</v>
      </c>
      <c r="H46" s="147" t="n">
        <f aca="false">H45*$D$2</f>
        <v>2346.2484305</v>
      </c>
      <c r="I46" s="52" t="n">
        <f aca="false">I45*$D$2</f>
        <v>152797.3019805</v>
      </c>
      <c r="J46" s="52" t="n">
        <f aca="false">J45*$D$2</f>
        <v>6027.027235</v>
      </c>
      <c r="K46" s="52" t="n">
        <f aca="false">K45*$D$2</f>
        <v>158824.3292155</v>
      </c>
      <c r="L46" s="52" t="n">
        <f aca="false">L45*$D$2</f>
        <v>-12107.05013</v>
      </c>
      <c r="M46" s="52" t="n">
        <f aca="false">M45*$D$2</f>
        <v>63268.909435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63268.909435</v>
      </c>
      <c r="Q46" s="52" t="n">
        <f aca="false">Q45*$D$2</f>
        <v>46902.15836</v>
      </c>
      <c r="R46" s="52" t="n">
        <f aca="false">R45*$D$2</f>
        <v>23460.0703855</v>
      </c>
      <c r="S46" s="52" t="n">
        <f aca="false">S45*$D$2</f>
        <v>133631.1381805</v>
      </c>
      <c r="T46" s="52" t="n">
        <f aca="false">T45*$D$2</f>
        <v>19166.1638</v>
      </c>
      <c r="U46" s="52" t="n">
        <f aca="false">U45*$D$2</f>
        <v>26662.207</v>
      </c>
      <c r="V46" s="52" t="n">
        <f aca="false">V45*$D$2</f>
        <v>14681.90667</v>
      </c>
      <c r="W46" s="52" t="n">
        <f aca="false">W45*$D$2</f>
        <v>7015.1372877175</v>
      </c>
      <c r="X46" s="52" t="n">
        <f aca="false">X45*$D$2</f>
        <v>174975.2518505</v>
      </c>
      <c r="Y46" s="52" t="n">
        <f aca="false">Y45*$D$2</f>
        <v>18134.077365</v>
      </c>
      <c r="Z46" s="52" t="n">
        <f aca="false">Z45*$D$2</f>
        <v>193109.3292155</v>
      </c>
      <c r="AA46" s="55"/>
      <c r="AB46" s="57"/>
      <c r="AC46" s="57"/>
      <c r="AD46" s="58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50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109"/>
      <c r="AB47" s="109"/>
      <c r="AC47" s="109"/>
      <c r="AD47" s="109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-29049.6596924628</v>
      </c>
      <c r="G48" s="52" t="n">
        <f aca="false">G8+G42</f>
        <v>80977.456</v>
      </c>
      <c r="H48" s="147" t="n">
        <f aca="false">H8+H42</f>
        <v>1182.883</v>
      </c>
      <c r="I48" s="52" t="n">
        <f aca="false">I8+I42</f>
        <v>82566.829</v>
      </c>
      <c r="J48" s="52" t="n">
        <f aca="false">J8+J42</f>
        <v>3383.48967179229</v>
      </c>
      <c r="K48" s="52" t="n">
        <f aca="false">K8+K42</f>
        <v>85876.7331915805</v>
      </c>
      <c r="L48" s="52" t="n">
        <f aca="false">L8+L42</f>
        <v>-7323.35569246282</v>
      </c>
      <c r="M48" s="52" t="n">
        <f aca="false">M8+M42</f>
        <v>33299.25</v>
      </c>
      <c r="N48" s="52" t="n">
        <f aca="false">N8+N42</f>
        <v>0.08</v>
      </c>
      <c r="O48" s="52" t="n">
        <f aca="false">O8+O42</f>
        <v>0</v>
      </c>
      <c r="P48" s="52" t="n">
        <f aca="false">P8+P42</f>
        <v>33299.17</v>
      </c>
      <c r="Q48" s="52" t="n">
        <f aca="false">Q8+Q42</f>
        <v>28170.6</v>
      </c>
      <c r="R48" s="52" t="n">
        <f aca="false">R8+R42</f>
        <v>11881.233</v>
      </c>
      <c r="S48" s="52" t="n">
        <f aca="false">S8+S42</f>
        <v>73351.003</v>
      </c>
      <c r="T48" s="52" t="n">
        <f aca="false">T45</f>
        <v>9662.79999999998</v>
      </c>
      <c r="U48" s="52" t="n">
        <f aca="false">U8+U42</f>
        <v>13442</v>
      </c>
      <c r="V48" s="52" t="n">
        <f aca="false">V8+V42</f>
        <v>17500.05</v>
      </c>
      <c r="W48" s="52" t="n">
        <f aca="false">W45</f>
        <v>3536.746805</v>
      </c>
      <c r="X48" s="52" t="n">
        <f aca="false">X8+X42</f>
        <v>104293.133</v>
      </c>
      <c r="Y48" s="52" t="n">
        <f aca="false">Y8+Y42</f>
        <v>10706.8453642551</v>
      </c>
      <c r="Z48" s="52" t="n">
        <f aca="false">Z8+Z42</f>
        <v>114999.978364255</v>
      </c>
      <c r="AA48" s="55" t="n">
        <f aca="false">AA8+AA42</f>
        <v>21.233</v>
      </c>
      <c r="AB48" s="57"/>
      <c r="AC48" s="57"/>
      <c r="AD48" s="58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-57620</v>
      </c>
      <c r="E49" s="52" t="n">
        <f aca="false">E40</f>
        <v>86865</v>
      </c>
      <c r="F49" s="52" t="n">
        <f aca="false">F48*$D$2</f>
        <v>-57620</v>
      </c>
      <c r="G49" s="52" t="n">
        <f aca="false">G48*$D$2</f>
        <v>160618.783976</v>
      </c>
      <c r="H49" s="147" t="n">
        <f aca="false">H48*$D$2</f>
        <v>2346.2484305</v>
      </c>
      <c r="I49" s="52" t="n">
        <f aca="false">I48*$D$2</f>
        <v>163771.3053215</v>
      </c>
      <c r="J49" s="52" t="n">
        <f aca="false">J48*$D$2</f>
        <v>6711.151764</v>
      </c>
      <c r="K49" s="52" t="n">
        <f aca="false">K48*$D$2</f>
        <v>170336.5002855</v>
      </c>
      <c r="L49" s="52" t="n">
        <f aca="false">L48*$D$2</f>
        <v>-14525.876016</v>
      </c>
      <c r="M49" s="52" t="n">
        <f aca="false">M48*$D$2</f>
        <v>66049.062375</v>
      </c>
      <c r="N49" s="52" t="n">
        <f aca="false">N48*$D$2</f>
        <v>0.15868</v>
      </c>
      <c r="O49" s="52" t="n">
        <f aca="false">O48*$D$2</f>
        <v>0</v>
      </c>
      <c r="P49" s="52" t="n">
        <f aca="false">P48*$D$2</f>
        <v>66048.903695</v>
      </c>
      <c r="Q49" s="52" t="n">
        <f aca="false">Q48*$D$2</f>
        <v>55876.3851</v>
      </c>
      <c r="R49" s="52" t="n">
        <f aca="false">R48*$D$2</f>
        <v>23566.4256555</v>
      </c>
      <c r="S49" s="52" t="n">
        <f aca="false">S48*$D$2</f>
        <v>145491.7144505</v>
      </c>
      <c r="T49" s="52" t="n">
        <f aca="false">T48*$D$2</f>
        <v>19166.1638</v>
      </c>
      <c r="U49" s="52" t="n">
        <f aca="false">U48*$D$2</f>
        <v>26662.207</v>
      </c>
      <c r="V49" s="52" t="n">
        <f aca="false">V48*$D$2</f>
        <v>34711.349175</v>
      </c>
      <c r="W49" s="52" t="n">
        <f aca="false">W48*$D$2</f>
        <v>7015.1372877175</v>
      </c>
      <c r="X49" s="52" t="n">
        <f aca="false">X48*$D$2</f>
        <v>206865.4293055</v>
      </c>
      <c r="Y49" s="52" t="n">
        <f aca="false">Y48*$D$2</f>
        <v>21237.02778</v>
      </c>
      <c r="Z49" s="52" t="n">
        <f aca="false">Z48*$D$2</f>
        <v>228102.4570855</v>
      </c>
      <c r="AA49" s="55"/>
      <c r="AB49" s="57"/>
      <c r="AC49" s="57"/>
      <c r="AD49" s="58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150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6"/>
      <c r="X50" s="74"/>
      <c r="Y50" s="74"/>
      <c r="Z50" s="74"/>
      <c r="AA50" s="109"/>
      <c r="AB50" s="74"/>
      <c r="AC50" s="74"/>
      <c r="AD50" s="74"/>
      <c r="AE50" s="92"/>
      <c r="AF50" s="93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EA BIRK</cp:lastModifiedBy>
  <cp:lastPrinted>2002-11-21T15:45:59Z</cp:lastPrinted>
  <dcterms:modified xsi:type="dcterms:W3CDTF">2010-03-01T10:10:30Z</dcterms:modified>
  <cp:revision>0</cp:revision>
  <dc:subject>MCPHEE IN/OUT FLOW</dc:subject>
  <dc:title>RIVER</dc:title>
</cp:coreProperties>
</file>