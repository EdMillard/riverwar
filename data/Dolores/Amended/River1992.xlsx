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APR!$A$1:$AD$49</definedName>
    <definedName function="false" hidden="false" localSheetId="9" name="_xlnm.Print_Area" vbProcedure="false">AUG!$A$1:$AD$57</definedName>
    <definedName function="false" hidden="false" localSheetId="1" name="_xlnm.Print_Area" vbProcedure="false">DEC!$A$1:$AD$52</definedName>
    <definedName function="false" hidden="false" localSheetId="3" name="_xlnm.Print_Area" vbProcedure="false">FEB!$A$1:$AD$53</definedName>
    <definedName function="false" hidden="false" localSheetId="2" name="_xlnm.Print_Area" vbProcedure="false">JAN!$A$1:$AD$55</definedName>
    <definedName function="false" hidden="false" localSheetId="8" name="_xlnm.Print_Area" vbProcedure="false">JUL!$A$1:$AD$55</definedName>
    <definedName function="false" hidden="false" localSheetId="7" name="_xlnm.Print_Area" vbProcedure="false">JUN!$A$1:$AD$55</definedName>
    <definedName function="false" hidden="false" localSheetId="4" name="_xlnm.Print_Area" vbProcedure="false">MAR!$A$1:$AD$55</definedName>
    <definedName function="false" hidden="false" localSheetId="6" name="_xlnm.Print_Area" vbProcedure="false">MAY!$A$1:$AD$55</definedName>
    <definedName function="false" hidden="false" localSheetId="0" name="_xlnm.Print_Area" vbProcedure="false">NOV!$A$1:$AD$54</definedName>
    <definedName function="false" hidden="false" localSheetId="11" name="_xlnm.Print_Area" vbProcedure="false">OCT!$A$1:$AD$50</definedName>
    <definedName function="false" hidden="false" localSheetId="10" name="_xlnm.Print_Area" vbProcedure="false">SEP!$A$1:$AD$57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<sst xmlns="http://schemas.openxmlformats.org/spreadsheetml/2006/main" count="840" uniqueCount="81">
  <si>
    <t xml:space="preserve">MC  PHEE  RESERVOIR  IN/OUT  FLOW  TABULATION</t>
  </si>
  <si>
    <t xml:space="preserve">AF/cfs  CONVERT FACTOR</t>
  </si>
  <si>
    <t xml:space="preserve">NOVEMBER  "1991"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</si>
  <si>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</si>
  <si>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</si>
  <si>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</si>
  <si>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</si>
  <si>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</si>
  <si>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</si>
  <si>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</si>
  <si>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</si>
  <si>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</si>
  <si>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</si>
  <si>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</si>
  <si>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</si>
  <si>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</si>
  <si>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</si>
  <si>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</si>
  <si>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</si>
  <si>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REMAIN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</si>
  <si>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</si>
  <si>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</si>
  <si>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</si>
  <si>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</si>
  <si>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</si>
  <si>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</si>
  <si>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</si>
  <si>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</si>
  <si>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</si>
  <si>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</si>
  <si>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</si>
  <si>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</si>
  <si>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</si>
  <si>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WETLAND</t>
  </si>
  <si>
    <t xml:space="preserve">UTE F&amp;R</t>
  </si>
  <si>
    <t xml:space="preserve">MVI,CTZ</t>
  </si>
  <si>
    <t xml:space="preserve">PINE</t>
  </si>
  <si>
    <t xml:space="preserve">LAT</t>
  </si>
  <si>
    <t xml:space="preserve">CALL</t>
  </si>
  <si>
    <t xml:space="preserve">CANAL</t>
  </si>
  <si>
    <t xml:space="preserve">MC  PHEE</t>
  </si>
  <si>
    <t xml:space="preserve">RELEASE</t>
  </si>
  <si>
    <t xml:space="preserve">OUTFLOW</t>
  </si>
  <si>
    <t xml:space="preserve">TMP</t>
  </si>
  <si>
    <t xml:space="preserve">SEASON BAL</t>
  </si>
  <si>
    <t xml:space="preserve">YTD</t>
  </si>
  <si>
    <t xml:space="preserve">MONTH / CFS</t>
  </si>
  <si>
    <t xml:space="preserve">AVE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</si>
  <si>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</si>
  <si>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</si>
  <si>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</si>
  <si>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</si>
  <si>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</si>
  <si>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</si>
  <si>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</si>
  <si>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"1991"</t>
  </si>
  <si>
    <t xml:space="preserve">"DEC"</t>
  </si>
  <si>
    <t xml:space="preserve">JANUARY  "1992"</t>
  </si>
  <si>
    <t xml:space="preserve"> TUNNEL</t>
  </si>
  <si>
    <t xml:space="preserve">"JAN"</t>
  </si>
  <si>
    <t xml:space="preserve">FEBRUARY  "1992"</t>
  </si>
  <si>
    <t xml:space="preserve">FEB</t>
  </si>
  <si>
    <t xml:space="preserve">MARCH  "1992"</t>
  </si>
  <si>
    <t xml:space="preserve">MAR</t>
  </si>
  <si>
    <t xml:space="preserve">APRIL  "1992"</t>
  </si>
  <si>
    <t xml:space="preserve">"APR"</t>
  </si>
  <si>
    <t xml:space="preserve">MVI/CTZ/MWC</t>
  </si>
  <si>
    <t xml:space="preserve">Avg</t>
  </si>
  <si>
    <t xml:space="preserve">MAY  "1992"</t>
  </si>
  <si>
    <t xml:space="preserve">"MAY"</t>
  </si>
  <si>
    <t xml:space="preserve">AVG</t>
  </si>
  <si>
    <t xml:space="preserve">JUNE  "1992"</t>
  </si>
  <si>
    <t xml:space="preserve">"JUN"</t>
  </si>
  <si>
    <t xml:space="preserve">JULY  "1992"</t>
  </si>
  <si>
    <t xml:space="preserve">"JUL"</t>
  </si>
  <si>
    <t xml:space="preserve">AUGUST  "1992"</t>
  </si>
  <si>
    <t xml:space="preserve">"AUG"</t>
  </si>
  <si>
    <t xml:space="preserve">SEPTEMBER  "1992"</t>
  </si>
  <si>
    <t xml:space="preserve">"SEP"</t>
  </si>
  <si>
    <t xml:space="preserve">OCTOBER  "1992"</t>
  </si>
  <si>
    <t xml:space="preserve">"OCT"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</si>
</sst>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"/>
    <numFmt numFmtId="166" formatCode="0.00_);\(0.00\)"/>
    <numFmt numFmtId="167" formatCode="0.0"/>
    <numFmt numFmtId="168" formatCode="0"/>
    <numFmt numFmtId="169" formatCode="#,##0.0"/>
    <numFmt numFmtId="170" formatCode="0.0000"/>
    <numFmt numFmtId="171" formatCode="0.000"/>
    <numFmt numFmtId="172" formatCode="#,##0.00"/>
    <numFmt numFmtId="173" formatCode="[$-409]d\-mmm"/>
    <numFmt numFmtId="174" formatCode="##0.0"/>
    <numFmt numFmtId="175" formatCode="0%"/>
    <numFmt numFmtId="176" formatCode="0.00"/>
    <numFmt numFmtId="177" formatCode="0.0_);\(0.0\)"/>
    <numFmt numFmtId="178" formatCode="[$-409]mmm\-yy"/>
    <numFmt numFmtId="179" formatCode="#,##0.00000"/>
    <numFmt numFmtId="180" formatCode="#,##0.0000"/>
    <numFmt numFmtId="181" formatCode="[$-409]m/d/yyyy"/>
    <numFmt numFmtId="182" formatCode="0.0_);[RED]\(0.0\)"/>
  </numFmts>
  <fonts count="16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sz val="6"/>
      <name val="Arial Narrow"/>
      <family val="2"/>
    </font>
    <font>
      <b val="true"/>
      <sz val="9"/>
      <name val="Arial Narrow"/>
      <family val="0"/>
    </font>
    <font>
      <sz val="6"/>
      <name val="Arial"/>
      <family val="0"/>
    </font>
    <font>
      <sz val="8"/>
      <name val="Arial"/>
      <family val="0"/>
    </font>
    <font>
      <b val="true"/>
      <sz val="12"/>
      <name val="Arial Narrow"/>
      <family val="0"/>
    </font>
    <font>
      <sz val="4"/>
      <name val="LinePrinter"/>
      <family val="3"/>
    </font>
    <font>
      <sz val="7"/>
      <name val="Arial Narrow"/>
      <family val="2"/>
    </font>
    <font>
      <b val="true"/>
      <sz val="8"/>
      <name val="Arial Narrow"/>
      <family val="0"/>
    </font>
  </fonts>
  <fills count="5">
    <fill>
      <patternFill patternType="none"/>
    </fill>
    <fill>
      <patternFill patternType="gray125"/>
    </fill>
    <fill>
      <patternFill patternType="solid">
        <fgColor rgb="FF464648"/>
        <bgColor rgb="FF2D2E30"/>
      </patternFill>
    </fill>
    <fill>
      <patternFill patternType="solid">
        <fgColor rgb="FF1EFC1E"/>
        <bgColor rgb="FF33CCCC"/>
      </patternFill>
    </fill>
    <fill>
      <patternFill patternType="solid">
        <fgColor rgb="FF2D2E30"/>
        <bgColor rgb="FF46464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n">
        <color rgb="FFEEEEEC"/>
      </left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5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1EFC1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64648"/>
      <rgbColor rgb="FF993300"/>
      <rgbColor rgb="FF993366"/>
      <rgbColor rgb="FF333399"/>
      <rgbColor rgb="FF2D2E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485280</xdr:colOff>
      <xdr:row>28</xdr:row>
      <xdr:rowOff>0</xdr:rowOff>
    </xdr:from>
    <xdr:to>
      <xdr:col>7</xdr:col>
      <xdr:colOff>21960</xdr:colOff>
      <xdr:row>29</xdr:row>
      <xdr:rowOff>28440</xdr:rowOff>
    </xdr:to>
    <xdr:sp>
      <xdr:nvSpPr>
        <xdr:cNvPr id="0" name="Text 1"/>
        <xdr:cNvSpPr/>
      </xdr:nvSpPr>
      <xdr:spPr>
        <a:xfrm>
          <a:off x="2802960" y="3920400"/>
          <a:ext cx="496080" cy="169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129240</xdr:colOff>
      <xdr:row>9</xdr:row>
      <xdr:rowOff>57240</xdr:rowOff>
    </xdr:from>
    <xdr:to>
      <xdr:col>23</xdr:col>
      <xdr:colOff>216360</xdr:colOff>
      <xdr:row>11</xdr:row>
      <xdr:rowOff>19440</xdr:rowOff>
    </xdr:to>
    <xdr:sp>
      <xdr:nvSpPr>
        <xdr:cNvPr id="1" name="Text 2"/>
        <xdr:cNvSpPr/>
      </xdr:nvSpPr>
      <xdr:spPr>
        <a:xfrm>
          <a:off x="8656200" y="1299240"/>
          <a:ext cx="528840" cy="244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400" spc="-1" strike="noStrike"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K20" activePane="bottomRight" state="frozen"/>
      <selection pane="topLeft" activeCell="A1" activeCellId="0" sqref="A1"/>
      <selection pane="topRight" activeCell="K1" activeCellId="0" sqref="K1"/>
      <selection pane="bottomLeft" activeCell="A20" activeCellId="0" sqref="A20"/>
      <selection pane="bottomRight" activeCell="AC39" activeCellId="0" sqref="AC39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49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2" width="8.16"/>
    <col collapsed="false" customWidth="true" hidden="false" outlineLevel="0" max="27" min="27" style="2" width="4.66"/>
    <col collapsed="false" customWidth="true" hidden="false" outlineLevel="0" max="28" min="28" style="4" width="4.66"/>
    <col collapsed="false" customWidth="true" hidden="false" outlineLevel="0" max="29" min="29" style="5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8"/>
      <c r="AA1" s="8"/>
      <c r="AB1" s="10"/>
      <c r="AC1" s="11"/>
    </row>
    <row r="2" customFormat="false" ht="14.1" hidden="false" customHeight="true" outlineLevel="0" collapsed="false">
      <c r="A2" s="6" t="s">
        <v>1</v>
      </c>
      <c r="B2" s="6"/>
      <c r="C2" s="7"/>
      <c r="D2" s="12" t="n">
        <v>1.9835</v>
      </c>
      <c r="E2" s="7"/>
      <c r="F2" s="6"/>
      <c r="G2" s="6"/>
      <c r="H2" s="8"/>
      <c r="I2" s="6"/>
      <c r="J2" s="6"/>
      <c r="K2" s="6"/>
      <c r="L2" s="9" t="s">
        <v>2</v>
      </c>
      <c r="M2" s="6"/>
      <c r="N2" s="6"/>
      <c r="O2" s="6"/>
      <c r="P2" s="6"/>
      <c r="Q2" s="6"/>
      <c r="R2" s="6"/>
      <c r="S2" s="7"/>
      <c r="T2" s="6"/>
      <c r="U2" s="6"/>
      <c r="V2" s="7"/>
      <c r="W2" s="6"/>
      <c r="X2" s="6"/>
      <c r="Y2" s="6"/>
      <c r="Z2" s="8"/>
      <c r="AA2" s="8"/>
      <c r="AB2" s="10"/>
      <c r="AC2" s="11"/>
    </row>
    <row r="3" customFormat="false" ht="11.1" hidden="false" customHeight="true" outlineLevel="0" collapsed="false">
      <c r="A3" s="6"/>
      <c r="B3" s="6"/>
      <c r="C3" s="7"/>
      <c r="D3" s="13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/>
      <c r="Z3" s="8"/>
      <c r="AA3" s="8"/>
      <c r="AB3" s="10"/>
      <c r="AC3" s="11"/>
    </row>
    <row r="4" customFormat="false" ht="11.1" hidden="false" customHeight="true" outlineLevel="0" collapsed="false">
      <c r="A4" s="14" t="s">
        <v>3</v>
      </c>
      <c r="B4" s="14" t="s">
        <v>4</v>
      </c>
      <c r="C4" s="15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16" t="s">
        <v>9</v>
      </c>
      <c r="I4" s="14" t="s">
        <v>10</v>
      </c>
      <c r="J4" s="14" t="s">
        <v>11</v>
      </c>
      <c r="K4" s="14" t="s">
        <v>12</v>
      </c>
      <c r="L4" s="14" t="s">
        <v>11</v>
      </c>
      <c r="M4" s="17" t="s">
        <v>13</v>
      </c>
      <c r="N4" s="17"/>
      <c r="O4" s="17"/>
      <c r="P4" s="17"/>
      <c r="Q4" s="14" t="s">
        <v>14</v>
      </c>
      <c r="R4" s="14" t="s">
        <v>15</v>
      </c>
      <c r="S4" s="14" t="s">
        <v>12</v>
      </c>
      <c r="T4" s="15" t="s">
        <v>16</v>
      </c>
      <c r="U4" s="14" t="s">
        <v>17</v>
      </c>
      <c r="V4" s="14" t="s">
        <v>18</v>
      </c>
      <c r="W4" s="15" t="s">
        <v>19</v>
      </c>
      <c r="X4" s="14" t="s">
        <v>10</v>
      </c>
      <c r="Y4" s="14" t="s">
        <v>11</v>
      </c>
      <c r="Z4" s="16" t="s">
        <v>12</v>
      </c>
      <c r="AA4" s="16" t="s">
        <v>20</v>
      </c>
      <c r="AB4" s="18" t="s">
        <v>21</v>
      </c>
      <c r="AC4" s="18" t="s">
        <v>22</v>
      </c>
      <c r="AD4" s="18" t="s">
        <v>3</v>
      </c>
    </row>
    <row r="5" customFormat="false" ht="11.1" hidden="false" customHeight="true" outlineLevel="0" collapsed="false">
      <c r="A5" s="19" t="s">
        <v>23</v>
      </c>
      <c r="B5" s="14" t="s">
        <v>24</v>
      </c>
      <c r="C5" s="15" t="s">
        <v>5</v>
      </c>
      <c r="D5" s="14" t="s">
        <v>25</v>
      </c>
      <c r="E5" s="15" t="s">
        <v>26</v>
      </c>
      <c r="F5" s="14" t="s">
        <v>27</v>
      </c>
      <c r="G5" s="14" t="s">
        <v>28</v>
      </c>
      <c r="H5" s="16" t="s">
        <v>29</v>
      </c>
      <c r="I5" s="14" t="s">
        <v>30</v>
      </c>
      <c r="J5" s="14" t="s">
        <v>30</v>
      </c>
      <c r="K5" s="14" t="s">
        <v>30</v>
      </c>
      <c r="L5" s="14" t="s">
        <v>31</v>
      </c>
      <c r="M5" s="14" t="s">
        <v>32</v>
      </c>
      <c r="N5" s="14" t="s">
        <v>33</v>
      </c>
      <c r="O5" s="14" t="s">
        <v>34</v>
      </c>
      <c r="P5" s="20" t="s">
        <v>35</v>
      </c>
      <c r="Q5" s="14" t="s">
        <v>36</v>
      </c>
      <c r="R5" s="14" t="s">
        <v>37</v>
      </c>
      <c r="S5" s="14" t="s">
        <v>16</v>
      </c>
      <c r="T5" s="15" t="s">
        <v>38</v>
      </c>
      <c r="U5" s="14" t="s">
        <v>39</v>
      </c>
      <c r="V5" s="14" t="s">
        <v>40</v>
      </c>
      <c r="W5" s="15" t="s">
        <v>41</v>
      </c>
      <c r="X5" s="14" t="s">
        <v>42</v>
      </c>
      <c r="Y5" s="14" t="s">
        <v>42</v>
      </c>
      <c r="Z5" s="16" t="s">
        <v>42</v>
      </c>
      <c r="AA5" s="21"/>
      <c r="AB5" s="18" t="s">
        <v>43</v>
      </c>
      <c r="AC5" s="18" t="s">
        <v>43</v>
      </c>
      <c r="AD5" s="22" t="s">
        <v>23</v>
      </c>
    </row>
    <row r="6" customFormat="false" ht="11.1" hidden="false" customHeight="true" outlineLevel="0" collapsed="false">
      <c r="A6" s="23"/>
      <c r="B6" s="23"/>
      <c r="C6" s="24"/>
      <c r="D6" s="23"/>
      <c r="E6" s="24"/>
      <c r="F6" s="23"/>
      <c r="G6" s="23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  <c r="U6" s="23"/>
      <c r="V6" s="23"/>
      <c r="W6" s="26"/>
      <c r="X6" s="23"/>
      <c r="Y6" s="23"/>
      <c r="Z6" s="25"/>
      <c r="AA6" s="8"/>
      <c r="AB6" s="11"/>
      <c r="AC6" s="11"/>
      <c r="AD6" s="11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27"/>
      <c r="X7" s="7"/>
      <c r="Y7" s="7"/>
      <c r="Z7" s="8"/>
      <c r="AA7" s="8"/>
      <c r="AB7" s="10"/>
      <c r="AC7" s="10"/>
      <c r="AD7" s="11"/>
    </row>
    <row r="8" s="1" customFormat="true" ht="11.1" hidden="false" customHeight="true" outlineLevel="0" collapsed="false">
      <c r="A8" s="7" t="s">
        <v>45</v>
      </c>
      <c r="B8" s="28" t="n">
        <v>6903.02</v>
      </c>
      <c r="C8" s="7" t="n">
        <v>294853</v>
      </c>
      <c r="D8" s="7"/>
      <c r="E8" s="7"/>
      <c r="F8" s="7"/>
      <c r="G8" s="7"/>
      <c r="H8" s="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 t="n">
        <v>15240</v>
      </c>
      <c r="X8" s="7"/>
      <c r="Y8" s="7"/>
      <c r="Z8" s="8"/>
      <c r="AA8" s="8"/>
      <c r="AB8" s="10"/>
      <c r="AC8" s="10"/>
      <c r="AD8" s="11"/>
    </row>
    <row r="9" customFormat="false" ht="3" hidden="false" customHeight="true" outlineLevel="0" collapsed="false">
      <c r="A9" s="29"/>
      <c r="B9" s="30"/>
      <c r="C9" s="31"/>
      <c r="D9" s="29"/>
      <c r="E9" s="31"/>
      <c r="F9" s="29"/>
      <c r="G9" s="29"/>
      <c r="H9" s="32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31"/>
      <c r="U9" s="29"/>
      <c r="V9" s="29"/>
      <c r="W9" s="31"/>
      <c r="X9" s="29"/>
      <c r="Y9" s="29"/>
      <c r="Z9" s="32"/>
      <c r="AA9" s="32"/>
      <c r="AB9" s="33"/>
      <c r="AC9" s="33"/>
      <c r="AD9" s="34"/>
    </row>
    <row r="10" customFormat="false" ht="11.1" hidden="false" customHeight="true" outlineLevel="0" collapsed="false">
      <c r="A10" s="11" t="n">
        <v>1</v>
      </c>
      <c r="B10" s="28" t="n">
        <v>6903</v>
      </c>
      <c r="C10" s="7" t="n">
        <v>294777</v>
      </c>
      <c r="D10" s="10" t="n">
        <f aca="false">C10-C8</f>
        <v>-76</v>
      </c>
      <c r="E10" s="7" t="n">
        <f aca="false">C10-152000</f>
        <v>142777</v>
      </c>
      <c r="F10" s="6" t="n">
        <f aca="false">D10/$D$2</f>
        <v>-38.3161078900933</v>
      </c>
      <c r="G10" s="6" t="n">
        <v>72</v>
      </c>
      <c r="H10" s="8" t="n">
        <v>0</v>
      </c>
      <c r="I10" s="6" t="n">
        <f aca="false">G10+H10</f>
        <v>72</v>
      </c>
      <c r="J10" s="35" t="n">
        <f aca="false">IF(L10&gt;0,L10,0)</f>
        <v>0</v>
      </c>
      <c r="K10" s="6" t="n">
        <f aca="false">I10+J10</f>
        <v>72</v>
      </c>
      <c r="L10" s="6" t="n">
        <f aca="false">F10-(I10-X10)</f>
        <v>-19.9161078900933</v>
      </c>
      <c r="M10" s="6" t="n">
        <v>37.3</v>
      </c>
      <c r="N10" s="6" t="n">
        <v>0</v>
      </c>
      <c r="O10" s="6" t="n">
        <v>0</v>
      </c>
      <c r="P10" s="6" t="n">
        <f aca="false">M10-(N10+O10)</f>
        <v>37.3</v>
      </c>
      <c r="Q10" s="6" t="n">
        <v>0</v>
      </c>
      <c r="R10" s="6" t="n">
        <v>18.2</v>
      </c>
      <c r="S10" s="6" t="n">
        <f aca="false">SUM(P10:R10)</f>
        <v>55.5</v>
      </c>
      <c r="T10" s="7"/>
      <c r="U10" s="6" t="n">
        <v>0</v>
      </c>
      <c r="V10" s="6" t="n">
        <v>34.9</v>
      </c>
      <c r="W10" s="7" t="n">
        <f aca="false">W8-V10</f>
        <v>15205.1</v>
      </c>
      <c r="X10" s="6" t="n">
        <f aca="false">N10+O10+S10+U10+V10</f>
        <v>90.4</v>
      </c>
      <c r="Y10" s="6" t="n">
        <f aca="false">IF(L10&lt;0,L10*-1,0)</f>
        <v>19.9161078900933</v>
      </c>
      <c r="Z10" s="8" t="n">
        <f aca="false">X10+Y10</f>
        <v>110.316107890093</v>
      </c>
      <c r="AA10" s="8" t="n">
        <v>0</v>
      </c>
      <c r="AB10" s="10" t="n">
        <v>38</v>
      </c>
      <c r="AC10" s="10" t="n">
        <v>15</v>
      </c>
      <c r="AD10" s="11" t="n">
        <v>1</v>
      </c>
    </row>
    <row r="11" customFormat="false" ht="11.1" hidden="false" customHeight="true" outlineLevel="0" collapsed="false">
      <c r="A11" s="11" t="n">
        <f aca="false">A10+1</f>
        <v>2</v>
      </c>
      <c r="B11" s="36" t="n">
        <v>6902.98</v>
      </c>
      <c r="C11" s="7" t="n">
        <v>294702</v>
      </c>
      <c r="D11" s="10" t="n">
        <f aca="false">C11-C10</f>
        <v>-75</v>
      </c>
      <c r="E11" s="7" t="n">
        <f aca="false">C11-152000</f>
        <v>142702</v>
      </c>
      <c r="F11" s="6" t="n">
        <f aca="false">D11/$D$2</f>
        <v>-37.8119485757499</v>
      </c>
      <c r="G11" s="6" t="n">
        <v>59</v>
      </c>
      <c r="H11" s="8" t="n">
        <v>0</v>
      </c>
      <c r="I11" s="6" t="n">
        <f aca="false">G11+H11</f>
        <v>59</v>
      </c>
      <c r="J11" s="35" t="n">
        <f aca="false">IF(L11&gt;0,L11,0)</f>
        <v>0</v>
      </c>
      <c r="K11" s="6" t="n">
        <f aca="false">I11+J11</f>
        <v>59</v>
      </c>
      <c r="L11" s="6" t="n">
        <f aca="false">F11-(I11-X11)</f>
        <v>-5.71194857574994</v>
      </c>
      <c r="M11" s="6" t="n">
        <v>37.3</v>
      </c>
      <c r="N11" s="6" t="n">
        <v>0</v>
      </c>
      <c r="O11" s="6" t="n">
        <v>0</v>
      </c>
      <c r="P11" s="6" t="n">
        <f aca="false">M11-(N11+O11)</f>
        <v>37.3</v>
      </c>
      <c r="Q11" s="6" t="n">
        <v>0</v>
      </c>
      <c r="R11" s="6" t="n">
        <v>18.2</v>
      </c>
      <c r="S11" s="6" t="n">
        <f aca="false">SUM(P11:R11)</f>
        <v>55.5</v>
      </c>
      <c r="T11" s="7"/>
      <c r="U11" s="6" t="n">
        <v>0</v>
      </c>
      <c r="V11" s="6" t="n">
        <v>35.6</v>
      </c>
      <c r="W11" s="7" t="n">
        <f aca="false">W10-V11</f>
        <v>15169.5</v>
      </c>
      <c r="X11" s="6" t="n">
        <f aca="false">N11+O11+S11+U11+V11</f>
        <v>91.1</v>
      </c>
      <c r="Y11" s="6" t="n">
        <f aca="false">IF(L11&lt;0,L11*-1,0)</f>
        <v>5.71194857574994</v>
      </c>
      <c r="Z11" s="8" t="n">
        <f aca="false">X11+Y11</f>
        <v>96.8119485757499</v>
      </c>
      <c r="AA11" s="8" t="n">
        <v>0.27</v>
      </c>
      <c r="AB11" s="10" t="n">
        <v>37</v>
      </c>
      <c r="AC11" s="10" t="n">
        <v>10</v>
      </c>
      <c r="AD11" s="11" t="n">
        <f aca="false">AD10+1</f>
        <v>2</v>
      </c>
    </row>
    <row r="12" customFormat="false" ht="11.1" hidden="false" customHeight="true" outlineLevel="0" collapsed="false">
      <c r="A12" s="11" t="n">
        <f aca="false">A11+1</f>
        <v>3</v>
      </c>
      <c r="B12" s="28" t="n">
        <v>6902.96</v>
      </c>
      <c r="C12" s="7" t="n">
        <v>294626</v>
      </c>
      <c r="D12" s="10" t="n">
        <f aca="false">C12-C11</f>
        <v>-76</v>
      </c>
      <c r="E12" s="7" t="n">
        <f aca="false">C12-152000</f>
        <v>142626</v>
      </c>
      <c r="F12" s="6" t="n">
        <f aca="false">D12/$D$2</f>
        <v>-38.3161078900933</v>
      </c>
      <c r="G12" s="6" t="n">
        <v>59</v>
      </c>
      <c r="H12" s="8" t="n">
        <v>0</v>
      </c>
      <c r="I12" s="6" t="n">
        <f aca="false">G12+H12</f>
        <v>59</v>
      </c>
      <c r="J12" s="35" t="n">
        <f aca="false">IF(L12&gt;0,L12,0)</f>
        <v>0</v>
      </c>
      <c r="K12" s="6" t="n">
        <f aca="false">I12+J12</f>
        <v>59</v>
      </c>
      <c r="L12" s="6" t="n">
        <f aca="false">F12-(I12-X12)</f>
        <v>-6.41610789009327</v>
      </c>
      <c r="M12" s="6" t="n">
        <v>37.3</v>
      </c>
      <c r="N12" s="6" t="n">
        <v>0</v>
      </c>
      <c r="O12" s="6" t="n">
        <v>0</v>
      </c>
      <c r="P12" s="6" t="n">
        <f aca="false">M12-(N12+O12)</f>
        <v>37.3</v>
      </c>
      <c r="Q12" s="6" t="n">
        <v>0</v>
      </c>
      <c r="R12" s="6" t="n">
        <v>17.9</v>
      </c>
      <c r="S12" s="6" t="n">
        <f aca="false">SUM(P12:R12)</f>
        <v>55.2</v>
      </c>
      <c r="T12" s="7"/>
      <c r="U12" s="6" t="n">
        <v>0</v>
      </c>
      <c r="V12" s="6" t="n">
        <v>35.7</v>
      </c>
      <c r="W12" s="7" t="n">
        <f aca="false">W11-V12</f>
        <v>15133.8</v>
      </c>
      <c r="X12" s="6" t="n">
        <f aca="false">N12+O12+S12+U12+V12</f>
        <v>90.9</v>
      </c>
      <c r="Y12" s="6" t="n">
        <f aca="false">IF(L12&lt;0,L12*-1,0)</f>
        <v>6.41610789009327</v>
      </c>
      <c r="Z12" s="8" t="n">
        <f aca="false">X12+Y12</f>
        <v>97.3161078900933</v>
      </c>
      <c r="AA12" s="8" t="n">
        <v>0</v>
      </c>
      <c r="AB12" s="10" t="n">
        <v>38</v>
      </c>
      <c r="AC12" s="10" t="n">
        <v>11</v>
      </c>
      <c r="AD12" s="11" t="n">
        <f aca="false">AD11+1</f>
        <v>3</v>
      </c>
    </row>
    <row r="13" customFormat="false" ht="11.1" hidden="false" customHeight="true" outlineLevel="0" collapsed="false">
      <c r="A13" s="11" t="n">
        <f aca="false">A12+1</f>
        <v>4</v>
      </c>
      <c r="B13" s="28" t="n">
        <v>6902.96</v>
      </c>
      <c r="C13" s="7" t="n">
        <v>294626</v>
      </c>
      <c r="D13" s="10" t="n">
        <f aca="false">C13-C12</f>
        <v>0</v>
      </c>
      <c r="E13" s="7" t="n">
        <f aca="false">C13-152000</f>
        <v>142626</v>
      </c>
      <c r="F13" s="6" t="n">
        <f aca="false">D13/$D$2</f>
        <v>0</v>
      </c>
      <c r="G13" s="6" t="n">
        <v>82.9</v>
      </c>
      <c r="H13" s="8" t="n">
        <v>0</v>
      </c>
      <c r="I13" s="6" t="n">
        <f aca="false">G13+H13</f>
        <v>82.9</v>
      </c>
      <c r="J13" s="35" t="n">
        <f aca="false">IF(L13&gt;0,L13,0)</f>
        <v>5.8</v>
      </c>
      <c r="K13" s="6" t="n">
        <f aca="false">I13+J13</f>
        <v>88.7</v>
      </c>
      <c r="L13" s="6" t="n">
        <f aca="false">F13-(I13-X13)</f>
        <v>5.8</v>
      </c>
      <c r="M13" s="6" t="n">
        <v>37.3</v>
      </c>
      <c r="N13" s="6" t="n">
        <v>0</v>
      </c>
      <c r="O13" s="6" t="n">
        <v>0</v>
      </c>
      <c r="P13" s="6" t="n">
        <f aca="false">M13-(N13+O13)</f>
        <v>37.3</v>
      </c>
      <c r="Q13" s="6" t="n">
        <v>0</v>
      </c>
      <c r="R13" s="6" t="n">
        <v>15.7</v>
      </c>
      <c r="S13" s="6" t="n">
        <f aca="false">SUM(P13:R13)</f>
        <v>53</v>
      </c>
      <c r="T13" s="7"/>
      <c r="U13" s="6" t="n">
        <v>0</v>
      </c>
      <c r="V13" s="6" t="n">
        <v>35.7</v>
      </c>
      <c r="W13" s="7" t="n">
        <f aca="false">W12-V13</f>
        <v>15098.1</v>
      </c>
      <c r="X13" s="6" t="n">
        <f aca="false">N13+O13+S13+U13+V13</f>
        <v>88.7</v>
      </c>
      <c r="Y13" s="6" t="n">
        <f aca="false">IF(L13&lt;0,L13*-1,0)</f>
        <v>0</v>
      </c>
      <c r="Z13" s="8" t="n">
        <f aca="false">X13+Y13</f>
        <v>88.7</v>
      </c>
      <c r="AA13" s="8" t="n">
        <v>0</v>
      </c>
      <c r="AB13" s="10" t="n">
        <v>44</v>
      </c>
      <c r="AC13" s="10" t="n">
        <v>6</v>
      </c>
      <c r="AD13" s="11" t="n">
        <f aca="false">AD12+1</f>
        <v>4</v>
      </c>
    </row>
    <row r="14" customFormat="false" ht="11.1" hidden="false" customHeight="true" outlineLevel="0" collapsed="false">
      <c r="A14" s="11" t="n">
        <f aca="false">A13+1</f>
        <v>5</v>
      </c>
      <c r="B14" s="28" t="n">
        <v>6902.94</v>
      </c>
      <c r="C14" s="7" t="n">
        <v>294551</v>
      </c>
      <c r="D14" s="10" t="n">
        <f aca="false">C14-C13</f>
        <v>-75</v>
      </c>
      <c r="E14" s="7" t="n">
        <f aca="false">C14-152000</f>
        <v>142551</v>
      </c>
      <c r="F14" s="6" t="n">
        <f aca="false">D14/$D$2</f>
        <v>-37.8119485757499</v>
      </c>
      <c r="G14" s="6" t="n">
        <v>93.7</v>
      </c>
      <c r="H14" s="8" t="n">
        <v>0</v>
      </c>
      <c r="I14" s="6" t="n">
        <f aca="false">G14+H14</f>
        <v>93.7</v>
      </c>
      <c r="J14" s="35" t="n">
        <f aca="false">IF(L14&gt;0,L14,0)</f>
        <v>0</v>
      </c>
      <c r="K14" s="6" t="n">
        <f aca="false">I14+J14</f>
        <v>93.7</v>
      </c>
      <c r="L14" s="6" t="n">
        <f aca="false">F14-(I14-X14)</f>
        <v>-49.4119485757499</v>
      </c>
      <c r="M14" s="6" t="n">
        <v>32.2</v>
      </c>
      <c r="N14" s="6" t="n">
        <v>0</v>
      </c>
      <c r="O14" s="6" t="n">
        <v>0</v>
      </c>
      <c r="P14" s="6" t="n">
        <f aca="false">M14-(N14+O14)</f>
        <v>32.2</v>
      </c>
      <c r="Q14" s="6" t="n">
        <v>0</v>
      </c>
      <c r="R14" s="6" t="n">
        <v>14.2</v>
      </c>
      <c r="S14" s="6" t="n">
        <f aca="false">SUM(P14:R14)</f>
        <v>46.4</v>
      </c>
      <c r="T14" s="7"/>
      <c r="U14" s="6" t="n">
        <v>0</v>
      </c>
      <c r="V14" s="6" t="n">
        <v>35.7</v>
      </c>
      <c r="W14" s="7" t="n">
        <f aca="false">W13-V14</f>
        <v>15062.4</v>
      </c>
      <c r="X14" s="6" t="n">
        <f aca="false">N14+O14+S14+U14+V14</f>
        <v>82.1</v>
      </c>
      <c r="Y14" s="6" t="n">
        <f aca="false">IF(L14&lt;0,L14*-1,0)</f>
        <v>49.4119485757499</v>
      </c>
      <c r="Z14" s="8" t="n">
        <f aca="false">X14+Y14</f>
        <v>131.51194857575</v>
      </c>
      <c r="AA14" s="8" t="n">
        <v>0</v>
      </c>
      <c r="AB14" s="10" t="n">
        <v>52</v>
      </c>
      <c r="AC14" s="10" t="n">
        <v>17</v>
      </c>
      <c r="AD14" s="11" t="n">
        <f aca="false">AD13+1</f>
        <v>5</v>
      </c>
    </row>
    <row r="15" customFormat="false" ht="11.1" hidden="false" customHeight="true" outlineLevel="0" collapsed="false">
      <c r="A15" s="11" t="n">
        <f aca="false">A14+1</f>
        <v>6</v>
      </c>
      <c r="B15" s="28" t="n">
        <v>6904.94</v>
      </c>
      <c r="C15" s="7" t="n">
        <v>294551</v>
      </c>
      <c r="D15" s="10" t="n">
        <f aca="false">C15-C14</f>
        <v>0</v>
      </c>
      <c r="E15" s="7" t="n">
        <f aca="false">C15-152000</f>
        <v>142551</v>
      </c>
      <c r="F15" s="6" t="n">
        <f aca="false">D15/$D$2</f>
        <v>0</v>
      </c>
      <c r="G15" s="6" t="n">
        <v>95.7</v>
      </c>
      <c r="H15" s="8" t="n">
        <v>0</v>
      </c>
      <c r="I15" s="6" t="n">
        <f aca="false">G15+H15</f>
        <v>95.7</v>
      </c>
      <c r="J15" s="35" t="n">
        <f aca="false">IF(L15&gt;0,L15,0)</f>
        <v>0</v>
      </c>
      <c r="K15" s="6" t="n">
        <f aca="false">I15+J15</f>
        <v>95.7</v>
      </c>
      <c r="L15" s="6" t="n">
        <f aca="false">F15-(I15-X15)</f>
        <v>-18.2</v>
      </c>
      <c r="M15" s="6" t="n">
        <v>27.6</v>
      </c>
      <c r="N15" s="6" t="n">
        <v>0</v>
      </c>
      <c r="O15" s="6" t="n">
        <v>0</v>
      </c>
      <c r="P15" s="6" t="n">
        <f aca="false">M15-(N15+O15)</f>
        <v>27.6</v>
      </c>
      <c r="Q15" s="6" t="n">
        <v>0</v>
      </c>
      <c r="R15" s="6" t="n">
        <v>14.2</v>
      </c>
      <c r="S15" s="6" t="n">
        <f aca="false">SUM(P15:R15)</f>
        <v>41.8</v>
      </c>
      <c r="T15" s="7"/>
      <c r="U15" s="6" t="n">
        <v>0</v>
      </c>
      <c r="V15" s="6" t="n">
        <v>35.7</v>
      </c>
      <c r="W15" s="7" t="n">
        <f aca="false">W14-V15</f>
        <v>15026.7</v>
      </c>
      <c r="X15" s="6" t="n">
        <f aca="false">N15+O15+S15+U15+V15</f>
        <v>77.5</v>
      </c>
      <c r="Y15" s="6" t="n">
        <f aca="false">IF(L15&lt;0,L15*-1,0)</f>
        <v>18.2</v>
      </c>
      <c r="Z15" s="8" t="n">
        <f aca="false">X15+Y15</f>
        <v>95.7</v>
      </c>
      <c r="AA15" s="8" t="n">
        <v>0</v>
      </c>
      <c r="AB15" s="10" t="n">
        <v>59</v>
      </c>
      <c r="AC15" s="10" t="n">
        <v>20</v>
      </c>
      <c r="AD15" s="11" t="n">
        <f aca="false">AD14+1</f>
        <v>6</v>
      </c>
    </row>
    <row r="16" customFormat="false" ht="11.1" hidden="false" customHeight="true" outlineLevel="0" collapsed="false">
      <c r="A16" s="11" t="n">
        <f aca="false">A15+1</f>
        <v>7</v>
      </c>
      <c r="B16" s="28" t="n">
        <v>6902.93</v>
      </c>
      <c r="C16" s="7" t="n">
        <v>294514</v>
      </c>
      <c r="D16" s="10" t="n">
        <f aca="false">C16-C15</f>
        <v>-37</v>
      </c>
      <c r="E16" s="7" t="n">
        <f aca="false">C16-152000</f>
        <v>142514</v>
      </c>
      <c r="F16" s="6" t="n">
        <f aca="false">D16/$D$2</f>
        <v>-18.6538946307033</v>
      </c>
      <c r="G16" s="6" t="n">
        <v>91.7</v>
      </c>
      <c r="H16" s="8" t="n">
        <v>0</v>
      </c>
      <c r="I16" s="6" t="n">
        <f aca="false">G16+H16</f>
        <v>91.7</v>
      </c>
      <c r="J16" s="35" t="n">
        <f aca="false">IF(L16&gt;0,L16,0)</f>
        <v>0</v>
      </c>
      <c r="K16" s="6" t="n">
        <f aca="false">I16+J16</f>
        <v>91.7</v>
      </c>
      <c r="L16" s="6" t="n">
        <f aca="false">F16-(I16-X16)</f>
        <v>-32.8538946307033</v>
      </c>
      <c r="M16" s="6" t="n">
        <v>27.6</v>
      </c>
      <c r="N16" s="6" t="n">
        <v>0</v>
      </c>
      <c r="O16" s="6" t="n">
        <v>0</v>
      </c>
      <c r="P16" s="6" t="n">
        <f aca="false">M16-(N16+O16)</f>
        <v>27.6</v>
      </c>
      <c r="Q16" s="6" t="n">
        <v>0</v>
      </c>
      <c r="R16" s="6" t="n">
        <v>14.2</v>
      </c>
      <c r="S16" s="6" t="n">
        <f aca="false">SUM(P16:R16)</f>
        <v>41.8</v>
      </c>
      <c r="T16" s="7"/>
      <c r="U16" s="6" t="n">
        <v>0</v>
      </c>
      <c r="V16" s="6" t="n">
        <v>35.7</v>
      </c>
      <c r="W16" s="7" t="n">
        <f aca="false">W15-V16</f>
        <v>14991</v>
      </c>
      <c r="X16" s="6" t="n">
        <f aca="false">N16+O16+S16+U16+V16</f>
        <v>77.5</v>
      </c>
      <c r="Y16" s="6" t="n">
        <f aca="false">IF(L16&lt;0,L16*-1,0)</f>
        <v>32.8538946307033</v>
      </c>
      <c r="Z16" s="8" t="n">
        <f aca="false">X16+Y16</f>
        <v>110.353894630703</v>
      </c>
      <c r="AA16" s="8" t="n">
        <v>0</v>
      </c>
      <c r="AB16" s="10" t="n">
        <v>58</v>
      </c>
      <c r="AC16" s="10" t="n">
        <v>32</v>
      </c>
      <c r="AD16" s="11" t="n">
        <f aca="false">AD15+1</f>
        <v>7</v>
      </c>
    </row>
    <row r="17" customFormat="false" ht="11.1" hidden="false" customHeight="true" outlineLevel="0" collapsed="false">
      <c r="A17" s="11" t="n">
        <f aca="false">A16+1</f>
        <v>8</v>
      </c>
      <c r="B17" s="28" t="n">
        <v>6902.93</v>
      </c>
      <c r="C17" s="7" t="n">
        <v>294514</v>
      </c>
      <c r="D17" s="10" t="n">
        <f aca="false">C17-C16</f>
        <v>0</v>
      </c>
      <c r="E17" s="7" t="n">
        <f aca="false">C17-152000</f>
        <v>142514</v>
      </c>
      <c r="F17" s="6" t="n">
        <f aca="false">D17/$D$2</f>
        <v>0</v>
      </c>
      <c r="G17" s="6" t="n">
        <v>86.4</v>
      </c>
      <c r="H17" s="8" t="n">
        <v>0</v>
      </c>
      <c r="I17" s="6" t="n">
        <f aca="false">G17+H17</f>
        <v>86.4</v>
      </c>
      <c r="J17" s="35" t="n">
        <f aca="false">IF(L17&gt;0,L17,0)</f>
        <v>0</v>
      </c>
      <c r="K17" s="6" t="n">
        <f aca="false">I17+J17</f>
        <v>86.4</v>
      </c>
      <c r="L17" s="6" t="n">
        <f aca="false">F17-(I17-X17)</f>
        <v>-12.5</v>
      </c>
      <c r="M17" s="6" t="n">
        <v>25.9</v>
      </c>
      <c r="N17" s="6" t="n">
        <v>0</v>
      </c>
      <c r="O17" s="6" t="n">
        <v>0</v>
      </c>
      <c r="P17" s="6" t="n">
        <f aca="false">M17-(N17+O17)</f>
        <v>25.9</v>
      </c>
      <c r="Q17" s="6" t="n">
        <v>0</v>
      </c>
      <c r="R17" s="6" t="n">
        <v>12.3</v>
      </c>
      <c r="S17" s="6" t="n">
        <f aca="false">SUM(P17:R17)</f>
        <v>38.2</v>
      </c>
      <c r="T17" s="7"/>
      <c r="U17" s="6" t="n">
        <v>0</v>
      </c>
      <c r="V17" s="6" t="n">
        <v>35.7</v>
      </c>
      <c r="W17" s="7" t="n">
        <f aca="false">W16-V17</f>
        <v>14955.3</v>
      </c>
      <c r="X17" s="6" t="n">
        <f aca="false">N17+O17+S17+U17+V17</f>
        <v>73.9</v>
      </c>
      <c r="Y17" s="6" t="n">
        <f aca="false">IF(L17&lt;0,L17*-1,0)</f>
        <v>12.5</v>
      </c>
      <c r="Z17" s="8" t="n">
        <f aca="false">X17+Y17</f>
        <v>86.4</v>
      </c>
      <c r="AA17" s="8" t="n">
        <v>0</v>
      </c>
      <c r="AB17" s="10" t="n">
        <v>57</v>
      </c>
      <c r="AC17" s="10" t="n">
        <v>30</v>
      </c>
      <c r="AD17" s="11" t="n">
        <f aca="false">AD16+1</f>
        <v>8</v>
      </c>
    </row>
    <row r="18" customFormat="false" ht="11.1" hidden="false" customHeight="true" outlineLevel="0" collapsed="false">
      <c r="A18" s="11" t="n">
        <f aca="false">A17+1</f>
        <v>9</v>
      </c>
      <c r="B18" s="28" t="n">
        <v>6902.93</v>
      </c>
      <c r="C18" s="7" t="n">
        <v>294514</v>
      </c>
      <c r="D18" s="10" t="n">
        <f aca="false">C18-C17</f>
        <v>0</v>
      </c>
      <c r="E18" s="7" t="n">
        <f aca="false">C18-152000</f>
        <v>142514</v>
      </c>
      <c r="F18" s="6" t="n">
        <f aca="false">D18/$D$2</f>
        <v>0</v>
      </c>
      <c r="G18" s="6" t="n">
        <v>85.4</v>
      </c>
      <c r="H18" s="8" t="n">
        <v>0</v>
      </c>
      <c r="I18" s="6" t="n">
        <f aca="false">G18+H18</f>
        <v>85.4</v>
      </c>
      <c r="J18" s="35" t="n">
        <f aca="false">IF(L18&gt;0,L18,0)</f>
        <v>0</v>
      </c>
      <c r="K18" s="6" t="n">
        <f aca="false">I18+J18</f>
        <v>85.4</v>
      </c>
      <c r="L18" s="6" t="n">
        <f aca="false">F18-(I18-X18)</f>
        <v>-14</v>
      </c>
      <c r="M18" s="6" t="n">
        <v>24.8</v>
      </c>
      <c r="N18" s="6" t="n">
        <v>0</v>
      </c>
      <c r="O18" s="6" t="n">
        <v>0</v>
      </c>
      <c r="P18" s="6" t="n">
        <f aca="false">M18-(N18+O18)</f>
        <v>24.8</v>
      </c>
      <c r="Q18" s="6" t="n">
        <v>0</v>
      </c>
      <c r="R18" s="6" t="n">
        <v>10.9</v>
      </c>
      <c r="S18" s="6" t="n">
        <f aca="false">SUM(P18:R18)</f>
        <v>35.7</v>
      </c>
      <c r="T18" s="7"/>
      <c r="U18" s="6" t="n">
        <v>0</v>
      </c>
      <c r="V18" s="6" t="n">
        <v>35.7</v>
      </c>
      <c r="W18" s="7" t="n">
        <f aca="false">W17-V18</f>
        <v>14919.6</v>
      </c>
      <c r="X18" s="6" t="n">
        <f aca="false">N18+O18+S18+U18+V18</f>
        <v>71.4</v>
      </c>
      <c r="Y18" s="6" t="n">
        <f aca="false">IF(L18&lt;0,L18*-1,0)</f>
        <v>14</v>
      </c>
      <c r="Z18" s="8" t="n">
        <f aca="false">X18+Y18</f>
        <v>85.4</v>
      </c>
      <c r="AA18" s="8" t="n">
        <v>0.07</v>
      </c>
      <c r="AB18" s="37" t="n">
        <v>57</v>
      </c>
      <c r="AC18" s="10" t="n">
        <v>31</v>
      </c>
      <c r="AD18" s="11" t="n">
        <f aca="false">AD17+1</f>
        <v>9</v>
      </c>
    </row>
    <row r="19" customFormat="false" ht="11.1" hidden="false" customHeight="true" outlineLevel="0" collapsed="false">
      <c r="A19" s="11" t="n">
        <f aca="false">A18+1</f>
        <v>10</v>
      </c>
      <c r="B19" s="28" t="n">
        <v>6902.93</v>
      </c>
      <c r="C19" s="7" t="n">
        <v>294514</v>
      </c>
      <c r="D19" s="10" t="n">
        <f aca="false">C19-C18</f>
        <v>0</v>
      </c>
      <c r="E19" s="7" t="n">
        <f aca="false">C19-152000</f>
        <v>142514</v>
      </c>
      <c r="F19" s="6" t="n">
        <f aca="false">D19/$D$2</f>
        <v>0</v>
      </c>
      <c r="G19" s="6" t="n">
        <v>88.6</v>
      </c>
      <c r="H19" s="8" t="n">
        <v>0</v>
      </c>
      <c r="I19" s="6" t="n">
        <f aca="false">G19+H19</f>
        <v>88.6</v>
      </c>
      <c r="J19" s="35" t="n">
        <f aca="false">IF(L19&gt;0,L19,0)</f>
        <v>0</v>
      </c>
      <c r="K19" s="6" t="n">
        <f aca="false">I19+J19</f>
        <v>88.6</v>
      </c>
      <c r="L19" s="6" t="n">
        <f aca="false">F19-(I19-X19)</f>
        <v>-17.2</v>
      </c>
      <c r="M19" s="6" t="n">
        <v>24.8</v>
      </c>
      <c r="N19" s="6" t="n">
        <v>0</v>
      </c>
      <c r="O19" s="6" t="n">
        <v>0</v>
      </c>
      <c r="P19" s="6" t="n">
        <f aca="false">M19-(N19+O19)</f>
        <v>24.8</v>
      </c>
      <c r="Q19" s="6" t="n">
        <v>0</v>
      </c>
      <c r="R19" s="6" t="n">
        <v>10.9</v>
      </c>
      <c r="S19" s="6" t="n">
        <f aca="false">SUM(P19:R19)</f>
        <v>35.7</v>
      </c>
      <c r="T19" s="7"/>
      <c r="U19" s="6" t="n">
        <v>0</v>
      </c>
      <c r="V19" s="6" t="n">
        <v>35.7</v>
      </c>
      <c r="W19" s="7" t="n">
        <f aca="false">W18-V19</f>
        <v>14883.9</v>
      </c>
      <c r="X19" s="6" t="n">
        <f aca="false">N19+O19+S19+U19+V19</f>
        <v>71.4</v>
      </c>
      <c r="Y19" s="6" t="n">
        <f aca="false">IF(L19&lt;0,L19*-1,0)</f>
        <v>17.2</v>
      </c>
      <c r="Z19" s="8" t="n">
        <f aca="false">X19+Y19</f>
        <v>88.6</v>
      </c>
      <c r="AA19" s="8" t="n">
        <v>0</v>
      </c>
      <c r="AB19" s="10" t="n">
        <v>58</v>
      </c>
      <c r="AC19" s="10" t="n">
        <v>31</v>
      </c>
      <c r="AD19" s="11" t="n">
        <f aca="false">AD18+1</f>
        <v>10</v>
      </c>
    </row>
    <row r="20" customFormat="false" ht="11.1" hidden="false" customHeight="true" outlineLevel="0" collapsed="false">
      <c r="A20" s="11" t="n">
        <f aca="false">A19+1</f>
        <v>11</v>
      </c>
      <c r="B20" s="28" t="n">
        <v>6902.93</v>
      </c>
      <c r="C20" s="7" t="n">
        <v>294514</v>
      </c>
      <c r="D20" s="10" t="n">
        <f aca="false">C20-C19</f>
        <v>0</v>
      </c>
      <c r="E20" s="7" t="n">
        <f aca="false">C20-152000</f>
        <v>142514</v>
      </c>
      <c r="F20" s="6" t="n">
        <f aca="false">D20/$D$2</f>
        <v>0</v>
      </c>
      <c r="G20" s="6" t="n">
        <v>95.4</v>
      </c>
      <c r="H20" s="8" t="n">
        <v>0</v>
      </c>
      <c r="I20" s="6" t="n">
        <f aca="false">G20+H20</f>
        <v>95.4</v>
      </c>
      <c r="J20" s="35" t="n">
        <f aca="false">IF(L20&gt;0,L20,0)</f>
        <v>0</v>
      </c>
      <c r="K20" s="6" t="n">
        <f aca="false">I20+J20</f>
        <v>95.4</v>
      </c>
      <c r="L20" s="6" t="n">
        <f aca="false">F20-(I20-X20)</f>
        <v>-24.3</v>
      </c>
      <c r="M20" s="6" t="n">
        <v>24.8</v>
      </c>
      <c r="N20" s="6" t="n">
        <v>0</v>
      </c>
      <c r="O20" s="6" t="n">
        <v>0</v>
      </c>
      <c r="P20" s="6" t="n">
        <f aca="false">M20-(N20+O20)</f>
        <v>24.8</v>
      </c>
      <c r="Q20" s="6" t="n">
        <v>0</v>
      </c>
      <c r="R20" s="6" t="n">
        <v>10.6</v>
      </c>
      <c r="S20" s="6" t="n">
        <f aca="false">SUM(P20:R20)</f>
        <v>35.4</v>
      </c>
      <c r="T20" s="7"/>
      <c r="U20" s="6" t="n">
        <v>0</v>
      </c>
      <c r="V20" s="6" t="n">
        <v>35.7</v>
      </c>
      <c r="W20" s="7" t="n">
        <f aca="false">W19-V20</f>
        <v>14848.2</v>
      </c>
      <c r="X20" s="6" t="n">
        <f aca="false">N20+O20+S20+U20+V20</f>
        <v>71.1</v>
      </c>
      <c r="Y20" s="6" t="n">
        <f aca="false">IF(L20&lt;0,L20*-1,0)</f>
        <v>24.3</v>
      </c>
      <c r="Z20" s="8" t="n">
        <f aca="false">X20+Y20</f>
        <v>95.4</v>
      </c>
      <c r="AA20" s="8" t="n">
        <v>0</v>
      </c>
      <c r="AB20" s="10" t="n">
        <v>53</v>
      </c>
      <c r="AC20" s="10" t="n">
        <v>32</v>
      </c>
      <c r="AD20" s="11" t="n">
        <f aca="false">AD19+1</f>
        <v>11</v>
      </c>
    </row>
    <row r="21" customFormat="false" ht="11.1" hidden="false" customHeight="true" outlineLevel="0" collapsed="false">
      <c r="A21" s="11" t="n">
        <f aca="false">A20+1</f>
        <v>12</v>
      </c>
      <c r="B21" s="28" t="n">
        <v>6902.93</v>
      </c>
      <c r="C21" s="7" t="n">
        <v>294514</v>
      </c>
      <c r="D21" s="10" t="n">
        <f aca="false">C21-C20</f>
        <v>0</v>
      </c>
      <c r="E21" s="7" t="n">
        <f aca="false">C21-152000</f>
        <v>142514</v>
      </c>
      <c r="F21" s="6" t="n">
        <f aca="false">D21/$D$2</f>
        <v>0</v>
      </c>
      <c r="G21" s="6" t="n">
        <v>91.2</v>
      </c>
      <c r="H21" s="8" t="n">
        <v>0</v>
      </c>
      <c r="I21" s="6" t="n">
        <f aca="false">G21+H21</f>
        <v>91.2</v>
      </c>
      <c r="J21" s="35" t="n">
        <f aca="false">IF(L21&gt;0,L21,0)</f>
        <v>0</v>
      </c>
      <c r="K21" s="6" t="n">
        <f aca="false">I21+J21</f>
        <v>91.2</v>
      </c>
      <c r="L21" s="6" t="n">
        <f aca="false">F21-(I21-X21)</f>
        <v>-20.2</v>
      </c>
      <c r="M21" s="6" t="n">
        <v>24.8</v>
      </c>
      <c r="N21" s="6" t="n">
        <v>0</v>
      </c>
      <c r="O21" s="6" t="n">
        <v>0</v>
      </c>
      <c r="P21" s="6" t="n">
        <f aca="false">M21-(N21+O21)</f>
        <v>24.8</v>
      </c>
      <c r="Q21" s="6" t="n">
        <v>0</v>
      </c>
      <c r="R21" s="6" t="n">
        <v>10.5</v>
      </c>
      <c r="S21" s="6" t="n">
        <f aca="false">SUM(P21:R21)</f>
        <v>35.3</v>
      </c>
      <c r="T21" s="7"/>
      <c r="U21" s="6" t="n">
        <v>0</v>
      </c>
      <c r="V21" s="6" t="n">
        <v>35.7</v>
      </c>
      <c r="W21" s="7" t="n">
        <f aca="false">W20-V21</f>
        <v>14812.5</v>
      </c>
      <c r="X21" s="6" t="n">
        <f aca="false">N21+O21+S21+U21+V21</f>
        <v>71</v>
      </c>
      <c r="Y21" s="6" t="n">
        <f aca="false">IF(L21&lt;0,L21*-1,0)</f>
        <v>20.2</v>
      </c>
      <c r="Z21" s="8" t="n">
        <f aca="false">X21+Y21</f>
        <v>91.2</v>
      </c>
      <c r="AA21" s="8" t="n">
        <v>0</v>
      </c>
      <c r="AB21" s="10" t="n">
        <v>55</v>
      </c>
      <c r="AC21" s="10" t="n">
        <v>26</v>
      </c>
      <c r="AD21" s="11" t="n">
        <f aca="false">AD20+1</f>
        <v>12</v>
      </c>
    </row>
    <row r="22" customFormat="false" ht="11.1" hidden="false" customHeight="true" outlineLevel="0" collapsed="false">
      <c r="A22" s="11" t="n">
        <f aca="false">A21+1</f>
        <v>13</v>
      </c>
      <c r="B22" s="28" t="n">
        <v>6902.93</v>
      </c>
      <c r="C22" s="7" t="n">
        <v>294514</v>
      </c>
      <c r="D22" s="10" t="n">
        <f aca="false">C22-C21</f>
        <v>0</v>
      </c>
      <c r="E22" s="7" t="n">
        <f aca="false">C22-152000</f>
        <v>142514</v>
      </c>
      <c r="F22" s="6" t="n">
        <f aca="false">D22/$D$2</f>
        <v>0</v>
      </c>
      <c r="G22" s="6" t="n">
        <v>76.6</v>
      </c>
      <c r="H22" s="8" t="n">
        <v>0</v>
      </c>
      <c r="I22" s="6" t="n">
        <f aca="false">G22+H22</f>
        <v>76.6</v>
      </c>
      <c r="J22" s="35" t="n">
        <f aca="false">IF(L22&gt;0,L22,0)</f>
        <v>0</v>
      </c>
      <c r="K22" s="6" t="n">
        <f aca="false">I22+J22</f>
        <v>76.6</v>
      </c>
      <c r="L22" s="6" t="n">
        <f aca="false">F22-(I22-X22)</f>
        <v>-8.5</v>
      </c>
      <c r="M22" s="6" t="n">
        <v>23.2</v>
      </c>
      <c r="N22" s="6" t="n">
        <v>0</v>
      </c>
      <c r="O22" s="6" t="n">
        <v>0</v>
      </c>
      <c r="P22" s="6" t="n">
        <f aca="false">M22-(N22+O22)</f>
        <v>23.2</v>
      </c>
      <c r="Q22" s="6" t="n">
        <v>0</v>
      </c>
      <c r="R22" s="6" t="n">
        <v>8.4</v>
      </c>
      <c r="S22" s="6" t="n">
        <f aca="false">SUM(P22:R22)</f>
        <v>31.6</v>
      </c>
      <c r="T22" s="7"/>
      <c r="U22" s="6" t="n">
        <v>0</v>
      </c>
      <c r="V22" s="6" t="n">
        <v>36.5</v>
      </c>
      <c r="W22" s="7" t="n">
        <f aca="false">W21-V22</f>
        <v>14776</v>
      </c>
      <c r="X22" s="6" t="n">
        <f aca="false">N22+O22+S22+U22+V22</f>
        <v>68.1</v>
      </c>
      <c r="Y22" s="6" t="n">
        <f aca="false">IF(L22&lt;0,L22*-1,0)</f>
        <v>8.5</v>
      </c>
      <c r="Z22" s="8" t="n">
        <f aca="false">X22+Y22</f>
        <v>76.6</v>
      </c>
      <c r="AA22" s="8" t="n">
        <v>0.99</v>
      </c>
      <c r="AB22" s="10" t="n">
        <v>54</v>
      </c>
      <c r="AC22" s="10" t="n">
        <v>24</v>
      </c>
      <c r="AD22" s="11" t="n">
        <f aca="false">AD21+1</f>
        <v>13</v>
      </c>
    </row>
    <row r="23" customFormat="false" ht="11.1" hidden="false" customHeight="true" outlineLevel="0" collapsed="false">
      <c r="A23" s="11" t="n">
        <f aca="false">A22+1</f>
        <v>14</v>
      </c>
      <c r="B23" s="28" t="n">
        <v>6902.93</v>
      </c>
      <c r="C23" s="7" t="n">
        <v>294514</v>
      </c>
      <c r="D23" s="10" t="n">
        <f aca="false">C23-C22</f>
        <v>0</v>
      </c>
      <c r="E23" s="7" t="n">
        <f aca="false">C23-152000</f>
        <v>142514</v>
      </c>
      <c r="F23" s="6" t="n">
        <f aca="false">D23/$D$2</f>
        <v>0</v>
      </c>
      <c r="G23" s="6" t="n">
        <v>81.3</v>
      </c>
      <c r="H23" s="8" t="n">
        <v>0</v>
      </c>
      <c r="I23" s="6" t="n">
        <f aca="false">G23+H23</f>
        <v>81.3</v>
      </c>
      <c r="J23" s="35" t="n">
        <f aca="false">IF(L23&gt;0,L23,0)</f>
        <v>0</v>
      </c>
      <c r="K23" s="6" t="n">
        <f aca="false">I23+J23</f>
        <v>81.3</v>
      </c>
      <c r="L23" s="6" t="n">
        <f aca="false">F23-(I23-X23)</f>
        <v>-13.7</v>
      </c>
      <c r="M23" s="6" t="n">
        <v>22.9</v>
      </c>
      <c r="N23" s="6" t="n">
        <v>0</v>
      </c>
      <c r="O23" s="6" t="n">
        <v>0</v>
      </c>
      <c r="P23" s="6" t="n">
        <f aca="false">M23-(N23+O23)</f>
        <v>22.9</v>
      </c>
      <c r="Q23" s="6" t="n">
        <v>0</v>
      </c>
      <c r="R23" s="6" t="n">
        <v>8</v>
      </c>
      <c r="S23" s="6" t="n">
        <f aca="false">SUM(P23:R23)</f>
        <v>30.9</v>
      </c>
      <c r="T23" s="7"/>
      <c r="U23" s="6" t="n">
        <v>0</v>
      </c>
      <c r="V23" s="6" t="n">
        <v>36.7</v>
      </c>
      <c r="W23" s="7" t="n">
        <f aca="false">W22-V23</f>
        <v>14739.3</v>
      </c>
      <c r="X23" s="6" t="n">
        <f aca="false">N23+O23+S23+U23+V23</f>
        <v>67.6</v>
      </c>
      <c r="Y23" s="6" t="n">
        <f aca="false">IF(L23&lt;0,L23*-1,0)</f>
        <v>13.7</v>
      </c>
      <c r="Z23" s="8" t="n">
        <f aca="false">X23+Y23</f>
        <v>81.3</v>
      </c>
      <c r="AA23" s="8" t="n">
        <v>0.43</v>
      </c>
      <c r="AB23" s="37" t="n">
        <v>48</v>
      </c>
      <c r="AC23" s="10" t="n">
        <v>25</v>
      </c>
      <c r="AD23" s="11" t="n">
        <f aca="false">AD22+1</f>
        <v>14</v>
      </c>
    </row>
    <row r="24" customFormat="false" ht="11.1" hidden="false" customHeight="true" outlineLevel="0" collapsed="false">
      <c r="A24" s="11" t="n">
        <f aca="false">A23+1</f>
        <v>15</v>
      </c>
      <c r="B24" s="28" t="n">
        <v>6903</v>
      </c>
      <c r="C24" s="7" t="n">
        <v>294777</v>
      </c>
      <c r="D24" s="10" t="n">
        <f aca="false">C24-C23</f>
        <v>263</v>
      </c>
      <c r="E24" s="7" t="n">
        <f aca="false">C24-152000</f>
        <v>142777</v>
      </c>
      <c r="F24" s="6" t="n">
        <f aca="false">D24/$D$2</f>
        <v>132.593899672296</v>
      </c>
      <c r="G24" s="6" t="n">
        <v>133.5</v>
      </c>
      <c r="H24" s="8" t="n">
        <v>0</v>
      </c>
      <c r="I24" s="6" t="n">
        <f aca="false">G24+H24</f>
        <v>133.5</v>
      </c>
      <c r="J24" s="35" t="n">
        <f aca="false">IF(L24&gt;0,L24,0)</f>
        <v>68.2938996722964</v>
      </c>
      <c r="K24" s="6" t="n">
        <f aca="false">I24+J24</f>
        <v>201.793899672296</v>
      </c>
      <c r="L24" s="6" t="n">
        <f aca="false">F24-(I24-X24)</f>
        <v>68.2938996722964</v>
      </c>
      <c r="M24" s="6" t="n">
        <v>23.4</v>
      </c>
      <c r="N24" s="6" t="n">
        <v>0</v>
      </c>
      <c r="O24" s="6" t="n">
        <v>0</v>
      </c>
      <c r="P24" s="6" t="n">
        <f aca="false">M24-(N24+O24)</f>
        <v>23.4</v>
      </c>
      <c r="Q24" s="6" t="n">
        <v>0</v>
      </c>
      <c r="R24" s="6" t="n">
        <v>8.2</v>
      </c>
      <c r="S24" s="6" t="n">
        <f aca="false">SUM(P24:R24)</f>
        <v>31.6</v>
      </c>
      <c r="T24" s="7"/>
      <c r="U24" s="6" t="n">
        <v>0</v>
      </c>
      <c r="V24" s="6" t="n">
        <v>37.6</v>
      </c>
      <c r="W24" s="7" t="n">
        <f aca="false">W23-V24</f>
        <v>14701.7</v>
      </c>
      <c r="X24" s="6" t="n">
        <f aca="false">N24+O24+S24+U24+V24</f>
        <v>69.2</v>
      </c>
      <c r="Y24" s="6" t="n">
        <f aca="false">IF(L24&lt;0,L24*-1,0)</f>
        <v>0</v>
      </c>
      <c r="Z24" s="8" t="n">
        <f aca="false">X24+Y24</f>
        <v>69.2</v>
      </c>
      <c r="AA24" s="8" t="n">
        <v>0.67</v>
      </c>
      <c r="AB24" s="37" t="n">
        <v>38</v>
      </c>
      <c r="AC24" s="10" t="n">
        <v>29</v>
      </c>
      <c r="AD24" s="11" t="n">
        <f aca="false">AD23+1</f>
        <v>15</v>
      </c>
    </row>
    <row r="25" customFormat="false" ht="11.1" hidden="false" customHeight="true" outlineLevel="0" collapsed="false">
      <c r="A25" s="11" t="n">
        <f aca="false">A24+1</f>
        <v>16</v>
      </c>
      <c r="B25" s="28" t="n">
        <v>6903.1</v>
      </c>
      <c r="C25" s="7" t="n">
        <v>295157</v>
      </c>
      <c r="D25" s="10" t="n">
        <f aca="false">C25-C24</f>
        <v>380</v>
      </c>
      <c r="E25" s="7" t="n">
        <f aca="false">C25-152000</f>
        <v>143157</v>
      </c>
      <c r="F25" s="6" t="n">
        <f aca="false">D25/$D$2</f>
        <v>191.580539450466</v>
      </c>
      <c r="G25" s="6" t="n">
        <v>106</v>
      </c>
      <c r="H25" s="8" t="n">
        <v>1.9</v>
      </c>
      <c r="I25" s="6" t="n">
        <f aca="false">G25+H25</f>
        <v>107.9</v>
      </c>
      <c r="J25" s="35" t="n">
        <f aca="false">IF(L25&gt;0,L25,0)</f>
        <v>152.480539450466</v>
      </c>
      <c r="K25" s="6" t="n">
        <f aca="false">I25+J25</f>
        <v>260.380539450466</v>
      </c>
      <c r="L25" s="6" t="n">
        <f aca="false">F25-(I25-X25)</f>
        <v>152.480539450466</v>
      </c>
      <c r="M25" s="6" t="n">
        <v>23.3</v>
      </c>
      <c r="N25" s="6" t="n">
        <v>0</v>
      </c>
      <c r="O25" s="6" t="n">
        <v>0</v>
      </c>
      <c r="P25" s="6" t="n">
        <f aca="false">M25-(N25+O25)</f>
        <v>23.3</v>
      </c>
      <c r="Q25" s="6" t="n">
        <v>0</v>
      </c>
      <c r="R25" s="6" t="n">
        <v>8.2</v>
      </c>
      <c r="S25" s="6" t="n">
        <f aca="false">SUM(P25:R25)</f>
        <v>31.5</v>
      </c>
      <c r="T25" s="7"/>
      <c r="U25" s="6" t="n">
        <v>0</v>
      </c>
      <c r="V25" s="6" t="n">
        <v>37.3</v>
      </c>
      <c r="W25" s="7" t="n">
        <f aca="false">W24-V25</f>
        <v>14664.4</v>
      </c>
      <c r="X25" s="6" t="n">
        <f aca="false">N25+O25+S25+U25+V25</f>
        <v>68.8</v>
      </c>
      <c r="Y25" s="6" t="n">
        <f aca="false">IF(L25&lt;0,L25*-1,0)</f>
        <v>0</v>
      </c>
      <c r="Z25" s="8" t="n">
        <f aca="false">X25+Y25</f>
        <v>68.8</v>
      </c>
      <c r="AA25" s="8" t="n">
        <v>0</v>
      </c>
      <c r="AB25" s="37" t="n">
        <v>40</v>
      </c>
      <c r="AC25" s="10" t="n">
        <v>31</v>
      </c>
      <c r="AD25" s="11" t="n">
        <f aca="false">AD24+1</f>
        <v>16</v>
      </c>
    </row>
    <row r="26" customFormat="false" ht="11.1" hidden="false" customHeight="true" outlineLevel="0" collapsed="false">
      <c r="A26" s="11" t="n">
        <f aca="false">A25+1</f>
        <v>17</v>
      </c>
      <c r="B26" s="28" t="n">
        <v>6903.15</v>
      </c>
      <c r="C26" s="7" t="n">
        <v>295346</v>
      </c>
      <c r="D26" s="10" t="n">
        <f aca="false">C26-C25</f>
        <v>189</v>
      </c>
      <c r="E26" s="7" t="n">
        <f aca="false">C26-152000</f>
        <v>143346</v>
      </c>
      <c r="F26" s="6" t="n">
        <f aca="false">D26/$D$2</f>
        <v>95.2861104108898</v>
      </c>
      <c r="G26" s="6" t="n">
        <v>105.9</v>
      </c>
      <c r="H26" s="8" t="n">
        <v>1.7</v>
      </c>
      <c r="I26" s="6" t="n">
        <f aca="false">G26+H26</f>
        <v>107.6</v>
      </c>
      <c r="J26" s="35" t="n">
        <f aca="false">IF(L26&gt;0,L26,0)</f>
        <v>56.4861104108898</v>
      </c>
      <c r="K26" s="6" t="n">
        <f aca="false">I26+J26</f>
        <v>164.08611041089</v>
      </c>
      <c r="L26" s="6" t="n">
        <f aca="false">F26-(I26-X26)</f>
        <v>56.4861104108898</v>
      </c>
      <c r="M26" s="6" t="n">
        <v>23.5</v>
      </c>
      <c r="N26" s="6" t="n">
        <v>0</v>
      </c>
      <c r="O26" s="6" t="n">
        <v>0</v>
      </c>
      <c r="P26" s="6" t="n">
        <f aca="false">M26-(N26+O26)</f>
        <v>23.5</v>
      </c>
      <c r="Q26" s="6" t="n">
        <v>0</v>
      </c>
      <c r="R26" s="6" t="n">
        <v>8</v>
      </c>
      <c r="S26" s="6" t="n">
        <f aca="false">SUM(P26:R26)</f>
        <v>31.5</v>
      </c>
      <c r="T26" s="7"/>
      <c r="U26" s="6" t="n">
        <v>0</v>
      </c>
      <c r="V26" s="6" t="n">
        <v>37.3</v>
      </c>
      <c r="W26" s="7" t="n">
        <f aca="false">W25-V26</f>
        <v>14627.1</v>
      </c>
      <c r="X26" s="6" t="n">
        <f aca="false">N26+O26+S26+U26+V26</f>
        <v>68.8</v>
      </c>
      <c r="Y26" s="6" t="n">
        <f aca="false">IF(L26&lt;0,L26*-1,0)</f>
        <v>0</v>
      </c>
      <c r="Z26" s="8" t="n">
        <f aca="false">X26+Y26</f>
        <v>68.8</v>
      </c>
      <c r="AA26" s="8" t="n">
        <v>0</v>
      </c>
      <c r="AB26" s="37" t="n">
        <v>48</v>
      </c>
      <c r="AC26" s="10" t="n">
        <v>23</v>
      </c>
      <c r="AD26" s="11" t="n">
        <f aca="false">AD25+1</f>
        <v>17</v>
      </c>
    </row>
    <row r="27" customFormat="false" ht="11.1" hidden="false" customHeight="true" outlineLevel="0" collapsed="false">
      <c r="A27" s="11" t="n">
        <f aca="false">A26+1</f>
        <v>18</v>
      </c>
      <c r="B27" s="28" t="n">
        <v>6903.17</v>
      </c>
      <c r="C27" s="7" t="n">
        <v>295422</v>
      </c>
      <c r="D27" s="10" t="n">
        <f aca="false">C27-C26</f>
        <v>76</v>
      </c>
      <c r="E27" s="7" t="n">
        <f aca="false">C27-152000</f>
        <v>143422</v>
      </c>
      <c r="F27" s="6" t="n">
        <f aca="false">D27/$D$2</f>
        <v>38.3161078900933</v>
      </c>
      <c r="G27" s="6" t="n">
        <v>117</v>
      </c>
      <c r="H27" s="8" t="n">
        <v>2.1</v>
      </c>
      <c r="I27" s="6" t="n">
        <f aca="false">G27+H27</f>
        <v>119.1</v>
      </c>
      <c r="J27" s="35" t="n">
        <f aca="false">IF(L27&gt;0,L27,0)</f>
        <v>0</v>
      </c>
      <c r="K27" s="6" t="n">
        <f aca="false">I27+J27</f>
        <v>119.1</v>
      </c>
      <c r="L27" s="6" t="n">
        <f aca="false">F27-(I27-X27)</f>
        <v>-22.0838921099067</v>
      </c>
      <c r="M27" s="6" t="n">
        <v>14.1</v>
      </c>
      <c r="N27" s="6" t="n">
        <v>0</v>
      </c>
      <c r="O27" s="6" t="n">
        <v>0</v>
      </c>
      <c r="P27" s="6" t="n">
        <f aca="false">M27-(N27+O27)</f>
        <v>14.1</v>
      </c>
      <c r="Q27" s="6" t="n">
        <v>0</v>
      </c>
      <c r="R27" s="6" t="n">
        <v>7.3</v>
      </c>
      <c r="S27" s="6" t="n">
        <f aca="false">SUM(P27:R27)</f>
        <v>21.4</v>
      </c>
      <c r="T27" s="7"/>
      <c r="U27" s="6" t="n">
        <v>0</v>
      </c>
      <c r="V27" s="6" t="n">
        <v>37.3</v>
      </c>
      <c r="W27" s="7" t="n">
        <f aca="false">W26-V27</f>
        <v>14589.8</v>
      </c>
      <c r="X27" s="6" t="n">
        <f aca="false">N27+O27+S27+U27+V27</f>
        <v>58.7</v>
      </c>
      <c r="Y27" s="6" t="n">
        <f aca="false">IF(L27&lt;0,L27*-1,0)</f>
        <v>22.0838921099067</v>
      </c>
      <c r="Z27" s="8" t="n">
        <f aca="false">X27+Y27</f>
        <v>80.7838921099067</v>
      </c>
      <c r="AA27" s="8" t="n">
        <v>0.03</v>
      </c>
      <c r="AB27" s="37" t="n">
        <v>34</v>
      </c>
      <c r="AC27" s="10" t="n">
        <v>30</v>
      </c>
      <c r="AD27" s="11" t="n">
        <f aca="false">AD26+1</f>
        <v>18</v>
      </c>
    </row>
    <row r="28" customFormat="false" ht="11.1" hidden="false" customHeight="true" outlineLevel="0" collapsed="false">
      <c r="A28" s="11" t="n">
        <f aca="false">A27+1</f>
        <v>19</v>
      </c>
      <c r="B28" s="28" t="n">
        <v>6903.23</v>
      </c>
      <c r="C28" s="7" t="n">
        <v>295650</v>
      </c>
      <c r="D28" s="10" t="n">
        <f aca="false">C28-C27</f>
        <v>228</v>
      </c>
      <c r="E28" s="7" t="n">
        <f aca="false">C28-152000</f>
        <v>143650</v>
      </c>
      <c r="F28" s="6" t="n">
        <f aca="false">D28/$D$2</f>
        <v>114.94832367028</v>
      </c>
      <c r="G28" s="6" t="n">
        <v>102.5</v>
      </c>
      <c r="H28" s="8" t="n">
        <v>1.9</v>
      </c>
      <c r="I28" s="6" t="n">
        <f aca="false">G28+H28</f>
        <v>104.4</v>
      </c>
      <c r="J28" s="35" t="n">
        <f aca="false">IF(L28&gt;0,L28,0)</f>
        <v>56.3483236702798</v>
      </c>
      <c r="K28" s="6" t="n">
        <f aca="false">I28+J28</f>
        <v>160.74832367028</v>
      </c>
      <c r="L28" s="6" t="n">
        <f aca="false">F28-(I28-X28)</f>
        <v>56.3483236702798</v>
      </c>
      <c r="M28" s="6" t="n">
        <v>5.4</v>
      </c>
      <c r="N28" s="6" t="n">
        <v>0</v>
      </c>
      <c r="O28" s="6" t="n">
        <v>0</v>
      </c>
      <c r="P28" s="6" t="n">
        <f aca="false">M28-(N28+O28)</f>
        <v>5.4</v>
      </c>
      <c r="Q28" s="6" t="n">
        <v>3.1</v>
      </c>
      <c r="R28" s="6" t="n">
        <v>0</v>
      </c>
      <c r="S28" s="6" t="n">
        <f aca="false">SUM(P28:R28)</f>
        <v>8.5</v>
      </c>
      <c r="T28" s="7"/>
      <c r="U28" s="6" t="n">
        <v>0</v>
      </c>
      <c r="V28" s="6" t="n">
        <v>37.3</v>
      </c>
      <c r="W28" s="7" t="n">
        <f aca="false">W27-V28</f>
        <v>14552.5</v>
      </c>
      <c r="X28" s="6" t="n">
        <f aca="false">N28+O28+S28+U28+V28</f>
        <v>45.8</v>
      </c>
      <c r="Y28" s="6" t="n">
        <f aca="false">IF(L28&lt;0,L28*-1,0)</f>
        <v>0</v>
      </c>
      <c r="Z28" s="8" t="n">
        <f aca="false">X28+Y28</f>
        <v>45.8</v>
      </c>
      <c r="AA28" s="8" t="n">
        <v>0</v>
      </c>
      <c r="AB28" s="37" t="n">
        <v>52</v>
      </c>
      <c r="AC28" s="10" t="n">
        <v>22</v>
      </c>
      <c r="AD28" s="11" t="n">
        <f aca="false">AD27+1</f>
        <v>19</v>
      </c>
    </row>
    <row r="29" customFormat="false" ht="11.1" hidden="false" customHeight="true" outlineLevel="0" collapsed="false">
      <c r="A29" s="11" t="n">
        <f aca="false">A28+1</f>
        <v>20</v>
      </c>
      <c r="B29" s="28" t="n">
        <v>6903.27</v>
      </c>
      <c r="C29" s="7" t="n">
        <v>295802</v>
      </c>
      <c r="D29" s="10" t="n">
        <f aca="false">C29-C28</f>
        <v>152</v>
      </c>
      <c r="E29" s="7" t="n">
        <f aca="false">C29-152000</f>
        <v>143802</v>
      </c>
      <c r="F29" s="6" t="n">
        <f aca="false">D29/$D$2</f>
        <v>76.6322157801865</v>
      </c>
      <c r="G29" s="6" t="n">
        <v>77.5</v>
      </c>
      <c r="H29" s="8" t="n">
        <v>1.6</v>
      </c>
      <c r="I29" s="6" t="n">
        <f aca="false">G29+H29</f>
        <v>79.1</v>
      </c>
      <c r="J29" s="35" t="n">
        <f aca="false">IF(L29&gt;0,L29,0)</f>
        <v>55.9322157801866</v>
      </c>
      <c r="K29" s="6" t="n">
        <f aca="false">I29+J29</f>
        <v>135.032215780187</v>
      </c>
      <c r="L29" s="6" t="n">
        <f aca="false">F29-(I29-X29)</f>
        <v>55.9322157801866</v>
      </c>
      <c r="M29" s="6" t="n">
        <v>21.2</v>
      </c>
      <c r="N29" s="6" t="n">
        <v>0</v>
      </c>
      <c r="O29" s="6" t="n">
        <v>0</v>
      </c>
      <c r="P29" s="6" t="n">
        <f aca="false">M29-(N29+O29)</f>
        <v>21.2</v>
      </c>
      <c r="Q29" s="6" t="n">
        <v>0</v>
      </c>
      <c r="R29" s="6" t="n">
        <v>0</v>
      </c>
      <c r="S29" s="6" t="n">
        <f aca="false">SUM(P29:R29)</f>
        <v>21.2</v>
      </c>
      <c r="T29" s="7"/>
      <c r="U29" s="6" t="n">
        <v>0</v>
      </c>
      <c r="V29" s="6" t="n">
        <v>37.2</v>
      </c>
      <c r="W29" s="7" t="n">
        <f aca="false">W28-V29</f>
        <v>14515.3</v>
      </c>
      <c r="X29" s="6" t="n">
        <f aca="false">N29+O29+S29+U29+V29</f>
        <v>58.4</v>
      </c>
      <c r="Y29" s="6" t="n">
        <f aca="false">IF(L29&lt;0,L29*-1,0)</f>
        <v>0</v>
      </c>
      <c r="Z29" s="8" t="n">
        <f aca="false">X29+Y29</f>
        <v>58.4</v>
      </c>
      <c r="AA29" s="8" t="n">
        <v>0</v>
      </c>
      <c r="AB29" s="37" t="n">
        <v>44</v>
      </c>
      <c r="AC29" s="10" t="n">
        <v>11</v>
      </c>
      <c r="AD29" s="11" t="n">
        <f aca="false">AD28+1</f>
        <v>20</v>
      </c>
    </row>
    <row r="30" customFormat="false" ht="11.1" hidden="false" customHeight="true" outlineLevel="0" collapsed="false">
      <c r="A30" s="11" t="n">
        <f aca="false">A29+1</f>
        <v>21</v>
      </c>
      <c r="B30" s="28" t="n">
        <v>6903.3</v>
      </c>
      <c r="C30" s="7" t="n">
        <v>295915</v>
      </c>
      <c r="D30" s="10" t="n">
        <f aca="false">C30-C29</f>
        <v>113</v>
      </c>
      <c r="E30" s="7" t="n">
        <f aca="false">C30-152000</f>
        <v>143915</v>
      </c>
      <c r="F30" s="6" t="n">
        <f aca="false">D30/$D$2</f>
        <v>56.9700025207966</v>
      </c>
      <c r="G30" s="6" t="n">
        <v>116.4</v>
      </c>
      <c r="H30" s="8" t="n">
        <v>1.6</v>
      </c>
      <c r="I30" s="6" t="n">
        <f aca="false">G30+H30</f>
        <v>118</v>
      </c>
      <c r="J30" s="35" t="n">
        <f aca="false">IF(L30&gt;0,L30,0)</f>
        <v>12.7700025207966</v>
      </c>
      <c r="K30" s="6" t="n">
        <f aca="false">I30+J30</f>
        <v>130.770002520797</v>
      </c>
      <c r="L30" s="6" t="n">
        <f aca="false">F30-(I30-X30)</f>
        <v>12.7700025207966</v>
      </c>
      <c r="M30" s="6" t="n">
        <v>37.3</v>
      </c>
      <c r="N30" s="6" t="n">
        <v>0</v>
      </c>
      <c r="O30" s="6" t="n">
        <v>0</v>
      </c>
      <c r="P30" s="6" t="n">
        <f aca="false">M30-(N30+O30)</f>
        <v>37.3</v>
      </c>
      <c r="Q30" s="6" t="n">
        <v>0</v>
      </c>
      <c r="R30" s="6" t="n">
        <v>0</v>
      </c>
      <c r="S30" s="6" t="n">
        <f aca="false">SUM(P30:R30)</f>
        <v>37.3</v>
      </c>
      <c r="T30" s="7"/>
      <c r="U30" s="6" t="n">
        <v>0</v>
      </c>
      <c r="V30" s="6" t="n">
        <v>36.5</v>
      </c>
      <c r="W30" s="7" t="n">
        <f aca="false">W29-V30</f>
        <v>14478.8</v>
      </c>
      <c r="X30" s="6" t="n">
        <f aca="false">N30+O30+S30+U30+V30</f>
        <v>73.8</v>
      </c>
      <c r="Y30" s="6" t="n">
        <f aca="false">IF(L30&lt;0,L30*-1,0)</f>
        <v>0</v>
      </c>
      <c r="Z30" s="8" t="n">
        <f aca="false">X30+Y30</f>
        <v>73.8</v>
      </c>
      <c r="AA30" s="8" t="n">
        <v>0</v>
      </c>
      <c r="AB30" s="10" t="n">
        <v>48</v>
      </c>
      <c r="AC30" s="10" t="n">
        <v>20</v>
      </c>
      <c r="AD30" s="11" t="n">
        <f aca="false">AD29+1</f>
        <v>21</v>
      </c>
    </row>
    <row r="31" customFormat="false" ht="11.1" hidden="false" customHeight="true" outlineLevel="0" collapsed="false">
      <c r="A31" s="11" t="n">
        <f aca="false">A30+1</f>
        <v>22</v>
      </c>
      <c r="B31" s="28" t="n">
        <v>6903.31</v>
      </c>
      <c r="C31" s="7" t="n">
        <v>295953</v>
      </c>
      <c r="D31" s="10" t="n">
        <f aca="false">C31-C30</f>
        <v>38</v>
      </c>
      <c r="E31" s="7" t="n">
        <f aca="false">C31-152000</f>
        <v>143953</v>
      </c>
      <c r="F31" s="6" t="n">
        <f aca="false">D31/$D$2</f>
        <v>19.1580539450466</v>
      </c>
      <c r="G31" s="6" t="n">
        <v>124.9</v>
      </c>
      <c r="H31" s="8" t="n">
        <v>1.8</v>
      </c>
      <c r="I31" s="6" t="n">
        <f aca="false">G31+H31</f>
        <v>126.7</v>
      </c>
      <c r="J31" s="35" t="n">
        <f aca="false">IF(L31&gt;0,L31,0)</f>
        <v>0</v>
      </c>
      <c r="K31" s="6" t="n">
        <f aca="false">I31+J31</f>
        <v>126.7</v>
      </c>
      <c r="L31" s="6" t="n">
        <f aca="false">F31-(I31-X31)</f>
        <v>-48.8419460549534</v>
      </c>
      <c r="M31" s="6" t="n">
        <v>17</v>
      </c>
      <c r="N31" s="6" t="n">
        <v>0</v>
      </c>
      <c r="O31" s="6" t="n">
        <v>0</v>
      </c>
      <c r="P31" s="6" t="n">
        <f aca="false">M31-(N31+O31)</f>
        <v>17</v>
      </c>
      <c r="Q31" s="6" t="n">
        <v>5.1</v>
      </c>
      <c r="R31" s="6" t="n">
        <v>0</v>
      </c>
      <c r="S31" s="6" t="n">
        <f aca="false">SUM(P31:R31)</f>
        <v>22.1</v>
      </c>
      <c r="T31" s="7"/>
      <c r="U31" s="6" t="n">
        <v>0</v>
      </c>
      <c r="V31" s="6" t="n">
        <v>36.6</v>
      </c>
      <c r="W31" s="7" t="n">
        <f aca="false">W30-V31</f>
        <v>14442.2</v>
      </c>
      <c r="X31" s="6" t="n">
        <f aca="false">N31+O31+S31+U31+V31</f>
        <v>58.7</v>
      </c>
      <c r="Y31" s="6" t="n">
        <f aca="false">IF(L31&lt;0,L31*-1,0)</f>
        <v>48.8419460549534</v>
      </c>
      <c r="Z31" s="8" t="n">
        <f aca="false">X31+Y31</f>
        <v>107.541946054953</v>
      </c>
      <c r="AA31" s="8" t="n">
        <v>0</v>
      </c>
      <c r="AB31" s="10" t="n">
        <v>38</v>
      </c>
      <c r="AC31" s="10" t="n">
        <v>18</v>
      </c>
      <c r="AD31" s="11" t="n">
        <f aca="false">AD30+1</f>
        <v>22</v>
      </c>
    </row>
    <row r="32" customFormat="false" ht="11.1" hidden="false" customHeight="true" outlineLevel="0" collapsed="false">
      <c r="A32" s="11" t="n">
        <f aca="false">A31+1</f>
        <v>23</v>
      </c>
      <c r="B32" s="28" t="n">
        <v>3903.31</v>
      </c>
      <c r="C32" s="7" t="n">
        <v>295953</v>
      </c>
      <c r="D32" s="10" t="n">
        <f aca="false">C32-C31</f>
        <v>0</v>
      </c>
      <c r="E32" s="7" t="n">
        <f aca="false">C32-152000</f>
        <v>143953</v>
      </c>
      <c r="F32" s="6" t="n">
        <f aca="false">D32/$D$2</f>
        <v>0</v>
      </c>
      <c r="G32" s="6" t="n">
        <v>92.1</v>
      </c>
      <c r="H32" s="8" t="n">
        <v>1.5</v>
      </c>
      <c r="I32" s="6" t="n">
        <f aca="false">G32+H32</f>
        <v>93.6</v>
      </c>
      <c r="J32" s="35" t="n">
        <f aca="false">IF(L32&gt;0,L32,0)</f>
        <v>0</v>
      </c>
      <c r="K32" s="6" t="n">
        <f aca="false">I32+J32</f>
        <v>93.6</v>
      </c>
      <c r="L32" s="6" t="n">
        <f aca="false">F32-(I32-X32)</f>
        <v>-54.1</v>
      </c>
      <c r="M32" s="6" t="n">
        <v>2.8</v>
      </c>
      <c r="N32" s="6" t="n">
        <v>0</v>
      </c>
      <c r="O32" s="6" t="n">
        <v>0</v>
      </c>
      <c r="P32" s="6" t="n">
        <f aca="false">M32-(N32+O32)</f>
        <v>2.8</v>
      </c>
      <c r="Q32" s="6" t="n">
        <v>0</v>
      </c>
      <c r="R32" s="6" t="n">
        <v>0</v>
      </c>
      <c r="S32" s="6" t="n">
        <f aca="false">SUM(P32:R32)</f>
        <v>2.8</v>
      </c>
      <c r="T32" s="7"/>
      <c r="U32" s="6" t="n">
        <v>0</v>
      </c>
      <c r="V32" s="6" t="n">
        <v>36.7</v>
      </c>
      <c r="W32" s="7" t="n">
        <f aca="false">W31-V32</f>
        <v>14405.5</v>
      </c>
      <c r="X32" s="6" t="n">
        <f aca="false">N32+O32+S32+U32+V32</f>
        <v>39.5</v>
      </c>
      <c r="Y32" s="6" t="n">
        <f aca="false">IF(L32&lt;0,L32*-1,0)</f>
        <v>54.1</v>
      </c>
      <c r="Z32" s="8" t="n">
        <f aca="false">X32+Y32</f>
        <v>93.6</v>
      </c>
      <c r="AA32" s="8" t="n">
        <v>0</v>
      </c>
      <c r="AB32" s="10" t="n">
        <v>40</v>
      </c>
      <c r="AC32" s="37" t="n">
        <v>2</v>
      </c>
      <c r="AD32" s="11" t="n">
        <f aca="false">AD31+1</f>
        <v>23</v>
      </c>
    </row>
    <row r="33" customFormat="false" ht="11.1" hidden="false" customHeight="true" outlineLevel="0" collapsed="false">
      <c r="A33" s="11" t="n">
        <f aca="false">A32+1</f>
        <v>24</v>
      </c>
      <c r="B33" s="28" t="n">
        <v>3903.31</v>
      </c>
      <c r="C33" s="7" t="n">
        <v>295953</v>
      </c>
      <c r="D33" s="10" t="n">
        <f aca="false">C33-C32</f>
        <v>0</v>
      </c>
      <c r="E33" s="7" t="n">
        <f aca="false">C33-152000</f>
        <v>143953</v>
      </c>
      <c r="F33" s="6" t="n">
        <f aca="false">D33/$D$2</f>
        <v>0</v>
      </c>
      <c r="G33" s="6" t="n">
        <v>97.5</v>
      </c>
      <c r="H33" s="8" t="n">
        <v>1.5</v>
      </c>
      <c r="I33" s="6" t="n">
        <f aca="false">G33+H33</f>
        <v>99</v>
      </c>
      <c r="J33" s="35" t="n">
        <f aca="false">IF(L33&gt;0,L33,0)</f>
        <v>0</v>
      </c>
      <c r="K33" s="6" t="n">
        <f aca="false">I33+J33</f>
        <v>99</v>
      </c>
      <c r="L33" s="6" t="n">
        <f aca="false">F33-(I33-X33)</f>
        <v>-59.6</v>
      </c>
      <c r="M33" s="6" t="n">
        <v>2.8</v>
      </c>
      <c r="N33" s="6" t="n">
        <v>0</v>
      </c>
      <c r="O33" s="6" t="n">
        <v>0</v>
      </c>
      <c r="P33" s="6" t="n">
        <f aca="false">M33-(N33+O33)</f>
        <v>2.8</v>
      </c>
      <c r="Q33" s="6" t="n">
        <v>0</v>
      </c>
      <c r="R33" s="6" t="n">
        <v>0</v>
      </c>
      <c r="S33" s="6" t="n">
        <f aca="false">SUM(P33:R33)</f>
        <v>2.8</v>
      </c>
      <c r="T33" s="7"/>
      <c r="U33" s="6" t="n">
        <v>0</v>
      </c>
      <c r="V33" s="6" t="n">
        <v>36.6</v>
      </c>
      <c r="W33" s="7" t="n">
        <f aca="false">W32-V33</f>
        <v>14368.9</v>
      </c>
      <c r="X33" s="6" t="n">
        <f aca="false">N33+O33+S33+U33+V33</f>
        <v>39.4</v>
      </c>
      <c r="Y33" s="6" t="n">
        <f aca="false">IF(L33&lt;0,L33*-1,0)</f>
        <v>59.6</v>
      </c>
      <c r="Z33" s="8" t="n">
        <f aca="false">X33+Y33</f>
        <v>99</v>
      </c>
      <c r="AA33" s="8" t="n">
        <v>0</v>
      </c>
      <c r="AB33" s="10" t="n">
        <v>44</v>
      </c>
      <c r="AC33" s="37" t="n">
        <v>4</v>
      </c>
      <c r="AD33" s="11" t="n">
        <f aca="false">AD32+1</f>
        <v>24</v>
      </c>
    </row>
    <row r="34" customFormat="false" ht="11.1" hidden="false" customHeight="true" outlineLevel="0" collapsed="false">
      <c r="A34" s="11" t="n">
        <f aca="false">A33+1</f>
        <v>25</v>
      </c>
      <c r="B34" s="28" t="n">
        <v>6903.34</v>
      </c>
      <c r="C34" s="7" t="n">
        <v>296066</v>
      </c>
      <c r="D34" s="10" t="n">
        <f aca="false">C34-C33</f>
        <v>113</v>
      </c>
      <c r="E34" s="7" t="n">
        <f aca="false">C34-152000</f>
        <v>144066</v>
      </c>
      <c r="F34" s="6" t="n">
        <f aca="false">D34/$D$2</f>
        <v>56.9700025207966</v>
      </c>
      <c r="G34" s="6" t="n">
        <v>157.1</v>
      </c>
      <c r="H34" s="8" t="n">
        <v>1.5</v>
      </c>
      <c r="I34" s="6" t="n">
        <f aca="false">G34+H34</f>
        <v>158.6</v>
      </c>
      <c r="J34" s="35" t="n">
        <f aca="false">IF(L34&gt;0,L34,0)</f>
        <v>0</v>
      </c>
      <c r="K34" s="6" t="n">
        <f aca="false">I34+J34</f>
        <v>158.6</v>
      </c>
      <c r="L34" s="6" t="n">
        <f aca="false">F34-(I34-X34)</f>
        <v>-62.1299974792034</v>
      </c>
      <c r="M34" s="6" t="n">
        <v>2.8</v>
      </c>
      <c r="N34" s="6" t="n">
        <v>0</v>
      </c>
      <c r="O34" s="6" t="n">
        <v>0</v>
      </c>
      <c r="P34" s="6" t="n">
        <f aca="false">M34-(N34+O34)</f>
        <v>2.8</v>
      </c>
      <c r="Q34" s="6" t="n">
        <v>0</v>
      </c>
      <c r="R34" s="6" t="n">
        <v>0</v>
      </c>
      <c r="S34" s="6" t="n">
        <f aca="false">SUM(P34:R34)</f>
        <v>2.8</v>
      </c>
      <c r="T34" s="7"/>
      <c r="U34" s="6" t="n">
        <v>0</v>
      </c>
      <c r="V34" s="6" t="n">
        <v>36.7</v>
      </c>
      <c r="W34" s="7" t="n">
        <f aca="false">W33-V34</f>
        <v>14332.2</v>
      </c>
      <c r="X34" s="6" t="n">
        <f aca="false">N34+O34+S34+U34+V34</f>
        <v>39.5</v>
      </c>
      <c r="Y34" s="6" t="n">
        <f aca="false">IF(L34&lt;0,L34*-1,0)</f>
        <v>62.1299974792034</v>
      </c>
      <c r="Z34" s="8" t="n">
        <f aca="false">X34+Y34</f>
        <v>101.629997479203</v>
      </c>
      <c r="AA34" s="8" t="n">
        <v>0</v>
      </c>
      <c r="AB34" s="10" t="n">
        <v>42</v>
      </c>
      <c r="AC34" s="37" t="n">
        <v>10</v>
      </c>
      <c r="AD34" s="11" t="n">
        <f aca="false">AD33+1</f>
        <v>25</v>
      </c>
    </row>
    <row r="35" customFormat="false" ht="11.1" hidden="false" customHeight="true" outlineLevel="0" collapsed="false">
      <c r="A35" s="11" t="n">
        <f aca="false">A34+1</f>
        <v>26</v>
      </c>
      <c r="B35" s="28" t="n">
        <v>6903.36</v>
      </c>
      <c r="C35" s="7" t="n">
        <v>296142</v>
      </c>
      <c r="D35" s="10" t="n">
        <f aca="false">C35-C34</f>
        <v>76</v>
      </c>
      <c r="E35" s="7" t="n">
        <f aca="false">C35-152000</f>
        <v>144142</v>
      </c>
      <c r="F35" s="6" t="n">
        <f aca="false">D35/$D$2</f>
        <v>38.3161078900933</v>
      </c>
      <c r="G35" s="6" t="n">
        <v>144.2</v>
      </c>
      <c r="H35" s="8" t="n">
        <v>1.7</v>
      </c>
      <c r="I35" s="6" t="n">
        <f aca="false">G35+H35</f>
        <v>145.9</v>
      </c>
      <c r="J35" s="35" t="n">
        <f aca="false">IF(L35&gt;0,L35,0)</f>
        <v>0</v>
      </c>
      <c r="K35" s="6" t="n">
        <f aca="false">I35+J35</f>
        <v>145.9</v>
      </c>
      <c r="L35" s="6" t="n">
        <f aca="false">F35-(I35-X35)</f>
        <v>-68.0838921099067</v>
      </c>
      <c r="M35" s="6" t="n">
        <v>2.8</v>
      </c>
      <c r="N35" s="6" t="n">
        <v>0</v>
      </c>
      <c r="O35" s="6" t="n">
        <v>0</v>
      </c>
      <c r="P35" s="6" t="n">
        <f aca="false">M35-(N35+O35)</f>
        <v>2.8</v>
      </c>
      <c r="Q35" s="6" t="n">
        <v>0</v>
      </c>
      <c r="R35" s="6" t="n">
        <v>0</v>
      </c>
      <c r="S35" s="6" t="n">
        <f aca="false">SUM(P35:R35)</f>
        <v>2.8</v>
      </c>
      <c r="T35" s="7"/>
      <c r="U35" s="6" t="n">
        <v>0</v>
      </c>
      <c r="V35" s="6" t="n">
        <v>36.7</v>
      </c>
      <c r="W35" s="7" t="n">
        <f aca="false">W34-V35</f>
        <v>14295.5</v>
      </c>
      <c r="X35" s="6" t="n">
        <f aca="false">N35+O35+S35+U35+V35</f>
        <v>39.5</v>
      </c>
      <c r="Y35" s="6" t="n">
        <f aca="false">IF(L35&lt;0,L35*-1,0)</f>
        <v>68.0838921099067</v>
      </c>
      <c r="Z35" s="8" t="n">
        <f aca="false">X35+Y35</f>
        <v>107.583892109907</v>
      </c>
      <c r="AA35" s="8" t="n">
        <v>0</v>
      </c>
      <c r="AB35" s="10" t="n">
        <v>46</v>
      </c>
      <c r="AC35" s="10" t="n">
        <v>20</v>
      </c>
      <c r="AD35" s="11" t="n">
        <f aca="false">AD34+1</f>
        <v>26</v>
      </c>
    </row>
    <row r="36" customFormat="false" ht="11.1" hidden="false" customHeight="true" outlineLevel="0" collapsed="false">
      <c r="A36" s="11" t="n">
        <f aca="false">A35+1</f>
        <v>27</v>
      </c>
      <c r="B36" s="28" t="n">
        <v>6903.37</v>
      </c>
      <c r="C36" s="7" t="n">
        <v>296181</v>
      </c>
      <c r="D36" s="10" t="n">
        <f aca="false">C36-C35</f>
        <v>39</v>
      </c>
      <c r="E36" s="7" t="n">
        <f aca="false">C36-152000</f>
        <v>144181</v>
      </c>
      <c r="F36" s="6" t="n">
        <f aca="false">D36/$D$2</f>
        <v>19.66221325939</v>
      </c>
      <c r="G36" s="6" t="n">
        <v>131.5</v>
      </c>
      <c r="H36" s="8" t="n">
        <v>1.7</v>
      </c>
      <c r="I36" s="6" t="n">
        <f aca="false">G36+H36</f>
        <v>133.2</v>
      </c>
      <c r="J36" s="35" t="n">
        <f aca="false">IF(L36&gt;0,L36,0)</f>
        <v>0</v>
      </c>
      <c r="K36" s="6" t="n">
        <f aca="false">I36+J36</f>
        <v>133.2</v>
      </c>
      <c r="L36" s="6" t="n">
        <f aca="false">F36-(I36-X36)</f>
        <v>-74.03778674061</v>
      </c>
      <c r="M36" s="6" t="n">
        <v>2.8</v>
      </c>
      <c r="N36" s="6" t="n">
        <v>0</v>
      </c>
      <c r="O36" s="6" t="n">
        <v>0</v>
      </c>
      <c r="P36" s="6" t="n">
        <f aca="false">M36-(N36+O36)</f>
        <v>2.8</v>
      </c>
      <c r="Q36" s="6" t="n">
        <v>0</v>
      </c>
      <c r="R36" s="6" t="n">
        <v>0</v>
      </c>
      <c r="S36" s="6" t="n">
        <f aca="false">SUM(P36:R36)</f>
        <v>2.8</v>
      </c>
      <c r="T36" s="7"/>
      <c r="U36" s="6" t="n">
        <v>0</v>
      </c>
      <c r="V36" s="6" t="n">
        <v>36.7</v>
      </c>
      <c r="W36" s="7" t="n">
        <f aca="false">W35-V36</f>
        <v>14258.8</v>
      </c>
      <c r="X36" s="6" t="n">
        <f aca="false">N36+O36+S36+U36+V36</f>
        <v>39.5</v>
      </c>
      <c r="Y36" s="6" t="n">
        <f aca="false">IF(L36&lt;0,L36*-1,0)</f>
        <v>74.03778674061</v>
      </c>
      <c r="Z36" s="8" t="n">
        <f aca="false">X36+Y36</f>
        <v>113.53778674061</v>
      </c>
      <c r="AA36" s="8" t="n">
        <v>0.1</v>
      </c>
      <c r="AB36" s="10" t="n">
        <v>40</v>
      </c>
      <c r="AC36" s="10" t="n">
        <v>23</v>
      </c>
      <c r="AD36" s="11" t="n">
        <f aca="false">AD35+1</f>
        <v>27</v>
      </c>
    </row>
    <row r="37" customFormat="false" ht="11.1" hidden="false" customHeight="true" outlineLevel="0" collapsed="false">
      <c r="A37" s="11" t="n">
        <f aca="false">A36+1</f>
        <v>28</v>
      </c>
      <c r="B37" s="28" t="n">
        <v>6903.38</v>
      </c>
      <c r="C37" s="7" t="n">
        <v>296218</v>
      </c>
      <c r="D37" s="10" t="n">
        <f aca="false">C37-C36</f>
        <v>37</v>
      </c>
      <c r="E37" s="7" t="n">
        <f aca="false">C37-152000</f>
        <v>144218</v>
      </c>
      <c r="F37" s="6" t="n">
        <f aca="false">D37/$D$2</f>
        <v>18.6538946307033</v>
      </c>
      <c r="G37" s="6" t="n">
        <v>116.7</v>
      </c>
      <c r="H37" s="8" t="n">
        <v>1.8</v>
      </c>
      <c r="I37" s="6" t="n">
        <f aca="false">G37+H37</f>
        <v>118.5</v>
      </c>
      <c r="J37" s="35" t="n">
        <f aca="false">IF(L37&gt;0,L37,0)</f>
        <v>0</v>
      </c>
      <c r="K37" s="6" t="n">
        <f aca="false">I37+J37</f>
        <v>118.5</v>
      </c>
      <c r="L37" s="6" t="n">
        <f aca="false">F37-(I37-X37)</f>
        <v>-61.7461053692967</v>
      </c>
      <c r="M37" s="6" t="n">
        <v>2.4</v>
      </c>
      <c r="N37" s="6" t="n">
        <v>0</v>
      </c>
      <c r="O37" s="6" t="n">
        <v>0</v>
      </c>
      <c r="P37" s="6" t="n">
        <f aca="false">M37-(N37+O37)</f>
        <v>2.4</v>
      </c>
      <c r="Q37" s="6" t="n">
        <v>0</v>
      </c>
      <c r="R37" s="6" t="n">
        <v>0</v>
      </c>
      <c r="S37" s="6" t="n">
        <f aca="false">SUM(P37:R37)</f>
        <v>2.4</v>
      </c>
      <c r="T37" s="7"/>
      <c r="U37" s="6" t="n">
        <v>0</v>
      </c>
      <c r="V37" s="6" t="n">
        <v>35.7</v>
      </c>
      <c r="W37" s="7" t="n">
        <f aca="false">W36-V37</f>
        <v>14223.1</v>
      </c>
      <c r="X37" s="6" t="n">
        <f aca="false">N37+O37+S37+U37+V37</f>
        <v>38.1</v>
      </c>
      <c r="Y37" s="6" t="n">
        <f aca="false">IF(L37&lt;0,L37*-1,0)</f>
        <v>61.7461053692967</v>
      </c>
      <c r="Z37" s="8" t="n">
        <f aca="false">X37+Y37</f>
        <v>99.8461053692967</v>
      </c>
      <c r="AA37" s="8" t="n">
        <v>0</v>
      </c>
      <c r="AB37" s="10" t="n">
        <v>32</v>
      </c>
      <c r="AC37" s="10" t="n">
        <v>21</v>
      </c>
      <c r="AD37" s="11" t="n">
        <f aca="false">AD36+1</f>
        <v>28</v>
      </c>
    </row>
    <row r="38" customFormat="false" ht="11.1" hidden="false" customHeight="true" outlineLevel="0" collapsed="false">
      <c r="A38" s="11" t="n">
        <f aca="false">A37+1</f>
        <v>29</v>
      </c>
      <c r="B38" s="28" t="n">
        <v>6903.39</v>
      </c>
      <c r="C38" s="7" t="n">
        <v>296257</v>
      </c>
      <c r="D38" s="10" t="n">
        <f aca="false">C38-C37</f>
        <v>39</v>
      </c>
      <c r="E38" s="7" t="n">
        <f aca="false">C38-152000</f>
        <v>144257</v>
      </c>
      <c r="F38" s="6" t="n">
        <f aca="false">D38/$D$2</f>
        <v>19.66221325939</v>
      </c>
      <c r="G38" s="6" t="n">
        <v>102.8</v>
      </c>
      <c r="H38" s="8" t="n">
        <v>1.7</v>
      </c>
      <c r="I38" s="6" t="n">
        <f aca="false">G38+H38</f>
        <v>104.5</v>
      </c>
      <c r="J38" s="35" t="n">
        <f aca="false">IF(L38&gt;0,L38,0)</f>
        <v>0</v>
      </c>
      <c r="K38" s="6" t="n">
        <f aca="false">I38+J38</f>
        <v>104.5</v>
      </c>
      <c r="L38" s="6" t="n">
        <f aca="false">F38-(I38-X38)</f>
        <v>-45.53778674061</v>
      </c>
      <c r="M38" s="6" t="n">
        <v>3.6</v>
      </c>
      <c r="N38" s="6" t="n">
        <v>0</v>
      </c>
      <c r="O38" s="6" t="n">
        <v>0</v>
      </c>
      <c r="P38" s="6" t="n">
        <f aca="false">M38-(N38+O38)</f>
        <v>3.6</v>
      </c>
      <c r="Q38" s="6" t="n">
        <v>0</v>
      </c>
      <c r="R38" s="6" t="n">
        <v>0</v>
      </c>
      <c r="S38" s="6" t="n">
        <f aca="false">SUM(P38:R38)</f>
        <v>3.6</v>
      </c>
      <c r="T38" s="7"/>
      <c r="U38" s="6" t="n">
        <v>0</v>
      </c>
      <c r="V38" s="6" t="n">
        <v>35.7</v>
      </c>
      <c r="W38" s="7" t="n">
        <f aca="false">W37-V38</f>
        <v>14187.4</v>
      </c>
      <c r="X38" s="6" t="n">
        <f aca="false">N38+O38+S38+U38+V38</f>
        <v>39.3</v>
      </c>
      <c r="Y38" s="6" t="n">
        <f aca="false">IF(L38&lt;0,L38*-1,0)</f>
        <v>45.53778674061</v>
      </c>
      <c r="Z38" s="8" t="n">
        <f aca="false">X38+Y38</f>
        <v>84.83778674061</v>
      </c>
      <c r="AA38" s="8" t="n">
        <v>0.17</v>
      </c>
      <c r="AB38" s="37" t="n">
        <v>31</v>
      </c>
      <c r="AC38" s="10" t="n">
        <v>17</v>
      </c>
      <c r="AD38" s="11" t="n">
        <f aca="false">AD37+1</f>
        <v>29</v>
      </c>
    </row>
    <row r="39" customFormat="false" ht="11.1" hidden="false" customHeight="true" outlineLevel="0" collapsed="false">
      <c r="A39" s="11" t="n">
        <v>30</v>
      </c>
      <c r="B39" s="28" t="n">
        <v>6903.41</v>
      </c>
      <c r="C39" s="7" t="n">
        <v>296333</v>
      </c>
      <c r="D39" s="10" t="n">
        <f aca="false">C39-C38</f>
        <v>76</v>
      </c>
      <c r="E39" s="7" t="n">
        <f aca="false">C39-152000</f>
        <v>144333</v>
      </c>
      <c r="F39" s="6" t="n">
        <f aca="false">D39/$D$2</f>
        <v>38.3161078900933</v>
      </c>
      <c r="G39" s="6" t="n">
        <v>96.4</v>
      </c>
      <c r="H39" s="8" t="n">
        <v>1.7</v>
      </c>
      <c r="I39" s="6" t="n">
        <f aca="false">G39+H39</f>
        <v>98.1</v>
      </c>
      <c r="J39" s="35" t="n">
        <f aca="false">IF(L39&gt;0,L39,0)</f>
        <v>0</v>
      </c>
      <c r="K39" s="6" t="n">
        <f aca="false">I39+J39</f>
        <v>98.1</v>
      </c>
      <c r="L39" s="6" t="n">
        <f aca="false">F39-(I39-X39)</f>
        <v>-21.2838921099067</v>
      </c>
      <c r="M39" s="6" t="n">
        <v>2.8</v>
      </c>
      <c r="N39" s="6" t="n">
        <v>0</v>
      </c>
      <c r="O39" s="6" t="n">
        <v>0</v>
      </c>
      <c r="P39" s="6" t="n">
        <f aca="false">M39-(N39+O39)</f>
        <v>2.8</v>
      </c>
      <c r="Q39" s="6" t="n">
        <v>0</v>
      </c>
      <c r="R39" s="6" t="n">
        <v>0</v>
      </c>
      <c r="S39" s="6" t="n">
        <f aca="false">SUM(P39:R39)</f>
        <v>2.8</v>
      </c>
      <c r="T39" s="7"/>
      <c r="U39" s="6" t="n">
        <v>0</v>
      </c>
      <c r="V39" s="6" t="n">
        <v>35.7</v>
      </c>
      <c r="W39" s="7" t="n">
        <f aca="false">W38-V39</f>
        <v>14151.7</v>
      </c>
      <c r="X39" s="6" t="n">
        <f aca="false">N39+O39+S39+U39+V39</f>
        <v>38.5</v>
      </c>
      <c r="Y39" s="6" t="n">
        <f aca="false">IF(L39&lt;0,L39*-1,0)</f>
        <v>21.2838921099067</v>
      </c>
      <c r="Z39" s="8" t="n">
        <f aca="false">X39+Y39</f>
        <v>59.7838921099067</v>
      </c>
      <c r="AA39" s="8" t="n">
        <v>0</v>
      </c>
      <c r="AB39" s="37" t="n">
        <v>31</v>
      </c>
      <c r="AC39" s="10" t="n">
        <v>15</v>
      </c>
      <c r="AD39" s="11" t="n">
        <v>30</v>
      </c>
    </row>
    <row r="40" customFormat="false" ht="3" hidden="false" customHeight="true" outlineLevel="0" collapsed="false">
      <c r="A40" s="29"/>
      <c r="B40" s="29"/>
      <c r="C40" s="31"/>
      <c r="D40" s="29"/>
      <c r="E40" s="31"/>
      <c r="F40" s="29"/>
      <c r="G40" s="29"/>
      <c r="H40" s="3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31"/>
      <c r="U40" s="29"/>
      <c r="V40" s="29"/>
      <c r="W40" s="29"/>
      <c r="X40" s="29"/>
      <c r="Y40" s="29"/>
      <c r="Z40" s="32"/>
      <c r="AA40" s="32"/>
      <c r="AB40" s="33"/>
      <c r="AC40" s="33"/>
      <c r="AD40" s="34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746.155785228132</v>
      </c>
      <c r="G41" s="7" t="n">
        <f aca="false">SUM(G10:G40)</f>
        <v>2980.9</v>
      </c>
      <c r="H41" s="8" t="n">
        <f aca="false">SUM(H10:H39)</f>
        <v>25.7</v>
      </c>
      <c r="I41" s="7" t="n">
        <f aca="false">SUM(I10:I39)</f>
        <v>3006.6</v>
      </c>
      <c r="J41" s="7" t="n">
        <f aca="false">SUM(J10:J39)</f>
        <v>408.111091504916</v>
      </c>
      <c r="K41" s="7" t="n">
        <f aca="false">SUM(K10:K39)</f>
        <v>3414.71109150492</v>
      </c>
      <c r="L41" s="7" t="n">
        <f aca="false">SUM(L10:L39)</f>
        <v>-352.244214771868</v>
      </c>
      <c r="M41" s="7" t="n">
        <f aca="false">SUM(M10:M39)</f>
        <v>595.8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595.8</v>
      </c>
      <c r="Q41" s="7" t="n">
        <f aca="false">SUM(Q10:Q39)</f>
        <v>8.2</v>
      </c>
      <c r="R41" s="7" t="n">
        <f aca="false">SUM(R10:R39)</f>
        <v>215.9</v>
      </c>
      <c r="S41" s="7" t="n">
        <f aca="false">SUM(S10:S39)</f>
        <v>819.9</v>
      </c>
      <c r="T41" s="7"/>
      <c r="U41" s="7" t="n">
        <f aca="false">SUM(U10:U39)</f>
        <v>0</v>
      </c>
      <c r="V41" s="7" t="n">
        <f aca="false">SUM(V10:V39)</f>
        <v>1088.3</v>
      </c>
      <c r="W41" s="7"/>
      <c r="X41" s="7" t="n">
        <f aca="false">SUM(X10:X39)</f>
        <v>1908.2</v>
      </c>
      <c r="Y41" s="7" t="n">
        <f aca="false">SUM(Y10:Y39)</f>
        <v>760.355306276783</v>
      </c>
      <c r="Z41" s="8" t="n">
        <f aca="false">SUM(Z10:Z39)</f>
        <v>2668.55530627678</v>
      </c>
      <c r="AA41" s="8" t="n">
        <f aca="false">SUM(AA10:AA39)</f>
        <v>2.73</v>
      </c>
      <c r="AB41" s="10" t="n">
        <f aca="false">AVERAGE(AB10:AB39)</f>
        <v>45.2</v>
      </c>
      <c r="AC41" s="10" t="n">
        <f aca="false">AVERAGE(AC10:AC39)</f>
        <v>20.2</v>
      </c>
      <c r="AD41" s="11" t="s">
        <v>47</v>
      </c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1480</v>
      </c>
      <c r="E42" s="7"/>
      <c r="F42" s="7" t="n">
        <f aca="false">F41*$D$2</f>
        <v>1480</v>
      </c>
      <c r="G42" s="7" t="n">
        <f aca="false">G41*$D$2</f>
        <v>5912.61515</v>
      </c>
      <c r="H42" s="8" t="n">
        <f aca="false">H41*$D$2</f>
        <v>50.97595</v>
      </c>
      <c r="I42" s="7" t="n">
        <f aca="false">I41*$D$2</f>
        <v>5963.5911</v>
      </c>
      <c r="J42" s="7" t="n">
        <f aca="false">J41*$D$2</f>
        <v>809.48835</v>
      </c>
      <c r="K42" s="7" t="n">
        <f aca="false">K41*$D$2</f>
        <v>6773.07945</v>
      </c>
      <c r="L42" s="7" t="n">
        <f aca="false">L41*$D$2</f>
        <v>-698.6764</v>
      </c>
      <c r="M42" s="7" t="n">
        <f aca="false">M41*$D$2</f>
        <v>1181.7693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1181.7693</v>
      </c>
      <c r="Q42" s="7" t="n">
        <f aca="false">Q41*$D$2</f>
        <v>16.2647</v>
      </c>
      <c r="R42" s="7" t="n">
        <f aca="false">R41*$D$2</f>
        <v>428.23765</v>
      </c>
      <c r="S42" s="7" t="n">
        <f aca="false">S41*$D$2</f>
        <v>1626.27165</v>
      </c>
      <c r="T42" s="7"/>
      <c r="U42" s="7" t="n">
        <f aca="false">U41*$D$2</f>
        <v>0</v>
      </c>
      <c r="V42" s="7" t="n">
        <f aca="false">V41*$D$2</f>
        <v>2158.64305</v>
      </c>
      <c r="W42" s="7"/>
      <c r="X42" s="7" t="n">
        <f aca="false">X41*$D$2</f>
        <v>3784.9147</v>
      </c>
      <c r="Y42" s="7" t="n">
        <f aca="false">Y41*$D$2</f>
        <v>1508.16475</v>
      </c>
      <c r="Z42" s="8" t="n">
        <f aca="false">Z41*$D$2</f>
        <v>5293.07945</v>
      </c>
      <c r="AA42" s="8"/>
      <c r="AB42" s="10" t="n">
        <f aca="false">MAX(AB10:AB39)</f>
        <v>59</v>
      </c>
      <c r="AC42" s="10" t="n">
        <f aca="false">MAX(AC10:AC39)</f>
        <v>32</v>
      </c>
      <c r="AD42" s="11" t="s">
        <v>49</v>
      </c>
    </row>
    <row r="43" customFormat="false" ht="3" hidden="false" customHeight="true" outlineLevel="0" collapsed="false">
      <c r="A43" s="29"/>
      <c r="B43" s="29"/>
      <c r="C43" s="31"/>
      <c r="D43" s="31"/>
      <c r="E43" s="31"/>
      <c r="F43" s="31"/>
      <c r="G43" s="31"/>
      <c r="H43" s="32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29"/>
      <c r="X43" s="31"/>
      <c r="Y43" s="31"/>
      <c r="Z43" s="32"/>
      <c r="AA43" s="8"/>
      <c r="AB43" s="10"/>
      <c r="AC43" s="10"/>
      <c r="AD43" s="11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/>
      <c r="G44" s="7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  <c r="AA44" s="8"/>
      <c r="AB44" s="10" t="n">
        <f aca="false">MIN(AB10:AB39)</f>
        <v>31</v>
      </c>
      <c r="AC44" s="10" t="n">
        <f aca="false">MIN(AC10:AC39)</f>
        <v>2</v>
      </c>
      <c r="AD44" s="11" t="s">
        <v>51</v>
      </c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  <c r="AA45" s="8"/>
      <c r="AB45" s="10"/>
      <c r="AC45" s="10"/>
      <c r="AD45" s="11"/>
    </row>
    <row r="46" customFormat="false" ht="3" hidden="false" customHeight="true" outlineLevel="0" collapsed="false">
      <c r="A46" s="29"/>
      <c r="B46" s="29"/>
      <c r="C46" s="31"/>
      <c r="D46" s="31"/>
      <c r="E46" s="31"/>
      <c r="F46" s="31"/>
      <c r="G46" s="31"/>
      <c r="H46" s="32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2"/>
      <c r="AA46" s="32"/>
      <c r="AB46" s="10"/>
      <c r="AC46" s="10"/>
      <c r="AD46" s="11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746.155785228132</v>
      </c>
      <c r="G47" s="7" t="n">
        <f aca="false">G8+G41</f>
        <v>2980.9</v>
      </c>
      <c r="H47" s="8" t="n">
        <f aca="false">H8+H41</f>
        <v>25.7</v>
      </c>
      <c r="I47" s="7" t="n">
        <f aca="false">I8+I41</f>
        <v>3006.6</v>
      </c>
      <c r="J47" s="7" t="n">
        <f aca="false">J8+J41</f>
        <v>408.111091504916</v>
      </c>
      <c r="K47" s="7" t="n">
        <f aca="false">K8+K41</f>
        <v>3414.71109150492</v>
      </c>
      <c r="L47" s="7" t="n">
        <f aca="false">L8+L41</f>
        <v>-352.244214771868</v>
      </c>
      <c r="M47" s="7" t="n">
        <f aca="false">M8+M41</f>
        <v>595.8</v>
      </c>
      <c r="N47" s="7" t="n">
        <f aca="false">N8+N41</f>
        <v>0</v>
      </c>
      <c r="O47" s="7" t="n">
        <f aca="false">O8+O41</f>
        <v>0</v>
      </c>
      <c r="P47" s="7" t="n">
        <f aca="false">P8+P41</f>
        <v>595.8</v>
      </c>
      <c r="Q47" s="7" t="n">
        <f aca="false">Q8+Q41</f>
        <v>8.2</v>
      </c>
      <c r="R47" s="7" t="n">
        <f aca="false">R8+R41</f>
        <v>215.9</v>
      </c>
      <c r="S47" s="7" t="n">
        <f aca="false">S8+S41</f>
        <v>819.9</v>
      </c>
      <c r="T47" s="7"/>
      <c r="U47" s="7" t="n">
        <f aca="false">U8+U41</f>
        <v>0</v>
      </c>
      <c r="V47" s="7" t="n">
        <f aca="false">V8+V41</f>
        <v>1088.3</v>
      </c>
      <c r="W47" s="7" t="n">
        <f aca="false">W39</f>
        <v>14151.7</v>
      </c>
      <c r="X47" s="7" t="n">
        <f aca="false">X8+X41</f>
        <v>1908.2</v>
      </c>
      <c r="Y47" s="7" t="n">
        <f aca="false">Y8+Y41</f>
        <v>760.355306276783</v>
      </c>
      <c r="Z47" s="8" t="n">
        <f aca="false">Z8+Z41</f>
        <v>2668.55530627678</v>
      </c>
      <c r="AA47" s="8" t="n">
        <f aca="false">AA8+AA41</f>
        <v>2.73</v>
      </c>
      <c r="AB47" s="10"/>
      <c r="AC47" s="10"/>
      <c r="AD47" s="11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1480</v>
      </c>
      <c r="E48" s="7" t="n">
        <f aca="false">E39</f>
        <v>144333</v>
      </c>
      <c r="F48" s="7" t="n">
        <f aca="false">F47*$D$2</f>
        <v>1480</v>
      </c>
      <c r="G48" s="7" t="n">
        <f aca="false">G47*$D$2</f>
        <v>5912.61515</v>
      </c>
      <c r="H48" s="8" t="n">
        <f aca="false">H47*$D$2</f>
        <v>50.97595</v>
      </c>
      <c r="I48" s="7" t="n">
        <f aca="false">I47*$D$2</f>
        <v>5963.5911</v>
      </c>
      <c r="J48" s="7" t="n">
        <f aca="false">J47*$D$2</f>
        <v>809.48835</v>
      </c>
      <c r="K48" s="7" t="n">
        <f aca="false">K47*$D$2</f>
        <v>6773.07945</v>
      </c>
      <c r="L48" s="7" t="n">
        <f aca="false">L47*$D$2</f>
        <v>-698.6764</v>
      </c>
      <c r="M48" s="7" t="n">
        <f aca="false">M47*$D$2</f>
        <v>1181.7693</v>
      </c>
      <c r="N48" s="7" t="n">
        <f aca="false">N47*$D$2</f>
        <v>0</v>
      </c>
      <c r="O48" s="7" t="n">
        <f aca="false">O47*$D$2</f>
        <v>0</v>
      </c>
      <c r="P48" s="7" t="n">
        <f aca="false">P47*$D$2</f>
        <v>1181.7693</v>
      </c>
      <c r="Q48" s="7" t="n">
        <f aca="false">Q47*$D$2</f>
        <v>16.2647</v>
      </c>
      <c r="R48" s="7" t="n">
        <f aca="false">R47*$D$2</f>
        <v>428.23765</v>
      </c>
      <c r="S48" s="7" t="n">
        <f aca="false">S47*$D$2</f>
        <v>1626.27165</v>
      </c>
      <c r="T48" s="7" t="n">
        <f aca="false">T47*$D$2</f>
        <v>0</v>
      </c>
      <c r="U48" s="7" t="n">
        <f aca="false">U47*$D$2</f>
        <v>0</v>
      </c>
      <c r="V48" s="7" t="n">
        <f aca="false">V47*$D$2</f>
        <v>2158.64305</v>
      </c>
      <c r="W48" s="7" t="n">
        <f aca="false">W47*$D$2</f>
        <v>28069.89695</v>
      </c>
      <c r="X48" s="7" t="n">
        <f aca="false">X47*$D$2</f>
        <v>3784.9147</v>
      </c>
      <c r="Y48" s="7" t="n">
        <f aca="false">Y47*$D$2</f>
        <v>1508.16475</v>
      </c>
      <c r="Z48" s="8" t="n">
        <f aca="false">Z47*$D$2</f>
        <v>5293.07945</v>
      </c>
      <c r="AA48" s="8"/>
      <c r="AB48" s="10"/>
      <c r="AC48" s="10"/>
      <c r="AD48" s="11"/>
    </row>
    <row r="49" customFormat="false" ht="3" hidden="false" customHeight="true" outlineLevel="0" collapsed="false">
      <c r="A49" s="29"/>
      <c r="B49" s="29"/>
      <c r="C49" s="31"/>
      <c r="D49" s="29"/>
      <c r="E49" s="31"/>
      <c r="F49" s="29"/>
      <c r="G49" s="29"/>
      <c r="H49" s="32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31"/>
      <c r="U49" s="29"/>
      <c r="V49" s="29"/>
      <c r="W49" s="31"/>
      <c r="X49" s="29"/>
      <c r="Y49" s="29"/>
      <c r="Z49" s="32"/>
      <c r="AA49" s="8"/>
      <c r="AB49" s="10"/>
      <c r="AC49" s="10"/>
      <c r="AD49" s="11"/>
    </row>
    <row r="50" customFormat="false" ht="14.1" hidden="false" customHeight="true" outlineLevel="0" collapsed="false">
      <c r="A50" s="38"/>
      <c r="B50" s="39"/>
      <c r="C50" s="7"/>
      <c r="D50" s="6"/>
      <c r="E50" s="7"/>
      <c r="F50" s="6"/>
      <c r="G50" s="6"/>
      <c r="H50" s="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7"/>
      <c r="X50" s="6"/>
      <c r="Y50" s="6"/>
      <c r="Z50" s="8"/>
      <c r="AA50" s="8"/>
      <c r="AB50" s="10"/>
      <c r="AC50" s="10"/>
      <c r="AD50" s="11"/>
    </row>
    <row r="51" customFormat="false" ht="11.1" hidden="false" customHeight="true" outlineLevel="0" collapsed="false">
      <c r="A51" s="6"/>
      <c r="B51" s="28"/>
      <c r="C51" s="7"/>
      <c r="D51" s="37"/>
      <c r="E51" s="7"/>
      <c r="F51" s="6"/>
      <c r="G51" s="6"/>
      <c r="H51" s="8"/>
      <c r="I51" s="40"/>
      <c r="J51" s="6"/>
      <c r="K51" s="41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7"/>
      <c r="X51" s="6"/>
      <c r="Y51" s="6"/>
      <c r="Z51" s="8"/>
      <c r="AA51" s="8"/>
      <c r="AB51" s="10"/>
      <c r="AC51" s="10"/>
      <c r="AD51" s="11"/>
    </row>
    <row r="52" customFormat="false" ht="11.1" hidden="false" customHeight="true" outlineLevel="0" collapsed="false">
      <c r="B52" s="37"/>
      <c r="C52" s="7"/>
      <c r="D52" s="7"/>
      <c r="E52" s="7"/>
      <c r="F52" s="37"/>
      <c r="G52" s="37"/>
      <c r="H52" s="8"/>
      <c r="I52" s="37"/>
      <c r="J52" s="37"/>
      <c r="K52" s="37"/>
      <c r="L52" s="37"/>
      <c r="M52" s="35"/>
      <c r="N52" s="35"/>
      <c r="O52" s="35"/>
      <c r="P52" s="35"/>
      <c r="Q52" s="37"/>
      <c r="R52" s="37"/>
      <c r="S52" s="37"/>
      <c r="T52" s="7"/>
      <c r="U52" s="37"/>
      <c r="V52" s="37"/>
      <c r="W52" s="7"/>
      <c r="X52" s="37"/>
      <c r="Y52" s="37"/>
      <c r="Z52" s="8"/>
      <c r="AA52" s="8"/>
      <c r="AB52" s="10"/>
      <c r="AC52" s="10"/>
      <c r="AD52" s="11"/>
    </row>
    <row r="53" customFormat="false" ht="11.1" hidden="false" customHeight="true" outlineLevel="0" collapsed="false">
      <c r="A53" s="37"/>
      <c r="B53" s="42"/>
      <c r="C53" s="7"/>
      <c r="D53" s="7"/>
      <c r="E53" s="7"/>
      <c r="F53" s="37"/>
      <c r="G53" s="37"/>
      <c r="H53" s="8"/>
      <c r="I53" s="37"/>
      <c r="J53" s="37"/>
      <c r="K53" s="37"/>
      <c r="L53" s="37"/>
      <c r="M53" s="35"/>
      <c r="N53" s="35"/>
      <c r="O53" s="35"/>
      <c r="P53" s="35"/>
      <c r="Q53" s="37"/>
      <c r="R53" s="37"/>
      <c r="S53" s="37"/>
      <c r="T53" s="7"/>
      <c r="U53" s="37"/>
      <c r="V53" s="37"/>
      <c r="W53" s="7"/>
      <c r="X53" s="37"/>
      <c r="Y53" s="37"/>
      <c r="Z53" s="8"/>
      <c r="AA53" s="8"/>
      <c r="AB53" s="10"/>
      <c r="AC53" s="10"/>
      <c r="AD53" s="11"/>
    </row>
    <row r="54" customFormat="false" ht="11.1" hidden="false" customHeight="true" outlineLevel="0" collapsed="false">
      <c r="A54" s="37"/>
      <c r="B54" s="37"/>
      <c r="C54" s="7"/>
      <c r="D54" s="37"/>
      <c r="E54" s="7"/>
      <c r="F54" s="37"/>
      <c r="G54" s="43"/>
      <c r="H54" s="8"/>
      <c r="I54" s="37"/>
      <c r="J54" s="37"/>
      <c r="K54" s="37"/>
      <c r="L54" s="37"/>
      <c r="M54" s="35"/>
      <c r="N54" s="35"/>
      <c r="O54" s="35"/>
      <c r="P54" s="37"/>
      <c r="Q54" s="37"/>
      <c r="R54" s="37"/>
      <c r="S54" s="7"/>
      <c r="T54" s="37"/>
      <c r="U54" s="37"/>
      <c r="V54" s="7"/>
      <c r="W54" s="37"/>
      <c r="X54" s="37"/>
      <c r="Y54" s="37"/>
      <c r="Z54" s="8"/>
      <c r="AA54" s="8"/>
      <c r="AB54" s="10"/>
      <c r="AC54" s="11"/>
    </row>
  </sheetData>
  <mergeCells count="1"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L21" activePane="bottomRight" state="frozen"/>
      <selection pane="topLeft" activeCell="A1" activeCellId="0" sqref="A1"/>
      <selection pane="topRight" activeCell="L1" activeCellId="0" sqref="L1"/>
      <selection pane="bottomLeft" activeCell="A21" activeCellId="0" sqref="A21"/>
      <selection pane="bottomRight" activeCell="AC40" activeCellId="0" sqref="AC4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4.66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3"/>
      <c r="AB1" s="56"/>
      <c r="AC1" s="57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53"/>
      <c r="I2" s="51"/>
      <c r="J2" s="51"/>
      <c r="K2" s="59" t="s">
        <v>55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3"/>
      <c r="AB2" s="56"/>
      <c r="AC2" s="57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3"/>
      <c r="AB3" s="56"/>
      <c r="AC3" s="57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63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63" t="s">
        <v>20</v>
      </c>
      <c r="AB4" s="64" t="s">
        <v>21</v>
      </c>
      <c r="AC4" s="64" t="s">
        <v>22</v>
      </c>
      <c r="AD4" s="64" t="s">
        <v>3</v>
      </c>
    </row>
    <row r="5" customFormat="false" ht="11.1" hidden="false" customHeight="true" outlineLevel="0" collapsed="false">
      <c r="A5" s="65" t="s">
        <v>56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63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66"/>
      <c r="AB5" s="64" t="s">
        <v>43</v>
      </c>
      <c r="AC5" s="64" t="s">
        <v>43</v>
      </c>
      <c r="AD5" s="67" t="s">
        <v>56</v>
      </c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70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69"/>
      <c r="X6" s="68"/>
      <c r="Y6" s="68"/>
      <c r="Z6" s="68"/>
      <c r="AA6" s="53"/>
      <c r="AB6" s="57"/>
      <c r="AC6" s="57"/>
      <c r="AD6" s="57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/>
      <c r="G7" s="52"/>
      <c r="H7" s="53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  <c r="AB7" s="56"/>
      <c r="AC7" s="56"/>
      <c r="AD7" s="57"/>
    </row>
    <row r="8" s="45" customFormat="true" ht="11.1" hidden="false" customHeight="true" outlineLevel="0" collapsed="false">
      <c r="A8" s="52" t="s">
        <v>45</v>
      </c>
      <c r="B8" s="71" t="n">
        <f aca="false">NOV!B39</f>
        <v>6903.41</v>
      </c>
      <c r="C8" s="52" t="n">
        <f aca="false">NOV!C39</f>
        <v>296333</v>
      </c>
      <c r="D8" s="52" t="n">
        <f aca="false">NOV!$D$48</f>
        <v>1480</v>
      </c>
      <c r="E8" s="52" t="n">
        <f aca="false">NOV!$E$39</f>
        <v>144333</v>
      </c>
      <c r="F8" s="52" t="n">
        <f aca="false">NOV!F47</f>
        <v>746.155785228132</v>
      </c>
      <c r="G8" s="52" t="n">
        <f aca="false">NOV!G47</f>
        <v>2980.9</v>
      </c>
      <c r="H8" s="53" t="n">
        <f aca="false">NOV!H47</f>
        <v>25.7</v>
      </c>
      <c r="I8" s="52" t="n">
        <f aca="false">NOV!I47</f>
        <v>3006.6</v>
      </c>
      <c r="J8" s="52" t="n">
        <f aca="false">NOV!J47</f>
        <v>408.111091504916</v>
      </c>
      <c r="K8" s="52" t="n">
        <f aca="false">NOV!K47</f>
        <v>3414.71109150492</v>
      </c>
      <c r="L8" s="52" t="n">
        <f aca="false">NOV!L47</f>
        <v>-352.244214771868</v>
      </c>
      <c r="M8" s="52" t="n">
        <f aca="false">NOV!M47</f>
        <v>595.8</v>
      </c>
      <c r="N8" s="52" t="n">
        <f aca="false">NOV!N47</f>
        <v>0</v>
      </c>
      <c r="O8" s="52" t="n">
        <f aca="false">NOV!O47</f>
        <v>0</v>
      </c>
      <c r="P8" s="52" t="n">
        <f aca="false">NOV!P47</f>
        <v>595.8</v>
      </c>
      <c r="Q8" s="52" t="n">
        <f aca="false">NOV!Q47</f>
        <v>8.2</v>
      </c>
      <c r="R8" s="52" t="n">
        <f aca="false">NOV!R47</f>
        <v>215.9</v>
      </c>
      <c r="S8" s="52" t="n">
        <f aca="false">NOV!S47</f>
        <v>819.9</v>
      </c>
      <c r="T8" s="52" t="n">
        <f aca="false">NOV!T47</f>
        <v>0</v>
      </c>
      <c r="U8" s="52" t="n">
        <f aca="false">NOV!U47</f>
        <v>0</v>
      </c>
      <c r="V8" s="52" t="n">
        <f aca="false">NOV!V47</f>
        <v>1088.3</v>
      </c>
      <c r="W8" s="52" t="n">
        <f aca="false">NOV!W47</f>
        <v>14151.7</v>
      </c>
      <c r="X8" s="52" t="n">
        <f aca="false">NOV!X47</f>
        <v>1908.2</v>
      </c>
      <c r="Y8" s="52" t="n">
        <f aca="false">NOV!Y47</f>
        <v>760.355306276783</v>
      </c>
      <c r="Z8" s="52" t="n">
        <f aca="false">NOV!Z47</f>
        <v>2668.55530627678</v>
      </c>
      <c r="AA8" s="53" t="n">
        <f aca="false">NOV!AA47</f>
        <v>2.73</v>
      </c>
      <c r="AB8" s="56"/>
      <c r="AC8" s="56"/>
      <c r="AD8" s="57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75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75"/>
      <c r="AB9" s="76"/>
      <c r="AC9" s="76"/>
      <c r="AD9" s="77"/>
    </row>
    <row r="10" customFormat="false" ht="11.1" hidden="false" customHeight="true" outlineLevel="0" collapsed="false">
      <c r="A10" s="57" t="n">
        <v>1</v>
      </c>
      <c r="B10" s="71" t="n">
        <v>6903.43</v>
      </c>
      <c r="C10" s="52" t="n">
        <v>296409</v>
      </c>
      <c r="D10" s="56" t="n">
        <f aca="false">C10-C8</f>
        <v>76</v>
      </c>
      <c r="E10" s="52" t="n">
        <f aca="false">C10-152000</f>
        <v>144409</v>
      </c>
      <c r="F10" s="51" t="n">
        <f aca="false">D10/$D$2</f>
        <v>38.3161078900933</v>
      </c>
      <c r="G10" s="51" t="n">
        <v>76.8</v>
      </c>
      <c r="H10" s="53" t="n">
        <v>0</v>
      </c>
      <c r="I10" s="51" t="n">
        <f aca="false">G10+H10</f>
        <v>76.8</v>
      </c>
      <c r="J10" s="78" t="n">
        <f aca="false">IF(L10&gt;0,L10,0)</f>
        <v>0.0161078900932736</v>
      </c>
      <c r="K10" s="51" t="n">
        <f aca="false">I10+J10</f>
        <v>76.8161078900933</v>
      </c>
      <c r="L10" s="51" t="n">
        <f aca="false">F10-(I10-X10)</f>
        <v>0.0161078900932736</v>
      </c>
      <c r="M10" s="51" t="n">
        <v>2.8</v>
      </c>
      <c r="N10" s="51" t="n">
        <v>0</v>
      </c>
      <c r="O10" s="51" t="n">
        <v>0</v>
      </c>
      <c r="P10" s="6" t="n">
        <f aca="false">M10-(N10+O10)</f>
        <v>2.8</v>
      </c>
      <c r="Q10" s="51" t="n">
        <v>0</v>
      </c>
      <c r="R10" s="51" t="n">
        <v>0</v>
      </c>
      <c r="S10" s="51" t="n">
        <f aca="false">SUM(P10:R10)</f>
        <v>2.8</v>
      </c>
      <c r="T10" s="52"/>
      <c r="U10" s="51" t="n">
        <v>0</v>
      </c>
      <c r="V10" s="51" t="n">
        <v>35.7</v>
      </c>
      <c r="W10" s="52" t="n">
        <f aca="false">W8-V10</f>
        <v>14116</v>
      </c>
      <c r="X10" s="6" t="n">
        <f aca="false">N10+O10+S10+U10+V10</f>
        <v>38.5</v>
      </c>
      <c r="Y10" s="51" t="n">
        <f aca="false">IF(L10&lt;0,L10*-1,0)</f>
        <v>0</v>
      </c>
      <c r="Z10" s="51" t="n">
        <f aca="false">X10+Y10</f>
        <v>38.5</v>
      </c>
      <c r="AA10" s="53" t="n">
        <v>0.1</v>
      </c>
      <c r="AB10" s="56" t="n">
        <v>30</v>
      </c>
      <c r="AC10" s="56" t="n">
        <v>12</v>
      </c>
      <c r="AD10" s="57" t="n">
        <v>1</v>
      </c>
    </row>
    <row r="11" customFormat="false" ht="11.1" hidden="false" customHeight="true" outlineLevel="0" collapsed="false">
      <c r="A11" s="57" t="n">
        <f aca="false">A10+1</f>
        <v>2</v>
      </c>
      <c r="B11" s="71" t="n">
        <v>6903.43</v>
      </c>
      <c r="C11" s="52" t="n">
        <v>296409</v>
      </c>
      <c r="D11" s="56" t="n">
        <f aca="false">C11-C10</f>
        <v>0</v>
      </c>
      <c r="E11" s="52" t="n">
        <f aca="false">C11-152000</f>
        <v>144409</v>
      </c>
      <c r="F11" s="51" t="n">
        <f aca="false">D11/$D$2</f>
        <v>0</v>
      </c>
      <c r="G11" s="51" t="n">
        <v>37.9</v>
      </c>
      <c r="H11" s="53" t="n">
        <v>0</v>
      </c>
      <c r="I11" s="51" t="n">
        <f aca="false">G11+H11</f>
        <v>37.9</v>
      </c>
      <c r="J11" s="78" t="n">
        <f aca="false">IF(L11&gt;0,L11,0)</f>
        <v>0</v>
      </c>
      <c r="K11" s="51" t="n">
        <f aca="false">I11+J11</f>
        <v>37.9</v>
      </c>
      <c r="L11" s="51" t="n">
        <f aca="false">F11-(I11-X11)</f>
        <v>0</v>
      </c>
      <c r="M11" s="51" t="n">
        <v>2.8</v>
      </c>
      <c r="N11" s="51" t="n">
        <v>0</v>
      </c>
      <c r="O11" s="51" t="n">
        <v>0</v>
      </c>
      <c r="P11" s="6" t="n">
        <f aca="false">M11-(N11+O11)</f>
        <v>2.8</v>
      </c>
      <c r="Q11" s="51" t="n">
        <v>0</v>
      </c>
      <c r="R11" s="51" t="n">
        <v>0</v>
      </c>
      <c r="S11" s="51" t="n">
        <f aca="false">SUM(P11:R11)</f>
        <v>2.8</v>
      </c>
      <c r="T11" s="52"/>
      <c r="U11" s="51" t="n">
        <v>0</v>
      </c>
      <c r="V11" s="51" t="n">
        <v>35.1</v>
      </c>
      <c r="W11" s="52" t="n">
        <f aca="false">W10-V11</f>
        <v>14080.9</v>
      </c>
      <c r="X11" s="6" t="n">
        <f aca="false">N11+O11+S11+U11+V11</f>
        <v>37.9</v>
      </c>
      <c r="Y11" s="51" t="n">
        <f aca="false">IF(L11&lt;0,L11*-1,0)</f>
        <v>0</v>
      </c>
      <c r="Z11" s="51" t="n">
        <f aca="false">X11+Y11</f>
        <v>37.9</v>
      </c>
      <c r="AA11" s="53" t="n">
        <v>0</v>
      </c>
      <c r="AB11" s="56" t="n">
        <v>25</v>
      </c>
      <c r="AC11" s="56" t="n">
        <v>11</v>
      </c>
      <c r="AD11" s="57" t="n">
        <f aca="false">AD10+1</f>
        <v>2</v>
      </c>
    </row>
    <row r="12" customFormat="false" ht="11.1" hidden="false" customHeight="true" outlineLevel="0" collapsed="false">
      <c r="A12" s="57" t="n">
        <f aca="false">A11+1</f>
        <v>3</v>
      </c>
      <c r="B12" s="71" t="n">
        <v>6903.44</v>
      </c>
      <c r="C12" s="52" t="n">
        <v>296446</v>
      </c>
      <c r="D12" s="56" t="n">
        <f aca="false">C12-C11</f>
        <v>37</v>
      </c>
      <c r="E12" s="52" t="n">
        <f aca="false">C12-152000</f>
        <v>144446</v>
      </c>
      <c r="F12" s="51" t="n">
        <f aca="false">D12/$D$2</f>
        <v>18.6538946307033</v>
      </c>
      <c r="G12" s="51" t="n">
        <v>56.7</v>
      </c>
      <c r="H12" s="53" t="n">
        <v>0</v>
      </c>
      <c r="I12" s="51" t="n">
        <f aca="false">G12+H12</f>
        <v>56.7</v>
      </c>
      <c r="J12" s="78" t="n">
        <f aca="false">IF(L12&gt;0,L12,0)</f>
        <v>0</v>
      </c>
      <c r="K12" s="51" t="n">
        <f aca="false">I12+J12</f>
        <v>56.7</v>
      </c>
      <c r="L12" s="51" t="n">
        <f aca="false">F12-(I12-X12)</f>
        <v>-0.0461053692967006</v>
      </c>
      <c r="M12" s="51" t="n">
        <v>2.6</v>
      </c>
      <c r="N12" s="51" t="n">
        <v>0</v>
      </c>
      <c r="O12" s="51" t="n">
        <v>0</v>
      </c>
      <c r="P12" s="6" t="n">
        <f aca="false">M12-(N12+O12)</f>
        <v>2.6</v>
      </c>
      <c r="Q12" s="51" t="n">
        <v>0</v>
      </c>
      <c r="R12" s="51" t="n">
        <v>0</v>
      </c>
      <c r="S12" s="51" t="n">
        <f aca="false">SUM(P12:R12)</f>
        <v>2.6</v>
      </c>
      <c r="T12" s="52"/>
      <c r="U12" s="51" t="n">
        <v>0</v>
      </c>
      <c r="V12" s="51" t="n">
        <v>35.4</v>
      </c>
      <c r="W12" s="52" t="n">
        <f aca="false">W11-V12</f>
        <v>14045.5</v>
      </c>
      <c r="X12" s="6" t="n">
        <f aca="false">N12+O12+S12+U12+V12</f>
        <v>38</v>
      </c>
      <c r="Y12" s="51" t="n">
        <f aca="false">IF(L12&lt;0,L12*-1,0)</f>
        <v>0.0461053692967006</v>
      </c>
      <c r="Z12" s="51" t="n">
        <f aca="false">X12+Y12</f>
        <v>38.0461053692967</v>
      </c>
      <c r="AA12" s="53" t="n">
        <v>0</v>
      </c>
      <c r="AB12" s="56" t="n">
        <v>34</v>
      </c>
      <c r="AC12" s="56" t="n">
        <v>7</v>
      </c>
      <c r="AD12" s="57" t="n">
        <f aca="false">AD11+1</f>
        <v>3</v>
      </c>
    </row>
    <row r="13" customFormat="false" ht="11.1" hidden="false" customHeight="true" outlineLevel="0" collapsed="false">
      <c r="A13" s="57" t="n">
        <f aca="false">A12+1</f>
        <v>4</v>
      </c>
      <c r="B13" s="71" t="n">
        <v>6903.44</v>
      </c>
      <c r="C13" s="52" t="n">
        <v>296446</v>
      </c>
      <c r="D13" s="56" t="n">
        <f aca="false">C13-C12</f>
        <v>0</v>
      </c>
      <c r="E13" s="52" t="n">
        <f aca="false">C13-152000</f>
        <v>144446</v>
      </c>
      <c r="F13" s="51" t="n">
        <f aca="false">D13/$D$2</f>
        <v>0</v>
      </c>
      <c r="G13" s="51" t="n">
        <v>37.9</v>
      </c>
      <c r="H13" s="53" t="n">
        <v>0</v>
      </c>
      <c r="I13" s="51" t="n">
        <f aca="false">G13+H13</f>
        <v>37.9</v>
      </c>
      <c r="J13" s="78" t="n">
        <f aca="false">IF(L13&gt;0,L13,0)</f>
        <v>0</v>
      </c>
      <c r="K13" s="51" t="n">
        <f aca="false">I13+J13</f>
        <v>37.9</v>
      </c>
      <c r="L13" s="51" t="n">
        <f aca="false">F13-(I13-X13)</f>
        <v>0</v>
      </c>
      <c r="M13" s="51" t="n">
        <v>2.2</v>
      </c>
      <c r="N13" s="51" t="n">
        <v>0</v>
      </c>
      <c r="O13" s="51" t="n">
        <v>0</v>
      </c>
      <c r="P13" s="6" t="n">
        <f aca="false">M13-(N13+O13)</f>
        <v>2.2</v>
      </c>
      <c r="Q13" s="51" t="n">
        <v>0</v>
      </c>
      <c r="R13" s="51" t="n">
        <v>0</v>
      </c>
      <c r="S13" s="51" t="n">
        <f aca="false">SUM(P13:R13)</f>
        <v>2.2</v>
      </c>
      <c r="T13" s="52"/>
      <c r="U13" s="51" t="n">
        <v>0</v>
      </c>
      <c r="V13" s="51" t="n">
        <v>35.7</v>
      </c>
      <c r="W13" s="52" t="n">
        <f aca="false">W12-V13</f>
        <v>14009.8</v>
      </c>
      <c r="X13" s="6" t="n">
        <f aca="false">N13+O13+S13+U13+V13</f>
        <v>37.9</v>
      </c>
      <c r="Y13" s="51" t="n">
        <f aca="false">IF(L13&lt;0,L13*-1,0)</f>
        <v>0</v>
      </c>
      <c r="Z13" s="51" t="n">
        <f aca="false">X13+Y13</f>
        <v>37.9</v>
      </c>
      <c r="AA13" s="53" t="n">
        <v>0</v>
      </c>
      <c r="AB13" s="56" t="n">
        <v>36</v>
      </c>
      <c r="AC13" s="56" t="n">
        <v>6</v>
      </c>
      <c r="AD13" s="57" t="n">
        <f aca="false">AD12+1</f>
        <v>4</v>
      </c>
    </row>
    <row r="14" customFormat="false" ht="11.1" hidden="false" customHeight="true" outlineLevel="0" collapsed="false">
      <c r="A14" s="57" t="n">
        <f aca="false">A13+1</f>
        <v>5</v>
      </c>
      <c r="B14" s="71" t="n">
        <v>6903.44</v>
      </c>
      <c r="C14" s="52" t="n">
        <v>296446</v>
      </c>
      <c r="D14" s="56" t="n">
        <f aca="false">C14-C13</f>
        <v>0</v>
      </c>
      <c r="E14" s="52" t="n">
        <f aca="false">C14-152000</f>
        <v>144446</v>
      </c>
      <c r="F14" s="51" t="n">
        <f aca="false">D14/$D$2</f>
        <v>0</v>
      </c>
      <c r="G14" s="51" t="n">
        <v>38.8</v>
      </c>
      <c r="H14" s="53" t="n">
        <v>0</v>
      </c>
      <c r="I14" s="51" t="n">
        <f aca="false">G14+H14</f>
        <v>38.8</v>
      </c>
      <c r="J14" s="78" t="n">
        <f aca="false">IF(L14&gt;0,L14,0)</f>
        <v>0</v>
      </c>
      <c r="K14" s="51" t="n">
        <f aca="false">I14+J14</f>
        <v>38.8</v>
      </c>
      <c r="L14" s="51" t="n">
        <f aca="false">F14-(I14-X14)</f>
        <v>0</v>
      </c>
      <c r="M14" s="51" t="n">
        <v>2.7</v>
      </c>
      <c r="N14" s="51" t="n">
        <v>0</v>
      </c>
      <c r="O14" s="51" t="n">
        <v>0</v>
      </c>
      <c r="P14" s="6" t="n">
        <f aca="false">M14-(N14+O14)</f>
        <v>2.7</v>
      </c>
      <c r="Q14" s="51" t="n">
        <v>0</v>
      </c>
      <c r="R14" s="51" t="n">
        <v>0</v>
      </c>
      <c r="S14" s="51" t="n">
        <f aca="false">SUM(P14:R14)</f>
        <v>2.7</v>
      </c>
      <c r="T14" s="52"/>
      <c r="U14" s="51" t="n">
        <v>0</v>
      </c>
      <c r="V14" s="51" t="n">
        <v>36.1</v>
      </c>
      <c r="W14" s="52" t="n">
        <f aca="false">W13-V14</f>
        <v>13973.7</v>
      </c>
      <c r="X14" s="6" t="n">
        <f aca="false">N14+O14+S14+U14+V14</f>
        <v>38.8</v>
      </c>
      <c r="Y14" s="51" t="n">
        <f aca="false">IF(L14&lt;0,L14*-1,0)</f>
        <v>0</v>
      </c>
      <c r="Z14" s="51" t="n">
        <f aca="false">X14+Y14</f>
        <v>38.8</v>
      </c>
      <c r="AA14" s="53" t="n">
        <v>0</v>
      </c>
      <c r="AB14" s="56" t="n">
        <v>40</v>
      </c>
      <c r="AC14" s="56" t="n">
        <v>12</v>
      </c>
      <c r="AD14" s="57" t="n">
        <f aca="false">AD13+1</f>
        <v>5</v>
      </c>
    </row>
    <row r="15" customFormat="false" ht="11.1" hidden="false" customHeight="true" outlineLevel="0" collapsed="false">
      <c r="A15" s="57" t="n">
        <f aca="false">A14+1</f>
        <v>6</v>
      </c>
      <c r="B15" s="71" t="n">
        <v>6903.46</v>
      </c>
      <c r="C15" s="52" t="n">
        <v>296522</v>
      </c>
      <c r="D15" s="56" t="n">
        <f aca="false">C15-C14</f>
        <v>76</v>
      </c>
      <c r="E15" s="52" t="n">
        <f aca="false">C15-152000</f>
        <v>144522</v>
      </c>
      <c r="F15" s="51" t="n">
        <f aca="false">D15/$D$2</f>
        <v>38.3161078900933</v>
      </c>
      <c r="G15" s="51" t="n">
        <v>77.7</v>
      </c>
      <c r="H15" s="53" t="n">
        <v>0</v>
      </c>
      <c r="I15" s="51" t="n">
        <f aca="false">G15+H15</f>
        <v>77.7</v>
      </c>
      <c r="J15" s="78" t="n">
        <f aca="false">IF(L15&gt;0,L15,0)</f>
        <v>0</v>
      </c>
      <c r="K15" s="51" t="n">
        <f aca="false">I15+J15</f>
        <v>77.7</v>
      </c>
      <c r="L15" s="51" t="n">
        <f aca="false">F15-(I15-X15)</f>
        <v>-0.0838921099067349</v>
      </c>
      <c r="M15" s="51" t="n">
        <v>2.8</v>
      </c>
      <c r="N15" s="51" t="n">
        <v>0</v>
      </c>
      <c r="O15" s="51" t="n">
        <v>0</v>
      </c>
      <c r="P15" s="6" t="n">
        <f aca="false">M15-(N15+O15)</f>
        <v>2.8</v>
      </c>
      <c r="Q15" s="51" t="n">
        <v>0</v>
      </c>
      <c r="R15" s="51" t="n">
        <v>0</v>
      </c>
      <c r="S15" s="51" t="n">
        <f aca="false">SUM(P15:R15)</f>
        <v>2.8</v>
      </c>
      <c r="T15" s="52"/>
      <c r="U15" s="51" t="n">
        <v>0</v>
      </c>
      <c r="V15" s="51" t="n">
        <v>36.5</v>
      </c>
      <c r="W15" s="52" t="n">
        <f aca="false">W14-V15</f>
        <v>13937.2</v>
      </c>
      <c r="X15" s="6" t="n">
        <f aca="false">N15+O15+S15+U15+V15</f>
        <v>39.3</v>
      </c>
      <c r="Y15" s="51" t="n">
        <f aca="false">IF(L15&lt;0,L15*-1,0)</f>
        <v>0.0838921099067349</v>
      </c>
      <c r="Z15" s="51" t="n">
        <f aca="false">X15+Y15</f>
        <v>39.3838921099067</v>
      </c>
      <c r="AA15" s="53" t="n">
        <v>0</v>
      </c>
      <c r="AB15" s="56" t="n">
        <v>43</v>
      </c>
      <c r="AC15" s="56" t="n">
        <v>16</v>
      </c>
      <c r="AD15" s="57" t="n">
        <f aca="false">AD14+1</f>
        <v>6</v>
      </c>
    </row>
    <row r="16" customFormat="false" ht="11.1" hidden="false" customHeight="true" outlineLevel="0" collapsed="false">
      <c r="A16" s="57" t="n">
        <f aca="false">A15+1</f>
        <v>7</v>
      </c>
      <c r="B16" s="71" t="n">
        <v>6903.46</v>
      </c>
      <c r="C16" s="52" t="n">
        <v>296522</v>
      </c>
      <c r="D16" s="56" t="n">
        <f aca="false">C16-C15</f>
        <v>0</v>
      </c>
      <c r="E16" s="52" t="n">
        <f aca="false">C16-152000</f>
        <v>144522</v>
      </c>
      <c r="F16" s="51" t="n">
        <f aca="false">D16/$D$2</f>
        <v>0</v>
      </c>
      <c r="G16" s="51" t="n">
        <v>39</v>
      </c>
      <c r="H16" s="53" t="n">
        <v>0</v>
      </c>
      <c r="I16" s="51" t="n">
        <f aca="false">G16+H16</f>
        <v>39</v>
      </c>
      <c r="J16" s="78" t="n">
        <f aca="false">IF(L16&gt;0,L16,0)</f>
        <v>0</v>
      </c>
      <c r="K16" s="51" t="n">
        <f aca="false">I16+J16</f>
        <v>39</v>
      </c>
      <c r="L16" s="51" t="n">
        <f aca="false">F16-(I16-X16)</f>
        <v>0</v>
      </c>
      <c r="M16" s="51" t="n">
        <v>2.5</v>
      </c>
      <c r="N16" s="51" t="n">
        <v>0</v>
      </c>
      <c r="O16" s="51" t="n">
        <v>0</v>
      </c>
      <c r="P16" s="6" t="n">
        <f aca="false">M16-(N16+O16)</f>
        <v>2.5</v>
      </c>
      <c r="Q16" s="51" t="n">
        <v>0</v>
      </c>
      <c r="R16" s="51" t="n">
        <v>0</v>
      </c>
      <c r="S16" s="51" t="n">
        <f aca="false">SUM(P16:R16)</f>
        <v>2.5</v>
      </c>
      <c r="T16" s="52"/>
      <c r="U16" s="51" t="n">
        <v>0</v>
      </c>
      <c r="V16" s="51" t="n">
        <v>36.5</v>
      </c>
      <c r="W16" s="52" t="n">
        <f aca="false">W15-V16</f>
        <v>13900.7</v>
      </c>
      <c r="X16" s="6" t="n">
        <f aca="false">N16+O16+S16+U16+V16</f>
        <v>39</v>
      </c>
      <c r="Y16" s="51" t="n">
        <f aca="false">IF(L16&lt;0,L16*-1,0)</f>
        <v>0</v>
      </c>
      <c r="Z16" s="51" t="n">
        <f aca="false">X16+Y16</f>
        <v>39</v>
      </c>
      <c r="AA16" s="53" t="n">
        <v>0</v>
      </c>
      <c r="AB16" s="56" t="n">
        <v>47</v>
      </c>
      <c r="AC16" s="56" t="n">
        <v>17</v>
      </c>
      <c r="AD16" s="57" t="n">
        <f aca="false">AD15+1</f>
        <v>7</v>
      </c>
    </row>
    <row r="17" customFormat="false" ht="11.1" hidden="false" customHeight="true" outlineLevel="0" collapsed="false">
      <c r="A17" s="57" t="n">
        <f aca="false">A16+1</f>
        <v>8</v>
      </c>
      <c r="B17" s="71" t="n">
        <v>6903.48</v>
      </c>
      <c r="C17" s="52" t="n">
        <v>296598</v>
      </c>
      <c r="D17" s="56" t="n">
        <f aca="false">C17-C16</f>
        <v>76</v>
      </c>
      <c r="E17" s="52" t="n">
        <f aca="false">C17-152000</f>
        <v>144598</v>
      </c>
      <c r="F17" s="51" t="n">
        <f aca="false">D17/$D$2</f>
        <v>38.3161078900933</v>
      </c>
      <c r="G17" s="51" t="n">
        <v>77.3</v>
      </c>
      <c r="H17" s="53" t="n">
        <v>0</v>
      </c>
      <c r="I17" s="51" t="n">
        <f aca="false">G17+H17</f>
        <v>77.3</v>
      </c>
      <c r="J17" s="78" t="n">
        <f aca="false">IF(L17&gt;0,L17,0)</f>
        <v>0.0161078900932736</v>
      </c>
      <c r="K17" s="51" t="n">
        <f aca="false">I17+J17</f>
        <v>77.3161078900933</v>
      </c>
      <c r="L17" s="51" t="n">
        <f aca="false">F17-(I17-X17)</f>
        <v>0.0161078900932736</v>
      </c>
      <c r="M17" s="51" t="n">
        <v>2.5</v>
      </c>
      <c r="N17" s="51" t="n">
        <v>0</v>
      </c>
      <c r="O17" s="51" t="n">
        <v>0</v>
      </c>
      <c r="P17" s="6" t="n">
        <f aca="false">M17-(N17+O17)</f>
        <v>2.5</v>
      </c>
      <c r="Q17" s="51" t="n">
        <v>0</v>
      </c>
      <c r="R17" s="51" t="n">
        <v>0</v>
      </c>
      <c r="S17" s="51" t="n">
        <f aca="false">SUM(P17:R17)</f>
        <v>2.5</v>
      </c>
      <c r="T17" s="52"/>
      <c r="U17" s="51" t="n">
        <v>0</v>
      </c>
      <c r="V17" s="51" t="n">
        <v>36.5</v>
      </c>
      <c r="W17" s="52" t="n">
        <f aca="false">W16-V17</f>
        <v>13864.2</v>
      </c>
      <c r="X17" s="6" t="n">
        <f aca="false">N17+O17+S17+U17+V17</f>
        <v>39</v>
      </c>
      <c r="Y17" s="51" t="n">
        <f aca="false">IF(L17&lt;0,L17*-1,0)</f>
        <v>0</v>
      </c>
      <c r="Z17" s="51" t="n">
        <f aca="false">X17+Y17</f>
        <v>39</v>
      </c>
      <c r="AA17" s="53" t="n">
        <v>0</v>
      </c>
      <c r="AB17" s="56" t="n">
        <v>49</v>
      </c>
      <c r="AC17" s="56" t="n">
        <v>20</v>
      </c>
      <c r="AD17" s="57" t="n">
        <f aca="false">AD16+1</f>
        <v>8</v>
      </c>
    </row>
    <row r="18" customFormat="false" ht="11.1" hidden="false" customHeight="true" outlineLevel="0" collapsed="false">
      <c r="A18" s="57" t="n">
        <f aca="false">A17+1</f>
        <v>9</v>
      </c>
      <c r="B18" s="71" t="n">
        <v>6903.49</v>
      </c>
      <c r="C18" s="52" t="n">
        <v>296637</v>
      </c>
      <c r="D18" s="56" t="n">
        <f aca="false">C18-C17</f>
        <v>39</v>
      </c>
      <c r="E18" s="52" t="n">
        <f aca="false">C18-152000</f>
        <v>144637</v>
      </c>
      <c r="F18" s="51" t="n">
        <f aca="false">D18/$D$2</f>
        <v>19.66221325939</v>
      </c>
      <c r="G18" s="51" t="n">
        <v>59.4</v>
      </c>
      <c r="H18" s="53" t="n">
        <v>0</v>
      </c>
      <c r="I18" s="51" t="n">
        <f aca="false">G18+H18</f>
        <v>59.4</v>
      </c>
      <c r="J18" s="78" t="n">
        <f aca="false">IF(L18&gt;0,L18,0)</f>
        <v>0.26221325938997</v>
      </c>
      <c r="K18" s="51" t="n">
        <f aca="false">I18+J18</f>
        <v>59.66221325939</v>
      </c>
      <c r="L18" s="51" t="n">
        <f aca="false">F18-(I18-X18)</f>
        <v>0.26221325938997</v>
      </c>
      <c r="M18" s="51" t="n">
        <v>3.5</v>
      </c>
      <c r="N18" s="51" t="n">
        <v>0</v>
      </c>
      <c r="O18" s="51" t="n">
        <v>0</v>
      </c>
      <c r="P18" s="6" t="n">
        <f aca="false">M18-(N18+O18)</f>
        <v>3.5</v>
      </c>
      <c r="Q18" s="51" t="n">
        <v>0</v>
      </c>
      <c r="R18" s="51" t="n">
        <v>0</v>
      </c>
      <c r="S18" s="51" t="n">
        <f aca="false">SUM(P18:R18)</f>
        <v>3.5</v>
      </c>
      <c r="T18" s="52"/>
      <c r="U18" s="51" t="n">
        <v>0</v>
      </c>
      <c r="V18" s="51" t="n">
        <v>36.5</v>
      </c>
      <c r="W18" s="52" t="n">
        <f aca="false">W17-V18</f>
        <v>13827.7</v>
      </c>
      <c r="X18" s="6" t="n">
        <f aca="false">N18+O18+S18+U18+V18</f>
        <v>40</v>
      </c>
      <c r="Y18" s="51" t="n">
        <f aca="false">IF(L18&lt;0,L18*-1,0)</f>
        <v>0</v>
      </c>
      <c r="Z18" s="51" t="n">
        <f aca="false">X18+Y18</f>
        <v>40</v>
      </c>
      <c r="AA18" s="53" t="n">
        <v>0</v>
      </c>
      <c r="AB18" s="79" t="n">
        <v>45</v>
      </c>
      <c r="AC18" s="56" t="n">
        <v>22</v>
      </c>
      <c r="AD18" s="57" t="n">
        <f aca="false">AD17+1</f>
        <v>9</v>
      </c>
    </row>
    <row r="19" customFormat="false" ht="11.1" hidden="false" customHeight="true" outlineLevel="0" collapsed="false">
      <c r="A19" s="57" t="n">
        <f aca="false">A18+1</f>
        <v>10</v>
      </c>
      <c r="B19" s="71" t="n">
        <v>6903.51</v>
      </c>
      <c r="C19" s="52" t="n">
        <v>296711</v>
      </c>
      <c r="D19" s="56" t="n">
        <f aca="false">C19-C18</f>
        <v>74</v>
      </c>
      <c r="E19" s="52" t="n">
        <f aca="false">C19-152000</f>
        <v>144711</v>
      </c>
      <c r="F19" s="51" t="n">
        <f aca="false">D19/$D$2</f>
        <v>37.3077892614066</v>
      </c>
      <c r="G19" s="51" t="n">
        <v>74.2</v>
      </c>
      <c r="H19" s="53" t="n">
        <v>0</v>
      </c>
      <c r="I19" s="51" t="n">
        <f aca="false">G19+H19</f>
        <v>74.2</v>
      </c>
      <c r="J19" s="78" t="n">
        <f aca="false">IF(L19&gt;0,L19,0)</f>
        <v>0.0077892614066073</v>
      </c>
      <c r="K19" s="51" t="n">
        <f aca="false">I19+J19</f>
        <v>74.2077892614066</v>
      </c>
      <c r="L19" s="51" t="n">
        <f aca="false">F19-(I19-X19)</f>
        <v>0.0077892614066073</v>
      </c>
      <c r="M19" s="51" t="n">
        <v>3.7</v>
      </c>
      <c r="N19" s="51" t="n">
        <v>0</v>
      </c>
      <c r="O19" s="51" t="n">
        <v>0</v>
      </c>
      <c r="P19" s="6" t="n">
        <f aca="false">M19-(N19+O19)</f>
        <v>3.7</v>
      </c>
      <c r="Q19" s="51" t="n">
        <v>0</v>
      </c>
      <c r="R19" s="51" t="n">
        <v>0</v>
      </c>
      <c r="S19" s="51" t="n">
        <f aca="false">SUM(P19:R19)</f>
        <v>3.7</v>
      </c>
      <c r="T19" s="52"/>
      <c r="U19" s="51" t="n">
        <v>0</v>
      </c>
      <c r="V19" s="51" t="n">
        <v>33.2</v>
      </c>
      <c r="W19" s="52" t="n">
        <f aca="false">W18-V19</f>
        <v>13794.5</v>
      </c>
      <c r="X19" s="6" t="n">
        <f aca="false">N19+O19+S19+U19+V19</f>
        <v>36.9</v>
      </c>
      <c r="Y19" s="51" t="n">
        <f aca="false">IF(L19&lt;0,L19*-1,0)</f>
        <v>0</v>
      </c>
      <c r="Z19" s="51" t="n">
        <f aca="false">X19+Y19</f>
        <v>36.9</v>
      </c>
      <c r="AA19" s="53" t="n">
        <v>0.2</v>
      </c>
      <c r="AB19" s="56" t="n">
        <v>48</v>
      </c>
      <c r="AC19" s="56" t="n">
        <v>20</v>
      </c>
      <c r="AD19" s="57" t="n">
        <f aca="false">AD18+1</f>
        <v>10</v>
      </c>
    </row>
    <row r="20" customFormat="false" ht="11.1" hidden="false" customHeight="true" outlineLevel="0" collapsed="false">
      <c r="A20" s="57" t="n">
        <f aca="false">A19+1</f>
        <v>11</v>
      </c>
      <c r="B20" s="71" t="n">
        <v>6903.52</v>
      </c>
      <c r="C20" s="52" t="n">
        <v>296750</v>
      </c>
      <c r="D20" s="56" t="n">
        <f aca="false">C20-C19</f>
        <v>39</v>
      </c>
      <c r="E20" s="52" t="n">
        <f aca="false">C20-152000</f>
        <v>144750</v>
      </c>
      <c r="F20" s="51" t="n">
        <f aca="false">D20/$D$2</f>
        <v>19.66221325939</v>
      </c>
      <c r="G20" s="51" t="n">
        <v>53.8</v>
      </c>
      <c r="H20" s="53" t="n">
        <v>0</v>
      </c>
      <c r="I20" s="51" t="n">
        <f aca="false">G20+H20</f>
        <v>53.8</v>
      </c>
      <c r="J20" s="78" t="n">
        <f aca="false">IF(L20&gt;0,L20,0)</f>
        <v>0</v>
      </c>
      <c r="K20" s="51" t="n">
        <f aca="false">I20+J20</f>
        <v>53.8</v>
      </c>
      <c r="L20" s="51" t="n">
        <f aca="false">F20-(I20-X20)</f>
        <v>-0.0377867406100272</v>
      </c>
      <c r="M20" s="51" t="n">
        <v>3.4</v>
      </c>
      <c r="N20" s="51" t="n">
        <v>0</v>
      </c>
      <c r="O20" s="51" t="n">
        <v>0</v>
      </c>
      <c r="P20" s="6" t="n">
        <f aca="false">M20-(N20+O20)</f>
        <v>3.4</v>
      </c>
      <c r="Q20" s="51" t="n">
        <v>0</v>
      </c>
      <c r="R20" s="51" t="n">
        <v>0</v>
      </c>
      <c r="S20" s="51" t="n">
        <f aca="false">SUM(P20:R20)</f>
        <v>3.4</v>
      </c>
      <c r="T20" s="52"/>
      <c r="U20" s="51" t="n">
        <v>0</v>
      </c>
      <c r="V20" s="51" t="n">
        <v>30.7</v>
      </c>
      <c r="W20" s="52" t="n">
        <f aca="false">W19-V20</f>
        <v>13763.8</v>
      </c>
      <c r="X20" s="6" t="n">
        <f aca="false">N20+O20+S20+U20+V20</f>
        <v>34.1</v>
      </c>
      <c r="Y20" s="51" t="n">
        <f aca="false">IF(L20&lt;0,L20*-1,0)</f>
        <v>0.0377867406100272</v>
      </c>
      <c r="Z20" s="51" t="n">
        <f aca="false">X20+Y20</f>
        <v>34.13778674061</v>
      </c>
      <c r="AA20" s="53" t="n">
        <v>0</v>
      </c>
      <c r="AB20" s="56" t="n">
        <v>38</v>
      </c>
      <c r="AC20" s="56" t="n">
        <v>18</v>
      </c>
      <c r="AD20" s="57" t="n">
        <f aca="false">AD19+1</f>
        <v>11</v>
      </c>
    </row>
    <row r="21" customFormat="false" ht="11.1" hidden="false" customHeight="true" outlineLevel="0" collapsed="false">
      <c r="A21" s="57" t="n">
        <f aca="false">A20+1</f>
        <v>12</v>
      </c>
      <c r="B21" s="71" t="n">
        <v>6903.53</v>
      </c>
      <c r="C21" s="52" t="n">
        <v>296787</v>
      </c>
      <c r="D21" s="56" t="n">
        <f aca="false">C21-C20</f>
        <v>37</v>
      </c>
      <c r="E21" s="52" t="n">
        <f aca="false">C21-152000</f>
        <v>144787</v>
      </c>
      <c r="F21" s="51" t="n">
        <f aca="false">D21/$D$2</f>
        <v>18.6538946307033</v>
      </c>
      <c r="G21" s="51" t="n">
        <v>52.5</v>
      </c>
      <c r="H21" s="53" t="n">
        <v>0</v>
      </c>
      <c r="I21" s="51" t="n">
        <f aca="false">G21+H21</f>
        <v>52.5</v>
      </c>
      <c r="J21" s="78" t="n">
        <f aca="false">IF(L21&gt;0,L21,0)</f>
        <v>0.0538946307033008</v>
      </c>
      <c r="K21" s="51" t="n">
        <f aca="false">I21+J21</f>
        <v>52.5538946307033</v>
      </c>
      <c r="L21" s="51" t="n">
        <f aca="false">F21-(I21-X21)</f>
        <v>0.0538946307033008</v>
      </c>
      <c r="M21" s="51" t="n">
        <v>3.4</v>
      </c>
      <c r="N21" s="51" t="n">
        <v>0</v>
      </c>
      <c r="O21" s="51" t="n">
        <v>0</v>
      </c>
      <c r="P21" s="6" t="n">
        <f aca="false">M21-(N21+O21)</f>
        <v>3.4</v>
      </c>
      <c r="Q21" s="51" t="n">
        <v>0</v>
      </c>
      <c r="R21" s="51" t="n">
        <v>0</v>
      </c>
      <c r="S21" s="51" t="n">
        <f aca="false">SUM(P21:R21)</f>
        <v>3.4</v>
      </c>
      <c r="T21" s="52"/>
      <c r="U21" s="51" t="n">
        <v>0</v>
      </c>
      <c r="V21" s="51" t="n">
        <v>30.5</v>
      </c>
      <c r="W21" s="52" t="n">
        <f aca="false">W20-V21</f>
        <v>13733.3</v>
      </c>
      <c r="X21" s="6" t="n">
        <f aca="false">N21+O21+S21+U21+V21</f>
        <v>33.9</v>
      </c>
      <c r="Y21" s="51" t="n">
        <f aca="false">IF(L21&lt;0,L21*-1,0)</f>
        <v>0</v>
      </c>
      <c r="Z21" s="51" t="n">
        <f aca="false">X21+Y21</f>
        <v>33.9</v>
      </c>
      <c r="AA21" s="53" t="n">
        <v>0</v>
      </c>
      <c r="AB21" s="56" t="n">
        <v>34</v>
      </c>
      <c r="AC21" s="56" t="n">
        <v>20</v>
      </c>
      <c r="AD21" s="57" t="n">
        <f aca="false">AD20+1</f>
        <v>12</v>
      </c>
    </row>
    <row r="22" customFormat="false" ht="11.1" hidden="false" customHeight="true" outlineLevel="0" collapsed="false">
      <c r="A22" s="57" t="n">
        <f aca="false">A21+1</f>
        <v>13</v>
      </c>
      <c r="B22" s="71" t="n">
        <v>6903.53</v>
      </c>
      <c r="C22" s="52" t="n">
        <v>296787</v>
      </c>
      <c r="D22" s="56" t="n">
        <f aca="false">C22-C21</f>
        <v>0</v>
      </c>
      <c r="E22" s="52" t="n">
        <f aca="false">C22-152000</f>
        <v>144787</v>
      </c>
      <c r="F22" s="51" t="n">
        <f aca="false">D22/$D$2</f>
        <v>0</v>
      </c>
      <c r="G22" s="51" t="n">
        <v>33.9</v>
      </c>
      <c r="H22" s="53" t="n">
        <v>0</v>
      </c>
      <c r="I22" s="51" t="n">
        <f aca="false">G22+H22</f>
        <v>33.9</v>
      </c>
      <c r="J22" s="78" t="n">
        <f aca="false">IF(L22&gt;0,L22,0)</f>
        <v>0</v>
      </c>
      <c r="K22" s="51" t="n">
        <f aca="false">I22+J22</f>
        <v>33.9</v>
      </c>
      <c r="L22" s="51" t="n">
        <f aca="false">F22-(I22-X22)</f>
        <v>0</v>
      </c>
      <c r="M22" s="51" t="n">
        <v>3.4</v>
      </c>
      <c r="N22" s="51" t="n">
        <v>0</v>
      </c>
      <c r="O22" s="51" t="n">
        <v>0</v>
      </c>
      <c r="P22" s="6" t="n">
        <f aca="false">M22-(N22+O22)</f>
        <v>3.4</v>
      </c>
      <c r="Q22" s="51" t="n">
        <v>0</v>
      </c>
      <c r="R22" s="51" t="n">
        <v>0</v>
      </c>
      <c r="S22" s="51" t="n">
        <f aca="false">SUM(P22:R22)</f>
        <v>3.4</v>
      </c>
      <c r="T22" s="52"/>
      <c r="U22" s="51" t="n">
        <v>0</v>
      </c>
      <c r="V22" s="51" t="n">
        <v>30.5</v>
      </c>
      <c r="W22" s="52" t="n">
        <f aca="false">W21-V22</f>
        <v>13702.8</v>
      </c>
      <c r="X22" s="6" t="n">
        <f aca="false">N22+O22+S22+U22+V22</f>
        <v>33.9</v>
      </c>
      <c r="Y22" s="51" t="n">
        <f aca="false">IF(L22&lt;0,L22*-1,0)</f>
        <v>0</v>
      </c>
      <c r="Z22" s="51" t="n">
        <f aca="false">X22+Y22</f>
        <v>33.9</v>
      </c>
      <c r="AA22" s="53" t="n">
        <v>0</v>
      </c>
      <c r="AB22" s="56" t="n">
        <v>39</v>
      </c>
      <c r="AC22" s="56" t="n">
        <v>16</v>
      </c>
      <c r="AD22" s="57" t="n">
        <f aca="false">AD21+1</f>
        <v>13</v>
      </c>
    </row>
    <row r="23" customFormat="false" ht="11.1" hidden="false" customHeight="true" outlineLevel="0" collapsed="false">
      <c r="A23" s="57" t="n">
        <f aca="false">A22+1</f>
        <v>14</v>
      </c>
      <c r="B23" s="71" t="n">
        <v>6903.54</v>
      </c>
      <c r="C23" s="52" t="n">
        <v>296826</v>
      </c>
      <c r="D23" s="56" t="n">
        <f aca="false">C23-C22</f>
        <v>39</v>
      </c>
      <c r="E23" s="52" t="n">
        <f aca="false">C23-152000</f>
        <v>144826</v>
      </c>
      <c r="F23" s="51" t="n">
        <f aca="false">D23/$D$2</f>
        <v>19.66221325939</v>
      </c>
      <c r="G23" s="51" t="n">
        <v>53.6</v>
      </c>
      <c r="H23" s="53" t="n">
        <v>0</v>
      </c>
      <c r="I23" s="51" t="n">
        <f aca="false">G23+H23</f>
        <v>53.6</v>
      </c>
      <c r="J23" s="78" t="n">
        <f aca="false">IF(L23&gt;0,L23,0)</f>
        <v>0</v>
      </c>
      <c r="K23" s="51" t="n">
        <f aca="false">I23+J23</f>
        <v>53.6</v>
      </c>
      <c r="L23" s="51" t="n">
        <f aca="false">F23-(I23-X23)</f>
        <v>-0.0377867406100343</v>
      </c>
      <c r="M23" s="51" t="n">
        <v>3.4</v>
      </c>
      <c r="N23" s="51" t="n">
        <v>0</v>
      </c>
      <c r="O23" s="51" t="n">
        <v>0</v>
      </c>
      <c r="P23" s="6" t="n">
        <f aca="false">M23-(N23+O23)</f>
        <v>3.4</v>
      </c>
      <c r="Q23" s="51" t="n">
        <v>0</v>
      </c>
      <c r="R23" s="51" t="n">
        <v>0</v>
      </c>
      <c r="S23" s="51" t="n">
        <f aca="false">SUM(P23:R23)</f>
        <v>3.4</v>
      </c>
      <c r="T23" s="52"/>
      <c r="U23" s="51" t="n">
        <v>0</v>
      </c>
      <c r="V23" s="51" t="n">
        <v>30.5</v>
      </c>
      <c r="W23" s="52" t="n">
        <f aca="false">W22-V23</f>
        <v>13672.3</v>
      </c>
      <c r="X23" s="6" t="n">
        <f aca="false">N23+O23+S23+U23+V23</f>
        <v>33.9</v>
      </c>
      <c r="Y23" s="51" t="n">
        <f aca="false">IF(L23&lt;0,L23*-1,0)</f>
        <v>0.0377867406100343</v>
      </c>
      <c r="Z23" s="51" t="n">
        <f aca="false">X23+Y23</f>
        <v>33.93778674061</v>
      </c>
      <c r="AA23" s="53" t="n">
        <v>0</v>
      </c>
      <c r="AB23" s="79" t="n">
        <v>42</v>
      </c>
      <c r="AC23" s="56" t="n">
        <v>17</v>
      </c>
      <c r="AD23" s="57" t="n">
        <f aca="false">AD22+1</f>
        <v>14</v>
      </c>
    </row>
    <row r="24" customFormat="false" ht="11.1" hidden="false" customHeight="true" outlineLevel="0" collapsed="false">
      <c r="A24" s="57" t="n">
        <f aca="false">A23+1</f>
        <v>15</v>
      </c>
      <c r="B24" s="71" t="n">
        <v>6903.54</v>
      </c>
      <c r="C24" s="52" t="n">
        <v>296826</v>
      </c>
      <c r="D24" s="56" t="n">
        <f aca="false">C24-C23</f>
        <v>0</v>
      </c>
      <c r="E24" s="52" t="n">
        <f aca="false">C24-152000</f>
        <v>144826</v>
      </c>
      <c r="F24" s="51" t="n">
        <f aca="false">D24/$D$2</f>
        <v>0</v>
      </c>
      <c r="G24" s="51" t="n">
        <v>33.9</v>
      </c>
      <c r="H24" s="53" t="n">
        <v>0</v>
      </c>
      <c r="I24" s="51" t="n">
        <f aca="false">G24+H24</f>
        <v>33.9</v>
      </c>
      <c r="J24" s="78" t="n">
        <f aca="false">IF(L24&gt;0,L24,0)</f>
        <v>0</v>
      </c>
      <c r="K24" s="51" t="n">
        <f aca="false">I24+J24</f>
        <v>33.9</v>
      </c>
      <c r="L24" s="51" t="n">
        <f aca="false">F24-(I24-X24)</f>
        <v>0</v>
      </c>
      <c r="M24" s="51" t="n">
        <v>3.4</v>
      </c>
      <c r="N24" s="51" t="n">
        <v>0</v>
      </c>
      <c r="O24" s="51" t="n">
        <v>0</v>
      </c>
      <c r="P24" s="6" t="n">
        <f aca="false">M24-(N24+O24)</f>
        <v>3.4</v>
      </c>
      <c r="Q24" s="51" t="n">
        <v>0</v>
      </c>
      <c r="R24" s="51" t="n">
        <v>0</v>
      </c>
      <c r="S24" s="51" t="n">
        <f aca="false">SUM(P24:R24)</f>
        <v>3.4</v>
      </c>
      <c r="T24" s="52"/>
      <c r="U24" s="51" t="n">
        <v>0</v>
      </c>
      <c r="V24" s="51" t="n">
        <v>30.5</v>
      </c>
      <c r="W24" s="52" t="n">
        <f aca="false">W23-V24</f>
        <v>13641.8</v>
      </c>
      <c r="X24" s="6" t="n">
        <f aca="false">N24+O24+S24+U24+V24</f>
        <v>33.9</v>
      </c>
      <c r="Y24" s="51" t="n">
        <f aca="false">IF(L24&lt;0,L24*-1,0)</f>
        <v>0</v>
      </c>
      <c r="Z24" s="51" t="n">
        <f aca="false">X24+Y24</f>
        <v>33.9</v>
      </c>
      <c r="AA24" s="53" t="n">
        <v>0</v>
      </c>
      <c r="AB24" s="79" t="n">
        <v>38</v>
      </c>
      <c r="AC24" s="56" t="n">
        <v>14</v>
      </c>
      <c r="AD24" s="57" t="n">
        <f aca="false">AD23+1</f>
        <v>15</v>
      </c>
    </row>
    <row r="25" customFormat="false" ht="11.1" hidden="false" customHeight="true" outlineLevel="0" collapsed="false">
      <c r="A25" s="57" t="n">
        <f aca="false">A24+1</f>
        <v>16</v>
      </c>
      <c r="B25" s="71" t="n">
        <v>6903.54</v>
      </c>
      <c r="C25" s="52" t="n">
        <v>296826</v>
      </c>
      <c r="D25" s="56" t="n">
        <f aca="false">C25-C24</f>
        <v>0</v>
      </c>
      <c r="E25" s="52" t="n">
        <f aca="false">C25-152000</f>
        <v>144826</v>
      </c>
      <c r="F25" s="51" t="n">
        <f aca="false">D25/$D$2</f>
        <v>0</v>
      </c>
      <c r="G25" s="51" t="n">
        <v>33.7</v>
      </c>
      <c r="H25" s="53" t="n">
        <v>0</v>
      </c>
      <c r="I25" s="51" t="n">
        <f aca="false">G25+H25</f>
        <v>33.7</v>
      </c>
      <c r="J25" s="78" t="n">
        <f aca="false">IF(L25&gt;0,L25,0)</f>
        <v>0</v>
      </c>
      <c r="K25" s="51" t="n">
        <f aca="false">I25+J25</f>
        <v>33.7</v>
      </c>
      <c r="L25" s="51" t="n">
        <f aca="false">F25-(I25-X25)</f>
        <v>0</v>
      </c>
      <c r="M25" s="51" t="n">
        <v>3.2</v>
      </c>
      <c r="N25" s="51" t="n">
        <v>0</v>
      </c>
      <c r="O25" s="51" t="n">
        <v>0</v>
      </c>
      <c r="P25" s="6" t="n">
        <f aca="false">M25-(N25+O25)</f>
        <v>3.2</v>
      </c>
      <c r="Q25" s="51" t="n">
        <v>0</v>
      </c>
      <c r="R25" s="51" t="n">
        <v>0</v>
      </c>
      <c r="S25" s="51" t="n">
        <f aca="false">SUM(P25:R25)</f>
        <v>3.2</v>
      </c>
      <c r="T25" s="52"/>
      <c r="U25" s="51" t="n">
        <v>0</v>
      </c>
      <c r="V25" s="51" t="n">
        <v>30.5</v>
      </c>
      <c r="W25" s="52" t="n">
        <f aca="false">W24-V25</f>
        <v>13611.3</v>
      </c>
      <c r="X25" s="6" t="n">
        <f aca="false">N25+O25+S25+U25+V25</f>
        <v>33.7</v>
      </c>
      <c r="Y25" s="51" t="n">
        <f aca="false">IF(L25&lt;0,L25*-1,0)</f>
        <v>0</v>
      </c>
      <c r="Z25" s="51" t="n">
        <f aca="false">X25+Y25</f>
        <v>33.7</v>
      </c>
      <c r="AA25" s="53" t="n">
        <v>0</v>
      </c>
      <c r="AB25" s="79" t="n">
        <v>42</v>
      </c>
      <c r="AC25" s="56" t="n">
        <v>11</v>
      </c>
      <c r="AD25" s="57" t="n">
        <f aca="false">AD24+1</f>
        <v>16</v>
      </c>
    </row>
    <row r="26" customFormat="false" ht="11.1" hidden="false" customHeight="true" outlineLevel="0" collapsed="false">
      <c r="A26" s="57" t="n">
        <f aca="false">A25+1</f>
        <v>17</v>
      </c>
      <c r="B26" s="71" t="n">
        <v>6903.58</v>
      </c>
      <c r="C26" s="52" t="n">
        <v>296978</v>
      </c>
      <c r="D26" s="56" t="n">
        <f aca="false">C26-C25</f>
        <v>152</v>
      </c>
      <c r="E26" s="52" t="n">
        <f aca="false">C26-152000</f>
        <v>144978</v>
      </c>
      <c r="F26" s="51" t="n">
        <f aca="false">D26/$D$2</f>
        <v>76.6322157801865</v>
      </c>
      <c r="G26" s="51" t="n">
        <v>110.2</v>
      </c>
      <c r="H26" s="53" t="n">
        <v>0</v>
      </c>
      <c r="I26" s="51" t="n">
        <f aca="false">G26+H26</f>
        <v>110.2</v>
      </c>
      <c r="J26" s="78" t="n">
        <f aca="false">IF(L26&gt;0,L26,0)</f>
        <v>0.0322157801865472</v>
      </c>
      <c r="K26" s="51" t="n">
        <f aca="false">I26+J26</f>
        <v>110.232215780187</v>
      </c>
      <c r="L26" s="51" t="n">
        <f aca="false">F26-(I26-X26)</f>
        <v>0.0322157801865472</v>
      </c>
      <c r="M26" s="51" t="n">
        <v>3.1</v>
      </c>
      <c r="N26" s="51" t="n">
        <v>0</v>
      </c>
      <c r="O26" s="51" t="n">
        <v>0</v>
      </c>
      <c r="P26" s="6" t="n">
        <f aca="false">M26-(N26+O26)</f>
        <v>3.1</v>
      </c>
      <c r="Q26" s="51" t="n">
        <v>0</v>
      </c>
      <c r="R26" s="51" t="n">
        <v>0</v>
      </c>
      <c r="S26" s="51" t="n">
        <f aca="false">SUM(P26:R26)</f>
        <v>3.1</v>
      </c>
      <c r="T26" s="52"/>
      <c r="U26" s="51" t="n">
        <v>0</v>
      </c>
      <c r="V26" s="51" t="n">
        <v>30.5</v>
      </c>
      <c r="W26" s="52" t="n">
        <f aca="false">W25-V26</f>
        <v>13580.8</v>
      </c>
      <c r="X26" s="6" t="n">
        <f aca="false">N26+O26+S26+U26+V26</f>
        <v>33.6</v>
      </c>
      <c r="Y26" s="51" t="n">
        <f aca="false">IF(L26&lt;0,L26*-1,0)</f>
        <v>0</v>
      </c>
      <c r="Z26" s="51" t="n">
        <f aca="false">X26+Y26</f>
        <v>33.6</v>
      </c>
      <c r="AA26" s="53" t="n">
        <v>0</v>
      </c>
      <c r="AB26" s="79" t="n">
        <v>44</v>
      </c>
      <c r="AC26" s="56" t="n">
        <v>14</v>
      </c>
      <c r="AD26" s="57" t="n">
        <f aca="false">AD25+1</f>
        <v>17</v>
      </c>
    </row>
    <row r="27" customFormat="false" ht="11.1" hidden="false" customHeight="true" outlineLevel="0" collapsed="false">
      <c r="A27" s="57" t="n">
        <f aca="false">A26+1</f>
        <v>18</v>
      </c>
      <c r="B27" s="71" t="n">
        <v>6903.59</v>
      </c>
      <c r="C27" s="52" t="n">
        <v>297015</v>
      </c>
      <c r="D27" s="56" t="n">
        <f aca="false">C27-C26</f>
        <v>37</v>
      </c>
      <c r="E27" s="52" t="n">
        <f aca="false">C27-152000</f>
        <v>145015</v>
      </c>
      <c r="F27" s="51" t="n">
        <f aca="false">D27/$D$2</f>
        <v>18.6538946307033</v>
      </c>
      <c r="G27" s="51" t="n">
        <v>52.2</v>
      </c>
      <c r="H27" s="53" t="n">
        <v>0</v>
      </c>
      <c r="I27" s="51" t="n">
        <f aca="false">G27+H27</f>
        <v>52.2</v>
      </c>
      <c r="J27" s="78" t="n">
        <f aca="false">IF(L27&gt;0,L27,0)</f>
        <v>0.0538946307033008</v>
      </c>
      <c r="K27" s="51" t="n">
        <f aca="false">I27+J27</f>
        <v>52.2538946307033</v>
      </c>
      <c r="L27" s="51" t="n">
        <f aca="false">F27-(I27-X27)</f>
        <v>0.0538946307033008</v>
      </c>
      <c r="M27" s="51" t="n">
        <v>3.1</v>
      </c>
      <c r="N27" s="51" t="n">
        <v>0</v>
      </c>
      <c r="O27" s="51" t="n">
        <v>0</v>
      </c>
      <c r="P27" s="6" t="n">
        <f aca="false">M27-(N27+O27)</f>
        <v>3.1</v>
      </c>
      <c r="Q27" s="51" t="n">
        <v>0</v>
      </c>
      <c r="R27" s="51" t="n">
        <v>0</v>
      </c>
      <c r="S27" s="51" t="n">
        <f aca="false">SUM(P27:R27)</f>
        <v>3.1</v>
      </c>
      <c r="T27" s="52"/>
      <c r="U27" s="51" t="n">
        <v>0</v>
      </c>
      <c r="V27" s="51" t="n">
        <v>30.5</v>
      </c>
      <c r="W27" s="52" t="n">
        <f aca="false">W26-V27</f>
        <v>13550.3</v>
      </c>
      <c r="X27" s="6" t="n">
        <f aca="false">N27+O27+S27+U27+V27</f>
        <v>33.6</v>
      </c>
      <c r="Y27" s="51" t="n">
        <f aca="false">IF(L27&lt;0,L27*-1,0)</f>
        <v>0</v>
      </c>
      <c r="Z27" s="51" t="n">
        <f aca="false">X27+Y27</f>
        <v>33.6</v>
      </c>
      <c r="AA27" s="53" t="n">
        <v>0.52</v>
      </c>
      <c r="AB27" s="79" t="n">
        <v>37</v>
      </c>
      <c r="AC27" s="56" t="n">
        <v>21</v>
      </c>
      <c r="AD27" s="57" t="n">
        <f aca="false">AD26+1</f>
        <v>18</v>
      </c>
    </row>
    <row r="28" customFormat="false" ht="11.1" hidden="false" customHeight="true" outlineLevel="0" collapsed="false">
      <c r="A28" s="57" t="n">
        <f aca="false">A27+1</f>
        <v>19</v>
      </c>
      <c r="B28" s="71" t="n">
        <v>6903.62</v>
      </c>
      <c r="C28" s="52" t="n">
        <v>297130</v>
      </c>
      <c r="D28" s="56" t="n">
        <f aca="false">C28-C27</f>
        <v>115</v>
      </c>
      <c r="E28" s="52" t="n">
        <f aca="false">C28-152000</f>
        <v>145130</v>
      </c>
      <c r="F28" s="51" t="n">
        <f aca="false">D28/$D$2</f>
        <v>57.9783211494832</v>
      </c>
      <c r="G28" s="51" t="n">
        <v>91.7</v>
      </c>
      <c r="H28" s="53" t="n">
        <v>0</v>
      </c>
      <c r="I28" s="51" t="n">
        <f aca="false">G28+H28</f>
        <v>91.7</v>
      </c>
      <c r="J28" s="78" t="n">
        <f aca="false">IF(L28&gt;0,L28,0)</f>
        <v>0</v>
      </c>
      <c r="K28" s="51" t="n">
        <f aca="false">I28+J28</f>
        <v>91.7</v>
      </c>
      <c r="L28" s="51" t="n">
        <f aca="false">F28-(I28-X28)</f>
        <v>-0.0216788505167642</v>
      </c>
      <c r="M28" s="51" t="n">
        <v>3.2</v>
      </c>
      <c r="N28" s="51" t="n">
        <v>0</v>
      </c>
      <c r="O28" s="51" t="n">
        <v>0</v>
      </c>
      <c r="P28" s="6" t="n">
        <f aca="false">M28-(N28+O28)</f>
        <v>3.2</v>
      </c>
      <c r="Q28" s="51" t="n">
        <v>0</v>
      </c>
      <c r="R28" s="51" t="n">
        <v>0</v>
      </c>
      <c r="S28" s="51" t="n">
        <f aca="false">SUM(P28:R28)</f>
        <v>3.2</v>
      </c>
      <c r="T28" s="52"/>
      <c r="U28" s="51" t="n">
        <v>0</v>
      </c>
      <c r="V28" s="51" t="n">
        <v>30.5</v>
      </c>
      <c r="W28" s="52" t="n">
        <f aca="false">W27-V28</f>
        <v>13519.8</v>
      </c>
      <c r="X28" s="6" t="n">
        <f aca="false">N28+O28+S28+U28+V28</f>
        <v>33.7</v>
      </c>
      <c r="Y28" s="51" t="n">
        <f aca="false">IF(L28&lt;0,L28*-1,0)</f>
        <v>0.0216788505167642</v>
      </c>
      <c r="Z28" s="51" t="n">
        <f aca="false">X28+Y28</f>
        <v>33.7216788505168</v>
      </c>
      <c r="AA28" s="53" t="n">
        <v>0</v>
      </c>
      <c r="AB28" s="79" t="n">
        <v>39</v>
      </c>
      <c r="AC28" s="56" t="n">
        <v>29</v>
      </c>
      <c r="AD28" s="57" t="n">
        <f aca="false">AD27+1</f>
        <v>19</v>
      </c>
    </row>
    <row r="29" customFormat="false" ht="11.1" hidden="false" customHeight="true" outlineLevel="0" collapsed="false">
      <c r="A29" s="57" t="n">
        <f aca="false">A28+1</f>
        <v>20</v>
      </c>
      <c r="B29" s="71" t="n">
        <v>6903.63</v>
      </c>
      <c r="C29" s="52" t="n">
        <v>297167</v>
      </c>
      <c r="D29" s="56" t="n">
        <f aca="false">C29-C28</f>
        <v>37</v>
      </c>
      <c r="E29" s="52" t="n">
        <f aca="false">C29-152000</f>
        <v>145167</v>
      </c>
      <c r="F29" s="51" t="n">
        <f aca="false">D29/$D$2</f>
        <v>18.6538946307033</v>
      </c>
      <c r="G29" s="51" t="n">
        <v>52.5</v>
      </c>
      <c r="H29" s="53" t="n">
        <v>0</v>
      </c>
      <c r="I29" s="51" t="n">
        <f aca="false">G29+H29</f>
        <v>52.5</v>
      </c>
      <c r="J29" s="78" t="n">
        <f aca="false">IF(L29&gt;0,L29,0)</f>
        <v>0.0538946307033008</v>
      </c>
      <c r="K29" s="51" t="n">
        <f aca="false">I29+J29</f>
        <v>52.5538946307033</v>
      </c>
      <c r="L29" s="51" t="n">
        <f aca="false">F29-(I29-X29)</f>
        <v>0.0538946307033008</v>
      </c>
      <c r="M29" s="51" t="n">
        <v>3.4</v>
      </c>
      <c r="N29" s="51" t="n">
        <v>0</v>
      </c>
      <c r="O29" s="51" t="n">
        <v>0</v>
      </c>
      <c r="P29" s="6" t="n">
        <f aca="false">M29-(N29+O29)</f>
        <v>3.4</v>
      </c>
      <c r="Q29" s="51" t="n">
        <v>0</v>
      </c>
      <c r="R29" s="51" t="n">
        <v>0</v>
      </c>
      <c r="S29" s="51" t="n">
        <f aca="false">SUM(P29:R29)</f>
        <v>3.4</v>
      </c>
      <c r="T29" s="52"/>
      <c r="U29" s="51" t="n">
        <v>0</v>
      </c>
      <c r="V29" s="51" t="n">
        <v>30.5</v>
      </c>
      <c r="W29" s="52" t="n">
        <f aca="false">W28-V29</f>
        <v>13489.3</v>
      </c>
      <c r="X29" s="6" t="n">
        <f aca="false">N29+O29+S29+U29+V29</f>
        <v>33.9</v>
      </c>
      <c r="Y29" s="51" t="n">
        <f aca="false">IF(L29&lt;0,L29*-1,0)</f>
        <v>0</v>
      </c>
      <c r="Z29" s="51" t="n">
        <f aca="false">X29+Y29</f>
        <v>33.9</v>
      </c>
      <c r="AA29" s="53" t="n">
        <v>0</v>
      </c>
      <c r="AB29" s="79" t="n">
        <v>46</v>
      </c>
      <c r="AC29" s="56" t="n">
        <v>27</v>
      </c>
      <c r="AD29" s="57" t="n">
        <f aca="false">AD28+1</f>
        <v>20</v>
      </c>
    </row>
    <row r="30" customFormat="false" ht="11.1" hidden="false" customHeight="true" outlineLevel="0" collapsed="false">
      <c r="A30" s="57" t="n">
        <f aca="false">A29+1</f>
        <v>21</v>
      </c>
      <c r="B30" s="71" t="n">
        <v>6903.64</v>
      </c>
      <c r="C30" s="52" t="n">
        <v>297206</v>
      </c>
      <c r="D30" s="56" t="n">
        <f aca="false">C30-C29</f>
        <v>39</v>
      </c>
      <c r="E30" s="52" t="n">
        <f aca="false">C30-152000</f>
        <v>145206</v>
      </c>
      <c r="F30" s="51" t="n">
        <f aca="false">D30/$D$2</f>
        <v>19.66221325939</v>
      </c>
      <c r="G30" s="51" t="n">
        <v>53.3</v>
      </c>
      <c r="H30" s="53" t="n">
        <v>0</v>
      </c>
      <c r="I30" s="51" t="n">
        <f aca="false">G30+H30</f>
        <v>53.3</v>
      </c>
      <c r="J30" s="78" t="n">
        <f aca="false">IF(L30&gt;0,L30,0)</f>
        <v>0.0622132593899742</v>
      </c>
      <c r="K30" s="51" t="n">
        <f aca="false">I30+J30</f>
        <v>53.36221325939</v>
      </c>
      <c r="L30" s="51" t="n">
        <f aca="false">F30-(I30-X30)</f>
        <v>0.0622132593899742</v>
      </c>
      <c r="M30" s="51" t="n">
        <v>3.4</v>
      </c>
      <c r="N30" s="51" t="n">
        <v>0</v>
      </c>
      <c r="O30" s="51" t="n">
        <v>0</v>
      </c>
      <c r="P30" s="6" t="n">
        <f aca="false">M30-(N30+O30)</f>
        <v>3.4</v>
      </c>
      <c r="Q30" s="51" t="n">
        <v>0</v>
      </c>
      <c r="R30" s="51" t="n">
        <v>0</v>
      </c>
      <c r="S30" s="51" t="n">
        <f aca="false">SUM(P30:R30)</f>
        <v>3.4</v>
      </c>
      <c r="T30" s="52"/>
      <c r="U30" s="51" t="n">
        <v>0</v>
      </c>
      <c r="V30" s="51" t="n">
        <v>30.3</v>
      </c>
      <c r="W30" s="52" t="n">
        <f aca="false">W29-V30</f>
        <v>13459</v>
      </c>
      <c r="X30" s="6" t="n">
        <f aca="false">N30+O30+S30+U30+V30</f>
        <v>33.7</v>
      </c>
      <c r="Y30" s="51" t="n">
        <f aca="false">IF(L30&lt;0,L30*-1,0)</f>
        <v>0</v>
      </c>
      <c r="Z30" s="51" t="n">
        <f aca="false">X30+Y30</f>
        <v>33.7</v>
      </c>
      <c r="AA30" s="53" t="n">
        <v>0.1</v>
      </c>
      <c r="AB30" s="56" t="n">
        <v>38</v>
      </c>
      <c r="AC30" s="56" t="n">
        <v>30</v>
      </c>
      <c r="AD30" s="57" t="n">
        <f aca="false">AD29+1</f>
        <v>21</v>
      </c>
    </row>
    <row r="31" customFormat="false" ht="11.1" hidden="false" customHeight="true" outlineLevel="0" collapsed="false">
      <c r="A31" s="57" t="n">
        <f aca="false">A30+1</f>
        <v>22</v>
      </c>
      <c r="B31" s="71" t="n">
        <v>6903.65</v>
      </c>
      <c r="C31" s="52" t="n">
        <v>297243</v>
      </c>
      <c r="D31" s="56" t="n">
        <f aca="false">C31-C30</f>
        <v>37</v>
      </c>
      <c r="E31" s="52" t="n">
        <f aca="false">C31-152000</f>
        <v>145243</v>
      </c>
      <c r="F31" s="51" t="n">
        <f aca="false">D31/$D$2</f>
        <v>18.6538946307033</v>
      </c>
      <c r="G31" s="51" t="n">
        <v>52.5</v>
      </c>
      <c r="H31" s="53" t="n">
        <v>0</v>
      </c>
      <c r="I31" s="51" t="n">
        <f aca="false">G31+H31</f>
        <v>52.5</v>
      </c>
      <c r="J31" s="78" t="n">
        <f aca="false">IF(L31&gt;0,L31,0)</f>
        <v>0.0538946307033008</v>
      </c>
      <c r="K31" s="51" t="n">
        <f aca="false">I31+J31</f>
        <v>52.5538946307033</v>
      </c>
      <c r="L31" s="51" t="n">
        <f aca="false">F31-(I31-X31)</f>
        <v>0.0538946307033008</v>
      </c>
      <c r="M31" s="51" t="n">
        <v>3.4</v>
      </c>
      <c r="N31" s="51" t="n">
        <v>0</v>
      </c>
      <c r="O31" s="51" t="n">
        <v>0</v>
      </c>
      <c r="P31" s="6" t="n">
        <f aca="false">M31-(N31+O31)</f>
        <v>3.4</v>
      </c>
      <c r="Q31" s="51" t="n">
        <v>0</v>
      </c>
      <c r="R31" s="51" t="n">
        <v>0</v>
      </c>
      <c r="S31" s="51" t="n">
        <f aca="false">SUM(P31:R31)</f>
        <v>3.4</v>
      </c>
      <c r="T31" s="52"/>
      <c r="U31" s="51" t="n">
        <v>0</v>
      </c>
      <c r="V31" s="51" t="n">
        <v>30.5</v>
      </c>
      <c r="W31" s="52" t="n">
        <f aca="false">W30-V31</f>
        <v>13428.5</v>
      </c>
      <c r="X31" s="6" t="n">
        <f aca="false">N31+O31+S31+U31+V31</f>
        <v>33.9</v>
      </c>
      <c r="Y31" s="51" t="n">
        <f aca="false">IF(L31&lt;0,L31*-1,0)</f>
        <v>0</v>
      </c>
      <c r="Z31" s="51" t="n">
        <f aca="false">X31+Y31</f>
        <v>33.9</v>
      </c>
      <c r="AA31" s="53" t="n">
        <v>0</v>
      </c>
      <c r="AB31" s="56" t="n">
        <v>40</v>
      </c>
      <c r="AC31" s="56" t="n">
        <v>24</v>
      </c>
      <c r="AD31" s="57" t="n">
        <f aca="false">AD30+1</f>
        <v>22</v>
      </c>
    </row>
    <row r="32" customFormat="false" ht="11.1" hidden="false" customHeight="true" outlineLevel="0" collapsed="false">
      <c r="A32" s="57" t="n">
        <f aca="false">A31+1</f>
        <v>23</v>
      </c>
      <c r="B32" s="71" t="n">
        <v>6903.66</v>
      </c>
      <c r="C32" s="52" t="n">
        <v>297282</v>
      </c>
      <c r="D32" s="56" t="n">
        <f aca="false">C32-C31</f>
        <v>39</v>
      </c>
      <c r="E32" s="52" t="n">
        <f aca="false">C32-152000</f>
        <v>145282</v>
      </c>
      <c r="F32" s="51" t="n">
        <f aca="false">D32/$D$2</f>
        <v>19.66221325939</v>
      </c>
      <c r="G32" s="51" t="n">
        <v>52.8</v>
      </c>
      <c r="H32" s="53" t="n">
        <v>0</v>
      </c>
      <c r="I32" s="51" t="n">
        <f aca="false">G32+H32</f>
        <v>52.8</v>
      </c>
      <c r="J32" s="78" t="n">
        <f aca="false">IF(L32&gt;0,L32,0)</f>
        <v>0</v>
      </c>
      <c r="K32" s="51" t="n">
        <f aca="false">I32+J32</f>
        <v>52.8</v>
      </c>
      <c r="L32" s="51" t="n">
        <f aca="false">F32-(I32-X32)</f>
        <v>-0.0377867406100272</v>
      </c>
      <c r="M32" s="51" t="n">
        <v>3.4</v>
      </c>
      <c r="N32" s="51" t="n">
        <v>0</v>
      </c>
      <c r="O32" s="51" t="n">
        <v>0</v>
      </c>
      <c r="P32" s="6" t="n">
        <f aca="false">M32-(N32+O32)</f>
        <v>3.4</v>
      </c>
      <c r="Q32" s="51" t="n">
        <v>0</v>
      </c>
      <c r="R32" s="51" t="n">
        <v>0</v>
      </c>
      <c r="S32" s="51" t="n">
        <f aca="false">SUM(P32:R32)</f>
        <v>3.4</v>
      </c>
      <c r="T32" s="52"/>
      <c r="U32" s="51" t="n">
        <v>0</v>
      </c>
      <c r="V32" s="51" t="n">
        <v>29.7</v>
      </c>
      <c r="W32" s="52" t="n">
        <f aca="false">W31-V32</f>
        <v>13398.8</v>
      </c>
      <c r="X32" s="6" t="n">
        <f aca="false">N32+O32+S32+U32+V32</f>
        <v>33.1</v>
      </c>
      <c r="Y32" s="51" t="n">
        <f aca="false">IF(L32&lt;0,L32*-1,0)</f>
        <v>0.0377867406100272</v>
      </c>
      <c r="Z32" s="51" t="n">
        <f aca="false">X32+Y32</f>
        <v>33.13778674061</v>
      </c>
      <c r="AA32" s="53" t="n">
        <v>0</v>
      </c>
      <c r="AB32" s="56" t="n">
        <v>38</v>
      </c>
      <c r="AC32" s="79" t="n">
        <v>12</v>
      </c>
      <c r="AD32" s="57" t="n">
        <f aca="false">AD31+1</f>
        <v>23</v>
      </c>
    </row>
    <row r="33" customFormat="false" ht="11.1" hidden="false" customHeight="true" outlineLevel="0" collapsed="false">
      <c r="A33" s="57" t="n">
        <f aca="false">A32+1</f>
        <v>24</v>
      </c>
      <c r="B33" s="71" t="n">
        <v>6903.66</v>
      </c>
      <c r="C33" s="52" t="n">
        <v>297282</v>
      </c>
      <c r="D33" s="56" t="n">
        <f aca="false">C33-C32</f>
        <v>0</v>
      </c>
      <c r="E33" s="52" t="n">
        <f aca="false">C33-152000</f>
        <v>145282</v>
      </c>
      <c r="F33" s="51" t="n">
        <f aca="false">D33/$D$2</f>
        <v>0</v>
      </c>
      <c r="G33" s="51" t="n">
        <v>33.2</v>
      </c>
      <c r="H33" s="53" t="n">
        <v>0</v>
      </c>
      <c r="I33" s="51" t="n">
        <f aca="false">G33+H33</f>
        <v>33.2</v>
      </c>
      <c r="J33" s="78" t="n">
        <f aca="false">IF(L33&gt;0,L33,0)</f>
        <v>0</v>
      </c>
      <c r="K33" s="51" t="n">
        <f aca="false">I33+J33</f>
        <v>33.2</v>
      </c>
      <c r="L33" s="51" t="n">
        <f aca="false">F33-(I33-X33)</f>
        <v>0</v>
      </c>
      <c r="M33" s="51" t="n">
        <v>3.5</v>
      </c>
      <c r="N33" s="51" t="n">
        <v>0</v>
      </c>
      <c r="O33" s="51" t="n">
        <v>0</v>
      </c>
      <c r="P33" s="6" t="n">
        <f aca="false">M33-(N33+O33)</f>
        <v>3.5</v>
      </c>
      <c r="Q33" s="51" t="n">
        <v>0</v>
      </c>
      <c r="R33" s="51" t="n">
        <v>0</v>
      </c>
      <c r="S33" s="51" t="n">
        <f aca="false">SUM(P33:R33)</f>
        <v>3.5</v>
      </c>
      <c r="T33" s="52"/>
      <c r="U33" s="51" t="n">
        <v>0</v>
      </c>
      <c r="V33" s="51" t="n">
        <v>29.7</v>
      </c>
      <c r="W33" s="52" t="n">
        <f aca="false">W32-V33</f>
        <v>13369.1</v>
      </c>
      <c r="X33" s="6" t="n">
        <f aca="false">N33+O33+S33+U33+V33</f>
        <v>33.2</v>
      </c>
      <c r="Y33" s="51" t="n">
        <f aca="false">IF(L33&lt;0,L33*-1,0)</f>
        <v>0</v>
      </c>
      <c r="Z33" s="51" t="n">
        <f aca="false">X33+Y33</f>
        <v>33.2</v>
      </c>
      <c r="AA33" s="53" t="n">
        <v>0</v>
      </c>
      <c r="AB33" s="56" t="n">
        <v>39</v>
      </c>
      <c r="AC33" s="79" t="n">
        <v>14</v>
      </c>
      <c r="AD33" s="57" t="n">
        <f aca="false">AD32+1</f>
        <v>24</v>
      </c>
    </row>
    <row r="34" customFormat="false" ht="11.1" hidden="false" customHeight="true" outlineLevel="0" collapsed="false">
      <c r="A34" s="57" t="n">
        <f aca="false">A33+1</f>
        <v>25</v>
      </c>
      <c r="B34" s="71" t="n">
        <v>6903.68</v>
      </c>
      <c r="C34" s="52" t="n">
        <v>297358</v>
      </c>
      <c r="D34" s="56" t="n">
        <f aca="false">C34-C33</f>
        <v>76</v>
      </c>
      <c r="E34" s="52" t="n">
        <f aca="false">C34-152000</f>
        <v>145358</v>
      </c>
      <c r="F34" s="51" t="n">
        <f aca="false">D34/$D$2</f>
        <v>38.3161078900933</v>
      </c>
      <c r="G34" s="51" t="n">
        <v>71.7</v>
      </c>
      <c r="H34" s="53" t="n">
        <v>0</v>
      </c>
      <c r="I34" s="51" t="n">
        <f aca="false">G34+H34</f>
        <v>71.7</v>
      </c>
      <c r="J34" s="78" t="n">
        <f aca="false">IF(L34&gt;0,L34,0)</f>
        <v>0.0161078900932665</v>
      </c>
      <c r="K34" s="51" t="n">
        <f aca="false">I34+J34</f>
        <v>71.7161078900933</v>
      </c>
      <c r="L34" s="51" t="n">
        <f aca="false">F34-(I34-X34)</f>
        <v>0.0161078900932665</v>
      </c>
      <c r="M34" s="51" t="n">
        <v>3.7</v>
      </c>
      <c r="N34" s="51" t="n">
        <v>0</v>
      </c>
      <c r="O34" s="51" t="n">
        <v>0</v>
      </c>
      <c r="P34" s="6" t="n">
        <f aca="false">M34-(N34+O34)</f>
        <v>3.7</v>
      </c>
      <c r="Q34" s="51" t="n">
        <v>0</v>
      </c>
      <c r="R34" s="51" t="n">
        <v>0</v>
      </c>
      <c r="S34" s="51" t="n">
        <f aca="false">SUM(P34:R34)</f>
        <v>3.7</v>
      </c>
      <c r="T34" s="52"/>
      <c r="U34" s="51" t="n">
        <v>0</v>
      </c>
      <c r="V34" s="51" t="n">
        <v>29.7</v>
      </c>
      <c r="W34" s="52" t="n">
        <f aca="false">W33-V34</f>
        <v>13339.4</v>
      </c>
      <c r="X34" s="6" t="n">
        <f aca="false">N34+O34+S34+U34+V34</f>
        <v>33.4</v>
      </c>
      <c r="Y34" s="51" t="n">
        <f aca="false">IF(L34&lt;0,L34*-1,0)</f>
        <v>0</v>
      </c>
      <c r="Z34" s="51" t="n">
        <f aca="false">X34+Y34</f>
        <v>33.4</v>
      </c>
      <c r="AA34" s="53" t="n">
        <v>0</v>
      </c>
      <c r="AB34" s="56" t="n">
        <v>40</v>
      </c>
      <c r="AC34" s="79" t="n">
        <v>8</v>
      </c>
      <c r="AD34" s="57" t="n">
        <f aca="false">AD33+1</f>
        <v>25</v>
      </c>
    </row>
    <row r="35" customFormat="false" ht="11.1" hidden="false" customHeight="true" outlineLevel="0" collapsed="false">
      <c r="A35" s="57" t="n">
        <f aca="false">A34+1</f>
        <v>26</v>
      </c>
      <c r="B35" s="71" t="n">
        <v>6903.68</v>
      </c>
      <c r="C35" s="52" t="n">
        <v>297358</v>
      </c>
      <c r="D35" s="56" t="n">
        <f aca="false">C35-C34</f>
        <v>0</v>
      </c>
      <c r="E35" s="52" t="n">
        <f aca="false">C35-152000</f>
        <v>145358</v>
      </c>
      <c r="F35" s="51" t="n">
        <f aca="false">D35/$D$2</f>
        <v>0</v>
      </c>
      <c r="G35" s="51" t="n">
        <v>33.2</v>
      </c>
      <c r="H35" s="53" t="n">
        <v>0</v>
      </c>
      <c r="I35" s="51" t="n">
        <f aca="false">G35+H35</f>
        <v>33.2</v>
      </c>
      <c r="J35" s="78" t="n">
        <f aca="false">IF(L35&gt;0,L35,0)</f>
        <v>0</v>
      </c>
      <c r="K35" s="51" t="n">
        <f aca="false">I35+J35</f>
        <v>33.2</v>
      </c>
      <c r="L35" s="51" t="n">
        <f aca="false">F35-(I35-X35)</f>
        <v>0</v>
      </c>
      <c r="M35" s="51" t="n">
        <v>3.5</v>
      </c>
      <c r="N35" s="51" t="n">
        <v>0</v>
      </c>
      <c r="O35" s="51" t="n">
        <v>0</v>
      </c>
      <c r="P35" s="6" t="n">
        <f aca="false">M35-(N35+O35)</f>
        <v>3.5</v>
      </c>
      <c r="Q35" s="51" t="n">
        <v>0</v>
      </c>
      <c r="R35" s="51" t="n">
        <v>0</v>
      </c>
      <c r="S35" s="51" t="n">
        <f aca="false">SUM(P35:R35)</f>
        <v>3.5</v>
      </c>
      <c r="T35" s="52"/>
      <c r="U35" s="51" t="n">
        <v>0</v>
      </c>
      <c r="V35" s="51" t="n">
        <v>29.7</v>
      </c>
      <c r="W35" s="52" t="n">
        <f aca="false">W34-V35</f>
        <v>13309.7</v>
      </c>
      <c r="X35" s="6" t="n">
        <f aca="false">N35+O35+S35+U35+V35</f>
        <v>33.2</v>
      </c>
      <c r="Y35" s="51" t="n">
        <f aca="false">IF(L35&lt;0,L35*-1,0)</f>
        <v>0</v>
      </c>
      <c r="Z35" s="51" t="n">
        <f aca="false">X35+Y35</f>
        <v>33.2</v>
      </c>
      <c r="AA35" s="53" t="n">
        <v>0</v>
      </c>
      <c r="AB35" s="56" t="n">
        <v>39</v>
      </c>
      <c r="AC35" s="56" t="n">
        <v>5</v>
      </c>
      <c r="AD35" s="57" t="n">
        <f aca="false">AD34+1</f>
        <v>26</v>
      </c>
    </row>
    <row r="36" customFormat="false" ht="11.1" hidden="false" customHeight="true" outlineLevel="0" collapsed="false">
      <c r="A36" s="57" t="n">
        <f aca="false">A35+1</f>
        <v>27</v>
      </c>
      <c r="B36" s="71" t="n">
        <v>6903.68</v>
      </c>
      <c r="C36" s="52" t="n">
        <v>297358</v>
      </c>
      <c r="D36" s="56" t="n">
        <f aca="false">C36-C35</f>
        <v>0</v>
      </c>
      <c r="E36" s="52" t="n">
        <f aca="false">C36-152000</f>
        <v>145358</v>
      </c>
      <c r="F36" s="51" t="n">
        <f aca="false">D36/$D$2</f>
        <v>0</v>
      </c>
      <c r="G36" s="51" t="n">
        <v>33.1</v>
      </c>
      <c r="H36" s="53" t="n">
        <v>0</v>
      </c>
      <c r="I36" s="51" t="n">
        <f aca="false">G36+H36</f>
        <v>33.1</v>
      </c>
      <c r="J36" s="78" t="n">
        <f aca="false">IF(L36&gt;0,L36,0)</f>
        <v>0</v>
      </c>
      <c r="K36" s="51" t="n">
        <f aca="false">I36+J36</f>
        <v>33.1</v>
      </c>
      <c r="L36" s="51" t="n">
        <f aca="false">F36-(I36-X36)</f>
        <v>0</v>
      </c>
      <c r="M36" s="51" t="n">
        <v>3.4</v>
      </c>
      <c r="N36" s="51" t="n">
        <v>0</v>
      </c>
      <c r="O36" s="51" t="n">
        <v>0</v>
      </c>
      <c r="P36" s="6" t="n">
        <f aca="false">M36-(N36+O36)</f>
        <v>3.4</v>
      </c>
      <c r="Q36" s="51" t="n">
        <v>0</v>
      </c>
      <c r="R36" s="51" t="n">
        <v>0</v>
      </c>
      <c r="S36" s="51" t="n">
        <f aca="false">SUM(P36:R36)</f>
        <v>3.4</v>
      </c>
      <c r="T36" s="52"/>
      <c r="U36" s="51" t="n">
        <v>0</v>
      </c>
      <c r="V36" s="51" t="n">
        <v>29.7</v>
      </c>
      <c r="W36" s="52" t="n">
        <f aca="false">W35-V36</f>
        <v>13280</v>
      </c>
      <c r="X36" s="6" t="n">
        <f aca="false">N36+O36+S36+U36+V36</f>
        <v>33.1</v>
      </c>
      <c r="Y36" s="51" t="n">
        <f aca="false">IF(L36&lt;0,L36*-1,0)</f>
        <v>0</v>
      </c>
      <c r="Z36" s="51" t="n">
        <f aca="false">X36+Y36</f>
        <v>33.1</v>
      </c>
      <c r="AA36" s="53" t="n">
        <v>0</v>
      </c>
      <c r="AB36" s="56" t="n">
        <v>34</v>
      </c>
      <c r="AC36" s="56" t="n">
        <v>9</v>
      </c>
      <c r="AD36" s="57" t="n">
        <f aca="false">AD35+1</f>
        <v>27</v>
      </c>
    </row>
    <row r="37" customFormat="false" ht="11.1" hidden="false" customHeight="true" outlineLevel="0" collapsed="false">
      <c r="A37" s="57" t="n">
        <f aca="false">A36+1</f>
        <v>28</v>
      </c>
      <c r="B37" s="71" t="n">
        <v>6903.68</v>
      </c>
      <c r="C37" s="52" t="n">
        <v>297358</v>
      </c>
      <c r="D37" s="56" t="n">
        <f aca="false">C37-C36</f>
        <v>0</v>
      </c>
      <c r="E37" s="52" t="n">
        <f aca="false">C37-152000</f>
        <v>145358</v>
      </c>
      <c r="F37" s="51" t="n">
        <f aca="false">D37/$D$2</f>
        <v>0</v>
      </c>
      <c r="G37" s="51" t="n">
        <v>33.1</v>
      </c>
      <c r="H37" s="53" t="n">
        <v>0</v>
      </c>
      <c r="I37" s="51" t="n">
        <f aca="false">G37+H37</f>
        <v>33.1</v>
      </c>
      <c r="J37" s="78" t="n">
        <f aca="false">IF(L37&gt;0,L37,0)</f>
        <v>0</v>
      </c>
      <c r="K37" s="51" t="n">
        <f aca="false">I37+J37</f>
        <v>33.1</v>
      </c>
      <c r="L37" s="51" t="n">
        <f aca="false">F37-(I37-X37)</f>
        <v>0</v>
      </c>
      <c r="M37" s="51" t="n">
        <v>3.4</v>
      </c>
      <c r="N37" s="51" t="n">
        <v>0</v>
      </c>
      <c r="O37" s="51" t="n">
        <v>0</v>
      </c>
      <c r="P37" s="6" t="n">
        <f aca="false">M37-(N37+O37)</f>
        <v>3.4</v>
      </c>
      <c r="Q37" s="51" t="n">
        <v>0</v>
      </c>
      <c r="R37" s="51" t="n">
        <v>0</v>
      </c>
      <c r="S37" s="51" t="n">
        <f aca="false">SUM(P37:R37)</f>
        <v>3.4</v>
      </c>
      <c r="T37" s="52"/>
      <c r="U37" s="51" t="n">
        <v>0</v>
      </c>
      <c r="V37" s="51" t="n">
        <v>29.7</v>
      </c>
      <c r="W37" s="52" t="n">
        <f aca="false">W36-V37</f>
        <v>13250.3</v>
      </c>
      <c r="X37" s="6" t="n">
        <f aca="false">N37+O37+S37+U37+V37</f>
        <v>33.1</v>
      </c>
      <c r="Y37" s="51" t="n">
        <f aca="false">IF(L37&lt;0,L37*-1,0)</f>
        <v>0</v>
      </c>
      <c r="Z37" s="51" t="n">
        <f aca="false">X37+Y37</f>
        <v>33.1</v>
      </c>
      <c r="AA37" s="53" t="n">
        <v>0</v>
      </c>
      <c r="AB37" s="56" t="n">
        <v>36</v>
      </c>
      <c r="AC37" s="56" t="n">
        <v>11</v>
      </c>
      <c r="AD37" s="57" t="n">
        <f aca="false">AD36+1</f>
        <v>28</v>
      </c>
    </row>
    <row r="38" customFormat="false" ht="11.1" hidden="false" customHeight="true" outlineLevel="0" collapsed="false">
      <c r="A38" s="57" t="n">
        <f aca="false">A37+1</f>
        <v>29</v>
      </c>
      <c r="B38" s="71" t="n">
        <v>6903.69</v>
      </c>
      <c r="C38" s="52" t="n">
        <v>297395</v>
      </c>
      <c r="D38" s="56" t="n">
        <f aca="false">C38-C37</f>
        <v>37</v>
      </c>
      <c r="E38" s="52" t="n">
        <f aca="false">C38-152000</f>
        <v>145395</v>
      </c>
      <c r="F38" s="51" t="n">
        <f aca="false">D38/$D$2</f>
        <v>18.6538946307033</v>
      </c>
      <c r="G38" s="51" t="n">
        <v>51.7</v>
      </c>
      <c r="H38" s="53" t="n">
        <v>0</v>
      </c>
      <c r="I38" s="51" t="n">
        <f aca="false">G38+H38</f>
        <v>51.7</v>
      </c>
      <c r="J38" s="78" t="n">
        <f aca="false">IF(L38&gt;0,L38,0)</f>
        <v>0</v>
      </c>
      <c r="K38" s="51" t="n">
        <f aca="false">I38+J38</f>
        <v>51.7</v>
      </c>
      <c r="L38" s="51" t="n">
        <f aca="false">F38-(I38-X38)</f>
        <v>-0.0461053692967006</v>
      </c>
      <c r="M38" s="51" t="n">
        <v>3.4</v>
      </c>
      <c r="N38" s="51" t="n">
        <v>0</v>
      </c>
      <c r="O38" s="51" t="n">
        <v>0</v>
      </c>
      <c r="P38" s="6" t="n">
        <f aca="false">M38-(N38+O38)</f>
        <v>3.4</v>
      </c>
      <c r="Q38" s="51" t="n">
        <v>0</v>
      </c>
      <c r="R38" s="51" t="n">
        <v>0</v>
      </c>
      <c r="S38" s="51" t="n">
        <f aca="false">SUM(P38:R38)</f>
        <v>3.4</v>
      </c>
      <c r="T38" s="52"/>
      <c r="U38" s="51" t="n">
        <v>0</v>
      </c>
      <c r="V38" s="51" t="n">
        <v>29.6</v>
      </c>
      <c r="W38" s="52" t="n">
        <f aca="false">W37-V38</f>
        <v>13220.7</v>
      </c>
      <c r="X38" s="6" t="n">
        <f aca="false">N38+O38+S38+U38+V38</f>
        <v>33</v>
      </c>
      <c r="Y38" s="51" t="n">
        <f aca="false">IF(L38&lt;0,L38*-1,0)</f>
        <v>0.0461053692967006</v>
      </c>
      <c r="Z38" s="51" t="n">
        <f aca="false">X38+Y38</f>
        <v>33.0461053692967</v>
      </c>
      <c r="AA38" s="53" t="n">
        <v>0</v>
      </c>
      <c r="AB38" s="79" t="n">
        <v>38</v>
      </c>
      <c r="AC38" s="56" t="n">
        <v>10</v>
      </c>
      <c r="AD38" s="57" t="n">
        <f aca="false">AD37+1</f>
        <v>29</v>
      </c>
    </row>
    <row r="39" customFormat="false" ht="11.1" hidden="false" customHeight="true" outlineLevel="0" collapsed="false">
      <c r="A39" s="57" t="n">
        <v>30</v>
      </c>
      <c r="B39" s="71" t="n">
        <v>6903.7</v>
      </c>
      <c r="C39" s="52" t="n">
        <v>297434</v>
      </c>
      <c r="D39" s="56" t="n">
        <f aca="false">C39-C38</f>
        <v>39</v>
      </c>
      <c r="E39" s="52" t="n">
        <f aca="false">C39-152000</f>
        <v>145434</v>
      </c>
      <c r="F39" s="51" t="n">
        <f aca="false">D39/$D$2</f>
        <v>19.66221325939</v>
      </c>
      <c r="G39" s="51" t="n">
        <v>52.6</v>
      </c>
      <c r="H39" s="53" t="n">
        <v>0</v>
      </c>
      <c r="I39" s="51" t="n">
        <f aca="false">G39+H39</f>
        <v>52.6</v>
      </c>
      <c r="J39" s="78" t="n">
        <f aca="false">IF(L39&gt;0,L39,0)</f>
        <v>0.0622132593899671</v>
      </c>
      <c r="K39" s="51" t="n">
        <f aca="false">I39+J39</f>
        <v>52.66221325939</v>
      </c>
      <c r="L39" s="51" t="n">
        <f aca="false">F39-(I39-X39)</f>
        <v>0.0622132593899671</v>
      </c>
      <c r="M39" s="51" t="n">
        <v>3.4</v>
      </c>
      <c r="N39" s="51" t="n">
        <v>0</v>
      </c>
      <c r="O39" s="51" t="n">
        <v>0</v>
      </c>
      <c r="P39" s="6" t="n">
        <f aca="false">M39-(N39+O39)</f>
        <v>3.4</v>
      </c>
      <c r="Q39" s="51" t="n">
        <v>0</v>
      </c>
      <c r="R39" s="51" t="n">
        <v>0</v>
      </c>
      <c r="S39" s="51" t="n">
        <f aca="false">SUM(P39:R39)</f>
        <v>3.4</v>
      </c>
      <c r="T39" s="52"/>
      <c r="U39" s="51" t="n">
        <v>0</v>
      </c>
      <c r="V39" s="51" t="n">
        <v>29.6</v>
      </c>
      <c r="W39" s="52" t="n">
        <f aca="false">W38-V39</f>
        <v>13191.1</v>
      </c>
      <c r="X39" s="6" t="n">
        <f aca="false">N39+O39+S39+U39+V39</f>
        <v>33</v>
      </c>
      <c r="Y39" s="51" t="n">
        <f aca="false">IF(L39&lt;0,L39*-1,0)</f>
        <v>0</v>
      </c>
      <c r="Z39" s="51" t="n">
        <f aca="false">X39+Y39</f>
        <v>33</v>
      </c>
      <c r="AA39" s="53" t="n">
        <v>0.19</v>
      </c>
      <c r="AB39" s="79" t="n">
        <v>34</v>
      </c>
      <c r="AC39" s="56" t="n">
        <v>8</v>
      </c>
      <c r="AD39" s="57" t="n">
        <v>30</v>
      </c>
    </row>
    <row r="40" customFormat="false" ht="11.1" hidden="false" customHeight="true" outlineLevel="0" collapsed="false">
      <c r="A40" s="57" t="n">
        <v>31</v>
      </c>
      <c r="B40" s="71" t="n">
        <v>6903.71</v>
      </c>
      <c r="C40" s="52" t="n">
        <v>297471</v>
      </c>
      <c r="D40" s="56" t="n">
        <f aca="false">C40-C39</f>
        <v>37</v>
      </c>
      <c r="E40" s="52" t="n">
        <f aca="false">C40-152000</f>
        <v>145471</v>
      </c>
      <c r="F40" s="51" t="n">
        <f aca="false">D40/$D$2</f>
        <v>18.6538946307033</v>
      </c>
      <c r="G40" s="51" t="n">
        <v>51.7</v>
      </c>
      <c r="H40" s="53" t="n">
        <v>0</v>
      </c>
      <c r="I40" s="51" t="n">
        <f aca="false">G40+H40</f>
        <v>51.7</v>
      </c>
      <c r="J40" s="78" t="n">
        <f aca="false">IF(L40&gt;0,L40,0)</f>
        <v>0.0538946307033008</v>
      </c>
      <c r="K40" s="51" t="n">
        <f aca="false">I40+J40</f>
        <v>51.7538946307033</v>
      </c>
      <c r="L40" s="51" t="n">
        <f aca="false">F40-(I40-X40)</f>
        <v>0.0538946307033008</v>
      </c>
      <c r="M40" s="51" t="n">
        <v>3.4</v>
      </c>
      <c r="N40" s="51" t="n">
        <v>0</v>
      </c>
      <c r="O40" s="51" t="n">
        <v>0</v>
      </c>
      <c r="P40" s="6" t="n">
        <f aca="false">M40-(N40+O40)</f>
        <v>3.4</v>
      </c>
      <c r="Q40" s="51" t="n">
        <v>0</v>
      </c>
      <c r="R40" s="51" t="n">
        <v>0</v>
      </c>
      <c r="S40" s="51" t="n">
        <f aca="false">SUM(P40:R40)</f>
        <v>3.4</v>
      </c>
      <c r="T40" s="52"/>
      <c r="U40" s="51" t="n">
        <v>0</v>
      </c>
      <c r="V40" s="51" t="n">
        <v>29.7</v>
      </c>
      <c r="W40" s="52" t="n">
        <f aca="false">W39-V40</f>
        <v>13161.4</v>
      </c>
      <c r="X40" s="6" t="n">
        <f aca="false">N40+O40+S40+U40+V40</f>
        <v>33.1</v>
      </c>
      <c r="Y40" s="51" t="n">
        <f aca="false">IF(L40&lt;0,L40*-1,0)</f>
        <v>0</v>
      </c>
      <c r="Z40" s="51" t="n">
        <f aca="false">X40+Y40</f>
        <v>33.1</v>
      </c>
      <c r="AA40" s="53" t="n">
        <v>0</v>
      </c>
      <c r="AB40" s="79" t="n">
        <v>31</v>
      </c>
      <c r="AC40" s="56" t="n">
        <v>14</v>
      </c>
      <c r="AD40" s="57" t="n">
        <v>31</v>
      </c>
    </row>
    <row r="41" customFormat="false" ht="3" hidden="false" customHeight="true" outlineLevel="0" collapsed="false">
      <c r="A41" s="72"/>
      <c r="B41" s="72"/>
      <c r="C41" s="74"/>
      <c r="D41" s="72"/>
      <c r="E41" s="74"/>
      <c r="F41" s="72"/>
      <c r="G41" s="72"/>
      <c r="H41" s="75"/>
      <c r="I41" s="72"/>
      <c r="J41" s="72"/>
      <c r="K41" s="72"/>
      <c r="L41" s="80"/>
      <c r="M41" s="80"/>
      <c r="N41" s="80"/>
      <c r="O41" s="72"/>
      <c r="P41" s="72"/>
      <c r="Q41" s="72"/>
      <c r="R41" s="72"/>
      <c r="S41" s="72"/>
      <c r="T41" s="74"/>
      <c r="U41" s="72"/>
      <c r="V41" s="80"/>
      <c r="W41" s="72"/>
      <c r="X41" s="72"/>
      <c r="Y41" s="72"/>
      <c r="Z41" s="72"/>
      <c r="AA41" s="75"/>
      <c r="AB41" s="76"/>
      <c r="AC41" s="76"/>
      <c r="AD41" s="77"/>
    </row>
    <row r="42" customFormat="false" ht="11.1" hidden="false" customHeight="true" outlineLevel="0" collapsed="false">
      <c r="A42" s="51" t="s">
        <v>46</v>
      </c>
      <c r="B42" s="51"/>
      <c r="C42" s="52"/>
      <c r="D42" s="52"/>
      <c r="E42" s="52"/>
      <c r="F42" s="52" t="n">
        <f aca="false">SUM(F10:F40)</f>
        <v>573.733299722712</v>
      </c>
      <c r="G42" s="52" t="n">
        <f aca="false">SUM(G10:G40)</f>
        <v>1662.6</v>
      </c>
      <c r="H42" s="53" t="n">
        <f aca="false">SUM(H10:H40)</f>
        <v>0</v>
      </c>
      <c r="I42" s="52" t="n">
        <f aca="false">SUM(I10:I40)</f>
        <v>1662.6</v>
      </c>
      <c r="J42" s="52" t="n">
        <f aca="false">SUM(J10:J40)</f>
        <v>0.744441643559384</v>
      </c>
      <c r="K42" s="52" t="n">
        <f aca="false">SUM(K10:K40)</f>
        <v>1663.34444164356</v>
      </c>
      <c r="L42" s="52" t="n">
        <f aca="false">SUM(L10:L40)</f>
        <v>0.433299722712395</v>
      </c>
      <c r="M42" s="52" t="n">
        <f aca="false">SUM(M10:M40)</f>
        <v>99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99</v>
      </c>
      <c r="Q42" s="52" t="n">
        <f aca="false">SUM(Q10:Q40)</f>
        <v>0</v>
      </c>
      <c r="R42" s="52" t="n">
        <f aca="false">SUM(R10:R40)</f>
        <v>0</v>
      </c>
      <c r="S42" s="52" t="n">
        <f aca="false">SUM(S10:S40)</f>
        <v>99</v>
      </c>
      <c r="T42" s="52"/>
      <c r="U42" s="52" t="n">
        <f aca="false">SUM(U10:U40)</f>
        <v>0</v>
      </c>
      <c r="V42" s="52" t="n">
        <f aca="false">SUM(V10:V40)</f>
        <v>990.3</v>
      </c>
      <c r="W42" s="52"/>
      <c r="X42" s="52" t="n">
        <f aca="false">SUM(X10:X40)</f>
        <v>1089.3</v>
      </c>
      <c r="Y42" s="52" t="n">
        <f aca="false">SUM(Y10:Y40)</f>
        <v>0.311141920846989</v>
      </c>
      <c r="Z42" s="52" t="n">
        <f aca="false">SUM(Z10:Z40)</f>
        <v>1089.61114192085</v>
      </c>
      <c r="AA42" s="53" t="n">
        <f aca="false">SUM(AA10:AA40)</f>
        <v>1.11</v>
      </c>
      <c r="AB42" s="56" t="n">
        <f aca="false">AVERAGE(AB10:AB40)</f>
        <v>38.8064516129032</v>
      </c>
      <c r="AC42" s="56" t="n">
        <f aca="false">AVERAGE(AC10:AC40)</f>
        <v>15.3225806451613</v>
      </c>
      <c r="AD42" s="57" t="s">
        <v>47</v>
      </c>
    </row>
    <row r="43" customFormat="false" ht="11.1" hidden="false" customHeight="true" outlineLevel="0" collapsed="false">
      <c r="A43" s="51" t="s">
        <v>48</v>
      </c>
      <c r="B43" s="51"/>
      <c r="C43" s="52"/>
      <c r="D43" s="52" t="n">
        <f aca="false">SUM(D10:D40)</f>
        <v>1138</v>
      </c>
      <c r="E43" s="52"/>
      <c r="F43" s="52" t="n">
        <f aca="false">F42*$D$2</f>
        <v>1138</v>
      </c>
      <c r="G43" s="52" t="n">
        <f aca="false">G42*$D$2</f>
        <v>3297.7671</v>
      </c>
      <c r="H43" s="53" t="n">
        <f aca="false">H42*$D$2</f>
        <v>0</v>
      </c>
      <c r="I43" s="52" t="n">
        <f aca="false">I42*$D$2</f>
        <v>3297.7671</v>
      </c>
      <c r="J43" s="52" t="n">
        <f aca="false">J42*$D$2</f>
        <v>1.47660000000004</v>
      </c>
      <c r="K43" s="52" t="n">
        <f aca="false">K42*$D$2</f>
        <v>3299.2437</v>
      </c>
      <c r="L43" s="52" t="n">
        <f aca="false">L42*$D$2</f>
        <v>0.859450000000035</v>
      </c>
      <c r="M43" s="52" t="n">
        <f aca="false">M42*$D$2</f>
        <v>196.3665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196.3665</v>
      </c>
      <c r="Q43" s="52" t="n">
        <f aca="false">Q42*$D$2</f>
        <v>0</v>
      </c>
      <c r="R43" s="52" t="n">
        <f aca="false">R42*$D$2</f>
        <v>0</v>
      </c>
      <c r="S43" s="52" t="n">
        <f aca="false">S42*$D$2</f>
        <v>196.3665</v>
      </c>
      <c r="T43" s="52"/>
      <c r="U43" s="52" t="n">
        <f aca="false">U42*$D$2</f>
        <v>0</v>
      </c>
      <c r="V43" s="52" t="n">
        <f aca="false">V42*$D$2</f>
        <v>1964.26005</v>
      </c>
      <c r="W43" s="52"/>
      <c r="X43" s="52" t="n">
        <f aca="false">X42*$D$2</f>
        <v>2160.62655</v>
      </c>
      <c r="Y43" s="52" t="n">
        <f aca="false">Y42*$D$2</f>
        <v>0.617150000000003</v>
      </c>
      <c r="Z43" s="52" t="n">
        <f aca="false">Z42*$D$2</f>
        <v>2161.2437</v>
      </c>
      <c r="AA43" s="53"/>
      <c r="AB43" s="56" t="n">
        <f aca="false">MAX(AB10:AB40)</f>
        <v>49</v>
      </c>
      <c r="AC43" s="56" t="n">
        <f aca="false">MAX(AC10:AC40)</f>
        <v>30</v>
      </c>
      <c r="AD43" s="57" t="s">
        <v>49</v>
      </c>
    </row>
    <row r="44" customFormat="false" ht="3" hidden="false" customHeight="true" outlineLevel="0" collapsed="false">
      <c r="A44" s="72"/>
      <c r="B44" s="72"/>
      <c r="C44" s="74"/>
      <c r="D44" s="74"/>
      <c r="E44" s="74"/>
      <c r="F44" s="74"/>
      <c r="G44" s="74"/>
      <c r="H44" s="75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2"/>
      <c r="X44" s="74"/>
      <c r="Y44" s="74"/>
      <c r="Z44" s="74"/>
      <c r="AA44" s="53"/>
      <c r="AB44" s="56"/>
      <c r="AC44" s="56"/>
      <c r="AD44" s="57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/>
      <c r="G45" s="52"/>
      <c r="H45" s="53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3"/>
      <c r="AB45" s="56" t="n">
        <f aca="false">MIN(AB10:AB40)</f>
        <v>25</v>
      </c>
      <c r="AC45" s="56" t="n">
        <f aca="false">MIN(AC10:AC40)</f>
        <v>5</v>
      </c>
      <c r="AD45" s="57" t="s">
        <v>51</v>
      </c>
    </row>
    <row r="46" customFormat="false" ht="11.1" hidden="false" customHeight="true" outlineLevel="0" collapsed="false">
      <c r="A46" s="51" t="s">
        <v>52</v>
      </c>
      <c r="B46" s="51"/>
      <c r="C46" s="52"/>
      <c r="D46" s="52"/>
      <c r="E46" s="52"/>
      <c r="F46" s="52"/>
      <c r="G46" s="52"/>
      <c r="H46" s="53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3"/>
      <c r="AB46" s="56"/>
      <c r="AC46" s="56"/>
      <c r="AD46" s="57"/>
    </row>
    <row r="47" customFormat="false" ht="3" hidden="false" customHeight="true" outlineLevel="0" collapsed="false">
      <c r="A47" s="72"/>
      <c r="B47" s="72"/>
      <c r="C47" s="74"/>
      <c r="D47" s="74"/>
      <c r="E47" s="74"/>
      <c r="F47" s="74"/>
      <c r="G47" s="74"/>
      <c r="H47" s="75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56"/>
      <c r="AC47" s="56"/>
      <c r="AD47" s="57"/>
    </row>
    <row r="48" customFormat="false" ht="11.1" hidden="false" customHeight="true" outlineLevel="0" collapsed="false">
      <c r="A48" s="51" t="s">
        <v>53</v>
      </c>
      <c r="B48" s="51"/>
      <c r="C48" s="52"/>
      <c r="D48" s="52"/>
      <c r="E48" s="52"/>
      <c r="F48" s="52" t="n">
        <f aca="false">F8+F42</f>
        <v>1319.88908495084</v>
      </c>
      <c r="G48" s="52" t="n">
        <f aca="false">G8+G42</f>
        <v>4643.5</v>
      </c>
      <c r="H48" s="53" t="n">
        <f aca="false">H8+H42</f>
        <v>25.7</v>
      </c>
      <c r="I48" s="52" t="n">
        <f aca="false">I8+I42</f>
        <v>4669.2</v>
      </c>
      <c r="J48" s="52" t="n">
        <f aca="false">J8+J42</f>
        <v>408.855533148475</v>
      </c>
      <c r="K48" s="52" t="n">
        <f aca="false">K8+K42</f>
        <v>5078.05553314848</v>
      </c>
      <c r="L48" s="52" t="n">
        <f aca="false">L8+L42</f>
        <v>-351.810915049156</v>
      </c>
      <c r="M48" s="52" t="n">
        <f aca="false">M8+M42</f>
        <v>694.8</v>
      </c>
      <c r="N48" s="52" t="n">
        <f aca="false">N8+N42</f>
        <v>0</v>
      </c>
      <c r="O48" s="52" t="n">
        <f aca="false">O8+O42</f>
        <v>0</v>
      </c>
      <c r="P48" s="52" t="n">
        <f aca="false">P8+P42</f>
        <v>694.8</v>
      </c>
      <c r="Q48" s="52" t="n">
        <f aca="false">Q8+Q42</f>
        <v>8.2</v>
      </c>
      <c r="R48" s="52" t="n">
        <f aca="false">R8+R42</f>
        <v>215.9</v>
      </c>
      <c r="S48" s="52" t="n">
        <f aca="false">S8+S42</f>
        <v>918.9</v>
      </c>
      <c r="T48" s="52"/>
      <c r="U48" s="52" t="n">
        <f aca="false">U8+U42</f>
        <v>0</v>
      </c>
      <c r="V48" s="52" t="n">
        <f aca="false">V8+V42</f>
        <v>2078.6</v>
      </c>
      <c r="W48" s="52" t="n">
        <f aca="false">W40</f>
        <v>13161.4</v>
      </c>
      <c r="X48" s="52" t="n">
        <f aca="false">X8+X42</f>
        <v>2997.5</v>
      </c>
      <c r="Y48" s="52" t="n">
        <f aca="false">Y8+Y42</f>
        <v>760.66644819763</v>
      </c>
      <c r="Z48" s="52" t="n">
        <f aca="false">Z8+Z42</f>
        <v>3758.16644819763</v>
      </c>
      <c r="AA48" s="53" t="n">
        <f aca="false">AA8+AA42</f>
        <v>3.84</v>
      </c>
      <c r="AB48" s="56"/>
      <c r="AC48" s="56"/>
      <c r="AD48" s="57"/>
    </row>
    <row r="49" customFormat="false" ht="11.1" hidden="false" customHeight="true" outlineLevel="0" collapsed="false">
      <c r="A49" s="51" t="s">
        <v>54</v>
      </c>
      <c r="B49" s="51"/>
      <c r="C49" s="52"/>
      <c r="D49" s="52" t="n">
        <f aca="false">D8+D43</f>
        <v>2618</v>
      </c>
      <c r="E49" s="52" t="n">
        <f aca="false">E40</f>
        <v>145471</v>
      </c>
      <c r="F49" s="52" t="n">
        <f aca="false">F48*$D$2</f>
        <v>2618</v>
      </c>
      <c r="G49" s="52" t="n">
        <f aca="false">G48*$D$2</f>
        <v>9210.38225</v>
      </c>
      <c r="H49" s="53" t="n">
        <f aca="false">H48*$D$2</f>
        <v>50.97595</v>
      </c>
      <c r="I49" s="52" t="n">
        <f aca="false">I48*$D$2</f>
        <v>9261.3582</v>
      </c>
      <c r="J49" s="52" t="n">
        <f aca="false">J48*$D$2</f>
        <v>810.96495</v>
      </c>
      <c r="K49" s="52" t="n">
        <f aca="false">K48*$D$2</f>
        <v>10072.32315</v>
      </c>
      <c r="L49" s="52" t="n">
        <f aca="false">L48*$D$2</f>
        <v>-697.81695</v>
      </c>
      <c r="M49" s="52" t="n">
        <f aca="false">M48*$D$2</f>
        <v>1378.1358</v>
      </c>
      <c r="N49" s="52" t="n">
        <f aca="false">N48*$D$2</f>
        <v>0</v>
      </c>
      <c r="O49" s="52" t="n">
        <f aca="false">O48*$D$2</f>
        <v>0</v>
      </c>
      <c r="P49" s="52" t="n">
        <f aca="false">P48*$D$2</f>
        <v>1378.1358</v>
      </c>
      <c r="Q49" s="52" t="n">
        <f aca="false">Q48*$D$2</f>
        <v>16.2647</v>
      </c>
      <c r="R49" s="52" t="n">
        <f aca="false">R48*$D$2</f>
        <v>428.23765</v>
      </c>
      <c r="S49" s="52" t="n">
        <f aca="false">S48*$D$2</f>
        <v>1822.63815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4122.9031</v>
      </c>
      <c r="W49" s="52" t="n">
        <f aca="false">W40*$D$2</f>
        <v>26105.6369</v>
      </c>
      <c r="X49" s="52" t="n">
        <f aca="false">X48*$D$2</f>
        <v>5945.54125</v>
      </c>
      <c r="Y49" s="52" t="n">
        <f aca="false">Y48*$D$2</f>
        <v>1508.7819</v>
      </c>
      <c r="Z49" s="52" t="n">
        <f aca="false">Z48*$D$2</f>
        <v>7454.32315</v>
      </c>
      <c r="AA49" s="53"/>
      <c r="AB49" s="56"/>
      <c r="AC49" s="56"/>
      <c r="AD49" s="57"/>
    </row>
    <row r="50" customFormat="false" ht="3" hidden="false" customHeight="true" outlineLevel="0" collapsed="false">
      <c r="A50" s="72"/>
      <c r="B50" s="72"/>
      <c r="C50" s="74"/>
      <c r="D50" s="72"/>
      <c r="E50" s="74"/>
      <c r="F50" s="72"/>
      <c r="G50" s="72"/>
      <c r="H50" s="75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4"/>
      <c r="U50" s="72"/>
      <c r="V50" s="72"/>
      <c r="W50" s="74"/>
      <c r="X50" s="72"/>
      <c r="Y50" s="72"/>
      <c r="Z50" s="72"/>
      <c r="AA50" s="53"/>
      <c r="AB50" s="56"/>
      <c r="AC50" s="56"/>
      <c r="AD50" s="57"/>
    </row>
    <row r="51" customFormat="false" ht="11.1" hidden="false" customHeight="true" outlineLevel="0" collapsed="false">
      <c r="A51" s="51"/>
      <c r="B51" s="81"/>
      <c r="C51" s="52"/>
      <c r="D51" s="51"/>
      <c r="E51" s="52"/>
      <c r="F51" s="51"/>
      <c r="G51" s="51"/>
      <c r="H51" s="53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2"/>
      <c r="X51" s="51"/>
      <c r="Y51" s="51"/>
      <c r="Z51" s="51"/>
      <c r="AA51" s="53"/>
      <c r="AB51" s="56"/>
      <c r="AC51" s="56"/>
      <c r="AD51" s="57"/>
    </row>
    <row r="52" customFormat="false" ht="11.1" hidden="false" customHeight="true" outlineLevel="0" collapsed="false">
      <c r="A52" s="51"/>
      <c r="B52" s="71"/>
      <c r="C52" s="52"/>
      <c r="D52" s="79"/>
      <c r="E52" s="52"/>
      <c r="F52" s="51"/>
      <c r="G52" s="51"/>
      <c r="H52" s="53"/>
      <c r="I52" s="82"/>
      <c r="J52" s="51"/>
      <c r="K52" s="41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51"/>
      <c r="W52" s="52"/>
      <c r="X52" s="51"/>
      <c r="Y52" s="51"/>
      <c r="Z52" s="51"/>
      <c r="AA52" s="53"/>
      <c r="AB52" s="56"/>
      <c r="AC52" s="56"/>
      <c r="AD52" s="57"/>
    </row>
    <row r="53" customFormat="false" ht="11.1" hidden="false" customHeight="true" outlineLevel="0" collapsed="false">
      <c r="A53" s="79"/>
      <c r="B53" s="79"/>
      <c r="C53" s="52"/>
      <c r="D53" s="52"/>
      <c r="E53" s="52"/>
      <c r="F53" s="79"/>
      <c r="G53" s="79"/>
      <c r="H53" s="53"/>
      <c r="I53" s="79"/>
      <c r="J53" s="79"/>
      <c r="K53" s="79"/>
      <c r="L53" s="79"/>
      <c r="M53" s="78"/>
      <c r="N53" s="78"/>
      <c r="O53" s="78"/>
      <c r="P53" s="78"/>
      <c r="Q53" s="79"/>
      <c r="R53" s="79"/>
      <c r="S53" s="79"/>
      <c r="T53" s="52"/>
      <c r="U53" s="79"/>
      <c r="V53" s="79"/>
      <c r="W53" s="52"/>
      <c r="X53" s="79"/>
      <c r="Y53" s="79"/>
      <c r="Z53" s="79"/>
      <c r="AA53" s="53"/>
      <c r="AB53" s="56"/>
      <c r="AC53" s="56"/>
      <c r="AD53" s="57"/>
    </row>
    <row r="54" customFormat="false" ht="11.1" hidden="false" customHeight="true" outlineLevel="0" collapsed="false">
      <c r="A54" s="79"/>
      <c r="B54" s="55"/>
      <c r="C54" s="52"/>
      <c r="D54" s="52"/>
      <c r="E54" s="52"/>
      <c r="F54" s="79"/>
      <c r="G54" s="79"/>
      <c r="H54" s="53"/>
      <c r="I54" s="79"/>
      <c r="J54" s="79"/>
      <c r="K54" s="79"/>
      <c r="L54" s="79"/>
      <c r="M54" s="78"/>
      <c r="N54" s="78"/>
      <c r="O54" s="78"/>
      <c r="P54" s="79"/>
      <c r="Q54" s="79"/>
      <c r="R54" s="79"/>
      <c r="S54" s="52"/>
      <c r="T54" s="79"/>
      <c r="U54" s="79"/>
      <c r="V54" s="52"/>
      <c r="W54" s="79"/>
      <c r="X54" s="79"/>
      <c r="Y54" s="79"/>
      <c r="Z54" s="55"/>
      <c r="AA54" s="53"/>
      <c r="AB54" s="56"/>
      <c r="AC54" s="57"/>
    </row>
    <row r="55" customFormat="false" ht="11.1" hidden="false" customHeight="true" outlineLevel="0" collapsed="false">
      <c r="A55" s="79"/>
      <c r="B55" s="79"/>
      <c r="C55" s="52"/>
      <c r="D55" s="79"/>
      <c r="E55" s="52"/>
      <c r="F55" s="79"/>
      <c r="G55" s="83"/>
      <c r="H55" s="53"/>
      <c r="I55" s="79"/>
      <c r="J55" s="79"/>
      <c r="K55" s="79"/>
      <c r="L55" s="79"/>
      <c r="M55" s="78"/>
      <c r="N55" s="78"/>
      <c r="O55" s="78"/>
      <c r="P55" s="79"/>
      <c r="Q55" s="79"/>
      <c r="R55" s="79"/>
      <c r="S55" s="52"/>
      <c r="T55" s="79"/>
      <c r="U55" s="79"/>
      <c r="V55" s="52"/>
      <c r="W55" s="79"/>
      <c r="X55" s="79"/>
      <c r="Y55" s="79"/>
      <c r="Z55" s="55"/>
      <c r="AA55" s="53"/>
      <c r="AB55" s="56"/>
      <c r="AC55" s="57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L21" activePane="bottomRight" state="frozen"/>
      <selection pane="topLeft" activeCell="A1" activeCellId="0" sqref="A1"/>
      <selection pane="topRight" activeCell="L1" activeCellId="0" sqref="L1"/>
      <selection pane="bottomLeft" activeCell="A21" activeCellId="0" sqref="A21"/>
      <selection pane="bottomRight" activeCell="AD40" activeCellId="0" sqref="AD4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4.66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3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53"/>
      <c r="I2" s="51"/>
      <c r="J2" s="51"/>
      <c r="K2" s="59" t="s">
        <v>57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3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3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63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58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63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59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63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66"/>
      <c r="AB5" s="64" t="s">
        <v>43</v>
      </c>
      <c r="AC5" s="64" t="s">
        <v>43</v>
      </c>
      <c r="AD5" s="67" t="s">
        <v>59</v>
      </c>
      <c r="AE5" s="84"/>
      <c r="AF5" s="84"/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70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69"/>
      <c r="X6" s="68"/>
      <c r="Y6" s="68"/>
      <c r="Z6" s="68"/>
      <c r="AA6" s="53"/>
      <c r="AB6" s="57"/>
      <c r="AC6" s="57"/>
      <c r="AD6" s="57"/>
      <c r="AE6" s="85"/>
      <c r="AF6" s="85"/>
      <c r="AG6" s="86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/>
      <c r="G7" s="52"/>
      <c r="H7" s="53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DEC!B40</f>
        <v>6903.71</v>
      </c>
      <c r="C8" s="52" t="n">
        <f aca="false">DEC!C40</f>
        <v>297471</v>
      </c>
      <c r="D8" s="52" t="n">
        <f aca="false">DEC!$D$49</f>
        <v>2618</v>
      </c>
      <c r="E8" s="52" t="n">
        <f aca="false">DEC!$E$40</f>
        <v>145471</v>
      </c>
      <c r="F8" s="52" t="n">
        <f aca="false">DEC!F48</f>
        <v>1319.88908495084</v>
      </c>
      <c r="G8" s="52" t="n">
        <f aca="false">DEC!G48</f>
        <v>4643.5</v>
      </c>
      <c r="H8" s="53" t="n">
        <f aca="false">DEC!H48</f>
        <v>25.7</v>
      </c>
      <c r="I8" s="52" t="n">
        <f aca="false">DEC!I48</f>
        <v>4669.2</v>
      </c>
      <c r="J8" s="52" t="n">
        <f aca="false">DEC!J48</f>
        <v>408.855533148475</v>
      </c>
      <c r="K8" s="52" t="n">
        <f aca="false">DEC!K48</f>
        <v>5078.05553314848</v>
      </c>
      <c r="L8" s="52" t="n">
        <f aca="false">DEC!L48</f>
        <v>-351.810915049156</v>
      </c>
      <c r="M8" s="52" t="n">
        <f aca="false">DEC!M48</f>
        <v>694.8</v>
      </c>
      <c r="N8" s="52" t="n">
        <f aca="false">DEC!N48</f>
        <v>0</v>
      </c>
      <c r="O8" s="52" t="n">
        <f aca="false">DEC!O48</f>
        <v>0</v>
      </c>
      <c r="P8" s="52" t="n">
        <f aca="false">DEC!P48</f>
        <v>694.8</v>
      </c>
      <c r="Q8" s="52" t="n">
        <f aca="false">DEC!Q48</f>
        <v>8.2</v>
      </c>
      <c r="R8" s="52" t="n">
        <f aca="false">DEC!R48</f>
        <v>215.9</v>
      </c>
      <c r="S8" s="52" t="n">
        <f aca="false">DEC!S48</f>
        <v>918.9</v>
      </c>
      <c r="T8" s="52" t="n">
        <f aca="false">DEC!T48</f>
        <v>0</v>
      </c>
      <c r="U8" s="52" t="n">
        <f aca="false">DEC!U48</f>
        <v>0</v>
      </c>
      <c r="V8" s="52" t="n">
        <f aca="false">DEC!V48</f>
        <v>2078.6</v>
      </c>
      <c r="W8" s="52" t="n">
        <f aca="false">DEC!W48</f>
        <v>13161.4</v>
      </c>
      <c r="X8" s="52" t="n">
        <f aca="false">DEC!X48</f>
        <v>2997.5</v>
      </c>
      <c r="Y8" s="52" t="n">
        <f aca="false">DEC!Y48</f>
        <v>760.66644819763</v>
      </c>
      <c r="Z8" s="52" t="n">
        <f aca="false">DEC!Z48</f>
        <v>3758.16644819763</v>
      </c>
      <c r="AA8" s="53" t="n">
        <f aca="false">DEC!AA48</f>
        <v>3.84</v>
      </c>
      <c r="AB8" s="56"/>
      <c r="AC8" s="56"/>
      <c r="AD8" s="57"/>
      <c r="AE8" s="87"/>
      <c r="AF8" s="85"/>
      <c r="AG8" s="87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75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75"/>
      <c r="AB9" s="76"/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6903.71</v>
      </c>
      <c r="C10" s="52" t="n">
        <v>297471</v>
      </c>
      <c r="D10" s="56" t="n">
        <f aca="false">C10-C8</f>
        <v>0</v>
      </c>
      <c r="E10" s="52" t="n">
        <f aca="false">C10-152000</f>
        <v>145471</v>
      </c>
      <c r="F10" s="51" t="n">
        <f aca="false">D10/$D$2</f>
        <v>0</v>
      </c>
      <c r="G10" s="51" t="n">
        <v>32.9</v>
      </c>
      <c r="H10" s="53" t="n">
        <v>0</v>
      </c>
      <c r="I10" s="51" t="n">
        <f aca="false">G10+H10</f>
        <v>32.9</v>
      </c>
      <c r="J10" s="78" t="n">
        <f aca="false">IF(L10&gt;0,L10,0)</f>
        <v>0.100000000000001</v>
      </c>
      <c r="K10" s="51" t="n">
        <f aca="false">I10+J10</f>
        <v>33</v>
      </c>
      <c r="L10" s="51" t="n">
        <f aca="false">F10-(I10-X10)</f>
        <v>0.100000000000001</v>
      </c>
      <c r="M10" s="51" t="n">
        <v>3.4</v>
      </c>
      <c r="N10" s="51" t="n">
        <v>0</v>
      </c>
      <c r="O10" s="51" t="n">
        <v>0</v>
      </c>
      <c r="P10" s="6" t="n">
        <f aca="false">M10-(N10+O10)</f>
        <v>3.4</v>
      </c>
      <c r="Q10" s="51" t="n">
        <v>0</v>
      </c>
      <c r="R10" s="51" t="n">
        <v>0</v>
      </c>
      <c r="S10" s="51" t="n">
        <f aca="false">SUM(P10:R10)</f>
        <v>3.4</v>
      </c>
      <c r="T10" s="52"/>
      <c r="U10" s="51" t="n">
        <v>0</v>
      </c>
      <c r="V10" s="51" t="n">
        <v>29.6</v>
      </c>
      <c r="W10" s="52" t="n">
        <f aca="false">W8-V10</f>
        <v>13131.8</v>
      </c>
      <c r="X10" s="6" t="n">
        <f aca="false">N10+O10+S10+U10+V10</f>
        <v>33</v>
      </c>
      <c r="Y10" s="51" t="n">
        <f aca="false">IF(L10&lt;0,L10*-1,0)</f>
        <v>0</v>
      </c>
      <c r="Z10" s="51" t="n">
        <f aca="false">X10+Y10</f>
        <v>33</v>
      </c>
      <c r="AA10" s="53" t="n">
        <v>0</v>
      </c>
      <c r="AB10" s="56" t="n">
        <v>33</v>
      </c>
      <c r="AC10" s="56" t="n">
        <v>1</v>
      </c>
      <c r="AD10" s="57" t="n">
        <v>1</v>
      </c>
      <c r="AE10" s="86"/>
      <c r="AF10" s="87"/>
      <c r="AG10" s="86"/>
    </row>
    <row r="11" customFormat="false" ht="11.1" hidden="false" customHeight="true" outlineLevel="0" collapsed="false">
      <c r="A11" s="57" t="n">
        <f aca="false">A10+1</f>
        <v>2</v>
      </c>
      <c r="B11" s="71" t="n">
        <v>6903.72</v>
      </c>
      <c r="C11" s="52" t="n">
        <v>297510</v>
      </c>
      <c r="D11" s="56" t="n">
        <f aca="false">C11-C10</f>
        <v>39</v>
      </c>
      <c r="E11" s="52" t="n">
        <f aca="false">C11-152000</f>
        <v>145510</v>
      </c>
      <c r="F11" s="51" t="n">
        <f aca="false">D11/$D$2</f>
        <v>19.66221325939</v>
      </c>
      <c r="G11" s="51" t="n">
        <v>52.5</v>
      </c>
      <c r="H11" s="53" t="n">
        <v>0</v>
      </c>
      <c r="I11" s="51" t="n">
        <f aca="false">G11+H11</f>
        <v>52.5</v>
      </c>
      <c r="J11" s="78" t="n">
        <f aca="false">IF(L11&gt;0,L11,0)</f>
        <v>0</v>
      </c>
      <c r="K11" s="51" t="n">
        <f aca="false">I11+J11</f>
        <v>52.5</v>
      </c>
      <c r="L11" s="51" t="n">
        <f aca="false">F11-(I11-X11)</f>
        <v>-0.0377867406100343</v>
      </c>
      <c r="M11" s="51" t="n">
        <v>3.4</v>
      </c>
      <c r="N11" s="51" t="n">
        <v>0</v>
      </c>
      <c r="O11" s="51" t="n">
        <v>0</v>
      </c>
      <c r="P11" s="6" t="n">
        <f aca="false">M11-(N11+O11)</f>
        <v>3.4</v>
      </c>
      <c r="Q11" s="51" t="n">
        <v>0</v>
      </c>
      <c r="R11" s="51" t="n">
        <v>0</v>
      </c>
      <c r="S11" s="51" t="n">
        <f aca="false">SUM(P11:R11)</f>
        <v>3.4</v>
      </c>
      <c r="T11" s="52"/>
      <c r="U11" s="51" t="n">
        <v>0</v>
      </c>
      <c r="V11" s="51" t="n">
        <v>29.4</v>
      </c>
      <c r="W11" s="52" t="n">
        <f aca="false">W10-V11</f>
        <v>13102.4</v>
      </c>
      <c r="X11" s="6" t="n">
        <f aca="false">N11+O11+S11+U11+V11</f>
        <v>32.8</v>
      </c>
      <c r="Y11" s="51" t="n">
        <f aca="false">IF(L11&lt;0,L11*-1,0)</f>
        <v>0.0377867406100343</v>
      </c>
      <c r="Z11" s="51" t="n">
        <f aca="false">X11+Y11</f>
        <v>32.83778674061</v>
      </c>
      <c r="AA11" s="53" t="n">
        <v>0</v>
      </c>
      <c r="AB11" s="56" t="n">
        <v>27</v>
      </c>
      <c r="AC11" s="56" t="n">
        <v>4</v>
      </c>
      <c r="AD11" s="57" t="n">
        <f aca="false">AD10+1</f>
        <v>2</v>
      </c>
      <c r="AE11" s="86"/>
      <c r="AF11" s="87"/>
      <c r="AG11" s="86"/>
    </row>
    <row r="12" customFormat="false" ht="11.1" hidden="false" customHeight="true" outlineLevel="0" collapsed="false">
      <c r="A12" s="57" t="n">
        <f aca="false">A11+1</f>
        <v>3</v>
      </c>
      <c r="B12" s="71" t="n">
        <v>6903.73</v>
      </c>
      <c r="C12" s="52" t="n">
        <v>297547</v>
      </c>
      <c r="D12" s="56" t="n">
        <f aca="false">C12-C11</f>
        <v>37</v>
      </c>
      <c r="E12" s="52" t="n">
        <f aca="false">C12-152000</f>
        <v>145547</v>
      </c>
      <c r="F12" s="51" t="n">
        <f aca="false">D12/$D$2</f>
        <v>18.6538946307033</v>
      </c>
      <c r="G12" s="51" t="n">
        <v>51.2</v>
      </c>
      <c r="H12" s="53" t="n">
        <v>0</v>
      </c>
      <c r="I12" s="51" t="n">
        <f aca="false">G12+H12</f>
        <v>51.2</v>
      </c>
      <c r="J12" s="78" t="n">
        <f aca="false">IF(L12&gt;0,L12,0)</f>
        <v>0.0538946307033008</v>
      </c>
      <c r="K12" s="51" t="n">
        <f aca="false">I12+J12</f>
        <v>51.2538946307033</v>
      </c>
      <c r="L12" s="51" t="n">
        <f aca="false">F12-(I12-X12)</f>
        <v>0.0538946307033008</v>
      </c>
      <c r="M12" s="51" t="n">
        <v>3.4</v>
      </c>
      <c r="N12" s="51" t="n">
        <v>0</v>
      </c>
      <c r="O12" s="51" t="n">
        <v>0</v>
      </c>
      <c r="P12" s="6" t="n">
        <f aca="false">M12-(N12+O12)</f>
        <v>3.4</v>
      </c>
      <c r="Q12" s="51" t="n">
        <v>0</v>
      </c>
      <c r="R12" s="51" t="n">
        <v>0</v>
      </c>
      <c r="S12" s="51" t="n">
        <f aca="false">SUM(P12:R12)</f>
        <v>3.4</v>
      </c>
      <c r="T12" s="52"/>
      <c r="U12" s="51" t="n">
        <v>0</v>
      </c>
      <c r="V12" s="51" t="n">
        <v>29.2</v>
      </c>
      <c r="W12" s="52" t="n">
        <f aca="false">W11-V12</f>
        <v>13073.2</v>
      </c>
      <c r="X12" s="6" t="n">
        <f aca="false">N12+O12+S12+U12+V12</f>
        <v>32.6</v>
      </c>
      <c r="Y12" s="51" t="n">
        <f aca="false">IF(L12&lt;0,L12*-1,0)</f>
        <v>0</v>
      </c>
      <c r="Z12" s="51" t="n">
        <f aca="false">X12+Y12</f>
        <v>32.6</v>
      </c>
      <c r="AA12" s="53" t="n">
        <v>0</v>
      </c>
      <c r="AB12" s="56" t="n">
        <v>29</v>
      </c>
      <c r="AC12" s="56" t="n">
        <v>0</v>
      </c>
      <c r="AD12" s="57" t="n">
        <f aca="false">AD11+1</f>
        <v>3</v>
      </c>
      <c r="AE12" s="86"/>
      <c r="AF12" s="87"/>
      <c r="AG12" s="86"/>
    </row>
    <row r="13" customFormat="false" ht="11.1" hidden="false" customHeight="true" outlineLevel="0" collapsed="false">
      <c r="A13" s="57" t="n">
        <f aca="false">A12+1</f>
        <v>4</v>
      </c>
      <c r="B13" s="71" t="n">
        <v>6903.74</v>
      </c>
      <c r="C13" s="52" t="n">
        <v>297585</v>
      </c>
      <c r="D13" s="56" t="n">
        <f aca="false">C13-C12</f>
        <v>38</v>
      </c>
      <c r="E13" s="52" t="n">
        <f aca="false">C13-152000</f>
        <v>145585</v>
      </c>
      <c r="F13" s="51" t="n">
        <f aca="false">D13/$D$2</f>
        <v>19.1580539450466</v>
      </c>
      <c r="G13" s="51" t="n">
        <v>52</v>
      </c>
      <c r="H13" s="53" t="n">
        <v>0</v>
      </c>
      <c r="I13" s="51" t="n">
        <f aca="false">G13+H13</f>
        <v>52</v>
      </c>
      <c r="J13" s="78" t="n">
        <f aca="false">IF(L13&gt;0,L13,0)</f>
        <v>0</v>
      </c>
      <c r="K13" s="51" t="n">
        <f aca="false">I13+J13</f>
        <v>52</v>
      </c>
      <c r="L13" s="51" t="n">
        <f aca="false">F13-(I13-X13)</f>
        <v>-0.0419460549533675</v>
      </c>
      <c r="M13" s="51" t="n">
        <v>3.4</v>
      </c>
      <c r="N13" s="51" t="n">
        <v>0</v>
      </c>
      <c r="O13" s="51" t="n">
        <v>0</v>
      </c>
      <c r="P13" s="6" t="n">
        <f aca="false">M13-(N13+O13)</f>
        <v>3.4</v>
      </c>
      <c r="Q13" s="51" t="n">
        <v>0</v>
      </c>
      <c r="R13" s="51" t="n">
        <v>0</v>
      </c>
      <c r="S13" s="51" t="n">
        <f aca="false">SUM(P13:R13)</f>
        <v>3.4</v>
      </c>
      <c r="T13" s="52"/>
      <c r="U13" s="51" t="n">
        <v>0</v>
      </c>
      <c r="V13" s="51" t="n">
        <v>29.4</v>
      </c>
      <c r="W13" s="52" t="n">
        <f aca="false">W12-V13</f>
        <v>13043.8</v>
      </c>
      <c r="X13" s="6" t="n">
        <f aca="false">N13+O13+S13+U13+V13</f>
        <v>32.8</v>
      </c>
      <c r="Y13" s="51" t="n">
        <f aca="false">IF(L13&lt;0,L13*-1,0)</f>
        <v>0.0419460549533675</v>
      </c>
      <c r="Z13" s="51" t="n">
        <f aca="false">X13+Y13</f>
        <v>32.8419460549534</v>
      </c>
      <c r="AA13" s="53" t="n">
        <v>0.25</v>
      </c>
      <c r="AB13" s="56" t="n">
        <v>31</v>
      </c>
      <c r="AC13" s="56" t="n">
        <v>6</v>
      </c>
      <c r="AD13" s="57" t="n">
        <f aca="false">AD12+1</f>
        <v>4</v>
      </c>
      <c r="AE13" s="86"/>
      <c r="AF13" s="87"/>
      <c r="AG13" s="86"/>
    </row>
    <row r="14" customFormat="false" ht="11.1" hidden="false" customHeight="true" outlineLevel="0" collapsed="false">
      <c r="A14" s="57" t="n">
        <f aca="false">A13+1</f>
        <v>5</v>
      </c>
      <c r="B14" s="71" t="n">
        <v>6903.76</v>
      </c>
      <c r="C14" s="52" t="n">
        <v>297660</v>
      </c>
      <c r="D14" s="56" t="n">
        <f aca="false">C14-C13</f>
        <v>75</v>
      </c>
      <c r="E14" s="52" t="n">
        <f aca="false">C14-152000</f>
        <v>145660</v>
      </c>
      <c r="F14" s="51" t="n">
        <f aca="false">D14/$D$2</f>
        <v>37.8119485757499</v>
      </c>
      <c r="G14" s="51" t="n">
        <v>70.5</v>
      </c>
      <c r="H14" s="53" t="n">
        <v>0</v>
      </c>
      <c r="I14" s="51" t="n">
        <f aca="false">G14+H14</f>
        <v>70.5</v>
      </c>
      <c r="J14" s="78" t="n">
        <f aca="false">IF(L14&gt;0,L14,0)</f>
        <v>0.0119485757499405</v>
      </c>
      <c r="K14" s="51" t="n">
        <f aca="false">I14+J14</f>
        <v>70.5119485757499</v>
      </c>
      <c r="L14" s="51" t="n">
        <f aca="false">F14-(I14-X14)</f>
        <v>0.0119485757499405</v>
      </c>
      <c r="M14" s="51" t="n">
        <v>3.4</v>
      </c>
      <c r="N14" s="51" t="n">
        <v>0</v>
      </c>
      <c r="O14" s="51" t="n">
        <v>0</v>
      </c>
      <c r="P14" s="6" t="n">
        <f aca="false">M14-(N14+O14)</f>
        <v>3.4</v>
      </c>
      <c r="Q14" s="51" t="n">
        <v>0</v>
      </c>
      <c r="R14" s="51" t="n">
        <v>0</v>
      </c>
      <c r="S14" s="51" t="n">
        <f aca="false">SUM(P14:R14)</f>
        <v>3.4</v>
      </c>
      <c r="T14" s="52"/>
      <c r="U14" s="51" t="n">
        <v>0</v>
      </c>
      <c r="V14" s="51" t="n">
        <v>29.3</v>
      </c>
      <c r="W14" s="52" t="n">
        <f aca="false">W13-V14</f>
        <v>13014.5</v>
      </c>
      <c r="X14" s="6" t="n">
        <f aca="false">N14+O14+S14+U14+V14</f>
        <v>32.7</v>
      </c>
      <c r="Y14" s="51" t="n">
        <f aca="false">IF(L14&lt;0,L14*-1,0)</f>
        <v>0</v>
      </c>
      <c r="Z14" s="51" t="n">
        <f aca="false">X14+Y14</f>
        <v>32.7</v>
      </c>
      <c r="AA14" s="53" t="n">
        <v>0</v>
      </c>
      <c r="AB14" s="56" t="n">
        <v>36</v>
      </c>
      <c r="AC14" s="56" t="n">
        <v>12</v>
      </c>
      <c r="AD14" s="57" t="n">
        <f aca="false">AD13+1</f>
        <v>5</v>
      </c>
      <c r="AE14" s="86"/>
      <c r="AF14" s="87"/>
      <c r="AG14" s="86"/>
    </row>
    <row r="15" customFormat="false" ht="11.1" hidden="false" customHeight="true" outlineLevel="0" collapsed="false">
      <c r="A15" s="57" t="n">
        <f aca="false">A14+1</f>
        <v>6</v>
      </c>
      <c r="B15" s="71" t="n">
        <v>6903.8</v>
      </c>
      <c r="C15" s="52" t="n">
        <v>297812</v>
      </c>
      <c r="D15" s="56" t="n">
        <f aca="false">C15-C14</f>
        <v>152</v>
      </c>
      <c r="E15" s="52" t="n">
        <f aca="false">C15-152000</f>
        <v>145812</v>
      </c>
      <c r="F15" s="51" t="n">
        <f aca="false">D15/$D$2</f>
        <v>76.6322157801865</v>
      </c>
      <c r="G15" s="51" t="n">
        <v>109.3</v>
      </c>
      <c r="H15" s="53" t="n">
        <v>0</v>
      </c>
      <c r="I15" s="51" t="n">
        <f aca="false">G15+H15</f>
        <v>109.3</v>
      </c>
      <c r="J15" s="78" t="n">
        <f aca="false">IF(L15&gt;0,L15,0)</f>
        <v>0</v>
      </c>
      <c r="K15" s="51" t="n">
        <f aca="false">I15+J15</f>
        <v>109.3</v>
      </c>
      <c r="L15" s="51" t="n">
        <f aca="false">F15-(I15-X15)</f>
        <v>-0.0677842198134471</v>
      </c>
      <c r="M15" s="51" t="n">
        <v>3.4</v>
      </c>
      <c r="N15" s="51" t="n">
        <v>0</v>
      </c>
      <c r="O15" s="51" t="n">
        <v>0</v>
      </c>
      <c r="P15" s="6" t="n">
        <f aca="false">M15-(N15+O15)</f>
        <v>3.4</v>
      </c>
      <c r="Q15" s="51" t="n">
        <v>0</v>
      </c>
      <c r="R15" s="51" t="n">
        <v>0</v>
      </c>
      <c r="S15" s="51" t="n">
        <f aca="false">SUM(P15:R15)</f>
        <v>3.4</v>
      </c>
      <c r="T15" s="52"/>
      <c r="U15" s="51" t="n">
        <v>0</v>
      </c>
      <c r="V15" s="51" t="n">
        <v>29.2</v>
      </c>
      <c r="W15" s="52" t="n">
        <f aca="false">W14-V15</f>
        <v>12985.3</v>
      </c>
      <c r="X15" s="6" t="n">
        <f aca="false">N15+O15+S15+U15+V15</f>
        <v>32.6</v>
      </c>
      <c r="Y15" s="51" t="n">
        <f aca="false">IF(L15&lt;0,L15*-1,0)</f>
        <v>0.0677842198134471</v>
      </c>
      <c r="Z15" s="51" t="n">
        <f aca="false">X15+Y15</f>
        <v>32.6677842198134</v>
      </c>
      <c r="AA15" s="53" t="n">
        <v>0.34</v>
      </c>
      <c r="AB15" s="56" t="n">
        <v>36</v>
      </c>
      <c r="AC15" s="56" t="n">
        <v>22</v>
      </c>
      <c r="AD15" s="57" t="n">
        <f aca="false">AD14+1</f>
        <v>6</v>
      </c>
      <c r="AE15" s="85"/>
      <c r="AF15" s="87"/>
      <c r="AG15" s="86"/>
    </row>
    <row r="16" customFormat="false" ht="11.1" hidden="false" customHeight="true" outlineLevel="0" collapsed="false">
      <c r="A16" s="57" t="n">
        <f aca="false">A15+1</f>
        <v>7</v>
      </c>
      <c r="B16" s="71" t="n">
        <v>6903.83</v>
      </c>
      <c r="C16" s="52" t="n">
        <v>297926</v>
      </c>
      <c r="D16" s="56" t="n">
        <f aca="false">C16-C15</f>
        <v>114</v>
      </c>
      <c r="E16" s="52" t="n">
        <f aca="false">C16-152000</f>
        <v>145926</v>
      </c>
      <c r="F16" s="51" t="n">
        <f aca="false">D16/$D$2</f>
        <v>57.4741618351399</v>
      </c>
      <c r="G16" s="51" t="n">
        <v>91.4</v>
      </c>
      <c r="H16" s="53" t="n">
        <v>0</v>
      </c>
      <c r="I16" s="51" t="n">
        <f aca="false">G16+H16</f>
        <v>91.4</v>
      </c>
      <c r="J16" s="78" t="n">
        <f aca="false">IF(L16&gt;0,L16,0)</f>
        <v>0</v>
      </c>
      <c r="K16" s="51" t="n">
        <f aca="false">I16+J16</f>
        <v>91.4</v>
      </c>
      <c r="L16" s="51" t="n">
        <f aca="false">F16-(I16-X16)</f>
        <v>-0.0258381648601045</v>
      </c>
      <c r="M16" s="51" t="n">
        <v>4.3</v>
      </c>
      <c r="N16" s="51" t="n">
        <v>0</v>
      </c>
      <c r="O16" s="51" t="n">
        <v>0</v>
      </c>
      <c r="P16" s="6" t="n">
        <f aca="false">M16-(N16+O16)</f>
        <v>4.3</v>
      </c>
      <c r="Q16" s="51" t="n">
        <v>0</v>
      </c>
      <c r="R16" s="51" t="n">
        <v>0</v>
      </c>
      <c r="S16" s="51" t="n">
        <f aca="false">SUM(P16:R16)</f>
        <v>4.3</v>
      </c>
      <c r="T16" s="52"/>
      <c r="U16" s="51" t="n">
        <v>0</v>
      </c>
      <c r="V16" s="51" t="n">
        <v>29.6</v>
      </c>
      <c r="W16" s="52" t="n">
        <f aca="false">W15-V16</f>
        <v>12955.7</v>
      </c>
      <c r="X16" s="6" t="n">
        <f aca="false">N16+O16+S16+U16+V16</f>
        <v>33.9</v>
      </c>
      <c r="Y16" s="51" t="n">
        <f aca="false">IF(L16&lt;0,L16*-1,0)</f>
        <v>0.0258381648601045</v>
      </c>
      <c r="Z16" s="51" t="n">
        <f aca="false">X16+Y16</f>
        <v>33.9258381648601</v>
      </c>
      <c r="AA16" s="53" t="n">
        <v>0.5</v>
      </c>
      <c r="AB16" s="56" t="n">
        <v>26</v>
      </c>
      <c r="AC16" s="56" t="n">
        <v>20</v>
      </c>
      <c r="AD16" s="57" t="n">
        <f aca="false">AD15+1</f>
        <v>7</v>
      </c>
      <c r="AE16" s="85"/>
      <c r="AF16" s="87"/>
      <c r="AG16" s="86"/>
    </row>
    <row r="17" customFormat="false" ht="11.1" hidden="false" customHeight="true" outlineLevel="0" collapsed="false">
      <c r="A17" s="57" t="n">
        <f aca="false">A16+1</f>
        <v>8</v>
      </c>
      <c r="B17" s="71" t="n">
        <v>6903.85</v>
      </c>
      <c r="C17" s="52" t="n">
        <v>298002</v>
      </c>
      <c r="D17" s="56" t="n">
        <f aca="false">C17-C16</f>
        <v>76</v>
      </c>
      <c r="E17" s="52" t="n">
        <f aca="false">C17-152000</f>
        <v>146002</v>
      </c>
      <c r="F17" s="51" t="n">
        <f aca="false">D17/$D$2</f>
        <v>38.3161078900933</v>
      </c>
      <c r="G17" s="51" t="n">
        <v>72.7</v>
      </c>
      <c r="H17" s="53" t="n">
        <v>0</v>
      </c>
      <c r="I17" s="51" t="n">
        <f aca="false">G17+H17</f>
        <v>72.7</v>
      </c>
      <c r="J17" s="78" t="n">
        <f aca="false">IF(L17&gt;0,L17,0)</f>
        <v>0.0161078900932665</v>
      </c>
      <c r="K17" s="51" t="n">
        <f aca="false">I17+J17</f>
        <v>72.7161078900933</v>
      </c>
      <c r="L17" s="51" t="n">
        <f aca="false">F17-(I17-X17)</f>
        <v>0.0161078900932665</v>
      </c>
      <c r="M17" s="51" t="n">
        <v>5.2</v>
      </c>
      <c r="N17" s="51" t="n">
        <v>0</v>
      </c>
      <c r="O17" s="51" t="n">
        <v>0</v>
      </c>
      <c r="P17" s="6" t="n">
        <f aca="false">M17-(N17+O17)</f>
        <v>5.2</v>
      </c>
      <c r="Q17" s="51" t="n">
        <v>0</v>
      </c>
      <c r="R17" s="51" t="n">
        <v>0</v>
      </c>
      <c r="S17" s="51" t="n">
        <f aca="false">SUM(P17:R17)</f>
        <v>5.2</v>
      </c>
      <c r="T17" s="52"/>
      <c r="U17" s="51" t="n">
        <v>0</v>
      </c>
      <c r="V17" s="51" t="n">
        <v>29.2</v>
      </c>
      <c r="W17" s="52" t="n">
        <f aca="false">W16-V17</f>
        <v>12926.5</v>
      </c>
      <c r="X17" s="6" t="n">
        <f aca="false">N17+O17+S17+U17+V17</f>
        <v>34.4</v>
      </c>
      <c r="Y17" s="51" t="n">
        <f aca="false">IF(L17&lt;0,L17*-1,0)</f>
        <v>0</v>
      </c>
      <c r="Z17" s="51" t="n">
        <f aca="false">X17+Y17</f>
        <v>34.4</v>
      </c>
      <c r="AA17" s="53" t="n">
        <v>0</v>
      </c>
      <c r="AB17" s="56" t="n">
        <v>34</v>
      </c>
      <c r="AC17" s="56" t="n">
        <v>10</v>
      </c>
      <c r="AD17" s="57" t="n">
        <f aca="false">AD16+1</f>
        <v>8</v>
      </c>
      <c r="AE17" s="85"/>
      <c r="AF17" s="87"/>
      <c r="AG17" s="86"/>
    </row>
    <row r="18" customFormat="false" ht="11.1" hidden="false" customHeight="true" outlineLevel="0" collapsed="false">
      <c r="A18" s="57" t="n">
        <f aca="false">A17+1</f>
        <v>9</v>
      </c>
      <c r="B18" s="71" t="n">
        <v>6903.86</v>
      </c>
      <c r="C18" s="52" t="n">
        <v>298039</v>
      </c>
      <c r="D18" s="56" t="n">
        <f aca="false">C18-C17</f>
        <v>37</v>
      </c>
      <c r="E18" s="52" t="n">
        <f aca="false">C18-152000</f>
        <v>146039</v>
      </c>
      <c r="F18" s="51" t="n">
        <f aca="false">D18/$D$2</f>
        <v>18.6538946307033</v>
      </c>
      <c r="G18" s="51" t="n">
        <v>53.1</v>
      </c>
      <c r="H18" s="53" t="n">
        <v>0</v>
      </c>
      <c r="I18" s="51" t="n">
        <f aca="false">G18+H18</f>
        <v>53.1</v>
      </c>
      <c r="J18" s="78" t="n">
        <f aca="false">IF(L18&gt;0,L18,0)</f>
        <v>0.0538946307033008</v>
      </c>
      <c r="K18" s="51" t="n">
        <f aca="false">I18+J18</f>
        <v>53.1538946307033</v>
      </c>
      <c r="L18" s="51" t="n">
        <f aca="false">F18-(I18-X18)</f>
        <v>0.0538946307033008</v>
      </c>
      <c r="M18" s="51" t="n">
        <v>5.1</v>
      </c>
      <c r="N18" s="51" t="n">
        <v>0</v>
      </c>
      <c r="O18" s="51" t="n">
        <v>0</v>
      </c>
      <c r="P18" s="6" t="n">
        <f aca="false">M18-(N18+O18)</f>
        <v>5.1</v>
      </c>
      <c r="Q18" s="51" t="n">
        <v>0</v>
      </c>
      <c r="R18" s="51" t="n">
        <v>0</v>
      </c>
      <c r="S18" s="51" t="n">
        <f aca="false">SUM(P18:R18)</f>
        <v>5.1</v>
      </c>
      <c r="T18" s="52"/>
      <c r="U18" s="51" t="n">
        <v>0</v>
      </c>
      <c r="V18" s="51" t="n">
        <v>29.4</v>
      </c>
      <c r="W18" s="52" t="n">
        <f aca="false">W17-V18</f>
        <v>12897.1</v>
      </c>
      <c r="X18" s="6" t="n">
        <f aca="false">N18+O18+S18+U18+V18</f>
        <v>34.5</v>
      </c>
      <c r="Y18" s="51" t="n">
        <f aca="false">IF(L18&lt;0,L18*-1,0)</f>
        <v>0</v>
      </c>
      <c r="Z18" s="51" t="n">
        <f aca="false">X18+Y18</f>
        <v>34.5</v>
      </c>
      <c r="AA18" s="53" t="n">
        <v>0</v>
      </c>
      <c r="AB18" s="79" t="n">
        <v>34</v>
      </c>
      <c r="AC18" s="56" t="n">
        <v>0</v>
      </c>
      <c r="AD18" s="57" t="n">
        <f aca="false">AD17+1</f>
        <v>9</v>
      </c>
      <c r="AE18" s="85"/>
      <c r="AF18" s="87"/>
      <c r="AG18" s="86"/>
    </row>
    <row r="19" customFormat="false" ht="11.1" hidden="false" customHeight="true" outlineLevel="0" collapsed="false">
      <c r="A19" s="57" t="n">
        <f aca="false">A18+1</f>
        <v>10</v>
      </c>
      <c r="B19" s="71" t="n">
        <v>6903.85</v>
      </c>
      <c r="C19" s="52" t="n">
        <v>298002</v>
      </c>
      <c r="D19" s="56" t="n">
        <f aca="false">C19-C18</f>
        <v>-37</v>
      </c>
      <c r="E19" s="52" t="n">
        <f aca="false">C19-152000</f>
        <v>146002</v>
      </c>
      <c r="F19" s="51" t="n">
        <f aca="false">D19/$D$2</f>
        <v>-18.6538946307033</v>
      </c>
      <c r="G19" s="51" t="n">
        <v>53.8</v>
      </c>
      <c r="H19" s="53" t="n">
        <v>0</v>
      </c>
      <c r="I19" s="51" t="n">
        <f aca="false">G19+H19</f>
        <v>53.8</v>
      </c>
      <c r="J19" s="78" t="n">
        <f aca="false">IF(L19&gt;0,L19,0)</f>
        <v>0</v>
      </c>
      <c r="K19" s="51" t="n">
        <f aca="false">I19+J19</f>
        <v>53.8</v>
      </c>
      <c r="L19" s="51" t="n">
        <f aca="false">F19-(I19-X19)</f>
        <v>-37.3538946307033</v>
      </c>
      <c r="M19" s="51" t="n">
        <v>5.4</v>
      </c>
      <c r="N19" s="51" t="n">
        <v>0</v>
      </c>
      <c r="O19" s="51" t="n">
        <v>0</v>
      </c>
      <c r="P19" s="6" t="n">
        <f aca="false">M19-(N19+O19)</f>
        <v>5.4</v>
      </c>
      <c r="Q19" s="51" t="n">
        <v>0</v>
      </c>
      <c r="R19" s="51" t="n">
        <v>0</v>
      </c>
      <c r="S19" s="51" t="n">
        <f aca="false">SUM(P19:R19)</f>
        <v>5.4</v>
      </c>
      <c r="T19" s="52"/>
      <c r="U19" s="51" t="n">
        <v>0</v>
      </c>
      <c r="V19" s="51" t="n">
        <v>29.7</v>
      </c>
      <c r="W19" s="52" t="n">
        <f aca="false">W18-V19</f>
        <v>12867.4</v>
      </c>
      <c r="X19" s="6" t="n">
        <f aca="false">N19+O19+S19+U19+V19</f>
        <v>35.1</v>
      </c>
      <c r="Y19" s="51" t="n">
        <f aca="false">IF(L19&lt;0,L19*-1,0)</f>
        <v>37.3538946307033</v>
      </c>
      <c r="Z19" s="51" t="n">
        <f aca="false">X19+Y19</f>
        <v>72.4538946307033</v>
      </c>
      <c r="AA19" s="53" t="n">
        <v>0</v>
      </c>
      <c r="AB19" s="56" t="n">
        <v>36</v>
      </c>
      <c r="AC19" s="56" t="n">
        <v>1</v>
      </c>
      <c r="AD19" s="57" t="n">
        <f aca="false">AD18+1</f>
        <v>10</v>
      </c>
      <c r="AE19" s="85"/>
      <c r="AF19" s="87"/>
      <c r="AG19" s="86"/>
    </row>
    <row r="20" customFormat="false" ht="11.1" hidden="false" customHeight="true" outlineLevel="0" collapsed="false">
      <c r="A20" s="57" t="n">
        <f aca="false">A19+1</f>
        <v>11</v>
      </c>
      <c r="B20" s="71" t="n">
        <v>6903.84</v>
      </c>
      <c r="C20" s="52" t="n">
        <v>297936</v>
      </c>
      <c r="D20" s="56" t="n">
        <f aca="false">C20-C19</f>
        <v>-66</v>
      </c>
      <c r="E20" s="52" t="n">
        <f aca="false">C20-152000</f>
        <v>145936</v>
      </c>
      <c r="F20" s="51" t="n">
        <f aca="false">D20/$D$2</f>
        <v>-33.2745147466599</v>
      </c>
      <c r="G20" s="51" t="n">
        <v>55.4</v>
      </c>
      <c r="H20" s="53" t="n">
        <v>0</v>
      </c>
      <c r="I20" s="51" t="n">
        <f aca="false">G20+H20</f>
        <v>55.4</v>
      </c>
      <c r="J20" s="78" t="n">
        <f aca="false">IF(L20&gt;0,L20,0)</f>
        <v>0</v>
      </c>
      <c r="K20" s="51" t="n">
        <f aca="false">I20+J20</f>
        <v>55.4</v>
      </c>
      <c r="L20" s="51" t="n">
        <f aca="false">F20-(I20-X20)</f>
        <v>-53.4745147466599</v>
      </c>
      <c r="M20" s="51" t="n">
        <v>5.5</v>
      </c>
      <c r="N20" s="51" t="n">
        <v>0</v>
      </c>
      <c r="O20" s="51" t="n">
        <v>0</v>
      </c>
      <c r="P20" s="6" t="n">
        <f aca="false">M20-(N20+O20)</f>
        <v>5.5</v>
      </c>
      <c r="Q20" s="51" t="n">
        <v>0</v>
      </c>
      <c r="R20" s="51" t="n">
        <v>0</v>
      </c>
      <c r="S20" s="51" t="n">
        <f aca="false">SUM(P20:R20)</f>
        <v>5.5</v>
      </c>
      <c r="T20" s="52"/>
      <c r="U20" s="51" t="n">
        <v>0</v>
      </c>
      <c r="V20" s="51" t="n">
        <v>29.7</v>
      </c>
      <c r="W20" s="52" t="n">
        <f aca="false">W19-V20</f>
        <v>12837.7</v>
      </c>
      <c r="X20" s="6" t="n">
        <f aca="false">N20+O20+S20+U20+V20</f>
        <v>35.2</v>
      </c>
      <c r="Y20" s="51" t="n">
        <f aca="false">IF(L20&lt;0,L20*-1,0)</f>
        <v>53.4745147466599</v>
      </c>
      <c r="Z20" s="51" t="n">
        <f aca="false">X20+Y20</f>
        <v>88.6745147466599</v>
      </c>
      <c r="AA20" s="53" t="n">
        <v>0</v>
      </c>
      <c r="AB20" s="56" t="n">
        <v>34</v>
      </c>
      <c r="AC20" s="56" t="n">
        <v>6</v>
      </c>
      <c r="AD20" s="57" t="n">
        <f aca="false">AD19+1</f>
        <v>11</v>
      </c>
      <c r="AE20" s="85"/>
      <c r="AF20" s="87"/>
      <c r="AG20" s="86"/>
    </row>
    <row r="21" customFormat="false" ht="11.1" hidden="false" customHeight="true" outlineLevel="0" collapsed="false">
      <c r="A21" s="57" t="n">
        <f aca="false">A20+1</f>
        <v>12</v>
      </c>
      <c r="B21" s="71" t="n">
        <v>6903.85</v>
      </c>
      <c r="C21" s="52" t="n">
        <v>298002</v>
      </c>
      <c r="D21" s="56" t="n">
        <f aca="false">C21-C20</f>
        <v>66</v>
      </c>
      <c r="E21" s="52" t="n">
        <f aca="false">C21-152000</f>
        <v>146002</v>
      </c>
      <c r="F21" s="51" t="n">
        <f aca="false">D21/$D$2</f>
        <v>33.2745147466599</v>
      </c>
      <c r="G21" s="51" t="n">
        <v>68.5</v>
      </c>
      <c r="H21" s="53" t="n">
        <v>0</v>
      </c>
      <c r="I21" s="51" t="n">
        <f aca="false">G21+H21</f>
        <v>68.5</v>
      </c>
      <c r="J21" s="78" t="n">
        <f aca="false">IF(L21&gt;0,L21,0)</f>
        <v>0</v>
      </c>
      <c r="K21" s="51" t="n">
        <f aca="false">I21+J21</f>
        <v>68.5</v>
      </c>
      <c r="L21" s="51" t="n">
        <f aca="false">F21-(I21-X21)</f>
        <v>-0.0254852533400509</v>
      </c>
      <c r="M21" s="51" t="n">
        <v>5.5</v>
      </c>
      <c r="N21" s="51" t="n">
        <v>0</v>
      </c>
      <c r="O21" s="51" t="n">
        <v>0</v>
      </c>
      <c r="P21" s="6" t="n">
        <f aca="false">M21-(N21+O21)</f>
        <v>5.5</v>
      </c>
      <c r="Q21" s="51" t="n">
        <v>0</v>
      </c>
      <c r="R21" s="51" t="n">
        <v>0</v>
      </c>
      <c r="S21" s="51" t="n">
        <f aca="false">SUM(P21:R21)</f>
        <v>5.5</v>
      </c>
      <c r="T21" s="52"/>
      <c r="U21" s="51" t="n">
        <v>0</v>
      </c>
      <c r="V21" s="51" t="n">
        <v>29.7</v>
      </c>
      <c r="W21" s="52" t="n">
        <f aca="false">W20-V21</f>
        <v>12808</v>
      </c>
      <c r="X21" s="6" t="n">
        <f aca="false">N21+O21+S21+U21+V21</f>
        <v>35.2</v>
      </c>
      <c r="Y21" s="51" t="n">
        <f aca="false">IF(L21&lt;0,L21*-1,0)</f>
        <v>0.0254852533400509</v>
      </c>
      <c r="Z21" s="51" t="n">
        <f aca="false">X21+Y21</f>
        <v>35.2254852533401</v>
      </c>
      <c r="AA21" s="53" t="n">
        <v>0</v>
      </c>
      <c r="AB21" s="56" t="n">
        <v>36</v>
      </c>
      <c r="AC21" s="56" t="n">
        <v>4</v>
      </c>
      <c r="AD21" s="57" t="n">
        <f aca="false">AD20+1</f>
        <v>12</v>
      </c>
      <c r="AE21" s="85"/>
      <c r="AF21" s="87"/>
      <c r="AG21" s="86"/>
    </row>
    <row r="22" customFormat="false" ht="11.1" hidden="false" customHeight="true" outlineLevel="0" collapsed="false">
      <c r="A22" s="57" t="n">
        <v>13</v>
      </c>
      <c r="B22" s="71" t="n">
        <v>6903.86</v>
      </c>
      <c r="C22" s="52" t="n">
        <v>298039</v>
      </c>
      <c r="D22" s="56" t="n">
        <f aca="false">C22-C21</f>
        <v>37</v>
      </c>
      <c r="E22" s="52" t="n">
        <f aca="false">C22-152000</f>
        <v>146039</v>
      </c>
      <c r="F22" s="51" t="n">
        <f aca="false">D22/$D$2</f>
        <v>18.6538946307033</v>
      </c>
      <c r="G22" s="51" t="n">
        <v>53.5</v>
      </c>
      <c r="H22" s="53" t="n">
        <v>0</v>
      </c>
      <c r="I22" s="51" t="n">
        <f aca="false">G22+H22</f>
        <v>53.5</v>
      </c>
      <c r="J22" s="78" t="n">
        <f aca="false">IF(L22&gt;0,L22,0)</f>
        <v>0.0538946307033008</v>
      </c>
      <c r="K22" s="51" t="n">
        <f aca="false">I22+J22</f>
        <v>53.5538946307033</v>
      </c>
      <c r="L22" s="51" t="n">
        <f aca="false">F22-(I22-X22)</f>
        <v>0.0538946307033008</v>
      </c>
      <c r="M22" s="51" t="n">
        <v>5.2</v>
      </c>
      <c r="N22" s="51" t="n">
        <v>0</v>
      </c>
      <c r="O22" s="51" t="n">
        <v>0</v>
      </c>
      <c r="P22" s="6" t="n">
        <f aca="false">M22-(N22+O22)</f>
        <v>5.2</v>
      </c>
      <c r="Q22" s="51" t="n">
        <v>0</v>
      </c>
      <c r="R22" s="51" t="n">
        <v>0</v>
      </c>
      <c r="S22" s="51" t="n">
        <f aca="false">SUM(P22:R22)</f>
        <v>5.2</v>
      </c>
      <c r="T22" s="52"/>
      <c r="U22" s="51" t="n">
        <v>0</v>
      </c>
      <c r="V22" s="51" t="n">
        <v>29.7</v>
      </c>
      <c r="W22" s="52" t="n">
        <f aca="false">W21-V22</f>
        <v>12778.3</v>
      </c>
      <c r="X22" s="6" t="n">
        <f aca="false">N22+O22+S22+U22+V22</f>
        <v>34.9</v>
      </c>
      <c r="Y22" s="51" t="n">
        <f aca="false">IF(L22&lt;0,L22*-1,0)</f>
        <v>0</v>
      </c>
      <c r="Z22" s="51" t="n">
        <f aca="false">X22+Y22</f>
        <v>34.9</v>
      </c>
      <c r="AA22" s="53" t="n">
        <v>0</v>
      </c>
      <c r="AB22" s="56" t="n">
        <v>32</v>
      </c>
      <c r="AC22" s="56" t="n">
        <v>2</v>
      </c>
      <c r="AD22" s="57" t="n">
        <f aca="false">AD21+1</f>
        <v>13</v>
      </c>
      <c r="AE22" s="85"/>
      <c r="AF22" s="87"/>
      <c r="AG22" s="86"/>
    </row>
    <row r="23" customFormat="false" ht="11.1" hidden="false" customHeight="true" outlineLevel="0" collapsed="false">
      <c r="A23" s="57" t="n">
        <f aca="false">A22+1</f>
        <v>14</v>
      </c>
      <c r="B23" s="71" t="n">
        <v>6903.88</v>
      </c>
      <c r="C23" s="52" t="n">
        <v>298115</v>
      </c>
      <c r="D23" s="56" t="n">
        <f aca="false">C23-C22</f>
        <v>76</v>
      </c>
      <c r="E23" s="52" t="n">
        <f aca="false">C23-152000</f>
        <v>146115</v>
      </c>
      <c r="F23" s="51" t="n">
        <f aca="false">D23/$D$2</f>
        <v>38.3161078900933</v>
      </c>
      <c r="G23" s="51" t="n">
        <v>72.9</v>
      </c>
      <c r="H23" s="53" t="n">
        <v>0</v>
      </c>
      <c r="I23" s="51" t="n">
        <f aca="false">G23+H23</f>
        <v>72.9</v>
      </c>
      <c r="J23" s="78" t="n">
        <f aca="false">IF(L23&gt;0,L23,0)</f>
        <v>0.0161078900932665</v>
      </c>
      <c r="K23" s="51" t="n">
        <f aca="false">I23+J23</f>
        <v>72.9161078900933</v>
      </c>
      <c r="L23" s="51" t="n">
        <f aca="false">F23-(I23-X23)</f>
        <v>0.0161078900932665</v>
      </c>
      <c r="M23" s="51" t="n">
        <v>4.9</v>
      </c>
      <c r="N23" s="51" t="n">
        <v>0</v>
      </c>
      <c r="O23" s="51" t="n">
        <v>0</v>
      </c>
      <c r="P23" s="6" t="n">
        <f aca="false">M23-(N23+O23)</f>
        <v>4.9</v>
      </c>
      <c r="Q23" s="51" t="n">
        <v>0</v>
      </c>
      <c r="R23" s="51" t="n">
        <v>0</v>
      </c>
      <c r="S23" s="51" t="n">
        <f aca="false">SUM(P23:R23)</f>
        <v>4.9</v>
      </c>
      <c r="T23" s="52"/>
      <c r="U23" s="51" t="n">
        <v>0</v>
      </c>
      <c r="V23" s="51" t="n">
        <v>29.7</v>
      </c>
      <c r="W23" s="52" t="n">
        <f aca="false">W22-V23</f>
        <v>12748.6</v>
      </c>
      <c r="X23" s="6" t="n">
        <f aca="false">N23+O23+S23+U23+V23</f>
        <v>34.6</v>
      </c>
      <c r="Y23" s="51" t="n">
        <f aca="false">IF(L23&lt;0,L23*-1,0)</f>
        <v>0</v>
      </c>
      <c r="Z23" s="51" t="n">
        <f aca="false">X23+Y23</f>
        <v>34.6</v>
      </c>
      <c r="AA23" s="53" t="n">
        <v>0</v>
      </c>
      <c r="AB23" s="79" t="n">
        <v>34</v>
      </c>
      <c r="AC23" s="56" t="n">
        <v>4</v>
      </c>
      <c r="AD23" s="57" t="n">
        <f aca="false">AD22+1</f>
        <v>14</v>
      </c>
      <c r="AE23" s="85"/>
      <c r="AF23" s="87"/>
      <c r="AG23" s="86"/>
    </row>
    <row r="24" customFormat="false" ht="11.1" hidden="false" customHeight="true" outlineLevel="0" collapsed="false">
      <c r="A24" s="57" t="n">
        <f aca="false">A23+1</f>
        <v>15</v>
      </c>
      <c r="B24" s="71" t="n">
        <v>6903.89</v>
      </c>
      <c r="C24" s="52" t="n">
        <v>298154</v>
      </c>
      <c r="D24" s="56" t="n">
        <f aca="false">C24-C23</f>
        <v>39</v>
      </c>
      <c r="E24" s="52" t="n">
        <f aca="false">C24-152000</f>
        <v>146154</v>
      </c>
      <c r="F24" s="51" t="n">
        <f aca="false">D24/$D$2</f>
        <v>19.66221325939</v>
      </c>
      <c r="G24" s="51" t="n">
        <v>53.7</v>
      </c>
      <c r="H24" s="53" t="n">
        <v>0</v>
      </c>
      <c r="I24" s="51" t="n">
        <f aca="false">G24+H24</f>
        <v>53.7</v>
      </c>
      <c r="J24" s="78" t="n">
        <f aca="false">IF(L24&gt;0,L24,0)</f>
        <v>0</v>
      </c>
      <c r="K24" s="51" t="n">
        <f aca="false">I24+J24</f>
        <v>53.7</v>
      </c>
      <c r="L24" s="51" t="n">
        <f aca="false">F24-(I24-X24)</f>
        <v>-0.0377867406100343</v>
      </c>
      <c r="M24" s="51" t="n">
        <v>4.3</v>
      </c>
      <c r="N24" s="51" t="n">
        <v>0</v>
      </c>
      <c r="O24" s="51" t="n">
        <v>0</v>
      </c>
      <c r="P24" s="6" t="n">
        <f aca="false">M24-(N24+O24)</f>
        <v>4.3</v>
      </c>
      <c r="Q24" s="51" t="n">
        <v>0</v>
      </c>
      <c r="R24" s="51" t="n">
        <v>0</v>
      </c>
      <c r="S24" s="51" t="n">
        <f aca="false">SUM(P24:R24)</f>
        <v>4.3</v>
      </c>
      <c r="T24" s="52"/>
      <c r="U24" s="51" t="n">
        <v>0</v>
      </c>
      <c r="V24" s="51" t="n">
        <v>29.7</v>
      </c>
      <c r="W24" s="52" t="n">
        <f aca="false">W23-V24</f>
        <v>12718.9</v>
      </c>
      <c r="X24" s="6" t="n">
        <f aca="false">N24+O24+S24+U24+V24</f>
        <v>34</v>
      </c>
      <c r="Y24" s="51" t="n">
        <f aca="false">IF(L24&lt;0,L24*-1,0)</f>
        <v>0.0377867406100343</v>
      </c>
      <c r="Z24" s="51" t="n">
        <f aca="false">X24+Y24</f>
        <v>34.03778674061</v>
      </c>
      <c r="AA24" s="53" t="n">
        <v>0</v>
      </c>
      <c r="AB24" s="79" t="n">
        <v>32</v>
      </c>
      <c r="AC24" s="56" t="n">
        <v>8</v>
      </c>
      <c r="AD24" s="57" t="n">
        <f aca="false">AD23+1</f>
        <v>15</v>
      </c>
      <c r="AE24" s="85"/>
      <c r="AF24" s="87"/>
      <c r="AG24" s="86"/>
    </row>
    <row r="25" customFormat="false" ht="11.1" hidden="false" customHeight="true" outlineLevel="0" collapsed="false">
      <c r="A25" s="57" t="n">
        <f aca="false">A24+1</f>
        <v>16</v>
      </c>
      <c r="B25" s="71" t="n">
        <v>6903.89</v>
      </c>
      <c r="C25" s="52" t="n">
        <v>298154</v>
      </c>
      <c r="D25" s="56" t="n">
        <f aca="false">C25-C24</f>
        <v>0</v>
      </c>
      <c r="E25" s="52" t="n">
        <f aca="false">C25-152000</f>
        <v>146154</v>
      </c>
      <c r="F25" s="51" t="n">
        <f aca="false">D25/$D$2</f>
        <v>0</v>
      </c>
      <c r="G25" s="51" t="n">
        <v>33.3</v>
      </c>
      <c r="H25" s="53" t="n">
        <v>0</v>
      </c>
      <c r="I25" s="51" t="n">
        <f aca="false">G25+H25</f>
        <v>33.3</v>
      </c>
      <c r="J25" s="78" t="n">
        <f aca="false">IF(L25&gt;0,L25,0)</f>
        <v>0</v>
      </c>
      <c r="K25" s="51" t="n">
        <f aca="false">I25+J25</f>
        <v>33.3</v>
      </c>
      <c r="L25" s="51" t="n">
        <f aca="false">F25-(I25-X25)</f>
        <v>0</v>
      </c>
      <c r="M25" s="51" t="n">
        <v>3.6</v>
      </c>
      <c r="N25" s="51" t="n">
        <v>0</v>
      </c>
      <c r="O25" s="51" t="n">
        <v>0</v>
      </c>
      <c r="P25" s="6" t="n">
        <f aca="false">M25-(N25+O25)</f>
        <v>3.6</v>
      </c>
      <c r="Q25" s="51" t="n">
        <v>0</v>
      </c>
      <c r="R25" s="51" t="n">
        <v>0</v>
      </c>
      <c r="S25" s="51" t="n">
        <f aca="false">SUM(P25:R25)</f>
        <v>3.6</v>
      </c>
      <c r="T25" s="52"/>
      <c r="U25" s="51" t="n">
        <v>0</v>
      </c>
      <c r="V25" s="51" t="n">
        <v>29.7</v>
      </c>
      <c r="W25" s="52" t="n">
        <f aca="false">W24-V25</f>
        <v>12689.2</v>
      </c>
      <c r="X25" s="6" t="n">
        <f aca="false">N25+O25+S25+U25+V25</f>
        <v>33.3</v>
      </c>
      <c r="Y25" s="51" t="n">
        <f aca="false">IF(L25&lt;0,L25*-1,0)</f>
        <v>0</v>
      </c>
      <c r="Z25" s="51" t="n">
        <f aca="false">X25+Y25</f>
        <v>33.3</v>
      </c>
      <c r="AA25" s="53" t="n">
        <v>0</v>
      </c>
      <c r="AB25" s="79" t="n">
        <v>34</v>
      </c>
      <c r="AC25" s="56" t="n">
        <v>4</v>
      </c>
      <c r="AD25" s="57" t="n">
        <f aca="false">AD24+1</f>
        <v>16</v>
      </c>
      <c r="AE25" s="85"/>
      <c r="AF25" s="88"/>
      <c r="AG25" s="86"/>
    </row>
    <row r="26" customFormat="false" ht="11.1" hidden="false" customHeight="true" outlineLevel="0" collapsed="false">
      <c r="A26" s="57" t="n">
        <f aca="false">A25+1</f>
        <v>17</v>
      </c>
      <c r="B26" s="71" t="n">
        <v>6903.89</v>
      </c>
      <c r="C26" s="52" t="n">
        <v>298154</v>
      </c>
      <c r="D26" s="56" t="n">
        <f aca="false">C26-C25</f>
        <v>0</v>
      </c>
      <c r="E26" s="52" t="n">
        <f aca="false">C26-152000</f>
        <v>146154</v>
      </c>
      <c r="F26" s="51" t="n">
        <f aca="false">D26/$D$2</f>
        <v>0</v>
      </c>
      <c r="G26" s="51" t="n">
        <v>33.4</v>
      </c>
      <c r="H26" s="53" t="n">
        <v>0</v>
      </c>
      <c r="I26" s="51" t="n">
        <f aca="false">G26+H26</f>
        <v>33.4</v>
      </c>
      <c r="J26" s="78" t="n">
        <f aca="false">IF(L26&gt;0,L26,0)</f>
        <v>0</v>
      </c>
      <c r="K26" s="51" t="n">
        <f aca="false">I26+J26</f>
        <v>33.4</v>
      </c>
      <c r="L26" s="51" t="n">
        <f aca="false">F26-(I26-X26)</f>
        <v>0</v>
      </c>
      <c r="M26" s="51" t="n">
        <v>3.7</v>
      </c>
      <c r="N26" s="51" t="n">
        <v>0</v>
      </c>
      <c r="O26" s="51" t="n">
        <v>0</v>
      </c>
      <c r="P26" s="6" t="n">
        <f aca="false">M26-(N26+O26)</f>
        <v>3.7</v>
      </c>
      <c r="Q26" s="51" t="n">
        <v>0</v>
      </c>
      <c r="R26" s="51" t="n">
        <v>0</v>
      </c>
      <c r="S26" s="51" t="n">
        <f aca="false">SUM(P26:R26)</f>
        <v>3.7</v>
      </c>
      <c r="T26" s="52"/>
      <c r="U26" s="51" t="n">
        <v>0</v>
      </c>
      <c r="V26" s="51" t="n">
        <v>29.7</v>
      </c>
      <c r="W26" s="52" t="n">
        <f aca="false">W25-V26</f>
        <v>12659.5</v>
      </c>
      <c r="X26" s="6" t="n">
        <f aca="false">N26+O26+S26+U26+V26</f>
        <v>33.4</v>
      </c>
      <c r="Y26" s="51" t="n">
        <f aca="false">IF(L26&lt;0,L26*-1,0)</f>
        <v>0</v>
      </c>
      <c r="Z26" s="51" t="n">
        <f aca="false">X26+Y26</f>
        <v>33.4</v>
      </c>
      <c r="AA26" s="53" t="n">
        <v>0</v>
      </c>
      <c r="AB26" s="79" t="n">
        <v>36</v>
      </c>
      <c r="AC26" s="56" t="n">
        <v>5</v>
      </c>
      <c r="AD26" s="57" t="n">
        <f aca="false">AD25+1</f>
        <v>17</v>
      </c>
      <c r="AE26" s="85"/>
      <c r="AF26" s="87"/>
      <c r="AG26" s="86"/>
    </row>
    <row r="27" customFormat="false" ht="11.1" hidden="false" customHeight="true" outlineLevel="0" collapsed="false">
      <c r="A27" s="57" t="n">
        <f aca="false">A26+1</f>
        <v>18</v>
      </c>
      <c r="B27" s="71" t="n">
        <v>6903.89</v>
      </c>
      <c r="C27" s="52" t="n">
        <v>298154</v>
      </c>
      <c r="D27" s="56" t="n">
        <f aca="false">C27-C26</f>
        <v>0</v>
      </c>
      <c r="E27" s="52" t="n">
        <f aca="false">C27-152000</f>
        <v>146154</v>
      </c>
      <c r="F27" s="51" t="n">
        <f aca="false">D27/$D$2</f>
        <v>0</v>
      </c>
      <c r="G27" s="51" t="n">
        <v>33.4</v>
      </c>
      <c r="H27" s="53" t="n">
        <v>0</v>
      </c>
      <c r="I27" s="51" t="n">
        <f aca="false">G27+H27</f>
        <v>33.4</v>
      </c>
      <c r="J27" s="78" t="n">
        <f aca="false">IF(L27&gt;0,L27,0)</f>
        <v>0</v>
      </c>
      <c r="K27" s="51" t="n">
        <f aca="false">I27+J27</f>
        <v>33.4</v>
      </c>
      <c r="L27" s="51" t="n">
        <f aca="false">F27-(I27-X27)</f>
        <v>0</v>
      </c>
      <c r="M27" s="51" t="n">
        <v>3.7</v>
      </c>
      <c r="N27" s="51" t="n">
        <v>0</v>
      </c>
      <c r="O27" s="51" t="n">
        <v>0</v>
      </c>
      <c r="P27" s="6" t="n">
        <f aca="false">M27-(N27+O27)</f>
        <v>3.7</v>
      </c>
      <c r="Q27" s="51" t="n">
        <v>0</v>
      </c>
      <c r="R27" s="51" t="n">
        <v>0</v>
      </c>
      <c r="S27" s="51" t="n">
        <f aca="false">SUM(P27:R27)</f>
        <v>3.7</v>
      </c>
      <c r="T27" s="52"/>
      <c r="U27" s="51" t="n">
        <v>0</v>
      </c>
      <c r="V27" s="51" t="n">
        <v>29.7</v>
      </c>
      <c r="W27" s="52" t="n">
        <f aca="false">W26-V27</f>
        <v>12629.8</v>
      </c>
      <c r="X27" s="6" t="n">
        <f aca="false">N27+O27+S27+U27+V27</f>
        <v>33.4</v>
      </c>
      <c r="Y27" s="51" t="n">
        <f aca="false">IF(L27&lt;0,L27*-1,0)</f>
        <v>0</v>
      </c>
      <c r="Z27" s="51" t="n">
        <f aca="false">X27+Y27</f>
        <v>33.4</v>
      </c>
      <c r="AA27" s="53" t="n">
        <v>0</v>
      </c>
      <c r="AB27" s="79" t="n">
        <v>38</v>
      </c>
      <c r="AC27" s="56" t="n">
        <v>6</v>
      </c>
      <c r="AD27" s="57" t="n">
        <f aca="false">AD26+1</f>
        <v>18</v>
      </c>
      <c r="AE27" s="85"/>
      <c r="AF27" s="87"/>
      <c r="AG27" s="86"/>
    </row>
    <row r="28" customFormat="false" ht="11.1" hidden="false" customHeight="true" outlineLevel="0" collapsed="false">
      <c r="A28" s="57" t="n">
        <f aca="false">A27+1</f>
        <v>19</v>
      </c>
      <c r="B28" s="71" t="n">
        <v>6903.89</v>
      </c>
      <c r="C28" s="52" t="n">
        <v>298154</v>
      </c>
      <c r="D28" s="56" t="n">
        <f aca="false">C28-C27</f>
        <v>0</v>
      </c>
      <c r="E28" s="52" t="n">
        <f aca="false">C28-152000</f>
        <v>146154</v>
      </c>
      <c r="F28" s="51" t="n">
        <f aca="false">D28/$D$2</f>
        <v>0</v>
      </c>
      <c r="G28" s="51" t="n">
        <v>33.4</v>
      </c>
      <c r="H28" s="53" t="n">
        <v>0</v>
      </c>
      <c r="I28" s="51" t="n">
        <f aca="false">G28+H28</f>
        <v>33.4</v>
      </c>
      <c r="J28" s="78" t="n">
        <f aca="false">IF(L28&gt;0,L28,0)</f>
        <v>0</v>
      </c>
      <c r="K28" s="51" t="n">
        <f aca="false">I28+J28</f>
        <v>33.4</v>
      </c>
      <c r="L28" s="51" t="n">
        <f aca="false">F28-(I28-X28)</f>
        <v>0</v>
      </c>
      <c r="M28" s="51" t="n">
        <v>3.7</v>
      </c>
      <c r="N28" s="51" t="n">
        <v>0</v>
      </c>
      <c r="O28" s="51" t="n">
        <v>0</v>
      </c>
      <c r="P28" s="6" t="n">
        <f aca="false">M28-(N28+O28)</f>
        <v>3.7</v>
      </c>
      <c r="Q28" s="51" t="n">
        <v>0</v>
      </c>
      <c r="R28" s="51" t="n">
        <v>0</v>
      </c>
      <c r="S28" s="51" t="n">
        <f aca="false">SUM(P28:R28)</f>
        <v>3.7</v>
      </c>
      <c r="T28" s="52"/>
      <c r="U28" s="51" t="n">
        <v>0</v>
      </c>
      <c r="V28" s="51" t="n">
        <v>29.7</v>
      </c>
      <c r="W28" s="52" t="n">
        <f aca="false">W27-V28</f>
        <v>12600.1</v>
      </c>
      <c r="X28" s="6" t="n">
        <f aca="false">N28+O28+S28+U28+V28</f>
        <v>33.4</v>
      </c>
      <c r="Y28" s="51" t="n">
        <f aca="false">IF(L28&lt;0,L28*-1,0)</f>
        <v>0</v>
      </c>
      <c r="Z28" s="51" t="n">
        <f aca="false">X28+Y28</f>
        <v>33.4</v>
      </c>
      <c r="AA28" s="53" t="n">
        <v>0</v>
      </c>
      <c r="AB28" s="79" t="n">
        <v>40</v>
      </c>
      <c r="AC28" s="56" t="n">
        <v>7</v>
      </c>
      <c r="AD28" s="57" t="n">
        <f aca="false">AD27+1</f>
        <v>19</v>
      </c>
      <c r="AE28" s="85"/>
      <c r="AF28" s="87"/>
      <c r="AG28" s="86"/>
    </row>
    <row r="29" customFormat="false" ht="11.1" hidden="false" customHeight="true" outlineLevel="0" collapsed="false">
      <c r="A29" s="57" t="n">
        <f aca="false">A28+1</f>
        <v>20</v>
      </c>
      <c r="B29" s="71" t="n">
        <v>6903.89</v>
      </c>
      <c r="C29" s="52" t="n">
        <v>298154</v>
      </c>
      <c r="D29" s="56" t="n">
        <f aca="false">C29-C28</f>
        <v>0</v>
      </c>
      <c r="E29" s="52" t="n">
        <f aca="false">C29-152000</f>
        <v>146154</v>
      </c>
      <c r="F29" s="51" t="n">
        <f aca="false">D29/$D$2</f>
        <v>0</v>
      </c>
      <c r="G29" s="51" t="n">
        <v>33.2</v>
      </c>
      <c r="H29" s="53" t="n">
        <v>0</v>
      </c>
      <c r="I29" s="51" t="n">
        <f aca="false">G29+H29</f>
        <v>33.2</v>
      </c>
      <c r="J29" s="78" t="n">
        <f aca="false">IF(L29&gt;0,L29,0)</f>
        <v>0</v>
      </c>
      <c r="K29" s="51" t="n">
        <f aca="false">I29+J29</f>
        <v>33.2</v>
      </c>
      <c r="L29" s="51" t="n">
        <f aca="false">F29-(I29-X29)</f>
        <v>0</v>
      </c>
      <c r="M29" s="51" t="n">
        <v>3.5</v>
      </c>
      <c r="N29" s="51" t="n">
        <v>0</v>
      </c>
      <c r="O29" s="51" t="n">
        <v>0</v>
      </c>
      <c r="P29" s="6" t="n">
        <f aca="false">M29-(N29+O29)</f>
        <v>3.5</v>
      </c>
      <c r="Q29" s="51" t="n">
        <v>0</v>
      </c>
      <c r="R29" s="51" t="n">
        <v>0</v>
      </c>
      <c r="S29" s="51" t="n">
        <f aca="false">SUM(P29:R29)</f>
        <v>3.5</v>
      </c>
      <c r="T29" s="52"/>
      <c r="U29" s="51" t="n">
        <v>0</v>
      </c>
      <c r="V29" s="51" t="n">
        <v>29.7</v>
      </c>
      <c r="W29" s="52" t="n">
        <f aca="false">W28-V29</f>
        <v>12570.4</v>
      </c>
      <c r="X29" s="6" t="n">
        <f aca="false">N29+O29+S29+U29+V29</f>
        <v>33.2</v>
      </c>
      <c r="Y29" s="51" t="n">
        <f aca="false">IF(L29&lt;0,L29*-1,0)</f>
        <v>0</v>
      </c>
      <c r="Z29" s="51" t="n">
        <f aca="false">X29+Y29</f>
        <v>33.2</v>
      </c>
      <c r="AA29" s="53" t="n">
        <v>0</v>
      </c>
      <c r="AB29" s="79" t="n">
        <v>38</v>
      </c>
      <c r="AC29" s="56" t="n">
        <v>9</v>
      </c>
      <c r="AD29" s="57" t="n">
        <f aca="false">AD28+1</f>
        <v>20</v>
      </c>
      <c r="AE29" s="85"/>
      <c r="AF29" s="87"/>
      <c r="AG29" s="86"/>
    </row>
    <row r="30" customFormat="false" ht="11.1" hidden="false" customHeight="true" outlineLevel="0" collapsed="false">
      <c r="A30" s="57" t="n">
        <f aca="false">A29+1</f>
        <v>21</v>
      </c>
      <c r="B30" s="71" t="n">
        <v>6903.89</v>
      </c>
      <c r="C30" s="52" t="n">
        <v>298154</v>
      </c>
      <c r="D30" s="56" t="n">
        <f aca="false">C30-C29</f>
        <v>0</v>
      </c>
      <c r="E30" s="52" t="n">
        <f aca="false">C30-152000</f>
        <v>146154</v>
      </c>
      <c r="F30" s="51" t="n">
        <f aca="false">D30/$D$2</f>
        <v>0</v>
      </c>
      <c r="G30" s="51" t="n">
        <v>33.2</v>
      </c>
      <c r="H30" s="53" t="n">
        <v>0</v>
      </c>
      <c r="I30" s="51" t="n">
        <f aca="false">G30+H30</f>
        <v>33.2</v>
      </c>
      <c r="J30" s="78" t="n">
        <f aca="false">IF(L30&gt;0,L30,0)</f>
        <v>0</v>
      </c>
      <c r="K30" s="51" t="n">
        <f aca="false">I30+J30</f>
        <v>33.2</v>
      </c>
      <c r="L30" s="51" t="n">
        <f aca="false">F30-(I30-X30)</f>
        <v>0</v>
      </c>
      <c r="M30" s="51" t="n">
        <v>3.5</v>
      </c>
      <c r="N30" s="51" t="n">
        <v>0</v>
      </c>
      <c r="O30" s="51" t="n">
        <v>0</v>
      </c>
      <c r="P30" s="6" t="n">
        <f aca="false">M30-(N30+O30)</f>
        <v>3.5</v>
      </c>
      <c r="Q30" s="51" t="n">
        <v>0</v>
      </c>
      <c r="R30" s="51" t="n">
        <v>0</v>
      </c>
      <c r="S30" s="51" t="n">
        <f aca="false">SUM(P30:R30)</f>
        <v>3.5</v>
      </c>
      <c r="T30" s="52"/>
      <c r="U30" s="51" t="n">
        <v>0</v>
      </c>
      <c r="V30" s="51" t="n">
        <v>29.7</v>
      </c>
      <c r="W30" s="52" t="n">
        <f aca="false">W29-V30</f>
        <v>12540.7</v>
      </c>
      <c r="X30" s="6" t="n">
        <f aca="false">N30+O30+S30+U30+V30</f>
        <v>33.2</v>
      </c>
      <c r="Y30" s="51" t="n">
        <f aca="false">IF(L30&lt;0,L30*-1,0)</f>
        <v>0</v>
      </c>
      <c r="Z30" s="51" t="n">
        <f aca="false">X30+Y30</f>
        <v>33.2</v>
      </c>
      <c r="AA30" s="53" t="n">
        <v>0</v>
      </c>
      <c r="AB30" s="56" t="n">
        <v>38</v>
      </c>
      <c r="AC30" s="56" t="n">
        <v>6</v>
      </c>
      <c r="AD30" s="57" t="n">
        <f aca="false">AD29+1</f>
        <v>21</v>
      </c>
      <c r="AE30" s="85"/>
      <c r="AF30" s="87"/>
      <c r="AG30" s="86"/>
    </row>
    <row r="31" customFormat="false" ht="11.1" hidden="false" customHeight="true" outlineLevel="0" collapsed="false">
      <c r="A31" s="57" t="n">
        <f aca="false">A30+1</f>
        <v>22</v>
      </c>
      <c r="B31" s="71" t="n">
        <v>6903.89</v>
      </c>
      <c r="C31" s="52" t="n">
        <v>298154</v>
      </c>
      <c r="D31" s="56" t="n">
        <f aca="false">C31-C30</f>
        <v>0</v>
      </c>
      <c r="E31" s="52" t="n">
        <f aca="false">C31-152000</f>
        <v>146154</v>
      </c>
      <c r="F31" s="51" t="n">
        <f aca="false">D31/$D$2</f>
        <v>0</v>
      </c>
      <c r="G31" s="51" t="n">
        <v>33.2</v>
      </c>
      <c r="H31" s="53" t="n">
        <v>0</v>
      </c>
      <c r="I31" s="51" t="n">
        <f aca="false">G31+H31</f>
        <v>33.2</v>
      </c>
      <c r="J31" s="78" t="n">
        <f aca="false">IF(L31&gt;0,L31,0)</f>
        <v>0</v>
      </c>
      <c r="K31" s="51" t="n">
        <f aca="false">I31+J31</f>
        <v>33.2</v>
      </c>
      <c r="L31" s="51" t="n">
        <f aca="false">F31-(I31-X31)</f>
        <v>0</v>
      </c>
      <c r="M31" s="51" t="n">
        <v>3.5</v>
      </c>
      <c r="N31" s="51" t="n">
        <v>0</v>
      </c>
      <c r="O31" s="51" t="n">
        <v>0</v>
      </c>
      <c r="P31" s="6" t="n">
        <f aca="false">M31-(N31+O31)</f>
        <v>3.5</v>
      </c>
      <c r="Q31" s="51" t="n">
        <v>0</v>
      </c>
      <c r="R31" s="51" t="n">
        <v>0</v>
      </c>
      <c r="S31" s="51" t="n">
        <f aca="false">SUM(P31:R31)</f>
        <v>3.5</v>
      </c>
      <c r="T31" s="52"/>
      <c r="U31" s="51" t="n">
        <v>0</v>
      </c>
      <c r="V31" s="51" t="n">
        <v>29.7</v>
      </c>
      <c r="W31" s="52" t="n">
        <f aca="false">W30-V31</f>
        <v>12511</v>
      </c>
      <c r="X31" s="6" t="n">
        <f aca="false">N31+O31+S31+U31+V31</f>
        <v>33.2</v>
      </c>
      <c r="Y31" s="51" t="n">
        <f aca="false">IF(L31&lt;0,L31*-1,0)</f>
        <v>0</v>
      </c>
      <c r="Z31" s="51" t="n">
        <f aca="false">X31+Y31</f>
        <v>33.2</v>
      </c>
      <c r="AA31" s="53" t="n">
        <v>0</v>
      </c>
      <c r="AB31" s="56" t="n">
        <v>36</v>
      </c>
      <c r="AC31" s="56" t="n">
        <v>9</v>
      </c>
      <c r="AD31" s="57" t="n">
        <f aca="false">AD30+1</f>
        <v>22</v>
      </c>
      <c r="AE31" s="85"/>
      <c r="AF31" s="87"/>
      <c r="AG31" s="86"/>
    </row>
    <row r="32" customFormat="false" ht="11.1" hidden="false" customHeight="true" outlineLevel="0" collapsed="false">
      <c r="A32" s="57" t="n">
        <f aca="false">A31+1</f>
        <v>23</v>
      </c>
      <c r="B32" s="71" t="n">
        <v>6903.89</v>
      </c>
      <c r="C32" s="52" t="n">
        <v>298154</v>
      </c>
      <c r="D32" s="56" t="n">
        <f aca="false">C32-C31</f>
        <v>0</v>
      </c>
      <c r="E32" s="52" t="n">
        <f aca="false">C32-152000</f>
        <v>146154</v>
      </c>
      <c r="F32" s="51" t="n">
        <f aca="false">D32/$D$2</f>
        <v>0</v>
      </c>
      <c r="G32" s="51" t="n">
        <v>33.2</v>
      </c>
      <c r="H32" s="53" t="n">
        <v>0</v>
      </c>
      <c r="I32" s="51" t="n">
        <f aca="false">G32+H32</f>
        <v>33.2</v>
      </c>
      <c r="J32" s="78" t="n">
        <f aca="false">IF(L32&gt;0,L32,0)</f>
        <v>0</v>
      </c>
      <c r="K32" s="51" t="n">
        <f aca="false">I32+J32</f>
        <v>33.2</v>
      </c>
      <c r="L32" s="51" t="n">
        <f aca="false">F32-(I32-X32)</f>
        <v>0</v>
      </c>
      <c r="M32" s="51" t="n">
        <v>3.5</v>
      </c>
      <c r="N32" s="51" t="n">
        <v>0</v>
      </c>
      <c r="O32" s="51" t="n">
        <v>0</v>
      </c>
      <c r="P32" s="6" t="n">
        <f aca="false">M32-(N32+O32)</f>
        <v>3.5</v>
      </c>
      <c r="Q32" s="51" t="n">
        <v>0</v>
      </c>
      <c r="R32" s="51" t="n">
        <v>0</v>
      </c>
      <c r="S32" s="51" t="n">
        <f aca="false">SUM(P32:R32)</f>
        <v>3.5</v>
      </c>
      <c r="T32" s="52"/>
      <c r="U32" s="51" t="n">
        <v>0</v>
      </c>
      <c r="V32" s="51" t="n">
        <v>29.7</v>
      </c>
      <c r="W32" s="52" t="n">
        <f aca="false">W31-V32</f>
        <v>12481.3</v>
      </c>
      <c r="X32" s="6" t="n">
        <f aca="false">N32+O32+S32+U32+V32</f>
        <v>33.2</v>
      </c>
      <c r="Y32" s="51" t="n">
        <f aca="false">IF(L32&lt;0,L32*-1,0)</f>
        <v>0</v>
      </c>
      <c r="Z32" s="51" t="n">
        <f aca="false">X32+Y32</f>
        <v>33.2</v>
      </c>
      <c r="AA32" s="53" t="n">
        <v>0</v>
      </c>
      <c r="AB32" s="56" t="n">
        <v>36</v>
      </c>
      <c r="AC32" s="79" t="n">
        <v>12</v>
      </c>
      <c r="AD32" s="57" t="n">
        <f aca="false">AD31+1</f>
        <v>23</v>
      </c>
      <c r="AE32" s="85"/>
      <c r="AF32" s="87"/>
      <c r="AG32" s="86"/>
    </row>
    <row r="33" customFormat="false" ht="11.1" hidden="false" customHeight="true" outlineLevel="0" collapsed="false">
      <c r="A33" s="57" t="n">
        <f aca="false">A32+1</f>
        <v>24</v>
      </c>
      <c r="B33" s="71" t="n">
        <v>6903.89</v>
      </c>
      <c r="C33" s="52" t="n">
        <v>298154</v>
      </c>
      <c r="D33" s="56" t="n">
        <f aca="false">C33-C32</f>
        <v>0</v>
      </c>
      <c r="E33" s="52" t="n">
        <f aca="false">C33-152000</f>
        <v>146154</v>
      </c>
      <c r="F33" s="51" t="n">
        <f aca="false">D33/$D$2</f>
        <v>0</v>
      </c>
      <c r="G33" s="51" t="n">
        <v>33.2</v>
      </c>
      <c r="H33" s="53" t="n">
        <v>0</v>
      </c>
      <c r="I33" s="51" t="n">
        <f aca="false">G33+H33</f>
        <v>33.2</v>
      </c>
      <c r="J33" s="78" t="n">
        <f aca="false">IF(L33&gt;0,L33,0)</f>
        <v>0</v>
      </c>
      <c r="K33" s="51" t="n">
        <f aca="false">I33+J33</f>
        <v>33.2</v>
      </c>
      <c r="L33" s="51" t="n">
        <f aca="false">F33-(I33-X33)</f>
        <v>0</v>
      </c>
      <c r="M33" s="51" t="n">
        <v>3.5</v>
      </c>
      <c r="N33" s="51" t="n">
        <v>0</v>
      </c>
      <c r="O33" s="51" t="n">
        <v>0</v>
      </c>
      <c r="P33" s="6" t="n">
        <f aca="false">M33-(N33+O33)</f>
        <v>3.5</v>
      </c>
      <c r="Q33" s="51" t="n">
        <v>0</v>
      </c>
      <c r="R33" s="51" t="n">
        <v>0</v>
      </c>
      <c r="S33" s="51" t="n">
        <f aca="false">SUM(P33:R33)</f>
        <v>3.5</v>
      </c>
      <c r="T33" s="52"/>
      <c r="U33" s="51" t="n">
        <v>0</v>
      </c>
      <c r="V33" s="51" t="n">
        <v>29.7</v>
      </c>
      <c r="W33" s="52" t="n">
        <f aca="false">W32-V33</f>
        <v>12451.6</v>
      </c>
      <c r="X33" s="6" t="n">
        <f aca="false">N33+O33+S33+U33+V33</f>
        <v>33.2</v>
      </c>
      <c r="Y33" s="51" t="n">
        <f aca="false">IF(L33&lt;0,L33*-1,0)</f>
        <v>0</v>
      </c>
      <c r="Z33" s="51" t="n">
        <f aca="false">X33+Y33</f>
        <v>33.2</v>
      </c>
      <c r="AA33" s="53" t="n">
        <v>0</v>
      </c>
      <c r="AB33" s="56" t="n">
        <v>44</v>
      </c>
      <c r="AC33" s="79" t="n">
        <v>12</v>
      </c>
      <c r="AD33" s="57" t="n">
        <f aca="false">AD32+1</f>
        <v>24</v>
      </c>
      <c r="AE33" s="85"/>
      <c r="AF33" s="87"/>
      <c r="AG33" s="86"/>
    </row>
    <row r="34" customFormat="false" ht="11.1" hidden="false" customHeight="true" outlineLevel="0" collapsed="false">
      <c r="A34" s="57" t="n">
        <f aca="false">A33+1</f>
        <v>25</v>
      </c>
      <c r="B34" s="71" t="n">
        <v>6903.9</v>
      </c>
      <c r="C34" s="52" t="n">
        <v>298191</v>
      </c>
      <c r="D34" s="56" t="n">
        <f aca="false">C34-C33</f>
        <v>37</v>
      </c>
      <c r="E34" s="52" t="n">
        <f aca="false">C34-152000</f>
        <v>146191</v>
      </c>
      <c r="F34" s="51" t="n">
        <f aca="false">D34/$D$2</f>
        <v>18.6538946307033</v>
      </c>
      <c r="G34" s="51" t="n">
        <v>51.9</v>
      </c>
      <c r="H34" s="53" t="n">
        <v>0</v>
      </c>
      <c r="I34" s="51" t="n">
        <f aca="false">G34+H34</f>
        <v>51.9</v>
      </c>
      <c r="J34" s="78" t="n">
        <f aca="false">IF(L34&gt;0,L34,0)</f>
        <v>0</v>
      </c>
      <c r="K34" s="51" t="n">
        <f aca="false">I34+J34</f>
        <v>51.9</v>
      </c>
      <c r="L34" s="51" t="n">
        <f aca="false">F34-(I34-X34)</f>
        <v>-0.0461053692966935</v>
      </c>
      <c r="M34" s="51" t="n">
        <v>3.5</v>
      </c>
      <c r="N34" s="51" t="n">
        <v>0</v>
      </c>
      <c r="O34" s="51" t="n">
        <v>0</v>
      </c>
      <c r="P34" s="6" t="n">
        <f aca="false">M34-(N34+O34)</f>
        <v>3.5</v>
      </c>
      <c r="Q34" s="51" t="n">
        <v>0</v>
      </c>
      <c r="R34" s="51" t="n">
        <v>0</v>
      </c>
      <c r="S34" s="51" t="n">
        <f aca="false">SUM(P34:R34)</f>
        <v>3.5</v>
      </c>
      <c r="T34" s="52"/>
      <c r="U34" s="51" t="n">
        <v>0</v>
      </c>
      <c r="V34" s="51" t="n">
        <v>29.7</v>
      </c>
      <c r="W34" s="52" t="n">
        <f aca="false">W33-V34</f>
        <v>12421.9</v>
      </c>
      <c r="X34" s="6" t="n">
        <f aca="false">N34+O34+S34+U34+V34</f>
        <v>33.2</v>
      </c>
      <c r="Y34" s="51" t="n">
        <f aca="false">IF(L34&lt;0,L34*-1,0)</f>
        <v>0.0461053692966935</v>
      </c>
      <c r="Z34" s="51" t="n">
        <f aca="false">X34+Y34</f>
        <v>33.2461053692967</v>
      </c>
      <c r="AA34" s="53" t="n">
        <v>0</v>
      </c>
      <c r="AB34" s="56" t="n">
        <v>48</v>
      </c>
      <c r="AC34" s="79" t="n">
        <v>12</v>
      </c>
      <c r="AD34" s="57" t="n">
        <f aca="false">AD33+1</f>
        <v>25</v>
      </c>
      <c r="AE34" s="85"/>
      <c r="AF34" s="87"/>
      <c r="AG34" s="86"/>
    </row>
    <row r="35" customFormat="false" ht="11.1" hidden="false" customHeight="true" outlineLevel="0" collapsed="false">
      <c r="A35" s="57" t="n">
        <f aca="false">A34+1</f>
        <v>26</v>
      </c>
      <c r="B35" s="71" t="n">
        <v>6903.91</v>
      </c>
      <c r="C35" s="52" t="n">
        <v>298230</v>
      </c>
      <c r="D35" s="56" t="n">
        <f aca="false">C35-C34</f>
        <v>39</v>
      </c>
      <c r="E35" s="52" t="n">
        <f aca="false">C35-152000</f>
        <v>146230</v>
      </c>
      <c r="F35" s="51" t="n">
        <f aca="false">D35/$D$2</f>
        <v>19.66221325939</v>
      </c>
      <c r="G35" s="51" t="n">
        <v>52.8</v>
      </c>
      <c r="H35" s="53" t="n">
        <v>0</v>
      </c>
      <c r="I35" s="51" t="n">
        <f aca="false">G35+H35</f>
        <v>52.8</v>
      </c>
      <c r="J35" s="78" t="n">
        <f aca="false">IF(L35&gt;0,L35,0)</f>
        <v>0</v>
      </c>
      <c r="K35" s="51" t="n">
        <f aca="false">I35+J35</f>
        <v>52.8</v>
      </c>
      <c r="L35" s="51" t="n">
        <f aca="false">F35-(I35-X35)</f>
        <v>-0.0377867406100272</v>
      </c>
      <c r="M35" s="51" t="n">
        <v>3.4</v>
      </c>
      <c r="N35" s="51" t="n">
        <v>0</v>
      </c>
      <c r="O35" s="51" t="n">
        <v>0</v>
      </c>
      <c r="P35" s="6" t="n">
        <f aca="false">M35-(N35+O35)</f>
        <v>3.4</v>
      </c>
      <c r="Q35" s="51" t="n">
        <v>0</v>
      </c>
      <c r="R35" s="51" t="n">
        <v>0</v>
      </c>
      <c r="S35" s="51" t="n">
        <f aca="false">SUM(P35:R35)</f>
        <v>3.4</v>
      </c>
      <c r="T35" s="52"/>
      <c r="U35" s="51" t="n">
        <v>0</v>
      </c>
      <c r="V35" s="51" t="n">
        <v>29.7</v>
      </c>
      <c r="W35" s="52" t="n">
        <f aca="false">W34-V35</f>
        <v>12392.2</v>
      </c>
      <c r="X35" s="6" t="n">
        <f aca="false">N35+O35+S35+U35+V35</f>
        <v>33.1</v>
      </c>
      <c r="Y35" s="51" t="n">
        <f aca="false">IF(L35&lt;0,L35*-1,0)</f>
        <v>0.0377867406100272</v>
      </c>
      <c r="Z35" s="51" t="n">
        <f aca="false">X35+Y35</f>
        <v>33.13778674061</v>
      </c>
      <c r="AA35" s="53" t="n">
        <v>0</v>
      </c>
      <c r="AB35" s="56" t="n">
        <v>50</v>
      </c>
      <c r="AC35" s="56" t="n">
        <v>16</v>
      </c>
      <c r="AD35" s="57" t="n">
        <f aca="false">AD34+1</f>
        <v>26</v>
      </c>
      <c r="AE35" s="85"/>
      <c r="AF35" s="87"/>
      <c r="AG35" s="86"/>
    </row>
    <row r="36" customFormat="false" ht="11.1" hidden="false" customHeight="true" outlineLevel="0" collapsed="false">
      <c r="A36" s="57" t="n">
        <f aca="false">A35+1</f>
        <v>27</v>
      </c>
      <c r="B36" s="71" t="n">
        <v>6903.92</v>
      </c>
      <c r="C36" s="52" t="n">
        <v>298267</v>
      </c>
      <c r="D36" s="56" t="n">
        <f aca="false">C36-C35</f>
        <v>37</v>
      </c>
      <c r="E36" s="52" t="n">
        <f aca="false">C36-152000</f>
        <v>146267</v>
      </c>
      <c r="F36" s="51" t="n">
        <f aca="false">D36/$D$2</f>
        <v>18.6538946307033</v>
      </c>
      <c r="G36" s="51" t="n">
        <v>52.3</v>
      </c>
      <c r="H36" s="53" t="n">
        <v>0</v>
      </c>
      <c r="I36" s="51" t="n">
        <f aca="false">G36+H36</f>
        <v>52.3</v>
      </c>
      <c r="J36" s="78" t="n">
        <f aca="false">IF(L36&gt;0,L36,0)</f>
        <v>0.0538946307033079</v>
      </c>
      <c r="K36" s="51" t="n">
        <f aca="false">I36+J36</f>
        <v>52.3538946307033</v>
      </c>
      <c r="L36" s="51" t="n">
        <f aca="false">F36-(I36-X36)</f>
        <v>0.0538946307033079</v>
      </c>
      <c r="M36" s="51" t="n">
        <v>4</v>
      </c>
      <c r="N36" s="51" t="n">
        <v>0</v>
      </c>
      <c r="O36" s="51" t="n">
        <v>0</v>
      </c>
      <c r="P36" s="6" t="n">
        <f aca="false">M36-(N36+O36)</f>
        <v>4</v>
      </c>
      <c r="Q36" s="51" t="n">
        <v>0</v>
      </c>
      <c r="R36" s="51" t="n">
        <v>0</v>
      </c>
      <c r="S36" s="51" t="n">
        <f aca="false">SUM(P36:R36)</f>
        <v>4</v>
      </c>
      <c r="T36" s="52"/>
      <c r="U36" s="51" t="n">
        <v>0</v>
      </c>
      <c r="V36" s="51" t="n">
        <v>29.7</v>
      </c>
      <c r="W36" s="52" t="n">
        <f aca="false">W35-V36</f>
        <v>12362.5</v>
      </c>
      <c r="X36" s="6" t="n">
        <f aca="false">N36+O36+S36+U36+V36</f>
        <v>33.7</v>
      </c>
      <c r="Y36" s="51" t="n">
        <f aca="false">IF(L36&lt;0,L36*-1,0)</f>
        <v>0</v>
      </c>
      <c r="Z36" s="51" t="n">
        <f aca="false">X36+Y36</f>
        <v>33.7</v>
      </c>
      <c r="AA36" s="53" t="n">
        <v>0</v>
      </c>
      <c r="AB36" s="56" t="n">
        <v>48</v>
      </c>
      <c r="AC36" s="56" t="n">
        <v>14</v>
      </c>
      <c r="AD36" s="57" t="n">
        <f aca="false">AD35+1</f>
        <v>27</v>
      </c>
      <c r="AE36" s="85"/>
      <c r="AF36" s="87"/>
      <c r="AG36" s="86"/>
    </row>
    <row r="37" customFormat="false" ht="11.1" hidden="false" customHeight="true" outlineLevel="0" collapsed="false">
      <c r="A37" s="57" t="n">
        <f aca="false">A36+1</f>
        <v>28</v>
      </c>
      <c r="B37" s="71" t="n">
        <v>6903.93</v>
      </c>
      <c r="C37" s="52" t="n">
        <v>298306</v>
      </c>
      <c r="D37" s="56" t="n">
        <f aca="false">C37-C36</f>
        <v>39</v>
      </c>
      <c r="E37" s="52" t="n">
        <f aca="false">C37-152000</f>
        <v>146306</v>
      </c>
      <c r="F37" s="51" t="n">
        <f aca="false">D37/$D$2</f>
        <v>19.66221325939</v>
      </c>
      <c r="G37" s="51" t="n">
        <v>53.1</v>
      </c>
      <c r="H37" s="53" t="n">
        <v>0</v>
      </c>
      <c r="I37" s="51" t="n">
        <f aca="false">G37+H37</f>
        <v>53.1</v>
      </c>
      <c r="J37" s="78" t="n">
        <f aca="false">IF(L37&gt;0,L37,0)</f>
        <v>0.0622132593899671</v>
      </c>
      <c r="K37" s="51" t="n">
        <f aca="false">I37+J37</f>
        <v>53.16221325939</v>
      </c>
      <c r="L37" s="51" t="n">
        <f aca="false">F37-(I37-X37)</f>
        <v>0.0622132593899671</v>
      </c>
      <c r="M37" s="51" t="n">
        <v>3.8</v>
      </c>
      <c r="N37" s="51" t="n">
        <v>0</v>
      </c>
      <c r="O37" s="51" t="n">
        <v>0</v>
      </c>
      <c r="P37" s="6" t="n">
        <f aca="false">M37-(N37+O37)</f>
        <v>3.8</v>
      </c>
      <c r="Q37" s="51" t="n">
        <v>0</v>
      </c>
      <c r="R37" s="51" t="n">
        <v>0</v>
      </c>
      <c r="S37" s="51" t="n">
        <f aca="false">SUM(P37:R37)</f>
        <v>3.8</v>
      </c>
      <c r="T37" s="52"/>
      <c r="U37" s="51" t="n">
        <v>0</v>
      </c>
      <c r="V37" s="51" t="n">
        <v>29.7</v>
      </c>
      <c r="W37" s="52" t="n">
        <f aca="false">W36-V37</f>
        <v>12332.8</v>
      </c>
      <c r="X37" s="6" t="n">
        <f aca="false">N37+O37+S37+U37+V37</f>
        <v>33.5</v>
      </c>
      <c r="Y37" s="51" t="n">
        <f aca="false">IF(L37&lt;0,L37*-1,0)</f>
        <v>0</v>
      </c>
      <c r="Z37" s="51" t="n">
        <f aca="false">X37+Y37</f>
        <v>33.5</v>
      </c>
      <c r="AA37" s="53" t="n">
        <v>0</v>
      </c>
      <c r="AB37" s="56" t="n">
        <v>43</v>
      </c>
      <c r="AC37" s="56" t="n">
        <v>16</v>
      </c>
      <c r="AD37" s="57" t="n">
        <f aca="false">AD36+1</f>
        <v>28</v>
      </c>
      <c r="AE37" s="85"/>
      <c r="AF37" s="87"/>
      <c r="AG37" s="86"/>
    </row>
    <row r="38" customFormat="false" ht="11.1" hidden="false" customHeight="true" outlineLevel="0" collapsed="false">
      <c r="A38" s="57" t="n">
        <f aca="false">A37+1</f>
        <v>29</v>
      </c>
      <c r="B38" s="71" t="n">
        <v>6903.94</v>
      </c>
      <c r="C38" s="52" t="n">
        <v>298343</v>
      </c>
      <c r="D38" s="56" t="n">
        <f aca="false">C38-C37</f>
        <v>37</v>
      </c>
      <c r="E38" s="52" t="n">
        <f aca="false">C38-152000</f>
        <v>146343</v>
      </c>
      <c r="F38" s="51" t="n">
        <f aca="false">D38/$D$2</f>
        <v>18.6538946307033</v>
      </c>
      <c r="G38" s="51" t="n">
        <v>52.1</v>
      </c>
      <c r="H38" s="53" t="n">
        <v>0</v>
      </c>
      <c r="I38" s="51" t="n">
        <f aca="false">G38+H38</f>
        <v>52.1</v>
      </c>
      <c r="J38" s="78" t="n">
        <f aca="false">IF(L38&gt;0,L38,0)</f>
        <v>0</v>
      </c>
      <c r="K38" s="51" t="n">
        <f aca="false">I38+J38</f>
        <v>52.1</v>
      </c>
      <c r="L38" s="51" t="n">
        <f aca="false">F38-(I38-X38)</f>
        <v>-0.0461053692967006</v>
      </c>
      <c r="M38" s="51" t="n">
        <v>3.7</v>
      </c>
      <c r="N38" s="51" t="n">
        <v>0</v>
      </c>
      <c r="O38" s="51" t="n">
        <v>0</v>
      </c>
      <c r="P38" s="6" t="n">
        <f aca="false">M38-(N38+O38)</f>
        <v>3.7</v>
      </c>
      <c r="Q38" s="51" t="n">
        <v>0</v>
      </c>
      <c r="R38" s="51" t="n">
        <v>0</v>
      </c>
      <c r="S38" s="51" t="n">
        <f aca="false">SUM(P38:R38)</f>
        <v>3.7</v>
      </c>
      <c r="T38" s="52"/>
      <c r="U38" s="51" t="n">
        <v>0</v>
      </c>
      <c r="V38" s="51" t="n">
        <v>29.7</v>
      </c>
      <c r="W38" s="52" t="n">
        <f aca="false">W37-V38</f>
        <v>12303.1</v>
      </c>
      <c r="X38" s="6" t="n">
        <f aca="false">N38+O38+S38+U38+V38</f>
        <v>33.4</v>
      </c>
      <c r="Y38" s="51" t="n">
        <f aca="false">IF(L38&lt;0,L38*-1,0)</f>
        <v>0.0461053692967006</v>
      </c>
      <c r="Z38" s="51" t="n">
        <f aca="false">X38+Y38</f>
        <v>33.4461053692967</v>
      </c>
      <c r="AA38" s="53" t="n">
        <v>0</v>
      </c>
      <c r="AB38" s="79" t="n">
        <v>44</v>
      </c>
      <c r="AC38" s="56" t="n">
        <v>14</v>
      </c>
      <c r="AD38" s="57" t="n">
        <f aca="false">AD37+1</f>
        <v>29</v>
      </c>
      <c r="AE38" s="85"/>
      <c r="AF38" s="87"/>
      <c r="AG38" s="86"/>
    </row>
    <row r="39" customFormat="false" ht="11.1" hidden="false" customHeight="true" outlineLevel="0" collapsed="false">
      <c r="A39" s="57" t="n">
        <v>30</v>
      </c>
      <c r="B39" s="71" t="n">
        <v>6903.95</v>
      </c>
      <c r="C39" s="52" t="n">
        <v>298382</v>
      </c>
      <c r="D39" s="56" t="n">
        <f aca="false">C39-C38</f>
        <v>39</v>
      </c>
      <c r="E39" s="52" t="n">
        <f aca="false">C39-152000</f>
        <v>146382</v>
      </c>
      <c r="F39" s="51" t="n">
        <f aca="false">D39/$D$2</f>
        <v>19.66221325939</v>
      </c>
      <c r="G39" s="51" t="n">
        <v>53.3</v>
      </c>
      <c r="H39" s="53" t="n">
        <v>0</v>
      </c>
      <c r="I39" s="51" t="n">
        <f aca="false">G39+H39</f>
        <v>53.3</v>
      </c>
      <c r="J39" s="78" t="n">
        <f aca="false">IF(L39&gt;0,L39,0)</f>
        <v>0</v>
      </c>
      <c r="K39" s="51" t="n">
        <f aca="false">I39+J39</f>
        <v>53.3</v>
      </c>
      <c r="L39" s="51" t="n">
        <f aca="false">F39-(I39-X39)</f>
        <v>-0.0377867406100272</v>
      </c>
      <c r="M39" s="51" t="n">
        <v>3.9</v>
      </c>
      <c r="N39" s="51" t="n">
        <v>0</v>
      </c>
      <c r="O39" s="51" t="n">
        <v>0</v>
      </c>
      <c r="P39" s="6" t="n">
        <f aca="false">M39-(N39+O39)</f>
        <v>3.9</v>
      </c>
      <c r="Q39" s="51" t="n">
        <v>0</v>
      </c>
      <c r="R39" s="51" t="n">
        <v>0</v>
      </c>
      <c r="S39" s="51" t="n">
        <f aca="false">SUM(P39:R39)</f>
        <v>3.9</v>
      </c>
      <c r="T39" s="52"/>
      <c r="U39" s="51" t="n">
        <v>0</v>
      </c>
      <c r="V39" s="51" t="n">
        <v>29.7</v>
      </c>
      <c r="W39" s="52" t="n">
        <f aca="false">W38-V39</f>
        <v>12273.4</v>
      </c>
      <c r="X39" s="6" t="n">
        <f aca="false">N39+O39+S39+U39+V39</f>
        <v>33.6</v>
      </c>
      <c r="Y39" s="51" t="n">
        <f aca="false">IF(L39&lt;0,L39*-1,0)</f>
        <v>0.0377867406100272</v>
      </c>
      <c r="Z39" s="51" t="n">
        <f aca="false">X39+Y39</f>
        <v>33.63778674061</v>
      </c>
      <c r="AA39" s="53" t="n">
        <v>0</v>
      </c>
      <c r="AB39" s="79" t="n">
        <v>49</v>
      </c>
      <c r="AC39" s="56" t="n">
        <v>17</v>
      </c>
      <c r="AD39" s="57" t="n">
        <v>30</v>
      </c>
      <c r="AE39" s="85"/>
      <c r="AF39" s="87"/>
      <c r="AG39" s="86"/>
    </row>
    <row r="40" customFormat="false" ht="11.1" hidden="false" customHeight="true" outlineLevel="0" collapsed="false">
      <c r="A40" s="57" t="n">
        <v>31</v>
      </c>
      <c r="B40" s="71" t="n">
        <v>6903.96</v>
      </c>
      <c r="C40" s="52" t="n">
        <v>298419</v>
      </c>
      <c r="D40" s="56" t="n">
        <f aca="false">C40-C39</f>
        <v>37</v>
      </c>
      <c r="E40" s="52" t="n">
        <f aca="false">C40-152000</f>
        <v>146419</v>
      </c>
      <c r="F40" s="51" t="n">
        <f aca="false">D40/$D$2</f>
        <v>18.6538946307033</v>
      </c>
      <c r="G40" s="51" t="n">
        <v>52.5</v>
      </c>
      <c r="H40" s="53" t="n">
        <v>0</v>
      </c>
      <c r="I40" s="51" t="n">
        <f aca="false">G40+H40</f>
        <v>52.5</v>
      </c>
      <c r="J40" s="78" t="n">
        <f aca="false">IF(L40&gt;0,L40,0)</f>
        <v>0</v>
      </c>
      <c r="K40" s="51" t="n">
        <f aca="false">I40+J40</f>
        <v>52.5</v>
      </c>
      <c r="L40" s="51" t="n">
        <f aca="false">F40-(I40-X40)</f>
        <v>-0.0461053692967006</v>
      </c>
      <c r="M40" s="51" t="n">
        <v>4.1</v>
      </c>
      <c r="N40" s="51" t="n">
        <v>0</v>
      </c>
      <c r="O40" s="51" t="n">
        <v>0</v>
      </c>
      <c r="P40" s="6" t="n">
        <f aca="false">M40-(N40+O40)</f>
        <v>4.1</v>
      </c>
      <c r="Q40" s="51" t="n">
        <v>0</v>
      </c>
      <c r="R40" s="51" t="n">
        <v>0</v>
      </c>
      <c r="S40" s="51" t="n">
        <f aca="false">SUM(P40:R40)</f>
        <v>4.1</v>
      </c>
      <c r="T40" s="52"/>
      <c r="U40" s="51" t="n">
        <v>0</v>
      </c>
      <c r="V40" s="51" t="n">
        <v>29.7</v>
      </c>
      <c r="W40" s="52" t="n">
        <f aca="false">W39-V40</f>
        <v>12243.7</v>
      </c>
      <c r="X40" s="6" t="n">
        <f aca="false">N40+O40+S40+U40+V40</f>
        <v>33.8</v>
      </c>
      <c r="Y40" s="51" t="n">
        <f aca="false">IF(L40&lt;0,L40*-1,0)</f>
        <v>0.0461053692967006</v>
      </c>
      <c r="Z40" s="51" t="n">
        <f aca="false">X40+Y40</f>
        <v>33.8461053692967</v>
      </c>
      <c r="AA40" s="53" t="n">
        <v>0</v>
      </c>
      <c r="AB40" s="79" t="n">
        <v>52</v>
      </c>
      <c r="AC40" s="56" t="n">
        <v>19</v>
      </c>
      <c r="AD40" s="57" t="n">
        <v>31</v>
      </c>
      <c r="AE40" s="85"/>
      <c r="AF40" s="85"/>
      <c r="AG40" s="86"/>
    </row>
    <row r="41" customFormat="false" ht="3" hidden="false" customHeight="true" outlineLevel="0" collapsed="false">
      <c r="A41" s="72"/>
      <c r="B41" s="80"/>
      <c r="C41" s="74"/>
      <c r="D41" s="72"/>
      <c r="E41" s="74"/>
      <c r="F41" s="72"/>
      <c r="G41" s="80"/>
      <c r="H41" s="75"/>
      <c r="I41" s="72"/>
      <c r="J41" s="72"/>
      <c r="K41" s="72"/>
      <c r="L41" s="72"/>
      <c r="M41" s="80"/>
      <c r="N41" s="80"/>
      <c r="O41" s="72"/>
      <c r="P41" s="72"/>
      <c r="Q41" s="72"/>
      <c r="R41" s="72"/>
      <c r="S41" s="72"/>
      <c r="T41" s="74"/>
      <c r="U41" s="72"/>
      <c r="V41" s="80"/>
      <c r="W41" s="72"/>
      <c r="X41" s="72"/>
      <c r="Y41" s="72"/>
      <c r="Z41" s="72"/>
      <c r="AA41" s="75"/>
      <c r="AB41" s="76" t="n">
        <v>39</v>
      </c>
      <c r="AC41" s="76"/>
      <c r="AD41" s="77"/>
      <c r="AE41" s="85"/>
      <c r="AF41" s="85"/>
      <c r="AG41" s="86"/>
    </row>
    <row r="42" customFormat="false" ht="11.1" hidden="false" customHeight="true" outlineLevel="0" collapsed="false">
      <c r="A42" s="51" t="s">
        <v>46</v>
      </c>
      <c r="B42" s="51"/>
      <c r="C42" s="52"/>
      <c r="D42" s="52"/>
      <c r="E42" s="52"/>
      <c r="F42" s="52" t="n">
        <f aca="false">SUM(F10:F40)</f>
        <v>477.943029997479</v>
      </c>
      <c r="G42" s="52" t="n">
        <f aca="false">SUM(G10:G40)</f>
        <v>1610.9</v>
      </c>
      <c r="H42" s="53" t="n">
        <f aca="false">SUM(H10:H40)</f>
        <v>0</v>
      </c>
      <c r="I42" s="52" t="n">
        <f aca="false">SUM(I10:I40)</f>
        <v>1610.9</v>
      </c>
      <c r="J42" s="52" t="n">
        <f aca="false">SUM(J10:J40)</f>
        <v>0.421956138139652</v>
      </c>
      <c r="K42" s="52" t="n">
        <f aca="false">SUM(K10:K40)</f>
        <v>1611.32195613814</v>
      </c>
      <c r="L42" s="52" t="n">
        <f aca="false">SUM(L10:L40)</f>
        <v>-90.8569700025208</v>
      </c>
      <c r="M42" s="52" t="n">
        <f aca="false">SUM(M10:M40)</f>
        <v>124.4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124.4</v>
      </c>
      <c r="Q42" s="52" t="n">
        <f aca="false">SUM(Q10:Q40)</f>
        <v>0</v>
      </c>
      <c r="R42" s="52" t="n">
        <f aca="false">SUM(R10:R40)</f>
        <v>0</v>
      </c>
      <c r="S42" s="52" t="n">
        <f aca="false">SUM(S10:S40)</f>
        <v>124.4</v>
      </c>
      <c r="T42" s="52"/>
      <c r="U42" s="52" t="n">
        <f aca="false">SUM(U10:U40)</f>
        <v>0</v>
      </c>
      <c r="V42" s="52" t="n">
        <f aca="false">SUM(V10:V40)</f>
        <v>917.7</v>
      </c>
      <c r="W42" s="52"/>
      <c r="X42" s="52" t="n">
        <f aca="false">SUM(X10:X40)</f>
        <v>1042.1</v>
      </c>
      <c r="Y42" s="52" t="n">
        <f aca="false">SUM(Y10:Y40)</f>
        <v>91.2789261406604</v>
      </c>
      <c r="Z42" s="52" t="n">
        <f aca="false">SUM(Z10:Z40)</f>
        <v>1133.37892614066</v>
      </c>
      <c r="AA42" s="53" t="n">
        <f aca="false">SUM(AA10:AA40)</f>
        <v>1.09</v>
      </c>
      <c r="AB42" s="56" t="n">
        <f aca="false">AVERAGE(AB10:AB40)</f>
        <v>37.5483870967742</v>
      </c>
      <c r="AC42" s="56" t="n">
        <f aca="false">AVERAGE(AC10:AC40)</f>
        <v>8.96774193548387</v>
      </c>
      <c r="AD42" s="57" t="s">
        <v>47</v>
      </c>
      <c r="AE42" s="85"/>
      <c r="AF42" s="85"/>
      <c r="AG42" s="86"/>
    </row>
    <row r="43" customFormat="false" ht="11.1" hidden="false" customHeight="true" outlineLevel="0" collapsed="false">
      <c r="A43" s="51" t="s">
        <v>48</v>
      </c>
      <c r="B43" s="51"/>
      <c r="C43" s="52"/>
      <c r="D43" s="52" t="n">
        <f aca="false">SUM(D10:D40)</f>
        <v>948</v>
      </c>
      <c r="E43" s="52"/>
      <c r="F43" s="52" t="n">
        <f aca="false">F42*$D$2</f>
        <v>948</v>
      </c>
      <c r="G43" s="52" t="n">
        <f aca="false">G42*$D$2</f>
        <v>3195.22015</v>
      </c>
      <c r="H43" s="53" t="n">
        <f aca="false">H42*$D$2</f>
        <v>0</v>
      </c>
      <c r="I43" s="52" t="n">
        <f aca="false">I42*$D$2</f>
        <v>3195.22015</v>
      </c>
      <c r="J43" s="52" t="n">
        <f aca="false">J42*$D$2</f>
        <v>0.83695</v>
      </c>
      <c r="K43" s="52" t="n">
        <f aca="false">K42*$D$2</f>
        <v>3196.0571</v>
      </c>
      <c r="L43" s="52" t="n">
        <f aca="false">L42*$D$2</f>
        <v>-180.2148</v>
      </c>
      <c r="M43" s="52" t="n">
        <f aca="false">M42*$D$2</f>
        <v>246.7474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246.7474</v>
      </c>
      <c r="Q43" s="52" t="n">
        <f aca="false">Q42*$D$2</f>
        <v>0</v>
      </c>
      <c r="R43" s="52" t="n">
        <f aca="false">R42*$D$2</f>
        <v>0</v>
      </c>
      <c r="S43" s="52" t="n">
        <f aca="false">S42*$D$2</f>
        <v>246.7474</v>
      </c>
      <c r="T43" s="52"/>
      <c r="U43" s="52" t="n">
        <f aca="false">U42*$D$2</f>
        <v>0</v>
      </c>
      <c r="V43" s="52" t="n">
        <f aca="false">V42*$D$2</f>
        <v>1820.25795</v>
      </c>
      <c r="W43" s="52"/>
      <c r="X43" s="52" t="n">
        <f aca="false">X42*$D$2</f>
        <v>2067.00535</v>
      </c>
      <c r="Y43" s="52" t="n">
        <f aca="false">Y42*$D$2</f>
        <v>181.05175</v>
      </c>
      <c r="Z43" s="52" t="n">
        <f aca="false">Z42*$D$2</f>
        <v>2248.0571</v>
      </c>
      <c r="AA43" s="53"/>
      <c r="AB43" s="56" t="n">
        <f aca="false">MAX(AB10:AB40)</f>
        <v>52</v>
      </c>
      <c r="AC43" s="56" t="n">
        <f aca="false">MAX(AC10:AC40)</f>
        <v>22</v>
      </c>
      <c r="AD43" s="57" t="s">
        <v>49</v>
      </c>
      <c r="AE43" s="85"/>
      <c r="AF43" s="85"/>
      <c r="AG43" s="86"/>
    </row>
    <row r="44" customFormat="false" ht="3" hidden="false" customHeight="true" outlineLevel="0" collapsed="false">
      <c r="A44" s="72"/>
      <c r="B44" s="72"/>
      <c r="C44" s="74"/>
      <c r="D44" s="74"/>
      <c r="E44" s="74"/>
      <c r="F44" s="74"/>
      <c r="G44" s="74"/>
      <c r="H44" s="75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2"/>
      <c r="X44" s="74"/>
      <c r="Y44" s="74"/>
      <c r="Z44" s="74"/>
      <c r="AA44" s="53"/>
      <c r="AB44" s="56"/>
      <c r="AC44" s="56"/>
      <c r="AD44" s="57"/>
      <c r="AE44" s="85"/>
      <c r="AF44" s="85"/>
      <c r="AG44" s="86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/>
      <c r="G45" s="52"/>
      <c r="H45" s="53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3"/>
      <c r="AB45" s="56" t="n">
        <f aca="false">MIN(AB10:AB40)</f>
        <v>26</v>
      </c>
      <c r="AC45" s="56" t="n">
        <f aca="false">MIN(AC10:AC40)</f>
        <v>0</v>
      </c>
      <c r="AD45" s="57" t="s">
        <v>51</v>
      </c>
      <c r="AE45" s="85"/>
      <c r="AF45" s="85"/>
      <c r="AG45" s="86"/>
    </row>
    <row r="46" customFormat="false" ht="11.1" hidden="false" customHeight="true" outlineLevel="0" collapsed="false">
      <c r="A46" s="51" t="s">
        <v>52</v>
      </c>
      <c r="B46" s="51"/>
      <c r="C46" s="52"/>
      <c r="D46" s="52"/>
      <c r="E46" s="52"/>
      <c r="F46" s="52"/>
      <c r="G46" s="52"/>
      <c r="H46" s="53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3"/>
      <c r="AB46" s="56"/>
      <c r="AC46" s="56"/>
      <c r="AD46" s="57"/>
      <c r="AE46" s="85"/>
      <c r="AF46" s="85"/>
      <c r="AG46" s="86"/>
    </row>
    <row r="47" customFormat="false" ht="3" hidden="false" customHeight="true" outlineLevel="0" collapsed="false">
      <c r="A47" s="72"/>
      <c r="B47" s="72"/>
      <c r="C47" s="74"/>
      <c r="D47" s="74"/>
      <c r="E47" s="74"/>
      <c r="F47" s="74"/>
      <c r="G47" s="74"/>
      <c r="H47" s="75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56"/>
      <c r="AC47" s="56"/>
      <c r="AD47" s="57"/>
      <c r="AE47" s="85"/>
      <c r="AF47" s="85"/>
      <c r="AG47" s="86"/>
    </row>
    <row r="48" customFormat="false" ht="11.1" hidden="false" customHeight="true" outlineLevel="0" collapsed="false">
      <c r="A48" s="51" t="s">
        <v>53</v>
      </c>
      <c r="B48" s="51"/>
      <c r="C48" s="52"/>
      <c r="D48" s="52"/>
      <c r="E48" s="52"/>
      <c r="F48" s="52" t="n">
        <f aca="false">F8+F42</f>
        <v>1797.83211494832</v>
      </c>
      <c r="G48" s="52" t="n">
        <f aca="false">G8+G42</f>
        <v>6254.4</v>
      </c>
      <c r="H48" s="53" t="n">
        <f aca="false">H8+H42</f>
        <v>25.7</v>
      </c>
      <c r="I48" s="52" t="n">
        <f aca="false">I8+I42</f>
        <v>6280.1</v>
      </c>
      <c r="J48" s="52" t="n">
        <f aca="false">J8+J42</f>
        <v>409.277489286615</v>
      </c>
      <c r="K48" s="52" t="n">
        <f aca="false">K8+K42</f>
        <v>6689.37748928662</v>
      </c>
      <c r="L48" s="52" t="n">
        <f aca="false">L8+L42</f>
        <v>-442.667885051676</v>
      </c>
      <c r="M48" s="52" t="n">
        <f aca="false">M8+M42</f>
        <v>819.2</v>
      </c>
      <c r="N48" s="52" t="n">
        <f aca="false">N8+N42</f>
        <v>0</v>
      </c>
      <c r="O48" s="52" t="n">
        <f aca="false">O8+O42</f>
        <v>0</v>
      </c>
      <c r="P48" s="52" t="n">
        <f aca="false">P8+P42</f>
        <v>819.2</v>
      </c>
      <c r="Q48" s="52" t="n">
        <f aca="false">Q8+Q42</f>
        <v>8.2</v>
      </c>
      <c r="R48" s="52" t="n">
        <f aca="false">R8+R42</f>
        <v>215.9</v>
      </c>
      <c r="S48" s="52" t="n">
        <f aca="false">S8+S42</f>
        <v>1043.3</v>
      </c>
      <c r="T48" s="52"/>
      <c r="U48" s="52" t="n">
        <f aca="false">U8+U42</f>
        <v>0</v>
      </c>
      <c r="V48" s="52" t="n">
        <f aca="false">V8+V42</f>
        <v>2996.3</v>
      </c>
      <c r="W48" s="52" t="n">
        <f aca="false">W40</f>
        <v>12243.7</v>
      </c>
      <c r="X48" s="52" t="n">
        <f aca="false">X8+X42</f>
        <v>4039.6</v>
      </c>
      <c r="Y48" s="52" t="n">
        <f aca="false">Y8+Y42</f>
        <v>851.945374338291</v>
      </c>
      <c r="Z48" s="52" t="n">
        <f aca="false">Z8+Z42</f>
        <v>4891.54537433829</v>
      </c>
      <c r="AA48" s="53" t="n">
        <f aca="false">AA8+AA42</f>
        <v>4.93</v>
      </c>
      <c r="AB48" s="56"/>
      <c r="AC48" s="56"/>
      <c r="AD48" s="57"/>
      <c r="AE48" s="85"/>
      <c r="AF48" s="85"/>
      <c r="AG48" s="86"/>
    </row>
    <row r="49" customFormat="false" ht="11.1" hidden="false" customHeight="true" outlineLevel="0" collapsed="false">
      <c r="A49" s="51" t="s">
        <v>54</v>
      </c>
      <c r="B49" s="51"/>
      <c r="C49" s="52"/>
      <c r="D49" s="52" t="n">
        <f aca="false">D8+D43</f>
        <v>3566</v>
      </c>
      <c r="E49" s="52" t="n">
        <f aca="false">E40</f>
        <v>146419</v>
      </c>
      <c r="F49" s="52" t="n">
        <f aca="false">F48*$D$2</f>
        <v>3566</v>
      </c>
      <c r="G49" s="52" t="n">
        <f aca="false">G48*$D$2</f>
        <v>12405.6024</v>
      </c>
      <c r="H49" s="53" t="n">
        <f aca="false">H48*$D$2</f>
        <v>50.97595</v>
      </c>
      <c r="I49" s="52" t="n">
        <f aca="false">I48*$D$2</f>
        <v>12456.57835</v>
      </c>
      <c r="J49" s="52" t="n">
        <f aca="false">J48*$D$2</f>
        <v>811.8019</v>
      </c>
      <c r="K49" s="52" t="n">
        <f aca="false">K48*$D$2</f>
        <v>13268.38025</v>
      </c>
      <c r="L49" s="52" t="n">
        <f aca="false">L48*$D$2</f>
        <v>-878.03175</v>
      </c>
      <c r="M49" s="52" t="n">
        <f aca="false">M48*$D$2</f>
        <v>1624.8832</v>
      </c>
      <c r="N49" s="52" t="n">
        <f aca="false">N48*$D$2</f>
        <v>0</v>
      </c>
      <c r="O49" s="52" t="n">
        <f aca="false">O48*$D$2</f>
        <v>0</v>
      </c>
      <c r="P49" s="52" t="n">
        <f aca="false">P48*$D$2</f>
        <v>1624.8832</v>
      </c>
      <c r="Q49" s="52" t="n">
        <f aca="false">Q48*$D$2</f>
        <v>16.2647</v>
      </c>
      <c r="R49" s="52" t="n">
        <f aca="false">R48*$D$2</f>
        <v>428.23765</v>
      </c>
      <c r="S49" s="52" t="n">
        <f aca="false">S48*$D$2</f>
        <v>2069.38555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5943.16105</v>
      </c>
      <c r="W49" s="52" t="n">
        <f aca="false">W40*$D$2</f>
        <v>24285.3789499999</v>
      </c>
      <c r="X49" s="52" t="n">
        <f aca="false">X48*$D$2</f>
        <v>8012.5466</v>
      </c>
      <c r="Y49" s="52" t="n">
        <f aca="false">Y48*$D$2</f>
        <v>1689.83365</v>
      </c>
      <c r="Z49" s="52" t="n">
        <f aca="false">Z48*$D$2</f>
        <v>9702.38025</v>
      </c>
      <c r="AA49" s="53"/>
      <c r="AB49" s="56"/>
      <c r="AC49" s="56"/>
      <c r="AD49" s="57"/>
      <c r="AE49" s="85"/>
      <c r="AF49" s="85"/>
      <c r="AG49" s="86"/>
    </row>
    <row r="50" customFormat="false" ht="3" hidden="false" customHeight="true" outlineLevel="0" collapsed="false">
      <c r="A50" s="72"/>
      <c r="B50" s="72"/>
      <c r="C50" s="74"/>
      <c r="D50" s="72"/>
      <c r="E50" s="74"/>
      <c r="F50" s="72"/>
      <c r="G50" s="72"/>
      <c r="H50" s="75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4"/>
      <c r="U50" s="72"/>
      <c r="V50" s="72"/>
      <c r="W50" s="74"/>
      <c r="X50" s="72"/>
      <c r="Y50" s="72"/>
      <c r="Z50" s="72"/>
      <c r="AA50" s="53"/>
      <c r="AB50" s="56"/>
      <c r="AC50" s="56"/>
      <c r="AD50" s="57"/>
      <c r="AE50" s="85"/>
      <c r="AF50" s="85"/>
      <c r="AG50" s="86"/>
    </row>
    <row r="51" customFormat="false" ht="11.1" hidden="false" customHeight="true" outlineLevel="0" collapsed="false">
      <c r="A51" s="51"/>
      <c r="B51" s="81"/>
      <c r="C51" s="52"/>
      <c r="D51" s="51"/>
      <c r="E51" s="52"/>
      <c r="F51" s="51"/>
      <c r="G51" s="51"/>
      <c r="H51" s="53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2" t="n">
        <v>2615</v>
      </c>
      <c r="X51" s="51"/>
      <c r="Y51" s="51"/>
      <c r="Z51" s="51"/>
      <c r="AA51" s="53"/>
      <c r="AB51" s="56"/>
      <c r="AC51" s="56"/>
      <c r="AD51" s="57"/>
      <c r="AE51" s="84"/>
      <c r="AF51" s="84"/>
    </row>
    <row r="52" customFormat="false" ht="11.1" hidden="false" customHeight="true" outlineLevel="0" collapsed="false">
      <c r="A52" s="51"/>
      <c r="B52" s="71"/>
      <c r="C52" s="52"/>
      <c r="D52" s="79"/>
      <c r="E52" s="52"/>
      <c r="F52" s="51"/>
      <c r="G52" s="51"/>
      <c r="H52" s="53"/>
      <c r="I52" s="82"/>
      <c r="J52" s="51"/>
      <c r="K52" s="41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51"/>
      <c r="W52" s="52" t="n">
        <f aca="false">W49-W51</f>
        <v>21670.3789499999</v>
      </c>
      <c r="X52" s="51"/>
      <c r="Y52" s="51"/>
      <c r="Z52" s="51"/>
      <c r="AA52" s="53"/>
      <c r="AB52" s="56"/>
      <c r="AC52" s="56"/>
      <c r="AD52" s="57"/>
      <c r="AE52" s="84"/>
      <c r="AF52" s="84"/>
    </row>
    <row r="53" customFormat="false" ht="11.1" hidden="false" customHeight="true" outlineLevel="0" collapsed="false">
      <c r="A53" s="79"/>
      <c r="B53" s="79"/>
      <c r="C53" s="52"/>
      <c r="D53" s="52"/>
      <c r="E53" s="52"/>
      <c r="F53" s="79"/>
      <c r="G53" s="79"/>
      <c r="H53" s="53"/>
      <c r="I53" s="79"/>
      <c r="J53" s="79"/>
      <c r="K53" s="79"/>
      <c r="L53" s="79"/>
      <c r="M53" s="78"/>
      <c r="N53" s="78"/>
      <c r="O53" s="78"/>
      <c r="P53" s="78"/>
      <c r="Q53" s="79"/>
      <c r="R53" s="79"/>
      <c r="S53" s="79"/>
      <c r="T53" s="52"/>
      <c r="U53" s="79"/>
      <c r="V53" s="79"/>
      <c r="W53" s="52"/>
      <c r="X53" s="79"/>
      <c r="Y53" s="79"/>
      <c r="Z53" s="79"/>
      <c r="AA53" s="53"/>
      <c r="AB53" s="56"/>
      <c r="AC53" s="56"/>
      <c r="AD53" s="57"/>
      <c r="AE53" s="89"/>
      <c r="AF53" s="89"/>
    </row>
    <row r="54" customFormat="false" ht="11.1" hidden="false" customHeight="true" outlineLevel="0" collapsed="false">
      <c r="A54" s="79"/>
      <c r="B54" s="55"/>
      <c r="C54" s="52"/>
      <c r="D54" s="52"/>
      <c r="E54" s="52"/>
      <c r="F54" s="79"/>
      <c r="G54" s="79"/>
      <c r="H54" s="53"/>
      <c r="I54" s="79"/>
      <c r="J54" s="79"/>
      <c r="K54" s="79"/>
      <c r="L54" s="79"/>
      <c r="M54" s="78"/>
      <c r="N54" s="78"/>
      <c r="O54" s="78"/>
      <c r="P54" s="79"/>
      <c r="Q54" s="79"/>
      <c r="R54" s="79"/>
      <c r="S54" s="52"/>
      <c r="T54" s="79"/>
      <c r="U54" s="79"/>
      <c r="V54" s="52"/>
      <c r="W54" s="79"/>
      <c r="X54" s="79"/>
      <c r="Y54" s="79"/>
      <c r="Z54" s="55"/>
      <c r="AA54" s="53"/>
      <c r="AB54" s="56"/>
      <c r="AC54" s="57"/>
      <c r="AD54" s="89"/>
      <c r="AE54" s="89"/>
    </row>
    <row r="55" customFormat="false" ht="11.1" hidden="false" customHeight="true" outlineLevel="0" collapsed="false">
      <c r="A55" s="79"/>
      <c r="B55" s="79"/>
      <c r="C55" s="52"/>
      <c r="D55" s="79"/>
      <c r="E55" s="52"/>
      <c r="F55" s="79"/>
      <c r="G55" s="83"/>
      <c r="H55" s="53"/>
      <c r="I55" s="79"/>
      <c r="J55" s="79"/>
      <c r="K55" s="79"/>
      <c r="L55" s="79"/>
      <c r="M55" s="78"/>
      <c r="N55" s="78"/>
      <c r="O55" s="78"/>
      <c r="P55" s="79"/>
      <c r="Q55" s="79"/>
      <c r="R55" s="79"/>
      <c r="S55" s="52"/>
      <c r="T55" s="79"/>
      <c r="U55" s="79"/>
      <c r="V55" s="52"/>
      <c r="W55" s="79"/>
      <c r="X55" s="79"/>
      <c r="Y55" s="79"/>
      <c r="Z55" s="55"/>
      <c r="AA55" s="53"/>
      <c r="AB55" s="56"/>
      <c r="AC55" s="57"/>
      <c r="AD55" s="89"/>
      <c r="AE55" s="89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K19" activePane="bottomRight" state="frozen"/>
      <selection pane="topLeft" activeCell="A1" activeCellId="0" sqref="A1"/>
      <selection pane="topRight" activeCell="K1" activeCellId="0" sqref="K1"/>
      <selection pane="bottomLeft" activeCell="A19" activeCellId="0" sqref="A19"/>
      <selection pane="bottomRight" activeCell="AC38" activeCellId="0" sqref="AC38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4.66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3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53"/>
      <c r="I2" s="51"/>
      <c r="J2" s="51"/>
      <c r="K2" s="59" t="s">
        <v>60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3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3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63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63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61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63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66"/>
      <c r="AB5" s="64" t="s">
        <v>43</v>
      </c>
      <c r="AC5" s="64" t="s">
        <v>43</v>
      </c>
      <c r="AD5" s="67" t="s">
        <v>61</v>
      </c>
      <c r="AE5" s="84"/>
      <c r="AF5" s="84"/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70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69"/>
      <c r="X6" s="68"/>
      <c r="Y6" s="68"/>
      <c r="Z6" s="68"/>
      <c r="AA6" s="53"/>
      <c r="AB6" s="57"/>
      <c r="AC6" s="57"/>
      <c r="AD6" s="57"/>
      <c r="AE6" s="85"/>
      <c r="AF6" s="85"/>
      <c r="AG6" s="86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/>
      <c r="G7" s="52"/>
      <c r="H7" s="53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JAN!B40</f>
        <v>6903.96</v>
      </c>
      <c r="C8" s="52" t="n">
        <f aca="false">JAN!C40</f>
        <v>298419</v>
      </c>
      <c r="D8" s="52" t="n">
        <f aca="false">JAN!$D$49</f>
        <v>3566</v>
      </c>
      <c r="E8" s="52" t="n">
        <f aca="false">JAN!$E$40</f>
        <v>146419</v>
      </c>
      <c r="F8" s="52" t="n">
        <f aca="false">JAN!F48</f>
        <v>1797.83211494832</v>
      </c>
      <c r="G8" s="52" t="n">
        <f aca="false">JAN!G48</f>
        <v>6254.4</v>
      </c>
      <c r="H8" s="53" t="n">
        <f aca="false">JAN!H48</f>
        <v>25.7</v>
      </c>
      <c r="I8" s="52" t="n">
        <f aca="false">JAN!I48</f>
        <v>6280.1</v>
      </c>
      <c r="J8" s="52" t="n">
        <f aca="false">JAN!J48</f>
        <v>409.277489286615</v>
      </c>
      <c r="K8" s="52" t="n">
        <f aca="false">JAN!K48</f>
        <v>6689.37748928662</v>
      </c>
      <c r="L8" s="52" t="n">
        <f aca="false">JAN!L48</f>
        <v>-442.667885051676</v>
      </c>
      <c r="M8" s="52" t="n">
        <f aca="false">JAN!M48</f>
        <v>819.2</v>
      </c>
      <c r="N8" s="52" t="n">
        <f aca="false">JAN!N48</f>
        <v>0</v>
      </c>
      <c r="O8" s="52" t="n">
        <f aca="false">JAN!O48</f>
        <v>0</v>
      </c>
      <c r="P8" s="52" t="n">
        <f aca="false">JAN!P48</f>
        <v>819.2</v>
      </c>
      <c r="Q8" s="52" t="n">
        <f aca="false">JAN!Q48</f>
        <v>8.2</v>
      </c>
      <c r="R8" s="52" t="n">
        <f aca="false">JAN!R48</f>
        <v>215.9</v>
      </c>
      <c r="S8" s="52" t="n">
        <f aca="false">JAN!S48</f>
        <v>1043.3</v>
      </c>
      <c r="T8" s="52" t="n">
        <f aca="false">JAN!T48</f>
        <v>0</v>
      </c>
      <c r="U8" s="52" t="n">
        <f aca="false">JAN!U48</f>
        <v>0</v>
      </c>
      <c r="V8" s="52" t="n">
        <f aca="false">JAN!V48</f>
        <v>2996.3</v>
      </c>
      <c r="W8" s="52" t="n">
        <f aca="false">JAN!W48</f>
        <v>12243.7</v>
      </c>
      <c r="X8" s="52" t="n">
        <f aca="false">JAN!X48</f>
        <v>4039.6</v>
      </c>
      <c r="Y8" s="52" t="n">
        <f aca="false">JAN!Y48</f>
        <v>851.945374338291</v>
      </c>
      <c r="Z8" s="52" t="n">
        <f aca="false">JAN!Z48</f>
        <v>4891.54537433829</v>
      </c>
      <c r="AA8" s="53" t="n">
        <f aca="false">JAN!AA48</f>
        <v>4.93</v>
      </c>
      <c r="AB8" s="56"/>
      <c r="AC8" s="56"/>
      <c r="AD8" s="57"/>
      <c r="AE8" s="87"/>
      <c r="AF8" s="85"/>
      <c r="AG8" s="87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75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75"/>
      <c r="AB9" s="76"/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6903.97</v>
      </c>
      <c r="C10" s="52" t="n">
        <v>298454</v>
      </c>
      <c r="D10" s="56" t="n">
        <f aca="false">C10-C8</f>
        <v>35</v>
      </c>
      <c r="E10" s="52" t="n">
        <f aca="false">C10-152000</f>
        <v>146454</v>
      </c>
      <c r="F10" s="51" t="n">
        <f aca="false">D10/$D$2</f>
        <v>17.6455760020166</v>
      </c>
      <c r="G10" s="51" t="n">
        <v>51.7</v>
      </c>
      <c r="H10" s="53" t="n">
        <v>0</v>
      </c>
      <c r="I10" s="51" t="n">
        <f aca="false">G10+H10</f>
        <v>51.7</v>
      </c>
      <c r="J10" s="78" t="n">
        <f aca="false">IF(L10&gt;0,L10,0)</f>
        <v>0.0455760020166345</v>
      </c>
      <c r="K10" s="51" t="n">
        <f aca="false">I10+J10</f>
        <v>51.7455760020166</v>
      </c>
      <c r="L10" s="51" t="n">
        <f aca="false">F10-(I10-X10)</f>
        <v>0.0455760020166345</v>
      </c>
      <c r="M10" s="51" t="n">
        <v>4.4</v>
      </c>
      <c r="N10" s="51" t="n">
        <v>0</v>
      </c>
      <c r="O10" s="51" t="n">
        <v>0</v>
      </c>
      <c r="P10" s="6" t="n">
        <f aca="false">M10-(N10+O10)</f>
        <v>4.4</v>
      </c>
      <c r="Q10" s="51" t="n">
        <v>0</v>
      </c>
      <c r="R10" s="51" t="n">
        <v>0</v>
      </c>
      <c r="S10" s="51" t="n">
        <f aca="false">SUM(P10:R10)</f>
        <v>4.4</v>
      </c>
      <c r="T10" s="52"/>
      <c r="U10" s="51" t="n">
        <v>0</v>
      </c>
      <c r="V10" s="51" t="n">
        <v>29.7</v>
      </c>
      <c r="W10" s="52" t="n">
        <f aca="false">W8-V10</f>
        <v>12214</v>
      </c>
      <c r="X10" s="6" t="n">
        <f aca="false">N10+O10+S10+U10+V10</f>
        <v>34.1</v>
      </c>
      <c r="Y10" s="51" t="n">
        <f aca="false">IF(L10&lt;0,L10*-1,0)</f>
        <v>0</v>
      </c>
      <c r="Z10" s="51" t="n">
        <f aca="false">X10+Y10</f>
        <v>34.1</v>
      </c>
      <c r="AA10" s="53" t="n">
        <v>0</v>
      </c>
      <c r="AB10" s="56" t="n">
        <v>53</v>
      </c>
      <c r="AC10" s="56" t="n">
        <v>12</v>
      </c>
      <c r="AD10" s="57" t="n">
        <v>1</v>
      </c>
      <c r="AE10" s="86"/>
      <c r="AF10" s="87"/>
      <c r="AG10" s="86"/>
    </row>
    <row r="11" customFormat="false" ht="11.1" hidden="false" customHeight="true" outlineLevel="0" collapsed="false">
      <c r="A11" s="57" t="n">
        <f aca="false">A10+1</f>
        <v>2</v>
      </c>
      <c r="B11" s="71" t="n">
        <v>6903.98</v>
      </c>
      <c r="C11" s="52" t="n">
        <v>298495</v>
      </c>
      <c r="D11" s="56" t="n">
        <f aca="false">C11-C10</f>
        <v>41</v>
      </c>
      <c r="E11" s="52" t="n">
        <f aca="false">C11-152000</f>
        <v>146495</v>
      </c>
      <c r="F11" s="51" t="n">
        <f aca="false">D11/$D$2</f>
        <v>20.6705318880766</v>
      </c>
      <c r="G11" s="51" t="n">
        <v>54.8</v>
      </c>
      <c r="H11" s="53" t="n">
        <v>0</v>
      </c>
      <c r="I11" s="51" t="n">
        <f aca="false">G11+H11</f>
        <v>54.8</v>
      </c>
      <c r="J11" s="78" t="n">
        <f aca="false">IF(L11&gt;0,L11,0)</f>
        <v>0.000531888076636733</v>
      </c>
      <c r="K11" s="51" t="n">
        <f aca="false">I11+J11</f>
        <v>54.8005318880766</v>
      </c>
      <c r="L11" s="51" t="n">
        <f aca="false">F11-(I11-X11)</f>
        <v>0.000531888076636733</v>
      </c>
      <c r="M11" s="51" t="n">
        <v>4.4</v>
      </c>
      <c r="N11" s="51" t="n">
        <v>0</v>
      </c>
      <c r="O11" s="51" t="n">
        <v>0</v>
      </c>
      <c r="P11" s="6" t="n">
        <f aca="false">M11-(N11+O11)</f>
        <v>4.4</v>
      </c>
      <c r="Q11" s="51" t="n">
        <v>0</v>
      </c>
      <c r="R11" s="51" t="n">
        <v>0</v>
      </c>
      <c r="S11" s="51" t="n">
        <f aca="false">SUM(P11:R11)</f>
        <v>4.4</v>
      </c>
      <c r="T11" s="52"/>
      <c r="U11" s="51" t="n">
        <v>0</v>
      </c>
      <c r="V11" s="51" t="n">
        <v>29.73</v>
      </c>
      <c r="W11" s="52" t="n">
        <f aca="false">W10-V11</f>
        <v>12184.27</v>
      </c>
      <c r="X11" s="6" t="n">
        <f aca="false">N11+O11+S11+U11+V11</f>
        <v>34.13</v>
      </c>
      <c r="Y11" s="51" t="n">
        <f aca="false">IF(L11&lt;0,L11*-1,0)</f>
        <v>0</v>
      </c>
      <c r="Z11" s="51" t="n">
        <f aca="false">X11+Y11</f>
        <v>34.13</v>
      </c>
      <c r="AA11" s="53" t="n">
        <v>0</v>
      </c>
      <c r="AB11" s="56" t="n">
        <v>52</v>
      </c>
      <c r="AC11" s="56" t="n">
        <v>18</v>
      </c>
      <c r="AD11" s="57" t="n">
        <f aca="false">AD10+1</f>
        <v>2</v>
      </c>
      <c r="AE11" s="86"/>
      <c r="AF11" s="87"/>
      <c r="AG11" s="86"/>
    </row>
    <row r="12" customFormat="false" ht="11.1" hidden="false" customHeight="true" outlineLevel="0" collapsed="false">
      <c r="A12" s="57" t="n">
        <f aca="false">A11+1</f>
        <v>3</v>
      </c>
      <c r="B12" s="71" t="n">
        <v>6903.98</v>
      </c>
      <c r="C12" s="52" t="n">
        <v>298495</v>
      </c>
      <c r="D12" s="56" t="n">
        <f aca="false">C12-C11</f>
        <v>0</v>
      </c>
      <c r="E12" s="52" t="n">
        <f aca="false">C12-152000</f>
        <v>146495</v>
      </c>
      <c r="F12" s="51" t="n">
        <f aca="false">D12/$D$2</f>
        <v>0</v>
      </c>
      <c r="G12" s="51" t="n">
        <v>33.5</v>
      </c>
      <c r="H12" s="53" t="n">
        <v>0</v>
      </c>
      <c r="I12" s="51" t="n">
        <f aca="false">G12+H12</f>
        <v>33.5</v>
      </c>
      <c r="J12" s="78" t="n">
        <f aca="false">IF(L12&gt;0,L12,0)</f>
        <v>0</v>
      </c>
      <c r="K12" s="51" t="n">
        <f aca="false">I12+J12</f>
        <v>33.5</v>
      </c>
      <c r="L12" s="51" t="n">
        <f aca="false">F12-(I12-X12)</f>
        <v>0</v>
      </c>
      <c r="M12" s="51" t="n">
        <v>3.8</v>
      </c>
      <c r="N12" s="51" t="n">
        <v>0</v>
      </c>
      <c r="O12" s="51" t="n">
        <v>0</v>
      </c>
      <c r="P12" s="6" t="n">
        <f aca="false">M12-(N12+O12)</f>
        <v>3.8</v>
      </c>
      <c r="Q12" s="51" t="n">
        <v>0</v>
      </c>
      <c r="R12" s="51" t="n">
        <v>0</v>
      </c>
      <c r="S12" s="51" t="n">
        <f aca="false">SUM(P12:R12)</f>
        <v>3.8</v>
      </c>
      <c r="T12" s="52"/>
      <c r="U12" s="51" t="n">
        <v>0</v>
      </c>
      <c r="V12" s="51" t="n">
        <v>29.7</v>
      </c>
      <c r="W12" s="52" t="n">
        <f aca="false">W11-V12</f>
        <v>12154.57</v>
      </c>
      <c r="X12" s="6" t="n">
        <f aca="false">N12+O12+S12+U12+V12</f>
        <v>33.5</v>
      </c>
      <c r="Y12" s="51" t="n">
        <f aca="false">IF(L12&lt;0,L12*-1,0)</f>
        <v>0</v>
      </c>
      <c r="Z12" s="51" t="n">
        <f aca="false">X12+Y12</f>
        <v>33.5</v>
      </c>
      <c r="AA12" s="53" t="n">
        <v>0</v>
      </c>
      <c r="AB12" s="56" t="n">
        <v>44</v>
      </c>
      <c r="AC12" s="56" t="n">
        <v>25</v>
      </c>
      <c r="AD12" s="57" t="n">
        <f aca="false">AD11+1</f>
        <v>3</v>
      </c>
      <c r="AE12" s="86"/>
      <c r="AF12" s="87"/>
      <c r="AG12" s="86"/>
    </row>
    <row r="13" customFormat="false" ht="11.1" hidden="false" customHeight="true" outlineLevel="0" collapsed="false">
      <c r="A13" s="57" t="n">
        <f aca="false">A12+1</f>
        <v>4</v>
      </c>
      <c r="B13" s="71" t="n">
        <v>6903.99</v>
      </c>
      <c r="C13" s="52" t="n">
        <v>298534</v>
      </c>
      <c r="D13" s="56" t="n">
        <f aca="false">C13-C12</f>
        <v>39</v>
      </c>
      <c r="E13" s="52" t="n">
        <f aca="false">C13-152000</f>
        <v>146534</v>
      </c>
      <c r="F13" s="51" t="n">
        <f aca="false">D13/$D$2</f>
        <v>19.66221325939</v>
      </c>
      <c r="G13" s="51" t="n">
        <v>52.9</v>
      </c>
      <c r="H13" s="53" t="n">
        <v>0</v>
      </c>
      <c r="I13" s="51" t="n">
        <f aca="false">G13+H13</f>
        <v>52.9</v>
      </c>
      <c r="J13" s="78" t="n">
        <f aca="false">IF(L13&gt;0,L13,0)</f>
        <v>0.0622132593899671</v>
      </c>
      <c r="K13" s="51" t="n">
        <f aca="false">I13+J13</f>
        <v>52.96221325939</v>
      </c>
      <c r="L13" s="51" t="n">
        <f aca="false">F13-(I13-X13)</f>
        <v>0.0622132593899671</v>
      </c>
      <c r="M13" s="51" t="n">
        <v>3.6</v>
      </c>
      <c r="N13" s="51" t="n">
        <v>0</v>
      </c>
      <c r="O13" s="51" t="n">
        <v>0</v>
      </c>
      <c r="P13" s="6" t="n">
        <f aca="false">M13-(N13+O13)</f>
        <v>3.6</v>
      </c>
      <c r="Q13" s="51" t="n">
        <v>0</v>
      </c>
      <c r="R13" s="51" t="n">
        <v>0</v>
      </c>
      <c r="S13" s="51" t="n">
        <f aca="false">SUM(P13:R13)</f>
        <v>3.6</v>
      </c>
      <c r="T13" s="52"/>
      <c r="U13" s="51" t="n">
        <v>0</v>
      </c>
      <c r="V13" s="51" t="n">
        <v>29.7</v>
      </c>
      <c r="W13" s="52" t="n">
        <f aca="false">W12-V13</f>
        <v>12124.87</v>
      </c>
      <c r="X13" s="6" t="n">
        <f aca="false">N13+O13+S13+U13+V13</f>
        <v>33.3</v>
      </c>
      <c r="Y13" s="51" t="n">
        <f aca="false">IF(L13&lt;0,L13*-1,0)</f>
        <v>0</v>
      </c>
      <c r="Z13" s="51" t="n">
        <f aca="false">X13+Y13</f>
        <v>33.3</v>
      </c>
      <c r="AA13" s="53" t="n">
        <v>0</v>
      </c>
      <c r="AB13" s="56" t="n">
        <v>40</v>
      </c>
      <c r="AC13" s="56" t="n">
        <v>28</v>
      </c>
      <c r="AD13" s="57" t="n">
        <f aca="false">AD12+1</f>
        <v>4</v>
      </c>
      <c r="AE13" s="86"/>
      <c r="AF13" s="87"/>
      <c r="AG13" s="86"/>
    </row>
    <row r="14" customFormat="false" ht="11.1" hidden="false" customHeight="true" outlineLevel="0" collapsed="false">
      <c r="A14" s="57" t="n">
        <f aca="false">A13+1</f>
        <v>5</v>
      </c>
      <c r="B14" s="71" t="n">
        <v>6904</v>
      </c>
      <c r="C14" s="52" t="n">
        <v>298571</v>
      </c>
      <c r="D14" s="56" t="n">
        <f aca="false">C14-C13</f>
        <v>37</v>
      </c>
      <c r="E14" s="52" t="n">
        <f aca="false">C14-152000</f>
        <v>146571</v>
      </c>
      <c r="F14" s="51" t="n">
        <f aca="false">D14/$D$2</f>
        <v>18.6538946307033</v>
      </c>
      <c r="G14" s="51" t="n">
        <v>52.4</v>
      </c>
      <c r="H14" s="53" t="n">
        <v>0</v>
      </c>
      <c r="I14" s="51" t="n">
        <f aca="false">G14+H14</f>
        <v>52.4</v>
      </c>
      <c r="J14" s="78" t="n">
        <f aca="false">IF(L14&gt;0,L14,0)</f>
        <v>0</v>
      </c>
      <c r="K14" s="51" t="n">
        <f aca="false">I14+J14</f>
        <v>52.4</v>
      </c>
      <c r="L14" s="51" t="n">
        <f aca="false">F14-(I14-X14)</f>
        <v>-0.0461053692966935</v>
      </c>
      <c r="M14" s="51" t="n">
        <v>4</v>
      </c>
      <c r="N14" s="51" t="n">
        <v>0</v>
      </c>
      <c r="O14" s="51" t="n">
        <v>0</v>
      </c>
      <c r="P14" s="6" t="n">
        <f aca="false">M14-(N14+O14)</f>
        <v>4</v>
      </c>
      <c r="Q14" s="51" t="n">
        <v>0</v>
      </c>
      <c r="R14" s="51" t="n">
        <v>0</v>
      </c>
      <c r="S14" s="51" t="n">
        <f aca="false">SUM(P14:R14)</f>
        <v>4</v>
      </c>
      <c r="T14" s="52"/>
      <c r="U14" s="51" t="n">
        <v>0</v>
      </c>
      <c r="V14" s="51" t="n">
        <v>29.7</v>
      </c>
      <c r="W14" s="52" t="n">
        <f aca="false">W13-V14</f>
        <v>12095.17</v>
      </c>
      <c r="X14" s="6" t="n">
        <f aca="false">N14+O14+S14+U14+V14</f>
        <v>33.7</v>
      </c>
      <c r="Y14" s="51" t="n">
        <f aca="false">IF(L14&lt;0,L14*-1,0)</f>
        <v>0.0461053692966935</v>
      </c>
      <c r="Z14" s="51" t="n">
        <f aca="false">X14+Y14</f>
        <v>33.7461053692967</v>
      </c>
      <c r="AA14" s="53" t="n">
        <v>0</v>
      </c>
      <c r="AB14" s="56" t="n">
        <v>40</v>
      </c>
      <c r="AC14" s="56" t="n">
        <v>14</v>
      </c>
      <c r="AD14" s="57" t="n">
        <f aca="false">AD13+1</f>
        <v>5</v>
      </c>
      <c r="AE14" s="86"/>
      <c r="AF14" s="87"/>
      <c r="AG14" s="86"/>
    </row>
    <row r="15" customFormat="false" ht="11.1" hidden="false" customHeight="true" outlineLevel="0" collapsed="false">
      <c r="A15" s="57" t="n">
        <f aca="false">A14+1</f>
        <v>6</v>
      </c>
      <c r="B15" s="71" t="n">
        <v>6904.01</v>
      </c>
      <c r="C15" s="52" t="n">
        <v>298608</v>
      </c>
      <c r="D15" s="56" t="n">
        <f aca="false">C15-C14</f>
        <v>37</v>
      </c>
      <c r="E15" s="52" t="n">
        <f aca="false">C15-152000</f>
        <v>146608</v>
      </c>
      <c r="F15" s="51" t="n">
        <f aca="false">D15/$D$2</f>
        <v>18.6538946307033</v>
      </c>
      <c r="G15" s="51" t="n">
        <v>51.8</v>
      </c>
      <c r="H15" s="53" t="n">
        <v>0</v>
      </c>
      <c r="I15" s="51" t="n">
        <f aca="false">G15+H15</f>
        <v>51.8</v>
      </c>
      <c r="J15" s="78" t="n">
        <f aca="false">IF(L15&gt;0,L15,0)</f>
        <v>0.0538946307033079</v>
      </c>
      <c r="K15" s="51" t="n">
        <f aca="false">I15+J15</f>
        <v>51.8538946307033</v>
      </c>
      <c r="L15" s="51" t="n">
        <f aca="false">F15-(I15-X15)</f>
        <v>0.0538946307033079</v>
      </c>
      <c r="M15" s="51" t="n">
        <v>3.5</v>
      </c>
      <c r="N15" s="51" t="n">
        <v>0</v>
      </c>
      <c r="O15" s="51" t="n">
        <v>0</v>
      </c>
      <c r="P15" s="6" t="n">
        <f aca="false">M15-(N15+O15)</f>
        <v>3.5</v>
      </c>
      <c r="Q15" s="51" t="n">
        <v>0</v>
      </c>
      <c r="R15" s="51" t="n">
        <v>0</v>
      </c>
      <c r="S15" s="51" t="n">
        <f aca="false">SUM(P15:R15)</f>
        <v>3.5</v>
      </c>
      <c r="T15" s="52"/>
      <c r="U15" s="51" t="n">
        <v>0</v>
      </c>
      <c r="V15" s="51" t="n">
        <v>29.7</v>
      </c>
      <c r="W15" s="52" t="n">
        <f aca="false">W14-V15</f>
        <v>12065.47</v>
      </c>
      <c r="X15" s="6" t="n">
        <f aca="false">N15+O15+S15+U15+V15</f>
        <v>33.2</v>
      </c>
      <c r="Y15" s="51" t="n">
        <f aca="false">IF(L15&lt;0,L15*-1,0)</f>
        <v>0</v>
      </c>
      <c r="Z15" s="51" t="n">
        <f aca="false">X15+Y15</f>
        <v>33.2</v>
      </c>
      <c r="AA15" s="53" t="n">
        <v>0</v>
      </c>
      <c r="AB15" s="56" t="n">
        <v>48</v>
      </c>
      <c r="AC15" s="56" t="n">
        <v>14</v>
      </c>
      <c r="AD15" s="57" t="n">
        <f aca="false">AD14+1</f>
        <v>6</v>
      </c>
      <c r="AE15" s="85"/>
      <c r="AF15" s="87"/>
      <c r="AG15" s="86"/>
    </row>
    <row r="16" customFormat="false" ht="11.1" hidden="false" customHeight="true" outlineLevel="0" collapsed="false">
      <c r="A16" s="57" t="n">
        <f aca="false">A15+1</f>
        <v>7</v>
      </c>
      <c r="B16" s="71" t="n">
        <v>6904.02</v>
      </c>
      <c r="C16" s="52" t="n">
        <v>298648</v>
      </c>
      <c r="D16" s="56" t="n">
        <f aca="false">C16-C15</f>
        <v>40</v>
      </c>
      <c r="E16" s="52" t="n">
        <f aca="false">C16-152000</f>
        <v>146648</v>
      </c>
      <c r="F16" s="51" t="n">
        <f aca="false">D16/$D$2</f>
        <v>20.1663725737333</v>
      </c>
      <c r="G16" s="51" t="n">
        <v>53.8</v>
      </c>
      <c r="H16" s="53" t="n">
        <v>0</v>
      </c>
      <c r="I16" s="51" t="n">
        <f aca="false">G16+H16</f>
        <v>53.8</v>
      </c>
      <c r="J16" s="78" t="n">
        <f aca="false">IF(L16&gt;0,L16,0)</f>
        <v>0</v>
      </c>
      <c r="K16" s="51" t="n">
        <f aca="false">I16+J16</f>
        <v>53.8</v>
      </c>
      <c r="L16" s="51" t="n">
        <f aca="false">F16-(I16-X16)</f>
        <v>-0.0336274262666976</v>
      </c>
      <c r="M16" s="51" t="n">
        <v>3.7</v>
      </c>
      <c r="N16" s="51" t="n">
        <v>0</v>
      </c>
      <c r="O16" s="51" t="n">
        <v>0</v>
      </c>
      <c r="P16" s="6" t="n">
        <f aca="false">M16-(N16+O16)</f>
        <v>3.7</v>
      </c>
      <c r="Q16" s="51" t="n">
        <v>0</v>
      </c>
      <c r="R16" s="51" t="n">
        <v>0</v>
      </c>
      <c r="S16" s="51" t="n">
        <f aca="false">SUM(P16:R16)</f>
        <v>3.7</v>
      </c>
      <c r="T16" s="52"/>
      <c r="U16" s="51" t="n">
        <v>0</v>
      </c>
      <c r="V16" s="51" t="n">
        <v>29.9</v>
      </c>
      <c r="W16" s="52" t="n">
        <f aca="false">W15-V16</f>
        <v>12035.57</v>
      </c>
      <c r="X16" s="6" t="n">
        <f aca="false">N16+O16+S16+U16+V16</f>
        <v>33.6</v>
      </c>
      <c r="Y16" s="51" t="n">
        <f aca="false">IF(L16&lt;0,L16*-1,0)</f>
        <v>0.0336274262666976</v>
      </c>
      <c r="Z16" s="51" t="n">
        <f aca="false">X16+Y16</f>
        <v>33.6336274262667</v>
      </c>
      <c r="AA16" s="53" t="n">
        <v>0</v>
      </c>
      <c r="AB16" s="56" t="n">
        <v>42</v>
      </c>
      <c r="AC16" s="56" t="n">
        <v>19</v>
      </c>
      <c r="AD16" s="57" t="n">
        <f aca="false">AD15+1</f>
        <v>7</v>
      </c>
      <c r="AE16" s="85"/>
      <c r="AF16" s="87"/>
      <c r="AG16" s="86"/>
    </row>
    <row r="17" customFormat="false" ht="11.1" hidden="false" customHeight="true" outlineLevel="0" collapsed="false">
      <c r="A17" s="57" t="n">
        <f aca="false">A16+1</f>
        <v>8</v>
      </c>
      <c r="B17" s="71" t="n">
        <v>6904.03</v>
      </c>
      <c r="C17" s="52" t="n">
        <v>298685</v>
      </c>
      <c r="D17" s="56" t="n">
        <f aca="false">C17-C16</f>
        <v>37</v>
      </c>
      <c r="E17" s="52" t="n">
        <f aca="false">C17-152000</f>
        <v>146685</v>
      </c>
      <c r="F17" s="51" t="n">
        <f aca="false">D17/$D$2</f>
        <v>18.6538946307033</v>
      </c>
      <c r="G17" s="51" t="n">
        <v>52.3</v>
      </c>
      <c r="H17" s="53" t="n">
        <v>0</v>
      </c>
      <c r="I17" s="51" t="n">
        <f aca="false">G17+H17</f>
        <v>52.3</v>
      </c>
      <c r="J17" s="78" t="n">
        <f aca="false">IF(L17&gt;0,L17,0)</f>
        <v>0</v>
      </c>
      <c r="K17" s="51" t="n">
        <f aca="false">I17+J17</f>
        <v>52.3</v>
      </c>
      <c r="L17" s="51" t="n">
        <f aca="false">F17-(I17-X17)</f>
        <v>-0.0461053692966935</v>
      </c>
      <c r="M17" s="51" t="n">
        <v>3.7</v>
      </c>
      <c r="N17" s="51" t="n">
        <v>0</v>
      </c>
      <c r="O17" s="51" t="n">
        <v>0</v>
      </c>
      <c r="P17" s="6" t="n">
        <f aca="false">M17-(N17+O17)</f>
        <v>3.7</v>
      </c>
      <c r="Q17" s="51" t="n">
        <v>0</v>
      </c>
      <c r="R17" s="51" t="n">
        <v>0</v>
      </c>
      <c r="S17" s="51" t="n">
        <f aca="false">SUM(P17:R17)</f>
        <v>3.7</v>
      </c>
      <c r="T17" s="52"/>
      <c r="U17" s="51" t="n">
        <v>0</v>
      </c>
      <c r="V17" s="51" t="n">
        <v>29.9</v>
      </c>
      <c r="W17" s="52" t="n">
        <f aca="false">W16-V17</f>
        <v>12005.67</v>
      </c>
      <c r="X17" s="6" t="n">
        <f aca="false">N17+O17+S17+U17+V17</f>
        <v>33.6</v>
      </c>
      <c r="Y17" s="51" t="n">
        <f aca="false">IF(L17&lt;0,L17*-1,0)</f>
        <v>0.0461053692966935</v>
      </c>
      <c r="Z17" s="51" t="n">
        <f aca="false">X17+Y17</f>
        <v>33.6461053692967</v>
      </c>
      <c r="AA17" s="53" t="n">
        <v>0</v>
      </c>
      <c r="AB17" s="56" t="n">
        <v>43</v>
      </c>
      <c r="AC17" s="56" t="n">
        <v>29</v>
      </c>
      <c r="AD17" s="57" t="n">
        <f aca="false">AD16+1</f>
        <v>8</v>
      </c>
      <c r="AE17" s="85"/>
      <c r="AF17" s="87"/>
      <c r="AG17" s="86"/>
    </row>
    <row r="18" customFormat="false" ht="11.1" hidden="false" customHeight="true" outlineLevel="0" collapsed="false">
      <c r="A18" s="57" t="n">
        <f aca="false">A17+1</f>
        <v>9</v>
      </c>
      <c r="B18" s="71" t="n">
        <v>6904.04</v>
      </c>
      <c r="C18" s="52" t="n">
        <v>298724</v>
      </c>
      <c r="D18" s="56" t="n">
        <f aca="false">C18-C17</f>
        <v>39</v>
      </c>
      <c r="E18" s="52" t="n">
        <f aca="false">C18-152000</f>
        <v>146724</v>
      </c>
      <c r="F18" s="51" t="n">
        <f aca="false">D18/$D$2</f>
        <v>19.66221325939</v>
      </c>
      <c r="G18" s="51" t="n">
        <v>53.6</v>
      </c>
      <c r="H18" s="53" t="n">
        <v>0</v>
      </c>
      <c r="I18" s="51" t="n">
        <f aca="false">G18+H18</f>
        <v>53.6</v>
      </c>
      <c r="J18" s="78" t="n">
        <f aca="false">IF(L18&gt;0,L18,0)</f>
        <v>0.0622132593899671</v>
      </c>
      <c r="K18" s="51" t="n">
        <f aca="false">I18+J18</f>
        <v>53.66221325939</v>
      </c>
      <c r="L18" s="51" t="n">
        <f aca="false">F18-(I18-X18)</f>
        <v>0.0622132593899671</v>
      </c>
      <c r="M18" s="51" t="n">
        <v>3.7</v>
      </c>
      <c r="N18" s="51" t="n">
        <v>0</v>
      </c>
      <c r="O18" s="51" t="n">
        <v>0</v>
      </c>
      <c r="P18" s="6" t="n">
        <f aca="false">M18-(N18+O18)</f>
        <v>3.7</v>
      </c>
      <c r="Q18" s="51" t="n">
        <v>0</v>
      </c>
      <c r="R18" s="51" t="n">
        <v>0</v>
      </c>
      <c r="S18" s="51" t="n">
        <f aca="false">SUM(P18:R18)</f>
        <v>3.7</v>
      </c>
      <c r="T18" s="52"/>
      <c r="U18" s="51" t="n">
        <v>0</v>
      </c>
      <c r="V18" s="51" t="n">
        <v>30.3</v>
      </c>
      <c r="W18" s="52" t="n">
        <f aca="false">W17-V18</f>
        <v>11975.37</v>
      </c>
      <c r="X18" s="6" t="n">
        <f aca="false">N18+O18+S18+U18+V18</f>
        <v>34</v>
      </c>
      <c r="Y18" s="51" t="n">
        <f aca="false">IF(L18&lt;0,L18*-1,0)</f>
        <v>0</v>
      </c>
      <c r="Z18" s="51" t="n">
        <f aca="false">X18+Y18</f>
        <v>34</v>
      </c>
      <c r="AA18" s="53" t="n">
        <v>0</v>
      </c>
      <c r="AB18" s="79" t="n">
        <v>41</v>
      </c>
      <c r="AC18" s="56" t="n">
        <v>25</v>
      </c>
      <c r="AD18" s="57" t="n">
        <f aca="false">AD17+1</f>
        <v>9</v>
      </c>
      <c r="AE18" s="85"/>
      <c r="AF18" s="87"/>
      <c r="AG18" s="86"/>
    </row>
    <row r="19" customFormat="false" ht="11.1" hidden="false" customHeight="true" outlineLevel="0" collapsed="false">
      <c r="A19" s="57" t="n">
        <f aca="false">A18+1</f>
        <v>10</v>
      </c>
      <c r="B19" s="71" t="n">
        <v>6904.06</v>
      </c>
      <c r="C19" s="52" t="n">
        <v>298801</v>
      </c>
      <c r="D19" s="56" t="n">
        <f aca="false">C19-C18</f>
        <v>77</v>
      </c>
      <c r="E19" s="52" t="n">
        <f aca="false">C19-152000</f>
        <v>146801</v>
      </c>
      <c r="F19" s="51" t="n">
        <f aca="false">D19/$D$2</f>
        <v>38.8202672044366</v>
      </c>
      <c r="G19" s="51" t="n">
        <v>72.8</v>
      </c>
      <c r="H19" s="53" t="n">
        <v>0</v>
      </c>
      <c r="I19" s="51" t="n">
        <f aca="false">G19+H19</f>
        <v>72.8</v>
      </c>
      <c r="J19" s="78" t="n">
        <f aca="false">IF(L19&gt;0,L19,0)</f>
        <v>0.0202672044366068</v>
      </c>
      <c r="K19" s="51" t="n">
        <f aca="false">I19+J19</f>
        <v>72.8202672044366</v>
      </c>
      <c r="L19" s="51" t="n">
        <f aca="false">F19-(I19-X19)</f>
        <v>0.0202672044366068</v>
      </c>
      <c r="M19" s="51" t="n">
        <v>3.7</v>
      </c>
      <c r="N19" s="51" t="n">
        <v>0</v>
      </c>
      <c r="O19" s="51" t="n">
        <v>0</v>
      </c>
      <c r="P19" s="6" t="n">
        <f aca="false">M19-(N19+O19)</f>
        <v>3.7</v>
      </c>
      <c r="Q19" s="51" t="n">
        <v>0</v>
      </c>
      <c r="R19" s="51" t="n">
        <v>0</v>
      </c>
      <c r="S19" s="51" t="n">
        <f aca="false">SUM(P19:R19)</f>
        <v>3.7</v>
      </c>
      <c r="T19" s="52"/>
      <c r="U19" s="51" t="n">
        <v>0</v>
      </c>
      <c r="V19" s="51" t="n">
        <v>30.3</v>
      </c>
      <c r="W19" s="52" t="n">
        <f aca="false">W18-V19</f>
        <v>11945.07</v>
      </c>
      <c r="X19" s="6" t="n">
        <f aca="false">N19+O19+S19+U19+V19</f>
        <v>34</v>
      </c>
      <c r="Y19" s="51" t="n">
        <f aca="false">IF(L19&lt;0,L19*-1,0)</f>
        <v>0</v>
      </c>
      <c r="Z19" s="51" t="n">
        <f aca="false">X19+Y19</f>
        <v>34</v>
      </c>
      <c r="AA19" s="53" t="n">
        <v>0.3</v>
      </c>
      <c r="AB19" s="56" t="n">
        <v>40</v>
      </c>
      <c r="AC19" s="56" t="n">
        <v>23</v>
      </c>
      <c r="AD19" s="57" t="n">
        <f aca="false">AD18+1</f>
        <v>10</v>
      </c>
      <c r="AE19" s="85"/>
      <c r="AF19" s="87"/>
      <c r="AG19" s="86"/>
    </row>
    <row r="20" customFormat="false" ht="11.1" hidden="false" customHeight="true" outlineLevel="0" collapsed="false">
      <c r="A20" s="57" t="n">
        <f aca="false">A19+1</f>
        <v>11</v>
      </c>
      <c r="B20" s="71" t="n">
        <v>6904.11</v>
      </c>
      <c r="C20" s="52" t="n">
        <v>298991</v>
      </c>
      <c r="D20" s="56" t="n">
        <f aca="false">C20-C19</f>
        <v>190</v>
      </c>
      <c r="E20" s="52" t="n">
        <f aca="false">C20-152000</f>
        <v>146991</v>
      </c>
      <c r="F20" s="51" t="n">
        <f aca="false">D20/$D$2</f>
        <v>95.7902697252332</v>
      </c>
      <c r="G20" s="51" t="n">
        <v>130</v>
      </c>
      <c r="H20" s="53" t="n">
        <v>0</v>
      </c>
      <c r="I20" s="51" t="n">
        <f aca="false">G20+H20</f>
        <v>130</v>
      </c>
      <c r="J20" s="78" t="n">
        <f aca="false">IF(L20&gt;0,L20,0)</f>
        <v>0</v>
      </c>
      <c r="K20" s="51" t="n">
        <f aca="false">I20+J20</f>
        <v>130</v>
      </c>
      <c r="L20" s="51" t="n">
        <f aca="false">F20-(I20-X20)</f>
        <v>-0.00973027476682375</v>
      </c>
      <c r="M20" s="51" t="n">
        <v>3.7</v>
      </c>
      <c r="N20" s="51" t="n">
        <v>0</v>
      </c>
      <c r="O20" s="51" t="n">
        <v>0</v>
      </c>
      <c r="P20" s="6" t="n">
        <f aca="false">M20-(N20+O20)</f>
        <v>3.7</v>
      </c>
      <c r="Q20" s="51" t="n">
        <v>0</v>
      </c>
      <c r="R20" s="51" t="n">
        <v>0</v>
      </c>
      <c r="S20" s="51" t="n">
        <f aca="false">SUM(P20:R20)</f>
        <v>3.7</v>
      </c>
      <c r="T20" s="52"/>
      <c r="U20" s="51" t="n">
        <v>0</v>
      </c>
      <c r="V20" s="51" t="n">
        <v>30.5</v>
      </c>
      <c r="W20" s="52" t="n">
        <f aca="false">W19-V20</f>
        <v>11914.57</v>
      </c>
      <c r="X20" s="6" t="n">
        <f aca="false">N20+O20+S20+U20+V20</f>
        <v>34.2</v>
      </c>
      <c r="Y20" s="51" t="n">
        <f aca="false">IF(L20&lt;0,L20*-1,0)</f>
        <v>0.00973027476682375</v>
      </c>
      <c r="Z20" s="51" t="n">
        <f aca="false">X20+Y20</f>
        <v>34.2097302747668</v>
      </c>
      <c r="AA20" s="53" t="n">
        <v>0.23</v>
      </c>
      <c r="AB20" s="56" t="n">
        <v>42</v>
      </c>
      <c r="AC20" s="56" t="n">
        <v>20</v>
      </c>
      <c r="AD20" s="57" t="n">
        <f aca="false">AD19+1</f>
        <v>11</v>
      </c>
      <c r="AE20" s="85"/>
      <c r="AF20" s="87"/>
      <c r="AG20" s="86"/>
    </row>
    <row r="21" customFormat="false" ht="11.1" hidden="false" customHeight="true" outlineLevel="0" collapsed="false">
      <c r="A21" s="57" t="n">
        <f aca="false">A20+1</f>
        <v>12</v>
      </c>
      <c r="B21" s="71" t="n">
        <v>6904.13</v>
      </c>
      <c r="C21" s="52" t="n">
        <v>299068</v>
      </c>
      <c r="D21" s="56" t="n">
        <f aca="false">C21-C20</f>
        <v>77</v>
      </c>
      <c r="E21" s="52" t="n">
        <f aca="false">C21-152000</f>
        <v>147068</v>
      </c>
      <c r="F21" s="51" t="n">
        <f aca="false">D21/$D$2</f>
        <v>38.8202672044366</v>
      </c>
      <c r="G21" s="51" t="n">
        <v>73.5</v>
      </c>
      <c r="H21" s="53" t="n">
        <v>0</v>
      </c>
      <c r="I21" s="51" t="n">
        <f aca="false">G21+H21</f>
        <v>73.5</v>
      </c>
      <c r="J21" s="78" t="n">
        <f aca="false">IF(L21&gt;0,L21,0)</f>
        <v>0</v>
      </c>
      <c r="K21" s="51" t="n">
        <f aca="false">I21+J21</f>
        <v>73.5</v>
      </c>
      <c r="L21" s="51" t="n">
        <f aca="false">F21-(I21-X21)</f>
        <v>-0.0397327955633955</v>
      </c>
      <c r="M21" s="51" t="n">
        <v>4.14</v>
      </c>
      <c r="N21" s="51" t="n">
        <v>0</v>
      </c>
      <c r="O21" s="51" t="n">
        <v>0</v>
      </c>
      <c r="P21" s="6" t="n">
        <f aca="false">M21-(N21+O21)</f>
        <v>4.14</v>
      </c>
      <c r="Q21" s="51" t="n">
        <v>0</v>
      </c>
      <c r="R21" s="51" t="n">
        <v>0</v>
      </c>
      <c r="S21" s="51" t="n">
        <f aca="false">SUM(P21:R21)</f>
        <v>4.14</v>
      </c>
      <c r="T21" s="52"/>
      <c r="U21" s="51" t="n">
        <v>0</v>
      </c>
      <c r="V21" s="51" t="n">
        <v>30.5</v>
      </c>
      <c r="W21" s="52" t="n">
        <f aca="false">W20-V21</f>
        <v>11884.07</v>
      </c>
      <c r="X21" s="6" t="n">
        <f aca="false">N21+O21+S21+U21+V21</f>
        <v>34.64</v>
      </c>
      <c r="Y21" s="51" t="n">
        <f aca="false">IF(L21&lt;0,L21*-1,0)</f>
        <v>0.0397327955633955</v>
      </c>
      <c r="Z21" s="51" t="n">
        <f aca="false">X21+Y21</f>
        <v>34.6797327955634</v>
      </c>
      <c r="AA21" s="53" t="n">
        <v>0.01</v>
      </c>
      <c r="AB21" s="56" t="n">
        <v>42</v>
      </c>
      <c r="AC21" s="56" t="n">
        <v>29</v>
      </c>
      <c r="AD21" s="57" t="n">
        <f aca="false">AD20+1</f>
        <v>12</v>
      </c>
      <c r="AE21" s="85"/>
      <c r="AF21" s="87"/>
      <c r="AG21" s="86"/>
    </row>
    <row r="22" customFormat="false" ht="11.1" hidden="false" customHeight="true" outlineLevel="0" collapsed="false">
      <c r="A22" s="57" t="n">
        <f aca="false">A21+1</f>
        <v>13</v>
      </c>
      <c r="B22" s="71" t="n">
        <v>6904.16</v>
      </c>
      <c r="C22" s="52" t="n">
        <v>299184</v>
      </c>
      <c r="D22" s="56" t="n">
        <f aca="false">C22-C21</f>
        <v>116</v>
      </c>
      <c r="E22" s="52" t="n">
        <f aca="false">C22-152000</f>
        <v>147184</v>
      </c>
      <c r="F22" s="51" t="n">
        <f aca="false">D22/$D$2</f>
        <v>58.4824804638266</v>
      </c>
      <c r="G22" s="51" t="n">
        <v>93.7</v>
      </c>
      <c r="H22" s="53" t="n">
        <v>0</v>
      </c>
      <c r="I22" s="51" t="n">
        <f aca="false">G22+H22</f>
        <v>93.7</v>
      </c>
      <c r="J22" s="78" t="n">
        <f aca="false">IF(L22&gt;0,L22,0)</f>
        <v>0</v>
      </c>
      <c r="K22" s="51" t="n">
        <f aca="false">I22+J22</f>
        <v>93.7</v>
      </c>
      <c r="L22" s="51" t="n">
        <f aca="false">F22-(I22-X22)</f>
        <v>-0.0175195361734311</v>
      </c>
      <c r="M22" s="51" t="n">
        <v>4.7</v>
      </c>
      <c r="N22" s="51" t="n">
        <v>0</v>
      </c>
      <c r="O22" s="51" t="n">
        <v>0</v>
      </c>
      <c r="P22" s="6" t="n">
        <f aca="false">M22-(N22+O22)</f>
        <v>4.7</v>
      </c>
      <c r="Q22" s="51" t="n">
        <v>0</v>
      </c>
      <c r="R22" s="51" t="n">
        <v>0</v>
      </c>
      <c r="S22" s="51" t="n">
        <f aca="false">SUM(P22:R22)</f>
        <v>4.7</v>
      </c>
      <c r="T22" s="52"/>
      <c r="U22" s="51" t="n">
        <v>0</v>
      </c>
      <c r="V22" s="51" t="n">
        <v>30.5</v>
      </c>
      <c r="W22" s="52" t="n">
        <f aca="false">W21-V22</f>
        <v>11853.57</v>
      </c>
      <c r="X22" s="6" t="n">
        <f aca="false">N22+O22+S22+U22+V22</f>
        <v>35.2</v>
      </c>
      <c r="Y22" s="51" t="n">
        <f aca="false">IF(L22&lt;0,L22*-1,0)</f>
        <v>0.0175195361734311</v>
      </c>
      <c r="Z22" s="51" t="n">
        <f aca="false">X22+Y22</f>
        <v>35.2175195361734</v>
      </c>
      <c r="AA22" s="53" t="n">
        <v>0</v>
      </c>
      <c r="AB22" s="56" t="n">
        <v>40</v>
      </c>
      <c r="AC22" s="56" t="n">
        <v>30</v>
      </c>
      <c r="AD22" s="57" t="n">
        <f aca="false">AD21+1</f>
        <v>13</v>
      </c>
      <c r="AE22" s="85"/>
      <c r="AF22" s="87"/>
      <c r="AG22" s="86"/>
    </row>
    <row r="23" customFormat="false" ht="11.1" hidden="false" customHeight="true" outlineLevel="0" collapsed="false">
      <c r="A23" s="57" t="n">
        <f aca="false">A22+1</f>
        <v>14</v>
      </c>
      <c r="B23" s="71" t="n">
        <v>6904.2</v>
      </c>
      <c r="C23" s="52" t="n">
        <v>299337</v>
      </c>
      <c r="D23" s="56" t="n">
        <f aca="false">C23-C22</f>
        <v>153</v>
      </c>
      <c r="E23" s="52" t="n">
        <f aca="false">C23-152000</f>
        <v>147337</v>
      </c>
      <c r="F23" s="51" t="n">
        <f aca="false">D23/$D$2</f>
        <v>77.1363750945299</v>
      </c>
      <c r="G23" s="51" t="n">
        <v>113.9</v>
      </c>
      <c r="H23" s="53" t="n">
        <v>0</v>
      </c>
      <c r="I23" s="51" t="n">
        <f aca="false">G23+H23</f>
        <v>113.9</v>
      </c>
      <c r="J23" s="78" t="n">
        <f aca="false">IF(L23&gt;0,L23,0)</f>
        <v>0.0363750945298591</v>
      </c>
      <c r="K23" s="51" t="n">
        <f aca="false">I23+J23</f>
        <v>113.93637509453</v>
      </c>
      <c r="L23" s="51" t="n">
        <f aca="false">F23-(I23-X23)</f>
        <v>0.0363750945298591</v>
      </c>
      <c r="M23" s="51" t="n">
        <v>6.3</v>
      </c>
      <c r="N23" s="51" t="n">
        <v>0</v>
      </c>
      <c r="O23" s="51" t="n">
        <v>0</v>
      </c>
      <c r="P23" s="6" t="n">
        <f aca="false">M23-(N23+O23)</f>
        <v>6.3</v>
      </c>
      <c r="Q23" s="51" t="n">
        <v>0</v>
      </c>
      <c r="R23" s="51" t="n">
        <v>0</v>
      </c>
      <c r="S23" s="51" t="n">
        <f aca="false">SUM(P23:R23)</f>
        <v>6.3</v>
      </c>
      <c r="T23" s="52"/>
      <c r="U23" s="51" t="n">
        <v>0</v>
      </c>
      <c r="V23" s="51" t="n">
        <v>30.5</v>
      </c>
      <c r="W23" s="52" t="n">
        <f aca="false">W22-V23</f>
        <v>11823.07</v>
      </c>
      <c r="X23" s="6" t="n">
        <f aca="false">N23+O23+S23+U23+V23</f>
        <v>36.8</v>
      </c>
      <c r="Y23" s="51" t="n">
        <f aca="false">IF(L23&lt;0,L23*-1,0)</f>
        <v>0</v>
      </c>
      <c r="Z23" s="51" t="n">
        <f aca="false">X23+Y23</f>
        <v>36.8</v>
      </c>
      <c r="AA23" s="53" t="n">
        <v>0.3</v>
      </c>
      <c r="AB23" s="79" t="n">
        <v>37</v>
      </c>
      <c r="AC23" s="56" t="n">
        <v>28</v>
      </c>
      <c r="AD23" s="57" t="n">
        <f aca="false">AD22+1</f>
        <v>14</v>
      </c>
      <c r="AE23" s="85"/>
      <c r="AF23" s="87"/>
      <c r="AG23" s="86"/>
    </row>
    <row r="24" customFormat="false" ht="11.1" hidden="false" customHeight="true" outlineLevel="0" collapsed="false">
      <c r="A24" s="57" t="n">
        <f aca="false">A23+1</f>
        <v>15</v>
      </c>
      <c r="B24" s="71" t="n">
        <v>6904.24</v>
      </c>
      <c r="C24" s="52" t="n">
        <v>299490</v>
      </c>
      <c r="D24" s="56" t="n">
        <f aca="false">C24-C23</f>
        <v>153</v>
      </c>
      <c r="E24" s="52" t="n">
        <f aca="false">C24-152000</f>
        <v>147490</v>
      </c>
      <c r="F24" s="51" t="n">
        <f aca="false">D24/$D$2</f>
        <v>77.1363750945299</v>
      </c>
      <c r="G24" s="51" t="n">
        <v>113.2</v>
      </c>
      <c r="H24" s="53" t="n">
        <v>0</v>
      </c>
      <c r="I24" s="51" t="n">
        <f aca="false">G24+H24</f>
        <v>113.2</v>
      </c>
      <c r="J24" s="78" t="n">
        <f aca="false">IF(L24&gt;0,L24,0)</f>
        <v>0.0363750945298733</v>
      </c>
      <c r="K24" s="51" t="n">
        <f aca="false">I24+J24</f>
        <v>113.23637509453</v>
      </c>
      <c r="L24" s="51" t="n">
        <f aca="false">F24-(I24-X24)</f>
        <v>0.0363750945298733</v>
      </c>
      <c r="M24" s="51" t="n">
        <v>5.6</v>
      </c>
      <c r="N24" s="51" t="n">
        <v>0</v>
      </c>
      <c r="O24" s="51" t="n">
        <v>0</v>
      </c>
      <c r="P24" s="6" t="n">
        <f aca="false">M24-(N24+O24)</f>
        <v>5.6</v>
      </c>
      <c r="Q24" s="51" t="n">
        <v>0</v>
      </c>
      <c r="R24" s="51" t="n">
        <v>0</v>
      </c>
      <c r="S24" s="51" t="n">
        <f aca="false">SUM(P24:R24)</f>
        <v>5.6</v>
      </c>
      <c r="T24" s="52"/>
      <c r="U24" s="51" t="n">
        <v>0</v>
      </c>
      <c r="V24" s="51" t="n">
        <v>30.5</v>
      </c>
      <c r="W24" s="52" t="n">
        <f aca="false">W23-V24</f>
        <v>11792.57</v>
      </c>
      <c r="X24" s="6" t="n">
        <f aca="false">N24+O24+S24+U24+V24</f>
        <v>36.1</v>
      </c>
      <c r="Y24" s="51" t="n">
        <f aca="false">IF(L24&lt;0,L24*-1,0)</f>
        <v>0</v>
      </c>
      <c r="Z24" s="51" t="n">
        <f aca="false">X24+Y24</f>
        <v>36.1</v>
      </c>
      <c r="AA24" s="53" t="n">
        <v>0</v>
      </c>
      <c r="AB24" s="79" t="n">
        <v>38</v>
      </c>
      <c r="AC24" s="56" t="n">
        <v>29</v>
      </c>
      <c r="AD24" s="57" t="n">
        <f aca="false">AD23+1</f>
        <v>15</v>
      </c>
      <c r="AE24" s="85"/>
      <c r="AF24" s="87"/>
      <c r="AG24" s="86"/>
    </row>
    <row r="25" customFormat="false" ht="11.1" hidden="false" customHeight="true" outlineLevel="0" collapsed="false">
      <c r="A25" s="57" t="n">
        <f aca="false">A24+1</f>
        <v>16</v>
      </c>
      <c r="B25" s="71" t="n">
        <v>6904.29</v>
      </c>
      <c r="C25" s="52" t="n">
        <v>299680</v>
      </c>
      <c r="D25" s="56" t="n">
        <f aca="false">C25-C24</f>
        <v>190</v>
      </c>
      <c r="E25" s="52" t="n">
        <f aca="false">C25-152000</f>
        <v>147680</v>
      </c>
      <c r="F25" s="51" t="n">
        <f aca="false">D25/$D$2</f>
        <v>95.7902697252332</v>
      </c>
      <c r="G25" s="51" t="n">
        <v>131.1</v>
      </c>
      <c r="H25" s="53" t="n">
        <v>0</v>
      </c>
      <c r="I25" s="51" t="n">
        <f aca="false">G25+H25</f>
        <v>131.1</v>
      </c>
      <c r="J25" s="78" t="n">
        <f aca="false">IF(L25&gt;0,L25,0)</f>
        <v>0</v>
      </c>
      <c r="K25" s="51" t="n">
        <f aca="false">I25+J25</f>
        <v>131.1</v>
      </c>
      <c r="L25" s="51" t="n">
        <f aca="false">F25-(I25-X25)</f>
        <v>-0.00973027476682375</v>
      </c>
      <c r="M25" s="51" t="n">
        <v>4.8</v>
      </c>
      <c r="N25" s="51" t="n">
        <v>0</v>
      </c>
      <c r="O25" s="51" t="n">
        <v>0</v>
      </c>
      <c r="P25" s="6" t="n">
        <f aca="false">M25-(N25+O25)</f>
        <v>4.8</v>
      </c>
      <c r="Q25" s="51" t="n">
        <v>0</v>
      </c>
      <c r="R25" s="51" t="n">
        <v>0</v>
      </c>
      <c r="S25" s="51" t="n">
        <f aca="false">SUM(P25:R25)</f>
        <v>4.8</v>
      </c>
      <c r="T25" s="52"/>
      <c r="U25" s="51" t="n">
        <v>0</v>
      </c>
      <c r="V25" s="51" t="n">
        <v>30.5</v>
      </c>
      <c r="W25" s="52" t="n">
        <f aca="false">W24-V25</f>
        <v>11762.07</v>
      </c>
      <c r="X25" s="6" t="n">
        <f aca="false">N25+O25+S25+U25+V25</f>
        <v>35.3</v>
      </c>
      <c r="Y25" s="51" t="n">
        <f aca="false">IF(L25&lt;0,L25*-1,0)</f>
        <v>0.00973027476682375</v>
      </c>
      <c r="Z25" s="51" t="n">
        <f aca="false">X25+Y25</f>
        <v>35.3097302747668</v>
      </c>
      <c r="AA25" s="53" t="n">
        <v>0.8</v>
      </c>
      <c r="AB25" s="79" t="n">
        <v>32</v>
      </c>
      <c r="AC25" s="56" t="n">
        <v>27</v>
      </c>
      <c r="AD25" s="57" t="n">
        <f aca="false">AD24+1</f>
        <v>16</v>
      </c>
      <c r="AE25" s="85"/>
      <c r="AF25" s="87"/>
      <c r="AG25" s="86"/>
    </row>
    <row r="26" customFormat="false" ht="11.1" hidden="false" customHeight="true" outlineLevel="0" collapsed="false">
      <c r="A26" s="57" t="n">
        <f aca="false">A25+1</f>
        <v>17</v>
      </c>
      <c r="B26" s="71" t="n">
        <v>6904.31</v>
      </c>
      <c r="C26" s="52" t="n">
        <v>299757</v>
      </c>
      <c r="D26" s="56" t="n">
        <f aca="false">C26-C25</f>
        <v>77</v>
      </c>
      <c r="E26" s="52" t="n">
        <f aca="false">C26-152000</f>
        <v>147757</v>
      </c>
      <c r="F26" s="51" t="n">
        <f aca="false">D26/$D$2</f>
        <v>38.8202672044366</v>
      </c>
      <c r="G26" s="51" t="n">
        <v>74.1</v>
      </c>
      <c r="H26" s="53" t="n">
        <v>0</v>
      </c>
      <c r="I26" s="51" t="n">
        <f aca="false">G26+H26</f>
        <v>74.1</v>
      </c>
      <c r="J26" s="78" t="n">
        <f aca="false">IF(L26&gt;0,L26,0)</f>
        <v>0.0202672044366068</v>
      </c>
      <c r="K26" s="51" t="n">
        <f aca="false">I26+J26</f>
        <v>74.1202672044366</v>
      </c>
      <c r="L26" s="51" t="n">
        <f aca="false">F26-(I26-X26)</f>
        <v>0.0202672044366068</v>
      </c>
      <c r="M26" s="51" t="n">
        <v>4.8</v>
      </c>
      <c r="N26" s="51" t="n">
        <v>0</v>
      </c>
      <c r="O26" s="51" t="n">
        <v>0</v>
      </c>
      <c r="P26" s="6" t="n">
        <f aca="false">M26-(N26+O26)</f>
        <v>4.8</v>
      </c>
      <c r="Q26" s="51" t="n">
        <v>0</v>
      </c>
      <c r="R26" s="51" t="n">
        <v>0</v>
      </c>
      <c r="S26" s="51" t="n">
        <f aca="false">SUM(P26:R26)</f>
        <v>4.8</v>
      </c>
      <c r="T26" s="52"/>
      <c r="U26" s="51" t="n">
        <v>0</v>
      </c>
      <c r="V26" s="51" t="n">
        <v>30.5</v>
      </c>
      <c r="W26" s="52" t="n">
        <f aca="false">W25-V26</f>
        <v>11731.57</v>
      </c>
      <c r="X26" s="6" t="n">
        <f aca="false">N26+O26+S26+U26+V26</f>
        <v>35.3</v>
      </c>
      <c r="Y26" s="51" t="n">
        <f aca="false">IF(L26&lt;0,L26*-1,0)</f>
        <v>0</v>
      </c>
      <c r="Z26" s="51" t="n">
        <f aca="false">X26+Y26</f>
        <v>35.3</v>
      </c>
      <c r="AA26" s="53" t="n">
        <v>0</v>
      </c>
      <c r="AB26" s="79" t="n">
        <v>31</v>
      </c>
      <c r="AC26" s="56" t="n">
        <v>6</v>
      </c>
      <c r="AD26" s="57" t="n">
        <f aca="false">AD25+1</f>
        <v>17</v>
      </c>
      <c r="AE26" s="85"/>
      <c r="AF26" s="87"/>
      <c r="AG26" s="86"/>
    </row>
    <row r="27" customFormat="false" ht="11.1" hidden="false" customHeight="true" outlineLevel="0" collapsed="false">
      <c r="A27" s="57" t="n">
        <f aca="false">A26+1</f>
        <v>18</v>
      </c>
      <c r="B27" s="71" t="n">
        <v>6904.32</v>
      </c>
      <c r="C27" s="52" t="n">
        <v>299794</v>
      </c>
      <c r="D27" s="56" t="n">
        <f aca="false">C27-C26</f>
        <v>37</v>
      </c>
      <c r="E27" s="52" t="n">
        <f aca="false">C27-152000</f>
        <v>147794</v>
      </c>
      <c r="F27" s="51" t="n">
        <f aca="false">D27/$D$2</f>
        <v>18.6538946307033</v>
      </c>
      <c r="G27" s="51" t="n">
        <v>53.9</v>
      </c>
      <c r="H27" s="53" t="n">
        <v>0</v>
      </c>
      <c r="I27" s="51" t="n">
        <f aca="false">G27+H27</f>
        <v>53.9</v>
      </c>
      <c r="J27" s="78" t="n">
        <f aca="false">IF(L27&gt;0,L27,0)</f>
        <v>0.0538946307033008</v>
      </c>
      <c r="K27" s="51" t="n">
        <f aca="false">I27+J27</f>
        <v>53.9538946307033</v>
      </c>
      <c r="L27" s="51" t="n">
        <f aca="false">F27-(I27-X27)</f>
        <v>0.0538946307033008</v>
      </c>
      <c r="M27" s="51" t="n">
        <v>4.8</v>
      </c>
      <c r="N27" s="51" t="n">
        <v>0</v>
      </c>
      <c r="O27" s="51" t="n">
        <v>0</v>
      </c>
      <c r="P27" s="6" t="n">
        <f aca="false">M27-(N27+O27)</f>
        <v>4.8</v>
      </c>
      <c r="Q27" s="51" t="n">
        <v>0</v>
      </c>
      <c r="R27" s="51" t="n">
        <v>0</v>
      </c>
      <c r="S27" s="51" t="n">
        <f aca="false">SUM(P27:R27)</f>
        <v>4.8</v>
      </c>
      <c r="T27" s="52"/>
      <c r="U27" s="51" t="n">
        <v>0</v>
      </c>
      <c r="V27" s="51" t="n">
        <v>30.5</v>
      </c>
      <c r="W27" s="52" t="n">
        <f aca="false">W26-V27</f>
        <v>11701.07</v>
      </c>
      <c r="X27" s="6" t="n">
        <f aca="false">N27+O27+S27+U27+V27</f>
        <v>35.3</v>
      </c>
      <c r="Y27" s="51" t="n">
        <f aca="false">IF(L27&lt;0,L27*-1,0)</f>
        <v>0</v>
      </c>
      <c r="Z27" s="51" t="n">
        <f aca="false">X27+Y27</f>
        <v>35.3</v>
      </c>
      <c r="AA27" s="90" t="n">
        <v>0</v>
      </c>
      <c r="AB27" s="79" t="n">
        <v>35</v>
      </c>
      <c r="AC27" s="56" t="n">
        <v>4</v>
      </c>
      <c r="AD27" s="57" t="n">
        <f aca="false">AD26+1</f>
        <v>18</v>
      </c>
      <c r="AE27" s="85"/>
      <c r="AF27" s="87"/>
      <c r="AG27" s="86"/>
    </row>
    <row r="28" customFormat="false" ht="11.1" hidden="false" customHeight="true" outlineLevel="0" collapsed="false">
      <c r="A28" s="57" t="n">
        <f aca="false">A27+1</f>
        <v>19</v>
      </c>
      <c r="B28" s="71" t="n">
        <v>6904.33</v>
      </c>
      <c r="C28" s="91" t="n">
        <v>299834</v>
      </c>
      <c r="D28" s="56" t="n">
        <f aca="false">C28-C27</f>
        <v>40</v>
      </c>
      <c r="E28" s="52" t="n">
        <f aca="false">C28-152000</f>
        <v>147834</v>
      </c>
      <c r="F28" s="51" t="n">
        <f aca="false">D28/$D$2</f>
        <v>20.1663725737333</v>
      </c>
      <c r="G28" s="51" t="n">
        <v>55.4</v>
      </c>
      <c r="H28" s="53" t="n">
        <v>0</v>
      </c>
      <c r="I28" s="51" t="n">
        <f aca="false">G28+H28</f>
        <v>55.4</v>
      </c>
      <c r="J28" s="78" t="n">
        <f aca="false">IF(L28&gt;0,L28,0)</f>
        <v>0.0663725737332968</v>
      </c>
      <c r="K28" s="51" t="n">
        <f aca="false">I28+J28</f>
        <v>55.4663725737333</v>
      </c>
      <c r="L28" s="51" t="n">
        <f aca="false">F28-(I28-X28)</f>
        <v>0.0663725737332968</v>
      </c>
      <c r="M28" s="51" t="n">
        <v>4.8</v>
      </c>
      <c r="N28" s="51" t="n">
        <v>0</v>
      </c>
      <c r="O28" s="51" t="n">
        <v>0</v>
      </c>
      <c r="P28" s="6" t="n">
        <f aca="false">M28-(N28+O28)</f>
        <v>4.8</v>
      </c>
      <c r="Q28" s="51" t="n">
        <v>0</v>
      </c>
      <c r="R28" s="51" t="n">
        <v>0</v>
      </c>
      <c r="S28" s="51" t="n">
        <f aca="false">SUM(P28:R28)</f>
        <v>4.8</v>
      </c>
      <c r="T28" s="52"/>
      <c r="U28" s="51" t="n">
        <v>0</v>
      </c>
      <c r="V28" s="51" t="n">
        <v>30.5</v>
      </c>
      <c r="W28" s="52" t="n">
        <f aca="false">W27-V28</f>
        <v>11670.57</v>
      </c>
      <c r="X28" s="6" t="n">
        <f aca="false">N28+O28+S28+U28+V28</f>
        <v>35.3</v>
      </c>
      <c r="Y28" s="51" t="n">
        <f aca="false">IF(L28&lt;0,L28*-1,0)</f>
        <v>0</v>
      </c>
      <c r="Z28" s="51" t="n">
        <f aca="false">X28+Y28</f>
        <v>35.3</v>
      </c>
      <c r="AA28" s="53" t="n">
        <v>0</v>
      </c>
      <c r="AB28" s="79" t="n">
        <v>40</v>
      </c>
      <c r="AC28" s="56" t="n">
        <v>6</v>
      </c>
      <c r="AD28" s="57" t="n">
        <f aca="false">AD27+1</f>
        <v>19</v>
      </c>
      <c r="AE28" s="85"/>
      <c r="AF28" s="87"/>
      <c r="AG28" s="86"/>
    </row>
    <row r="29" customFormat="false" ht="11.1" hidden="false" customHeight="true" outlineLevel="0" collapsed="false">
      <c r="A29" s="57" t="n">
        <f aca="false">A28+1</f>
        <v>20</v>
      </c>
      <c r="B29" s="71" t="n">
        <v>6904.34</v>
      </c>
      <c r="C29" s="52" t="n">
        <v>299871</v>
      </c>
      <c r="D29" s="56" t="n">
        <f aca="false">C29-C28</f>
        <v>37</v>
      </c>
      <c r="E29" s="52" t="n">
        <f aca="false">C29-152000</f>
        <v>147871</v>
      </c>
      <c r="F29" s="51" t="n">
        <f aca="false">D29/$D$2</f>
        <v>18.6538946307033</v>
      </c>
      <c r="G29" s="51" t="n">
        <v>53.9</v>
      </c>
      <c r="H29" s="53" t="n">
        <v>0</v>
      </c>
      <c r="I29" s="51" t="n">
        <f aca="false">G29+H29</f>
        <v>53.9</v>
      </c>
      <c r="J29" s="78" t="n">
        <f aca="false">IF(L29&gt;0,L29,0)</f>
        <v>0.0538946307033008</v>
      </c>
      <c r="K29" s="51" t="n">
        <f aca="false">I29+J29</f>
        <v>53.9538946307033</v>
      </c>
      <c r="L29" s="51" t="n">
        <f aca="false">F29-(I29-X29)</f>
        <v>0.0538946307033008</v>
      </c>
      <c r="M29" s="51" t="n">
        <v>4.8</v>
      </c>
      <c r="N29" s="51" t="n">
        <v>0</v>
      </c>
      <c r="O29" s="51" t="n">
        <v>0</v>
      </c>
      <c r="P29" s="6" t="n">
        <f aca="false">M29-(N29+O29)</f>
        <v>4.8</v>
      </c>
      <c r="Q29" s="51" t="n">
        <v>0</v>
      </c>
      <c r="R29" s="51" t="n">
        <v>0</v>
      </c>
      <c r="S29" s="51" t="n">
        <f aca="false">SUM(P29:R29)</f>
        <v>4.8</v>
      </c>
      <c r="T29" s="52"/>
      <c r="U29" s="51" t="n">
        <v>0</v>
      </c>
      <c r="V29" s="51" t="n">
        <v>30.5</v>
      </c>
      <c r="W29" s="52" t="n">
        <f aca="false">W28-V29</f>
        <v>11640.07</v>
      </c>
      <c r="X29" s="6" t="n">
        <f aca="false">N29+O29+S29+U29+V29</f>
        <v>35.3</v>
      </c>
      <c r="Y29" s="51" t="n">
        <f aca="false">IF(L29&lt;0,L29*-1,0)</f>
        <v>0</v>
      </c>
      <c r="Z29" s="51" t="n">
        <f aca="false">X29+Y29</f>
        <v>35.3</v>
      </c>
      <c r="AA29" s="53" t="n">
        <v>0</v>
      </c>
      <c r="AB29" s="79" t="n">
        <v>44</v>
      </c>
      <c r="AC29" s="56" t="n">
        <v>8</v>
      </c>
      <c r="AD29" s="57" t="n">
        <f aca="false">AD28+1</f>
        <v>20</v>
      </c>
      <c r="AE29" s="85"/>
      <c r="AF29" s="87"/>
      <c r="AG29" s="86"/>
    </row>
    <row r="30" customFormat="false" ht="11.1" hidden="false" customHeight="true" outlineLevel="0" collapsed="false">
      <c r="A30" s="57" t="n">
        <f aca="false">A29+1</f>
        <v>21</v>
      </c>
      <c r="B30" s="71" t="n">
        <v>6904.36</v>
      </c>
      <c r="C30" s="52" t="n">
        <v>299948</v>
      </c>
      <c r="D30" s="56" t="n">
        <f aca="false">C30-C29</f>
        <v>77</v>
      </c>
      <c r="E30" s="52" t="n">
        <f aca="false">C30-152000</f>
        <v>147948</v>
      </c>
      <c r="F30" s="51" t="n">
        <f aca="false">D30/$D$2</f>
        <v>38.8202672044366</v>
      </c>
      <c r="G30" s="51" t="n">
        <v>74.1</v>
      </c>
      <c r="H30" s="53" t="n">
        <v>0</v>
      </c>
      <c r="I30" s="51" t="n">
        <f aca="false">G30+H30</f>
        <v>74.1</v>
      </c>
      <c r="J30" s="78" t="n">
        <f aca="false">IF(L30&gt;0,L30,0)</f>
        <v>0.0202672044366068</v>
      </c>
      <c r="K30" s="51" t="n">
        <f aca="false">I30+J30</f>
        <v>74.1202672044366</v>
      </c>
      <c r="L30" s="51" t="n">
        <f aca="false">F30-(I30-X30)</f>
        <v>0.0202672044366068</v>
      </c>
      <c r="M30" s="51" t="n">
        <v>4.8</v>
      </c>
      <c r="N30" s="51" t="n">
        <v>0</v>
      </c>
      <c r="O30" s="51" t="n">
        <v>0</v>
      </c>
      <c r="P30" s="6" t="n">
        <f aca="false">M30-(N30+O30)</f>
        <v>4.8</v>
      </c>
      <c r="Q30" s="51" t="n">
        <v>0</v>
      </c>
      <c r="R30" s="51" t="n">
        <v>0</v>
      </c>
      <c r="S30" s="51" t="n">
        <f aca="false">SUM(P30:R30)</f>
        <v>4.8</v>
      </c>
      <c r="T30" s="52"/>
      <c r="U30" s="51" t="n">
        <v>0</v>
      </c>
      <c r="V30" s="51" t="n">
        <v>30.5</v>
      </c>
      <c r="W30" s="52" t="n">
        <f aca="false">W29-V30</f>
        <v>11609.57</v>
      </c>
      <c r="X30" s="6" t="n">
        <f aca="false">N30+O30+S30+U30+V30</f>
        <v>35.3</v>
      </c>
      <c r="Y30" s="51" t="n">
        <f aca="false">IF(L30&lt;0,L30*-1,0)</f>
        <v>0</v>
      </c>
      <c r="Z30" s="51" t="n">
        <f aca="false">X30+Y30</f>
        <v>35.3</v>
      </c>
      <c r="AA30" s="53" t="n">
        <v>0</v>
      </c>
      <c r="AB30" s="56" t="n">
        <v>42</v>
      </c>
      <c r="AC30" s="56" t="n">
        <v>17</v>
      </c>
      <c r="AD30" s="57" t="n">
        <f aca="false">AD29+1</f>
        <v>21</v>
      </c>
      <c r="AE30" s="85"/>
      <c r="AF30" s="87"/>
      <c r="AG30" s="86"/>
    </row>
    <row r="31" customFormat="false" ht="11.1" hidden="false" customHeight="true" outlineLevel="0" collapsed="false">
      <c r="A31" s="57" t="n">
        <f aca="false">A30+1</f>
        <v>22</v>
      </c>
      <c r="B31" s="71" t="n">
        <v>6904.36</v>
      </c>
      <c r="C31" s="52" t="n">
        <v>299948</v>
      </c>
      <c r="D31" s="56" t="n">
        <f aca="false">C31-C30</f>
        <v>0</v>
      </c>
      <c r="E31" s="52" t="n">
        <f aca="false">C31-152000</f>
        <v>147948</v>
      </c>
      <c r="F31" s="51" t="n">
        <f aca="false">D31/$D$2</f>
        <v>0</v>
      </c>
      <c r="G31" s="51" t="n">
        <v>35.3</v>
      </c>
      <c r="H31" s="53" t="n">
        <v>0</v>
      </c>
      <c r="I31" s="51" t="n">
        <f aca="false">G31+H31</f>
        <v>35.3</v>
      </c>
      <c r="J31" s="78" t="n">
        <f aca="false">IF(L31&gt;0,L31,0)</f>
        <v>0</v>
      </c>
      <c r="K31" s="51" t="n">
        <f aca="false">I31+J31</f>
        <v>35.3</v>
      </c>
      <c r="L31" s="51" t="n">
        <f aca="false">F31-(I31-X31)</f>
        <v>0</v>
      </c>
      <c r="M31" s="51" t="n">
        <v>4.8</v>
      </c>
      <c r="N31" s="51" t="n">
        <v>0</v>
      </c>
      <c r="O31" s="51" t="n">
        <v>0</v>
      </c>
      <c r="P31" s="6" t="n">
        <f aca="false">M31-(N31+O31)</f>
        <v>4.8</v>
      </c>
      <c r="Q31" s="51" t="n">
        <v>0</v>
      </c>
      <c r="R31" s="51" t="n">
        <v>0</v>
      </c>
      <c r="S31" s="51" t="n">
        <f aca="false">SUM(P31:R31)</f>
        <v>4.8</v>
      </c>
      <c r="T31" s="52"/>
      <c r="U31" s="51" t="n">
        <v>0</v>
      </c>
      <c r="V31" s="51" t="n">
        <v>30.5</v>
      </c>
      <c r="W31" s="52" t="n">
        <f aca="false">W30-V31</f>
        <v>11579.07</v>
      </c>
      <c r="X31" s="6" t="n">
        <f aca="false">N31+O31+S31+U31+V31</f>
        <v>35.3</v>
      </c>
      <c r="Y31" s="51" t="n">
        <f aca="false">IF(L31&lt;0,L31*-1,0)</f>
        <v>0</v>
      </c>
      <c r="Z31" s="51" t="n">
        <f aca="false">X31+Y31</f>
        <v>35.3</v>
      </c>
      <c r="AA31" s="53" t="n">
        <v>0</v>
      </c>
      <c r="AB31" s="56" t="n">
        <v>43</v>
      </c>
      <c r="AC31" s="56" t="n">
        <v>19</v>
      </c>
      <c r="AD31" s="57" t="n">
        <f aca="false">AD30+1</f>
        <v>22</v>
      </c>
      <c r="AE31" s="85"/>
      <c r="AF31" s="87"/>
      <c r="AG31" s="86"/>
    </row>
    <row r="32" customFormat="false" ht="11.1" hidden="false" customHeight="true" outlineLevel="0" collapsed="false">
      <c r="A32" s="57" t="n">
        <f aca="false">A31+1</f>
        <v>23</v>
      </c>
      <c r="B32" s="71" t="n">
        <v>6904.36</v>
      </c>
      <c r="C32" s="52" t="n">
        <v>299948</v>
      </c>
      <c r="D32" s="56" t="n">
        <f aca="false">C32-C31</f>
        <v>0</v>
      </c>
      <c r="E32" s="52" t="n">
        <f aca="false">C32-152000</f>
        <v>147948</v>
      </c>
      <c r="F32" s="51" t="n">
        <f aca="false">D32/$D$2</f>
        <v>0</v>
      </c>
      <c r="G32" s="51" t="n">
        <v>35.4</v>
      </c>
      <c r="H32" s="53" t="n">
        <v>0</v>
      </c>
      <c r="I32" s="51" t="n">
        <f aca="false">G32+H32</f>
        <v>35.4</v>
      </c>
      <c r="J32" s="78" t="n">
        <f aca="false">IF(L32&gt;0,L32,0)</f>
        <v>0</v>
      </c>
      <c r="K32" s="51" t="n">
        <f aca="false">I32+J32</f>
        <v>35.4</v>
      </c>
      <c r="L32" s="51" t="n">
        <f aca="false">F32-(I32-X32)</f>
        <v>0</v>
      </c>
      <c r="M32" s="51" t="n">
        <v>4.8</v>
      </c>
      <c r="N32" s="51" t="n">
        <v>0</v>
      </c>
      <c r="O32" s="51" t="n">
        <v>0</v>
      </c>
      <c r="P32" s="6" t="n">
        <f aca="false">M32-(N32+O32)</f>
        <v>4.8</v>
      </c>
      <c r="Q32" s="51" t="n">
        <v>0</v>
      </c>
      <c r="R32" s="51" t="n">
        <v>0</v>
      </c>
      <c r="S32" s="51" t="n">
        <f aca="false">SUM(P32:R32)</f>
        <v>4.8</v>
      </c>
      <c r="T32" s="52"/>
      <c r="U32" s="51" t="n">
        <v>0</v>
      </c>
      <c r="V32" s="51" t="n">
        <v>30.6</v>
      </c>
      <c r="W32" s="52" t="n">
        <f aca="false">W31-V32</f>
        <v>11548.47</v>
      </c>
      <c r="X32" s="6" t="n">
        <f aca="false">N32+O32+S32+U32+V32</f>
        <v>35.4</v>
      </c>
      <c r="Y32" s="51" t="n">
        <f aca="false">IF(L32&lt;0,L32*-1,0)</f>
        <v>0</v>
      </c>
      <c r="Z32" s="51" t="n">
        <f aca="false">X32+Y32</f>
        <v>35.4</v>
      </c>
      <c r="AA32" s="53" t="n">
        <v>0</v>
      </c>
      <c r="AB32" s="56" t="n">
        <v>36</v>
      </c>
      <c r="AC32" s="79" t="n">
        <v>13</v>
      </c>
      <c r="AD32" s="57" t="n">
        <f aca="false">AD31+1</f>
        <v>23</v>
      </c>
      <c r="AE32" s="85"/>
      <c r="AF32" s="87"/>
      <c r="AG32" s="86"/>
    </row>
    <row r="33" customFormat="false" ht="11.1" hidden="false" customHeight="true" outlineLevel="0" collapsed="false">
      <c r="A33" s="57" t="n">
        <f aca="false">A32+1</f>
        <v>24</v>
      </c>
      <c r="B33" s="71" t="n">
        <v>6904.37</v>
      </c>
      <c r="C33" s="52" t="n">
        <v>299987</v>
      </c>
      <c r="D33" s="56" t="n">
        <f aca="false">C33-C32</f>
        <v>39</v>
      </c>
      <c r="E33" s="52" t="n">
        <f aca="false">C33-152000</f>
        <v>147987</v>
      </c>
      <c r="F33" s="51" t="n">
        <f aca="false">D33/$D$2</f>
        <v>19.66221325939</v>
      </c>
      <c r="G33" s="51" t="n">
        <v>54.9</v>
      </c>
      <c r="H33" s="53" t="n">
        <v>0</v>
      </c>
      <c r="I33" s="51" t="n">
        <f aca="false">G33+H33</f>
        <v>54.9</v>
      </c>
      <c r="J33" s="78" t="n">
        <f aca="false">IF(L33&gt;0,L33,0)</f>
        <v>0.0622132593899671</v>
      </c>
      <c r="K33" s="51" t="n">
        <f aca="false">I33+J33</f>
        <v>54.96221325939</v>
      </c>
      <c r="L33" s="51" t="n">
        <f aca="false">F33-(I33-X33)</f>
        <v>0.0622132593899671</v>
      </c>
      <c r="M33" s="51" t="n">
        <v>4.8</v>
      </c>
      <c r="N33" s="51" t="n">
        <v>0</v>
      </c>
      <c r="O33" s="51" t="n">
        <v>0</v>
      </c>
      <c r="P33" s="6" t="n">
        <f aca="false">M33-(N33+O33)</f>
        <v>4.8</v>
      </c>
      <c r="Q33" s="51" t="n">
        <v>0</v>
      </c>
      <c r="R33" s="51" t="n">
        <v>0</v>
      </c>
      <c r="S33" s="51" t="n">
        <f aca="false">SUM(P33:R33)</f>
        <v>4.8</v>
      </c>
      <c r="T33" s="52"/>
      <c r="U33" s="51" t="n">
        <v>0</v>
      </c>
      <c r="V33" s="51" t="n">
        <v>30.5</v>
      </c>
      <c r="W33" s="52" t="n">
        <f aca="false">W32-V33</f>
        <v>11517.97</v>
      </c>
      <c r="X33" s="6" t="n">
        <f aca="false">N33+O33+S33+U33+V33</f>
        <v>35.3</v>
      </c>
      <c r="Y33" s="51" t="n">
        <f aca="false">IF(L33&lt;0,L33*-1,0)</f>
        <v>0</v>
      </c>
      <c r="Z33" s="51" t="n">
        <f aca="false">X33+Y33</f>
        <v>35.3</v>
      </c>
      <c r="AA33" s="53" t="n">
        <v>0</v>
      </c>
      <c r="AB33" s="56" t="n">
        <v>44</v>
      </c>
      <c r="AC33" s="79" t="n">
        <v>23</v>
      </c>
      <c r="AD33" s="57" t="n">
        <f aca="false">AD32+1</f>
        <v>24</v>
      </c>
      <c r="AE33" s="85"/>
      <c r="AF33" s="87"/>
      <c r="AG33" s="86"/>
    </row>
    <row r="34" customFormat="false" ht="11.1" hidden="false" customHeight="true" outlineLevel="0" collapsed="false">
      <c r="A34" s="57" t="n">
        <f aca="false">A33+1</f>
        <v>25</v>
      </c>
      <c r="B34" s="71" t="n">
        <v>6904.38</v>
      </c>
      <c r="C34" s="52" t="n">
        <v>300024</v>
      </c>
      <c r="D34" s="56" t="n">
        <f aca="false">C34-C33</f>
        <v>37</v>
      </c>
      <c r="E34" s="52" t="n">
        <f aca="false">C34-152000</f>
        <v>148024</v>
      </c>
      <c r="F34" s="51" t="n">
        <f aca="false">D34/$D$2</f>
        <v>18.6538946307033</v>
      </c>
      <c r="G34" s="51" t="n">
        <v>53.1</v>
      </c>
      <c r="H34" s="53" t="n">
        <v>0</v>
      </c>
      <c r="I34" s="51" t="n">
        <f aca="false">G34+H34</f>
        <v>53.1</v>
      </c>
      <c r="J34" s="78" t="n">
        <f aca="false">IF(L34&gt;0,L34,0)</f>
        <v>0</v>
      </c>
      <c r="K34" s="51" t="n">
        <f aca="false">I34+J34</f>
        <v>53.1</v>
      </c>
      <c r="L34" s="51" t="n">
        <f aca="false">F34-(I34-X34)</f>
        <v>-0.0461053692967006</v>
      </c>
      <c r="M34" s="51" t="n">
        <v>3.9</v>
      </c>
      <c r="N34" s="51" t="n">
        <v>0</v>
      </c>
      <c r="O34" s="51" t="n">
        <v>0</v>
      </c>
      <c r="P34" s="6" t="n">
        <f aca="false">M34-(N34+O34)</f>
        <v>3.9</v>
      </c>
      <c r="Q34" s="51" t="n">
        <v>0</v>
      </c>
      <c r="R34" s="51" t="n">
        <v>0</v>
      </c>
      <c r="S34" s="51" t="n">
        <f aca="false">SUM(P34:R34)</f>
        <v>3.9</v>
      </c>
      <c r="T34" s="52"/>
      <c r="U34" s="51" t="n">
        <v>0</v>
      </c>
      <c r="V34" s="51" t="n">
        <v>30.5</v>
      </c>
      <c r="W34" s="52" t="n">
        <f aca="false">W33-V34</f>
        <v>11487.47</v>
      </c>
      <c r="X34" s="6" t="n">
        <f aca="false">N34+O34+S34+U34+V34</f>
        <v>34.4</v>
      </c>
      <c r="Y34" s="51" t="n">
        <f aca="false">IF(L34&lt;0,L34*-1,0)</f>
        <v>0.0461053692967006</v>
      </c>
      <c r="Z34" s="51" t="n">
        <f aca="false">X34+Y34</f>
        <v>34.4461053692967</v>
      </c>
      <c r="AA34" s="53" t="n">
        <v>0</v>
      </c>
      <c r="AB34" s="56" t="n">
        <v>46</v>
      </c>
      <c r="AC34" s="79" t="n">
        <v>19</v>
      </c>
      <c r="AD34" s="57" t="n">
        <f aca="false">AD33+1</f>
        <v>25</v>
      </c>
      <c r="AE34" s="85"/>
      <c r="AF34" s="87"/>
      <c r="AG34" s="86"/>
    </row>
    <row r="35" customFormat="false" ht="11.1" hidden="false" customHeight="true" outlineLevel="0" collapsed="false">
      <c r="A35" s="57" t="n">
        <f aca="false">A34+1</f>
        <v>26</v>
      </c>
      <c r="B35" s="71" t="n">
        <v>6904.39</v>
      </c>
      <c r="C35" s="52" t="n">
        <v>300063</v>
      </c>
      <c r="D35" s="56" t="n">
        <f aca="false">C35-C34</f>
        <v>39</v>
      </c>
      <c r="E35" s="52" t="n">
        <f aca="false">C35-152000</f>
        <v>148063</v>
      </c>
      <c r="F35" s="51" t="n">
        <f aca="false">D35/$D$2</f>
        <v>19.66221325939</v>
      </c>
      <c r="G35" s="51" t="n">
        <v>54.2</v>
      </c>
      <c r="H35" s="53" t="n">
        <v>0</v>
      </c>
      <c r="I35" s="51" t="n">
        <f aca="false">G35+H35</f>
        <v>54.2</v>
      </c>
      <c r="J35" s="78" t="n">
        <f aca="false">IF(L35&gt;0,L35,0)</f>
        <v>0</v>
      </c>
      <c r="K35" s="51" t="n">
        <f aca="false">I35+J35</f>
        <v>54.2</v>
      </c>
      <c r="L35" s="51" t="n">
        <f aca="false">F35-(I35-X35)</f>
        <v>-0.0377867406100343</v>
      </c>
      <c r="M35" s="51" t="n">
        <v>4</v>
      </c>
      <c r="N35" s="51" t="n">
        <v>0</v>
      </c>
      <c r="O35" s="51" t="n">
        <v>0</v>
      </c>
      <c r="P35" s="6" t="n">
        <f aca="false">M35-(N35+O35)</f>
        <v>4</v>
      </c>
      <c r="Q35" s="51" t="n">
        <v>0</v>
      </c>
      <c r="R35" s="51" t="n">
        <v>0</v>
      </c>
      <c r="S35" s="51" t="n">
        <f aca="false">SUM(P35:R35)</f>
        <v>4</v>
      </c>
      <c r="T35" s="52"/>
      <c r="U35" s="51" t="n">
        <v>0</v>
      </c>
      <c r="V35" s="51" t="n">
        <v>30.5</v>
      </c>
      <c r="W35" s="52" t="n">
        <f aca="false">W34-V35</f>
        <v>11456.97</v>
      </c>
      <c r="X35" s="6" t="n">
        <f aca="false">N35+O35+S35+U35+V35</f>
        <v>34.5</v>
      </c>
      <c r="Y35" s="51" t="n">
        <f aca="false">IF(L35&lt;0,L35*-1,0)</f>
        <v>0.0377867406100343</v>
      </c>
      <c r="Z35" s="51" t="n">
        <f aca="false">X35+Y35</f>
        <v>34.53778674061</v>
      </c>
      <c r="AA35" s="53" t="n">
        <v>0</v>
      </c>
      <c r="AB35" s="56" t="n">
        <v>45</v>
      </c>
      <c r="AC35" s="56" t="n">
        <v>16</v>
      </c>
      <c r="AD35" s="57" t="n">
        <f aca="false">AD34+1</f>
        <v>26</v>
      </c>
      <c r="AE35" s="85"/>
      <c r="AF35" s="87"/>
      <c r="AG35" s="86"/>
    </row>
    <row r="36" customFormat="false" ht="11.1" hidden="false" customHeight="true" outlineLevel="0" collapsed="false">
      <c r="A36" s="57" t="n">
        <f aca="false">A35+1</f>
        <v>27</v>
      </c>
      <c r="B36" s="71" t="n">
        <v>6904.44</v>
      </c>
      <c r="C36" s="52" t="n">
        <v>300254</v>
      </c>
      <c r="D36" s="56" t="n">
        <f aca="false">C36-C35</f>
        <v>191</v>
      </c>
      <c r="E36" s="52" t="n">
        <f aca="false">C36-152000</f>
        <v>148254</v>
      </c>
      <c r="F36" s="51" t="n">
        <f aca="false">D36/$D$2</f>
        <v>96.2944290395765</v>
      </c>
      <c r="G36" s="51" t="n">
        <v>130.2</v>
      </c>
      <c r="H36" s="53" t="n">
        <v>0</v>
      </c>
      <c r="I36" s="51" t="n">
        <f aca="false">G36+H36</f>
        <v>130.2</v>
      </c>
      <c r="J36" s="78" t="n">
        <f aca="false">IF(L36&gt;0,L36,0)</f>
        <v>0</v>
      </c>
      <c r="K36" s="51" t="n">
        <f aca="false">I36+J36</f>
        <v>130.2</v>
      </c>
      <c r="L36" s="51" t="n">
        <f aca="false">F36-(I36-X36)</f>
        <v>-0.00557096042348348</v>
      </c>
      <c r="M36" s="51" t="n">
        <v>3.4</v>
      </c>
      <c r="N36" s="51" t="n">
        <v>0</v>
      </c>
      <c r="O36" s="51" t="n">
        <v>0</v>
      </c>
      <c r="P36" s="6" t="n">
        <f aca="false">M36-(N36+O36)</f>
        <v>3.4</v>
      </c>
      <c r="Q36" s="51" t="n">
        <v>0</v>
      </c>
      <c r="R36" s="51" t="n">
        <v>0</v>
      </c>
      <c r="S36" s="51" t="n">
        <f aca="false">SUM(P36:R36)</f>
        <v>3.4</v>
      </c>
      <c r="T36" s="52"/>
      <c r="U36" s="51" t="n">
        <v>0</v>
      </c>
      <c r="V36" s="51" t="n">
        <v>30.5</v>
      </c>
      <c r="W36" s="52" t="n">
        <f aca="false">W35-V36</f>
        <v>11426.47</v>
      </c>
      <c r="X36" s="6" t="n">
        <f aca="false">N36+O36+S36+U36+V36</f>
        <v>33.9</v>
      </c>
      <c r="Y36" s="51" t="n">
        <f aca="false">IF(L36&lt;0,L36*-1,0)</f>
        <v>0.00557096042348348</v>
      </c>
      <c r="Z36" s="51" t="n">
        <f aca="false">X36+Y36</f>
        <v>33.9055709604235</v>
      </c>
      <c r="AA36" s="53" t="n">
        <v>0</v>
      </c>
      <c r="AB36" s="56" t="n">
        <v>53</v>
      </c>
      <c r="AC36" s="56" t="n">
        <v>18</v>
      </c>
      <c r="AD36" s="57" t="n">
        <f aca="false">AD35+1</f>
        <v>27</v>
      </c>
      <c r="AE36" s="85"/>
      <c r="AF36" s="87"/>
      <c r="AG36" s="86"/>
    </row>
    <row r="37" customFormat="false" ht="11.1" hidden="false" customHeight="true" outlineLevel="0" collapsed="false">
      <c r="A37" s="57" t="n">
        <v>28</v>
      </c>
      <c r="B37" s="71" t="n">
        <v>6904.45</v>
      </c>
      <c r="C37" s="52" t="n">
        <v>300293</v>
      </c>
      <c r="D37" s="56" t="n">
        <f aca="false">C37-C36</f>
        <v>39</v>
      </c>
      <c r="E37" s="52" t="n">
        <f aca="false">C37-152000</f>
        <v>148293</v>
      </c>
      <c r="F37" s="51" t="n">
        <f aca="false">D37/$D$2</f>
        <v>19.66221325939</v>
      </c>
      <c r="G37" s="51" t="n">
        <v>53.7</v>
      </c>
      <c r="H37" s="53" t="n">
        <v>0</v>
      </c>
      <c r="I37" s="51" t="n">
        <f aca="false">G37+H37</f>
        <v>53.7</v>
      </c>
      <c r="J37" s="78" t="n">
        <f aca="false">IF(L37&gt;0,L37,0)</f>
        <v>0.0622132593899671</v>
      </c>
      <c r="K37" s="51" t="n">
        <f aca="false">I37-J37</f>
        <v>53.63778674061</v>
      </c>
      <c r="L37" s="51" t="n">
        <f aca="false">F37-(I37-X37)</f>
        <v>0.0622132593899671</v>
      </c>
      <c r="M37" s="51" t="n">
        <v>3.6</v>
      </c>
      <c r="N37" s="51" t="n">
        <v>0</v>
      </c>
      <c r="O37" s="51" t="n">
        <v>0</v>
      </c>
      <c r="P37" s="6" t="n">
        <f aca="false">M37-(N37+O37)</f>
        <v>3.6</v>
      </c>
      <c r="Q37" s="51" t="n">
        <v>0</v>
      </c>
      <c r="R37" s="51" t="n">
        <v>0</v>
      </c>
      <c r="S37" s="51" t="n">
        <f aca="false">SUM(P37:R37)</f>
        <v>3.6</v>
      </c>
      <c r="T37" s="52"/>
      <c r="U37" s="51" t="n">
        <v>0</v>
      </c>
      <c r="V37" s="51" t="n">
        <v>30.5</v>
      </c>
      <c r="W37" s="52" t="n">
        <f aca="false">W36-V37</f>
        <v>11395.97</v>
      </c>
      <c r="X37" s="6" t="n">
        <f aca="false">N37+O37+S37+U37+V37</f>
        <v>34.1</v>
      </c>
      <c r="Y37" s="51" t="n">
        <f aca="false">IF(L37&lt;0,L37*-1,0)</f>
        <v>0</v>
      </c>
      <c r="Z37" s="51" t="n">
        <f aca="false">X37+Y37</f>
        <v>34.1</v>
      </c>
      <c r="AA37" s="53" t="n">
        <v>0</v>
      </c>
      <c r="AB37" s="56" t="n">
        <v>57</v>
      </c>
      <c r="AC37" s="56" t="n">
        <v>19</v>
      </c>
      <c r="AD37" s="57" t="n">
        <v>28</v>
      </c>
      <c r="AE37" s="85"/>
      <c r="AF37" s="87"/>
      <c r="AG37" s="86"/>
    </row>
    <row r="38" customFormat="false" ht="11.1" hidden="false" customHeight="true" outlineLevel="0" collapsed="false">
      <c r="A38" s="57" t="n">
        <v>29</v>
      </c>
      <c r="B38" s="71" t="n">
        <v>6904.48</v>
      </c>
      <c r="C38" s="52" t="n">
        <v>300407</v>
      </c>
      <c r="D38" s="56" t="n">
        <f aca="false">C38-C37</f>
        <v>114</v>
      </c>
      <c r="E38" s="52" t="n">
        <f aca="false">C38-152000</f>
        <v>148407</v>
      </c>
      <c r="F38" s="51" t="n">
        <f aca="false">D38/$D$2</f>
        <v>57.4741618351399</v>
      </c>
      <c r="G38" s="51" t="n">
        <v>91.7</v>
      </c>
      <c r="H38" s="53" t="n">
        <v>0</v>
      </c>
      <c r="I38" s="51" t="n">
        <f aca="false">G38+H38</f>
        <v>91.7</v>
      </c>
      <c r="J38" s="78" t="n">
        <f aca="false">IF(L38&gt;0,L38,0)</f>
        <v>0</v>
      </c>
      <c r="K38" s="51" t="n">
        <f aca="false">I38+J38</f>
        <v>91.7</v>
      </c>
      <c r="L38" s="51" t="n">
        <f aca="false">F38-(I38-X38)</f>
        <v>-0.0258381648600974</v>
      </c>
      <c r="M38" s="51" t="n">
        <v>3.7</v>
      </c>
      <c r="N38" s="51" t="n">
        <v>0</v>
      </c>
      <c r="O38" s="51" t="n">
        <v>0</v>
      </c>
      <c r="P38" s="6" t="n">
        <f aca="false">M38-(N38+O38)</f>
        <v>3.7</v>
      </c>
      <c r="Q38" s="51" t="n">
        <v>0</v>
      </c>
      <c r="R38" s="51" t="n">
        <v>0</v>
      </c>
      <c r="S38" s="51" t="n">
        <f aca="false">SUM(P38:R38)</f>
        <v>3.7</v>
      </c>
      <c r="T38" s="52"/>
      <c r="U38" s="51" t="n">
        <v>0</v>
      </c>
      <c r="V38" s="51" t="n">
        <v>30.5</v>
      </c>
      <c r="W38" s="52" t="n">
        <f aca="false">W37-V38</f>
        <v>11365.47</v>
      </c>
      <c r="X38" s="6" t="n">
        <f aca="false">N38+O38+S38+U38+V38</f>
        <v>34.2</v>
      </c>
      <c r="Y38" s="51" t="n">
        <f aca="false">IF(L38&lt;0,L38*-1,0)</f>
        <v>0.0258381648600974</v>
      </c>
      <c r="Z38" s="51" t="n">
        <f aca="false">X38+Y38</f>
        <v>34.2258381648601</v>
      </c>
      <c r="AA38" s="53" t="n">
        <v>0</v>
      </c>
      <c r="AB38" s="56" t="n">
        <v>55</v>
      </c>
      <c r="AC38" s="56" t="n">
        <v>18</v>
      </c>
      <c r="AD38" s="57" t="n">
        <v>29</v>
      </c>
      <c r="AE38" s="85"/>
      <c r="AF38" s="87"/>
      <c r="AG38" s="86"/>
    </row>
    <row r="39" customFormat="false" ht="3" hidden="false" customHeight="true" outlineLevel="0" collapsed="false">
      <c r="A39" s="72"/>
      <c r="B39" s="72"/>
      <c r="C39" s="74"/>
      <c r="D39" s="72"/>
      <c r="E39" s="74"/>
      <c r="F39" s="72"/>
      <c r="G39" s="72"/>
      <c r="H39" s="75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4"/>
      <c r="U39" s="72"/>
      <c r="V39" s="72"/>
      <c r="W39" s="72"/>
      <c r="X39" s="72"/>
      <c r="Y39" s="72"/>
      <c r="Z39" s="72"/>
      <c r="AA39" s="75"/>
      <c r="AB39" s="76"/>
      <c r="AC39" s="76"/>
      <c r="AD39" s="77"/>
      <c r="AE39" s="85"/>
      <c r="AF39" s="85"/>
      <c r="AG39" s="86"/>
    </row>
    <row r="40" customFormat="false" ht="11.1" hidden="false" customHeight="true" outlineLevel="0" collapsed="false">
      <c r="A40" s="51" t="s">
        <v>46</v>
      </c>
      <c r="B40" s="51"/>
      <c r="C40" s="52"/>
      <c r="D40" s="52"/>
      <c r="E40" s="52"/>
      <c r="F40" s="52" t="n">
        <f aca="false">SUM(F10:F38)</f>
        <v>1002.26871691455</v>
      </c>
      <c r="G40" s="52" t="n">
        <f aca="false">SUM(G10:G38)</f>
        <v>2004.9</v>
      </c>
      <c r="H40" s="53" t="n">
        <f aca="false">SUM(H10:H38)</f>
        <v>0</v>
      </c>
      <c r="I40" s="52" t="n">
        <f aca="false">SUM(I10:I38)</f>
        <v>2004.9</v>
      </c>
      <c r="J40" s="52" t="n">
        <f aca="false">SUM(J10:J38)</f>
        <v>0.656569195865899</v>
      </c>
      <c r="K40" s="52" t="n">
        <f aca="false">SUM(K10:K38)</f>
        <v>2005.43214267709</v>
      </c>
      <c r="L40" s="52" t="n">
        <f aca="false">SUM(L10:L38)</f>
        <v>0.338716914545024</v>
      </c>
      <c r="M40" s="52" t="n">
        <f aca="false">SUM(M10:M38)</f>
        <v>124.74</v>
      </c>
      <c r="N40" s="52" t="n">
        <f aca="false">SUM(N10:N38)</f>
        <v>0</v>
      </c>
      <c r="O40" s="52" t="n">
        <f aca="false">SUM(O10:O38)</f>
        <v>0</v>
      </c>
      <c r="P40" s="52" t="n">
        <f aca="false">SUM(P10:P38)</f>
        <v>124.74</v>
      </c>
      <c r="Q40" s="52" t="n">
        <f aca="false">SUM(Q10:Q38)</f>
        <v>0</v>
      </c>
      <c r="R40" s="52" t="n">
        <f aca="false">SUM(R10:R38)</f>
        <v>0</v>
      </c>
      <c r="S40" s="52" t="n">
        <f aca="false">SUM(S10:S38)</f>
        <v>124.74</v>
      </c>
      <c r="T40" s="52"/>
      <c r="U40" s="52" t="n">
        <f aca="false">SUM(U10:U38)</f>
        <v>0</v>
      </c>
      <c r="V40" s="52" t="n">
        <f aca="false">SUM(V10:V38)</f>
        <v>878.23</v>
      </c>
      <c r="W40" s="52"/>
      <c r="X40" s="52" t="n">
        <f aca="false">SUM(X10:X38)</f>
        <v>1002.97</v>
      </c>
      <c r="Y40" s="52" t="n">
        <f aca="false">SUM(Y10:Y38)</f>
        <v>0.317852281320874</v>
      </c>
      <c r="Z40" s="52" t="n">
        <f aca="false">SUM(Z10:Z38)</f>
        <v>1003.28785228132</v>
      </c>
      <c r="AA40" s="53" t="n">
        <f aca="false">SUM(AA10:AA38)</f>
        <v>1.64</v>
      </c>
      <c r="AB40" s="56" t="n">
        <f aca="false">AVERAGE(AB10:AB38)</f>
        <v>42.9310344827586</v>
      </c>
      <c r="AC40" s="56" t="n">
        <f aca="false">AVERAGE(AC10:AC38)</f>
        <v>19.1724137931034</v>
      </c>
      <c r="AD40" s="57" t="s">
        <v>47</v>
      </c>
      <c r="AE40" s="85"/>
      <c r="AF40" s="85"/>
      <c r="AG40" s="86"/>
    </row>
    <row r="41" customFormat="false" ht="11.1" hidden="false" customHeight="true" outlineLevel="0" collapsed="false">
      <c r="A41" s="51" t="s">
        <v>48</v>
      </c>
      <c r="B41" s="51"/>
      <c r="C41" s="52"/>
      <c r="D41" s="52" t="n">
        <f aca="false">SUM(D10:D38)</f>
        <v>1988</v>
      </c>
      <c r="E41" s="52"/>
      <c r="F41" s="52" t="n">
        <f aca="false">F40*$D$2</f>
        <v>1988</v>
      </c>
      <c r="G41" s="52" t="n">
        <f aca="false">G40*$D$2</f>
        <v>3976.71915</v>
      </c>
      <c r="H41" s="53" t="n">
        <f aca="false">H40*$D$2</f>
        <v>0</v>
      </c>
      <c r="I41" s="52" t="n">
        <f aca="false">I40*$D$2</f>
        <v>3976.71915</v>
      </c>
      <c r="J41" s="52" t="n">
        <f aca="false">J40*$D$2</f>
        <v>1.30230500000001</v>
      </c>
      <c r="K41" s="52" t="n">
        <f aca="false">K40*$D$2</f>
        <v>3977.774655</v>
      </c>
      <c r="L41" s="52" t="n">
        <f aca="false">L40*$D$2</f>
        <v>0.671845000000056</v>
      </c>
      <c r="M41" s="52" t="n">
        <f aca="false">M40*$D$2</f>
        <v>247.42179</v>
      </c>
      <c r="N41" s="52" t="n">
        <f aca="false">N40*$D$2</f>
        <v>0</v>
      </c>
      <c r="O41" s="52" t="n">
        <f aca="false">O40*$D$2</f>
        <v>0</v>
      </c>
      <c r="P41" s="52" t="n">
        <f aca="false">P40*$D$2</f>
        <v>247.42179</v>
      </c>
      <c r="Q41" s="52" t="n">
        <f aca="false">Q40*$D$2</f>
        <v>0</v>
      </c>
      <c r="R41" s="52" t="n">
        <f aca="false">R40*$D$2</f>
        <v>0</v>
      </c>
      <c r="S41" s="52" t="n">
        <f aca="false">S40*$D$2</f>
        <v>247.42179</v>
      </c>
      <c r="T41" s="52"/>
      <c r="U41" s="52" t="n">
        <f aca="false">U40*$D$2</f>
        <v>0</v>
      </c>
      <c r="V41" s="52" t="n">
        <f aca="false">V40*$D$2</f>
        <v>1741.969205</v>
      </c>
      <c r="W41" s="52"/>
      <c r="X41" s="52" t="n">
        <f aca="false">X40*$D$2</f>
        <v>1989.390995</v>
      </c>
      <c r="Y41" s="52" t="n">
        <f aca="false">Y40*$D$2</f>
        <v>0.630459999999954</v>
      </c>
      <c r="Z41" s="52" t="n">
        <f aca="false">Z40*$D$2</f>
        <v>1990.021455</v>
      </c>
      <c r="AA41" s="53"/>
      <c r="AB41" s="56" t="n">
        <f aca="false">MAX(AB10:AB38)</f>
        <v>57</v>
      </c>
      <c r="AC41" s="56" t="n">
        <f aca="false">MAX(AC10:AC38)</f>
        <v>30</v>
      </c>
      <c r="AD41" s="57" t="s">
        <v>49</v>
      </c>
      <c r="AE41" s="85"/>
      <c r="AF41" s="85"/>
      <c r="AG41" s="86"/>
    </row>
    <row r="42" customFormat="false" ht="3" hidden="false" customHeight="true" outlineLevel="0" collapsed="false">
      <c r="A42" s="72"/>
      <c r="B42" s="72"/>
      <c r="C42" s="74"/>
      <c r="D42" s="74"/>
      <c r="E42" s="74"/>
      <c r="F42" s="74"/>
      <c r="G42" s="74"/>
      <c r="H42" s="75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2"/>
      <c r="X42" s="74"/>
      <c r="Y42" s="74"/>
      <c r="Z42" s="74"/>
      <c r="AA42" s="53"/>
      <c r="AB42" s="56"/>
      <c r="AC42" s="56"/>
      <c r="AD42" s="57"/>
      <c r="AE42" s="85"/>
      <c r="AF42" s="85"/>
      <c r="AG42" s="86"/>
    </row>
    <row r="43" customFormat="false" ht="11.1" hidden="false" customHeight="true" outlineLevel="0" collapsed="false">
      <c r="A43" s="51" t="s">
        <v>50</v>
      </c>
      <c r="B43" s="51"/>
      <c r="C43" s="52"/>
      <c r="D43" s="52"/>
      <c r="E43" s="52"/>
      <c r="F43" s="52"/>
      <c r="G43" s="52"/>
      <c r="H43" s="53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3"/>
      <c r="AB43" s="56" t="n">
        <f aca="false">MIN(AB10:AB38)</f>
        <v>31</v>
      </c>
      <c r="AC43" s="56" t="n">
        <f aca="false">MIN(AC10:AC38)</f>
        <v>4</v>
      </c>
      <c r="AD43" s="57" t="s">
        <v>51</v>
      </c>
      <c r="AE43" s="85"/>
      <c r="AF43" s="85"/>
      <c r="AG43" s="86"/>
    </row>
    <row r="44" customFormat="false" ht="11.1" hidden="false" customHeight="true" outlineLevel="0" collapsed="false">
      <c r="A44" s="51" t="s">
        <v>52</v>
      </c>
      <c r="B44" s="51"/>
      <c r="C44" s="52"/>
      <c r="D44" s="52"/>
      <c r="E44" s="52"/>
      <c r="F44" s="52"/>
      <c r="G44" s="52"/>
      <c r="H44" s="53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3"/>
      <c r="AB44" s="56"/>
      <c r="AC44" s="56"/>
      <c r="AD44" s="57"/>
      <c r="AE44" s="85"/>
      <c r="AF44" s="85"/>
      <c r="AG44" s="86"/>
    </row>
    <row r="45" customFormat="false" ht="3" hidden="false" customHeight="true" outlineLevel="0" collapsed="false">
      <c r="A45" s="72"/>
      <c r="B45" s="72"/>
      <c r="C45" s="74"/>
      <c r="D45" s="74"/>
      <c r="E45" s="74"/>
      <c r="F45" s="74"/>
      <c r="G45" s="74"/>
      <c r="H45" s="75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5"/>
      <c r="AB45" s="56"/>
      <c r="AC45" s="56"/>
      <c r="AD45" s="57"/>
      <c r="AE45" s="85"/>
      <c r="AF45" s="85"/>
      <c r="AG45" s="86"/>
    </row>
    <row r="46" customFormat="false" ht="11.1" hidden="false" customHeight="true" outlineLevel="0" collapsed="false">
      <c r="A46" s="51" t="s">
        <v>53</v>
      </c>
      <c r="B46" s="51"/>
      <c r="C46" s="52"/>
      <c r="D46" s="52"/>
      <c r="E46" s="52"/>
      <c r="F46" s="52" t="n">
        <f aca="false">F8+F40</f>
        <v>2800.10083186287</v>
      </c>
      <c r="G46" s="52" t="n">
        <f aca="false">G8+G40</f>
        <v>8259.3</v>
      </c>
      <c r="H46" s="53" t="n">
        <f aca="false">H8+H40</f>
        <v>25.7</v>
      </c>
      <c r="I46" s="52" t="n">
        <f aca="false">I8+I40</f>
        <v>8285</v>
      </c>
      <c r="J46" s="52" t="n">
        <f aca="false">J8+J40</f>
        <v>409.934058482481</v>
      </c>
      <c r="K46" s="52" t="n">
        <f aca="false">K8+K40</f>
        <v>8694.8096319637</v>
      </c>
      <c r="L46" s="52" t="n">
        <f aca="false">L8+L40</f>
        <v>-442.329168137131</v>
      </c>
      <c r="M46" s="52" t="n">
        <f aca="false">M8+M40</f>
        <v>943.94</v>
      </c>
      <c r="N46" s="52" t="n">
        <f aca="false">N8+N40</f>
        <v>0</v>
      </c>
      <c r="O46" s="52" t="n">
        <f aca="false">O8+O40</f>
        <v>0</v>
      </c>
      <c r="P46" s="52" t="n">
        <f aca="false">P8+P40</f>
        <v>943.94</v>
      </c>
      <c r="Q46" s="52" t="n">
        <f aca="false">Q8+Q40</f>
        <v>8.2</v>
      </c>
      <c r="R46" s="52" t="n">
        <f aca="false">R8+R40</f>
        <v>215.9</v>
      </c>
      <c r="S46" s="52" t="n">
        <f aca="false">S8+S40</f>
        <v>1168.04</v>
      </c>
      <c r="T46" s="52"/>
      <c r="U46" s="52" t="n">
        <f aca="false">U8+U40</f>
        <v>0</v>
      </c>
      <c r="V46" s="52" t="n">
        <f aca="false">V8+V40</f>
        <v>3874.53</v>
      </c>
      <c r="W46" s="52" t="n">
        <f aca="false">W38</f>
        <v>11365.47</v>
      </c>
      <c r="X46" s="52" t="n">
        <f aca="false">X8+X40</f>
        <v>5042.57</v>
      </c>
      <c r="Y46" s="52" t="n">
        <f aca="false">Y8+Y40</f>
        <v>852.263226619612</v>
      </c>
      <c r="Z46" s="52" t="n">
        <f aca="false">Z8+Z40</f>
        <v>5894.83322661961</v>
      </c>
      <c r="AA46" s="53" t="n">
        <f aca="false">AA8+AA40</f>
        <v>6.57</v>
      </c>
      <c r="AB46" s="56"/>
      <c r="AC46" s="56"/>
      <c r="AD46" s="57"/>
      <c r="AE46" s="85"/>
      <c r="AF46" s="85"/>
      <c r="AG46" s="86"/>
    </row>
    <row r="47" customFormat="false" ht="11.1" hidden="false" customHeight="true" outlineLevel="0" collapsed="false">
      <c r="A47" s="51" t="s">
        <v>54</v>
      </c>
      <c r="B47" s="51"/>
      <c r="C47" s="52"/>
      <c r="D47" s="52" t="n">
        <f aca="false">D8+D41</f>
        <v>5554</v>
      </c>
      <c r="E47" s="52" t="n">
        <f aca="false">E38</f>
        <v>148407</v>
      </c>
      <c r="F47" s="52" t="n">
        <f aca="false">F46*$D$2</f>
        <v>5554</v>
      </c>
      <c r="G47" s="52" t="n">
        <f aca="false">G46*$D$2</f>
        <v>16382.32155</v>
      </c>
      <c r="H47" s="53" t="n">
        <f aca="false">H46*$D$2</f>
        <v>50.97595</v>
      </c>
      <c r="I47" s="52" t="n">
        <f aca="false">I46*$D$2</f>
        <v>16433.2975</v>
      </c>
      <c r="J47" s="52" t="n">
        <f aca="false">J46*$D$2</f>
        <v>813.104205</v>
      </c>
      <c r="K47" s="52" t="n">
        <f aca="false">K46*$D$2</f>
        <v>17246.154905</v>
      </c>
      <c r="L47" s="52" t="n">
        <f aca="false">L46*$D$2</f>
        <v>-877.359905</v>
      </c>
      <c r="M47" s="52" t="n">
        <f aca="false">M46*$D$2</f>
        <v>1872.30499</v>
      </c>
      <c r="N47" s="52" t="n">
        <f aca="false">N46*$D$2</f>
        <v>0</v>
      </c>
      <c r="O47" s="52" t="n">
        <f aca="false">O46*$D$2</f>
        <v>0</v>
      </c>
      <c r="P47" s="52" t="n">
        <f aca="false">P46*$D$2</f>
        <v>1872.30499</v>
      </c>
      <c r="Q47" s="52" t="n">
        <f aca="false">Q46*$D$2</f>
        <v>16.2647</v>
      </c>
      <c r="R47" s="52" t="n">
        <f aca="false">R46*$D$2</f>
        <v>428.23765</v>
      </c>
      <c r="S47" s="52" t="n">
        <f aca="false">S46*$D$2</f>
        <v>2316.80734</v>
      </c>
      <c r="T47" s="52" t="n">
        <f aca="false">T46*$D$2</f>
        <v>0</v>
      </c>
      <c r="U47" s="52" t="n">
        <f aca="false">U46*$D$2</f>
        <v>0</v>
      </c>
      <c r="V47" s="52" t="n">
        <f aca="false">V46*$D$2</f>
        <v>7685.130255</v>
      </c>
      <c r="W47" s="52" t="n">
        <f aca="false">W46*$D$2</f>
        <v>22543.4097449999</v>
      </c>
      <c r="X47" s="52" t="n">
        <f aca="false">X46*$D$2</f>
        <v>10001.937595</v>
      </c>
      <c r="Y47" s="52" t="n">
        <f aca="false">Y46*$D$2</f>
        <v>1690.46411</v>
      </c>
      <c r="Z47" s="52" t="n">
        <f aca="false">Z46*$D$2</f>
        <v>11692.401705</v>
      </c>
      <c r="AA47" s="53"/>
      <c r="AB47" s="56"/>
      <c r="AC47" s="56"/>
      <c r="AD47" s="57"/>
      <c r="AE47" s="85"/>
      <c r="AF47" s="85"/>
      <c r="AG47" s="86"/>
    </row>
    <row r="48" customFormat="false" ht="3" hidden="false" customHeight="true" outlineLevel="0" collapsed="false">
      <c r="A48" s="72"/>
      <c r="B48" s="72"/>
      <c r="C48" s="74"/>
      <c r="D48" s="72"/>
      <c r="E48" s="74"/>
      <c r="F48" s="72"/>
      <c r="G48" s="72"/>
      <c r="H48" s="75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4"/>
      <c r="U48" s="72"/>
      <c r="V48" s="72"/>
      <c r="W48" s="74"/>
      <c r="X48" s="72"/>
      <c r="Y48" s="72"/>
      <c r="Z48" s="72"/>
      <c r="AA48" s="53"/>
      <c r="AB48" s="56"/>
      <c r="AC48" s="56"/>
      <c r="AD48" s="57"/>
      <c r="AE48" s="85"/>
      <c r="AF48" s="85"/>
      <c r="AG48" s="86"/>
    </row>
    <row r="49" customFormat="false" ht="11.1" hidden="false" customHeight="true" outlineLevel="0" collapsed="false">
      <c r="A49" s="51"/>
      <c r="B49" s="81"/>
      <c r="C49" s="52"/>
      <c r="D49" s="51"/>
      <c r="E49" s="52"/>
      <c r="F49" s="51"/>
      <c r="G49" s="51"/>
      <c r="H49" s="53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2"/>
      <c r="U49" s="51"/>
      <c r="V49" s="51"/>
      <c r="W49" s="52"/>
      <c r="X49" s="51"/>
      <c r="Y49" s="51"/>
      <c r="Z49" s="51"/>
      <c r="AA49" s="53"/>
      <c r="AB49" s="56"/>
      <c r="AC49" s="56"/>
      <c r="AD49" s="57"/>
      <c r="AE49" s="84"/>
      <c r="AF49" s="84"/>
    </row>
    <row r="50" customFormat="false" ht="11.1" hidden="false" customHeight="true" outlineLevel="0" collapsed="false">
      <c r="A50" s="51"/>
      <c r="B50" s="71"/>
      <c r="C50" s="52"/>
      <c r="D50" s="79"/>
      <c r="E50" s="52"/>
      <c r="F50" s="51"/>
      <c r="G50" s="51"/>
      <c r="H50" s="2"/>
      <c r="I50" s="52"/>
      <c r="J50" s="51"/>
      <c r="K50" s="41"/>
      <c r="L50" s="51"/>
      <c r="M50" s="51"/>
      <c r="N50" s="51"/>
      <c r="O50" s="51"/>
      <c r="P50" s="51"/>
      <c r="Q50" s="51"/>
      <c r="R50" s="51"/>
      <c r="S50" s="51"/>
      <c r="T50" s="52"/>
      <c r="U50" s="51"/>
      <c r="V50" s="51"/>
      <c r="W50" s="52"/>
      <c r="X50" s="51"/>
      <c r="Y50" s="51"/>
      <c r="Z50" s="51"/>
      <c r="AA50" s="53"/>
      <c r="AB50" s="56"/>
      <c r="AC50" s="56"/>
      <c r="AD50" s="57"/>
      <c r="AE50" s="84"/>
      <c r="AF50" s="84"/>
    </row>
    <row r="51" customFormat="false" ht="11.1" hidden="false" customHeight="true" outlineLevel="0" collapsed="false">
      <c r="A51" s="79"/>
      <c r="B51" s="79"/>
      <c r="C51" s="52"/>
      <c r="D51" s="52"/>
      <c r="E51" s="52"/>
      <c r="F51" s="79"/>
      <c r="G51" s="79"/>
      <c r="H51" s="53"/>
      <c r="I51" s="52"/>
      <c r="J51" s="79"/>
      <c r="K51" s="79"/>
      <c r="L51" s="79"/>
      <c r="M51" s="78"/>
      <c r="N51" s="78"/>
      <c r="O51" s="78"/>
      <c r="P51" s="78"/>
      <c r="Q51" s="79"/>
      <c r="R51" s="79"/>
      <c r="S51" s="79"/>
      <c r="T51" s="52"/>
      <c r="U51" s="79"/>
      <c r="V51" s="79"/>
      <c r="W51" s="52"/>
      <c r="X51" s="79"/>
      <c r="Y51" s="79"/>
      <c r="Z51" s="79"/>
      <c r="AA51" s="53"/>
      <c r="AB51" s="56"/>
      <c r="AC51" s="56"/>
      <c r="AD51" s="57"/>
      <c r="AE51" s="89"/>
      <c r="AF51" s="89"/>
    </row>
    <row r="52" customFormat="false" ht="11.1" hidden="false" customHeight="true" outlineLevel="0" collapsed="false">
      <c r="A52" s="79"/>
      <c r="B52" s="55"/>
      <c r="C52" s="52"/>
      <c r="D52" s="52"/>
      <c r="E52" s="52"/>
      <c r="F52" s="79"/>
      <c r="G52" s="79"/>
      <c r="H52" s="53"/>
      <c r="I52" s="52"/>
      <c r="J52" s="79"/>
      <c r="K52" s="79"/>
      <c r="L52" s="79"/>
      <c r="M52" s="78"/>
      <c r="N52" s="78"/>
      <c r="O52" s="78"/>
      <c r="P52" s="78"/>
      <c r="Q52" s="79"/>
      <c r="R52" s="79"/>
      <c r="S52" s="79"/>
      <c r="T52" s="52"/>
      <c r="U52" s="79"/>
      <c r="V52" s="79"/>
      <c r="W52" s="52"/>
      <c r="X52" s="79"/>
      <c r="Y52" s="79"/>
      <c r="Z52" s="79"/>
      <c r="AA52" s="53"/>
      <c r="AB52" s="56"/>
      <c r="AC52" s="56"/>
      <c r="AD52" s="57"/>
      <c r="AE52" s="89"/>
      <c r="AF52" s="89"/>
    </row>
    <row r="53" customFormat="false" ht="11.1" hidden="false" customHeight="true" outlineLevel="0" collapsed="false">
      <c r="A53" s="79"/>
      <c r="B53" s="79"/>
      <c r="C53" s="52"/>
      <c r="D53" s="79"/>
      <c r="E53" s="52"/>
      <c r="F53" s="79"/>
      <c r="G53" s="83"/>
      <c r="H53" s="53"/>
      <c r="I53" s="79"/>
      <c r="J53" s="79"/>
      <c r="K53" s="79"/>
      <c r="L53" s="79"/>
      <c r="M53" s="78"/>
      <c r="N53" s="78"/>
      <c r="O53" s="78"/>
      <c r="P53" s="78"/>
      <c r="Q53" s="79"/>
      <c r="R53" s="79"/>
      <c r="S53" s="79"/>
      <c r="T53" s="52"/>
      <c r="U53" s="79"/>
      <c r="V53" s="79"/>
      <c r="W53" s="52"/>
      <c r="X53" s="79"/>
      <c r="Y53" s="79"/>
      <c r="Z53" s="79"/>
      <c r="AA53" s="53"/>
      <c r="AB53" s="56"/>
      <c r="AC53" s="56"/>
      <c r="AD53" s="57"/>
      <c r="AE53" s="89"/>
      <c r="AF53" s="89"/>
    </row>
    <row r="54" customFormat="false" ht="11.1" hidden="false" customHeight="true" outlineLevel="0" collapsed="false">
      <c r="P54" s="47"/>
      <c r="S54" s="44"/>
      <c r="T54" s="45"/>
      <c r="V54" s="44"/>
      <c r="W54" s="45"/>
      <c r="Z54" s="44"/>
      <c r="AC54" s="49"/>
      <c r="AD54" s="5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Q21" activePane="bottomRight" state="frozen"/>
      <selection pane="topLeft" activeCell="A1" activeCellId="0" sqref="A1"/>
      <selection pane="topRight" activeCell="Q1" activeCellId="0" sqref="Q1"/>
      <selection pane="bottomLeft" activeCell="A21" activeCellId="0" sqref="A21"/>
      <selection pane="bottomRight" activeCell="AC40" activeCellId="0" sqref="AC4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92" width="5.99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4.66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9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3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93"/>
      <c r="I2" s="51"/>
      <c r="J2" s="51"/>
      <c r="K2" s="59" t="s">
        <v>62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3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9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3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94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58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63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63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94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66"/>
      <c r="AB5" s="64" t="s">
        <v>43</v>
      </c>
      <c r="AC5" s="64" t="s">
        <v>43</v>
      </c>
      <c r="AD5" s="67" t="s">
        <v>63</v>
      </c>
      <c r="AE5" s="84"/>
      <c r="AF5" s="84"/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95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69"/>
      <c r="X6" s="68"/>
      <c r="Y6" s="68"/>
      <c r="Z6" s="68"/>
      <c r="AA6" s="53"/>
      <c r="AB6" s="57"/>
      <c r="AC6" s="57"/>
      <c r="AD6" s="57"/>
      <c r="AE6" s="85"/>
      <c r="AF6" s="85"/>
      <c r="AG6" s="86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/>
      <c r="G7" s="52"/>
      <c r="H7" s="93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FEB!B38</f>
        <v>6904.48</v>
      </c>
      <c r="C8" s="52" t="n">
        <f aca="false">FEB!C38</f>
        <v>300407</v>
      </c>
      <c r="D8" s="52" t="n">
        <f aca="false">FEB!$D$47</f>
        <v>5554</v>
      </c>
      <c r="E8" s="52" t="n">
        <f aca="false">FEB!$E$47</f>
        <v>148407</v>
      </c>
      <c r="F8" s="52" t="n">
        <f aca="false">FEB!F46</f>
        <v>2800.10083186287</v>
      </c>
      <c r="G8" s="52" t="n">
        <f aca="false">FEB!G46</f>
        <v>8259.3</v>
      </c>
      <c r="H8" s="93" t="n">
        <f aca="false">FEB!H46</f>
        <v>25.7</v>
      </c>
      <c r="I8" s="52" t="n">
        <f aca="false">FEB!I46</f>
        <v>8285</v>
      </c>
      <c r="J8" s="52" t="n">
        <f aca="false">FEB!J46</f>
        <v>409.934058482481</v>
      </c>
      <c r="K8" s="52" t="n">
        <f aca="false">FEB!K46</f>
        <v>8694.8096319637</v>
      </c>
      <c r="L8" s="52" t="n">
        <f aca="false">FEB!L46</f>
        <v>-442.329168137131</v>
      </c>
      <c r="M8" s="52" t="n">
        <f aca="false">FEB!M46</f>
        <v>943.94</v>
      </c>
      <c r="N8" s="52" t="n">
        <f aca="false">FEB!N46</f>
        <v>0</v>
      </c>
      <c r="O8" s="52" t="n">
        <f aca="false">FEB!O46</f>
        <v>0</v>
      </c>
      <c r="P8" s="52" t="n">
        <f aca="false">FEB!P46</f>
        <v>943.94</v>
      </c>
      <c r="Q8" s="52" t="n">
        <f aca="false">FEB!Q46</f>
        <v>8.2</v>
      </c>
      <c r="R8" s="52" t="n">
        <f aca="false">FEB!R46</f>
        <v>215.9</v>
      </c>
      <c r="S8" s="52" t="n">
        <f aca="false">FEB!S46</f>
        <v>1168.04</v>
      </c>
      <c r="T8" s="52" t="n">
        <f aca="false">FEB!T46</f>
        <v>0</v>
      </c>
      <c r="U8" s="52" t="n">
        <f aca="false">FEB!U46</f>
        <v>0</v>
      </c>
      <c r="V8" s="52" t="n">
        <f aca="false">FEB!V46</f>
        <v>3874.53</v>
      </c>
      <c r="W8" s="52" t="n">
        <f aca="false">FEB!W46</f>
        <v>11365.47</v>
      </c>
      <c r="X8" s="52" t="n">
        <f aca="false">FEB!X46</f>
        <v>5042.57</v>
      </c>
      <c r="Y8" s="52" t="n">
        <f aca="false">FEB!Y46</f>
        <v>852.263226619612</v>
      </c>
      <c r="Z8" s="52" t="n">
        <f aca="false">FEB!Z46</f>
        <v>5894.83322661961</v>
      </c>
      <c r="AA8" s="53" t="n">
        <f aca="false">FEB!AA46</f>
        <v>6.57</v>
      </c>
      <c r="AB8" s="56"/>
      <c r="AC8" s="56"/>
      <c r="AD8" s="57"/>
      <c r="AE8" s="87"/>
      <c r="AF8" s="85"/>
      <c r="AG8" s="87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96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75"/>
      <c r="AB9" s="76"/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6904.48</v>
      </c>
      <c r="C10" s="52" t="n">
        <v>300407</v>
      </c>
      <c r="D10" s="56" t="n">
        <f aca="false">C10-C8</f>
        <v>0</v>
      </c>
      <c r="E10" s="52" t="n">
        <f aca="false">C10-152000</f>
        <v>148407</v>
      </c>
      <c r="F10" s="51" t="n">
        <f aca="false">D10/$D$2</f>
        <v>0</v>
      </c>
      <c r="G10" s="51" t="n">
        <v>34.2</v>
      </c>
      <c r="H10" s="97" t="n">
        <v>7.7</v>
      </c>
      <c r="I10" s="51" t="n">
        <f aca="false">G10+H10</f>
        <v>41.9</v>
      </c>
      <c r="J10" s="78" t="n">
        <f aca="false">IF(L10&gt;0,L10,0)</f>
        <v>0</v>
      </c>
      <c r="K10" s="51" t="n">
        <f aca="false">I10+J10</f>
        <v>41.9</v>
      </c>
      <c r="L10" s="51" t="n">
        <f aca="false">F10-(I10-X10)</f>
        <v>-7.7</v>
      </c>
      <c r="M10" s="51" t="n">
        <v>3.7</v>
      </c>
      <c r="N10" s="51" t="n">
        <v>0</v>
      </c>
      <c r="O10" s="51" t="n">
        <v>0</v>
      </c>
      <c r="P10" s="6" t="n">
        <f aca="false">M10-(N10+O10)</f>
        <v>3.7</v>
      </c>
      <c r="Q10" s="51" t="n">
        <v>0</v>
      </c>
      <c r="R10" s="51" t="n">
        <v>0</v>
      </c>
      <c r="S10" s="51" t="n">
        <f aca="false">SUM(P10:R10)</f>
        <v>3.7</v>
      </c>
      <c r="T10" s="52"/>
      <c r="U10" s="51" t="n">
        <v>0</v>
      </c>
      <c r="V10" s="51" t="n">
        <v>30.5</v>
      </c>
      <c r="W10" s="52" t="n">
        <f aca="false">W8-V10</f>
        <v>11334.97</v>
      </c>
      <c r="X10" s="6" t="n">
        <f aca="false">N10+O10+S10+U10+V10</f>
        <v>34.2</v>
      </c>
      <c r="Y10" s="51" t="n">
        <f aca="false">IF(L10&lt;0,L10*-1,0)</f>
        <v>7.7</v>
      </c>
      <c r="Z10" s="51" t="n">
        <f aca="false">X10+Y10</f>
        <v>41.9</v>
      </c>
      <c r="AA10" s="53" t="n">
        <v>0</v>
      </c>
      <c r="AB10" s="56" t="n">
        <v>52</v>
      </c>
      <c r="AC10" s="56" t="n">
        <v>21</v>
      </c>
      <c r="AD10" s="57" t="n">
        <v>1</v>
      </c>
      <c r="AE10" s="86"/>
      <c r="AF10" s="87"/>
      <c r="AG10" s="86"/>
    </row>
    <row r="11" customFormat="false" ht="11.1" hidden="false" customHeight="true" outlineLevel="0" collapsed="false">
      <c r="A11" s="57" t="n">
        <f aca="false">A10+1</f>
        <v>2</v>
      </c>
      <c r="B11" s="71" t="n">
        <v>6904.51</v>
      </c>
      <c r="C11" s="52" t="n">
        <v>300521</v>
      </c>
      <c r="D11" s="56" t="n">
        <f aca="false">C11-C10</f>
        <v>114</v>
      </c>
      <c r="E11" s="52" t="n">
        <f aca="false">C11-152000</f>
        <v>148521</v>
      </c>
      <c r="F11" s="51" t="n">
        <f aca="false">D11/$D$2</f>
        <v>57.4741618351399</v>
      </c>
      <c r="G11" s="51" t="n">
        <v>92.1</v>
      </c>
      <c r="H11" s="97" t="n">
        <v>4.3</v>
      </c>
      <c r="I11" s="51" t="n">
        <f aca="false">G11+H11</f>
        <v>96.4</v>
      </c>
      <c r="J11" s="78" t="n">
        <f aca="false">IF(L11&gt;0,L11,0)</f>
        <v>0</v>
      </c>
      <c r="K11" s="51" t="n">
        <f aca="false">I11+J11</f>
        <v>96.4</v>
      </c>
      <c r="L11" s="51" t="n">
        <f aca="false">F11-(I11-X11)</f>
        <v>-4.32583816486009</v>
      </c>
      <c r="M11" s="51" t="n">
        <v>4.1</v>
      </c>
      <c r="N11" s="51" t="n">
        <v>0</v>
      </c>
      <c r="O11" s="51" t="n">
        <v>0</v>
      </c>
      <c r="P11" s="6" t="n">
        <f aca="false">M11-(N11+O11)</f>
        <v>4.1</v>
      </c>
      <c r="Q11" s="51" t="n">
        <v>0</v>
      </c>
      <c r="R11" s="51" t="n">
        <v>0</v>
      </c>
      <c r="S11" s="51" t="n">
        <f aca="false">SUM(P11:R11)</f>
        <v>4.1</v>
      </c>
      <c r="T11" s="52"/>
      <c r="U11" s="51" t="n">
        <v>0</v>
      </c>
      <c r="V11" s="51" t="n">
        <v>30.5</v>
      </c>
      <c r="W11" s="52" t="n">
        <f aca="false">W10-V11</f>
        <v>11304.47</v>
      </c>
      <c r="X11" s="6" t="n">
        <f aca="false">N11+O11+S11+U11+V11</f>
        <v>34.6</v>
      </c>
      <c r="Y11" s="51" t="n">
        <f aca="false">IF(L11&lt;0,L11*-1,0)</f>
        <v>4.32583816486009</v>
      </c>
      <c r="Z11" s="51" t="n">
        <f aca="false">X11+Y11</f>
        <v>38.9258381648601</v>
      </c>
      <c r="AA11" s="53" t="n">
        <v>0.24</v>
      </c>
      <c r="AB11" s="56" t="n">
        <v>54</v>
      </c>
      <c r="AC11" s="56" t="n">
        <v>27</v>
      </c>
      <c r="AD11" s="57" t="n">
        <f aca="false">AD10+1</f>
        <v>2</v>
      </c>
      <c r="AE11" s="86"/>
      <c r="AF11" s="87"/>
      <c r="AG11" s="86"/>
    </row>
    <row r="12" customFormat="false" ht="11.1" hidden="false" customHeight="true" outlineLevel="0" collapsed="false">
      <c r="A12" s="57" t="n">
        <f aca="false">A11+1</f>
        <v>3</v>
      </c>
      <c r="B12" s="71" t="n">
        <v>6904.56</v>
      </c>
      <c r="C12" s="52" t="n">
        <v>300713</v>
      </c>
      <c r="D12" s="56" t="n">
        <f aca="false">C12-C11</f>
        <v>192</v>
      </c>
      <c r="E12" s="52" t="n">
        <f aca="false">C12-152000</f>
        <v>148713</v>
      </c>
      <c r="F12" s="51" t="n">
        <f aca="false">D12/$D$2</f>
        <v>96.7985883539198</v>
      </c>
      <c r="G12" s="51" t="n">
        <v>131.4</v>
      </c>
      <c r="H12" s="97" t="n">
        <v>4.8</v>
      </c>
      <c r="I12" s="51" t="n">
        <f aca="false">G12+H12</f>
        <v>136.2</v>
      </c>
      <c r="J12" s="78" t="n">
        <f aca="false">IF(L12&gt;0,L12,0)</f>
        <v>0</v>
      </c>
      <c r="K12" s="51" t="n">
        <f aca="false">I12+J12</f>
        <v>136.2</v>
      </c>
      <c r="L12" s="51" t="n">
        <f aca="false">F12-(I12-X12)</f>
        <v>-4.80141164608018</v>
      </c>
      <c r="M12" s="51" t="n">
        <v>4.1</v>
      </c>
      <c r="N12" s="51" t="n">
        <v>0</v>
      </c>
      <c r="O12" s="51" t="n">
        <v>0</v>
      </c>
      <c r="P12" s="6" t="n">
        <f aca="false">M12-(N12+O12)</f>
        <v>4.1</v>
      </c>
      <c r="Q12" s="51" t="n">
        <v>0</v>
      </c>
      <c r="R12" s="51" t="n">
        <v>0</v>
      </c>
      <c r="S12" s="51" t="n">
        <f aca="false">SUM(P12:R12)</f>
        <v>4.1</v>
      </c>
      <c r="T12" s="52"/>
      <c r="U12" s="51" t="n">
        <v>0</v>
      </c>
      <c r="V12" s="51" t="n">
        <v>30.5</v>
      </c>
      <c r="W12" s="52" t="n">
        <f aca="false">W11-V12</f>
        <v>11273.97</v>
      </c>
      <c r="X12" s="6" t="n">
        <f aca="false">N12+O12+S12+U12+V12</f>
        <v>34.6</v>
      </c>
      <c r="Y12" s="51" t="n">
        <f aca="false">IF(L12&lt;0,L12*-1,0)</f>
        <v>4.80141164608018</v>
      </c>
      <c r="Z12" s="51" t="n">
        <f aca="false">X12+Y12</f>
        <v>39.4014116460802</v>
      </c>
      <c r="AA12" s="53" t="n">
        <v>0.16</v>
      </c>
      <c r="AB12" s="56" t="n">
        <v>46</v>
      </c>
      <c r="AC12" s="56" t="n">
        <v>31</v>
      </c>
      <c r="AD12" s="57" t="n">
        <f aca="false">AD11+1</f>
        <v>3</v>
      </c>
      <c r="AE12" s="86"/>
      <c r="AF12" s="87"/>
      <c r="AG12" s="86"/>
    </row>
    <row r="13" customFormat="false" ht="11.1" hidden="false" customHeight="true" outlineLevel="0" collapsed="false">
      <c r="A13" s="57" t="n">
        <f aca="false">A12+1</f>
        <v>4</v>
      </c>
      <c r="B13" s="71" t="n">
        <v>6904.61</v>
      </c>
      <c r="C13" s="52" t="n">
        <v>300904</v>
      </c>
      <c r="D13" s="56" t="n">
        <f aca="false">C13-C12</f>
        <v>191</v>
      </c>
      <c r="E13" s="52" t="n">
        <f aca="false">C13-152000</f>
        <v>148904</v>
      </c>
      <c r="F13" s="51" t="n">
        <f aca="false">D13/$D$2</f>
        <v>96.2944290395765</v>
      </c>
      <c r="G13" s="51" t="n">
        <v>131.2</v>
      </c>
      <c r="H13" s="97" t="n">
        <v>5.2</v>
      </c>
      <c r="I13" s="51" t="n">
        <f aca="false">G13+H13</f>
        <v>136.4</v>
      </c>
      <c r="J13" s="78" t="n">
        <f aca="false">IF(L13&gt;0,L13,0)</f>
        <v>0</v>
      </c>
      <c r="K13" s="51" t="n">
        <f aca="false">I13+J13</f>
        <v>136.4</v>
      </c>
      <c r="L13" s="51" t="n">
        <f aca="false">F13-(I13-X13)</f>
        <v>-5.20557096042347</v>
      </c>
      <c r="M13" s="51" t="n">
        <v>4.4</v>
      </c>
      <c r="N13" s="51" t="n">
        <v>0</v>
      </c>
      <c r="O13" s="51" t="n">
        <v>0</v>
      </c>
      <c r="P13" s="6" t="n">
        <f aca="false">M13-(N13+O13)</f>
        <v>4.4</v>
      </c>
      <c r="Q13" s="51" t="n">
        <v>0</v>
      </c>
      <c r="R13" s="51" t="n">
        <v>0</v>
      </c>
      <c r="S13" s="51" t="n">
        <f aca="false">SUM(P13:R13)</f>
        <v>4.4</v>
      </c>
      <c r="T13" s="52"/>
      <c r="U13" s="51" t="n">
        <v>0</v>
      </c>
      <c r="V13" s="51" t="n">
        <v>30.5</v>
      </c>
      <c r="W13" s="52" t="n">
        <f aca="false">W12-V13</f>
        <v>11243.47</v>
      </c>
      <c r="X13" s="6" t="n">
        <f aca="false">N13+O13+S13+U13+V13</f>
        <v>34.9</v>
      </c>
      <c r="Y13" s="51" t="n">
        <f aca="false">IF(L13&lt;0,L13*-1,0)</f>
        <v>5.20557096042347</v>
      </c>
      <c r="Z13" s="51" t="n">
        <f aca="false">X13+Y13</f>
        <v>40.1055709604235</v>
      </c>
      <c r="AA13" s="53" t="n">
        <v>0.2</v>
      </c>
      <c r="AB13" s="56" t="n">
        <v>41</v>
      </c>
      <c r="AC13" s="56" t="n">
        <v>30</v>
      </c>
      <c r="AD13" s="57" t="n">
        <f aca="false">AD12+1</f>
        <v>4</v>
      </c>
      <c r="AE13" s="86"/>
      <c r="AF13" s="87"/>
      <c r="AG13" s="86"/>
    </row>
    <row r="14" customFormat="false" ht="11.1" hidden="false" customHeight="true" outlineLevel="0" collapsed="false">
      <c r="A14" s="57" t="n">
        <f aca="false">A13+1</f>
        <v>5</v>
      </c>
      <c r="B14" s="71" t="n">
        <v>6904.64</v>
      </c>
      <c r="C14" s="52" t="n">
        <v>301020</v>
      </c>
      <c r="D14" s="56" t="n">
        <f aca="false">C14-C13</f>
        <v>116</v>
      </c>
      <c r="E14" s="52" t="n">
        <f aca="false">C14-152000</f>
        <v>149020</v>
      </c>
      <c r="F14" s="51" t="n">
        <f aca="false">D14/$D$2</f>
        <v>58.4824804638266</v>
      </c>
      <c r="G14" s="51" t="n">
        <v>92.7</v>
      </c>
      <c r="H14" s="97" t="n">
        <v>5.5</v>
      </c>
      <c r="I14" s="51" t="n">
        <f aca="false">G14+H14</f>
        <v>98.2</v>
      </c>
      <c r="J14" s="78" t="n">
        <f aca="false">IF(L14&gt;0,L14,0)</f>
        <v>0</v>
      </c>
      <c r="K14" s="51" t="n">
        <f aca="false">I14+J14</f>
        <v>98.2</v>
      </c>
      <c r="L14" s="51" t="n">
        <f aca="false">F14-(I14-X14)</f>
        <v>-5.51751953617343</v>
      </c>
      <c r="M14" s="51" t="n">
        <v>3.7</v>
      </c>
      <c r="N14" s="51" t="n">
        <v>0</v>
      </c>
      <c r="O14" s="51" t="n">
        <v>0</v>
      </c>
      <c r="P14" s="6" t="n">
        <f aca="false">M14-(N14+O14)</f>
        <v>3.7</v>
      </c>
      <c r="Q14" s="51" t="n">
        <v>0</v>
      </c>
      <c r="R14" s="51" t="n">
        <v>0</v>
      </c>
      <c r="S14" s="51" t="n">
        <f aca="false">SUM(P14:R14)</f>
        <v>3.7</v>
      </c>
      <c r="T14" s="52"/>
      <c r="U14" s="51" t="n">
        <v>0</v>
      </c>
      <c r="V14" s="51" t="n">
        <v>30.5</v>
      </c>
      <c r="W14" s="52" t="n">
        <f aca="false">W13-V14</f>
        <v>11212.97</v>
      </c>
      <c r="X14" s="6" t="n">
        <f aca="false">N14+O14+S14+U14+V14</f>
        <v>34.2</v>
      </c>
      <c r="Y14" s="51" t="n">
        <f aca="false">IF(L14&lt;0,L14*-1,0)</f>
        <v>5.51751953617343</v>
      </c>
      <c r="Z14" s="51" t="n">
        <f aca="false">X14+Y14</f>
        <v>39.7175195361734</v>
      </c>
      <c r="AA14" s="53" t="n">
        <v>0</v>
      </c>
      <c r="AB14" s="56" t="n">
        <v>52</v>
      </c>
      <c r="AC14" s="56" t="n">
        <v>30</v>
      </c>
      <c r="AD14" s="57" t="n">
        <f aca="false">AD13+1</f>
        <v>5</v>
      </c>
      <c r="AE14" s="86"/>
      <c r="AF14" s="87"/>
      <c r="AG14" s="86"/>
    </row>
    <row r="15" customFormat="false" ht="11.1" hidden="false" customHeight="true" outlineLevel="0" collapsed="false">
      <c r="A15" s="57" t="n">
        <f aca="false">A14+1</f>
        <v>6</v>
      </c>
      <c r="B15" s="71" t="n">
        <v>6904.69</v>
      </c>
      <c r="C15" s="52" t="n">
        <v>301210</v>
      </c>
      <c r="D15" s="56" t="n">
        <f aca="false">C15-C14</f>
        <v>190</v>
      </c>
      <c r="E15" s="52" t="n">
        <f aca="false">C15-152000</f>
        <v>149210</v>
      </c>
      <c r="F15" s="51" t="n">
        <f aca="false">D15/$D$2</f>
        <v>95.7902697252332</v>
      </c>
      <c r="G15" s="51" t="n">
        <v>130</v>
      </c>
      <c r="H15" s="97" t="n">
        <v>10.1</v>
      </c>
      <c r="I15" s="51" t="n">
        <f aca="false">G15+H15</f>
        <v>140.1</v>
      </c>
      <c r="J15" s="78" t="n">
        <f aca="false">IF(L15&gt;0,L15,0)</f>
        <v>0</v>
      </c>
      <c r="K15" s="51" t="n">
        <f aca="false">I15+J15</f>
        <v>140.1</v>
      </c>
      <c r="L15" s="51" t="n">
        <f aca="false">F15-(I15-X15)</f>
        <v>-10.1097302747668</v>
      </c>
      <c r="M15" s="51" t="n">
        <v>3.7</v>
      </c>
      <c r="N15" s="51" t="n">
        <v>0</v>
      </c>
      <c r="O15" s="51" t="n">
        <v>0</v>
      </c>
      <c r="P15" s="6" t="n">
        <f aca="false">M15-(N15+O15)</f>
        <v>3.7</v>
      </c>
      <c r="Q15" s="51" t="n">
        <v>0</v>
      </c>
      <c r="R15" s="51" t="n">
        <v>0</v>
      </c>
      <c r="S15" s="51" t="n">
        <f aca="false">SUM(P15:R15)</f>
        <v>3.7</v>
      </c>
      <c r="T15" s="52"/>
      <c r="U15" s="51" t="n">
        <v>0</v>
      </c>
      <c r="V15" s="51" t="n">
        <v>30.5</v>
      </c>
      <c r="W15" s="52" t="n">
        <f aca="false">W14-V15</f>
        <v>11182.47</v>
      </c>
      <c r="X15" s="6" t="n">
        <f aca="false">N15+O15+S15+U15+V15</f>
        <v>34.2</v>
      </c>
      <c r="Y15" s="51" t="n">
        <f aca="false">IF(L15&lt;0,L15*-1,0)</f>
        <v>10.1097302747668</v>
      </c>
      <c r="Z15" s="51" t="n">
        <f aca="false">X15+Y15</f>
        <v>44.3097302747668</v>
      </c>
      <c r="AA15" s="53" t="n">
        <v>0</v>
      </c>
      <c r="AB15" s="56" t="n">
        <v>54</v>
      </c>
      <c r="AC15" s="56" t="n">
        <v>24</v>
      </c>
      <c r="AD15" s="57" t="n">
        <f aca="false">AD14+1</f>
        <v>6</v>
      </c>
      <c r="AE15" s="85"/>
      <c r="AF15" s="87"/>
      <c r="AG15" s="86"/>
    </row>
    <row r="16" customFormat="false" ht="11.1" hidden="false" customHeight="true" outlineLevel="0" collapsed="false">
      <c r="A16" s="57" t="n">
        <f aca="false">A15+1</f>
        <v>7</v>
      </c>
      <c r="B16" s="71" t="n">
        <v>6904.76</v>
      </c>
      <c r="C16" s="52" t="n">
        <v>301447</v>
      </c>
      <c r="D16" s="56" t="n">
        <f aca="false">C16-C15</f>
        <v>237</v>
      </c>
      <c r="E16" s="52" t="n">
        <f aca="false">C16-152000</f>
        <v>149447</v>
      </c>
      <c r="F16" s="51" t="n">
        <f aca="false">D16/$D$2</f>
        <v>119.48575749937</v>
      </c>
      <c r="G16" s="51" t="n">
        <v>168.9</v>
      </c>
      <c r="H16" s="97" t="n">
        <v>13</v>
      </c>
      <c r="I16" s="51" t="n">
        <f aca="false">G16+H16</f>
        <v>181.9</v>
      </c>
      <c r="J16" s="78" t="n">
        <f aca="false">IF(L16&gt;0,L16,0)</f>
        <v>0</v>
      </c>
      <c r="K16" s="51" t="n">
        <f aca="false">I16+J16</f>
        <v>181.9</v>
      </c>
      <c r="L16" s="51" t="n">
        <f aca="false">F16-(I16-X16)</f>
        <v>-28.2142425006302</v>
      </c>
      <c r="M16" s="51" t="n">
        <v>3.7</v>
      </c>
      <c r="N16" s="51" t="n">
        <v>0</v>
      </c>
      <c r="O16" s="51" t="n">
        <v>0</v>
      </c>
      <c r="P16" s="6" t="n">
        <f aca="false">M16-(N16+O16)</f>
        <v>3.7</v>
      </c>
      <c r="Q16" s="51" t="n">
        <v>0</v>
      </c>
      <c r="R16" s="51" t="n">
        <v>0</v>
      </c>
      <c r="S16" s="51" t="n">
        <f aca="false">SUM(P16:R16)</f>
        <v>3.7</v>
      </c>
      <c r="T16" s="52"/>
      <c r="U16" s="51" t="n">
        <v>0</v>
      </c>
      <c r="V16" s="51" t="n">
        <v>30.5</v>
      </c>
      <c r="W16" s="52" t="n">
        <f aca="false">W15-V16</f>
        <v>11151.97</v>
      </c>
      <c r="X16" s="6" t="n">
        <f aca="false">N16+O16+S16+U16+V16</f>
        <v>34.2</v>
      </c>
      <c r="Y16" s="51" t="n">
        <f aca="false">IF(L16&lt;0,L16*-1,0)</f>
        <v>28.2142425006302</v>
      </c>
      <c r="Z16" s="51" t="n">
        <f aca="false">X16+Y16</f>
        <v>62.4142425006302</v>
      </c>
      <c r="AA16" s="53" t="n">
        <v>0</v>
      </c>
      <c r="AB16" s="56" t="n">
        <v>38</v>
      </c>
      <c r="AC16" s="56" t="n">
        <v>29</v>
      </c>
      <c r="AD16" s="57" t="n">
        <f aca="false">AD15+1</f>
        <v>7</v>
      </c>
      <c r="AE16" s="85"/>
      <c r="AF16" s="87"/>
      <c r="AG16" s="86"/>
    </row>
    <row r="17" customFormat="false" ht="11.1" hidden="false" customHeight="true" outlineLevel="0" collapsed="false">
      <c r="A17" s="57" t="n">
        <f aca="false">A16+1</f>
        <v>8</v>
      </c>
      <c r="B17" s="71" t="n">
        <v>6904.82</v>
      </c>
      <c r="C17" s="52" t="n">
        <v>301707</v>
      </c>
      <c r="D17" s="56" t="n">
        <f aca="false">C17-C16</f>
        <v>260</v>
      </c>
      <c r="E17" s="52" t="n">
        <f aca="false">C17-152000</f>
        <v>149707</v>
      </c>
      <c r="F17" s="51" t="n">
        <f aca="false">D17/$D$2</f>
        <v>131.081421729266</v>
      </c>
      <c r="G17" s="51" t="n">
        <v>150.3</v>
      </c>
      <c r="H17" s="97" t="n">
        <v>10.1</v>
      </c>
      <c r="I17" s="51" t="n">
        <f aca="false">G17+H17</f>
        <v>160.4</v>
      </c>
      <c r="J17" s="78" t="n">
        <f aca="false">IF(L17&gt;0,L17,0)</f>
        <v>4.88142172926645</v>
      </c>
      <c r="K17" s="51" t="n">
        <f aca="false">I17+J17</f>
        <v>165.281421729266</v>
      </c>
      <c r="L17" s="51" t="n">
        <f aca="false">F17-(I17-X17)</f>
        <v>4.88142172926645</v>
      </c>
      <c r="M17" s="51" t="n">
        <v>3.7</v>
      </c>
      <c r="N17" s="51" t="n">
        <v>0</v>
      </c>
      <c r="O17" s="51" t="n">
        <v>0</v>
      </c>
      <c r="P17" s="6" t="n">
        <f aca="false">M17-(N17+O17)</f>
        <v>3.7</v>
      </c>
      <c r="Q17" s="51" t="n">
        <v>0</v>
      </c>
      <c r="R17" s="51" t="n">
        <v>0</v>
      </c>
      <c r="S17" s="51" t="n">
        <f aca="false">SUM(P17:R17)</f>
        <v>3.7</v>
      </c>
      <c r="T17" s="52"/>
      <c r="U17" s="51" t="n">
        <v>0</v>
      </c>
      <c r="V17" s="51" t="n">
        <v>30.5</v>
      </c>
      <c r="W17" s="52" t="n">
        <f aca="false">W16-V17</f>
        <v>11121.47</v>
      </c>
      <c r="X17" s="6" t="n">
        <f aca="false">N17+O17+S17+U17+V17</f>
        <v>34.2</v>
      </c>
      <c r="Y17" s="51" t="n">
        <f aca="false">IF(L17&lt;0,L17*-1,0)</f>
        <v>0</v>
      </c>
      <c r="Z17" s="51" t="n">
        <f aca="false">X17+Y17</f>
        <v>34.2</v>
      </c>
      <c r="AA17" s="53" t="n">
        <v>0.49</v>
      </c>
      <c r="AB17" s="56" t="n">
        <v>39</v>
      </c>
      <c r="AC17" s="56" t="n">
        <v>33</v>
      </c>
      <c r="AD17" s="57" t="n">
        <f aca="false">AD16+1</f>
        <v>8</v>
      </c>
      <c r="AE17" s="85"/>
      <c r="AF17" s="87"/>
      <c r="AG17" s="86"/>
    </row>
    <row r="18" customFormat="false" ht="11.1" hidden="false" customHeight="true" outlineLevel="0" collapsed="false">
      <c r="A18" s="57" t="n">
        <f aca="false">A17+1</f>
        <v>9</v>
      </c>
      <c r="B18" s="71" t="n">
        <v>6904.86</v>
      </c>
      <c r="C18" s="52" t="n">
        <v>301860</v>
      </c>
      <c r="D18" s="56" t="n">
        <f aca="false">C18-C17</f>
        <v>153</v>
      </c>
      <c r="E18" s="52" t="n">
        <f aca="false">C18-152000</f>
        <v>149860</v>
      </c>
      <c r="F18" s="51" t="n">
        <f aca="false">D18/$D$2</f>
        <v>77.1363750945299</v>
      </c>
      <c r="G18" s="51" t="n">
        <v>111.4</v>
      </c>
      <c r="H18" s="97" t="n">
        <v>9.3</v>
      </c>
      <c r="I18" s="51" t="n">
        <f aca="false">G18+H18</f>
        <v>120.7</v>
      </c>
      <c r="J18" s="78" t="n">
        <f aca="false">IF(L18&gt;0,L18,0)</f>
        <v>0</v>
      </c>
      <c r="K18" s="51" t="n">
        <f aca="false">I18+J18</f>
        <v>120.7</v>
      </c>
      <c r="L18" s="51" t="n">
        <f aca="false">F18-(I18-X18)</f>
        <v>-9.36362490547013</v>
      </c>
      <c r="M18" s="51" t="n">
        <v>3.7</v>
      </c>
      <c r="N18" s="51" t="n">
        <v>0</v>
      </c>
      <c r="O18" s="51" t="n">
        <v>0</v>
      </c>
      <c r="P18" s="6" t="n">
        <f aca="false">M18-(N18+O18)</f>
        <v>3.7</v>
      </c>
      <c r="Q18" s="51" t="n">
        <v>0</v>
      </c>
      <c r="R18" s="51" t="n">
        <v>0</v>
      </c>
      <c r="S18" s="51" t="n">
        <f aca="false">SUM(P18:R18)</f>
        <v>3.7</v>
      </c>
      <c r="T18" s="52"/>
      <c r="U18" s="51" t="n">
        <v>0</v>
      </c>
      <c r="V18" s="51" t="n">
        <v>30.5</v>
      </c>
      <c r="W18" s="52" t="n">
        <f aca="false">W17-V18</f>
        <v>11090.97</v>
      </c>
      <c r="X18" s="6" t="n">
        <f aca="false">N18+O18+S18+U18+V18</f>
        <v>34.2</v>
      </c>
      <c r="Y18" s="51" t="n">
        <f aca="false">IF(L18&lt;0,L18*-1,0)</f>
        <v>9.36362490547013</v>
      </c>
      <c r="Z18" s="51" t="n">
        <f aca="false">X18+Y18</f>
        <v>43.5636249054701</v>
      </c>
      <c r="AA18" s="53" t="n">
        <v>0</v>
      </c>
      <c r="AB18" s="79" t="n">
        <v>36</v>
      </c>
      <c r="AC18" s="56" t="n">
        <v>27</v>
      </c>
      <c r="AD18" s="57" t="n">
        <f aca="false">AD17+1</f>
        <v>9</v>
      </c>
      <c r="AE18" s="85"/>
      <c r="AF18" s="87"/>
      <c r="AG18" s="86"/>
    </row>
    <row r="19" customFormat="false" ht="11.1" hidden="false" customHeight="true" outlineLevel="0" collapsed="false">
      <c r="A19" s="57" t="n">
        <f aca="false">A18+1</f>
        <v>10</v>
      </c>
      <c r="B19" s="71" t="n">
        <v>6904.89</v>
      </c>
      <c r="C19" s="52" t="n">
        <v>301976</v>
      </c>
      <c r="D19" s="56" t="n">
        <f aca="false">C19-C18</f>
        <v>116</v>
      </c>
      <c r="E19" s="52" t="n">
        <f aca="false">C19-152000</f>
        <v>149976</v>
      </c>
      <c r="F19" s="51" t="n">
        <f aca="false">D19/$D$2</f>
        <v>58.4824804638266</v>
      </c>
      <c r="G19" s="51" t="n">
        <v>80.6</v>
      </c>
      <c r="H19" s="97" t="n">
        <v>9.9</v>
      </c>
      <c r="I19" s="51" t="n">
        <f aca="false">G19+H19</f>
        <v>90.5</v>
      </c>
      <c r="J19" s="78" t="n">
        <f aca="false">IF(L19&gt;0,L19,0)</f>
        <v>2.18248046382657</v>
      </c>
      <c r="K19" s="51" t="n">
        <f aca="false">I19+J19</f>
        <v>92.6824804638266</v>
      </c>
      <c r="L19" s="51" t="n">
        <f aca="false">F19-(I19-X19)</f>
        <v>2.18248046382657</v>
      </c>
      <c r="M19" s="98" t="n">
        <v>3.7</v>
      </c>
      <c r="N19" s="98" t="n">
        <v>0</v>
      </c>
      <c r="O19" s="51" t="n">
        <v>0</v>
      </c>
      <c r="P19" s="6" t="n">
        <f aca="false">M19-(N19+O19)</f>
        <v>3.7</v>
      </c>
      <c r="Q19" s="51" t="n">
        <v>0</v>
      </c>
      <c r="R19" s="51" t="n">
        <v>0</v>
      </c>
      <c r="S19" s="51" t="n">
        <f aca="false">SUM(P19:R19)</f>
        <v>3.7</v>
      </c>
      <c r="T19" s="52"/>
      <c r="U19" s="51" t="n">
        <v>0</v>
      </c>
      <c r="V19" s="51" t="n">
        <v>30.5</v>
      </c>
      <c r="W19" s="52" t="n">
        <f aca="false">W18-V19</f>
        <v>11060.47</v>
      </c>
      <c r="X19" s="6" t="n">
        <f aca="false">N19+O19+S19+U19+V19</f>
        <v>34.2</v>
      </c>
      <c r="Y19" s="51" t="n">
        <f aca="false">IF(L19&lt;0,L19*-1,0)</f>
        <v>0</v>
      </c>
      <c r="Z19" s="51" t="n">
        <f aca="false">X19+Y19</f>
        <v>34.2</v>
      </c>
      <c r="AA19" s="53" t="n">
        <v>0</v>
      </c>
      <c r="AB19" s="56" t="n">
        <v>43</v>
      </c>
      <c r="AC19" s="56" t="n">
        <v>19</v>
      </c>
      <c r="AD19" s="57" t="n">
        <f aca="false">AD18+1</f>
        <v>10</v>
      </c>
      <c r="AE19" s="85"/>
      <c r="AF19" s="87"/>
      <c r="AG19" s="86"/>
    </row>
    <row r="20" customFormat="false" ht="11.1" hidden="false" customHeight="true" outlineLevel="0" collapsed="false">
      <c r="A20" s="57" t="n">
        <f aca="false">A19+1</f>
        <v>11</v>
      </c>
      <c r="B20" s="71" t="n">
        <v>6904.92</v>
      </c>
      <c r="C20" s="52" t="n">
        <v>302090</v>
      </c>
      <c r="D20" s="56" t="n">
        <f aca="false">C20-C19</f>
        <v>114</v>
      </c>
      <c r="E20" s="52" t="n">
        <f aca="false">C20-152000</f>
        <v>150090</v>
      </c>
      <c r="F20" s="51" t="n">
        <f aca="false">D20/$D$2</f>
        <v>57.4741618351399</v>
      </c>
      <c r="G20" s="51" t="n">
        <v>94</v>
      </c>
      <c r="H20" s="97" t="n">
        <v>9.6</v>
      </c>
      <c r="I20" s="51" t="n">
        <f aca="false">G20+H20</f>
        <v>103.6</v>
      </c>
      <c r="J20" s="78" t="n">
        <f aca="false">IF(L20&gt;0,L20,0)</f>
        <v>0</v>
      </c>
      <c r="K20" s="51" t="n">
        <f aca="false">I20+J20</f>
        <v>103.6</v>
      </c>
      <c r="L20" s="51" t="n">
        <f aca="false">F20-(I20-X20)</f>
        <v>-11.9258381648601</v>
      </c>
      <c r="M20" s="98" t="n">
        <v>3.7</v>
      </c>
      <c r="N20" s="98" t="n">
        <v>0</v>
      </c>
      <c r="O20" s="51" t="n">
        <v>0</v>
      </c>
      <c r="P20" s="6" t="n">
        <f aca="false">M20-(N20+O20)</f>
        <v>3.7</v>
      </c>
      <c r="Q20" s="51" t="n">
        <v>0</v>
      </c>
      <c r="R20" s="51" t="n">
        <v>0</v>
      </c>
      <c r="S20" s="51" t="n">
        <f aca="false">SUM(P20:R20)</f>
        <v>3.7</v>
      </c>
      <c r="T20" s="52"/>
      <c r="U20" s="51" t="n">
        <v>0</v>
      </c>
      <c r="V20" s="51" t="n">
        <v>30.5</v>
      </c>
      <c r="W20" s="52" t="n">
        <f aca="false">W19-V20</f>
        <v>11029.97</v>
      </c>
      <c r="X20" s="6" t="n">
        <f aca="false">N20+O20+S20+U20+V20</f>
        <v>34.2</v>
      </c>
      <c r="Y20" s="51" t="n">
        <f aca="false">IF(L20&lt;0,L20*-1,0)</f>
        <v>11.9258381648601</v>
      </c>
      <c r="Z20" s="51" t="n">
        <f aca="false">X20+Y20</f>
        <v>46.1258381648601</v>
      </c>
      <c r="AA20" s="53" t="n">
        <v>0</v>
      </c>
      <c r="AB20" s="56" t="n">
        <v>50</v>
      </c>
      <c r="AC20" s="56" t="n">
        <v>24</v>
      </c>
      <c r="AD20" s="57" t="n">
        <f aca="false">AD19+1</f>
        <v>11</v>
      </c>
      <c r="AE20" s="85"/>
      <c r="AF20" s="87"/>
      <c r="AG20" s="86"/>
    </row>
    <row r="21" customFormat="false" ht="11.1" hidden="false" customHeight="true" outlineLevel="0" collapsed="false">
      <c r="A21" s="57" t="n">
        <f aca="false">A20+1</f>
        <v>12</v>
      </c>
      <c r="B21" s="71" t="n">
        <v>6904.94</v>
      </c>
      <c r="C21" s="52" t="n">
        <v>302166</v>
      </c>
      <c r="D21" s="56" t="n">
        <f aca="false">C21-C20</f>
        <v>76</v>
      </c>
      <c r="E21" s="52" t="n">
        <f aca="false">C21-152000</f>
        <v>150166</v>
      </c>
      <c r="F21" s="51" t="n">
        <f aca="false">D21/$D$2</f>
        <v>38.3161078900933</v>
      </c>
      <c r="G21" s="51" t="n">
        <v>108.9</v>
      </c>
      <c r="H21" s="97" t="n">
        <v>9.5</v>
      </c>
      <c r="I21" s="51" t="n">
        <f aca="false">G21+H21</f>
        <v>118.4</v>
      </c>
      <c r="J21" s="78" t="n">
        <f aca="false">IF(L21&gt;0,L21,0)</f>
        <v>0</v>
      </c>
      <c r="K21" s="51" t="n">
        <f aca="false">I21+J21</f>
        <v>118.4</v>
      </c>
      <c r="L21" s="51" t="n">
        <f aca="false">F21-(I21-X21)</f>
        <v>-45.8838921099067</v>
      </c>
      <c r="M21" s="98" t="n">
        <v>3.7</v>
      </c>
      <c r="N21" s="98" t="n">
        <v>0</v>
      </c>
      <c r="O21" s="51" t="n">
        <v>0</v>
      </c>
      <c r="P21" s="6" t="n">
        <f aca="false">M21-(N21+O21)</f>
        <v>3.7</v>
      </c>
      <c r="Q21" s="51" t="n">
        <v>0</v>
      </c>
      <c r="R21" s="51" t="n">
        <v>0</v>
      </c>
      <c r="S21" s="51" t="n">
        <f aca="false">SUM(P21:R21)</f>
        <v>3.7</v>
      </c>
      <c r="T21" s="52"/>
      <c r="U21" s="51" t="n">
        <v>0</v>
      </c>
      <c r="V21" s="51" t="n">
        <v>30.5</v>
      </c>
      <c r="W21" s="52" t="n">
        <f aca="false">W20-V21</f>
        <v>10999.47</v>
      </c>
      <c r="X21" s="6" t="n">
        <f aca="false">N21+O21+S21+U21+V21</f>
        <v>34.2</v>
      </c>
      <c r="Y21" s="51" t="n">
        <f aca="false">IF(L21&lt;0,L21*-1,0)</f>
        <v>45.8838921099067</v>
      </c>
      <c r="Z21" s="51" t="n">
        <f aca="false">X21+Y21</f>
        <v>80.0838921099068</v>
      </c>
      <c r="AA21" s="53" t="n">
        <v>0</v>
      </c>
      <c r="AB21" s="56" t="n">
        <v>53</v>
      </c>
      <c r="AC21" s="56" t="n">
        <v>26</v>
      </c>
      <c r="AD21" s="57" t="n">
        <f aca="false">AD20+1</f>
        <v>12</v>
      </c>
      <c r="AE21" s="85"/>
      <c r="AF21" s="87"/>
      <c r="AG21" s="86"/>
    </row>
    <row r="22" customFormat="false" ht="11.1" hidden="false" customHeight="true" outlineLevel="0" collapsed="false">
      <c r="A22" s="57" t="n">
        <f aca="false">A21+1</f>
        <v>13</v>
      </c>
      <c r="B22" s="71" t="n">
        <v>6905.02</v>
      </c>
      <c r="C22" s="52" t="n">
        <v>302473</v>
      </c>
      <c r="D22" s="56" t="n">
        <f aca="false">C22-C21</f>
        <v>307</v>
      </c>
      <c r="E22" s="52" t="n">
        <f aca="false">C22-152000</f>
        <v>150473</v>
      </c>
      <c r="F22" s="51" t="n">
        <f aca="false">D22/$D$2</f>
        <v>154.776909503403</v>
      </c>
      <c r="G22" s="51" t="n">
        <v>121.1</v>
      </c>
      <c r="H22" s="97" t="n">
        <v>11.8</v>
      </c>
      <c r="I22" s="51" t="n">
        <f aca="false">G22+H22</f>
        <v>132.9</v>
      </c>
      <c r="J22" s="78" t="n">
        <f aca="false">IF(L22&gt;0,L22,0)</f>
        <v>56.0769095034031</v>
      </c>
      <c r="K22" s="51" t="n">
        <f aca="false">I22+J22</f>
        <v>188.976909503403</v>
      </c>
      <c r="L22" s="51" t="n">
        <f aca="false">F22-(I22-X22)</f>
        <v>56.0769095034031</v>
      </c>
      <c r="M22" s="98" t="n">
        <v>3.7</v>
      </c>
      <c r="N22" s="98" t="n">
        <v>0</v>
      </c>
      <c r="O22" s="51" t="n">
        <v>0</v>
      </c>
      <c r="P22" s="6" t="n">
        <f aca="false">M22-(N22+O22)</f>
        <v>3.7</v>
      </c>
      <c r="Q22" s="51" t="n">
        <v>0</v>
      </c>
      <c r="R22" s="51" t="n">
        <v>0</v>
      </c>
      <c r="S22" s="51" t="n">
        <f aca="false">SUM(P22:R22)</f>
        <v>3.7</v>
      </c>
      <c r="T22" s="52"/>
      <c r="U22" s="51" t="n">
        <v>0</v>
      </c>
      <c r="V22" s="51" t="n">
        <v>30.5</v>
      </c>
      <c r="W22" s="52" t="n">
        <f aca="false">W21-V22</f>
        <v>10968.97</v>
      </c>
      <c r="X22" s="6" t="n">
        <f aca="false">N22+O22+S22+U22+V22</f>
        <v>34.2</v>
      </c>
      <c r="Y22" s="51" t="n">
        <f aca="false">IF(L22&lt;0,L22*-1,0)</f>
        <v>0</v>
      </c>
      <c r="Z22" s="51" t="n">
        <f aca="false">X22+Y22</f>
        <v>34.2</v>
      </c>
      <c r="AA22" s="53" t="n">
        <v>0</v>
      </c>
      <c r="AB22" s="56" t="n">
        <v>56</v>
      </c>
      <c r="AC22" s="56" t="n">
        <v>28</v>
      </c>
      <c r="AD22" s="57" t="n">
        <f aca="false">AD21+1</f>
        <v>13</v>
      </c>
      <c r="AE22" s="85"/>
      <c r="AF22" s="87"/>
      <c r="AG22" s="86"/>
    </row>
    <row r="23" customFormat="false" ht="11.1" hidden="false" customHeight="true" outlineLevel="0" collapsed="false">
      <c r="A23" s="57" t="n">
        <f aca="false">A22+1</f>
        <v>14</v>
      </c>
      <c r="B23" s="71" t="n">
        <v>6905.11</v>
      </c>
      <c r="C23" s="52" t="n">
        <v>302820</v>
      </c>
      <c r="D23" s="56" t="n">
        <f aca="false">C23-C22</f>
        <v>347</v>
      </c>
      <c r="E23" s="52" t="n">
        <f aca="false">C23-152000</f>
        <v>150820</v>
      </c>
      <c r="F23" s="51" t="n">
        <f aca="false">D23/$D$2</f>
        <v>174.943282077136</v>
      </c>
      <c r="G23" s="51" t="n">
        <v>139.4</v>
      </c>
      <c r="H23" s="93" t="n">
        <v>14.9</v>
      </c>
      <c r="I23" s="51" t="n">
        <f aca="false">G23+H23</f>
        <v>154.3</v>
      </c>
      <c r="J23" s="78" t="n">
        <f aca="false">IF(L23&gt;0,L23,0)</f>
        <v>54.8432820771364</v>
      </c>
      <c r="K23" s="51" t="n">
        <f aca="false">I23+J23</f>
        <v>209.143282077136</v>
      </c>
      <c r="L23" s="51" t="n">
        <f aca="false">F23-(I23-X23)</f>
        <v>54.8432820771364</v>
      </c>
      <c r="M23" s="51" t="n">
        <v>3.7</v>
      </c>
      <c r="N23" s="51" t="n">
        <v>0</v>
      </c>
      <c r="O23" s="51" t="n">
        <v>0</v>
      </c>
      <c r="P23" s="6" t="n">
        <f aca="false">M23-(N23+O23)</f>
        <v>3.7</v>
      </c>
      <c r="Q23" s="51" t="n">
        <v>0</v>
      </c>
      <c r="R23" s="51" t="n">
        <v>0</v>
      </c>
      <c r="S23" s="51" t="n">
        <f aca="false">SUM(P23:R23)</f>
        <v>3.7</v>
      </c>
      <c r="T23" s="52"/>
      <c r="U23" s="51" t="n">
        <v>0</v>
      </c>
      <c r="V23" s="51" t="n">
        <v>30.5</v>
      </c>
      <c r="W23" s="52" t="n">
        <f aca="false">W22-V23</f>
        <v>10938.47</v>
      </c>
      <c r="X23" s="6" t="n">
        <f aca="false">N23+O23+S23+U23+V23</f>
        <v>34.2</v>
      </c>
      <c r="Y23" s="51" t="n">
        <f aca="false">IF(L23&lt;0,L23*-1,0)</f>
        <v>0</v>
      </c>
      <c r="Z23" s="51" t="n">
        <f aca="false">X23+Y23</f>
        <v>34.2</v>
      </c>
      <c r="AA23" s="53" t="n">
        <v>0</v>
      </c>
      <c r="AB23" s="79" t="n">
        <v>56</v>
      </c>
      <c r="AC23" s="56" t="n">
        <v>29</v>
      </c>
      <c r="AD23" s="57" t="n">
        <f aca="false">AD22+1</f>
        <v>14</v>
      </c>
      <c r="AE23" s="85"/>
      <c r="AF23" s="87"/>
      <c r="AG23" s="86"/>
    </row>
    <row r="24" customFormat="false" ht="11.1" hidden="false" customHeight="true" outlineLevel="0" collapsed="false">
      <c r="A24" s="57" t="n">
        <f aca="false">A23+1</f>
        <v>15</v>
      </c>
      <c r="B24" s="71" t="n">
        <v>6905.15</v>
      </c>
      <c r="C24" s="52" t="n">
        <v>302974</v>
      </c>
      <c r="D24" s="56" t="n">
        <f aca="false">C24-C23</f>
        <v>154</v>
      </c>
      <c r="E24" s="52" t="n">
        <f aca="false">C24-152000</f>
        <v>150974</v>
      </c>
      <c r="F24" s="51" t="n">
        <f aca="false">D24/$D$2</f>
        <v>77.6405344088732</v>
      </c>
      <c r="G24" s="51" t="n">
        <v>162.2</v>
      </c>
      <c r="H24" s="93" t="n">
        <v>21.5</v>
      </c>
      <c r="I24" s="51" t="n">
        <f aca="false">G24+H24</f>
        <v>183.7</v>
      </c>
      <c r="J24" s="78" t="n">
        <f aca="false">IF(L24&gt;0,L24,0)</f>
        <v>0</v>
      </c>
      <c r="K24" s="51" t="n">
        <f aca="false">I24+J24</f>
        <v>183.7</v>
      </c>
      <c r="L24" s="51" t="n">
        <f aca="false">F24-(I24-X24)</f>
        <v>-71.8594655911268</v>
      </c>
      <c r="M24" s="51" t="n">
        <v>3.7</v>
      </c>
      <c r="N24" s="51" t="n">
        <v>0</v>
      </c>
      <c r="O24" s="51" t="n">
        <v>0</v>
      </c>
      <c r="P24" s="6" t="n">
        <f aca="false">M24-(N24+O24)</f>
        <v>3.7</v>
      </c>
      <c r="Q24" s="51" t="n">
        <v>0</v>
      </c>
      <c r="R24" s="51" t="n">
        <v>0</v>
      </c>
      <c r="S24" s="51" t="n">
        <f aca="false">SUM(P24:R24)</f>
        <v>3.7</v>
      </c>
      <c r="T24" s="52"/>
      <c r="U24" s="51" t="n">
        <v>0</v>
      </c>
      <c r="V24" s="51" t="n">
        <v>30.5</v>
      </c>
      <c r="W24" s="52" t="n">
        <f aca="false">W23-V24</f>
        <v>10907.97</v>
      </c>
      <c r="X24" s="6" t="n">
        <f aca="false">N24+O24+S24+U24+V24</f>
        <v>34.2</v>
      </c>
      <c r="Y24" s="51" t="n">
        <f aca="false">IF(L24&lt;0,L24*-1,0)</f>
        <v>71.8594655911268</v>
      </c>
      <c r="Z24" s="51" t="n">
        <f aca="false">X24+Y24</f>
        <v>106.059465591127</v>
      </c>
      <c r="AA24" s="53" t="n">
        <v>0</v>
      </c>
      <c r="AB24" s="79" t="n">
        <v>58</v>
      </c>
      <c r="AC24" s="56" t="n">
        <v>30</v>
      </c>
      <c r="AD24" s="57" t="n">
        <f aca="false">AD23+1</f>
        <v>15</v>
      </c>
      <c r="AE24" s="85"/>
      <c r="AF24" s="87"/>
      <c r="AG24" s="86"/>
    </row>
    <row r="25" customFormat="false" ht="11.1" hidden="false" customHeight="true" outlineLevel="0" collapsed="false">
      <c r="A25" s="57" t="n">
        <f aca="false">A24+1</f>
        <v>16</v>
      </c>
      <c r="B25" s="71" t="n">
        <v>6905.24</v>
      </c>
      <c r="C25" s="52" t="n">
        <v>303322</v>
      </c>
      <c r="D25" s="56" t="n">
        <f aca="false">C25-C24</f>
        <v>348</v>
      </c>
      <c r="E25" s="52" t="n">
        <f aca="false">C25-152000</f>
        <v>151322</v>
      </c>
      <c r="F25" s="51" t="n">
        <f aca="false">D25/$D$2</f>
        <v>175.44744139148</v>
      </c>
      <c r="G25" s="51" t="n">
        <v>176</v>
      </c>
      <c r="H25" s="93" t="n">
        <v>24</v>
      </c>
      <c r="I25" s="51" t="n">
        <f aca="false">G25+H25</f>
        <v>200</v>
      </c>
      <c r="J25" s="78" t="n">
        <f aca="false">IF(L25&gt;0,L25,0)</f>
        <v>9.6474413914797</v>
      </c>
      <c r="K25" s="51" t="n">
        <f aca="false">I25+J25</f>
        <v>209.64744139148</v>
      </c>
      <c r="L25" s="51" t="n">
        <f aca="false">F25-(I25-X25)</f>
        <v>9.6474413914797</v>
      </c>
      <c r="M25" s="51" t="n">
        <v>3.7</v>
      </c>
      <c r="N25" s="51" t="n">
        <v>0</v>
      </c>
      <c r="O25" s="51" t="n">
        <v>0</v>
      </c>
      <c r="P25" s="6" t="n">
        <f aca="false">M25-(N25+O25)</f>
        <v>3.7</v>
      </c>
      <c r="Q25" s="51" t="n">
        <v>0</v>
      </c>
      <c r="R25" s="51" t="n">
        <v>0</v>
      </c>
      <c r="S25" s="51" t="n">
        <f aca="false">SUM(P25:R25)</f>
        <v>3.7</v>
      </c>
      <c r="T25" s="52"/>
      <c r="U25" s="51" t="n">
        <v>0</v>
      </c>
      <c r="V25" s="51" t="n">
        <v>30.5</v>
      </c>
      <c r="W25" s="52" t="n">
        <f aca="false">W24-V25</f>
        <v>10877.47</v>
      </c>
      <c r="X25" s="6" t="n">
        <f aca="false">N25+O25+S25+U25+V25</f>
        <v>34.2</v>
      </c>
      <c r="Y25" s="51" t="n">
        <f aca="false">IF(L25&lt;0,L25*-1,0)</f>
        <v>0</v>
      </c>
      <c r="Z25" s="51" t="n">
        <f aca="false">X25+Y25</f>
        <v>34.2</v>
      </c>
      <c r="AA25" s="53" t="n">
        <v>0</v>
      </c>
      <c r="AB25" s="79" t="n">
        <v>46</v>
      </c>
      <c r="AC25" s="56" t="n">
        <v>32</v>
      </c>
      <c r="AD25" s="57" t="n">
        <f aca="false">AD24+1</f>
        <v>16</v>
      </c>
      <c r="AE25" s="85"/>
      <c r="AF25" s="88"/>
      <c r="AG25" s="86"/>
    </row>
    <row r="26" customFormat="false" ht="11.1" hidden="false" customHeight="true" outlineLevel="0" collapsed="false">
      <c r="A26" s="57" t="n">
        <f aca="false">A25+1</f>
        <v>17</v>
      </c>
      <c r="B26" s="71" t="n">
        <v>6905.32</v>
      </c>
      <c r="C26" s="52" t="n">
        <v>303629</v>
      </c>
      <c r="D26" s="56" t="n">
        <f aca="false">C26-C25</f>
        <v>307</v>
      </c>
      <c r="E26" s="52" t="n">
        <f aca="false">C26-152000</f>
        <v>151629</v>
      </c>
      <c r="F26" s="51" t="n">
        <f aca="false">D26/$D$2</f>
        <v>154.776909503403</v>
      </c>
      <c r="G26" s="51" t="n">
        <v>164.5</v>
      </c>
      <c r="H26" s="93" t="n">
        <v>21.4</v>
      </c>
      <c r="I26" s="51" t="n">
        <f aca="false">G26+H26</f>
        <v>185.9</v>
      </c>
      <c r="J26" s="78" t="n">
        <f aca="false">IF(L26&gt;0,L26,0)</f>
        <v>3.07690950340307</v>
      </c>
      <c r="K26" s="51" t="n">
        <f aca="false">I26+J26</f>
        <v>188.976909503403</v>
      </c>
      <c r="L26" s="51" t="n">
        <f aca="false">F26-(I26-X26)</f>
        <v>3.07690950340307</v>
      </c>
      <c r="M26" s="51" t="n">
        <v>3.7</v>
      </c>
      <c r="N26" s="51" t="n">
        <v>0</v>
      </c>
      <c r="O26" s="51" t="n">
        <v>0</v>
      </c>
      <c r="P26" s="6" t="n">
        <f aca="false">M26-(N26+O26)</f>
        <v>3.7</v>
      </c>
      <c r="Q26" s="51" t="n">
        <v>0</v>
      </c>
      <c r="R26" s="51" t="n">
        <v>0</v>
      </c>
      <c r="S26" s="51" t="n">
        <f aca="false">SUM(P26:R26)</f>
        <v>3.7</v>
      </c>
      <c r="T26" s="52"/>
      <c r="U26" s="51" t="n">
        <v>0</v>
      </c>
      <c r="V26" s="51" t="n">
        <v>30.5</v>
      </c>
      <c r="W26" s="52" t="n">
        <f aca="false">W25-V26</f>
        <v>10846.97</v>
      </c>
      <c r="X26" s="6" t="n">
        <f aca="false">N26+O26+S26+U26+V26</f>
        <v>34.2</v>
      </c>
      <c r="Y26" s="51" t="n">
        <f aca="false">IF(L26&lt;0,L26*-1,0)</f>
        <v>0</v>
      </c>
      <c r="Z26" s="51" t="n">
        <f aca="false">X26+Y26</f>
        <v>34.2</v>
      </c>
      <c r="AA26" s="53" t="n">
        <v>0</v>
      </c>
      <c r="AB26" s="79" t="n">
        <v>57</v>
      </c>
      <c r="AC26" s="56" t="n">
        <v>30</v>
      </c>
      <c r="AD26" s="57" t="n">
        <f aca="false">AD25+1</f>
        <v>17</v>
      </c>
      <c r="AE26" s="85"/>
      <c r="AF26" s="87"/>
      <c r="AG26" s="86"/>
    </row>
    <row r="27" customFormat="false" ht="11.1" hidden="false" customHeight="true" outlineLevel="0" collapsed="false">
      <c r="A27" s="57" t="n">
        <f aca="false">A26+1</f>
        <v>18</v>
      </c>
      <c r="B27" s="71" t="n">
        <v>6905.42</v>
      </c>
      <c r="C27" s="52" t="n">
        <v>304015</v>
      </c>
      <c r="D27" s="56" t="n">
        <f aca="false">C27-C26</f>
        <v>386</v>
      </c>
      <c r="E27" s="52" t="n">
        <f aca="false">C27-152000</f>
        <v>152015</v>
      </c>
      <c r="F27" s="51" t="n">
        <f aca="false">D27/$D$2</f>
        <v>194.605495336526</v>
      </c>
      <c r="G27" s="51" t="n">
        <v>141.6</v>
      </c>
      <c r="H27" s="93" t="n">
        <v>14.5</v>
      </c>
      <c r="I27" s="51" t="n">
        <f aca="false">G27+H27</f>
        <v>156.1</v>
      </c>
      <c r="J27" s="78" t="n">
        <f aca="false">IF(L27&gt;0,L27,0)</f>
        <v>73.0054953365263</v>
      </c>
      <c r="K27" s="51" t="n">
        <f aca="false">I27+J27</f>
        <v>229.105495336526</v>
      </c>
      <c r="L27" s="51" t="n">
        <f aca="false">F27-(I27-X27)</f>
        <v>73.0054953365263</v>
      </c>
      <c r="M27" s="51" t="n">
        <v>4.4</v>
      </c>
      <c r="N27" s="51" t="n">
        <v>0</v>
      </c>
      <c r="O27" s="51" t="n">
        <v>0</v>
      </c>
      <c r="P27" s="6" t="n">
        <f aca="false">M27-(N27+O27)</f>
        <v>4.4</v>
      </c>
      <c r="Q27" s="51" t="n">
        <v>0</v>
      </c>
      <c r="R27" s="51" t="n">
        <v>0</v>
      </c>
      <c r="S27" s="51" t="n">
        <f aca="false">SUM(P27:R27)</f>
        <v>4.4</v>
      </c>
      <c r="T27" s="52"/>
      <c r="U27" s="51" t="n">
        <v>0</v>
      </c>
      <c r="V27" s="51" t="n">
        <v>30.1</v>
      </c>
      <c r="W27" s="52" t="n">
        <f aca="false">W26-V27</f>
        <v>10816.87</v>
      </c>
      <c r="X27" s="6" t="n">
        <f aca="false">N27+O27+S27+U27+V27</f>
        <v>34.5</v>
      </c>
      <c r="Y27" s="51" t="n">
        <f aca="false">IF(L27&lt;0,L27*-1,0)</f>
        <v>0</v>
      </c>
      <c r="Z27" s="51" t="n">
        <f aca="false">X27+Y27</f>
        <v>34.5</v>
      </c>
      <c r="AA27" s="53" t="n">
        <v>0</v>
      </c>
      <c r="AB27" s="79" t="n">
        <v>55</v>
      </c>
      <c r="AC27" s="56" t="n">
        <v>26</v>
      </c>
      <c r="AD27" s="57" t="n">
        <f aca="false">AD26+1</f>
        <v>18</v>
      </c>
      <c r="AE27" s="85"/>
      <c r="AF27" s="87"/>
      <c r="AG27" s="86"/>
    </row>
    <row r="28" customFormat="false" ht="11.1" hidden="false" customHeight="true" outlineLevel="0" collapsed="false">
      <c r="A28" s="57" t="n">
        <f aca="false">A27+1</f>
        <v>19</v>
      </c>
      <c r="B28" s="71" t="n">
        <v>6905.47</v>
      </c>
      <c r="C28" s="91" t="n">
        <v>304209</v>
      </c>
      <c r="D28" s="56" t="n">
        <f aca="false">C28-C27</f>
        <v>194</v>
      </c>
      <c r="E28" s="52" t="n">
        <f aca="false">C28-152000</f>
        <v>152209</v>
      </c>
      <c r="F28" s="51" t="n">
        <f aca="false">D28/$D$2</f>
        <v>97.8069069826065</v>
      </c>
      <c r="G28" s="51" t="n">
        <v>119.1</v>
      </c>
      <c r="H28" s="93" t="n">
        <v>10</v>
      </c>
      <c r="I28" s="51" t="n">
        <f aca="false">G28+H28</f>
        <v>129.1</v>
      </c>
      <c r="J28" s="78" t="n">
        <f aca="false">IF(L28&gt;0,L28,0)</f>
        <v>3.20690698260651</v>
      </c>
      <c r="K28" s="51" t="n">
        <f aca="false">I28+J28</f>
        <v>132.306906982607</v>
      </c>
      <c r="L28" s="51" t="n">
        <f aca="false">F28-(I28-X28)</f>
        <v>3.20690698260651</v>
      </c>
      <c r="M28" s="51" t="n">
        <v>4.1</v>
      </c>
      <c r="N28" s="51" t="n">
        <v>0</v>
      </c>
      <c r="O28" s="51" t="n">
        <v>0</v>
      </c>
      <c r="P28" s="6" t="n">
        <f aca="false">M28-(N28+O28)</f>
        <v>4.1</v>
      </c>
      <c r="Q28" s="51" t="n">
        <v>0</v>
      </c>
      <c r="R28" s="51" t="n">
        <v>0</v>
      </c>
      <c r="S28" s="51" t="n">
        <f aca="false">SUM(P28:R28)</f>
        <v>4.1</v>
      </c>
      <c r="T28" s="52"/>
      <c r="U28" s="51" t="n">
        <v>0</v>
      </c>
      <c r="V28" s="51" t="n">
        <v>30.4</v>
      </c>
      <c r="W28" s="52" t="n">
        <f aca="false">W27-V28</f>
        <v>10786.47</v>
      </c>
      <c r="X28" s="6" t="n">
        <f aca="false">N28+O28+S28+U28+V28</f>
        <v>34.5</v>
      </c>
      <c r="Y28" s="51" t="n">
        <f aca="false">IF(L28&lt;0,L28*-1,0)</f>
        <v>0</v>
      </c>
      <c r="Z28" s="51" t="n">
        <f aca="false">X28+Y28</f>
        <v>34.5</v>
      </c>
      <c r="AA28" s="53" t="n">
        <v>0</v>
      </c>
      <c r="AB28" s="79" t="n">
        <v>51</v>
      </c>
      <c r="AC28" s="56" t="n">
        <v>21</v>
      </c>
      <c r="AD28" s="57" t="n">
        <f aca="false">AD27+1</f>
        <v>19</v>
      </c>
      <c r="AE28" s="85"/>
      <c r="AF28" s="87"/>
      <c r="AG28" s="86"/>
    </row>
    <row r="29" customFormat="false" ht="11.1" hidden="false" customHeight="true" outlineLevel="0" collapsed="false">
      <c r="A29" s="57" t="n">
        <f aca="false">A28+1</f>
        <v>20</v>
      </c>
      <c r="B29" s="71" t="n">
        <v>6905.49</v>
      </c>
      <c r="C29" s="52" t="n">
        <v>304286</v>
      </c>
      <c r="D29" s="56" t="n">
        <f aca="false">C29-C28</f>
        <v>77</v>
      </c>
      <c r="E29" s="52" t="n">
        <f aca="false">C29-152000</f>
        <v>152286</v>
      </c>
      <c r="F29" s="51" t="n">
        <f aca="false">D29/$D$2</f>
        <v>38.8202672044366</v>
      </c>
      <c r="G29" s="51" t="n">
        <v>111.9</v>
      </c>
      <c r="H29" s="93" t="n">
        <v>9.5</v>
      </c>
      <c r="I29" s="51" t="n">
        <f aca="false">G29+H29</f>
        <v>121.4</v>
      </c>
      <c r="J29" s="78" t="n">
        <f aca="false">IF(L29&gt;0,L29,0)</f>
        <v>0</v>
      </c>
      <c r="K29" s="51" t="n">
        <f aca="false">I29+J29</f>
        <v>121.4</v>
      </c>
      <c r="L29" s="51" t="n">
        <f aca="false">F29-(I29-X29)</f>
        <v>-47.9797327955634</v>
      </c>
      <c r="M29" s="51" t="n">
        <v>4.1</v>
      </c>
      <c r="N29" s="51" t="n">
        <v>0</v>
      </c>
      <c r="O29" s="51" t="n">
        <v>0</v>
      </c>
      <c r="P29" s="6" t="n">
        <f aca="false">M29-(N29+O29)</f>
        <v>4.1</v>
      </c>
      <c r="Q29" s="51" t="n">
        <v>0</v>
      </c>
      <c r="R29" s="51" t="n">
        <v>0</v>
      </c>
      <c r="S29" s="51" t="n">
        <f aca="false">SUM(P29:R29)</f>
        <v>4.1</v>
      </c>
      <c r="T29" s="52"/>
      <c r="U29" s="51" t="n">
        <v>0</v>
      </c>
      <c r="V29" s="51" t="n">
        <v>30.5</v>
      </c>
      <c r="W29" s="52" t="n">
        <f aca="false">W28-V29</f>
        <v>10755.97</v>
      </c>
      <c r="X29" s="6" t="n">
        <f aca="false">N29+O29+S29+U29+V29</f>
        <v>34.6</v>
      </c>
      <c r="Y29" s="51" t="n">
        <f aca="false">IF(L29&lt;0,L29*-1,0)</f>
        <v>47.9797327955634</v>
      </c>
      <c r="Z29" s="51" t="n">
        <f aca="false">X29+Y29</f>
        <v>82.5797327955634</v>
      </c>
      <c r="AA29" s="53" t="n">
        <v>0</v>
      </c>
      <c r="AB29" s="79" t="n">
        <v>50</v>
      </c>
      <c r="AC29" s="56" t="n">
        <v>24</v>
      </c>
      <c r="AD29" s="57" t="n">
        <f aca="false">AD28+1</f>
        <v>20</v>
      </c>
      <c r="AE29" s="85"/>
      <c r="AF29" s="87"/>
      <c r="AG29" s="86"/>
    </row>
    <row r="30" customFormat="false" ht="11.1" hidden="false" customHeight="true" outlineLevel="0" collapsed="false">
      <c r="A30" s="57" t="n">
        <f aca="false">A29+1</f>
        <v>21</v>
      </c>
      <c r="B30" s="71" t="n">
        <v>6905.5</v>
      </c>
      <c r="C30" s="52" t="n">
        <v>304324</v>
      </c>
      <c r="D30" s="56" t="n">
        <f aca="false">C30-C29</f>
        <v>38</v>
      </c>
      <c r="E30" s="52" t="n">
        <f aca="false">C30-152000</f>
        <v>152324</v>
      </c>
      <c r="F30" s="51" t="n">
        <f aca="false">D30/$D$2</f>
        <v>19.1580539450466</v>
      </c>
      <c r="G30" s="98" t="n">
        <v>130.4</v>
      </c>
      <c r="H30" s="93" t="n">
        <v>11.9</v>
      </c>
      <c r="I30" s="51" t="n">
        <f aca="false">G30+H30</f>
        <v>142.3</v>
      </c>
      <c r="J30" s="78" t="n">
        <f aca="false">IF(L30&gt;0,L30,0)</f>
        <v>0</v>
      </c>
      <c r="K30" s="51" t="n">
        <f aca="false">I30+J30</f>
        <v>142.3</v>
      </c>
      <c r="L30" s="51" t="n">
        <f aca="false">F30-(I30-X30)</f>
        <v>-88.5419460549534</v>
      </c>
      <c r="M30" s="51" t="n">
        <v>4.2</v>
      </c>
      <c r="N30" s="51" t="n">
        <v>0</v>
      </c>
      <c r="O30" s="51" t="n">
        <v>0</v>
      </c>
      <c r="P30" s="6" t="n">
        <f aca="false">M30-(N30+O30)</f>
        <v>4.2</v>
      </c>
      <c r="Q30" s="51" t="n">
        <v>0</v>
      </c>
      <c r="R30" s="51" t="n">
        <v>0</v>
      </c>
      <c r="S30" s="51" t="n">
        <f aca="false">SUM(P30:R30)</f>
        <v>4.2</v>
      </c>
      <c r="T30" s="52"/>
      <c r="U30" s="51" t="n">
        <v>0</v>
      </c>
      <c r="V30" s="51" t="n">
        <v>30.4</v>
      </c>
      <c r="W30" s="52" t="n">
        <f aca="false">W29-V30</f>
        <v>10725.57</v>
      </c>
      <c r="X30" s="6" t="n">
        <f aca="false">N30+O30+S30+U30+V30</f>
        <v>34.6</v>
      </c>
      <c r="Y30" s="51" t="n">
        <f aca="false">IF(L30&lt;0,L30*-1,0)</f>
        <v>88.5419460549534</v>
      </c>
      <c r="Z30" s="51" t="n">
        <f aca="false">X30+Y30</f>
        <v>123.141946054953</v>
      </c>
      <c r="AA30" s="53" t="n">
        <v>0.21</v>
      </c>
      <c r="AB30" s="56" t="n">
        <v>46</v>
      </c>
      <c r="AC30" s="56" t="n">
        <v>22</v>
      </c>
      <c r="AD30" s="57" t="n">
        <f aca="false">AD29+1</f>
        <v>21</v>
      </c>
      <c r="AE30" s="85"/>
      <c r="AF30" s="87"/>
      <c r="AG30" s="86"/>
    </row>
    <row r="31" customFormat="false" ht="11.1" hidden="false" customHeight="true" outlineLevel="0" collapsed="false">
      <c r="A31" s="57" t="n">
        <f aca="false">A30+1</f>
        <v>22</v>
      </c>
      <c r="B31" s="71" t="n">
        <v>6905.52</v>
      </c>
      <c r="C31" s="52" t="n">
        <v>304401</v>
      </c>
      <c r="D31" s="56" t="n">
        <f aca="false">C31-C30</f>
        <v>77</v>
      </c>
      <c r="E31" s="52" t="n">
        <f aca="false">C31-152000</f>
        <v>152401</v>
      </c>
      <c r="F31" s="51" t="n">
        <f aca="false">D31/$D$2</f>
        <v>38.8202672044366</v>
      </c>
      <c r="G31" s="51" t="n">
        <v>129.4</v>
      </c>
      <c r="H31" s="93" t="n">
        <v>11.9</v>
      </c>
      <c r="I31" s="51" t="n">
        <f aca="false">G31+H31</f>
        <v>141.3</v>
      </c>
      <c r="J31" s="78" t="n">
        <f aca="false">IF(L31&gt;0,L31,0)</f>
        <v>0</v>
      </c>
      <c r="K31" s="51" t="n">
        <f aca="false">I31+J31</f>
        <v>141.3</v>
      </c>
      <c r="L31" s="51" t="n">
        <f aca="false">F31-(I31-X31)</f>
        <v>-67.5797327955634</v>
      </c>
      <c r="M31" s="51" t="n">
        <v>4.4</v>
      </c>
      <c r="N31" s="51" t="n">
        <v>0</v>
      </c>
      <c r="O31" s="51" t="n">
        <v>0</v>
      </c>
      <c r="P31" s="6" t="n">
        <f aca="false">M31-(N31+O31)</f>
        <v>4.4</v>
      </c>
      <c r="Q31" s="51" t="n">
        <v>0</v>
      </c>
      <c r="R31" s="51" t="n">
        <v>0</v>
      </c>
      <c r="S31" s="51" t="n">
        <f aca="false">SUM(P31:R31)</f>
        <v>4.4</v>
      </c>
      <c r="T31" s="52"/>
      <c r="U31" s="51" t="n">
        <v>0</v>
      </c>
      <c r="V31" s="51" t="n">
        <v>30.5</v>
      </c>
      <c r="W31" s="52" t="n">
        <f aca="false">W30-V31</f>
        <v>10695.07</v>
      </c>
      <c r="X31" s="6" t="n">
        <f aca="false">N31+O31+S31+U31+V31</f>
        <v>34.9</v>
      </c>
      <c r="Y31" s="51" t="n">
        <f aca="false">IF(L31&lt;0,L31*-1,0)</f>
        <v>67.5797327955634</v>
      </c>
      <c r="Z31" s="51" t="n">
        <f aca="false">X31+Y31</f>
        <v>102.479732795563</v>
      </c>
      <c r="AA31" s="53" t="n">
        <v>0.16</v>
      </c>
      <c r="AB31" s="56" t="n">
        <v>45</v>
      </c>
      <c r="AC31" s="56" t="n">
        <v>26</v>
      </c>
      <c r="AD31" s="57" t="n">
        <f aca="false">AD30+1</f>
        <v>22</v>
      </c>
      <c r="AE31" s="85"/>
      <c r="AF31" s="87"/>
      <c r="AG31" s="86"/>
    </row>
    <row r="32" customFormat="false" ht="11.1" hidden="false" customHeight="true" outlineLevel="0" collapsed="false">
      <c r="A32" s="57" t="n">
        <f aca="false">A31+1</f>
        <v>23</v>
      </c>
      <c r="B32" s="71" t="n">
        <v>6905.61</v>
      </c>
      <c r="C32" s="52" t="n">
        <v>304747</v>
      </c>
      <c r="D32" s="56" t="n">
        <f aca="false">C32-C31</f>
        <v>346</v>
      </c>
      <c r="E32" s="52" t="n">
        <f aca="false">C32-152000</f>
        <v>152747</v>
      </c>
      <c r="F32" s="51" t="n">
        <f aca="false">D32/$D$2</f>
        <v>174.439122762793</v>
      </c>
      <c r="G32" s="51" t="n">
        <v>133.6</v>
      </c>
      <c r="H32" s="93" t="n">
        <v>15.3</v>
      </c>
      <c r="I32" s="51" t="n">
        <f aca="false">G32+H32</f>
        <v>148.9</v>
      </c>
      <c r="J32" s="78" t="n">
        <f aca="false">IF(L32&gt;0,L32,0)</f>
        <v>60.339122762793</v>
      </c>
      <c r="K32" s="51" t="n">
        <f aca="false">I32+J32</f>
        <v>209.239122762793</v>
      </c>
      <c r="L32" s="51" t="n">
        <f aca="false">F32-(I32-X32)</f>
        <v>60.339122762793</v>
      </c>
      <c r="M32" s="51" t="n">
        <v>4.3</v>
      </c>
      <c r="N32" s="51" t="n">
        <v>0</v>
      </c>
      <c r="O32" s="51" t="n">
        <v>0</v>
      </c>
      <c r="P32" s="6" t="n">
        <f aca="false">M32-(N32+O32)</f>
        <v>4.3</v>
      </c>
      <c r="Q32" s="51" t="n">
        <v>0</v>
      </c>
      <c r="R32" s="51" t="n">
        <v>0</v>
      </c>
      <c r="S32" s="51" t="n">
        <f aca="false">SUM(P32:R32)</f>
        <v>4.3</v>
      </c>
      <c r="T32" s="52"/>
      <c r="U32" s="51" t="n">
        <v>0</v>
      </c>
      <c r="V32" s="51" t="n">
        <v>30.5</v>
      </c>
      <c r="W32" s="52" t="n">
        <f aca="false">W31-V32</f>
        <v>10664.57</v>
      </c>
      <c r="X32" s="6" t="n">
        <f aca="false">N32+O32+S32+U32+V32</f>
        <v>34.8</v>
      </c>
      <c r="Y32" s="51" t="n">
        <f aca="false">IF(L32&lt;0,L32*-1,0)</f>
        <v>0</v>
      </c>
      <c r="Z32" s="51" t="n">
        <f aca="false">X32+Y32</f>
        <v>34.8</v>
      </c>
      <c r="AA32" s="53" t="n">
        <v>0</v>
      </c>
      <c r="AB32" s="56" t="n">
        <v>46</v>
      </c>
      <c r="AC32" s="79" t="n">
        <v>22</v>
      </c>
      <c r="AD32" s="57" t="n">
        <f aca="false">AD31+1</f>
        <v>23</v>
      </c>
      <c r="AE32" s="85"/>
      <c r="AF32" s="87"/>
      <c r="AG32" s="86"/>
    </row>
    <row r="33" customFormat="false" ht="11.1" hidden="false" customHeight="true" outlineLevel="0" collapsed="false">
      <c r="A33" s="57" t="n">
        <f aca="false">A32+1</f>
        <v>24</v>
      </c>
      <c r="B33" s="71" t="n">
        <v>6905.68</v>
      </c>
      <c r="C33" s="52" t="n">
        <v>305018</v>
      </c>
      <c r="D33" s="56" t="n">
        <f aca="false">C33-C32</f>
        <v>271</v>
      </c>
      <c r="E33" s="52" t="n">
        <f aca="false">C33-152000</f>
        <v>153018</v>
      </c>
      <c r="F33" s="51" t="n">
        <f aca="false">D33/$D$2</f>
        <v>136.627174187043</v>
      </c>
      <c r="G33" s="51" t="n">
        <v>127.8</v>
      </c>
      <c r="H33" s="93" t="n">
        <v>14.9</v>
      </c>
      <c r="I33" s="51" t="n">
        <f aca="false">G33+H33</f>
        <v>142.7</v>
      </c>
      <c r="J33" s="78" t="n">
        <f aca="false">IF(L33&gt;0,L33,0)</f>
        <v>184.127174187043</v>
      </c>
      <c r="K33" s="51" t="n">
        <f aca="false">I33+J33</f>
        <v>326.827174187043</v>
      </c>
      <c r="L33" s="51" t="n">
        <f aca="false">F33-(I33-X33)</f>
        <v>184.127174187043</v>
      </c>
      <c r="M33" s="51" t="n">
        <v>4.1</v>
      </c>
      <c r="N33" s="51" t="n">
        <v>0</v>
      </c>
      <c r="O33" s="51" t="n">
        <v>0</v>
      </c>
      <c r="P33" s="6" t="n">
        <f aca="false">M33-(N33+O33)</f>
        <v>4.1</v>
      </c>
      <c r="Q33" s="51" t="n">
        <v>155.6</v>
      </c>
      <c r="R33" s="51" t="n">
        <v>0</v>
      </c>
      <c r="S33" s="51" t="n">
        <f aca="false">SUM(P33:R33)</f>
        <v>159.7</v>
      </c>
      <c r="T33" s="52"/>
      <c r="U33" s="51" t="n">
        <v>0</v>
      </c>
      <c r="V33" s="51" t="n">
        <v>30.5</v>
      </c>
      <c r="W33" s="52" t="n">
        <f aca="false">W32-V33</f>
        <v>10634.07</v>
      </c>
      <c r="X33" s="6" t="n">
        <f aca="false">N33+O33+S33+U33+V33</f>
        <v>190.2</v>
      </c>
      <c r="Y33" s="51" t="n">
        <f aca="false">IF(L33&lt;0,L33*-1,0)</f>
        <v>0</v>
      </c>
      <c r="Z33" s="51" t="n">
        <f aca="false">X33+Y33</f>
        <v>190.2</v>
      </c>
      <c r="AA33" s="53" t="n">
        <v>0</v>
      </c>
      <c r="AB33" s="56" t="n">
        <v>50</v>
      </c>
      <c r="AC33" s="79" t="n">
        <v>30</v>
      </c>
      <c r="AD33" s="57" t="n">
        <f aca="false">AD32+1</f>
        <v>24</v>
      </c>
      <c r="AE33" s="85"/>
      <c r="AF33" s="87"/>
      <c r="AG33" s="86"/>
    </row>
    <row r="34" customFormat="false" ht="11.1" hidden="false" customHeight="true" outlineLevel="0" collapsed="false">
      <c r="A34" s="57" t="n">
        <f aca="false">A33+1</f>
        <v>25</v>
      </c>
      <c r="B34" s="71" t="n">
        <v>6905.79</v>
      </c>
      <c r="C34" s="52" t="n">
        <v>305442</v>
      </c>
      <c r="D34" s="56" t="n">
        <f aca="false">C34-C33</f>
        <v>424</v>
      </c>
      <c r="E34" s="52" t="n">
        <f aca="false">C34-152000</f>
        <v>153442</v>
      </c>
      <c r="F34" s="51" t="n">
        <f aca="false">D34/$D$2</f>
        <v>213.763549281573</v>
      </c>
      <c r="G34" s="51" t="n">
        <v>130.1</v>
      </c>
      <c r="H34" s="93" t="n">
        <v>17.3</v>
      </c>
      <c r="I34" s="51" t="n">
        <f aca="false">G34+H34</f>
        <v>147.4</v>
      </c>
      <c r="J34" s="78" t="n">
        <f aca="false">IF(L34&gt;0,L34,0)</f>
        <v>285.063549281573</v>
      </c>
      <c r="K34" s="51" t="n">
        <f aca="false">I34+J34</f>
        <v>432.463549281573</v>
      </c>
      <c r="L34" s="51" t="n">
        <f aca="false">F34-(I34-X34)</f>
        <v>285.063549281573</v>
      </c>
      <c r="M34" s="51" t="n">
        <v>4.1</v>
      </c>
      <c r="N34" s="51" t="n">
        <v>0</v>
      </c>
      <c r="O34" s="51" t="n">
        <v>0</v>
      </c>
      <c r="P34" s="6" t="n">
        <f aca="false">M34-(N34+O34)</f>
        <v>4.1</v>
      </c>
      <c r="Q34" s="51" t="n">
        <v>163.2</v>
      </c>
      <c r="R34" s="51" t="n">
        <v>20.9</v>
      </c>
      <c r="S34" s="51" t="n">
        <f aca="false">SUM(P34:R34)</f>
        <v>188.2</v>
      </c>
      <c r="T34" s="52"/>
      <c r="U34" s="51" t="n">
        <v>0</v>
      </c>
      <c r="V34" s="51" t="n">
        <v>30.5</v>
      </c>
      <c r="W34" s="52" t="n">
        <f aca="false">W33-V34</f>
        <v>10603.57</v>
      </c>
      <c r="X34" s="6" t="n">
        <f aca="false">N34+O34+S34+U34+V34</f>
        <v>218.7</v>
      </c>
      <c r="Y34" s="51" t="n">
        <f aca="false">IF(L34&lt;0,L34*-1,0)</f>
        <v>0</v>
      </c>
      <c r="Z34" s="51" t="n">
        <f aca="false">X34+Y34</f>
        <v>218.7</v>
      </c>
      <c r="AA34" s="53" t="n">
        <v>0</v>
      </c>
      <c r="AB34" s="56" t="n">
        <v>55</v>
      </c>
      <c r="AC34" s="79" t="n">
        <v>29</v>
      </c>
      <c r="AD34" s="57" t="n">
        <f aca="false">AD33+1</f>
        <v>25</v>
      </c>
      <c r="AE34" s="85"/>
      <c r="AF34" s="87"/>
      <c r="AG34" s="86"/>
    </row>
    <row r="35" customFormat="false" ht="11.1" hidden="false" customHeight="true" outlineLevel="0" collapsed="false">
      <c r="A35" s="57" t="n">
        <f aca="false">A34+1</f>
        <v>26</v>
      </c>
      <c r="B35" s="71" t="n">
        <v>6905.86</v>
      </c>
      <c r="C35" s="52" t="n">
        <v>305711</v>
      </c>
      <c r="D35" s="56" t="n">
        <f aca="false">C35-C34</f>
        <v>269</v>
      </c>
      <c r="E35" s="52" t="n">
        <f aca="false">C35-152000</f>
        <v>153711</v>
      </c>
      <c r="F35" s="51" t="n">
        <f aca="false">D35/$D$2</f>
        <v>135.618855558356</v>
      </c>
      <c r="G35" s="51" t="n">
        <v>152.4</v>
      </c>
      <c r="H35" s="93" t="n">
        <v>23.6</v>
      </c>
      <c r="I35" s="51" t="n">
        <f aca="false">G35+H35</f>
        <v>176</v>
      </c>
      <c r="J35" s="78" t="n">
        <f aca="false">IF(L35&gt;0,L35,0)</f>
        <v>168.418855558356</v>
      </c>
      <c r="K35" s="51" t="n">
        <f aca="false">I35+J35</f>
        <v>344.418855558356</v>
      </c>
      <c r="L35" s="51" t="n">
        <f aca="false">F35-(I35-X35)</f>
        <v>168.418855558356</v>
      </c>
      <c r="M35" s="51" t="n">
        <v>4</v>
      </c>
      <c r="N35" s="51" t="n">
        <v>0</v>
      </c>
      <c r="O35" s="51" t="n">
        <v>0</v>
      </c>
      <c r="P35" s="6" t="n">
        <f aca="false">M35-(N35+O35)</f>
        <v>4</v>
      </c>
      <c r="Q35" s="51" t="n">
        <v>153.3</v>
      </c>
      <c r="R35" s="51" t="n">
        <v>21</v>
      </c>
      <c r="S35" s="51" t="n">
        <f aca="false">SUM(P35:R35)</f>
        <v>178.3</v>
      </c>
      <c r="T35" s="52"/>
      <c r="U35" s="51" t="n">
        <v>0</v>
      </c>
      <c r="V35" s="51" t="n">
        <v>30.5</v>
      </c>
      <c r="W35" s="52" t="n">
        <f aca="false">W34-V35</f>
        <v>10573.07</v>
      </c>
      <c r="X35" s="6" t="n">
        <f aca="false">N35+O35+S35+U35+V35</f>
        <v>208.8</v>
      </c>
      <c r="Y35" s="51" t="n">
        <f aca="false">IF(L35&lt;0,L35*-1,0)</f>
        <v>0</v>
      </c>
      <c r="Z35" s="51" t="n">
        <f aca="false">X35+Y35</f>
        <v>208.8</v>
      </c>
      <c r="AA35" s="53" t="n">
        <v>0</v>
      </c>
      <c r="AB35" s="56" t="n">
        <v>59</v>
      </c>
      <c r="AC35" s="56" t="n">
        <v>37</v>
      </c>
      <c r="AD35" s="57" t="n">
        <f aca="false">AD34+1</f>
        <v>26</v>
      </c>
      <c r="AE35" s="85"/>
      <c r="AF35" s="87"/>
      <c r="AG35" s="86"/>
    </row>
    <row r="36" customFormat="false" ht="11.1" hidden="false" customHeight="true" outlineLevel="0" collapsed="false">
      <c r="A36" s="57" t="n">
        <f aca="false">A35+1</f>
        <v>27</v>
      </c>
      <c r="B36" s="71" t="n">
        <v>6906.01</v>
      </c>
      <c r="C36" s="52" t="n">
        <v>306289</v>
      </c>
      <c r="D36" s="56" t="n">
        <f aca="false">C36-C35</f>
        <v>578</v>
      </c>
      <c r="E36" s="52" t="n">
        <f aca="false">C36-152000</f>
        <v>154289</v>
      </c>
      <c r="F36" s="51" t="n">
        <f aca="false">D36/$D$2</f>
        <v>291.404083690446</v>
      </c>
      <c r="G36" s="51" t="n">
        <v>176</v>
      </c>
      <c r="H36" s="93" t="n">
        <v>35.1</v>
      </c>
      <c r="I36" s="51" t="n">
        <f aca="false">G36+H36</f>
        <v>211.1</v>
      </c>
      <c r="J36" s="78" t="n">
        <f aca="false">IF(L36&gt;0,L36,0)</f>
        <v>291.804083690446</v>
      </c>
      <c r="K36" s="51" t="n">
        <f aca="false">I36+J36</f>
        <v>502.904083690446</v>
      </c>
      <c r="L36" s="51" t="n">
        <f aca="false">F36-(I36-X36)</f>
        <v>291.804083690446</v>
      </c>
      <c r="M36" s="51" t="n">
        <v>3.7</v>
      </c>
      <c r="N36" s="51" t="n">
        <v>0</v>
      </c>
      <c r="O36" s="51" t="n">
        <v>0</v>
      </c>
      <c r="P36" s="6" t="n">
        <f aca="false">M36-(N36+O36)</f>
        <v>3.7</v>
      </c>
      <c r="Q36" s="51" t="n">
        <v>160.8</v>
      </c>
      <c r="R36" s="51" t="n">
        <v>16.3</v>
      </c>
      <c r="S36" s="51" t="n">
        <f aca="false">SUM(P36:R36)</f>
        <v>180.8</v>
      </c>
      <c r="T36" s="52"/>
      <c r="U36" s="51" t="n">
        <v>0</v>
      </c>
      <c r="V36" s="51" t="n">
        <v>30.7</v>
      </c>
      <c r="W36" s="52" t="n">
        <f aca="false">W35-V36</f>
        <v>10542.37</v>
      </c>
      <c r="X36" s="6" t="n">
        <f aca="false">N36+O36+S36+U36+V36</f>
        <v>211.5</v>
      </c>
      <c r="Y36" s="51" t="n">
        <f aca="false">IF(L36&lt;0,L36*-1,0)</f>
        <v>0</v>
      </c>
      <c r="Z36" s="51" t="n">
        <f aca="false">X36+Y36</f>
        <v>211.5</v>
      </c>
      <c r="AA36" s="53" t="n">
        <v>0.14</v>
      </c>
      <c r="AB36" s="56" t="n">
        <v>52</v>
      </c>
      <c r="AC36" s="56" t="n">
        <v>34</v>
      </c>
      <c r="AD36" s="57" t="n">
        <f aca="false">AD35+1</f>
        <v>27</v>
      </c>
      <c r="AE36" s="85"/>
      <c r="AF36" s="87"/>
      <c r="AG36" s="86"/>
    </row>
    <row r="37" customFormat="false" ht="11.1" hidden="false" customHeight="true" outlineLevel="0" collapsed="false">
      <c r="A37" s="57" t="n">
        <f aca="false">A36+1</f>
        <v>28</v>
      </c>
      <c r="B37" s="71" t="n">
        <v>6906.11</v>
      </c>
      <c r="C37" s="52" t="n">
        <v>306678</v>
      </c>
      <c r="D37" s="56" t="n">
        <f aca="false">C37-C36</f>
        <v>389</v>
      </c>
      <c r="E37" s="52" t="n">
        <f aca="false">C37-152000</f>
        <v>154678</v>
      </c>
      <c r="F37" s="51" t="n">
        <f aca="false">D37/$D$2</f>
        <v>196.117973279556</v>
      </c>
      <c r="G37" s="51" t="n">
        <v>225.6</v>
      </c>
      <c r="H37" s="93" t="n">
        <v>56.2</v>
      </c>
      <c r="I37" s="51" t="n">
        <f aca="false">G37+H37</f>
        <v>281.8</v>
      </c>
      <c r="J37" s="78" t="n">
        <f aca="false">IF(L37&gt;0,L37,0)</f>
        <v>121.117973279556</v>
      </c>
      <c r="K37" s="51" t="n">
        <f aca="false">I37+J37</f>
        <v>402.917973279556</v>
      </c>
      <c r="L37" s="51" t="n">
        <f aca="false">F37-(I37-X37)</f>
        <v>121.117973279556</v>
      </c>
      <c r="M37" s="51" t="n">
        <v>3.7</v>
      </c>
      <c r="N37" s="51" t="n">
        <v>0</v>
      </c>
      <c r="O37" s="51" t="n">
        <v>0</v>
      </c>
      <c r="P37" s="6" t="n">
        <f aca="false">M37-(N37+O37)</f>
        <v>3.7</v>
      </c>
      <c r="Q37" s="51" t="n">
        <v>172.6</v>
      </c>
      <c r="R37" s="51" t="n">
        <v>0</v>
      </c>
      <c r="S37" s="51" t="n">
        <f aca="false">SUM(P37:R37)</f>
        <v>176.3</v>
      </c>
      <c r="T37" s="52"/>
      <c r="U37" s="51" t="n">
        <v>0</v>
      </c>
      <c r="V37" s="51" t="n">
        <v>30.5</v>
      </c>
      <c r="W37" s="52" t="n">
        <f aca="false">W36-V37</f>
        <v>10511.87</v>
      </c>
      <c r="X37" s="6" t="n">
        <f aca="false">N37+O37+S37+U37+V37</f>
        <v>206.8</v>
      </c>
      <c r="Y37" s="51" t="n">
        <f aca="false">IF(L37&lt;0,L37*-1,0)</f>
        <v>0</v>
      </c>
      <c r="Z37" s="51" t="n">
        <f aca="false">X37+Y37</f>
        <v>206.8</v>
      </c>
      <c r="AA37" s="53" t="n">
        <v>0.55</v>
      </c>
      <c r="AB37" s="56" t="n">
        <v>49</v>
      </c>
      <c r="AC37" s="56" t="n">
        <v>31</v>
      </c>
      <c r="AD37" s="57" t="n">
        <f aca="false">AD36+1</f>
        <v>28</v>
      </c>
      <c r="AE37" s="85"/>
      <c r="AF37" s="87"/>
      <c r="AG37" s="86"/>
    </row>
    <row r="38" customFormat="false" ht="11.1" hidden="false" customHeight="true" outlineLevel="0" collapsed="false">
      <c r="A38" s="57" t="n">
        <f aca="false">A37+1</f>
        <v>29</v>
      </c>
      <c r="B38" s="71" t="n">
        <v>6906.26</v>
      </c>
      <c r="C38" s="52" t="n">
        <v>307261</v>
      </c>
      <c r="D38" s="56" t="n">
        <f aca="false">C38-C37</f>
        <v>583</v>
      </c>
      <c r="E38" s="52" t="n">
        <f aca="false">C38-152000</f>
        <v>155261</v>
      </c>
      <c r="F38" s="51" t="n">
        <f aca="false">D38/$D$2</f>
        <v>293.924880262163</v>
      </c>
      <c r="G38" s="51" t="n">
        <v>229.3</v>
      </c>
      <c r="H38" s="93" t="n">
        <v>59.4</v>
      </c>
      <c r="I38" s="51" t="n">
        <f aca="false">G38+H38</f>
        <v>288.7</v>
      </c>
      <c r="J38" s="78" t="n">
        <f aca="false">IF(L38&gt;0,L38,0)</f>
        <v>187.804880262163</v>
      </c>
      <c r="K38" s="51" t="n">
        <f aca="false">I38+J38</f>
        <v>476.504880262163</v>
      </c>
      <c r="L38" s="51" t="n">
        <f aca="false">F38-(I38-X38)</f>
        <v>187.804880262163</v>
      </c>
      <c r="M38" s="51" t="n">
        <v>3.78</v>
      </c>
      <c r="N38" s="51" t="n">
        <v>0</v>
      </c>
      <c r="O38" s="51" t="n">
        <v>0</v>
      </c>
      <c r="P38" s="6" t="n">
        <f aca="false">M38-(N38+O38)</f>
        <v>3.78</v>
      </c>
      <c r="Q38" s="51" t="n">
        <v>148.3</v>
      </c>
      <c r="R38" s="51" t="n">
        <v>0</v>
      </c>
      <c r="S38" s="51" t="n">
        <f aca="false">SUM(P38:R38)</f>
        <v>152.08</v>
      </c>
      <c r="T38" s="52"/>
      <c r="U38" s="51" t="n">
        <v>0</v>
      </c>
      <c r="V38" s="51" t="n">
        <v>30.5</v>
      </c>
      <c r="W38" s="52" t="n">
        <f aca="false">W37-V38</f>
        <v>10481.37</v>
      </c>
      <c r="X38" s="6" t="n">
        <f aca="false">N38+O38+S38+U38+V38</f>
        <v>182.58</v>
      </c>
      <c r="Y38" s="51" t="n">
        <f aca="false">IF(L38&lt;0,L38*-1,0)</f>
        <v>0</v>
      </c>
      <c r="Z38" s="51" t="n">
        <f aca="false">X38+Y38</f>
        <v>182.58</v>
      </c>
      <c r="AA38" s="53" t="n">
        <v>0</v>
      </c>
      <c r="AB38" s="79" t="n">
        <v>55</v>
      </c>
      <c r="AC38" s="56" t="n">
        <v>39</v>
      </c>
      <c r="AD38" s="57" t="n">
        <f aca="false">AD37+1</f>
        <v>29</v>
      </c>
      <c r="AE38" s="85"/>
      <c r="AF38" s="87"/>
      <c r="AG38" s="86"/>
    </row>
    <row r="39" customFormat="false" ht="11.1" hidden="false" customHeight="true" outlineLevel="0" collapsed="false">
      <c r="A39" s="57" t="n">
        <v>30</v>
      </c>
      <c r="B39" s="71" t="n">
        <v>6906.42</v>
      </c>
      <c r="C39" s="52" t="n">
        <v>307883</v>
      </c>
      <c r="D39" s="56" t="n">
        <f aca="false">C39-C38</f>
        <v>622</v>
      </c>
      <c r="E39" s="52" t="n">
        <f aca="false">C39-152000</f>
        <v>155883</v>
      </c>
      <c r="F39" s="51" t="n">
        <f aca="false">D39/$D$2</f>
        <v>313.587093521553</v>
      </c>
      <c r="G39" s="51" t="n">
        <v>251.5</v>
      </c>
      <c r="H39" s="93" t="n">
        <v>66.2</v>
      </c>
      <c r="I39" s="51" t="n">
        <f aca="false">G39+H39</f>
        <v>317.7</v>
      </c>
      <c r="J39" s="78" t="n">
        <f aca="false">IF(L39&gt;0,L39,0)</f>
        <v>205.087093521553</v>
      </c>
      <c r="K39" s="51" t="n">
        <f aca="false">I39+J39</f>
        <v>522.787093521553</v>
      </c>
      <c r="L39" s="51" t="n">
        <f aca="false">F39-(I39-X39)</f>
        <v>205.087093521553</v>
      </c>
      <c r="M39" s="51" t="n">
        <v>3.9</v>
      </c>
      <c r="N39" s="51" t="n">
        <v>0</v>
      </c>
      <c r="O39" s="51" t="n">
        <v>0</v>
      </c>
      <c r="P39" s="6" t="n">
        <f aca="false">M39-(N39+O39)</f>
        <v>3.9</v>
      </c>
      <c r="Q39" s="51" t="n">
        <v>174.7</v>
      </c>
      <c r="R39" s="51" t="n">
        <v>0</v>
      </c>
      <c r="S39" s="51" t="n">
        <f aca="false">SUM(P39:R39)</f>
        <v>178.6</v>
      </c>
      <c r="T39" s="52"/>
      <c r="U39" s="51" t="n">
        <v>0</v>
      </c>
      <c r="V39" s="51" t="n">
        <v>30.6</v>
      </c>
      <c r="W39" s="52" t="n">
        <f aca="false">W38-V39</f>
        <v>10450.77</v>
      </c>
      <c r="X39" s="6" t="n">
        <f aca="false">N39+O39+S39+U39+V39</f>
        <v>209.2</v>
      </c>
      <c r="Y39" s="51" t="n">
        <f aca="false">IF(L39&lt;0,L39*-1,0)</f>
        <v>0</v>
      </c>
      <c r="Z39" s="51" t="n">
        <f aca="false">X39+Y39</f>
        <v>209.2</v>
      </c>
      <c r="AA39" s="53" t="n">
        <v>0</v>
      </c>
      <c r="AB39" s="79" t="n">
        <v>52</v>
      </c>
      <c r="AC39" s="56" t="n">
        <v>34</v>
      </c>
      <c r="AD39" s="57" t="n">
        <v>30</v>
      </c>
      <c r="AE39" s="85"/>
      <c r="AF39" s="87"/>
      <c r="AG39" s="86"/>
    </row>
    <row r="40" customFormat="false" ht="11.1" hidden="false" customHeight="true" outlineLevel="0" collapsed="false">
      <c r="A40" s="57" t="n">
        <v>31</v>
      </c>
      <c r="B40" s="71" t="n">
        <v>6906.59</v>
      </c>
      <c r="C40" s="52" t="n">
        <v>308544</v>
      </c>
      <c r="D40" s="56" t="n">
        <f aca="false">C40-C39</f>
        <v>661</v>
      </c>
      <c r="E40" s="52" t="n">
        <f aca="false">C40-152000</f>
        <v>156544</v>
      </c>
      <c r="F40" s="51" t="n">
        <f aca="false">D40/$D$2</f>
        <v>333.249306780943</v>
      </c>
      <c r="G40" s="51" t="n">
        <v>280.2</v>
      </c>
      <c r="H40" s="93" t="n">
        <v>77.6</v>
      </c>
      <c r="I40" s="51" t="n">
        <f aca="false">G40+H40</f>
        <v>357.8</v>
      </c>
      <c r="J40" s="78" t="n">
        <f aca="false">IF(L40&gt;0,L40,0)</f>
        <v>185.649306780943</v>
      </c>
      <c r="K40" s="51" t="n">
        <f aca="false">I40+J40</f>
        <v>543.449306780943</v>
      </c>
      <c r="L40" s="51" t="n">
        <f aca="false">F40-(I40-X40)</f>
        <v>185.649306780943</v>
      </c>
      <c r="M40" s="51" t="n">
        <v>3.4</v>
      </c>
      <c r="N40" s="51" t="n">
        <v>0</v>
      </c>
      <c r="O40" s="51" t="n">
        <v>0</v>
      </c>
      <c r="P40" s="6" t="n">
        <f aca="false">M40-(N40+O40)</f>
        <v>3.4</v>
      </c>
      <c r="Q40" s="51" t="n">
        <v>176.1</v>
      </c>
      <c r="R40" s="51" t="n">
        <v>0</v>
      </c>
      <c r="S40" s="51" t="n">
        <f aca="false">SUM(P40:R40)</f>
        <v>179.5</v>
      </c>
      <c r="T40" s="52"/>
      <c r="U40" s="51" t="n">
        <v>0</v>
      </c>
      <c r="V40" s="51" t="n">
        <v>30.7</v>
      </c>
      <c r="W40" s="52" t="n">
        <f aca="false">W39-V40</f>
        <v>10420.07</v>
      </c>
      <c r="X40" s="6" t="n">
        <f aca="false">N40+O40+S40+U40+V40</f>
        <v>210.2</v>
      </c>
      <c r="Y40" s="51" t="n">
        <f aca="false">IF(L40&lt;0,L40*-1,0)</f>
        <v>0</v>
      </c>
      <c r="Z40" s="51" t="n">
        <f aca="false">X40+Y40</f>
        <v>210.2</v>
      </c>
      <c r="AA40" s="53" t="n">
        <v>0</v>
      </c>
      <c r="AB40" s="79" t="n">
        <v>56</v>
      </c>
      <c r="AC40" s="56" t="n">
        <v>32</v>
      </c>
      <c r="AD40" s="57" t="n">
        <v>31</v>
      </c>
      <c r="AE40" s="85"/>
      <c r="AF40" s="85"/>
      <c r="AG40" s="86"/>
    </row>
    <row r="41" customFormat="false" ht="3" hidden="false" customHeight="true" outlineLevel="0" collapsed="false">
      <c r="A41" s="72"/>
      <c r="B41" s="72"/>
      <c r="C41" s="74"/>
      <c r="D41" s="72"/>
      <c r="E41" s="74"/>
      <c r="F41" s="72"/>
      <c r="G41" s="72"/>
      <c r="H41" s="96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4"/>
      <c r="U41" s="72"/>
      <c r="V41" s="72"/>
      <c r="W41" s="72"/>
      <c r="X41" s="72"/>
      <c r="Y41" s="72"/>
      <c r="Z41" s="72"/>
      <c r="AA41" s="75"/>
      <c r="AB41" s="76"/>
      <c r="AC41" s="76"/>
      <c r="AD41" s="77"/>
      <c r="AE41" s="85"/>
      <c r="AF41" s="85"/>
      <c r="AG41" s="86"/>
    </row>
    <row r="42" customFormat="false" ht="11.1" hidden="false" customHeight="true" outlineLevel="0" collapsed="false">
      <c r="A42" s="51" t="s">
        <v>46</v>
      </c>
      <c r="B42" s="51"/>
      <c r="C42" s="52"/>
      <c r="D42" s="52"/>
      <c r="E42" s="52"/>
      <c r="F42" s="52" t="n">
        <f aca="false">SUM(F10:F40)</f>
        <v>4102.3443408117</v>
      </c>
      <c r="G42" s="52" t="n">
        <f aca="false">SUM(G10:G40)</f>
        <v>4427.8</v>
      </c>
      <c r="H42" s="93" t="n">
        <f aca="false">SUM(H10:H40)</f>
        <v>616</v>
      </c>
      <c r="I42" s="52" t="n">
        <f aca="false">SUM(I10:I40)</f>
        <v>5043.8</v>
      </c>
      <c r="J42" s="52" t="n">
        <f aca="false">SUM(J10:J40)</f>
        <v>1896.33288631207</v>
      </c>
      <c r="K42" s="52" t="n">
        <f aca="false">SUM(K10:K40)</f>
        <v>6940.13288631207</v>
      </c>
      <c r="L42" s="52" t="n">
        <f aca="false">SUM(L10:L40)</f>
        <v>1487.3243408117</v>
      </c>
      <c r="M42" s="52" t="n">
        <f aca="false">SUM(M10:M40)</f>
        <v>120.58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120.58</v>
      </c>
      <c r="Q42" s="52" t="n">
        <f aca="false">SUM(Q10:Q40)</f>
        <v>1304.6</v>
      </c>
      <c r="R42" s="52" t="n">
        <f aca="false">SUM(R10:R40)</f>
        <v>58.2</v>
      </c>
      <c r="S42" s="52" t="n">
        <f aca="false">SUM(S10:S40)</f>
        <v>1483.38</v>
      </c>
      <c r="T42" s="52"/>
      <c r="U42" s="52" t="n">
        <f aca="false">SUM(U10:U40)</f>
        <v>0</v>
      </c>
      <c r="V42" s="52" t="n">
        <f aca="false">SUM(V10:V40)</f>
        <v>945.4</v>
      </c>
      <c r="W42" s="52"/>
      <c r="X42" s="52" t="n">
        <f aca="false">SUM(X10:X40)</f>
        <v>2428.78</v>
      </c>
      <c r="Y42" s="52" t="n">
        <f aca="false">SUM(Y10:Y40)</f>
        <v>409.008545500378</v>
      </c>
      <c r="Z42" s="52" t="n">
        <f aca="false">SUM(Z10:Z40)</f>
        <v>2837.78854550038</v>
      </c>
      <c r="AA42" s="53" t="n">
        <f aca="false">SUM(AA10:AA40)</f>
        <v>2.15</v>
      </c>
      <c r="AB42" s="56" t="n">
        <f aca="false">AVERAGE(AB10:AB40)</f>
        <v>50.0645161290323</v>
      </c>
      <c r="AC42" s="56" t="n">
        <f aca="false">AVERAGE(AC10:AC40)</f>
        <v>28.2903225806452</v>
      </c>
      <c r="AD42" s="57" t="s">
        <v>47</v>
      </c>
      <c r="AE42" s="85"/>
      <c r="AF42" s="85"/>
      <c r="AG42" s="86"/>
    </row>
    <row r="43" customFormat="false" ht="11.1" hidden="false" customHeight="true" outlineLevel="0" collapsed="false">
      <c r="A43" s="51" t="s">
        <v>48</v>
      </c>
      <c r="B43" s="51"/>
      <c r="C43" s="52"/>
      <c r="D43" s="52" t="n">
        <f aca="false">SUM(D10:D40)</f>
        <v>8137</v>
      </c>
      <c r="E43" s="52"/>
      <c r="F43" s="52" t="n">
        <f aca="false">F42*$D$2</f>
        <v>8137</v>
      </c>
      <c r="G43" s="52" t="n">
        <f aca="false">G42*$D$2</f>
        <v>8782.5413</v>
      </c>
      <c r="H43" s="93" t="n">
        <f aca="false">H42*$D$2</f>
        <v>1221.836</v>
      </c>
      <c r="I43" s="52" t="n">
        <f aca="false">I42*$D$2</f>
        <v>10004.3773</v>
      </c>
      <c r="J43" s="52" t="n">
        <f aca="false">J42*$D$2</f>
        <v>3761.37628</v>
      </c>
      <c r="K43" s="52" t="n">
        <f aca="false">K42*$D$2</f>
        <v>13765.75358</v>
      </c>
      <c r="L43" s="52" t="n">
        <f aca="false">L42*$D$2</f>
        <v>2950.10783</v>
      </c>
      <c r="M43" s="52" t="n">
        <f aca="false">M42*$D$2</f>
        <v>239.17043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239.17043</v>
      </c>
      <c r="Q43" s="52" t="n">
        <f aca="false">Q42*$D$2</f>
        <v>2587.6741</v>
      </c>
      <c r="R43" s="52" t="n">
        <f aca="false">R42*$D$2</f>
        <v>115.4397</v>
      </c>
      <c r="S43" s="52" t="n">
        <f aca="false">S42*$D$2</f>
        <v>2942.28423</v>
      </c>
      <c r="T43" s="52"/>
      <c r="U43" s="52" t="n">
        <f aca="false">U42*$D$2</f>
        <v>0</v>
      </c>
      <c r="V43" s="52" t="n">
        <f aca="false">V42*$D$2</f>
        <v>1875.2009</v>
      </c>
      <c r="W43" s="52"/>
      <c r="X43" s="52" t="n">
        <f aca="false">X42*$D$2</f>
        <v>4817.48513</v>
      </c>
      <c r="Y43" s="52" t="n">
        <f aca="false">Y42*$D$2</f>
        <v>811.26845</v>
      </c>
      <c r="Z43" s="52" t="n">
        <f aca="false">Z42*$D$2</f>
        <v>5628.75358</v>
      </c>
      <c r="AA43" s="53"/>
      <c r="AB43" s="56" t="n">
        <f aca="false">MAX(AB10:AB40)</f>
        <v>59</v>
      </c>
      <c r="AC43" s="56" t="n">
        <f aca="false">MAX(AC10:AC40)</f>
        <v>39</v>
      </c>
      <c r="AD43" s="57" t="s">
        <v>49</v>
      </c>
      <c r="AE43" s="85"/>
      <c r="AF43" s="85"/>
      <c r="AG43" s="86"/>
    </row>
    <row r="44" customFormat="false" ht="3" hidden="false" customHeight="true" outlineLevel="0" collapsed="false">
      <c r="A44" s="72"/>
      <c r="B44" s="72"/>
      <c r="C44" s="74"/>
      <c r="D44" s="74"/>
      <c r="E44" s="74"/>
      <c r="F44" s="74"/>
      <c r="G44" s="74"/>
      <c r="H44" s="96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2"/>
      <c r="X44" s="74"/>
      <c r="Y44" s="74"/>
      <c r="Z44" s="74"/>
      <c r="AA44" s="53"/>
      <c r="AB44" s="56"/>
      <c r="AC44" s="56"/>
      <c r="AD44" s="57"/>
      <c r="AE44" s="85"/>
      <c r="AF44" s="85"/>
      <c r="AG44" s="86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/>
      <c r="G45" s="52"/>
      <c r="H45" s="93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3"/>
      <c r="AB45" s="56" t="n">
        <f aca="false">MIN(AB10:AB40)</f>
        <v>36</v>
      </c>
      <c r="AC45" s="56" t="n">
        <f aca="false">MIN(AC10:AC40)</f>
        <v>19</v>
      </c>
      <c r="AD45" s="57" t="s">
        <v>51</v>
      </c>
      <c r="AE45" s="85"/>
      <c r="AF45" s="85"/>
      <c r="AG45" s="86"/>
    </row>
    <row r="46" customFormat="false" ht="11.1" hidden="false" customHeight="true" outlineLevel="0" collapsed="false">
      <c r="A46" s="51" t="s">
        <v>52</v>
      </c>
      <c r="B46" s="51"/>
      <c r="C46" s="52"/>
      <c r="D46" s="52"/>
      <c r="E46" s="52"/>
      <c r="F46" s="52"/>
      <c r="G46" s="52"/>
      <c r="H46" s="93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3"/>
      <c r="AB46" s="56"/>
      <c r="AC46" s="56"/>
      <c r="AD46" s="57"/>
      <c r="AE46" s="85"/>
      <c r="AF46" s="85"/>
      <c r="AG46" s="86"/>
    </row>
    <row r="47" customFormat="false" ht="3" hidden="false" customHeight="true" outlineLevel="0" collapsed="false">
      <c r="A47" s="72"/>
      <c r="B47" s="72"/>
      <c r="C47" s="74"/>
      <c r="D47" s="74"/>
      <c r="E47" s="74"/>
      <c r="F47" s="74"/>
      <c r="G47" s="74"/>
      <c r="H47" s="96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56"/>
      <c r="AC47" s="56"/>
      <c r="AD47" s="57"/>
      <c r="AE47" s="85"/>
      <c r="AF47" s="85"/>
      <c r="AG47" s="86"/>
    </row>
    <row r="48" customFormat="false" ht="11.1" hidden="false" customHeight="true" outlineLevel="0" collapsed="false">
      <c r="A48" s="51" t="s">
        <v>53</v>
      </c>
      <c r="B48" s="51"/>
      <c r="C48" s="52"/>
      <c r="D48" s="52"/>
      <c r="E48" s="52"/>
      <c r="F48" s="52" t="n">
        <f aca="false">F8+F42</f>
        <v>6902.44517267456</v>
      </c>
      <c r="G48" s="52" t="n">
        <f aca="false">G8+G42</f>
        <v>12687.1</v>
      </c>
      <c r="H48" s="93" t="n">
        <f aca="false">H8+H42</f>
        <v>641.7</v>
      </c>
      <c r="I48" s="52" t="n">
        <f aca="false">I8+I42</f>
        <v>13328.8</v>
      </c>
      <c r="J48" s="52" t="n">
        <f aca="false">J8+J42</f>
        <v>2306.26694479455</v>
      </c>
      <c r="K48" s="52" t="n">
        <f aca="false">K8+K42</f>
        <v>15634.9425182758</v>
      </c>
      <c r="L48" s="52" t="n">
        <f aca="false">L8+L42</f>
        <v>1044.99517267457</v>
      </c>
      <c r="M48" s="52" t="n">
        <f aca="false">M8+M42</f>
        <v>1064.52</v>
      </c>
      <c r="N48" s="52" t="n">
        <f aca="false">N8+N42</f>
        <v>0</v>
      </c>
      <c r="O48" s="52" t="n">
        <f aca="false">O8+O42</f>
        <v>0</v>
      </c>
      <c r="P48" s="52" t="n">
        <f aca="false">P8+P42</f>
        <v>1064.52</v>
      </c>
      <c r="Q48" s="52" t="n">
        <f aca="false">Q8+Q42</f>
        <v>1312.8</v>
      </c>
      <c r="R48" s="52" t="n">
        <f aca="false">R8+R42</f>
        <v>274.1</v>
      </c>
      <c r="S48" s="52" t="n">
        <f aca="false">S8+S42</f>
        <v>2651.42</v>
      </c>
      <c r="T48" s="52"/>
      <c r="U48" s="52" t="n">
        <f aca="false">U8+U42</f>
        <v>0</v>
      </c>
      <c r="V48" s="52" t="n">
        <f aca="false">V8+V42</f>
        <v>4819.93</v>
      </c>
      <c r="W48" s="52" t="n">
        <f aca="false">W40</f>
        <v>10420.07</v>
      </c>
      <c r="X48" s="52" t="n">
        <f aca="false">X8+X42</f>
        <v>7471.35</v>
      </c>
      <c r="Y48" s="52" t="n">
        <f aca="false">Y8+Y42</f>
        <v>1261.27177211999</v>
      </c>
      <c r="Z48" s="52" t="n">
        <f aca="false">Z8+Z42</f>
        <v>8732.62177211999</v>
      </c>
      <c r="AA48" s="53" t="n">
        <f aca="false">AA8+AA42</f>
        <v>8.72</v>
      </c>
      <c r="AB48" s="56"/>
      <c r="AC48" s="56"/>
      <c r="AD48" s="57"/>
      <c r="AE48" s="85"/>
      <c r="AF48" s="85"/>
      <c r="AG48" s="86"/>
    </row>
    <row r="49" customFormat="false" ht="11.1" hidden="false" customHeight="true" outlineLevel="0" collapsed="false">
      <c r="A49" s="51" t="s">
        <v>54</v>
      </c>
      <c r="B49" s="51"/>
      <c r="C49" s="52"/>
      <c r="D49" s="52" t="n">
        <f aca="false">D8+D43</f>
        <v>13691</v>
      </c>
      <c r="E49" s="52" t="n">
        <f aca="false">E40</f>
        <v>156544</v>
      </c>
      <c r="F49" s="52" t="n">
        <f aca="false">F48*$D$2</f>
        <v>13691</v>
      </c>
      <c r="G49" s="52" t="n">
        <f aca="false">G48*$D$2</f>
        <v>25164.86285</v>
      </c>
      <c r="H49" s="93" t="n">
        <f aca="false">H48*$D$2</f>
        <v>1272.81195</v>
      </c>
      <c r="I49" s="52" t="n">
        <f aca="false">I48*$D$2</f>
        <v>26437.6748</v>
      </c>
      <c r="J49" s="52" t="n">
        <f aca="false">J48*$D$2</f>
        <v>4574.480485</v>
      </c>
      <c r="K49" s="52" t="n">
        <f aca="false">K48*$D$2</f>
        <v>31011.908485</v>
      </c>
      <c r="L49" s="52" t="n">
        <f aca="false">L48*$D$2</f>
        <v>2072.747925</v>
      </c>
      <c r="M49" s="52" t="n">
        <f aca="false">M48*$D$2</f>
        <v>2111.47542</v>
      </c>
      <c r="N49" s="52" t="n">
        <f aca="false">N48*$D$2</f>
        <v>0</v>
      </c>
      <c r="O49" s="52" t="n">
        <f aca="false">O48*$D$2</f>
        <v>0</v>
      </c>
      <c r="P49" s="52" t="n">
        <f aca="false">P48*$D$2</f>
        <v>2111.47542</v>
      </c>
      <c r="Q49" s="52" t="n">
        <f aca="false">Q48*$D$2</f>
        <v>2603.9388</v>
      </c>
      <c r="R49" s="52" t="n">
        <f aca="false">R48*$D$2</f>
        <v>543.67735</v>
      </c>
      <c r="S49" s="52" t="n">
        <f aca="false">S48*$D$2</f>
        <v>5259.09157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9560.331155</v>
      </c>
      <c r="W49" s="52" t="n">
        <f aca="false">W48*$D$2</f>
        <v>20668.2088449999</v>
      </c>
      <c r="X49" s="52" t="n">
        <f aca="false">X48*$D$2</f>
        <v>14819.422725</v>
      </c>
      <c r="Y49" s="52" t="n">
        <f aca="false">Y48*$D$2</f>
        <v>2501.73256</v>
      </c>
      <c r="Z49" s="52" t="n">
        <f aca="false">Z48*$D$2</f>
        <v>17321.155285</v>
      </c>
      <c r="AA49" s="53"/>
      <c r="AB49" s="56"/>
      <c r="AC49" s="56"/>
      <c r="AD49" s="57"/>
      <c r="AE49" s="85"/>
      <c r="AF49" s="85"/>
      <c r="AG49" s="86"/>
    </row>
    <row r="50" customFormat="false" ht="3" hidden="false" customHeight="true" outlineLevel="0" collapsed="false">
      <c r="A50" s="72"/>
      <c r="B50" s="72"/>
      <c r="C50" s="74"/>
      <c r="D50" s="72"/>
      <c r="E50" s="74"/>
      <c r="F50" s="72"/>
      <c r="G50" s="72"/>
      <c r="H50" s="96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4"/>
      <c r="U50" s="72"/>
      <c r="V50" s="72"/>
      <c r="W50" s="74"/>
      <c r="X50" s="72"/>
      <c r="Y50" s="72"/>
      <c r="Z50" s="72"/>
      <c r="AA50" s="53"/>
      <c r="AB50" s="56"/>
      <c r="AC50" s="56"/>
      <c r="AD50" s="57"/>
      <c r="AE50" s="85"/>
      <c r="AF50" s="85"/>
      <c r="AG50" s="86"/>
    </row>
    <row r="51" customFormat="false" ht="11.1" hidden="false" customHeight="true" outlineLevel="0" collapsed="false">
      <c r="A51" s="51"/>
      <c r="B51" s="81"/>
      <c r="C51" s="52"/>
      <c r="D51" s="51"/>
      <c r="E51" s="52"/>
      <c r="F51" s="51"/>
      <c r="G51" s="51"/>
      <c r="H51" s="93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2"/>
      <c r="X51" s="51"/>
      <c r="Y51" s="51"/>
      <c r="Z51" s="51"/>
      <c r="AA51" s="53"/>
      <c r="AB51" s="56"/>
      <c r="AC51" s="56"/>
      <c r="AD51" s="57"/>
      <c r="AE51" s="84"/>
      <c r="AF51" s="84"/>
    </row>
    <row r="52" customFormat="false" ht="11.1" hidden="false" customHeight="true" outlineLevel="0" collapsed="false">
      <c r="A52" s="51"/>
      <c r="B52" s="71"/>
      <c r="C52" s="52"/>
      <c r="D52" s="79"/>
      <c r="E52" s="52"/>
      <c r="F52" s="51"/>
      <c r="G52" s="51"/>
      <c r="H52" s="93"/>
      <c r="I52" s="82"/>
      <c r="J52" s="51"/>
      <c r="K52" s="41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51"/>
      <c r="W52" s="52"/>
      <c r="X52" s="51"/>
      <c r="Y52" s="51"/>
      <c r="Z52" s="51"/>
      <c r="AA52" s="53"/>
      <c r="AB52" s="56"/>
      <c r="AC52" s="56"/>
      <c r="AD52" s="57"/>
      <c r="AE52" s="84"/>
      <c r="AF52" s="84"/>
    </row>
    <row r="53" customFormat="false" ht="11.1" hidden="false" customHeight="true" outlineLevel="0" collapsed="false">
      <c r="A53" s="79"/>
      <c r="B53" s="79"/>
      <c r="C53" s="52"/>
      <c r="D53" s="52"/>
      <c r="E53" s="52"/>
      <c r="F53" s="79"/>
      <c r="G53" s="79"/>
      <c r="H53" s="93"/>
      <c r="I53" s="79"/>
      <c r="J53" s="79"/>
      <c r="K53" s="79"/>
      <c r="L53" s="79"/>
      <c r="M53" s="78"/>
      <c r="N53" s="78"/>
      <c r="O53" s="78"/>
      <c r="P53" s="78"/>
      <c r="Q53" s="79"/>
      <c r="R53" s="79"/>
      <c r="S53" s="79"/>
      <c r="T53" s="52"/>
      <c r="U53" s="79"/>
      <c r="V53" s="79"/>
      <c r="W53" s="52"/>
      <c r="X53" s="79"/>
      <c r="Y53" s="79"/>
      <c r="Z53" s="79"/>
      <c r="AA53" s="53"/>
      <c r="AB53" s="56"/>
      <c r="AC53" s="56"/>
      <c r="AD53" s="57"/>
      <c r="AE53" s="89"/>
      <c r="AF53" s="89"/>
    </row>
    <row r="54" customFormat="false" ht="11.1" hidden="false" customHeight="true" outlineLevel="0" collapsed="false">
      <c r="A54" s="79"/>
      <c r="B54" s="55"/>
      <c r="C54" s="52"/>
      <c r="D54" s="52"/>
      <c r="E54" s="52"/>
      <c r="F54" s="79"/>
      <c r="G54" s="79"/>
      <c r="H54" s="93"/>
      <c r="I54" s="79"/>
      <c r="J54" s="79"/>
      <c r="K54" s="79"/>
      <c r="L54" s="79"/>
      <c r="M54" s="78"/>
      <c r="N54" s="78"/>
      <c r="O54" s="78"/>
      <c r="P54" s="79"/>
      <c r="Q54" s="79"/>
      <c r="R54" s="79"/>
      <c r="S54" s="52"/>
      <c r="T54" s="79"/>
      <c r="U54" s="79"/>
      <c r="V54" s="52"/>
      <c r="W54" s="79"/>
      <c r="X54" s="79"/>
      <c r="Y54" s="79"/>
      <c r="Z54" s="55"/>
      <c r="AA54" s="53"/>
      <c r="AB54" s="56"/>
      <c r="AC54" s="57"/>
      <c r="AD54" s="89"/>
      <c r="AE54" s="89"/>
    </row>
    <row r="55" customFormat="false" ht="11.1" hidden="false" customHeight="true" outlineLevel="0" collapsed="false">
      <c r="A55" s="79"/>
      <c r="B55" s="79"/>
      <c r="C55" s="52"/>
      <c r="D55" s="79"/>
      <c r="E55" s="52"/>
      <c r="F55" s="79"/>
      <c r="G55" s="83"/>
      <c r="H55" s="93"/>
      <c r="I55" s="79"/>
      <c r="J55" s="79"/>
      <c r="K55" s="79"/>
      <c r="L55" s="79"/>
      <c r="M55" s="78"/>
      <c r="N55" s="78"/>
      <c r="O55" s="78"/>
      <c r="P55" s="79"/>
      <c r="Q55" s="79"/>
      <c r="R55" s="79"/>
      <c r="S55" s="52"/>
      <c r="T55" s="79"/>
      <c r="U55" s="79"/>
      <c r="V55" s="52"/>
      <c r="W55" s="79"/>
      <c r="X55" s="79"/>
      <c r="Y55" s="79"/>
      <c r="Z55" s="55"/>
      <c r="AA55" s="53"/>
      <c r="AB55" s="56"/>
      <c r="AC55" s="57"/>
      <c r="AD55" s="89"/>
      <c r="AE55" s="89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U20" activePane="bottomRight" state="frozen"/>
      <selection pane="topLeft" activeCell="A1" activeCellId="0" sqref="A1"/>
      <selection pane="topRight" activeCell="U1" activeCellId="0" sqref="U1"/>
      <selection pane="bottomLeft" activeCell="A20" activeCellId="0" sqref="A20"/>
      <selection pane="bottomRight" activeCell="AC39" activeCellId="0" sqref="AC39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99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100" width="8.16"/>
    <col collapsed="false" customWidth="true" hidden="false" outlineLevel="0" max="27" min="27" style="2" width="4.66"/>
    <col collapsed="false" customWidth="true" hidden="false" outlineLevel="0" max="28" min="28" style="4" width="4.66"/>
    <col collapsed="false" customWidth="true" hidden="false" outlineLevel="0" max="29" min="29" style="5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40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42"/>
      <c r="AA1" s="8"/>
      <c r="AB1" s="10"/>
      <c r="AC1" s="11"/>
      <c r="AD1" s="101"/>
      <c r="AE1" s="101"/>
    </row>
    <row r="2" customFormat="false" ht="14.1" hidden="false" customHeight="true" outlineLevel="0" collapsed="false">
      <c r="A2" s="6" t="s">
        <v>1</v>
      </c>
      <c r="B2" s="6"/>
      <c r="C2" s="7"/>
      <c r="D2" s="12" t="n">
        <v>1.9835</v>
      </c>
      <c r="E2" s="7"/>
      <c r="F2" s="6"/>
      <c r="G2" s="6"/>
      <c r="H2" s="40"/>
      <c r="I2" s="6"/>
      <c r="J2" s="6"/>
      <c r="K2" s="102" t="s">
        <v>64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6"/>
      <c r="X2" s="6"/>
      <c r="Y2" s="6"/>
      <c r="Z2" s="42"/>
      <c r="AA2" s="8"/>
      <c r="AB2" s="10"/>
      <c r="AC2" s="11"/>
      <c r="AD2" s="101"/>
      <c r="AE2" s="101"/>
    </row>
    <row r="3" customFormat="false" ht="11.1" hidden="false" customHeight="true" outlineLevel="0" collapsed="false">
      <c r="A3" s="6"/>
      <c r="B3" s="6"/>
      <c r="C3" s="7"/>
      <c r="D3" s="13"/>
      <c r="E3" s="7"/>
      <c r="F3" s="6"/>
      <c r="G3" s="6"/>
      <c r="H3" s="40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 t="n">
        <v>5</v>
      </c>
      <c r="Z3" s="42"/>
      <c r="AA3" s="8"/>
      <c r="AB3" s="10"/>
      <c r="AC3" s="11"/>
      <c r="AD3" s="101"/>
      <c r="AE3" s="101"/>
    </row>
    <row r="4" customFormat="false" ht="11.1" hidden="false" customHeight="true" outlineLevel="0" collapsed="false">
      <c r="A4" s="14" t="s">
        <v>3</v>
      </c>
      <c r="B4" s="14" t="s">
        <v>4</v>
      </c>
      <c r="C4" s="15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103" t="s">
        <v>9</v>
      </c>
      <c r="I4" s="14" t="s">
        <v>10</v>
      </c>
      <c r="J4" s="14" t="s">
        <v>11</v>
      </c>
      <c r="K4" s="14" t="s">
        <v>12</v>
      </c>
      <c r="L4" s="14" t="s">
        <v>11</v>
      </c>
      <c r="M4" s="17" t="s">
        <v>58</v>
      </c>
      <c r="N4" s="17"/>
      <c r="O4" s="17"/>
      <c r="P4" s="17"/>
      <c r="Q4" s="14" t="s">
        <v>14</v>
      </c>
      <c r="R4" s="14" t="s">
        <v>15</v>
      </c>
      <c r="S4" s="14" t="s">
        <v>12</v>
      </c>
      <c r="T4" s="15" t="s">
        <v>16</v>
      </c>
      <c r="U4" s="14" t="s">
        <v>17</v>
      </c>
      <c r="V4" s="14" t="s">
        <v>18</v>
      </c>
      <c r="W4" s="15" t="s">
        <v>19</v>
      </c>
      <c r="X4" s="14" t="s">
        <v>10</v>
      </c>
      <c r="Y4" s="14" t="s">
        <v>11</v>
      </c>
      <c r="Z4" s="14" t="s">
        <v>12</v>
      </c>
      <c r="AA4" s="16" t="s">
        <v>20</v>
      </c>
      <c r="AB4" s="18" t="s">
        <v>21</v>
      </c>
      <c r="AC4" s="18" t="s">
        <v>22</v>
      </c>
      <c r="AD4" s="18" t="s">
        <v>3</v>
      </c>
      <c r="AE4" s="101"/>
      <c r="AF4" s="101"/>
    </row>
    <row r="5" customFormat="false" ht="11.1" hidden="false" customHeight="true" outlineLevel="0" collapsed="false">
      <c r="A5" s="19" t="s">
        <v>65</v>
      </c>
      <c r="B5" s="14" t="s">
        <v>24</v>
      </c>
      <c r="C5" s="15" t="s">
        <v>5</v>
      </c>
      <c r="D5" s="14" t="s">
        <v>25</v>
      </c>
      <c r="E5" s="15" t="s">
        <v>26</v>
      </c>
      <c r="F5" s="14" t="s">
        <v>27</v>
      </c>
      <c r="G5" s="14" t="s">
        <v>28</v>
      </c>
      <c r="H5" s="103" t="s">
        <v>29</v>
      </c>
      <c r="I5" s="14" t="s">
        <v>30</v>
      </c>
      <c r="J5" s="14" t="s">
        <v>30</v>
      </c>
      <c r="K5" s="14" t="s">
        <v>30</v>
      </c>
      <c r="L5" s="14" t="s">
        <v>31</v>
      </c>
      <c r="M5" s="14" t="s">
        <v>32</v>
      </c>
      <c r="N5" s="14" t="s">
        <v>33</v>
      </c>
      <c r="O5" s="14" t="s">
        <v>34</v>
      </c>
      <c r="P5" s="14" t="s">
        <v>66</v>
      </c>
      <c r="Q5" s="14" t="s">
        <v>36</v>
      </c>
      <c r="R5" s="14" t="s">
        <v>37</v>
      </c>
      <c r="S5" s="14" t="s">
        <v>16</v>
      </c>
      <c r="T5" s="15" t="s">
        <v>38</v>
      </c>
      <c r="U5" s="14" t="s">
        <v>39</v>
      </c>
      <c r="V5" s="14" t="s">
        <v>40</v>
      </c>
      <c r="W5" s="15" t="s">
        <v>41</v>
      </c>
      <c r="X5" s="14" t="s">
        <v>42</v>
      </c>
      <c r="Y5" s="14" t="s">
        <v>42</v>
      </c>
      <c r="Z5" s="14" t="s">
        <v>42</v>
      </c>
      <c r="AA5" s="21"/>
      <c r="AB5" s="18" t="s">
        <v>43</v>
      </c>
      <c r="AC5" s="18" t="s">
        <v>43</v>
      </c>
      <c r="AD5" s="22" t="s">
        <v>65</v>
      </c>
      <c r="AE5" s="101"/>
      <c r="AF5" s="101"/>
    </row>
    <row r="6" customFormat="false" ht="11.1" hidden="false" customHeight="true" outlineLevel="0" collapsed="false">
      <c r="A6" s="23"/>
      <c r="B6" s="23"/>
      <c r="C6" s="24"/>
      <c r="D6" s="23"/>
      <c r="E6" s="24"/>
      <c r="F6" s="23"/>
      <c r="G6" s="23"/>
      <c r="H6" s="104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  <c r="U6" s="23"/>
      <c r="V6" s="23"/>
      <c r="W6" s="24"/>
      <c r="X6" s="23"/>
      <c r="Y6" s="23"/>
      <c r="Z6" s="23"/>
      <c r="AA6" s="8"/>
      <c r="AB6" s="11"/>
      <c r="AC6" s="11"/>
      <c r="AD6" s="11"/>
      <c r="AE6" s="101"/>
      <c r="AF6" s="101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/>
      <c r="G7" s="7"/>
      <c r="H7" s="10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8"/>
      <c r="AB7" s="10"/>
      <c r="AC7" s="10"/>
      <c r="AD7" s="11"/>
      <c r="AE7" s="101"/>
    </row>
    <row r="8" s="1" customFormat="true" ht="11.1" hidden="false" customHeight="true" outlineLevel="0" collapsed="false">
      <c r="A8" s="7" t="s">
        <v>45</v>
      </c>
      <c r="B8" s="28" t="n">
        <f aca="false">MAR!B40</f>
        <v>6906.59</v>
      </c>
      <c r="C8" s="7" t="n">
        <f aca="false">MAR!C40</f>
        <v>308544</v>
      </c>
      <c r="D8" s="7" t="n">
        <f aca="false">MAR!D49</f>
        <v>13691</v>
      </c>
      <c r="E8" s="7" t="n">
        <f aca="false">MAR!E49</f>
        <v>156544</v>
      </c>
      <c r="F8" s="7" t="n">
        <f aca="false">MAR!F48</f>
        <v>6902.44517267456</v>
      </c>
      <c r="G8" s="7" t="n">
        <f aca="false">MAR!G48</f>
        <v>12687.1</v>
      </c>
      <c r="H8" s="10" t="n">
        <f aca="false">MAR!H48</f>
        <v>641.7</v>
      </c>
      <c r="I8" s="7" t="n">
        <f aca="false">MAR!I48</f>
        <v>13328.8</v>
      </c>
      <c r="J8" s="7" t="n">
        <f aca="false">MAR!J48</f>
        <v>2306.26694479455</v>
      </c>
      <c r="K8" s="7" t="n">
        <f aca="false">MAR!K48</f>
        <v>15634.9425182758</v>
      </c>
      <c r="L8" s="7" t="n">
        <f aca="false">MAR!L48</f>
        <v>1044.99517267457</v>
      </c>
      <c r="M8" s="7" t="n">
        <f aca="false">MAR!M48</f>
        <v>1064.52</v>
      </c>
      <c r="N8" s="7" t="n">
        <f aca="false">MAR!N48</f>
        <v>0</v>
      </c>
      <c r="O8" s="7" t="n">
        <f aca="false">MAR!O48</f>
        <v>0</v>
      </c>
      <c r="P8" s="7" t="n">
        <f aca="false">MAR!P48</f>
        <v>1064.52</v>
      </c>
      <c r="Q8" s="7" t="n">
        <f aca="false">MAR!Q48</f>
        <v>1312.8</v>
      </c>
      <c r="R8" s="7" t="n">
        <f aca="false">MAR!R48</f>
        <v>274.1</v>
      </c>
      <c r="S8" s="7" t="n">
        <f aca="false">MAR!S48</f>
        <v>2651.42</v>
      </c>
      <c r="T8" s="7" t="n">
        <f aca="false">MAR!T48</f>
        <v>0</v>
      </c>
      <c r="U8" s="7" t="n">
        <f aca="false">MAR!U48</f>
        <v>0</v>
      </c>
      <c r="V8" s="7" t="n">
        <f aca="false">MAR!V48</f>
        <v>4819.93</v>
      </c>
      <c r="W8" s="7" t="n">
        <f aca="false">MAR!W48</f>
        <v>10420.07</v>
      </c>
      <c r="X8" s="7" t="n">
        <f aca="false">MAR!X48</f>
        <v>7471.35</v>
      </c>
      <c r="Y8" s="7" t="n">
        <f aca="false">MAR!Y48</f>
        <v>1261.27177211999</v>
      </c>
      <c r="Z8" s="7" t="n">
        <f aca="false">MAR!Z48</f>
        <v>8732.62177211999</v>
      </c>
      <c r="AA8" s="8" t="n">
        <f aca="false">MAR!AA48</f>
        <v>8.72</v>
      </c>
      <c r="AB8" s="10"/>
      <c r="AC8" s="10"/>
      <c r="AD8" s="11"/>
      <c r="AE8" s="105"/>
      <c r="AF8" s="101"/>
    </row>
    <row r="9" customFormat="false" ht="3" hidden="false" customHeight="true" outlineLevel="0" collapsed="false">
      <c r="A9" s="29"/>
      <c r="B9" s="30"/>
      <c r="C9" s="31"/>
      <c r="D9" s="29"/>
      <c r="E9" s="31"/>
      <c r="F9" s="29"/>
      <c r="G9" s="29"/>
      <c r="H9" s="106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31"/>
      <c r="U9" s="29"/>
      <c r="V9" s="29"/>
      <c r="W9" s="31"/>
      <c r="X9" s="29"/>
      <c r="Y9" s="29"/>
      <c r="Z9" s="29"/>
      <c r="AA9" s="32"/>
      <c r="AB9" s="33"/>
      <c r="AC9" s="33"/>
      <c r="AD9" s="34"/>
      <c r="AE9" s="101"/>
      <c r="AF9" s="101"/>
    </row>
    <row r="10" customFormat="false" ht="11.1" hidden="false" customHeight="true" outlineLevel="0" collapsed="false">
      <c r="A10" s="11" t="n">
        <v>1</v>
      </c>
      <c r="B10" s="28" t="n">
        <v>6906.79</v>
      </c>
      <c r="C10" s="7" t="n">
        <v>309322</v>
      </c>
      <c r="D10" s="10" t="n">
        <f aca="false">C10-C8</f>
        <v>778</v>
      </c>
      <c r="E10" s="7" t="n">
        <f aca="false">C10-152000</f>
        <v>157322</v>
      </c>
      <c r="F10" s="6" t="n">
        <f aca="false">D10/$D$2</f>
        <v>392.235946559113</v>
      </c>
      <c r="G10" s="6" t="n">
        <v>206.6</v>
      </c>
      <c r="H10" s="40" t="n">
        <v>74.7</v>
      </c>
      <c r="I10" s="6" t="n">
        <f aca="false">G10+H10</f>
        <v>281.3</v>
      </c>
      <c r="J10" s="107" t="n">
        <f aca="false">IF(L10&gt;0,L10,0)</f>
        <v>298.235946559113</v>
      </c>
      <c r="K10" s="6" t="n">
        <f aca="false">I10+J10</f>
        <v>579.535946559113</v>
      </c>
      <c r="L10" s="6" t="n">
        <f aca="false">F10-(I10-X10)</f>
        <v>298.235946559113</v>
      </c>
      <c r="M10" s="6" t="n">
        <v>6.4</v>
      </c>
      <c r="N10" s="6" t="n">
        <v>0</v>
      </c>
      <c r="O10" s="6" t="n">
        <v>0</v>
      </c>
      <c r="P10" s="6" t="n">
        <f aca="false">M10-(N10+O10)</f>
        <v>6.4</v>
      </c>
      <c r="Q10" s="6" t="n">
        <v>145.7</v>
      </c>
      <c r="R10" s="6" t="n">
        <v>0</v>
      </c>
      <c r="S10" s="6" t="n">
        <f aca="false">SUM(P10:R10)</f>
        <v>152.1</v>
      </c>
      <c r="T10" s="7"/>
      <c r="U10" s="6" t="n">
        <v>0</v>
      </c>
      <c r="V10" s="6" t="n">
        <v>35.2</v>
      </c>
      <c r="W10" s="7" t="n">
        <f aca="false">W8-V10</f>
        <v>10384.87</v>
      </c>
      <c r="X10" s="6" t="n">
        <f aca="false">N10+O10+S10+U10+V10</f>
        <v>187.3</v>
      </c>
      <c r="Y10" s="6" t="n">
        <f aca="false">IF(L10&lt;0,L10*-1,0)</f>
        <v>0</v>
      </c>
      <c r="Z10" s="6" t="n">
        <f aca="false">X10+Y10</f>
        <v>187.3</v>
      </c>
      <c r="AA10" s="8" t="n">
        <v>0</v>
      </c>
      <c r="AB10" s="10" t="n">
        <v>50</v>
      </c>
      <c r="AC10" s="10" t="n">
        <v>32</v>
      </c>
      <c r="AD10" s="11" t="n">
        <v>1</v>
      </c>
      <c r="AE10" s="10"/>
      <c r="AF10" s="10"/>
      <c r="AH10" s="6"/>
    </row>
    <row r="11" customFormat="false" ht="11.1" hidden="false" customHeight="true" outlineLevel="0" collapsed="false">
      <c r="A11" s="11" t="n">
        <f aca="false">A10+1</f>
        <v>2</v>
      </c>
      <c r="B11" s="28" t="n">
        <v>6907.1</v>
      </c>
      <c r="C11" s="7" t="n">
        <v>310530</v>
      </c>
      <c r="D11" s="10" t="n">
        <f aca="false">C11-C10</f>
        <v>1208</v>
      </c>
      <c r="E11" s="7" t="n">
        <f aca="false">C11-152000</f>
        <v>158530</v>
      </c>
      <c r="F11" s="6" t="n">
        <f aca="false">D11/$D$2</f>
        <v>609.024451726746</v>
      </c>
      <c r="G11" s="6" t="n">
        <v>203.2</v>
      </c>
      <c r="H11" s="40" t="n">
        <v>62.1</v>
      </c>
      <c r="I11" s="6" t="n">
        <f aca="false">G11+H11</f>
        <v>265.3</v>
      </c>
      <c r="J11" s="107" t="n">
        <f aca="false">IF(L11&gt;0,L11,0)</f>
        <v>391.924451726746</v>
      </c>
      <c r="K11" s="6" t="n">
        <f aca="false">I11+J11</f>
        <v>657.224451726746</v>
      </c>
      <c r="L11" s="6" t="n">
        <f aca="false">F11-(I11-X11)</f>
        <v>391.924451726746</v>
      </c>
      <c r="M11" s="6" t="n">
        <v>5.7</v>
      </c>
      <c r="N11" s="6" t="n">
        <v>0</v>
      </c>
      <c r="O11" s="6" t="n">
        <v>0</v>
      </c>
      <c r="P11" s="6" t="n">
        <f aca="false">M11-(N11+O11)</f>
        <v>5.7</v>
      </c>
      <c r="Q11" s="6" t="n">
        <v>4.5</v>
      </c>
      <c r="R11" s="6" t="n">
        <v>0</v>
      </c>
      <c r="S11" s="6" t="n">
        <f aca="false">SUM(P11:R11)</f>
        <v>10.2</v>
      </c>
      <c r="T11" s="7"/>
      <c r="U11" s="6" t="n">
        <v>0</v>
      </c>
      <c r="V11" s="6" t="n">
        <v>38</v>
      </c>
      <c r="W11" s="7" t="n">
        <f aca="false">W10-V11</f>
        <v>10346.87</v>
      </c>
      <c r="X11" s="6" t="n">
        <f aca="false">N11+O11+S11+U11+V11</f>
        <v>48.2</v>
      </c>
      <c r="Y11" s="6" t="n">
        <f aca="false">IF(L11&lt;0,L11*-1,0)</f>
        <v>0</v>
      </c>
      <c r="Z11" s="6" t="n">
        <f aca="false">X11+Y11</f>
        <v>48.2</v>
      </c>
      <c r="AA11" s="8" t="n">
        <v>0</v>
      </c>
      <c r="AB11" s="10" t="n">
        <v>54</v>
      </c>
      <c r="AC11" s="10" t="n">
        <v>28</v>
      </c>
      <c r="AD11" s="11" t="n">
        <f aca="false">AD10+1</f>
        <v>2</v>
      </c>
      <c r="AE11" s="10"/>
      <c r="AF11" s="10"/>
      <c r="AH11" s="6"/>
    </row>
    <row r="12" customFormat="false" ht="11.1" hidden="false" customHeight="true" outlineLevel="0" collapsed="false">
      <c r="A12" s="11" t="n">
        <f aca="false">A11+1</f>
        <v>3</v>
      </c>
      <c r="B12" s="28" t="n">
        <v>6907.5</v>
      </c>
      <c r="C12" s="7" t="n">
        <v>312097</v>
      </c>
      <c r="D12" s="10" t="n">
        <f aca="false">C12-C11</f>
        <v>1567</v>
      </c>
      <c r="E12" s="7" t="n">
        <f aca="false">C12-152000</f>
        <v>160097</v>
      </c>
      <c r="F12" s="6" t="n">
        <f aca="false">D12/$D$2</f>
        <v>790.017645576002</v>
      </c>
      <c r="G12" s="6" t="n">
        <v>229.8</v>
      </c>
      <c r="H12" s="40" t="n">
        <v>64.7</v>
      </c>
      <c r="I12" s="6" t="n">
        <f aca="false">G12+H12</f>
        <v>294.5</v>
      </c>
      <c r="J12" s="107" t="n">
        <f aca="false">IF(L12&gt;0,L12,0)</f>
        <v>539.417645576002</v>
      </c>
      <c r="K12" s="6" t="n">
        <f aca="false">I12+J12</f>
        <v>833.917645576002</v>
      </c>
      <c r="L12" s="6" t="n">
        <f aca="false">F12-(I12-X12)</f>
        <v>539.417645576002</v>
      </c>
      <c r="M12" s="6" t="n">
        <v>6</v>
      </c>
      <c r="N12" s="6" t="n">
        <v>0</v>
      </c>
      <c r="O12" s="6" t="n">
        <v>0</v>
      </c>
      <c r="P12" s="6" t="n">
        <f aca="false">M12-(N12+O12)</f>
        <v>6</v>
      </c>
      <c r="Q12" s="6" t="n">
        <v>0</v>
      </c>
      <c r="R12" s="6" t="n">
        <v>0</v>
      </c>
      <c r="S12" s="6" t="n">
        <f aca="false">SUM(P12:R12)</f>
        <v>6</v>
      </c>
      <c r="T12" s="7"/>
      <c r="U12" s="6" t="n">
        <v>0</v>
      </c>
      <c r="V12" s="6" t="n">
        <v>37.9</v>
      </c>
      <c r="W12" s="7" t="n">
        <f aca="false">W11-V12</f>
        <v>10308.97</v>
      </c>
      <c r="X12" s="6" t="n">
        <f aca="false">N12+O12+S12+U12+V12</f>
        <v>43.9</v>
      </c>
      <c r="Y12" s="6" t="n">
        <f aca="false">IF(L12&lt;0,L12*-1,0)</f>
        <v>0</v>
      </c>
      <c r="Z12" s="6" t="n">
        <f aca="false">X12+Y12</f>
        <v>43.9</v>
      </c>
      <c r="AA12" s="8" t="n">
        <v>0</v>
      </c>
      <c r="AB12" s="10" t="n">
        <v>56</v>
      </c>
      <c r="AC12" s="10" t="n">
        <v>29</v>
      </c>
      <c r="AD12" s="11" t="n">
        <f aca="false">AD11+1</f>
        <v>3</v>
      </c>
      <c r="AE12" s="10"/>
      <c r="AF12" s="10"/>
      <c r="AH12" s="6"/>
    </row>
    <row r="13" customFormat="false" ht="11.1" hidden="false" customHeight="true" outlineLevel="0" collapsed="false">
      <c r="A13" s="11" t="n">
        <f aca="false">A12+1</f>
        <v>4</v>
      </c>
      <c r="B13" s="28" t="n">
        <v>6908.02</v>
      </c>
      <c r="C13" s="7" t="n">
        <v>314135</v>
      </c>
      <c r="D13" s="10" t="n">
        <f aca="false">C13-C12</f>
        <v>2038</v>
      </c>
      <c r="E13" s="7" t="n">
        <f aca="false">C13-152000</f>
        <v>162135</v>
      </c>
      <c r="F13" s="6" t="n">
        <f aca="false">D13/$D$2</f>
        <v>1027.47668263171</v>
      </c>
      <c r="G13" s="6" t="n">
        <v>293.1</v>
      </c>
      <c r="H13" s="40" t="n">
        <v>80.4</v>
      </c>
      <c r="I13" s="6" t="n">
        <f aca="false">G13+H13</f>
        <v>373.5</v>
      </c>
      <c r="J13" s="107" t="n">
        <f aca="false">IF(L13&gt;0,L13,0)</f>
        <v>697.876682631712</v>
      </c>
      <c r="K13" s="6" t="n">
        <f aca="false">I13+J13</f>
        <v>1071.37668263171</v>
      </c>
      <c r="L13" s="6" t="n">
        <f aca="false">F13-(I13-X13)</f>
        <v>697.876682631712</v>
      </c>
      <c r="M13" s="6" t="n">
        <v>6.2</v>
      </c>
      <c r="N13" s="6" t="n">
        <v>0</v>
      </c>
      <c r="O13" s="6" t="n">
        <v>0</v>
      </c>
      <c r="P13" s="6" t="n">
        <f aca="false">M13-(N13+O13)</f>
        <v>6.2</v>
      </c>
      <c r="Q13" s="6" t="n">
        <v>0</v>
      </c>
      <c r="R13" s="6" t="n">
        <v>0</v>
      </c>
      <c r="S13" s="6" t="n">
        <f aca="false">SUM(P13:R13)</f>
        <v>6.2</v>
      </c>
      <c r="T13" s="7"/>
      <c r="U13" s="6" t="n">
        <v>0</v>
      </c>
      <c r="V13" s="6" t="n">
        <v>37.7</v>
      </c>
      <c r="W13" s="7" t="n">
        <f aca="false">W12-V13</f>
        <v>10271.27</v>
      </c>
      <c r="X13" s="6" t="n">
        <f aca="false">N13+O13+S13+U13+V13</f>
        <v>43.9</v>
      </c>
      <c r="Y13" s="6" t="n">
        <f aca="false">IF(L13&lt;0,L13*-1,0)</f>
        <v>0</v>
      </c>
      <c r="Z13" s="6" t="n">
        <f aca="false">X13+Y13</f>
        <v>43.9</v>
      </c>
      <c r="AA13" s="8" t="n">
        <v>0</v>
      </c>
      <c r="AB13" s="10" t="n">
        <v>64</v>
      </c>
      <c r="AC13" s="10" t="n">
        <v>29</v>
      </c>
      <c r="AD13" s="11" t="n">
        <f aca="false">AD12+1</f>
        <v>4</v>
      </c>
      <c r="AE13" s="10"/>
      <c r="AF13" s="10"/>
      <c r="AH13" s="6"/>
    </row>
    <row r="14" customFormat="false" ht="11.1" hidden="false" customHeight="true" outlineLevel="0" collapsed="false">
      <c r="A14" s="11" t="n">
        <f aca="false">A13+1</f>
        <v>5</v>
      </c>
      <c r="B14" s="28" t="n">
        <v>6908.59</v>
      </c>
      <c r="C14" s="7" t="n">
        <v>316385</v>
      </c>
      <c r="D14" s="10" t="n">
        <f aca="false">C14-C13</f>
        <v>2250</v>
      </c>
      <c r="E14" s="7" t="n">
        <f aca="false">C14-152000</f>
        <v>164385</v>
      </c>
      <c r="F14" s="6" t="n">
        <f aca="false">D14/$D$2</f>
        <v>1134.3584572725</v>
      </c>
      <c r="G14" s="6" t="n">
        <v>353.5</v>
      </c>
      <c r="H14" s="40" t="n">
        <v>93.5</v>
      </c>
      <c r="I14" s="6" t="n">
        <f aca="false">G14+H14</f>
        <v>447</v>
      </c>
      <c r="J14" s="107" t="n">
        <f aca="false">IF(L14&gt;0,L14,0)</f>
        <v>731.158457272498</v>
      </c>
      <c r="K14" s="6" t="n">
        <f aca="false">I14+J14</f>
        <v>1178.1584572725</v>
      </c>
      <c r="L14" s="6" t="n">
        <f aca="false">F14-(I14-X14)</f>
        <v>731.158457272498</v>
      </c>
      <c r="M14" s="6" t="n">
        <v>6.3</v>
      </c>
      <c r="N14" s="6" t="n">
        <v>0</v>
      </c>
      <c r="O14" s="6" t="n">
        <v>0</v>
      </c>
      <c r="P14" s="6" t="n">
        <f aca="false">M14-(N14+O14)</f>
        <v>6.3</v>
      </c>
      <c r="Q14" s="6" t="n">
        <v>0</v>
      </c>
      <c r="R14" s="6" t="n">
        <v>0</v>
      </c>
      <c r="S14" s="6" t="n">
        <f aca="false">SUM(P14:R14)</f>
        <v>6.3</v>
      </c>
      <c r="T14" s="7"/>
      <c r="U14" s="6" t="n">
        <v>0</v>
      </c>
      <c r="V14" s="6" t="n">
        <v>37.5</v>
      </c>
      <c r="W14" s="7" t="n">
        <f aca="false">W13-V14</f>
        <v>10233.77</v>
      </c>
      <c r="X14" s="6" t="n">
        <f aca="false">N14+O14+S14+U14+V14</f>
        <v>43.8</v>
      </c>
      <c r="Y14" s="6" t="n">
        <f aca="false">IF(L14&lt;0,L14*-1,0)</f>
        <v>0</v>
      </c>
      <c r="Z14" s="6" t="n">
        <f aca="false">X14+Y14</f>
        <v>43.8</v>
      </c>
      <c r="AA14" s="8" t="n">
        <v>0</v>
      </c>
      <c r="AB14" s="10" t="n">
        <v>61</v>
      </c>
      <c r="AC14" s="10" t="n">
        <v>30</v>
      </c>
      <c r="AD14" s="11" t="n">
        <f aca="false">AD13+1</f>
        <v>5</v>
      </c>
      <c r="AE14" s="10"/>
      <c r="AF14" s="10"/>
      <c r="AH14" s="6"/>
    </row>
    <row r="15" customFormat="false" ht="11.1" hidden="false" customHeight="true" outlineLevel="0" collapsed="false">
      <c r="A15" s="11" t="n">
        <f aca="false">A14+1</f>
        <v>6</v>
      </c>
      <c r="B15" s="28" t="n">
        <v>6909.27</v>
      </c>
      <c r="C15" s="7" t="n">
        <v>319080</v>
      </c>
      <c r="D15" s="10" t="n">
        <f aca="false">C15-C14</f>
        <v>2695</v>
      </c>
      <c r="E15" s="7" t="n">
        <f aca="false">C15-152000</f>
        <v>167080</v>
      </c>
      <c r="F15" s="6" t="n">
        <f aca="false">D15/$D$2</f>
        <v>1358.70935215528</v>
      </c>
      <c r="G15" s="6" t="n">
        <v>401.6</v>
      </c>
      <c r="H15" s="40" t="n">
        <v>93.5</v>
      </c>
      <c r="I15" s="6" t="n">
        <f aca="false">G15+H15</f>
        <v>495.1</v>
      </c>
      <c r="J15" s="107" t="n">
        <f aca="false">IF(L15&gt;0,L15,0)</f>
        <v>910.309352155281</v>
      </c>
      <c r="K15" s="6" t="n">
        <f aca="false">I15+J15</f>
        <v>1405.40935215528</v>
      </c>
      <c r="L15" s="6" t="n">
        <f aca="false">F15-(I15-X15)</f>
        <v>910.309352155281</v>
      </c>
      <c r="M15" s="6" t="n">
        <v>9.2</v>
      </c>
      <c r="N15" s="6" t="n">
        <v>0</v>
      </c>
      <c r="O15" s="6" t="n">
        <v>0</v>
      </c>
      <c r="P15" s="6" t="n">
        <f aca="false">M15-(N15+O15)</f>
        <v>9.2</v>
      </c>
      <c r="Q15" s="6" t="n">
        <v>0</v>
      </c>
      <c r="R15" s="6" t="n">
        <v>0</v>
      </c>
      <c r="S15" s="6" t="n">
        <f aca="false">SUM(P15:R15)</f>
        <v>9.2</v>
      </c>
      <c r="T15" s="7"/>
      <c r="U15" s="6" t="n">
        <v>0</v>
      </c>
      <c r="V15" s="6" t="n">
        <v>37.5</v>
      </c>
      <c r="W15" s="7" t="n">
        <f aca="false">W14-V15</f>
        <v>10196.27</v>
      </c>
      <c r="X15" s="6" t="n">
        <f aca="false">N15+O15+S15+U15+V15</f>
        <v>46.7</v>
      </c>
      <c r="Y15" s="6" t="n">
        <f aca="false">IF(L15&lt;0,L15*-1,0)</f>
        <v>0</v>
      </c>
      <c r="Z15" s="6" t="n">
        <f aca="false">X15+Y15</f>
        <v>46.7</v>
      </c>
      <c r="AA15" s="8" t="n">
        <v>0</v>
      </c>
      <c r="AB15" s="10" t="n">
        <v>64</v>
      </c>
      <c r="AC15" s="10" t="n">
        <v>30</v>
      </c>
      <c r="AD15" s="11" t="n">
        <f aca="false">AD14+1</f>
        <v>6</v>
      </c>
      <c r="AE15" s="10"/>
      <c r="AF15" s="10"/>
      <c r="AH15" s="6"/>
    </row>
    <row r="16" customFormat="false" ht="11.1" hidden="false" customHeight="true" outlineLevel="0" collapsed="false">
      <c r="A16" s="11" t="n">
        <f aca="false">A15+1</f>
        <v>7</v>
      </c>
      <c r="B16" s="28" t="n">
        <v>6909.93</v>
      </c>
      <c r="C16" s="7" t="n">
        <v>321708</v>
      </c>
      <c r="D16" s="10" t="n">
        <f aca="false">C16-C15</f>
        <v>2628</v>
      </c>
      <c r="E16" s="7" t="n">
        <f aca="false">C16-152000</f>
        <v>169708</v>
      </c>
      <c r="F16" s="6" t="n">
        <f aca="false">D16/$D$2</f>
        <v>1324.93067809428</v>
      </c>
      <c r="G16" s="6" t="n">
        <v>459.5</v>
      </c>
      <c r="H16" s="40" t="n">
        <v>96.3</v>
      </c>
      <c r="I16" s="6" t="n">
        <f aca="false">G16+H16</f>
        <v>555.8</v>
      </c>
      <c r="J16" s="107" t="n">
        <f aca="false">IF(L16&gt;0,L16,0)</f>
        <v>820.530678094278</v>
      </c>
      <c r="K16" s="6" t="n">
        <f aca="false">I16+J16</f>
        <v>1376.33067809428</v>
      </c>
      <c r="L16" s="6" t="n">
        <f aca="false">F16-(I16-X16)</f>
        <v>820.530678094278</v>
      </c>
      <c r="M16" s="6" t="n">
        <v>14.1</v>
      </c>
      <c r="N16" s="6" t="n">
        <v>0</v>
      </c>
      <c r="O16" s="6" t="n">
        <v>0</v>
      </c>
      <c r="P16" s="6" t="n">
        <f aca="false">M16-(N16+O16)</f>
        <v>14.1</v>
      </c>
      <c r="Q16" s="6" t="n">
        <v>0</v>
      </c>
      <c r="R16" s="6" t="n">
        <v>0</v>
      </c>
      <c r="S16" s="6" t="n">
        <f aca="false">SUM(P16:R16)</f>
        <v>14.1</v>
      </c>
      <c r="T16" s="7"/>
      <c r="U16" s="6" t="n">
        <v>0</v>
      </c>
      <c r="V16" s="6" t="n">
        <v>37.3</v>
      </c>
      <c r="W16" s="7" t="n">
        <f aca="false">W15-V16</f>
        <v>10158.97</v>
      </c>
      <c r="X16" s="6" t="n">
        <f aca="false">N16+O16+S16+U16+V16</f>
        <v>51.4</v>
      </c>
      <c r="Y16" s="6" t="n">
        <f aca="false">IF(L16&lt;0,L16*-1,0)</f>
        <v>0</v>
      </c>
      <c r="Z16" s="6" t="n">
        <f aca="false">X16+Y16</f>
        <v>51.4</v>
      </c>
      <c r="AA16" s="8" t="n">
        <v>0</v>
      </c>
      <c r="AB16" s="10" t="n">
        <v>65</v>
      </c>
      <c r="AC16" s="10" t="n">
        <v>28</v>
      </c>
      <c r="AD16" s="11" t="n">
        <f aca="false">AD15+1</f>
        <v>7</v>
      </c>
      <c r="AE16" s="10"/>
      <c r="AF16" s="10"/>
      <c r="AH16" s="6"/>
    </row>
    <row r="17" customFormat="false" ht="11.1" hidden="false" customHeight="true" outlineLevel="0" collapsed="false">
      <c r="A17" s="11" t="n">
        <f aca="false">A16+1</f>
        <v>8</v>
      </c>
      <c r="B17" s="28" t="n">
        <v>6910.62</v>
      </c>
      <c r="C17" s="7" t="n">
        <v>324475</v>
      </c>
      <c r="D17" s="10" t="n">
        <f aca="false">C17-C16</f>
        <v>2767</v>
      </c>
      <c r="E17" s="7" t="n">
        <f aca="false">C17-152000</f>
        <v>172475</v>
      </c>
      <c r="F17" s="6" t="n">
        <f aca="false">D17/$D$2</f>
        <v>1395.008822788</v>
      </c>
      <c r="G17" s="6" t="n">
        <v>532.9</v>
      </c>
      <c r="H17" s="40" t="n">
        <v>126.9</v>
      </c>
      <c r="I17" s="6" t="n">
        <f aca="false">G17+H17</f>
        <v>659.8</v>
      </c>
      <c r="J17" s="107" t="n">
        <f aca="false">IF(L17&gt;0,L17,0)</f>
        <v>785.608822788001</v>
      </c>
      <c r="K17" s="6" t="n">
        <f aca="false">I17+J17</f>
        <v>1445.408822788</v>
      </c>
      <c r="L17" s="6" t="n">
        <f aca="false">F17-(I17-X17)</f>
        <v>785.608822788001</v>
      </c>
      <c r="M17" s="6" t="n">
        <v>13.1</v>
      </c>
      <c r="N17" s="6" t="n">
        <v>0</v>
      </c>
      <c r="O17" s="6" t="n">
        <v>0</v>
      </c>
      <c r="P17" s="6" t="n">
        <f aca="false">M17-(N17+O17)</f>
        <v>13.1</v>
      </c>
      <c r="Q17" s="6" t="n">
        <v>0</v>
      </c>
      <c r="R17" s="6" t="n">
        <v>0</v>
      </c>
      <c r="S17" s="6" t="n">
        <f aca="false">SUM(P17:R17)</f>
        <v>13.1</v>
      </c>
      <c r="T17" s="6"/>
      <c r="U17" s="6" t="n">
        <v>0</v>
      </c>
      <c r="V17" s="6" t="n">
        <v>37.3</v>
      </c>
      <c r="W17" s="7" t="n">
        <f aca="false">W16-V17</f>
        <v>10121.67</v>
      </c>
      <c r="X17" s="6" t="n">
        <f aca="false">N17+O17+S17+U17+V17</f>
        <v>50.4</v>
      </c>
      <c r="Y17" s="6" t="n">
        <f aca="false">IF(L17&lt;0,L17*-1,0)</f>
        <v>0</v>
      </c>
      <c r="Z17" s="6" t="n">
        <f aca="false">X17+Y17</f>
        <v>50.4</v>
      </c>
      <c r="AA17" s="8" t="n">
        <v>0</v>
      </c>
      <c r="AB17" s="10" t="n">
        <v>65</v>
      </c>
      <c r="AC17" s="10" t="n">
        <v>33</v>
      </c>
      <c r="AD17" s="11" t="n">
        <f aca="false">AD16+1</f>
        <v>8</v>
      </c>
      <c r="AE17" s="10"/>
      <c r="AF17" s="10"/>
      <c r="AH17" s="6"/>
    </row>
    <row r="18" customFormat="false" ht="11.1" hidden="false" customHeight="true" outlineLevel="0" collapsed="false">
      <c r="A18" s="11" t="n">
        <f aca="false">A17+1</f>
        <v>9</v>
      </c>
      <c r="B18" s="28" t="n">
        <v>6911.42</v>
      </c>
      <c r="C18" s="7" t="n">
        <v>327698</v>
      </c>
      <c r="D18" s="10" t="n">
        <f aca="false">C18-C17</f>
        <v>3223</v>
      </c>
      <c r="E18" s="7" t="n">
        <f aca="false">C18-152000</f>
        <v>175698</v>
      </c>
      <c r="F18" s="6" t="n">
        <f aca="false">D18/$D$2</f>
        <v>1624.90547012856</v>
      </c>
      <c r="G18" s="6" t="n">
        <v>634</v>
      </c>
      <c r="H18" s="40" t="n">
        <v>167.2</v>
      </c>
      <c r="I18" s="6" t="n">
        <f aca="false">G18+H18</f>
        <v>801.2</v>
      </c>
      <c r="J18" s="107" t="n">
        <f aca="false">IF(L18&gt;0,L18,0)</f>
        <v>869.305470128561</v>
      </c>
      <c r="K18" s="6" t="n">
        <f aca="false">I18+J18</f>
        <v>1670.50547012856</v>
      </c>
      <c r="L18" s="6" t="n">
        <f aca="false">F18-(I18-X18)</f>
        <v>869.305470128561</v>
      </c>
      <c r="M18" s="6" t="n">
        <v>8.3</v>
      </c>
      <c r="N18" s="6" t="n">
        <v>0</v>
      </c>
      <c r="O18" s="6" t="n">
        <v>0</v>
      </c>
      <c r="P18" s="6" t="n">
        <f aca="false">M18-(N18+O18)</f>
        <v>8.3</v>
      </c>
      <c r="Q18" s="6" t="n">
        <v>0</v>
      </c>
      <c r="R18" s="6" t="n">
        <v>0</v>
      </c>
      <c r="S18" s="6" t="n">
        <f aca="false">SUM(P18:R18)</f>
        <v>8.3</v>
      </c>
      <c r="T18" s="6"/>
      <c r="U18" s="6" t="n">
        <v>0</v>
      </c>
      <c r="V18" s="6" t="n">
        <v>37.3</v>
      </c>
      <c r="W18" s="7" t="n">
        <f aca="false">W17-V18</f>
        <v>10084.37</v>
      </c>
      <c r="X18" s="6" t="n">
        <f aca="false">N18+O18+S18+U18+V18</f>
        <v>45.6</v>
      </c>
      <c r="Y18" s="6" t="n">
        <f aca="false">IF(L18&lt;0,L18*-1,0)</f>
        <v>0</v>
      </c>
      <c r="Z18" s="6" t="n">
        <f aca="false">X18+Y18</f>
        <v>45.6</v>
      </c>
      <c r="AA18" s="8" t="n">
        <v>0</v>
      </c>
      <c r="AB18" s="37" t="n">
        <v>66</v>
      </c>
      <c r="AC18" s="10" t="n">
        <v>35</v>
      </c>
      <c r="AD18" s="11" t="n">
        <f aca="false">AD17+1</f>
        <v>9</v>
      </c>
      <c r="AE18" s="10"/>
      <c r="AF18" s="10"/>
      <c r="AH18" s="6"/>
    </row>
    <row r="19" customFormat="false" ht="11.1" hidden="false" customHeight="true" outlineLevel="0" collapsed="false">
      <c r="A19" s="11" t="n">
        <f aca="false">A18+1</f>
        <v>10</v>
      </c>
      <c r="B19" s="28" t="n">
        <v>6912.2</v>
      </c>
      <c r="C19" s="7" t="n">
        <v>330860</v>
      </c>
      <c r="D19" s="10" t="n">
        <f aca="false">C19-C18</f>
        <v>3162</v>
      </c>
      <c r="E19" s="7" t="n">
        <f aca="false">C19-152000</f>
        <v>178860</v>
      </c>
      <c r="F19" s="6" t="n">
        <f aca="false">D19/$D$2</f>
        <v>1594.15175195362</v>
      </c>
      <c r="G19" s="6" t="n">
        <v>726.5</v>
      </c>
      <c r="H19" s="40" t="n">
        <v>199</v>
      </c>
      <c r="I19" s="6" t="n">
        <f aca="false">G19+H19</f>
        <v>925.5</v>
      </c>
      <c r="J19" s="107" t="n">
        <f aca="false">IF(L19&gt;0,L19,0)</f>
        <v>721.951751953617</v>
      </c>
      <c r="K19" s="6" t="n">
        <f aca="false">I19+J19</f>
        <v>1647.45175195362</v>
      </c>
      <c r="L19" s="6" t="n">
        <f aca="false">F19-(I19-X19)</f>
        <v>721.951751953617</v>
      </c>
      <c r="M19" s="6" t="n">
        <v>8.2</v>
      </c>
      <c r="N19" s="6" t="n">
        <v>0</v>
      </c>
      <c r="O19" s="6" t="n">
        <v>0</v>
      </c>
      <c r="P19" s="6" t="n">
        <f aca="false">M19-(N19+O19)</f>
        <v>8.2</v>
      </c>
      <c r="Q19" s="6" t="n">
        <v>0</v>
      </c>
      <c r="R19" s="6" t="n">
        <v>0</v>
      </c>
      <c r="S19" s="6" t="n">
        <f aca="false">SUM(P19:R19)</f>
        <v>8.2</v>
      </c>
      <c r="T19" s="6"/>
      <c r="U19" s="6" t="n">
        <v>0</v>
      </c>
      <c r="V19" s="6" t="n">
        <v>45.1</v>
      </c>
      <c r="W19" s="7" t="n">
        <f aca="false">W18-V19</f>
        <v>10039.27</v>
      </c>
      <c r="X19" s="6" t="n">
        <f aca="false">N19+O19+S19+U19+V19</f>
        <v>53.3</v>
      </c>
      <c r="Y19" s="6" t="n">
        <f aca="false">IF(L19&lt;0,L19*-1,0)</f>
        <v>0</v>
      </c>
      <c r="Z19" s="6" t="n">
        <f aca="false">X19+Y19</f>
        <v>53.3</v>
      </c>
      <c r="AA19" s="8" t="n">
        <v>0</v>
      </c>
      <c r="AB19" s="10" t="n">
        <v>69</v>
      </c>
      <c r="AC19" s="10" t="n">
        <v>36</v>
      </c>
      <c r="AD19" s="11" t="n">
        <f aca="false">AD18+1</f>
        <v>10</v>
      </c>
      <c r="AE19" s="10"/>
      <c r="AF19" s="10"/>
      <c r="AH19" s="6"/>
    </row>
    <row r="20" customFormat="false" ht="11.1" hidden="false" customHeight="true" outlineLevel="0" collapsed="false">
      <c r="A20" s="11" t="n">
        <f aca="false">A19+1</f>
        <v>11</v>
      </c>
      <c r="B20" s="28" t="n">
        <v>6913.01</v>
      </c>
      <c r="C20" s="7" t="n">
        <v>334161</v>
      </c>
      <c r="D20" s="10" t="n">
        <f aca="false">C20-C19</f>
        <v>3301</v>
      </c>
      <c r="E20" s="7" t="n">
        <f aca="false">C20-152000</f>
        <v>182161</v>
      </c>
      <c r="F20" s="6" t="n">
        <f aca="false">D20/$D$2</f>
        <v>1664.22989664734</v>
      </c>
      <c r="G20" s="6" t="n">
        <v>828.5</v>
      </c>
      <c r="H20" s="40" t="n">
        <v>210.4</v>
      </c>
      <c r="I20" s="6" t="n">
        <f aca="false">G20+H20</f>
        <v>1038.9</v>
      </c>
      <c r="J20" s="107" t="n">
        <f aca="false">IF(L20&gt;0,L20,0)</f>
        <v>683.62989664734</v>
      </c>
      <c r="K20" s="6" t="n">
        <f aca="false">I20+J20</f>
        <v>1722.52989664734</v>
      </c>
      <c r="L20" s="6" t="n">
        <f aca="false">F20-(I20-X20)</f>
        <v>683.62989664734</v>
      </c>
      <c r="M20" s="6" t="n">
        <v>8</v>
      </c>
      <c r="N20" s="6" t="n">
        <v>0</v>
      </c>
      <c r="O20" s="6" t="n">
        <v>0</v>
      </c>
      <c r="P20" s="6" t="n">
        <f aca="false">M20-(N20+O20)</f>
        <v>8</v>
      </c>
      <c r="Q20" s="6" t="n">
        <v>0</v>
      </c>
      <c r="R20" s="6" t="n">
        <v>0</v>
      </c>
      <c r="S20" s="6" t="n">
        <f aca="false">SUM(P20:R20)</f>
        <v>8</v>
      </c>
      <c r="T20" s="6"/>
      <c r="U20" s="6" t="n">
        <v>0</v>
      </c>
      <c r="V20" s="6" t="n">
        <v>50.3</v>
      </c>
      <c r="W20" s="7" t="n">
        <f aca="false">W19-V20</f>
        <v>9988.96999999996</v>
      </c>
      <c r="X20" s="6" t="n">
        <f aca="false">N20+O20+S20+U20+V20</f>
        <v>58.3</v>
      </c>
      <c r="Y20" s="6" t="n">
        <f aca="false">IF(L20&lt;0,L20*-1,0)</f>
        <v>0</v>
      </c>
      <c r="Z20" s="6" t="n">
        <f aca="false">X20+Y20</f>
        <v>58.3</v>
      </c>
      <c r="AA20" s="8" t="n">
        <v>0</v>
      </c>
      <c r="AB20" s="10" t="n">
        <v>72</v>
      </c>
      <c r="AC20" s="10" t="n">
        <v>36</v>
      </c>
      <c r="AD20" s="11" t="n">
        <f aca="false">AD19+1</f>
        <v>11</v>
      </c>
      <c r="AE20" s="10"/>
      <c r="AF20" s="10"/>
      <c r="AH20" s="6"/>
    </row>
    <row r="21" customFormat="false" ht="11.1" hidden="false" customHeight="true" outlineLevel="0" collapsed="false">
      <c r="A21" s="11" t="n">
        <f aca="false">A20+1</f>
        <v>12</v>
      </c>
      <c r="B21" s="28" t="n">
        <v>6913.84</v>
      </c>
      <c r="C21" s="7" t="n">
        <v>337573</v>
      </c>
      <c r="D21" s="10" t="n">
        <f aca="false">C21-C20</f>
        <v>3412</v>
      </c>
      <c r="E21" s="7" t="n">
        <f aca="false">C21-152000</f>
        <v>185573</v>
      </c>
      <c r="F21" s="6" t="n">
        <f aca="false">D21/$D$2</f>
        <v>1720.19158053945</v>
      </c>
      <c r="G21" s="6" t="n">
        <v>967.9</v>
      </c>
      <c r="H21" s="40" t="n">
        <v>247</v>
      </c>
      <c r="I21" s="6" t="n">
        <f aca="false">G21+H21</f>
        <v>1214.9</v>
      </c>
      <c r="J21" s="107" t="n">
        <f aca="false">IF(L21&gt;0,L21,0)</f>
        <v>563.59158053945</v>
      </c>
      <c r="K21" s="6" t="n">
        <f aca="false">I21+J21</f>
        <v>1778.49158053945</v>
      </c>
      <c r="L21" s="6" t="n">
        <f aca="false">F21-(I21-X21)</f>
        <v>563.59158053945</v>
      </c>
      <c r="M21" s="6" t="n">
        <v>8</v>
      </c>
      <c r="N21" s="6" t="n">
        <v>0</v>
      </c>
      <c r="O21" s="6" t="n">
        <v>0</v>
      </c>
      <c r="P21" s="6" t="n">
        <f aca="false">M21-(N21+O21)</f>
        <v>8</v>
      </c>
      <c r="Q21" s="6" t="n">
        <v>0</v>
      </c>
      <c r="R21" s="6" t="n">
        <v>0</v>
      </c>
      <c r="S21" s="6" t="n">
        <f aca="false">SUM(P21:R21)</f>
        <v>8</v>
      </c>
      <c r="T21" s="6"/>
      <c r="U21" s="6" t="n">
        <v>0</v>
      </c>
      <c r="V21" s="6" t="n">
        <v>50.3</v>
      </c>
      <c r="W21" s="7" t="n">
        <f aca="false">W20-V21</f>
        <v>9938.66999999996</v>
      </c>
      <c r="X21" s="6" t="n">
        <f aca="false">N21+O21+S21+U21+V21</f>
        <v>58.3</v>
      </c>
      <c r="Y21" s="6" t="n">
        <f aca="false">IF(L21&lt;0,L21*-1,0)</f>
        <v>0</v>
      </c>
      <c r="Z21" s="6" t="n">
        <f aca="false">X21+Y21</f>
        <v>58.3</v>
      </c>
      <c r="AA21" s="8" t="n">
        <v>0</v>
      </c>
      <c r="AB21" s="10" t="n">
        <v>70</v>
      </c>
      <c r="AC21" s="10" t="n">
        <v>35</v>
      </c>
      <c r="AD21" s="11" t="n">
        <f aca="false">AD20+1</f>
        <v>12</v>
      </c>
      <c r="AE21" s="10"/>
      <c r="AF21" s="10"/>
      <c r="AH21" s="6"/>
    </row>
    <row r="22" customFormat="false" ht="11.1" hidden="false" customHeight="true" outlineLevel="0" collapsed="false">
      <c r="A22" s="11" t="n">
        <f aca="false">A21+1</f>
        <v>13</v>
      </c>
      <c r="B22" s="28" t="n">
        <v>6914.86</v>
      </c>
      <c r="C22" s="7" t="n">
        <v>341792</v>
      </c>
      <c r="D22" s="10" t="n">
        <f aca="false">C22-C21</f>
        <v>4219</v>
      </c>
      <c r="E22" s="7" t="n">
        <f aca="false">C22-152000</f>
        <v>189792</v>
      </c>
      <c r="F22" s="6" t="n">
        <f aca="false">D22/$D$2</f>
        <v>2127.04814721452</v>
      </c>
      <c r="G22" s="6" t="n">
        <v>1114.1</v>
      </c>
      <c r="H22" s="40" t="n">
        <v>272.4</v>
      </c>
      <c r="I22" s="6" t="n">
        <f aca="false">G22+H22</f>
        <v>1386.5</v>
      </c>
      <c r="J22" s="107" t="n">
        <f aca="false">IF(L22&gt;0,L22,0)</f>
        <v>798.74814721452</v>
      </c>
      <c r="K22" s="6" t="n">
        <f aca="false">I22+J22</f>
        <v>2185.24814721452</v>
      </c>
      <c r="L22" s="6" t="n">
        <f aca="false">F22-(I22-X22)</f>
        <v>798.74814721452</v>
      </c>
      <c r="M22" s="6" t="n">
        <v>8</v>
      </c>
      <c r="N22" s="6" t="n">
        <v>0</v>
      </c>
      <c r="O22" s="6" t="n">
        <v>0</v>
      </c>
      <c r="P22" s="6" t="n">
        <f aca="false">M22-(N22+O22)</f>
        <v>8</v>
      </c>
      <c r="Q22" s="6" t="n">
        <v>0</v>
      </c>
      <c r="R22" s="6" t="n">
        <v>0</v>
      </c>
      <c r="S22" s="6" t="n">
        <f aca="false">SUM(P22:R22)</f>
        <v>8</v>
      </c>
      <c r="T22" s="6"/>
      <c r="U22" s="6" t="n">
        <v>0</v>
      </c>
      <c r="V22" s="6" t="n">
        <v>50.2</v>
      </c>
      <c r="W22" s="7" t="n">
        <f aca="false">W21-V22</f>
        <v>9888.46999999996</v>
      </c>
      <c r="X22" s="6" t="n">
        <f aca="false">N22+O22+S22+U22+V22</f>
        <v>58.2</v>
      </c>
      <c r="Y22" s="6" t="n">
        <f aca="false">IF(L22&lt;0,L22*-1,0)</f>
        <v>0</v>
      </c>
      <c r="Z22" s="6" t="n">
        <f aca="false">X22+Y22</f>
        <v>58.2</v>
      </c>
      <c r="AA22" s="8" t="n">
        <v>0</v>
      </c>
      <c r="AB22" s="10" t="n">
        <v>72</v>
      </c>
      <c r="AC22" s="10" t="n">
        <v>36</v>
      </c>
      <c r="AD22" s="11" t="n">
        <f aca="false">AD21+1</f>
        <v>13</v>
      </c>
      <c r="AE22" s="10"/>
      <c r="AF22" s="10"/>
      <c r="AH22" s="6"/>
    </row>
    <row r="23" customFormat="false" ht="11.1" hidden="false" customHeight="true" outlineLevel="0" collapsed="false">
      <c r="A23" s="11" t="n">
        <f aca="false">A22+1</f>
        <v>14</v>
      </c>
      <c r="B23" s="28" t="n">
        <v>6915.96</v>
      </c>
      <c r="C23" s="7" t="n">
        <v>346380</v>
      </c>
      <c r="D23" s="10" t="n">
        <f aca="false">C23-C22</f>
        <v>4588</v>
      </c>
      <c r="E23" s="7" t="n">
        <f aca="false">C23-152000</f>
        <v>194380</v>
      </c>
      <c r="F23" s="6" t="n">
        <f aca="false">D23/$D$2</f>
        <v>2313.08293420721</v>
      </c>
      <c r="G23" s="6" t="n">
        <v>1451.5</v>
      </c>
      <c r="H23" s="40" t="n">
        <v>378.9</v>
      </c>
      <c r="I23" s="6" t="n">
        <f aca="false">G23+H23</f>
        <v>1830.4</v>
      </c>
      <c r="J23" s="107" t="n">
        <f aca="false">IF(L23&gt;0,L23,0)</f>
        <v>547.882934207209</v>
      </c>
      <c r="K23" s="6" t="n">
        <f aca="false">I23+J23</f>
        <v>2378.28293420721</v>
      </c>
      <c r="L23" s="6" t="n">
        <f aca="false">F23-(I23-X23)</f>
        <v>547.882934207209</v>
      </c>
      <c r="M23" s="6" t="n">
        <v>10</v>
      </c>
      <c r="N23" s="6" t="n">
        <v>0</v>
      </c>
      <c r="O23" s="6" t="n">
        <v>0</v>
      </c>
      <c r="P23" s="6" t="n">
        <f aca="false">M23-(N23+O23)</f>
        <v>10</v>
      </c>
      <c r="Q23" s="6" t="n">
        <v>4.8</v>
      </c>
      <c r="R23" s="6" t="n">
        <v>0</v>
      </c>
      <c r="S23" s="6" t="n">
        <f aca="false">SUM(P23:R23)</f>
        <v>14.8</v>
      </c>
      <c r="T23" s="6"/>
      <c r="U23" s="6" t="n">
        <v>0</v>
      </c>
      <c r="V23" s="6" t="n">
        <v>50.4</v>
      </c>
      <c r="W23" s="7" t="n">
        <f aca="false">W22-V23</f>
        <v>9838.06999999996</v>
      </c>
      <c r="X23" s="6" t="n">
        <f aca="false">N23+O23+S23+U23+V23</f>
        <v>65.2</v>
      </c>
      <c r="Y23" s="6" t="n">
        <f aca="false">IF(L23&lt;0,L23*-1,0)</f>
        <v>0</v>
      </c>
      <c r="Z23" s="6" t="n">
        <f aca="false">X23+Y23</f>
        <v>65.2</v>
      </c>
      <c r="AA23" s="8" t="n">
        <v>0</v>
      </c>
      <c r="AB23" s="37" t="n">
        <v>65</v>
      </c>
      <c r="AC23" s="10" t="n">
        <v>40</v>
      </c>
      <c r="AD23" s="11" t="n">
        <f aca="false">AD22+1</f>
        <v>14</v>
      </c>
      <c r="AE23" s="10"/>
      <c r="AF23" s="10"/>
      <c r="AH23" s="6"/>
    </row>
    <row r="24" customFormat="false" ht="11.1" hidden="false" customHeight="true" outlineLevel="0" collapsed="false">
      <c r="A24" s="11" t="n">
        <f aca="false">A23+1</f>
        <v>15</v>
      </c>
      <c r="B24" s="28" t="n">
        <v>6916.72</v>
      </c>
      <c r="C24" s="7" t="n">
        <v>349577</v>
      </c>
      <c r="D24" s="10" t="n">
        <f aca="false">C24-C23</f>
        <v>3197</v>
      </c>
      <c r="E24" s="7" t="n">
        <f aca="false">C24-152000</f>
        <v>197577</v>
      </c>
      <c r="F24" s="6" t="n">
        <f aca="false">D24/$D$2</f>
        <v>1611.79732795563</v>
      </c>
      <c r="G24" s="6" t="n">
        <v>1329.1</v>
      </c>
      <c r="H24" s="40" t="n">
        <v>264.3</v>
      </c>
      <c r="I24" s="6" t="n">
        <f aca="false">G24+H24</f>
        <v>1593.4</v>
      </c>
      <c r="J24" s="107" t="n">
        <f aca="false">IF(L24&gt;0,L24,0)</f>
        <v>236.697327955634</v>
      </c>
      <c r="K24" s="6" t="n">
        <f aca="false">I24+J24</f>
        <v>1830.09732795563</v>
      </c>
      <c r="L24" s="6" t="n">
        <f aca="false">F24-(I24-X24)</f>
        <v>236.697327955634</v>
      </c>
      <c r="M24" s="6" t="n">
        <v>13.1</v>
      </c>
      <c r="N24" s="6" t="n">
        <v>0</v>
      </c>
      <c r="O24" s="6" t="n">
        <v>0</v>
      </c>
      <c r="P24" s="6" t="n">
        <f aca="false">M24-(N24+O24)</f>
        <v>13.1</v>
      </c>
      <c r="Q24" s="6" t="n">
        <v>7.2</v>
      </c>
      <c r="R24" s="6" t="n">
        <v>0</v>
      </c>
      <c r="S24" s="6" t="n">
        <f aca="false">SUM(P24:R24)</f>
        <v>20.3</v>
      </c>
      <c r="T24" s="6"/>
      <c r="U24" s="6" t="n">
        <v>0</v>
      </c>
      <c r="V24" s="6" t="n">
        <v>198</v>
      </c>
      <c r="W24" s="7" t="n">
        <f aca="false">W23</f>
        <v>9838.06999999996</v>
      </c>
      <c r="X24" s="6" t="n">
        <f aca="false">N24+O24+S24+U24+V24</f>
        <v>218.3</v>
      </c>
      <c r="Y24" s="6" t="n">
        <f aca="false">IF(L24&lt;0,L24*-1,0)</f>
        <v>0</v>
      </c>
      <c r="Z24" s="6" t="n">
        <f aca="false">X24+Y24</f>
        <v>218.3</v>
      </c>
      <c r="AA24" s="8" t="n">
        <v>0.03</v>
      </c>
      <c r="AB24" s="37" t="n">
        <v>60</v>
      </c>
      <c r="AC24" s="10" t="n">
        <v>41</v>
      </c>
      <c r="AD24" s="11" t="n">
        <f aca="false">AD23+1</f>
        <v>15</v>
      </c>
      <c r="AE24" s="10"/>
      <c r="AF24" s="10"/>
      <c r="AH24" s="6"/>
    </row>
    <row r="25" customFormat="false" ht="11.1" hidden="false" customHeight="true" outlineLevel="0" collapsed="false">
      <c r="A25" s="11" t="n">
        <f aca="false">A24+1</f>
        <v>16</v>
      </c>
      <c r="B25" s="28" t="n">
        <v>6917.12</v>
      </c>
      <c r="C25" s="7" t="n">
        <v>351263</v>
      </c>
      <c r="D25" s="10" t="n">
        <f aca="false">C25-C24</f>
        <v>1686</v>
      </c>
      <c r="E25" s="7" t="n">
        <f aca="false">C25-152000</f>
        <v>199263</v>
      </c>
      <c r="F25" s="6" t="n">
        <f aca="false">D25/$D$2</f>
        <v>850.012603982859</v>
      </c>
      <c r="G25" s="6" t="n">
        <v>1137.3</v>
      </c>
      <c r="H25" s="40" t="n">
        <v>180</v>
      </c>
      <c r="I25" s="6" t="n">
        <f aca="false">G25+H25</f>
        <v>1317.3</v>
      </c>
      <c r="J25" s="107" t="n">
        <f aca="false">IF(L25&gt;0,L25,0)</f>
        <v>112.012603982859</v>
      </c>
      <c r="K25" s="6" t="n">
        <f aca="false">I25+J25</f>
        <v>1429.31260398286</v>
      </c>
      <c r="L25" s="6" t="n">
        <f aca="false">F25-(I25-X25)</f>
        <v>112.012603982859</v>
      </c>
      <c r="M25" s="6" t="n">
        <v>14.7</v>
      </c>
      <c r="N25" s="6" t="n">
        <v>0</v>
      </c>
      <c r="O25" s="6" t="n">
        <v>0</v>
      </c>
      <c r="P25" s="6" t="n">
        <f aca="false">M25-(N25+O25)</f>
        <v>14.7</v>
      </c>
      <c r="Q25" s="6" t="n">
        <v>0</v>
      </c>
      <c r="R25" s="6" t="n">
        <v>8.6</v>
      </c>
      <c r="S25" s="6" t="n">
        <f aca="false">SUM(P25:R25)</f>
        <v>23.3</v>
      </c>
      <c r="T25" s="6"/>
      <c r="U25" s="6" t="n">
        <v>0</v>
      </c>
      <c r="V25" s="6" t="n">
        <v>556</v>
      </c>
      <c r="W25" s="7" t="n">
        <f aca="false">W24</f>
        <v>9838.06999999996</v>
      </c>
      <c r="X25" s="6" t="n">
        <f aca="false">N25+O25+S25+U25+V25</f>
        <v>579.3</v>
      </c>
      <c r="Y25" s="6" t="n">
        <f aca="false">IF(L25&lt;0,L25*-1,0)</f>
        <v>0</v>
      </c>
      <c r="Z25" s="6" t="n">
        <f aca="false">X25+Y25</f>
        <v>579.3</v>
      </c>
      <c r="AA25" s="8" t="n">
        <v>0.01</v>
      </c>
      <c r="AB25" s="37" t="n">
        <v>61</v>
      </c>
      <c r="AC25" s="10" t="n">
        <v>36</v>
      </c>
      <c r="AD25" s="11" t="n">
        <f aca="false">AD24+1</f>
        <v>16</v>
      </c>
      <c r="AE25" s="10"/>
      <c r="AF25" s="10"/>
      <c r="AH25" s="6"/>
    </row>
    <row r="26" customFormat="false" ht="11.1" hidden="false" customHeight="true" outlineLevel="0" collapsed="false">
      <c r="A26" s="11" t="n">
        <f aca="false">A25+1</f>
        <v>17</v>
      </c>
      <c r="B26" s="28" t="n">
        <v>6917.42</v>
      </c>
      <c r="C26" s="7" t="n">
        <v>352535</v>
      </c>
      <c r="D26" s="10" t="n">
        <f aca="false">C26-C25</f>
        <v>1272</v>
      </c>
      <c r="E26" s="7" t="n">
        <f aca="false">C26-152000</f>
        <v>200535</v>
      </c>
      <c r="F26" s="6" t="n">
        <f aca="false">D26/$D$2</f>
        <v>641.290647844719</v>
      </c>
      <c r="G26" s="6" t="n">
        <v>1022.1</v>
      </c>
      <c r="H26" s="40" t="n">
        <v>148.8</v>
      </c>
      <c r="I26" s="6" t="n">
        <f aca="false">G26+H26</f>
        <v>1170.9</v>
      </c>
      <c r="J26" s="107" t="n">
        <f aca="false">IF(L26&gt;0,L26,0)</f>
        <v>301.990647844719</v>
      </c>
      <c r="K26" s="6" t="n">
        <f aca="false">I26+J26</f>
        <v>1472.89064784472</v>
      </c>
      <c r="L26" s="6" t="n">
        <f aca="false">F26-(I26-X26)</f>
        <v>301.990647844719</v>
      </c>
      <c r="M26" s="6" t="n">
        <v>15</v>
      </c>
      <c r="N26" s="6" t="n">
        <v>0</v>
      </c>
      <c r="O26" s="6" t="n">
        <v>0</v>
      </c>
      <c r="P26" s="6" t="n">
        <f aca="false">M26-(N26+O26)</f>
        <v>15</v>
      </c>
      <c r="Q26" s="6" t="n">
        <v>0</v>
      </c>
      <c r="R26" s="6" t="n">
        <v>16.6</v>
      </c>
      <c r="S26" s="6" t="n">
        <f aca="false">SUM(P26:R26)</f>
        <v>31.6</v>
      </c>
      <c r="T26" s="6"/>
      <c r="U26" s="6" t="n">
        <v>0</v>
      </c>
      <c r="V26" s="6" t="n">
        <v>800</v>
      </c>
      <c r="W26" s="7" t="n">
        <f aca="false">W25</f>
        <v>9838.06999999996</v>
      </c>
      <c r="X26" s="6" t="n">
        <f aca="false">N26+O26+S26+U26+V26</f>
        <v>831.6</v>
      </c>
      <c r="Y26" s="6" t="n">
        <f aca="false">IF(L26&lt;0,L26*-1,0)</f>
        <v>0</v>
      </c>
      <c r="Z26" s="6" t="n">
        <f aca="false">X26+Y26</f>
        <v>831.6</v>
      </c>
      <c r="AA26" s="8" t="n">
        <v>0</v>
      </c>
      <c r="AB26" s="37" t="n">
        <v>63</v>
      </c>
      <c r="AC26" s="10" t="n">
        <v>34</v>
      </c>
      <c r="AD26" s="11" t="n">
        <f aca="false">AD25+1</f>
        <v>17</v>
      </c>
      <c r="AE26" s="10"/>
      <c r="AF26" s="10"/>
      <c r="AH26" s="6"/>
    </row>
    <row r="27" customFormat="false" ht="11.1" hidden="false" customHeight="true" outlineLevel="0" collapsed="false">
      <c r="A27" s="11" t="n">
        <f aca="false">A26+1</f>
        <v>18</v>
      </c>
      <c r="B27" s="28" t="n">
        <v>6917.79</v>
      </c>
      <c r="C27" s="7" t="n">
        <v>354104</v>
      </c>
      <c r="D27" s="10" t="n">
        <f aca="false">C27-C26</f>
        <v>1569</v>
      </c>
      <c r="E27" s="7" t="n">
        <f aca="false">C27-152000</f>
        <v>202104</v>
      </c>
      <c r="F27" s="6" t="n">
        <f aca="false">D27/$D$2</f>
        <v>791.025964204689</v>
      </c>
      <c r="G27" s="6" t="n">
        <v>1121.8</v>
      </c>
      <c r="H27" s="40" t="n">
        <v>213.9</v>
      </c>
      <c r="I27" s="6" t="n">
        <f aca="false">G27+H27</f>
        <v>1335.7</v>
      </c>
      <c r="J27" s="107" t="n">
        <f aca="false">IF(L27&gt;0,L27,0)</f>
        <v>284.825964204689</v>
      </c>
      <c r="K27" s="6" t="n">
        <f aca="false">I27+J27</f>
        <v>1620.52596420469</v>
      </c>
      <c r="L27" s="6" t="n">
        <f aca="false">F27-(I27-X27)</f>
        <v>284.825964204689</v>
      </c>
      <c r="M27" s="6" t="n">
        <v>15.1</v>
      </c>
      <c r="N27" s="6" t="n">
        <v>0</v>
      </c>
      <c r="O27" s="6" t="n">
        <v>0</v>
      </c>
      <c r="P27" s="6" t="n">
        <f aca="false">M27-(N27+O27)</f>
        <v>15.1</v>
      </c>
      <c r="Q27" s="6" t="n">
        <v>0</v>
      </c>
      <c r="R27" s="6" t="n">
        <v>14.4</v>
      </c>
      <c r="S27" s="6" t="n">
        <f aca="false">SUM(P27:R27)</f>
        <v>29.5</v>
      </c>
      <c r="T27" s="6"/>
      <c r="U27" s="6" t="n">
        <v>0</v>
      </c>
      <c r="V27" s="6" t="n">
        <v>800</v>
      </c>
      <c r="W27" s="7" t="n">
        <f aca="false">W26</f>
        <v>9838.06999999996</v>
      </c>
      <c r="X27" s="6" t="n">
        <f aca="false">N27+O27+S27+U27+V27</f>
        <v>829.5</v>
      </c>
      <c r="Y27" s="6" t="n">
        <f aca="false">IF(L27&lt;0,L27*-1,0)</f>
        <v>0</v>
      </c>
      <c r="Z27" s="6" t="n">
        <f aca="false">X27+Y27</f>
        <v>829.5</v>
      </c>
      <c r="AA27" s="8" t="n">
        <v>0</v>
      </c>
      <c r="AB27" s="37" t="n">
        <v>49</v>
      </c>
      <c r="AC27" s="10" t="n">
        <v>37</v>
      </c>
      <c r="AD27" s="11" t="n">
        <f aca="false">AD26+1</f>
        <v>18</v>
      </c>
      <c r="AE27" s="10"/>
      <c r="AF27" s="10"/>
      <c r="AH27" s="6"/>
    </row>
    <row r="28" customFormat="false" ht="11.1" hidden="false" customHeight="true" outlineLevel="0" collapsed="false">
      <c r="A28" s="11" t="n">
        <f aca="false">A27+1</f>
        <v>19</v>
      </c>
      <c r="B28" s="28" t="n">
        <v>6917.92</v>
      </c>
      <c r="C28" s="7" t="n">
        <v>354655</v>
      </c>
      <c r="D28" s="10" t="n">
        <f aca="false">C28-C27</f>
        <v>551</v>
      </c>
      <c r="E28" s="7" t="n">
        <f aca="false">C28-152000</f>
        <v>202655</v>
      </c>
      <c r="F28" s="6" t="n">
        <f aca="false">D28/$D$2</f>
        <v>277.791782203176</v>
      </c>
      <c r="G28" s="6" t="n">
        <v>901.7</v>
      </c>
      <c r="H28" s="40" t="n">
        <v>140.6</v>
      </c>
      <c r="I28" s="6" t="n">
        <f aca="false">G28+H28</f>
        <v>1042.3</v>
      </c>
      <c r="J28" s="107" t="n">
        <f aca="false">IF(L28&gt;0,L28,0)</f>
        <v>65.0917822031763</v>
      </c>
      <c r="K28" s="6" t="n">
        <f aca="false">I28+J28</f>
        <v>1107.39178220318</v>
      </c>
      <c r="L28" s="6" t="n">
        <f aca="false">F28-(I28-X28)</f>
        <v>65.0917822031763</v>
      </c>
      <c r="M28" s="6" t="n">
        <v>15.1</v>
      </c>
      <c r="N28" s="6" t="n">
        <v>0</v>
      </c>
      <c r="O28" s="6" t="n">
        <v>0</v>
      </c>
      <c r="P28" s="6" t="n">
        <f aca="false">M28-(N28+O28)</f>
        <v>15.1</v>
      </c>
      <c r="Q28" s="6" t="n">
        <v>0</v>
      </c>
      <c r="R28" s="6" t="n">
        <v>14.5</v>
      </c>
      <c r="S28" s="6" t="n">
        <f aca="false">SUM(P28:R28)</f>
        <v>29.6</v>
      </c>
      <c r="T28" s="6"/>
      <c r="U28" s="6" t="n">
        <v>0</v>
      </c>
      <c r="V28" s="6" t="n">
        <v>800</v>
      </c>
      <c r="W28" s="7" t="n">
        <f aca="false">W27</f>
        <v>9838.06999999996</v>
      </c>
      <c r="X28" s="6" t="n">
        <f aca="false">N28+O28+S28+U28+V28</f>
        <v>829.6</v>
      </c>
      <c r="Y28" s="6" t="n">
        <f aca="false">IF(L28&lt;0,L28*-1,0)</f>
        <v>0</v>
      </c>
      <c r="Z28" s="6" t="n">
        <f aca="false">X28+Y28</f>
        <v>829.6</v>
      </c>
      <c r="AA28" s="8" t="n">
        <v>0</v>
      </c>
      <c r="AB28" s="37" t="n">
        <v>51</v>
      </c>
      <c r="AC28" s="10" t="n">
        <v>30</v>
      </c>
      <c r="AD28" s="11" t="n">
        <f aca="false">AD27+1</f>
        <v>19</v>
      </c>
      <c r="AE28" s="10"/>
      <c r="AF28" s="10"/>
      <c r="AH28" s="6"/>
    </row>
    <row r="29" customFormat="false" ht="11.1" hidden="false" customHeight="true" outlineLevel="0" collapsed="false">
      <c r="A29" s="11" t="n">
        <f aca="false">A28+1</f>
        <v>20</v>
      </c>
      <c r="B29" s="28" t="n">
        <v>6917.95</v>
      </c>
      <c r="C29" s="7" t="n">
        <v>354824</v>
      </c>
      <c r="D29" s="10" t="n">
        <f aca="false">C29-C28</f>
        <v>169</v>
      </c>
      <c r="E29" s="7" t="n">
        <f aca="false">C29-152000</f>
        <v>202824</v>
      </c>
      <c r="F29" s="6" t="n">
        <f aca="false">D29/$D$2</f>
        <v>85.2029241240232</v>
      </c>
      <c r="G29" s="6" t="n">
        <v>760.9</v>
      </c>
      <c r="H29" s="40" t="n">
        <v>98.6</v>
      </c>
      <c r="I29" s="6" t="n">
        <f aca="false">G29+H29</f>
        <v>859.5</v>
      </c>
      <c r="J29" s="107" t="n">
        <f aca="false">IF(L29&gt;0,L29,0)</f>
        <v>53.1029241240232</v>
      </c>
      <c r="K29" s="6" t="n">
        <f aca="false">I29+J29</f>
        <v>912.602924124023</v>
      </c>
      <c r="L29" s="6" t="n">
        <f aca="false">F29-(I29-X29)</f>
        <v>53.1029241240232</v>
      </c>
      <c r="M29" s="6" t="n">
        <v>18.2</v>
      </c>
      <c r="N29" s="6" t="n">
        <v>0</v>
      </c>
      <c r="O29" s="6" t="n">
        <v>0</v>
      </c>
      <c r="P29" s="6" t="n">
        <f aca="false">M29-(N29+O29)</f>
        <v>18.2</v>
      </c>
      <c r="Q29" s="6" t="n">
        <v>0</v>
      </c>
      <c r="R29" s="6" t="n">
        <v>9.2</v>
      </c>
      <c r="S29" s="6" t="n">
        <f aca="false">SUM(P29:R29)</f>
        <v>27.4</v>
      </c>
      <c r="T29" s="6"/>
      <c r="U29" s="6" t="n">
        <v>0</v>
      </c>
      <c r="V29" s="6" t="n">
        <v>800</v>
      </c>
      <c r="W29" s="7" t="n">
        <f aca="false">W28</f>
        <v>9838.06999999996</v>
      </c>
      <c r="X29" s="6" t="n">
        <f aca="false">N29+O29+S29+U29+V29</f>
        <v>827.4</v>
      </c>
      <c r="Y29" s="6" t="n">
        <f aca="false">IF(L29&lt;0,L29*-1,0)</f>
        <v>0</v>
      </c>
      <c r="Z29" s="6" t="n">
        <f aca="false">X29+Y29</f>
        <v>827.4</v>
      </c>
      <c r="AA29" s="8" t="n">
        <v>0</v>
      </c>
      <c r="AB29" s="37" t="n">
        <v>55</v>
      </c>
      <c r="AC29" s="10" t="n">
        <v>30</v>
      </c>
      <c r="AD29" s="11" t="n">
        <f aca="false">AD28+1</f>
        <v>20</v>
      </c>
      <c r="AE29" s="10"/>
      <c r="AF29" s="10"/>
      <c r="AH29" s="6"/>
    </row>
    <row r="30" customFormat="false" ht="11.1" hidden="false" customHeight="true" outlineLevel="0" collapsed="false">
      <c r="A30" s="11" t="n">
        <f aca="false">A29+1</f>
        <v>21</v>
      </c>
      <c r="B30" s="28" t="n">
        <v>6918.04</v>
      </c>
      <c r="C30" s="7" t="n">
        <v>355165</v>
      </c>
      <c r="D30" s="10" t="n">
        <f aca="false">C30-C29</f>
        <v>341</v>
      </c>
      <c r="E30" s="7" t="n">
        <f aca="false">C30-152000</f>
        <v>203165</v>
      </c>
      <c r="F30" s="6" t="n">
        <f aca="false">D30/$D$2</f>
        <v>171.918326191076</v>
      </c>
      <c r="G30" s="6" t="n">
        <v>736.5</v>
      </c>
      <c r="H30" s="40" t="n">
        <v>97.8</v>
      </c>
      <c r="I30" s="6" t="n">
        <f aca="false">G30+H30</f>
        <v>834.3</v>
      </c>
      <c r="J30" s="107" t="n">
        <f aca="false">IF(L30&gt;0,L30,0)</f>
        <v>217.518326191076</v>
      </c>
      <c r="K30" s="6" t="n">
        <f aca="false">I30+J30</f>
        <v>1051.81832619108</v>
      </c>
      <c r="L30" s="6" t="n">
        <f aca="false">F30-(I30-X30)</f>
        <v>217.518326191076</v>
      </c>
      <c r="M30" s="6" t="n">
        <v>22.1</v>
      </c>
      <c r="N30" s="6" t="n">
        <v>0</v>
      </c>
      <c r="O30" s="6" t="n">
        <v>0</v>
      </c>
      <c r="P30" s="6" t="n">
        <f aca="false">M30-(N30+O30)</f>
        <v>22.1</v>
      </c>
      <c r="Q30" s="6" t="n">
        <v>45.9</v>
      </c>
      <c r="R30" s="6" t="n">
        <v>11.9</v>
      </c>
      <c r="S30" s="6" t="n">
        <f aca="false">SUM(P30:R30)</f>
        <v>79.9</v>
      </c>
      <c r="T30" s="6"/>
      <c r="U30" s="6" t="n">
        <v>0</v>
      </c>
      <c r="V30" s="6" t="n">
        <v>800</v>
      </c>
      <c r="W30" s="7" t="n">
        <f aca="false">W29</f>
        <v>9838.06999999996</v>
      </c>
      <c r="X30" s="6" t="n">
        <f aca="false">N30+O30+S30+U30+V30</f>
        <v>879.9</v>
      </c>
      <c r="Y30" s="6" t="n">
        <f aca="false">IF(L30&lt;0,L30*-1,0)</f>
        <v>0</v>
      </c>
      <c r="Z30" s="6" t="n">
        <f aca="false">X30+Y30</f>
        <v>879.9</v>
      </c>
      <c r="AA30" s="8" t="n">
        <v>0</v>
      </c>
      <c r="AB30" s="10" t="n">
        <v>61</v>
      </c>
      <c r="AC30" s="10" t="n">
        <v>29</v>
      </c>
      <c r="AD30" s="11" t="n">
        <f aca="false">AD29+1</f>
        <v>21</v>
      </c>
      <c r="AE30" s="10"/>
      <c r="AF30" s="10"/>
      <c r="AH30" s="6"/>
    </row>
    <row r="31" customFormat="false" ht="11.1" hidden="false" customHeight="true" outlineLevel="0" collapsed="false">
      <c r="A31" s="11" t="n">
        <f aca="false">A30+1</f>
        <v>22</v>
      </c>
      <c r="B31" s="28" t="n">
        <v>6918.12</v>
      </c>
      <c r="C31" s="7" t="n">
        <v>355507</v>
      </c>
      <c r="D31" s="10" t="n">
        <f aca="false">C31-C30</f>
        <v>342</v>
      </c>
      <c r="E31" s="7" t="n">
        <f aca="false">C31-152000</f>
        <v>203507</v>
      </c>
      <c r="F31" s="6" t="n">
        <f aca="false">D31/$D$2</f>
        <v>172.42248550542</v>
      </c>
      <c r="G31" s="6" t="n">
        <v>824.1</v>
      </c>
      <c r="H31" s="40" t="n">
        <v>123.3</v>
      </c>
      <c r="I31" s="6" t="n">
        <f aca="false">G31+H31</f>
        <v>947.4</v>
      </c>
      <c r="J31" s="107" t="n">
        <f aca="false">IF(L31&gt;0,L31,0)</f>
        <v>106.02248550542</v>
      </c>
      <c r="K31" s="6" t="n">
        <f aca="false">I31+J31</f>
        <v>1053.42248550542</v>
      </c>
      <c r="L31" s="6" t="n">
        <f aca="false">F31-(I31-X31)</f>
        <v>106.02248550542</v>
      </c>
      <c r="M31" s="6" t="n">
        <v>21.5</v>
      </c>
      <c r="N31" s="6" t="n">
        <v>0</v>
      </c>
      <c r="O31" s="6" t="n">
        <v>0</v>
      </c>
      <c r="P31" s="6" t="n">
        <f aca="false">M31-(N31+O31)</f>
        <v>21.5</v>
      </c>
      <c r="Q31" s="6" t="n">
        <v>42.7</v>
      </c>
      <c r="R31" s="6" t="n">
        <v>16.8</v>
      </c>
      <c r="S31" s="6" t="n">
        <f aca="false">SUM(P31:R31)</f>
        <v>81</v>
      </c>
      <c r="T31" s="6"/>
      <c r="U31" s="6" t="n">
        <v>0</v>
      </c>
      <c r="V31" s="6" t="n">
        <v>800</v>
      </c>
      <c r="W31" s="7" t="n">
        <f aca="false">W30</f>
        <v>9838.06999999996</v>
      </c>
      <c r="X31" s="6" t="n">
        <f aca="false">N31+O31+S31+U31+V31</f>
        <v>881</v>
      </c>
      <c r="Y31" s="6" t="n">
        <f aca="false">IF(L31&lt;0,L31*-1,0)</f>
        <v>0</v>
      </c>
      <c r="Z31" s="6" t="n">
        <f aca="false">X31+Y31</f>
        <v>881</v>
      </c>
      <c r="AA31" s="8" t="n">
        <v>0</v>
      </c>
      <c r="AB31" s="10" t="n">
        <v>61</v>
      </c>
      <c r="AC31" s="10" t="n">
        <v>31</v>
      </c>
      <c r="AD31" s="11" t="n">
        <f aca="false">AD30+1</f>
        <v>22</v>
      </c>
      <c r="AE31" s="10"/>
      <c r="AF31" s="10"/>
      <c r="AH31" s="6"/>
    </row>
    <row r="32" customFormat="false" ht="11.1" hidden="false" customHeight="true" outlineLevel="0" collapsed="false">
      <c r="A32" s="11" t="n">
        <f aca="false">A31+1</f>
        <v>23</v>
      </c>
      <c r="B32" s="28" t="n">
        <v>6918.17</v>
      </c>
      <c r="C32" s="7" t="n">
        <v>355720</v>
      </c>
      <c r="D32" s="10" t="n">
        <f aca="false">C32-C31</f>
        <v>213</v>
      </c>
      <c r="E32" s="7" t="n">
        <f aca="false">C32-152000</f>
        <v>203720</v>
      </c>
      <c r="F32" s="6" t="n">
        <f aca="false">D32/$D$2</f>
        <v>107.38593395513</v>
      </c>
      <c r="G32" s="6" t="n">
        <v>741.5</v>
      </c>
      <c r="H32" s="40" t="n">
        <v>104.2</v>
      </c>
      <c r="I32" s="6" t="n">
        <f aca="false">G32+H32</f>
        <v>845.7</v>
      </c>
      <c r="J32" s="107" t="n">
        <f aca="false">IF(L32&gt;0,L32,0)</f>
        <v>152.58593395513</v>
      </c>
      <c r="K32" s="6" t="n">
        <f aca="false">I32+J32</f>
        <v>998.28593395513</v>
      </c>
      <c r="L32" s="6" t="n">
        <f aca="false">F32-(I32-X32)</f>
        <v>152.58593395513</v>
      </c>
      <c r="M32" s="6" t="n">
        <v>26.2</v>
      </c>
      <c r="N32" s="6" t="n">
        <v>0</v>
      </c>
      <c r="O32" s="6" t="n">
        <v>0</v>
      </c>
      <c r="P32" s="6" t="n">
        <f aca="false">M32-(N32+O32)</f>
        <v>26.2</v>
      </c>
      <c r="Q32" s="6" t="n">
        <v>48.3</v>
      </c>
      <c r="R32" s="6" t="n">
        <v>16.4</v>
      </c>
      <c r="S32" s="6" t="n">
        <f aca="false">SUM(P32:R32)</f>
        <v>90.9</v>
      </c>
      <c r="T32" s="6"/>
      <c r="U32" s="6" t="n">
        <v>0</v>
      </c>
      <c r="V32" s="6" t="n">
        <v>800</v>
      </c>
      <c r="W32" s="7" t="n">
        <f aca="false">W31</f>
        <v>9838.06999999996</v>
      </c>
      <c r="X32" s="6" t="n">
        <f aca="false">N32+O32+S32+U32+V32</f>
        <v>890.9</v>
      </c>
      <c r="Y32" s="6" t="n">
        <f aca="false">IF(L32&lt;0,L32*-1,0)</f>
        <v>0</v>
      </c>
      <c r="Z32" s="6" t="n">
        <f aca="false">X32+Y32</f>
        <v>890.9</v>
      </c>
      <c r="AA32" s="8" t="n">
        <v>0</v>
      </c>
      <c r="AB32" s="10" t="n">
        <v>64</v>
      </c>
      <c r="AC32" s="37" t="n">
        <v>33</v>
      </c>
      <c r="AD32" s="11" t="n">
        <f aca="false">AD31+1</f>
        <v>23</v>
      </c>
      <c r="AE32" s="10"/>
      <c r="AF32" s="10"/>
      <c r="AH32" s="6"/>
    </row>
    <row r="33" customFormat="false" ht="11.1" hidden="false" customHeight="true" outlineLevel="0" collapsed="false">
      <c r="A33" s="11" t="n">
        <f aca="false">A32+1</f>
        <v>24</v>
      </c>
      <c r="B33" s="28" t="n">
        <v>6918.29</v>
      </c>
      <c r="C33" s="7" t="n">
        <v>356233</v>
      </c>
      <c r="D33" s="10" t="n">
        <f aca="false">C33-C32</f>
        <v>513</v>
      </c>
      <c r="E33" s="7" t="n">
        <f aca="false">C33-152000</f>
        <v>204233</v>
      </c>
      <c r="F33" s="6" t="n">
        <f aca="false">D33/$D$2</f>
        <v>258.63372825813</v>
      </c>
      <c r="G33" s="6" t="n">
        <v>808.3</v>
      </c>
      <c r="H33" s="40" t="n">
        <v>133.1</v>
      </c>
      <c r="I33" s="6" t="n">
        <f aca="false">G33+H33</f>
        <v>941.4</v>
      </c>
      <c r="J33" s="107" t="n">
        <f aca="false">IF(L33&gt;0,L33,0)</f>
        <v>221.13372825813</v>
      </c>
      <c r="K33" s="6" t="n">
        <f aca="false">I33+J33</f>
        <v>1162.53372825813</v>
      </c>
      <c r="L33" s="6" t="n">
        <f aca="false">F33-(I33-X33)</f>
        <v>221.13372825813</v>
      </c>
      <c r="M33" s="6" t="n">
        <v>32.5</v>
      </c>
      <c r="N33" s="6" t="n">
        <v>0</v>
      </c>
      <c r="O33" s="6" t="n">
        <v>0</v>
      </c>
      <c r="P33" s="6" t="n">
        <f aca="false">M33-(N33+O33)</f>
        <v>32.5</v>
      </c>
      <c r="Q33" s="6" t="n">
        <v>53.5</v>
      </c>
      <c r="R33" s="6" t="n">
        <v>17.9</v>
      </c>
      <c r="S33" s="6" t="n">
        <f aca="false">SUM(P33:R33)</f>
        <v>103.9</v>
      </c>
      <c r="T33" s="6"/>
      <c r="U33" s="6" t="n">
        <v>0</v>
      </c>
      <c r="V33" s="6" t="n">
        <v>800</v>
      </c>
      <c r="W33" s="7" t="n">
        <f aca="false">W32</f>
        <v>9838.06999999996</v>
      </c>
      <c r="X33" s="6" t="n">
        <f aca="false">N33+O33+S33+U33+V33</f>
        <v>903.9</v>
      </c>
      <c r="Y33" s="6" t="n">
        <f aca="false">IF(L33&lt;0,L33*-1,0)</f>
        <v>0</v>
      </c>
      <c r="Z33" s="6" t="n">
        <f aca="false">X33+Y33</f>
        <v>903.9</v>
      </c>
      <c r="AA33" s="8" t="n">
        <v>0</v>
      </c>
      <c r="AB33" s="10" t="n">
        <v>68</v>
      </c>
      <c r="AC33" s="37" t="n">
        <v>34</v>
      </c>
      <c r="AD33" s="11" t="n">
        <f aca="false">AD32+1</f>
        <v>24</v>
      </c>
      <c r="AE33" s="10"/>
      <c r="AF33" s="10"/>
      <c r="AH33" s="6"/>
    </row>
    <row r="34" customFormat="false" ht="11.1" hidden="false" customHeight="true" outlineLevel="0" collapsed="false">
      <c r="A34" s="11" t="n">
        <f aca="false">A33+1</f>
        <v>25</v>
      </c>
      <c r="B34" s="28" t="n">
        <v>6918.44</v>
      </c>
      <c r="C34" s="7" t="n">
        <v>356874</v>
      </c>
      <c r="D34" s="10" t="n">
        <f aca="false">C34-C33</f>
        <v>641</v>
      </c>
      <c r="E34" s="7" t="n">
        <f aca="false">C34-152000</f>
        <v>204874</v>
      </c>
      <c r="F34" s="6" t="n">
        <f aca="false">D34/$D$2</f>
        <v>323.166120494076</v>
      </c>
      <c r="G34" s="6" t="n">
        <v>1007.7</v>
      </c>
      <c r="H34" s="40" t="n">
        <v>178.5</v>
      </c>
      <c r="I34" s="6" t="n">
        <f aca="false">G34+H34</f>
        <v>1186.2</v>
      </c>
      <c r="J34" s="107" t="n">
        <f aca="false">IF(L34&gt;0,L34,0)</f>
        <v>63.266120494076</v>
      </c>
      <c r="K34" s="6" t="n">
        <f aca="false">I34+J34</f>
        <v>1249.46612049408</v>
      </c>
      <c r="L34" s="6" t="n">
        <f aca="false">F34-(I34-X34)</f>
        <v>63.266120494076</v>
      </c>
      <c r="M34" s="6" t="n">
        <v>37.6</v>
      </c>
      <c r="N34" s="6" t="n">
        <v>0</v>
      </c>
      <c r="O34" s="6" t="n">
        <v>0</v>
      </c>
      <c r="P34" s="6" t="n">
        <f aca="false">M34-(N34+O34)</f>
        <v>37.6</v>
      </c>
      <c r="Q34" s="6" t="n">
        <v>66.5</v>
      </c>
      <c r="R34" s="6" t="n">
        <v>22.2</v>
      </c>
      <c r="S34" s="6" t="n">
        <f aca="false">SUM(P34:R34)</f>
        <v>126.3</v>
      </c>
      <c r="T34" s="6"/>
      <c r="U34" s="6" t="n">
        <v>0</v>
      </c>
      <c r="V34" s="6" t="n">
        <v>800</v>
      </c>
      <c r="W34" s="7" t="n">
        <f aca="false">W33</f>
        <v>9838.06999999996</v>
      </c>
      <c r="X34" s="6" t="n">
        <f aca="false">N34+O34+S34+U34+V34</f>
        <v>926.3</v>
      </c>
      <c r="Y34" s="6" t="n">
        <f aca="false">IF(L34&lt;0,L34*-1,0)</f>
        <v>0</v>
      </c>
      <c r="Z34" s="6" t="n">
        <f aca="false">X34+Y34</f>
        <v>926.3</v>
      </c>
      <c r="AA34" s="8" t="n">
        <v>0</v>
      </c>
      <c r="AB34" s="10" t="n">
        <v>68</v>
      </c>
      <c r="AC34" s="37" t="n">
        <v>39</v>
      </c>
      <c r="AD34" s="11" t="n">
        <f aca="false">AD33+1</f>
        <v>25</v>
      </c>
      <c r="AE34" s="10"/>
      <c r="AF34" s="10"/>
      <c r="AH34" s="6"/>
    </row>
    <row r="35" customFormat="false" ht="11.1" hidden="false" customHeight="true" outlineLevel="0" collapsed="false">
      <c r="A35" s="11" t="n">
        <f aca="false">A34+1</f>
        <v>26</v>
      </c>
      <c r="B35" s="28" t="n">
        <v>6918.57</v>
      </c>
      <c r="C35" s="7" t="n">
        <v>357857</v>
      </c>
      <c r="D35" s="10" t="n">
        <f aca="false">C35-C34</f>
        <v>983</v>
      </c>
      <c r="E35" s="7" t="n">
        <f aca="false">C35-152000</f>
        <v>205857</v>
      </c>
      <c r="F35" s="6" t="n">
        <f aca="false">D35/$D$2</f>
        <v>495.588605999496</v>
      </c>
      <c r="G35" s="6" t="n">
        <v>1113.1</v>
      </c>
      <c r="H35" s="40" t="n">
        <v>164.9</v>
      </c>
      <c r="I35" s="6" t="n">
        <f aca="false">G35+H35</f>
        <v>1278</v>
      </c>
      <c r="J35" s="107" t="n">
        <f aca="false">IF(L35&gt;0,L35,0)</f>
        <v>154.488605999496</v>
      </c>
      <c r="K35" s="6" t="n">
        <f aca="false">I35+J35</f>
        <v>1432.4886059995</v>
      </c>
      <c r="L35" s="6" t="n">
        <f aca="false">F35-(I35-X35)</f>
        <v>154.488605999496</v>
      </c>
      <c r="M35" s="6" t="n">
        <v>38</v>
      </c>
      <c r="N35" s="6" t="n">
        <v>0</v>
      </c>
      <c r="O35" s="6" t="n">
        <v>0</v>
      </c>
      <c r="P35" s="6" t="n">
        <f aca="false">M35-(N35+O35)</f>
        <v>38</v>
      </c>
      <c r="Q35" s="6" t="n">
        <v>75.2</v>
      </c>
      <c r="R35" s="6" t="n">
        <v>23.7</v>
      </c>
      <c r="S35" s="6" t="n">
        <f aca="false">SUM(P35:R35)</f>
        <v>136.9</v>
      </c>
      <c r="T35" s="6"/>
      <c r="U35" s="6" t="n">
        <v>0</v>
      </c>
      <c r="V35" s="6" t="n">
        <v>800</v>
      </c>
      <c r="W35" s="7" t="n">
        <f aca="false">W34</f>
        <v>9838.06999999996</v>
      </c>
      <c r="X35" s="6" t="n">
        <f aca="false">N35+O35+S35+U35+V35</f>
        <v>936.9</v>
      </c>
      <c r="Y35" s="6" t="n">
        <f aca="false">IF(L35&lt;0,L35*-1,0)</f>
        <v>0</v>
      </c>
      <c r="Z35" s="6" t="n">
        <f aca="false">X35+Y35</f>
        <v>936.9</v>
      </c>
      <c r="AA35" s="8" t="n">
        <v>0</v>
      </c>
      <c r="AB35" s="10" t="n">
        <v>73</v>
      </c>
      <c r="AC35" s="10" t="n">
        <v>39</v>
      </c>
      <c r="AD35" s="11" t="n">
        <f aca="false">AD34+1</f>
        <v>26</v>
      </c>
      <c r="AE35" s="10"/>
      <c r="AF35" s="10"/>
      <c r="AH35" s="3"/>
    </row>
    <row r="36" customFormat="false" ht="11.1" hidden="false" customHeight="true" outlineLevel="0" collapsed="false">
      <c r="A36" s="11" t="n">
        <f aca="false">A35+1</f>
        <v>27</v>
      </c>
      <c r="B36" s="28" t="n">
        <v>6919.05</v>
      </c>
      <c r="C36" s="7" t="n">
        <v>359482</v>
      </c>
      <c r="D36" s="10" t="n">
        <f aca="false">C36-C35</f>
        <v>1625</v>
      </c>
      <c r="E36" s="7" t="n">
        <f aca="false">C36-152000</f>
        <v>207482</v>
      </c>
      <c r="F36" s="6" t="n">
        <f aca="false">D36/$D$2</f>
        <v>819.258885807915</v>
      </c>
      <c r="G36" s="6" t="n">
        <v>1335.1</v>
      </c>
      <c r="H36" s="40" t="n">
        <v>201.4</v>
      </c>
      <c r="I36" s="6" t="n">
        <f aca="false">G36+H36</f>
        <v>1536.5</v>
      </c>
      <c r="J36" s="107" t="n">
        <f aca="false">IF(L36&gt;0,L36,0)</f>
        <v>509.058885807915</v>
      </c>
      <c r="K36" s="6" t="n">
        <f aca="false">I36+J36</f>
        <v>2045.55888580792</v>
      </c>
      <c r="L36" s="6" t="n">
        <f aca="false">F36-(I36-X36)</f>
        <v>509.058885807915</v>
      </c>
      <c r="M36" s="6" t="n">
        <v>46.1</v>
      </c>
      <c r="N36" s="6" t="n">
        <v>0</v>
      </c>
      <c r="O36" s="6" t="n">
        <v>0</v>
      </c>
      <c r="P36" s="6" t="n">
        <f aca="false">M36-(N36+O36)</f>
        <v>46.1</v>
      </c>
      <c r="Q36" s="6" t="n">
        <v>83.1</v>
      </c>
      <c r="R36" s="6" t="n">
        <v>25.1</v>
      </c>
      <c r="S36" s="6" t="n">
        <f aca="false">SUM(P36:R36)</f>
        <v>154.3</v>
      </c>
      <c r="T36" s="7"/>
      <c r="U36" s="6" t="n">
        <v>30</v>
      </c>
      <c r="V36" s="6" t="n">
        <v>1042</v>
      </c>
      <c r="W36" s="7" t="n">
        <f aca="false">W35</f>
        <v>9838.06999999996</v>
      </c>
      <c r="X36" s="6" t="n">
        <f aca="false">N36+O36+S36+U36+V36</f>
        <v>1226.3</v>
      </c>
      <c r="Y36" s="6" t="n">
        <f aca="false">IF(L36&lt;0,L36*-1,0)</f>
        <v>0</v>
      </c>
      <c r="Z36" s="6" t="n">
        <f aca="false">X36+Y36</f>
        <v>1226.3</v>
      </c>
      <c r="AA36" s="8" t="n">
        <v>0</v>
      </c>
      <c r="AB36" s="10" t="n">
        <v>75</v>
      </c>
      <c r="AC36" s="10" t="n">
        <v>42</v>
      </c>
      <c r="AD36" s="11" t="n">
        <f aca="false">AD35+1</f>
        <v>27</v>
      </c>
      <c r="AE36" s="10"/>
      <c r="AF36" s="10"/>
      <c r="AH36" s="6"/>
    </row>
    <row r="37" customFormat="false" ht="11.1" hidden="false" customHeight="true" outlineLevel="0" collapsed="false">
      <c r="A37" s="11" t="n">
        <f aca="false">A36+1</f>
        <v>28</v>
      </c>
      <c r="B37" s="28" t="n">
        <v>6919.55</v>
      </c>
      <c r="C37" s="7" t="n">
        <v>361635</v>
      </c>
      <c r="D37" s="10" t="n">
        <f aca="false">C37-C36</f>
        <v>2153</v>
      </c>
      <c r="E37" s="7" t="n">
        <f aca="false">C37-152000</f>
        <v>209635</v>
      </c>
      <c r="F37" s="6" t="n">
        <f aca="false">D37/$D$2</f>
        <v>1085.45500378119</v>
      </c>
      <c r="G37" s="6" t="n">
        <v>1602.5</v>
      </c>
      <c r="H37" s="40" t="n">
        <v>226</v>
      </c>
      <c r="I37" s="6" t="n">
        <f aca="false">G37+H37</f>
        <v>1828.5</v>
      </c>
      <c r="J37" s="107" t="n">
        <f aca="false">IF(L37&gt;0,L37,0)</f>
        <v>677.455003781195</v>
      </c>
      <c r="K37" s="6" t="n">
        <f aca="false">I37+J37</f>
        <v>2505.95500378119</v>
      </c>
      <c r="L37" s="6" t="n">
        <f aca="false">F37-(I37-X37)</f>
        <v>677.455003781195</v>
      </c>
      <c r="M37" s="6" t="n">
        <v>58.5</v>
      </c>
      <c r="N37" s="6" t="n">
        <v>0</v>
      </c>
      <c r="O37" s="6" t="n">
        <v>0</v>
      </c>
      <c r="P37" s="6" t="n">
        <f aca="false">M37-(N37+O37)</f>
        <v>58.5</v>
      </c>
      <c r="Q37" s="6" t="n">
        <v>88.8</v>
      </c>
      <c r="R37" s="6" t="n">
        <v>29.2</v>
      </c>
      <c r="S37" s="6" t="n">
        <f aca="false">SUM(P37:R37)</f>
        <v>176.5</v>
      </c>
      <c r="T37" s="7"/>
      <c r="U37" s="6" t="n">
        <v>44</v>
      </c>
      <c r="V37" s="6" t="n">
        <v>1200</v>
      </c>
      <c r="W37" s="7" t="n">
        <f aca="false">W36</f>
        <v>9838.06999999996</v>
      </c>
      <c r="X37" s="6" t="n">
        <f aca="false">N37+O37+S37+U37+V37</f>
        <v>1420.5</v>
      </c>
      <c r="Y37" s="6" t="n">
        <f aca="false">IF(L37&lt;0,L37*-1,0)</f>
        <v>0</v>
      </c>
      <c r="Z37" s="6" t="n">
        <f aca="false">X37+Y37</f>
        <v>1420.5</v>
      </c>
      <c r="AA37" s="8" t="n">
        <v>0</v>
      </c>
      <c r="AB37" s="10" t="n">
        <v>76</v>
      </c>
      <c r="AC37" s="10" t="n">
        <v>42</v>
      </c>
      <c r="AD37" s="11" t="n">
        <f aca="false">AD36+1</f>
        <v>28</v>
      </c>
      <c r="AE37" s="10"/>
      <c r="AF37" s="10"/>
      <c r="AH37" s="6"/>
    </row>
    <row r="38" customFormat="false" ht="11.1" hidden="false" customHeight="true" outlineLevel="0" collapsed="false">
      <c r="A38" s="11" t="n">
        <f aca="false">A37+1</f>
        <v>29</v>
      </c>
      <c r="B38" s="28" t="n">
        <v>6920.15</v>
      </c>
      <c r="C38" s="7" t="n">
        <v>364224</v>
      </c>
      <c r="D38" s="10" t="n">
        <f aca="false">C38-C37</f>
        <v>2589</v>
      </c>
      <c r="E38" s="7" t="n">
        <f aca="false">C38-152000</f>
        <v>212224</v>
      </c>
      <c r="F38" s="6" t="n">
        <f aca="false">D38/$D$2</f>
        <v>1305.26846483489</v>
      </c>
      <c r="G38" s="6" t="n">
        <v>1890</v>
      </c>
      <c r="H38" s="40" t="n">
        <v>229.3</v>
      </c>
      <c r="I38" s="6" t="n">
        <f aca="false">G38+H38</f>
        <v>2119.3</v>
      </c>
      <c r="J38" s="107" t="n">
        <f aca="false">IF(L38&gt;0,L38,0)</f>
        <v>662.068464834887</v>
      </c>
      <c r="K38" s="6" t="n">
        <f aca="false">I38+J38</f>
        <v>2781.36846483489</v>
      </c>
      <c r="L38" s="6" t="n">
        <f aca="false">F38-(I38-X38)</f>
        <v>662.068464834887</v>
      </c>
      <c r="M38" s="6" t="n">
        <v>71.6</v>
      </c>
      <c r="N38" s="6" t="n">
        <v>0</v>
      </c>
      <c r="O38" s="6" t="n">
        <v>0</v>
      </c>
      <c r="P38" s="6" t="n">
        <f aca="false">M38-(N38+O38)</f>
        <v>71.6</v>
      </c>
      <c r="Q38" s="6" t="n">
        <v>125.2</v>
      </c>
      <c r="R38" s="6" t="n">
        <v>31.3</v>
      </c>
      <c r="S38" s="6" t="n">
        <f aca="false">SUM(P38:R38)</f>
        <v>228.1</v>
      </c>
      <c r="T38" s="7"/>
      <c r="U38" s="6" t="n">
        <v>48</v>
      </c>
      <c r="V38" s="6" t="n">
        <v>1200</v>
      </c>
      <c r="W38" s="7" t="n">
        <f aca="false">W37</f>
        <v>9838.06999999996</v>
      </c>
      <c r="X38" s="6" t="n">
        <f aca="false">N38+O38+S38+U38+V38</f>
        <v>1476.1</v>
      </c>
      <c r="Y38" s="6" t="n">
        <f aca="false">IF(L38&lt;0,L38*-1,0)</f>
        <v>0</v>
      </c>
      <c r="Z38" s="6" t="n">
        <f aca="false">X38+Y38</f>
        <v>1476.1</v>
      </c>
      <c r="AA38" s="8" t="n">
        <v>0</v>
      </c>
      <c r="AB38" s="37" t="n">
        <v>78</v>
      </c>
      <c r="AC38" s="10" t="n">
        <v>40</v>
      </c>
      <c r="AD38" s="11" t="n">
        <f aca="false">AD37+1</f>
        <v>29</v>
      </c>
      <c r="AE38" s="10"/>
      <c r="AF38" s="10"/>
      <c r="AH38" s="6"/>
    </row>
    <row r="39" customFormat="false" ht="11.1" hidden="false" customHeight="true" outlineLevel="0" collapsed="false">
      <c r="A39" s="11" t="n">
        <v>30</v>
      </c>
      <c r="B39" s="28" t="n">
        <v>6920.52</v>
      </c>
      <c r="C39" s="7" t="n">
        <v>365831</v>
      </c>
      <c r="D39" s="10" t="n">
        <f aca="false">C39-C38</f>
        <v>1607</v>
      </c>
      <c r="E39" s="7" t="n">
        <f aca="false">C39-152000</f>
        <v>213831</v>
      </c>
      <c r="F39" s="6" t="n">
        <f aca="false">D39/$D$2</f>
        <v>810.184018149735</v>
      </c>
      <c r="G39" s="6" t="n">
        <v>1992.6</v>
      </c>
      <c r="H39" s="40" t="n">
        <v>213.9</v>
      </c>
      <c r="I39" s="6" t="n">
        <f aca="false">G39+H39</f>
        <v>2206.5</v>
      </c>
      <c r="J39" s="107" t="n">
        <f aca="false">IF(L39&gt;0,L39,0)</f>
        <v>148.084018149735</v>
      </c>
      <c r="K39" s="6" t="n">
        <f aca="false">I39+J39</f>
        <v>2354.58401814973</v>
      </c>
      <c r="L39" s="6" t="n">
        <f aca="false">F39-(I39-X39)</f>
        <v>148.084018149735</v>
      </c>
      <c r="M39" s="6" t="n">
        <v>116.7</v>
      </c>
      <c r="N39" s="6" t="n">
        <v>0</v>
      </c>
      <c r="O39" s="6" t="n">
        <v>0</v>
      </c>
      <c r="P39" s="6" t="n">
        <f aca="false">M39-(N39+O39)</f>
        <v>116.7</v>
      </c>
      <c r="Q39" s="6" t="n">
        <v>134.5</v>
      </c>
      <c r="R39" s="6" t="n">
        <v>36.2</v>
      </c>
      <c r="S39" s="6" t="n">
        <f aca="false">SUM(P39:R39)</f>
        <v>287.4</v>
      </c>
      <c r="T39" s="7"/>
      <c r="U39" s="6" t="n">
        <v>57</v>
      </c>
      <c r="V39" s="6" t="n">
        <v>1200</v>
      </c>
      <c r="W39" s="7" t="n">
        <f aca="false">W38</f>
        <v>9838.06999999996</v>
      </c>
      <c r="X39" s="6" t="n">
        <f aca="false">N39+O39+S39+U39+V39</f>
        <v>1544.4</v>
      </c>
      <c r="Y39" s="6" t="n">
        <f aca="false">IF(L39&lt;0,L39*-1,0)</f>
        <v>0</v>
      </c>
      <c r="Z39" s="6" t="n">
        <f aca="false">X39+Y39</f>
        <v>1544.4</v>
      </c>
      <c r="AA39" s="8" t="n">
        <v>0</v>
      </c>
      <c r="AB39" s="37" t="n">
        <v>77</v>
      </c>
      <c r="AC39" s="10" t="n">
        <v>43</v>
      </c>
      <c r="AD39" s="11" t="n">
        <v>30</v>
      </c>
      <c r="AE39" s="10"/>
      <c r="AF39" s="10"/>
      <c r="AH39" s="6"/>
    </row>
    <row r="40" customFormat="false" ht="3" hidden="false" customHeight="true" outlineLevel="0" collapsed="false">
      <c r="A40" s="29"/>
      <c r="B40" s="29"/>
      <c r="C40" s="31"/>
      <c r="D40" s="29"/>
      <c r="E40" s="31"/>
      <c r="F40" s="29"/>
      <c r="G40" s="29"/>
      <c r="H40" s="106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31"/>
      <c r="U40" s="29"/>
      <c r="V40" s="29"/>
      <c r="W40" s="29"/>
      <c r="X40" s="29"/>
      <c r="Y40" s="29"/>
      <c r="Z40" s="29"/>
      <c r="AA40" s="32"/>
      <c r="AB40" s="33"/>
      <c r="AC40" s="33"/>
      <c r="AD40" s="34"/>
      <c r="AE40" s="101"/>
      <c r="AF40" s="101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28881.7746407865</v>
      </c>
      <c r="G41" s="7" t="n">
        <f aca="false">SUM(G10:G39)</f>
        <v>26727</v>
      </c>
      <c r="H41" s="7" t="n">
        <f aca="false">SUM(H10:H39)</f>
        <v>4885.6</v>
      </c>
      <c r="I41" s="7" t="n">
        <f aca="false">SUM(I10:I39)</f>
        <v>31612.6</v>
      </c>
      <c r="J41" s="7" t="n">
        <f aca="false">SUM(J10:J39)</f>
        <v>13325.5746407865</v>
      </c>
      <c r="K41" s="7" t="n">
        <f aca="false">SUM(K10:K39)</f>
        <v>44938.1746407865</v>
      </c>
      <c r="L41" s="7" t="n">
        <f aca="false">SUM(L10:L39)</f>
        <v>13325.5746407865</v>
      </c>
      <c r="M41" s="7" t="n">
        <f aca="false">SUM(M10:M39)</f>
        <v>679.5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679.5</v>
      </c>
      <c r="Q41" s="7" t="n">
        <f aca="false">SUM(Q10:Q39)</f>
        <v>925.9</v>
      </c>
      <c r="R41" s="7" t="n">
        <f aca="false">SUM(R10:R39)</f>
        <v>294</v>
      </c>
      <c r="S41" s="7" t="n">
        <f aca="false">SUM(S10:S39)</f>
        <v>1899.4</v>
      </c>
      <c r="T41" s="7"/>
      <c r="U41" s="7" t="n">
        <f aca="false">SUM(U10:U39)</f>
        <v>179</v>
      </c>
      <c r="V41" s="7" t="n">
        <f aca="false">SUM(V10:V39)</f>
        <v>13978</v>
      </c>
      <c r="W41" s="7"/>
      <c r="X41" s="7" t="n">
        <f aca="false">SUM(X10:X39)</f>
        <v>16056.4</v>
      </c>
      <c r="Y41" s="7" t="n">
        <f aca="false">SUM(Y10:Y39)</f>
        <v>0</v>
      </c>
      <c r="Z41" s="7" t="n">
        <f aca="false">SUM(Z10:Z39)</f>
        <v>16056.4</v>
      </c>
      <c r="AA41" s="8" t="n">
        <f aca="false">SUM(AA10:AA39)</f>
        <v>0.04</v>
      </c>
      <c r="AB41" s="10" t="n">
        <f aca="false">AVERAGE(AB10:AB39)</f>
        <v>64.4333333333333</v>
      </c>
      <c r="AC41" s="10" t="n">
        <f aca="false">AVERAGE(AC10:AC39)</f>
        <v>34.5666666666667</v>
      </c>
      <c r="AD41" s="11" t="s">
        <v>67</v>
      </c>
      <c r="AE41" s="101"/>
      <c r="AF41" s="101"/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57287</v>
      </c>
      <c r="E42" s="7"/>
      <c r="F42" s="7" t="n">
        <f aca="false">F41*$D$2</f>
        <v>57287</v>
      </c>
      <c r="G42" s="7" t="n">
        <f aca="false">G41*$D$2</f>
        <v>53013.0045</v>
      </c>
      <c r="H42" s="7" t="n">
        <f aca="false">H41*$D$2</f>
        <v>9690.5876</v>
      </c>
      <c r="I42" s="7" t="n">
        <f aca="false">I41*$D$2</f>
        <v>62703.5921</v>
      </c>
      <c r="J42" s="7" t="n">
        <f aca="false">J41*$D$2</f>
        <v>26431.2773</v>
      </c>
      <c r="K42" s="7" t="n">
        <f aca="false">K41*$D$2</f>
        <v>89134.8694</v>
      </c>
      <c r="L42" s="7" t="n">
        <f aca="false">L41*$D$2</f>
        <v>26431.2773</v>
      </c>
      <c r="M42" s="7" t="n">
        <f aca="false">M41*$D$2</f>
        <v>1347.78825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1347.78825</v>
      </c>
      <c r="Q42" s="7" t="n">
        <f aca="false">Q41*$D$2</f>
        <v>1836.52265</v>
      </c>
      <c r="R42" s="7" t="n">
        <f aca="false">R41*$D$2</f>
        <v>583.149</v>
      </c>
      <c r="S42" s="7" t="n">
        <f aca="false">S41*$D$2</f>
        <v>3767.4599</v>
      </c>
      <c r="T42" s="7"/>
      <c r="U42" s="7" t="n">
        <f aca="false">U41*$D$2</f>
        <v>355.0465</v>
      </c>
      <c r="V42" s="7" t="n">
        <f aca="false">V41*$D$2</f>
        <v>27725.363</v>
      </c>
      <c r="W42" s="7"/>
      <c r="X42" s="7" t="n">
        <f aca="false">X41*$D$2</f>
        <v>31847.8694</v>
      </c>
      <c r="Y42" s="7" t="n">
        <f aca="false">Y41*$D$2</f>
        <v>0</v>
      </c>
      <c r="Z42" s="7" t="n">
        <f aca="false">Z41*$D$2</f>
        <v>31847.8694</v>
      </c>
      <c r="AA42" s="8"/>
      <c r="AB42" s="10" t="n">
        <f aca="false">MAX(AB10:AB39)</f>
        <v>78</v>
      </c>
      <c r="AC42" s="10" t="n">
        <f aca="false">MAX(AC10:AC39)</f>
        <v>43</v>
      </c>
      <c r="AD42" s="11" t="s">
        <v>49</v>
      </c>
      <c r="AE42" s="101"/>
      <c r="AF42" s="101"/>
    </row>
    <row r="43" customFormat="false" ht="3" hidden="false" customHeight="true" outlineLevel="0" collapsed="false">
      <c r="A43" s="29"/>
      <c r="B43" s="29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29"/>
      <c r="X43" s="31"/>
      <c r="Y43" s="31"/>
      <c r="Z43" s="31"/>
      <c r="AA43" s="8"/>
      <c r="AB43" s="10"/>
      <c r="AC43" s="10"/>
      <c r="AD43" s="11"/>
      <c r="AE43" s="101"/>
      <c r="AF43" s="101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 t="n">
        <f aca="false">F7+F41</f>
        <v>28881.7746407865</v>
      </c>
      <c r="G44" s="7" t="n">
        <f aca="false">G7+G41</f>
        <v>26727</v>
      </c>
      <c r="H44" s="10" t="n">
        <f aca="false">H7+H41</f>
        <v>4885.6</v>
      </c>
      <c r="I44" s="7" t="n">
        <f aca="false">I7+I41</f>
        <v>31612.6</v>
      </c>
      <c r="J44" s="7" t="n">
        <f aca="false">J7+J41</f>
        <v>13325.5746407865</v>
      </c>
      <c r="K44" s="7" t="n">
        <f aca="false">K7+K41</f>
        <v>44938.1746407865</v>
      </c>
      <c r="L44" s="7" t="n">
        <f aca="false">L7+L41</f>
        <v>13325.5746407865</v>
      </c>
      <c r="M44" s="7" t="n">
        <f aca="false">M7+M41</f>
        <v>679.5</v>
      </c>
      <c r="N44" s="7" t="n">
        <f aca="false">N7+N41</f>
        <v>0</v>
      </c>
      <c r="O44" s="7" t="n">
        <f aca="false">O7+O41</f>
        <v>0</v>
      </c>
      <c r="P44" s="7" t="n">
        <f aca="false">P7+P41</f>
        <v>679.5</v>
      </c>
      <c r="Q44" s="7" t="n">
        <f aca="false">Q7+Q41</f>
        <v>925.9</v>
      </c>
      <c r="R44" s="7" t="n">
        <f aca="false">R7+R41</f>
        <v>294</v>
      </c>
      <c r="S44" s="7" t="n">
        <f aca="false">S7+S41</f>
        <v>1899.4</v>
      </c>
      <c r="T44" s="7" t="n">
        <f aca="false">T39</f>
        <v>0</v>
      </c>
      <c r="U44" s="7" t="n">
        <f aca="false">U7+U41</f>
        <v>179</v>
      </c>
      <c r="V44" s="7" t="n">
        <f aca="false">V7+V41</f>
        <v>13978</v>
      </c>
      <c r="W44" s="7"/>
      <c r="X44" s="7" t="n">
        <f aca="false">X7+X41</f>
        <v>16056.4</v>
      </c>
      <c r="Y44" s="7" t="n">
        <f aca="false">Y7+Y41</f>
        <v>0</v>
      </c>
      <c r="Z44" s="7" t="n">
        <f aca="false">Z7+Z41</f>
        <v>16056.4</v>
      </c>
      <c r="AA44" s="8"/>
      <c r="AB44" s="10" t="n">
        <f aca="false">MIN(AB10:AB39)</f>
        <v>49</v>
      </c>
      <c r="AC44" s="10" t="n">
        <f aca="false">MIN(AC10:AC39)</f>
        <v>28</v>
      </c>
      <c r="AD44" s="11" t="s">
        <v>51</v>
      </c>
      <c r="AE44" s="101"/>
      <c r="AF44" s="101"/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 t="n">
        <f aca="false">F44*$D$2</f>
        <v>57287</v>
      </c>
      <c r="G45" s="7" t="n">
        <f aca="false">G44*$D$2</f>
        <v>53013.0045</v>
      </c>
      <c r="H45" s="10" t="n">
        <f aca="false">H44*$D$2</f>
        <v>9690.5876</v>
      </c>
      <c r="I45" s="7" t="n">
        <f aca="false">I44*$D$2</f>
        <v>62703.5921</v>
      </c>
      <c r="J45" s="7" t="n">
        <f aca="false">J44*$D$2</f>
        <v>26431.2773</v>
      </c>
      <c r="K45" s="7" t="n">
        <f aca="false">K44*$D$2</f>
        <v>89134.8694</v>
      </c>
      <c r="L45" s="7" t="n">
        <f aca="false">L44*$D$2</f>
        <v>26431.2773</v>
      </c>
      <c r="M45" s="7" t="n">
        <f aca="false">M44*$D$2</f>
        <v>1347.78825</v>
      </c>
      <c r="N45" s="7" t="n">
        <f aca="false">N44*$D$2</f>
        <v>0</v>
      </c>
      <c r="O45" s="7" t="n">
        <f aca="false">O44*$D$2</f>
        <v>0</v>
      </c>
      <c r="P45" s="7" t="n">
        <f aca="false">P44*$D$2</f>
        <v>1347.78825</v>
      </c>
      <c r="Q45" s="7" t="n">
        <f aca="false">Q44*$D$2</f>
        <v>1836.52265</v>
      </c>
      <c r="R45" s="7" t="n">
        <f aca="false">R44*$D$2</f>
        <v>583.149</v>
      </c>
      <c r="S45" s="7" t="n">
        <f aca="false">S44*$D$2</f>
        <v>3767.4599</v>
      </c>
      <c r="T45" s="7" t="n">
        <f aca="false">T44*$D$2</f>
        <v>0</v>
      </c>
      <c r="U45" s="7" t="n">
        <f aca="false">U44*$D$2</f>
        <v>355.0465</v>
      </c>
      <c r="V45" s="7" t="n">
        <f aca="false">V44*$D$2</f>
        <v>27725.363</v>
      </c>
      <c r="W45" s="7"/>
      <c r="X45" s="7" t="n">
        <f aca="false">X44*$D$2</f>
        <v>31847.8694</v>
      </c>
      <c r="Y45" s="7" t="n">
        <f aca="false">Y44*$D$2</f>
        <v>0</v>
      </c>
      <c r="Z45" s="7" t="n">
        <f aca="false">Z44*$D$2</f>
        <v>31847.8694</v>
      </c>
      <c r="AA45" s="8"/>
      <c r="AB45" s="10"/>
      <c r="AC45" s="10"/>
      <c r="AD45" s="11"/>
      <c r="AE45" s="101"/>
      <c r="AF45" s="101"/>
    </row>
    <row r="46" customFormat="false" ht="3" hidden="false" customHeight="true" outlineLevel="0" collapsed="false">
      <c r="A46" s="29"/>
      <c r="B46" s="29"/>
      <c r="C46" s="31"/>
      <c r="D46" s="31"/>
      <c r="E46" s="31"/>
      <c r="F46" s="31"/>
      <c r="G46" s="31"/>
      <c r="H46" s="33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2"/>
      <c r="AB46" s="10"/>
      <c r="AC46" s="10"/>
      <c r="AD46" s="11"/>
      <c r="AE46" s="101"/>
      <c r="AF46" s="101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35784.2198134611</v>
      </c>
      <c r="G47" s="7" t="n">
        <f aca="false">G8+G41</f>
        <v>39414.1</v>
      </c>
      <c r="H47" s="10" t="n">
        <f aca="false">H8+H41</f>
        <v>5527.3</v>
      </c>
      <c r="I47" s="7" t="n">
        <f aca="false">I8+I41</f>
        <v>44941.4</v>
      </c>
      <c r="J47" s="7" t="n">
        <f aca="false">J8+J41</f>
        <v>15631.841585581</v>
      </c>
      <c r="K47" s="7" t="n">
        <f aca="false">K8+K41</f>
        <v>60573.1171590623</v>
      </c>
      <c r="L47" s="7" t="n">
        <f aca="false">L8+L41</f>
        <v>14370.5698134611</v>
      </c>
      <c r="M47" s="7" t="n">
        <f aca="false">M8+M41</f>
        <v>1744.02</v>
      </c>
      <c r="N47" s="7" t="n">
        <f aca="false">N8+N41</f>
        <v>0</v>
      </c>
      <c r="O47" s="7" t="n">
        <f aca="false">O8+O41</f>
        <v>0</v>
      </c>
      <c r="P47" s="7" t="n">
        <f aca="false">P8+P41</f>
        <v>1744.02</v>
      </c>
      <c r="Q47" s="7" t="n">
        <f aca="false">Q8+Q41</f>
        <v>2238.7</v>
      </c>
      <c r="R47" s="7" t="n">
        <f aca="false">R8+R41</f>
        <v>568.1</v>
      </c>
      <c r="S47" s="7" t="n">
        <f aca="false">S8+S41</f>
        <v>4550.82</v>
      </c>
      <c r="T47" s="7"/>
      <c r="U47" s="7" t="n">
        <f aca="false">U8+U41</f>
        <v>179</v>
      </c>
      <c r="V47" s="7" t="n">
        <f aca="false">V8+V41</f>
        <v>18797.93</v>
      </c>
      <c r="W47" s="7" t="n">
        <f aca="false">W39</f>
        <v>9838.06999999996</v>
      </c>
      <c r="X47" s="7" t="n">
        <f aca="false">X8+X41</f>
        <v>23527.75</v>
      </c>
      <c r="Y47" s="7" t="n">
        <f aca="false">Y8+Y41</f>
        <v>1261.27177211999</v>
      </c>
      <c r="Z47" s="7" t="n">
        <f aca="false">Z8+Z41</f>
        <v>24789.02177212</v>
      </c>
      <c r="AA47" s="8" t="n">
        <f aca="false">AA8+AA41</f>
        <v>8.76</v>
      </c>
      <c r="AB47" s="10"/>
      <c r="AC47" s="10"/>
      <c r="AD47" s="11"/>
      <c r="AE47" s="101"/>
      <c r="AF47" s="101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70978</v>
      </c>
      <c r="E48" s="7" t="n">
        <f aca="false">E39</f>
        <v>213831</v>
      </c>
      <c r="F48" s="7" t="n">
        <f aca="false">F47*$D$2</f>
        <v>70978</v>
      </c>
      <c r="G48" s="7" t="n">
        <f aca="false">G47*$D$2</f>
        <v>78177.86735</v>
      </c>
      <c r="H48" s="10" t="n">
        <f aca="false">H47*$D$2</f>
        <v>10963.39955</v>
      </c>
      <c r="I48" s="7" t="n">
        <f aca="false">I47*$D$2</f>
        <v>89141.2669</v>
      </c>
      <c r="J48" s="7" t="n">
        <f aca="false">J47*$D$2</f>
        <v>31005.757785</v>
      </c>
      <c r="K48" s="7" t="n">
        <f aca="false">K47*$D$2</f>
        <v>120146.777885</v>
      </c>
      <c r="L48" s="7" t="n">
        <f aca="false">L47*$D$2</f>
        <v>28504.025225</v>
      </c>
      <c r="M48" s="7" t="n">
        <f aca="false">M47*$D$2</f>
        <v>3459.26367</v>
      </c>
      <c r="N48" s="7" t="n">
        <f aca="false">N47*$D$2</f>
        <v>0</v>
      </c>
      <c r="O48" s="7" t="n">
        <f aca="false">O47*$D$2</f>
        <v>0</v>
      </c>
      <c r="P48" s="7" t="n">
        <f aca="false">P47*$D$2</f>
        <v>3459.26367</v>
      </c>
      <c r="Q48" s="7" t="n">
        <f aca="false">Q47*$D$2</f>
        <v>4440.46145</v>
      </c>
      <c r="R48" s="7" t="n">
        <f aca="false">R47*$D$2</f>
        <v>1126.82635</v>
      </c>
      <c r="S48" s="7" t="n">
        <f aca="false">S47*$D$2</f>
        <v>9026.55147</v>
      </c>
      <c r="T48" s="7" t="n">
        <f aca="false">T47*$D$2</f>
        <v>0</v>
      </c>
      <c r="U48" s="7" t="n">
        <f aca="false">U47*$D$2</f>
        <v>355.0465</v>
      </c>
      <c r="V48" s="7" t="n">
        <f aca="false">V47*$D$2</f>
        <v>37285.694155</v>
      </c>
      <c r="W48" s="7" t="n">
        <f aca="false">W47*$D$2</f>
        <v>19513.8118449999</v>
      </c>
      <c r="X48" s="7" t="n">
        <f aca="false">X47*$D$2</f>
        <v>46667.292125</v>
      </c>
      <c r="Y48" s="7" t="n">
        <f aca="false">Y47*$D$2</f>
        <v>2501.73256</v>
      </c>
      <c r="Z48" s="7" t="n">
        <f aca="false">Z47*$D$2</f>
        <v>49169.024685</v>
      </c>
      <c r="AA48" s="8"/>
      <c r="AB48" s="10"/>
      <c r="AC48" s="10"/>
      <c r="AD48" s="11"/>
      <c r="AE48" s="101"/>
      <c r="AF48" s="101"/>
    </row>
    <row r="49" customFormat="false" ht="3" hidden="false" customHeight="true" outlineLevel="0" collapsed="false">
      <c r="A49" s="29"/>
      <c r="B49" s="29"/>
      <c r="C49" s="31"/>
      <c r="D49" s="29"/>
      <c r="E49" s="31"/>
      <c r="F49" s="29"/>
      <c r="G49" s="29"/>
      <c r="H49" s="106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31"/>
      <c r="U49" s="29"/>
      <c r="V49" s="29"/>
      <c r="W49" s="31"/>
      <c r="X49" s="29"/>
      <c r="Y49" s="29"/>
      <c r="Z49" s="29"/>
      <c r="AA49" s="8"/>
      <c r="AB49" s="10"/>
      <c r="AC49" s="10"/>
      <c r="AD49" s="11"/>
      <c r="AE49" s="101"/>
      <c r="AF49" s="101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K21" activePane="bottomRight" state="frozen"/>
      <selection pane="topLeft" activeCell="A1" activeCellId="0" sqref="A1"/>
      <selection pane="topRight" activeCell="K1" activeCellId="0" sqref="K1"/>
      <selection pane="bottomLeft" activeCell="A21" activeCellId="0" sqref="A21"/>
      <selection pane="bottomRight" activeCell="K2" activeCellId="0" sqref="K2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7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4.32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78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3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78"/>
      <c r="I2" s="51"/>
      <c r="J2" s="51"/>
      <c r="K2" s="59" t="s">
        <v>68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3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78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3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108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63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69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108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66"/>
      <c r="AB5" s="64" t="s">
        <v>43</v>
      </c>
      <c r="AC5" s="64" t="s">
        <v>43</v>
      </c>
      <c r="AD5" s="67" t="s">
        <v>69</v>
      </c>
      <c r="AE5" s="84"/>
      <c r="AF5" s="84"/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109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110"/>
      <c r="X6" s="68"/>
      <c r="Y6" s="68"/>
      <c r="Z6" s="68"/>
      <c r="AA6" s="53"/>
      <c r="AB6" s="57"/>
      <c r="AC6" s="57"/>
      <c r="AD6" s="57"/>
      <c r="AE6" s="85"/>
      <c r="AF6" s="85"/>
      <c r="AG6" s="86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 t="n">
        <f aca="false">APR!F44</f>
        <v>28881.7746407865</v>
      </c>
      <c r="G7" s="52" t="n">
        <f aca="false">APR!G44</f>
        <v>26727</v>
      </c>
      <c r="H7" s="78" t="n">
        <f aca="false">APR!H44</f>
        <v>4885.6</v>
      </c>
      <c r="I7" s="52" t="n">
        <f aca="false">APR!I44</f>
        <v>31612.6</v>
      </c>
      <c r="J7" s="52" t="n">
        <f aca="false">APR!J44</f>
        <v>13325.5746407865</v>
      </c>
      <c r="K7" s="52" t="n">
        <f aca="false">APR!K44</f>
        <v>44938.1746407865</v>
      </c>
      <c r="L7" s="52" t="n">
        <f aca="false">APR!L44</f>
        <v>13325.5746407865</v>
      </c>
      <c r="M7" s="52" t="n">
        <f aca="false">APR!M44</f>
        <v>679.5</v>
      </c>
      <c r="N7" s="52" t="n">
        <f aca="false">APR!N44</f>
        <v>0</v>
      </c>
      <c r="O7" s="52" t="n">
        <f aca="false">APR!O44</f>
        <v>0</v>
      </c>
      <c r="P7" s="52" t="n">
        <f aca="false">APR!P44</f>
        <v>679.5</v>
      </c>
      <c r="Q7" s="52" t="n">
        <f aca="false">APR!Q44</f>
        <v>925.9</v>
      </c>
      <c r="R7" s="52" t="n">
        <f aca="false">APR!R44</f>
        <v>294</v>
      </c>
      <c r="S7" s="52" t="n">
        <f aca="false">APR!S44</f>
        <v>1899.4</v>
      </c>
      <c r="T7" s="52" t="n">
        <f aca="false">APR!T44</f>
        <v>0</v>
      </c>
      <c r="U7" s="52" t="n">
        <f aca="false">APR!U44</f>
        <v>179</v>
      </c>
      <c r="V7" s="52" t="n">
        <f aca="false">APR!V44</f>
        <v>13978</v>
      </c>
      <c r="W7" s="52"/>
      <c r="X7" s="52" t="n">
        <f aca="false">APR!X44</f>
        <v>16056.4</v>
      </c>
      <c r="Y7" s="52" t="n">
        <f aca="false">APR!Y44</f>
        <v>0</v>
      </c>
      <c r="Z7" s="52" t="n">
        <f aca="false">APR!Z44</f>
        <v>16056.4</v>
      </c>
      <c r="AA7" s="53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APR!B39</f>
        <v>6920.52</v>
      </c>
      <c r="C8" s="52" t="n">
        <f aca="false">APR!C39</f>
        <v>365831</v>
      </c>
      <c r="D8" s="52" t="n">
        <f aca="false">APR!D48</f>
        <v>70978</v>
      </c>
      <c r="E8" s="52" t="n">
        <f aca="false">APR!E48</f>
        <v>213831</v>
      </c>
      <c r="F8" s="52" t="n">
        <f aca="false">APR!F47</f>
        <v>35784.2198134611</v>
      </c>
      <c r="G8" s="52" t="n">
        <f aca="false">APR!G47</f>
        <v>39414.1</v>
      </c>
      <c r="H8" s="78" t="n">
        <f aca="false">APR!H47</f>
        <v>5527.3</v>
      </c>
      <c r="I8" s="52" t="n">
        <f aca="false">APR!I47</f>
        <v>44941.4</v>
      </c>
      <c r="J8" s="52" t="n">
        <f aca="false">APR!J47</f>
        <v>15631.841585581</v>
      </c>
      <c r="K8" s="52" t="n">
        <f aca="false">APR!K47</f>
        <v>60573.1171590623</v>
      </c>
      <c r="L8" s="52" t="n">
        <f aca="false">APR!L47</f>
        <v>14370.5698134611</v>
      </c>
      <c r="M8" s="52" t="n">
        <f aca="false">APR!M47</f>
        <v>1744.02</v>
      </c>
      <c r="N8" s="52" t="n">
        <f aca="false">APR!N47</f>
        <v>0</v>
      </c>
      <c r="O8" s="52" t="n">
        <f aca="false">APR!O47</f>
        <v>0</v>
      </c>
      <c r="P8" s="52" t="n">
        <f aca="false">APR!P47</f>
        <v>1744.02</v>
      </c>
      <c r="Q8" s="52" t="n">
        <f aca="false">APR!Q47</f>
        <v>2238.7</v>
      </c>
      <c r="R8" s="52" t="n">
        <f aca="false">APR!R47</f>
        <v>568.1</v>
      </c>
      <c r="S8" s="52" t="n">
        <f aca="false">APR!S47</f>
        <v>4550.82</v>
      </c>
      <c r="T8" s="52" t="n">
        <f aca="false">APR!T47</f>
        <v>0</v>
      </c>
      <c r="U8" s="52" t="n">
        <f aca="false">APR!U47</f>
        <v>179</v>
      </c>
      <c r="V8" s="52" t="n">
        <f aca="false">APR!V47</f>
        <v>18797.93</v>
      </c>
      <c r="W8" s="52" t="n">
        <f aca="false">APR!W47</f>
        <v>9838.06999999996</v>
      </c>
      <c r="X8" s="52" t="n">
        <f aca="false">APR!X47</f>
        <v>23527.75</v>
      </c>
      <c r="Y8" s="52" t="n">
        <f aca="false">APR!Y47</f>
        <v>1261.27177211999</v>
      </c>
      <c r="Z8" s="52" t="n">
        <f aca="false">APR!Z47</f>
        <v>24789.02177212</v>
      </c>
      <c r="AA8" s="53" t="n">
        <f aca="false">APR!AA47</f>
        <v>8.76</v>
      </c>
      <c r="AB8" s="56"/>
      <c r="AC8" s="56"/>
      <c r="AD8" s="57"/>
      <c r="AE8" s="87"/>
      <c r="AF8" s="85"/>
      <c r="AG8" s="87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111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75"/>
      <c r="AB9" s="76"/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6920.9</v>
      </c>
      <c r="C10" s="52" t="n">
        <v>367480</v>
      </c>
      <c r="D10" s="56" t="n">
        <f aca="false">C10-C8</f>
        <v>1649</v>
      </c>
      <c r="E10" s="52" t="n">
        <f aca="false">C10-152000</f>
        <v>215480</v>
      </c>
      <c r="F10" s="51" t="n">
        <f aca="false">D10/$D$2</f>
        <v>831.358709352155</v>
      </c>
      <c r="G10" s="51" t="n">
        <v>2036.6</v>
      </c>
      <c r="H10" s="78" t="n">
        <v>189.7</v>
      </c>
      <c r="I10" s="51" t="n">
        <f aca="false">G10+H10</f>
        <v>2226.3</v>
      </c>
      <c r="J10" s="78" t="n">
        <f aca="false">IF(L10&gt;0,L10)</f>
        <v>212.058709352156</v>
      </c>
      <c r="K10" s="51" t="n">
        <f aca="false">I10+J10</f>
        <v>2438.35870935216</v>
      </c>
      <c r="L10" s="51" t="n">
        <f aca="false">F10-(I10-X10)</f>
        <v>212.058709352156</v>
      </c>
      <c r="M10" s="51" t="n">
        <v>183.9</v>
      </c>
      <c r="N10" s="51" t="n">
        <v>0</v>
      </c>
      <c r="O10" s="51" t="n">
        <v>0</v>
      </c>
      <c r="P10" s="6" t="n">
        <f aca="false">M10-(N10+O10)</f>
        <v>183.9</v>
      </c>
      <c r="Q10" s="51" t="n">
        <v>133.8</v>
      </c>
      <c r="R10" s="51" t="n">
        <v>57.3</v>
      </c>
      <c r="S10" s="51" t="n">
        <f aca="false">SUM(P10:R10)</f>
        <v>375</v>
      </c>
      <c r="T10" s="52"/>
      <c r="U10" s="51" t="n">
        <v>32</v>
      </c>
      <c r="V10" s="51" t="n">
        <v>1200</v>
      </c>
      <c r="W10" s="52" t="n">
        <f aca="false">W8</f>
        <v>9838.06999999996</v>
      </c>
      <c r="X10" s="6" t="n">
        <f aca="false">N10+O10+S10+U10+V10</f>
        <v>1607</v>
      </c>
      <c r="Y10" s="51" t="n">
        <f aca="false">IF(L10&lt;0,L10*-1,0)</f>
        <v>0</v>
      </c>
      <c r="Z10" s="51" t="n">
        <f aca="false">X10+Y10</f>
        <v>1607</v>
      </c>
      <c r="AA10" s="53" t="n">
        <v>0</v>
      </c>
      <c r="AB10" s="56" t="n">
        <v>75</v>
      </c>
      <c r="AC10" s="56" t="n">
        <v>40</v>
      </c>
      <c r="AD10" s="57" t="n">
        <v>1</v>
      </c>
      <c r="AE10" s="86"/>
      <c r="AF10" s="87"/>
      <c r="AG10" s="86"/>
    </row>
    <row r="11" customFormat="false" ht="11.1" hidden="false" customHeight="true" outlineLevel="0" collapsed="false">
      <c r="A11" s="57" t="n">
        <f aca="false">A10+1</f>
        <v>2</v>
      </c>
      <c r="B11" s="71" t="n">
        <v>6921.18</v>
      </c>
      <c r="C11" s="52" t="n">
        <v>368704</v>
      </c>
      <c r="D11" s="56" t="n">
        <f aca="false">C11-C10</f>
        <v>1224</v>
      </c>
      <c r="E11" s="52" t="n">
        <f aca="false">C11-152000</f>
        <v>216704</v>
      </c>
      <c r="F11" s="51" t="n">
        <f aca="false">D11/$D$2</f>
        <v>617.091000756239</v>
      </c>
      <c r="G11" s="51" t="n">
        <v>2012.7</v>
      </c>
      <c r="H11" s="78" t="n">
        <v>157.9</v>
      </c>
      <c r="I11" s="51" t="n">
        <f aca="false">G11+H11</f>
        <v>2170.6</v>
      </c>
      <c r="J11" s="78" t="n">
        <f aca="false">IF(L11&gt;0,L11,0)</f>
        <v>64.491000756239</v>
      </c>
      <c r="K11" s="51" t="n">
        <f aca="false">I11+J11</f>
        <v>2235.09100075624</v>
      </c>
      <c r="L11" s="51" t="n">
        <f aca="false">F11-(I11-X11)</f>
        <v>64.491000756239</v>
      </c>
      <c r="M11" s="51" t="n">
        <v>202.7</v>
      </c>
      <c r="N11" s="51" t="n">
        <v>0</v>
      </c>
      <c r="O11" s="51" t="n">
        <v>0</v>
      </c>
      <c r="P11" s="6" t="n">
        <f aca="false">M11-(N11+O11)</f>
        <v>202.7</v>
      </c>
      <c r="Q11" s="51" t="n">
        <v>133.7</v>
      </c>
      <c r="R11" s="51" t="n">
        <v>61.6</v>
      </c>
      <c r="S11" s="51" t="n">
        <f aca="false">SUM(P11:R11)</f>
        <v>398</v>
      </c>
      <c r="T11" s="52"/>
      <c r="U11" s="51" t="n">
        <v>20</v>
      </c>
      <c r="V11" s="51" t="n">
        <v>1200</v>
      </c>
      <c r="W11" s="52" t="n">
        <f aca="false">W10</f>
        <v>9838.06999999996</v>
      </c>
      <c r="X11" s="6" t="n">
        <f aca="false">N11+O11+S11+U11+V11</f>
        <v>1618</v>
      </c>
      <c r="Y11" s="51" t="n">
        <f aca="false">IF(L11&lt;0,L11*-1,0)</f>
        <v>0</v>
      </c>
      <c r="Z11" s="51" t="n">
        <f aca="false">X11+Y11</f>
        <v>1618</v>
      </c>
      <c r="AA11" s="53" t="n">
        <v>0</v>
      </c>
      <c r="AB11" s="56" t="n">
        <v>71</v>
      </c>
      <c r="AC11" s="56" t="n">
        <v>39</v>
      </c>
      <c r="AD11" s="57" t="n">
        <f aca="false">AD10+1</f>
        <v>2</v>
      </c>
      <c r="AE11" s="86"/>
      <c r="AF11" s="87"/>
      <c r="AG11" s="86"/>
    </row>
    <row r="12" customFormat="false" ht="11.1" hidden="false" customHeight="true" outlineLevel="0" collapsed="false">
      <c r="A12" s="57" t="n">
        <f aca="false">A11+1</f>
        <v>3</v>
      </c>
      <c r="B12" s="71" t="n">
        <v>6921.38</v>
      </c>
      <c r="C12" s="52" t="n">
        <v>369579</v>
      </c>
      <c r="D12" s="56" t="n">
        <f aca="false">C12-C11</f>
        <v>875</v>
      </c>
      <c r="E12" s="52" t="n">
        <f aca="false">C12-152000</f>
        <v>217579</v>
      </c>
      <c r="F12" s="51" t="n">
        <f aca="false">D12/$D$2</f>
        <v>441.139400050416</v>
      </c>
      <c r="G12" s="51" t="n">
        <v>1881</v>
      </c>
      <c r="H12" s="78" t="n">
        <v>123.6</v>
      </c>
      <c r="I12" s="51" t="n">
        <f aca="false">G12+H12</f>
        <v>2004.6</v>
      </c>
      <c r="J12" s="78" t="n">
        <f aca="false">IF(L12&gt;0,L12,0)</f>
        <v>44.6394000504159</v>
      </c>
      <c r="K12" s="51" t="n">
        <f aca="false">I12+J12</f>
        <v>2049.23940005042</v>
      </c>
      <c r="L12" s="51" t="n">
        <f aca="false">F12-(I12-X12)</f>
        <v>44.6394000504159</v>
      </c>
      <c r="M12" s="51" t="n">
        <v>203.9</v>
      </c>
      <c r="N12" s="51" t="n">
        <v>0</v>
      </c>
      <c r="O12" s="51" t="n">
        <v>0</v>
      </c>
      <c r="P12" s="6" t="n">
        <f aca="false">M12-(N12+O12)</f>
        <v>203.9</v>
      </c>
      <c r="Q12" s="51" t="n">
        <v>134</v>
      </c>
      <c r="R12" s="51" t="n">
        <v>61.1</v>
      </c>
      <c r="S12" s="51" t="n">
        <f aca="false">SUM(P12:R12)</f>
        <v>399</v>
      </c>
      <c r="T12" s="52"/>
      <c r="U12" s="51" t="n">
        <v>9.1</v>
      </c>
      <c r="V12" s="51" t="n">
        <v>1200</v>
      </c>
      <c r="W12" s="52" t="n">
        <f aca="false">W10</f>
        <v>9838.06999999996</v>
      </c>
      <c r="X12" s="6" t="n">
        <f aca="false">N12+O12+S12+U12+V12</f>
        <v>1608.1</v>
      </c>
      <c r="Y12" s="51" t="n">
        <f aca="false">IF(L12&lt;0,L12*-1,0)</f>
        <v>0</v>
      </c>
      <c r="Z12" s="51" t="n">
        <f aca="false">X12+Y12</f>
        <v>1608.1</v>
      </c>
      <c r="AA12" s="53" t="n">
        <v>0</v>
      </c>
      <c r="AB12" s="56" t="n">
        <v>73</v>
      </c>
      <c r="AC12" s="56" t="n">
        <v>43</v>
      </c>
      <c r="AD12" s="57" t="n">
        <f aca="false">AD11+1</f>
        <v>3</v>
      </c>
      <c r="AE12" s="86"/>
      <c r="AF12" s="87"/>
      <c r="AG12" s="86"/>
    </row>
    <row r="13" customFormat="false" ht="11.1" hidden="false" customHeight="true" outlineLevel="0" collapsed="false">
      <c r="A13" s="57" t="n">
        <f aca="false">A12+1</f>
        <v>4</v>
      </c>
      <c r="B13" s="71" t="n">
        <v>3921.45</v>
      </c>
      <c r="C13" s="52" t="n">
        <v>369886</v>
      </c>
      <c r="D13" s="56" t="n">
        <f aca="false">C13-C12</f>
        <v>307</v>
      </c>
      <c r="E13" s="52" t="n">
        <f aca="false">C13-152000</f>
        <v>217886</v>
      </c>
      <c r="F13" s="51" t="n">
        <f aca="false">D13/$D$2</f>
        <v>154.776909503403</v>
      </c>
      <c r="G13" s="51" t="n">
        <v>1552.8</v>
      </c>
      <c r="H13" s="78" t="n">
        <v>130.4</v>
      </c>
      <c r="I13" s="51" t="n">
        <f aca="false">G13+H13</f>
        <v>1683.2</v>
      </c>
      <c r="J13" s="78" t="n">
        <f aca="false">IF(L13&gt;0,L13,0)</f>
        <v>87.1769095034029</v>
      </c>
      <c r="K13" s="51" t="n">
        <f aca="false">I13+J13</f>
        <v>1770.3769095034</v>
      </c>
      <c r="L13" s="51" t="n">
        <f aca="false">F13-(I13-X13)</f>
        <v>87.1769095034029</v>
      </c>
      <c r="M13" s="51" t="n">
        <v>207.1</v>
      </c>
      <c r="N13" s="51" t="n">
        <v>0</v>
      </c>
      <c r="O13" s="51" t="n">
        <v>0</v>
      </c>
      <c r="P13" s="6" t="n">
        <f aca="false">M13-(N13+O13)</f>
        <v>207.1</v>
      </c>
      <c r="Q13" s="51" t="n">
        <v>134.4</v>
      </c>
      <c r="R13" s="51" t="n">
        <v>65.5</v>
      </c>
      <c r="S13" s="51" t="n">
        <f aca="false">SUM(P13:R13)</f>
        <v>407</v>
      </c>
      <c r="T13" s="52"/>
      <c r="U13" s="51" t="n">
        <v>8.6</v>
      </c>
      <c r="V13" s="51" t="n">
        <v>1200</v>
      </c>
      <c r="W13" s="52" t="n">
        <f aca="false">W11</f>
        <v>9838.06999999996</v>
      </c>
      <c r="X13" s="6" t="n">
        <f aca="false">N13+O13+S13+U13+V13</f>
        <v>1615.6</v>
      </c>
      <c r="Y13" s="51" t="n">
        <f aca="false">IF(L13&lt;0,L13*-1,0)</f>
        <v>0</v>
      </c>
      <c r="Z13" s="51" t="n">
        <f aca="false">X13+Y13</f>
        <v>1615.6</v>
      </c>
      <c r="AA13" s="53" t="n">
        <v>0</v>
      </c>
      <c r="AB13" s="56" t="n">
        <v>72</v>
      </c>
      <c r="AC13" s="56" t="n">
        <v>43</v>
      </c>
      <c r="AD13" s="57" t="n">
        <f aca="false">AD12+1</f>
        <v>4</v>
      </c>
      <c r="AE13" s="86"/>
      <c r="AF13" s="87"/>
      <c r="AG13" s="86"/>
    </row>
    <row r="14" customFormat="false" ht="11.1" hidden="false" customHeight="true" outlineLevel="0" collapsed="false">
      <c r="A14" s="57" t="n">
        <f aca="false">A13+1</f>
        <v>5</v>
      </c>
      <c r="B14" s="71" t="n">
        <v>6921.6</v>
      </c>
      <c r="C14" s="52" t="n">
        <v>370543</v>
      </c>
      <c r="D14" s="56" t="n">
        <f aca="false">C14-C13</f>
        <v>657</v>
      </c>
      <c r="E14" s="52" t="n">
        <f aca="false">C14-152000</f>
        <v>218543</v>
      </c>
      <c r="F14" s="51" t="n">
        <f aca="false">D14/$D$2</f>
        <v>331.232669523569</v>
      </c>
      <c r="G14" s="51" t="n">
        <v>1562</v>
      </c>
      <c r="H14" s="78" t="n">
        <v>104.6</v>
      </c>
      <c r="I14" s="51" t="n">
        <f aca="false">G14+H14</f>
        <v>1666.6</v>
      </c>
      <c r="J14" s="78" t="n">
        <f aca="false">IF(L14&gt;0,L14,0)</f>
        <v>189.63266952357</v>
      </c>
      <c r="K14" s="51" t="n">
        <f aca="false">I14+J14</f>
        <v>1856.23266952357</v>
      </c>
      <c r="L14" s="51" t="n">
        <f aca="false">F14-(I14-X14)</f>
        <v>189.63266952357</v>
      </c>
      <c r="M14" s="51" t="n">
        <v>211.5</v>
      </c>
      <c r="N14" s="51" t="n">
        <v>0</v>
      </c>
      <c r="O14" s="51" t="n">
        <v>0</v>
      </c>
      <c r="P14" s="6" t="n">
        <f aca="false">M14-(N14+O14)</f>
        <v>211.5</v>
      </c>
      <c r="Q14" s="51" t="n">
        <v>135.1</v>
      </c>
      <c r="R14" s="51" t="n">
        <v>73.4</v>
      </c>
      <c r="S14" s="51" t="n">
        <f aca="false">SUM(P14:R14)</f>
        <v>420</v>
      </c>
      <c r="T14" s="52"/>
      <c r="U14" s="51" t="n">
        <v>30</v>
      </c>
      <c r="V14" s="51" t="n">
        <v>1075</v>
      </c>
      <c r="W14" s="52" t="n">
        <f aca="false">W12</f>
        <v>9838.06999999996</v>
      </c>
      <c r="X14" s="6" t="n">
        <f aca="false">N14+O14+S14+U14+V14</f>
        <v>1525</v>
      </c>
      <c r="Y14" s="51" t="n">
        <f aca="false">IF(L14&lt;0,L14*-1,0)</f>
        <v>0</v>
      </c>
      <c r="Z14" s="51" t="n">
        <f aca="false">X14+Y14</f>
        <v>1525</v>
      </c>
      <c r="AA14" s="53" t="n">
        <v>0.01</v>
      </c>
      <c r="AB14" s="56" t="n">
        <v>71</v>
      </c>
      <c r="AC14" s="56" t="n">
        <v>39</v>
      </c>
      <c r="AD14" s="57" t="n">
        <f aca="false">AD13+1</f>
        <v>5</v>
      </c>
      <c r="AE14" s="86"/>
      <c r="AF14" s="87"/>
      <c r="AG14" s="86"/>
    </row>
    <row r="15" customFormat="false" ht="11.1" hidden="false" customHeight="true" outlineLevel="0" collapsed="false">
      <c r="A15" s="57" t="n">
        <f aca="false">A14+1</f>
        <v>6</v>
      </c>
      <c r="B15" s="71" t="n">
        <v>6921.8</v>
      </c>
      <c r="C15" s="52" t="n">
        <v>371417</v>
      </c>
      <c r="D15" s="56" t="n">
        <f aca="false">C15-C14</f>
        <v>874</v>
      </c>
      <c r="E15" s="52" t="n">
        <f aca="false">C15-152000</f>
        <v>219417</v>
      </c>
      <c r="F15" s="51" t="n">
        <f aca="false">D15/$D$2</f>
        <v>440.635240736073</v>
      </c>
      <c r="G15" s="51" t="n">
        <v>1628.7</v>
      </c>
      <c r="H15" s="78" t="n">
        <v>111.7</v>
      </c>
      <c r="I15" s="51" t="n">
        <f aca="false">G15+H15</f>
        <v>1740.4</v>
      </c>
      <c r="J15" s="78" t="n">
        <f aca="false">IF(L15&gt;0,L15,0)</f>
        <v>164.235240736073</v>
      </c>
      <c r="K15" s="51" t="n">
        <f aca="false">I15+J15</f>
        <v>1904.63524073607</v>
      </c>
      <c r="L15" s="51" t="n">
        <f aca="false">F15-(I15-X15)</f>
        <v>164.235240736073</v>
      </c>
      <c r="M15" s="51" t="n">
        <v>210.2</v>
      </c>
      <c r="N15" s="51" t="n">
        <v>0</v>
      </c>
      <c r="O15" s="51" t="n">
        <v>0</v>
      </c>
      <c r="P15" s="6" t="n">
        <f aca="false">M15-(N15+O15)</f>
        <v>210.2</v>
      </c>
      <c r="Q15" s="51" t="n">
        <v>134.3</v>
      </c>
      <c r="R15" s="51" t="n">
        <v>71.5</v>
      </c>
      <c r="S15" s="51" t="n">
        <f aca="false">SUM(P15:R15)</f>
        <v>416</v>
      </c>
      <c r="T15" s="52"/>
      <c r="U15" s="51" t="n">
        <v>48</v>
      </c>
      <c r="V15" s="51" t="n">
        <v>1000</v>
      </c>
      <c r="W15" s="52" t="n">
        <f aca="false">W13</f>
        <v>9838.06999999996</v>
      </c>
      <c r="X15" s="6" t="n">
        <f aca="false">N15+O15+S15+U15+V15</f>
        <v>1464</v>
      </c>
      <c r="Y15" s="51" t="n">
        <f aca="false">IF(L15&lt;0,L15*-1,0)</f>
        <v>0</v>
      </c>
      <c r="Z15" s="51" t="n">
        <f aca="false">X15+Y15</f>
        <v>1464</v>
      </c>
      <c r="AA15" s="53" t="n">
        <v>0.27</v>
      </c>
      <c r="AB15" s="56" t="n">
        <v>68</v>
      </c>
      <c r="AC15" s="56" t="n">
        <v>40</v>
      </c>
      <c r="AD15" s="57" t="n">
        <f aca="false">AD14+1</f>
        <v>6</v>
      </c>
      <c r="AE15" s="85"/>
      <c r="AF15" s="87"/>
      <c r="AG15" s="86"/>
    </row>
    <row r="16" customFormat="false" ht="11.1" hidden="false" customHeight="true" outlineLevel="0" collapsed="false">
      <c r="A16" s="57" t="n">
        <f aca="false">A15+1</f>
        <v>7</v>
      </c>
      <c r="B16" s="71" t="n">
        <v>6922.02</v>
      </c>
      <c r="C16" s="52" t="n">
        <v>372382</v>
      </c>
      <c r="D16" s="56" t="n">
        <f aca="false">C16-C15</f>
        <v>965</v>
      </c>
      <c r="E16" s="52" t="n">
        <f aca="false">C16-152000</f>
        <v>220382</v>
      </c>
      <c r="F16" s="51" t="n">
        <f aca="false">D16/$D$2</f>
        <v>486.513738341316</v>
      </c>
      <c r="G16" s="51" t="n">
        <v>1679.5</v>
      </c>
      <c r="H16" s="78" t="n">
        <v>124.8</v>
      </c>
      <c r="I16" s="51" t="n">
        <f aca="false">G16+H16</f>
        <v>1804.3</v>
      </c>
      <c r="J16" s="78" t="n">
        <f aca="false">IF(L16&gt;0,L16,0)</f>
        <v>174.113738341316</v>
      </c>
      <c r="K16" s="51" t="n">
        <f aca="false">I16+J16</f>
        <v>1978.41373834132</v>
      </c>
      <c r="L16" s="51" t="n">
        <f aca="false">F16-(I16-X16)</f>
        <v>174.113738341316</v>
      </c>
      <c r="M16" s="51" t="n">
        <v>218.4</v>
      </c>
      <c r="N16" s="51" t="n">
        <v>0</v>
      </c>
      <c r="O16" s="51" t="n">
        <v>0</v>
      </c>
      <c r="P16" s="6" t="n">
        <f aca="false">M16-(N16+O16)</f>
        <v>218.4</v>
      </c>
      <c r="Q16" s="51" t="n">
        <v>129</v>
      </c>
      <c r="R16" s="51" t="n">
        <v>72.5</v>
      </c>
      <c r="S16" s="51" t="n">
        <f aca="false">SUM(P16:R16)</f>
        <v>419.9</v>
      </c>
      <c r="T16" s="52"/>
      <c r="U16" s="51" t="n">
        <v>72</v>
      </c>
      <c r="V16" s="51" t="n">
        <v>1000</v>
      </c>
      <c r="W16" s="52" t="n">
        <f aca="false">W14</f>
        <v>9838.06999999996</v>
      </c>
      <c r="X16" s="6" t="n">
        <f aca="false">N16+O16+S16+U16+V16</f>
        <v>1491.9</v>
      </c>
      <c r="Y16" s="51" t="n">
        <f aca="false">IF(L16&lt;0,L16*-1,0)</f>
        <v>0</v>
      </c>
      <c r="Z16" s="51" t="n">
        <f aca="false">X16+Y16</f>
        <v>1491.9</v>
      </c>
      <c r="AA16" s="53" t="n">
        <v>0.12</v>
      </c>
      <c r="AB16" s="56" t="n">
        <v>65</v>
      </c>
      <c r="AC16" s="56" t="n">
        <v>41</v>
      </c>
      <c r="AD16" s="57" t="n">
        <f aca="false">AD15+1</f>
        <v>7</v>
      </c>
      <c r="AE16" s="85"/>
      <c r="AF16" s="87"/>
      <c r="AG16" s="86"/>
    </row>
    <row r="17" customFormat="false" ht="11.1" hidden="false" customHeight="true" outlineLevel="0" collapsed="false">
      <c r="A17" s="57" t="n">
        <f aca="false">A16+1</f>
        <v>8</v>
      </c>
      <c r="B17" s="71" t="n">
        <v>6922.3</v>
      </c>
      <c r="C17" s="52" t="n">
        <v>373618</v>
      </c>
      <c r="D17" s="56" t="n">
        <f aca="false">C17-C16</f>
        <v>1236</v>
      </c>
      <c r="E17" s="52" t="n">
        <f aca="false">C17-152000</f>
        <v>221618</v>
      </c>
      <c r="F17" s="51" t="n">
        <f aca="false">D17/$D$2</f>
        <v>623.140912528359</v>
      </c>
      <c r="G17" s="51" t="n">
        <v>1757.4</v>
      </c>
      <c r="H17" s="78" t="n">
        <v>125.7</v>
      </c>
      <c r="I17" s="51" t="n">
        <f aca="false">G17+H17</f>
        <v>1883.1</v>
      </c>
      <c r="J17" s="78" t="n">
        <f aca="false">IF(L17&gt;0,L17,0)</f>
        <v>265.140912528359</v>
      </c>
      <c r="K17" s="51" t="n">
        <f aca="false">I17+J17</f>
        <v>2148.24091252836</v>
      </c>
      <c r="L17" s="51" t="n">
        <f aca="false">F17-(I17-X17)</f>
        <v>265.140912528359</v>
      </c>
      <c r="M17" s="51" t="n">
        <v>219.5</v>
      </c>
      <c r="N17" s="51" t="n">
        <v>0</v>
      </c>
      <c r="O17" s="51" t="n">
        <v>0</v>
      </c>
      <c r="P17" s="6" t="n">
        <f aca="false">M17-(N17+O17)</f>
        <v>219.5</v>
      </c>
      <c r="Q17" s="51" t="n">
        <v>128.8</v>
      </c>
      <c r="R17" s="51" t="n">
        <v>68.8</v>
      </c>
      <c r="S17" s="51" t="n">
        <f aca="false">SUM(P17:R17)</f>
        <v>417.1</v>
      </c>
      <c r="T17" s="52"/>
      <c r="U17" s="51" t="n">
        <v>89</v>
      </c>
      <c r="V17" s="51" t="n">
        <v>1019</v>
      </c>
      <c r="W17" s="52" t="n">
        <f aca="false">W15</f>
        <v>9838.06999999996</v>
      </c>
      <c r="X17" s="6" t="n">
        <f aca="false">N17+O17+S17+U17+V17</f>
        <v>1525.1</v>
      </c>
      <c r="Y17" s="51" t="n">
        <f aca="false">IF(L17&lt;0,L17*-1,0)</f>
        <v>0</v>
      </c>
      <c r="Z17" s="51" t="n">
        <f aca="false">X17+Y17</f>
        <v>1525.1</v>
      </c>
      <c r="AA17" s="53" t="n">
        <v>0</v>
      </c>
      <c r="AB17" s="56" t="n">
        <v>67</v>
      </c>
      <c r="AC17" s="56" t="n">
        <v>40</v>
      </c>
      <c r="AD17" s="57" t="n">
        <f aca="false">AD16+1</f>
        <v>8</v>
      </c>
      <c r="AE17" s="85"/>
      <c r="AF17" s="87"/>
      <c r="AG17" s="86"/>
    </row>
    <row r="18" customFormat="false" ht="11.1" hidden="false" customHeight="true" outlineLevel="0" collapsed="false">
      <c r="A18" s="57" t="n">
        <f aca="false">A17+1</f>
        <v>9</v>
      </c>
      <c r="B18" s="71" t="n">
        <v>6922.78</v>
      </c>
      <c r="C18" s="52" t="n">
        <v>375737</v>
      </c>
      <c r="D18" s="56" t="n">
        <f aca="false">C18-C17</f>
        <v>2119</v>
      </c>
      <c r="E18" s="52" t="n">
        <f aca="false">C18-152000</f>
        <v>223737</v>
      </c>
      <c r="F18" s="51" t="n">
        <f aca="false">D18/$D$2</f>
        <v>1068.31358709352</v>
      </c>
      <c r="G18" s="51" t="n">
        <v>1885.6</v>
      </c>
      <c r="H18" s="78" t="n">
        <v>259.1</v>
      </c>
      <c r="I18" s="51" t="n">
        <f aca="false">G18+H18</f>
        <v>2144.7</v>
      </c>
      <c r="J18" s="78" t="n">
        <f aca="false">IF(L18&gt;0,L18,0)</f>
        <v>446.513587093522</v>
      </c>
      <c r="K18" s="51" t="n">
        <f aca="false">I18+J18</f>
        <v>2591.21358709352</v>
      </c>
      <c r="L18" s="51" t="n">
        <f aca="false">F18-(I18-X18)</f>
        <v>446.513587093522</v>
      </c>
      <c r="M18" s="51" t="n">
        <v>220</v>
      </c>
      <c r="N18" s="51" t="n">
        <v>0</v>
      </c>
      <c r="O18" s="51" t="n">
        <v>0</v>
      </c>
      <c r="P18" s="6" t="n">
        <f aca="false">M18-(N18+O18)</f>
        <v>220</v>
      </c>
      <c r="Q18" s="51" t="n">
        <v>129</v>
      </c>
      <c r="R18" s="51" t="n">
        <v>75.9</v>
      </c>
      <c r="S18" s="51" t="n">
        <f aca="false">SUM(P18:R18)</f>
        <v>424.9</v>
      </c>
      <c r="T18" s="52"/>
      <c r="U18" s="51" t="n">
        <v>75</v>
      </c>
      <c r="V18" s="51" t="n">
        <v>1023</v>
      </c>
      <c r="W18" s="52" t="n">
        <f aca="false">W16</f>
        <v>9838.06999999996</v>
      </c>
      <c r="X18" s="6" t="n">
        <f aca="false">N18+O18+S18+U18+V18</f>
        <v>1522.9</v>
      </c>
      <c r="Y18" s="51" t="n">
        <f aca="false">IF(L18&lt;0,L18*-1,0)</f>
        <v>0</v>
      </c>
      <c r="Z18" s="51" t="n">
        <f aca="false">X18+Y18</f>
        <v>1522.9</v>
      </c>
      <c r="AA18" s="53" t="n">
        <v>0</v>
      </c>
      <c r="AB18" s="56" t="n">
        <v>52</v>
      </c>
      <c r="AC18" s="56" t="n">
        <v>46</v>
      </c>
      <c r="AD18" s="57" t="n">
        <f aca="false">AD17+1</f>
        <v>9</v>
      </c>
      <c r="AE18" s="85"/>
      <c r="AF18" s="87"/>
      <c r="AG18" s="86"/>
    </row>
    <row r="19" customFormat="false" ht="11.1" hidden="false" customHeight="true" outlineLevel="0" collapsed="false">
      <c r="A19" s="57" t="n">
        <f aca="false">A18+1</f>
        <v>10</v>
      </c>
      <c r="B19" s="71" t="n">
        <v>6922.97</v>
      </c>
      <c r="C19" s="52" t="n">
        <v>376578</v>
      </c>
      <c r="D19" s="56" t="n">
        <f aca="false">C19-C18</f>
        <v>841</v>
      </c>
      <c r="E19" s="52" t="n">
        <f aca="false">C19-152000</f>
        <v>224578</v>
      </c>
      <c r="F19" s="51" t="n">
        <f aca="false">D19/$D$2</f>
        <v>423.997983362743</v>
      </c>
      <c r="G19" s="51" t="n">
        <v>1905.2</v>
      </c>
      <c r="H19" s="78" t="n">
        <v>261.2</v>
      </c>
      <c r="I19" s="51" t="n">
        <f aca="false">G19+H19</f>
        <v>2166.4</v>
      </c>
      <c r="J19" s="78" t="n">
        <f aca="false">IF(L19&gt;0,L19,0)</f>
        <v>0</v>
      </c>
      <c r="K19" s="51" t="n">
        <f aca="false">I19+J19</f>
        <v>2166.4</v>
      </c>
      <c r="L19" s="51" t="n">
        <f aca="false">F19-(I19-X19)</f>
        <v>-66.4020166372575</v>
      </c>
      <c r="M19" s="51" t="n">
        <v>220.7</v>
      </c>
      <c r="N19" s="51" t="n">
        <v>0</v>
      </c>
      <c r="O19" s="51" t="n">
        <v>0</v>
      </c>
      <c r="P19" s="6" t="n">
        <f aca="false">M19-(N19+O19)</f>
        <v>220.7</v>
      </c>
      <c r="Q19" s="51" t="n">
        <v>130</v>
      </c>
      <c r="R19" s="51" t="n">
        <v>74.3</v>
      </c>
      <c r="S19" s="51" t="n">
        <f aca="false">SUM(P19:R19)</f>
        <v>425</v>
      </c>
      <c r="T19" s="52"/>
      <c r="U19" s="51" t="n">
        <v>74</v>
      </c>
      <c r="V19" s="51" t="n">
        <v>1177</v>
      </c>
      <c r="W19" s="52" t="n">
        <f aca="false">W17</f>
        <v>9838.06999999996</v>
      </c>
      <c r="X19" s="6" t="n">
        <f aca="false">N19+O19+S19+U19+V19</f>
        <v>1676</v>
      </c>
      <c r="Y19" s="51" t="n">
        <f aca="false">IF(L19&lt;0,L19*-1,0)</f>
        <v>66.4020166372575</v>
      </c>
      <c r="Z19" s="51" t="n">
        <f aca="false">X19+Y19</f>
        <v>1742.40201663726</v>
      </c>
      <c r="AA19" s="53" t="n">
        <v>0.44</v>
      </c>
      <c r="AB19" s="56" t="n">
        <v>57</v>
      </c>
      <c r="AC19" s="56" t="n">
        <v>30</v>
      </c>
      <c r="AD19" s="57" t="n">
        <f aca="false">AD18+1</f>
        <v>10</v>
      </c>
      <c r="AE19" s="85"/>
      <c r="AF19" s="87"/>
      <c r="AG19" s="86"/>
    </row>
    <row r="20" customFormat="false" ht="11.1" hidden="false" customHeight="true" outlineLevel="0" collapsed="false">
      <c r="A20" s="57" t="n">
        <f aca="false">A19+1</f>
        <v>11</v>
      </c>
      <c r="B20" s="71" t="n">
        <v>6923.05</v>
      </c>
      <c r="C20" s="52" t="n">
        <v>376931</v>
      </c>
      <c r="D20" s="56" t="n">
        <f aca="false">C20-C19</f>
        <v>353</v>
      </c>
      <c r="E20" s="52" t="n">
        <f aca="false">C20-152000</f>
        <v>224931</v>
      </c>
      <c r="F20" s="51" t="n">
        <f aca="false">D20/$D$2</f>
        <v>177.968237963196</v>
      </c>
      <c r="G20" s="51" t="n">
        <v>1545.8</v>
      </c>
      <c r="H20" s="78" t="n">
        <v>133.8</v>
      </c>
      <c r="I20" s="51" t="n">
        <f aca="false">G20+H20</f>
        <v>1679.6</v>
      </c>
      <c r="J20" s="78" t="n">
        <f aca="false">IF(L20&gt;0,L20,0)</f>
        <v>221.468237963196</v>
      </c>
      <c r="K20" s="51" t="n">
        <f aca="false">I20+J20</f>
        <v>1901.0682379632</v>
      </c>
      <c r="L20" s="51" t="n">
        <f aca="false">F20-(I20-X20)</f>
        <v>221.468237963196</v>
      </c>
      <c r="M20" s="51" t="n">
        <v>209.7</v>
      </c>
      <c r="N20" s="51" t="n">
        <v>0</v>
      </c>
      <c r="O20" s="51" t="n">
        <v>0</v>
      </c>
      <c r="P20" s="6" t="n">
        <f aca="false">M20-(N20+O20)</f>
        <v>209.7</v>
      </c>
      <c r="Q20" s="51" t="n">
        <v>130</v>
      </c>
      <c r="R20" s="51" t="n">
        <v>77.4</v>
      </c>
      <c r="S20" s="51" t="n">
        <f aca="false">SUM(P20:R20)</f>
        <v>417.1</v>
      </c>
      <c r="T20" s="52"/>
      <c r="U20" s="51" t="n">
        <v>109</v>
      </c>
      <c r="V20" s="51" t="n">
        <v>1197</v>
      </c>
      <c r="W20" s="52" t="n">
        <f aca="false">W18</f>
        <v>9838.06999999996</v>
      </c>
      <c r="X20" s="6" t="n">
        <f aca="false">N20+O20+S20+U20+V20</f>
        <v>1723.1</v>
      </c>
      <c r="Y20" s="51" t="n">
        <f aca="false">IF(L20&lt;0,L20*-1,0)</f>
        <v>0</v>
      </c>
      <c r="Z20" s="51" t="n">
        <f aca="false">X20+Y20</f>
        <v>1723.1</v>
      </c>
      <c r="AA20" s="53" t="n">
        <v>0</v>
      </c>
      <c r="AB20" s="56" t="n">
        <v>76</v>
      </c>
      <c r="AC20" s="56" t="n">
        <v>33</v>
      </c>
      <c r="AD20" s="57" t="n">
        <f aca="false">AD19+1</f>
        <v>11</v>
      </c>
      <c r="AE20" s="85"/>
      <c r="AF20" s="87"/>
      <c r="AG20" s="86"/>
    </row>
    <row r="21" customFormat="false" ht="11.1" hidden="false" customHeight="true" outlineLevel="0" collapsed="false">
      <c r="A21" s="57" t="n">
        <f aca="false">A20+1</f>
        <v>12</v>
      </c>
      <c r="B21" s="71" t="n">
        <v>6923.17</v>
      </c>
      <c r="C21" s="52" t="n">
        <v>377465</v>
      </c>
      <c r="D21" s="56" t="n">
        <f aca="false">C21-C20</f>
        <v>534</v>
      </c>
      <c r="E21" s="52" t="n">
        <f aca="false">C21-152000</f>
        <v>225465</v>
      </c>
      <c r="F21" s="51" t="n">
        <f aca="false">D21/$D$2</f>
        <v>269.221073859339</v>
      </c>
      <c r="G21" s="51" t="n">
        <v>1490.3</v>
      </c>
      <c r="H21" s="78" t="n">
        <v>98</v>
      </c>
      <c r="I21" s="51" t="n">
        <f aca="false">G21+H21</f>
        <v>1588.3</v>
      </c>
      <c r="J21" s="78" t="n">
        <f aca="false">IF(L21&gt;0,L21,0)</f>
        <v>227.92107385934</v>
      </c>
      <c r="K21" s="51" t="n">
        <f aca="false">I21+J21</f>
        <v>1816.22107385934</v>
      </c>
      <c r="L21" s="51" t="n">
        <f aca="false">F21-(I21-X21)</f>
        <v>227.92107385934</v>
      </c>
      <c r="M21" s="51" t="n">
        <v>201.3</v>
      </c>
      <c r="N21" s="51" t="n">
        <v>0</v>
      </c>
      <c r="O21" s="51" t="n">
        <v>0</v>
      </c>
      <c r="P21" s="6" t="n">
        <f aca="false">M21-(N21+O21)</f>
        <v>201.3</v>
      </c>
      <c r="Q21" s="51" t="n">
        <v>129.9</v>
      </c>
      <c r="R21" s="51" t="n">
        <v>70.8</v>
      </c>
      <c r="S21" s="51" t="n">
        <f aca="false">SUM(P21:R21)</f>
        <v>402</v>
      </c>
      <c r="T21" s="52"/>
      <c r="U21" s="51" t="n">
        <v>108</v>
      </c>
      <c r="V21" s="51" t="n">
        <v>1037</v>
      </c>
      <c r="W21" s="52" t="n">
        <f aca="false">W19</f>
        <v>9838.06999999996</v>
      </c>
      <c r="X21" s="6" t="n">
        <f aca="false">N21+O21+S21+U21+V21</f>
        <v>1547</v>
      </c>
      <c r="Y21" s="51" t="n">
        <f aca="false">IF(L21&lt;0,L21*-1,0)</f>
        <v>0</v>
      </c>
      <c r="Z21" s="51" t="n">
        <f aca="false">X21+Y21</f>
        <v>1547</v>
      </c>
      <c r="AA21" s="53" t="n">
        <v>0</v>
      </c>
      <c r="AB21" s="56" t="n">
        <v>71</v>
      </c>
      <c r="AC21" s="56" t="n">
        <v>37</v>
      </c>
      <c r="AD21" s="57" t="n">
        <f aca="false">AD20+1</f>
        <v>12</v>
      </c>
      <c r="AE21" s="85"/>
      <c r="AF21" s="87"/>
      <c r="AG21" s="86"/>
    </row>
    <row r="22" customFormat="false" ht="11.1" hidden="false" customHeight="true" outlineLevel="0" collapsed="false">
      <c r="A22" s="57" t="n">
        <f aca="false">A21+1</f>
        <v>13</v>
      </c>
      <c r="B22" s="71" t="n">
        <v>6923.28</v>
      </c>
      <c r="C22" s="52" t="n">
        <v>377954</v>
      </c>
      <c r="D22" s="56" t="n">
        <f aca="false">C22-C21</f>
        <v>489</v>
      </c>
      <c r="E22" s="52" t="n">
        <f aca="false">C22-152000</f>
        <v>225954</v>
      </c>
      <c r="F22" s="51" t="n">
        <f aca="false">D22/$D$2</f>
        <v>246.53390471389</v>
      </c>
      <c r="G22" s="51" t="n">
        <v>1586</v>
      </c>
      <c r="H22" s="78" t="n">
        <v>87.7</v>
      </c>
      <c r="I22" s="51" t="n">
        <f aca="false">G22+H22</f>
        <v>1673.7</v>
      </c>
      <c r="J22" s="78" t="n">
        <f aca="false">IF(L22&gt;0,L22,0)</f>
        <v>128.83390471389</v>
      </c>
      <c r="K22" s="51" t="n">
        <f aca="false">I22+J22</f>
        <v>1802.53390471389</v>
      </c>
      <c r="L22" s="51" t="n">
        <f aca="false">F22-(I22-X22)</f>
        <v>128.83390471389</v>
      </c>
      <c r="M22" s="51" t="n">
        <v>197.6</v>
      </c>
      <c r="N22" s="51" t="n">
        <v>0</v>
      </c>
      <c r="O22" s="51" t="n">
        <v>0</v>
      </c>
      <c r="P22" s="6" t="n">
        <f aca="false">M22-(N22+O22)</f>
        <v>197.6</v>
      </c>
      <c r="Q22" s="51" t="n">
        <v>129.7</v>
      </c>
      <c r="R22" s="51" t="n">
        <v>75.7</v>
      </c>
      <c r="S22" s="51" t="n">
        <f aca="false">SUM(P22:R22)</f>
        <v>403</v>
      </c>
      <c r="T22" s="52"/>
      <c r="U22" s="51" t="n">
        <v>113</v>
      </c>
      <c r="V22" s="51" t="n">
        <v>1040</v>
      </c>
      <c r="W22" s="52" t="n">
        <f aca="false">W20</f>
        <v>9838.06999999996</v>
      </c>
      <c r="X22" s="6" t="n">
        <f aca="false">N22+O22+S22+U22+V22</f>
        <v>1556</v>
      </c>
      <c r="Y22" s="51" t="n">
        <f aca="false">IF(L22&lt;0,L22*-1,0)</f>
        <v>0</v>
      </c>
      <c r="Z22" s="51" t="n">
        <f aca="false">X22+Y22</f>
        <v>1556</v>
      </c>
      <c r="AA22" s="53" t="n">
        <v>0</v>
      </c>
      <c r="AB22" s="56" t="n">
        <v>72</v>
      </c>
      <c r="AC22" s="56" t="n">
        <v>43</v>
      </c>
      <c r="AD22" s="57" t="n">
        <f aca="false">AD21+1</f>
        <v>13</v>
      </c>
      <c r="AE22" s="85"/>
      <c r="AF22" s="87"/>
      <c r="AG22" s="86"/>
    </row>
    <row r="23" customFormat="false" ht="11.1" hidden="false" customHeight="true" outlineLevel="0" collapsed="false">
      <c r="A23" s="57" t="n">
        <f aca="false">A22+1</f>
        <v>14</v>
      </c>
      <c r="B23" s="71" t="n">
        <v>6923.41</v>
      </c>
      <c r="C23" s="52" t="n">
        <v>378535</v>
      </c>
      <c r="D23" s="56" t="n">
        <f aca="false">C23-C22</f>
        <v>581</v>
      </c>
      <c r="E23" s="52" t="n">
        <f aca="false">C23-152000</f>
        <v>226535</v>
      </c>
      <c r="F23" s="51" t="n">
        <f aca="false">D23/$D$2</f>
        <v>292.916561633476</v>
      </c>
      <c r="G23" s="51" t="n">
        <v>1714</v>
      </c>
      <c r="H23" s="78" t="n">
        <v>78.1</v>
      </c>
      <c r="I23" s="51" t="n">
        <f aca="false">G23+H23</f>
        <v>1792.1</v>
      </c>
      <c r="J23" s="78" t="n">
        <f aca="false">IF(L23&gt;0,L23,0)</f>
        <v>81.9165616334762</v>
      </c>
      <c r="K23" s="51" t="n">
        <f aca="false">I23+J23</f>
        <v>1874.01656163348</v>
      </c>
      <c r="L23" s="51" t="n">
        <f aca="false">F23-(I23-X23)</f>
        <v>81.9165616334762</v>
      </c>
      <c r="M23" s="51" t="n">
        <v>197.4</v>
      </c>
      <c r="N23" s="51" t="n">
        <v>0</v>
      </c>
      <c r="O23" s="51" t="n">
        <v>0</v>
      </c>
      <c r="P23" s="6" t="n">
        <f aca="false">M23-(N23+O23)</f>
        <v>197.4</v>
      </c>
      <c r="Q23" s="51" t="n">
        <v>130.5</v>
      </c>
      <c r="R23" s="51" t="n">
        <v>74.2</v>
      </c>
      <c r="S23" s="51" t="n">
        <f aca="false">SUM(P23:R23)</f>
        <v>402.1</v>
      </c>
      <c r="T23" s="52"/>
      <c r="U23" s="51" t="n">
        <v>134</v>
      </c>
      <c r="V23" s="51" t="n">
        <v>1045</v>
      </c>
      <c r="W23" s="52" t="n">
        <f aca="false">W21</f>
        <v>9838.06999999996</v>
      </c>
      <c r="X23" s="6" t="n">
        <f aca="false">N23+O23+S23+U23+V23</f>
        <v>1581.1</v>
      </c>
      <c r="Y23" s="51" t="n">
        <f aca="false">IF(L23&lt;0,L23*-1,0)</f>
        <v>0</v>
      </c>
      <c r="Z23" s="51" t="n">
        <f aca="false">X23+Y23</f>
        <v>1581.1</v>
      </c>
      <c r="AA23" s="53" t="n">
        <v>0</v>
      </c>
      <c r="AB23" s="56" t="n">
        <v>73</v>
      </c>
      <c r="AC23" s="56" t="n">
        <v>40</v>
      </c>
      <c r="AD23" s="57" t="n">
        <f aca="false">AD22+1</f>
        <v>14</v>
      </c>
      <c r="AE23" s="85"/>
      <c r="AF23" s="87"/>
      <c r="AG23" s="86"/>
    </row>
    <row r="24" customFormat="false" ht="11.1" hidden="false" customHeight="true" outlineLevel="0" collapsed="false">
      <c r="A24" s="57" t="n">
        <f aca="false">A23+1</f>
        <v>15</v>
      </c>
      <c r="B24" s="71" t="n">
        <v>6923.48</v>
      </c>
      <c r="C24" s="52" t="n">
        <v>378845</v>
      </c>
      <c r="D24" s="56" t="n">
        <f aca="false">C24-C23</f>
        <v>310</v>
      </c>
      <c r="E24" s="52" t="n">
        <f aca="false">C24-152000</f>
        <v>226845</v>
      </c>
      <c r="F24" s="51" t="n">
        <f aca="false">D24/$D$2</f>
        <v>156.289387446433</v>
      </c>
      <c r="G24" s="51" t="n">
        <v>1714.4</v>
      </c>
      <c r="H24" s="78" t="n">
        <v>85.9</v>
      </c>
      <c r="I24" s="51" t="n">
        <f aca="false">G24+H24</f>
        <v>1800.3</v>
      </c>
      <c r="J24" s="78" t="n">
        <f aca="false">IF(L24&gt;0,L24,0)</f>
        <v>36.9893874464329</v>
      </c>
      <c r="K24" s="98" t="n">
        <f aca="false">I24+J24</f>
        <v>1837.28938744643</v>
      </c>
      <c r="L24" s="51" t="n">
        <f aca="false">F24-(I24-X24)</f>
        <v>36.9893874464329</v>
      </c>
      <c r="M24" s="51" t="n">
        <v>205.9</v>
      </c>
      <c r="N24" s="51" t="n">
        <v>0</v>
      </c>
      <c r="O24" s="51" t="n">
        <v>0</v>
      </c>
      <c r="P24" s="6" t="n">
        <f aca="false">M24-(N24+O24)</f>
        <v>205.9</v>
      </c>
      <c r="Q24" s="51" t="n">
        <v>130.1</v>
      </c>
      <c r="R24" s="51" t="n">
        <v>75</v>
      </c>
      <c r="S24" s="51" t="n">
        <f aca="false">SUM(P24:R24)</f>
        <v>411</v>
      </c>
      <c r="T24" s="52"/>
      <c r="U24" s="51" t="n">
        <v>120</v>
      </c>
      <c r="V24" s="51" t="n">
        <v>1150</v>
      </c>
      <c r="W24" s="52" t="n">
        <f aca="false">W22</f>
        <v>9838.06999999996</v>
      </c>
      <c r="X24" s="6" t="n">
        <f aca="false">N24+O24+S24+U24+V24</f>
        <v>1681</v>
      </c>
      <c r="Y24" s="51" t="n">
        <f aca="false">IF(L24&lt;0,L24*-1,0)</f>
        <v>0</v>
      </c>
      <c r="Z24" s="51" t="n">
        <f aca="false">X24+Y24</f>
        <v>1681</v>
      </c>
      <c r="AA24" s="53" t="n">
        <v>0</v>
      </c>
      <c r="AB24" s="56" t="n">
        <v>74</v>
      </c>
      <c r="AC24" s="56" t="n">
        <v>43</v>
      </c>
      <c r="AD24" s="57" t="n">
        <f aca="false">AD23+1</f>
        <v>15</v>
      </c>
      <c r="AE24" s="85"/>
      <c r="AF24" s="87"/>
      <c r="AG24" s="86"/>
    </row>
    <row r="25" customFormat="false" ht="11.1" hidden="false" customHeight="true" outlineLevel="0" collapsed="false">
      <c r="A25" s="57" t="n">
        <f aca="false">A24+1</f>
        <v>16</v>
      </c>
      <c r="B25" s="71" t="n">
        <v>6923.43</v>
      </c>
      <c r="C25" s="52" t="n">
        <v>378624</v>
      </c>
      <c r="D25" s="56" t="n">
        <f aca="false">C25-C24</f>
        <v>-221</v>
      </c>
      <c r="E25" s="52" t="n">
        <f aca="false">C25-152000</f>
        <v>226624</v>
      </c>
      <c r="F25" s="51" t="n">
        <f aca="false">D25/$D$2</f>
        <v>-111.419208469876</v>
      </c>
      <c r="G25" s="51" t="n">
        <v>1676.5</v>
      </c>
      <c r="H25" s="78" t="n">
        <v>71.3</v>
      </c>
      <c r="I25" s="51" t="n">
        <f aca="false">G25+H25</f>
        <v>1747.8</v>
      </c>
      <c r="J25" s="78" t="n">
        <f aca="false">IF(L25&gt;0,L25,0)</f>
        <v>0</v>
      </c>
      <c r="K25" s="51" t="n">
        <f aca="false">I25+J25</f>
        <v>1747.8</v>
      </c>
      <c r="L25" s="51" t="n">
        <f aca="false">F25-(I25-X25)</f>
        <v>-15.2192084698764</v>
      </c>
      <c r="M25" s="51" t="n">
        <v>212</v>
      </c>
      <c r="N25" s="51" t="n">
        <v>0</v>
      </c>
      <c r="O25" s="51" t="n">
        <v>0</v>
      </c>
      <c r="P25" s="6" t="n">
        <f aca="false">M25-(N25+O25)</f>
        <v>212</v>
      </c>
      <c r="Q25" s="51" t="n">
        <v>130.5</v>
      </c>
      <c r="R25" s="51" t="n">
        <v>74.5</v>
      </c>
      <c r="S25" s="51" t="n">
        <f aca="false">SUM(P25:R25)</f>
        <v>417</v>
      </c>
      <c r="T25" s="52"/>
      <c r="U25" s="51" t="n">
        <v>127</v>
      </c>
      <c r="V25" s="51" t="n">
        <v>1300</v>
      </c>
      <c r="W25" s="52" t="n">
        <f aca="false">W23</f>
        <v>9838.06999999996</v>
      </c>
      <c r="X25" s="6" t="n">
        <f aca="false">N25+O25+S25+U25+V25</f>
        <v>1844</v>
      </c>
      <c r="Y25" s="51" t="n">
        <f aca="false">IF(L25&lt;0,L25*-1,0)</f>
        <v>15.2192084698764</v>
      </c>
      <c r="Z25" s="51" t="n">
        <f aca="false">X25+Y25</f>
        <v>1859.21920846988</v>
      </c>
      <c r="AA25" s="53" t="n">
        <v>0</v>
      </c>
      <c r="AB25" s="56" t="n">
        <v>74</v>
      </c>
      <c r="AC25" s="56" t="n">
        <v>42</v>
      </c>
      <c r="AD25" s="57" t="n">
        <f aca="false">AD24+1</f>
        <v>16</v>
      </c>
      <c r="AE25" s="85"/>
      <c r="AF25" s="87"/>
      <c r="AG25" s="86"/>
    </row>
    <row r="26" customFormat="false" ht="11.1" hidden="false" customHeight="true" outlineLevel="0" collapsed="false">
      <c r="A26" s="57" t="n">
        <f aca="false">A25+1</f>
        <v>17</v>
      </c>
      <c r="B26" s="71" t="n">
        <v>6923.37</v>
      </c>
      <c r="C26" s="52" t="n">
        <v>378356</v>
      </c>
      <c r="D26" s="56" t="n">
        <f aca="false">C26-C25</f>
        <v>-268</v>
      </c>
      <c r="E26" s="52" t="n">
        <f aca="false">C26-152000</f>
        <v>226356</v>
      </c>
      <c r="F26" s="51" t="n">
        <f aca="false">D26/$D$2</f>
        <v>-135.114696244013</v>
      </c>
      <c r="G26" s="51" t="n">
        <v>1580.2</v>
      </c>
      <c r="H26" s="78" t="n">
        <v>51.5</v>
      </c>
      <c r="I26" s="51" t="n">
        <f aca="false">G26+H26</f>
        <v>1631.7</v>
      </c>
      <c r="J26" s="78" t="n">
        <f aca="false">IF(L26&gt;0,L26,0)</f>
        <v>72.1853037559868</v>
      </c>
      <c r="K26" s="98" t="n">
        <f aca="false">I26+J26</f>
        <v>1703.88530375599</v>
      </c>
      <c r="L26" s="51" t="n">
        <f aca="false">F26-(I26-X26)</f>
        <v>72.1853037559868</v>
      </c>
      <c r="M26" s="51" t="n">
        <v>213</v>
      </c>
      <c r="N26" s="51" t="n">
        <v>0</v>
      </c>
      <c r="O26" s="51" t="n">
        <v>0</v>
      </c>
      <c r="P26" s="6" t="n">
        <f aca="false">M26-(N26+O26)</f>
        <v>213</v>
      </c>
      <c r="Q26" s="51" t="n">
        <v>130.3</v>
      </c>
      <c r="R26" s="51" t="n">
        <v>72.7</v>
      </c>
      <c r="S26" s="51" t="n">
        <f aca="false">SUM(P26:R26)</f>
        <v>416</v>
      </c>
      <c r="T26" s="52"/>
      <c r="U26" s="51" t="n">
        <v>123</v>
      </c>
      <c r="V26" s="51" t="n">
        <v>1300</v>
      </c>
      <c r="W26" s="52" t="n">
        <f aca="false">W24</f>
        <v>9838.06999999996</v>
      </c>
      <c r="X26" s="6" t="n">
        <f aca="false">N26+O26+S26+U26+V26</f>
        <v>1839</v>
      </c>
      <c r="Y26" s="51" t="n">
        <f aca="false">IF(L26&lt;0,L26*-1,0)</f>
        <v>0</v>
      </c>
      <c r="Z26" s="51" t="n">
        <f aca="false">X26+Y26</f>
        <v>1839</v>
      </c>
      <c r="AA26" s="53" t="n">
        <v>0</v>
      </c>
      <c r="AB26" s="56" t="n">
        <v>78</v>
      </c>
      <c r="AC26" s="56" t="n">
        <v>44</v>
      </c>
      <c r="AD26" s="57" t="n">
        <f aca="false">AD25+1</f>
        <v>17</v>
      </c>
      <c r="AE26" s="85"/>
      <c r="AF26" s="87"/>
      <c r="AG26" s="86"/>
    </row>
    <row r="27" customFormat="false" ht="11.1" hidden="false" customHeight="true" outlineLevel="0" collapsed="false">
      <c r="A27" s="57" t="n">
        <f aca="false">A26+1</f>
        <v>18</v>
      </c>
      <c r="B27" s="71" t="n">
        <v>6923.4</v>
      </c>
      <c r="C27" s="52" t="n">
        <v>378489</v>
      </c>
      <c r="D27" s="56" t="n">
        <f aca="false">C27-C26</f>
        <v>133</v>
      </c>
      <c r="E27" s="52" t="n">
        <f aca="false">C27-152000</f>
        <v>226489</v>
      </c>
      <c r="F27" s="51" t="n">
        <f aca="false">D27/$D$2</f>
        <v>67.0531888076632</v>
      </c>
      <c r="G27" s="51" t="n">
        <v>1570.6</v>
      </c>
      <c r="H27" s="78" t="n">
        <v>45</v>
      </c>
      <c r="I27" s="51" t="n">
        <f aca="false">G27+H27</f>
        <v>1615.6</v>
      </c>
      <c r="J27" s="78" t="n">
        <f aca="false">IF(L27&gt;0,L27,0)</f>
        <v>147.453188807663</v>
      </c>
      <c r="K27" s="51" t="n">
        <f aca="false">I27+J27</f>
        <v>1763.05318880766</v>
      </c>
      <c r="L27" s="51" t="n">
        <f aca="false">F27-(I27-X27)</f>
        <v>147.453188807663</v>
      </c>
      <c r="M27" s="51" t="n">
        <v>218.2</v>
      </c>
      <c r="N27" s="51" t="n">
        <v>0</v>
      </c>
      <c r="O27" s="51" t="n">
        <v>0</v>
      </c>
      <c r="P27" s="6" t="n">
        <f aca="false">M27-(N27+O27)</f>
        <v>218.2</v>
      </c>
      <c r="Q27" s="51" t="n">
        <v>130.1</v>
      </c>
      <c r="R27" s="51" t="n">
        <v>75.7</v>
      </c>
      <c r="S27" s="51" t="n">
        <f aca="false">SUM(P27:R27)</f>
        <v>424</v>
      </c>
      <c r="T27" s="52"/>
      <c r="U27" s="51" t="n">
        <v>109</v>
      </c>
      <c r="V27" s="51" t="n">
        <v>1163</v>
      </c>
      <c r="W27" s="52" t="n">
        <f aca="false">W25</f>
        <v>9838.06999999996</v>
      </c>
      <c r="X27" s="6" t="n">
        <f aca="false">N27+O27+S27+U27+V27</f>
        <v>1696</v>
      </c>
      <c r="Y27" s="51" t="n">
        <f aca="false">IF(L27&lt;0,L27*-1,0)</f>
        <v>0</v>
      </c>
      <c r="Z27" s="51" t="n">
        <f aca="false">X27+Y27</f>
        <v>1696</v>
      </c>
      <c r="AA27" s="53" t="n">
        <v>0</v>
      </c>
      <c r="AB27" s="56" t="n">
        <v>77</v>
      </c>
      <c r="AC27" s="56" t="n">
        <v>47</v>
      </c>
      <c r="AD27" s="57" t="n">
        <f aca="false">AD26+1</f>
        <v>18</v>
      </c>
      <c r="AE27" s="85"/>
      <c r="AF27" s="87"/>
      <c r="AG27" s="86"/>
    </row>
    <row r="28" customFormat="false" ht="11.1" hidden="false" customHeight="true" outlineLevel="0" collapsed="false">
      <c r="A28" s="57" t="n">
        <f aca="false">A27+1</f>
        <v>19</v>
      </c>
      <c r="B28" s="71" t="n">
        <v>6923.5</v>
      </c>
      <c r="C28" s="91" t="n">
        <v>378935</v>
      </c>
      <c r="D28" s="56" t="n">
        <f aca="false">C28-C27</f>
        <v>446</v>
      </c>
      <c r="E28" s="52" t="n">
        <f aca="false">C28-152000</f>
        <v>226935</v>
      </c>
      <c r="F28" s="51" t="n">
        <f aca="false">D28/$D$2</f>
        <v>224.855054197126</v>
      </c>
      <c r="G28" s="51" t="n">
        <v>1491</v>
      </c>
      <c r="H28" s="78" t="n">
        <v>34.2</v>
      </c>
      <c r="I28" s="51" t="n">
        <f aca="false">G28+H28</f>
        <v>1525.2</v>
      </c>
      <c r="J28" s="78" t="n">
        <f aca="false">IF(L28&gt;0,L28,0)</f>
        <v>113.655054197126</v>
      </c>
      <c r="K28" s="51" t="n">
        <f aca="false">I28+J28</f>
        <v>1638.85505419713</v>
      </c>
      <c r="L28" s="51" t="n">
        <f aca="false">F28-(I28-X28)</f>
        <v>113.655054197126</v>
      </c>
      <c r="M28" s="51" t="n">
        <v>226.8</v>
      </c>
      <c r="N28" s="51" t="n">
        <v>0</v>
      </c>
      <c r="O28" s="51" t="n">
        <v>0</v>
      </c>
      <c r="P28" s="6" t="n">
        <f aca="false">M28-(N28+O28)</f>
        <v>226.8</v>
      </c>
      <c r="Q28" s="51" t="n">
        <v>130.4</v>
      </c>
      <c r="R28" s="51" t="n">
        <v>74.8</v>
      </c>
      <c r="S28" s="51" t="n">
        <f aca="false">SUM(P28:R28)</f>
        <v>432</v>
      </c>
      <c r="T28" s="52"/>
      <c r="U28" s="51" t="n">
        <v>101</v>
      </c>
      <c r="V28" s="51" t="n">
        <v>881</v>
      </c>
      <c r="W28" s="52" t="n">
        <f aca="false">W26</f>
        <v>9838.06999999996</v>
      </c>
      <c r="X28" s="6" t="n">
        <f aca="false">N28+O28+S28+U28+V28</f>
        <v>1414</v>
      </c>
      <c r="Y28" s="51" t="n">
        <f aca="false">IF(L28&lt;0,L28*-1,0)</f>
        <v>0</v>
      </c>
      <c r="Z28" s="51" t="n">
        <f aca="false">X28+Y28</f>
        <v>1414</v>
      </c>
      <c r="AA28" s="53" t="n">
        <v>0.16</v>
      </c>
      <c r="AB28" s="56" t="n">
        <v>77</v>
      </c>
      <c r="AC28" s="56" t="n">
        <v>47</v>
      </c>
      <c r="AD28" s="57" t="n">
        <f aca="false">AD27+1</f>
        <v>19</v>
      </c>
      <c r="AE28" s="85"/>
      <c r="AF28" s="87"/>
      <c r="AG28" s="86"/>
    </row>
    <row r="29" customFormat="false" ht="11.1" hidden="false" customHeight="true" outlineLevel="0" collapsed="false">
      <c r="A29" s="57" t="n">
        <f aca="false">A28+1</f>
        <v>20</v>
      </c>
      <c r="B29" s="71" t="n">
        <v>6924</v>
      </c>
      <c r="C29" s="52" t="n">
        <v>381160</v>
      </c>
      <c r="D29" s="56" t="n">
        <f aca="false">C29-C28</f>
        <v>2225</v>
      </c>
      <c r="E29" s="52" t="n">
        <f aca="false">C29-152000</f>
        <v>229160</v>
      </c>
      <c r="F29" s="51" t="n">
        <f aca="false">D29/$D$2</f>
        <v>1121.75447441391</v>
      </c>
      <c r="G29" s="51" t="n">
        <v>1867.5</v>
      </c>
      <c r="H29" s="78" t="n">
        <v>43.7</v>
      </c>
      <c r="I29" s="51" t="n">
        <f aca="false">G29+H29</f>
        <v>1911.2</v>
      </c>
      <c r="J29" s="78" t="n">
        <f aca="false">IF(L29&gt;0,L29,0)</f>
        <v>507.654474413915</v>
      </c>
      <c r="K29" s="51" t="n">
        <f aca="false">I29+J29</f>
        <v>2418.85447441391</v>
      </c>
      <c r="L29" s="51" t="n">
        <f aca="false">F29-(I29-X29)</f>
        <v>507.654474413915</v>
      </c>
      <c r="M29" s="51" t="n">
        <v>243.8</v>
      </c>
      <c r="N29" s="51" t="n">
        <v>0</v>
      </c>
      <c r="O29" s="51" t="n">
        <v>0</v>
      </c>
      <c r="P29" s="6" t="n">
        <f aca="false">M29-(N29+O29)</f>
        <v>243.8</v>
      </c>
      <c r="Q29" s="51" t="n">
        <v>130.5</v>
      </c>
      <c r="R29" s="51" t="n">
        <v>74.8</v>
      </c>
      <c r="S29" s="51" t="n">
        <f aca="false">SUM(P29:R29)</f>
        <v>449.1</v>
      </c>
      <c r="T29" s="52"/>
      <c r="U29" s="51" t="n">
        <v>48</v>
      </c>
      <c r="V29" s="51" t="n">
        <v>800</v>
      </c>
      <c r="W29" s="52" t="n">
        <f aca="false">W27</f>
        <v>9838.06999999996</v>
      </c>
      <c r="X29" s="6" t="n">
        <f aca="false">N29+O29+S29+U29+V29</f>
        <v>1297.1</v>
      </c>
      <c r="Y29" s="51" t="n">
        <f aca="false">IF(L29&lt;0,L29*-1,0)</f>
        <v>0</v>
      </c>
      <c r="Z29" s="51" t="n">
        <f aca="false">X29+Y29</f>
        <v>1297.1</v>
      </c>
      <c r="AA29" s="53" t="n">
        <v>0.45</v>
      </c>
      <c r="AB29" s="56" t="n">
        <v>76</v>
      </c>
      <c r="AC29" s="56" t="n">
        <v>48</v>
      </c>
      <c r="AD29" s="57" t="n">
        <f aca="false">AD28+1</f>
        <v>20</v>
      </c>
      <c r="AE29" s="85"/>
      <c r="AF29" s="87"/>
      <c r="AG29" s="86"/>
    </row>
    <row r="30" customFormat="false" ht="11.1" hidden="false" customHeight="true" outlineLevel="0" collapsed="false">
      <c r="A30" s="57" t="n">
        <f aca="false">A29+1</f>
        <v>21</v>
      </c>
      <c r="B30" s="112" t="n">
        <v>6924.3</v>
      </c>
      <c r="C30" s="52" t="n">
        <v>382505</v>
      </c>
      <c r="D30" s="56" t="n">
        <f aca="false">C30-C29</f>
        <v>1345</v>
      </c>
      <c r="E30" s="52" t="n">
        <f aca="false">C30-152000</f>
        <v>230505</v>
      </c>
      <c r="F30" s="51" t="n">
        <f aca="false">D30/$D$2</f>
        <v>678.094277791782</v>
      </c>
      <c r="G30" s="51" t="n">
        <v>2052.4</v>
      </c>
      <c r="H30" s="78" t="n">
        <v>137.2</v>
      </c>
      <c r="I30" s="51" t="n">
        <f aca="false">G30+H30</f>
        <v>2189.6</v>
      </c>
      <c r="J30" s="78" t="n">
        <f aca="false">IF(L30&gt;0,L30,0)</f>
        <v>167.494277791782</v>
      </c>
      <c r="K30" s="51" t="n">
        <f aca="false">I30+J30</f>
        <v>2357.09427779178</v>
      </c>
      <c r="L30" s="51" t="n">
        <f aca="false">F30-(I30-X30)</f>
        <v>167.494277791782</v>
      </c>
      <c r="M30" s="51" t="n">
        <v>253.2</v>
      </c>
      <c r="N30" s="51" t="n">
        <v>0</v>
      </c>
      <c r="O30" s="51" t="n">
        <v>0</v>
      </c>
      <c r="P30" s="6" t="n">
        <f aca="false">M30-(N30+O30)</f>
        <v>253.2</v>
      </c>
      <c r="Q30" s="51" t="n">
        <v>288.1</v>
      </c>
      <c r="R30" s="51" t="n">
        <v>73.7</v>
      </c>
      <c r="S30" s="51" t="n">
        <f aca="false">SUM(P30:R30)</f>
        <v>615</v>
      </c>
      <c r="T30" s="52"/>
      <c r="U30" s="51" t="n">
        <v>11</v>
      </c>
      <c r="V30" s="51" t="n">
        <v>1053</v>
      </c>
      <c r="W30" s="52" t="n">
        <f aca="false">W28</f>
        <v>9838.06999999996</v>
      </c>
      <c r="X30" s="6" t="n">
        <f aca="false">N30+O30+S30+U30+V30</f>
        <v>1679</v>
      </c>
      <c r="Y30" s="51" t="n">
        <f aca="false">IF(L30&lt;0,L30*-1,0)</f>
        <v>0</v>
      </c>
      <c r="Z30" s="51" t="n">
        <f aca="false">X30+Y30</f>
        <v>1679</v>
      </c>
      <c r="AA30" s="53" t="n">
        <v>0.2</v>
      </c>
      <c r="AB30" s="56" t="n">
        <v>61</v>
      </c>
      <c r="AC30" s="56" t="n">
        <v>44</v>
      </c>
      <c r="AD30" s="57" t="n">
        <f aca="false">AD29+1</f>
        <v>21</v>
      </c>
      <c r="AE30" s="85"/>
      <c r="AF30" s="87"/>
      <c r="AG30" s="86"/>
    </row>
    <row r="31" customFormat="false" ht="11.1" hidden="false" customHeight="true" outlineLevel="0" collapsed="false">
      <c r="A31" s="57" t="n">
        <f aca="false">A30+1</f>
        <v>22</v>
      </c>
      <c r="B31" s="71" t="n">
        <v>6924.3</v>
      </c>
      <c r="C31" s="52" t="n">
        <v>382505</v>
      </c>
      <c r="D31" s="56" t="n">
        <f aca="false">C31-C30</f>
        <v>0</v>
      </c>
      <c r="E31" s="52" t="n">
        <f aca="false">C31-152000</f>
        <v>230505</v>
      </c>
      <c r="F31" s="51" t="n">
        <f aca="false">D31/$D$2</f>
        <v>0</v>
      </c>
      <c r="G31" s="51" t="n">
        <v>1911.7</v>
      </c>
      <c r="H31" s="78" t="n">
        <v>87.5</v>
      </c>
      <c r="I31" s="51" t="n">
        <f aca="false">G31+H31</f>
        <v>1999.2</v>
      </c>
      <c r="J31" s="78" t="n">
        <f aca="false">IF(L31&gt;0,L31,0)</f>
        <v>65.4999999999998</v>
      </c>
      <c r="K31" s="51" t="n">
        <f aca="false">I31+J31</f>
        <v>2064.7</v>
      </c>
      <c r="L31" s="51" t="n">
        <f aca="false">F31-(I31-X31)</f>
        <v>65.4999999999998</v>
      </c>
      <c r="M31" s="51" t="n">
        <v>236.6</v>
      </c>
      <c r="N31" s="51" t="n">
        <v>0</v>
      </c>
      <c r="O31" s="51" t="n">
        <v>0</v>
      </c>
      <c r="P31" s="6" t="n">
        <f aca="false">M31-(N31+O31)</f>
        <v>236.6</v>
      </c>
      <c r="Q31" s="51" t="n">
        <v>295.5</v>
      </c>
      <c r="R31" s="51" t="n">
        <v>76</v>
      </c>
      <c r="S31" s="98" t="n">
        <f aca="false">SUM(P31:R31)</f>
        <v>608.1</v>
      </c>
      <c r="T31" s="52"/>
      <c r="U31" s="51" t="n">
        <v>6.6</v>
      </c>
      <c r="V31" s="51" t="n">
        <v>1450</v>
      </c>
      <c r="W31" s="52" t="n">
        <f aca="false">W29</f>
        <v>9838.06999999996</v>
      </c>
      <c r="X31" s="6" t="n">
        <f aca="false">N31+O31+S31+U31+V31</f>
        <v>2064.7</v>
      </c>
      <c r="Y31" s="51" t="n">
        <f aca="false">IF(L31&lt;0,L31*-1,0)</f>
        <v>0</v>
      </c>
      <c r="Z31" s="51" t="n">
        <f aca="false">X31+Y31</f>
        <v>2064.7</v>
      </c>
      <c r="AA31" s="53" t="n">
        <v>0.38</v>
      </c>
      <c r="AB31" s="56" t="n">
        <v>65</v>
      </c>
      <c r="AC31" s="56" t="n">
        <v>39</v>
      </c>
      <c r="AD31" s="57" t="n">
        <f aca="false">AD30+1</f>
        <v>22</v>
      </c>
      <c r="AE31" s="85"/>
      <c r="AF31" s="87"/>
      <c r="AG31" s="86"/>
    </row>
    <row r="32" customFormat="false" ht="11.1" hidden="false" customHeight="true" outlineLevel="0" collapsed="false">
      <c r="A32" s="57" t="n">
        <f aca="false">A31+1</f>
        <v>23</v>
      </c>
      <c r="B32" s="71" t="n">
        <v>6924.31</v>
      </c>
      <c r="C32" s="52" t="n">
        <v>382551</v>
      </c>
      <c r="D32" s="56" t="n">
        <f aca="false">C32-C31</f>
        <v>46</v>
      </c>
      <c r="E32" s="52" t="n">
        <f aca="false">C32-152000</f>
        <v>230551</v>
      </c>
      <c r="F32" s="51" t="n">
        <f aca="false">D32/$D$2</f>
        <v>23.1913284597933</v>
      </c>
      <c r="G32" s="51" t="n">
        <v>1674.2</v>
      </c>
      <c r="H32" s="78" t="n">
        <v>57.4</v>
      </c>
      <c r="I32" s="51" t="n">
        <f aca="false">G32+H32</f>
        <v>1731.6</v>
      </c>
      <c r="J32" s="78" t="n">
        <f aca="false">IF(L32&gt;0,L32,0)</f>
        <v>437.691328459793</v>
      </c>
      <c r="K32" s="51" t="n">
        <f aca="false">I32+J32</f>
        <v>2169.29132845979</v>
      </c>
      <c r="L32" s="51" t="n">
        <f aca="false">F32-(I32-X32)</f>
        <v>437.691328459793</v>
      </c>
      <c r="M32" s="51" t="n">
        <v>155.6</v>
      </c>
      <c r="N32" s="51" t="n">
        <v>0</v>
      </c>
      <c r="O32" s="51" t="n">
        <v>0</v>
      </c>
      <c r="P32" s="6" t="n">
        <f aca="false">M32-(N32+O32)</f>
        <v>155.6</v>
      </c>
      <c r="Q32" s="51" t="n">
        <v>249.6</v>
      </c>
      <c r="R32" s="51" t="n">
        <v>118.9</v>
      </c>
      <c r="S32" s="51" t="n">
        <f aca="false">SUM(P32:R32)</f>
        <v>524.1</v>
      </c>
      <c r="T32" s="52"/>
      <c r="U32" s="51" t="n">
        <v>22</v>
      </c>
      <c r="V32" s="51" t="n">
        <v>1600</v>
      </c>
      <c r="W32" s="52" t="n">
        <f aca="false">W30</f>
        <v>9838.06999999996</v>
      </c>
      <c r="X32" s="6" t="n">
        <f aca="false">N32+O32+S32+U32+V32</f>
        <v>2146.1</v>
      </c>
      <c r="Y32" s="51" t="n">
        <f aca="false">IF(L32&lt;0,L32*-1,0)</f>
        <v>0</v>
      </c>
      <c r="Z32" s="51" t="n">
        <f aca="false">X32+Y32</f>
        <v>2146.1</v>
      </c>
      <c r="AA32" s="53" t="n">
        <v>0.67</v>
      </c>
      <c r="AB32" s="56" t="n">
        <v>63</v>
      </c>
      <c r="AC32" s="56" t="n">
        <v>40</v>
      </c>
      <c r="AD32" s="57" t="n">
        <f aca="false">AD31+1</f>
        <v>23</v>
      </c>
      <c r="AE32" s="85"/>
      <c r="AF32" s="87"/>
      <c r="AG32" s="86"/>
    </row>
    <row r="33" customFormat="false" ht="11.1" hidden="false" customHeight="true" outlineLevel="0" collapsed="false">
      <c r="A33" s="57" t="n">
        <f aca="false">A32+1</f>
        <v>24</v>
      </c>
      <c r="B33" s="71" t="n">
        <v>6924.35</v>
      </c>
      <c r="C33" s="52" t="n">
        <v>382731</v>
      </c>
      <c r="D33" s="56" t="n">
        <f aca="false">C33-C32</f>
        <v>180</v>
      </c>
      <c r="E33" s="52" t="n">
        <f aca="false">C33-152000</f>
        <v>230731</v>
      </c>
      <c r="F33" s="51" t="n">
        <f aca="false">D33/$D$2</f>
        <v>90.7486765817998</v>
      </c>
      <c r="G33" s="51" t="n">
        <v>1905.2</v>
      </c>
      <c r="H33" s="78" t="n">
        <v>110.4</v>
      </c>
      <c r="I33" s="51" t="n">
        <f aca="false">G33+H33</f>
        <v>2015.6</v>
      </c>
      <c r="J33" s="78" t="n">
        <f aca="false">IF(L33&gt;0,L33,0)</f>
        <v>353.1486765818</v>
      </c>
      <c r="K33" s="51" t="n">
        <f aca="false">I33+J33</f>
        <v>2368.7486765818</v>
      </c>
      <c r="L33" s="51" t="n">
        <f aca="false">F33-(I33-X33)</f>
        <v>353.1486765818</v>
      </c>
      <c r="M33" s="51" t="n">
        <v>113.6</v>
      </c>
      <c r="N33" s="51" t="n">
        <v>0</v>
      </c>
      <c r="O33" s="51" t="n">
        <v>0</v>
      </c>
      <c r="P33" s="6" t="n">
        <f aca="false">M33-(N33+O33)</f>
        <v>113.6</v>
      </c>
      <c r="Q33" s="51" t="n">
        <v>251</v>
      </c>
      <c r="R33" s="51" t="n">
        <v>63.4</v>
      </c>
      <c r="S33" s="51" t="n">
        <f aca="false">SUM(P33:R33)</f>
        <v>428</v>
      </c>
      <c r="T33" s="52"/>
      <c r="U33" s="51" t="n">
        <v>0</v>
      </c>
      <c r="V33" s="51" t="n">
        <v>1850</v>
      </c>
      <c r="W33" s="52" t="n">
        <f aca="false">W31</f>
        <v>9838.06999999996</v>
      </c>
      <c r="X33" s="6" t="n">
        <f aca="false">N33+O33+S33+U33+V33</f>
        <v>2278</v>
      </c>
      <c r="Y33" s="51" t="n">
        <f aca="false">IF(L33&lt;0,L33*-1,0)</f>
        <v>0</v>
      </c>
      <c r="Z33" s="51" t="n">
        <f aca="false">X33+Y33</f>
        <v>2278</v>
      </c>
      <c r="AA33" s="53" t="n">
        <v>0.07</v>
      </c>
      <c r="AB33" s="56" t="n">
        <v>59</v>
      </c>
      <c r="AC33" s="56" t="n">
        <v>44</v>
      </c>
      <c r="AD33" s="57" t="n">
        <f aca="false">AD32+1</f>
        <v>24</v>
      </c>
      <c r="AE33" s="85"/>
      <c r="AF33" s="87"/>
      <c r="AG33" s="86"/>
    </row>
    <row r="34" customFormat="false" ht="11.1" hidden="false" customHeight="true" outlineLevel="0" collapsed="false">
      <c r="A34" s="57" t="n">
        <f aca="false">A33+1</f>
        <v>25</v>
      </c>
      <c r="B34" s="71" t="n">
        <v>6924.38</v>
      </c>
      <c r="C34" s="52" t="n">
        <v>382864</v>
      </c>
      <c r="D34" s="56" t="n">
        <f aca="false">C34-C33</f>
        <v>133</v>
      </c>
      <c r="E34" s="52" t="n">
        <f aca="false">C34-152000</f>
        <v>230864</v>
      </c>
      <c r="F34" s="51" t="n">
        <f aca="false">D34/$D$2</f>
        <v>67.0531888076632</v>
      </c>
      <c r="G34" s="51" t="n">
        <v>1968</v>
      </c>
      <c r="H34" s="78" t="n">
        <v>112.5</v>
      </c>
      <c r="I34" s="51" t="n">
        <f aca="false">G34+H34</f>
        <v>2080.5</v>
      </c>
      <c r="J34" s="78" t="n">
        <f aca="false">IF(L34&gt;0,L34,0)</f>
        <v>441.653188807663</v>
      </c>
      <c r="K34" s="51" t="n">
        <f aca="false">I34+J34</f>
        <v>2522.15318880766</v>
      </c>
      <c r="L34" s="51" t="n">
        <f aca="false">F34-(I34-X34)</f>
        <v>441.653188807663</v>
      </c>
      <c r="M34" s="51" t="n">
        <v>125.4</v>
      </c>
      <c r="N34" s="51" t="n">
        <v>0</v>
      </c>
      <c r="O34" s="51" t="n">
        <v>0</v>
      </c>
      <c r="P34" s="6" t="n">
        <f aca="false">M34-(N34+O34)</f>
        <v>125.4</v>
      </c>
      <c r="Q34" s="51" t="n">
        <v>251.5</v>
      </c>
      <c r="R34" s="51" t="n">
        <v>57.2</v>
      </c>
      <c r="S34" s="51" t="n">
        <f aca="false">SUM(P34:R34)</f>
        <v>434.1</v>
      </c>
      <c r="T34" s="52"/>
      <c r="U34" s="51" t="n">
        <v>21</v>
      </c>
      <c r="V34" s="51" t="n">
        <v>2000</v>
      </c>
      <c r="W34" s="52" t="n">
        <f aca="false">W32</f>
        <v>9838.06999999996</v>
      </c>
      <c r="X34" s="6" t="n">
        <f aca="false">N34+O34+S34+U34+V34</f>
        <v>2455.1</v>
      </c>
      <c r="Y34" s="51" t="n">
        <f aca="false">IF(L34&lt;0,L34*-1,0)</f>
        <v>0</v>
      </c>
      <c r="Z34" s="51" t="n">
        <f aca="false">X34+Y34</f>
        <v>2455.1</v>
      </c>
      <c r="AA34" s="53" t="n">
        <v>0.08</v>
      </c>
      <c r="AB34" s="56" t="n">
        <v>62</v>
      </c>
      <c r="AC34" s="56" t="n">
        <v>40</v>
      </c>
      <c r="AD34" s="57" t="n">
        <f aca="false">AD33+1</f>
        <v>25</v>
      </c>
      <c r="AE34" s="85"/>
      <c r="AF34" s="87"/>
      <c r="AG34" s="86"/>
    </row>
    <row r="35" customFormat="false" ht="11.1" hidden="false" customHeight="true" outlineLevel="0" collapsed="false">
      <c r="A35" s="57" t="n">
        <f aca="false">A34+1</f>
        <v>26</v>
      </c>
      <c r="B35" s="71" t="n">
        <v>6924.35</v>
      </c>
      <c r="C35" s="52" t="n">
        <v>382731</v>
      </c>
      <c r="D35" s="56" t="n">
        <f aca="false">C35-C34</f>
        <v>-133</v>
      </c>
      <c r="E35" s="52" t="n">
        <f aca="false">C35-152000</f>
        <v>230731</v>
      </c>
      <c r="F35" s="51" t="n">
        <f aca="false">D35/$D$2</f>
        <v>-67.0531888076632</v>
      </c>
      <c r="G35" s="51" t="n">
        <v>2056.2</v>
      </c>
      <c r="H35" s="78" t="n">
        <v>188.8</v>
      </c>
      <c r="I35" s="51" t="n">
        <f aca="false">G35+H35</f>
        <v>2245</v>
      </c>
      <c r="J35" s="78" t="n">
        <f aca="false">IF(L35&gt;0,L35,0)</f>
        <v>382.646811192337</v>
      </c>
      <c r="K35" s="51" t="n">
        <f aca="false">I35+J35</f>
        <v>2627.64681119234</v>
      </c>
      <c r="L35" s="51" t="n">
        <f aca="false">F35-(I35-X35)</f>
        <v>382.646811192337</v>
      </c>
      <c r="M35" s="51" t="n">
        <v>129.1</v>
      </c>
      <c r="N35" s="51" t="n">
        <v>0</v>
      </c>
      <c r="O35" s="51" t="n">
        <v>0</v>
      </c>
      <c r="P35" s="6" t="n">
        <f aca="false">M35-(N35+O35)</f>
        <v>129.1</v>
      </c>
      <c r="Q35" s="51" t="n">
        <v>251.6</v>
      </c>
      <c r="R35" s="51" t="n">
        <v>56.4</v>
      </c>
      <c r="S35" s="51" t="n">
        <f aca="false">SUM(P35:R35)</f>
        <v>437.1</v>
      </c>
      <c r="T35" s="52"/>
      <c r="U35" s="51" t="n">
        <v>6.6</v>
      </c>
      <c r="V35" s="51" t="n">
        <v>2251</v>
      </c>
      <c r="W35" s="52" t="n">
        <f aca="false">W33</f>
        <v>9838.06999999996</v>
      </c>
      <c r="X35" s="6" t="n">
        <f aca="false">N35+O35+S35+U35+V35</f>
        <v>2694.7</v>
      </c>
      <c r="Y35" s="51" t="n">
        <f aca="false">IF(L35&lt;0,L35*-1,0)</f>
        <v>0</v>
      </c>
      <c r="Z35" s="51" t="n">
        <f aca="false">X35+Y35</f>
        <v>2694.7</v>
      </c>
      <c r="AA35" s="53" t="n">
        <v>0.34</v>
      </c>
      <c r="AB35" s="56" t="n">
        <v>65</v>
      </c>
      <c r="AC35" s="56" t="n">
        <v>43</v>
      </c>
      <c r="AD35" s="57" t="n">
        <f aca="false">AD34+1</f>
        <v>26</v>
      </c>
      <c r="AE35" s="85"/>
      <c r="AF35" s="87"/>
      <c r="AG35" s="86"/>
    </row>
    <row r="36" customFormat="false" ht="11.1" hidden="false" customHeight="true" outlineLevel="0" collapsed="false">
      <c r="A36" s="57" t="n">
        <f aca="false">A35+1</f>
        <v>27</v>
      </c>
      <c r="B36" s="71" t="n">
        <v>6824.31</v>
      </c>
      <c r="C36" s="52" t="n">
        <v>382551</v>
      </c>
      <c r="D36" s="56" t="n">
        <f aca="false">C36-C35</f>
        <v>-180</v>
      </c>
      <c r="E36" s="52" t="n">
        <f aca="false">C36-152000</f>
        <v>230551</v>
      </c>
      <c r="F36" s="51" t="n">
        <f aca="false">D36/$D$2</f>
        <v>-90.7486765817998</v>
      </c>
      <c r="G36" s="51" t="n">
        <v>2130.8</v>
      </c>
      <c r="H36" s="78" t="n">
        <v>264.1</v>
      </c>
      <c r="I36" s="51" t="n">
        <f aca="false">G36+H36</f>
        <v>2394.9</v>
      </c>
      <c r="J36" s="78" t="n">
        <f aca="false">IF(L36&gt;0,L36,0)</f>
        <v>677.8513234182</v>
      </c>
      <c r="K36" s="51" t="n">
        <f aca="false">I36+J36</f>
        <v>3072.7513234182</v>
      </c>
      <c r="L36" s="51" t="n">
        <f aca="false">F36-(I36-X36)</f>
        <v>677.8513234182</v>
      </c>
      <c r="M36" s="51" t="n">
        <v>113.2</v>
      </c>
      <c r="N36" s="51" t="n">
        <v>0</v>
      </c>
      <c r="O36" s="51" t="n">
        <v>0</v>
      </c>
      <c r="P36" s="6" t="n">
        <f aca="false">M36-(N36+O36)</f>
        <v>113.2</v>
      </c>
      <c r="Q36" s="51" t="n">
        <v>148.4</v>
      </c>
      <c r="R36" s="51" t="n">
        <v>54.4</v>
      </c>
      <c r="S36" s="51" t="n">
        <f aca="false">SUM(P36:R36)</f>
        <v>316</v>
      </c>
      <c r="T36" s="52"/>
      <c r="U36" s="51" t="n">
        <v>3.5</v>
      </c>
      <c r="V36" s="51" t="n">
        <v>2844</v>
      </c>
      <c r="W36" s="52" t="n">
        <f aca="false">W34</f>
        <v>9838.06999999996</v>
      </c>
      <c r="X36" s="6" t="n">
        <f aca="false">N36+O36+S36+U36+V36</f>
        <v>3163.5</v>
      </c>
      <c r="Y36" s="51" t="n">
        <f aca="false">IF(L36&lt;0,L36*-1,0)</f>
        <v>0</v>
      </c>
      <c r="Z36" s="51" t="n">
        <f aca="false">X36+Y36</f>
        <v>3163.5</v>
      </c>
      <c r="AA36" s="53" t="n">
        <v>0.12</v>
      </c>
      <c r="AB36" s="56" t="n">
        <v>61</v>
      </c>
      <c r="AC36" s="56" t="n">
        <v>45</v>
      </c>
      <c r="AD36" s="57" t="n">
        <f aca="false">AD35+1</f>
        <v>27</v>
      </c>
      <c r="AE36" s="85"/>
      <c r="AF36" s="87"/>
      <c r="AG36" s="86"/>
    </row>
    <row r="37" customFormat="false" ht="11.1" hidden="false" customHeight="true" outlineLevel="0" collapsed="false">
      <c r="A37" s="57" t="n">
        <v>28</v>
      </c>
      <c r="B37" s="71" t="n">
        <v>3924.02</v>
      </c>
      <c r="C37" s="52" t="n">
        <v>381250</v>
      </c>
      <c r="D37" s="56" t="n">
        <f aca="false">C37-C36</f>
        <v>-1301</v>
      </c>
      <c r="E37" s="52" t="n">
        <f aca="false">C37-152000</f>
        <v>229250</v>
      </c>
      <c r="F37" s="51" t="n">
        <f aca="false">D37/$D$2</f>
        <v>-655.911267960676</v>
      </c>
      <c r="G37" s="51" t="n">
        <v>2141.5</v>
      </c>
      <c r="H37" s="78" t="n">
        <v>171.7</v>
      </c>
      <c r="I37" s="51" t="n">
        <f aca="false">G37+H37</f>
        <v>2313.2</v>
      </c>
      <c r="J37" s="78" t="n">
        <f aca="false">IF(L37&gt;0,L37,0)</f>
        <v>283.788732039325</v>
      </c>
      <c r="K37" s="51" t="n">
        <f aca="false">I37+J37</f>
        <v>2596.98873203932</v>
      </c>
      <c r="L37" s="51" t="n">
        <f aca="false">F37-(I37-X37)</f>
        <v>283.788732039325</v>
      </c>
      <c r="M37" s="51" t="n">
        <v>103.1</v>
      </c>
      <c r="N37" s="51" t="n">
        <v>0</v>
      </c>
      <c r="O37" s="51" t="n">
        <v>0</v>
      </c>
      <c r="P37" s="6" t="n">
        <f aca="false">M37-(N37+O37)</f>
        <v>103.1</v>
      </c>
      <c r="Q37" s="51" t="n">
        <v>78.2</v>
      </c>
      <c r="R37" s="51" t="n">
        <v>51.6</v>
      </c>
      <c r="S37" s="51" t="n">
        <f aca="false">SUM(P37:R37)</f>
        <v>232.9</v>
      </c>
      <c r="T37" s="52"/>
      <c r="U37" s="51" t="n">
        <v>11</v>
      </c>
      <c r="V37" s="51" t="n">
        <v>3009</v>
      </c>
      <c r="W37" s="52" t="n">
        <f aca="false">W35</f>
        <v>9838.06999999996</v>
      </c>
      <c r="X37" s="6" t="n">
        <f aca="false">N37+O37+S37+U37+V37</f>
        <v>3252.9</v>
      </c>
      <c r="Y37" s="51" t="n">
        <f aca="false">IF(L37&lt;0,L37*-1,0)</f>
        <v>0</v>
      </c>
      <c r="Z37" s="51" t="n">
        <f aca="false">X37+Y37</f>
        <v>3252.9</v>
      </c>
      <c r="AA37" s="53" t="n">
        <v>0</v>
      </c>
      <c r="AB37" s="56" t="n">
        <v>65</v>
      </c>
      <c r="AC37" s="56" t="n">
        <v>38</v>
      </c>
      <c r="AD37" s="57" t="n">
        <v>28</v>
      </c>
      <c r="AE37" s="85"/>
      <c r="AF37" s="87"/>
      <c r="AG37" s="86"/>
    </row>
    <row r="38" customFormat="false" ht="11.1" hidden="false" customHeight="true" outlineLevel="0" collapsed="false">
      <c r="A38" s="57" t="n">
        <v>29</v>
      </c>
      <c r="B38" s="71" t="n">
        <v>6924.01</v>
      </c>
      <c r="C38" s="52" t="n">
        <v>381204</v>
      </c>
      <c r="D38" s="56" t="n">
        <f aca="false">C38-C37</f>
        <v>-46</v>
      </c>
      <c r="E38" s="52" t="n">
        <f aca="false">C38-152000</f>
        <v>229204</v>
      </c>
      <c r="F38" s="51" t="n">
        <f aca="false">D38/$D$2</f>
        <v>-23.1913284597933</v>
      </c>
      <c r="G38" s="51" t="n">
        <v>1904.5</v>
      </c>
      <c r="H38" s="78" t="n">
        <v>69</v>
      </c>
      <c r="I38" s="51" t="n">
        <f aca="false">G38+H38</f>
        <v>1973.5</v>
      </c>
      <c r="J38" s="78" t="n">
        <f aca="false">IF(L38&gt;0,L38,0)</f>
        <v>541.808671540207</v>
      </c>
      <c r="K38" s="51" t="n">
        <f aca="false">I38+J38</f>
        <v>2515.30867154021</v>
      </c>
      <c r="L38" s="51" t="n">
        <f aca="false">F38-(I38-X38)</f>
        <v>541.808671540207</v>
      </c>
      <c r="M38" s="51" t="n">
        <v>105</v>
      </c>
      <c r="N38" s="51" t="n">
        <v>0</v>
      </c>
      <c r="O38" s="51" t="n">
        <v>0</v>
      </c>
      <c r="P38" s="6" t="n">
        <f aca="false">M38-(N38+O38)</f>
        <v>105</v>
      </c>
      <c r="Q38" s="51" t="n">
        <v>78.1</v>
      </c>
      <c r="R38" s="51" t="n">
        <v>49.9</v>
      </c>
      <c r="S38" s="51" t="n">
        <f aca="false">SUM(P38:R38)</f>
        <v>233</v>
      </c>
      <c r="T38" s="52"/>
      <c r="U38" s="51" t="n">
        <v>2.5</v>
      </c>
      <c r="V38" s="51" t="n">
        <v>2303</v>
      </c>
      <c r="W38" s="52" t="n">
        <f aca="false">W36</f>
        <v>9838.06999999996</v>
      </c>
      <c r="X38" s="6" t="n">
        <f aca="false">N38+O38+S38+U38+V38</f>
        <v>2538.5</v>
      </c>
      <c r="Y38" s="51" t="n">
        <f aca="false">IF(L38&lt;0,L38*-1,0)</f>
        <v>0</v>
      </c>
      <c r="Z38" s="51" t="n">
        <f aca="false">X38+Y38</f>
        <v>2538.5</v>
      </c>
      <c r="AA38" s="53" t="n">
        <v>0.08</v>
      </c>
      <c r="AB38" s="56" t="n">
        <v>62</v>
      </c>
      <c r="AC38" s="56" t="n">
        <v>41</v>
      </c>
      <c r="AD38" s="57" t="n">
        <v>29</v>
      </c>
      <c r="AE38" s="85"/>
      <c r="AF38" s="87"/>
      <c r="AG38" s="86"/>
    </row>
    <row r="39" customFormat="false" ht="11.1" hidden="false" customHeight="true" outlineLevel="0" collapsed="false">
      <c r="A39" s="57" t="n">
        <v>30</v>
      </c>
      <c r="B39" s="71" t="n">
        <v>6923.98</v>
      </c>
      <c r="C39" s="52" t="n">
        <v>381071</v>
      </c>
      <c r="D39" s="56" t="n">
        <f aca="false">C39-C38</f>
        <v>-133</v>
      </c>
      <c r="E39" s="52" t="n">
        <f aca="false">C39-152000</f>
        <v>229071</v>
      </c>
      <c r="F39" s="51" t="n">
        <f aca="false">D39/$D$2</f>
        <v>-67.0531888076632</v>
      </c>
      <c r="G39" s="51" t="n">
        <v>1737.5</v>
      </c>
      <c r="H39" s="78" t="n">
        <v>83.1</v>
      </c>
      <c r="I39" s="51" t="n">
        <f aca="false">G39+H39</f>
        <v>1820.6</v>
      </c>
      <c r="J39" s="78" t="n">
        <f aca="false">IF(L39&gt;0,L39,0)</f>
        <v>259.446811192337</v>
      </c>
      <c r="K39" s="51" t="n">
        <f aca="false">I39+J39</f>
        <v>2080.04681119234</v>
      </c>
      <c r="L39" s="51" t="n">
        <f aca="false">F39-(I39-X39)</f>
        <v>259.446811192337</v>
      </c>
      <c r="M39" s="51" t="n">
        <v>105</v>
      </c>
      <c r="N39" s="51" t="n">
        <v>0</v>
      </c>
      <c r="O39" s="51" t="n">
        <v>0</v>
      </c>
      <c r="P39" s="6" t="n">
        <f aca="false">M39-(N39+O39)</f>
        <v>105</v>
      </c>
      <c r="Q39" s="51" t="n">
        <v>78.3</v>
      </c>
      <c r="R39" s="51" t="n">
        <v>50.8</v>
      </c>
      <c r="S39" s="51" t="n">
        <f aca="false">SUM(P39:R39)</f>
        <v>234.1</v>
      </c>
      <c r="T39" s="52"/>
      <c r="U39" s="51" t="n">
        <v>4</v>
      </c>
      <c r="V39" s="51" t="n">
        <v>1909</v>
      </c>
      <c r="W39" s="52" t="n">
        <f aca="false">W37</f>
        <v>9838.06999999996</v>
      </c>
      <c r="X39" s="6" t="n">
        <f aca="false">N39+O39+S39+U39+V39</f>
        <v>2147.1</v>
      </c>
      <c r="Y39" s="51" t="n">
        <f aca="false">IF(L39&lt;0,L39*-1,0)</f>
        <v>0</v>
      </c>
      <c r="Z39" s="51" t="n">
        <f aca="false">X39+Y39</f>
        <v>2147.1</v>
      </c>
      <c r="AA39" s="53" t="n">
        <v>0.03</v>
      </c>
      <c r="AB39" s="56" t="n">
        <v>66</v>
      </c>
      <c r="AC39" s="56" t="n">
        <v>38</v>
      </c>
      <c r="AD39" s="57" t="n">
        <v>30</v>
      </c>
      <c r="AE39" s="85"/>
      <c r="AF39" s="87"/>
      <c r="AG39" s="86"/>
    </row>
    <row r="40" customFormat="false" ht="11.1" hidden="false" customHeight="true" outlineLevel="0" collapsed="false">
      <c r="A40" s="57" t="n">
        <v>31</v>
      </c>
      <c r="B40" s="71" t="n">
        <v>6923.86</v>
      </c>
      <c r="C40" s="52" t="n">
        <v>380537</v>
      </c>
      <c r="D40" s="56" t="n">
        <f aca="false">C40-C39</f>
        <v>-534</v>
      </c>
      <c r="E40" s="52" t="n">
        <f aca="false">C40-152000</f>
        <v>228537</v>
      </c>
      <c r="F40" s="51" t="n">
        <f aca="false">D40/$D$2</f>
        <v>-269.221073859339</v>
      </c>
      <c r="G40" s="51" t="n">
        <v>1515.8</v>
      </c>
      <c r="H40" s="78" t="n">
        <v>55.8</v>
      </c>
      <c r="I40" s="51" t="n">
        <f aca="false">G40+H40</f>
        <v>1571.6</v>
      </c>
      <c r="J40" s="78" t="n">
        <f aca="false">IF(L40&gt;0,L40,0)</f>
        <v>79.6789261406606</v>
      </c>
      <c r="K40" s="51" t="n">
        <f aca="false">I40+J40</f>
        <v>1651.27892614066</v>
      </c>
      <c r="L40" s="51" t="n">
        <f aca="false">F40-(I40-X40)</f>
        <v>79.6789261406606</v>
      </c>
      <c r="M40" s="51" t="n">
        <v>104.6</v>
      </c>
      <c r="N40" s="51" t="n">
        <v>0</v>
      </c>
      <c r="O40" s="51" t="n">
        <v>0</v>
      </c>
      <c r="P40" s="6" t="n">
        <f aca="false">M40-(N40+O40)</f>
        <v>104.6</v>
      </c>
      <c r="Q40" s="51" t="n">
        <v>78.2</v>
      </c>
      <c r="R40" s="51" t="n">
        <v>50.2</v>
      </c>
      <c r="S40" s="51" t="n">
        <f aca="false">SUM(P40:R40)</f>
        <v>233</v>
      </c>
      <c r="T40" s="52"/>
      <c r="U40" s="51" t="n">
        <v>4.5</v>
      </c>
      <c r="V40" s="51" t="n">
        <v>1683</v>
      </c>
      <c r="W40" s="52" t="n">
        <f aca="false">W38</f>
        <v>9838.06999999996</v>
      </c>
      <c r="X40" s="6" t="n">
        <f aca="false">N40+O40+S40+U40+V40</f>
        <v>1920.5</v>
      </c>
      <c r="Y40" s="51" t="n">
        <f aca="false">IF(L40&lt;0,L40*-1,0)</f>
        <v>0</v>
      </c>
      <c r="Z40" s="51" t="n">
        <f aca="false">X40+Y40</f>
        <v>1920.5</v>
      </c>
      <c r="AA40" s="53" t="n">
        <v>0</v>
      </c>
      <c r="AB40" s="56" t="n">
        <v>68</v>
      </c>
      <c r="AC40" s="56" t="n">
        <v>41</v>
      </c>
      <c r="AD40" s="57" t="n">
        <v>31</v>
      </c>
      <c r="AE40" s="85"/>
      <c r="AF40" s="87"/>
      <c r="AG40" s="86"/>
    </row>
    <row r="41" customFormat="false" ht="3" hidden="false" customHeight="true" outlineLevel="0" collapsed="false">
      <c r="A41" s="72"/>
      <c r="B41" s="72"/>
      <c r="C41" s="74"/>
      <c r="D41" s="72"/>
      <c r="E41" s="74"/>
      <c r="F41" s="72"/>
      <c r="G41" s="72"/>
      <c r="H41" s="111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4"/>
      <c r="U41" s="72"/>
      <c r="V41" s="72"/>
      <c r="W41" s="72"/>
      <c r="X41" s="72"/>
      <c r="Y41" s="72"/>
      <c r="Z41" s="72"/>
      <c r="AA41" s="75"/>
      <c r="AB41" s="76"/>
      <c r="AC41" s="76"/>
      <c r="AD41" s="77"/>
      <c r="AE41" s="85"/>
      <c r="AF41" s="85"/>
      <c r="AG41" s="86"/>
    </row>
    <row r="42" customFormat="false" ht="11.1" hidden="false" customHeight="true" outlineLevel="0" collapsed="false">
      <c r="A42" s="51" t="s">
        <v>46</v>
      </c>
      <c r="B42" s="51"/>
      <c r="C42" s="52"/>
      <c r="D42" s="52"/>
      <c r="E42" s="52"/>
      <c r="F42" s="52" t="n">
        <f aca="false">SUM(F10:F40)</f>
        <v>7414.16687673305</v>
      </c>
      <c r="G42" s="52" t="n">
        <f aca="false">SUM(G10:G40)</f>
        <v>55135.6</v>
      </c>
      <c r="H42" s="78" t="n">
        <f aca="false">SUM(H10:H40)</f>
        <v>3655.4</v>
      </c>
      <c r="I42" s="52" t="n">
        <f aca="false">SUM(I10:I40)</f>
        <v>58791</v>
      </c>
      <c r="J42" s="52" t="n">
        <f aca="false">SUM(J10:J40)</f>
        <v>6876.78810184018</v>
      </c>
      <c r="K42" s="52" t="n">
        <f aca="false">SUM(K10:K40)</f>
        <v>65667.7881018402</v>
      </c>
      <c r="L42" s="52" t="n">
        <f aca="false">SUM(L10:L40)</f>
        <v>6795.16687673305</v>
      </c>
      <c r="M42" s="52" t="n">
        <f aca="false">SUM(M10:M40)</f>
        <v>5768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5768</v>
      </c>
      <c r="Q42" s="52" t="n">
        <f aca="false">SUM(Q10:Q40)</f>
        <v>4672.6</v>
      </c>
      <c r="R42" s="52" t="n">
        <f aca="false">SUM(R10:R40)</f>
        <v>2130</v>
      </c>
      <c r="S42" s="52" t="n">
        <f aca="false">SUM(S10:S40)</f>
        <v>12570.6</v>
      </c>
      <c r="T42" s="52"/>
      <c r="U42" s="52" t="n">
        <f aca="false">SUM(U10:U40)</f>
        <v>1642.4</v>
      </c>
      <c r="V42" s="52" t="n">
        <f aca="false">SUM(V10:V40)</f>
        <v>43959</v>
      </c>
      <c r="W42" s="52"/>
      <c r="X42" s="52" t="n">
        <f aca="false">SUM(X10:X40)</f>
        <v>58172</v>
      </c>
      <c r="Y42" s="52" t="n">
        <f aca="false">SUM(Y10:Y40)</f>
        <v>81.6212251071339</v>
      </c>
      <c r="Z42" s="52" t="n">
        <f aca="false">SUM(Z10:Z40)</f>
        <v>58253.6212251071</v>
      </c>
      <c r="AA42" s="53" t="n">
        <f aca="false">SUM(AA10:AA40)</f>
        <v>3.42</v>
      </c>
      <c r="AB42" s="56" t="n">
        <f aca="false">AVERAGE(AB10:AB40)</f>
        <v>68.258064516129</v>
      </c>
      <c r="AC42" s="56" t="n">
        <f aca="false">AVERAGE(AC10:AC40)</f>
        <v>41.2258064516129</v>
      </c>
      <c r="AD42" s="57" t="s">
        <v>70</v>
      </c>
      <c r="AE42" s="85"/>
      <c r="AF42" s="85"/>
      <c r="AG42" s="86"/>
    </row>
    <row r="43" customFormat="false" ht="11.1" hidden="false" customHeight="true" outlineLevel="0" collapsed="false">
      <c r="A43" s="51" t="s">
        <v>48</v>
      </c>
      <c r="B43" s="51"/>
      <c r="C43" s="52"/>
      <c r="D43" s="52" t="n">
        <f aca="false">SUM(D10:D40)</f>
        <v>14706</v>
      </c>
      <c r="E43" s="52"/>
      <c r="F43" s="52" t="n">
        <f aca="false">F42*$D$2</f>
        <v>14706</v>
      </c>
      <c r="G43" s="52" t="n">
        <f aca="false">G42*$D$2</f>
        <v>109361.4626</v>
      </c>
      <c r="H43" s="78" t="n">
        <f aca="false">H42*$D$2</f>
        <v>7250.4859</v>
      </c>
      <c r="I43" s="52" t="n">
        <f aca="false">I42*$D$2</f>
        <v>116611.9485</v>
      </c>
      <c r="J43" s="52" t="n">
        <f aca="false">J42*$D$2</f>
        <v>13640.1092</v>
      </c>
      <c r="K43" s="52" t="n">
        <f aca="false">K42*$D$2</f>
        <v>130252.0577</v>
      </c>
      <c r="L43" s="52" t="n">
        <f aca="false">L42*$D$2</f>
        <v>13478.2135</v>
      </c>
      <c r="M43" s="52" t="n">
        <f aca="false">M42*$D$2</f>
        <v>11440.828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11440.828</v>
      </c>
      <c r="Q43" s="52" t="n">
        <f aca="false">Q42*$D$2</f>
        <v>9268.1021</v>
      </c>
      <c r="R43" s="52" t="n">
        <f aca="false">R42*$D$2</f>
        <v>4224.855</v>
      </c>
      <c r="S43" s="52" t="n">
        <f aca="false">S42*$D$2</f>
        <v>24933.7851</v>
      </c>
      <c r="T43" s="52"/>
      <c r="U43" s="52" t="n">
        <f aca="false">U42*$D$2</f>
        <v>3257.7004</v>
      </c>
      <c r="V43" s="52" t="n">
        <f aca="false">V42*$D$2</f>
        <v>87192.6765</v>
      </c>
      <c r="W43" s="52"/>
      <c r="X43" s="113" t="n">
        <f aca="false">X42*$D$2</f>
        <v>115384.162</v>
      </c>
      <c r="Y43" s="52" t="n">
        <f aca="false">Y42*$D$2</f>
        <v>161.8957</v>
      </c>
      <c r="Z43" s="52" t="n">
        <f aca="false">Z42*$D$2</f>
        <v>115546.0577</v>
      </c>
      <c r="AA43" s="53"/>
      <c r="AB43" s="56" t="n">
        <f aca="false">MAX(AB10:AB40)</f>
        <v>78</v>
      </c>
      <c r="AC43" s="56" t="n">
        <f aca="false">MAX(AC10:AC40)</f>
        <v>48</v>
      </c>
      <c r="AD43" s="57" t="s">
        <v>49</v>
      </c>
      <c r="AE43" s="85"/>
      <c r="AF43" s="85"/>
      <c r="AG43" s="86"/>
    </row>
    <row r="44" customFormat="false" ht="3" hidden="false" customHeight="true" outlineLevel="0" collapsed="false">
      <c r="A44" s="72"/>
      <c r="B44" s="72"/>
      <c r="C44" s="74"/>
      <c r="D44" s="74"/>
      <c r="E44" s="74"/>
      <c r="F44" s="74"/>
      <c r="G44" s="74"/>
      <c r="H44" s="111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2"/>
      <c r="X44" s="74"/>
      <c r="Y44" s="74"/>
      <c r="Z44" s="74"/>
      <c r="AA44" s="53"/>
      <c r="AB44" s="56"/>
      <c r="AC44" s="56"/>
      <c r="AD44" s="57"/>
      <c r="AE44" s="85"/>
      <c r="AF44" s="85"/>
      <c r="AG44" s="86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 t="n">
        <f aca="false">F7+F42</f>
        <v>36295.9415175195</v>
      </c>
      <c r="G45" s="52" t="n">
        <f aca="false">G7+G42</f>
        <v>81862.6</v>
      </c>
      <c r="H45" s="78" t="n">
        <f aca="false">H7+H42</f>
        <v>8541</v>
      </c>
      <c r="I45" s="52" t="n">
        <f aca="false">I7+I42</f>
        <v>90403.6</v>
      </c>
      <c r="J45" s="52" t="n">
        <f aca="false">J7+J42</f>
        <v>20202.3627426267</v>
      </c>
      <c r="K45" s="52" t="n">
        <f aca="false">K7+K42</f>
        <v>110605.962742627</v>
      </c>
      <c r="L45" s="52" t="n">
        <f aca="false">L7+L42</f>
        <v>20120.7415175195</v>
      </c>
      <c r="M45" s="52" t="n">
        <f aca="false">M7+M42</f>
        <v>6447.5</v>
      </c>
      <c r="N45" s="52" t="n">
        <f aca="false">N7+N42</f>
        <v>0</v>
      </c>
      <c r="O45" s="52" t="n">
        <f aca="false">O7+O42</f>
        <v>0</v>
      </c>
      <c r="P45" s="52" t="n">
        <f aca="false">P7+P42</f>
        <v>6447.5</v>
      </c>
      <c r="Q45" s="52" t="n">
        <f aca="false">Q7+Q42</f>
        <v>5598.5</v>
      </c>
      <c r="R45" s="52" t="n">
        <f aca="false">R7+R42</f>
        <v>2424</v>
      </c>
      <c r="S45" s="52" t="n">
        <f aca="false">S7+S42</f>
        <v>14470</v>
      </c>
      <c r="T45" s="52" t="n">
        <f aca="false">T7+T42</f>
        <v>0</v>
      </c>
      <c r="U45" s="52" t="n">
        <f aca="false">U7+U42</f>
        <v>1821.4</v>
      </c>
      <c r="V45" s="52" t="n">
        <f aca="false">V7+V42</f>
        <v>57937</v>
      </c>
      <c r="W45" s="52"/>
      <c r="X45" s="52" t="n">
        <f aca="false">X7+X42</f>
        <v>74228.4</v>
      </c>
      <c r="Y45" s="52" t="n">
        <f aca="false">Y7+Y42</f>
        <v>81.6212251071339</v>
      </c>
      <c r="Z45" s="52" t="n">
        <f aca="false">Z7+Z42</f>
        <v>74310.0212251071</v>
      </c>
      <c r="AA45" s="53"/>
      <c r="AB45" s="56" t="n">
        <f aca="false">MIN(AB10:AB40)</f>
        <v>52</v>
      </c>
      <c r="AC45" s="56" t="n">
        <f aca="false">MIN(AC10:AC40)</f>
        <v>30</v>
      </c>
      <c r="AD45" s="57" t="s">
        <v>51</v>
      </c>
      <c r="AE45" s="85"/>
      <c r="AF45" s="85"/>
      <c r="AG45" s="86"/>
    </row>
    <row r="46" customFormat="false" ht="11.1" hidden="false" customHeight="true" outlineLevel="0" collapsed="false">
      <c r="A46" s="51" t="s">
        <v>52</v>
      </c>
      <c r="B46" s="51"/>
      <c r="C46" s="52"/>
      <c r="D46" s="52"/>
      <c r="E46" s="52"/>
      <c r="F46" s="52" t="n">
        <f aca="false">F45*$D$2</f>
        <v>71993</v>
      </c>
      <c r="G46" s="52" t="n">
        <f aca="false">G45*$D$2</f>
        <v>162374.4671</v>
      </c>
      <c r="H46" s="78" t="n">
        <f aca="false">H45*$D$2</f>
        <v>16941.0735</v>
      </c>
      <c r="I46" s="52" t="n">
        <f aca="false">I45*$D$2</f>
        <v>179315.5406</v>
      </c>
      <c r="J46" s="52" t="n">
        <f aca="false">J45*$D$2</f>
        <v>40071.3865</v>
      </c>
      <c r="K46" s="52" t="n">
        <f aca="false">K45*$D$2</f>
        <v>219386.9271</v>
      </c>
      <c r="L46" s="52" t="n">
        <f aca="false">L45*$D$2</f>
        <v>39909.4908</v>
      </c>
      <c r="M46" s="52" t="n">
        <f aca="false">M45*$D$2</f>
        <v>12788.61625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12788.61625</v>
      </c>
      <c r="Q46" s="52" t="n">
        <f aca="false">Q45*$D$2</f>
        <v>11104.62475</v>
      </c>
      <c r="R46" s="52" t="n">
        <f aca="false">R45*$D$2</f>
        <v>4808.004</v>
      </c>
      <c r="S46" s="52" t="n">
        <f aca="false">S45*$D$2</f>
        <v>28701.245</v>
      </c>
      <c r="T46" s="52" t="n">
        <f aca="false">T45*$D$2</f>
        <v>0</v>
      </c>
      <c r="U46" s="52" t="n">
        <f aca="false">U45*$D$2</f>
        <v>3612.7469</v>
      </c>
      <c r="V46" s="52" t="n">
        <f aca="false">V45*$D$2</f>
        <v>114918.0395</v>
      </c>
      <c r="W46" s="52"/>
      <c r="X46" s="52" t="n">
        <f aca="false">X45*$D$2</f>
        <v>147232.0314</v>
      </c>
      <c r="Y46" s="52" t="n">
        <f aca="false">Y45*$D$2</f>
        <v>161.8957</v>
      </c>
      <c r="Z46" s="52" t="n">
        <f aca="false">Z45*$D$2</f>
        <v>147393.9271</v>
      </c>
      <c r="AA46" s="53"/>
      <c r="AB46" s="56"/>
      <c r="AC46" s="56"/>
      <c r="AD46" s="57"/>
      <c r="AE46" s="85"/>
      <c r="AF46" s="85"/>
      <c r="AG46" s="86"/>
    </row>
    <row r="47" customFormat="false" ht="3" hidden="false" customHeight="true" outlineLevel="0" collapsed="false">
      <c r="A47" s="72"/>
      <c r="B47" s="72"/>
      <c r="C47" s="74"/>
      <c r="D47" s="74"/>
      <c r="E47" s="74"/>
      <c r="F47" s="74"/>
      <c r="G47" s="74"/>
      <c r="H47" s="111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56"/>
      <c r="AC47" s="56"/>
      <c r="AD47" s="57"/>
      <c r="AE47" s="85"/>
      <c r="AF47" s="85"/>
      <c r="AG47" s="86"/>
    </row>
    <row r="48" customFormat="false" ht="11.1" hidden="false" customHeight="true" outlineLevel="0" collapsed="false">
      <c r="A48" s="51" t="s">
        <v>53</v>
      </c>
      <c r="B48" s="51"/>
      <c r="C48" s="52"/>
      <c r="D48" s="52"/>
      <c r="E48" s="52"/>
      <c r="F48" s="52" t="n">
        <f aca="false">F8+F42</f>
        <v>43198.3866901941</v>
      </c>
      <c r="G48" s="52" t="n">
        <f aca="false">G8+G42</f>
        <v>94549.7</v>
      </c>
      <c r="H48" s="78" t="n">
        <f aca="false">H8+H42</f>
        <v>9182.7</v>
      </c>
      <c r="I48" s="52" t="n">
        <f aca="false">I8+I42</f>
        <v>103732.4</v>
      </c>
      <c r="J48" s="52" t="n">
        <f aca="false">J8+J42</f>
        <v>22508.6296874212</v>
      </c>
      <c r="K48" s="52" t="n">
        <f aca="false">K8+K42</f>
        <v>126240.905260902</v>
      </c>
      <c r="L48" s="52" t="n">
        <f aca="false">L8+L42</f>
        <v>21165.7366901941</v>
      </c>
      <c r="M48" s="52" t="n">
        <f aca="false">M8+M42</f>
        <v>7512.02</v>
      </c>
      <c r="N48" s="52" t="n">
        <f aca="false">N8+N42</f>
        <v>0</v>
      </c>
      <c r="O48" s="52" t="n">
        <f aca="false">O8+O42</f>
        <v>0</v>
      </c>
      <c r="P48" s="52" t="n">
        <f aca="false">P8+P42</f>
        <v>7512.02</v>
      </c>
      <c r="Q48" s="52" t="n">
        <f aca="false">Q8+Q42</f>
        <v>6911.3</v>
      </c>
      <c r="R48" s="52" t="n">
        <f aca="false">R8+R42</f>
        <v>2698.1</v>
      </c>
      <c r="S48" s="52" t="n">
        <f aca="false">S8+S42</f>
        <v>17121.42</v>
      </c>
      <c r="T48" s="52"/>
      <c r="U48" s="52" t="n">
        <f aca="false">U8+U42</f>
        <v>1821.4</v>
      </c>
      <c r="V48" s="52" t="n">
        <f aca="false">V8+V42</f>
        <v>62756.93</v>
      </c>
      <c r="W48" s="52" t="n">
        <f aca="false">W40</f>
        <v>9838.06999999996</v>
      </c>
      <c r="X48" s="52" t="n">
        <f aca="false">X8+X42</f>
        <v>81699.75</v>
      </c>
      <c r="Y48" s="52" t="n">
        <f aca="false">Y8+Y42</f>
        <v>1342.89299722712</v>
      </c>
      <c r="Z48" s="52" t="n">
        <f aca="false">Z8+Z42</f>
        <v>83042.6429972271</v>
      </c>
      <c r="AA48" s="53" t="n">
        <f aca="false">AA8+AA42</f>
        <v>12.18</v>
      </c>
      <c r="AB48" s="56"/>
      <c r="AC48" s="56"/>
      <c r="AD48" s="57"/>
      <c r="AE48" s="85"/>
      <c r="AF48" s="85"/>
      <c r="AG48" s="86"/>
    </row>
    <row r="49" customFormat="false" ht="11.1" hidden="false" customHeight="true" outlineLevel="0" collapsed="false">
      <c r="A49" s="51" t="s">
        <v>54</v>
      </c>
      <c r="B49" s="51"/>
      <c r="C49" s="52"/>
      <c r="D49" s="52" t="n">
        <f aca="false">D8+D43</f>
        <v>85684</v>
      </c>
      <c r="E49" s="52" t="n">
        <f aca="false">E40</f>
        <v>228537</v>
      </c>
      <c r="F49" s="52" t="n">
        <f aca="false">F48*$D$2</f>
        <v>85684</v>
      </c>
      <c r="G49" s="52" t="n">
        <f aca="false">G48*$D$2</f>
        <v>187539.32995</v>
      </c>
      <c r="H49" s="78" t="n">
        <f aca="false">H48*$D$2</f>
        <v>18213.88545</v>
      </c>
      <c r="I49" s="52" t="n">
        <f aca="false">I48*$D$2</f>
        <v>205753.2154</v>
      </c>
      <c r="J49" s="52" t="n">
        <f aca="false">J48*$D$2</f>
        <v>44645.866985</v>
      </c>
      <c r="K49" s="52" t="n">
        <f aca="false">K48*$D$2</f>
        <v>250398.835585</v>
      </c>
      <c r="L49" s="52" t="n">
        <f aca="false">L48*$D$2</f>
        <v>41982.238725</v>
      </c>
      <c r="M49" s="52" t="n">
        <f aca="false">M48*$D$2</f>
        <v>14900.09167</v>
      </c>
      <c r="N49" s="52" t="n">
        <f aca="false">N48*$D$2</f>
        <v>0</v>
      </c>
      <c r="O49" s="52" t="n">
        <f aca="false">O48*$D$2</f>
        <v>0</v>
      </c>
      <c r="P49" s="52" t="n">
        <f aca="false">P48*$D$2</f>
        <v>14900.09167</v>
      </c>
      <c r="Q49" s="52" t="n">
        <f aca="false">Q48*$D$2</f>
        <v>13708.56355</v>
      </c>
      <c r="R49" s="52" t="n">
        <f aca="false">R48*$D$2</f>
        <v>5351.68135</v>
      </c>
      <c r="S49" s="52" t="n">
        <f aca="false">S48*$D$2</f>
        <v>33960.33657</v>
      </c>
      <c r="T49" s="52" t="n">
        <f aca="false">T48*$D$2</f>
        <v>0</v>
      </c>
      <c r="U49" s="52" t="n">
        <f aca="false">U48*$D$2</f>
        <v>3612.7469</v>
      </c>
      <c r="V49" s="52" t="n">
        <f aca="false">V48*$D$2</f>
        <v>124478.370655</v>
      </c>
      <c r="W49" s="52" t="n">
        <f aca="false">W48*$D$2</f>
        <v>19513.8118449999</v>
      </c>
      <c r="X49" s="52" t="n">
        <f aca="false">X48*$D$2</f>
        <v>162051.454125</v>
      </c>
      <c r="Y49" s="52" t="n">
        <f aca="false">Y48*$D$2</f>
        <v>2663.62826</v>
      </c>
      <c r="Z49" s="52" t="n">
        <f aca="false">Z48*$D$2</f>
        <v>164715.082385</v>
      </c>
      <c r="AA49" s="53"/>
      <c r="AB49" s="56"/>
      <c r="AC49" s="56"/>
      <c r="AD49" s="57"/>
      <c r="AE49" s="85"/>
      <c r="AF49" s="85"/>
      <c r="AG49" s="86"/>
    </row>
    <row r="50" customFormat="false" ht="3" hidden="false" customHeight="true" outlineLevel="0" collapsed="false">
      <c r="A50" s="72"/>
      <c r="B50" s="72"/>
      <c r="C50" s="74"/>
      <c r="D50" s="72"/>
      <c r="E50" s="74"/>
      <c r="F50" s="72"/>
      <c r="G50" s="72"/>
      <c r="H50" s="111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4"/>
      <c r="U50" s="72"/>
      <c r="V50" s="72"/>
      <c r="W50" s="74"/>
      <c r="X50" s="72"/>
      <c r="Y50" s="72"/>
      <c r="Z50" s="72"/>
      <c r="AA50" s="53"/>
      <c r="AB50" s="56"/>
      <c r="AC50" s="56"/>
      <c r="AD50" s="57"/>
      <c r="AE50" s="85"/>
      <c r="AF50" s="85"/>
      <c r="AG50" s="86"/>
    </row>
    <row r="51" customFormat="false" ht="11.1" hidden="false" customHeight="true" outlineLevel="0" collapsed="false">
      <c r="A51" s="114"/>
      <c r="B51" s="81"/>
      <c r="C51" s="52"/>
      <c r="D51" s="51"/>
      <c r="E51" s="52"/>
      <c r="F51" s="51"/>
      <c r="G51" s="51"/>
      <c r="H51" s="78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2"/>
      <c r="X51" s="51"/>
      <c r="Y51" s="51"/>
      <c r="Z51" s="51"/>
      <c r="AA51" s="53"/>
      <c r="AB51" s="56"/>
      <c r="AC51" s="56"/>
      <c r="AD51" s="57"/>
      <c r="AE51" s="84"/>
      <c r="AF51" s="84"/>
    </row>
    <row r="52" customFormat="false" ht="11.1" hidden="false" customHeight="true" outlineLevel="0" collapsed="false">
      <c r="A52" s="51"/>
      <c r="B52" s="71"/>
      <c r="C52" s="52"/>
      <c r="D52" s="79"/>
      <c r="E52" s="52"/>
      <c r="F52" s="51"/>
      <c r="G52" s="79"/>
      <c r="H52" s="78"/>
      <c r="I52" s="91"/>
      <c r="J52" s="51"/>
      <c r="K52" s="41"/>
      <c r="L52" s="51"/>
      <c r="M52" s="51"/>
      <c r="N52" s="52"/>
      <c r="O52" s="115"/>
      <c r="P52" s="51"/>
      <c r="Q52" s="51"/>
      <c r="R52" s="52"/>
      <c r="S52" s="115"/>
      <c r="T52" s="52"/>
      <c r="U52" s="51"/>
      <c r="V52" s="52"/>
      <c r="W52" s="113"/>
      <c r="X52" s="51"/>
      <c r="Y52" s="51"/>
      <c r="Z52" s="55"/>
      <c r="AA52" s="53"/>
      <c r="AB52" s="56"/>
      <c r="AC52" s="57"/>
      <c r="AD52" s="84"/>
      <c r="AE52" s="84"/>
    </row>
    <row r="53" customFormat="false" ht="11.1" hidden="false" customHeight="true" outlineLevel="0" collapsed="false">
      <c r="A53" s="79"/>
      <c r="B53" s="79"/>
      <c r="C53" s="52"/>
      <c r="D53" s="52"/>
      <c r="E53" s="52"/>
      <c r="F53" s="79"/>
      <c r="G53" s="79"/>
      <c r="H53" s="78"/>
      <c r="I53" s="52"/>
      <c r="J53" s="79"/>
      <c r="K53" s="79"/>
      <c r="L53" s="78"/>
      <c r="M53" s="0"/>
      <c r="N53" s="91"/>
      <c r="O53" s="78"/>
      <c r="P53" s="79"/>
      <c r="Q53" s="79"/>
      <c r="R53" s="91"/>
      <c r="S53" s="52"/>
      <c r="T53" s="116"/>
      <c r="U53" s="79"/>
      <c r="V53" s="52"/>
      <c r="W53" s="79"/>
      <c r="X53" s="79"/>
      <c r="Y53" s="79"/>
      <c r="Z53" s="55"/>
      <c r="AA53" s="53"/>
      <c r="AB53" s="56"/>
      <c r="AC53" s="57"/>
      <c r="AD53" s="89"/>
      <c r="AE53" s="89"/>
    </row>
    <row r="54" customFormat="false" ht="11.1" hidden="false" customHeight="true" outlineLevel="0" collapsed="false">
      <c r="A54" s="79"/>
      <c r="B54" s="55"/>
      <c r="C54" s="52"/>
      <c r="D54" s="52"/>
      <c r="E54" s="52"/>
      <c r="F54" s="79"/>
      <c r="G54" s="79"/>
      <c r="H54" s="78"/>
      <c r="I54" s="79"/>
      <c r="J54" s="79"/>
      <c r="K54" s="79"/>
      <c r="L54" s="79"/>
      <c r="M54" s="78"/>
      <c r="N54" s="78"/>
      <c r="O54" s="78"/>
      <c r="P54" s="79"/>
      <c r="Q54" s="79"/>
      <c r="R54" s="79"/>
      <c r="S54" s="52"/>
      <c r="T54" s="79"/>
      <c r="U54" s="52"/>
      <c r="V54" s="52"/>
      <c r="W54" s="79"/>
      <c r="X54" s="79"/>
      <c r="Y54" s="79"/>
      <c r="Z54" s="55"/>
      <c r="AA54" s="53"/>
      <c r="AB54" s="56"/>
      <c r="AC54" s="57"/>
      <c r="AD54" s="89"/>
      <c r="AE54" s="89"/>
    </row>
    <row r="55" customFormat="false" ht="11.1" hidden="false" customHeight="true" outlineLevel="0" collapsed="false">
      <c r="A55" s="79"/>
      <c r="B55" s="0"/>
      <c r="C55" s="52"/>
      <c r="D55" s="0"/>
      <c r="E55" s="52"/>
      <c r="F55" s="79"/>
      <c r="G55" s="117"/>
      <c r="H55" s="118"/>
      <c r="I55" s="119"/>
      <c r="J55" s="79"/>
      <c r="K55" s="79"/>
      <c r="L55" s="79"/>
      <c r="M55" s="78"/>
      <c r="N55" s="78"/>
      <c r="O55" s="78"/>
      <c r="P55" s="79"/>
      <c r="Q55" s="79"/>
      <c r="R55" s="79"/>
      <c r="S55" s="52"/>
      <c r="T55" s="79"/>
      <c r="U55" s="79"/>
      <c r="V55" s="52"/>
      <c r="W55" s="79"/>
      <c r="X55" s="79"/>
      <c r="Y55" s="79"/>
      <c r="Z55" s="55"/>
      <c r="AA55" s="53"/>
      <c r="AB55" s="56"/>
      <c r="AC55" s="57"/>
      <c r="AD55" s="89"/>
      <c r="AE55" s="89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L20" activePane="bottomRight" state="frozen"/>
      <selection pane="topLeft" activeCell="A1" activeCellId="0" sqref="A1"/>
      <selection pane="topRight" activeCell="L1" activeCellId="0" sqref="L1"/>
      <selection pane="bottomLeft" activeCell="A20" activeCellId="0" sqref="A20"/>
      <selection pane="bottomRight" activeCell="AC39" activeCellId="0" sqref="AC39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120" width="6.82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100" width="8.16"/>
    <col collapsed="false" customWidth="true" hidden="false" outlineLevel="0" max="27" min="27" style="2" width="5.16"/>
    <col collapsed="false" customWidth="true" hidden="false" outlineLevel="0" max="28" min="28" style="4" width="4.66"/>
    <col collapsed="false" customWidth="true" hidden="false" outlineLevel="0" max="29" min="29" style="5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121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42"/>
      <c r="AA1" s="8"/>
      <c r="AB1" s="10"/>
      <c r="AC1" s="11"/>
      <c r="AD1" s="101"/>
      <c r="AE1" s="101"/>
    </row>
    <row r="2" customFormat="false" ht="14.1" hidden="false" customHeight="true" outlineLevel="0" collapsed="false">
      <c r="A2" s="6" t="s">
        <v>1</v>
      </c>
      <c r="B2" s="6"/>
      <c r="C2" s="7"/>
      <c r="D2" s="12" t="n">
        <v>1.9835</v>
      </c>
      <c r="E2" s="7"/>
      <c r="F2" s="6"/>
      <c r="G2" s="6"/>
      <c r="H2" s="121"/>
      <c r="I2" s="6"/>
      <c r="J2" s="6"/>
      <c r="K2" s="102" t="s">
        <v>71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6"/>
      <c r="X2" s="6"/>
      <c r="Y2" s="6"/>
      <c r="Z2" s="42"/>
      <c r="AA2" s="8"/>
      <c r="AB2" s="10"/>
      <c r="AC2" s="11"/>
      <c r="AD2" s="101"/>
      <c r="AE2" s="101"/>
    </row>
    <row r="3" customFormat="false" ht="11.1" hidden="false" customHeight="true" outlineLevel="0" collapsed="false">
      <c r="A3" s="6"/>
      <c r="B3" s="6"/>
      <c r="C3" s="7"/>
      <c r="D3" s="13"/>
      <c r="E3" s="7"/>
      <c r="F3" s="6"/>
      <c r="G3" s="6"/>
      <c r="H3" s="121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/>
      <c r="Z3" s="42"/>
      <c r="AA3" s="8"/>
      <c r="AB3" s="10"/>
      <c r="AC3" s="11"/>
      <c r="AD3" s="101"/>
      <c r="AE3" s="101"/>
    </row>
    <row r="4" customFormat="false" ht="11.1" hidden="false" customHeight="true" outlineLevel="0" collapsed="false">
      <c r="A4" s="14" t="s">
        <v>3</v>
      </c>
      <c r="B4" s="14" t="s">
        <v>4</v>
      </c>
      <c r="C4" s="15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122" t="s">
        <v>9</v>
      </c>
      <c r="I4" s="14" t="s">
        <v>10</v>
      </c>
      <c r="J4" s="14" t="s">
        <v>11</v>
      </c>
      <c r="K4" s="14" t="s">
        <v>12</v>
      </c>
      <c r="L4" s="14" t="s">
        <v>11</v>
      </c>
      <c r="M4" s="17" t="s">
        <v>13</v>
      </c>
      <c r="N4" s="17"/>
      <c r="O4" s="17"/>
      <c r="P4" s="17"/>
      <c r="Q4" s="14" t="s">
        <v>14</v>
      </c>
      <c r="R4" s="14" t="s">
        <v>15</v>
      </c>
      <c r="S4" s="14" t="s">
        <v>12</v>
      </c>
      <c r="T4" s="15" t="s">
        <v>16</v>
      </c>
      <c r="U4" s="14" t="s">
        <v>17</v>
      </c>
      <c r="V4" s="14" t="s">
        <v>18</v>
      </c>
      <c r="W4" s="15" t="s">
        <v>19</v>
      </c>
      <c r="X4" s="14" t="s">
        <v>10</v>
      </c>
      <c r="Y4" s="14" t="s">
        <v>11</v>
      </c>
      <c r="Z4" s="14" t="s">
        <v>12</v>
      </c>
      <c r="AA4" s="16" t="s">
        <v>20</v>
      </c>
      <c r="AB4" s="18" t="s">
        <v>21</v>
      </c>
      <c r="AC4" s="18" t="s">
        <v>22</v>
      </c>
      <c r="AD4" s="18" t="s">
        <v>3</v>
      </c>
      <c r="AE4" s="101"/>
      <c r="AF4" s="101"/>
    </row>
    <row r="5" customFormat="false" ht="11.1" hidden="false" customHeight="true" outlineLevel="0" collapsed="false">
      <c r="A5" s="19" t="s">
        <v>72</v>
      </c>
      <c r="B5" s="14" t="s">
        <v>24</v>
      </c>
      <c r="C5" s="15" t="s">
        <v>5</v>
      </c>
      <c r="D5" s="14" t="s">
        <v>25</v>
      </c>
      <c r="E5" s="15" t="s">
        <v>26</v>
      </c>
      <c r="F5" s="14" t="s">
        <v>27</v>
      </c>
      <c r="G5" s="14" t="s">
        <v>28</v>
      </c>
      <c r="H5" s="122" t="s">
        <v>29</v>
      </c>
      <c r="I5" s="14" t="s">
        <v>30</v>
      </c>
      <c r="J5" s="14" t="s">
        <v>30</v>
      </c>
      <c r="K5" s="14" t="s">
        <v>30</v>
      </c>
      <c r="L5" s="14" t="s">
        <v>31</v>
      </c>
      <c r="M5" s="14" t="s">
        <v>32</v>
      </c>
      <c r="N5" s="14" t="s">
        <v>33</v>
      </c>
      <c r="O5" s="14" t="s">
        <v>34</v>
      </c>
      <c r="P5" s="14" t="s">
        <v>66</v>
      </c>
      <c r="Q5" s="14" t="s">
        <v>36</v>
      </c>
      <c r="R5" s="14" t="s">
        <v>37</v>
      </c>
      <c r="S5" s="14" t="s">
        <v>16</v>
      </c>
      <c r="T5" s="15" t="s">
        <v>38</v>
      </c>
      <c r="U5" s="14" t="s">
        <v>39</v>
      </c>
      <c r="V5" s="14" t="s">
        <v>40</v>
      </c>
      <c r="W5" s="15" t="s">
        <v>41</v>
      </c>
      <c r="X5" s="14" t="s">
        <v>42</v>
      </c>
      <c r="Y5" s="14" t="s">
        <v>42</v>
      </c>
      <c r="Z5" s="14" t="s">
        <v>42</v>
      </c>
      <c r="AA5" s="21"/>
      <c r="AB5" s="18" t="s">
        <v>43</v>
      </c>
      <c r="AC5" s="18" t="s">
        <v>43</v>
      </c>
      <c r="AD5" s="22" t="s">
        <v>72</v>
      </c>
      <c r="AE5" s="101"/>
      <c r="AF5" s="101"/>
    </row>
    <row r="6" customFormat="false" ht="11.1" hidden="false" customHeight="true" outlineLevel="0" collapsed="false">
      <c r="A6" s="23"/>
      <c r="B6" s="23"/>
      <c r="C6" s="24"/>
      <c r="D6" s="23"/>
      <c r="E6" s="24"/>
      <c r="F6" s="23"/>
      <c r="G6" s="23"/>
      <c r="H6" s="1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  <c r="U6" s="23"/>
      <c r="V6" s="23"/>
      <c r="W6" s="24"/>
      <c r="X6" s="23"/>
      <c r="Y6" s="23"/>
      <c r="Z6" s="23"/>
      <c r="AA6" s="8"/>
      <c r="AB6" s="11"/>
      <c r="AC6" s="11"/>
      <c r="AD6" s="11"/>
      <c r="AG6" s="124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 t="n">
        <f aca="false">MAY!F45</f>
        <v>36295.9415175195</v>
      </c>
      <c r="G7" s="7" t="n">
        <f aca="false">MAY!G45</f>
        <v>81862.6</v>
      </c>
      <c r="H7" s="121" t="n">
        <f aca="false">MAY!H45</f>
        <v>8541</v>
      </c>
      <c r="I7" s="7" t="n">
        <f aca="false">MAY!I45</f>
        <v>90403.6</v>
      </c>
      <c r="J7" s="7" t="n">
        <f aca="false">MAY!J45</f>
        <v>20202.3627426267</v>
      </c>
      <c r="K7" s="7" t="n">
        <f aca="false">MAY!K45</f>
        <v>110605.962742627</v>
      </c>
      <c r="L7" s="7" t="n">
        <f aca="false">MAY!L45</f>
        <v>20120.7415175195</v>
      </c>
      <c r="M7" s="7" t="n">
        <f aca="false">MAY!M45</f>
        <v>6447.5</v>
      </c>
      <c r="N7" s="7" t="n">
        <f aca="false">MAY!N45</f>
        <v>0</v>
      </c>
      <c r="O7" s="7" t="n">
        <f aca="false">MAY!O45</f>
        <v>0</v>
      </c>
      <c r="P7" s="7" t="n">
        <f aca="false">MAY!P45</f>
        <v>6447.5</v>
      </c>
      <c r="Q7" s="7" t="n">
        <f aca="false">MAY!Q45</f>
        <v>5598.5</v>
      </c>
      <c r="R7" s="7" t="n">
        <f aca="false">MAY!R45</f>
        <v>2424</v>
      </c>
      <c r="S7" s="7" t="n">
        <f aca="false">MAY!S45</f>
        <v>14470</v>
      </c>
      <c r="T7" s="7"/>
      <c r="U7" s="7" t="n">
        <f aca="false">MAY!U45</f>
        <v>1821.4</v>
      </c>
      <c r="V7" s="7" t="n">
        <f aca="false">MAY!V45</f>
        <v>57937</v>
      </c>
      <c r="W7" s="7"/>
      <c r="X7" s="7" t="n">
        <f aca="false">MAY!X45</f>
        <v>74228.4</v>
      </c>
      <c r="Y7" s="7" t="n">
        <f aca="false">MAY!Y45</f>
        <v>81.6212251071339</v>
      </c>
      <c r="Z7" s="7" t="n">
        <f aca="false">MAY!Z45</f>
        <v>74310.0212251071</v>
      </c>
      <c r="AA7" s="8"/>
      <c r="AB7" s="10"/>
      <c r="AC7" s="10"/>
      <c r="AD7" s="11"/>
      <c r="AE7" s="105"/>
      <c r="AG7" s="125"/>
    </row>
    <row r="8" s="1" customFormat="true" ht="11.1" hidden="false" customHeight="true" outlineLevel="0" collapsed="false">
      <c r="A8" s="7" t="s">
        <v>45</v>
      </c>
      <c r="B8" s="28" t="n">
        <f aca="false">MAY!B40</f>
        <v>6923.86</v>
      </c>
      <c r="C8" s="7" t="n">
        <f aca="false">MAY!C40</f>
        <v>380537</v>
      </c>
      <c r="D8" s="7" t="n">
        <f aca="false">MAY!D49</f>
        <v>85684</v>
      </c>
      <c r="E8" s="7" t="n">
        <f aca="false">MAY!E49</f>
        <v>228537</v>
      </c>
      <c r="F8" s="7" t="n">
        <f aca="false">MAY!F48</f>
        <v>43198.3866901941</v>
      </c>
      <c r="G8" s="7" t="n">
        <f aca="false">MAY!G48</f>
        <v>94549.7</v>
      </c>
      <c r="H8" s="121" t="n">
        <f aca="false">MAY!H48</f>
        <v>9182.7</v>
      </c>
      <c r="I8" s="7" t="n">
        <f aca="false">MAY!I48</f>
        <v>103732.4</v>
      </c>
      <c r="J8" s="7" t="n">
        <f aca="false">MAY!J48</f>
        <v>22508.6296874212</v>
      </c>
      <c r="K8" s="7" t="n">
        <f aca="false">MAY!K48</f>
        <v>126240.905260902</v>
      </c>
      <c r="L8" s="7" t="n">
        <f aca="false">MAY!L48</f>
        <v>21165.7366901941</v>
      </c>
      <c r="M8" s="7" t="n">
        <f aca="false">MAY!M48</f>
        <v>7512.02</v>
      </c>
      <c r="N8" s="7" t="n">
        <f aca="false">MAY!N48</f>
        <v>0</v>
      </c>
      <c r="O8" s="7" t="n">
        <f aca="false">MAY!O48</f>
        <v>0</v>
      </c>
      <c r="P8" s="7" t="n">
        <f aca="false">MAY!P48</f>
        <v>7512.02</v>
      </c>
      <c r="Q8" s="7" t="n">
        <f aca="false">MAY!Q48</f>
        <v>6911.3</v>
      </c>
      <c r="R8" s="7" t="n">
        <f aca="false">MAY!R48</f>
        <v>2698.1</v>
      </c>
      <c r="S8" s="7" t="n">
        <f aca="false">MAY!S48</f>
        <v>17121.42</v>
      </c>
      <c r="T8" s="7"/>
      <c r="U8" s="7" t="n">
        <f aca="false">MAY!U48</f>
        <v>1821.4</v>
      </c>
      <c r="V8" s="7" t="n">
        <f aca="false">MAY!V48</f>
        <v>62756.93</v>
      </c>
      <c r="W8" s="7" t="n">
        <f aca="false">MAY!W48</f>
        <v>9838.06999999996</v>
      </c>
      <c r="X8" s="7" t="n">
        <f aca="false">MAY!X48</f>
        <v>81699.75</v>
      </c>
      <c r="Y8" s="7" t="n">
        <f aca="false">MAY!Y48</f>
        <v>1342.89299722712</v>
      </c>
      <c r="Z8" s="7" t="n">
        <f aca="false">MAY!Z48</f>
        <v>83042.6429972271</v>
      </c>
      <c r="AA8" s="8" t="n">
        <f aca="false">MAY!AA48</f>
        <v>12.18</v>
      </c>
      <c r="AB8" s="10"/>
      <c r="AC8" s="10"/>
      <c r="AD8" s="11"/>
      <c r="AE8" s="126"/>
      <c r="AF8" s="126"/>
    </row>
    <row r="9" customFormat="false" ht="3" hidden="false" customHeight="true" outlineLevel="0" collapsed="false">
      <c r="A9" s="29"/>
      <c r="B9" s="30"/>
      <c r="C9" s="31"/>
      <c r="D9" s="29"/>
      <c r="E9" s="31"/>
      <c r="F9" s="29"/>
      <c r="G9" s="29"/>
      <c r="H9" s="127"/>
      <c r="I9" s="29"/>
      <c r="J9" s="29"/>
      <c r="K9" s="29"/>
      <c r="L9" s="29"/>
      <c r="M9" s="29"/>
      <c r="N9" s="29"/>
      <c r="O9" s="29" t="n">
        <v>0</v>
      </c>
      <c r="P9" s="29"/>
      <c r="Q9" s="29"/>
      <c r="R9" s="29" t="n">
        <v>0</v>
      </c>
      <c r="S9" s="29"/>
      <c r="T9" s="31"/>
      <c r="U9" s="29"/>
      <c r="V9" s="29"/>
      <c r="W9" s="31"/>
      <c r="X9" s="29"/>
      <c r="Y9" s="29"/>
      <c r="Z9" s="29"/>
      <c r="AA9" s="32"/>
      <c r="AB9" s="33"/>
      <c r="AC9" s="33"/>
      <c r="AD9" s="34"/>
      <c r="AE9" s="101"/>
      <c r="AF9" s="101"/>
    </row>
    <row r="10" customFormat="false" ht="11.1" hidden="false" customHeight="true" outlineLevel="0" collapsed="false">
      <c r="A10" s="11" t="n">
        <v>1</v>
      </c>
      <c r="B10" s="28" t="n">
        <v>6923.88</v>
      </c>
      <c r="C10" s="7" t="n">
        <v>380625</v>
      </c>
      <c r="D10" s="10" t="n">
        <f aca="false">C10-C8</f>
        <v>88</v>
      </c>
      <c r="E10" s="7" t="n">
        <f aca="false">C10-152000</f>
        <v>228625</v>
      </c>
      <c r="F10" s="6" t="n">
        <f aca="false">D10/$D$2</f>
        <v>44.3660196622133</v>
      </c>
      <c r="G10" s="6" t="n">
        <v>1416.2</v>
      </c>
      <c r="H10" s="121" t="n">
        <v>47.4</v>
      </c>
      <c r="I10" s="6" t="n">
        <f aca="false">G10+H10</f>
        <v>1463.6</v>
      </c>
      <c r="J10" s="107" t="n">
        <f aca="false">IF(L10&gt;0,L10,0)</f>
        <v>163.766019662213</v>
      </c>
      <c r="K10" s="6" t="n">
        <f aca="false">I10+J10</f>
        <v>1627.36601966221</v>
      </c>
      <c r="L10" s="6" t="n">
        <f aca="false">F10-(I10-X10)</f>
        <v>163.766019662213</v>
      </c>
      <c r="M10" s="6" t="n">
        <v>104</v>
      </c>
      <c r="N10" s="6" t="n">
        <v>0</v>
      </c>
      <c r="O10" s="51" t="n">
        <v>0</v>
      </c>
      <c r="P10" s="6" t="n">
        <f aca="false">M10-(N10+O10)</f>
        <v>104</v>
      </c>
      <c r="Q10" s="6" t="n">
        <v>78.5</v>
      </c>
      <c r="R10" s="6" t="n">
        <v>50.5</v>
      </c>
      <c r="S10" s="6" t="n">
        <f aca="false">SUM(P10:R10)</f>
        <v>233</v>
      </c>
      <c r="T10" s="7"/>
      <c r="U10" s="6" t="n">
        <v>5</v>
      </c>
      <c r="V10" s="6" t="n">
        <v>1345</v>
      </c>
      <c r="W10" s="7" t="n">
        <f aca="false">W8</f>
        <v>9838.06999999996</v>
      </c>
      <c r="X10" s="6" t="n">
        <f aca="false">N10+O10+S10+U10+V10</f>
        <v>1583</v>
      </c>
      <c r="Y10" s="6" t="n">
        <f aca="false">IF(L10&lt;0,L10*-1,0)</f>
        <v>0</v>
      </c>
      <c r="Z10" s="6" t="n">
        <f aca="false">X10+Y10</f>
        <v>1583</v>
      </c>
      <c r="AA10" s="8" t="n">
        <v>0</v>
      </c>
      <c r="AB10" s="10" t="n">
        <v>66</v>
      </c>
      <c r="AC10" s="10" t="n">
        <v>41</v>
      </c>
      <c r="AD10" s="11" t="n">
        <v>1</v>
      </c>
      <c r="AE10" s="10"/>
      <c r="AF10" s="10"/>
      <c r="AG10" s="128"/>
      <c r="AH10" s="6"/>
    </row>
    <row r="11" customFormat="false" ht="11.1" hidden="false" customHeight="true" outlineLevel="0" collapsed="false">
      <c r="A11" s="11" t="n">
        <f aca="false">A10+1</f>
        <v>2</v>
      </c>
      <c r="B11" s="28" t="n">
        <v>6923.95</v>
      </c>
      <c r="C11" s="7" t="n">
        <v>380938</v>
      </c>
      <c r="D11" s="10" t="n">
        <f aca="false">C11-C10</f>
        <v>313</v>
      </c>
      <c r="E11" s="7" t="n">
        <f aca="false">C11-152000</f>
        <v>228938</v>
      </c>
      <c r="F11" s="6" t="n">
        <f aca="false">D11/$D$2</f>
        <v>157.801865389463</v>
      </c>
      <c r="G11" s="6" t="n">
        <v>1339.1</v>
      </c>
      <c r="H11" s="121" t="n">
        <v>40.6</v>
      </c>
      <c r="I11" s="6" t="n">
        <f aca="false">G11+H11</f>
        <v>1379.7</v>
      </c>
      <c r="J11" s="107" t="n">
        <f aca="false">IF(L11&gt;0,L11,0)</f>
        <v>110.201865389463</v>
      </c>
      <c r="K11" s="6" t="n">
        <f aca="false">I11+J11</f>
        <v>1489.90186538946</v>
      </c>
      <c r="L11" s="6" t="n">
        <f aca="false">F11-(I11-X11)</f>
        <v>110.201865389463</v>
      </c>
      <c r="M11" s="6" t="n">
        <v>121.4</v>
      </c>
      <c r="N11" s="6" t="n">
        <v>0</v>
      </c>
      <c r="O11" s="51" t="n">
        <v>0</v>
      </c>
      <c r="P11" s="6" t="n">
        <f aca="false">M11-(N11+O11)</f>
        <v>121.4</v>
      </c>
      <c r="Q11" s="6" t="n">
        <v>78.7</v>
      </c>
      <c r="R11" s="6" t="n">
        <v>51</v>
      </c>
      <c r="S11" s="6" t="n">
        <f aca="false">SUM(P11:R11)</f>
        <v>251.1</v>
      </c>
      <c r="T11" s="52"/>
      <c r="U11" s="6" t="n">
        <v>0</v>
      </c>
      <c r="V11" s="6" t="n">
        <v>1081</v>
      </c>
      <c r="W11" s="7" t="n">
        <f aca="false">W10</f>
        <v>9838.06999999996</v>
      </c>
      <c r="X11" s="6" t="n">
        <f aca="false">N11+O11+S11+U11+V11</f>
        <v>1332.1</v>
      </c>
      <c r="Y11" s="6" t="n">
        <f aca="false">IF(L11&lt;0,L11*-1,0)</f>
        <v>0</v>
      </c>
      <c r="Z11" s="6" t="n">
        <f aca="false">X11+Y11</f>
        <v>1332.1</v>
      </c>
      <c r="AA11" s="8" t="n">
        <v>0</v>
      </c>
      <c r="AB11" s="10" t="n">
        <v>73</v>
      </c>
      <c r="AC11" s="10" t="n">
        <v>38</v>
      </c>
      <c r="AD11" s="11" t="n">
        <f aca="false">AD10+1</f>
        <v>2</v>
      </c>
      <c r="AE11" s="10"/>
      <c r="AF11" s="10"/>
      <c r="AH11" s="6"/>
    </row>
    <row r="12" customFormat="false" ht="11.1" hidden="false" customHeight="true" outlineLevel="0" collapsed="false">
      <c r="A12" s="11" t="n">
        <f aca="false">A11+1</f>
        <v>3</v>
      </c>
      <c r="B12" s="28" t="n">
        <v>6923.98</v>
      </c>
      <c r="C12" s="7" t="n">
        <v>381071</v>
      </c>
      <c r="D12" s="10" t="n">
        <f aca="false">C12-C11</f>
        <v>133</v>
      </c>
      <c r="E12" s="7" t="n">
        <f aca="false">C12-152000</f>
        <v>229071</v>
      </c>
      <c r="F12" s="6" t="n">
        <f aca="false">D12/$D$2</f>
        <v>67.0531888076632</v>
      </c>
      <c r="G12" s="6" t="n">
        <v>1302.2</v>
      </c>
      <c r="H12" s="121" t="n">
        <v>35.6</v>
      </c>
      <c r="I12" s="6" t="n">
        <f aca="false">G12+H12</f>
        <v>1337.8</v>
      </c>
      <c r="J12" s="107" t="n">
        <f aca="false">IF(L12&gt;0,L12,0)</f>
        <v>2.35318880766317</v>
      </c>
      <c r="K12" s="6" t="n">
        <f aca="false">I12+J12</f>
        <v>1340.15318880766</v>
      </c>
      <c r="L12" s="6" t="n">
        <f aca="false">F12-(I12-X12)</f>
        <v>2.35318880766317</v>
      </c>
      <c r="M12" s="6" t="n">
        <v>130.1</v>
      </c>
      <c r="N12" s="6" t="n">
        <v>0</v>
      </c>
      <c r="O12" s="6" t="n">
        <v>0</v>
      </c>
      <c r="P12" s="6" t="n">
        <f aca="false">M12-(N12+O12)</f>
        <v>130.1</v>
      </c>
      <c r="Q12" s="6" t="n">
        <v>78.2</v>
      </c>
      <c r="R12" s="6" t="n">
        <v>54.8</v>
      </c>
      <c r="S12" s="6" t="n">
        <f aca="false">SUM(P12:R12)</f>
        <v>263.1</v>
      </c>
      <c r="T12" s="52"/>
      <c r="U12" s="6" t="n">
        <v>10</v>
      </c>
      <c r="V12" s="6" t="n">
        <v>1000</v>
      </c>
      <c r="W12" s="7" t="n">
        <f aca="false">W11</f>
        <v>9838.06999999996</v>
      </c>
      <c r="X12" s="6" t="n">
        <f aca="false">N12+O12+S12+U12+V12</f>
        <v>1273.1</v>
      </c>
      <c r="Y12" s="6" t="n">
        <f aca="false">IF(L12&lt;0,L12*-1,0)</f>
        <v>0</v>
      </c>
      <c r="Z12" s="6" t="n">
        <f aca="false">X12+Y12</f>
        <v>1273.1</v>
      </c>
      <c r="AA12" s="8" t="n">
        <v>0</v>
      </c>
      <c r="AB12" s="10" t="n">
        <v>72</v>
      </c>
      <c r="AC12" s="10" t="n">
        <v>44</v>
      </c>
      <c r="AD12" s="11" t="n">
        <f aca="false">AD11+1</f>
        <v>3</v>
      </c>
      <c r="AE12" s="10"/>
      <c r="AF12" s="10"/>
      <c r="AH12" s="6"/>
    </row>
    <row r="13" customFormat="false" ht="11.1" hidden="false" customHeight="true" outlineLevel="0" collapsed="false">
      <c r="A13" s="11" t="n">
        <f aca="false">A12+1</f>
        <v>4</v>
      </c>
      <c r="B13" s="28" t="n">
        <v>6924.03</v>
      </c>
      <c r="C13" s="7" t="n">
        <v>381294</v>
      </c>
      <c r="D13" s="10" t="n">
        <f aca="false">C13-C12</f>
        <v>223</v>
      </c>
      <c r="E13" s="7" t="n">
        <f aca="false">C13-152000</f>
        <v>229294</v>
      </c>
      <c r="F13" s="6" t="n">
        <f aca="false">D13/$D$2</f>
        <v>112.427527098563</v>
      </c>
      <c r="G13" s="6" t="n">
        <v>1266.3</v>
      </c>
      <c r="H13" s="121" t="n">
        <v>31.9</v>
      </c>
      <c r="I13" s="6" t="n">
        <f aca="false">G13+H13</f>
        <v>1298.2</v>
      </c>
      <c r="J13" s="107" t="n">
        <f aca="false">IF(L13&gt;0,L13,0)</f>
        <v>75.2275270985631</v>
      </c>
      <c r="K13" s="6" t="n">
        <f aca="false">I13+J13</f>
        <v>1373.42752709856</v>
      </c>
      <c r="L13" s="6" t="n">
        <f aca="false">F13-(I13-X13)</f>
        <v>75.2275270985631</v>
      </c>
      <c r="M13" s="6" t="n">
        <v>122.6</v>
      </c>
      <c r="N13" s="6" t="n">
        <v>0</v>
      </c>
      <c r="O13" s="6" t="n">
        <v>0</v>
      </c>
      <c r="P13" s="6" t="n">
        <f aca="false">M13-(N13+O13)</f>
        <v>122.6</v>
      </c>
      <c r="Q13" s="6" t="n">
        <v>78.5</v>
      </c>
      <c r="R13" s="6" t="n">
        <v>55.9</v>
      </c>
      <c r="S13" s="6" t="n">
        <f aca="false">SUM(P13:R13)</f>
        <v>257</v>
      </c>
      <c r="T13" s="52"/>
      <c r="U13" s="6" t="n">
        <v>4</v>
      </c>
      <c r="V13" s="6" t="n">
        <v>1000</v>
      </c>
      <c r="W13" s="7" t="n">
        <f aca="false">W12</f>
        <v>9838.06999999996</v>
      </c>
      <c r="X13" s="6" t="n">
        <f aca="false">N13+O13+S13+U13+V13</f>
        <v>1261</v>
      </c>
      <c r="Y13" s="6" t="n">
        <f aca="false">IF(L13&lt;0,L13*-1,0)</f>
        <v>0</v>
      </c>
      <c r="Z13" s="6" t="n">
        <f aca="false">X13+Y13</f>
        <v>1261</v>
      </c>
      <c r="AA13" s="8" t="n">
        <v>0.1</v>
      </c>
      <c r="AB13" s="10" t="n">
        <v>78</v>
      </c>
      <c r="AC13" s="10" t="n">
        <v>47</v>
      </c>
      <c r="AD13" s="11" t="n">
        <f aca="false">AD12+1</f>
        <v>4</v>
      </c>
      <c r="AE13" s="10"/>
      <c r="AF13" s="10"/>
      <c r="AH13" s="6"/>
    </row>
    <row r="14" customFormat="false" ht="11.1" hidden="false" customHeight="true" outlineLevel="0" collapsed="false">
      <c r="A14" s="11" t="n">
        <f aca="false">A13+1</f>
        <v>5</v>
      </c>
      <c r="B14" s="28" t="n">
        <v>6924.05</v>
      </c>
      <c r="C14" s="7" t="n">
        <v>381383</v>
      </c>
      <c r="D14" s="10" t="n">
        <f aca="false">C14-C13</f>
        <v>89</v>
      </c>
      <c r="E14" s="7" t="n">
        <f aca="false">C14-152000</f>
        <v>229383</v>
      </c>
      <c r="F14" s="6" t="n">
        <f aca="false">D14/$D$2</f>
        <v>44.8701789765566</v>
      </c>
      <c r="G14" s="6" t="n">
        <v>1518.4</v>
      </c>
      <c r="H14" s="121" t="n">
        <v>29.4</v>
      </c>
      <c r="I14" s="6" t="n">
        <f aca="false">G14+H14</f>
        <v>1547.8</v>
      </c>
      <c r="J14" s="107" t="n">
        <f aca="false">IF(L14&gt;0,L14,0)</f>
        <v>0</v>
      </c>
      <c r="K14" s="6" t="n">
        <f aca="false">I14+J14</f>
        <v>1547.8</v>
      </c>
      <c r="L14" s="6" t="n">
        <f aca="false">F14-(I14-X14)</f>
        <v>-126.829821023444</v>
      </c>
      <c r="M14" s="6" t="n">
        <v>139.9</v>
      </c>
      <c r="N14" s="6" t="n">
        <v>0</v>
      </c>
      <c r="O14" s="6" t="n">
        <v>0</v>
      </c>
      <c r="P14" s="6" t="n">
        <f aca="false">M14-(N14+O14)</f>
        <v>139.9</v>
      </c>
      <c r="Q14" s="6" t="n">
        <v>78.4</v>
      </c>
      <c r="R14" s="6" t="n">
        <v>56.7</v>
      </c>
      <c r="S14" s="6" t="n">
        <f aca="false">SUM(P14:R14)</f>
        <v>275</v>
      </c>
      <c r="T14" s="52"/>
      <c r="U14" s="6" t="n">
        <v>9.1</v>
      </c>
      <c r="V14" s="6" t="n">
        <v>1092</v>
      </c>
      <c r="W14" s="7" t="n">
        <f aca="false">W13</f>
        <v>9838.06999999996</v>
      </c>
      <c r="X14" s="6" t="n">
        <f aca="false">N14+O14+S14+U14+V14</f>
        <v>1376.1</v>
      </c>
      <c r="Y14" s="6" t="n">
        <f aca="false">IF(L14&lt;0,L14*-1,0)</f>
        <v>126.829821023444</v>
      </c>
      <c r="Z14" s="6" t="n">
        <f aca="false">X14+Y14</f>
        <v>1502.92982102344</v>
      </c>
      <c r="AA14" s="8" t="n">
        <v>0.02</v>
      </c>
      <c r="AB14" s="10" t="n">
        <v>77</v>
      </c>
      <c r="AC14" s="10" t="n">
        <v>49</v>
      </c>
      <c r="AD14" s="11" t="n">
        <v>5</v>
      </c>
      <c r="AE14" s="10"/>
      <c r="AF14" s="10"/>
      <c r="AH14" s="6"/>
    </row>
    <row r="15" customFormat="false" ht="11.1" hidden="false" customHeight="true" outlineLevel="0" collapsed="false">
      <c r="A15" s="11" t="n">
        <f aca="false">A14+1</f>
        <v>6</v>
      </c>
      <c r="B15" s="28" t="n">
        <v>6924.18</v>
      </c>
      <c r="C15" s="7" t="n">
        <v>381968</v>
      </c>
      <c r="D15" s="10" t="n">
        <f aca="false">C15-C14</f>
        <v>585</v>
      </c>
      <c r="E15" s="7" t="n">
        <f aca="false">C15-152000</f>
        <v>229968</v>
      </c>
      <c r="F15" s="6" t="n">
        <f aca="false">D15/$D$2</f>
        <v>294.933198890849</v>
      </c>
      <c r="G15" s="6" t="n">
        <v>1571.8</v>
      </c>
      <c r="H15" s="121" t="n">
        <v>26.9</v>
      </c>
      <c r="I15" s="6" t="n">
        <f aca="false">G15+H15</f>
        <v>1598.7</v>
      </c>
      <c r="J15" s="107" t="n">
        <f aca="false">IF(L15&gt;0,L15,0)</f>
        <v>306.233198890849</v>
      </c>
      <c r="K15" s="6" t="n">
        <f aca="false">I15+J15</f>
        <v>1904.93319889085</v>
      </c>
      <c r="L15" s="6" t="n">
        <f aca="false">F15-(I15-X15)</f>
        <v>306.233198890849</v>
      </c>
      <c r="M15" s="6" t="n">
        <v>153.4</v>
      </c>
      <c r="N15" s="6" t="n">
        <v>0</v>
      </c>
      <c r="O15" s="6" t="n">
        <v>0</v>
      </c>
      <c r="P15" s="6" t="n">
        <f aca="false">M15-(N15+O15)</f>
        <v>153.4</v>
      </c>
      <c r="Q15" s="6" t="n">
        <v>78.8</v>
      </c>
      <c r="R15" s="6" t="n">
        <v>56.8</v>
      </c>
      <c r="S15" s="6" t="n">
        <f aca="false">SUM(P15:R15)</f>
        <v>289</v>
      </c>
      <c r="T15" s="52"/>
      <c r="U15" s="6" t="n">
        <v>11</v>
      </c>
      <c r="V15" s="6" t="n">
        <v>1310</v>
      </c>
      <c r="W15" s="7" t="n">
        <f aca="false">W14</f>
        <v>9838.06999999996</v>
      </c>
      <c r="X15" s="6" t="n">
        <f aca="false">N15+O15+S15+U15+V15</f>
        <v>1610</v>
      </c>
      <c r="Y15" s="6" t="n">
        <f aca="false">IF(L15&lt;0,L15*-1,0)</f>
        <v>0</v>
      </c>
      <c r="Z15" s="6" t="n">
        <f aca="false">X15+Y15</f>
        <v>1610</v>
      </c>
      <c r="AA15" s="8" t="n">
        <v>0</v>
      </c>
      <c r="AB15" s="10" t="n">
        <v>76</v>
      </c>
      <c r="AC15" s="10" t="n">
        <v>46</v>
      </c>
      <c r="AD15" s="11" t="n">
        <f aca="false">AD14+1</f>
        <v>6</v>
      </c>
      <c r="AE15" s="10"/>
      <c r="AF15" s="10"/>
      <c r="AH15" s="6"/>
    </row>
    <row r="16" customFormat="false" ht="11.1" hidden="false" customHeight="true" outlineLevel="0" collapsed="false">
      <c r="A16" s="11" t="n">
        <f aca="false">A15+1</f>
        <v>7</v>
      </c>
      <c r="B16" s="28" t="n">
        <v>6924.1</v>
      </c>
      <c r="C16" s="7" t="n">
        <v>381609</v>
      </c>
      <c r="D16" s="10" t="n">
        <f aca="false">C16-C15</f>
        <v>-359</v>
      </c>
      <c r="E16" s="7" t="n">
        <f aca="false">C16-152000</f>
        <v>229609</v>
      </c>
      <c r="F16" s="6" t="n">
        <f aca="false">D16/$D$2</f>
        <v>-180.993193849256</v>
      </c>
      <c r="G16" s="6" t="n">
        <v>1449.1</v>
      </c>
      <c r="H16" s="121" t="n">
        <v>9.8</v>
      </c>
      <c r="I16" s="6" t="n">
        <f aca="false">G16+H16</f>
        <v>1458.9</v>
      </c>
      <c r="J16" s="107" t="n">
        <f aca="false">IF(L16&gt;0,L16,0)</f>
        <v>69.1068061507438</v>
      </c>
      <c r="K16" s="6" t="n">
        <f aca="false">I16+J16</f>
        <v>1528.00680615074</v>
      </c>
      <c r="L16" s="6" t="n">
        <f aca="false">F16-(I16-X16)</f>
        <v>69.1068061507438</v>
      </c>
      <c r="M16" s="6" t="n">
        <v>156.2</v>
      </c>
      <c r="N16" s="6" t="n">
        <v>0</v>
      </c>
      <c r="O16" s="6" t="n">
        <v>0</v>
      </c>
      <c r="P16" s="6" t="n">
        <f aca="false">M16-(N16+O16)</f>
        <v>156.2</v>
      </c>
      <c r="Q16" s="6" t="n">
        <v>78.6</v>
      </c>
      <c r="R16" s="6" t="n">
        <v>55.2</v>
      </c>
      <c r="S16" s="6" t="n">
        <f aca="false">SUM(P16:R16)</f>
        <v>290</v>
      </c>
      <c r="T16" s="52"/>
      <c r="U16" s="6" t="n">
        <v>19</v>
      </c>
      <c r="V16" s="6" t="n">
        <v>1400</v>
      </c>
      <c r="W16" s="7" t="n">
        <f aca="false">W15</f>
        <v>9838.06999999996</v>
      </c>
      <c r="X16" s="6" t="n">
        <f aca="false">N16+O16+S16+U16+V16</f>
        <v>1709</v>
      </c>
      <c r="Y16" s="6" t="n">
        <f aca="false">IF(L16&lt;0,L16*-1,0)</f>
        <v>0</v>
      </c>
      <c r="Z16" s="6" t="n">
        <f aca="false">X16+Y16</f>
        <v>1709</v>
      </c>
      <c r="AA16" s="8" t="n">
        <v>0</v>
      </c>
      <c r="AB16" s="10" t="n">
        <v>76</v>
      </c>
      <c r="AC16" s="10" t="n">
        <v>44</v>
      </c>
      <c r="AD16" s="11" t="n">
        <f aca="false">AD15+1</f>
        <v>7</v>
      </c>
      <c r="AE16" s="10"/>
      <c r="AF16" s="10"/>
      <c r="AH16" s="6"/>
    </row>
    <row r="17" customFormat="false" ht="11.1" hidden="false" customHeight="true" outlineLevel="0" collapsed="false">
      <c r="A17" s="11" t="n">
        <f aca="false">A16+1</f>
        <v>8</v>
      </c>
      <c r="B17" s="28" t="n">
        <v>6923.95</v>
      </c>
      <c r="C17" s="7" t="n">
        <v>380938</v>
      </c>
      <c r="D17" s="10" t="n">
        <f aca="false">C17-C16</f>
        <v>-671</v>
      </c>
      <c r="E17" s="7" t="n">
        <f aca="false">C17-152000</f>
        <v>228938</v>
      </c>
      <c r="F17" s="6" t="n">
        <f aca="false">D17/$D$2</f>
        <v>-338.290899924376</v>
      </c>
      <c r="G17" s="6" t="n">
        <v>1289.2</v>
      </c>
      <c r="H17" s="121" t="n">
        <v>4.5</v>
      </c>
      <c r="I17" s="6" t="n">
        <f aca="false">G17+H17</f>
        <v>1293.7</v>
      </c>
      <c r="J17" s="107" t="n">
        <f aca="false">IF(L17&gt;0,L17,0)</f>
        <v>0</v>
      </c>
      <c r="K17" s="6" t="n">
        <f aca="false">I17+J17</f>
        <v>1293.7</v>
      </c>
      <c r="L17" s="6" t="n">
        <f aca="false">F17-(I17-X17)</f>
        <v>-81.9908999243762</v>
      </c>
      <c r="M17" s="6" t="n">
        <v>156.7</v>
      </c>
      <c r="N17" s="6" t="n">
        <v>0</v>
      </c>
      <c r="O17" s="6" t="n">
        <v>0</v>
      </c>
      <c r="P17" s="6" t="n">
        <f aca="false">M17-(N17+O17)</f>
        <v>156.7</v>
      </c>
      <c r="Q17" s="6" t="n">
        <v>155</v>
      </c>
      <c r="R17" s="6" t="n">
        <v>61.3</v>
      </c>
      <c r="S17" s="6" t="n">
        <f aca="false">SUM(P17:R17)</f>
        <v>373</v>
      </c>
      <c r="T17" s="52"/>
      <c r="U17" s="6" t="n">
        <v>10</v>
      </c>
      <c r="V17" s="6" t="n">
        <v>1167</v>
      </c>
      <c r="W17" s="7" t="n">
        <f aca="false">W16</f>
        <v>9838.06999999996</v>
      </c>
      <c r="X17" s="6" t="n">
        <f aca="false">N17+O17+S17+U17+V17</f>
        <v>1550</v>
      </c>
      <c r="Y17" s="6" t="n">
        <f aca="false">IF(L17&lt;0,L17*-1,0)</f>
        <v>81.9908999243762</v>
      </c>
      <c r="Z17" s="6" t="n">
        <f aca="false">X17+Y17</f>
        <v>1631.99089992438</v>
      </c>
      <c r="AA17" s="8" t="n">
        <v>0.06</v>
      </c>
      <c r="AB17" s="10" t="n">
        <v>61</v>
      </c>
      <c r="AC17" s="10" t="n">
        <v>45</v>
      </c>
      <c r="AD17" s="11" t="n">
        <f aca="false">AD16+1</f>
        <v>8</v>
      </c>
      <c r="AE17" s="10"/>
      <c r="AF17" s="10"/>
      <c r="AH17" s="6"/>
    </row>
    <row r="18" customFormat="false" ht="11.1" hidden="false" customHeight="true" outlineLevel="0" collapsed="false">
      <c r="A18" s="11" t="n">
        <f aca="false">A17+1</f>
        <v>9</v>
      </c>
      <c r="B18" s="28" t="n">
        <v>6923.88</v>
      </c>
      <c r="C18" s="7" t="n">
        <v>380625</v>
      </c>
      <c r="D18" s="10" t="n">
        <f aca="false">C18-C17</f>
        <v>-313</v>
      </c>
      <c r="E18" s="7" t="n">
        <f aca="false">C18-152000</f>
        <v>228625</v>
      </c>
      <c r="F18" s="6" t="n">
        <f aca="false">D18/$D$2</f>
        <v>-157.801865389463</v>
      </c>
      <c r="G18" s="6" t="n">
        <v>1177.8</v>
      </c>
      <c r="H18" s="121" t="n">
        <v>4.3</v>
      </c>
      <c r="I18" s="6" t="n">
        <f aca="false">G18+H18</f>
        <v>1182.1</v>
      </c>
      <c r="J18" s="107" t="n">
        <f aca="false">IF(L18&gt;0,L18,0)</f>
        <v>0</v>
      </c>
      <c r="K18" s="6" t="n">
        <f aca="false">I18+J18</f>
        <v>1182.1</v>
      </c>
      <c r="L18" s="6" t="n">
        <f aca="false">F18-(I18-X18)</f>
        <v>-48.8018653894631</v>
      </c>
      <c r="M18" s="6" t="n">
        <v>157.8</v>
      </c>
      <c r="N18" s="6" t="n">
        <v>0</v>
      </c>
      <c r="O18" s="6" t="n">
        <v>0</v>
      </c>
      <c r="P18" s="6" t="n">
        <f aca="false">M18-(N18+O18)</f>
        <v>157.8</v>
      </c>
      <c r="Q18" s="6" t="n">
        <v>176.5</v>
      </c>
      <c r="R18" s="6" t="n">
        <v>65.8</v>
      </c>
      <c r="S18" s="6" t="n">
        <f aca="false">SUM(P18:R18)</f>
        <v>400.1</v>
      </c>
      <c r="T18" s="52"/>
      <c r="U18" s="6" t="n">
        <v>12</v>
      </c>
      <c r="V18" s="6" t="n">
        <v>879</v>
      </c>
      <c r="W18" s="7" t="n">
        <f aca="false">W17</f>
        <v>9838.06999999996</v>
      </c>
      <c r="X18" s="6" t="n">
        <f aca="false">N18+O18+S18+U18+V18</f>
        <v>1291.1</v>
      </c>
      <c r="Y18" s="6" t="n">
        <f aca="false">IF(L18&lt;0,L18*-1,0)</f>
        <v>48.8018653894631</v>
      </c>
      <c r="Z18" s="6" t="n">
        <f aca="false">X18+Y18</f>
        <v>1339.90186538946</v>
      </c>
      <c r="AA18" s="8" t="n">
        <v>0</v>
      </c>
      <c r="AB18" s="10" t="n">
        <v>69</v>
      </c>
      <c r="AC18" s="10" t="n">
        <v>41</v>
      </c>
      <c r="AD18" s="11" t="n">
        <f aca="false">AD17+1</f>
        <v>9</v>
      </c>
      <c r="AE18" s="10"/>
      <c r="AF18" s="10"/>
      <c r="AH18" s="6"/>
    </row>
    <row r="19" customFormat="false" ht="11.1" hidden="false" customHeight="true" outlineLevel="0" collapsed="false">
      <c r="A19" s="11" t="n">
        <f aca="false">A18+1</f>
        <v>10</v>
      </c>
      <c r="B19" s="28" t="n">
        <v>6923.83</v>
      </c>
      <c r="C19" s="7" t="n">
        <v>380404</v>
      </c>
      <c r="D19" s="10" t="n">
        <f aca="false">C19-C18</f>
        <v>-221</v>
      </c>
      <c r="E19" s="7" t="n">
        <f aca="false">C19-152000</f>
        <v>228404</v>
      </c>
      <c r="F19" s="6" t="n">
        <f aca="false">D19/$D$2</f>
        <v>-111.419208469876</v>
      </c>
      <c r="G19" s="6" t="n">
        <v>1091.8</v>
      </c>
      <c r="H19" s="121" t="n">
        <v>3.5</v>
      </c>
      <c r="I19" s="6" t="n">
        <f aca="false">G19+H19</f>
        <v>1095.3</v>
      </c>
      <c r="J19" s="107" t="n">
        <f aca="false">IF(L19&gt;0,L19,0)</f>
        <v>0</v>
      </c>
      <c r="K19" s="6" t="n">
        <f aca="false">I19+J19</f>
        <v>1095.3</v>
      </c>
      <c r="L19" s="6" t="n">
        <f aca="false">F19-(I19-X19)</f>
        <v>-114.619208469877</v>
      </c>
      <c r="M19" s="6" t="n">
        <v>157.8</v>
      </c>
      <c r="N19" s="6" t="n">
        <v>0</v>
      </c>
      <c r="O19" s="6" t="n">
        <v>0</v>
      </c>
      <c r="P19" s="6" t="n">
        <f aca="false">M19-(N19+O19)</f>
        <v>157.8</v>
      </c>
      <c r="Q19" s="6" t="n">
        <v>177.7</v>
      </c>
      <c r="R19" s="6" t="n">
        <v>65.5</v>
      </c>
      <c r="S19" s="6" t="n">
        <f aca="false">SUM(P19:R19)</f>
        <v>401</v>
      </c>
      <c r="T19" s="52"/>
      <c r="U19" s="6" t="n">
        <v>8.1</v>
      </c>
      <c r="V19" s="6" t="n">
        <v>683</v>
      </c>
      <c r="W19" s="7" t="n">
        <f aca="false">W18</f>
        <v>9838.06999999996</v>
      </c>
      <c r="X19" s="6" t="n">
        <f aca="false">N19+O19+S19+U19+V19</f>
        <v>1092.1</v>
      </c>
      <c r="Y19" s="6" t="n">
        <f aca="false">IF(L19&lt;0,L19*-1,0)</f>
        <v>114.619208469877</v>
      </c>
      <c r="Z19" s="6" t="n">
        <f aca="false">X19+Y19</f>
        <v>1206.71920846988</v>
      </c>
      <c r="AA19" s="8" t="n">
        <v>0.32</v>
      </c>
      <c r="AB19" s="10" t="n">
        <v>78</v>
      </c>
      <c r="AC19" s="10" t="n">
        <v>44</v>
      </c>
      <c r="AD19" s="11" t="n">
        <f aca="false">AD18+1</f>
        <v>10</v>
      </c>
      <c r="AE19" s="10"/>
      <c r="AF19" s="10"/>
      <c r="AH19" s="6"/>
    </row>
    <row r="20" customFormat="false" ht="11.1" hidden="false" customHeight="true" outlineLevel="0" collapsed="false">
      <c r="A20" s="11" t="n">
        <f aca="false">A19+1</f>
        <v>11</v>
      </c>
      <c r="B20" s="28" t="n">
        <v>6923.88</v>
      </c>
      <c r="C20" s="7" t="n">
        <v>380625</v>
      </c>
      <c r="D20" s="10" t="n">
        <f aca="false">C20-C19</f>
        <v>221</v>
      </c>
      <c r="E20" s="7" t="n">
        <f aca="false">C20-152000</f>
        <v>228625</v>
      </c>
      <c r="F20" s="6" t="n">
        <f aca="false">D20/$D$2</f>
        <v>111.419208469876</v>
      </c>
      <c r="G20" s="6" t="n">
        <v>1147.9</v>
      </c>
      <c r="H20" s="121" t="n">
        <v>2.5</v>
      </c>
      <c r="I20" s="6" t="n">
        <f aca="false">G20+H20</f>
        <v>1150.4</v>
      </c>
      <c r="J20" s="107" t="n">
        <f aca="false">IF(L20&gt;0,L20,0)</f>
        <v>0.0192084698763892</v>
      </c>
      <c r="K20" s="6" t="n">
        <f aca="false">I20+J20</f>
        <v>1150.41920846988</v>
      </c>
      <c r="L20" s="6" t="n">
        <f aca="false">F20-(I20-X20)</f>
        <v>0.0192084698763892</v>
      </c>
      <c r="M20" s="6" t="n">
        <v>157.8</v>
      </c>
      <c r="N20" s="6" t="n">
        <v>0</v>
      </c>
      <c r="O20" s="6" t="n">
        <v>0</v>
      </c>
      <c r="P20" s="6" t="n">
        <f aca="false">M20-(N20+O20)</f>
        <v>157.8</v>
      </c>
      <c r="Q20" s="6" t="n">
        <v>178.5</v>
      </c>
      <c r="R20" s="6" t="n">
        <v>69.7</v>
      </c>
      <c r="S20" s="6" t="n">
        <f aca="false">SUM(P20:R20)</f>
        <v>406</v>
      </c>
      <c r="T20" s="52"/>
      <c r="U20" s="6" t="n">
        <v>33</v>
      </c>
      <c r="V20" s="6" t="n">
        <v>600</v>
      </c>
      <c r="W20" s="7" t="n">
        <f aca="false">W19</f>
        <v>9838.06999999996</v>
      </c>
      <c r="X20" s="6" t="n">
        <f aca="false">N20+O20+S20+U20+V20</f>
        <v>1039</v>
      </c>
      <c r="Y20" s="6" t="n">
        <f aca="false">IF(L20&lt;0,L20*-1,0)</f>
        <v>0</v>
      </c>
      <c r="Z20" s="6" t="n">
        <f aca="false">X20+Y20</f>
        <v>1039</v>
      </c>
      <c r="AA20" s="8" t="n">
        <v>0.08</v>
      </c>
      <c r="AB20" s="10" t="n">
        <v>79</v>
      </c>
      <c r="AC20" s="10" t="n">
        <v>48</v>
      </c>
      <c r="AD20" s="11" t="n">
        <f aca="false">AD19+1</f>
        <v>11</v>
      </c>
      <c r="AE20" s="10"/>
      <c r="AF20" s="10"/>
      <c r="AH20" s="6"/>
    </row>
    <row r="21" customFormat="false" ht="11.1" hidden="false" customHeight="true" outlineLevel="0" collapsed="false">
      <c r="A21" s="11" t="n">
        <f aca="false">A20+1</f>
        <v>12</v>
      </c>
      <c r="B21" s="28" t="n">
        <v>6923.91</v>
      </c>
      <c r="C21" s="7" t="n">
        <v>380760</v>
      </c>
      <c r="D21" s="10" t="n">
        <f aca="false">C21-C20</f>
        <v>135</v>
      </c>
      <c r="E21" s="7" t="n">
        <f aca="false">C21-152000</f>
        <v>228760</v>
      </c>
      <c r="F21" s="6" t="n">
        <f aca="false">D21/$D$2</f>
        <v>68.0615074363499</v>
      </c>
      <c r="G21" s="6" t="n">
        <v>1166.8</v>
      </c>
      <c r="H21" s="121" t="n">
        <v>1.8</v>
      </c>
      <c r="I21" s="6" t="n">
        <f aca="false">G21+H21</f>
        <v>1168.6</v>
      </c>
      <c r="J21" s="107" t="n">
        <f aca="false">IF(L21&gt;0,L21,0)</f>
        <v>0</v>
      </c>
      <c r="K21" s="6" t="n">
        <f aca="false">I21+J21</f>
        <v>1168.6</v>
      </c>
      <c r="L21" s="6" t="n">
        <f aca="false">F21-(I21-X21)</f>
        <v>-73.4384925636501</v>
      </c>
      <c r="M21" s="6" t="n">
        <v>159.5</v>
      </c>
      <c r="N21" s="6" t="n">
        <v>0</v>
      </c>
      <c r="O21" s="6" t="n">
        <v>0</v>
      </c>
      <c r="P21" s="6" t="n">
        <f aca="false">M21-(N21+O21)</f>
        <v>159.5</v>
      </c>
      <c r="Q21" s="6" t="n">
        <v>159.1</v>
      </c>
      <c r="R21" s="6" t="n">
        <v>72.5</v>
      </c>
      <c r="S21" s="6" t="n">
        <f aca="false">SUM(P21:R21)</f>
        <v>391.1</v>
      </c>
      <c r="T21" s="52"/>
      <c r="U21" s="6" t="n">
        <v>36</v>
      </c>
      <c r="V21" s="6" t="n">
        <v>600</v>
      </c>
      <c r="W21" s="7" t="n">
        <f aca="false">W20</f>
        <v>9838.06999999996</v>
      </c>
      <c r="X21" s="6" t="n">
        <f aca="false">N21+O21+S21+U21+V21</f>
        <v>1027.1</v>
      </c>
      <c r="Y21" s="6" t="n">
        <f aca="false">IF(L21&lt;0,L21*-1,0)</f>
        <v>73.4384925636501</v>
      </c>
      <c r="Z21" s="6" t="n">
        <f aca="false">X21+Y21</f>
        <v>1100.53849256365</v>
      </c>
      <c r="AA21" s="8" t="n">
        <v>0</v>
      </c>
      <c r="AB21" s="10" t="n">
        <v>80</v>
      </c>
      <c r="AC21" s="10" t="n">
        <v>45</v>
      </c>
      <c r="AD21" s="11" t="n">
        <f aca="false">AD20+1</f>
        <v>12</v>
      </c>
      <c r="AE21" s="10"/>
      <c r="AF21" s="10"/>
      <c r="AH21" s="6"/>
    </row>
    <row r="22" customFormat="false" ht="11.1" hidden="false" customHeight="true" outlineLevel="0" collapsed="false">
      <c r="A22" s="11" t="n">
        <f aca="false">A21+1</f>
        <v>13</v>
      </c>
      <c r="B22" s="28" t="n">
        <v>6923.93</v>
      </c>
      <c r="C22" s="7" t="n">
        <v>380849</v>
      </c>
      <c r="D22" s="10" t="n">
        <f aca="false">C22-C21</f>
        <v>89</v>
      </c>
      <c r="E22" s="7" t="n">
        <f aca="false">C22-152000</f>
        <v>228849</v>
      </c>
      <c r="F22" s="6" t="n">
        <f aca="false">D22/$D$2</f>
        <v>44.8701789765566</v>
      </c>
      <c r="G22" s="6" t="n">
        <v>1265.2</v>
      </c>
      <c r="H22" s="121" t="n">
        <v>1.4</v>
      </c>
      <c r="I22" s="6" t="n">
        <f aca="false">G22+H22</f>
        <v>1266.6</v>
      </c>
      <c r="J22" s="107" t="n">
        <f aca="false">IF(L22&gt;0,L22,0)</f>
        <v>0</v>
      </c>
      <c r="K22" s="6" t="n">
        <f aca="false">I22+J22</f>
        <v>1266.6</v>
      </c>
      <c r="L22" s="6" t="n">
        <f aca="false">F22-(I22-X22)</f>
        <v>-102.629821023444</v>
      </c>
      <c r="M22" s="6" t="n">
        <v>161.7</v>
      </c>
      <c r="N22" s="6" t="n">
        <v>0</v>
      </c>
      <c r="O22" s="6" t="n">
        <v>0</v>
      </c>
      <c r="P22" s="6" t="n">
        <f aca="false">M22-(N22+O22)</f>
        <v>161.7</v>
      </c>
      <c r="Q22" s="6" t="n">
        <v>146.2</v>
      </c>
      <c r="R22" s="6" t="n">
        <v>70.2</v>
      </c>
      <c r="S22" s="6" t="n">
        <f aca="false">SUM(P22:R22)</f>
        <v>378.1</v>
      </c>
      <c r="T22" s="52"/>
      <c r="U22" s="6" t="n">
        <v>25</v>
      </c>
      <c r="V22" s="6" t="n">
        <v>716</v>
      </c>
      <c r="W22" s="7" t="n">
        <f aca="false">W21</f>
        <v>9838.06999999996</v>
      </c>
      <c r="X22" s="6" t="n">
        <f aca="false">N22+O22+S22+U22+V22</f>
        <v>1119.1</v>
      </c>
      <c r="Y22" s="6" t="n">
        <f aca="false">IF(L22&lt;0,L22*-1,0)</f>
        <v>102.629821023444</v>
      </c>
      <c r="Z22" s="6" t="n">
        <f aca="false">X22+Y22</f>
        <v>1221.72982102344</v>
      </c>
      <c r="AA22" s="8" t="n">
        <v>0</v>
      </c>
      <c r="AB22" s="10" t="n">
        <v>77</v>
      </c>
      <c r="AC22" s="10" t="n">
        <v>45</v>
      </c>
      <c r="AD22" s="11" t="n">
        <f aca="false">AD21+1</f>
        <v>13</v>
      </c>
      <c r="AE22" s="10"/>
      <c r="AF22" s="10"/>
      <c r="AH22" s="6"/>
    </row>
    <row r="23" customFormat="false" ht="11.1" hidden="false" customHeight="true" outlineLevel="0" collapsed="false">
      <c r="A23" s="11" t="n">
        <f aca="false">A22+1</f>
        <v>14</v>
      </c>
      <c r="B23" s="28" t="n">
        <v>6923.83</v>
      </c>
      <c r="C23" s="7" t="n">
        <v>380404</v>
      </c>
      <c r="D23" s="10" t="n">
        <f aca="false">C23-C22</f>
        <v>-445</v>
      </c>
      <c r="E23" s="7" t="n">
        <f aca="false">C23-152000</f>
        <v>228404</v>
      </c>
      <c r="F23" s="6" t="n">
        <f aca="false">D23/$D$2</f>
        <v>-224.350894882783</v>
      </c>
      <c r="G23" s="6" t="n">
        <v>1177.3</v>
      </c>
      <c r="H23" s="121" t="n">
        <v>1.4</v>
      </c>
      <c r="I23" s="6" t="n">
        <f aca="false">G23+H23</f>
        <v>1178.7</v>
      </c>
      <c r="J23" s="107" t="n">
        <f aca="false">IF(L23&gt;0,L23,0)</f>
        <v>0</v>
      </c>
      <c r="K23" s="6" t="n">
        <f aca="false">I23+J23</f>
        <v>1178.7</v>
      </c>
      <c r="L23" s="6" t="n">
        <f aca="false">F23-(I23-X23)</f>
        <v>-196.050894882783</v>
      </c>
      <c r="M23" s="6" t="n">
        <v>160.4</v>
      </c>
      <c r="N23" s="6" t="n">
        <v>0</v>
      </c>
      <c r="O23" s="6" t="n">
        <v>0</v>
      </c>
      <c r="P23" s="6" t="n">
        <f aca="false">M23-(N23+O23)</f>
        <v>160.4</v>
      </c>
      <c r="Q23" s="6" t="n">
        <v>147.6</v>
      </c>
      <c r="R23" s="6" t="n">
        <v>71</v>
      </c>
      <c r="S23" s="6" t="n">
        <f aca="false">SUM(P23:R23)</f>
        <v>379</v>
      </c>
      <c r="T23" s="52"/>
      <c r="U23" s="6" t="n">
        <v>28</v>
      </c>
      <c r="V23" s="6" t="n">
        <v>800</v>
      </c>
      <c r="W23" s="7" t="n">
        <f aca="false">W22</f>
        <v>9838.06999999996</v>
      </c>
      <c r="X23" s="6" t="n">
        <f aca="false">N23+O23+S23+U23+V23</f>
        <v>1207</v>
      </c>
      <c r="Y23" s="6" t="n">
        <f aca="false">IF(L23&lt;0,L23*-1,0)</f>
        <v>196.050894882783</v>
      </c>
      <c r="Z23" s="6" t="n">
        <f aca="false">X23+Y23</f>
        <v>1403.05089488278</v>
      </c>
      <c r="AA23" s="8" t="n">
        <v>0</v>
      </c>
      <c r="AB23" s="10" t="n">
        <v>75</v>
      </c>
      <c r="AC23" s="10" t="n">
        <v>45</v>
      </c>
      <c r="AD23" s="11" t="n">
        <f aca="false">AD22+1</f>
        <v>14</v>
      </c>
      <c r="AE23" s="10"/>
      <c r="AF23" s="10"/>
      <c r="AH23" s="6"/>
    </row>
    <row r="24" customFormat="false" ht="11.1" hidden="false" customHeight="true" outlineLevel="0" collapsed="false">
      <c r="A24" s="11" t="n">
        <f aca="false">A23+1</f>
        <v>15</v>
      </c>
      <c r="B24" s="28" t="n">
        <v>6923.91</v>
      </c>
      <c r="C24" s="7" t="n">
        <v>380760</v>
      </c>
      <c r="D24" s="10" t="n">
        <f aca="false">C24-C23</f>
        <v>356</v>
      </c>
      <c r="E24" s="7" t="n">
        <f aca="false">C24-152000</f>
        <v>228760</v>
      </c>
      <c r="F24" s="6" t="n">
        <f aca="false">D24/$D$2</f>
        <v>179.480715906226</v>
      </c>
      <c r="G24" s="6" t="n">
        <v>1057.2</v>
      </c>
      <c r="H24" s="121" t="n">
        <v>1.3</v>
      </c>
      <c r="I24" s="6" t="n">
        <f aca="false">G24+H24</f>
        <v>1058.5</v>
      </c>
      <c r="J24" s="107" t="n">
        <f aca="false">IF(L24&gt;0,L24,0)</f>
        <v>5.98071590622635</v>
      </c>
      <c r="K24" s="6" t="n">
        <f aca="false">I24+J24</f>
        <v>1064.48071590623</v>
      </c>
      <c r="L24" s="6" t="n">
        <f aca="false">F24-(I24-X24)</f>
        <v>5.98071590622635</v>
      </c>
      <c r="M24" s="6" t="n">
        <v>167.9</v>
      </c>
      <c r="N24" s="6" t="n">
        <v>0</v>
      </c>
      <c r="O24" s="6" t="n">
        <v>0</v>
      </c>
      <c r="P24" s="6" t="n">
        <f aca="false">M24-(N24+O24)</f>
        <v>167.9</v>
      </c>
      <c r="Q24" s="6" t="n">
        <v>149.4</v>
      </c>
      <c r="R24" s="6" t="n">
        <v>75.7</v>
      </c>
      <c r="S24" s="6" t="n">
        <f aca="false">SUM(P24:R24)</f>
        <v>393</v>
      </c>
      <c r="T24" s="52"/>
      <c r="U24" s="6" t="n">
        <v>46</v>
      </c>
      <c r="V24" s="6" t="n">
        <v>446</v>
      </c>
      <c r="W24" s="7" t="n">
        <f aca="false">W23</f>
        <v>9838.06999999996</v>
      </c>
      <c r="X24" s="6" t="n">
        <f aca="false">N24+O24+S24+U24+V24</f>
        <v>885</v>
      </c>
      <c r="Y24" s="6" t="n">
        <f aca="false">IF(L24&lt;0,L24*-1,0)</f>
        <v>0</v>
      </c>
      <c r="Z24" s="6" t="n">
        <f aca="false">X24+Y24</f>
        <v>885</v>
      </c>
      <c r="AA24" s="8" t="n">
        <v>0</v>
      </c>
      <c r="AB24" s="10" t="n">
        <v>69</v>
      </c>
      <c r="AC24" s="10" t="n">
        <v>37</v>
      </c>
      <c r="AD24" s="11" t="n">
        <f aca="false">AD23+1</f>
        <v>15</v>
      </c>
      <c r="AE24" s="10"/>
      <c r="AF24" s="10"/>
      <c r="AH24" s="6"/>
    </row>
    <row r="25" customFormat="false" ht="11.1" hidden="false" customHeight="true" outlineLevel="0" collapsed="false">
      <c r="A25" s="11" t="n">
        <f aca="false">A24+1</f>
        <v>16</v>
      </c>
      <c r="B25" s="28" t="n">
        <v>6923.95</v>
      </c>
      <c r="C25" s="7" t="n">
        <v>380938</v>
      </c>
      <c r="D25" s="10" t="n">
        <f aca="false">C25-C24</f>
        <v>178</v>
      </c>
      <c r="E25" s="7" t="n">
        <f aca="false">C25-152000</f>
        <v>228938</v>
      </c>
      <c r="F25" s="6" t="n">
        <f aca="false">D25/$D$2</f>
        <v>89.7403579531132</v>
      </c>
      <c r="G25" s="6" t="n">
        <v>930.7</v>
      </c>
      <c r="H25" s="121" t="n">
        <v>1.7</v>
      </c>
      <c r="I25" s="6" t="n">
        <f aca="false">G25+H25</f>
        <v>932.4</v>
      </c>
      <c r="J25" s="107" t="n">
        <f aca="false">IF(L25&gt;0,L25,0)</f>
        <v>0</v>
      </c>
      <c r="K25" s="6" t="n">
        <f aca="false">I25+J25</f>
        <v>932.4</v>
      </c>
      <c r="L25" s="6" t="n">
        <f aca="false">F25-(I25-X25)</f>
        <v>-84.6596420468869</v>
      </c>
      <c r="M25" s="6" t="n">
        <v>174.8</v>
      </c>
      <c r="N25" s="6" t="n">
        <v>0</v>
      </c>
      <c r="O25" s="6" t="n">
        <v>0</v>
      </c>
      <c r="P25" s="6" t="n">
        <f aca="false">M25-(N25+O25)</f>
        <v>174.8</v>
      </c>
      <c r="Q25" s="6" t="n">
        <v>148.1</v>
      </c>
      <c r="R25" s="6" t="n">
        <v>76.1</v>
      </c>
      <c r="S25" s="6" t="n">
        <f aca="false">SUM(P25:R25)</f>
        <v>399</v>
      </c>
      <c r="T25" s="52"/>
      <c r="U25" s="6" t="n">
        <v>58</v>
      </c>
      <c r="V25" s="6" t="n">
        <v>301</v>
      </c>
      <c r="W25" s="7" t="n">
        <f aca="false">W24</f>
        <v>9838.06999999996</v>
      </c>
      <c r="X25" s="6" t="n">
        <f aca="false">N25+O25+S25+U25+V25</f>
        <v>758</v>
      </c>
      <c r="Y25" s="6" t="n">
        <f aca="false">IF(L25&lt;0,L25*-1,0)</f>
        <v>84.6596420468869</v>
      </c>
      <c r="Z25" s="6" t="n">
        <f aca="false">X25+Y25</f>
        <v>842.659642046887</v>
      </c>
      <c r="AA25" s="8" t="n">
        <v>0</v>
      </c>
      <c r="AB25" s="10" t="n">
        <v>67</v>
      </c>
      <c r="AC25" s="10" t="n">
        <v>41</v>
      </c>
      <c r="AD25" s="11" t="n">
        <f aca="false">AD24+1</f>
        <v>16</v>
      </c>
      <c r="AE25" s="10"/>
      <c r="AF25" s="10"/>
      <c r="AH25" s="6"/>
    </row>
    <row r="26" customFormat="false" ht="11.1" hidden="false" customHeight="true" outlineLevel="0" collapsed="false">
      <c r="A26" s="11" t="n">
        <f aca="false">A25+1</f>
        <v>17</v>
      </c>
      <c r="B26" s="28" t="n">
        <v>6923.98</v>
      </c>
      <c r="C26" s="7" t="n">
        <v>381071</v>
      </c>
      <c r="D26" s="10" t="n">
        <f aca="false">C26-C25</f>
        <v>133</v>
      </c>
      <c r="E26" s="7" t="n">
        <f aca="false">C26-152000</f>
        <v>229071</v>
      </c>
      <c r="F26" s="6" t="n">
        <f aca="false">D26/$D$2</f>
        <v>67.0531888076632</v>
      </c>
      <c r="G26" s="6" t="n">
        <v>806.6</v>
      </c>
      <c r="H26" s="121" t="n">
        <v>1.4</v>
      </c>
      <c r="I26" s="6" t="n">
        <f aca="false">G26+H26</f>
        <v>808</v>
      </c>
      <c r="J26" s="107" t="n">
        <f aca="false">IF(L26&gt;0,L26,0)</f>
        <v>0</v>
      </c>
      <c r="K26" s="6" t="n">
        <f aca="false">I26+J26</f>
        <v>808</v>
      </c>
      <c r="L26" s="6" t="n">
        <f aca="false">F26-(I26-X26)</f>
        <v>-20.9468111923368</v>
      </c>
      <c r="M26" s="6" t="n">
        <v>175</v>
      </c>
      <c r="N26" s="6" t="n">
        <v>0</v>
      </c>
      <c r="O26" s="6" t="n">
        <v>0</v>
      </c>
      <c r="P26" s="6" t="n">
        <f aca="false">M26-(N26+O26)</f>
        <v>175</v>
      </c>
      <c r="Q26" s="6" t="n">
        <v>148.8</v>
      </c>
      <c r="R26" s="6" t="n">
        <v>76.2</v>
      </c>
      <c r="S26" s="6" t="n">
        <f aca="false">SUM(P26:R26)</f>
        <v>400</v>
      </c>
      <c r="T26" s="52"/>
      <c r="U26" s="6" t="n">
        <v>58</v>
      </c>
      <c r="V26" s="6" t="n">
        <v>262</v>
      </c>
      <c r="W26" s="7" t="n">
        <f aca="false">W25</f>
        <v>9838.06999999996</v>
      </c>
      <c r="X26" s="6" t="n">
        <f aca="false">N26+O26+S26+U26+V26</f>
        <v>720</v>
      </c>
      <c r="Y26" s="6" t="n">
        <f aca="false">IF(L26&lt;0,L26*-1,0)</f>
        <v>20.9468111923368</v>
      </c>
      <c r="Z26" s="6" t="n">
        <f aca="false">X26+Y26</f>
        <v>740.946811192337</v>
      </c>
      <c r="AA26" s="8" t="n">
        <v>0</v>
      </c>
      <c r="AB26" s="10" t="n">
        <v>74</v>
      </c>
      <c r="AC26" s="10" t="n">
        <v>40</v>
      </c>
      <c r="AD26" s="11" t="n">
        <f aca="false">AD25+1</f>
        <v>17</v>
      </c>
      <c r="AE26" s="10"/>
      <c r="AF26" s="10"/>
      <c r="AH26" s="6"/>
    </row>
    <row r="27" customFormat="false" ht="11.1" hidden="false" customHeight="true" outlineLevel="0" collapsed="false">
      <c r="A27" s="11" t="n">
        <f aca="false">A26+1</f>
        <v>18</v>
      </c>
      <c r="B27" s="28" t="n">
        <v>6924.014</v>
      </c>
      <c r="C27" s="7" t="n">
        <v>381204</v>
      </c>
      <c r="D27" s="10" t="n">
        <f aca="false">C27-C26</f>
        <v>133</v>
      </c>
      <c r="E27" s="7" t="n">
        <f aca="false">C27-152000</f>
        <v>229204</v>
      </c>
      <c r="F27" s="6" t="n">
        <f aca="false">D27/$D$2</f>
        <v>67.0531888076632</v>
      </c>
      <c r="G27" s="6" t="n">
        <v>786.3</v>
      </c>
      <c r="H27" s="121" t="n">
        <v>1.4</v>
      </c>
      <c r="I27" s="6" t="n">
        <f aca="false">G27+H27</f>
        <v>787.7</v>
      </c>
      <c r="J27" s="107" t="n">
        <f aca="false">IF(L27&gt;0,L27,0)</f>
        <v>0</v>
      </c>
      <c r="K27" s="6" t="n">
        <f aca="false">I27+J27</f>
        <v>787.7</v>
      </c>
      <c r="L27" s="6" t="n">
        <f aca="false">F27-(I27-X27)</f>
        <v>-15.6468111923367</v>
      </c>
      <c r="M27" s="6" t="n">
        <v>198.2</v>
      </c>
      <c r="N27" s="6" t="n">
        <v>0</v>
      </c>
      <c r="O27" s="6" t="n">
        <v>0</v>
      </c>
      <c r="P27" s="6" t="n">
        <f aca="false">M27-(N27+O27)</f>
        <v>198.2</v>
      </c>
      <c r="Q27" s="6" t="n">
        <v>148.6</v>
      </c>
      <c r="R27" s="6" t="n">
        <v>76.2</v>
      </c>
      <c r="S27" s="6" t="n">
        <f aca="false">SUM(P27:R27)</f>
        <v>423</v>
      </c>
      <c r="T27" s="52"/>
      <c r="U27" s="6" t="n">
        <v>82</v>
      </c>
      <c r="V27" s="6" t="n">
        <v>200</v>
      </c>
      <c r="W27" s="7" t="n">
        <f aca="false">W26</f>
        <v>9838.06999999996</v>
      </c>
      <c r="X27" s="6" t="n">
        <f aca="false">N27+O27+S27+U27+V27</f>
        <v>705</v>
      </c>
      <c r="Y27" s="6" t="n">
        <f aca="false">IF(L27&lt;0,L27*-1,0)</f>
        <v>15.6468111923367</v>
      </c>
      <c r="Z27" s="6" t="n">
        <f aca="false">X27+Y27</f>
        <v>720.646811192337</v>
      </c>
      <c r="AA27" s="8" t="n">
        <v>0</v>
      </c>
      <c r="AB27" s="10" t="n">
        <v>82</v>
      </c>
      <c r="AC27" s="10" t="n">
        <v>45</v>
      </c>
      <c r="AD27" s="11" t="n">
        <f aca="false">AD26+1</f>
        <v>18</v>
      </c>
      <c r="AE27" s="10"/>
      <c r="AF27" s="10"/>
      <c r="AH27" s="6"/>
    </row>
    <row r="28" customFormat="false" ht="11.1" hidden="false" customHeight="true" outlineLevel="0" collapsed="false">
      <c r="A28" s="11" t="n">
        <f aca="false">A27+1</f>
        <v>19</v>
      </c>
      <c r="B28" s="28" t="n">
        <v>6924.09</v>
      </c>
      <c r="C28" s="7" t="n">
        <v>381563</v>
      </c>
      <c r="D28" s="10" t="n">
        <f aca="false">C28-C27</f>
        <v>359</v>
      </c>
      <c r="E28" s="7" t="n">
        <f aca="false">C28-152000</f>
        <v>229563</v>
      </c>
      <c r="F28" s="6" t="n">
        <f aca="false">D28/$D$2</f>
        <v>180.993193849256</v>
      </c>
      <c r="G28" s="6" t="n">
        <v>801</v>
      </c>
      <c r="H28" s="121" t="n">
        <v>1.2</v>
      </c>
      <c r="I28" s="6" t="n">
        <f aca="false">G28+H28</f>
        <v>802.2</v>
      </c>
      <c r="J28" s="107" t="n">
        <f aca="false">IF(L28&gt;0,L28,0)</f>
        <v>51.7931938492563</v>
      </c>
      <c r="K28" s="6" t="n">
        <f aca="false">I28+J28</f>
        <v>853.993193849257</v>
      </c>
      <c r="L28" s="6" t="n">
        <f aca="false">F28-(I28-X28)</f>
        <v>51.7931938492563</v>
      </c>
      <c r="M28" s="6" t="n">
        <v>218.1</v>
      </c>
      <c r="N28" s="6" t="n">
        <v>0</v>
      </c>
      <c r="O28" s="6" t="n">
        <v>0</v>
      </c>
      <c r="P28" s="6" t="n">
        <f aca="false">M28-(N28+O28)</f>
        <v>218.1</v>
      </c>
      <c r="Q28" s="6" t="n">
        <v>148.8</v>
      </c>
      <c r="R28" s="6" t="n">
        <v>76.1</v>
      </c>
      <c r="S28" s="6" t="n">
        <f aca="false">SUM(P28:R28)</f>
        <v>443</v>
      </c>
      <c r="T28" s="52"/>
      <c r="U28" s="6" t="n">
        <v>79</v>
      </c>
      <c r="V28" s="6" t="n">
        <v>151</v>
      </c>
      <c r="W28" s="7" t="n">
        <f aca="false">W27</f>
        <v>9838.06999999996</v>
      </c>
      <c r="X28" s="6" t="n">
        <f aca="false">N28+O28+S28+U28+V28</f>
        <v>673</v>
      </c>
      <c r="Y28" s="6" t="n">
        <f aca="false">IF(L28&lt;0,L28*-1,0)</f>
        <v>0</v>
      </c>
      <c r="Z28" s="6" t="n">
        <f aca="false">X28+Y28</f>
        <v>673</v>
      </c>
      <c r="AA28" s="8" t="n">
        <v>0</v>
      </c>
      <c r="AB28" s="10" t="n">
        <v>84</v>
      </c>
      <c r="AC28" s="10" t="n">
        <v>46</v>
      </c>
      <c r="AD28" s="11" t="n">
        <f aca="false">AD27+1</f>
        <v>19</v>
      </c>
      <c r="AE28" s="10"/>
      <c r="AF28" s="10"/>
      <c r="AH28" s="6"/>
    </row>
    <row r="29" customFormat="false" ht="11.1" hidden="false" customHeight="true" outlineLevel="0" collapsed="false">
      <c r="A29" s="11" t="n">
        <f aca="false">A28+1</f>
        <v>20</v>
      </c>
      <c r="B29" s="28" t="n">
        <v>6924.16</v>
      </c>
      <c r="C29" s="7" t="n">
        <v>381879</v>
      </c>
      <c r="D29" s="10" t="n">
        <f aca="false">C29-C28</f>
        <v>316</v>
      </c>
      <c r="E29" s="7" t="n">
        <f aca="false">C29-152000</f>
        <v>229879</v>
      </c>
      <c r="F29" s="6" t="n">
        <f aca="false">D29/$D$2</f>
        <v>159.314343332493</v>
      </c>
      <c r="G29" s="6" t="n">
        <v>766.2</v>
      </c>
      <c r="H29" s="121" t="n">
        <v>0.8</v>
      </c>
      <c r="I29" s="6" t="n">
        <f aca="false">G29+H29</f>
        <v>767</v>
      </c>
      <c r="J29" s="107" t="n">
        <f aca="false">IF(L29&gt;0,L29,0)</f>
        <v>24.3143433324931</v>
      </c>
      <c r="K29" s="6" t="n">
        <f aca="false">I29+J29</f>
        <v>791.314343332493</v>
      </c>
      <c r="L29" s="6" t="n">
        <f aca="false">F29-(I29-X29)</f>
        <v>24.3143433324931</v>
      </c>
      <c r="M29" s="6" t="n">
        <v>218.3</v>
      </c>
      <c r="N29" s="6" t="n">
        <v>0</v>
      </c>
      <c r="O29" s="129" t="n">
        <v>0</v>
      </c>
      <c r="P29" s="6" t="n">
        <f aca="false">M29-(N29+O29)</f>
        <v>218.3</v>
      </c>
      <c r="Q29" s="6" t="n">
        <v>148.6</v>
      </c>
      <c r="R29" s="6" t="n">
        <v>78.1</v>
      </c>
      <c r="S29" s="6" t="n">
        <f aca="false">SUM(P29:R29)</f>
        <v>445</v>
      </c>
      <c r="T29" s="52"/>
      <c r="U29" s="6" t="n">
        <v>90</v>
      </c>
      <c r="V29" s="6" t="n">
        <v>97</v>
      </c>
      <c r="W29" s="7" t="n">
        <f aca="false">W28-V29</f>
        <v>9741.06999999996</v>
      </c>
      <c r="X29" s="6" t="n">
        <f aca="false">N29+O29+S29+U29+V29</f>
        <v>632</v>
      </c>
      <c r="Y29" s="6" t="n">
        <f aca="false">IF(L29&lt;0,L29*-1,0)</f>
        <v>0</v>
      </c>
      <c r="Z29" s="6" t="n">
        <f aca="false">X29+Y29</f>
        <v>632</v>
      </c>
      <c r="AA29" s="8" t="n">
        <v>0</v>
      </c>
      <c r="AB29" s="10" t="n">
        <v>84</v>
      </c>
      <c r="AC29" s="10" t="n">
        <v>49</v>
      </c>
      <c r="AD29" s="11" t="n">
        <f aca="false">AD28+1</f>
        <v>20</v>
      </c>
      <c r="AE29" s="10"/>
      <c r="AF29" s="10"/>
      <c r="AH29" s="6"/>
    </row>
    <row r="30" customFormat="false" ht="11.1" hidden="false" customHeight="true" outlineLevel="0" collapsed="false">
      <c r="A30" s="11" t="n">
        <f aca="false">A29+1</f>
        <v>21</v>
      </c>
      <c r="B30" s="28" t="n">
        <v>6924.23</v>
      </c>
      <c r="C30" s="7" t="n">
        <v>382192</v>
      </c>
      <c r="D30" s="10" t="n">
        <f aca="false">C30-C29</f>
        <v>313</v>
      </c>
      <c r="E30" s="7" t="n">
        <f aca="false">C30-152000</f>
        <v>230192</v>
      </c>
      <c r="F30" s="6" t="n">
        <f aca="false">D30/$D$2</f>
        <v>157.801865389463</v>
      </c>
      <c r="G30" s="6" t="n">
        <v>753.2</v>
      </c>
      <c r="H30" s="121" t="n">
        <v>0.9</v>
      </c>
      <c r="I30" s="6" t="n">
        <f aca="false">G30+H30</f>
        <v>754.1</v>
      </c>
      <c r="J30" s="107" t="n">
        <f aca="false">IF(L30&gt;0,L30,0)</f>
        <v>25.701865389463</v>
      </c>
      <c r="K30" s="6" t="n">
        <f aca="false">I30+J30</f>
        <v>779.801865389463</v>
      </c>
      <c r="L30" s="6" t="n">
        <f aca="false">F30-(I30-X30)</f>
        <v>25.701865389463</v>
      </c>
      <c r="M30" s="6" t="n">
        <v>218.4</v>
      </c>
      <c r="N30" s="6" t="n">
        <v>0</v>
      </c>
      <c r="O30" s="6" t="n">
        <v>0</v>
      </c>
      <c r="P30" s="6" t="n">
        <f aca="false">M30-(N30+O30)</f>
        <v>218.4</v>
      </c>
      <c r="Q30" s="6" t="n">
        <v>149.3</v>
      </c>
      <c r="R30" s="6" t="n">
        <v>72.3</v>
      </c>
      <c r="S30" s="6" t="n">
        <f aca="false">SUM(P30:R30)</f>
        <v>440</v>
      </c>
      <c r="T30" s="52"/>
      <c r="U30" s="6" t="n">
        <v>85</v>
      </c>
      <c r="V30" s="6" t="n">
        <v>97</v>
      </c>
      <c r="W30" s="7" t="n">
        <f aca="false">W29-V30</f>
        <v>9644.06999999996</v>
      </c>
      <c r="X30" s="6" t="n">
        <f aca="false">N30+O30+S30+U30+V30</f>
        <v>622</v>
      </c>
      <c r="Y30" s="6" t="n">
        <f aca="false">IF(L30&lt;0,L30*-1,0)</f>
        <v>0</v>
      </c>
      <c r="Z30" s="6" t="n">
        <f aca="false">X30+Y30</f>
        <v>622</v>
      </c>
      <c r="AA30" s="8" t="n">
        <v>0</v>
      </c>
      <c r="AB30" s="10" t="n">
        <v>84</v>
      </c>
      <c r="AC30" s="10" t="n">
        <v>49</v>
      </c>
      <c r="AD30" s="11" t="n">
        <f aca="false">AD29+1</f>
        <v>21</v>
      </c>
      <c r="AE30" s="10"/>
      <c r="AF30" s="10"/>
      <c r="AH30" s="6"/>
    </row>
    <row r="31" customFormat="false" ht="11.1" hidden="false" customHeight="true" outlineLevel="0" collapsed="false">
      <c r="A31" s="11" t="n">
        <f aca="false">A30+1</f>
        <v>22</v>
      </c>
      <c r="B31" s="28" t="n">
        <v>6924.23</v>
      </c>
      <c r="C31" s="7" t="n">
        <v>382192</v>
      </c>
      <c r="D31" s="10" t="n">
        <f aca="false">C31-C30</f>
        <v>0</v>
      </c>
      <c r="E31" s="7" t="n">
        <f aca="false">C31-152000</f>
        <v>230192</v>
      </c>
      <c r="F31" s="6" t="n">
        <f aca="false">D31/$D$2</f>
        <v>0</v>
      </c>
      <c r="G31" s="6" t="n">
        <v>716.8</v>
      </c>
      <c r="H31" s="121" t="n">
        <v>0.9</v>
      </c>
      <c r="I31" s="6" t="n">
        <f aca="false">G31+H31</f>
        <v>717.7</v>
      </c>
      <c r="J31" s="107" t="n">
        <f aca="false">IF(L31&gt;0,L31,0)</f>
        <v>0</v>
      </c>
      <c r="K31" s="6" t="n">
        <f aca="false">I31+J31</f>
        <v>717.7</v>
      </c>
      <c r="L31" s="6" t="n">
        <f aca="false">F31-(I31-X31)</f>
        <v>-64.4999999999999</v>
      </c>
      <c r="M31" s="6" t="n">
        <v>218.4</v>
      </c>
      <c r="N31" s="6" t="n">
        <v>0</v>
      </c>
      <c r="O31" s="6" t="n">
        <v>0</v>
      </c>
      <c r="P31" s="6" t="n">
        <f aca="false">M31-(N31+O31)</f>
        <v>218.4</v>
      </c>
      <c r="Q31" s="6" t="n">
        <v>149.8</v>
      </c>
      <c r="R31" s="6" t="n">
        <v>76.8</v>
      </c>
      <c r="S31" s="6" t="n">
        <f aca="false">SUM(P31:R31)</f>
        <v>445</v>
      </c>
      <c r="T31" s="52"/>
      <c r="U31" s="6" t="n">
        <v>111</v>
      </c>
      <c r="V31" s="6" t="n">
        <v>97.2</v>
      </c>
      <c r="W31" s="7" t="n">
        <f aca="false">W30-V31</f>
        <v>9546.86999999996</v>
      </c>
      <c r="X31" s="6" t="n">
        <f aca="false">N31+O31+S31+U31+V31</f>
        <v>653.2</v>
      </c>
      <c r="Y31" s="6" t="n">
        <f aca="false">IF(L31&lt;0,L31*-1,0)</f>
        <v>64.4999999999999</v>
      </c>
      <c r="Z31" s="6" t="n">
        <f aca="false">X31+Y31</f>
        <v>717.7</v>
      </c>
      <c r="AA31" s="8" t="n">
        <v>0</v>
      </c>
      <c r="AB31" s="10" t="n">
        <v>86</v>
      </c>
      <c r="AC31" s="10" t="n">
        <v>50</v>
      </c>
      <c r="AD31" s="11" t="n">
        <f aca="false">AD30+1</f>
        <v>22</v>
      </c>
      <c r="AE31" s="10"/>
      <c r="AF31" s="10"/>
      <c r="AH31" s="6"/>
    </row>
    <row r="32" customFormat="false" ht="11.1" hidden="false" customHeight="true" outlineLevel="0" collapsed="false">
      <c r="A32" s="11" t="n">
        <f aca="false">A31+1</f>
        <v>23</v>
      </c>
      <c r="B32" s="28" t="n">
        <v>6924.18</v>
      </c>
      <c r="C32" s="7" t="n">
        <v>381968</v>
      </c>
      <c r="D32" s="10" t="n">
        <f aca="false">C32-C31</f>
        <v>-224</v>
      </c>
      <c r="E32" s="7" t="n">
        <f aca="false">C32-152000</f>
        <v>229968</v>
      </c>
      <c r="F32" s="6" t="n">
        <f aca="false">D32/$D$2</f>
        <v>-112.931686412906</v>
      </c>
      <c r="G32" s="6" t="n">
        <v>656.3</v>
      </c>
      <c r="H32" s="121" t="n">
        <v>0.6</v>
      </c>
      <c r="I32" s="6" t="n">
        <f aca="false">G32+H32</f>
        <v>656.9</v>
      </c>
      <c r="J32" s="107" t="n">
        <f aca="false">IF(L32&gt;0,L32,0)</f>
        <v>0</v>
      </c>
      <c r="K32" s="6" t="n">
        <f aca="false">I32+J32</f>
        <v>656.9</v>
      </c>
      <c r="L32" s="6" t="n">
        <f aca="false">F32-(I32-X32)</f>
        <v>-103.931686412906</v>
      </c>
      <c r="M32" s="6" t="n">
        <v>219.5</v>
      </c>
      <c r="N32" s="6" t="n">
        <v>0</v>
      </c>
      <c r="O32" s="6" t="n">
        <v>0</v>
      </c>
      <c r="P32" s="6" t="n">
        <f aca="false">M32-(N32+O32)</f>
        <v>219.5</v>
      </c>
      <c r="Q32" s="6" t="n">
        <v>149.8</v>
      </c>
      <c r="R32" s="6" t="n">
        <v>75.7</v>
      </c>
      <c r="S32" s="6" t="n">
        <f aca="false">SUM(P32:R32)</f>
        <v>445</v>
      </c>
      <c r="T32" s="52"/>
      <c r="U32" s="6" t="n">
        <v>123</v>
      </c>
      <c r="V32" s="6" t="n">
        <v>97.9</v>
      </c>
      <c r="W32" s="7" t="n">
        <f aca="false">W31-V32</f>
        <v>9448.96999999996</v>
      </c>
      <c r="X32" s="6" t="n">
        <f aca="false">N32+O32+S32+U32+V32</f>
        <v>665.9</v>
      </c>
      <c r="Y32" s="6" t="n">
        <f aca="false">IF(L32&lt;0,L32*-1,0)</f>
        <v>103.931686412906</v>
      </c>
      <c r="Z32" s="6" t="n">
        <f aca="false">X32+Y32</f>
        <v>769.831686412907</v>
      </c>
      <c r="AA32" s="8" t="n">
        <v>0</v>
      </c>
      <c r="AB32" s="10" t="n">
        <v>83</v>
      </c>
      <c r="AC32" s="10" t="n">
        <v>49</v>
      </c>
      <c r="AD32" s="11" t="n">
        <f aca="false">AD31+1</f>
        <v>23</v>
      </c>
      <c r="AE32" s="10"/>
      <c r="AF32" s="10"/>
      <c r="AH32" s="6"/>
    </row>
    <row r="33" customFormat="false" ht="11.1" hidden="false" customHeight="true" outlineLevel="0" collapsed="false">
      <c r="A33" s="11" t="n">
        <f aca="false">A32+1</f>
        <v>24</v>
      </c>
      <c r="B33" s="28" t="n">
        <v>6824.2</v>
      </c>
      <c r="C33" s="7" t="n">
        <v>382058</v>
      </c>
      <c r="D33" s="10" t="n">
        <f aca="false">C33-C32</f>
        <v>90</v>
      </c>
      <c r="E33" s="7" t="n">
        <f aca="false">C33-152000</f>
        <v>230058</v>
      </c>
      <c r="F33" s="6" t="n">
        <f aca="false">D33/$D$2</f>
        <v>45.3743382908999</v>
      </c>
      <c r="G33" s="6" t="n">
        <v>594.3</v>
      </c>
      <c r="H33" s="121" t="n">
        <v>1.1</v>
      </c>
      <c r="I33" s="6" t="n">
        <f aca="false">G33+H33</f>
        <v>595.4</v>
      </c>
      <c r="J33" s="107" t="n">
        <f aca="false">IF(L33&gt;0,L33,0)</f>
        <v>126.8743382909</v>
      </c>
      <c r="K33" s="6" t="n">
        <f aca="false">I33+J33</f>
        <v>722.2743382909</v>
      </c>
      <c r="L33" s="6" t="n">
        <f aca="false">F33-(I33-X33)</f>
        <v>126.8743382909</v>
      </c>
      <c r="M33" s="6" t="n">
        <v>218.3</v>
      </c>
      <c r="N33" s="6" t="n">
        <v>0</v>
      </c>
      <c r="O33" s="6" t="n">
        <v>0</v>
      </c>
      <c r="P33" s="6" t="n">
        <f aca="false">M33-(N33+O33)</f>
        <v>218.3</v>
      </c>
      <c r="Q33" s="6" t="n">
        <v>149.4</v>
      </c>
      <c r="R33" s="6" t="n">
        <v>76.3</v>
      </c>
      <c r="S33" s="6" t="n">
        <f aca="false">SUM(P33:R33)</f>
        <v>444</v>
      </c>
      <c r="T33" s="52"/>
      <c r="U33" s="6" t="n">
        <v>135</v>
      </c>
      <c r="V33" s="6" t="n">
        <v>97.9</v>
      </c>
      <c r="W33" s="7" t="n">
        <f aca="false">W32-V33</f>
        <v>9351.06999999996</v>
      </c>
      <c r="X33" s="6" t="n">
        <f aca="false">N33+O33+S33+U33+V33</f>
        <v>676.9</v>
      </c>
      <c r="Y33" s="6" t="n">
        <f aca="false">IF(L33&lt;0,L33*-1,0)</f>
        <v>0</v>
      </c>
      <c r="Z33" s="6" t="n">
        <f aca="false">X33+Y33</f>
        <v>676.9</v>
      </c>
      <c r="AA33" s="8" t="n">
        <v>0</v>
      </c>
      <c r="AB33" s="10" t="n">
        <v>81</v>
      </c>
      <c r="AC33" s="10" t="n">
        <v>51</v>
      </c>
      <c r="AD33" s="11" t="n">
        <f aca="false">AD32+1</f>
        <v>24</v>
      </c>
      <c r="AE33" s="10"/>
      <c r="AF33" s="10"/>
      <c r="AH33" s="6"/>
    </row>
    <row r="34" customFormat="false" ht="11.1" hidden="false" customHeight="true" outlineLevel="0" collapsed="false">
      <c r="A34" s="11" t="n">
        <f aca="false">A33+1</f>
        <v>25</v>
      </c>
      <c r="B34" s="28" t="n">
        <v>6824.15</v>
      </c>
      <c r="C34" s="7" t="n">
        <v>381833</v>
      </c>
      <c r="D34" s="10" t="n">
        <f aca="false">C34-C33</f>
        <v>-225</v>
      </c>
      <c r="E34" s="7" t="n">
        <f aca="false">C34-152000</f>
        <v>229833</v>
      </c>
      <c r="F34" s="6" t="n">
        <f aca="false">D34/$D$2</f>
        <v>-113.43584572725</v>
      </c>
      <c r="G34" s="6" t="n">
        <v>605.1</v>
      </c>
      <c r="H34" s="121" t="n">
        <v>1.2</v>
      </c>
      <c r="I34" s="6" t="n">
        <f aca="false">G34+H34</f>
        <v>606.3</v>
      </c>
      <c r="J34" s="107" t="n">
        <f aca="false">IF(L34&gt;0,L34,0)</f>
        <v>0</v>
      </c>
      <c r="K34" s="6" t="n">
        <f aca="false">I34+J34</f>
        <v>606.3</v>
      </c>
      <c r="L34" s="6" t="n">
        <f aca="false">F34-(I34-X34)</f>
        <v>-60.6358457272499</v>
      </c>
      <c r="M34" s="6" t="n">
        <v>219.9</v>
      </c>
      <c r="N34" s="6" t="n">
        <v>0</v>
      </c>
      <c r="O34" s="6" t="n">
        <v>0</v>
      </c>
      <c r="P34" s="6" t="n">
        <f aca="false">M34-(N34+O34)</f>
        <v>219.9</v>
      </c>
      <c r="Q34" s="6" t="n">
        <v>149.1</v>
      </c>
      <c r="R34" s="6" t="n">
        <v>76</v>
      </c>
      <c r="S34" s="6" t="n">
        <f aca="false">SUM(P34:R34)</f>
        <v>445</v>
      </c>
      <c r="T34" s="52"/>
      <c r="U34" s="6" t="n">
        <v>116</v>
      </c>
      <c r="V34" s="6" t="n">
        <v>98.1</v>
      </c>
      <c r="W34" s="7" t="n">
        <f aca="false">W33-V34</f>
        <v>9252.96999999996</v>
      </c>
      <c r="X34" s="6" t="n">
        <f aca="false">N34+O34+S34+U34+V34</f>
        <v>659.1</v>
      </c>
      <c r="Y34" s="6" t="n">
        <f aca="false">IF(L34&lt;0,L34*-1,0)</f>
        <v>60.6358457272499</v>
      </c>
      <c r="Z34" s="6" t="n">
        <f aca="false">X34+Y34</f>
        <v>719.73584572725</v>
      </c>
      <c r="AA34" s="8" t="n">
        <v>0.05</v>
      </c>
      <c r="AB34" s="10" t="n">
        <v>79</v>
      </c>
      <c r="AC34" s="10" t="n">
        <v>51</v>
      </c>
      <c r="AD34" s="11" t="n">
        <f aca="false">AD33+1</f>
        <v>25</v>
      </c>
      <c r="AE34" s="10"/>
      <c r="AF34" s="10"/>
      <c r="AH34" s="6"/>
    </row>
    <row r="35" customFormat="false" ht="11.1" hidden="false" customHeight="true" outlineLevel="0" collapsed="false">
      <c r="A35" s="11" t="n">
        <f aca="false">A34+1</f>
        <v>26</v>
      </c>
      <c r="B35" s="28" t="n">
        <v>6824.01</v>
      </c>
      <c r="C35" s="7" t="n">
        <v>381204</v>
      </c>
      <c r="D35" s="10" t="n">
        <f aca="false">C35-C34</f>
        <v>-629</v>
      </c>
      <c r="E35" s="7" t="n">
        <f aca="false">C35-152000</f>
        <v>229204</v>
      </c>
      <c r="F35" s="6" t="n">
        <f aca="false">D35/$D$2</f>
        <v>-317.116208721956</v>
      </c>
      <c r="G35" s="6" t="n">
        <v>564.3</v>
      </c>
      <c r="H35" s="121" t="n">
        <v>1.5</v>
      </c>
      <c r="I35" s="6" t="n">
        <f aca="false">G35+H35</f>
        <v>565.8</v>
      </c>
      <c r="J35" s="107" t="n">
        <f aca="false">IF(L35&gt;0,L35,0)</f>
        <v>0</v>
      </c>
      <c r="K35" s="6" t="n">
        <f aca="false">I35+J35</f>
        <v>565.8</v>
      </c>
      <c r="L35" s="6" t="n">
        <f aca="false">F35-(I35-X35)</f>
        <v>-194.216208721956</v>
      </c>
      <c r="M35" s="6" t="n">
        <v>228.6</v>
      </c>
      <c r="N35" s="6" t="n">
        <v>0</v>
      </c>
      <c r="O35" s="130" t="n">
        <v>0</v>
      </c>
      <c r="P35" s="6" t="n">
        <f aca="false">M35-(N35+O35)</f>
        <v>228.6</v>
      </c>
      <c r="Q35" s="6" t="n">
        <v>149.8</v>
      </c>
      <c r="R35" s="6" t="n">
        <v>75.6</v>
      </c>
      <c r="S35" s="6" t="n">
        <f aca="false">SUM(P35:R35)</f>
        <v>454</v>
      </c>
      <c r="T35" s="52"/>
      <c r="U35" s="131" t="n">
        <v>136</v>
      </c>
      <c r="V35" s="6" t="n">
        <v>98.7</v>
      </c>
      <c r="W35" s="7" t="n">
        <f aca="false">W34-V35</f>
        <v>9154.26999999996</v>
      </c>
      <c r="X35" s="6" t="n">
        <f aca="false">N35+O35+S35+U35+V35</f>
        <v>688.7</v>
      </c>
      <c r="Y35" s="6" t="n">
        <f aca="false">IF(L35&lt;0,L35*-1,0)</f>
        <v>194.216208721956</v>
      </c>
      <c r="Z35" s="6" t="n">
        <f aca="false">X35+Y35</f>
        <v>882.916208721956</v>
      </c>
      <c r="AA35" s="8" t="n">
        <v>0</v>
      </c>
      <c r="AB35" s="10" t="n">
        <v>80</v>
      </c>
      <c r="AC35" s="10" t="n">
        <v>48</v>
      </c>
      <c r="AD35" s="11" t="n">
        <f aca="false">AD34+1</f>
        <v>26</v>
      </c>
      <c r="AE35" s="10"/>
      <c r="AF35" s="10"/>
      <c r="AH35" s="3"/>
    </row>
    <row r="36" customFormat="false" ht="11.1" hidden="false" customHeight="true" outlineLevel="0" collapsed="false">
      <c r="A36" s="11" t="n">
        <f aca="false">A35+1</f>
        <v>27</v>
      </c>
      <c r="B36" s="28" t="n">
        <v>6923.96</v>
      </c>
      <c r="C36" s="7" t="n">
        <v>380982</v>
      </c>
      <c r="D36" s="10" t="n">
        <f aca="false">C36-C35</f>
        <v>-222</v>
      </c>
      <c r="E36" s="7" t="n">
        <f aca="false">C36-152000</f>
        <v>228982</v>
      </c>
      <c r="F36" s="6" t="n">
        <f aca="false">D36/$D$2</f>
        <v>-111.92336778422</v>
      </c>
      <c r="G36" s="6" t="n">
        <v>508.7</v>
      </c>
      <c r="H36" s="121" t="n">
        <v>1.3</v>
      </c>
      <c r="I36" s="6" t="n">
        <f aca="false">G36+H36</f>
        <v>510</v>
      </c>
      <c r="J36" s="107" t="n">
        <f aca="false">IF(L36&gt;0,L36,0)</f>
        <v>89.0766322157802</v>
      </c>
      <c r="K36" s="6" t="n">
        <f aca="false">I36+J36</f>
        <v>599.07663221578</v>
      </c>
      <c r="L36" s="6" t="n">
        <f aca="false">F36-(I36-X36)</f>
        <v>89.0766322157802</v>
      </c>
      <c r="M36" s="6" t="n">
        <v>233.1</v>
      </c>
      <c r="N36" s="6" t="n">
        <v>0</v>
      </c>
      <c r="O36" s="6" t="n">
        <v>0</v>
      </c>
      <c r="P36" s="6" t="n">
        <f aca="false">M36-(N36+O36)</f>
        <v>233.1</v>
      </c>
      <c r="Q36" s="6" t="n">
        <v>149.5</v>
      </c>
      <c r="R36" s="6" t="n">
        <v>76.4</v>
      </c>
      <c r="S36" s="6" t="n">
        <f aca="false">SUM(P36:R36)</f>
        <v>459</v>
      </c>
      <c r="T36" s="52"/>
      <c r="U36" s="6" t="n">
        <v>153</v>
      </c>
      <c r="V36" s="6" t="n">
        <v>99</v>
      </c>
      <c r="W36" s="7" t="n">
        <f aca="false">W35-V36</f>
        <v>9055.26999999996</v>
      </c>
      <c r="X36" s="6" t="n">
        <f aca="false">N36+O36+S36+U36+V36</f>
        <v>711</v>
      </c>
      <c r="Y36" s="6" t="n">
        <f aca="false">IF(L36&lt;0,L36*-1,0)</f>
        <v>0</v>
      </c>
      <c r="Z36" s="6" t="n">
        <f aca="false">X36+Y36</f>
        <v>711</v>
      </c>
      <c r="AA36" s="8" t="n">
        <v>0</v>
      </c>
      <c r="AB36" s="10" t="n">
        <v>77</v>
      </c>
      <c r="AC36" s="10" t="n">
        <v>50</v>
      </c>
      <c r="AD36" s="11" t="n">
        <f aca="false">AD35+1</f>
        <v>27</v>
      </c>
      <c r="AE36" s="10"/>
      <c r="AF36" s="10"/>
      <c r="AH36" s="6"/>
    </row>
    <row r="37" customFormat="false" ht="11.1" hidden="false" customHeight="true" outlineLevel="0" collapsed="false">
      <c r="A37" s="11" t="n">
        <f aca="false">A36+1</f>
        <v>28</v>
      </c>
      <c r="B37" s="28" t="n">
        <v>6923.85</v>
      </c>
      <c r="C37" s="7" t="n">
        <v>380493</v>
      </c>
      <c r="D37" s="10" t="n">
        <f aca="false">C37-C36</f>
        <v>-489</v>
      </c>
      <c r="E37" s="7" t="n">
        <f aca="false">C37-152000</f>
        <v>228493</v>
      </c>
      <c r="F37" s="6" t="n">
        <f aca="false">D37/$D$2</f>
        <v>-246.53390471389</v>
      </c>
      <c r="G37" s="6" t="n">
        <v>470.1</v>
      </c>
      <c r="H37" s="121" t="n">
        <v>1</v>
      </c>
      <c r="I37" s="6" t="n">
        <f aca="false">G37+H37</f>
        <v>471.1</v>
      </c>
      <c r="J37" s="107" t="n">
        <f aca="false">IF(L37&gt;0,L37,0)</f>
        <v>0</v>
      </c>
      <c r="K37" s="6" t="n">
        <f aca="false">I37+J37</f>
        <v>471.1</v>
      </c>
      <c r="L37" s="6" t="n">
        <f aca="false">F37-(I37-X37)</f>
        <v>-24.6339047138896</v>
      </c>
      <c r="M37" s="6" t="n">
        <v>231.8</v>
      </c>
      <c r="N37" s="6" t="n">
        <v>0</v>
      </c>
      <c r="O37" s="6" t="n">
        <v>0</v>
      </c>
      <c r="P37" s="6" t="n">
        <f aca="false">M37-(N37+O37)</f>
        <v>231.8</v>
      </c>
      <c r="Q37" s="6" t="n">
        <v>149.4</v>
      </c>
      <c r="R37" s="6" t="n">
        <v>75.8</v>
      </c>
      <c r="S37" s="6" t="n">
        <f aca="false">SUM(P37:R37)</f>
        <v>457</v>
      </c>
      <c r="T37" s="52"/>
      <c r="U37" s="6" t="n">
        <v>137</v>
      </c>
      <c r="V37" s="6" t="n">
        <v>99</v>
      </c>
      <c r="W37" s="7" t="n">
        <f aca="false">W36-V37</f>
        <v>8956.26999999996</v>
      </c>
      <c r="X37" s="6" t="n">
        <f aca="false">N37+O37+S37+U37+V37</f>
        <v>693</v>
      </c>
      <c r="Y37" s="6" t="n">
        <f aca="false">IF(L37&lt;0,L37*-1,0)</f>
        <v>24.6339047138896</v>
      </c>
      <c r="Z37" s="6" t="n">
        <f aca="false">X37+Y37</f>
        <v>717.63390471389</v>
      </c>
      <c r="AA37" s="8" t="n">
        <v>0</v>
      </c>
      <c r="AB37" s="10" t="n">
        <v>83</v>
      </c>
      <c r="AC37" s="10" t="n">
        <v>46</v>
      </c>
      <c r="AD37" s="11" t="n">
        <f aca="false">AD36+1</f>
        <v>28</v>
      </c>
      <c r="AE37" s="10"/>
      <c r="AF37" s="10"/>
      <c r="AH37" s="6"/>
    </row>
    <row r="38" customFormat="false" ht="11.1" hidden="false" customHeight="true" outlineLevel="0" collapsed="false">
      <c r="A38" s="11" t="n">
        <f aca="false">A37+1</f>
        <v>29</v>
      </c>
      <c r="B38" s="28" t="n">
        <v>6923.73</v>
      </c>
      <c r="C38" s="7" t="n">
        <v>379958</v>
      </c>
      <c r="D38" s="10" t="n">
        <f aca="false">C38-C37</f>
        <v>-535</v>
      </c>
      <c r="E38" s="7" t="n">
        <f aca="false">C38-152000</f>
        <v>227958</v>
      </c>
      <c r="F38" s="6" t="n">
        <f aca="false">D38/$D$2</f>
        <v>-269.725233173683</v>
      </c>
      <c r="G38" s="6" t="n">
        <v>484.9</v>
      </c>
      <c r="H38" s="121" t="n">
        <v>1.5</v>
      </c>
      <c r="I38" s="6" t="n">
        <f aca="false">G38+H38</f>
        <v>486.4</v>
      </c>
      <c r="J38" s="107" t="n">
        <f aca="false">IF(L38&gt;0,L38,0)</f>
        <v>0</v>
      </c>
      <c r="K38" s="6" t="n">
        <f aca="false">I38+J38</f>
        <v>486.4</v>
      </c>
      <c r="L38" s="6" t="n">
        <f aca="false">F38-(I38-X38)</f>
        <v>-32.1252331736828</v>
      </c>
      <c r="M38" s="6" t="n">
        <v>230.4</v>
      </c>
      <c r="N38" s="6" t="n">
        <v>0</v>
      </c>
      <c r="O38" s="6" t="n">
        <v>0</v>
      </c>
      <c r="P38" s="6" t="n">
        <f aca="false">M38-(N38+O38)</f>
        <v>230.4</v>
      </c>
      <c r="Q38" s="6" t="n">
        <v>160.8</v>
      </c>
      <c r="R38" s="6" t="n">
        <v>73.8</v>
      </c>
      <c r="S38" s="6" t="n">
        <f aca="false">SUM(P38:R38)</f>
        <v>465</v>
      </c>
      <c r="T38" s="52"/>
      <c r="U38" s="6" t="n">
        <v>160</v>
      </c>
      <c r="V38" s="6" t="n">
        <v>99</v>
      </c>
      <c r="W38" s="7" t="n">
        <f aca="false">W37-V38</f>
        <v>8857.26999999996</v>
      </c>
      <c r="X38" s="6" t="n">
        <f aca="false">N38+O38+S38+U38+V38</f>
        <v>724</v>
      </c>
      <c r="Y38" s="6" t="n">
        <f aca="false">IF(L38&lt;0,L38*-1,0)</f>
        <v>32.1252331736828</v>
      </c>
      <c r="Z38" s="6" t="n">
        <f aca="false">X38+Y38</f>
        <v>756.125233173683</v>
      </c>
      <c r="AA38" s="8" t="n">
        <v>0</v>
      </c>
      <c r="AB38" s="10" t="n">
        <v>82</v>
      </c>
      <c r="AC38" s="10" t="n">
        <v>50</v>
      </c>
      <c r="AD38" s="11" t="n">
        <f aca="false">AD37+1</f>
        <v>29</v>
      </c>
      <c r="AE38" s="10"/>
      <c r="AF38" s="10"/>
      <c r="AH38" s="6"/>
    </row>
    <row r="39" customFormat="false" ht="11.1" hidden="false" customHeight="true" outlineLevel="0" collapsed="false">
      <c r="A39" s="11" t="n">
        <v>30</v>
      </c>
      <c r="B39" s="28" t="n">
        <v>6923.6</v>
      </c>
      <c r="C39" s="7" t="n">
        <v>379380</v>
      </c>
      <c r="D39" s="10" t="n">
        <f aca="false">C39-C38</f>
        <v>-578</v>
      </c>
      <c r="E39" s="7" t="n">
        <f aca="false">C39-152000</f>
        <v>227380</v>
      </c>
      <c r="F39" s="6" t="n">
        <f aca="false">D39/$D$2</f>
        <v>-291.404083690446</v>
      </c>
      <c r="G39" s="6" t="n">
        <v>454.4</v>
      </c>
      <c r="H39" s="121" t="n">
        <v>1.6</v>
      </c>
      <c r="I39" s="6" t="n">
        <f aca="false">G39+H39</f>
        <v>456</v>
      </c>
      <c r="J39" s="107" t="n">
        <f aca="false">IF(L39&gt;0,L39,0)</f>
        <v>1.09591630955384</v>
      </c>
      <c r="K39" s="6" t="n">
        <f aca="false">I39+J39</f>
        <v>457.095916309554</v>
      </c>
      <c r="L39" s="6" t="n">
        <f aca="false">F39-(I39-X39)</f>
        <v>1.09591630955384</v>
      </c>
      <c r="M39" s="6" t="n">
        <v>241</v>
      </c>
      <c r="N39" s="6" t="n">
        <v>0</v>
      </c>
      <c r="O39" s="6" t="n">
        <v>0</v>
      </c>
      <c r="P39" s="6" t="n">
        <f aca="false">M39-(N39+O39)</f>
        <v>241</v>
      </c>
      <c r="Q39" s="6" t="n">
        <v>168.3</v>
      </c>
      <c r="R39" s="6" t="n">
        <v>77.8</v>
      </c>
      <c r="S39" s="6" t="n">
        <f aca="false">SUM(P39:R39)</f>
        <v>487.1</v>
      </c>
      <c r="T39" s="52"/>
      <c r="U39" s="6" t="n">
        <v>162</v>
      </c>
      <c r="V39" s="6" t="n">
        <v>99.4</v>
      </c>
      <c r="W39" s="7" t="n">
        <f aca="false">W38-V39</f>
        <v>8757.86999999996</v>
      </c>
      <c r="X39" s="6" t="n">
        <f aca="false">N39+O39+S39+U39+V39</f>
        <v>748.5</v>
      </c>
      <c r="Y39" s="6" t="n">
        <f aca="false">IF(L39&lt;0,L39*-1,0)</f>
        <v>0</v>
      </c>
      <c r="Z39" s="6" t="n">
        <f aca="false">X39+Y39</f>
        <v>748.5</v>
      </c>
      <c r="AA39" s="8" t="n">
        <v>0</v>
      </c>
      <c r="AB39" s="10" t="n">
        <v>80</v>
      </c>
      <c r="AC39" s="10" t="n">
        <v>53</v>
      </c>
      <c r="AD39" s="11" t="n">
        <v>30</v>
      </c>
      <c r="AE39" s="10"/>
      <c r="AF39" s="10"/>
      <c r="AH39" s="6"/>
    </row>
    <row r="40" customFormat="false" ht="3" hidden="false" customHeight="true" outlineLevel="0" collapsed="false">
      <c r="A40" s="29"/>
      <c r="B40" s="29"/>
      <c r="C40" s="31"/>
      <c r="D40" s="29"/>
      <c r="E40" s="31"/>
      <c r="F40" s="29"/>
      <c r="G40" s="29"/>
      <c r="H40" s="127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31"/>
      <c r="U40" s="29"/>
      <c r="V40" s="29"/>
      <c r="W40" s="29"/>
      <c r="X40" s="29"/>
      <c r="Y40" s="29"/>
      <c r="Z40" s="29"/>
      <c r="AA40" s="32"/>
      <c r="AB40" s="33"/>
      <c r="AC40" s="33"/>
      <c r="AD40" s="34"/>
      <c r="AE40" s="101"/>
      <c r="AF40" s="101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-583.312326695236</v>
      </c>
      <c r="G41" s="7" t="n">
        <f aca="false">SUM(G10:G39)</f>
        <v>29135.2</v>
      </c>
      <c r="H41" s="121" t="n">
        <f aca="false">SUM(H10:H39)</f>
        <v>260.4</v>
      </c>
      <c r="I41" s="7" t="n">
        <f aca="false">SUM(I10:I39)</f>
        <v>29395.6</v>
      </c>
      <c r="J41" s="7" t="n">
        <f aca="false">SUM(J10:J39)</f>
        <v>1051.74481976305</v>
      </c>
      <c r="K41" s="7" t="n">
        <f aca="false">SUM(K10:K39)</f>
        <v>30447.344819763</v>
      </c>
      <c r="L41" s="7" t="n">
        <f aca="false">SUM(L10:L39)</f>
        <v>-293.912326695236</v>
      </c>
      <c r="M41" s="7" t="n">
        <f aca="false">SUM(M10:M39)</f>
        <v>5451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5451</v>
      </c>
      <c r="Q41" s="7" t="n">
        <f aca="false">SUM(Q10:Q39)</f>
        <v>4107.8</v>
      </c>
      <c r="R41" s="7" t="n">
        <f aca="false">SUM(R10:R39)</f>
        <v>2071.8</v>
      </c>
      <c r="S41" s="7" t="n">
        <f aca="false">SUM(S10:S39)</f>
        <v>11630.6</v>
      </c>
      <c r="T41" s="7"/>
      <c r="U41" s="7" t="n">
        <f aca="false">SUM(U10:U39)</f>
        <v>1941.2</v>
      </c>
      <c r="V41" s="7" t="n">
        <f aca="false">SUM(V10:V39)</f>
        <v>16113.2</v>
      </c>
      <c r="W41" s="7"/>
      <c r="X41" s="7" t="n">
        <f aca="false">SUM(X10:X39)</f>
        <v>29685</v>
      </c>
      <c r="Y41" s="7" t="n">
        <f aca="false">SUM(Y10:Y39)</f>
        <v>1345.65714645828</v>
      </c>
      <c r="Z41" s="7" t="n">
        <f aca="false">SUM(Z10:Z39)</f>
        <v>31030.6571464583</v>
      </c>
      <c r="AA41" s="8" t="n">
        <f aca="false">SUM(AA10:AA39)</f>
        <v>0.63</v>
      </c>
      <c r="AB41" s="10" t="n">
        <f aca="false">AVERAGE(AB10:AB39)</f>
        <v>77.0666666666667</v>
      </c>
      <c r="AC41" s="10" t="n">
        <f aca="false">AVERAGE(AC10:AC39)</f>
        <v>45.9</v>
      </c>
      <c r="AD41" s="11" t="s">
        <v>70</v>
      </c>
      <c r="AE41" s="101"/>
      <c r="AF41" s="101"/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-1157</v>
      </c>
      <c r="E42" s="7"/>
      <c r="F42" s="7" t="n">
        <f aca="false">F41*$D$2</f>
        <v>-1157</v>
      </c>
      <c r="G42" s="7" t="n">
        <f aca="false">G41*$D$2</f>
        <v>57789.6692</v>
      </c>
      <c r="H42" s="121" t="n">
        <f aca="false">H41*$D$2</f>
        <v>516.5034</v>
      </c>
      <c r="I42" s="7" t="n">
        <f aca="false">I41*$D$2</f>
        <v>58306.1726</v>
      </c>
      <c r="J42" s="7" t="n">
        <f aca="false">J41*$D$2</f>
        <v>2086.13585</v>
      </c>
      <c r="K42" s="7" t="n">
        <f aca="false">K41*$D$2</f>
        <v>60392.30845</v>
      </c>
      <c r="L42" s="7" t="n">
        <f aca="false">L41*$D$2</f>
        <v>-582.975100000001</v>
      </c>
      <c r="M42" s="7" t="n">
        <f aca="false">M41*$D$2</f>
        <v>10812.0585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10812.0585</v>
      </c>
      <c r="Q42" s="7" t="n">
        <f aca="false">Q41*$D$2</f>
        <v>8147.8213</v>
      </c>
      <c r="R42" s="7" t="n">
        <f aca="false">R41*$D$2</f>
        <v>4109.4153</v>
      </c>
      <c r="S42" s="7" t="n">
        <f aca="false">S41*$D$2</f>
        <v>23069.2951</v>
      </c>
      <c r="T42" s="7"/>
      <c r="U42" s="7" t="n">
        <f aca="false">U41*$D$2</f>
        <v>3850.3702</v>
      </c>
      <c r="V42" s="7" t="n">
        <f aca="false">V41*$D$2</f>
        <v>31960.5322</v>
      </c>
      <c r="W42" s="7"/>
      <c r="X42" s="7" t="n">
        <f aca="false">X41*$D$2</f>
        <v>58880.1975</v>
      </c>
      <c r="Y42" s="7" t="n">
        <f aca="false">Y41*$D$2</f>
        <v>2669.11095</v>
      </c>
      <c r="Z42" s="7" t="n">
        <f aca="false">Z41*$D$2</f>
        <v>61549.30845</v>
      </c>
      <c r="AA42" s="8"/>
      <c r="AB42" s="10" t="n">
        <f aca="false">MAX(AB10:AB39)</f>
        <v>86</v>
      </c>
      <c r="AC42" s="10" t="n">
        <f aca="false">MAX(AC10:AC39)</f>
        <v>53</v>
      </c>
      <c r="AD42" s="11" t="s">
        <v>49</v>
      </c>
      <c r="AE42" s="101"/>
      <c r="AF42" s="101"/>
    </row>
    <row r="43" customFormat="false" ht="3" hidden="false" customHeight="true" outlineLevel="0" collapsed="false">
      <c r="A43" s="29"/>
      <c r="B43" s="29"/>
      <c r="C43" s="31"/>
      <c r="D43" s="31"/>
      <c r="E43" s="31"/>
      <c r="F43" s="31"/>
      <c r="G43" s="31"/>
      <c r="H43" s="127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29"/>
      <c r="X43" s="31"/>
      <c r="Y43" s="31"/>
      <c r="Z43" s="31"/>
      <c r="AA43" s="8"/>
      <c r="AB43" s="10"/>
      <c r="AC43" s="10"/>
      <c r="AD43" s="11"/>
      <c r="AE43" s="101"/>
      <c r="AF43" s="101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 t="n">
        <f aca="false">F7+F41</f>
        <v>35712.6291908243</v>
      </c>
      <c r="G44" s="7" t="n">
        <f aca="false">G7+G41</f>
        <v>110997.8</v>
      </c>
      <c r="H44" s="121" t="n">
        <f aca="false">H7+H41</f>
        <v>8801.4</v>
      </c>
      <c r="I44" s="7" t="n">
        <f aca="false">I7+I41</f>
        <v>119799.2</v>
      </c>
      <c r="J44" s="7" t="n">
        <f aca="false">J7+J41</f>
        <v>21254.1075623897</v>
      </c>
      <c r="K44" s="7" t="n">
        <f aca="false">K7+K41</f>
        <v>141053.30756239</v>
      </c>
      <c r="L44" s="7" t="n">
        <f aca="false">L7+L41</f>
        <v>19826.8291908243</v>
      </c>
      <c r="M44" s="7" t="n">
        <f aca="false">M7+M41</f>
        <v>11898.5</v>
      </c>
      <c r="N44" s="7" t="n">
        <f aca="false">N7+N41</f>
        <v>0</v>
      </c>
      <c r="O44" s="7" t="n">
        <f aca="false">O7+O41</f>
        <v>0</v>
      </c>
      <c r="P44" s="7" t="n">
        <f aca="false">P7+P41</f>
        <v>11898.5</v>
      </c>
      <c r="Q44" s="7" t="n">
        <f aca="false">Q7+Q41</f>
        <v>9706.3</v>
      </c>
      <c r="R44" s="7" t="n">
        <f aca="false">R7+R41</f>
        <v>4495.8</v>
      </c>
      <c r="S44" s="7" t="n">
        <f aca="false">S7+S41</f>
        <v>26100.6</v>
      </c>
      <c r="T44" s="7" t="n">
        <f aca="false">T39</f>
        <v>0</v>
      </c>
      <c r="U44" s="7" t="n">
        <f aca="false">U7+U41</f>
        <v>3762.6</v>
      </c>
      <c r="V44" s="7" t="n">
        <f aca="false">V7+V41</f>
        <v>74050.2</v>
      </c>
      <c r="W44" s="7"/>
      <c r="X44" s="7" t="n">
        <f aca="false">X7+X41</f>
        <v>103913.4</v>
      </c>
      <c r="Y44" s="7" t="n">
        <f aca="false">Y7+Y41</f>
        <v>1427.27837156542</v>
      </c>
      <c r="Z44" s="7" t="n">
        <f aca="false">Z7+Z41</f>
        <v>105340.678371565</v>
      </c>
      <c r="AA44" s="8"/>
      <c r="AB44" s="10" t="n">
        <f aca="false">MIN(AB10:AB39)</f>
        <v>61</v>
      </c>
      <c r="AC44" s="10" t="n">
        <f aca="false">MIN(AC10:AC39)</f>
        <v>37</v>
      </c>
      <c r="AD44" s="11" t="s">
        <v>51</v>
      </c>
      <c r="AE44" s="101"/>
      <c r="AF44" s="101"/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 t="n">
        <f aca="false">F44*$D$2</f>
        <v>70836</v>
      </c>
      <c r="G45" s="7" t="n">
        <f aca="false">G44*$D$2</f>
        <v>220164.1363</v>
      </c>
      <c r="H45" s="121" t="n">
        <f aca="false">H44*$D$2</f>
        <v>17457.5769</v>
      </c>
      <c r="I45" s="7" t="n">
        <f aca="false">I44*$D$2</f>
        <v>237621.7132</v>
      </c>
      <c r="J45" s="7" t="n">
        <f aca="false">J44*$D$2</f>
        <v>42157.52235</v>
      </c>
      <c r="K45" s="7" t="n">
        <f aca="false">K44*$D$2</f>
        <v>279779.23555</v>
      </c>
      <c r="L45" s="7" t="n">
        <f aca="false">L44*$D$2</f>
        <v>39326.5157</v>
      </c>
      <c r="M45" s="7" t="n">
        <f aca="false">M44*$D$2</f>
        <v>23600.67475</v>
      </c>
      <c r="N45" s="7" t="n">
        <f aca="false">N44*$D$2</f>
        <v>0</v>
      </c>
      <c r="O45" s="7" t="n">
        <f aca="false">O44*$D$2</f>
        <v>0</v>
      </c>
      <c r="P45" s="7" t="n">
        <f aca="false">P44*$D$2</f>
        <v>23600.67475</v>
      </c>
      <c r="Q45" s="7" t="n">
        <f aca="false">Q44*$D$2</f>
        <v>19252.44605</v>
      </c>
      <c r="R45" s="7" t="n">
        <f aca="false">R44*$D$2</f>
        <v>8917.4193</v>
      </c>
      <c r="S45" s="7" t="n">
        <f aca="false">S44*$D$2</f>
        <v>51770.5401</v>
      </c>
      <c r="T45" s="7" t="n">
        <f aca="false">T44*$D$2</f>
        <v>0</v>
      </c>
      <c r="U45" s="7" t="n">
        <f aca="false">U44*$D$2</f>
        <v>7463.1171</v>
      </c>
      <c r="V45" s="7" t="n">
        <f aca="false">V44*$D$2</f>
        <v>146878.5717</v>
      </c>
      <c r="W45" s="7"/>
      <c r="X45" s="7" t="n">
        <f aca="false">X44*$D$2</f>
        <v>206112.2289</v>
      </c>
      <c r="Y45" s="7" t="n">
        <f aca="false">Y44*$D$2</f>
        <v>2831.00665</v>
      </c>
      <c r="Z45" s="7" t="n">
        <f aca="false">Z44*$D$2</f>
        <v>208943.23555</v>
      </c>
      <c r="AA45" s="8"/>
      <c r="AB45" s="10"/>
      <c r="AC45" s="10"/>
      <c r="AD45" s="11"/>
      <c r="AE45" s="101"/>
      <c r="AF45" s="101"/>
    </row>
    <row r="46" customFormat="false" ht="3" hidden="false" customHeight="true" outlineLevel="0" collapsed="false">
      <c r="A46" s="29"/>
      <c r="B46" s="29"/>
      <c r="C46" s="31"/>
      <c r="D46" s="31"/>
      <c r="E46" s="31"/>
      <c r="F46" s="31"/>
      <c r="G46" s="31"/>
      <c r="H46" s="127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2"/>
      <c r="AB46" s="10"/>
      <c r="AC46" s="10"/>
      <c r="AD46" s="11"/>
      <c r="AE46" s="101"/>
      <c r="AF46" s="101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42615.0743634989</v>
      </c>
      <c r="G47" s="7" t="n">
        <f aca="false">G8+G41</f>
        <v>123684.9</v>
      </c>
      <c r="H47" s="121" t="n">
        <f aca="false">H8+H41</f>
        <v>9443.1</v>
      </c>
      <c r="I47" s="7" t="n">
        <f aca="false">I8+I41</f>
        <v>133128</v>
      </c>
      <c r="J47" s="7" t="n">
        <f aca="false">J8+J41</f>
        <v>23560.3745071843</v>
      </c>
      <c r="K47" s="7" t="n">
        <f aca="false">K8+K41</f>
        <v>156688.250080665</v>
      </c>
      <c r="L47" s="7" t="n">
        <f aca="false">L8+L41</f>
        <v>20871.8243634989</v>
      </c>
      <c r="M47" s="7" t="n">
        <f aca="false">M8+M41</f>
        <v>12963.02</v>
      </c>
      <c r="N47" s="7" t="n">
        <f aca="false">N8+N41</f>
        <v>0</v>
      </c>
      <c r="O47" s="7" t="n">
        <f aca="false">O8+O41</f>
        <v>0</v>
      </c>
      <c r="P47" s="7" t="n">
        <f aca="false">P8+P41</f>
        <v>12963.02</v>
      </c>
      <c r="Q47" s="7" t="n">
        <f aca="false">Q8+Q41</f>
        <v>11019.1</v>
      </c>
      <c r="R47" s="7" t="n">
        <f aca="false">R8+R41</f>
        <v>4769.9</v>
      </c>
      <c r="S47" s="7" t="n">
        <f aca="false">S8+S41</f>
        <v>28752.02</v>
      </c>
      <c r="T47" s="7" t="n">
        <f aca="false">T39</f>
        <v>0</v>
      </c>
      <c r="U47" s="7" t="n">
        <f aca="false">U8+U41</f>
        <v>3762.6</v>
      </c>
      <c r="V47" s="7" t="n">
        <f aca="false">V8+V41</f>
        <v>78870.13</v>
      </c>
      <c r="W47" s="7" t="n">
        <f aca="false">W39</f>
        <v>8757.86999999996</v>
      </c>
      <c r="X47" s="7" t="n">
        <f aca="false">X8+X41</f>
        <v>111384.75</v>
      </c>
      <c r="Y47" s="7" t="n">
        <f aca="false">Y8+Y41</f>
        <v>2688.5501436854</v>
      </c>
      <c r="Z47" s="7" t="n">
        <f aca="false">Z8+Z41</f>
        <v>114073.300143685</v>
      </c>
      <c r="AA47" s="8" t="n">
        <f aca="false">AA8+AA41</f>
        <v>12.81</v>
      </c>
      <c r="AB47" s="10"/>
      <c r="AC47" s="10"/>
      <c r="AD47" s="11"/>
      <c r="AE47" s="101"/>
      <c r="AF47" s="101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84527</v>
      </c>
      <c r="E48" s="7" t="n">
        <f aca="false">E39</f>
        <v>227380</v>
      </c>
      <c r="F48" s="7" t="n">
        <f aca="false">F47*$D$2</f>
        <v>84527</v>
      </c>
      <c r="G48" s="7" t="n">
        <f aca="false">G47*$D$2</f>
        <v>245328.99915</v>
      </c>
      <c r="H48" s="121" t="n">
        <f aca="false">H47*$D$2</f>
        <v>18730.38885</v>
      </c>
      <c r="I48" s="7" t="n">
        <f aca="false">I47*$D$2</f>
        <v>264059.388</v>
      </c>
      <c r="J48" s="7" t="n">
        <f aca="false">J47*$D$2</f>
        <v>46732.002835</v>
      </c>
      <c r="K48" s="7" t="n">
        <f aca="false">K47*$D$2</f>
        <v>310791.144035</v>
      </c>
      <c r="L48" s="7" t="n">
        <f aca="false">L47*$D$2</f>
        <v>41399.263625</v>
      </c>
      <c r="M48" s="7" t="n">
        <f aca="false">M47*$D$2</f>
        <v>25712.15017</v>
      </c>
      <c r="N48" s="7" t="n">
        <f aca="false">N47*$D$2</f>
        <v>0</v>
      </c>
      <c r="O48" s="7" t="n">
        <f aca="false">O47*$D$2</f>
        <v>0</v>
      </c>
      <c r="P48" s="7" t="n">
        <f aca="false">P47*$D$2</f>
        <v>25712.15017</v>
      </c>
      <c r="Q48" s="7" t="n">
        <f aca="false">Q47*$D$2</f>
        <v>21856.38485</v>
      </c>
      <c r="R48" s="7" t="n">
        <f aca="false">R47*$D$2</f>
        <v>9461.09665</v>
      </c>
      <c r="S48" s="7" t="n">
        <f aca="false">S47*$D$2</f>
        <v>57029.63167</v>
      </c>
      <c r="T48" s="7" t="n">
        <f aca="false">T47*$D$2</f>
        <v>0</v>
      </c>
      <c r="U48" s="7" t="n">
        <f aca="false">U47*$D$2</f>
        <v>7463.1171</v>
      </c>
      <c r="V48" s="7" t="n">
        <f aca="false">V47*$D$2</f>
        <v>156438.902855</v>
      </c>
      <c r="W48" s="7" t="n">
        <f aca="false">W47*$D$2</f>
        <v>17371.2351449999</v>
      </c>
      <c r="X48" s="7" t="n">
        <f aca="false">X47*$D$2</f>
        <v>220931.651625</v>
      </c>
      <c r="Y48" s="7" t="n">
        <f aca="false">Y47*$D$2</f>
        <v>5332.73921</v>
      </c>
      <c r="Z48" s="7" t="n">
        <f aca="false">Z47*$D$2</f>
        <v>226264.390835</v>
      </c>
      <c r="AA48" s="8"/>
      <c r="AB48" s="10"/>
      <c r="AC48" s="10"/>
      <c r="AD48" s="11"/>
      <c r="AE48" s="101"/>
      <c r="AF48" s="101"/>
    </row>
    <row r="49" customFormat="false" ht="3" hidden="false" customHeight="true" outlineLevel="0" collapsed="false">
      <c r="A49" s="29"/>
      <c r="B49" s="29"/>
      <c r="C49" s="31"/>
      <c r="D49" s="29"/>
      <c r="E49" s="31"/>
      <c r="F49" s="29"/>
      <c r="G49" s="29"/>
      <c r="H49" s="127"/>
      <c r="I49" s="29"/>
      <c r="J49" s="29"/>
      <c r="K49" s="132"/>
      <c r="L49" s="29"/>
      <c r="M49" s="29"/>
      <c r="N49" s="29"/>
      <c r="O49" s="29"/>
      <c r="P49" s="29"/>
      <c r="Q49" s="29"/>
      <c r="R49" s="29"/>
      <c r="S49" s="29"/>
      <c r="T49" s="31"/>
      <c r="U49" s="29"/>
      <c r="V49" s="29"/>
      <c r="W49" s="31"/>
      <c r="X49" s="29"/>
      <c r="Y49" s="29"/>
      <c r="Z49" s="29"/>
      <c r="AA49" s="8"/>
      <c r="AB49" s="10"/>
      <c r="AC49" s="10"/>
      <c r="AD49" s="11"/>
      <c r="AE49" s="101"/>
      <c r="AF49" s="101"/>
    </row>
    <row r="50" customFormat="false" ht="14.1" hidden="false" customHeight="true" outlineLevel="0" collapsed="false">
      <c r="A50" s="38"/>
      <c r="B50" s="39"/>
      <c r="C50" s="7"/>
      <c r="D50" s="6"/>
      <c r="E50" s="7"/>
      <c r="F50" s="6"/>
      <c r="G50" s="133"/>
      <c r="H50" s="121"/>
      <c r="I50" s="6"/>
      <c r="J50" s="6"/>
      <c r="K50" s="134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7"/>
      <c r="X50" s="6"/>
      <c r="Y50" s="6"/>
      <c r="Z50" s="6"/>
      <c r="AA50" s="8"/>
      <c r="AB50" s="10"/>
      <c r="AC50" s="10"/>
      <c r="AD50" s="11"/>
      <c r="AE50" s="101"/>
      <c r="AF50" s="101"/>
    </row>
    <row r="51" customFormat="false" ht="11.1" hidden="false" customHeight="true" outlineLevel="0" collapsed="false">
      <c r="A51" s="6"/>
      <c r="B51" s="28"/>
      <c r="C51" s="7"/>
      <c r="D51" s="37"/>
      <c r="E51" s="7"/>
      <c r="F51" s="6"/>
      <c r="G51" s="6"/>
      <c r="H51" s="121"/>
      <c r="I51" s="40"/>
      <c r="J51" s="6"/>
      <c r="K51" s="41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7"/>
      <c r="X51" s="6"/>
      <c r="Y51" s="6"/>
      <c r="Z51" s="6"/>
      <c r="AA51" s="8"/>
      <c r="AB51" s="10"/>
      <c r="AC51" s="10"/>
      <c r="AD51" s="11"/>
      <c r="AE51" s="101"/>
      <c r="AF51" s="101"/>
    </row>
    <row r="52" customFormat="false" ht="11.1" hidden="false" customHeight="true" outlineLevel="0" collapsed="false">
      <c r="B52" s="37"/>
      <c r="C52" s="7"/>
      <c r="D52" s="7"/>
      <c r="E52" s="7"/>
      <c r="F52" s="37"/>
      <c r="G52" s="133"/>
      <c r="H52" s="121"/>
      <c r="I52" s="37"/>
      <c r="J52" s="37"/>
      <c r="K52" s="135"/>
      <c r="L52" s="37"/>
      <c r="M52" s="35"/>
      <c r="N52" s="35"/>
      <c r="O52" s="35"/>
      <c r="P52" s="37"/>
      <c r="Q52" s="37"/>
      <c r="R52" s="6"/>
      <c r="S52" s="7"/>
      <c r="T52" s="37"/>
      <c r="U52" s="37"/>
      <c r="V52" s="7"/>
      <c r="W52" s="37"/>
      <c r="X52" s="37"/>
      <c r="Y52" s="37"/>
      <c r="Z52" s="42"/>
      <c r="AA52" s="8"/>
      <c r="AB52" s="10"/>
      <c r="AC52" s="11"/>
      <c r="AD52" s="136"/>
      <c r="AE52" s="136"/>
    </row>
    <row r="53" customFormat="false" ht="11.1" hidden="false" customHeight="true" outlineLevel="0" collapsed="false">
      <c r="A53" s="37"/>
      <c r="B53" s="42"/>
      <c r="C53" s="7"/>
      <c r="D53" s="7"/>
      <c r="E53" s="7"/>
      <c r="F53" s="37"/>
      <c r="G53" s="133"/>
      <c r="H53" s="121"/>
      <c r="I53" s="37"/>
      <c r="J53" s="37"/>
      <c r="K53" s="135"/>
      <c r="L53" s="37"/>
      <c r="M53" s="35"/>
      <c r="N53" s="35"/>
      <c r="O53" s="35"/>
      <c r="P53" s="37"/>
      <c r="Q53" s="37"/>
      <c r="R53" s="37"/>
      <c r="S53" s="7"/>
      <c r="T53" s="37"/>
      <c r="U53" s="37"/>
      <c r="V53" s="7"/>
      <c r="W53" s="37"/>
      <c r="X53" s="37"/>
      <c r="Y53" s="37"/>
      <c r="Z53" s="42"/>
      <c r="AA53" s="8"/>
      <c r="AB53" s="10"/>
      <c r="AC53" s="11"/>
      <c r="AD53" s="136"/>
      <c r="AE53" s="136"/>
    </row>
    <row r="54" customFormat="false" ht="11.1" hidden="false" customHeight="true" outlineLevel="0" collapsed="false">
      <c r="A54" s="37"/>
      <c r="B54" s="37"/>
      <c r="C54" s="7"/>
      <c r="D54" s="37"/>
      <c r="E54" s="7"/>
      <c r="F54" s="37"/>
      <c r="G54" s="6"/>
      <c r="H54" s="121"/>
      <c r="I54" s="37"/>
      <c r="J54" s="37"/>
      <c r="K54" s="41"/>
      <c r="L54" s="37"/>
      <c r="M54" s="35"/>
      <c r="N54" s="35"/>
      <c r="O54" s="35"/>
      <c r="P54" s="37"/>
      <c r="Q54" s="37"/>
      <c r="R54" s="37"/>
      <c r="S54" s="7"/>
      <c r="T54" s="37"/>
      <c r="U54" s="37"/>
      <c r="V54" s="7"/>
      <c r="W54" s="37"/>
      <c r="X54" s="37"/>
      <c r="Y54" s="37"/>
      <c r="Z54" s="42"/>
      <c r="AA54" s="8"/>
      <c r="AB54" s="10"/>
      <c r="AC54" s="11"/>
      <c r="AD54" s="136"/>
      <c r="AE54" s="136"/>
    </row>
    <row r="55" customFormat="false" ht="11.1" hidden="false" customHeight="true" outlineLevel="0" collapsed="false">
      <c r="R55" s="37"/>
      <c r="S55" s="7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Q21" activePane="bottomRight" state="frozen"/>
      <selection pane="topLeft" activeCell="A1" activeCellId="0" sqref="A1"/>
      <selection pane="topRight" activeCell="Q1" activeCellId="0" sqref="Q1"/>
      <selection pane="bottomLeft" activeCell="A21" activeCellId="0" sqref="A21"/>
      <selection pane="bottomRight" activeCell="AC40" activeCellId="0" sqref="AC4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92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8" width="5.32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9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5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93"/>
      <c r="I2" s="51"/>
      <c r="J2" s="51"/>
      <c r="K2" s="59" t="s">
        <v>73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5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9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5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94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137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74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94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138"/>
      <c r="AB5" s="64" t="s">
        <v>43</v>
      </c>
      <c r="AC5" s="64" t="s">
        <v>43</v>
      </c>
      <c r="AD5" s="67" t="s">
        <v>74</v>
      </c>
      <c r="AE5" s="84"/>
      <c r="AF5" s="84"/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95"/>
      <c r="I6" s="68"/>
      <c r="J6" s="68"/>
      <c r="K6" s="68"/>
      <c r="L6" s="68"/>
      <c r="M6" s="68"/>
      <c r="N6" s="68"/>
      <c r="O6" s="68"/>
      <c r="P6" s="68"/>
      <c r="Q6" s="68"/>
      <c r="R6" s="139"/>
      <c r="S6" s="68"/>
      <c r="T6" s="110"/>
      <c r="U6" s="68"/>
      <c r="V6" s="68"/>
      <c r="W6" s="69"/>
      <c r="X6" s="68"/>
      <c r="Y6" s="68"/>
      <c r="Z6" s="68"/>
      <c r="AA6" s="55"/>
      <c r="AB6" s="57"/>
      <c r="AC6" s="57"/>
      <c r="AD6" s="57"/>
      <c r="AE6" s="85"/>
      <c r="AF6" s="85"/>
      <c r="AG6" s="86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 t="n">
        <f aca="false">JUN!F44</f>
        <v>35712.6291908243</v>
      </c>
      <c r="G7" s="52" t="n">
        <f aca="false">JUN!G44</f>
        <v>110997.8</v>
      </c>
      <c r="H7" s="93" t="n">
        <f aca="false">JUN!H44</f>
        <v>8801.4</v>
      </c>
      <c r="I7" s="52" t="n">
        <f aca="false">JUN!I44</f>
        <v>119799.2</v>
      </c>
      <c r="J7" s="52" t="n">
        <f aca="false">JUN!J44</f>
        <v>21254.1075623897</v>
      </c>
      <c r="K7" s="52" t="n">
        <f aca="false">JUN!K44</f>
        <v>141053.30756239</v>
      </c>
      <c r="L7" s="52" t="n">
        <f aca="false">JUN!L44</f>
        <v>19826.8291908243</v>
      </c>
      <c r="M7" s="52" t="n">
        <f aca="false">JUN!M44</f>
        <v>11898.5</v>
      </c>
      <c r="N7" s="52" t="n">
        <f aca="false">JUN!N44</f>
        <v>0</v>
      </c>
      <c r="O7" s="52" t="n">
        <f aca="false">JUN!O44</f>
        <v>0</v>
      </c>
      <c r="P7" s="52" t="n">
        <f aca="false">JUN!P44</f>
        <v>11898.5</v>
      </c>
      <c r="Q7" s="52" t="n">
        <f aca="false">JUN!Q44</f>
        <v>9706.3</v>
      </c>
      <c r="R7" s="52" t="n">
        <f aca="false">JUN!R44</f>
        <v>4495.8</v>
      </c>
      <c r="S7" s="52" t="n">
        <f aca="false">JUN!S44</f>
        <v>26100.6</v>
      </c>
      <c r="T7" s="52" t="n">
        <v>10548</v>
      </c>
      <c r="U7" s="52" t="n">
        <f aca="false">JUN!U44</f>
        <v>3762.6</v>
      </c>
      <c r="V7" s="52" t="n">
        <f aca="false">JUN!V44</f>
        <v>74050.2</v>
      </c>
      <c r="W7" s="52"/>
      <c r="X7" s="52" t="n">
        <f aca="false">JUN!X44</f>
        <v>103913.4</v>
      </c>
      <c r="Y7" s="52" t="n">
        <f aca="false">JUN!Y44</f>
        <v>1427.27837156542</v>
      </c>
      <c r="Z7" s="52" t="n">
        <f aca="false">JUN!Z44</f>
        <v>105340.678371565</v>
      </c>
      <c r="AA7" s="55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JUN!B39</f>
        <v>6923.6</v>
      </c>
      <c r="C8" s="52" t="n">
        <f aca="false">JUN!C39</f>
        <v>379380</v>
      </c>
      <c r="D8" s="52" t="n">
        <f aca="false">JUN!D48</f>
        <v>84527</v>
      </c>
      <c r="E8" s="52" t="n">
        <f aca="false">JUN!E48</f>
        <v>227380</v>
      </c>
      <c r="F8" s="52" t="n">
        <f aca="false">JUN!F47</f>
        <v>42615.0743634989</v>
      </c>
      <c r="G8" s="52" t="n">
        <f aca="false">JUN!G47</f>
        <v>123684.9</v>
      </c>
      <c r="H8" s="93" t="n">
        <f aca="false">JUN!H47</f>
        <v>9443.1</v>
      </c>
      <c r="I8" s="52" t="n">
        <f aca="false">JUN!I47</f>
        <v>133128</v>
      </c>
      <c r="J8" s="52" t="n">
        <f aca="false">JUN!J47</f>
        <v>23560.3745071843</v>
      </c>
      <c r="K8" s="52" t="n">
        <f aca="false">JUN!K47</f>
        <v>156688.250080665</v>
      </c>
      <c r="L8" s="52" t="n">
        <f aca="false">JUN!L47</f>
        <v>20871.8243634989</v>
      </c>
      <c r="M8" s="52" t="n">
        <f aca="false">JUN!M47</f>
        <v>12963.02</v>
      </c>
      <c r="N8" s="52" t="n">
        <f aca="false">JUN!N47</f>
        <v>0</v>
      </c>
      <c r="O8" s="52" t="n">
        <f aca="false">JUN!O47</f>
        <v>0</v>
      </c>
      <c r="P8" s="52" t="n">
        <f aca="false">JUN!P47</f>
        <v>12963.02</v>
      </c>
      <c r="Q8" s="52" t="n">
        <f aca="false">JUN!Q47</f>
        <v>11019.1</v>
      </c>
      <c r="R8" s="52" t="n">
        <f aca="false">JUN!R47</f>
        <v>4769.9</v>
      </c>
      <c r="S8" s="52" t="n">
        <f aca="false">JUN!S47</f>
        <v>28752.02</v>
      </c>
      <c r="T8" s="52" t="n">
        <f aca="false">JUN!T47</f>
        <v>0</v>
      </c>
      <c r="U8" s="52" t="n">
        <f aca="false">JUN!U47</f>
        <v>3762.6</v>
      </c>
      <c r="V8" s="52" t="n">
        <f aca="false">JUN!V47</f>
        <v>78870.13</v>
      </c>
      <c r="W8" s="52" t="n">
        <f aca="false">JUN!W47</f>
        <v>8757.86999999996</v>
      </c>
      <c r="X8" s="52" t="n">
        <f aca="false">JUN!X47</f>
        <v>111384.75</v>
      </c>
      <c r="Y8" s="52" t="n">
        <f aca="false">JUN!Y47</f>
        <v>2688.5501436854</v>
      </c>
      <c r="Z8" s="52" t="n">
        <f aca="false">JUN!Z47</f>
        <v>114073.300143685</v>
      </c>
      <c r="AA8" s="55" t="n">
        <f aca="false">JUN!AA47</f>
        <v>12.81</v>
      </c>
      <c r="AB8" s="56"/>
      <c r="AC8" s="56"/>
      <c r="AD8" s="57"/>
      <c r="AE8" s="87"/>
      <c r="AF8" s="85"/>
      <c r="AG8" s="87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96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140"/>
      <c r="AB9" s="76"/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6923.41</v>
      </c>
      <c r="C10" s="52" t="n">
        <v>378535</v>
      </c>
      <c r="D10" s="56" t="n">
        <f aca="false">C10-C8</f>
        <v>-845</v>
      </c>
      <c r="E10" s="52" t="n">
        <f aca="false">C10-152000</f>
        <v>226535</v>
      </c>
      <c r="F10" s="51" t="n">
        <f aca="false">D10/$D$2</f>
        <v>-426.014620620116</v>
      </c>
      <c r="G10" s="51" t="n">
        <v>429.1</v>
      </c>
      <c r="H10" s="93" t="n">
        <v>1.6</v>
      </c>
      <c r="I10" s="51" t="n">
        <f aca="false">G10+H10</f>
        <v>430.7</v>
      </c>
      <c r="J10" s="78" t="n">
        <f aca="false">IF(L10&gt;0,L10,0)</f>
        <v>0</v>
      </c>
      <c r="K10" s="51" t="n">
        <f aca="false">I10+J10</f>
        <v>430.7</v>
      </c>
      <c r="L10" s="51" t="n">
        <f aca="false">F10-(I10-X10)</f>
        <v>-100.014620620116</v>
      </c>
      <c r="M10" s="51" t="n">
        <v>242.4</v>
      </c>
      <c r="N10" s="51" t="n">
        <v>0</v>
      </c>
      <c r="O10" s="51" t="n">
        <v>0</v>
      </c>
      <c r="P10" s="6" t="n">
        <f aca="false">M10-(N10+O10)</f>
        <v>242.4</v>
      </c>
      <c r="Q10" s="51" t="n">
        <v>168.1</v>
      </c>
      <c r="R10" s="51" t="n">
        <v>77.2</v>
      </c>
      <c r="S10" s="51" t="n">
        <f aca="false">SUM(P10:R10)</f>
        <v>487.7</v>
      </c>
      <c r="T10" s="52" t="n">
        <f aca="false">(I10-S10)+T7</f>
        <v>10491</v>
      </c>
      <c r="U10" s="51" t="n">
        <v>168.4</v>
      </c>
      <c r="V10" s="51" t="n">
        <v>100.6</v>
      </c>
      <c r="W10" s="52" t="n">
        <f aca="false">W8-V10</f>
        <v>8657.26999999996</v>
      </c>
      <c r="X10" s="6" t="n">
        <f aca="false">N10+O10+S10+U10+V10</f>
        <v>756.7</v>
      </c>
      <c r="Y10" s="51" t="n">
        <f aca="false">IF(L10&lt;0,L10*-1,0)</f>
        <v>100.014620620116</v>
      </c>
      <c r="Z10" s="51" t="n">
        <f aca="false">X10+Y10</f>
        <v>856.714620620116</v>
      </c>
      <c r="AA10" s="55" t="n">
        <v>0</v>
      </c>
      <c r="AB10" s="141" t="n">
        <v>71</v>
      </c>
      <c r="AC10" s="141" t="n">
        <v>53</v>
      </c>
      <c r="AD10" s="57" t="n">
        <v>1</v>
      </c>
      <c r="AE10" s="86"/>
      <c r="AF10" s="87"/>
      <c r="AG10" s="86"/>
    </row>
    <row r="11" customFormat="false" ht="11.1" hidden="false" customHeight="true" outlineLevel="0" collapsed="false">
      <c r="A11" s="57" t="n">
        <f aca="false">A10+1</f>
        <v>2</v>
      </c>
      <c r="B11" s="71" t="n">
        <v>6923.26</v>
      </c>
      <c r="C11" s="52" t="n">
        <v>377865</v>
      </c>
      <c r="D11" s="56" t="n">
        <f aca="false">C11-C10</f>
        <v>-670</v>
      </c>
      <c r="E11" s="52" t="n">
        <f aca="false">C11-152000</f>
        <v>225865</v>
      </c>
      <c r="F11" s="51" t="n">
        <f aca="false">D11/$D$2</f>
        <v>-337.786740610033</v>
      </c>
      <c r="G11" s="51" t="n">
        <v>374.6</v>
      </c>
      <c r="H11" s="93" t="n">
        <v>1.1</v>
      </c>
      <c r="I11" s="51" t="n">
        <f aca="false">G11+H11</f>
        <v>375.7</v>
      </c>
      <c r="J11" s="78" t="n">
        <f aca="false">IF(L11&gt;0,L11,0)</f>
        <v>0</v>
      </c>
      <c r="K11" s="51" t="n">
        <f aca="false">I11+J11</f>
        <v>375.7</v>
      </c>
      <c r="L11" s="51" t="n">
        <f aca="false">F11-(I11-X11)</f>
        <v>-26.7867406100328</v>
      </c>
      <c r="M11" s="51" t="n">
        <v>251.4</v>
      </c>
      <c r="N11" s="51" t="n">
        <v>0</v>
      </c>
      <c r="O11" s="51" t="n">
        <v>0</v>
      </c>
      <c r="P11" s="6" t="n">
        <f aca="false">M11-(N11+O11)</f>
        <v>251.4</v>
      </c>
      <c r="Q11" s="51" t="n">
        <v>78.1</v>
      </c>
      <c r="R11" s="51" t="n">
        <v>79.7</v>
      </c>
      <c r="S11" s="51" t="n">
        <f aca="false">SUM(P11:R11)</f>
        <v>409.2</v>
      </c>
      <c r="T11" s="52" t="n">
        <f aca="false">(I11-S11)+T10</f>
        <v>10457.5</v>
      </c>
      <c r="U11" s="51" t="n">
        <v>178</v>
      </c>
      <c r="V11" s="51" t="n">
        <v>99.5</v>
      </c>
      <c r="W11" s="52" t="n">
        <f aca="false">W10-V11</f>
        <v>8557.76999999996</v>
      </c>
      <c r="X11" s="6" t="n">
        <f aca="false">N11+O11+S11+U11+V11</f>
        <v>686.7</v>
      </c>
      <c r="Y11" s="51" t="n">
        <f aca="false">IF(L11&lt;0,L11*-1,0)</f>
        <v>26.7867406100328</v>
      </c>
      <c r="Z11" s="51" t="n">
        <f aca="false">X11+Y11</f>
        <v>713.486740610033</v>
      </c>
      <c r="AA11" s="55" t="n">
        <v>0</v>
      </c>
      <c r="AB11" s="56" t="n">
        <v>71</v>
      </c>
      <c r="AC11" s="56" t="n">
        <v>42</v>
      </c>
      <c r="AD11" s="57" t="n">
        <f aca="false">AD10+1</f>
        <v>2</v>
      </c>
      <c r="AE11" s="86"/>
      <c r="AF11" s="87"/>
      <c r="AG11" s="86"/>
    </row>
    <row r="12" customFormat="false" ht="11.1" hidden="false" customHeight="true" outlineLevel="0" collapsed="false">
      <c r="A12" s="57" t="n">
        <f aca="false">A11+1</f>
        <v>3</v>
      </c>
      <c r="B12" s="71" t="n">
        <v>6923.01</v>
      </c>
      <c r="C12" s="52" t="n">
        <v>376753</v>
      </c>
      <c r="D12" s="56" t="n">
        <f aca="false">C12-C11</f>
        <v>-1112</v>
      </c>
      <c r="E12" s="52" t="n">
        <f aca="false">C12-152000</f>
        <v>224753</v>
      </c>
      <c r="F12" s="51" t="n">
        <f aca="false">D12/$D$2</f>
        <v>-560.625157549786</v>
      </c>
      <c r="G12" s="51" t="n">
        <v>339.2</v>
      </c>
      <c r="H12" s="93" t="n">
        <v>1.1</v>
      </c>
      <c r="I12" s="51" t="n">
        <f aca="false">G12+H12</f>
        <v>340.3</v>
      </c>
      <c r="J12" s="78" t="n">
        <f aca="false">IF(L12&gt;0,L12,0)</f>
        <v>0</v>
      </c>
      <c r="K12" s="51" t="n">
        <f aca="false">I12+J12</f>
        <v>340.3</v>
      </c>
      <c r="L12" s="51" t="n">
        <f aca="false">F12-(I12-X12)</f>
        <v>-275.125157549786</v>
      </c>
      <c r="M12" s="51" t="n">
        <v>253.9</v>
      </c>
      <c r="N12" s="51" t="n">
        <v>0</v>
      </c>
      <c r="O12" s="51" t="n">
        <v>0</v>
      </c>
      <c r="P12" s="6" t="n">
        <f aca="false">M12-(N12+O12)</f>
        <v>253.9</v>
      </c>
      <c r="Q12" s="51" t="n">
        <v>38.7</v>
      </c>
      <c r="R12" s="51" t="n">
        <v>79.2</v>
      </c>
      <c r="S12" s="51" t="n">
        <f aca="false">SUM(P12:R12)</f>
        <v>371.8</v>
      </c>
      <c r="T12" s="52" t="n">
        <f aca="false">(I12-S12)+T11</f>
        <v>10426</v>
      </c>
      <c r="U12" s="51" t="n">
        <v>153.8</v>
      </c>
      <c r="V12" s="51" t="n">
        <v>100.2</v>
      </c>
      <c r="W12" s="52" t="n">
        <f aca="false">W11-V12</f>
        <v>8457.56999999996</v>
      </c>
      <c r="X12" s="6" t="n">
        <f aca="false">N12+O12+S12+U12+V12</f>
        <v>625.8</v>
      </c>
      <c r="Y12" s="51" t="n">
        <f aca="false">IF(L12&lt;0,L12*-1,0)</f>
        <v>275.125157549786</v>
      </c>
      <c r="Z12" s="51" t="n">
        <f aca="false">X12+Y12</f>
        <v>900.925157549786</v>
      </c>
      <c r="AA12" s="55" t="n">
        <v>0</v>
      </c>
      <c r="AB12" s="56" t="n">
        <v>82</v>
      </c>
      <c r="AC12" s="56" t="n">
        <v>44</v>
      </c>
      <c r="AD12" s="57" t="n">
        <f aca="false">AD11+1</f>
        <v>3</v>
      </c>
      <c r="AE12" s="86"/>
      <c r="AF12" s="87"/>
      <c r="AG12" s="86"/>
    </row>
    <row r="13" customFormat="false" ht="11.1" hidden="false" customHeight="true" outlineLevel="0" collapsed="false">
      <c r="A13" s="57" t="n">
        <f aca="false">A12+1</f>
        <v>4</v>
      </c>
      <c r="B13" s="71" t="n">
        <v>6922.95</v>
      </c>
      <c r="C13" s="52" t="n">
        <v>376489</v>
      </c>
      <c r="D13" s="56" t="n">
        <f aca="false">C13-C12</f>
        <v>-264</v>
      </c>
      <c r="E13" s="52" t="n">
        <f aca="false">C13-152000</f>
        <v>224489</v>
      </c>
      <c r="F13" s="51" t="n">
        <f aca="false">D13/$D$2</f>
        <v>-133.09805898664</v>
      </c>
      <c r="G13" s="51" t="n">
        <v>326.7</v>
      </c>
      <c r="H13" s="93" t="n">
        <v>0.7</v>
      </c>
      <c r="I13" s="51" t="n">
        <f aca="false">G13+H13</f>
        <v>327.4</v>
      </c>
      <c r="J13" s="78" t="n">
        <f aca="false">IF(L13&gt;0,L13,0)</f>
        <v>175.30194101336</v>
      </c>
      <c r="K13" s="51" t="n">
        <f aca="false">I13+J13</f>
        <v>502.70194101336</v>
      </c>
      <c r="L13" s="51" t="n">
        <f aca="false">F13-(I13-X13)</f>
        <v>175.30194101336</v>
      </c>
      <c r="M13" s="51" t="n">
        <v>255.3</v>
      </c>
      <c r="N13" s="51" t="n">
        <v>0</v>
      </c>
      <c r="O13" s="51" t="n">
        <v>0</v>
      </c>
      <c r="P13" s="6" t="n">
        <f aca="false">M13-(N13+O13)</f>
        <v>255.3</v>
      </c>
      <c r="Q13" s="51" t="n">
        <v>38.7</v>
      </c>
      <c r="R13" s="51" t="n">
        <v>80.2</v>
      </c>
      <c r="S13" s="51" t="n">
        <f aca="false">SUM(P13:R13)</f>
        <v>374.2</v>
      </c>
      <c r="T13" s="52" t="n">
        <f aca="false">(I13-S13)+T12</f>
        <v>10379.2</v>
      </c>
      <c r="U13" s="51" t="n">
        <v>161.4</v>
      </c>
      <c r="V13" s="51" t="n">
        <v>100.2</v>
      </c>
      <c r="W13" s="52" t="n">
        <f aca="false">W12-V13</f>
        <v>8357.36999999996</v>
      </c>
      <c r="X13" s="6" t="n">
        <f aca="false">N13+O13+S13+U13+V13</f>
        <v>635.8</v>
      </c>
      <c r="Y13" s="51" t="n">
        <f aca="false">IF(L13&lt;0,L13*-1,0)</f>
        <v>0</v>
      </c>
      <c r="Z13" s="51" t="n">
        <f aca="false">X13+Y13</f>
        <v>635.8</v>
      </c>
      <c r="AA13" s="55" t="n">
        <v>0</v>
      </c>
      <c r="AB13" s="56" t="n">
        <v>85</v>
      </c>
      <c r="AC13" s="56" t="n">
        <v>49</v>
      </c>
      <c r="AD13" s="57" t="n">
        <f aca="false">AD12+1</f>
        <v>4</v>
      </c>
      <c r="AE13" s="86"/>
      <c r="AF13" s="87"/>
      <c r="AG13" s="86"/>
    </row>
    <row r="14" customFormat="false" ht="11.1" hidden="false" customHeight="true" outlineLevel="0" collapsed="false">
      <c r="A14" s="57" t="n">
        <f aca="false">A13+1</f>
        <v>5</v>
      </c>
      <c r="B14" s="71" t="n">
        <v>6922.78</v>
      </c>
      <c r="C14" s="52" t="n">
        <v>375737</v>
      </c>
      <c r="D14" s="56" t="n">
        <f aca="false">C14-C13</f>
        <v>-752</v>
      </c>
      <c r="E14" s="52" t="n">
        <f aca="false">C14-152000</f>
        <v>223737</v>
      </c>
      <c r="F14" s="51" t="n">
        <f aca="false">D14/$D$2</f>
        <v>-379.127804386186</v>
      </c>
      <c r="G14" s="51" t="n">
        <v>325.9</v>
      </c>
      <c r="H14" s="93" t="n">
        <v>0.5</v>
      </c>
      <c r="I14" s="51" t="n">
        <f aca="false">G14+H14</f>
        <v>326.4</v>
      </c>
      <c r="J14" s="78" t="n">
        <f aca="false">IF(L14&gt;0,L14,0)</f>
        <v>0</v>
      </c>
      <c r="K14" s="51" t="n">
        <f aca="false">I14+J14</f>
        <v>326.4</v>
      </c>
      <c r="L14" s="51" t="n">
        <f aca="false">F14-(I14-X14)</f>
        <v>-75.6278043861859</v>
      </c>
      <c r="M14" s="51" t="n">
        <v>255</v>
      </c>
      <c r="N14" s="51" t="n">
        <v>0</v>
      </c>
      <c r="O14" s="51" t="n">
        <v>0</v>
      </c>
      <c r="P14" s="6" t="n">
        <f aca="false">M14-(N14+O14)</f>
        <v>255</v>
      </c>
      <c r="Q14" s="51" t="n">
        <v>38.4</v>
      </c>
      <c r="R14" s="51" t="n">
        <v>78.2</v>
      </c>
      <c r="S14" s="51" t="n">
        <f aca="false">SUM(P14:R14)</f>
        <v>371.6</v>
      </c>
      <c r="T14" s="52" t="n">
        <f aca="false">(I14-S14)+T13</f>
        <v>10334</v>
      </c>
      <c r="U14" s="51" t="n">
        <v>157.3</v>
      </c>
      <c r="V14" s="51" t="n">
        <v>101</v>
      </c>
      <c r="W14" s="52" t="n">
        <f aca="false">W13-V14</f>
        <v>8256.36999999996</v>
      </c>
      <c r="X14" s="6" t="n">
        <f aca="false">N14+O14+S14+U14+V14</f>
        <v>629.9</v>
      </c>
      <c r="Y14" s="51" t="n">
        <f aca="false">IF(L14&lt;0,L14*-1,0)</f>
        <v>75.6278043861859</v>
      </c>
      <c r="Z14" s="51" t="n">
        <f aca="false">X14+Y14</f>
        <v>705.527804386186</v>
      </c>
      <c r="AA14" s="55" t="n">
        <v>0</v>
      </c>
      <c r="AB14" s="56" t="n">
        <v>88</v>
      </c>
      <c r="AC14" s="56" t="n">
        <v>51</v>
      </c>
      <c r="AD14" s="57" t="n">
        <f aca="false">AD13+1</f>
        <v>5</v>
      </c>
      <c r="AE14" s="86"/>
      <c r="AF14" s="87"/>
      <c r="AG14" s="86"/>
    </row>
    <row r="15" customFormat="false" ht="11.1" hidden="false" customHeight="true" outlineLevel="0" collapsed="false">
      <c r="A15" s="57" t="n">
        <f aca="false">A14+1</f>
        <v>6</v>
      </c>
      <c r="B15" s="71" t="n">
        <v>6922.63</v>
      </c>
      <c r="C15" s="52" t="n">
        <v>375075</v>
      </c>
      <c r="D15" s="56" t="n">
        <f aca="false">C15-C14</f>
        <v>-662</v>
      </c>
      <c r="E15" s="52" t="n">
        <f aca="false">C15-152000</f>
        <v>223075</v>
      </c>
      <c r="F15" s="51" t="n">
        <f aca="false">D15/$D$2</f>
        <v>-333.753466095286</v>
      </c>
      <c r="G15" s="51" t="n">
        <v>329.5</v>
      </c>
      <c r="H15" s="93" t="n">
        <v>0.5</v>
      </c>
      <c r="I15" s="51" t="n">
        <f aca="false">G15+H15</f>
        <v>330</v>
      </c>
      <c r="J15" s="78" t="n">
        <f aca="false">IF(L15&gt;0,L15,0)</f>
        <v>11.9465339047138</v>
      </c>
      <c r="K15" s="51" t="n">
        <f aca="false">I15+J15</f>
        <v>341.946533904714</v>
      </c>
      <c r="L15" s="51" t="n">
        <f aca="false">F15-(I15-X15)</f>
        <v>11.9465339047138</v>
      </c>
      <c r="M15" s="51" t="n">
        <v>255.1</v>
      </c>
      <c r="N15" s="51" t="n">
        <v>0</v>
      </c>
      <c r="O15" s="51" t="n">
        <v>0</v>
      </c>
      <c r="P15" s="6" t="n">
        <f aca="false">M15-(N15+O15)</f>
        <v>255.1</v>
      </c>
      <c r="Q15" s="51" t="n">
        <v>38.3</v>
      </c>
      <c r="R15" s="51" t="n">
        <v>79.7</v>
      </c>
      <c r="S15" s="51" t="n">
        <f aca="false">SUM(P15:R15)</f>
        <v>373.1</v>
      </c>
      <c r="T15" s="52" t="n">
        <f aca="false">(I15-S15)+T14</f>
        <v>10290.9</v>
      </c>
      <c r="U15" s="51" t="n">
        <v>201.2</v>
      </c>
      <c r="V15" s="51" t="n">
        <v>101.4</v>
      </c>
      <c r="W15" s="52" t="n">
        <f aca="false">W14-V15</f>
        <v>8154.96999999996</v>
      </c>
      <c r="X15" s="6" t="n">
        <f aca="false">N15+O15+S15+U15+V15</f>
        <v>675.7</v>
      </c>
      <c r="Y15" s="51" t="n">
        <f aca="false">IF(L15&lt;0,L15*-1,0)</f>
        <v>0</v>
      </c>
      <c r="Z15" s="51" t="n">
        <f aca="false">X15+Y15</f>
        <v>675.7</v>
      </c>
      <c r="AA15" s="55" t="n">
        <v>0</v>
      </c>
      <c r="AB15" s="56" t="n">
        <v>87</v>
      </c>
      <c r="AC15" s="56" t="n">
        <v>53</v>
      </c>
      <c r="AD15" s="57" t="n">
        <f aca="false">AD14+1</f>
        <v>6</v>
      </c>
      <c r="AE15" s="85"/>
      <c r="AF15" s="87"/>
      <c r="AG15" s="86"/>
    </row>
    <row r="16" customFormat="false" ht="11.1" hidden="false" customHeight="true" outlineLevel="0" collapsed="false">
      <c r="A16" s="57" t="n">
        <f aca="false">A15+1</f>
        <v>7</v>
      </c>
      <c r="B16" s="71" t="n">
        <v>6922.48</v>
      </c>
      <c r="C16" s="52" t="n">
        <v>374413</v>
      </c>
      <c r="D16" s="56" t="n">
        <f aca="false">C16-C15</f>
        <v>-662</v>
      </c>
      <c r="E16" s="52" t="n">
        <f aca="false">C16-152000</f>
        <v>222413</v>
      </c>
      <c r="F16" s="51" t="n">
        <f aca="false">D16/$D$2</f>
        <v>-333.753466095286</v>
      </c>
      <c r="G16" s="51" t="n">
        <v>301.6</v>
      </c>
      <c r="H16" s="93" t="n">
        <v>0.7</v>
      </c>
      <c r="I16" s="51" t="n">
        <f aca="false">G16+H16</f>
        <v>302.3</v>
      </c>
      <c r="J16" s="78" t="n">
        <f aca="false">IF(L16&gt;0,L16,0)</f>
        <v>10.2465339047139</v>
      </c>
      <c r="K16" s="51" t="n">
        <f aca="false">I16+J16</f>
        <v>312.546533904714</v>
      </c>
      <c r="L16" s="51" t="n">
        <f aca="false">F16-(I16-X16)</f>
        <v>10.2465339047139</v>
      </c>
      <c r="M16" s="51" t="n">
        <v>254.8</v>
      </c>
      <c r="N16" s="51" t="n">
        <v>0</v>
      </c>
      <c r="O16" s="51" t="n">
        <v>0</v>
      </c>
      <c r="P16" s="6" t="n">
        <f aca="false">M16-(N16+O16)</f>
        <v>254.8</v>
      </c>
      <c r="Q16" s="51" t="n">
        <v>38.2</v>
      </c>
      <c r="R16" s="51" t="n">
        <v>79.7</v>
      </c>
      <c r="S16" s="51" t="n">
        <f aca="false">SUM(P16:R16)</f>
        <v>372.7</v>
      </c>
      <c r="T16" s="52" t="n">
        <f aca="false">(I16-S16)+T15</f>
        <v>10220.5</v>
      </c>
      <c r="U16" s="51" t="n">
        <v>172</v>
      </c>
      <c r="V16" s="51" t="n">
        <v>101.6</v>
      </c>
      <c r="W16" s="52" t="n">
        <f aca="false">W15-V16</f>
        <v>8053.36999999996</v>
      </c>
      <c r="X16" s="6" t="n">
        <f aca="false">N16+O16+S16+U16+V16</f>
        <v>646.3</v>
      </c>
      <c r="Y16" s="51" t="n">
        <f aca="false">IF(L16&lt;0,L16*-1,0)</f>
        <v>0</v>
      </c>
      <c r="Z16" s="51" t="n">
        <f aca="false">X16+Y16</f>
        <v>646.3</v>
      </c>
      <c r="AA16" s="55" t="n">
        <v>0.06</v>
      </c>
      <c r="AB16" s="141" t="n">
        <v>77</v>
      </c>
      <c r="AC16" s="141" t="n">
        <v>54</v>
      </c>
      <c r="AD16" s="57" t="n">
        <f aca="false">AD15+1</f>
        <v>7</v>
      </c>
      <c r="AE16" s="85"/>
      <c r="AF16" s="87"/>
      <c r="AG16" s="86"/>
    </row>
    <row r="17" customFormat="false" ht="11.1" hidden="false" customHeight="true" outlineLevel="0" collapsed="false">
      <c r="A17" s="57" t="n">
        <f aca="false">A16+1</f>
        <v>8</v>
      </c>
      <c r="B17" s="71" t="n">
        <v>6922.29</v>
      </c>
      <c r="C17" s="52" t="n">
        <v>373575</v>
      </c>
      <c r="D17" s="56" t="n">
        <f aca="false">C17-C16</f>
        <v>-838</v>
      </c>
      <c r="E17" s="52" t="n">
        <f aca="false">C17-152000</f>
        <v>221575</v>
      </c>
      <c r="F17" s="51" t="n">
        <f aca="false">D17/$D$2</f>
        <v>-422.485505419713</v>
      </c>
      <c r="G17" s="51" t="n">
        <v>309.5</v>
      </c>
      <c r="H17" s="93" t="n">
        <v>0.8</v>
      </c>
      <c r="I17" s="51" t="n">
        <f aca="false">G17+H17</f>
        <v>310.3</v>
      </c>
      <c r="J17" s="78" t="n">
        <f aca="false">IF(L17&gt;0,L17,0)</f>
        <v>0</v>
      </c>
      <c r="K17" s="51" t="n">
        <f aca="false">I17+J17</f>
        <v>310.3</v>
      </c>
      <c r="L17" s="51" t="n">
        <f aca="false">F17-(I17-X17)</f>
        <v>-34.9855054197126</v>
      </c>
      <c r="M17" s="51" t="n">
        <v>266.6</v>
      </c>
      <c r="N17" s="51" t="n">
        <v>0</v>
      </c>
      <c r="O17" s="51" t="n">
        <v>0</v>
      </c>
      <c r="P17" s="6" t="n">
        <f aca="false">M17-(N17+O17)</f>
        <v>266.6</v>
      </c>
      <c r="Q17" s="51" t="n">
        <v>75.6</v>
      </c>
      <c r="R17" s="51" t="n">
        <v>79.7</v>
      </c>
      <c r="S17" s="51" t="n">
        <f aca="false">SUM(P17:R17)</f>
        <v>421.9</v>
      </c>
      <c r="T17" s="52" t="n">
        <f aca="false">(I17-S17)+T16</f>
        <v>10108.9</v>
      </c>
      <c r="U17" s="51" t="n">
        <v>173.5</v>
      </c>
      <c r="V17" s="51" t="n">
        <v>102.4</v>
      </c>
      <c r="W17" s="52" t="n">
        <f aca="false">W16-V17</f>
        <v>7950.96999999996</v>
      </c>
      <c r="X17" s="6" t="n">
        <f aca="false">N17+O17+S17+U17+V17</f>
        <v>697.8</v>
      </c>
      <c r="Y17" s="51" t="n">
        <f aca="false">IF(L17&lt;0,L17*-1,0)</f>
        <v>34.9855054197126</v>
      </c>
      <c r="Z17" s="51" t="n">
        <f aca="false">X17+Y17</f>
        <v>732.785505419713</v>
      </c>
      <c r="AA17" s="55" t="n">
        <v>0.01</v>
      </c>
      <c r="AB17" s="56" t="n">
        <v>77</v>
      </c>
      <c r="AC17" s="56" t="n">
        <v>54</v>
      </c>
      <c r="AD17" s="57" t="n">
        <f aca="false">AD16+1</f>
        <v>8</v>
      </c>
      <c r="AE17" s="85"/>
      <c r="AF17" s="87"/>
      <c r="AG17" s="86"/>
    </row>
    <row r="18" customFormat="false" ht="11.1" hidden="false" customHeight="true" outlineLevel="0" collapsed="false">
      <c r="A18" s="57" t="n">
        <f aca="false">A17+1</f>
        <v>9</v>
      </c>
      <c r="B18" s="71" t="n">
        <v>6922.03</v>
      </c>
      <c r="C18" s="52" t="n">
        <v>372426</v>
      </c>
      <c r="D18" s="56" t="n">
        <f aca="false">C18-C17</f>
        <v>-1149</v>
      </c>
      <c r="E18" s="52" t="n">
        <f aca="false">C18-152000</f>
        <v>220426</v>
      </c>
      <c r="F18" s="51" t="n">
        <f aca="false">D18/$D$2</f>
        <v>-579.279052180489</v>
      </c>
      <c r="G18" s="51" t="n">
        <v>307.7</v>
      </c>
      <c r="H18" s="93" t="n">
        <v>1</v>
      </c>
      <c r="I18" s="51" t="n">
        <f aca="false">G18+H18</f>
        <v>308.7</v>
      </c>
      <c r="J18" s="78" t="n">
        <f aca="false">IF(L18&gt;0,L18,0)</f>
        <v>0</v>
      </c>
      <c r="K18" s="51" t="n">
        <f aca="false">I18+J18</f>
        <v>308.7</v>
      </c>
      <c r="L18" s="51" t="n">
        <f aca="false">F18-(I18-X18)</f>
        <v>-106.079052180489</v>
      </c>
      <c r="M18" s="51" t="n">
        <v>266</v>
      </c>
      <c r="N18" s="51" t="n">
        <v>0</v>
      </c>
      <c r="O18" s="51" t="n">
        <v>0</v>
      </c>
      <c r="P18" s="6" t="n">
        <f aca="false">M18-(N18+O18)</f>
        <v>266</v>
      </c>
      <c r="Q18" s="51" t="n">
        <v>182.2</v>
      </c>
      <c r="R18" s="51" t="n">
        <v>79.7</v>
      </c>
      <c r="S18" s="51" t="n">
        <f aca="false">SUM(P18:R18)</f>
        <v>527.9</v>
      </c>
      <c r="T18" s="52" t="n">
        <f aca="false">(I18-S18)+T17</f>
        <v>9889.7</v>
      </c>
      <c r="U18" s="51" t="n">
        <v>152.8</v>
      </c>
      <c r="V18" s="51" t="n">
        <v>101.2</v>
      </c>
      <c r="W18" s="52" t="n">
        <f aca="false">W17-V18</f>
        <v>7849.76999999996</v>
      </c>
      <c r="X18" s="6" t="n">
        <f aca="false">N18+O18+S18+U18+V18</f>
        <v>781.9</v>
      </c>
      <c r="Y18" s="51" t="n">
        <f aca="false">IF(L18&lt;0,L18*-1,0)</f>
        <v>106.079052180489</v>
      </c>
      <c r="Z18" s="51" t="n">
        <f aca="false">X18+Y18</f>
        <v>887.979052180489</v>
      </c>
      <c r="AA18" s="55" t="n">
        <v>0</v>
      </c>
      <c r="AB18" s="79" t="n">
        <v>80</v>
      </c>
      <c r="AC18" s="56" t="n">
        <v>52</v>
      </c>
      <c r="AD18" s="57" t="n">
        <f aca="false">AD17+1</f>
        <v>9</v>
      </c>
      <c r="AE18" s="85"/>
      <c r="AF18" s="87"/>
      <c r="AG18" s="86"/>
    </row>
    <row r="19" customFormat="false" ht="11.1" hidden="false" customHeight="true" outlineLevel="0" collapsed="false">
      <c r="A19" s="57" t="n">
        <f aca="false">A18+1</f>
        <v>10</v>
      </c>
      <c r="B19" s="71" t="n">
        <v>6921.78</v>
      </c>
      <c r="C19" s="52" t="n">
        <v>371330</v>
      </c>
      <c r="D19" s="56" t="n">
        <f aca="false">C19-C18</f>
        <v>-1096</v>
      </c>
      <c r="E19" s="52" t="n">
        <f aca="false">C19-152000</f>
        <v>219330</v>
      </c>
      <c r="F19" s="51" t="n">
        <f aca="false">D19/$D$2</f>
        <v>-552.558608520292</v>
      </c>
      <c r="G19" s="51" t="n">
        <v>288.3</v>
      </c>
      <c r="H19" s="93" t="n">
        <v>1.4</v>
      </c>
      <c r="I19" s="51" t="n">
        <f aca="false">G19+H19</f>
        <v>289.7</v>
      </c>
      <c r="J19" s="78" t="n">
        <f aca="false">IF(L19&gt;0,L19,0)</f>
        <v>0</v>
      </c>
      <c r="K19" s="51" t="n">
        <f aca="false">I19+J19</f>
        <v>289.7</v>
      </c>
      <c r="L19" s="51" t="n">
        <f aca="false">F19-(I19-X19)</f>
        <v>-15.6586085202923</v>
      </c>
      <c r="M19" s="51" t="n">
        <v>267.6</v>
      </c>
      <c r="N19" s="51" t="n">
        <v>0</v>
      </c>
      <c r="O19" s="51" t="n">
        <v>0</v>
      </c>
      <c r="P19" s="6" t="n">
        <f aca="false">M19-(N19+O19)</f>
        <v>267.6</v>
      </c>
      <c r="Q19" s="51" t="n">
        <v>226.1</v>
      </c>
      <c r="R19" s="51" t="n">
        <v>80.2</v>
      </c>
      <c r="S19" s="51" t="n">
        <f aca="false">SUM(P19:R19)</f>
        <v>573.9</v>
      </c>
      <c r="T19" s="52" t="n">
        <f aca="false">(I19-S19)+T18</f>
        <v>9605.5</v>
      </c>
      <c r="U19" s="51" t="n">
        <v>153.3</v>
      </c>
      <c r="V19" s="51" t="n">
        <v>99.4</v>
      </c>
      <c r="W19" s="52" t="n">
        <f aca="false">W18-V19</f>
        <v>7750.36999999996</v>
      </c>
      <c r="X19" s="6" t="n">
        <f aca="false">N19+O19+S19+U19+V19</f>
        <v>826.6</v>
      </c>
      <c r="Y19" s="51" t="n">
        <f aca="false">IF(L19&lt;0,L19*-1,0)</f>
        <v>15.6586085202923</v>
      </c>
      <c r="Z19" s="51" t="n">
        <f aca="false">X19+Y19</f>
        <v>842.258608520292</v>
      </c>
      <c r="AA19" s="55" t="n">
        <v>0.15</v>
      </c>
      <c r="AB19" s="56" t="n">
        <v>83</v>
      </c>
      <c r="AC19" s="56" t="n">
        <v>53</v>
      </c>
      <c r="AD19" s="57" t="n">
        <f aca="false">AD18+1</f>
        <v>10</v>
      </c>
      <c r="AE19" s="85"/>
      <c r="AF19" s="87"/>
      <c r="AG19" s="86"/>
    </row>
    <row r="20" customFormat="false" ht="11.1" hidden="false" customHeight="true" outlineLevel="0" collapsed="false">
      <c r="A20" s="57" t="n">
        <f aca="false">A19+1</f>
        <v>11</v>
      </c>
      <c r="B20" s="71" t="n">
        <v>6921.58</v>
      </c>
      <c r="C20" s="52" t="n">
        <v>370455</v>
      </c>
      <c r="D20" s="56" t="n">
        <f aca="false">C20-C19</f>
        <v>-875</v>
      </c>
      <c r="E20" s="52" t="n">
        <f aca="false">C20-152000</f>
        <v>218455</v>
      </c>
      <c r="F20" s="51" t="n">
        <f aca="false">D20/$D$2</f>
        <v>-441.139400050416</v>
      </c>
      <c r="G20" s="51" t="n">
        <v>272.4</v>
      </c>
      <c r="H20" s="93" t="n">
        <v>2.5</v>
      </c>
      <c r="I20" s="51" t="n">
        <f aca="false">G20+H20</f>
        <v>274.9</v>
      </c>
      <c r="J20" s="78" t="n">
        <f aca="false">IF(L20&gt;0,L20,0)</f>
        <v>82.7605999495842</v>
      </c>
      <c r="K20" s="51" t="n">
        <f aca="false">I20+J20</f>
        <v>357.660599949584</v>
      </c>
      <c r="L20" s="51" t="n">
        <f aca="false">F20-(I20-X20)</f>
        <v>82.7605999495842</v>
      </c>
      <c r="M20" s="51" t="n">
        <v>268.6</v>
      </c>
      <c r="N20" s="51" t="n">
        <v>0</v>
      </c>
      <c r="O20" s="51" t="n">
        <v>0</v>
      </c>
      <c r="P20" s="6" t="n">
        <f aca="false">M20-(N20+O20)</f>
        <v>268.6</v>
      </c>
      <c r="Q20" s="51" t="n">
        <v>223.7</v>
      </c>
      <c r="R20" s="51" t="n">
        <v>81.7</v>
      </c>
      <c r="S20" s="51" t="n">
        <f aca="false">SUM(P20:R20)</f>
        <v>574</v>
      </c>
      <c r="T20" s="52" t="n">
        <f aca="false">(I20-S20)+T19</f>
        <v>9306.4</v>
      </c>
      <c r="U20" s="51" t="n">
        <v>124.6</v>
      </c>
      <c r="V20" s="51" t="n">
        <v>100.2</v>
      </c>
      <c r="W20" s="52" t="n">
        <f aca="false">W19-V20</f>
        <v>7650.16999999996</v>
      </c>
      <c r="X20" s="6" t="n">
        <f aca="false">N20+O20+S20+U20+V20</f>
        <v>798.8</v>
      </c>
      <c r="Y20" s="51" t="n">
        <f aca="false">IF(L20&lt;0,L20*-1,0)</f>
        <v>0</v>
      </c>
      <c r="Z20" s="51" t="n">
        <f aca="false">X20+Y20</f>
        <v>798.8</v>
      </c>
      <c r="AA20" s="55" t="n">
        <v>0.29</v>
      </c>
      <c r="AB20" s="56" t="n">
        <v>75</v>
      </c>
      <c r="AC20" s="56" t="n">
        <v>53</v>
      </c>
      <c r="AD20" s="57" t="n">
        <f aca="false">AD19+1</f>
        <v>11</v>
      </c>
      <c r="AE20" s="85"/>
      <c r="AF20" s="87"/>
      <c r="AG20" s="86"/>
      <c r="AH20" s="142"/>
      <c r="AI20" s="142"/>
      <c r="AJ20" s="142"/>
    </row>
    <row r="21" customFormat="false" ht="11.1" hidden="false" customHeight="true" outlineLevel="0" collapsed="false">
      <c r="A21" s="57" t="n">
        <f aca="false">A20+1</f>
        <v>12</v>
      </c>
      <c r="B21" s="71" t="n">
        <v>6921.47</v>
      </c>
      <c r="C21" s="52" t="n">
        <v>369974</v>
      </c>
      <c r="D21" s="56" t="n">
        <f aca="false">C21-C20</f>
        <v>-481</v>
      </c>
      <c r="E21" s="52" t="n">
        <f aca="false">C21-152000</f>
        <v>217974</v>
      </c>
      <c r="F21" s="51" t="n">
        <f aca="false">D21/$D$2</f>
        <v>-242.500630199143</v>
      </c>
      <c r="G21" s="51" t="n">
        <v>341.4</v>
      </c>
      <c r="H21" s="93" t="n">
        <v>3.8</v>
      </c>
      <c r="I21" s="51" t="n">
        <f aca="false">G21+H21</f>
        <v>345.2</v>
      </c>
      <c r="J21" s="78" t="n">
        <f aca="false">IF(L21&gt;0,L21,0)</f>
        <v>130.499369800857</v>
      </c>
      <c r="K21" s="51" t="n">
        <f aca="false">I21+J21</f>
        <v>475.699369800857</v>
      </c>
      <c r="L21" s="51" t="n">
        <f aca="false">F21-(I21-X21)</f>
        <v>130.499369800857</v>
      </c>
      <c r="M21" s="51" t="n">
        <v>235.7</v>
      </c>
      <c r="N21" s="51" t="n">
        <v>0</v>
      </c>
      <c r="O21" s="51" t="n">
        <v>0</v>
      </c>
      <c r="P21" s="6" t="n">
        <f aca="false">M21-(N21+O21)</f>
        <v>235.7</v>
      </c>
      <c r="Q21" s="51" t="n">
        <v>221.8</v>
      </c>
      <c r="R21" s="51" t="n">
        <v>80.2</v>
      </c>
      <c r="S21" s="51" t="n">
        <f aca="false">SUM(P21:R21)</f>
        <v>537.7</v>
      </c>
      <c r="T21" s="52" t="n">
        <f aca="false">(I21-S21)+T20</f>
        <v>9113.9</v>
      </c>
      <c r="U21" s="51" t="n">
        <v>80.2</v>
      </c>
      <c r="V21" s="51" t="n">
        <v>100.3</v>
      </c>
      <c r="W21" s="52" t="n">
        <f aca="false">W20-V21</f>
        <v>7549.86999999996</v>
      </c>
      <c r="X21" s="6" t="n">
        <f aca="false">N21+O21+S21+U21+V21</f>
        <v>718.2</v>
      </c>
      <c r="Y21" s="51" t="n">
        <f aca="false">IF(L21&lt;0,L21*-1,0)</f>
        <v>0</v>
      </c>
      <c r="Z21" s="51" t="n">
        <f aca="false">X21+Y21</f>
        <v>718.2</v>
      </c>
      <c r="AA21" s="55" t="n">
        <v>0.42</v>
      </c>
      <c r="AB21" s="56" t="n">
        <v>66</v>
      </c>
      <c r="AC21" s="56" t="n">
        <v>53</v>
      </c>
      <c r="AD21" s="57" t="n">
        <f aca="false">AD20+1</f>
        <v>12</v>
      </c>
      <c r="AE21" s="85"/>
      <c r="AF21" s="85"/>
      <c r="AG21" s="85"/>
    </row>
    <row r="22" customFormat="false" ht="11.1" hidden="false" customHeight="true" outlineLevel="0" collapsed="false">
      <c r="A22" s="57" t="n">
        <f aca="false">A21+1</f>
        <v>13</v>
      </c>
      <c r="B22" s="71" t="n">
        <v>6921.3</v>
      </c>
      <c r="C22" s="52" t="n">
        <v>369228</v>
      </c>
      <c r="D22" s="56" t="n">
        <f aca="false">C22-C21</f>
        <v>-746</v>
      </c>
      <c r="E22" s="52" t="n">
        <f aca="false">C22-152000</f>
        <v>217228</v>
      </c>
      <c r="F22" s="51" t="n">
        <f aca="false">D22/$D$2</f>
        <v>-376.102848500126</v>
      </c>
      <c r="G22" s="51" t="n">
        <v>360.2</v>
      </c>
      <c r="H22" s="93" t="n">
        <v>3</v>
      </c>
      <c r="I22" s="51" t="n">
        <f aca="false">G22+H22</f>
        <v>363.2</v>
      </c>
      <c r="J22" s="78" t="n">
        <f aca="false">IF(L22&gt;0,L22,0)</f>
        <v>0</v>
      </c>
      <c r="K22" s="51" t="n">
        <f aca="false">I22+J22</f>
        <v>363.2</v>
      </c>
      <c r="L22" s="51" t="n">
        <f aca="false">F22-(I22-X22)</f>
        <v>-36.902848500126</v>
      </c>
      <c r="M22" s="51" t="n">
        <v>201.6</v>
      </c>
      <c r="N22" s="51" t="n">
        <v>0</v>
      </c>
      <c r="O22" s="51" t="n">
        <v>0</v>
      </c>
      <c r="P22" s="6" t="n">
        <f aca="false">M22-(N22+O22)</f>
        <v>201.6</v>
      </c>
      <c r="Q22" s="51" t="n">
        <v>225.6</v>
      </c>
      <c r="R22" s="51" t="n">
        <v>81.2</v>
      </c>
      <c r="S22" s="51" t="n">
        <f aca="false">SUM(P22:R22)</f>
        <v>508.4</v>
      </c>
      <c r="T22" s="52" t="n">
        <f aca="false">(I22-S22)+T21</f>
        <v>8968.7</v>
      </c>
      <c r="U22" s="51" t="n">
        <v>93.8</v>
      </c>
      <c r="V22" s="51" t="n">
        <v>100.2</v>
      </c>
      <c r="W22" s="52" t="n">
        <f aca="false">W21-V22</f>
        <v>7449.66999999996</v>
      </c>
      <c r="X22" s="6" t="n">
        <f aca="false">N22+O22+S22+U22+V22</f>
        <v>702.4</v>
      </c>
      <c r="Y22" s="51" t="n">
        <f aca="false">IF(L22&lt;0,L22*-1,0)</f>
        <v>36.902848500126</v>
      </c>
      <c r="Z22" s="51" t="n">
        <f aca="false">X22+Y22</f>
        <v>739.302848500126</v>
      </c>
      <c r="AA22" s="55" t="n">
        <v>0.02</v>
      </c>
      <c r="AB22" s="56" t="n">
        <v>70</v>
      </c>
      <c r="AC22" s="56" t="n">
        <v>49</v>
      </c>
      <c r="AD22" s="57" t="n">
        <f aca="false">AD21+1</f>
        <v>13</v>
      </c>
      <c r="AE22" s="85"/>
      <c r="AF22" s="85"/>
      <c r="AG22" s="85"/>
    </row>
    <row r="23" customFormat="false" ht="11.1" hidden="false" customHeight="true" outlineLevel="0" collapsed="false">
      <c r="A23" s="57" t="n">
        <f aca="false">A22+1</f>
        <v>14</v>
      </c>
      <c r="B23" s="71" t="n">
        <v>6921.12</v>
      </c>
      <c r="C23" s="52" t="n">
        <v>368441</v>
      </c>
      <c r="D23" s="56" t="n">
        <f aca="false">C23-C22</f>
        <v>-787</v>
      </c>
      <c r="E23" s="52" t="n">
        <f aca="false">C23-152000</f>
        <v>216441</v>
      </c>
      <c r="F23" s="51" t="n">
        <f aca="false">D23/$D$2</f>
        <v>-396.773380388203</v>
      </c>
      <c r="G23" s="51" t="n">
        <v>302.4</v>
      </c>
      <c r="H23" s="93" t="n">
        <v>2.7</v>
      </c>
      <c r="I23" s="51" t="n">
        <f aca="false">G23+H23</f>
        <v>305.1</v>
      </c>
      <c r="J23" s="78" t="n">
        <f aca="false">IF(L23&gt;0,L23,0)</f>
        <v>1.12661961179737</v>
      </c>
      <c r="K23" s="51" t="n">
        <f aca="false">I23+J23</f>
        <v>306.226619611797</v>
      </c>
      <c r="L23" s="51" t="n">
        <f aca="false">F23-(I23-X23)</f>
        <v>1.12661961179737</v>
      </c>
      <c r="M23" s="51" t="n">
        <v>192.1</v>
      </c>
      <c r="N23" s="51" t="n">
        <v>0</v>
      </c>
      <c r="O23" s="51" t="n">
        <v>0</v>
      </c>
      <c r="P23" s="6" t="n">
        <f aca="false">M23-(N23+O23)</f>
        <v>192.1</v>
      </c>
      <c r="Q23" s="51" t="n">
        <v>225.1</v>
      </c>
      <c r="R23" s="51" t="n">
        <v>81.2</v>
      </c>
      <c r="S23" s="51" t="n">
        <f aca="false">SUM(P23:R23)</f>
        <v>498.4</v>
      </c>
      <c r="T23" s="52" t="n">
        <f aca="false">(I23-S23)+T22</f>
        <v>8775.4</v>
      </c>
      <c r="U23" s="51" t="n">
        <v>112</v>
      </c>
      <c r="V23" s="51" t="n">
        <v>92.6</v>
      </c>
      <c r="W23" s="52" t="n">
        <f aca="false">W22-V23</f>
        <v>7357.06999999996</v>
      </c>
      <c r="X23" s="6" t="n">
        <f aca="false">N23+O23+S23+U23+V23</f>
        <v>703</v>
      </c>
      <c r="Y23" s="51" t="n">
        <f aca="false">IF(L23&lt;0,L23*-1,0)</f>
        <v>0</v>
      </c>
      <c r="Z23" s="51" t="n">
        <f aca="false">X23+Y23</f>
        <v>703</v>
      </c>
      <c r="AA23" s="55" t="n">
        <v>0</v>
      </c>
      <c r="AB23" s="56" t="n">
        <v>76</v>
      </c>
      <c r="AC23" s="56" t="n">
        <v>45</v>
      </c>
      <c r="AD23" s="57" t="n">
        <f aca="false">AD22+1</f>
        <v>14</v>
      </c>
      <c r="AE23" s="85"/>
      <c r="AF23" s="85"/>
      <c r="AG23" s="85"/>
    </row>
    <row r="24" customFormat="false" ht="11.1" hidden="false" customHeight="true" outlineLevel="0" collapsed="false">
      <c r="A24" s="57" t="n">
        <f aca="false">A23+1</f>
        <v>15</v>
      </c>
      <c r="B24" s="71" t="n">
        <v>6920.89</v>
      </c>
      <c r="C24" s="52" t="n">
        <v>367438</v>
      </c>
      <c r="D24" s="56" t="n">
        <f aca="false">C24-C23</f>
        <v>-1003</v>
      </c>
      <c r="E24" s="52" t="n">
        <f aca="false">C24-152000</f>
        <v>215438</v>
      </c>
      <c r="F24" s="51" t="n">
        <f aca="false">D24/$D$2</f>
        <v>-505.671792286362</v>
      </c>
      <c r="G24" s="51" t="n">
        <v>257.8</v>
      </c>
      <c r="H24" s="93" t="n">
        <v>2.4</v>
      </c>
      <c r="I24" s="51" t="n">
        <f aca="false">G24+H24</f>
        <v>260.2</v>
      </c>
      <c r="J24" s="78" t="n">
        <f aca="false">IF(L24&gt;0,L24,0)</f>
        <v>0</v>
      </c>
      <c r="K24" s="51" t="n">
        <f aca="false">I24+J24</f>
        <v>260.2</v>
      </c>
      <c r="L24" s="51" t="n">
        <f aca="false">F24-(I24-X24)</f>
        <v>-76.7717922863623</v>
      </c>
      <c r="M24" s="51" t="n">
        <v>211.3</v>
      </c>
      <c r="N24" s="51" t="n">
        <v>0</v>
      </c>
      <c r="O24" s="51" t="n">
        <v>0</v>
      </c>
      <c r="P24" s="6" t="n">
        <f aca="false">M24-(N24+O24)</f>
        <v>211.3</v>
      </c>
      <c r="Q24" s="51" t="n">
        <v>224.7</v>
      </c>
      <c r="R24" s="51" t="n">
        <v>84.2</v>
      </c>
      <c r="S24" s="51" t="n">
        <f aca="false">SUM(P24:R24)</f>
        <v>520.2</v>
      </c>
      <c r="T24" s="52" t="n">
        <f aca="false">(I24-S24)+T23</f>
        <v>8515.4</v>
      </c>
      <c r="U24" s="51" t="n">
        <v>86.2</v>
      </c>
      <c r="V24" s="51" t="n">
        <v>82.7</v>
      </c>
      <c r="W24" s="52" t="n">
        <f aca="false">W23-V24</f>
        <v>7274.36999999996</v>
      </c>
      <c r="X24" s="6" t="n">
        <f aca="false">N24+O24+S24+U24+V24</f>
        <v>689.1</v>
      </c>
      <c r="Y24" s="51" t="n">
        <f aca="false">IF(L24&lt;0,L24*-1,0)</f>
        <v>76.7717922863623</v>
      </c>
      <c r="Z24" s="51" t="n">
        <f aca="false">X24+Y24</f>
        <v>765.871792286363</v>
      </c>
      <c r="AA24" s="55" t="n">
        <v>0</v>
      </c>
      <c r="AB24" s="79" t="n">
        <v>79</v>
      </c>
      <c r="AC24" s="56" t="n">
        <v>47</v>
      </c>
      <c r="AD24" s="57" t="n">
        <f aca="false">AD23+1</f>
        <v>15</v>
      </c>
      <c r="AE24" s="85"/>
      <c r="AF24" s="85"/>
      <c r="AG24" s="85"/>
    </row>
    <row r="25" customFormat="false" ht="11.1" hidden="false" customHeight="true" outlineLevel="0" collapsed="false">
      <c r="A25" s="57" t="n">
        <f aca="false">A24+1</f>
        <v>16</v>
      </c>
      <c r="B25" s="71" t="n">
        <v>6920.64</v>
      </c>
      <c r="C25" s="52" t="n">
        <v>366353</v>
      </c>
      <c r="D25" s="56" t="n">
        <f aca="false">C25-C24</f>
        <v>-1085</v>
      </c>
      <c r="E25" s="52" t="n">
        <f aca="false">C25-152000</f>
        <v>214353</v>
      </c>
      <c r="F25" s="51" t="n">
        <f aca="false">D25/$D$2</f>
        <v>-547.012856062516</v>
      </c>
      <c r="G25" s="51" t="n">
        <v>241.8</v>
      </c>
      <c r="H25" s="93" t="n">
        <v>2.5</v>
      </c>
      <c r="I25" s="51" t="n">
        <f aca="false">G25+H25</f>
        <v>244.3</v>
      </c>
      <c r="J25" s="78" t="n">
        <f aca="false">IF(L25&gt;0,L25,0)</f>
        <v>0</v>
      </c>
      <c r="K25" s="51" t="n">
        <f aca="false">I25+J25</f>
        <v>244.3</v>
      </c>
      <c r="L25" s="51" t="n">
        <f aca="false">F25-(I25-X25)</f>
        <v>-34.4128560625156</v>
      </c>
      <c r="M25" s="51" t="n">
        <v>236.8</v>
      </c>
      <c r="N25" s="51" t="n">
        <v>0</v>
      </c>
      <c r="O25" s="51" t="n">
        <v>0</v>
      </c>
      <c r="P25" s="6" t="n">
        <f aca="false">M25-(N25+O25)</f>
        <v>236.8</v>
      </c>
      <c r="Q25" s="51" t="n">
        <v>227.1</v>
      </c>
      <c r="R25" s="51" t="n">
        <v>84.2</v>
      </c>
      <c r="S25" s="51" t="n">
        <f aca="false">SUM(P25:R25)</f>
        <v>548.1</v>
      </c>
      <c r="T25" s="52" t="n">
        <f aca="false">(I25-S25)+T24</f>
        <v>8211.6</v>
      </c>
      <c r="U25" s="51" t="n">
        <v>127.1</v>
      </c>
      <c r="V25" s="51" t="n">
        <v>81.7</v>
      </c>
      <c r="W25" s="52" t="n">
        <f aca="false">W24-V25</f>
        <v>7192.66999999996</v>
      </c>
      <c r="X25" s="6" t="n">
        <f aca="false">N25+O25+S25+U25+V25</f>
        <v>756.9</v>
      </c>
      <c r="Y25" s="51" t="n">
        <f aca="false">IF(L25&lt;0,L25*-1,0)</f>
        <v>34.4128560625156</v>
      </c>
      <c r="Z25" s="51" t="n">
        <f aca="false">X25+Y25</f>
        <v>791.312856062516</v>
      </c>
      <c r="AA25" s="55" t="n">
        <v>0</v>
      </c>
      <c r="AB25" s="79" t="n">
        <v>81</v>
      </c>
      <c r="AC25" s="56" t="n">
        <v>50</v>
      </c>
      <c r="AD25" s="57" t="n">
        <f aca="false">AD24+1</f>
        <v>16</v>
      </c>
      <c r="AE25" s="85"/>
      <c r="AF25" s="85"/>
      <c r="AG25" s="85"/>
    </row>
    <row r="26" customFormat="false" ht="11.1" hidden="false" customHeight="true" outlineLevel="0" collapsed="false">
      <c r="A26" s="57" t="n">
        <f aca="false">A25+1</f>
        <v>17</v>
      </c>
      <c r="B26" s="71" t="n">
        <v>6920.35</v>
      </c>
      <c r="C26" s="52" t="n">
        <v>365093</v>
      </c>
      <c r="D26" s="56" t="n">
        <f aca="false">C26-C25</f>
        <v>-1260</v>
      </c>
      <c r="E26" s="52" t="n">
        <f aca="false">C26-152000</f>
        <v>213093</v>
      </c>
      <c r="F26" s="51" t="n">
        <f aca="false">D26/$D$2</f>
        <v>-635.240736072599</v>
      </c>
      <c r="G26" s="51" t="n">
        <v>225</v>
      </c>
      <c r="H26" s="93" t="n">
        <v>2.2</v>
      </c>
      <c r="I26" s="51" t="n">
        <f aca="false">G26+H26</f>
        <v>227.2</v>
      </c>
      <c r="J26" s="78" t="n">
        <f aca="false">IF(L26&gt;0,L26,0)</f>
        <v>0</v>
      </c>
      <c r="K26" s="51" t="n">
        <f aca="false">I26+J26</f>
        <v>227.2</v>
      </c>
      <c r="L26" s="51" t="n">
        <f aca="false">F26-(I26-X26)</f>
        <v>-115.040736072599</v>
      </c>
      <c r="M26" s="51" t="n">
        <v>240.2</v>
      </c>
      <c r="N26" s="51" t="n">
        <v>0</v>
      </c>
      <c r="O26" s="51" t="n">
        <v>0</v>
      </c>
      <c r="P26" s="6" t="n">
        <f aca="false">M26-(N26+O26)</f>
        <v>240.2</v>
      </c>
      <c r="Q26" s="51" t="n">
        <v>227.4</v>
      </c>
      <c r="R26" s="51" t="n">
        <v>84.7</v>
      </c>
      <c r="S26" s="51" t="n">
        <f aca="false">SUM(P26:R26)</f>
        <v>552.3</v>
      </c>
      <c r="T26" s="52" t="n">
        <f aca="false">(I26-S26)+T25</f>
        <v>7886.5</v>
      </c>
      <c r="U26" s="51" t="n">
        <v>114.5</v>
      </c>
      <c r="V26" s="51" t="n">
        <v>80.6</v>
      </c>
      <c r="W26" s="52" t="n">
        <f aca="false">W25-V26</f>
        <v>7112.06999999996</v>
      </c>
      <c r="X26" s="6" t="n">
        <f aca="false">N26+O26+S26+U26+V26</f>
        <v>747.4</v>
      </c>
      <c r="Y26" s="51" t="n">
        <f aca="false">IF(L26&lt;0,L26*-1,0)</f>
        <v>115.040736072599</v>
      </c>
      <c r="Z26" s="51" t="n">
        <f aca="false">X26+Y26</f>
        <v>862.440736072599</v>
      </c>
      <c r="AA26" s="55" t="n">
        <v>0</v>
      </c>
      <c r="AB26" s="79" t="n">
        <v>83</v>
      </c>
      <c r="AC26" s="56" t="n">
        <v>51</v>
      </c>
      <c r="AD26" s="57" t="n">
        <f aca="false">AD25+1</f>
        <v>17</v>
      </c>
      <c r="AE26" s="85"/>
      <c r="AF26" s="85"/>
      <c r="AG26" s="85"/>
    </row>
    <row r="27" customFormat="false" ht="11.1" hidden="false" customHeight="true" outlineLevel="0" collapsed="false">
      <c r="A27" s="57" t="n">
        <f aca="false">A26+1</f>
        <v>18</v>
      </c>
      <c r="B27" s="71" t="n">
        <v>6920.07</v>
      </c>
      <c r="C27" s="52" t="n">
        <v>363876</v>
      </c>
      <c r="D27" s="56" t="n">
        <f aca="false">C27-C26</f>
        <v>-1217</v>
      </c>
      <c r="E27" s="52" t="n">
        <f aca="false">C27-152000</f>
        <v>211876</v>
      </c>
      <c r="F27" s="51" t="n">
        <f aca="false">D27/$D$2</f>
        <v>-613.561885555836</v>
      </c>
      <c r="G27" s="51" t="n">
        <v>216.7</v>
      </c>
      <c r="H27" s="93" t="n">
        <v>2</v>
      </c>
      <c r="I27" s="51" t="n">
        <f aca="false">G27+H27</f>
        <v>218.7</v>
      </c>
      <c r="J27" s="78" t="n">
        <f aca="false">IF(L27&gt;0,L27,0)</f>
        <v>0</v>
      </c>
      <c r="K27" s="51" t="n">
        <f aca="false">I27+J27</f>
        <v>218.7</v>
      </c>
      <c r="L27" s="51" t="n">
        <f aca="false">F27-(I27-X27)</f>
        <v>-82.4618855558357</v>
      </c>
      <c r="M27" s="51" t="n">
        <v>242.4</v>
      </c>
      <c r="N27" s="51" t="n">
        <v>0</v>
      </c>
      <c r="O27" s="51" t="n">
        <v>0</v>
      </c>
      <c r="P27" s="6" t="n">
        <f aca="false">M27-(N27+O27)</f>
        <v>242.4</v>
      </c>
      <c r="Q27" s="51" t="n">
        <v>229.7</v>
      </c>
      <c r="R27" s="51" t="n">
        <v>86.2</v>
      </c>
      <c r="S27" s="51" t="n">
        <f aca="false">SUM(P27:R27)</f>
        <v>558.3</v>
      </c>
      <c r="T27" s="52" t="n">
        <f aca="false">(I27-S27)+T26</f>
        <v>7546.9</v>
      </c>
      <c r="U27" s="51" t="n">
        <v>110.9</v>
      </c>
      <c r="V27" s="51" t="n">
        <v>80.6</v>
      </c>
      <c r="W27" s="52" t="n">
        <f aca="false">W26-V27</f>
        <v>7031.46999999996</v>
      </c>
      <c r="X27" s="6" t="n">
        <f aca="false">N27+O27+S27+U27+V27</f>
        <v>749.8</v>
      </c>
      <c r="Y27" s="51" t="n">
        <f aca="false">IF(L27&lt;0,L27*-1,0)</f>
        <v>82.4618855558357</v>
      </c>
      <c r="Z27" s="51" t="n">
        <f aca="false">X27+Y27</f>
        <v>832.261885555836</v>
      </c>
      <c r="AA27" s="55" t="n">
        <v>0</v>
      </c>
      <c r="AB27" s="79" t="n">
        <v>83</v>
      </c>
      <c r="AC27" s="56" t="n">
        <v>52</v>
      </c>
      <c r="AD27" s="57" t="n">
        <f aca="false">AD26+1</f>
        <v>18</v>
      </c>
      <c r="AE27" s="85"/>
      <c r="AF27" s="85"/>
      <c r="AG27" s="85"/>
    </row>
    <row r="28" customFormat="false" ht="11.1" hidden="false" customHeight="true" outlineLevel="0" collapsed="false">
      <c r="A28" s="57" t="n">
        <f aca="false">A27+1</f>
        <v>19</v>
      </c>
      <c r="B28" s="71" t="n">
        <v>6919.87</v>
      </c>
      <c r="C28" s="91" t="n">
        <v>363014</v>
      </c>
      <c r="D28" s="56" t="n">
        <f aca="false">C28-C27</f>
        <v>-862</v>
      </c>
      <c r="E28" s="52" t="n">
        <f aca="false">C28-152000</f>
        <v>211014</v>
      </c>
      <c r="F28" s="51" t="n">
        <f aca="false">D28/$D$2</f>
        <v>-434.585328963953</v>
      </c>
      <c r="G28" s="51" t="n">
        <v>242.7</v>
      </c>
      <c r="H28" s="93" t="n">
        <v>1.6</v>
      </c>
      <c r="I28" s="51" t="n">
        <f aca="false">G28+H28</f>
        <v>244.3</v>
      </c>
      <c r="J28" s="78" t="n">
        <f aca="false">IF(L28&gt;0,L28,0)</f>
        <v>55.8146710360474</v>
      </c>
      <c r="K28" s="51" t="n">
        <f aca="false">I28+J28</f>
        <v>300.114671036047</v>
      </c>
      <c r="L28" s="51" t="n">
        <f aca="false">F28-(I28-X28)</f>
        <v>55.8146710360474</v>
      </c>
      <c r="M28" s="51" t="n">
        <v>242.9</v>
      </c>
      <c r="N28" s="51" t="n">
        <v>0</v>
      </c>
      <c r="O28" s="51" t="n">
        <v>0</v>
      </c>
      <c r="P28" s="6" t="n">
        <f aca="false">M28-(N28+O28)</f>
        <v>242.9</v>
      </c>
      <c r="Q28" s="51" t="n">
        <v>232.2</v>
      </c>
      <c r="R28" s="51" t="n">
        <v>85.7</v>
      </c>
      <c r="S28" s="51" t="n">
        <f aca="false">SUM(P28:R28)</f>
        <v>560.8</v>
      </c>
      <c r="T28" s="52" t="n">
        <f aca="false">(I28-S28)+T27</f>
        <v>7230.4</v>
      </c>
      <c r="U28" s="51" t="n">
        <v>93.3</v>
      </c>
      <c r="V28" s="51" t="n">
        <v>80.6</v>
      </c>
      <c r="W28" s="52" t="n">
        <f aca="false">W27-V28</f>
        <v>6950.86999999996</v>
      </c>
      <c r="X28" s="6" t="n">
        <f aca="false">N28+O28+S28+U28+V28</f>
        <v>734.7</v>
      </c>
      <c r="Y28" s="51" t="n">
        <f aca="false">IF(L28&lt;0,L28*-1,0)</f>
        <v>0</v>
      </c>
      <c r="Z28" s="51" t="n">
        <f aca="false">X28+Y28</f>
        <v>734.7</v>
      </c>
      <c r="AA28" s="55" t="n">
        <v>0</v>
      </c>
      <c r="AB28" s="79" t="n">
        <v>83</v>
      </c>
      <c r="AC28" s="56" t="n">
        <v>50</v>
      </c>
      <c r="AD28" s="57" t="n">
        <f aca="false">AD27+1</f>
        <v>19</v>
      </c>
      <c r="AE28" s="85"/>
      <c r="AF28" s="85"/>
      <c r="AG28" s="85"/>
    </row>
    <row r="29" customFormat="false" ht="11.1" hidden="false" customHeight="true" outlineLevel="0" collapsed="false">
      <c r="A29" s="57" t="n">
        <f aca="false">A28+1</f>
        <v>20</v>
      </c>
      <c r="B29" s="71" t="n">
        <v>6919.67</v>
      </c>
      <c r="C29" s="52" t="n">
        <v>362152</v>
      </c>
      <c r="D29" s="56" t="n">
        <f aca="false">C29-C28</f>
        <v>-862</v>
      </c>
      <c r="E29" s="52" t="n">
        <f aca="false">C29-152000</f>
        <v>210152</v>
      </c>
      <c r="F29" s="51" t="n">
        <f aca="false">D29/$D$2</f>
        <v>-434.585328963953</v>
      </c>
      <c r="G29" s="51" t="n">
        <v>240.5</v>
      </c>
      <c r="H29" s="93" t="n">
        <v>1.2</v>
      </c>
      <c r="I29" s="51" t="n">
        <f aca="false">G29+H29</f>
        <v>241.7</v>
      </c>
      <c r="J29" s="78" t="n">
        <f aca="false">IF(L29&gt;0,L29,0)</f>
        <v>43.6146710360474</v>
      </c>
      <c r="K29" s="51" t="n">
        <f aca="false">I29+J29</f>
        <v>285.314671036047</v>
      </c>
      <c r="L29" s="51" t="n">
        <f aca="false">F29-(I29-X29)</f>
        <v>43.6146710360474</v>
      </c>
      <c r="M29" s="51" t="n">
        <v>242.6</v>
      </c>
      <c r="N29" s="51" t="n">
        <v>0</v>
      </c>
      <c r="O29" s="51" t="n">
        <v>0</v>
      </c>
      <c r="P29" s="6" t="n">
        <f aca="false">M29-(N29+O29)</f>
        <v>242.6</v>
      </c>
      <c r="Q29" s="51" t="n">
        <v>199.6</v>
      </c>
      <c r="R29" s="51" t="n">
        <v>87.2</v>
      </c>
      <c r="S29" s="51" t="n">
        <f aca="false">SUM(P29:R29)</f>
        <v>529.4</v>
      </c>
      <c r="T29" s="52" t="n">
        <f aca="false">(I29-S29)+T28</f>
        <v>6942.7</v>
      </c>
      <c r="U29" s="51" t="n">
        <v>109.9</v>
      </c>
      <c r="V29" s="51" t="n">
        <v>80.6</v>
      </c>
      <c r="W29" s="52" t="n">
        <f aca="false">W28-V29</f>
        <v>6870.26999999996</v>
      </c>
      <c r="X29" s="6" t="n">
        <f aca="false">N29+O29+S29+U29+V29</f>
        <v>719.9</v>
      </c>
      <c r="Y29" s="51" t="n">
        <f aca="false">IF(L29&lt;0,L29*-1,0)</f>
        <v>0</v>
      </c>
      <c r="Z29" s="51" t="n">
        <f aca="false">X29+Y29</f>
        <v>719.9</v>
      </c>
      <c r="AA29" s="55" t="n">
        <v>0.01</v>
      </c>
      <c r="AB29" s="79" t="n">
        <v>84</v>
      </c>
      <c r="AC29" s="56" t="n">
        <v>53</v>
      </c>
      <c r="AD29" s="57" t="n">
        <f aca="false">AD28+1</f>
        <v>20</v>
      </c>
      <c r="AE29" s="85"/>
      <c r="AF29" s="85"/>
      <c r="AG29" s="85"/>
    </row>
    <row r="30" customFormat="false" ht="11.1" hidden="false" customHeight="true" outlineLevel="0" collapsed="false">
      <c r="A30" s="57" t="n">
        <f aca="false">A29+1</f>
        <v>21</v>
      </c>
      <c r="B30" s="71" t="n">
        <v>6919.44</v>
      </c>
      <c r="C30" s="52" t="n">
        <v>361161</v>
      </c>
      <c r="D30" s="56" t="n">
        <f aca="false">C30-C29</f>
        <v>-991</v>
      </c>
      <c r="E30" s="52" t="n">
        <f aca="false">C30-152000</f>
        <v>209161</v>
      </c>
      <c r="F30" s="51" t="n">
        <f aca="false">D30/$D$2</f>
        <v>-499.621880514242</v>
      </c>
      <c r="G30" s="51" t="n">
        <v>218.8</v>
      </c>
      <c r="H30" s="93" t="n">
        <v>1.5</v>
      </c>
      <c r="I30" s="51" t="n">
        <f aca="false">G30+H30</f>
        <v>220.3</v>
      </c>
      <c r="J30" s="78" t="n">
        <f aca="false">IF(L30&gt;0,L30,0)</f>
        <v>0</v>
      </c>
      <c r="K30" s="51" t="n">
        <f aca="false">I30+J30</f>
        <v>220.3</v>
      </c>
      <c r="L30" s="51" t="n">
        <f aca="false">F30-(I30-X30)</f>
        <v>-16.7218805142425</v>
      </c>
      <c r="M30" s="51" t="n">
        <v>242.5</v>
      </c>
      <c r="N30" s="51" t="n">
        <v>0</v>
      </c>
      <c r="O30" s="51" t="n">
        <v>0</v>
      </c>
      <c r="P30" s="6" t="n">
        <f aca="false">M30-(N30+O30)</f>
        <v>242.5</v>
      </c>
      <c r="Q30" s="51" t="n">
        <v>177.4</v>
      </c>
      <c r="R30" s="51" t="n">
        <v>87.2</v>
      </c>
      <c r="S30" s="51" t="n">
        <f aca="false">SUM(P30:R30)</f>
        <v>507.1</v>
      </c>
      <c r="T30" s="52" t="n">
        <f aca="false">(I30-S30)+T29</f>
        <v>6655.9</v>
      </c>
      <c r="U30" s="51" t="n">
        <v>115.5</v>
      </c>
      <c r="V30" s="51" t="n">
        <v>80.6</v>
      </c>
      <c r="W30" s="52" t="n">
        <f aca="false">W29-V30</f>
        <v>6789.66999999996</v>
      </c>
      <c r="X30" s="6" t="n">
        <f aca="false">N30+O30+S30+U30+V30</f>
        <v>703.2</v>
      </c>
      <c r="Y30" s="51" t="n">
        <f aca="false">IF(L30&lt;0,L30*-1,0)</f>
        <v>16.7218805142425</v>
      </c>
      <c r="Z30" s="51" t="n">
        <f aca="false">X30+Y30</f>
        <v>719.921880514243</v>
      </c>
      <c r="AA30" s="55" t="n">
        <v>0</v>
      </c>
      <c r="AB30" s="56" t="n">
        <v>85</v>
      </c>
      <c r="AC30" s="56" t="n">
        <v>56</v>
      </c>
      <c r="AD30" s="57" t="n">
        <f aca="false">AD29+1</f>
        <v>21</v>
      </c>
      <c r="AE30" s="85"/>
      <c r="AF30" s="85"/>
      <c r="AG30" s="85"/>
    </row>
    <row r="31" customFormat="false" ht="11.1" hidden="false" customHeight="true" outlineLevel="0" collapsed="false">
      <c r="A31" s="57" t="n">
        <f aca="false">A30+1</f>
        <v>22</v>
      </c>
      <c r="B31" s="71" t="n">
        <v>6919.24</v>
      </c>
      <c r="C31" s="52" t="n">
        <v>360301</v>
      </c>
      <c r="D31" s="56" t="n">
        <f aca="false">C31-C30</f>
        <v>-860</v>
      </c>
      <c r="E31" s="52" t="n">
        <f aca="false">C31-152000</f>
        <v>208301</v>
      </c>
      <c r="F31" s="51" t="n">
        <f aca="false">D31/$D$2</f>
        <v>-433.577010335266</v>
      </c>
      <c r="G31" s="51" t="n">
        <v>206.5</v>
      </c>
      <c r="H31" s="93" t="n">
        <v>1</v>
      </c>
      <c r="I31" s="51" t="n">
        <f aca="false">G31+H31</f>
        <v>207.5</v>
      </c>
      <c r="J31" s="78" t="n">
        <f aca="false">IF(L31&gt;0,L31,0)</f>
        <v>48.3229896647341</v>
      </c>
      <c r="K31" s="51" t="n">
        <f aca="false">I31+J31</f>
        <v>255.822989664734</v>
      </c>
      <c r="L31" s="51" t="n">
        <f aca="false">F31-(I31-X31)</f>
        <v>48.3229896647341</v>
      </c>
      <c r="M31" s="51" t="n">
        <v>242.4</v>
      </c>
      <c r="N31" s="51" t="n">
        <v>0</v>
      </c>
      <c r="O31" s="51" t="n">
        <v>0</v>
      </c>
      <c r="P31" s="6" t="n">
        <f aca="false">M31-(N31+O31)</f>
        <v>242.4</v>
      </c>
      <c r="Q31" s="51" t="n">
        <v>170</v>
      </c>
      <c r="R31" s="51" t="n">
        <v>80.7</v>
      </c>
      <c r="S31" s="51" t="n">
        <f aca="false">SUM(P31:R31)</f>
        <v>493.1</v>
      </c>
      <c r="T31" s="52" t="n">
        <f aca="false">(I31-S31)+T30</f>
        <v>6370.3</v>
      </c>
      <c r="U31" s="51" t="n">
        <v>115.5</v>
      </c>
      <c r="V31" s="51" t="n">
        <v>80.8</v>
      </c>
      <c r="W31" s="52" t="n">
        <f aca="false">W30-V31</f>
        <v>6708.86999999996</v>
      </c>
      <c r="X31" s="6" t="n">
        <f aca="false">N31+O31+S31+U31+V31</f>
        <v>689.4</v>
      </c>
      <c r="Y31" s="51" t="n">
        <f aca="false">IF(L31&lt;0,L31*-1,0)</f>
        <v>0</v>
      </c>
      <c r="Z31" s="51" t="n">
        <f aca="false">X31+Y31</f>
        <v>689.4</v>
      </c>
      <c r="AA31" s="55" t="n">
        <v>0.81</v>
      </c>
      <c r="AB31" s="56" t="n">
        <v>82</v>
      </c>
      <c r="AC31" s="56" t="n">
        <v>57</v>
      </c>
      <c r="AD31" s="57" t="n">
        <f aca="false">AD30+1</f>
        <v>22</v>
      </c>
      <c r="AE31" s="85"/>
      <c r="AF31" s="85"/>
      <c r="AG31" s="85"/>
      <c r="AH31" s="142"/>
      <c r="AI31" s="142"/>
      <c r="AJ31" s="142"/>
    </row>
    <row r="32" customFormat="false" ht="11.1" hidden="false" customHeight="true" outlineLevel="0" collapsed="false">
      <c r="A32" s="57" t="n">
        <f aca="false">A31+1</f>
        <v>23</v>
      </c>
      <c r="B32" s="71" t="n">
        <v>6919.12</v>
      </c>
      <c r="C32" s="52" t="n">
        <v>359784</v>
      </c>
      <c r="D32" s="56" t="n">
        <f aca="false">C32-C31</f>
        <v>-517</v>
      </c>
      <c r="E32" s="52" t="n">
        <f aca="false">C32-152000</f>
        <v>207784</v>
      </c>
      <c r="F32" s="51" t="n">
        <f aca="false">D32/$D$2</f>
        <v>-260.650365515503</v>
      </c>
      <c r="G32" s="51" t="n">
        <v>238.5</v>
      </c>
      <c r="H32" s="93" t="n">
        <v>1.2</v>
      </c>
      <c r="I32" s="51" t="n">
        <f aca="false">G32+H32</f>
        <v>239.7</v>
      </c>
      <c r="J32" s="78" t="n">
        <f aca="false">IF(L32&gt;0,L32,0)</f>
        <v>128.549634484497</v>
      </c>
      <c r="K32" s="51" t="n">
        <f aca="false">I32+J32</f>
        <v>368.249634484497</v>
      </c>
      <c r="L32" s="51" t="n">
        <f aca="false">F32-(I32-X32)</f>
        <v>128.549634484497</v>
      </c>
      <c r="M32" s="51" t="n">
        <v>238.1</v>
      </c>
      <c r="N32" s="51" t="n">
        <v>0</v>
      </c>
      <c r="O32" s="51" t="n">
        <v>0</v>
      </c>
      <c r="P32" s="6" t="n">
        <f aca="false">M32-(N32+O32)</f>
        <v>238.1</v>
      </c>
      <c r="Q32" s="51" t="n">
        <v>160.6</v>
      </c>
      <c r="R32" s="51" t="n">
        <v>76.7</v>
      </c>
      <c r="S32" s="51" t="n">
        <f aca="false">SUM(P32:R32)</f>
        <v>475.4</v>
      </c>
      <c r="T32" s="52" t="n">
        <f aca="false">(I32-S32)+T31</f>
        <v>6134.6</v>
      </c>
      <c r="U32" s="51" t="n">
        <v>72.1</v>
      </c>
      <c r="V32" s="51" t="n">
        <v>81.4</v>
      </c>
      <c r="W32" s="52" t="n">
        <f aca="false">W31-V32</f>
        <v>6627.46999999996</v>
      </c>
      <c r="X32" s="6" t="n">
        <f aca="false">N32+O32+S32+U32+V32</f>
        <v>628.9</v>
      </c>
      <c r="Y32" s="51" t="n">
        <f aca="false">IF(L32&lt;0,L32*-1,0)</f>
        <v>0</v>
      </c>
      <c r="Z32" s="51" t="n">
        <f aca="false">X32+Y32</f>
        <v>628.9</v>
      </c>
      <c r="AA32" s="55" t="n">
        <v>1.46</v>
      </c>
      <c r="AB32" s="56" t="n">
        <v>75</v>
      </c>
      <c r="AC32" s="79" t="n">
        <v>55</v>
      </c>
      <c r="AD32" s="57" t="n">
        <f aca="false">AD31+1</f>
        <v>23</v>
      </c>
      <c r="AE32" s="85"/>
      <c r="AF32" s="85"/>
      <c r="AG32" s="85"/>
    </row>
    <row r="33" customFormat="false" ht="11.1" hidden="false" customHeight="true" outlineLevel="0" collapsed="false">
      <c r="A33" s="57" t="n">
        <f aca="false">A32+1</f>
        <v>24</v>
      </c>
      <c r="B33" s="71" t="n">
        <v>6918.99</v>
      </c>
      <c r="C33" s="52" t="n">
        <v>359225</v>
      </c>
      <c r="D33" s="56" t="n">
        <f aca="false">C33-C32</f>
        <v>-559</v>
      </c>
      <c r="E33" s="52" t="n">
        <f aca="false">C33-152000</f>
        <v>207225</v>
      </c>
      <c r="F33" s="51" t="n">
        <f aca="false">D33/$D$2</f>
        <v>-281.825056717923</v>
      </c>
      <c r="G33" s="51" t="n">
        <v>308.2</v>
      </c>
      <c r="H33" s="93" t="n">
        <v>1.4</v>
      </c>
      <c r="I33" s="51" t="n">
        <f aca="false">G33+H33</f>
        <v>309.6</v>
      </c>
      <c r="J33" s="78" t="n">
        <f aca="false">IF(L33&gt;0,L33,0)</f>
        <v>0</v>
      </c>
      <c r="K33" s="51" t="n">
        <f aca="false">I33+J33</f>
        <v>309.6</v>
      </c>
      <c r="L33" s="51" t="n">
        <f aca="false">F33-(I33-X33)</f>
        <v>-8.42505671792281</v>
      </c>
      <c r="M33" s="51" t="n">
        <v>219.6</v>
      </c>
      <c r="N33" s="51" t="n">
        <v>0</v>
      </c>
      <c r="O33" s="51" t="n">
        <v>0</v>
      </c>
      <c r="P33" s="6" t="n">
        <f aca="false">M33-(N33+O33)</f>
        <v>219.6</v>
      </c>
      <c r="Q33" s="51" t="n">
        <v>147.6</v>
      </c>
      <c r="R33" s="51" t="n">
        <v>75.1</v>
      </c>
      <c r="S33" s="51" t="n">
        <f aca="false">SUM(P33:R33)</f>
        <v>442.3</v>
      </c>
      <c r="T33" s="52" t="n">
        <f aca="false">(I33-S33)+T32</f>
        <v>6001.9</v>
      </c>
      <c r="U33" s="51" t="n">
        <v>60</v>
      </c>
      <c r="V33" s="51" t="n">
        <v>80.7</v>
      </c>
      <c r="W33" s="52" t="n">
        <f aca="false">W32-V33</f>
        <v>6546.76999999996</v>
      </c>
      <c r="X33" s="6" t="n">
        <f aca="false">N33+O33+S33+U33+V33</f>
        <v>583</v>
      </c>
      <c r="Y33" s="51" t="n">
        <f aca="false">IF(L33&lt;0,L33*-1,0)</f>
        <v>8.42505671792281</v>
      </c>
      <c r="Z33" s="51" t="n">
        <f aca="false">X33+Y33</f>
        <v>591.425056717923</v>
      </c>
      <c r="AA33" s="55" t="n">
        <v>0.03</v>
      </c>
      <c r="AB33" s="56" t="n">
        <v>65</v>
      </c>
      <c r="AC33" s="79" t="n">
        <v>51</v>
      </c>
      <c r="AD33" s="57" t="n">
        <f aca="false">AD32+1</f>
        <v>24</v>
      </c>
      <c r="AE33" s="85"/>
      <c r="AF33" s="85"/>
      <c r="AG33" s="85"/>
    </row>
    <row r="34" customFormat="false" ht="11.1" hidden="false" customHeight="true" outlineLevel="0" collapsed="false">
      <c r="A34" s="57" t="n">
        <f aca="false">A33+1</f>
        <v>25</v>
      </c>
      <c r="B34" s="71" t="n">
        <v>6919</v>
      </c>
      <c r="C34" s="52" t="n">
        <v>359267</v>
      </c>
      <c r="D34" s="56" t="n">
        <f aca="false">C34-C33</f>
        <v>42</v>
      </c>
      <c r="E34" s="52" t="n">
        <f aca="false">C34-152000</f>
        <v>207267</v>
      </c>
      <c r="F34" s="51" t="n">
        <f aca="false">D34/$D$2</f>
        <v>21.17469120242</v>
      </c>
      <c r="G34" s="51" t="n">
        <v>466.1</v>
      </c>
      <c r="H34" s="93" t="n">
        <v>0.5</v>
      </c>
      <c r="I34" s="51" t="n">
        <f aca="false">G34+H34</f>
        <v>466.6</v>
      </c>
      <c r="J34" s="78" t="n">
        <f aca="false">IF(L34&gt;0,L34,0)</f>
        <v>99.9746912024199</v>
      </c>
      <c r="K34" s="51" t="n">
        <f aca="false">I34+J34</f>
        <v>566.57469120242</v>
      </c>
      <c r="L34" s="51" t="n">
        <f aca="false">F34-(I34-X34)</f>
        <v>99.9746912024199</v>
      </c>
      <c r="M34" s="51" t="n">
        <v>208</v>
      </c>
      <c r="N34" s="51" t="n">
        <v>0</v>
      </c>
      <c r="O34" s="51" t="n">
        <v>0</v>
      </c>
      <c r="P34" s="6" t="n">
        <f aca="false">M34-(N34+O34)</f>
        <v>208</v>
      </c>
      <c r="Q34" s="51" t="n">
        <v>132.8</v>
      </c>
      <c r="R34" s="51" t="n">
        <v>72.6</v>
      </c>
      <c r="S34" s="51" t="n">
        <f aca="false">SUM(P34:R34)</f>
        <v>413.4</v>
      </c>
      <c r="T34" s="52" t="n">
        <f aca="false">(I34-S34)+T33</f>
        <v>6055.1</v>
      </c>
      <c r="U34" s="51" t="n">
        <v>51.4</v>
      </c>
      <c r="V34" s="51" t="n">
        <v>80.6</v>
      </c>
      <c r="W34" s="52" t="n">
        <f aca="false">W33-V34</f>
        <v>6466.16999999996</v>
      </c>
      <c r="X34" s="6" t="n">
        <f aca="false">N34+O34+S34+U34+V34</f>
        <v>545.4</v>
      </c>
      <c r="Y34" s="51" t="n">
        <f aca="false">IF(L34&lt;0,L34*-1,0)</f>
        <v>0</v>
      </c>
      <c r="Z34" s="51" t="n">
        <f aca="false">X34+Y34</f>
        <v>545.4</v>
      </c>
      <c r="AA34" s="55" t="n">
        <v>0.01</v>
      </c>
      <c r="AB34" s="56" t="n">
        <v>74</v>
      </c>
      <c r="AC34" s="79" t="n">
        <v>52</v>
      </c>
      <c r="AD34" s="57" t="n">
        <f aca="false">AD33+1</f>
        <v>25</v>
      </c>
      <c r="AE34" s="85"/>
      <c r="AF34" s="85"/>
      <c r="AG34" s="85"/>
    </row>
    <row r="35" customFormat="false" ht="11.1" hidden="false" customHeight="true" outlineLevel="0" collapsed="false">
      <c r="A35" s="57" t="n">
        <f aca="false">A34+1</f>
        <v>26</v>
      </c>
      <c r="B35" s="71" t="n">
        <v>6918.94</v>
      </c>
      <c r="C35" s="52" t="n">
        <v>359010</v>
      </c>
      <c r="D35" s="56" t="n">
        <f aca="false">C35-C34</f>
        <v>-257</v>
      </c>
      <c r="E35" s="52" t="n">
        <f aca="false">C35-152000</f>
        <v>207010</v>
      </c>
      <c r="F35" s="51" t="n">
        <f aca="false">D35/$D$2</f>
        <v>-129.568943786236</v>
      </c>
      <c r="G35" s="51" t="n">
        <v>424.7</v>
      </c>
      <c r="H35" s="93" t="n">
        <v>0.4</v>
      </c>
      <c r="I35" s="51" t="n">
        <f aca="false">G35+H35</f>
        <v>425.1</v>
      </c>
      <c r="J35" s="78" t="n">
        <f aca="false">IF(L35&gt;0,L35,0)</f>
        <v>0</v>
      </c>
      <c r="K35" s="51" t="n">
        <f aca="false">I35+J35</f>
        <v>425.1</v>
      </c>
      <c r="L35" s="51" t="n">
        <f aca="false">F35-(I35-X35)</f>
        <v>-13.0689437862364</v>
      </c>
      <c r="M35" s="51" t="n">
        <v>205.9</v>
      </c>
      <c r="N35" s="51" t="n">
        <v>0</v>
      </c>
      <c r="O35" s="51" t="n">
        <v>0</v>
      </c>
      <c r="P35" s="6" t="n">
        <f aca="false">M35-(N35+O35)</f>
        <v>205.9</v>
      </c>
      <c r="Q35" s="51" t="n">
        <v>127</v>
      </c>
      <c r="R35" s="51" t="n">
        <v>72.1</v>
      </c>
      <c r="S35" s="51" t="n">
        <f aca="false">SUM(P35:R35)</f>
        <v>405</v>
      </c>
      <c r="T35" s="52" t="n">
        <f aca="false">(I35-S35)+T34</f>
        <v>6075.2</v>
      </c>
      <c r="U35" s="51" t="n">
        <v>56</v>
      </c>
      <c r="V35" s="51" t="n">
        <v>80.6</v>
      </c>
      <c r="W35" s="52" t="n">
        <f aca="false">W34-V35</f>
        <v>6385.56999999996</v>
      </c>
      <c r="X35" s="6" t="n">
        <f aca="false">N35+O35+S35+U35+V35</f>
        <v>541.6</v>
      </c>
      <c r="Y35" s="51" t="n">
        <f aca="false">IF(L35&lt;0,L35*-1,0)</f>
        <v>13.0689437862364</v>
      </c>
      <c r="Z35" s="51" t="n">
        <f aca="false">X35+Y35</f>
        <v>554.668943786237</v>
      </c>
      <c r="AA35" s="55" t="n">
        <v>0</v>
      </c>
      <c r="AB35" s="56" t="n">
        <v>79</v>
      </c>
      <c r="AC35" s="56" t="n">
        <v>51</v>
      </c>
      <c r="AD35" s="57" t="n">
        <f aca="false">AD34+1</f>
        <v>26</v>
      </c>
      <c r="AE35" s="85"/>
      <c r="AF35" s="85"/>
      <c r="AG35" s="85"/>
    </row>
    <row r="36" customFormat="false" ht="11.1" hidden="false" customHeight="true" outlineLevel="0" collapsed="false">
      <c r="A36" s="57" t="n">
        <f aca="false">A35+1</f>
        <v>27</v>
      </c>
      <c r="B36" s="71" t="n">
        <v>6918.82</v>
      </c>
      <c r="C36" s="52" t="n">
        <v>358497</v>
      </c>
      <c r="D36" s="56" t="n">
        <f aca="false">C36-C35</f>
        <v>-513</v>
      </c>
      <c r="E36" s="52" t="n">
        <f aca="false">C36-152000</f>
        <v>206497</v>
      </c>
      <c r="F36" s="51" t="n">
        <f aca="false">D36/$D$2</f>
        <v>-258.63372825813</v>
      </c>
      <c r="G36" s="51" t="n">
        <v>348</v>
      </c>
      <c r="H36" s="93" t="n">
        <v>0.4</v>
      </c>
      <c r="I36" s="51" t="n">
        <f aca="false">G36+H36</f>
        <v>348.4</v>
      </c>
      <c r="J36" s="78" t="n">
        <f aca="false">IF(L36&gt;0,L36,0)</f>
        <v>0</v>
      </c>
      <c r="K36" s="51" t="n">
        <f aca="false">I36+J36</f>
        <v>348.4</v>
      </c>
      <c r="L36" s="51" t="n">
        <f aca="false">F36-(I36-X36)</f>
        <v>-68.0337282581295</v>
      </c>
      <c r="M36" s="51" t="n">
        <v>193.8</v>
      </c>
      <c r="N36" s="51" t="n">
        <v>0</v>
      </c>
      <c r="O36" s="51" t="n">
        <v>0</v>
      </c>
      <c r="P36" s="6" t="n">
        <f aca="false">M36-(N36+O36)</f>
        <v>193.8</v>
      </c>
      <c r="Q36" s="51" t="n">
        <v>120.4</v>
      </c>
      <c r="R36" s="51" t="n">
        <v>72.6</v>
      </c>
      <c r="S36" s="51" t="n">
        <f aca="false">SUM(P36:R36)</f>
        <v>386.8</v>
      </c>
      <c r="T36" s="52" t="n">
        <f aca="false">(I36-S36)+T35</f>
        <v>6036.8</v>
      </c>
      <c r="U36" s="51" t="n">
        <v>71.6</v>
      </c>
      <c r="V36" s="51" t="n">
        <v>80.6</v>
      </c>
      <c r="W36" s="52" t="n">
        <f aca="false">W35-V36</f>
        <v>6304.96999999996</v>
      </c>
      <c r="X36" s="6" t="n">
        <f aca="false">N36+O36+S36+U36+V36</f>
        <v>539</v>
      </c>
      <c r="Y36" s="51" t="n">
        <f aca="false">IF(L36&lt;0,L36*-1,0)</f>
        <v>68.0337282581295</v>
      </c>
      <c r="Z36" s="51" t="n">
        <f aca="false">X36+Y36</f>
        <v>607.03372825813</v>
      </c>
      <c r="AA36" s="55" t="n">
        <v>0</v>
      </c>
      <c r="AB36" s="56" t="n">
        <v>84</v>
      </c>
      <c r="AC36" s="56" t="n">
        <v>52</v>
      </c>
      <c r="AD36" s="57" t="n">
        <f aca="false">AD35+1</f>
        <v>27</v>
      </c>
      <c r="AE36" s="85"/>
      <c r="AF36" s="85"/>
      <c r="AG36" s="85"/>
    </row>
    <row r="37" customFormat="false" ht="11.1" hidden="false" customHeight="true" outlineLevel="0" collapsed="false">
      <c r="A37" s="57" t="n">
        <f aca="false">A36+1</f>
        <v>28</v>
      </c>
      <c r="B37" s="71" t="n">
        <v>6918.67</v>
      </c>
      <c r="C37" s="52" t="n">
        <v>357857</v>
      </c>
      <c r="D37" s="56" t="n">
        <f aca="false">C37-C36</f>
        <v>-640</v>
      </c>
      <c r="E37" s="52" t="n">
        <f aca="false">C37-152000</f>
        <v>205857</v>
      </c>
      <c r="F37" s="51" t="n">
        <f aca="false">D37/$D$2</f>
        <v>-322.661961179733</v>
      </c>
      <c r="G37" s="51" t="n">
        <v>283.1</v>
      </c>
      <c r="H37" s="93" t="n">
        <v>0.5</v>
      </c>
      <c r="I37" s="51" t="n">
        <f aca="false">G37+H37</f>
        <v>283.6</v>
      </c>
      <c r="J37" s="78" t="n">
        <f aca="false">IF(L37&gt;0,L37,0)</f>
        <v>0</v>
      </c>
      <c r="K37" s="51" t="n">
        <f aca="false">I37+J37</f>
        <v>283.6</v>
      </c>
      <c r="L37" s="51" t="n">
        <f aca="false">F37-(I37-X37)</f>
        <v>-51.6619611797328</v>
      </c>
      <c r="M37" s="51" t="n">
        <v>189.8</v>
      </c>
      <c r="N37" s="51" t="n">
        <v>0</v>
      </c>
      <c r="O37" s="51" t="n">
        <v>0</v>
      </c>
      <c r="P37" s="6" t="n">
        <f aca="false">M37-(N37+O37)</f>
        <v>189.8</v>
      </c>
      <c r="Q37" s="51" t="n">
        <v>117.3</v>
      </c>
      <c r="R37" s="51" t="n">
        <v>72.6</v>
      </c>
      <c r="S37" s="51" t="n">
        <f aca="false">SUM(P37:R37)</f>
        <v>379.7</v>
      </c>
      <c r="T37" s="52" t="n">
        <f aca="false">(I37-S37)+T36</f>
        <v>5940.7</v>
      </c>
      <c r="U37" s="51" t="n">
        <v>94.3</v>
      </c>
      <c r="V37" s="51" t="n">
        <v>80.6</v>
      </c>
      <c r="W37" s="52" t="n">
        <f aca="false">W36-V37</f>
        <v>6224.36999999996</v>
      </c>
      <c r="X37" s="6" t="n">
        <f aca="false">N37+O37+S37+U37+V37</f>
        <v>554.6</v>
      </c>
      <c r="Y37" s="51" t="n">
        <f aca="false">IF(L37&lt;0,L37*-1,0)</f>
        <v>51.6619611797328</v>
      </c>
      <c r="Z37" s="51" t="n">
        <f aca="false">X37+Y37</f>
        <v>606.261961179733</v>
      </c>
      <c r="AA37" s="55" t="n">
        <v>0</v>
      </c>
      <c r="AB37" s="56" t="n">
        <v>83</v>
      </c>
      <c r="AC37" s="56" t="n">
        <v>53</v>
      </c>
      <c r="AD37" s="57" t="n">
        <f aca="false">AD36+1</f>
        <v>28</v>
      </c>
      <c r="AE37" s="85"/>
      <c r="AF37" s="85"/>
      <c r="AG37" s="85"/>
    </row>
    <row r="38" customFormat="false" ht="11.1" hidden="false" customHeight="true" outlineLevel="0" collapsed="false">
      <c r="A38" s="57" t="n">
        <f aca="false">A37+1</f>
        <v>29</v>
      </c>
      <c r="B38" s="71" t="n">
        <v>6918.49</v>
      </c>
      <c r="C38" s="52" t="n">
        <v>357089</v>
      </c>
      <c r="D38" s="56" t="n">
        <f aca="false">C38-C37</f>
        <v>-768</v>
      </c>
      <c r="E38" s="52" t="n">
        <f aca="false">C38-152000</f>
        <v>205089</v>
      </c>
      <c r="F38" s="51" t="n">
        <f aca="false">D38/$D$2</f>
        <v>-387.194353415679</v>
      </c>
      <c r="G38" s="51" t="n">
        <v>255.4</v>
      </c>
      <c r="H38" s="93" t="n">
        <v>0.7</v>
      </c>
      <c r="I38" s="51" t="n">
        <f aca="false">G38+H38</f>
        <v>256.1</v>
      </c>
      <c r="J38" s="78" t="n">
        <f aca="false">IF(L38&gt;0,L38,0)</f>
        <v>0</v>
      </c>
      <c r="K38" s="51" t="n">
        <f aca="false">I38+J38</f>
        <v>256.1</v>
      </c>
      <c r="L38" s="51" t="n">
        <f aca="false">F38-(I38-X38)</f>
        <v>-82.2943534156794</v>
      </c>
      <c r="M38" s="51" t="n">
        <v>192.7</v>
      </c>
      <c r="N38" s="51" t="n">
        <v>0</v>
      </c>
      <c r="O38" s="51" t="n">
        <v>0</v>
      </c>
      <c r="P38" s="6" t="n">
        <f aca="false">M38-(N38+O38)</f>
        <v>192.7</v>
      </c>
      <c r="Q38" s="51" t="n">
        <v>117.1</v>
      </c>
      <c r="R38" s="51" t="n">
        <v>72.1</v>
      </c>
      <c r="S38" s="51" t="n">
        <f aca="false">SUM(P38:R38)</f>
        <v>381.9</v>
      </c>
      <c r="T38" s="52" t="n">
        <f aca="false">(I38-S38)+T37</f>
        <v>5814.9</v>
      </c>
      <c r="U38" s="51" t="n">
        <v>98.8</v>
      </c>
      <c r="V38" s="51" t="n">
        <v>80.3</v>
      </c>
      <c r="W38" s="52" t="n">
        <f aca="false">W37-V38</f>
        <v>6144.06999999996</v>
      </c>
      <c r="X38" s="6" t="n">
        <f aca="false">N38+O38+S38+U38+V38</f>
        <v>561</v>
      </c>
      <c r="Y38" s="51" t="n">
        <f aca="false">IF(L38&lt;0,L38*-1,0)</f>
        <v>82.2943534156794</v>
      </c>
      <c r="Z38" s="51" t="n">
        <f aca="false">X38+Y38</f>
        <v>643.294353415679</v>
      </c>
      <c r="AA38" s="55" t="n">
        <v>0</v>
      </c>
      <c r="AB38" s="79" t="n">
        <v>86</v>
      </c>
      <c r="AC38" s="56" t="n">
        <v>54</v>
      </c>
      <c r="AD38" s="57" t="n">
        <f aca="false">AD37+1</f>
        <v>29</v>
      </c>
      <c r="AE38" s="85"/>
      <c r="AF38" s="87"/>
      <c r="AG38" s="86"/>
    </row>
    <row r="39" customFormat="false" ht="11.1" hidden="false" customHeight="true" outlineLevel="0" collapsed="false">
      <c r="A39" s="57" t="n">
        <v>30</v>
      </c>
      <c r="B39" s="71" t="n">
        <v>6918.43</v>
      </c>
      <c r="C39" s="52" t="n">
        <v>356831</v>
      </c>
      <c r="D39" s="56" t="n">
        <f aca="false">C39-C38</f>
        <v>-258</v>
      </c>
      <c r="E39" s="52" t="n">
        <f aca="false">C39-152000</f>
        <v>204831</v>
      </c>
      <c r="F39" s="51" t="n">
        <f aca="false">D39/$D$2</f>
        <v>-130.07310310058</v>
      </c>
      <c r="G39" s="51" t="n">
        <v>241.2</v>
      </c>
      <c r="H39" s="93" t="n">
        <v>0.5</v>
      </c>
      <c r="I39" s="51" t="n">
        <f aca="false">G39+H39</f>
        <v>241.7</v>
      </c>
      <c r="J39" s="78" t="n">
        <f aca="false">IF(L39&gt;0,L39,0)</f>
        <v>194.02689689942</v>
      </c>
      <c r="K39" s="51" t="n">
        <f aca="false">I39+J39</f>
        <v>435.72689689942</v>
      </c>
      <c r="L39" s="51" t="n">
        <f aca="false">F39-(I39-X39)</f>
        <v>194.02689689942</v>
      </c>
      <c r="M39" s="51" t="n">
        <v>192.2</v>
      </c>
      <c r="N39" s="51" t="n">
        <v>0</v>
      </c>
      <c r="O39" s="51" t="n">
        <v>0</v>
      </c>
      <c r="P39" s="6" t="n">
        <f aca="false">M39-(N39+O39)</f>
        <v>192.2</v>
      </c>
      <c r="Q39" s="51" t="n">
        <v>117.2</v>
      </c>
      <c r="R39" s="51" t="n">
        <v>72.1</v>
      </c>
      <c r="S39" s="51" t="n">
        <f aca="false">SUM(P39:R39)</f>
        <v>381.5</v>
      </c>
      <c r="T39" s="52" t="n">
        <f aca="false">(I39-S39)+T38</f>
        <v>5675.1</v>
      </c>
      <c r="U39" s="51" t="n">
        <v>104.4</v>
      </c>
      <c r="V39" s="51" t="n">
        <v>79.9</v>
      </c>
      <c r="W39" s="52" t="n">
        <f aca="false">W38-V39</f>
        <v>6064.16999999996</v>
      </c>
      <c r="X39" s="6" t="n">
        <f aca="false">N39+O39+S39+U39+V39</f>
        <v>565.8</v>
      </c>
      <c r="Y39" s="51" t="n">
        <f aca="false">IF(L39&lt;0,L39*-1,0)</f>
        <v>0</v>
      </c>
      <c r="Z39" s="51" t="n">
        <f aca="false">X39+Y39</f>
        <v>565.8</v>
      </c>
      <c r="AA39" s="55" t="n">
        <v>0</v>
      </c>
      <c r="AB39" s="79" t="n">
        <v>85</v>
      </c>
      <c r="AC39" s="56" t="n">
        <v>52</v>
      </c>
      <c r="AD39" s="57" t="n">
        <v>30</v>
      </c>
      <c r="AE39" s="85"/>
      <c r="AF39" s="87"/>
      <c r="AG39" s="86"/>
    </row>
    <row r="40" customFormat="false" ht="11.1" hidden="false" customHeight="true" outlineLevel="0" collapsed="false">
      <c r="A40" s="57" t="n">
        <v>31</v>
      </c>
      <c r="B40" s="71" t="n">
        <v>6918.17</v>
      </c>
      <c r="C40" s="52" t="n">
        <v>355720</v>
      </c>
      <c r="D40" s="56" t="n">
        <f aca="false">C40-C39</f>
        <v>-1111</v>
      </c>
      <c r="E40" s="52" t="n">
        <f aca="false">C40-152000</f>
        <v>203720</v>
      </c>
      <c r="F40" s="51" t="n">
        <f aca="false">D40/$D$2</f>
        <v>-560.120998235442</v>
      </c>
      <c r="G40" s="51" t="n">
        <v>223.7</v>
      </c>
      <c r="H40" s="93" t="n">
        <v>0.5</v>
      </c>
      <c r="I40" s="51" t="n">
        <f aca="false">G40+H40</f>
        <v>224.2</v>
      </c>
      <c r="J40" s="78" t="n">
        <f aca="false">IF(L40&gt;0,L40,0)</f>
        <v>0</v>
      </c>
      <c r="K40" s="51" t="n">
        <f aca="false">I40+J40</f>
        <v>224.2</v>
      </c>
      <c r="L40" s="51" t="n">
        <f aca="false">F40-(I40-X40)</f>
        <v>-207.320998235442</v>
      </c>
      <c r="M40" s="51" t="n">
        <v>203.9</v>
      </c>
      <c r="N40" s="51" t="n">
        <v>0</v>
      </c>
      <c r="O40" s="51" t="n">
        <v>0</v>
      </c>
      <c r="P40" s="6" t="n">
        <f aca="false">M40-(N40+O40)</f>
        <v>203.9</v>
      </c>
      <c r="Q40" s="51" t="n">
        <v>116.8</v>
      </c>
      <c r="R40" s="51" t="n">
        <v>72.1</v>
      </c>
      <c r="S40" s="51" t="n">
        <f aca="false">SUM(P40:R40)</f>
        <v>392.8</v>
      </c>
      <c r="T40" s="52" t="n">
        <f aca="false">(I40-S40)+T39</f>
        <v>5506.5</v>
      </c>
      <c r="U40" s="51" t="n">
        <v>104.4</v>
      </c>
      <c r="V40" s="51" t="n">
        <v>79.8</v>
      </c>
      <c r="W40" s="52" t="n">
        <f aca="false">W39-V40</f>
        <v>5984.36999999996</v>
      </c>
      <c r="X40" s="6" t="n">
        <f aca="false">N40+O40+S40+U40+V40</f>
        <v>577</v>
      </c>
      <c r="Y40" s="51" t="n">
        <f aca="false">IF(L40&lt;0,L40*-1,0)</f>
        <v>207.320998235442</v>
      </c>
      <c r="Z40" s="51" t="n">
        <f aca="false">X40+Y40</f>
        <v>784.320998235442</v>
      </c>
      <c r="AA40" s="55" t="n">
        <v>0</v>
      </c>
      <c r="AB40" s="79" t="n">
        <v>85</v>
      </c>
      <c r="AC40" s="56" t="n">
        <v>53</v>
      </c>
      <c r="AD40" s="57" t="n">
        <v>31</v>
      </c>
      <c r="AE40" s="85"/>
      <c r="AF40" s="85"/>
      <c r="AG40" s="86"/>
    </row>
    <row r="41" customFormat="false" ht="3" hidden="false" customHeight="true" outlineLevel="0" collapsed="false">
      <c r="A41" s="72"/>
      <c r="B41" s="72"/>
      <c r="C41" s="74"/>
      <c r="D41" s="72"/>
      <c r="E41" s="74"/>
      <c r="F41" s="72"/>
      <c r="G41" s="72"/>
      <c r="H41" s="96"/>
      <c r="I41" s="72"/>
      <c r="J41" s="72"/>
      <c r="K41" s="72"/>
      <c r="L41" s="72"/>
      <c r="M41" s="72"/>
      <c r="N41" s="72"/>
      <c r="O41" s="72" t="n">
        <v>0</v>
      </c>
      <c r="P41" s="72"/>
      <c r="Q41" s="72"/>
      <c r="R41" s="72"/>
      <c r="S41" s="72"/>
      <c r="T41" s="74"/>
      <c r="U41" s="72"/>
      <c r="V41" s="72"/>
      <c r="W41" s="72"/>
      <c r="X41" s="72"/>
      <c r="Y41" s="72"/>
      <c r="Z41" s="72"/>
      <c r="AA41" s="140" t="n">
        <v>0</v>
      </c>
      <c r="AB41" s="76"/>
      <c r="AC41" s="76"/>
      <c r="AD41" s="77"/>
      <c r="AE41" s="85"/>
      <c r="AF41" s="85"/>
      <c r="AG41" s="86"/>
    </row>
    <row r="42" customFormat="false" ht="11.1" hidden="false" customHeight="true" outlineLevel="0" collapsed="false">
      <c r="A42" s="51" t="s">
        <v>46</v>
      </c>
      <c r="B42" s="51"/>
      <c r="C42" s="52"/>
      <c r="D42" s="52"/>
      <c r="E42" s="52"/>
      <c r="F42" s="52" t="n">
        <f aca="false">SUM(F10:F40)</f>
        <v>-11928.4093773632</v>
      </c>
      <c r="G42" s="52" t="n">
        <f aca="false">SUM(G10:G40)</f>
        <v>9247.2</v>
      </c>
      <c r="H42" s="93" t="n">
        <f aca="false">SUM(H10:H40)</f>
        <v>41.9</v>
      </c>
      <c r="I42" s="52" t="n">
        <f aca="false">SUM(I10:I40)</f>
        <v>9289.1</v>
      </c>
      <c r="J42" s="52" t="n">
        <f aca="false">SUM(J10:J40)</f>
        <v>982.185152508193</v>
      </c>
      <c r="K42" s="52" t="n">
        <f aca="false">SUM(K10:K40)</f>
        <v>10271.2851525082</v>
      </c>
      <c r="L42" s="52" t="n">
        <f aca="false">SUM(L10:L40)</f>
        <v>-445.209377363245</v>
      </c>
      <c r="M42" s="52" t="n">
        <f aca="false">SUM(M10:M40)</f>
        <v>7211.2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7211.2</v>
      </c>
      <c r="Q42" s="52" t="n">
        <f aca="false">SUM(Q10:Q40)</f>
        <v>4663.5</v>
      </c>
      <c r="R42" s="52" t="n">
        <f aca="false">SUM(R10:R40)</f>
        <v>2455.9</v>
      </c>
      <c r="S42" s="52" t="n">
        <f aca="false">SUM(S10:S40)</f>
        <v>14330.6</v>
      </c>
      <c r="T42" s="52"/>
      <c r="U42" s="52" t="n">
        <f aca="false">SUM(U10:U40)</f>
        <v>3668.2</v>
      </c>
      <c r="V42" s="52" t="n">
        <f aca="false">SUM(V10:V40)</f>
        <v>2773.5</v>
      </c>
      <c r="W42" s="52"/>
      <c r="X42" s="52" t="n">
        <f aca="false">SUM(X10:X40)</f>
        <v>20772.3</v>
      </c>
      <c r="Y42" s="52" t="n">
        <f aca="false">SUM(Y10:Y40)</f>
        <v>1427.39452987144</v>
      </c>
      <c r="Z42" s="52" t="n">
        <f aca="false">SUM(Z10:Z40)</f>
        <v>22199.6945298714</v>
      </c>
      <c r="AA42" s="55" t="n">
        <f aca="false">SUM(AA10:AA40)</f>
        <v>3.27</v>
      </c>
      <c r="AB42" s="56" t="n">
        <f aca="false">AVERAGE(AB10:AB40)</f>
        <v>79.4838709677419</v>
      </c>
      <c r="AC42" s="56" t="n">
        <f aca="false">AVERAGE(AC10:AC40)</f>
        <v>51.4193548387097</v>
      </c>
      <c r="AD42" s="57" t="s">
        <v>70</v>
      </c>
      <c r="AE42" s="85"/>
      <c r="AF42" s="85"/>
      <c r="AG42" s="86"/>
    </row>
    <row r="43" customFormat="false" ht="11.1" hidden="false" customHeight="true" outlineLevel="0" collapsed="false">
      <c r="A43" s="51" t="s">
        <v>48</v>
      </c>
      <c r="B43" s="51"/>
      <c r="C43" s="52"/>
      <c r="D43" s="52" t="n">
        <f aca="false">SUM(D10:D40)</f>
        <v>-23660</v>
      </c>
      <c r="E43" s="52"/>
      <c r="F43" s="52" t="n">
        <f aca="false">F42*$D$2</f>
        <v>-23660</v>
      </c>
      <c r="G43" s="52" t="n">
        <f aca="false">G42*$D$2</f>
        <v>18341.8212</v>
      </c>
      <c r="H43" s="93" t="n">
        <f aca="false">H42*$D$2</f>
        <v>83.10865</v>
      </c>
      <c r="I43" s="52" t="n">
        <f aca="false">I42*$D$2</f>
        <v>18424.92985</v>
      </c>
      <c r="J43" s="52" t="n">
        <f aca="false">J42*$D$2</f>
        <v>1948.16425</v>
      </c>
      <c r="K43" s="52" t="n">
        <f aca="false">K42*$D$2</f>
        <v>20373.0941</v>
      </c>
      <c r="L43" s="52" t="n">
        <f aca="false">L42*$D$2</f>
        <v>-883.072799999997</v>
      </c>
      <c r="M43" s="52" t="n">
        <f aca="false">M42*$D$2</f>
        <v>14303.4152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14303.4152</v>
      </c>
      <c r="Q43" s="52" t="n">
        <f aca="false">Q42*$D$2</f>
        <v>9250.05225</v>
      </c>
      <c r="R43" s="52" t="n">
        <f aca="false">R42*$D$2</f>
        <v>4871.27765</v>
      </c>
      <c r="S43" s="52" t="n">
        <f aca="false">S42*$D$2</f>
        <v>28424.7451</v>
      </c>
      <c r="T43" s="52"/>
      <c r="U43" s="52" t="n">
        <f aca="false">U42*$D$2</f>
        <v>7275.8747</v>
      </c>
      <c r="V43" s="52" t="n">
        <f aca="false">V42*$D$2</f>
        <v>5501.23725</v>
      </c>
      <c r="W43" s="52"/>
      <c r="X43" s="52" t="n">
        <f aca="false">X42*$D$2</f>
        <v>41201.85705</v>
      </c>
      <c r="Y43" s="52" t="n">
        <f aca="false">Y42*$D$2</f>
        <v>2831.23705</v>
      </c>
      <c r="Z43" s="52" t="n">
        <f aca="false">Z42*$D$2</f>
        <v>44033.0941</v>
      </c>
      <c r="AA43" s="55"/>
      <c r="AB43" s="56" t="n">
        <f aca="false">MAX(AB10:AB40)</f>
        <v>88</v>
      </c>
      <c r="AC43" s="56" t="n">
        <f aca="false">MAX(AC10:AC40)</f>
        <v>57</v>
      </c>
      <c r="AD43" s="57" t="s">
        <v>49</v>
      </c>
      <c r="AE43" s="85"/>
      <c r="AF43" s="85"/>
      <c r="AG43" s="86"/>
    </row>
    <row r="44" customFormat="false" ht="3" hidden="false" customHeight="true" outlineLevel="0" collapsed="false">
      <c r="A44" s="72"/>
      <c r="B44" s="72"/>
      <c r="C44" s="74"/>
      <c r="D44" s="74"/>
      <c r="E44" s="74"/>
      <c r="F44" s="74"/>
      <c r="G44" s="74"/>
      <c r="H44" s="96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2"/>
      <c r="X44" s="74"/>
      <c r="Y44" s="74"/>
      <c r="Z44" s="74"/>
      <c r="AA44" s="55"/>
      <c r="AB44" s="56"/>
      <c r="AC44" s="56"/>
      <c r="AD44" s="57"/>
      <c r="AE44" s="85"/>
      <c r="AF44" s="85"/>
      <c r="AG44" s="86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 t="n">
        <f aca="false">F7+F42</f>
        <v>23784.219813461</v>
      </c>
      <c r="G45" s="52" t="n">
        <f aca="false">G7+G42</f>
        <v>120245</v>
      </c>
      <c r="H45" s="93" t="n">
        <f aca="false">H7+H42</f>
        <v>8843.3</v>
      </c>
      <c r="I45" s="52" t="n">
        <f aca="false">I7+I42</f>
        <v>129088.3</v>
      </c>
      <c r="J45" s="52" t="n">
        <f aca="false">J7+J42</f>
        <v>22236.2927148979</v>
      </c>
      <c r="K45" s="52" t="n">
        <f aca="false">K7+K42</f>
        <v>151324.592714898</v>
      </c>
      <c r="L45" s="52" t="n">
        <f aca="false">L7+L42</f>
        <v>19381.6198134611</v>
      </c>
      <c r="M45" s="52" t="n">
        <f aca="false">M7+M42</f>
        <v>19109.7</v>
      </c>
      <c r="N45" s="52" t="n">
        <f aca="false">N7+N42</f>
        <v>0</v>
      </c>
      <c r="O45" s="52" t="n">
        <f aca="false">O7+O42</f>
        <v>0</v>
      </c>
      <c r="P45" s="52" t="n">
        <f aca="false">P7+P42</f>
        <v>19109.7</v>
      </c>
      <c r="Q45" s="52" t="n">
        <f aca="false">Q7+Q42</f>
        <v>14369.8</v>
      </c>
      <c r="R45" s="52" t="n">
        <f aca="false">R7+R42</f>
        <v>6951.7</v>
      </c>
      <c r="S45" s="52" t="n">
        <f aca="false">S7+S42</f>
        <v>40431.2</v>
      </c>
      <c r="T45" s="52" t="n">
        <f aca="false">T40</f>
        <v>5506.5</v>
      </c>
      <c r="U45" s="52" t="n">
        <f aca="false">U7+U42</f>
        <v>7430.8</v>
      </c>
      <c r="V45" s="52" t="n">
        <f aca="false">V7+V42</f>
        <v>76823.7</v>
      </c>
      <c r="W45" s="52"/>
      <c r="X45" s="52" t="n">
        <f aca="false">X7+X42</f>
        <v>124685.7</v>
      </c>
      <c r="Y45" s="52" t="n">
        <f aca="false">Y7+Y42</f>
        <v>2854.67290143685</v>
      </c>
      <c r="Z45" s="52" t="n">
        <f aca="false">Z7+Z42</f>
        <v>127540.372901437</v>
      </c>
      <c r="AA45" s="55"/>
      <c r="AB45" s="56" t="n">
        <f aca="false">MIN(AB10:AB40)</f>
        <v>65</v>
      </c>
      <c r="AC45" s="56" t="n">
        <f aca="false">MIN(AC10:AC40)</f>
        <v>42</v>
      </c>
      <c r="AD45" s="57" t="s">
        <v>51</v>
      </c>
      <c r="AE45" s="85"/>
      <c r="AF45" s="85"/>
      <c r="AG45" s="86"/>
    </row>
    <row r="46" customFormat="false" ht="11.1" hidden="false" customHeight="true" outlineLevel="0" collapsed="false">
      <c r="A46" s="51" t="s">
        <v>52</v>
      </c>
      <c r="B46" s="51"/>
      <c r="C46" s="52"/>
      <c r="D46" s="52"/>
      <c r="E46" s="52"/>
      <c r="F46" s="52" t="n">
        <f aca="false">F45*$D$2</f>
        <v>47176</v>
      </c>
      <c r="G46" s="52" t="n">
        <f aca="false">G45*$D$2</f>
        <v>238505.9575</v>
      </c>
      <c r="H46" s="93" t="n">
        <f aca="false">H45*$D$2</f>
        <v>17540.68555</v>
      </c>
      <c r="I46" s="52" t="n">
        <f aca="false">I45*$D$2</f>
        <v>256046.64305</v>
      </c>
      <c r="J46" s="52" t="n">
        <f aca="false">J45*$D$2</f>
        <v>44105.6866</v>
      </c>
      <c r="K46" s="52" t="n">
        <f aca="false">K45*$D$2</f>
        <v>300152.32965</v>
      </c>
      <c r="L46" s="52" t="n">
        <f aca="false">L45*$D$2</f>
        <v>38443.4429</v>
      </c>
      <c r="M46" s="52" t="n">
        <f aca="false">M45*$D$2</f>
        <v>37904.08995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37904.08995</v>
      </c>
      <c r="Q46" s="52" t="n">
        <f aca="false">Q45*$D$2</f>
        <v>28502.4983</v>
      </c>
      <c r="R46" s="52" t="n">
        <f aca="false">R45*$D$2</f>
        <v>13788.69695</v>
      </c>
      <c r="S46" s="52" t="n">
        <f aca="false">S45*$D$2</f>
        <v>80195.2852</v>
      </c>
      <c r="T46" s="52" t="n">
        <f aca="false">T45*$D$2</f>
        <v>10922.14275</v>
      </c>
      <c r="U46" s="52" t="n">
        <f aca="false">U45*$D$2</f>
        <v>14738.9918</v>
      </c>
      <c r="V46" s="52" t="n">
        <f aca="false">V45*$D$2</f>
        <v>152379.80895</v>
      </c>
      <c r="W46" s="52"/>
      <c r="X46" s="52" t="n">
        <f aca="false">X45*$D$2</f>
        <v>247314.08595</v>
      </c>
      <c r="Y46" s="52" t="n">
        <f aca="false">Y45*$D$2</f>
        <v>5662.2437</v>
      </c>
      <c r="Z46" s="52" t="n">
        <f aca="false">Z45*$D$2</f>
        <v>252976.32965</v>
      </c>
      <c r="AA46" s="55"/>
      <c r="AB46" s="56"/>
      <c r="AC46" s="56"/>
      <c r="AD46" s="57"/>
      <c r="AE46" s="85"/>
      <c r="AF46" s="85"/>
      <c r="AG46" s="86"/>
    </row>
    <row r="47" customFormat="false" ht="3" hidden="false" customHeight="true" outlineLevel="0" collapsed="false">
      <c r="A47" s="72"/>
      <c r="B47" s="72"/>
      <c r="C47" s="74"/>
      <c r="D47" s="74"/>
      <c r="E47" s="74"/>
      <c r="F47" s="74"/>
      <c r="G47" s="74"/>
      <c r="H47" s="96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140"/>
      <c r="AB47" s="56"/>
      <c r="AC47" s="56"/>
      <c r="AD47" s="57"/>
      <c r="AE47" s="85"/>
      <c r="AF47" s="85"/>
      <c r="AG47" s="86"/>
    </row>
    <row r="48" customFormat="false" ht="11.1" hidden="false" customHeight="true" outlineLevel="0" collapsed="false">
      <c r="A48" s="51" t="s">
        <v>53</v>
      </c>
      <c r="B48" s="51"/>
      <c r="C48" s="52"/>
      <c r="D48" s="52"/>
      <c r="E48" s="52"/>
      <c r="F48" s="52" t="n">
        <f aca="false">F8+F42</f>
        <v>30686.6649861356</v>
      </c>
      <c r="G48" s="52" t="n">
        <f aca="false">G8+G42</f>
        <v>132932.1</v>
      </c>
      <c r="H48" s="93" t="n">
        <f aca="false">H8+H42</f>
        <v>9485</v>
      </c>
      <c r="I48" s="52" t="n">
        <f aca="false">I8+I42</f>
        <v>142417.1</v>
      </c>
      <c r="J48" s="52" t="n">
        <f aca="false">J8+J42</f>
        <v>24542.5596596925</v>
      </c>
      <c r="K48" s="52" t="n">
        <f aca="false">K8+K42</f>
        <v>166959.535233174</v>
      </c>
      <c r="L48" s="52" t="n">
        <f aca="false">L8+L42</f>
        <v>20426.6149861356</v>
      </c>
      <c r="M48" s="52" t="n">
        <f aca="false">M8+M42</f>
        <v>20174.22</v>
      </c>
      <c r="N48" s="52" t="n">
        <f aca="false">N8+N42</f>
        <v>0</v>
      </c>
      <c r="O48" s="52" t="n">
        <f aca="false">O8+O42</f>
        <v>0</v>
      </c>
      <c r="P48" s="52" t="n">
        <f aca="false">P8+P42</f>
        <v>20174.22</v>
      </c>
      <c r="Q48" s="52" t="n">
        <f aca="false">Q8+Q42</f>
        <v>15682.6</v>
      </c>
      <c r="R48" s="52" t="n">
        <f aca="false">R8+R42</f>
        <v>7225.8</v>
      </c>
      <c r="S48" s="52" t="n">
        <f aca="false">S8+S42</f>
        <v>43082.62</v>
      </c>
      <c r="T48" s="52" t="n">
        <f aca="false">T45</f>
        <v>5506.5</v>
      </c>
      <c r="U48" s="52" t="n">
        <f aca="false">U8+U42</f>
        <v>7430.8</v>
      </c>
      <c r="V48" s="52" t="n">
        <f aca="false">V8+V42</f>
        <v>81643.63</v>
      </c>
      <c r="W48" s="52" t="n">
        <f aca="false">W40</f>
        <v>5984.36999999996</v>
      </c>
      <c r="X48" s="52" t="n">
        <f aca="false">X8+X42</f>
        <v>132157.05</v>
      </c>
      <c r="Y48" s="52" t="n">
        <f aca="false">Y8+Y42</f>
        <v>4115.94467355684</v>
      </c>
      <c r="Z48" s="52" t="n">
        <f aca="false">Z8+Z42</f>
        <v>136272.994673557</v>
      </c>
      <c r="AA48" s="55" t="n">
        <f aca="false">AA8+AA42</f>
        <v>16.08</v>
      </c>
      <c r="AB48" s="56"/>
      <c r="AC48" s="56"/>
      <c r="AD48" s="57"/>
      <c r="AE48" s="85"/>
      <c r="AF48" s="85"/>
      <c r="AG48" s="86"/>
    </row>
    <row r="49" customFormat="false" ht="11.1" hidden="false" customHeight="true" outlineLevel="0" collapsed="false">
      <c r="A49" s="51" t="s">
        <v>54</v>
      </c>
      <c r="B49" s="51"/>
      <c r="C49" s="52"/>
      <c r="D49" s="52" t="n">
        <f aca="false">D8+D43</f>
        <v>60867</v>
      </c>
      <c r="E49" s="52" t="n">
        <f aca="false">E40</f>
        <v>203720</v>
      </c>
      <c r="F49" s="52" t="n">
        <f aca="false">F48*$D$2</f>
        <v>60867</v>
      </c>
      <c r="G49" s="52" t="n">
        <f aca="false">G48*$D$2</f>
        <v>263670.82035</v>
      </c>
      <c r="H49" s="93" t="n">
        <f aca="false">H48*$D$2</f>
        <v>18813.4975</v>
      </c>
      <c r="I49" s="52" t="n">
        <f aca="false">I48*$D$2</f>
        <v>282484.31785</v>
      </c>
      <c r="J49" s="52" t="n">
        <f aca="false">J48*$D$2</f>
        <v>48680.167085</v>
      </c>
      <c r="K49" s="52" t="n">
        <f aca="false">K48*$D$2</f>
        <v>331164.238135</v>
      </c>
      <c r="L49" s="52" t="n">
        <f aca="false">L48*$D$2</f>
        <v>40516.190825</v>
      </c>
      <c r="M49" s="52" t="n">
        <f aca="false">M48*$D$2</f>
        <v>40015.56537</v>
      </c>
      <c r="N49" s="52" t="n">
        <f aca="false">N48*$D$2</f>
        <v>0</v>
      </c>
      <c r="O49" s="52" t="n">
        <f aca="false">O48*$D$2</f>
        <v>0</v>
      </c>
      <c r="P49" s="52" t="n">
        <f aca="false">P48*$D$2</f>
        <v>40015.56537</v>
      </c>
      <c r="Q49" s="52" t="n">
        <f aca="false">Q48*$D$2</f>
        <v>31106.4371</v>
      </c>
      <c r="R49" s="52" t="n">
        <f aca="false">R48*$D$2</f>
        <v>14332.3743</v>
      </c>
      <c r="S49" s="52" t="n">
        <f aca="false">S48*$D$2</f>
        <v>85454.37677</v>
      </c>
      <c r="T49" s="52" t="n">
        <f aca="false">T48*$D$2</f>
        <v>10922.14275</v>
      </c>
      <c r="U49" s="52" t="n">
        <f aca="false">U48*$D$2</f>
        <v>14738.9918</v>
      </c>
      <c r="V49" s="52" t="n">
        <f aca="false">V48*$D$2</f>
        <v>161940.140105</v>
      </c>
      <c r="W49" s="52" t="n">
        <f aca="false">W40*$D$2</f>
        <v>11869.9978949999</v>
      </c>
      <c r="X49" s="52" t="n">
        <f aca="false">X48*$D$2</f>
        <v>262133.508675</v>
      </c>
      <c r="Y49" s="52" t="n">
        <f aca="false">Y48*$D$2</f>
        <v>8163.97626</v>
      </c>
      <c r="Z49" s="52" t="n">
        <f aca="false">Z48*$D$2</f>
        <v>270297.484935</v>
      </c>
      <c r="AA49" s="55"/>
      <c r="AB49" s="56"/>
      <c r="AC49" s="56"/>
      <c r="AD49" s="57"/>
      <c r="AE49" s="85"/>
      <c r="AF49" s="85"/>
      <c r="AG49" s="86"/>
    </row>
    <row r="50" customFormat="false" ht="3" hidden="false" customHeight="true" outlineLevel="0" collapsed="false">
      <c r="A50" s="72"/>
      <c r="B50" s="72"/>
      <c r="C50" s="74"/>
      <c r="D50" s="72"/>
      <c r="E50" s="74"/>
      <c r="F50" s="72"/>
      <c r="G50" s="72"/>
      <c r="H50" s="96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4"/>
      <c r="U50" s="72"/>
      <c r="V50" s="72"/>
      <c r="W50" s="74"/>
      <c r="X50" s="72"/>
      <c r="Y50" s="72"/>
      <c r="Z50" s="72"/>
      <c r="AA50" s="55"/>
      <c r="AB50" s="56"/>
      <c r="AC50" s="56"/>
      <c r="AD50" s="57"/>
      <c r="AE50" s="85"/>
      <c r="AF50" s="85"/>
      <c r="AG50" s="86"/>
    </row>
    <row r="51" customFormat="false" ht="11.1" hidden="false" customHeight="true" outlineLevel="0" collapsed="false">
      <c r="A51" s="51"/>
      <c r="B51" s="81"/>
      <c r="C51" s="52"/>
      <c r="D51" s="51"/>
      <c r="E51" s="52"/>
      <c r="F51" s="51"/>
      <c r="G51" s="51"/>
      <c r="H51" s="120"/>
      <c r="I51" s="82"/>
      <c r="J51" s="51"/>
      <c r="K51" s="52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2"/>
      <c r="X51" s="51"/>
      <c r="Y51" s="51"/>
      <c r="Z51" s="51"/>
      <c r="AA51" s="55"/>
      <c r="AB51" s="56"/>
      <c r="AC51" s="56"/>
      <c r="AD51" s="57"/>
      <c r="AE51" s="84"/>
      <c r="AF51" s="84"/>
    </row>
    <row r="52" customFormat="false" ht="11.1" hidden="false" customHeight="true" outlineLevel="0" collapsed="false">
      <c r="A52" s="51"/>
      <c r="B52" s="71"/>
      <c r="C52" s="52"/>
      <c r="D52" s="79"/>
      <c r="E52" s="52"/>
      <c r="F52" s="51"/>
      <c r="G52" s="51"/>
      <c r="H52" s="93"/>
      <c r="I52" s="82"/>
      <c r="J52" s="51"/>
      <c r="K52" s="41"/>
      <c r="L52" s="51"/>
      <c r="M52" s="51"/>
      <c r="N52" s="51"/>
      <c r="O52" s="51"/>
      <c r="P52" s="51"/>
      <c r="Q52" s="51"/>
      <c r="R52" s="51"/>
      <c r="S52" s="52"/>
      <c r="T52" s="51"/>
      <c r="U52" s="51"/>
      <c r="V52" s="52"/>
      <c r="W52" s="51"/>
      <c r="X52" s="51"/>
      <c r="Y52" s="51"/>
      <c r="Z52" s="55"/>
      <c r="AA52" s="55"/>
      <c r="AB52" s="56"/>
      <c r="AC52" s="57"/>
      <c r="AD52" s="84"/>
      <c r="AE52" s="84"/>
    </row>
    <row r="53" customFormat="false" ht="11.1" hidden="false" customHeight="true" outlineLevel="0" collapsed="false">
      <c r="A53" s="79"/>
      <c r="B53" s="79"/>
      <c r="C53" s="52"/>
      <c r="D53" s="52"/>
      <c r="E53" s="52"/>
      <c r="F53" s="79"/>
      <c r="G53" s="79"/>
      <c r="H53" s="93"/>
      <c r="I53" s="79"/>
      <c r="J53" s="79"/>
      <c r="K53" s="41"/>
      <c r="L53" s="79"/>
      <c r="M53" s="78"/>
      <c r="N53" s="78"/>
      <c r="O53" s="78"/>
      <c r="P53" s="79"/>
      <c r="Q53" s="79"/>
      <c r="R53" s="79"/>
      <c r="S53" s="52"/>
      <c r="T53" s="79"/>
      <c r="U53" s="79"/>
      <c r="V53" s="52"/>
      <c r="W53" s="79"/>
      <c r="X53" s="79"/>
      <c r="Y53" s="79"/>
      <c r="Z53" s="55"/>
      <c r="AA53" s="55"/>
      <c r="AB53" s="56"/>
      <c r="AC53" s="57"/>
      <c r="AD53" s="89"/>
      <c r="AE53" s="89"/>
    </row>
    <row r="54" customFormat="false" ht="11.1" hidden="false" customHeight="true" outlineLevel="0" collapsed="false">
      <c r="A54" s="79"/>
      <c r="B54" s="55"/>
      <c r="C54" s="52"/>
      <c r="D54" s="52"/>
      <c r="E54" s="52"/>
      <c r="F54" s="79"/>
      <c r="G54" s="79"/>
      <c r="H54" s="93"/>
      <c r="I54" s="79"/>
      <c r="J54" s="79"/>
      <c r="K54" s="79"/>
      <c r="L54" s="79"/>
      <c r="M54" s="78"/>
      <c r="N54" s="78"/>
      <c r="O54" s="78"/>
      <c r="P54" s="79"/>
      <c r="Q54" s="79"/>
      <c r="R54" s="79"/>
      <c r="S54" s="52"/>
      <c r="T54" s="79"/>
      <c r="U54" s="79"/>
      <c r="V54" s="52"/>
      <c r="W54" s="79"/>
      <c r="X54" s="79"/>
      <c r="Y54" s="79"/>
      <c r="Z54" s="55"/>
      <c r="AA54" s="55"/>
      <c r="AB54" s="56"/>
      <c r="AC54" s="57"/>
      <c r="AD54" s="89"/>
      <c r="AE54" s="89"/>
    </row>
    <row r="55" customFormat="false" ht="11.1" hidden="false" customHeight="true" outlineLevel="0" collapsed="false">
      <c r="A55" s="79"/>
      <c r="B55" s="79"/>
      <c r="C55" s="52"/>
      <c r="D55" s="79"/>
      <c r="E55" s="52"/>
      <c r="F55" s="79"/>
      <c r="G55" s="83"/>
      <c r="H55" s="93"/>
      <c r="I55" s="79"/>
      <c r="J55" s="79"/>
      <c r="K55" s="79"/>
      <c r="L55" s="79"/>
      <c r="M55" s="78"/>
      <c r="N55" s="78"/>
      <c r="O55" s="78"/>
      <c r="P55" s="79"/>
      <c r="Q55" s="79"/>
      <c r="R55" s="79"/>
      <c r="S55" s="52"/>
      <c r="T55" s="79"/>
      <c r="U55" s="79"/>
      <c r="V55" s="52"/>
      <c r="W55" s="79"/>
      <c r="X55" s="79"/>
      <c r="Y55" s="79"/>
      <c r="Z55" s="55"/>
      <c r="AA55" s="55"/>
      <c r="AB55" s="56"/>
      <c r="AC55" s="57"/>
      <c r="AD55" s="89"/>
      <c r="AE55" s="89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L21" activePane="bottomRight" state="frozen"/>
      <selection pane="topLeft" activeCell="A1" activeCellId="0" sqref="A1"/>
      <selection pane="topRight" activeCell="L1" activeCellId="0" sqref="L1"/>
      <selection pane="bottomLeft" activeCell="A21" activeCellId="0" sqref="A21"/>
      <selection pane="bottomRight" activeCell="AC41" activeCellId="0" sqref="AC41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43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5.16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82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3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82"/>
      <c r="I2" s="51"/>
      <c r="J2" s="51"/>
      <c r="K2" s="59" t="s">
        <v>75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3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82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3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144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63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76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144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66"/>
      <c r="AB5" s="64" t="s">
        <v>43</v>
      </c>
      <c r="AC5" s="64" t="s">
        <v>43</v>
      </c>
      <c r="AD5" s="67" t="s">
        <v>76</v>
      </c>
      <c r="AE5" s="84"/>
      <c r="AF5" s="84"/>
      <c r="AH5" s="145"/>
      <c r="AI5" s="145"/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146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69"/>
      <c r="X6" s="68"/>
      <c r="Y6" s="68"/>
      <c r="Z6" s="68"/>
      <c r="AA6" s="53"/>
      <c r="AB6" s="57"/>
      <c r="AC6" s="57"/>
      <c r="AD6" s="57"/>
      <c r="AE6" s="85"/>
      <c r="AF6" s="85"/>
      <c r="AG6" s="86"/>
      <c r="AH6" s="145"/>
      <c r="AI6" s="145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 t="n">
        <f aca="false">JUL!F45</f>
        <v>23784.219813461</v>
      </c>
      <c r="G7" s="52" t="n">
        <f aca="false">JUL!G45</f>
        <v>120245</v>
      </c>
      <c r="H7" s="52" t="n">
        <f aca="false">JUL!H45</f>
        <v>8843.3</v>
      </c>
      <c r="I7" s="52" t="n">
        <f aca="false">JUL!I45</f>
        <v>129088.3</v>
      </c>
      <c r="J7" s="52" t="n">
        <f aca="false">JUL!J45</f>
        <v>22236.2927148979</v>
      </c>
      <c r="K7" s="52" t="n">
        <f aca="false">JUL!K45</f>
        <v>151324.592714898</v>
      </c>
      <c r="L7" s="52" t="n">
        <f aca="false">JUL!L45</f>
        <v>19381.6198134611</v>
      </c>
      <c r="M7" s="52" t="n">
        <f aca="false">JUL!M45</f>
        <v>19109.7</v>
      </c>
      <c r="N7" s="52" t="n">
        <f aca="false">JUL!N45</f>
        <v>0</v>
      </c>
      <c r="O7" s="52" t="n">
        <f aca="false">JUL!O45</f>
        <v>0</v>
      </c>
      <c r="P7" s="52" t="n">
        <f aca="false">JUL!P45</f>
        <v>19109.7</v>
      </c>
      <c r="Q7" s="52" t="n">
        <f aca="false">JUL!Q45</f>
        <v>14369.8</v>
      </c>
      <c r="R7" s="52" t="n">
        <f aca="false">JUL!R45</f>
        <v>6951.7</v>
      </c>
      <c r="S7" s="52" t="n">
        <f aca="false">JUL!S45</f>
        <v>40431.2</v>
      </c>
      <c r="T7" s="52" t="n">
        <f aca="false">JUL!T45</f>
        <v>5506.5</v>
      </c>
      <c r="U7" s="52" t="n">
        <f aca="false">JUL!U45</f>
        <v>7430.8</v>
      </c>
      <c r="V7" s="52" t="n">
        <f aca="false">JUL!V45</f>
        <v>76823.7</v>
      </c>
      <c r="W7" s="52"/>
      <c r="X7" s="52" t="n">
        <f aca="false">JUL!X45</f>
        <v>124685.7</v>
      </c>
      <c r="Y7" s="52" t="n">
        <f aca="false">JUL!Y45</f>
        <v>2854.67290143685</v>
      </c>
      <c r="Z7" s="52" t="n">
        <f aca="false">JUL!Z45</f>
        <v>127540.372901437</v>
      </c>
      <c r="AA7" s="53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JUL!B40</f>
        <v>6918.17</v>
      </c>
      <c r="C8" s="52" t="n">
        <f aca="false">JUL!C40</f>
        <v>355720</v>
      </c>
      <c r="D8" s="52" t="n">
        <f aca="false">JUL!D49</f>
        <v>60867</v>
      </c>
      <c r="E8" s="52" t="n">
        <f aca="false">JUL!E49</f>
        <v>203720</v>
      </c>
      <c r="F8" s="52" t="n">
        <f aca="false">JUL!F48</f>
        <v>30686.6649861356</v>
      </c>
      <c r="G8" s="52" t="n">
        <f aca="false">JUL!G48</f>
        <v>132932.1</v>
      </c>
      <c r="H8" s="56" t="n">
        <f aca="false">JUL!H48</f>
        <v>9485</v>
      </c>
      <c r="I8" s="52" t="n">
        <f aca="false">JUL!I48</f>
        <v>142417.1</v>
      </c>
      <c r="J8" s="52" t="n">
        <f aca="false">JUL!J48</f>
        <v>24542.5596596925</v>
      </c>
      <c r="K8" s="52" t="n">
        <f aca="false">JUL!K48</f>
        <v>166959.535233174</v>
      </c>
      <c r="L8" s="52" t="n">
        <f aca="false">JUL!L48</f>
        <v>20426.6149861356</v>
      </c>
      <c r="M8" s="52" t="n">
        <f aca="false">JUL!M48</f>
        <v>20174.22</v>
      </c>
      <c r="N8" s="52" t="n">
        <f aca="false">JUL!N48</f>
        <v>0</v>
      </c>
      <c r="O8" s="52" t="n">
        <f aca="false">JUL!O48</f>
        <v>0</v>
      </c>
      <c r="P8" s="52" t="n">
        <f aca="false">JUL!P48</f>
        <v>20174.22</v>
      </c>
      <c r="Q8" s="52" t="n">
        <f aca="false">JUL!Q48</f>
        <v>15682.6</v>
      </c>
      <c r="R8" s="52" t="n">
        <f aca="false">JUL!R48</f>
        <v>7225.8</v>
      </c>
      <c r="S8" s="52" t="n">
        <f aca="false">JUL!S48</f>
        <v>43082.62</v>
      </c>
      <c r="T8" s="52" t="n">
        <f aca="false">JUL!T48</f>
        <v>5506.5</v>
      </c>
      <c r="U8" s="52" t="n">
        <f aca="false">JUL!U48</f>
        <v>7430.8</v>
      </c>
      <c r="V8" s="52" t="n">
        <f aca="false">JUL!V48</f>
        <v>81643.63</v>
      </c>
      <c r="W8" s="52" t="n">
        <f aca="false">JUL!W48</f>
        <v>5984.36999999996</v>
      </c>
      <c r="X8" s="52" t="n">
        <f aca="false">JUL!X48</f>
        <v>132157.05</v>
      </c>
      <c r="Y8" s="52" t="n">
        <f aca="false">JUL!Y48</f>
        <v>4115.94467355684</v>
      </c>
      <c r="Z8" s="52" t="n">
        <f aca="false">JUL!Z48</f>
        <v>136272.994673557</v>
      </c>
      <c r="AA8" s="53" t="n">
        <f aca="false">JUL!AA48</f>
        <v>16.08</v>
      </c>
      <c r="AB8" s="56"/>
      <c r="AC8" s="56"/>
      <c r="AD8" s="57"/>
      <c r="AE8" s="87"/>
      <c r="AF8" s="85"/>
      <c r="AG8" s="87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147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75"/>
      <c r="AB9" s="76"/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6917.96</v>
      </c>
      <c r="C10" s="52" t="n">
        <v>354824</v>
      </c>
      <c r="D10" s="56" t="n">
        <f aca="false">C10-C8</f>
        <v>-896</v>
      </c>
      <c r="E10" s="52" t="n">
        <f aca="false">C10-152000</f>
        <v>202824</v>
      </c>
      <c r="F10" s="51" t="n">
        <f aca="false">D10/$D$2</f>
        <v>-451.726745651626</v>
      </c>
      <c r="G10" s="51" t="n">
        <v>211.1</v>
      </c>
      <c r="H10" s="82" t="n">
        <v>0.5</v>
      </c>
      <c r="I10" s="51" t="n">
        <f aca="false">G10+H10</f>
        <v>211.6</v>
      </c>
      <c r="J10" s="78" t="n">
        <f aca="false">IF(L10&gt;0,L10,0)</f>
        <v>0</v>
      </c>
      <c r="K10" s="51" t="n">
        <f aca="false">I10+J10</f>
        <v>211.6</v>
      </c>
      <c r="L10" s="51" t="n">
        <f aca="false">F10-(I10-X10)</f>
        <v>-92.1267456516259</v>
      </c>
      <c r="M10" s="51" t="n">
        <v>207.2</v>
      </c>
      <c r="N10" s="51" t="n">
        <v>0</v>
      </c>
      <c r="O10" s="51" t="n">
        <v>0</v>
      </c>
      <c r="P10" s="6" t="n">
        <f aca="false">M10-(N10+O10)</f>
        <v>207.2</v>
      </c>
      <c r="Q10" s="51" t="n">
        <v>116.8</v>
      </c>
      <c r="R10" s="51" t="n">
        <v>77.7</v>
      </c>
      <c r="S10" s="51" t="n">
        <f aca="false">SUM(P10:R10)</f>
        <v>401.7</v>
      </c>
      <c r="T10" s="52" t="n">
        <f aca="false">(I10-S10)+T7</f>
        <v>5316.4</v>
      </c>
      <c r="U10" s="51" t="n">
        <v>89.8</v>
      </c>
      <c r="V10" s="51" t="n">
        <v>79.7</v>
      </c>
      <c r="W10" s="52" t="n">
        <f aca="false">W8-V10</f>
        <v>5904.66999999996</v>
      </c>
      <c r="X10" s="6" t="n">
        <f aca="false">N10+O10+S10+U10+V10</f>
        <v>571.2</v>
      </c>
      <c r="Y10" s="51" t="n">
        <f aca="false">IF(L10&lt;0,L10*-1,0)</f>
        <v>92.1267456516259</v>
      </c>
      <c r="Z10" s="51" t="n">
        <f aca="false">X10+Y10</f>
        <v>663.326745651626</v>
      </c>
      <c r="AA10" s="53" t="n">
        <v>0</v>
      </c>
      <c r="AB10" s="56" t="n">
        <v>85</v>
      </c>
      <c r="AC10" s="56" t="n">
        <v>53</v>
      </c>
      <c r="AD10" s="57" t="n">
        <v>1</v>
      </c>
      <c r="AE10" s="86"/>
      <c r="AF10" s="87"/>
      <c r="AG10" s="87"/>
    </row>
    <row r="11" customFormat="false" ht="11.1" hidden="false" customHeight="true" outlineLevel="0" collapsed="false">
      <c r="A11" s="57" t="n">
        <f aca="false">A10+1</f>
        <v>2</v>
      </c>
      <c r="B11" s="71" t="n">
        <v>6917.79</v>
      </c>
      <c r="C11" s="52" t="n">
        <v>354104</v>
      </c>
      <c r="D11" s="56" t="n">
        <f aca="false">C11-C10</f>
        <v>-720</v>
      </c>
      <c r="E11" s="52" t="n">
        <f aca="false">C11-152000</f>
        <v>202104</v>
      </c>
      <c r="F11" s="51" t="n">
        <f aca="false">D11/$D$2</f>
        <v>-362.994706327199</v>
      </c>
      <c r="G11" s="51" t="n">
        <v>196.8</v>
      </c>
      <c r="H11" s="82" t="n">
        <v>0.6</v>
      </c>
      <c r="I11" s="51" t="n">
        <f aca="false">G11+H11</f>
        <v>197.4</v>
      </c>
      <c r="J11" s="78" t="n">
        <f aca="false">IF(L11&gt;0,L11,0)</f>
        <v>18.9052936728007</v>
      </c>
      <c r="K11" s="51" t="n">
        <f aca="false">I11+J11</f>
        <v>216.305293672801</v>
      </c>
      <c r="L11" s="51" t="n">
        <f aca="false">F11-(I11-X11)</f>
        <v>18.9052936728007</v>
      </c>
      <c r="M11" s="51" t="n">
        <v>208.8</v>
      </c>
      <c r="N11" s="51" t="n">
        <v>0</v>
      </c>
      <c r="O11" s="51" t="n">
        <v>0</v>
      </c>
      <c r="P11" s="6" t="n">
        <f aca="false">M11-(N11+O11)</f>
        <v>208.8</v>
      </c>
      <c r="Q11" s="51" t="n">
        <v>116.9</v>
      </c>
      <c r="R11" s="51" t="n">
        <v>74.1</v>
      </c>
      <c r="S11" s="51" t="n">
        <f aca="false">SUM(P11:R11)</f>
        <v>399.8</v>
      </c>
      <c r="T11" s="52" t="n">
        <f aca="false">(I11-S11)+T10</f>
        <v>5114</v>
      </c>
      <c r="U11" s="51" t="n">
        <v>99.8</v>
      </c>
      <c r="V11" s="51" t="n">
        <v>79.7</v>
      </c>
      <c r="W11" s="52" t="n">
        <f aca="false">W10-V11</f>
        <v>5824.96999999996</v>
      </c>
      <c r="X11" s="6" t="n">
        <f aca="false">N11+O11+S11+U11+V11</f>
        <v>579.3</v>
      </c>
      <c r="Y11" s="51" t="n">
        <f aca="false">IF(L11&lt;0,L11*-1,0)</f>
        <v>0</v>
      </c>
      <c r="Z11" s="51" t="n">
        <f aca="false">X11+Y11</f>
        <v>579.3</v>
      </c>
      <c r="AA11" s="53" t="n">
        <v>0</v>
      </c>
      <c r="AB11" s="56" t="n">
        <v>84</v>
      </c>
      <c r="AC11" s="56" t="n">
        <v>54</v>
      </c>
      <c r="AD11" s="57" t="n">
        <f aca="false">AD10+1</f>
        <v>2</v>
      </c>
      <c r="AE11" s="86"/>
      <c r="AF11" s="87"/>
      <c r="AG11" s="87"/>
    </row>
    <row r="12" customFormat="false" ht="11.1" hidden="false" customHeight="true" outlineLevel="0" collapsed="false">
      <c r="A12" s="57" t="n">
        <f aca="false">A11+1</f>
        <v>3</v>
      </c>
      <c r="B12" s="71" t="n">
        <v>6917.61</v>
      </c>
      <c r="C12" s="52" t="n">
        <v>353340</v>
      </c>
      <c r="D12" s="56" t="n">
        <f aca="false">C12-C11</f>
        <v>-764</v>
      </c>
      <c r="E12" s="52" t="n">
        <f aca="false">C12-152000</f>
        <v>201340</v>
      </c>
      <c r="F12" s="51" t="n">
        <f aca="false">D12/$D$2</f>
        <v>-385.177716158306</v>
      </c>
      <c r="G12" s="51" t="n">
        <v>188.4</v>
      </c>
      <c r="H12" s="82" t="n">
        <v>0.6</v>
      </c>
      <c r="I12" s="51" t="n">
        <f aca="false">G12+H12</f>
        <v>189</v>
      </c>
      <c r="J12" s="78" t="n">
        <f aca="false">IF(L12&gt;0,L12,0)</f>
        <v>13.422283841694</v>
      </c>
      <c r="K12" s="51" t="n">
        <f aca="false">I12+J12</f>
        <v>202.422283841694</v>
      </c>
      <c r="L12" s="51" t="n">
        <f aca="false">F12-(I12-X12)</f>
        <v>13.422283841694</v>
      </c>
      <c r="M12" s="51" t="n">
        <v>209.4</v>
      </c>
      <c r="N12" s="51" t="n">
        <v>0</v>
      </c>
      <c r="O12" s="51" t="n">
        <v>0</v>
      </c>
      <c r="P12" s="6" t="n">
        <f aca="false">M12-(N12+O12)</f>
        <v>209.4</v>
      </c>
      <c r="Q12" s="51" t="n">
        <v>117.1</v>
      </c>
      <c r="R12" s="51" t="n">
        <v>72.6</v>
      </c>
      <c r="S12" s="51" t="n">
        <f aca="false">SUM(P12:R12)</f>
        <v>399.1</v>
      </c>
      <c r="T12" s="52" t="n">
        <f aca="false">(I12-S12)+T11</f>
        <v>4903.9</v>
      </c>
      <c r="U12" s="51" t="n">
        <v>108.9</v>
      </c>
      <c r="V12" s="51" t="n">
        <v>79.6</v>
      </c>
      <c r="W12" s="52" t="n">
        <f aca="false">W11-V12</f>
        <v>5745.36999999996</v>
      </c>
      <c r="X12" s="6" t="n">
        <f aca="false">N12+O12+S12+U12+V12</f>
        <v>587.6</v>
      </c>
      <c r="Y12" s="51" t="n">
        <f aca="false">IF(L12&lt;0,L12*-1,0)</f>
        <v>0</v>
      </c>
      <c r="Z12" s="51" t="n">
        <f aca="false">X12+Y12</f>
        <v>587.6</v>
      </c>
      <c r="AA12" s="53" t="n">
        <v>0</v>
      </c>
      <c r="AB12" s="56" t="n">
        <v>88</v>
      </c>
      <c r="AC12" s="56" t="n">
        <v>53</v>
      </c>
      <c r="AD12" s="57" t="n">
        <f aca="false">AD11+1</f>
        <v>3</v>
      </c>
      <c r="AE12" s="86"/>
      <c r="AF12" s="87"/>
      <c r="AG12" s="87"/>
    </row>
    <row r="13" customFormat="false" ht="11.1" hidden="false" customHeight="true" outlineLevel="0" collapsed="false">
      <c r="A13" s="57" t="n">
        <f aca="false">A12+1</f>
        <v>4</v>
      </c>
      <c r="B13" s="71" t="n">
        <v>6917.37</v>
      </c>
      <c r="C13" s="52" t="n">
        <v>352323</v>
      </c>
      <c r="D13" s="56" t="n">
        <f aca="false">C13-C12</f>
        <v>-1017</v>
      </c>
      <c r="E13" s="52" t="n">
        <f aca="false">C13-152000</f>
        <v>200323</v>
      </c>
      <c r="F13" s="51" t="n">
        <f aca="false">D13/$D$2</f>
        <v>-512.730022687169</v>
      </c>
      <c r="G13" s="51" t="n">
        <v>184.5</v>
      </c>
      <c r="H13" s="82" t="n">
        <v>0.3</v>
      </c>
      <c r="I13" s="51" t="n">
        <f aca="false">G13+H13</f>
        <v>184.8</v>
      </c>
      <c r="J13" s="78" t="n">
        <f aca="false">IF(L13&gt;0,L13,0)</f>
        <v>0</v>
      </c>
      <c r="K13" s="51" t="n">
        <f aca="false">I13+J13</f>
        <v>184.8</v>
      </c>
      <c r="L13" s="51" t="n">
        <f aca="false">F13-(I13-X13)</f>
        <v>-102.030022687169</v>
      </c>
      <c r="M13" s="51" t="n">
        <v>213.9</v>
      </c>
      <c r="N13" s="51" t="n">
        <v>0</v>
      </c>
      <c r="O13" s="51" t="n">
        <v>0</v>
      </c>
      <c r="P13" s="6" t="n">
        <f aca="false">M13-(N13+O13)</f>
        <v>213.9</v>
      </c>
      <c r="Q13" s="51" t="n">
        <v>117.1</v>
      </c>
      <c r="R13" s="51" t="n">
        <v>76.1</v>
      </c>
      <c r="S13" s="51" t="n">
        <f aca="false">SUM(P13:R13)</f>
        <v>407.1</v>
      </c>
      <c r="T13" s="52" t="n">
        <f aca="false">(I13-S13)+T12</f>
        <v>4681.6</v>
      </c>
      <c r="U13" s="51" t="n">
        <v>108.9</v>
      </c>
      <c r="V13" s="51" t="n">
        <v>79.5</v>
      </c>
      <c r="W13" s="52" t="n">
        <f aca="false">W12-V13</f>
        <v>5665.86999999996</v>
      </c>
      <c r="X13" s="6" t="n">
        <f aca="false">N13+O13+S13+U13+V13</f>
        <v>595.5</v>
      </c>
      <c r="Y13" s="51" t="n">
        <f aca="false">IF(L13&lt;0,L13*-1,0)</f>
        <v>102.030022687169</v>
      </c>
      <c r="Z13" s="51" t="n">
        <f aca="false">X13+Y13</f>
        <v>697.530022687169</v>
      </c>
      <c r="AA13" s="53" t="n">
        <v>0.51</v>
      </c>
      <c r="AB13" s="56" t="n">
        <v>87</v>
      </c>
      <c r="AC13" s="56" t="n">
        <v>55</v>
      </c>
      <c r="AD13" s="57" t="n">
        <f aca="false">AD12+1</f>
        <v>4</v>
      </c>
      <c r="AE13" s="86"/>
      <c r="AF13" s="87"/>
      <c r="AG13" s="87"/>
    </row>
    <row r="14" customFormat="false" ht="11.1" hidden="false" customHeight="true" outlineLevel="0" collapsed="false">
      <c r="A14" s="57" t="n">
        <f aca="false">A13+1</f>
        <v>5</v>
      </c>
      <c r="B14" s="71" t="n">
        <v>6917.21</v>
      </c>
      <c r="C14" s="52" t="n">
        <v>351644</v>
      </c>
      <c r="D14" s="56" t="n">
        <f aca="false">C14-C13</f>
        <v>-679</v>
      </c>
      <c r="E14" s="52" t="n">
        <f aca="false">C14-152000</f>
        <v>199644</v>
      </c>
      <c r="F14" s="51" t="n">
        <f aca="false">D14/$D$2</f>
        <v>-342.324174439123</v>
      </c>
      <c r="G14" s="51" t="n">
        <v>188.5</v>
      </c>
      <c r="H14" s="82" t="n">
        <v>0.3</v>
      </c>
      <c r="I14" s="51" t="n">
        <f aca="false">G14+H14</f>
        <v>188.8</v>
      </c>
      <c r="J14" s="78" t="n">
        <f aca="false">IF(L14&gt;0,L14,0)</f>
        <v>81.0558255608773</v>
      </c>
      <c r="K14" s="51" t="n">
        <f aca="false">I14+J14</f>
        <v>269.855825560877</v>
      </c>
      <c r="L14" s="51" t="n">
        <f aca="false">F14-(I14-X14)</f>
        <v>81.0558255608773</v>
      </c>
      <c r="M14" s="51" t="n">
        <v>218.78</v>
      </c>
      <c r="N14" s="51" t="n">
        <v>0</v>
      </c>
      <c r="O14" s="51" t="n">
        <v>0</v>
      </c>
      <c r="P14" s="6" t="n">
        <f aca="false">M14-(N14+O14)</f>
        <v>218.78</v>
      </c>
      <c r="Q14" s="51" t="n">
        <v>116.2</v>
      </c>
      <c r="R14" s="51" t="n">
        <v>77.7</v>
      </c>
      <c r="S14" s="51" t="n">
        <f aca="false">SUM(P14:R14)</f>
        <v>412.68</v>
      </c>
      <c r="T14" s="52" t="n">
        <f aca="false">(I14-S14)+T13</f>
        <v>4457.72</v>
      </c>
      <c r="U14" s="51" t="n">
        <v>120</v>
      </c>
      <c r="V14" s="51" t="n">
        <v>79.5</v>
      </c>
      <c r="W14" s="52" t="n">
        <f aca="false">W13-V14</f>
        <v>5586.36999999996</v>
      </c>
      <c r="X14" s="6" t="n">
        <f aca="false">N14+O14+S14+U14+V14</f>
        <v>612.18</v>
      </c>
      <c r="Y14" s="51" t="n">
        <f aca="false">IF(L14&lt;0,L14*-1,0)</f>
        <v>0</v>
      </c>
      <c r="Z14" s="51" t="n">
        <f aca="false">X14+Y14</f>
        <v>612.18</v>
      </c>
      <c r="AA14" s="53" t="n">
        <v>0.03</v>
      </c>
      <c r="AB14" s="56" t="n">
        <v>81</v>
      </c>
      <c r="AC14" s="56" t="n">
        <v>66</v>
      </c>
      <c r="AD14" s="57" t="n">
        <f aca="false">AD13+1</f>
        <v>5</v>
      </c>
      <c r="AE14" s="86"/>
      <c r="AF14" s="87"/>
      <c r="AG14" s="87"/>
    </row>
    <row r="15" customFormat="false" ht="11.1" hidden="false" customHeight="true" outlineLevel="0" collapsed="false">
      <c r="A15" s="57" t="n">
        <f aca="false">A14+1</f>
        <v>6</v>
      </c>
      <c r="B15" s="71" t="n">
        <v>6917.01</v>
      </c>
      <c r="C15" s="52" t="n">
        <v>350795</v>
      </c>
      <c r="D15" s="56" t="n">
        <f aca="false">C15-C14</f>
        <v>-849</v>
      </c>
      <c r="E15" s="52" t="n">
        <f aca="false">C15-152000</f>
        <v>198795</v>
      </c>
      <c r="F15" s="51" t="n">
        <f aca="false">D15/$D$2</f>
        <v>-428.031257877489</v>
      </c>
      <c r="G15" s="51" t="n">
        <v>186.8</v>
      </c>
      <c r="H15" s="82" t="n">
        <v>0.5</v>
      </c>
      <c r="I15" s="51" t="n">
        <f aca="false">G15+H15</f>
        <v>187.3</v>
      </c>
      <c r="J15" s="78" t="n">
        <f aca="false">IF(L15&gt;0,L15,0)</f>
        <v>0</v>
      </c>
      <c r="K15" s="51" t="n">
        <f aca="false">I15+J15</f>
        <v>187.3</v>
      </c>
      <c r="L15" s="51" t="n">
        <f aca="false">F15-(I15-X15)</f>
        <v>-11.4312578774893</v>
      </c>
      <c r="M15" s="51" t="n">
        <v>220.5</v>
      </c>
      <c r="N15" s="51" t="n">
        <v>0</v>
      </c>
      <c r="O15" s="51" t="n">
        <v>0</v>
      </c>
      <c r="P15" s="6" t="n">
        <f aca="false">M15-(N15+O15)</f>
        <v>220.5</v>
      </c>
      <c r="Q15" s="51" t="n">
        <v>115.8</v>
      </c>
      <c r="R15" s="51" t="n">
        <v>73.1</v>
      </c>
      <c r="S15" s="51" t="n">
        <f aca="false">SUM(P15:R15)</f>
        <v>409.4</v>
      </c>
      <c r="T15" s="52" t="n">
        <f aca="false">(I15-S15)+T14</f>
        <v>4235.62</v>
      </c>
      <c r="U15" s="51" t="n">
        <v>115</v>
      </c>
      <c r="V15" s="51" t="n">
        <v>79.5</v>
      </c>
      <c r="W15" s="52" t="n">
        <f aca="false">W14-V15</f>
        <v>5506.86999999996</v>
      </c>
      <c r="X15" s="6" t="n">
        <f aca="false">N15+O15+S15+U15+V15</f>
        <v>603.9</v>
      </c>
      <c r="Y15" s="51" t="n">
        <f aca="false">IF(L15&lt;0,L15*-1,0)</f>
        <v>11.4312578774893</v>
      </c>
      <c r="Z15" s="51" t="n">
        <f aca="false">X15+Y15</f>
        <v>615.331257877489</v>
      </c>
      <c r="AA15" s="53" t="n">
        <v>0.1</v>
      </c>
      <c r="AB15" s="56" t="n">
        <v>73</v>
      </c>
      <c r="AC15" s="56" t="n">
        <v>56</v>
      </c>
      <c r="AD15" s="57" t="n">
        <f aca="false">AD14+1</f>
        <v>6</v>
      </c>
      <c r="AE15" s="85"/>
      <c r="AF15" s="87"/>
      <c r="AG15" s="87"/>
    </row>
    <row r="16" customFormat="false" ht="11.1" hidden="false" customHeight="true" outlineLevel="0" collapsed="false">
      <c r="A16" s="57" t="n">
        <f aca="false">A15+1</f>
        <v>7</v>
      </c>
      <c r="B16" s="71" t="n">
        <v>6916.82</v>
      </c>
      <c r="C16" s="52" t="n">
        <v>349996</v>
      </c>
      <c r="D16" s="56" t="n">
        <f aca="false">C16-C15</f>
        <v>-799</v>
      </c>
      <c r="E16" s="52" t="n">
        <f aca="false">C16-152000</f>
        <v>197996</v>
      </c>
      <c r="F16" s="51" t="n">
        <f aca="false">D16/$D$2</f>
        <v>-402.823292160323</v>
      </c>
      <c r="G16" s="51" t="n">
        <v>226.4</v>
      </c>
      <c r="H16" s="82" t="n">
        <v>0.5</v>
      </c>
      <c r="I16" s="51" t="n">
        <f aca="false">G16+H16</f>
        <v>226.9</v>
      </c>
      <c r="J16" s="78" t="n">
        <f aca="false">IF(L16&gt;0,L16,0)</f>
        <v>0</v>
      </c>
      <c r="K16" s="51" t="n">
        <f aca="false">I16+J16</f>
        <v>226.9</v>
      </c>
      <c r="L16" s="51" t="n">
        <f aca="false">F16-(I16-X16)</f>
        <v>-22.8232921603226</v>
      </c>
      <c r="M16" s="51" t="n">
        <v>215.7</v>
      </c>
      <c r="N16" s="51" t="n">
        <v>0</v>
      </c>
      <c r="O16" s="51" t="n">
        <v>0</v>
      </c>
      <c r="P16" s="6" t="n">
        <f aca="false">M16-(N16+O16)</f>
        <v>215.7</v>
      </c>
      <c r="Q16" s="51" t="n">
        <v>114.9</v>
      </c>
      <c r="R16" s="51" t="n">
        <v>69.1</v>
      </c>
      <c r="S16" s="51" t="n">
        <f aca="false">SUM(P16:R16)</f>
        <v>399.7</v>
      </c>
      <c r="T16" s="52" t="n">
        <f aca="false">(I16-S16)+T15</f>
        <v>4062.82</v>
      </c>
      <c r="U16" s="51" t="n">
        <v>127.6</v>
      </c>
      <c r="V16" s="51" t="n">
        <v>79.6</v>
      </c>
      <c r="W16" s="52" t="n">
        <f aca="false">W15-V16</f>
        <v>5427.26999999996</v>
      </c>
      <c r="X16" s="6" t="n">
        <f aca="false">N16+O16+S16+U16+V16</f>
        <v>606.9</v>
      </c>
      <c r="Y16" s="51" t="n">
        <f aca="false">IF(L16&lt;0,L16*-1,0)</f>
        <v>22.8232921603226</v>
      </c>
      <c r="Z16" s="51" t="n">
        <f aca="false">X16+Y16</f>
        <v>629.723292160323</v>
      </c>
      <c r="AA16" s="53" t="n">
        <v>0</v>
      </c>
      <c r="AB16" s="56" t="n">
        <v>80</v>
      </c>
      <c r="AC16" s="56" t="n">
        <v>52</v>
      </c>
      <c r="AD16" s="57" t="n">
        <f aca="false">AD15+1</f>
        <v>7</v>
      </c>
      <c r="AE16" s="85"/>
      <c r="AF16" s="87"/>
      <c r="AG16" s="87"/>
    </row>
    <row r="17" customFormat="false" ht="11.1" hidden="false" customHeight="true" outlineLevel="0" collapsed="false">
      <c r="A17" s="57" t="n">
        <f aca="false">A16+1</f>
        <v>8</v>
      </c>
      <c r="B17" s="71" t="n">
        <v>6916.62</v>
      </c>
      <c r="C17" s="52" t="n">
        <v>349156</v>
      </c>
      <c r="D17" s="56" t="n">
        <f aca="false">C17-C16</f>
        <v>-840</v>
      </c>
      <c r="E17" s="52" t="n">
        <f aca="false">C17-152000</f>
        <v>197156</v>
      </c>
      <c r="F17" s="51" t="n">
        <f aca="false">D17/$D$2</f>
        <v>-423.493824048399</v>
      </c>
      <c r="G17" s="51" t="n">
        <v>249.3</v>
      </c>
      <c r="H17" s="82" t="n">
        <v>0.4</v>
      </c>
      <c r="I17" s="51" t="n">
        <f aca="false">G17+H17</f>
        <v>249.7</v>
      </c>
      <c r="J17" s="78" t="n">
        <f aca="false">IF(L17&gt;0,L17,0)</f>
        <v>0</v>
      </c>
      <c r="K17" s="51" t="n">
        <f aca="false">I17+J17</f>
        <v>249.7</v>
      </c>
      <c r="L17" s="51" t="n">
        <f aca="false">F17-(I17-X17)</f>
        <v>-77.5938240483993</v>
      </c>
      <c r="M17" s="51" t="n">
        <v>214.1</v>
      </c>
      <c r="N17" s="51" t="n">
        <v>0</v>
      </c>
      <c r="O17" s="51" t="n">
        <v>0</v>
      </c>
      <c r="P17" s="6" t="n">
        <f aca="false">M17-(N17+O17)</f>
        <v>214.1</v>
      </c>
      <c r="Q17" s="51" t="n">
        <v>114.9</v>
      </c>
      <c r="R17" s="51" t="n">
        <v>69.1</v>
      </c>
      <c r="S17" s="51" t="n">
        <f aca="false">SUM(P17:R17)</f>
        <v>398.1</v>
      </c>
      <c r="T17" s="52" t="n">
        <f aca="false">(I17-S17)+T16</f>
        <v>3914.42</v>
      </c>
      <c r="U17" s="51" t="n">
        <v>118</v>
      </c>
      <c r="V17" s="51" t="n">
        <v>79.5</v>
      </c>
      <c r="W17" s="52" t="n">
        <f aca="false">W16-V17</f>
        <v>5347.76999999996</v>
      </c>
      <c r="X17" s="6" t="n">
        <f aca="false">N17+O17+S17+U17+V17</f>
        <v>595.6</v>
      </c>
      <c r="Y17" s="51" t="n">
        <f aca="false">IF(L17&lt;0,L17*-1,0)</f>
        <v>77.5938240483993</v>
      </c>
      <c r="Z17" s="51" t="n">
        <f aca="false">X17+Y17</f>
        <v>673.193824048399</v>
      </c>
      <c r="AA17" s="53" t="n">
        <v>0</v>
      </c>
      <c r="AB17" s="56" t="n">
        <v>80</v>
      </c>
      <c r="AC17" s="56" t="n">
        <v>54</v>
      </c>
      <c r="AD17" s="57" t="n">
        <f aca="false">AD16+1</f>
        <v>8</v>
      </c>
      <c r="AE17" s="85"/>
      <c r="AF17" s="87"/>
      <c r="AG17" s="87"/>
    </row>
    <row r="18" customFormat="false" ht="11.1" hidden="false" customHeight="true" outlineLevel="0" collapsed="false">
      <c r="A18" s="57" t="n">
        <f aca="false">A17+1</f>
        <v>9</v>
      </c>
      <c r="B18" s="71" t="n">
        <v>6916.47</v>
      </c>
      <c r="C18" s="52" t="n">
        <v>348525</v>
      </c>
      <c r="D18" s="56" t="n">
        <f aca="false">C18-C17</f>
        <v>-631</v>
      </c>
      <c r="E18" s="52" t="n">
        <f aca="false">C18-152000</f>
        <v>196525</v>
      </c>
      <c r="F18" s="51" t="n">
        <f aca="false">D18/$D$2</f>
        <v>-318.124527350643</v>
      </c>
      <c r="G18" s="51" t="n">
        <v>211.7</v>
      </c>
      <c r="H18" s="82" t="n">
        <v>0.4</v>
      </c>
      <c r="I18" s="51" t="n">
        <f aca="false">G18+H18</f>
        <v>212.1</v>
      </c>
      <c r="J18" s="78" t="n">
        <f aca="false">IF(L18&gt;0,L18,0)</f>
        <v>58.6754726493572</v>
      </c>
      <c r="K18" s="51" t="n">
        <f aca="false">I18+J18</f>
        <v>270.775472649357</v>
      </c>
      <c r="L18" s="51" t="n">
        <f aca="false">F18-(I18-X18)</f>
        <v>58.6754726493572</v>
      </c>
      <c r="M18" s="51" t="n">
        <v>196.3</v>
      </c>
      <c r="N18" s="51" t="n">
        <v>0</v>
      </c>
      <c r="O18" s="51" t="n">
        <v>0</v>
      </c>
      <c r="P18" s="6" t="n">
        <f aca="false">M18-(N18+O18)</f>
        <v>196.3</v>
      </c>
      <c r="Q18" s="51" t="n">
        <v>114.9</v>
      </c>
      <c r="R18" s="51" t="n">
        <v>73.1</v>
      </c>
      <c r="S18" s="51" t="n">
        <f aca="false">SUM(P18:R18)</f>
        <v>384.3</v>
      </c>
      <c r="T18" s="52" t="n">
        <f aca="false">(I18-S18)+T17</f>
        <v>3742.22</v>
      </c>
      <c r="U18" s="51" t="n">
        <v>125.1</v>
      </c>
      <c r="V18" s="51" t="n">
        <v>79.5</v>
      </c>
      <c r="W18" s="52" t="n">
        <f aca="false">W17-V18</f>
        <v>5268.26999999996</v>
      </c>
      <c r="X18" s="6" t="n">
        <f aca="false">N18+O18+S18+U18+V18</f>
        <v>588.9</v>
      </c>
      <c r="Y18" s="51" t="n">
        <f aca="false">IF(L18&lt;0,L18*-1,0)</f>
        <v>0</v>
      </c>
      <c r="Z18" s="51" t="n">
        <f aca="false">X18+Y18</f>
        <v>588.9</v>
      </c>
      <c r="AA18" s="53" t="n">
        <v>0</v>
      </c>
      <c r="AB18" s="79" t="n">
        <v>86</v>
      </c>
      <c r="AC18" s="56" t="n">
        <v>56</v>
      </c>
      <c r="AD18" s="57" t="n">
        <f aca="false">AD17+1</f>
        <v>9</v>
      </c>
      <c r="AE18" s="85"/>
      <c r="AF18" s="87"/>
      <c r="AG18" s="87"/>
    </row>
    <row r="19" customFormat="false" ht="11.1" hidden="false" customHeight="true" outlineLevel="0" collapsed="false">
      <c r="A19" s="57" t="n">
        <f aca="false">A18+1</f>
        <v>10</v>
      </c>
      <c r="B19" s="71" t="n">
        <v>6916.27</v>
      </c>
      <c r="C19" s="52" t="n">
        <v>347683</v>
      </c>
      <c r="D19" s="56" t="n">
        <f aca="false">C19-C18</f>
        <v>-842</v>
      </c>
      <c r="E19" s="52" t="n">
        <f aca="false">C19-152000</f>
        <v>195683</v>
      </c>
      <c r="F19" s="51" t="n">
        <f aca="false">D19/$D$2</f>
        <v>-424.502142677086</v>
      </c>
      <c r="G19" s="51" t="n">
        <v>197.5</v>
      </c>
      <c r="H19" s="82" t="n">
        <v>0.3</v>
      </c>
      <c r="I19" s="51" t="n">
        <f aca="false">G19+H19</f>
        <v>197.8</v>
      </c>
      <c r="J19" s="78" t="n">
        <f aca="false">IF(L19&gt;0,L19,0)</f>
        <v>0</v>
      </c>
      <c r="K19" s="51" t="n">
        <f aca="false">I19+J19</f>
        <v>197.8</v>
      </c>
      <c r="L19" s="51" t="n">
        <f aca="false">F19-(I19-X19)</f>
        <v>-38.7021426770859</v>
      </c>
      <c r="M19" s="51" t="n">
        <v>191.2</v>
      </c>
      <c r="N19" s="51" t="n">
        <v>0</v>
      </c>
      <c r="O19" s="51" t="n">
        <v>0</v>
      </c>
      <c r="P19" s="6" t="n">
        <f aca="false">M19-(N19+O19)</f>
        <v>191.2</v>
      </c>
      <c r="Q19" s="51" t="n">
        <v>117.2</v>
      </c>
      <c r="R19" s="51" t="n">
        <v>69.6</v>
      </c>
      <c r="S19" s="51" t="n">
        <f aca="false">SUM(P19:R19)</f>
        <v>378</v>
      </c>
      <c r="T19" s="52" t="n">
        <f aca="false">(I19-S19)+T18</f>
        <v>3562.02</v>
      </c>
      <c r="U19" s="51" t="n">
        <v>126.1</v>
      </c>
      <c r="V19" s="51" t="n">
        <v>79.5</v>
      </c>
      <c r="W19" s="52" t="n">
        <f aca="false">W18-V19</f>
        <v>5188.76999999996</v>
      </c>
      <c r="X19" s="6" t="n">
        <f aca="false">N19+O19+S19+U19+V19</f>
        <v>583.6</v>
      </c>
      <c r="Y19" s="51" t="n">
        <f aca="false">IF(L19&lt;0,L19*-1,0)</f>
        <v>38.7021426770859</v>
      </c>
      <c r="Z19" s="51" t="n">
        <f aca="false">X19+Y19</f>
        <v>622.302142677086</v>
      </c>
      <c r="AA19" s="53" t="n">
        <v>0</v>
      </c>
      <c r="AB19" s="56" t="n">
        <v>87</v>
      </c>
      <c r="AC19" s="56" t="n">
        <v>60</v>
      </c>
      <c r="AD19" s="57" t="n">
        <f aca="false">AD18+1</f>
        <v>10</v>
      </c>
      <c r="AE19" s="85"/>
      <c r="AF19" s="87"/>
      <c r="AG19" s="87"/>
    </row>
    <row r="20" customFormat="false" ht="11.1" hidden="false" customHeight="true" outlineLevel="0" collapsed="false">
      <c r="A20" s="57" t="n">
        <v>11</v>
      </c>
      <c r="B20" s="71" t="n">
        <v>6916.08</v>
      </c>
      <c r="C20" s="52" t="n">
        <v>346884</v>
      </c>
      <c r="D20" s="56" t="n">
        <f aca="false">C20-C19</f>
        <v>-799</v>
      </c>
      <c r="E20" s="52" t="n">
        <f aca="false">C20-152000</f>
        <v>194884</v>
      </c>
      <c r="F20" s="51" t="n">
        <f aca="false">D20/$D$2</f>
        <v>-402.823292160323</v>
      </c>
      <c r="G20" s="51" t="n">
        <v>194.6</v>
      </c>
      <c r="H20" s="82" t="n">
        <v>0.3</v>
      </c>
      <c r="I20" s="51" t="n">
        <f aca="false">G20+H20</f>
        <v>194.9</v>
      </c>
      <c r="J20" s="78" t="n">
        <f aca="false">IF(L20&gt;0,L20,0)</f>
        <v>0</v>
      </c>
      <c r="K20" s="51" t="n">
        <f aca="false">I20+J20</f>
        <v>194.9</v>
      </c>
      <c r="L20" s="51" t="n">
        <f aca="false">F20-(I20-X20)</f>
        <v>-21.9232921603227</v>
      </c>
      <c r="M20" s="51" t="n">
        <v>191.5</v>
      </c>
      <c r="N20" s="51" t="n">
        <v>0</v>
      </c>
      <c r="O20" s="51" t="n">
        <v>0</v>
      </c>
      <c r="P20" s="6" t="n">
        <f aca="false">M20-(N20+O20)</f>
        <v>191.5</v>
      </c>
      <c r="Q20" s="51" t="n">
        <v>116.3</v>
      </c>
      <c r="R20" s="51" t="n">
        <v>71.6</v>
      </c>
      <c r="S20" s="51" t="n">
        <f aca="false">SUM(P20:R20)</f>
        <v>379.4</v>
      </c>
      <c r="T20" s="52" t="n">
        <f aca="false">(I20-S20)+T19</f>
        <v>3377.52</v>
      </c>
      <c r="U20" s="51" t="n">
        <v>117</v>
      </c>
      <c r="V20" s="51" t="n">
        <v>79.4</v>
      </c>
      <c r="W20" s="52" t="n">
        <f aca="false">W19-V20</f>
        <v>5109.36999999996</v>
      </c>
      <c r="X20" s="6" t="n">
        <f aca="false">N20+O20+S20+U20+V20</f>
        <v>575.8</v>
      </c>
      <c r="Y20" s="51" t="n">
        <f aca="false">IF(L20&lt;0,L20*-1,0)</f>
        <v>21.9232921603227</v>
      </c>
      <c r="Z20" s="51" t="n">
        <f aca="false">X20+Y20</f>
        <v>597.723292160323</v>
      </c>
      <c r="AA20" s="53" t="n">
        <v>0.05</v>
      </c>
      <c r="AB20" s="56" t="n">
        <v>80</v>
      </c>
      <c r="AC20" s="56" t="n">
        <v>61</v>
      </c>
      <c r="AD20" s="57" t="n">
        <v>11</v>
      </c>
      <c r="AE20" s="85"/>
      <c r="AF20" s="87"/>
      <c r="AG20" s="87"/>
    </row>
    <row r="21" customFormat="false" ht="11.1" hidden="false" customHeight="true" outlineLevel="0" collapsed="false">
      <c r="A21" s="57" t="n">
        <v>12</v>
      </c>
      <c r="B21" s="71" t="n">
        <v>6915.89</v>
      </c>
      <c r="C21" s="52" t="n">
        <v>346088</v>
      </c>
      <c r="D21" s="56" t="n">
        <f aca="false">C21-C20</f>
        <v>-796</v>
      </c>
      <c r="E21" s="52" t="n">
        <f aca="false">C21-152000</f>
        <v>194088</v>
      </c>
      <c r="F21" s="51" t="n">
        <f aca="false">D21/$D$2</f>
        <v>-401.310814217293</v>
      </c>
      <c r="G21" s="51" t="n">
        <v>213.4</v>
      </c>
      <c r="H21" s="82" t="n">
        <v>0.3</v>
      </c>
      <c r="I21" s="51" t="n">
        <f aca="false">G21+H21</f>
        <v>213.7</v>
      </c>
      <c r="J21" s="78" t="n">
        <f aca="false">IF(L21&gt;0,L21,0)</f>
        <v>0</v>
      </c>
      <c r="K21" s="51" t="n">
        <f aca="false">I21+J21</f>
        <v>213.7</v>
      </c>
      <c r="L21" s="51" t="n">
        <f aca="false">F21-(I21-X21)</f>
        <v>-39.9108142172927</v>
      </c>
      <c r="M21" s="51" t="n">
        <v>202.9</v>
      </c>
      <c r="N21" s="51" t="n">
        <v>0</v>
      </c>
      <c r="O21" s="51" t="n">
        <v>0</v>
      </c>
      <c r="P21" s="6" t="n">
        <f aca="false">M21-(N21+O21)</f>
        <v>202.9</v>
      </c>
      <c r="Q21" s="51" t="n">
        <v>116.1</v>
      </c>
      <c r="R21" s="51" t="n">
        <v>71.1</v>
      </c>
      <c r="S21" s="51" t="n">
        <f aca="false">SUM(P21:R21)</f>
        <v>390.1</v>
      </c>
      <c r="T21" s="52" t="n">
        <f aca="false">(I21-S21)+T20</f>
        <v>3201.12</v>
      </c>
      <c r="U21" s="51" t="n">
        <v>105.9</v>
      </c>
      <c r="V21" s="51" t="n">
        <v>79.1</v>
      </c>
      <c r="W21" s="52" t="n">
        <f aca="false">W20-V21</f>
        <v>5030.26999999996</v>
      </c>
      <c r="X21" s="6" t="n">
        <f aca="false">N21+O21+S21+U21+V21</f>
        <v>575.1</v>
      </c>
      <c r="Y21" s="51" t="n">
        <f aca="false">IF(L21&lt;0,L21*-1,0)</f>
        <v>39.9108142172927</v>
      </c>
      <c r="Z21" s="51" t="n">
        <f aca="false">X21+Y21</f>
        <v>615.010814217293</v>
      </c>
      <c r="AA21" s="53" t="n">
        <v>0.45</v>
      </c>
      <c r="AB21" s="56" t="n">
        <v>81</v>
      </c>
      <c r="AC21" s="56" t="n">
        <v>52</v>
      </c>
      <c r="AD21" s="57" t="n">
        <v>12</v>
      </c>
      <c r="AE21" s="85"/>
      <c r="AF21" s="87"/>
      <c r="AG21" s="87"/>
    </row>
    <row r="22" customFormat="false" ht="11.1" hidden="false" customHeight="true" outlineLevel="0" collapsed="false">
      <c r="A22" s="57" t="n">
        <v>13</v>
      </c>
      <c r="B22" s="71" t="n">
        <v>6915.69</v>
      </c>
      <c r="C22" s="52" t="n">
        <v>345253</v>
      </c>
      <c r="D22" s="56" t="n">
        <f aca="false">C22-C21</f>
        <v>-835</v>
      </c>
      <c r="E22" s="52" t="n">
        <f aca="false">C22-152000</f>
        <v>193253</v>
      </c>
      <c r="F22" s="51" t="n">
        <f aca="false">D22/$D$2</f>
        <v>-420.973027476683</v>
      </c>
      <c r="G22" s="51" t="n">
        <v>211.3</v>
      </c>
      <c r="H22" s="82" t="n">
        <v>0.4</v>
      </c>
      <c r="I22" s="51" t="n">
        <f aca="false">G22+H22</f>
        <v>211.7</v>
      </c>
      <c r="J22" s="78" t="n">
        <f aca="false">IF(L22&gt;0,L22,0)</f>
        <v>0</v>
      </c>
      <c r="K22" s="51" t="n">
        <f aca="false">I22+J22</f>
        <v>211.7</v>
      </c>
      <c r="L22" s="51" t="n">
        <f aca="false">F22-(I22-X22)</f>
        <v>-52.2730274766827</v>
      </c>
      <c r="M22" s="51" t="n">
        <v>208.2</v>
      </c>
      <c r="N22" s="51" t="n">
        <v>0</v>
      </c>
      <c r="O22" s="51" t="n">
        <v>0</v>
      </c>
      <c r="P22" s="6" t="n">
        <f aca="false">M22-(N22+O22)</f>
        <v>208.2</v>
      </c>
      <c r="Q22" s="51" t="n">
        <v>115.7</v>
      </c>
      <c r="R22" s="51" t="n">
        <v>70.6</v>
      </c>
      <c r="S22" s="51" t="n">
        <f aca="false">SUM(P22:R22)</f>
        <v>394.5</v>
      </c>
      <c r="T22" s="52" t="n">
        <f aca="false">(I22-S22)+T21</f>
        <v>3018.32</v>
      </c>
      <c r="U22" s="51" t="n">
        <v>111.4</v>
      </c>
      <c r="V22" s="51" t="n">
        <v>74.5</v>
      </c>
      <c r="W22" s="52" t="n">
        <f aca="false">W21-V22</f>
        <v>4955.76999999996</v>
      </c>
      <c r="X22" s="6" t="n">
        <f aca="false">N22+O22+S22+U22+V22</f>
        <v>580.4</v>
      </c>
      <c r="Y22" s="51" t="n">
        <f aca="false">IF(L22&lt;0,L22*-1,0)</f>
        <v>52.2730274766827</v>
      </c>
      <c r="Z22" s="51" t="n">
        <f aca="false">X22+Y22</f>
        <v>632.673027476683</v>
      </c>
      <c r="AA22" s="53" t="n">
        <v>0.04</v>
      </c>
      <c r="AB22" s="56" t="n">
        <v>82</v>
      </c>
      <c r="AC22" s="56" t="n">
        <v>54</v>
      </c>
      <c r="AD22" s="57" t="n">
        <v>13</v>
      </c>
      <c r="AE22" s="85"/>
      <c r="AF22" s="87"/>
      <c r="AG22" s="87"/>
    </row>
    <row r="23" customFormat="false" ht="11.1" hidden="false" customHeight="true" outlineLevel="0" collapsed="false">
      <c r="A23" s="57" t="n">
        <v>14</v>
      </c>
      <c r="B23" s="71" t="n">
        <v>6915.53</v>
      </c>
      <c r="C23" s="52" t="n">
        <v>344584</v>
      </c>
      <c r="D23" s="56" t="n">
        <f aca="false">C23-C22</f>
        <v>-669</v>
      </c>
      <c r="E23" s="52" t="n">
        <f aca="false">C23-152000</f>
        <v>192584</v>
      </c>
      <c r="F23" s="51" t="n">
        <f aca="false">D23/$D$2</f>
        <v>-337.282581295689</v>
      </c>
      <c r="G23" s="51" t="n">
        <v>205.1</v>
      </c>
      <c r="H23" s="82" t="n">
        <v>0.3</v>
      </c>
      <c r="I23" s="51" t="n">
        <f aca="false">G23+H23</f>
        <v>205.4</v>
      </c>
      <c r="J23" s="78" t="n">
        <f aca="false">IF(L23&gt;0,L23,0)</f>
        <v>36.8174187043106</v>
      </c>
      <c r="K23" s="51" t="n">
        <f aca="false">I23+J23</f>
        <v>242.217418704311</v>
      </c>
      <c r="L23" s="51" t="n">
        <f aca="false">F23-(I23-X23)</f>
        <v>36.8174187043106</v>
      </c>
      <c r="M23" s="51" t="n">
        <v>209.7</v>
      </c>
      <c r="N23" s="51" t="n">
        <v>0</v>
      </c>
      <c r="O23" s="51" t="n">
        <v>0</v>
      </c>
      <c r="P23" s="6" t="n">
        <f aca="false">M23-(N23+O23)</f>
        <v>209.7</v>
      </c>
      <c r="Q23" s="51" t="n">
        <v>115.7</v>
      </c>
      <c r="R23" s="51" t="n">
        <v>67.6</v>
      </c>
      <c r="S23" s="51" t="n">
        <f aca="false">SUM(P23:R23)</f>
        <v>393</v>
      </c>
      <c r="T23" s="52" t="n">
        <f aca="false">(I23-S23)+T22</f>
        <v>2830.72</v>
      </c>
      <c r="U23" s="51" t="n">
        <v>117</v>
      </c>
      <c r="V23" s="51" t="n">
        <v>69.5</v>
      </c>
      <c r="W23" s="52" t="n">
        <f aca="false">W22-V23</f>
        <v>4886.26999999996</v>
      </c>
      <c r="X23" s="6" t="n">
        <f aca="false">N23+O23+S23+U23+V23</f>
        <v>579.5</v>
      </c>
      <c r="Y23" s="51" t="n">
        <f aca="false">IF(L23&lt;0,L23*-1,0)</f>
        <v>0</v>
      </c>
      <c r="Z23" s="51" t="n">
        <f aca="false">X23+Y23</f>
        <v>579.5</v>
      </c>
      <c r="AA23" s="53" t="n">
        <v>0.06</v>
      </c>
      <c r="AB23" s="56" t="n">
        <v>85</v>
      </c>
      <c r="AC23" s="56" t="n">
        <v>54</v>
      </c>
      <c r="AD23" s="57" t="n">
        <v>14</v>
      </c>
      <c r="AE23" s="85"/>
      <c r="AF23" s="87"/>
      <c r="AG23" s="87"/>
    </row>
    <row r="24" customFormat="false" ht="11.1" hidden="false" customHeight="true" outlineLevel="0" collapsed="false">
      <c r="A24" s="57" t="n">
        <v>15</v>
      </c>
      <c r="B24" s="71" t="n">
        <v>6915.29</v>
      </c>
      <c r="C24" s="52" t="n">
        <v>343583</v>
      </c>
      <c r="D24" s="56" t="n">
        <f aca="false">C24-C23</f>
        <v>-1001</v>
      </c>
      <c r="E24" s="52" t="n">
        <f aca="false">C24-152000</f>
        <v>191583</v>
      </c>
      <c r="F24" s="51" t="n">
        <f aca="false">D24/$D$2</f>
        <v>-504.663473657676</v>
      </c>
      <c r="G24" s="51" t="n">
        <v>198.1</v>
      </c>
      <c r="H24" s="82" t="n">
        <v>0.3</v>
      </c>
      <c r="I24" s="51" t="n">
        <f aca="false">G24+H24</f>
        <v>198.4</v>
      </c>
      <c r="J24" s="78" t="n">
        <f aca="false">IF(L24&gt;0,L24,0)</f>
        <v>0</v>
      </c>
      <c r="K24" s="51" t="n">
        <f aca="false">I24+J24</f>
        <v>198.4</v>
      </c>
      <c r="L24" s="51" t="n">
        <f aca="false">F24-(I24-X24)</f>
        <v>-114.963473657676</v>
      </c>
      <c r="M24" s="51" t="n">
        <v>210</v>
      </c>
      <c r="N24" s="51" t="n">
        <v>0</v>
      </c>
      <c r="O24" s="51" t="n">
        <v>0</v>
      </c>
      <c r="P24" s="6" t="n">
        <f aca="false">M24-(N24+O24)</f>
        <v>210</v>
      </c>
      <c r="Q24" s="51" t="n">
        <v>114.9</v>
      </c>
      <c r="R24" s="51" t="n">
        <v>67.1</v>
      </c>
      <c r="S24" s="51" t="n">
        <f aca="false">SUM(P24:R24)</f>
        <v>392</v>
      </c>
      <c r="T24" s="52" t="n">
        <f aca="false">(I24-S24)+T23</f>
        <v>2637.12</v>
      </c>
      <c r="U24" s="51" t="n">
        <v>126.6</v>
      </c>
      <c r="V24" s="51" t="n">
        <v>69.5</v>
      </c>
      <c r="W24" s="52" t="n">
        <f aca="false">W23-V24</f>
        <v>4816.76999999996</v>
      </c>
      <c r="X24" s="6" t="n">
        <f aca="false">N24+O24+S24+U24+V24</f>
        <v>588.1</v>
      </c>
      <c r="Y24" s="51" t="n">
        <f aca="false">IF(L24&lt;0,L24*-1,0)</f>
        <v>114.963473657676</v>
      </c>
      <c r="Z24" s="51" t="n">
        <f aca="false">X24+Y24</f>
        <v>703.063473657676</v>
      </c>
      <c r="AA24" s="53" t="n">
        <v>0.01</v>
      </c>
      <c r="AB24" s="56" t="n">
        <v>86</v>
      </c>
      <c r="AC24" s="56" t="n">
        <v>54</v>
      </c>
      <c r="AD24" s="57" t="n">
        <v>15</v>
      </c>
      <c r="AE24" s="85"/>
      <c r="AF24" s="87"/>
      <c r="AG24" s="87"/>
    </row>
    <row r="25" customFormat="false" ht="11.1" hidden="false" customHeight="true" outlineLevel="0" collapsed="false">
      <c r="A25" s="57" t="n">
        <v>16</v>
      </c>
      <c r="B25" s="71" t="n">
        <v>6915.13</v>
      </c>
      <c r="C25" s="52" t="n">
        <v>342914</v>
      </c>
      <c r="D25" s="56" t="n">
        <f aca="false">C25-C24</f>
        <v>-669</v>
      </c>
      <c r="E25" s="52" t="n">
        <f aca="false">C25-152000</f>
        <v>190914</v>
      </c>
      <c r="F25" s="51" t="n">
        <f aca="false">D25/$D$2</f>
        <v>-337.282581295689</v>
      </c>
      <c r="G25" s="51" t="n">
        <v>183.8</v>
      </c>
      <c r="H25" s="82" t="n">
        <v>0.3</v>
      </c>
      <c r="I25" s="51" t="n">
        <f aca="false">G25+H25</f>
        <v>184.1</v>
      </c>
      <c r="J25" s="78" t="n">
        <f aca="false">IF(L25&gt;0,L25,0)</f>
        <v>67.6174187043105</v>
      </c>
      <c r="K25" s="51" t="n">
        <f aca="false">I25+J25</f>
        <v>251.717418704311</v>
      </c>
      <c r="L25" s="51" t="n">
        <f aca="false">F25-(I25-X25)</f>
        <v>67.6174187043105</v>
      </c>
      <c r="M25" s="51" t="n">
        <v>209.9</v>
      </c>
      <c r="N25" s="51" t="n">
        <v>0</v>
      </c>
      <c r="O25" s="51" t="n">
        <v>0</v>
      </c>
      <c r="P25" s="6" t="n">
        <f aca="false">M25-(N25+O25)</f>
        <v>209.9</v>
      </c>
      <c r="Q25" s="51" t="n">
        <v>114</v>
      </c>
      <c r="R25" s="51" t="n">
        <v>65.6</v>
      </c>
      <c r="S25" s="51" t="n">
        <f aca="false">SUM(P25:R25)</f>
        <v>389.5</v>
      </c>
      <c r="T25" s="52" t="n">
        <f aca="false">(I25-S25)+T24</f>
        <v>2431.72</v>
      </c>
      <c r="U25" s="51" t="n">
        <v>130.1</v>
      </c>
      <c r="V25" s="51" t="n">
        <v>69.4</v>
      </c>
      <c r="W25" s="52" t="n">
        <f aca="false">W24-V25</f>
        <v>4747.36999999996</v>
      </c>
      <c r="X25" s="6" t="n">
        <f aca="false">N25+O25+S25+U25+V25</f>
        <v>589</v>
      </c>
      <c r="Y25" s="51" t="n">
        <f aca="false">IF(L25&lt;0,L25*-1,0)</f>
        <v>0</v>
      </c>
      <c r="Z25" s="51" t="n">
        <f aca="false">X25+Y25</f>
        <v>589</v>
      </c>
      <c r="AA25" s="53" t="n">
        <v>0.01</v>
      </c>
      <c r="AB25" s="56" t="n">
        <v>82</v>
      </c>
      <c r="AC25" s="56" t="n">
        <v>56</v>
      </c>
      <c r="AD25" s="57" t="n">
        <v>16</v>
      </c>
      <c r="AE25" s="85"/>
      <c r="AF25" s="87"/>
      <c r="AG25" s="87"/>
    </row>
    <row r="26" customFormat="false" ht="11.1" hidden="false" customHeight="true" outlineLevel="0" collapsed="false">
      <c r="A26" s="57" t="n">
        <v>17</v>
      </c>
      <c r="B26" s="71" t="n">
        <v>6914.89</v>
      </c>
      <c r="C26" s="52" t="n">
        <v>341917</v>
      </c>
      <c r="D26" s="56" t="n">
        <f aca="false">C26-C25</f>
        <v>-997</v>
      </c>
      <c r="E26" s="52" t="n">
        <f aca="false">C26-152000</f>
        <v>189917</v>
      </c>
      <c r="F26" s="51" t="n">
        <f aca="false">D26/$D$2</f>
        <v>-502.646836400303</v>
      </c>
      <c r="G26" s="51" t="n">
        <v>178.2</v>
      </c>
      <c r="H26" s="82" t="n">
        <v>0.1</v>
      </c>
      <c r="I26" s="51" t="n">
        <f aca="false">G26+H26</f>
        <v>178.3</v>
      </c>
      <c r="J26" s="78" t="n">
        <f aca="false">IF(L26&gt;0,L26,0)</f>
        <v>0</v>
      </c>
      <c r="K26" s="51" t="n">
        <f aca="false">I26+J26</f>
        <v>178.3</v>
      </c>
      <c r="L26" s="51" t="n">
        <f aca="false">F26-(I26-X26)</f>
        <v>-89.2468364003025</v>
      </c>
      <c r="M26" s="51" t="n">
        <v>209.5</v>
      </c>
      <c r="N26" s="51" t="n">
        <v>0</v>
      </c>
      <c r="O26" s="51" t="n">
        <v>0</v>
      </c>
      <c r="P26" s="6" t="n">
        <f aca="false">M26-(N26+O26)</f>
        <v>209.5</v>
      </c>
      <c r="Q26" s="51" t="n">
        <v>115.7</v>
      </c>
      <c r="R26" s="51" t="n">
        <v>66.6</v>
      </c>
      <c r="S26" s="51" t="n">
        <f aca="false">SUM(P26:R26)</f>
        <v>391.8</v>
      </c>
      <c r="T26" s="52" t="n">
        <f aca="false">(I26-S26)+T25</f>
        <v>2218.22</v>
      </c>
      <c r="U26" s="51" t="n">
        <v>130.6</v>
      </c>
      <c r="V26" s="51" t="n">
        <v>69.3</v>
      </c>
      <c r="W26" s="52" t="n">
        <f aca="false">W25-V26</f>
        <v>4678.06999999996</v>
      </c>
      <c r="X26" s="6" t="n">
        <f aca="false">N26+O26+S26+U26+V26</f>
        <v>591.7</v>
      </c>
      <c r="Y26" s="51" t="n">
        <f aca="false">IF(L26&lt;0,L26*-1,0)</f>
        <v>89.2468364003025</v>
      </c>
      <c r="Z26" s="51" t="n">
        <f aca="false">X26+Y26</f>
        <v>680.946836400303</v>
      </c>
      <c r="AA26" s="53" t="n">
        <v>0.05</v>
      </c>
      <c r="AB26" s="56" t="n">
        <v>84</v>
      </c>
      <c r="AC26" s="56" t="n">
        <v>59</v>
      </c>
      <c r="AD26" s="57" t="n">
        <v>17</v>
      </c>
      <c r="AE26" s="85"/>
      <c r="AF26" s="87"/>
      <c r="AG26" s="87"/>
    </row>
    <row r="27" customFormat="false" ht="11.1" hidden="false" customHeight="true" outlineLevel="0" collapsed="false">
      <c r="A27" s="57" t="n">
        <v>18</v>
      </c>
      <c r="B27" s="71" t="n">
        <v>6914.69</v>
      </c>
      <c r="C27" s="52" t="n">
        <v>341088</v>
      </c>
      <c r="D27" s="56" t="n">
        <f aca="false">C27-C26</f>
        <v>-829</v>
      </c>
      <c r="E27" s="52" t="n">
        <f aca="false">C27-152000</f>
        <v>189088</v>
      </c>
      <c r="F27" s="51" t="n">
        <f aca="false">D27/$D$2</f>
        <v>-417.948071590623</v>
      </c>
      <c r="G27" s="51" t="n">
        <v>170.5</v>
      </c>
      <c r="H27" s="82" t="n">
        <v>0.1</v>
      </c>
      <c r="I27" s="51" t="n">
        <f aca="false">G27+H27</f>
        <v>170.6</v>
      </c>
      <c r="J27" s="78" t="n">
        <f aca="false">IF(L27&gt;0,L27,0)</f>
        <v>13.5519284093774</v>
      </c>
      <c r="K27" s="51" t="n">
        <f aca="false">I27+J27</f>
        <v>184.151928409377</v>
      </c>
      <c r="L27" s="51" t="n">
        <f aca="false">F27-(I27-X27)</f>
        <v>13.5519284093774</v>
      </c>
      <c r="M27" s="51" t="n">
        <v>211.6</v>
      </c>
      <c r="N27" s="51" t="n">
        <v>0</v>
      </c>
      <c r="O27" s="51" t="n">
        <v>0</v>
      </c>
      <c r="P27" s="6" t="n">
        <f aca="false">M27-(N27+O27)</f>
        <v>211.6</v>
      </c>
      <c r="Q27" s="51" t="n">
        <v>115.1</v>
      </c>
      <c r="R27" s="51" t="n">
        <v>72.1</v>
      </c>
      <c r="S27" s="51" t="n">
        <f aca="false">SUM(P27:R27)</f>
        <v>398.8</v>
      </c>
      <c r="T27" s="52" t="n">
        <f aca="false">(I27-S27)+T26</f>
        <v>1990.02</v>
      </c>
      <c r="U27" s="51" t="n">
        <v>134.1</v>
      </c>
      <c r="V27" s="51" t="n">
        <v>69.2</v>
      </c>
      <c r="W27" s="52" t="n">
        <f aca="false">W26-V27</f>
        <v>4608.86999999996</v>
      </c>
      <c r="X27" s="6" t="n">
        <f aca="false">N27+O27+S27+U27+V27</f>
        <v>602.1</v>
      </c>
      <c r="Y27" s="51" t="n">
        <f aca="false">IF(L27&lt;0,L27*-1,0)</f>
        <v>0</v>
      </c>
      <c r="Z27" s="51" t="n">
        <f aca="false">X27+Y27</f>
        <v>602.1</v>
      </c>
      <c r="AA27" s="53" t="n">
        <v>0</v>
      </c>
      <c r="AB27" s="56" t="n">
        <v>84</v>
      </c>
      <c r="AC27" s="56" t="n">
        <v>52</v>
      </c>
      <c r="AD27" s="57" t="n">
        <v>18</v>
      </c>
      <c r="AE27" s="85"/>
      <c r="AF27" s="87"/>
      <c r="AG27" s="87"/>
    </row>
    <row r="28" customFormat="false" ht="11.1" hidden="false" customHeight="true" outlineLevel="0" collapsed="false">
      <c r="A28" s="57" t="n">
        <v>19</v>
      </c>
      <c r="B28" s="71" t="n">
        <v>6914.44</v>
      </c>
      <c r="C28" s="52" t="n">
        <v>340053</v>
      </c>
      <c r="D28" s="56" t="n">
        <f aca="false">C28-C27</f>
        <v>-1035</v>
      </c>
      <c r="E28" s="52" t="n">
        <f aca="false">C28-152000</f>
        <v>188053</v>
      </c>
      <c r="F28" s="51" t="n">
        <f aca="false">D28/$D$2</f>
        <v>-521.804890345349</v>
      </c>
      <c r="G28" s="51" t="n">
        <v>162.2</v>
      </c>
      <c r="H28" s="82" t="n">
        <v>0.1</v>
      </c>
      <c r="I28" s="51" t="n">
        <f aca="false">G28+H28</f>
        <v>162.3</v>
      </c>
      <c r="J28" s="78" t="n">
        <f aca="false">IF(L28&gt;0,L28,0)</f>
        <v>0</v>
      </c>
      <c r="K28" s="51" t="n">
        <f aca="false">I28+J28</f>
        <v>162.3</v>
      </c>
      <c r="L28" s="51" t="n">
        <f aca="false">F28-(I28-X28)</f>
        <v>-62.704890345349</v>
      </c>
      <c r="M28" s="51" t="n">
        <v>216.7</v>
      </c>
      <c r="N28" s="51" t="n">
        <v>0</v>
      </c>
      <c r="O28" s="51" t="n">
        <v>0</v>
      </c>
      <c r="P28" s="6" t="n">
        <f aca="false">M28-(N28+O28)</f>
        <v>216.7</v>
      </c>
      <c r="Q28" s="51" t="n">
        <v>114.1</v>
      </c>
      <c r="R28" s="98" t="n">
        <v>72.1</v>
      </c>
      <c r="S28" s="51" t="n">
        <f aca="false">SUM(P28:R28)</f>
        <v>402.9</v>
      </c>
      <c r="T28" s="52" t="n">
        <f aca="false">(I28-S28)+T27</f>
        <v>1749.42</v>
      </c>
      <c r="U28" s="51" t="n">
        <v>149.3</v>
      </c>
      <c r="V28" s="51" t="n">
        <v>69.2</v>
      </c>
      <c r="W28" s="52" t="n">
        <f aca="false">W27-V28</f>
        <v>4539.66999999996</v>
      </c>
      <c r="X28" s="6" t="n">
        <f aca="false">N28+O28+S28+U28+V28</f>
        <v>621.4</v>
      </c>
      <c r="Y28" s="51" t="n">
        <f aca="false">IF(L28&lt;0,L28*-1,0)</f>
        <v>62.704890345349</v>
      </c>
      <c r="Z28" s="51" t="n">
        <f aca="false">X28+Y28</f>
        <v>684.104890345349</v>
      </c>
      <c r="AA28" s="53" t="n">
        <v>0</v>
      </c>
      <c r="AB28" s="56" t="n">
        <v>86</v>
      </c>
      <c r="AC28" s="56" t="n">
        <v>54</v>
      </c>
      <c r="AD28" s="57" t="n">
        <v>19</v>
      </c>
      <c r="AE28" s="85"/>
      <c r="AF28" s="87"/>
      <c r="AG28" s="87"/>
    </row>
    <row r="29" customFormat="false" ht="11.1" hidden="false" customHeight="true" outlineLevel="0" collapsed="false">
      <c r="A29" s="57" t="n">
        <v>20</v>
      </c>
      <c r="B29" s="71" t="n">
        <v>6914.19</v>
      </c>
      <c r="C29" s="52" t="n">
        <v>339018</v>
      </c>
      <c r="D29" s="56" t="n">
        <f aca="false">C29-C28</f>
        <v>-1035</v>
      </c>
      <c r="E29" s="52" t="n">
        <f aca="false">C29-152000</f>
        <v>187018</v>
      </c>
      <c r="F29" s="51" t="n">
        <f aca="false">D29/$D$2</f>
        <v>-521.804890345349</v>
      </c>
      <c r="G29" s="51" t="n">
        <v>153.4</v>
      </c>
      <c r="H29" s="82" t="n">
        <v>0</v>
      </c>
      <c r="I29" s="51" t="n">
        <f aca="false">G29+H29</f>
        <v>153.4</v>
      </c>
      <c r="J29" s="78" t="n">
        <f aca="false">IF(L29&gt;0,L29,0)</f>
        <v>0</v>
      </c>
      <c r="K29" s="51" t="n">
        <f aca="false">I29+J29</f>
        <v>153.4</v>
      </c>
      <c r="L29" s="51" t="n">
        <f aca="false">F29-(I29-X29)</f>
        <v>-52.1048903453492</v>
      </c>
      <c r="M29" s="51" t="n">
        <v>216.1</v>
      </c>
      <c r="N29" s="51" t="n">
        <v>0</v>
      </c>
      <c r="O29" s="51" t="n">
        <v>0</v>
      </c>
      <c r="P29" s="6" t="n">
        <f aca="false">M29-(N29+O29)</f>
        <v>216.1</v>
      </c>
      <c r="Q29" s="51" t="n">
        <v>114.3</v>
      </c>
      <c r="R29" s="98" t="n">
        <v>72.1</v>
      </c>
      <c r="S29" s="51" t="n">
        <f aca="false">SUM(P29:R29)</f>
        <v>402.5</v>
      </c>
      <c r="T29" s="52" t="n">
        <f aca="false">(I29-S29)+T28</f>
        <v>1500.32</v>
      </c>
      <c r="U29" s="51" t="n">
        <v>151.8</v>
      </c>
      <c r="V29" s="51" t="n">
        <v>68.8</v>
      </c>
      <c r="W29" s="52" t="n">
        <f aca="false">W28-V29</f>
        <v>4470.86999999996</v>
      </c>
      <c r="X29" s="6" t="n">
        <f aca="false">N29+O29+S29+U29+V29</f>
        <v>623.1</v>
      </c>
      <c r="Y29" s="51" t="n">
        <f aca="false">IF(L29&lt;0,L29*-1,0)</f>
        <v>52.1048903453492</v>
      </c>
      <c r="Z29" s="51" t="n">
        <f aca="false">X29+Y29</f>
        <v>675.204890345349</v>
      </c>
      <c r="AA29" s="53" t="n">
        <v>0</v>
      </c>
      <c r="AB29" s="56" t="n">
        <v>84</v>
      </c>
      <c r="AC29" s="56" t="n">
        <v>54</v>
      </c>
      <c r="AD29" s="57" t="n">
        <v>20</v>
      </c>
      <c r="AE29" s="85"/>
      <c r="AF29" s="87"/>
      <c r="AG29" s="87"/>
    </row>
    <row r="30" customFormat="false" ht="11.1" hidden="false" customHeight="true" outlineLevel="0" collapsed="false">
      <c r="A30" s="57" t="n">
        <v>21</v>
      </c>
      <c r="B30" s="71" t="n">
        <v>6913.96</v>
      </c>
      <c r="C30" s="52" t="n">
        <v>338066</v>
      </c>
      <c r="D30" s="56" t="n">
        <f aca="false">C30-C29</f>
        <v>-952</v>
      </c>
      <c r="E30" s="52" t="n">
        <f aca="false">C30-152000</f>
        <v>186066</v>
      </c>
      <c r="F30" s="51" t="n">
        <f aca="false">D30/$D$2</f>
        <v>-479.959667254853</v>
      </c>
      <c r="G30" s="51" t="n">
        <v>150.2</v>
      </c>
      <c r="H30" s="82" t="n">
        <v>0</v>
      </c>
      <c r="I30" s="51" t="n">
        <f aca="false">G30+H30</f>
        <v>150.2</v>
      </c>
      <c r="J30" s="78" t="n">
        <f aca="false">IF(L30&gt;0,L30,0)</f>
        <v>0</v>
      </c>
      <c r="K30" s="51" t="n">
        <f aca="false">I30+J30</f>
        <v>150.2</v>
      </c>
      <c r="L30" s="51" t="n">
        <f aca="false">F30-(I30-X30)</f>
        <v>-11.7596672548526</v>
      </c>
      <c r="M30" s="51" t="n">
        <v>208.7</v>
      </c>
      <c r="N30" s="51" t="n">
        <v>0</v>
      </c>
      <c r="O30" s="51" t="n">
        <v>0</v>
      </c>
      <c r="P30" s="6" t="n">
        <f aca="false">M30-(N30+O30)</f>
        <v>208.7</v>
      </c>
      <c r="Q30" s="51" t="n">
        <v>115.4</v>
      </c>
      <c r="R30" s="98" t="n">
        <v>71.1</v>
      </c>
      <c r="S30" s="51" t="n">
        <f aca="false">SUM(P30:R30)</f>
        <v>395.2</v>
      </c>
      <c r="T30" s="52" t="n">
        <f aca="false">(I30-S30)+T29</f>
        <v>1255.32</v>
      </c>
      <c r="U30" s="51" t="n">
        <v>154.8</v>
      </c>
      <c r="V30" s="51" t="n">
        <v>68.4</v>
      </c>
      <c r="W30" s="52" t="n">
        <f aca="false">W29-V30</f>
        <v>4402.46999999996</v>
      </c>
      <c r="X30" s="6" t="n">
        <f aca="false">N30+O30+S30+U30+V30</f>
        <v>618.4</v>
      </c>
      <c r="Y30" s="51" t="n">
        <f aca="false">IF(L30&lt;0,L30*-1,0)</f>
        <v>11.7596672548526</v>
      </c>
      <c r="Z30" s="51" t="n">
        <f aca="false">X30+Y30</f>
        <v>630.159667254853</v>
      </c>
      <c r="AA30" s="53" t="n">
        <v>0.1</v>
      </c>
      <c r="AB30" s="56" t="n">
        <v>82</v>
      </c>
      <c r="AC30" s="56" t="n">
        <v>56</v>
      </c>
      <c r="AD30" s="57" t="n">
        <v>21</v>
      </c>
      <c r="AE30" s="85"/>
      <c r="AF30" s="87"/>
      <c r="AG30" s="87"/>
    </row>
    <row r="31" customFormat="false" ht="11.1" hidden="false" customHeight="true" outlineLevel="0" collapsed="false">
      <c r="A31" s="57" t="n">
        <v>22</v>
      </c>
      <c r="B31" s="71" t="n">
        <v>6913.8</v>
      </c>
      <c r="C31" s="52" t="n">
        <v>337408</v>
      </c>
      <c r="D31" s="56" t="n">
        <f aca="false">C31-C30</f>
        <v>-658</v>
      </c>
      <c r="E31" s="52" t="n">
        <f aca="false">C31-152000</f>
        <v>185408</v>
      </c>
      <c r="F31" s="51" t="n">
        <f aca="false">D31/$D$2</f>
        <v>-331.736828837913</v>
      </c>
      <c r="G31" s="51" t="n">
        <v>156.9</v>
      </c>
      <c r="H31" s="82" t="n">
        <v>0</v>
      </c>
      <c r="I31" s="51" t="n">
        <f aca="false">G31+H31</f>
        <v>156.9</v>
      </c>
      <c r="J31" s="78" t="n">
        <f aca="false">IF(L31&gt;0,L31,0)</f>
        <v>96.7631711620873</v>
      </c>
      <c r="K31" s="51" t="n">
        <f aca="false">I31+J31</f>
        <v>253.663171162087</v>
      </c>
      <c r="L31" s="51" t="n">
        <f aca="false">F31-(I31-X31)</f>
        <v>96.7631711620873</v>
      </c>
      <c r="M31" s="51" t="n">
        <v>204.3</v>
      </c>
      <c r="N31" s="51" t="n">
        <v>0</v>
      </c>
      <c r="O31" s="51" t="n">
        <v>0</v>
      </c>
      <c r="P31" s="6" t="n">
        <f aca="false">M31-(N31+O31)</f>
        <v>204.3</v>
      </c>
      <c r="Q31" s="51" t="n">
        <v>115.4</v>
      </c>
      <c r="R31" s="51" t="n">
        <v>69.6</v>
      </c>
      <c r="S31" s="51" t="n">
        <f aca="false">SUM(P31:R31)</f>
        <v>389.3</v>
      </c>
      <c r="T31" s="52" t="n">
        <f aca="false">(I31-S31)+T30</f>
        <v>1022.92</v>
      </c>
      <c r="U31" s="51" t="n">
        <v>127.6</v>
      </c>
      <c r="V31" s="51" t="n">
        <v>68.5</v>
      </c>
      <c r="W31" s="52" t="n">
        <f aca="false">W30-V31</f>
        <v>4333.96999999996</v>
      </c>
      <c r="X31" s="6" t="n">
        <f aca="false">N31+O31+S31+U31+V31</f>
        <v>585.4</v>
      </c>
      <c r="Y31" s="51" t="n">
        <f aca="false">IF(L31&lt;0,L31*-1,0)</f>
        <v>0</v>
      </c>
      <c r="Z31" s="51" t="n">
        <f aca="false">X31+Y31</f>
        <v>585.4</v>
      </c>
      <c r="AA31" s="53" t="n">
        <v>0.54</v>
      </c>
      <c r="AB31" s="56" t="n">
        <v>66</v>
      </c>
      <c r="AC31" s="56" t="n">
        <v>58</v>
      </c>
      <c r="AD31" s="57" t="n">
        <v>22</v>
      </c>
      <c r="AE31" s="85"/>
      <c r="AF31" s="87"/>
      <c r="AG31" s="87"/>
    </row>
    <row r="32" customFormat="false" ht="11.1" hidden="false" customHeight="true" outlineLevel="0" collapsed="false">
      <c r="A32" s="57" t="n">
        <v>23</v>
      </c>
      <c r="B32" s="71" t="n">
        <v>6913.68</v>
      </c>
      <c r="C32" s="52" t="n">
        <v>336917</v>
      </c>
      <c r="D32" s="56" t="n">
        <f aca="false">C32-C31</f>
        <v>-491</v>
      </c>
      <c r="E32" s="52" t="n">
        <f aca="false">C32-152000</f>
        <v>184917</v>
      </c>
      <c r="F32" s="51" t="n">
        <f aca="false">D32/$D$2</f>
        <v>-247.542223342576</v>
      </c>
      <c r="G32" s="51" t="n">
        <v>227.7</v>
      </c>
      <c r="H32" s="82" t="n">
        <v>0</v>
      </c>
      <c r="I32" s="51" t="n">
        <f aca="false">G32+H32</f>
        <v>227.7</v>
      </c>
      <c r="J32" s="78" t="n">
        <f aca="false">IF(L32&gt;0,L32,0)</f>
        <v>78.7577766574238</v>
      </c>
      <c r="K32" s="51" t="n">
        <f aca="false">I32+J32</f>
        <v>306.457776657424</v>
      </c>
      <c r="L32" s="51" t="n">
        <f aca="false">F32-(I32-X32)</f>
        <v>78.7577766574238</v>
      </c>
      <c r="M32" s="51" t="n">
        <v>202.7</v>
      </c>
      <c r="N32" s="51" t="n">
        <v>0</v>
      </c>
      <c r="O32" s="51" t="n">
        <v>0</v>
      </c>
      <c r="P32" s="6" t="n">
        <f aca="false">M32-(N32+O32)</f>
        <v>202.7</v>
      </c>
      <c r="Q32" s="51" t="n">
        <v>116.9</v>
      </c>
      <c r="R32" s="51" t="n">
        <v>73.1</v>
      </c>
      <c r="S32" s="51" t="n">
        <f aca="false">SUM(P32:R32)</f>
        <v>392.7</v>
      </c>
      <c r="T32" s="52" t="n">
        <f aca="false">(I32-S32)+T31</f>
        <v>857.919999999996</v>
      </c>
      <c r="U32" s="51" t="n">
        <v>92.8</v>
      </c>
      <c r="V32" s="51" t="n">
        <v>68.5</v>
      </c>
      <c r="W32" s="52" t="n">
        <f aca="false">W31-V32</f>
        <v>4265.46999999996</v>
      </c>
      <c r="X32" s="6" t="n">
        <f aca="false">N32+O32+S32+U32+V32</f>
        <v>554</v>
      </c>
      <c r="Y32" s="51" t="n">
        <f aca="false">IF(L32&lt;0,L32*-1,0)</f>
        <v>0</v>
      </c>
      <c r="Z32" s="51" t="n">
        <f aca="false">X32+Y32</f>
        <v>554</v>
      </c>
      <c r="AA32" s="53" t="n">
        <v>0.43</v>
      </c>
      <c r="AB32" s="56" t="n">
        <v>61</v>
      </c>
      <c r="AC32" s="56" t="n">
        <v>50</v>
      </c>
      <c r="AD32" s="57" t="n">
        <v>23</v>
      </c>
      <c r="AE32" s="85"/>
      <c r="AF32" s="87"/>
      <c r="AG32" s="87"/>
    </row>
    <row r="33" customFormat="false" ht="11.1" hidden="false" customHeight="true" outlineLevel="0" collapsed="false">
      <c r="A33" s="57" t="n">
        <v>24</v>
      </c>
      <c r="B33" s="71" t="n">
        <v>6913.58</v>
      </c>
      <c r="C33" s="52" t="n">
        <v>336505</v>
      </c>
      <c r="D33" s="56" t="n">
        <f aca="false">C33-C32</f>
        <v>-412</v>
      </c>
      <c r="E33" s="52" t="n">
        <f aca="false">C33-152000</f>
        <v>184505</v>
      </c>
      <c r="F33" s="51" t="n">
        <f aca="false">D33/$D$2</f>
        <v>-207.713637509453</v>
      </c>
      <c r="G33" s="51" t="n">
        <v>270.5</v>
      </c>
      <c r="H33" s="82" t="n">
        <v>0</v>
      </c>
      <c r="I33" s="51" t="n">
        <f aca="false">G33+H33</f>
        <v>270.5</v>
      </c>
      <c r="J33" s="78" t="n">
        <f aca="false">IF(L33&gt;0,L33,0)</f>
        <v>42.4863624905471</v>
      </c>
      <c r="K33" s="51" t="n">
        <f aca="false">I33+J33</f>
        <v>312.986362490547</v>
      </c>
      <c r="L33" s="51" t="n">
        <f aca="false">F33-(I33-X33)</f>
        <v>42.4863624905471</v>
      </c>
      <c r="M33" s="51" t="n">
        <v>194.8</v>
      </c>
      <c r="N33" s="51" t="n">
        <v>0</v>
      </c>
      <c r="O33" s="51" t="n">
        <v>0</v>
      </c>
      <c r="P33" s="6" t="n">
        <f aca="false">M33-(N33+O33)</f>
        <v>194.8</v>
      </c>
      <c r="Q33" s="51" t="n">
        <v>116.9</v>
      </c>
      <c r="R33" s="51" t="n">
        <v>63.5</v>
      </c>
      <c r="S33" s="51" t="n">
        <f aca="false">SUM(P33:R33)</f>
        <v>375.2</v>
      </c>
      <c r="T33" s="52" t="n">
        <f aca="false">(I33-S33)+T32</f>
        <v>753.219999999996</v>
      </c>
      <c r="U33" s="51" t="n">
        <v>78.2</v>
      </c>
      <c r="V33" s="51" t="n">
        <v>67.3</v>
      </c>
      <c r="W33" s="52" t="n">
        <f aca="false">W32-V33</f>
        <v>4198.16999999996</v>
      </c>
      <c r="X33" s="6" t="n">
        <f aca="false">N33+O33+S33+U33+V33</f>
        <v>520.7</v>
      </c>
      <c r="Y33" s="51" t="n">
        <f aca="false">IF(L33&lt;0,L33*-1,0)</f>
        <v>0</v>
      </c>
      <c r="Z33" s="51" t="n">
        <f aca="false">X33+Y33</f>
        <v>520.7</v>
      </c>
      <c r="AA33" s="53" t="n">
        <v>0.03</v>
      </c>
      <c r="AB33" s="56" t="n">
        <v>54</v>
      </c>
      <c r="AC33" s="56" t="n">
        <v>49</v>
      </c>
      <c r="AD33" s="57" t="n">
        <v>24</v>
      </c>
      <c r="AE33" s="85"/>
      <c r="AF33" s="87"/>
      <c r="AG33" s="87"/>
    </row>
    <row r="34" customFormat="false" ht="11.1" hidden="false" customHeight="true" outlineLevel="0" collapsed="false">
      <c r="A34" s="57" t="n">
        <v>25</v>
      </c>
      <c r="B34" s="71" t="n">
        <v>6913.51</v>
      </c>
      <c r="C34" s="52" t="n">
        <v>336216</v>
      </c>
      <c r="D34" s="56" t="n">
        <f aca="false">C34-C33</f>
        <v>-289</v>
      </c>
      <c r="E34" s="52" t="n">
        <f aca="false">C34-152000</f>
        <v>184216</v>
      </c>
      <c r="F34" s="51" t="n">
        <f aca="false">D34/$D$2</f>
        <v>-145.702041845223</v>
      </c>
      <c r="G34" s="51" t="n">
        <v>348.6</v>
      </c>
      <c r="H34" s="82" t="n">
        <v>0</v>
      </c>
      <c r="I34" s="51" t="n">
        <f aca="false">G34+H34</f>
        <v>348.6</v>
      </c>
      <c r="J34" s="78" t="n">
        <f aca="false">IF(L34&gt;0,L34,0)</f>
        <v>11.4979581547769</v>
      </c>
      <c r="K34" s="51" t="n">
        <f aca="false">I34+J34</f>
        <v>360.097958154777</v>
      </c>
      <c r="L34" s="51" t="n">
        <f aca="false">F34-(I34-X34)</f>
        <v>11.4979581547769</v>
      </c>
      <c r="M34" s="51" t="n">
        <v>174.2</v>
      </c>
      <c r="N34" s="51" t="n">
        <v>0</v>
      </c>
      <c r="O34" s="51" t="n">
        <v>0</v>
      </c>
      <c r="P34" s="6" t="n">
        <f aca="false">M34-(N34+O34)</f>
        <v>174.2</v>
      </c>
      <c r="Q34" s="51" t="n">
        <v>116.1</v>
      </c>
      <c r="R34" s="51" t="n">
        <v>62.5</v>
      </c>
      <c r="S34" s="51" t="n">
        <f aca="false">SUM(P34:R34)</f>
        <v>352.8</v>
      </c>
      <c r="T34" s="52" t="n">
        <f aca="false">(I34-S34)+T33</f>
        <v>749.019999999996</v>
      </c>
      <c r="U34" s="51" t="n">
        <v>85.7</v>
      </c>
      <c r="V34" s="51" t="n">
        <v>67.3</v>
      </c>
      <c r="W34" s="52" t="n">
        <f aca="false">W33-V34</f>
        <v>4130.86999999996</v>
      </c>
      <c r="X34" s="6" t="n">
        <f aca="false">N34+O34+S34+U34+V34</f>
        <v>505.8</v>
      </c>
      <c r="Y34" s="51" t="n">
        <f aca="false">IF(L34&lt;0,L34*-1,0)</f>
        <v>0</v>
      </c>
      <c r="Z34" s="51" t="n">
        <f aca="false">X34+Y34</f>
        <v>505.8</v>
      </c>
      <c r="AA34" s="53" t="n">
        <v>0.22</v>
      </c>
      <c r="AB34" s="56" t="n">
        <v>71</v>
      </c>
      <c r="AC34" s="56" t="n">
        <v>44</v>
      </c>
      <c r="AD34" s="57" t="n">
        <v>25</v>
      </c>
      <c r="AE34" s="85"/>
      <c r="AF34" s="87"/>
      <c r="AG34" s="87"/>
    </row>
    <row r="35" customFormat="false" ht="11.1" hidden="false" customHeight="true" outlineLevel="0" collapsed="false">
      <c r="A35" s="57" t="n">
        <v>26</v>
      </c>
      <c r="B35" s="71" t="n">
        <v>6913.37</v>
      </c>
      <c r="C35" s="52" t="n">
        <v>335642</v>
      </c>
      <c r="D35" s="56" t="n">
        <f aca="false">C35-C34</f>
        <v>-574</v>
      </c>
      <c r="E35" s="52" t="n">
        <f aca="false">C35-152000</f>
        <v>183642</v>
      </c>
      <c r="F35" s="51" t="n">
        <f aca="false">D35/$D$2</f>
        <v>-289.387446433073</v>
      </c>
      <c r="G35" s="51" t="n">
        <v>292.7</v>
      </c>
      <c r="H35" s="82" t="n">
        <v>0</v>
      </c>
      <c r="I35" s="51" t="n">
        <f aca="false">G35+H35</f>
        <v>292.7</v>
      </c>
      <c r="J35" s="78" t="n">
        <f aca="false">IF(L35&gt;0,L35,0)</f>
        <v>0</v>
      </c>
      <c r="K35" s="51" t="n">
        <f aca="false">I35+J35</f>
        <v>292.7</v>
      </c>
      <c r="L35" s="51" t="n">
        <f aca="false">F35-(I35-X35)</f>
        <v>-63.0874464330728</v>
      </c>
      <c r="M35" s="51" t="n">
        <v>164.8</v>
      </c>
      <c r="N35" s="51" t="n">
        <v>0</v>
      </c>
      <c r="O35" s="51" t="n">
        <v>0</v>
      </c>
      <c r="P35" s="6" t="n">
        <f aca="false">M35-(N35+O35)</f>
        <v>164.8</v>
      </c>
      <c r="Q35" s="51" t="n">
        <v>115.9</v>
      </c>
      <c r="R35" s="51" t="n">
        <v>58.5</v>
      </c>
      <c r="S35" s="51" t="n">
        <f aca="false">SUM(P35:R35)</f>
        <v>339.2</v>
      </c>
      <c r="T35" s="52" t="n">
        <f aca="false">(I35-S35)+T34</f>
        <v>702.519999999996</v>
      </c>
      <c r="U35" s="51" t="n">
        <v>112.5</v>
      </c>
      <c r="V35" s="51" t="n">
        <v>67.3</v>
      </c>
      <c r="W35" s="52" t="n">
        <f aca="false">W34-V35</f>
        <v>4063.56999999996</v>
      </c>
      <c r="X35" s="6" t="n">
        <f aca="false">N35+O35+S35+U35+V35</f>
        <v>519</v>
      </c>
      <c r="Y35" s="51" t="n">
        <f aca="false">IF(L35&lt;0,L35*-1,0)</f>
        <v>63.0874464330728</v>
      </c>
      <c r="Z35" s="51" t="n">
        <f aca="false">X35+Y35</f>
        <v>582.087446433073</v>
      </c>
      <c r="AA35" s="53" t="n">
        <v>0</v>
      </c>
      <c r="AB35" s="56" t="n">
        <v>70</v>
      </c>
      <c r="AC35" s="56" t="n">
        <v>41</v>
      </c>
      <c r="AD35" s="57" t="n">
        <v>26</v>
      </c>
      <c r="AE35" s="85"/>
      <c r="AF35" s="87"/>
      <c r="AG35" s="87"/>
    </row>
    <row r="36" customFormat="false" ht="11.1" hidden="false" customHeight="true" outlineLevel="0" collapsed="false">
      <c r="A36" s="57" t="n">
        <v>27</v>
      </c>
      <c r="B36" s="71" t="n">
        <v>6913.2</v>
      </c>
      <c r="C36" s="52" t="n">
        <v>334994</v>
      </c>
      <c r="D36" s="56" t="n">
        <f aca="false">C36-C35</f>
        <v>-648</v>
      </c>
      <c r="E36" s="52" t="n">
        <f aca="false">C36-152000</f>
        <v>182994</v>
      </c>
      <c r="F36" s="51" t="n">
        <f aca="false">D36/$D$2</f>
        <v>-326.695235694479</v>
      </c>
      <c r="G36" s="51" t="n">
        <v>238</v>
      </c>
      <c r="H36" s="82" t="n">
        <v>0</v>
      </c>
      <c r="I36" s="51" t="n">
        <f aca="false">G36+H36</f>
        <v>238</v>
      </c>
      <c r="J36" s="78" t="n">
        <f aca="false">IF(L36&gt;0,L36,0)</f>
        <v>0</v>
      </c>
      <c r="K36" s="51" t="n">
        <f aca="false">I36+J36</f>
        <v>238</v>
      </c>
      <c r="L36" s="51" t="n">
        <f aca="false">F36-(I36-X36)</f>
        <v>-45.5952356944795</v>
      </c>
      <c r="M36" s="51" t="n">
        <v>167.2</v>
      </c>
      <c r="N36" s="51" t="n">
        <v>0</v>
      </c>
      <c r="O36" s="51" t="n">
        <v>0</v>
      </c>
      <c r="P36" s="6" t="n">
        <f aca="false">M36-(N36+O36)</f>
        <v>167.2</v>
      </c>
      <c r="Q36" s="51" t="n">
        <v>116.1</v>
      </c>
      <c r="R36" s="51" t="n">
        <v>56</v>
      </c>
      <c r="S36" s="51" t="n">
        <f aca="false">SUM(P36:R36)</f>
        <v>339.3</v>
      </c>
      <c r="T36" s="52" t="n">
        <f aca="false">(I36-S36)+T35</f>
        <v>601.219999999996</v>
      </c>
      <c r="U36" s="51" t="n">
        <v>115</v>
      </c>
      <c r="V36" s="51" t="n">
        <v>64.8</v>
      </c>
      <c r="W36" s="52" t="n">
        <f aca="false">W35-V36</f>
        <v>3998.76999999996</v>
      </c>
      <c r="X36" s="6" t="n">
        <f aca="false">N36+O36+S36+U36+V36</f>
        <v>519.1</v>
      </c>
      <c r="Y36" s="51" t="n">
        <f aca="false">IF(L36&lt;0,L36*-1,0)</f>
        <v>45.5952356944795</v>
      </c>
      <c r="Z36" s="51" t="n">
        <f aca="false">X36+Y36</f>
        <v>564.695235694479</v>
      </c>
      <c r="AA36" s="53" t="n">
        <v>0</v>
      </c>
      <c r="AB36" s="56" t="n">
        <v>71</v>
      </c>
      <c r="AC36" s="56" t="n">
        <v>40</v>
      </c>
      <c r="AD36" s="57" t="n">
        <v>27</v>
      </c>
      <c r="AE36" s="85"/>
      <c r="AF36" s="87"/>
      <c r="AG36" s="87"/>
    </row>
    <row r="37" customFormat="false" ht="11.1" hidden="false" customHeight="true" outlineLevel="0" collapsed="false">
      <c r="A37" s="148" t="n">
        <v>28</v>
      </c>
      <c r="B37" s="112" t="n">
        <v>6913.03</v>
      </c>
      <c r="C37" s="113" t="n">
        <v>334243</v>
      </c>
      <c r="D37" s="141" t="n">
        <f aca="false">C37-C36</f>
        <v>-751</v>
      </c>
      <c r="E37" s="113" t="n">
        <f aca="false">C37-152000</f>
        <v>182243</v>
      </c>
      <c r="F37" s="98" t="n">
        <f aca="false">D37/$D$2</f>
        <v>-378.623645071843</v>
      </c>
      <c r="G37" s="98" t="n">
        <v>196.8</v>
      </c>
      <c r="H37" s="149" t="n">
        <v>0</v>
      </c>
      <c r="I37" s="98" t="n">
        <f aca="false">G37+H37</f>
        <v>196.8</v>
      </c>
      <c r="J37" s="150" t="n">
        <f aca="false">IF(L37&gt;0,L37,0)</f>
        <v>0</v>
      </c>
      <c r="K37" s="98" t="n">
        <f aca="false">I37+J37</f>
        <v>196.8</v>
      </c>
      <c r="L37" s="98" t="n">
        <f aca="false">F37-(I37-X37)</f>
        <v>-40.8236450718427</v>
      </c>
      <c r="M37" s="98" t="n">
        <v>176.5</v>
      </c>
      <c r="N37" s="98" t="n">
        <v>0</v>
      </c>
      <c r="O37" s="98" t="n">
        <v>0</v>
      </c>
      <c r="P37" s="6" t="n">
        <f aca="false">M37-(N37+O37)</f>
        <v>176.5</v>
      </c>
      <c r="Q37" s="98" t="n">
        <v>116.3</v>
      </c>
      <c r="R37" s="98" t="n">
        <v>56.5</v>
      </c>
      <c r="S37" s="98" t="n">
        <f aca="false">SUM(P37:R37)</f>
        <v>349.3</v>
      </c>
      <c r="T37" s="113" t="n">
        <f aca="false">(I37-S37)+T36</f>
        <v>448.719999999996</v>
      </c>
      <c r="U37" s="98" t="n">
        <v>118</v>
      </c>
      <c r="V37" s="51" t="n">
        <v>67.3</v>
      </c>
      <c r="W37" s="52" t="n">
        <f aca="false">W36-V37</f>
        <v>3931.46999999996</v>
      </c>
      <c r="X37" s="6" t="n">
        <f aca="false">N37+O37+S37+U37+V37</f>
        <v>534.6</v>
      </c>
      <c r="Y37" s="98" t="n">
        <f aca="false">IF(L37&lt;0,L37*-1,0)</f>
        <v>40.8236450718427</v>
      </c>
      <c r="Z37" s="98" t="n">
        <f aca="false">X37+Y37</f>
        <v>575.423645071843</v>
      </c>
      <c r="AA37" s="90" t="n">
        <v>0</v>
      </c>
      <c r="AB37" s="141" t="n">
        <v>78</v>
      </c>
      <c r="AC37" s="141" t="n">
        <v>37</v>
      </c>
      <c r="AD37" s="148" t="n">
        <v>28</v>
      </c>
      <c r="AE37" s="85"/>
      <c r="AF37" s="87"/>
      <c r="AG37" s="87"/>
    </row>
    <row r="38" customFormat="false" ht="11.1" hidden="false" customHeight="true" outlineLevel="0" collapsed="false">
      <c r="A38" s="148" t="n">
        <v>29</v>
      </c>
      <c r="B38" s="112" t="n">
        <v>6912.85</v>
      </c>
      <c r="C38" s="113" t="n">
        <v>333510</v>
      </c>
      <c r="D38" s="141" t="n">
        <f aca="false">C38-C37</f>
        <v>-733</v>
      </c>
      <c r="E38" s="113" t="n">
        <f aca="false">C38-152000</f>
        <v>181510</v>
      </c>
      <c r="F38" s="98" t="n">
        <f aca="false">D38/$D$2</f>
        <v>-369.548777413663</v>
      </c>
      <c r="G38" s="98" t="n">
        <v>183.5</v>
      </c>
      <c r="H38" s="149" t="n">
        <v>0</v>
      </c>
      <c r="I38" s="98" t="n">
        <f aca="false">G38+H38</f>
        <v>183.5</v>
      </c>
      <c r="J38" s="150" t="n">
        <f aca="false">IF(L38&gt;0,L38,0)</f>
        <v>0</v>
      </c>
      <c r="K38" s="98" t="n">
        <f aca="false">I38+J38</f>
        <v>183.5</v>
      </c>
      <c r="L38" s="98" t="n">
        <f aca="false">F38-(I38-X38)</f>
        <v>-20.3487774136628</v>
      </c>
      <c r="M38" s="98" t="n">
        <v>181.7</v>
      </c>
      <c r="N38" s="98" t="n">
        <v>0</v>
      </c>
      <c r="O38" s="98" t="n">
        <v>0</v>
      </c>
      <c r="P38" s="6" t="n">
        <f aca="false">M38-(N38+O38)</f>
        <v>181.7</v>
      </c>
      <c r="Q38" s="98" t="n">
        <v>116.7</v>
      </c>
      <c r="R38" s="98" t="n">
        <v>55</v>
      </c>
      <c r="S38" s="98" t="n">
        <f aca="false">SUM(P38:R38)</f>
        <v>353.4</v>
      </c>
      <c r="T38" s="113" t="n">
        <f aca="false">(I38-S38)+T37</f>
        <v>278.819999999996</v>
      </c>
      <c r="U38" s="98" t="n">
        <v>112</v>
      </c>
      <c r="V38" s="51" t="n">
        <v>67.3</v>
      </c>
      <c r="W38" s="52" t="n">
        <f aca="false">W37-V38</f>
        <v>3864.16999999996</v>
      </c>
      <c r="X38" s="6" t="n">
        <f aca="false">N38+O38+S38+U38+V38</f>
        <v>532.7</v>
      </c>
      <c r="Y38" s="98" t="n">
        <f aca="false">IF(L38&lt;0,L38*-1,0)</f>
        <v>20.3487774136628</v>
      </c>
      <c r="Z38" s="98" t="n">
        <f aca="false">X38+Y38</f>
        <v>553.048777413663</v>
      </c>
      <c r="AA38" s="90" t="n">
        <v>0</v>
      </c>
      <c r="AB38" s="141" t="n">
        <v>77</v>
      </c>
      <c r="AC38" s="141" t="n">
        <v>43</v>
      </c>
      <c r="AD38" s="148" t="n">
        <v>29</v>
      </c>
      <c r="AE38" s="85"/>
      <c r="AF38" s="87"/>
      <c r="AG38" s="87"/>
    </row>
    <row r="39" customFormat="false" ht="11.1" hidden="false" customHeight="true" outlineLevel="0" collapsed="false">
      <c r="A39" s="148" t="n">
        <v>30</v>
      </c>
      <c r="B39" s="112" t="n">
        <v>6912.7</v>
      </c>
      <c r="C39" s="113" t="n">
        <v>332899</v>
      </c>
      <c r="D39" s="141" t="n">
        <f aca="false">C39-C38</f>
        <v>-611</v>
      </c>
      <c r="E39" s="113" t="n">
        <f aca="false">C39-152000</f>
        <v>180899</v>
      </c>
      <c r="F39" s="98" t="n">
        <f aca="false">D39/$D$2</f>
        <v>-308.041341063776</v>
      </c>
      <c r="G39" s="98" t="n">
        <v>172.7</v>
      </c>
      <c r="H39" s="149" t="n">
        <v>0</v>
      </c>
      <c r="I39" s="98" t="n">
        <f aca="false">G39+H39</f>
        <v>172.7</v>
      </c>
      <c r="J39" s="150" t="n">
        <f aca="false">IF(L39&gt;0,L39,0)</f>
        <v>34.7586589362239</v>
      </c>
      <c r="K39" s="98" t="n">
        <f aca="false">I39+J39</f>
        <v>207.458658936224</v>
      </c>
      <c r="L39" s="98" t="n">
        <f aca="false">F39-(I39-X39)</f>
        <v>34.7586589362239</v>
      </c>
      <c r="M39" s="98" t="n">
        <v>181.7</v>
      </c>
      <c r="N39" s="98" t="n">
        <v>0</v>
      </c>
      <c r="O39" s="98" t="n">
        <v>0</v>
      </c>
      <c r="P39" s="6" t="n">
        <f aca="false">M39-(N39+O39)</f>
        <v>181.7</v>
      </c>
      <c r="Q39" s="98" t="n">
        <v>116.7</v>
      </c>
      <c r="R39" s="98" t="n">
        <v>55</v>
      </c>
      <c r="S39" s="98" t="n">
        <f aca="false">SUM(P39:R39)</f>
        <v>353.4</v>
      </c>
      <c r="T39" s="113" t="n">
        <f aca="false">(I39-S39)+T38</f>
        <v>98.1199999999964</v>
      </c>
      <c r="U39" s="98" t="n">
        <v>94.8</v>
      </c>
      <c r="V39" s="51" t="n">
        <v>67.3</v>
      </c>
      <c r="W39" s="52" t="n">
        <f aca="false">W38-V39</f>
        <v>3796.86999999996</v>
      </c>
      <c r="X39" s="6" t="n">
        <f aca="false">N39+O39+S39+U39+V39</f>
        <v>515.5</v>
      </c>
      <c r="Y39" s="98" t="n">
        <f aca="false">IF(L39&lt;0,L39*-1,0)</f>
        <v>0</v>
      </c>
      <c r="Z39" s="98" t="n">
        <f aca="false">X39+Y39</f>
        <v>515.5</v>
      </c>
      <c r="AA39" s="90" t="n">
        <v>0.04</v>
      </c>
      <c r="AB39" s="141" t="n">
        <v>71</v>
      </c>
      <c r="AC39" s="141" t="n">
        <v>46</v>
      </c>
      <c r="AD39" s="148" t="n">
        <v>30</v>
      </c>
      <c r="AE39" s="85"/>
      <c r="AF39" s="87"/>
      <c r="AG39" s="87"/>
    </row>
    <row r="40" customFormat="false" ht="11.1" hidden="false" customHeight="true" outlineLevel="0" collapsed="false">
      <c r="A40" s="148" t="n">
        <v>31</v>
      </c>
      <c r="B40" s="112" t="n">
        <v>6912.5</v>
      </c>
      <c r="C40" s="113" t="n">
        <v>332083</v>
      </c>
      <c r="D40" s="141" t="n">
        <f aca="false">C40-C39</f>
        <v>-816</v>
      </c>
      <c r="E40" s="113" t="n">
        <f aca="false">C40-152000</f>
        <v>180083</v>
      </c>
      <c r="F40" s="98" t="n">
        <f aca="false">D40/$D$2</f>
        <v>-411.394000504159</v>
      </c>
      <c r="G40" s="98" t="n">
        <v>169.6</v>
      </c>
      <c r="H40" s="149" t="n">
        <v>0</v>
      </c>
      <c r="I40" s="98" t="n">
        <f aca="false">G40+H40</f>
        <v>169.6</v>
      </c>
      <c r="J40" s="150" t="n">
        <f aca="false">IF(L40&gt;0,L40,0)</f>
        <v>0</v>
      </c>
      <c r="K40" s="98" t="n">
        <f aca="false">I40+J40</f>
        <v>169.6</v>
      </c>
      <c r="L40" s="98" t="n">
        <f aca="false">F40-(I40-X40)</f>
        <v>-65.8940005041594</v>
      </c>
      <c r="M40" s="98" t="n">
        <v>175</v>
      </c>
      <c r="N40" s="98" t="n">
        <v>0</v>
      </c>
      <c r="O40" s="98" t="n">
        <v>0</v>
      </c>
      <c r="P40" s="6" t="n">
        <f aca="false">M40-(N40+O40)</f>
        <v>175</v>
      </c>
      <c r="Q40" s="98" t="n">
        <v>116.4</v>
      </c>
      <c r="R40" s="98" t="n">
        <v>55.5</v>
      </c>
      <c r="S40" s="98" t="n">
        <f aca="false">SUM(P40:R40)</f>
        <v>346.9</v>
      </c>
      <c r="T40" s="113" t="n">
        <f aca="false">(I40-S40)+T39</f>
        <v>-79.1800000000036</v>
      </c>
      <c r="U40" s="98" t="n">
        <v>100.9</v>
      </c>
      <c r="V40" s="51" t="n">
        <v>67.3</v>
      </c>
      <c r="W40" s="52" t="n">
        <f aca="false">W39-V40</f>
        <v>3729.56999999996</v>
      </c>
      <c r="X40" s="6" t="n">
        <f aca="false">N40+O40+S40+U40+V40</f>
        <v>515.1</v>
      </c>
      <c r="Y40" s="98" t="n">
        <f aca="false">IF(L40&lt;0,L40*-1,0)</f>
        <v>65.8940005041594</v>
      </c>
      <c r="Z40" s="98" t="n">
        <f aca="false">X40+Y40</f>
        <v>580.994000504159</v>
      </c>
      <c r="AA40" s="90" t="n">
        <v>0.02</v>
      </c>
      <c r="AB40" s="141" t="n">
        <v>71</v>
      </c>
      <c r="AC40" s="141" t="n">
        <v>49</v>
      </c>
      <c r="AD40" s="148" t="n">
        <v>31</v>
      </c>
      <c r="AE40" s="85"/>
      <c r="AF40" s="87"/>
      <c r="AG40" s="87"/>
    </row>
    <row r="41" customFormat="false" ht="3" hidden="false" customHeight="true" outlineLevel="0" collapsed="false">
      <c r="A41" s="72"/>
      <c r="B41" s="72"/>
      <c r="C41" s="74"/>
      <c r="D41" s="72"/>
      <c r="E41" s="74"/>
      <c r="F41" s="72"/>
      <c r="G41" s="72"/>
      <c r="H41" s="147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4"/>
      <c r="U41" s="72"/>
      <c r="V41" s="72"/>
      <c r="W41" s="72"/>
      <c r="X41" s="72"/>
      <c r="Y41" s="72"/>
      <c r="Z41" s="72"/>
      <c r="AA41" s="75"/>
      <c r="AB41" s="76"/>
      <c r="AC41" s="76"/>
      <c r="AD41" s="77"/>
      <c r="AE41" s="85"/>
      <c r="AF41" s="85"/>
      <c r="AG41" s="86"/>
    </row>
    <row r="42" customFormat="false" ht="11.1" hidden="false" customHeight="true" outlineLevel="0" collapsed="false">
      <c r="A42" s="51" t="s">
        <v>46</v>
      </c>
      <c r="B42" s="51"/>
      <c r="C42" s="52"/>
      <c r="D42" s="52"/>
      <c r="E42" s="52"/>
      <c r="F42" s="52" t="n">
        <f aca="false">SUM(F10:F40)</f>
        <v>-11916.8137131334</v>
      </c>
      <c r="G42" s="52" t="n">
        <f aca="false">SUM(G10:G40)</f>
        <v>6318.8</v>
      </c>
      <c r="H42" s="52" t="n">
        <f aca="false">SUM(H10:H40)</f>
        <v>6.6</v>
      </c>
      <c r="I42" s="52" t="n">
        <f aca="false">SUM(I10:I40)</f>
        <v>6325.4</v>
      </c>
      <c r="J42" s="52" t="n">
        <f aca="false">SUM(J10:J40)</f>
        <v>554.309568943786</v>
      </c>
      <c r="K42" s="52" t="n">
        <f aca="false">SUM(K10:K40)</f>
        <v>6879.70956894379</v>
      </c>
      <c r="L42" s="52" t="n">
        <f aca="false">SUM(L10:L40)</f>
        <v>-471.03371313335</v>
      </c>
      <c r="M42" s="52" t="n">
        <f aca="false">SUM(M10:M40)</f>
        <v>6213.58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6213.58</v>
      </c>
      <c r="Q42" s="52" t="n">
        <f aca="false">SUM(Q10:Q40)</f>
        <v>3592.5</v>
      </c>
      <c r="R42" s="52" t="n">
        <f aca="false">SUM(R10:R40)</f>
        <v>2105</v>
      </c>
      <c r="S42" s="52" t="n">
        <f aca="false">SUM(S10:S40)</f>
        <v>11911.08</v>
      </c>
      <c r="T42" s="52"/>
      <c r="U42" s="52" t="n">
        <f aca="false">SUM(U10:U40)</f>
        <v>3605.3</v>
      </c>
      <c r="V42" s="52" t="n">
        <f aca="false">SUM(V10:V40)</f>
        <v>2254.8</v>
      </c>
      <c r="W42" s="52"/>
      <c r="X42" s="52" t="n">
        <f aca="false">SUM(X10:X40)</f>
        <v>17771.18</v>
      </c>
      <c r="Y42" s="52" t="n">
        <f aca="false">SUM(Y10:Y40)</f>
        <v>1025.34328207714</v>
      </c>
      <c r="Z42" s="52" t="n">
        <f aca="false">SUM(Z10:Z40)</f>
        <v>18796.5232820771</v>
      </c>
      <c r="AA42" s="53" t="n">
        <f aca="false">SUM(AA10:AA40)</f>
        <v>2.69</v>
      </c>
      <c r="AB42" s="56" t="n">
        <f aca="false">AVERAGE(AB10:AB40)</f>
        <v>78.6129032258065</v>
      </c>
      <c r="AC42" s="56" t="n">
        <f aca="false">AVERAGE(AC10:AC40)</f>
        <v>52.3225806451613</v>
      </c>
      <c r="AD42" s="57" t="s">
        <v>70</v>
      </c>
      <c r="AE42" s="85"/>
      <c r="AF42" s="85"/>
      <c r="AG42" s="86"/>
    </row>
    <row r="43" customFormat="false" ht="11.1" hidden="false" customHeight="true" outlineLevel="0" collapsed="false">
      <c r="A43" s="51" t="s">
        <v>48</v>
      </c>
      <c r="B43" s="51"/>
      <c r="C43" s="52"/>
      <c r="D43" s="52" t="n">
        <f aca="false">SUM(D10:D40)</f>
        <v>-23637</v>
      </c>
      <c r="E43" s="52"/>
      <c r="F43" s="52" t="n">
        <f aca="false">F42*$D$2</f>
        <v>-23637</v>
      </c>
      <c r="G43" s="52" t="n">
        <f aca="false">G42*$D$2</f>
        <v>12533.3398</v>
      </c>
      <c r="H43" s="52" t="n">
        <f aca="false">H42*$D$2</f>
        <v>13.0911</v>
      </c>
      <c r="I43" s="52" t="n">
        <f aca="false">I42*$D$2</f>
        <v>12546.4309</v>
      </c>
      <c r="J43" s="52" t="n">
        <f aca="false">J42*$D$2</f>
        <v>1099.47303</v>
      </c>
      <c r="K43" s="52" t="n">
        <f aca="false">K42*$D$2</f>
        <v>13645.90393</v>
      </c>
      <c r="L43" s="52" t="n">
        <f aca="false">L42*$D$2</f>
        <v>-934.29537</v>
      </c>
      <c r="M43" s="52" t="n">
        <f aca="false">M42*$D$2</f>
        <v>12324.63593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12324.63593</v>
      </c>
      <c r="Q43" s="52" t="n">
        <f aca="false">Q42*$D$2</f>
        <v>7125.72375</v>
      </c>
      <c r="R43" s="52" t="n">
        <f aca="false">R42*$D$2</f>
        <v>4175.2675</v>
      </c>
      <c r="S43" s="52" t="n">
        <f aca="false">S42*$D$2</f>
        <v>23625.62718</v>
      </c>
      <c r="T43" s="52"/>
      <c r="U43" s="52" t="n">
        <f aca="false">U42*$D$2</f>
        <v>7151.11255</v>
      </c>
      <c r="V43" s="52" t="n">
        <f aca="false">V42*$D$2</f>
        <v>4472.3958</v>
      </c>
      <c r="W43" s="52"/>
      <c r="X43" s="52" t="n">
        <f aca="false">X42*$D$2</f>
        <v>35249.13553</v>
      </c>
      <c r="Y43" s="52" t="n">
        <f aca="false">Y42*$D$2</f>
        <v>2033.7684</v>
      </c>
      <c r="Z43" s="52" t="n">
        <f aca="false">Z42*$D$2</f>
        <v>37282.90393</v>
      </c>
      <c r="AA43" s="53"/>
      <c r="AB43" s="56" t="n">
        <f aca="false">MAX(AB10:AB40)</f>
        <v>88</v>
      </c>
      <c r="AC43" s="56" t="n">
        <f aca="false">MAX(AC10:AC40)</f>
        <v>66</v>
      </c>
      <c r="AD43" s="57" t="s">
        <v>49</v>
      </c>
      <c r="AE43" s="85"/>
      <c r="AF43" s="85"/>
      <c r="AG43" s="86"/>
    </row>
    <row r="44" customFormat="false" ht="3" hidden="false" customHeight="true" outlineLevel="0" collapsed="false">
      <c r="A44" s="72"/>
      <c r="B44" s="72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2"/>
      <c r="X44" s="74"/>
      <c r="Y44" s="74"/>
      <c r="Z44" s="74"/>
      <c r="AA44" s="53"/>
      <c r="AB44" s="56"/>
      <c r="AC44" s="56"/>
      <c r="AD44" s="57"/>
      <c r="AE44" s="85"/>
      <c r="AF44" s="85"/>
      <c r="AG44" s="86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 t="n">
        <f aca="false">F7+F42</f>
        <v>11867.4061003277</v>
      </c>
      <c r="G45" s="52" t="n">
        <f aca="false">G7+G42</f>
        <v>126563.8</v>
      </c>
      <c r="H45" s="52" t="n">
        <f aca="false">H7+H42</f>
        <v>8849.9</v>
      </c>
      <c r="I45" s="52" t="n">
        <f aca="false">I7+I42</f>
        <v>135413.7</v>
      </c>
      <c r="J45" s="52" t="n">
        <f aca="false">J7+J42</f>
        <v>22790.6022838417</v>
      </c>
      <c r="K45" s="52" t="n">
        <f aca="false">K7+K42</f>
        <v>158204.302283842</v>
      </c>
      <c r="L45" s="52" t="n">
        <f aca="false">L7+L42</f>
        <v>18910.5861003277</v>
      </c>
      <c r="M45" s="52" t="n">
        <f aca="false">M7+M42</f>
        <v>25323.28</v>
      </c>
      <c r="N45" s="52" t="n">
        <f aca="false">N7+N42</f>
        <v>0</v>
      </c>
      <c r="O45" s="52" t="n">
        <f aca="false">O7+O42</f>
        <v>0</v>
      </c>
      <c r="P45" s="52" t="n">
        <f aca="false">P7+P42</f>
        <v>25323.28</v>
      </c>
      <c r="Q45" s="52" t="n">
        <f aca="false">Q7+Q42</f>
        <v>17962.3</v>
      </c>
      <c r="R45" s="52" t="n">
        <f aca="false">R7+R42</f>
        <v>9056.7</v>
      </c>
      <c r="S45" s="52" t="n">
        <f aca="false">S7+S42</f>
        <v>52342.28</v>
      </c>
      <c r="T45" s="52" t="n">
        <f aca="false">T40</f>
        <v>-79.1800000000036</v>
      </c>
      <c r="U45" s="52" t="n">
        <f aca="false">U7+U42</f>
        <v>11036.1</v>
      </c>
      <c r="V45" s="52" t="n">
        <f aca="false">V7+V42</f>
        <v>79078.5</v>
      </c>
      <c r="W45" s="52"/>
      <c r="X45" s="52" t="n">
        <f aca="false">X7+X42</f>
        <v>142456.88</v>
      </c>
      <c r="Y45" s="52" t="n">
        <f aca="false">Y7+Y42</f>
        <v>3880.01618351399</v>
      </c>
      <c r="Z45" s="52" t="n">
        <f aca="false">Z7+Z42</f>
        <v>146336.896183514</v>
      </c>
      <c r="AA45" s="53"/>
      <c r="AB45" s="56" t="n">
        <f aca="false">MIN(AB10:AB40)</f>
        <v>54</v>
      </c>
      <c r="AC45" s="56" t="n">
        <f aca="false">MIN(AC10:AC40)</f>
        <v>37</v>
      </c>
      <c r="AD45" s="57" t="s">
        <v>51</v>
      </c>
      <c r="AE45" s="85"/>
      <c r="AF45" s="85"/>
      <c r="AG45" s="86"/>
    </row>
    <row r="46" customFormat="false" ht="11.1" hidden="false" customHeight="true" outlineLevel="0" collapsed="false">
      <c r="A46" s="51" t="s">
        <v>52</v>
      </c>
      <c r="B46" s="51"/>
      <c r="C46" s="52"/>
      <c r="D46" s="52"/>
      <c r="E46" s="52"/>
      <c r="F46" s="52" t="n">
        <f aca="false">F45*$D$2</f>
        <v>23539</v>
      </c>
      <c r="G46" s="52" t="n">
        <f aca="false">G45*$D$2</f>
        <v>251039.2973</v>
      </c>
      <c r="H46" s="52" t="n">
        <f aca="false">H45*$D$2</f>
        <v>17553.77665</v>
      </c>
      <c r="I46" s="52" t="n">
        <f aca="false">I45*$D$2</f>
        <v>268593.07395</v>
      </c>
      <c r="J46" s="52" t="n">
        <f aca="false">J45*$D$2</f>
        <v>45205.15963</v>
      </c>
      <c r="K46" s="52" t="n">
        <f aca="false">K45*$D$2</f>
        <v>313798.23358</v>
      </c>
      <c r="L46" s="52" t="n">
        <f aca="false">L45*$D$2</f>
        <v>37509.14753</v>
      </c>
      <c r="M46" s="52" t="n">
        <f aca="false">M45*$D$2</f>
        <v>50228.72588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50228.72588</v>
      </c>
      <c r="Q46" s="52" t="n">
        <f aca="false">Q45*$D$2</f>
        <v>35628.22205</v>
      </c>
      <c r="R46" s="52" t="n">
        <f aca="false">R45*$D$2</f>
        <v>17963.96445</v>
      </c>
      <c r="S46" s="52" t="n">
        <f aca="false">S45*$D$2</f>
        <v>103820.91238</v>
      </c>
      <c r="T46" s="52" t="n">
        <f aca="false">T45*$D$2</f>
        <v>-157.053530000007</v>
      </c>
      <c r="U46" s="52" t="n">
        <f aca="false">U45*$D$2</f>
        <v>21890.10435</v>
      </c>
      <c r="V46" s="52" t="n">
        <f aca="false">V45*$D$2</f>
        <v>156852.20475</v>
      </c>
      <c r="W46" s="52"/>
      <c r="X46" s="52" t="n">
        <f aca="false">X45*$D$2</f>
        <v>282563.22148</v>
      </c>
      <c r="Y46" s="52" t="n">
        <f aca="false">Y45*$D$2</f>
        <v>7696.0121</v>
      </c>
      <c r="Z46" s="52" t="n">
        <f aca="false">Z45*$D$2</f>
        <v>290259.23358</v>
      </c>
      <c r="AA46" s="53"/>
      <c r="AB46" s="56"/>
      <c r="AC46" s="56"/>
      <c r="AD46" s="57"/>
      <c r="AE46" s="85"/>
      <c r="AF46" s="85"/>
      <c r="AG46" s="86"/>
    </row>
    <row r="47" customFormat="false" ht="3" hidden="false" customHeight="true" outlineLevel="0" collapsed="false">
      <c r="A47" s="72"/>
      <c r="B47" s="72"/>
      <c r="C47" s="74"/>
      <c r="D47" s="74"/>
      <c r="E47" s="74"/>
      <c r="F47" s="74"/>
      <c r="G47" s="74"/>
      <c r="H47" s="76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56"/>
      <c r="AC47" s="56"/>
      <c r="AD47" s="57"/>
      <c r="AE47" s="85"/>
      <c r="AF47" s="85"/>
      <c r="AG47" s="86"/>
    </row>
    <row r="48" customFormat="false" ht="11.1" hidden="false" customHeight="true" outlineLevel="0" collapsed="false">
      <c r="A48" s="51" t="s">
        <v>53</v>
      </c>
      <c r="B48" s="51"/>
      <c r="C48" s="52"/>
      <c r="D48" s="52"/>
      <c r="E48" s="52"/>
      <c r="F48" s="52" t="n">
        <f aca="false">F8+F42</f>
        <v>18769.8512730023</v>
      </c>
      <c r="G48" s="52" t="n">
        <f aca="false">G8+G42</f>
        <v>139250.9</v>
      </c>
      <c r="H48" s="56" t="n">
        <f aca="false">H8+H42</f>
        <v>9491.6</v>
      </c>
      <c r="I48" s="52" t="n">
        <f aca="false">I8+I42</f>
        <v>148742.5</v>
      </c>
      <c r="J48" s="52" t="n">
        <f aca="false">J8+J42</f>
        <v>25096.8692286362</v>
      </c>
      <c r="K48" s="52" t="n">
        <f aca="false">K8+K42</f>
        <v>173839.244802118</v>
      </c>
      <c r="L48" s="52" t="n">
        <f aca="false">L8+L42</f>
        <v>19955.5812730023</v>
      </c>
      <c r="M48" s="52" t="n">
        <f aca="false">M8+M42</f>
        <v>26387.8</v>
      </c>
      <c r="N48" s="52" t="n">
        <f aca="false">N8+N42</f>
        <v>0</v>
      </c>
      <c r="O48" s="52" t="n">
        <f aca="false">O8+O42</f>
        <v>0</v>
      </c>
      <c r="P48" s="52" t="n">
        <f aca="false">P8+P42</f>
        <v>26387.8</v>
      </c>
      <c r="Q48" s="52" t="n">
        <f aca="false">Q8+Q42</f>
        <v>19275.1</v>
      </c>
      <c r="R48" s="52" t="n">
        <f aca="false">R8+R42</f>
        <v>9330.8</v>
      </c>
      <c r="S48" s="52" t="n">
        <f aca="false">S8+S42</f>
        <v>54993.7</v>
      </c>
      <c r="T48" s="52" t="n">
        <f aca="false">T45</f>
        <v>-79.1800000000036</v>
      </c>
      <c r="U48" s="52" t="n">
        <f aca="false">U8+U42</f>
        <v>11036.1</v>
      </c>
      <c r="V48" s="52" t="n">
        <f aca="false">V8+V42</f>
        <v>83898.43</v>
      </c>
      <c r="W48" s="52" t="n">
        <f aca="false">W40</f>
        <v>3729.56999999996</v>
      </c>
      <c r="X48" s="52" t="n">
        <f aca="false">X8+X42</f>
        <v>149928.23</v>
      </c>
      <c r="Y48" s="52" t="n">
        <f aca="false">Y8+Y42</f>
        <v>5141.28795563398</v>
      </c>
      <c r="Z48" s="52" t="n">
        <f aca="false">Z8+Z42</f>
        <v>155069.517955634</v>
      </c>
      <c r="AA48" s="53" t="n">
        <f aca="false">AA8+AA42</f>
        <v>18.77</v>
      </c>
      <c r="AB48" s="56"/>
      <c r="AC48" s="56"/>
      <c r="AD48" s="57"/>
      <c r="AE48" s="85"/>
      <c r="AF48" s="85"/>
      <c r="AG48" s="86"/>
    </row>
    <row r="49" customFormat="false" ht="11.1" hidden="false" customHeight="true" outlineLevel="0" collapsed="false">
      <c r="A49" s="51" t="s">
        <v>54</v>
      </c>
      <c r="B49" s="51"/>
      <c r="C49" s="52"/>
      <c r="D49" s="52" t="n">
        <f aca="false">D8+D43</f>
        <v>37230</v>
      </c>
      <c r="E49" s="52" t="n">
        <f aca="false">E40</f>
        <v>180083</v>
      </c>
      <c r="F49" s="52" t="n">
        <f aca="false">F48*$D$2</f>
        <v>37230</v>
      </c>
      <c r="G49" s="52" t="n">
        <f aca="false">G48*$D$2</f>
        <v>276204.16015</v>
      </c>
      <c r="H49" s="56" t="n">
        <f aca="false">H48*$D$2</f>
        <v>18826.5886</v>
      </c>
      <c r="I49" s="52" t="n">
        <f aca="false">I48*$D$2</f>
        <v>295030.74875</v>
      </c>
      <c r="J49" s="52" t="n">
        <f aca="false">J48*$D$2</f>
        <v>49779.640115</v>
      </c>
      <c r="K49" s="52" t="n">
        <f aca="false">K48*$D$2</f>
        <v>344810.142065</v>
      </c>
      <c r="L49" s="52" t="n">
        <f aca="false">L48*$D$2</f>
        <v>39581.895455</v>
      </c>
      <c r="M49" s="52" t="n">
        <f aca="false">M48*$D$2</f>
        <v>52340.2013</v>
      </c>
      <c r="N49" s="52" t="n">
        <f aca="false">N48*$D$2</f>
        <v>0</v>
      </c>
      <c r="O49" s="52" t="n">
        <f aca="false">O48*$D$2</f>
        <v>0</v>
      </c>
      <c r="P49" s="52" t="n">
        <f aca="false">P48*$D$2</f>
        <v>52340.2013</v>
      </c>
      <c r="Q49" s="52" t="n">
        <f aca="false">Q48*$D$2</f>
        <v>38232.16085</v>
      </c>
      <c r="R49" s="52" t="n">
        <f aca="false">R48*$D$2</f>
        <v>18507.6418</v>
      </c>
      <c r="S49" s="52" t="n">
        <f aca="false">S48*$D$2</f>
        <v>109080.00395</v>
      </c>
      <c r="T49" s="52" t="n">
        <f aca="false">T48*$D$2</f>
        <v>-157.053530000007</v>
      </c>
      <c r="U49" s="52" t="n">
        <f aca="false">U48*$D$2</f>
        <v>21890.10435</v>
      </c>
      <c r="V49" s="52" t="n">
        <f aca="false">V48*$D$2</f>
        <v>166412.535905</v>
      </c>
      <c r="W49" s="52" t="n">
        <f aca="false">W48*$D$2</f>
        <v>7397.60209499991</v>
      </c>
      <c r="X49" s="52" t="n">
        <f aca="false">X48*$D$2</f>
        <v>297382.644205</v>
      </c>
      <c r="Y49" s="52" t="n">
        <f aca="false">Y48*$D$2</f>
        <v>10197.74466</v>
      </c>
      <c r="Z49" s="52" t="n">
        <f aca="false">Z48*$D$2</f>
        <v>307580.388865</v>
      </c>
      <c r="AA49" s="53"/>
      <c r="AB49" s="56"/>
      <c r="AC49" s="56"/>
      <c r="AD49" s="57"/>
      <c r="AE49" s="85"/>
      <c r="AF49" s="85"/>
      <c r="AG49" s="86"/>
    </row>
    <row r="50" customFormat="false" ht="3" hidden="false" customHeight="true" outlineLevel="0" collapsed="false">
      <c r="A50" s="72"/>
      <c r="B50" s="72"/>
      <c r="C50" s="74"/>
      <c r="D50" s="72"/>
      <c r="E50" s="74"/>
      <c r="F50" s="72"/>
      <c r="G50" s="72"/>
      <c r="H50" s="147"/>
      <c r="I50" s="72"/>
      <c r="J50" s="72"/>
      <c r="K50" s="151"/>
      <c r="L50" s="72"/>
      <c r="M50" s="72"/>
      <c r="N50" s="72"/>
      <c r="O50" s="72"/>
      <c r="P50" s="72"/>
      <c r="Q50" s="72"/>
      <c r="R50" s="72"/>
      <c r="S50" s="72"/>
      <c r="T50" s="74"/>
      <c r="U50" s="72"/>
      <c r="V50" s="72"/>
      <c r="W50" s="74"/>
      <c r="X50" s="72"/>
      <c r="Y50" s="72"/>
      <c r="Z50" s="72"/>
      <c r="AA50" s="53"/>
      <c r="AB50" s="56"/>
      <c r="AC50" s="56"/>
      <c r="AD50" s="57"/>
      <c r="AE50" s="85"/>
      <c r="AF50" s="85"/>
      <c r="AG50" s="86"/>
    </row>
    <row r="51" customFormat="false" ht="11.1" hidden="false" customHeight="true" outlineLevel="0" collapsed="false">
      <c r="A51" s="152"/>
      <c r="B51" s="81"/>
      <c r="C51" s="52"/>
      <c r="D51" s="51"/>
      <c r="E51" s="52"/>
      <c r="F51" s="51"/>
      <c r="G51" s="51"/>
      <c r="H51" s="82"/>
      <c r="I51" s="51"/>
      <c r="J51" s="51"/>
      <c r="K51" s="153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2"/>
      <c r="X51" s="51"/>
      <c r="Y51" s="51"/>
      <c r="Z51" s="51"/>
      <c r="AA51" s="53"/>
      <c r="AB51" s="56"/>
      <c r="AC51" s="56"/>
      <c r="AD51" s="57"/>
      <c r="AE51" s="84"/>
      <c r="AF51" s="84"/>
    </row>
    <row r="52" customFormat="false" ht="11.1" hidden="false" customHeight="true" outlineLevel="0" collapsed="false">
      <c r="A52" s="51"/>
      <c r="B52" s="71"/>
      <c r="C52" s="52"/>
      <c r="D52" s="79"/>
      <c r="E52" s="52"/>
      <c r="F52" s="51"/>
      <c r="G52" s="51"/>
      <c r="H52" s="79"/>
      <c r="I52" s="82"/>
      <c r="J52" s="51"/>
      <c r="K52" s="52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44"/>
      <c r="W52" s="52"/>
      <c r="X52" s="51"/>
      <c r="Y52" s="51"/>
      <c r="Z52" s="51"/>
      <c r="AA52" s="53"/>
      <c r="AB52" s="56"/>
      <c r="AC52" s="56"/>
      <c r="AD52" s="57"/>
      <c r="AE52" s="84"/>
      <c r="AF52" s="84"/>
    </row>
    <row r="53" customFormat="false" ht="11.1" hidden="false" customHeight="true" outlineLevel="0" collapsed="false">
      <c r="A53" s="79"/>
      <c r="B53" s="79"/>
      <c r="C53" s="52"/>
      <c r="D53" s="52"/>
      <c r="E53" s="52"/>
      <c r="F53" s="79"/>
      <c r="G53" s="79"/>
      <c r="H53" s="82"/>
      <c r="I53" s="79"/>
      <c r="J53" s="79"/>
      <c r="K53" s="45"/>
      <c r="L53" s="79"/>
      <c r="M53" s="78"/>
      <c r="N53" s="78"/>
      <c r="O53" s="78"/>
      <c r="P53" s="154"/>
      <c r="Q53" s="79"/>
      <c r="R53" s="91"/>
      <c r="S53" s="52"/>
      <c r="T53" s="56"/>
      <c r="V53" s="52"/>
      <c r="W53" s="79"/>
      <c r="X53" s="79"/>
      <c r="Y53" s="79"/>
      <c r="Z53" s="55"/>
      <c r="AA53" s="53"/>
      <c r="AB53" s="56"/>
      <c r="AC53" s="57"/>
      <c r="AD53" s="89"/>
      <c r="AE53" s="89"/>
    </row>
    <row r="54" customFormat="false" ht="11.1" hidden="false" customHeight="true" outlineLevel="0" collapsed="false">
      <c r="A54" s="79"/>
      <c r="B54" s="55"/>
      <c r="C54" s="52"/>
      <c r="D54" s="52"/>
      <c r="E54" s="52"/>
      <c r="F54" s="79"/>
      <c r="G54" s="79"/>
      <c r="H54" s="82"/>
      <c r="I54" s="79"/>
      <c r="J54" s="79"/>
      <c r="K54" s="79"/>
      <c r="L54" s="79"/>
      <c r="M54" s="78"/>
      <c r="N54" s="78"/>
      <c r="O54" s="78"/>
      <c r="P54" s="79"/>
      <c r="Q54" s="79"/>
      <c r="R54" s="79"/>
      <c r="S54" s="52"/>
      <c r="T54" s="52"/>
      <c r="V54" s="52"/>
      <c r="W54" s="79"/>
      <c r="X54" s="79"/>
      <c r="Y54" s="79"/>
      <c r="Z54" s="55"/>
      <c r="AA54" s="53"/>
      <c r="AB54" s="56"/>
      <c r="AC54" s="57"/>
      <c r="AD54" s="89"/>
      <c r="AE54" s="89"/>
    </row>
    <row r="55" customFormat="false" ht="11.1" hidden="false" customHeight="true" outlineLevel="0" collapsed="false">
      <c r="A55" s="79"/>
      <c r="B55" s="79"/>
      <c r="C55" s="52"/>
      <c r="D55" s="79"/>
      <c r="E55" s="52"/>
      <c r="F55" s="79"/>
      <c r="G55" s="83"/>
      <c r="H55" s="82"/>
      <c r="I55" s="79"/>
      <c r="J55" s="79"/>
      <c r="K55" s="79"/>
      <c r="L55" s="79"/>
      <c r="M55" s="78"/>
      <c r="N55" s="78"/>
      <c r="O55" s="78"/>
      <c r="P55" s="79"/>
      <c r="Q55" s="79"/>
      <c r="R55" s="79"/>
      <c r="S55" s="0"/>
      <c r="T55" s="52"/>
      <c r="V55" s="52"/>
      <c r="W55" s="79"/>
      <c r="X55" s="79"/>
      <c r="Y55" s="79"/>
      <c r="Z55" s="55"/>
      <c r="AA55" s="53"/>
      <c r="AB55" s="56"/>
      <c r="AC55" s="57"/>
      <c r="AD55" s="89"/>
      <c r="AE55" s="89"/>
    </row>
    <row r="56" customFormat="false" ht="11.1" hidden="false" customHeight="true" outlineLevel="0" collapsed="false">
      <c r="Q56" s="155"/>
      <c r="S56" s="52"/>
      <c r="T56" s="52"/>
    </row>
    <row r="57" customFormat="false" ht="11.1" hidden="false" customHeight="true" outlineLevel="0" collapsed="false">
      <c r="Q57" s="155"/>
      <c r="S57" s="52"/>
      <c r="T57" s="52"/>
    </row>
    <row r="58" customFormat="false" ht="11.1" hidden="false" customHeight="true" outlineLevel="0" collapsed="false">
      <c r="S58" s="52"/>
      <c r="T58" s="52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K2" activeCellId="0" sqref="K2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43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82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5.32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82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3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82"/>
      <c r="I2" s="51"/>
      <c r="J2" s="51"/>
      <c r="K2" s="59" t="s">
        <v>77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3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82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3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144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63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78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144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66"/>
      <c r="AB5" s="64" t="s">
        <v>43</v>
      </c>
      <c r="AC5" s="64" t="s">
        <v>43</v>
      </c>
      <c r="AD5" s="67" t="s">
        <v>78</v>
      </c>
      <c r="AE5" s="84"/>
      <c r="AF5" s="84"/>
      <c r="AH5" s="145"/>
      <c r="AI5" s="145"/>
    </row>
    <row r="6" customFormat="false" ht="11.1" hidden="false" customHeight="true" outlineLevel="0" collapsed="false">
      <c r="A6" s="68"/>
      <c r="B6" s="68"/>
      <c r="C6" s="156"/>
      <c r="D6" s="68"/>
      <c r="E6" s="69"/>
      <c r="F6" s="68"/>
      <c r="G6" s="68"/>
      <c r="H6" s="146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69"/>
      <c r="X6" s="68"/>
      <c r="Y6" s="68"/>
      <c r="Z6" s="68"/>
      <c r="AA6" s="53"/>
      <c r="AB6" s="57"/>
      <c r="AC6" s="57"/>
      <c r="AD6" s="57"/>
      <c r="AE6" s="85"/>
      <c r="AF6" s="85"/>
      <c r="AG6" s="86"/>
      <c r="AH6" s="145"/>
      <c r="AI6" s="145"/>
    </row>
    <row r="7" customFormat="false" ht="11.1" hidden="false" customHeight="true" outlineLevel="0" collapsed="false">
      <c r="A7" s="51" t="s">
        <v>44</v>
      </c>
      <c r="B7" s="51"/>
      <c r="C7" s="157"/>
      <c r="D7" s="52"/>
      <c r="E7" s="52"/>
      <c r="F7" s="52" t="n">
        <f aca="false">AUG!F45</f>
        <v>11867.4061003277</v>
      </c>
      <c r="G7" s="52" t="n">
        <f aca="false">AUG!G45</f>
        <v>126563.8</v>
      </c>
      <c r="H7" s="52" t="n">
        <f aca="false">AUG!H45</f>
        <v>8849.9</v>
      </c>
      <c r="I7" s="52" t="n">
        <f aca="false">AUG!I45</f>
        <v>135413.7</v>
      </c>
      <c r="J7" s="52" t="n">
        <f aca="false">AUG!J45</f>
        <v>22790.6022838417</v>
      </c>
      <c r="K7" s="52" t="n">
        <f aca="false">AUG!K45</f>
        <v>158204.302283842</v>
      </c>
      <c r="L7" s="52" t="n">
        <f aca="false">AUG!L45</f>
        <v>18910.5861003277</v>
      </c>
      <c r="M7" s="52" t="n">
        <f aca="false">AUG!M45</f>
        <v>25323.28</v>
      </c>
      <c r="N7" s="52" t="n">
        <f aca="false">AUG!N45</f>
        <v>0</v>
      </c>
      <c r="O7" s="52" t="n">
        <f aca="false">AUG!O45</f>
        <v>0</v>
      </c>
      <c r="P7" s="52" t="n">
        <f aca="false">AUG!P45</f>
        <v>25323.28</v>
      </c>
      <c r="Q7" s="52" t="n">
        <f aca="false">AUG!Q45</f>
        <v>17962.3</v>
      </c>
      <c r="R7" s="52" t="n">
        <f aca="false">AUG!R45</f>
        <v>9056.7</v>
      </c>
      <c r="S7" s="52" t="n">
        <f aca="false">AUG!S45</f>
        <v>52342.28</v>
      </c>
      <c r="T7" s="52" t="n">
        <f aca="false">AUG!T45</f>
        <v>-79.1800000000036</v>
      </c>
      <c r="U7" s="52" t="n">
        <f aca="false">AUG!U45</f>
        <v>11036.1</v>
      </c>
      <c r="V7" s="52" t="n">
        <f aca="false">AUG!V45</f>
        <v>79078.5</v>
      </c>
      <c r="W7" s="52"/>
      <c r="X7" s="52" t="n">
        <f aca="false">AUG!X45</f>
        <v>142456.88</v>
      </c>
      <c r="Y7" s="52" t="n">
        <f aca="false">AUG!Y45</f>
        <v>3880.01618351399</v>
      </c>
      <c r="Z7" s="52" t="n">
        <f aca="false">AUG!Z45</f>
        <v>146336.896183514</v>
      </c>
      <c r="AA7" s="53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AUG!B40</f>
        <v>6912.5</v>
      </c>
      <c r="C8" s="52" t="n">
        <f aca="false">AUG!C40</f>
        <v>332083</v>
      </c>
      <c r="D8" s="52" t="n">
        <f aca="false">AUG!D49</f>
        <v>37230</v>
      </c>
      <c r="E8" s="52" t="n">
        <f aca="false">AUG!E49</f>
        <v>180083</v>
      </c>
      <c r="F8" s="52" t="n">
        <f aca="false">AUG!F48</f>
        <v>18769.8512730023</v>
      </c>
      <c r="G8" s="52" t="n">
        <f aca="false">AUG!G48</f>
        <v>139250.9</v>
      </c>
      <c r="H8" s="52" t="n">
        <f aca="false">AUG!H48</f>
        <v>9491.6</v>
      </c>
      <c r="I8" s="52" t="n">
        <f aca="false">AUG!I48</f>
        <v>148742.5</v>
      </c>
      <c r="J8" s="52" t="n">
        <f aca="false">AUG!J48</f>
        <v>25096.8692286362</v>
      </c>
      <c r="K8" s="52" t="n">
        <f aca="false">AUG!K48</f>
        <v>173839.244802118</v>
      </c>
      <c r="L8" s="52" t="n">
        <f aca="false">AUG!L48</f>
        <v>19955.5812730023</v>
      </c>
      <c r="M8" s="52" t="n">
        <f aca="false">AUG!M48</f>
        <v>26387.8</v>
      </c>
      <c r="N8" s="52" t="n">
        <f aca="false">AUG!N48</f>
        <v>0</v>
      </c>
      <c r="O8" s="52" t="n">
        <f aca="false">AUG!O48</f>
        <v>0</v>
      </c>
      <c r="P8" s="52" t="n">
        <f aca="false">AUG!P48</f>
        <v>26387.8</v>
      </c>
      <c r="Q8" s="52" t="n">
        <f aca="false">AUG!Q48</f>
        <v>19275.1</v>
      </c>
      <c r="R8" s="52" t="n">
        <f aca="false">AUG!R48</f>
        <v>9330.8</v>
      </c>
      <c r="S8" s="52" t="n">
        <f aca="false">AUG!S48</f>
        <v>54993.7</v>
      </c>
      <c r="T8" s="52" t="n">
        <f aca="false">AUG!T48</f>
        <v>-79.1800000000036</v>
      </c>
      <c r="U8" s="52" t="n">
        <f aca="false">AUG!U48</f>
        <v>11036.1</v>
      </c>
      <c r="V8" s="52" t="n">
        <f aca="false">AUG!V48</f>
        <v>83898.43</v>
      </c>
      <c r="W8" s="52" t="n">
        <f aca="false">AUG!W48</f>
        <v>3729.56999999996</v>
      </c>
      <c r="X8" s="52" t="n">
        <f aca="false">AUG!X48</f>
        <v>149928.23</v>
      </c>
      <c r="Y8" s="52" t="n">
        <f aca="false">AUG!Y48</f>
        <v>5141.28795563398</v>
      </c>
      <c r="Z8" s="52" t="n">
        <f aca="false">AUG!Z48</f>
        <v>155069.517955634</v>
      </c>
      <c r="AA8" s="53" t="n">
        <f aca="false">AUG!AA48</f>
        <v>18.77</v>
      </c>
      <c r="AB8" s="56"/>
      <c r="AC8" s="56"/>
      <c r="AD8" s="57"/>
      <c r="AE8" s="85"/>
      <c r="AF8" s="85"/>
      <c r="AG8" s="87"/>
      <c r="AH8" s="44"/>
      <c r="AI8" s="44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147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75"/>
      <c r="AB9" s="76" t="n">
        <v>0</v>
      </c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6912.35</v>
      </c>
      <c r="C10" s="52" t="n">
        <v>331471</v>
      </c>
      <c r="D10" s="56" t="n">
        <f aca="false">C10-C8</f>
        <v>-612</v>
      </c>
      <c r="E10" s="52" t="n">
        <f aca="false">C10-151978</f>
        <v>179493</v>
      </c>
      <c r="F10" s="51" t="n">
        <f aca="false">D10/$D$2</f>
        <v>-308.545500378119</v>
      </c>
      <c r="G10" s="51" t="n">
        <v>173</v>
      </c>
      <c r="H10" s="82" t="n">
        <v>0</v>
      </c>
      <c r="I10" s="51" t="n">
        <f aca="false">G10+H10</f>
        <v>173</v>
      </c>
      <c r="J10" s="78" t="n">
        <f aca="false">IF(L10&gt;0,L10,0)</f>
        <v>22.5544996218805</v>
      </c>
      <c r="K10" s="51" t="n">
        <f aca="false">I10+J10</f>
        <v>195.554499621881</v>
      </c>
      <c r="L10" s="51" t="n">
        <f aca="false">F10-(I10-X10)</f>
        <v>22.5544996218805</v>
      </c>
      <c r="M10" s="51" t="n">
        <v>166.1</v>
      </c>
      <c r="N10" s="7" t="n">
        <v>0</v>
      </c>
      <c r="O10" s="51" t="n">
        <v>0</v>
      </c>
      <c r="P10" s="6" t="n">
        <f aca="false">M10-(N10+O10)</f>
        <v>166.1</v>
      </c>
      <c r="Q10" s="51" t="n">
        <v>115.9</v>
      </c>
      <c r="R10" s="51" t="n">
        <v>55.5</v>
      </c>
      <c r="S10" s="51" t="n">
        <f aca="false">SUM(P10:R10)</f>
        <v>337.5</v>
      </c>
      <c r="T10" s="52" t="n">
        <f aca="false">(I10-S10)+T7</f>
        <v>-243.680000000004</v>
      </c>
      <c r="U10" s="51" t="n">
        <v>99.3</v>
      </c>
      <c r="V10" s="51" t="n">
        <v>67.3</v>
      </c>
      <c r="W10" s="52" t="n">
        <f aca="false">W8-V10</f>
        <v>3662.26999999996</v>
      </c>
      <c r="X10" s="6" t="n">
        <f aca="false">N10+O10+S10+U10+V10</f>
        <v>504.1</v>
      </c>
      <c r="Y10" s="51" t="n">
        <f aca="false">IF(L10&lt;0,L10*-1,0)</f>
        <v>0</v>
      </c>
      <c r="Z10" s="51" t="n">
        <f aca="false">X10+Y10</f>
        <v>504.1</v>
      </c>
      <c r="AA10" s="53" t="n">
        <v>0</v>
      </c>
      <c r="AB10" s="56" t="n">
        <v>69</v>
      </c>
      <c r="AC10" s="56" t="n">
        <v>41</v>
      </c>
      <c r="AD10" s="57" t="n">
        <v>1</v>
      </c>
      <c r="AE10" s="86"/>
      <c r="AF10" s="87"/>
      <c r="AG10" s="87"/>
    </row>
    <row r="11" customFormat="false" ht="11.1" hidden="false" customHeight="true" outlineLevel="0" collapsed="false">
      <c r="A11" s="57" t="n">
        <v>2</v>
      </c>
      <c r="B11" s="71" t="n">
        <v>6912.15</v>
      </c>
      <c r="C11" s="52" t="n">
        <v>330655</v>
      </c>
      <c r="D11" s="56" t="n">
        <f aca="false">C11-C10</f>
        <v>-816</v>
      </c>
      <c r="E11" s="52" t="n">
        <f aca="false">C11-151978</f>
        <v>178677</v>
      </c>
      <c r="F11" s="51" t="n">
        <f aca="false">D11/$D$2</f>
        <v>-411.394000504159</v>
      </c>
      <c r="G11" s="51" t="n">
        <v>168.7</v>
      </c>
      <c r="H11" s="82" t="n">
        <v>0</v>
      </c>
      <c r="I11" s="51" t="n">
        <f aca="false">G11+H11</f>
        <v>168.7</v>
      </c>
      <c r="J11" s="78" t="n">
        <f aca="false">IF(L11&gt;0,L11,0)</f>
        <v>0</v>
      </c>
      <c r="K11" s="51" t="n">
        <f aca="false">I11+J11</f>
        <v>168.7</v>
      </c>
      <c r="L11" s="51" t="n">
        <f aca="false">F11-(I11-X11)</f>
        <v>-74.5940005041592</v>
      </c>
      <c r="M11" s="51" t="n">
        <v>163.4</v>
      </c>
      <c r="N11" s="51" t="n">
        <v>0</v>
      </c>
      <c r="O11" s="51" t="n">
        <v>0</v>
      </c>
      <c r="P11" s="6" t="n">
        <f aca="false">M11-(N11+O11)</f>
        <v>163.4</v>
      </c>
      <c r="Q11" s="51" t="n">
        <v>116.4</v>
      </c>
      <c r="R11" s="51" t="n">
        <v>55.5</v>
      </c>
      <c r="S11" s="51" t="n">
        <f aca="false">SUM(P11:R11)</f>
        <v>335.3</v>
      </c>
      <c r="T11" s="52" t="n">
        <f aca="false">(I11-S11)+T10</f>
        <v>-410.280000000004</v>
      </c>
      <c r="U11" s="51" t="n">
        <v>102.9</v>
      </c>
      <c r="V11" s="51" t="n">
        <v>67.3</v>
      </c>
      <c r="W11" s="52" t="n">
        <f aca="false">W10-V11</f>
        <v>3594.96999999996</v>
      </c>
      <c r="X11" s="6" t="n">
        <f aca="false">N11+O11+S11+U11+V11</f>
        <v>505.5</v>
      </c>
      <c r="Y11" s="51" t="n">
        <f aca="false">IF(L11&lt;0,L11*-1,0)</f>
        <v>74.5940005041592</v>
      </c>
      <c r="Z11" s="51" t="n">
        <f aca="false">X11+Y11</f>
        <v>580.094000504159</v>
      </c>
      <c r="AA11" s="53" t="n">
        <v>0</v>
      </c>
      <c r="AB11" s="56" t="n">
        <v>74</v>
      </c>
      <c r="AC11" s="56" t="n">
        <v>42</v>
      </c>
      <c r="AD11" s="57" t="n">
        <v>2</v>
      </c>
      <c r="AE11" s="86"/>
      <c r="AF11" s="87"/>
      <c r="AG11" s="87"/>
    </row>
    <row r="12" customFormat="false" ht="11.1" hidden="false" customHeight="true" outlineLevel="0" collapsed="false">
      <c r="A12" s="57" t="n">
        <v>3</v>
      </c>
      <c r="B12" s="71" t="n">
        <v>6911.96</v>
      </c>
      <c r="C12" s="52" t="n">
        <v>329882</v>
      </c>
      <c r="D12" s="56" t="n">
        <f aca="false">C12-C11</f>
        <v>-773</v>
      </c>
      <c r="E12" s="52" t="n">
        <f aca="false">C12-151978</f>
        <v>177904</v>
      </c>
      <c r="F12" s="51" t="n">
        <f aca="false">D12/$D$2</f>
        <v>-389.715149987396</v>
      </c>
      <c r="G12" s="51" t="n">
        <v>155.6</v>
      </c>
      <c r="H12" s="82" t="n">
        <v>0</v>
      </c>
      <c r="I12" s="51" t="n">
        <f aca="false">G12+H12</f>
        <v>155.6</v>
      </c>
      <c r="J12" s="78" t="n">
        <f aca="false">IF(L12&gt;0,L12,0)</f>
        <v>0</v>
      </c>
      <c r="K12" s="51" t="n">
        <f aca="false">I12+J12</f>
        <v>155.6</v>
      </c>
      <c r="L12" s="51" t="n">
        <f aca="false">F12-(I12-X12)</f>
        <v>-45.215149987396</v>
      </c>
      <c r="M12" s="51" t="n">
        <v>161.4</v>
      </c>
      <c r="N12" s="51" t="n">
        <v>0</v>
      </c>
      <c r="O12" s="51" t="n">
        <v>0</v>
      </c>
      <c r="P12" s="6" t="n">
        <f aca="false">M12-(N12+O12)</f>
        <v>161.4</v>
      </c>
      <c r="Q12" s="51" t="n">
        <v>116.1</v>
      </c>
      <c r="R12" s="51" t="n">
        <v>61</v>
      </c>
      <c r="S12" s="51" t="n">
        <f aca="false">SUM(P12:R12)</f>
        <v>338.5</v>
      </c>
      <c r="T12" s="52" t="n">
        <f aca="false">(I12-S12)+T11</f>
        <v>-593.180000000004</v>
      </c>
      <c r="U12" s="51" t="n">
        <v>94.3</v>
      </c>
      <c r="V12" s="51" t="n">
        <v>67.3</v>
      </c>
      <c r="W12" s="52" t="n">
        <f aca="false">W11-V12</f>
        <v>3527.66999999996</v>
      </c>
      <c r="X12" s="6" t="n">
        <f aca="false">N12+O12+S12+U12+V12</f>
        <v>500.1</v>
      </c>
      <c r="Y12" s="51" t="n">
        <f aca="false">IF(L12&lt;0,L12*-1,0)</f>
        <v>45.215149987396</v>
      </c>
      <c r="Z12" s="51" t="n">
        <f aca="false">X12+Y12</f>
        <v>545.315149987396</v>
      </c>
      <c r="AA12" s="53" t="n">
        <v>0</v>
      </c>
      <c r="AB12" s="56" t="n">
        <v>76</v>
      </c>
      <c r="AC12" s="56" t="n">
        <v>44</v>
      </c>
      <c r="AD12" s="57" t="n">
        <v>3</v>
      </c>
      <c r="AE12" s="86"/>
      <c r="AF12" s="87"/>
      <c r="AG12" s="87"/>
    </row>
    <row r="13" customFormat="false" ht="11.1" hidden="false" customHeight="true" outlineLevel="0" collapsed="false">
      <c r="A13" s="57" t="n">
        <v>4</v>
      </c>
      <c r="B13" s="71" t="n">
        <v>6911.8</v>
      </c>
      <c r="C13" s="52" t="n">
        <v>329234</v>
      </c>
      <c r="D13" s="56" t="n">
        <f aca="false">C13-C12</f>
        <v>-648</v>
      </c>
      <c r="E13" s="52" t="n">
        <f aca="false">C13-151978</f>
        <v>177256</v>
      </c>
      <c r="F13" s="51" t="n">
        <f aca="false">D13/$D$2</f>
        <v>-326.695235694479</v>
      </c>
      <c r="G13" s="51" t="n">
        <v>146.3</v>
      </c>
      <c r="H13" s="82" t="n">
        <v>0</v>
      </c>
      <c r="I13" s="51" t="n">
        <f aca="false">G13+H13</f>
        <v>146.3</v>
      </c>
      <c r="J13" s="78" t="n">
        <f aca="false">IF(L13&gt;0,L13,0)</f>
        <v>18.0047643055206</v>
      </c>
      <c r="K13" s="51" t="n">
        <f aca="false">I13+J13</f>
        <v>164.304764305521</v>
      </c>
      <c r="L13" s="51" t="n">
        <f aca="false">F13-(I13-X13)</f>
        <v>18.0047643055206</v>
      </c>
      <c r="M13" s="51" t="n">
        <v>154.3</v>
      </c>
      <c r="N13" s="51" t="n">
        <v>0</v>
      </c>
      <c r="O13" s="51" t="n">
        <v>0</v>
      </c>
      <c r="P13" s="6" t="n">
        <f aca="false">M13-(N13+O13)</f>
        <v>154.3</v>
      </c>
      <c r="Q13" s="51" t="n">
        <v>116.3</v>
      </c>
      <c r="R13" s="51" t="n">
        <v>61</v>
      </c>
      <c r="S13" s="51" t="n">
        <f aca="false">SUM(P13:R13)</f>
        <v>331.6</v>
      </c>
      <c r="T13" s="52" t="n">
        <f aca="false">(I13-S13)+T12</f>
        <v>-778.480000000004</v>
      </c>
      <c r="U13" s="51" t="n">
        <v>92.3</v>
      </c>
      <c r="V13" s="51" t="n">
        <v>67.1</v>
      </c>
      <c r="W13" s="52" t="n">
        <f aca="false">W12-V13</f>
        <v>3460.56999999996</v>
      </c>
      <c r="X13" s="6" t="n">
        <f aca="false">N13+O13+S13+U13+V13</f>
        <v>491</v>
      </c>
      <c r="Y13" s="51" t="n">
        <f aca="false">IF(L13&lt;0,L13*-1,0)</f>
        <v>0</v>
      </c>
      <c r="Z13" s="51" t="n">
        <f aca="false">X13+Y13</f>
        <v>491</v>
      </c>
      <c r="AA13" s="53" t="n">
        <v>0</v>
      </c>
      <c r="AB13" s="56" t="n">
        <v>68</v>
      </c>
      <c r="AC13" s="56" t="n">
        <v>50</v>
      </c>
      <c r="AD13" s="57" t="n">
        <v>4</v>
      </c>
      <c r="AE13" s="86"/>
      <c r="AF13" s="87"/>
      <c r="AG13" s="87"/>
    </row>
    <row r="14" customFormat="false" ht="11.1" hidden="false" customHeight="true" outlineLevel="0" collapsed="false">
      <c r="A14" s="57" t="n">
        <v>5</v>
      </c>
      <c r="B14" s="71" t="n">
        <v>6911.6</v>
      </c>
      <c r="C14" s="52" t="n">
        <v>328426</v>
      </c>
      <c r="D14" s="56" t="n">
        <f aca="false">C14-C13</f>
        <v>-808</v>
      </c>
      <c r="E14" s="52" t="n">
        <f aca="false">C14-151978</f>
        <v>176448</v>
      </c>
      <c r="F14" s="51" t="n">
        <f aca="false">D14/$D$2</f>
        <v>-407.360725989413</v>
      </c>
      <c r="G14" s="51" t="n">
        <v>139.5</v>
      </c>
      <c r="H14" s="82" t="n">
        <v>0</v>
      </c>
      <c r="I14" s="51" t="n">
        <f aca="false">G14+H14</f>
        <v>139.5</v>
      </c>
      <c r="J14" s="78" t="n">
        <f aca="false">IF(L14&gt;0,L14,0)</f>
        <v>0</v>
      </c>
      <c r="K14" s="51" t="n">
        <f aca="false">I14+J14</f>
        <v>139.5</v>
      </c>
      <c r="L14" s="51" t="n">
        <f aca="false">F14-(I14-X14)</f>
        <v>-62.1607259894126</v>
      </c>
      <c r="M14" s="51" t="n">
        <v>148.5</v>
      </c>
      <c r="N14" s="51" t="n">
        <v>0</v>
      </c>
      <c r="O14" s="51" t="n">
        <v>0</v>
      </c>
      <c r="P14" s="6" t="n">
        <f aca="false">M14-(N14+O14)</f>
        <v>148.5</v>
      </c>
      <c r="Q14" s="51" t="n">
        <v>116.6</v>
      </c>
      <c r="R14" s="51" t="n">
        <v>61</v>
      </c>
      <c r="S14" s="51" t="n">
        <f aca="false">SUM(P14:R14)</f>
        <v>326.1</v>
      </c>
      <c r="T14" s="52" t="n">
        <f aca="false">(I14-S14)+T13</f>
        <v>-965.080000000004</v>
      </c>
      <c r="U14" s="51" t="n">
        <v>91.3</v>
      </c>
      <c r="V14" s="51" t="n">
        <v>67.3</v>
      </c>
      <c r="W14" s="52" t="n">
        <f aca="false">W13-V14</f>
        <v>3393.26999999996</v>
      </c>
      <c r="X14" s="6" t="n">
        <f aca="false">N14+O14+S14+U14+V14</f>
        <v>484.7</v>
      </c>
      <c r="Y14" s="51" t="n">
        <f aca="false">IF(L14&lt;0,L14*-1,0)</f>
        <v>62.1607259894126</v>
      </c>
      <c r="Z14" s="51" t="n">
        <f aca="false">X14+Y14</f>
        <v>546.860725989413</v>
      </c>
      <c r="AA14" s="53" t="n">
        <v>0</v>
      </c>
      <c r="AB14" s="56" t="n">
        <v>71</v>
      </c>
      <c r="AC14" s="56" t="n">
        <v>40</v>
      </c>
      <c r="AD14" s="57" t="n">
        <v>5</v>
      </c>
      <c r="AE14" s="86"/>
      <c r="AF14" s="87"/>
      <c r="AG14" s="87"/>
    </row>
    <row r="15" customFormat="false" ht="11.1" hidden="false" customHeight="true" outlineLevel="0" collapsed="false">
      <c r="A15" s="57" t="n">
        <v>6</v>
      </c>
      <c r="B15" s="71" t="n">
        <v>6911.42</v>
      </c>
      <c r="C15" s="52" t="n">
        <v>327698</v>
      </c>
      <c r="D15" s="56" t="n">
        <f aca="false">C15-C14</f>
        <v>-728</v>
      </c>
      <c r="E15" s="52" t="n">
        <f aca="false">C15-151978</f>
        <v>175720</v>
      </c>
      <c r="F15" s="51" t="n">
        <f aca="false">D15/$D$2</f>
        <v>-367.027980841946</v>
      </c>
      <c r="G15" s="51" t="n">
        <v>135.1</v>
      </c>
      <c r="H15" s="82" t="n">
        <v>0</v>
      </c>
      <c r="I15" s="51" t="n">
        <f aca="false">G15+H15</f>
        <v>135.1</v>
      </c>
      <c r="J15" s="78" t="n">
        <f aca="false">IF(L15&gt;0,L15,0)</f>
        <v>0</v>
      </c>
      <c r="K15" s="51" t="n">
        <f aca="false">I15+J15</f>
        <v>135.1</v>
      </c>
      <c r="L15" s="51" t="n">
        <f aca="false">F15-(I15-X15)</f>
        <v>-18.927980841946</v>
      </c>
      <c r="M15" s="51" t="n">
        <v>148.6</v>
      </c>
      <c r="N15" s="51" t="n">
        <v>0</v>
      </c>
      <c r="O15" s="51" t="n">
        <v>0</v>
      </c>
      <c r="P15" s="6" t="n">
        <f aca="false">M15-(N15+O15)</f>
        <v>148.6</v>
      </c>
      <c r="Q15" s="51" t="n">
        <v>116.5</v>
      </c>
      <c r="R15" s="51" t="n">
        <v>61.5</v>
      </c>
      <c r="S15" s="51" t="n">
        <f aca="false">SUM(P15:R15)</f>
        <v>326.6</v>
      </c>
      <c r="T15" s="52" t="n">
        <f aca="false">(I15-S15)+T14</f>
        <v>-1156.58</v>
      </c>
      <c r="U15" s="51" t="n">
        <v>89.3</v>
      </c>
      <c r="V15" s="51" t="n">
        <v>67.3</v>
      </c>
      <c r="W15" s="52" t="n">
        <f aca="false">W14-V15</f>
        <v>3325.96999999995</v>
      </c>
      <c r="X15" s="6" t="n">
        <f aca="false">N15+O15+S15+U15+V15</f>
        <v>483.2</v>
      </c>
      <c r="Y15" s="51" t="n">
        <f aca="false">IF(L15&lt;0,L15*-1,0)</f>
        <v>18.927980841946</v>
      </c>
      <c r="Z15" s="51" t="n">
        <f aca="false">X15+Y15</f>
        <v>502.127980841946</v>
      </c>
      <c r="AA15" s="53" t="n">
        <v>0</v>
      </c>
      <c r="AB15" s="56" t="n">
        <v>76</v>
      </c>
      <c r="AC15" s="56" t="n">
        <v>45</v>
      </c>
      <c r="AD15" s="57" t="n">
        <v>6</v>
      </c>
      <c r="AE15" s="86"/>
      <c r="AF15" s="87"/>
      <c r="AG15" s="87"/>
    </row>
    <row r="16" customFormat="false" ht="11.1" hidden="false" customHeight="true" outlineLevel="0" collapsed="false">
      <c r="A16" s="57" t="n">
        <v>7</v>
      </c>
      <c r="B16" s="71" t="n">
        <v>6911.22</v>
      </c>
      <c r="C16" s="52" t="n">
        <v>326890</v>
      </c>
      <c r="D16" s="56" t="n">
        <f aca="false">C16-C15</f>
        <v>-808</v>
      </c>
      <c r="E16" s="52" t="n">
        <f aca="false">C16-151978</f>
        <v>174912</v>
      </c>
      <c r="F16" s="51" t="n">
        <f aca="false">D16/$D$2</f>
        <v>-407.360725989413</v>
      </c>
      <c r="G16" s="51" t="n">
        <v>128.7</v>
      </c>
      <c r="H16" s="82" t="n">
        <v>0</v>
      </c>
      <c r="I16" s="51" t="n">
        <f aca="false">G16+H16</f>
        <v>128.7</v>
      </c>
      <c r="J16" s="78" t="n">
        <f aca="false">IF(L16&gt;0,L16,0)</f>
        <v>0</v>
      </c>
      <c r="K16" s="51" t="n">
        <f aca="false">I16+J16</f>
        <v>128.7</v>
      </c>
      <c r="L16" s="51" t="n">
        <f aca="false">F16-(I16-X16)</f>
        <v>-52.3607259894126</v>
      </c>
      <c r="M16" s="51" t="n">
        <v>149.6</v>
      </c>
      <c r="N16" s="51" t="n">
        <v>0</v>
      </c>
      <c r="O16" s="51" t="n">
        <v>0</v>
      </c>
      <c r="P16" s="6" t="n">
        <f aca="false">M16-(N16+O16)</f>
        <v>149.6</v>
      </c>
      <c r="Q16" s="51" t="n">
        <v>116</v>
      </c>
      <c r="R16" s="51" t="n">
        <v>57</v>
      </c>
      <c r="S16" s="51" t="n">
        <f aca="false">SUM(P16:R16)</f>
        <v>322.6</v>
      </c>
      <c r="T16" s="52" t="n">
        <f aca="false">(I16-S16)+T15</f>
        <v>-1350.48</v>
      </c>
      <c r="U16" s="51" t="n">
        <v>93.8</v>
      </c>
      <c r="V16" s="51" t="n">
        <v>67.3</v>
      </c>
      <c r="W16" s="52" t="n">
        <f aca="false">W15-V16</f>
        <v>3258.66999999995</v>
      </c>
      <c r="X16" s="6" t="n">
        <f aca="false">N16+O16+S16+U16+V16</f>
        <v>483.7</v>
      </c>
      <c r="Y16" s="51" t="n">
        <f aca="false">IF(L16&lt;0,L16*-1,0)</f>
        <v>52.3607259894126</v>
      </c>
      <c r="Z16" s="51" t="n">
        <f aca="false">X16+Y16</f>
        <v>536.060725989413</v>
      </c>
      <c r="AA16" s="53" t="n">
        <v>0</v>
      </c>
      <c r="AB16" s="56" t="n">
        <v>74</v>
      </c>
      <c r="AC16" s="56" t="n">
        <v>44</v>
      </c>
      <c r="AD16" s="57" t="n">
        <v>7</v>
      </c>
      <c r="AE16" s="86"/>
      <c r="AF16" s="87"/>
      <c r="AG16" s="87"/>
    </row>
    <row r="17" customFormat="false" ht="11.1" hidden="false" customHeight="true" outlineLevel="0" collapsed="false">
      <c r="A17" s="57" t="n">
        <v>8</v>
      </c>
      <c r="B17" s="71" t="n">
        <v>6911.02</v>
      </c>
      <c r="C17" s="52" t="n">
        <v>326080</v>
      </c>
      <c r="D17" s="56" t="n">
        <f aca="false">C17-C16</f>
        <v>-810</v>
      </c>
      <c r="E17" s="52" t="n">
        <f aca="false">C17-151978</f>
        <v>174102</v>
      </c>
      <c r="F17" s="51" t="n">
        <f aca="false">D17/$D$2</f>
        <v>-408.369044618099</v>
      </c>
      <c r="G17" s="51" t="n">
        <v>121.8</v>
      </c>
      <c r="H17" s="82" t="n">
        <v>0</v>
      </c>
      <c r="I17" s="51" t="n">
        <f aca="false">G17+H17</f>
        <v>121.8</v>
      </c>
      <c r="J17" s="78" t="n">
        <f aca="false">IF(L17&gt;0,L17,0)</f>
        <v>0</v>
      </c>
      <c r="K17" s="51" t="n">
        <f aca="false">I17+J17</f>
        <v>121.8</v>
      </c>
      <c r="L17" s="51" t="n">
        <f aca="false">F17-(I17-X17)</f>
        <v>-24.2690446180994</v>
      </c>
      <c r="M17" s="51" t="n">
        <v>159.2</v>
      </c>
      <c r="N17" s="51" t="n">
        <v>0</v>
      </c>
      <c r="O17" s="51" t="n">
        <v>0</v>
      </c>
      <c r="P17" s="6" t="n">
        <f aca="false">M17-(N17+O17)</f>
        <v>159.2</v>
      </c>
      <c r="Q17" s="51" t="n">
        <v>115.6</v>
      </c>
      <c r="R17" s="51" t="n">
        <v>64.5</v>
      </c>
      <c r="S17" s="51" t="n">
        <f aca="false">SUM(P17:R17)</f>
        <v>339.3</v>
      </c>
      <c r="T17" s="52" t="n">
        <f aca="false">(I17-S17)+T16</f>
        <v>-1567.98</v>
      </c>
      <c r="U17" s="51" t="n">
        <v>99.3</v>
      </c>
      <c r="V17" s="51" t="n">
        <v>67.3</v>
      </c>
      <c r="W17" s="52" t="n">
        <f aca="false">W16-V17</f>
        <v>3191.36999999995</v>
      </c>
      <c r="X17" s="6" t="n">
        <f aca="false">N17+O17+S17+U17+V17</f>
        <v>505.9</v>
      </c>
      <c r="Y17" s="51" t="n">
        <f aca="false">IF(L17&lt;0,L17*-1,0)</f>
        <v>24.2690446180994</v>
      </c>
      <c r="Z17" s="51" t="n">
        <f aca="false">X17+Y17</f>
        <v>530.169044618099</v>
      </c>
      <c r="AA17" s="53" t="n">
        <v>0</v>
      </c>
      <c r="AB17" s="56" t="n">
        <v>78</v>
      </c>
      <c r="AC17" s="56" t="n">
        <v>46</v>
      </c>
      <c r="AD17" s="57" t="n">
        <v>8</v>
      </c>
      <c r="AE17" s="86"/>
      <c r="AF17" s="87"/>
      <c r="AG17" s="87"/>
    </row>
    <row r="18" customFormat="false" ht="11.1" hidden="false" customHeight="true" outlineLevel="0" collapsed="false">
      <c r="A18" s="57" t="n">
        <v>9</v>
      </c>
      <c r="B18" s="71" t="n">
        <v>6910.82</v>
      </c>
      <c r="C18" s="52" t="n">
        <v>325276</v>
      </c>
      <c r="D18" s="56" t="n">
        <f aca="false">C18-C17</f>
        <v>-804</v>
      </c>
      <c r="E18" s="52" t="n">
        <f aca="false">C18-151978</f>
        <v>173298</v>
      </c>
      <c r="F18" s="51" t="n">
        <f aca="false">D18/$D$2</f>
        <v>-405.344088732039</v>
      </c>
      <c r="G18" s="51" t="n">
        <v>116.5</v>
      </c>
      <c r="H18" s="82" t="n">
        <v>0</v>
      </c>
      <c r="I18" s="51" t="n">
        <f aca="false">G18+H18</f>
        <v>116.5</v>
      </c>
      <c r="J18" s="78" t="n">
        <f aca="false">IF(L18&gt;0,L18,0)</f>
        <v>0</v>
      </c>
      <c r="K18" s="51" t="n">
        <f aca="false">I18+J18</f>
        <v>116.5</v>
      </c>
      <c r="L18" s="51" t="n">
        <f aca="false">F18-(I18-X18)</f>
        <v>-17.4440887320393</v>
      </c>
      <c r="M18" s="51" t="n">
        <v>166.5</v>
      </c>
      <c r="N18" s="51" t="n">
        <v>0</v>
      </c>
      <c r="O18" s="51" t="n">
        <v>0</v>
      </c>
      <c r="P18" s="6" t="n">
        <f aca="false">M18-(N18+O18)</f>
        <v>166.5</v>
      </c>
      <c r="Q18" s="51" t="n">
        <v>115.8</v>
      </c>
      <c r="R18" s="51" t="n">
        <v>63.5</v>
      </c>
      <c r="S18" s="51" t="n">
        <f aca="false">SUM(P18:R18)</f>
        <v>345.8</v>
      </c>
      <c r="T18" s="52" t="n">
        <f aca="false">(I18-S18)+T17</f>
        <v>-1797.28</v>
      </c>
      <c r="U18" s="51" t="n">
        <v>91.3</v>
      </c>
      <c r="V18" s="51" t="n">
        <v>67.3</v>
      </c>
      <c r="W18" s="52" t="n">
        <f aca="false">W17-V18</f>
        <v>3124.06999999995</v>
      </c>
      <c r="X18" s="6" t="n">
        <f aca="false">N18+O18+S18+U18+V18</f>
        <v>504.4</v>
      </c>
      <c r="Y18" s="51" t="n">
        <f aca="false">IF(L18&lt;0,L18*-1,0)</f>
        <v>17.4440887320393</v>
      </c>
      <c r="Z18" s="51" t="n">
        <f aca="false">X18+Y18</f>
        <v>521.844088732039</v>
      </c>
      <c r="AA18" s="53" t="n">
        <v>0</v>
      </c>
      <c r="AB18" s="56" t="n">
        <v>79</v>
      </c>
      <c r="AC18" s="56" t="n">
        <v>43</v>
      </c>
      <c r="AD18" s="57" t="n">
        <v>9</v>
      </c>
      <c r="AE18" s="86"/>
      <c r="AF18" s="87"/>
      <c r="AG18" s="87"/>
    </row>
    <row r="19" customFormat="false" ht="11.1" hidden="false" customHeight="true" outlineLevel="0" collapsed="false">
      <c r="A19" s="57" t="n">
        <v>10</v>
      </c>
      <c r="B19" s="71" t="n">
        <v>6910.58</v>
      </c>
      <c r="C19" s="52" t="n">
        <v>324314</v>
      </c>
      <c r="D19" s="56" t="n">
        <f aca="false">C19-C18</f>
        <v>-962</v>
      </c>
      <c r="E19" s="52" t="n">
        <f aca="false">C19-151978</f>
        <v>172336</v>
      </c>
      <c r="F19" s="51" t="n">
        <f aca="false">D19/$D$2</f>
        <v>-485.001260398286</v>
      </c>
      <c r="G19" s="51" t="n">
        <v>114.4</v>
      </c>
      <c r="H19" s="82" t="n">
        <v>0</v>
      </c>
      <c r="I19" s="51" t="n">
        <f aca="false">G19+H19</f>
        <v>114.4</v>
      </c>
      <c r="J19" s="78" t="n">
        <f aca="false">IF(L19&gt;0,L19,0)</f>
        <v>0</v>
      </c>
      <c r="K19" s="51" t="n">
        <f aca="false">I19+J19</f>
        <v>114.4</v>
      </c>
      <c r="L19" s="51" t="n">
        <f aca="false">F19-(I19-X19)</f>
        <v>-77.5012603982859</v>
      </c>
      <c r="M19" s="51" t="n">
        <v>166.3</v>
      </c>
      <c r="N19" s="51" t="n">
        <v>0</v>
      </c>
      <c r="O19" s="51" t="n">
        <v>0</v>
      </c>
      <c r="P19" s="6" t="n">
        <f aca="false">M19-(N19+O19)</f>
        <v>166.3</v>
      </c>
      <c r="Q19" s="51" t="n">
        <v>115.2</v>
      </c>
      <c r="R19" s="51" t="n">
        <v>67.1</v>
      </c>
      <c r="S19" s="51" t="n">
        <f aca="false">SUM(P19:R19)</f>
        <v>348.6</v>
      </c>
      <c r="T19" s="52" t="n">
        <f aca="false">(I19-S19)+T18</f>
        <v>-2031.48</v>
      </c>
      <c r="U19" s="51" t="n">
        <v>106.9</v>
      </c>
      <c r="V19" s="51" t="n">
        <v>66.4</v>
      </c>
      <c r="W19" s="52" t="n">
        <f aca="false">W18-V19</f>
        <v>3057.66999999995</v>
      </c>
      <c r="X19" s="6" t="n">
        <f aca="false">N19+O19+S19+U19+V19</f>
        <v>521.9</v>
      </c>
      <c r="Y19" s="51" t="n">
        <f aca="false">IF(L19&lt;0,L19*-1,0)</f>
        <v>77.5012603982859</v>
      </c>
      <c r="Z19" s="51" t="n">
        <f aca="false">X19+Y19</f>
        <v>599.401260398286</v>
      </c>
      <c r="AA19" s="53" t="n">
        <v>0</v>
      </c>
      <c r="AB19" s="56" t="n">
        <v>80</v>
      </c>
      <c r="AC19" s="56" t="n">
        <v>44</v>
      </c>
      <c r="AD19" s="57" t="n">
        <v>10</v>
      </c>
      <c r="AE19" s="86"/>
      <c r="AF19" s="87"/>
      <c r="AG19" s="87"/>
    </row>
    <row r="20" customFormat="false" ht="11.1" hidden="false" customHeight="true" outlineLevel="0" collapsed="false">
      <c r="A20" s="57" t="n">
        <v>11</v>
      </c>
      <c r="B20" s="71" t="n">
        <v>6910.33</v>
      </c>
      <c r="C20" s="52" t="n">
        <v>323310</v>
      </c>
      <c r="D20" s="56" t="n">
        <f aca="false">C20-C19</f>
        <v>-1004</v>
      </c>
      <c r="E20" s="52" t="n">
        <f aca="false">C20-151978</f>
        <v>171332</v>
      </c>
      <c r="F20" s="51" t="n">
        <f aca="false">D20/$D$2</f>
        <v>-506.175951600706</v>
      </c>
      <c r="G20" s="51" t="n">
        <v>112.5</v>
      </c>
      <c r="H20" s="82" t="n">
        <v>0</v>
      </c>
      <c r="I20" s="51" t="n">
        <f aca="false">G20+H20</f>
        <v>112.5</v>
      </c>
      <c r="J20" s="78" t="n">
        <f aca="false">IF(L20&gt;0,L20,0)</f>
        <v>0</v>
      </c>
      <c r="K20" s="51" t="n">
        <f aca="false">I20+J20</f>
        <v>112.5</v>
      </c>
      <c r="L20" s="51" t="n">
        <f aca="false">F20-(I20-X20)</f>
        <v>-101.175951600706</v>
      </c>
      <c r="M20" s="51" t="n">
        <v>175.7</v>
      </c>
      <c r="N20" s="51" t="n">
        <v>0</v>
      </c>
      <c r="O20" s="51" t="n">
        <v>0</v>
      </c>
      <c r="P20" s="6" t="n">
        <f aca="false">M20-(N20+O20)</f>
        <v>175.7</v>
      </c>
      <c r="Q20" s="51" t="n">
        <v>115</v>
      </c>
      <c r="R20" s="51" t="n">
        <v>66.1</v>
      </c>
      <c r="S20" s="51" t="n">
        <f aca="false">SUM(P20:R20)</f>
        <v>356.8</v>
      </c>
      <c r="T20" s="52" t="n">
        <f aca="false">(I20-S20)+T19</f>
        <v>-2275.78</v>
      </c>
      <c r="U20" s="51" t="n">
        <v>95.3</v>
      </c>
      <c r="V20" s="51" t="n">
        <v>65.4</v>
      </c>
      <c r="W20" s="52" t="n">
        <f aca="false">W19-V20</f>
        <v>2992.26999999995</v>
      </c>
      <c r="X20" s="6" t="n">
        <f aca="false">N20+O20+S20+U20+V20</f>
        <v>517.5</v>
      </c>
      <c r="Y20" s="51" t="n">
        <f aca="false">IF(L20&lt;0,L20*-1,0)</f>
        <v>101.175951600706</v>
      </c>
      <c r="Z20" s="51" t="n">
        <f aca="false">X20+Y20</f>
        <v>618.675951600706</v>
      </c>
      <c r="AA20" s="53" t="n">
        <v>0</v>
      </c>
      <c r="AB20" s="56" t="n">
        <v>80</v>
      </c>
      <c r="AC20" s="56" t="n">
        <v>50</v>
      </c>
      <c r="AD20" s="57" t="n">
        <v>11</v>
      </c>
      <c r="AE20" s="86"/>
      <c r="AF20" s="87"/>
      <c r="AG20" s="87"/>
    </row>
    <row r="21" customFormat="false" ht="11.1" hidden="false" customHeight="true" outlineLevel="0" collapsed="false">
      <c r="A21" s="57" t="n">
        <v>12</v>
      </c>
      <c r="B21" s="71" t="n">
        <v>6910.18</v>
      </c>
      <c r="C21" s="52" t="n">
        <v>322709</v>
      </c>
      <c r="D21" s="56" t="n">
        <f aca="false">C21-C20</f>
        <v>-601</v>
      </c>
      <c r="E21" s="52" t="n">
        <f aca="false">C21-151978</f>
        <v>170731</v>
      </c>
      <c r="F21" s="51" t="n">
        <f aca="false">D21/$D$2</f>
        <v>-302.999747920343</v>
      </c>
      <c r="G21" s="51" t="n">
        <v>109</v>
      </c>
      <c r="H21" s="82" t="n">
        <v>0</v>
      </c>
      <c r="I21" s="51" t="n">
        <f aca="false">G21+H21</f>
        <v>109</v>
      </c>
      <c r="J21" s="78" t="n">
        <f aca="false">IF(L21&gt;0,L21,0)</f>
        <v>117.300252079657</v>
      </c>
      <c r="K21" s="51" t="n">
        <f aca="false">I21+J21</f>
        <v>226.300252079657</v>
      </c>
      <c r="L21" s="51" t="n">
        <f aca="false">F21-(I21-X21)</f>
        <v>117.300252079657</v>
      </c>
      <c r="M21" s="51" t="n">
        <v>187.7</v>
      </c>
      <c r="N21" s="51" t="n">
        <v>0</v>
      </c>
      <c r="O21" s="51" t="n">
        <v>0</v>
      </c>
      <c r="P21" s="6" t="n">
        <f aca="false">M21-(N21+O21)</f>
        <v>187.7</v>
      </c>
      <c r="Q21" s="51" t="n">
        <v>115.2</v>
      </c>
      <c r="R21" s="51" t="n">
        <v>66.1</v>
      </c>
      <c r="S21" s="51" t="n">
        <f aca="false">SUM(P21:R21)</f>
        <v>369</v>
      </c>
      <c r="T21" s="52" t="n">
        <f aca="false">(I21-S21)+T20</f>
        <v>-2535.78</v>
      </c>
      <c r="U21" s="51" t="n">
        <v>94.8</v>
      </c>
      <c r="V21" s="51" t="n">
        <v>65.5</v>
      </c>
      <c r="W21" s="52" t="n">
        <f aca="false">W20-V21</f>
        <v>2926.76999999995</v>
      </c>
      <c r="X21" s="6" t="n">
        <f aca="false">N21+O21+S21+U21+V21</f>
        <v>529.3</v>
      </c>
      <c r="Y21" s="51" t="n">
        <f aca="false">IF(L21&lt;0,L21*-1,0)</f>
        <v>0</v>
      </c>
      <c r="Z21" s="51" t="n">
        <f aca="false">X21+Y21</f>
        <v>529.3</v>
      </c>
      <c r="AA21" s="53" t="n">
        <v>0</v>
      </c>
      <c r="AB21" s="56" t="n">
        <v>77</v>
      </c>
      <c r="AC21" s="56" t="n">
        <v>50</v>
      </c>
      <c r="AD21" s="57" t="n">
        <v>12</v>
      </c>
      <c r="AE21" s="86"/>
      <c r="AF21" s="87"/>
      <c r="AG21" s="87"/>
    </row>
    <row r="22" customFormat="false" ht="11.1" hidden="false" customHeight="true" outlineLevel="0" collapsed="false">
      <c r="A22" s="57" t="n">
        <v>13</v>
      </c>
      <c r="B22" s="71" t="n">
        <v>6909.95</v>
      </c>
      <c r="C22" s="52" t="n">
        <v>321788</v>
      </c>
      <c r="D22" s="56" t="n">
        <f aca="false">C22-C21</f>
        <v>-921</v>
      </c>
      <c r="E22" s="52" t="n">
        <f aca="false">C22-151978</f>
        <v>169810</v>
      </c>
      <c r="F22" s="51" t="n">
        <f aca="false">D22/$D$2</f>
        <v>-464.330728510209</v>
      </c>
      <c r="G22" s="51" t="n">
        <v>108.7</v>
      </c>
      <c r="H22" s="82" t="n">
        <v>0</v>
      </c>
      <c r="I22" s="51" t="n">
        <f aca="false">G22+H22</f>
        <v>108.7</v>
      </c>
      <c r="J22" s="78" t="n">
        <f aca="false">IF(L22&gt;0,L22,0)</f>
        <v>0</v>
      </c>
      <c r="K22" s="51" t="n">
        <f aca="false">I22+J22</f>
        <v>108.7</v>
      </c>
      <c r="L22" s="51" t="n">
        <f aca="false">F22-(I22-X22)</f>
        <v>-48.5307285102092</v>
      </c>
      <c r="M22" s="51" t="n">
        <v>191</v>
      </c>
      <c r="N22" s="51" t="n">
        <v>0</v>
      </c>
      <c r="O22" s="51" t="n">
        <v>0</v>
      </c>
      <c r="P22" s="6" t="n">
        <f aca="false">M22-(N22+O22)</f>
        <v>191</v>
      </c>
      <c r="Q22" s="51" t="n">
        <v>114.9</v>
      </c>
      <c r="R22" s="51" t="n">
        <v>67.1</v>
      </c>
      <c r="S22" s="51" t="n">
        <f aca="false">SUM(P22:R22)</f>
        <v>373</v>
      </c>
      <c r="T22" s="52" t="n">
        <f aca="false">(I22-S22)+T21</f>
        <v>-2800.08</v>
      </c>
      <c r="U22" s="51" t="n">
        <v>85.2</v>
      </c>
      <c r="V22" s="51" t="n">
        <v>66.3</v>
      </c>
      <c r="W22" s="52" t="n">
        <f aca="false">W21-V22</f>
        <v>2860.46999999995</v>
      </c>
      <c r="X22" s="6" t="n">
        <f aca="false">N22+O22+S22+U22+V22</f>
        <v>524.5</v>
      </c>
      <c r="Y22" s="51" t="n">
        <f aca="false">IF(L22&lt;0,L22*-1,0)</f>
        <v>48.5307285102092</v>
      </c>
      <c r="Z22" s="51" t="n">
        <f aca="false">X22+Y22</f>
        <v>573.030728510209</v>
      </c>
      <c r="AA22" s="53" t="n">
        <v>0</v>
      </c>
      <c r="AB22" s="56" t="n">
        <v>76</v>
      </c>
      <c r="AC22" s="56" t="n">
        <v>50</v>
      </c>
      <c r="AD22" s="57" t="n">
        <v>13</v>
      </c>
      <c r="AE22" s="86"/>
      <c r="AF22" s="87"/>
      <c r="AG22" s="87"/>
    </row>
    <row r="23" customFormat="false" ht="11.1" hidden="false" customHeight="true" outlineLevel="0" collapsed="false">
      <c r="A23" s="57" t="n">
        <v>14</v>
      </c>
      <c r="B23" s="71" t="n">
        <v>6909.77</v>
      </c>
      <c r="C23" s="52" t="n">
        <v>321070</v>
      </c>
      <c r="D23" s="56" t="n">
        <f aca="false">C23-C22</f>
        <v>-718</v>
      </c>
      <c r="E23" s="52" t="n">
        <f aca="false">C23-151978</f>
        <v>169092</v>
      </c>
      <c r="F23" s="51" t="n">
        <f aca="false">D23/$D$2</f>
        <v>-361.986387698513</v>
      </c>
      <c r="G23" s="51" t="n">
        <v>106.6</v>
      </c>
      <c r="H23" s="82" t="n">
        <v>0</v>
      </c>
      <c r="I23" s="51" t="n">
        <f aca="false">G23+H23</f>
        <v>106.6</v>
      </c>
      <c r="J23" s="78" t="n">
        <f aca="false">IF(L23&gt;0,L23,0)</f>
        <v>54.3136123014872</v>
      </c>
      <c r="K23" s="51" t="n">
        <f aca="false">I23+J23</f>
        <v>160.913612301487</v>
      </c>
      <c r="L23" s="51" t="n">
        <f aca="false">F23-(I23-X23)</f>
        <v>54.3136123014872</v>
      </c>
      <c r="M23" s="51" t="n">
        <v>191.5</v>
      </c>
      <c r="N23" s="51" t="n">
        <v>0</v>
      </c>
      <c r="O23" s="51" t="n">
        <v>0</v>
      </c>
      <c r="P23" s="6" t="n">
        <f aca="false">M23-(N23+O23)</f>
        <v>191.5</v>
      </c>
      <c r="Q23" s="51" t="n">
        <v>115.1</v>
      </c>
      <c r="R23" s="51" t="n">
        <v>66.1</v>
      </c>
      <c r="S23" s="51" t="n">
        <f aca="false">SUM(P23:R23)</f>
        <v>372.7</v>
      </c>
      <c r="T23" s="52" t="n">
        <f aca="false">(I23-S23)+T22</f>
        <v>-3066.18</v>
      </c>
      <c r="U23" s="51" t="n">
        <v>80.7</v>
      </c>
      <c r="V23" s="51" t="n">
        <v>69.5</v>
      </c>
      <c r="W23" s="52" t="n">
        <f aca="false">W22-V23</f>
        <v>2790.96999999995</v>
      </c>
      <c r="X23" s="6" t="n">
        <f aca="false">N23+O23+S23+U23+V23</f>
        <v>522.9</v>
      </c>
      <c r="Y23" s="51" t="n">
        <f aca="false">IF(L23&lt;0,L23*-1,0)</f>
        <v>0</v>
      </c>
      <c r="Z23" s="51" t="n">
        <f aca="false">X23+Y23</f>
        <v>522.9</v>
      </c>
      <c r="AA23" s="53" t="n">
        <v>0.22</v>
      </c>
      <c r="AB23" s="56" t="n">
        <v>78</v>
      </c>
      <c r="AC23" s="56" t="n">
        <v>50</v>
      </c>
      <c r="AD23" s="57" t="n">
        <v>14</v>
      </c>
      <c r="AE23" s="86"/>
      <c r="AF23" s="87"/>
      <c r="AG23" s="87"/>
    </row>
    <row r="24" customFormat="false" ht="11.1" hidden="false" customHeight="true" outlineLevel="0" collapsed="false">
      <c r="A24" s="57" t="n">
        <v>15</v>
      </c>
      <c r="B24" s="71" t="n">
        <v>6909.57</v>
      </c>
      <c r="C24" s="52" t="n">
        <v>320274</v>
      </c>
      <c r="D24" s="56" t="n">
        <f aca="false">C24-C23</f>
        <v>-796</v>
      </c>
      <c r="E24" s="52" t="n">
        <f aca="false">C24-151978</f>
        <v>168296</v>
      </c>
      <c r="F24" s="51" t="n">
        <f aca="false">D24/$D$2</f>
        <v>-401.310814217293</v>
      </c>
      <c r="G24" s="51" t="n">
        <v>117.2</v>
      </c>
      <c r="H24" s="82" t="n">
        <v>0</v>
      </c>
      <c r="I24" s="51" t="n">
        <f aca="false">G24+H24</f>
        <v>117.2</v>
      </c>
      <c r="J24" s="78" t="n">
        <f aca="false">IF(L24&gt;0,L24,0)</f>
        <v>0</v>
      </c>
      <c r="K24" s="51" t="n">
        <f aca="false">I24+J24</f>
        <v>117.2</v>
      </c>
      <c r="L24" s="51" t="n">
        <f aca="false">F24-(I24-X24)</f>
        <v>-3.71081421729269</v>
      </c>
      <c r="M24" s="51" t="n">
        <v>191</v>
      </c>
      <c r="N24" s="51" t="n">
        <v>0</v>
      </c>
      <c r="O24" s="51" t="n">
        <v>0</v>
      </c>
      <c r="P24" s="6" t="n">
        <f aca="false">M24-(N24+O24)</f>
        <v>191</v>
      </c>
      <c r="Q24" s="51" t="n">
        <v>114.6</v>
      </c>
      <c r="R24" s="51" t="n">
        <v>65.6</v>
      </c>
      <c r="S24" s="51" t="n">
        <f aca="false">SUM(P24:R24)</f>
        <v>371.2</v>
      </c>
      <c r="T24" s="52" t="n">
        <f aca="false">(I24-S24)+T23</f>
        <v>-3320.18</v>
      </c>
      <c r="U24" s="51" t="n">
        <v>74.1</v>
      </c>
      <c r="V24" s="51" t="n">
        <v>69.5</v>
      </c>
      <c r="W24" s="52" t="n">
        <f aca="false">W23-V24</f>
        <v>2721.46999999995</v>
      </c>
      <c r="X24" s="6" t="n">
        <f aca="false">N24+O24+S24+U24+V24</f>
        <v>514.8</v>
      </c>
      <c r="Y24" s="51" t="n">
        <f aca="false">IF(L24&lt;0,L24*-1,0)</f>
        <v>3.71081421729269</v>
      </c>
      <c r="Z24" s="51" t="n">
        <f aca="false">X24+Y24</f>
        <v>518.510814217293</v>
      </c>
      <c r="AA24" s="53" t="n">
        <v>0</v>
      </c>
      <c r="AB24" s="56" t="n">
        <v>72</v>
      </c>
      <c r="AC24" s="56" t="n">
        <v>48</v>
      </c>
      <c r="AD24" s="57" t="n">
        <v>15</v>
      </c>
      <c r="AE24" s="86"/>
      <c r="AF24" s="87"/>
      <c r="AG24" s="87"/>
    </row>
    <row r="25" customFormat="false" ht="11.1" hidden="false" customHeight="true" outlineLevel="0" collapsed="false">
      <c r="A25" s="57" t="n">
        <v>16</v>
      </c>
      <c r="B25" s="71" t="n">
        <v>6909.37</v>
      </c>
      <c r="C25" s="52" t="n">
        <v>319478</v>
      </c>
      <c r="D25" s="56" t="n">
        <f aca="false">C25-C24</f>
        <v>-796</v>
      </c>
      <c r="E25" s="52" t="n">
        <f aca="false">C25-151978</f>
        <v>167500</v>
      </c>
      <c r="F25" s="51" t="n">
        <f aca="false">D25/$D$2</f>
        <v>-401.310814217293</v>
      </c>
      <c r="G25" s="51" t="n">
        <v>109.2</v>
      </c>
      <c r="H25" s="82" t="n">
        <v>0</v>
      </c>
      <c r="I25" s="51" t="n">
        <f aca="false">G25+H25</f>
        <v>109.2</v>
      </c>
      <c r="J25" s="78" t="n">
        <f aca="false">IF(L25&gt;0,L25,0)</f>
        <v>0</v>
      </c>
      <c r="K25" s="51" t="n">
        <f aca="false">I25+J25</f>
        <v>109.2</v>
      </c>
      <c r="L25" s="51" t="n">
        <f aca="false">F25-(I25-X25)</f>
        <v>-2.61081421729267</v>
      </c>
      <c r="M25" s="51" t="n">
        <v>191.4</v>
      </c>
      <c r="N25" s="51" t="n">
        <v>0</v>
      </c>
      <c r="O25" s="51" t="n">
        <v>0</v>
      </c>
      <c r="P25" s="6" t="n">
        <f aca="false">M25-(N25+O25)</f>
        <v>191.4</v>
      </c>
      <c r="Q25" s="51" t="n">
        <v>114.4</v>
      </c>
      <c r="R25" s="51" t="n">
        <v>65.6</v>
      </c>
      <c r="S25" s="51" t="n">
        <f aca="false">SUM(P25:R25)</f>
        <v>371.4</v>
      </c>
      <c r="T25" s="52" t="n">
        <f aca="false">(I25-S25)+T24</f>
        <v>-3582.38</v>
      </c>
      <c r="U25" s="51" t="n">
        <v>67.1</v>
      </c>
      <c r="V25" s="51" t="n">
        <v>69.4</v>
      </c>
      <c r="W25" s="52" t="n">
        <f aca="false">W24-V25</f>
        <v>2652.06999999995</v>
      </c>
      <c r="X25" s="6" t="n">
        <f aca="false">N25+O25+S25+U25+V25</f>
        <v>507.9</v>
      </c>
      <c r="Y25" s="51" t="n">
        <f aca="false">IF(L25&lt;0,L25*-1,0)</f>
        <v>2.61081421729267</v>
      </c>
      <c r="Z25" s="51" t="n">
        <f aca="false">X25+Y25</f>
        <v>510.510814217293</v>
      </c>
      <c r="AA25" s="53" t="n">
        <v>0</v>
      </c>
      <c r="AB25" s="56" t="n">
        <v>74</v>
      </c>
      <c r="AC25" s="56" t="n">
        <v>48</v>
      </c>
      <c r="AD25" s="57" t="n">
        <v>16</v>
      </c>
      <c r="AE25" s="86"/>
      <c r="AF25" s="87"/>
      <c r="AG25" s="87"/>
    </row>
    <row r="26" customFormat="false" ht="11.1" hidden="false" customHeight="true" outlineLevel="0" collapsed="false">
      <c r="A26" s="57" t="n">
        <v>17</v>
      </c>
      <c r="B26" s="71" t="n">
        <v>6909.15</v>
      </c>
      <c r="C26" s="52" t="n">
        <v>318602</v>
      </c>
      <c r="D26" s="56" t="n">
        <f aca="false">C26-C25</f>
        <v>-876</v>
      </c>
      <c r="E26" s="52" t="n">
        <f aca="false">C26-151978</f>
        <v>166624</v>
      </c>
      <c r="F26" s="51" t="n">
        <f aca="false">D26/$D$2</f>
        <v>-441.643559364759</v>
      </c>
      <c r="G26" s="51" t="n">
        <v>93</v>
      </c>
      <c r="H26" s="82" t="n">
        <v>0</v>
      </c>
      <c r="I26" s="51" t="n">
        <f aca="false">G26+H26</f>
        <v>93</v>
      </c>
      <c r="J26" s="78" t="n">
        <f aca="false">IF(L26&gt;0,L26,0)</f>
        <v>0</v>
      </c>
      <c r="K26" s="51" t="n">
        <f aca="false">I26+J26</f>
        <v>93</v>
      </c>
      <c r="L26" s="51" t="n">
        <f aca="false">F26-(I26-X26)</f>
        <v>-46.4435593647593</v>
      </c>
      <c r="M26" s="51" t="n">
        <v>182</v>
      </c>
      <c r="N26" s="51" t="n">
        <v>0</v>
      </c>
      <c r="O26" s="51" t="n">
        <v>0</v>
      </c>
      <c r="P26" s="6" t="n">
        <f aca="false">M26-(N26+O26)</f>
        <v>182</v>
      </c>
      <c r="Q26" s="51" t="n">
        <v>112.3</v>
      </c>
      <c r="R26" s="51" t="n">
        <v>66.1</v>
      </c>
      <c r="S26" s="51" t="n">
        <f aca="false">SUM(P26:R26)</f>
        <v>360.4</v>
      </c>
      <c r="T26" s="52" t="n">
        <f aca="false">(I26-S26)+T25</f>
        <v>-3849.78</v>
      </c>
      <c r="U26" s="51" t="n">
        <v>58.5</v>
      </c>
      <c r="V26" s="51" t="n">
        <v>69.3</v>
      </c>
      <c r="W26" s="52" t="n">
        <f aca="false">W25-V26</f>
        <v>2582.76999999995</v>
      </c>
      <c r="X26" s="6" t="n">
        <f aca="false">N26+O26+S26+U26+V26</f>
        <v>488.2</v>
      </c>
      <c r="Y26" s="51" t="n">
        <f aca="false">IF(L26&lt;0,L26*-1,0)</f>
        <v>46.4435593647593</v>
      </c>
      <c r="Z26" s="51" t="n">
        <f aca="false">X26+Y26</f>
        <v>534.643559364759</v>
      </c>
      <c r="AA26" s="53" t="n">
        <v>0</v>
      </c>
      <c r="AB26" s="56" t="n">
        <v>78</v>
      </c>
      <c r="AC26" s="56" t="n">
        <v>46</v>
      </c>
      <c r="AD26" s="57" t="n">
        <v>17</v>
      </c>
      <c r="AE26" s="86"/>
      <c r="AF26" s="87"/>
      <c r="AG26" s="87"/>
    </row>
    <row r="27" customFormat="false" ht="11.1" hidden="false" customHeight="true" outlineLevel="0" collapsed="false">
      <c r="A27" s="57" t="n">
        <v>18</v>
      </c>
      <c r="B27" s="71" t="n">
        <v>6909.02</v>
      </c>
      <c r="C27" s="52" t="n">
        <v>318085</v>
      </c>
      <c r="D27" s="56" t="n">
        <f aca="false">C27-C26</f>
        <v>-517</v>
      </c>
      <c r="E27" s="52" t="n">
        <f aca="false">C27-151978</f>
        <v>166107</v>
      </c>
      <c r="F27" s="51" t="n">
        <f aca="false">D27/$D$2</f>
        <v>-260.650365515503</v>
      </c>
      <c r="G27" s="51" t="n">
        <v>83.8</v>
      </c>
      <c r="H27" s="82" t="n">
        <v>0</v>
      </c>
      <c r="I27" s="51" t="n">
        <f aca="false">G27+H27</f>
        <v>83.8</v>
      </c>
      <c r="J27" s="78" t="n">
        <f aca="false">IF(L27&gt;0,L27,0)</f>
        <v>137.649634484497</v>
      </c>
      <c r="K27" s="51" t="n">
        <f aca="false">I27+J27</f>
        <v>221.449634484497</v>
      </c>
      <c r="L27" s="51" t="n">
        <f aca="false">F27-(I27-X27)</f>
        <v>137.649634484497</v>
      </c>
      <c r="M27" s="51" t="n">
        <v>181.4</v>
      </c>
      <c r="N27" s="51" t="n">
        <v>0</v>
      </c>
      <c r="O27" s="51" t="n">
        <v>0</v>
      </c>
      <c r="P27" s="6" t="n">
        <f aca="false">M27-(N27+O27)</f>
        <v>181.4</v>
      </c>
      <c r="Q27" s="51" t="n">
        <v>112.4</v>
      </c>
      <c r="R27" s="51" t="n">
        <v>65.6</v>
      </c>
      <c r="S27" s="51" t="n">
        <f aca="false">SUM(P27:R27)</f>
        <v>359.4</v>
      </c>
      <c r="T27" s="52" t="n">
        <f aca="false">(I27-S27)+T26</f>
        <v>-4125.38</v>
      </c>
      <c r="U27" s="51" t="n">
        <v>53.5</v>
      </c>
      <c r="V27" s="51" t="n">
        <v>69.2</v>
      </c>
      <c r="W27" s="52" t="n">
        <f aca="false">W26-V27</f>
        <v>2513.56999999995</v>
      </c>
      <c r="X27" s="6" t="n">
        <f aca="false">N27+O27+S27+U27+V27</f>
        <v>482.1</v>
      </c>
      <c r="Y27" s="51" t="n">
        <f aca="false">IF(L27&lt;0,L27*-1,0)</f>
        <v>0</v>
      </c>
      <c r="Z27" s="51" t="n">
        <f aca="false">X27+Y27</f>
        <v>482.1</v>
      </c>
      <c r="AA27" s="53" t="n">
        <v>0.69</v>
      </c>
      <c r="AB27" s="56" t="n">
        <v>72</v>
      </c>
      <c r="AC27" s="56" t="n">
        <v>45</v>
      </c>
      <c r="AD27" s="57" t="n">
        <v>18</v>
      </c>
      <c r="AE27" s="86"/>
      <c r="AF27" s="87"/>
      <c r="AG27" s="87"/>
    </row>
    <row r="28" customFormat="false" ht="11.1" hidden="false" customHeight="true" outlineLevel="0" collapsed="false">
      <c r="A28" s="57" t="n">
        <v>19</v>
      </c>
      <c r="B28" s="71" t="n">
        <v>6908.94</v>
      </c>
      <c r="C28" s="52" t="n">
        <v>317768</v>
      </c>
      <c r="D28" s="56" t="n">
        <f aca="false">C28-C27</f>
        <v>-317</v>
      </c>
      <c r="E28" s="52" t="n">
        <f aca="false">C28-151978</f>
        <v>165790</v>
      </c>
      <c r="F28" s="51" t="n">
        <f aca="false">D28/$D$2</f>
        <v>-159.818502646836</v>
      </c>
      <c r="G28" s="51" t="n">
        <v>131</v>
      </c>
      <c r="H28" s="82" t="n">
        <v>0</v>
      </c>
      <c r="I28" s="51" t="n">
        <f aca="false">G28+H28</f>
        <v>131</v>
      </c>
      <c r="J28" s="78" t="n">
        <f aca="false">IF(L28&gt;0,L28,0)</f>
        <v>156.381497353164</v>
      </c>
      <c r="K28" s="51" t="n">
        <f aca="false">I28+J28</f>
        <v>287.381497353164</v>
      </c>
      <c r="L28" s="51" t="n">
        <f aca="false">F28-(I28-X28)</f>
        <v>156.381497353164</v>
      </c>
      <c r="M28" s="51" t="n">
        <v>175.3</v>
      </c>
      <c r="N28" s="51" t="n">
        <v>0</v>
      </c>
      <c r="O28" s="51" t="n">
        <v>0</v>
      </c>
      <c r="P28" s="6" t="n">
        <f aca="false">M28-(N28+O28)</f>
        <v>175.3</v>
      </c>
      <c r="Q28" s="51" t="n">
        <v>112.4</v>
      </c>
      <c r="R28" s="51" t="n">
        <v>66.1</v>
      </c>
      <c r="S28" s="51" t="n">
        <f aca="false">SUM(P28:R28)</f>
        <v>353.8</v>
      </c>
      <c r="T28" s="52" t="n">
        <f aca="false">(I28-S28)+T27</f>
        <v>-4348.18</v>
      </c>
      <c r="U28" s="51" t="n">
        <v>24.2</v>
      </c>
      <c r="V28" s="51" t="n">
        <v>69.2</v>
      </c>
      <c r="W28" s="52" t="n">
        <f aca="false">W27-V28</f>
        <v>2444.36999999995</v>
      </c>
      <c r="X28" s="6" t="n">
        <f aca="false">N28+O28+S28+U28+V28</f>
        <v>447.2</v>
      </c>
      <c r="Y28" s="51" t="n">
        <f aca="false">IF(L28&lt;0,L28*-1,0)</f>
        <v>0</v>
      </c>
      <c r="Z28" s="51" t="n">
        <f aca="false">X28+Y28</f>
        <v>447.2</v>
      </c>
      <c r="AA28" s="53" t="n">
        <v>0.3</v>
      </c>
      <c r="AB28" s="56" t="n">
        <v>60</v>
      </c>
      <c r="AC28" s="56" t="n">
        <v>49</v>
      </c>
      <c r="AD28" s="57" t="n">
        <v>19</v>
      </c>
      <c r="AE28" s="86"/>
      <c r="AF28" s="87"/>
      <c r="AG28" s="87"/>
    </row>
    <row r="29" customFormat="false" ht="11.1" hidden="false" customHeight="true" outlineLevel="0" collapsed="false">
      <c r="A29" s="57" t="n">
        <v>20</v>
      </c>
      <c r="B29" s="71" t="n">
        <v>6908.85</v>
      </c>
      <c r="C29" s="52" t="n">
        <v>317413</v>
      </c>
      <c r="D29" s="56" t="n">
        <f aca="false">C29-C28</f>
        <v>-355</v>
      </c>
      <c r="E29" s="52" t="n">
        <f aca="false">C29-151978</f>
        <v>165435</v>
      </c>
      <c r="F29" s="51" t="n">
        <f aca="false">D29/$D$2</f>
        <v>-178.976556591883</v>
      </c>
      <c r="G29" s="51" t="n">
        <v>212.9</v>
      </c>
      <c r="H29" s="82" t="n">
        <v>0</v>
      </c>
      <c r="I29" s="51" t="n">
        <f aca="false">G29+H29</f>
        <v>212.9</v>
      </c>
      <c r="J29" s="78" t="n">
        <f aca="false">IF(L29&gt;0,L29,0)</f>
        <v>29.223443408117</v>
      </c>
      <c r="K29" s="51" t="n">
        <f aca="false">I29+J29</f>
        <v>242.123443408117</v>
      </c>
      <c r="L29" s="51" t="n">
        <f aca="false">F29-(I29-X29)</f>
        <v>29.223443408117</v>
      </c>
      <c r="M29" s="51" t="n">
        <v>162.2</v>
      </c>
      <c r="N29" s="51" t="n">
        <v>0</v>
      </c>
      <c r="O29" s="51" t="n">
        <v>0</v>
      </c>
      <c r="P29" s="6" t="n">
        <f aca="false">M29-(N29+O29)</f>
        <v>162.2</v>
      </c>
      <c r="Q29" s="51" t="n">
        <v>113</v>
      </c>
      <c r="R29" s="51" t="n">
        <v>64</v>
      </c>
      <c r="S29" s="51" t="n">
        <f aca="false">SUM(P29:R29)</f>
        <v>339.2</v>
      </c>
      <c r="T29" s="52" t="n">
        <f aca="false">(I29-S29)+T28</f>
        <v>-4474.48</v>
      </c>
      <c r="U29" s="51" t="n">
        <v>13.1</v>
      </c>
      <c r="V29" s="51" t="n">
        <v>68.8</v>
      </c>
      <c r="W29" s="52" t="n">
        <f aca="false">W28-V29</f>
        <v>2375.56999999995</v>
      </c>
      <c r="X29" s="6" t="n">
        <f aca="false">N29+O29+S29+U29+V29</f>
        <v>421.1</v>
      </c>
      <c r="Y29" s="51" t="n">
        <f aca="false">IF(L29&lt;0,L29*-1,0)</f>
        <v>0</v>
      </c>
      <c r="Z29" s="51" t="n">
        <f aca="false">X29+Y29</f>
        <v>421.1</v>
      </c>
      <c r="AA29" s="53" t="n">
        <v>0.22</v>
      </c>
      <c r="AB29" s="56" t="n">
        <v>64</v>
      </c>
      <c r="AC29" s="56" t="n">
        <v>42</v>
      </c>
      <c r="AD29" s="57" t="n">
        <v>20</v>
      </c>
      <c r="AE29" s="86"/>
      <c r="AF29" s="87"/>
      <c r="AG29" s="87"/>
    </row>
    <row r="30" customFormat="false" ht="11.1" hidden="false" customHeight="true" outlineLevel="0" collapsed="false">
      <c r="A30" s="57" t="n">
        <v>21</v>
      </c>
      <c r="B30" s="71" t="n">
        <v>6908.69</v>
      </c>
      <c r="C30" s="52" t="n">
        <v>316781</v>
      </c>
      <c r="D30" s="56" t="n">
        <f aca="false">C30-C29</f>
        <v>-632</v>
      </c>
      <c r="E30" s="52" t="n">
        <f aca="false">C30-151978</f>
        <v>164803</v>
      </c>
      <c r="F30" s="51" t="n">
        <f aca="false">D30/$D$2</f>
        <v>-318.628686664986</v>
      </c>
      <c r="G30" s="51" t="n">
        <v>173.4</v>
      </c>
      <c r="H30" s="82" t="n">
        <v>0</v>
      </c>
      <c r="I30" s="51" t="n">
        <f aca="false">G30+H30</f>
        <v>173.4</v>
      </c>
      <c r="J30" s="78" t="n">
        <f aca="false">IF(L30&gt;0,L30,0)</f>
        <v>0</v>
      </c>
      <c r="K30" s="51" t="n">
        <f aca="false">I30+J30</f>
        <v>173.4</v>
      </c>
      <c r="L30" s="51" t="n">
        <f aca="false">F30-(I30-X30)</f>
        <v>-103.098686664986</v>
      </c>
      <c r="M30" s="51" t="n">
        <v>144.2</v>
      </c>
      <c r="N30" s="51" t="n">
        <v>0</v>
      </c>
      <c r="O30" s="51" t="n">
        <v>0</v>
      </c>
      <c r="P30" s="6" t="n">
        <f aca="false">M30-(N30+O30)</f>
        <v>144.2</v>
      </c>
      <c r="Q30" s="51" t="n">
        <v>99.2</v>
      </c>
      <c r="R30" s="51" t="n">
        <v>60</v>
      </c>
      <c r="S30" s="51" t="n">
        <f aca="false">SUM(P30:R30)</f>
        <v>303.4</v>
      </c>
      <c r="T30" s="52" t="n">
        <f aca="false">(I30-S30)+T29</f>
        <v>-4604.48</v>
      </c>
      <c r="U30" s="51" t="n">
        <v>17.13</v>
      </c>
      <c r="V30" s="51" t="n">
        <v>68.4</v>
      </c>
      <c r="W30" s="52" t="n">
        <f aca="false">W29-V30</f>
        <v>2307.16999999995</v>
      </c>
      <c r="X30" s="6" t="n">
        <f aca="false">N30+O30+S30+U30+V30</f>
        <v>388.93</v>
      </c>
      <c r="Y30" s="51" t="n">
        <f aca="false">IF(L30&lt;0,L30*-1,0)</f>
        <v>103.098686664986</v>
      </c>
      <c r="Z30" s="51" t="n">
        <f aca="false">X30+Y30</f>
        <v>492.028686664986</v>
      </c>
      <c r="AA30" s="53" t="n">
        <v>0</v>
      </c>
      <c r="AB30" s="56" t="n">
        <v>74</v>
      </c>
      <c r="AC30" s="56" t="n">
        <v>42</v>
      </c>
      <c r="AD30" s="57" t="n">
        <v>21</v>
      </c>
      <c r="AE30" s="86"/>
      <c r="AF30" s="87"/>
      <c r="AG30" s="87"/>
    </row>
    <row r="31" customFormat="false" ht="11.1" hidden="false" customHeight="true" outlineLevel="0" collapsed="false">
      <c r="A31" s="57" t="n">
        <v>22</v>
      </c>
      <c r="B31" s="71" t="n">
        <v>6908.62</v>
      </c>
      <c r="C31" s="52" t="n">
        <v>316505</v>
      </c>
      <c r="D31" s="56" t="n">
        <f aca="false">C31-C30</f>
        <v>-276</v>
      </c>
      <c r="E31" s="52" t="n">
        <f aca="false">C31-151978</f>
        <v>164527</v>
      </c>
      <c r="F31" s="51" t="n">
        <f aca="false">D31/$D$2</f>
        <v>-139.14797075876</v>
      </c>
      <c r="G31" s="51" t="n">
        <v>141</v>
      </c>
      <c r="H31" s="82" t="n">
        <v>0</v>
      </c>
      <c r="I31" s="51" t="n">
        <f aca="false">G31+H31</f>
        <v>141</v>
      </c>
      <c r="J31" s="78" t="n">
        <f aca="false">IF(L31&gt;0,L31,0)</f>
        <v>57.2520292412402</v>
      </c>
      <c r="K31" s="51" t="n">
        <f aca="false">I31+J31</f>
        <v>198.25202924124</v>
      </c>
      <c r="L31" s="51" t="n">
        <f aca="false">F31-(I31-X31)</f>
        <v>57.2520292412402</v>
      </c>
      <c r="M31" s="51" t="n">
        <v>123.7</v>
      </c>
      <c r="N31" s="51" t="n">
        <v>0</v>
      </c>
      <c r="O31" s="51" t="n">
        <v>0</v>
      </c>
      <c r="P31" s="6" t="n">
        <f aca="false">M31-(N31+O31)</f>
        <v>123.7</v>
      </c>
      <c r="Q31" s="51" t="n">
        <v>75.1</v>
      </c>
      <c r="R31" s="51" t="n">
        <v>48.9</v>
      </c>
      <c r="S31" s="51" t="n">
        <f aca="false">SUM(P31:R31)</f>
        <v>247.7</v>
      </c>
      <c r="T31" s="52" t="n">
        <f aca="false">(I31-S31)+T30</f>
        <v>-4711.18</v>
      </c>
      <c r="U31" s="51" t="n">
        <v>21.2</v>
      </c>
      <c r="V31" s="51" t="n">
        <v>68.5</v>
      </c>
      <c r="W31" s="52" t="n">
        <f aca="false">W30-V31</f>
        <v>2238.66999999995</v>
      </c>
      <c r="X31" s="6" t="n">
        <f aca="false">N31+O31+S31+U31+V31</f>
        <v>337.4</v>
      </c>
      <c r="Y31" s="51" t="n">
        <f aca="false">IF(L31&lt;0,L31*-1,0)</f>
        <v>0</v>
      </c>
      <c r="Z31" s="51" t="n">
        <f aca="false">X31+Y31</f>
        <v>337.4</v>
      </c>
      <c r="AA31" s="53" t="n">
        <v>0</v>
      </c>
      <c r="AB31" s="56" t="n">
        <v>74</v>
      </c>
      <c r="AC31" s="56" t="n">
        <v>40</v>
      </c>
      <c r="AD31" s="57" t="n">
        <v>22</v>
      </c>
      <c r="AE31" s="86"/>
      <c r="AF31" s="87"/>
      <c r="AG31" s="87"/>
    </row>
    <row r="32" customFormat="false" ht="11.1" hidden="false" customHeight="true" outlineLevel="0" collapsed="false">
      <c r="A32" s="57" t="n">
        <v>23</v>
      </c>
      <c r="B32" s="71" t="n">
        <v>6908.5</v>
      </c>
      <c r="C32" s="52" t="n">
        <v>316031</v>
      </c>
      <c r="D32" s="56" t="n">
        <f aca="false">C32-C31</f>
        <v>-474</v>
      </c>
      <c r="E32" s="52" t="n">
        <f aca="false">C32-151978</f>
        <v>164053</v>
      </c>
      <c r="F32" s="51" t="n">
        <f aca="false">D32/$D$2</f>
        <v>-238.97151499874</v>
      </c>
      <c r="G32" s="51" t="n">
        <v>122.7</v>
      </c>
      <c r="H32" s="82" t="n">
        <v>0</v>
      </c>
      <c r="I32" s="51" t="n">
        <f aca="false">G32+H32</f>
        <v>122.7</v>
      </c>
      <c r="J32" s="78" t="n">
        <f aca="false">IF(L32&gt;0,L32,0)</f>
        <v>0</v>
      </c>
      <c r="K32" s="51" t="n">
        <f aca="false">I32+J32</f>
        <v>122.7</v>
      </c>
      <c r="L32" s="51" t="n">
        <f aca="false">F32-(I32-X32)</f>
        <v>-55.1715149987396</v>
      </c>
      <c r="M32" s="51" t="n">
        <v>120.1</v>
      </c>
      <c r="N32" s="51" t="n">
        <v>0</v>
      </c>
      <c r="O32" s="51" t="n">
        <v>0</v>
      </c>
      <c r="P32" s="6" t="n">
        <f aca="false">M32-(N32+O32)</f>
        <v>120.1</v>
      </c>
      <c r="Q32" s="51" t="n">
        <v>55.4</v>
      </c>
      <c r="R32" s="51" t="n">
        <v>50.9</v>
      </c>
      <c r="S32" s="51" t="n">
        <f aca="false">SUM(P32:R32)</f>
        <v>226.4</v>
      </c>
      <c r="T32" s="52" t="n">
        <f aca="false">(I32-S32)+T31</f>
        <v>-4814.88</v>
      </c>
      <c r="U32" s="51" t="n">
        <v>11.6</v>
      </c>
      <c r="V32" s="51" t="n">
        <v>68.5</v>
      </c>
      <c r="W32" s="52" t="n">
        <f aca="false">W31-V32</f>
        <v>2170.16999999995</v>
      </c>
      <c r="X32" s="6" t="n">
        <f aca="false">N32+O32+S32+U32+V32</f>
        <v>306.5</v>
      </c>
      <c r="Y32" s="51" t="n">
        <f aca="false">IF(L32&lt;0,L32*-1,0)</f>
        <v>55.1715149987396</v>
      </c>
      <c r="Z32" s="51" t="n">
        <f aca="false">X32+Y32</f>
        <v>361.67151499874</v>
      </c>
      <c r="AA32" s="53" t="n">
        <v>0</v>
      </c>
      <c r="AB32" s="56" t="n">
        <v>78</v>
      </c>
      <c r="AC32" s="56" t="n">
        <v>42</v>
      </c>
      <c r="AD32" s="57" t="n">
        <v>23</v>
      </c>
      <c r="AE32" s="86"/>
      <c r="AF32" s="87"/>
      <c r="AG32" s="87"/>
    </row>
    <row r="33" customFormat="false" ht="11.1" hidden="false" customHeight="true" outlineLevel="0" collapsed="false">
      <c r="A33" s="57" t="n">
        <v>24</v>
      </c>
      <c r="B33" s="71" t="n">
        <v>6908.42</v>
      </c>
      <c r="C33" s="52" t="n">
        <v>315704</v>
      </c>
      <c r="D33" s="56" t="n">
        <f aca="false">C33-C32</f>
        <v>-327</v>
      </c>
      <c r="E33" s="52" t="n">
        <f aca="false">C33-151978</f>
        <v>163726</v>
      </c>
      <c r="F33" s="51" t="n">
        <f aca="false">D33/$D$2</f>
        <v>-164.86009579027</v>
      </c>
      <c r="G33" s="51" t="n">
        <v>113.1</v>
      </c>
      <c r="H33" s="82" t="n">
        <v>0</v>
      </c>
      <c r="I33" s="51" t="n">
        <f aca="false">G33+H33</f>
        <v>113.1</v>
      </c>
      <c r="J33" s="78" t="n">
        <f aca="false">IF(L33&gt;0,L33,0)</f>
        <v>4.53990420973028</v>
      </c>
      <c r="K33" s="51" t="n">
        <f aca="false">I33+J33</f>
        <v>117.63990420973</v>
      </c>
      <c r="L33" s="51" t="n">
        <f aca="false">F33-(I33-X33)</f>
        <v>4.53990420973028</v>
      </c>
      <c r="M33" s="51" t="n">
        <v>120.1</v>
      </c>
      <c r="N33" s="51" t="n">
        <v>0</v>
      </c>
      <c r="O33" s="51" t="n">
        <v>0</v>
      </c>
      <c r="P33" s="6" t="n">
        <f aca="false">M33-(N33+O33)</f>
        <v>120.1</v>
      </c>
      <c r="Q33" s="51" t="n">
        <v>47</v>
      </c>
      <c r="R33" s="51" t="n">
        <v>50.4</v>
      </c>
      <c r="S33" s="51" t="n">
        <f aca="false">SUM(P33:R33)</f>
        <v>217.5</v>
      </c>
      <c r="T33" s="52" t="n">
        <f aca="false">(I33-S33)+T32</f>
        <v>-4919.28</v>
      </c>
      <c r="U33" s="51" t="n">
        <v>9.6</v>
      </c>
      <c r="V33" s="51" t="n">
        <v>55.4</v>
      </c>
      <c r="W33" s="52" t="n">
        <f aca="false">W32-V33</f>
        <v>2114.76999999995</v>
      </c>
      <c r="X33" s="6" t="n">
        <f aca="false">N33+O33+S33+U33+V33</f>
        <v>282.5</v>
      </c>
      <c r="Y33" s="51" t="n">
        <f aca="false">IF(L33&lt;0,L33*-1,0)</f>
        <v>0</v>
      </c>
      <c r="Z33" s="51" t="n">
        <f aca="false">X33+Y33</f>
        <v>282.5</v>
      </c>
      <c r="AA33" s="53" t="n">
        <v>0</v>
      </c>
      <c r="AB33" s="56" t="n">
        <v>76</v>
      </c>
      <c r="AC33" s="56" t="n">
        <v>44</v>
      </c>
      <c r="AD33" s="57" t="n">
        <v>24</v>
      </c>
      <c r="AE33" s="86"/>
      <c r="AF33" s="87"/>
      <c r="AG33" s="87"/>
    </row>
    <row r="34" customFormat="false" ht="11.1" hidden="false" customHeight="true" outlineLevel="0" collapsed="false">
      <c r="A34" s="57" t="n">
        <v>25</v>
      </c>
      <c r="B34" s="71" t="n">
        <v>6908.27</v>
      </c>
      <c r="C34" s="52" t="n">
        <v>315122</v>
      </c>
      <c r="D34" s="56" t="n">
        <f aca="false">C34-C33</f>
        <v>-582</v>
      </c>
      <c r="E34" s="52" t="n">
        <f aca="false">C34-151978</f>
        <v>163144</v>
      </c>
      <c r="F34" s="51" t="n">
        <f aca="false">D34/$D$2</f>
        <v>-293.420720947819</v>
      </c>
      <c r="G34" s="51" t="n">
        <v>106.2</v>
      </c>
      <c r="H34" s="82" t="n">
        <v>0</v>
      </c>
      <c r="I34" s="51" t="n">
        <f aca="false">G34+H34</f>
        <v>106.2</v>
      </c>
      <c r="J34" s="78" t="n">
        <f aca="false">IF(L34&gt;0,L34,0)</f>
        <v>0</v>
      </c>
      <c r="K34" s="51" t="n">
        <f aca="false">I34+J34</f>
        <v>106.2</v>
      </c>
      <c r="L34" s="51" t="n">
        <f aca="false">F34-(I34-X34)</f>
        <v>-101.520720947819</v>
      </c>
      <c r="M34" s="51" t="n">
        <v>129.4</v>
      </c>
      <c r="N34" s="51" t="n">
        <v>0</v>
      </c>
      <c r="O34" s="51" t="n">
        <v>0</v>
      </c>
      <c r="P34" s="6" t="n">
        <f aca="false">M34-(N34+O34)</f>
        <v>129.4</v>
      </c>
      <c r="Q34" s="51" t="n">
        <v>47</v>
      </c>
      <c r="R34" s="51" t="n">
        <v>42.9</v>
      </c>
      <c r="S34" s="51" t="n">
        <f aca="false">SUM(P34:R34)</f>
        <v>219.3</v>
      </c>
      <c r="T34" s="52" t="n">
        <f aca="false">(I34-S34)+T33</f>
        <v>-5032.38</v>
      </c>
      <c r="U34" s="51" t="n">
        <v>23.7</v>
      </c>
      <c r="V34" s="51" t="n">
        <v>55.1</v>
      </c>
      <c r="W34" s="52" t="n">
        <f aca="false">W33-V34</f>
        <v>2059.66999999995</v>
      </c>
      <c r="X34" s="6" t="n">
        <f aca="false">N34+O34+S34+U34+V34</f>
        <v>298.1</v>
      </c>
      <c r="Y34" s="51" t="n">
        <f aca="false">IF(L34&lt;0,L34*-1,0)</f>
        <v>101.520720947819</v>
      </c>
      <c r="Z34" s="51" t="n">
        <f aca="false">X34+Y34</f>
        <v>399.620720947819</v>
      </c>
      <c r="AA34" s="53" t="n">
        <v>0</v>
      </c>
      <c r="AB34" s="56" t="n">
        <v>64</v>
      </c>
      <c r="AC34" s="56" t="n">
        <v>45</v>
      </c>
      <c r="AD34" s="57" t="n">
        <v>25</v>
      </c>
      <c r="AE34" s="86"/>
      <c r="AF34" s="87"/>
      <c r="AG34" s="87"/>
    </row>
    <row r="35" customFormat="false" ht="11.1" hidden="false" customHeight="true" outlineLevel="0" collapsed="false">
      <c r="A35" s="57" t="n">
        <v>26</v>
      </c>
      <c r="B35" s="71" t="n">
        <v>6908.12</v>
      </c>
      <c r="C35" s="52" t="n">
        <v>314530</v>
      </c>
      <c r="D35" s="56" t="n">
        <f aca="false">C35-C34</f>
        <v>-592</v>
      </c>
      <c r="E35" s="52" t="n">
        <f aca="false">C35-151978</f>
        <v>162552</v>
      </c>
      <c r="F35" s="51" t="n">
        <f aca="false">D35/$D$2</f>
        <v>-298.462314091253</v>
      </c>
      <c r="G35" s="51" t="n">
        <v>94</v>
      </c>
      <c r="H35" s="82" t="n">
        <v>0</v>
      </c>
      <c r="I35" s="51" t="n">
        <f aca="false">G35+H35</f>
        <v>94</v>
      </c>
      <c r="J35" s="78" t="n">
        <f aca="false">IF(L35&gt;0,L35,0)</f>
        <v>0</v>
      </c>
      <c r="K35" s="51" t="n">
        <f aca="false">I35+J35</f>
        <v>94</v>
      </c>
      <c r="L35" s="51" t="n">
        <f aca="false">F35-(I35-X35)</f>
        <v>-93.5623140912529</v>
      </c>
      <c r="M35" s="51" t="n">
        <v>130.2</v>
      </c>
      <c r="N35" s="51" t="n">
        <v>0</v>
      </c>
      <c r="O35" s="51" t="n">
        <v>0</v>
      </c>
      <c r="P35" s="6" t="n">
        <f aca="false">M35-(N35+O35)</f>
        <v>130.2</v>
      </c>
      <c r="Q35" s="51" t="n">
        <v>47</v>
      </c>
      <c r="R35" s="51" t="n">
        <v>48.9</v>
      </c>
      <c r="S35" s="51" t="n">
        <f aca="false">SUM(P35:R35)</f>
        <v>226.1</v>
      </c>
      <c r="T35" s="52" t="n">
        <f aca="false">(I35-S35)+T34</f>
        <v>-5164.48</v>
      </c>
      <c r="U35" s="51" t="n">
        <v>17.7</v>
      </c>
      <c r="V35" s="51" t="n">
        <v>55.1</v>
      </c>
      <c r="W35" s="52" t="n">
        <f aca="false">W34-V35</f>
        <v>2004.56999999995</v>
      </c>
      <c r="X35" s="6" t="n">
        <f aca="false">N35+O35+S35+U35+V35</f>
        <v>298.9</v>
      </c>
      <c r="Y35" s="51" t="n">
        <f aca="false">IF(L35&lt;0,L35*-1,0)</f>
        <v>93.5623140912529</v>
      </c>
      <c r="Z35" s="51" t="n">
        <f aca="false">X35+Y35</f>
        <v>392.462314091253</v>
      </c>
      <c r="AA35" s="53" t="n">
        <v>0</v>
      </c>
      <c r="AB35" s="56" t="n">
        <v>70</v>
      </c>
      <c r="AC35" s="56" t="n">
        <v>42</v>
      </c>
      <c r="AD35" s="57" t="n">
        <v>26</v>
      </c>
      <c r="AE35" s="86"/>
      <c r="AF35" s="87"/>
      <c r="AG35" s="87"/>
    </row>
    <row r="36" customFormat="false" ht="11.1" hidden="false" customHeight="true" outlineLevel="0" collapsed="false">
      <c r="A36" s="57" t="n">
        <v>27</v>
      </c>
      <c r="B36" s="71" t="n">
        <v>6908.02</v>
      </c>
      <c r="C36" s="52" t="n">
        <v>314135</v>
      </c>
      <c r="D36" s="56" t="n">
        <f aca="false">C36-C35</f>
        <v>-395</v>
      </c>
      <c r="E36" s="52" t="n">
        <f aca="false">C36-151978</f>
        <v>162157</v>
      </c>
      <c r="F36" s="51" t="n">
        <f aca="false">D36/$D$2</f>
        <v>-199.142929165616</v>
      </c>
      <c r="G36" s="51" t="n">
        <v>91.5</v>
      </c>
      <c r="H36" s="82" t="n">
        <v>0</v>
      </c>
      <c r="I36" s="51" t="n">
        <f aca="false">G36+H36</f>
        <v>91.5</v>
      </c>
      <c r="J36" s="78" t="n">
        <f aca="false">IF(L36&gt;0,L36,0)</f>
        <v>11.8570708343837</v>
      </c>
      <c r="K36" s="51" t="n">
        <f aca="false">I36+J36</f>
        <v>103.357070834384</v>
      </c>
      <c r="L36" s="51" t="n">
        <f aca="false">F36-(I36-X36)</f>
        <v>11.8570708343837</v>
      </c>
      <c r="M36" s="51" t="n">
        <v>130.2</v>
      </c>
      <c r="N36" s="51" t="n">
        <v>0</v>
      </c>
      <c r="O36" s="51" t="n">
        <v>0</v>
      </c>
      <c r="P36" s="6" t="n">
        <f aca="false">M36-(N36+O36)</f>
        <v>130.2</v>
      </c>
      <c r="Q36" s="51" t="n">
        <v>47</v>
      </c>
      <c r="R36" s="51" t="n">
        <v>46.4</v>
      </c>
      <c r="S36" s="51" t="n">
        <f aca="false">SUM(P36:R36)</f>
        <v>223.6</v>
      </c>
      <c r="T36" s="52" t="n">
        <f aca="false">(I36-S36)+T35</f>
        <v>-5296.58</v>
      </c>
      <c r="U36" s="51" t="n">
        <v>14.1</v>
      </c>
      <c r="V36" s="51" t="n">
        <v>64.8</v>
      </c>
      <c r="W36" s="52" t="n">
        <f aca="false">W35-V36</f>
        <v>1939.76999999995</v>
      </c>
      <c r="X36" s="6" t="n">
        <f aca="false">N36+O36+S36+U36+V36</f>
        <v>302.5</v>
      </c>
      <c r="Y36" s="51" t="n">
        <f aca="false">IF(L36&lt;0,L36*-1,0)</f>
        <v>0</v>
      </c>
      <c r="Z36" s="51" t="n">
        <f aca="false">X36+Y36</f>
        <v>302.5</v>
      </c>
      <c r="AA36" s="53" t="n">
        <v>0</v>
      </c>
      <c r="AB36" s="56" t="n">
        <v>68</v>
      </c>
      <c r="AC36" s="56" t="n">
        <v>34</v>
      </c>
      <c r="AD36" s="57" t="n">
        <v>27</v>
      </c>
      <c r="AE36" s="86"/>
      <c r="AF36" s="87"/>
      <c r="AG36" s="87"/>
    </row>
    <row r="37" customFormat="false" ht="11.1" hidden="false" customHeight="true" outlineLevel="0" collapsed="false">
      <c r="A37" s="57" t="n">
        <v>28</v>
      </c>
      <c r="B37" s="71" t="n">
        <v>6907.87</v>
      </c>
      <c r="C37" s="52" t="n">
        <v>313547</v>
      </c>
      <c r="D37" s="56" t="n">
        <f aca="false">C37-C36</f>
        <v>-588</v>
      </c>
      <c r="E37" s="52" t="n">
        <f aca="false">C37-151978</f>
        <v>161569</v>
      </c>
      <c r="F37" s="51" t="n">
        <f aca="false">D37/$D$2</f>
        <v>-296.445676833879</v>
      </c>
      <c r="G37" s="51" t="n">
        <v>88.5</v>
      </c>
      <c r="H37" s="82" t="n">
        <v>0</v>
      </c>
      <c r="I37" s="51" t="n">
        <f aca="false">G37+H37</f>
        <v>88.5</v>
      </c>
      <c r="J37" s="78" t="n">
        <f aca="false">IF(L37&gt;0,L37,0)</f>
        <v>0</v>
      </c>
      <c r="K37" s="51" t="n">
        <f aca="false">I37+J37</f>
        <v>88.5</v>
      </c>
      <c r="L37" s="51" t="n">
        <f aca="false">F37-(I37-X37)</f>
        <v>-48.9456768338795</v>
      </c>
      <c r="M37" s="51" t="n">
        <v>164</v>
      </c>
      <c r="N37" s="51" t="n">
        <v>0</v>
      </c>
      <c r="O37" s="51" t="n">
        <v>0</v>
      </c>
      <c r="P37" s="6" t="n">
        <f aca="false">M37-(N37+O37)</f>
        <v>164</v>
      </c>
      <c r="Q37" s="51" t="n">
        <v>47</v>
      </c>
      <c r="R37" s="51" t="n">
        <v>47</v>
      </c>
      <c r="S37" s="51" t="n">
        <f aca="false">SUM(P37:R37)</f>
        <v>258</v>
      </c>
      <c r="T37" s="52" t="n">
        <f aca="false">(I37-S37)+T36</f>
        <v>-5466.08</v>
      </c>
      <c r="U37" s="51" t="n">
        <v>13</v>
      </c>
      <c r="V37" s="51" t="n">
        <v>65</v>
      </c>
      <c r="W37" s="52" t="n">
        <f aca="false">W36-V37</f>
        <v>1874.76999999995</v>
      </c>
      <c r="X37" s="6" t="n">
        <f aca="false">N37+O37+S37+U37+V37</f>
        <v>336</v>
      </c>
      <c r="Y37" s="51" t="n">
        <f aca="false">IF(L37&lt;0,L37*-1,0)</f>
        <v>48.9456768338795</v>
      </c>
      <c r="Z37" s="51" t="n">
        <f aca="false">X37+Y37</f>
        <v>384.945676833879</v>
      </c>
      <c r="AA37" s="53" t="n">
        <v>0</v>
      </c>
      <c r="AB37" s="56" t="n">
        <v>76</v>
      </c>
      <c r="AC37" s="56" t="n">
        <v>33</v>
      </c>
      <c r="AD37" s="57" t="n">
        <v>28</v>
      </c>
      <c r="AE37" s="86"/>
      <c r="AF37" s="87"/>
      <c r="AG37" s="87"/>
    </row>
    <row r="38" customFormat="false" ht="11.1" hidden="false" customHeight="true" outlineLevel="0" collapsed="false">
      <c r="A38" s="57" t="n">
        <v>29</v>
      </c>
      <c r="B38" s="71" t="n">
        <v>6907.74</v>
      </c>
      <c r="C38" s="52" t="n">
        <v>313038</v>
      </c>
      <c r="D38" s="56" t="n">
        <f aca="false">C38-C37</f>
        <v>-509</v>
      </c>
      <c r="E38" s="52" t="n">
        <f aca="false">C38-151978</f>
        <v>161060</v>
      </c>
      <c r="F38" s="51" t="n">
        <f aca="false">D38/$D$2</f>
        <v>-256.617091000756</v>
      </c>
      <c r="G38" s="51" t="n">
        <v>85.5</v>
      </c>
      <c r="H38" s="82" t="n">
        <v>0</v>
      </c>
      <c r="I38" s="51" t="n">
        <f aca="false">G38+H38</f>
        <v>85.5</v>
      </c>
      <c r="J38" s="78" t="n">
        <f aca="false">IF(L38&gt;0,L38,0)</f>
        <v>0</v>
      </c>
      <c r="K38" s="51" t="n">
        <f aca="false">I38+J38</f>
        <v>85.5</v>
      </c>
      <c r="L38" s="51" t="n">
        <f aca="false">F38-(I38-X38)</f>
        <v>-20.1170910007563</v>
      </c>
      <c r="M38" s="51" t="n">
        <v>133</v>
      </c>
      <c r="N38" s="51" t="n">
        <v>0</v>
      </c>
      <c r="O38" s="51" t="n">
        <v>0</v>
      </c>
      <c r="P38" s="6" t="n">
        <f aca="false">M38-(N38+O38)</f>
        <v>133</v>
      </c>
      <c r="Q38" s="51" t="n">
        <v>47</v>
      </c>
      <c r="R38" s="51" t="n">
        <v>57</v>
      </c>
      <c r="S38" s="51" t="n">
        <f aca="false">SUM(P38:R38)</f>
        <v>237</v>
      </c>
      <c r="T38" s="52" t="n">
        <f aca="false">(I38-S38)+T37</f>
        <v>-5617.58000000001</v>
      </c>
      <c r="U38" s="51" t="n">
        <v>20</v>
      </c>
      <c r="V38" s="51" t="n">
        <v>65</v>
      </c>
      <c r="W38" s="52" t="n">
        <f aca="false">W37-V38</f>
        <v>1809.76999999995</v>
      </c>
      <c r="X38" s="6" t="n">
        <f aca="false">N38+O38+S38+U38+V38</f>
        <v>322</v>
      </c>
      <c r="Y38" s="51" t="n">
        <f aca="false">IF(L38&lt;0,L38*-1,0)</f>
        <v>20.1170910007563</v>
      </c>
      <c r="Z38" s="51" t="n">
        <f aca="false">X38+Y38</f>
        <v>342.117091000756</v>
      </c>
      <c r="AA38" s="53" t="n">
        <v>0</v>
      </c>
      <c r="AB38" s="56" t="n">
        <v>78</v>
      </c>
      <c r="AC38" s="56" t="n">
        <v>40</v>
      </c>
      <c r="AD38" s="57" t="n">
        <v>29</v>
      </c>
      <c r="AE38" s="86"/>
      <c r="AF38" s="87"/>
      <c r="AG38" s="87"/>
    </row>
    <row r="39" customFormat="false" ht="11.1" hidden="false" customHeight="true" outlineLevel="0" collapsed="false">
      <c r="A39" s="57" t="n">
        <v>30</v>
      </c>
      <c r="B39" s="71" t="n">
        <v>6907.6</v>
      </c>
      <c r="C39" s="52" t="n">
        <v>312489</v>
      </c>
      <c r="D39" s="56" t="n">
        <f aca="false">C39-C38</f>
        <v>-549</v>
      </c>
      <c r="E39" s="52" t="n">
        <f aca="false">C39-151978</f>
        <v>160511</v>
      </c>
      <c r="F39" s="51" t="n">
        <f aca="false">D39/$D$2</f>
        <v>-276.78346357449</v>
      </c>
      <c r="G39" s="51" t="n">
        <v>82.5</v>
      </c>
      <c r="H39" s="82" t="n">
        <v>0</v>
      </c>
      <c r="I39" s="51" t="n">
        <f aca="false">G39+H39</f>
        <v>82.5</v>
      </c>
      <c r="J39" s="78" t="n">
        <f aca="false">IF(L39&gt;0,L39,0)</f>
        <v>0</v>
      </c>
      <c r="K39" s="51" t="n">
        <f aca="false">I39+J39</f>
        <v>82.5</v>
      </c>
      <c r="L39" s="51" t="n">
        <f aca="false">F39-(I39-X39)</f>
        <v>-58.2834635744895</v>
      </c>
      <c r="M39" s="51" t="n">
        <v>141</v>
      </c>
      <c r="N39" s="51" t="n">
        <v>0</v>
      </c>
      <c r="O39" s="51" t="n">
        <v>0</v>
      </c>
      <c r="P39" s="6" t="n">
        <f aca="false">M39-(N39+O39)</f>
        <v>141</v>
      </c>
      <c r="Q39" s="51" t="n">
        <v>47</v>
      </c>
      <c r="R39" s="51" t="n">
        <v>38</v>
      </c>
      <c r="S39" s="51" t="n">
        <f aca="false">SUM(P39:R39)</f>
        <v>226</v>
      </c>
      <c r="T39" s="52" t="n">
        <f aca="false">(I39-S39)+T38</f>
        <v>-5761.08</v>
      </c>
      <c r="U39" s="51" t="n">
        <v>20</v>
      </c>
      <c r="V39" s="51" t="n">
        <v>55</v>
      </c>
      <c r="W39" s="52" t="n">
        <f aca="false">W38-V39</f>
        <v>1754.76999999995</v>
      </c>
      <c r="X39" s="6" t="n">
        <f aca="false">N39+O39+S39+U39+V39</f>
        <v>301</v>
      </c>
      <c r="Y39" s="51" t="n">
        <f aca="false">IF(L39&lt;0,L39*-1,0)</f>
        <v>58.2834635744895</v>
      </c>
      <c r="Z39" s="51" t="n">
        <f aca="false">X39+Y39</f>
        <v>359.28346357449</v>
      </c>
      <c r="AA39" s="53" t="n">
        <v>0</v>
      </c>
      <c r="AB39" s="141" t="n">
        <v>76</v>
      </c>
      <c r="AC39" s="56" t="n">
        <v>42</v>
      </c>
      <c r="AD39" s="57" t="n">
        <v>30</v>
      </c>
      <c r="AE39" s="86"/>
      <c r="AF39" s="87"/>
      <c r="AG39" s="87"/>
    </row>
    <row r="40" customFormat="false" ht="3" hidden="false" customHeight="true" outlineLevel="0" collapsed="false">
      <c r="A40" s="72"/>
      <c r="B40" s="72"/>
      <c r="C40" s="74"/>
      <c r="D40" s="72"/>
      <c r="E40" s="74"/>
      <c r="F40" s="72"/>
      <c r="G40" s="72"/>
      <c r="H40" s="147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4"/>
      <c r="U40" s="72"/>
      <c r="V40" s="72"/>
      <c r="W40" s="72"/>
      <c r="X40" s="72"/>
      <c r="Y40" s="72"/>
      <c r="Z40" s="72"/>
      <c r="AA40" s="75"/>
      <c r="AB40" s="76"/>
      <c r="AC40" s="76"/>
      <c r="AD40" s="77"/>
      <c r="AE40" s="85"/>
      <c r="AF40" s="85"/>
      <c r="AG40" s="86"/>
    </row>
    <row r="41" customFormat="false" ht="11.1" hidden="false" customHeight="true" outlineLevel="0" collapsed="false">
      <c r="A41" s="51" t="s">
        <v>46</v>
      </c>
      <c r="B41" s="51"/>
      <c r="C41" s="52"/>
      <c r="D41" s="52"/>
      <c r="E41" s="52"/>
      <c r="F41" s="52" t="n">
        <f aca="false">SUM(F10:F39)</f>
        <v>-9878.49760524326</v>
      </c>
      <c r="G41" s="52" t="n">
        <f aca="false">SUM(G10:G39)</f>
        <v>3681.9</v>
      </c>
      <c r="H41" s="52" t="n">
        <f aca="false">SUM(H10:H39)</f>
        <v>0</v>
      </c>
      <c r="I41" s="52" t="n">
        <f aca="false">SUM(I10:I39)</f>
        <v>3681.9</v>
      </c>
      <c r="J41" s="52" t="n">
        <f aca="false">SUM(J10:J39)</f>
        <v>609.076707839677</v>
      </c>
      <c r="K41" s="52" t="n">
        <f aca="false">SUM(K10:K39)</f>
        <v>4290.97670783968</v>
      </c>
      <c r="L41" s="52" t="n">
        <f aca="false">SUM(L10:L39)</f>
        <v>-446.567605243257</v>
      </c>
      <c r="M41" s="52" t="n">
        <f aca="false">SUM(M10:M39)</f>
        <v>4749</v>
      </c>
      <c r="N41" s="52" t="n">
        <f aca="false">SUM(N10:N39)</f>
        <v>0</v>
      </c>
      <c r="O41" s="52" t="n">
        <f aca="false">SUM(O10:O39)</f>
        <v>0</v>
      </c>
      <c r="P41" s="52" t="n">
        <f aca="false">SUM(P10:P39)</f>
        <v>4749</v>
      </c>
      <c r="Q41" s="52" t="n">
        <f aca="false">SUM(Q10:Q39)</f>
        <v>2858.4</v>
      </c>
      <c r="R41" s="52" t="n">
        <f aca="false">SUM(R10:R39)</f>
        <v>1756.4</v>
      </c>
      <c r="S41" s="52" t="n">
        <f aca="false">SUM(S10:S39)</f>
        <v>9363.8</v>
      </c>
      <c r="T41" s="52"/>
      <c r="U41" s="52" t="n">
        <f aca="false">SUM(U10:U39)</f>
        <v>1775.23</v>
      </c>
      <c r="V41" s="52" t="n">
        <f aca="false">SUM(V10:V40)</f>
        <v>1974.8</v>
      </c>
      <c r="W41" s="52"/>
      <c r="X41" s="52" t="n">
        <f aca="false">SUM(X10:X39)</f>
        <v>13113.83</v>
      </c>
      <c r="Y41" s="52" t="n">
        <f aca="false">SUM(Y10:Y39)</f>
        <v>1055.64431308293</v>
      </c>
      <c r="Z41" s="52" t="n">
        <f aca="false">SUM(Z10:Z39)</f>
        <v>14169.4743130829</v>
      </c>
      <c r="AA41" s="53" t="n">
        <f aca="false">SUM(AA10:AA39)</f>
        <v>1.43</v>
      </c>
      <c r="AB41" s="56" t="n">
        <f aca="false">AVERAGE(AB10:AB39)</f>
        <v>73.6666666666667</v>
      </c>
      <c r="AC41" s="56" t="n">
        <f aca="false">AVERAGE(AC10:AC39)</f>
        <v>44.0333333333333</v>
      </c>
      <c r="AD41" s="57" t="s">
        <v>70</v>
      </c>
      <c r="AE41" s="85"/>
      <c r="AF41" s="85"/>
      <c r="AG41" s="86"/>
    </row>
    <row r="42" customFormat="false" ht="11.1" hidden="false" customHeight="true" outlineLevel="0" collapsed="false">
      <c r="A42" s="51" t="s">
        <v>48</v>
      </c>
      <c r="B42" s="51"/>
      <c r="C42" s="52"/>
      <c r="D42" s="52" t="n">
        <f aca="false">SUM(D10:D40)</f>
        <v>-19594</v>
      </c>
      <c r="E42" s="52"/>
      <c r="F42" s="52" t="n">
        <f aca="false">F41*$D$2</f>
        <v>-19594</v>
      </c>
      <c r="G42" s="52" t="n">
        <f aca="false">G41*$D$2</f>
        <v>7303.04865</v>
      </c>
      <c r="H42" s="52" t="n">
        <f aca="false">H41*$D$2</f>
        <v>0</v>
      </c>
      <c r="I42" s="52" t="n">
        <f aca="false">I41*$D$2</f>
        <v>7303.04865</v>
      </c>
      <c r="J42" s="52" t="n">
        <f aca="false">J41*$D$2</f>
        <v>1208.10365</v>
      </c>
      <c r="K42" s="52" t="n">
        <f aca="false">K41*$D$2</f>
        <v>8511.1523</v>
      </c>
      <c r="L42" s="52" t="n">
        <f aca="false">L41*$D$2</f>
        <v>-885.766845</v>
      </c>
      <c r="M42" s="52" t="n">
        <f aca="false">M41*$D$2</f>
        <v>9419.6415</v>
      </c>
      <c r="N42" s="52" t="n">
        <f aca="false">N41*$D$2</f>
        <v>0</v>
      </c>
      <c r="O42" s="52" t="n">
        <f aca="false">O41*$D$2</f>
        <v>0</v>
      </c>
      <c r="P42" s="52" t="n">
        <f aca="false">P41*$D$2</f>
        <v>9419.6415</v>
      </c>
      <c r="Q42" s="52" t="n">
        <f aca="false">Q41*$D$2</f>
        <v>5669.6364</v>
      </c>
      <c r="R42" s="52" t="n">
        <f aca="false">R41*$D$2</f>
        <v>3483.8194</v>
      </c>
      <c r="S42" s="52" t="n">
        <f aca="false">S41*$D$2</f>
        <v>18573.0973</v>
      </c>
      <c r="T42" s="52"/>
      <c r="U42" s="52" t="n">
        <f aca="false">U41*$D$2</f>
        <v>3521.168705</v>
      </c>
      <c r="V42" s="52" t="n">
        <f aca="false">V41*$D$2</f>
        <v>3917.0158</v>
      </c>
      <c r="W42" s="52"/>
      <c r="X42" s="52" t="n">
        <f aca="false">X41*$D$2</f>
        <v>26011.281805</v>
      </c>
      <c r="Y42" s="52" t="n">
        <f aca="false">Y41*$D$2</f>
        <v>2093.870495</v>
      </c>
      <c r="Z42" s="52" t="n">
        <f aca="false">Z41*$D$2</f>
        <v>28105.1523</v>
      </c>
      <c r="AA42" s="53"/>
      <c r="AB42" s="56" t="n">
        <f aca="false">MAX(AB10:AB39)</f>
        <v>80</v>
      </c>
      <c r="AC42" s="56" t="n">
        <f aca="false">MAX(AC10:AC39)</f>
        <v>50</v>
      </c>
      <c r="AD42" s="57" t="s">
        <v>49</v>
      </c>
      <c r="AE42" s="85"/>
      <c r="AF42" s="85"/>
      <c r="AG42" s="86"/>
    </row>
    <row r="43" customFormat="false" ht="3" hidden="false" customHeight="true" outlineLevel="0" collapsed="false">
      <c r="A43" s="72"/>
      <c r="B43" s="72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2"/>
      <c r="X43" s="74"/>
      <c r="Y43" s="74"/>
      <c r="Z43" s="74"/>
      <c r="AA43" s="53"/>
      <c r="AB43" s="56"/>
      <c r="AC43" s="56"/>
      <c r="AD43" s="57"/>
      <c r="AE43" s="85"/>
      <c r="AF43" s="85"/>
      <c r="AG43" s="86"/>
    </row>
    <row r="44" customFormat="false" ht="11.1" hidden="false" customHeight="true" outlineLevel="0" collapsed="false">
      <c r="A44" s="51" t="s">
        <v>50</v>
      </c>
      <c r="B44" s="51"/>
      <c r="C44" s="52"/>
      <c r="D44" s="52"/>
      <c r="E44" s="52"/>
      <c r="F44" s="52" t="n">
        <f aca="false">F7+F41</f>
        <v>1988.90849508444</v>
      </c>
      <c r="G44" s="52" t="n">
        <f aca="false">G7+G41</f>
        <v>130245.7</v>
      </c>
      <c r="H44" s="52" t="n">
        <f aca="false">H7+H41</f>
        <v>8849.9</v>
      </c>
      <c r="I44" s="52" t="n">
        <f aca="false">I7+I41</f>
        <v>139095.6</v>
      </c>
      <c r="J44" s="52" t="n">
        <f aca="false">J7+J41</f>
        <v>23399.6789916814</v>
      </c>
      <c r="K44" s="52" t="n">
        <f aca="false">K7+K41</f>
        <v>162495.278991681</v>
      </c>
      <c r="L44" s="52" t="n">
        <f aca="false">L7+L41</f>
        <v>18464.0184950844</v>
      </c>
      <c r="M44" s="52" t="n">
        <f aca="false">M7+M41</f>
        <v>30072.28</v>
      </c>
      <c r="N44" s="52" t="n">
        <f aca="false">N7+N41</f>
        <v>0</v>
      </c>
      <c r="O44" s="52" t="n">
        <f aca="false">O7+O41</f>
        <v>0</v>
      </c>
      <c r="P44" s="52" t="n">
        <f aca="false">P7+P41</f>
        <v>30072.28</v>
      </c>
      <c r="Q44" s="52" t="n">
        <f aca="false">Q7+Q41</f>
        <v>20820.7</v>
      </c>
      <c r="R44" s="52" t="n">
        <f aca="false">R7+R41</f>
        <v>10813.1</v>
      </c>
      <c r="S44" s="52" t="n">
        <f aca="false">S7+S41</f>
        <v>61706.08</v>
      </c>
      <c r="T44" s="52" t="n">
        <f aca="false">T39</f>
        <v>-5761.08</v>
      </c>
      <c r="U44" s="52" t="n">
        <f aca="false">U7+U41</f>
        <v>12811.33</v>
      </c>
      <c r="V44" s="52" t="n">
        <f aca="false">V7+V41</f>
        <v>81053.3</v>
      </c>
      <c r="W44" s="52"/>
      <c r="X44" s="52" t="n">
        <f aca="false">X7+X41</f>
        <v>155570.71</v>
      </c>
      <c r="Y44" s="52" t="n">
        <f aca="false">Y7+Y41</f>
        <v>4935.66049659692</v>
      </c>
      <c r="Z44" s="52" t="n">
        <f aca="false">Z7+Z41</f>
        <v>160506.370496597</v>
      </c>
      <c r="AA44" s="53"/>
      <c r="AB44" s="56" t="n">
        <f aca="false">MIN(AB10:AB39)</f>
        <v>60</v>
      </c>
      <c r="AC44" s="56" t="n">
        <f aca="false">MIN(AC10:AC39)</f>
        <v>33</v>
      </c>
      <c r="AD44" s="57" t="s">
        <v>51</v>
      </c>
      <c r="AE44" s="85"/>
      <c r="AF44" s="85"/>
      <c r="AG44" s="86"/>
    </row>
    <row r="45" customFormat="false" ht="11.1" hidden="false" customHeight="true" outlineLevel="0" collapsed="false">
      <c r="A45" s="51" t="s">
        <v>52</v>
      </c>
      <c r="B45" s="51"/>
      <c r="C45" s="52"/>
      <c r="D45" s="52"/>
      <c r="E45" s="52"/>
      <c r="F45" s="52" t="n">
        <f aca="false">F44*$D$2</f>
        <v>3944.99999999998</v>
      </c>
      <c r="G45" s="52" t="n">
        <f aca="false">G44*$D$2</f>
        <v>258342.34595</v>
      </c>
      <c r="H45" s="52" t="n">
        <f aca="false">H44*$D$2</f>
        <v>17553.77665</v>
      </c>
      <c r="I45" s="52" t="n">
        <f aca="false">I44*$D$2</f>
        <v>275896.1226</v>
      </c>
      <c r="J45" s="52" t="n">
        <f aca="false">J44*$D$2</f>
        <v>46413.26328</v>
      </c>
      <c r="K45" s="52" t="n">
        <f aca="false">K44*$D$2</f>
        <v>322309.38588</v>
      </c>
      <c r="L45" s="52" t="n">
        <f aca="false">L44*$D$2</f>
        <v>36623.380685</v>
      </c>
      <c r="M45" s="52" t="n">
        <f aca="false">M44*$D$2</f>
        <v>59648.36738</v>
      </c>
      <c r="N45" s="52" t="n">
        <f aca="false">N44*$D$2</f>
        <v>0</v>
      </c>
      <c r="O45" s="52" t="n">
        <f aca="false">O44*$D$2</f>
        <v>0</v>
      </c>
      <c r="P45" s="52" t="n">
        <f aca="false">P44*$D$2</f>
        <v>59648.36738</v>
      </c>
      <c r="Q45" s="52" t="n">
        <f aca="false">Q44*$D$2</f>
        <v>41297.85845</v>
      </c>
      <c r="R45" s="52" t="n">
        <f aca="false">R44*$D$2</f>
        <v>21447.78385</v>
      </c>
      <c r="S45" s="52" t="n">
        <f aca="false">S44*$D$2</f>
        <v>122394.00968</v>
      </c>
      <c r="T45" s="52" t="n">
        <f aca="false">T44*$D$2</f>
        <v>-11427.10218</v>
      </c>
      <c r="U45" s="52" t="n">
        <f aca="false">U44*$D$2</f>
        <v>25411.273055</v>
      </c>
      <c r="V45" s="52" t="n">
        <f aca="false">V44*$D$2</f>
        <v>160769.22055</v>
      </c>
      <c r="W45" s="52"/>
      <c r="X45" s="52" t="n">
        <f aca="false">X44*$D$2</f>
        <v>308574.503285</v>
      </c>
      <c r="Y45" s="52" t="n">
        <f aca="false">Y44*$D$2</f>
        <v>9789.882595</v>
      </c>
      <c r="Z45" s="52" t="n">
        <f aca="false">Z44*$D$2</f>
        <v>318364.38588</v>
      </c>
      <c r="AA45" s="53"/>
      <c r="AB45" s="56"/>
      <c r="AC45" s="56"/>
      <c r="AD45" s="57"/>
      <c r="AE45" s="85"/>
      <c r="AF45" s="85"/>
      <c r="AG45" s="86"/>
    </row>
    <row r="46" customFormat="false" ht="3" hidden="false" customHeight="true" outlineLevel="0" collapsed="false">
      <c r="A46" s="72"/>
      <c r="B46" s="72"/>
      <c r="C46" s="74"/>
      <c r="D46" s="74"/>
      <c r="E46" s="74"/>
      <c r="F46" s="74"/>
      <c r="G46" s="74"/>
      <c r="H46" s="76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5"/>
      <c r="AB46" s="56"/>
      <c r="AC46" s="56"/>
      <c r="AD46" s="57"/>
      <c r="AE46" s="85"/>
      <c r="AF46" s="85"/>
      <c r="AG46" s="86"/>
    </row>
    <row r="47" customFormat="false" ht="11.1" hidden="false" customHeight="true" outlineLevel="0" collapsed="false">
      <c r="A47" s="51" t="s">
        <v>53</v>
      </c>
      <c r="B47" s="51"/>
      <c r="C47" s="52"/>
      <c r="D47" s="52"/>
      <c r="E47" s="52"/>
      <c r="F47" s="52" t="n">
        <f aca="false">F8+F41</f>
        <v>8891.35366775901</v>
      </c>
      <c r="G47" s="52" t="n">
        <f aca="false">G8+G41</f>
        <v>142932.8</v>
      </c>
      <c r="H47" s="56" t="n">
        <f aca="false">H8+H41</f>
        <v>9491.6</v>
      </c>
      <c r="I47" s="52" t="n">
        <f aca="false">I8+I41</f>
        <v>152424.4</v>
      </c>
      <c r="J47" s="52" t="n">
        <f aca="false">J8+J41</f>
        <v>25705.9459364759</v>
      </c>
      <c r="K47" s="52" t="n">
        <f aca="false">K8+K41</f>
        <v>178130.221509957</v>
      </c>
      <c r="L47" s="52" t="n">
        <f aca="false">L8+L41</f>
        <v>19509.013667759</v>
      </c>
      <c r="M47" s="52" t="n">
        <f aca="false">M8+M41</f>
        <v>31136.8</v>
      </c>
      <c r="N47" s="52" t="n">
        <f aca="false">N8+N41</f>
        <v>0</v>
      </c>
      <c r="O47" s="52" t="n">
        <f aca="false">O8+O41</f>
        <v>0</v>
      </c>
      <c r="P47" s="52" t="n">
        <f aca="false">P8+P41</f>
        <v>31136.8</v>
      </c>
      <c r="Q47" s="52" t="n">
        <f aca="false">Q8+Q41</f>
        <v>22133.5</v>
      </c>
      <c r="R47" s="52" t="n">
        <f aca="false">R8+R41</f>
        <v>11087.2</v>
      </c>
      <c r="S47" s="52" t="n">
        <f aca="false">S8+S41</f>
        <v>64357.5</v>
      </c>
      <c r="T47" s="52" t="n">
        <f aca="false">T44</f>
        <v>-5761.08</v>
      </c>
      <c r="U47" s="52" t="n">
        <f aca="false">U8+U41</f>
        <v>12811.33</v>
      </c>
      <c r="V47" s="52" t="n">
        <f aca="false">V8+V41</f>
        <v>85873.23</v>
      </c>
      <c r="W47" s="52" t="n">
        <f aca="false">W39</f>
        <v>1754.76999999995</v>
      </c>
      <c r="X47" s="52" t="n">
        <f aca="false">X8+X41</f>
        <v>163042.06</v>
      </c>
      <c r="Y47" s="52" t="n">
        <f aca="false">Y8+Y41</f>
        <v>6196.93226871691</v>
      </c>
      <c r="Z47" s="52" t="n">
        <f aca="false">Z8+Z41</f>
        <v>169238.992268717</v>
      </c>
      <c r="AA47" s="53" t="n">
        <f aca="false">AA8+AA41</f>
        <v>20.2</v>
      </c>
      <c r="AB47" s="56"/>
      <c r="AC47" s="56"/>
      <c r="AD47" s="57"/>
      <c r="AE47" s="85"/>
      <c r="AF47" s="85"/>
      <c r="AG47" s="86"/>
    </row>
    <row r="48" customFormat="false" ht="11.1" hidden="false" customHeight="true" outlineLevel="0" collapsed="false">
      <c r="A48" s="51" t="s">
        <v>54</v>
      </c>
      <c r="B48" s="51"/>
      <c r="C48" s="52"/>
      <c r="D48" s="52" t="n">
        <f aca="false">D8+D42</f>
        <v>17636</v>
      </c>
      <c r="E48" s="52" t="n">
        <f aca="false">E39</f>
        <v>160511</v>
      </c>
      <c r="F48" s="52" t="n">
        <f aca="false">F47*$D$2</f>
        <v>17636</v>
      </c>
      <c r="G48" s="52" t="n">
        <f aca="false">G47*$D$2</f>
        <v>283507.2088</v>
      </c>
      <c r="H48" s="56" t="n">
        <f aca="false">H47*$D$2</f>
        <v>18826.5886</v>
      </c>
      <c r="I48" s="52" t="n">
        <f aca="false">I47*$D$2</f>
        <v>302333.7974</v>
      </c>
      <c r="J48" s="52" t="n">
        <f aca="false">J47*$D$2</f>
        <v>50987.743765</v>
      </c>
      <c r="K48" s="52" t="n">
        <f aca="false">K47*$D$2</f>
        <v>353321.294365</v>
      </c>
      <c r="L48" s="52" t="n">
        <f aca="false">L47*$D$2</f>
        <v>38696.12861</v>
      </c>
      <c r="M48" s="52" t="n">
        <f aca="false">M47*$D$2</f>
        <v>61759.8428</v>
      </c>
      <c r="N48" s="52" t="n">
        <f aca="false">N47*$D$2</f>
        <v>0</v>
      </c>
      <c r="O48" s="52" t="n">
        <f aca="false">O47*$D$2</f>
        <v>0</v>
      </c>
      <c r="P48" s="52" t="n">
        <f aca="false">P47*$D$2</f>
        <v>61759.8428</v>
      </c>
      <c r="Q48" s="52" t="n">
        <f aca="false">Q47*$D$2</f>
        <v>43901.79725</v>
      </c>
      <c r="R48" s="52" t="n">
        <f aca="false">R47*$D$2</f>
        <v>21991.4612</v>
      </c>
      <c r="S48" s="52" t="n">
        <f aca="false">S47*$D$2</f>
        <v>127653.10125</v>
      </c>
      <c r="T48" s="52" t="n">
        <f aca="false">T47*$D$2</f>
        <v>-11427.10218</v>
      </c>
      <c r="U48" s="52" t="n">
        <f aca="false">U47*$D$2</f>
        <v>25411.273055</v>
      </c>
      <c r="V48" s="52" t="n">
        <f aca="false">V47*$D$2</f>
        <v>170329.551705</v>
      </c>
      <c r="W48" s="52" t="n">
        <f aca="false">W47*$D$2</f>
        <v>3480.58629499991</v>
      </c>
      <c r="X48" s="52" t="n">
        <f aca="false">X47*$D$2</f>
        <v>323393.92601</v>
      </c>
      <c r="Y48" s="52" t="n">
        <f aca="false">Y47*$D$2</f>
        <v>12291.615155</v>
      </c>
      <c r="Z48" s="52" t="n">
        <f aca="false">Z47*$D$2</f>
        <v>335685.541165</v>
      </c>
      <c r="AA48" s="53"/>
      <c r="AB48" s="56"/>
      <c r="AC48" s="56"/>
      <c r="AD48" s="57"/>
      <c r="AE48" s="85"/>
      <c r="AF48" s="85"/>
      <c r="AG48" s="86"/>
    </row>
    <row r="49" customFormat="false" ht="3" hidden="false" customHeight="true" outlineLevel="0" collapsed="false">
      <c r="A49" s="72"/>
      <c r="B49" s="72"/>
      <c r="C49" s="74"/>
      <c r="D49" s="72"/>
      <c r="E49" s="74"/>
      <c r="F49" s="72"/>
      <c r="G49" s="72"/>
      <c r="H49" s="147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4"/>
      <c r="U49" s="72"/>
      <c r="V49" s="72"/>
      <c r="W49" s="74"/>
      <c r="X49" s="72"/>
      <c r="Y49" s="72"/>
      <c r="Z49" s="72"/>
      <c r="AA49" s="53"/>
      <c r="AB49" s="56"/>
      <c r="AC49" s="56"/>
      <c r="AD49" s="57"/>
      <c r="AE49" s="85"/>
      <c r="AF49" s="85"/>
      <c r="AG49" s="86"/>
    </row>
    <row r="50" customFormat="false" ht="11.1" hidden="false" customHeight="true" outlineLevel="0" collapsed="false">
      <c r="A50" s="152"/>
      <c r="B50" s="81"/>
      <c r="C50" s="52"/>
      <c r="D50" s="51"/>
      <c r="E50" s="52"/>
      <c r="F50" s="51"/>
      <c r="G50" s="158"/>
      <c r="H50" s="82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2"/>
      <c r="U50" s="51"/>
      <c r="V50" s="159"/>
      <c r="W50" s="52"/>
      <c r="X50" s="51"/>
      <c r="Y50" s="51"/>
      <c r="Z50" s="51"/>
      <c r="AA50" s="53"/>
      <c r="AB50" s="56"/>
      <c r="AC50" s="56"/>
      <c r="AD50" s="57"/>
      <c r="AE50" s="84"/>
      <c r="AF50" s="84"/>
    </row>
    <row r="51" customFormat="false" ht="11.1" hidden="false" customHeight="true" outlineLevel="0" collapsed="false">
      <c r="A51" s="51"/>
      <c r="B51" s="71"/>
      <c r="C51" s="52"/>
      <c r="D51" s="79"/>
      <c r="E51" s="52"/>
      <c r="F51" s="51"/>
      <c r="G51" s="79"/>
      <c r="I51" s="82"/>
      <c r="J51" s="51"/>
      <c r="K51" s="41"/>
      <c r="L51" s="51"/>
      <c r="M51" s="51"/>
      <c r="N51" s="51"/>
      <c r="O51" s="51"/>
      <c r="P51" s="51"/>
      <c r="Q51" s="51"/>
      <c r="R51" s="51"/>
      <c r="S51" s="52"/>
      <c r="T51" s="51"/>
      <c r="U51" s="45"/>
      <c r="V51" s="52"/>
      <c r="W51" s="51"/>
      <c r="X51" s="51"/>
      <c r="Y51" s="51"/>
      <c r="Z51" s="55"/>
      <c r="AA51" s="53"/>
      <c r="AB51" s="56"/>
      <c r="AC51" s="57"/>
      <c r="AD51" s="84"/>
      <c r="AE51" s="84"/>
    </row>
    <row r="52" customFormat="false" ht="11.1" hidden="false" customHeight="true" outlineLevel="0" collapsed="false">
      <c r="A52" s="79"/>
      <c r="B52" s="79"/>
      <c r="C52" s="52"/>
      <c r="D52" s="52"/>
      <c r="E52" s="52"/>
      <c r="F52" s="79"/>
      <c r="G52" s="82"/>
      <c r="I52" s="51"/>
      <c r="J52" s="79"/>
      <c r="K52" s="79"/>
      <c r="L52" s="79"/>
      <c r="M52" s="78"/>
      <c r="N52" s="78"/>
      <c r="O52" s="78"/>
      <c r="P52" s="79"/>
      <c r="Q52" s="79"/>
      <c r="R52" s="91"/>
      <c r="S52" s="52"/>
      <c r="T52" s="56"/>
      <c r="V52" s="52"/>
      <c r="W52" s="79"/>
      <c r="X52" s="79"/>
      <c r="Y52" s="79"/>
      <c r="Z52" s="55"/>
      <c r="AA52" s="53"/>
      <c r="AB52" s="56"/>
      <c r="AC52" s="57"/>
      <c r="AD52" s="89"/>
      <c r="AE52" s="89"/>
    </row>
    <row r="53" customFormat="false" ht="11.1" hidden="false" customHeight="true" outlineLevel="0" collapsed="false">
      <c r="A53" s="79"/>
      <c r="B53" s="55"/>
      <c r="C53" s="52"/>
      <c r="D53" s="52"/>
      <c r="E53" s="52"/>
      <c r="F53" s="79"/>
      <c r="G53" s="82"/>
      <c r="I53" s="51"/>
      <c r="J53" s="79"/>
      <c r="K53" s="79"/>
      <c r="L53" s="79"/>
      <c r="M53" s="78"/>
      <c r="N53" s="78"/>
      <c r="O53" s="78"/>
      <c r="P53" s="79"/>
      <c r="Q53" s="79"/>
      <c r="R53" s="79"/>
      <c r="S53" s="52"/>
      <c r="T53" s="52"/>
      <c r="U53" s="45"/>
      <c r="V53" s="52"/>
      <c r="W53" s="79"/>
      <c r="X53" s="79"/>
      <c r="Y53" s="79"/>
      <c r="Z53" s="55"/>
      <c r="AA53" s="53"/>
      <c r="AB53" s="56"/>
      <c r="AC53" s="57"/>
      <c r="AD53" s="89"/>
      <c r="AE53" s="89"/>
    </row>
    <row r="54" customFormat="false" ht="11.1" hidden="false" customHeight="true" outlineLevel="0" collapsed="false">
      <c r="A54" s="79"/>
      <c r="B54" s="79"/>
      <c r="C54" s="52"/>
      <c r="D54" s="79"/>
      <c r="E54" s="52"/>
      <c r="F54" s="79"/>
      <c r="G54" s="82"/>
      <c r="I54" s="41"/>
      <c r="J54" s="79"/>
      <c r="K54" s="79"/>
      <c r="L54" s="79"/>
      <c r="M54" s="78"/>
      <c r="N54" s="7"/>
      <c r="O54" s="78"/>
      <c r="P54" s="79"/>
      <c r="Q54" s="79"/>
      <c r="R54" s="79"/>
      <c r="S54" s="0"/>
      <c r="T54" s="52"/>
      <c r="U54" s="47"/>
      <c r="V54" s="52"/>
      <c r="W54" s="79"/>
      <c r="X54" s="79"/>
      <c r="Y54" s="79"/>
      <c r="Z54" s="55"/>
      <c r="AA54" s="53"/>
      <c r="AB54" s="56"/>
      <c r="AC54" s="57"/>
      <c r="AD54" s="89"/>
      <c r="AE54" s="89"/>
    </row>
    <row r="55" customFormat="false" ht="11.1" hidden="false" customHeight="true" outlineLevel="0" collapsed="false">
      <c r="Q55" s="155"/>
      <c r="S55" s="52"/>
      <c r="T55" s="51"/>
      <c r="U55" s="47"/>
    </row>
    <row r="56" customFormat="false" ht="11.1" hidden="false" customHeight="true" outlineLevel="0" collapsed="false">
      <c r="Q56" s="155"/>
      <c r="S56" s="52"/>
      <c r="T56" s="51"/>
      <c r="U56" s="47"/>
    </row>
    <row r="57" customFormat="false" ht="11.1" hidden="false" customHeight="true" outlineLevel="0" collapsed="false">
      <c r="Q57" s="155"/>
    </row>
    <row r="58" customFormat="false" ht="11.1" hidden="false" customHeight="true" outlineLevel="0" collapsed="false">
      <c r="Q58" s="155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C40" activeCellId="0" sqref="AC4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60" width="6.82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32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99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8" width="5.49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161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5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161"/>
      <c r="I2" s="51"/>
      <c r="J2" s="51"/>
      <c r="K2" s="59" t="s">
        <v>79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5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16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5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162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163" t="s">
        <v>13</v>
      </c>
      <c r="N4" s="163"/>
      <c r="O4" s="163"/>
      <c r="P4" s="163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137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80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162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138"/>
      <c r="AB5" s="64" t="s">
        <v>43</v>
      </c>
      <c r="AC5" s="64" t="s">
        <v>43</v>
      </c>
      <c r="AD5" s="67" t="s">
        <v>80</v>
      </c>
      <c r="AE5" s="84"/>
      <c r="AF5" s="84"/>
      <c r="AH5" s="145"/>
      <c r="AI5" s="145"/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161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69"/>
      <c r="X6" s="68"/>
      <c r="Y6" s="68"/>
      <c r="Z6" s="68"/>
      <c r="AA6" s="55"/>
      <c r="AB6" s="57"/>
      <c r="AC6" s="57"/>
      <c r="AD6" s="57"/>
      <c r="AE6" s="85"/>
      <c r="AF6" s="85"/>
      <c r="AG6" s="86"/>
      <c r="AH6" s="145"/>
      <c r="AI6" s="145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 t="n">
        <f aca="false">SEP!F44</f>
        <v>1988.90849508444</v>
      </c>
      <c r="G7" s="52" t="n">
        <f aca="false">SEP!G44</f>
        <v>130245.7</v>
      </c>
      <c r="H7" s="164" t="n">
        <f aca="false">SEP!H44</f>
        <v>8849.9</v>
      </c>
      <c r="I7" s="52" t="n">
        <f aca="false">SEP!I44</f>
        <v>139095.6</v>
      </c>
      <c r="J7" s="52" t="n">
        <f aca="false">SEP!J44</f>
        <v>23399.6789916814</v>
      </c>
      <c r="K7" s="52" t="n">
        <f aca="false">SEP!K44</f>
        <v>162495.278991681</v>
      </c>
      <c r="L7" s="52" t="n">
        <f aca="false">SEP!L44</f>
        <v>18464.0184950844</v>
      </c>
      <c r="M7" s="52" t="n">
        <f aca="false">SEP!M44</f>
        <v>30072.28</v>
      </c>
      <c r="N7" s="52" t="n">
        <f aca="false">SEP!N44</f>
        <v>0</v>
      </c>
      <c r="O7" s="52" t="n">
        <f aca="false">SEP!O44</f>
        <v>0</v>
      </c>
      <c r="P7" s="52" t="n">
        <f aca="false">SEP!P44</f>
        <v>30072.28</v>
      </c>
      <c r="Q7" s="52" t="n">
        <f aca="false">SEP!Q44</f>
        <v>20820.7</v>
      </c>
      <c r="R7" s="52" t="n">
        <f aca="false">SEP!R44</f>
        <v>10813.1</v>
      </c>
      <c r="S7" s="52" t="n">
        <f aca="false">SEP!S44</f>
        <v>61706.08</v>
      </c>
      <c r="T7" s="52" t="n">
        <f aca="false">SEP!T44</f>
        <v>-5761.08</v>
      </c>
      <c r="U7" s="52" t="n">
        <f aca="false">SEP!U44</f>
        <v>12811.33</v>
      </c>
      <c r="V7" s="52" t="n">
        <f aca="false">SEP!V44</f>
        <v>81053.3</v>
      </c>
      <c r="W7" s="52"/>
      <c r="X7" s="52" t="n">
        <f aca="false">SEP!X44</f>
        <v>155570.71</v>
      </c>
      <c r="Y7" s="52" t="n">
        <f aca="false">SEP!Y44</f>
        <v>4935.66049659692</v>
      </c>
      <c r="Z7" s="52" t="n">
        <f aca="false">SEP!Z44</f>
        <v>160506.370496597</v>
      </c>
      <c r="AA7" s="55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SEP!B39</f>
        <v>6907.6</v>
      </c>
      <c r="C8" s="52" t="n">
        <f aca="false">SEP!C39</f>
        <v>312489</v>
      </c>
      <c r="D8" s="52" t="n">
        <f aca="false">SEP!D48</f>
        <v>17636</v>
      </c>
      <c r="E8" s="52" t="n">
        <f aca="false">SEP!E48</f>
        <v>160511</v>
      </c>
      <c r="F8" s="52" t="n">
        <f aca="false">SEP!F47</f>
        <v>8891.35366775901</v>
      </c>
      <c r="G8" s="52" t="n">
        <f aca="false">SEP!G47</f>
        <v>142932.8</v>
      </c>
      <c r="H8" s="161" t="n">
        <f aca="false">SEP!H47</f>
        <v>9491.6</v>
      </c>
      <c r="I8" s="52" t="n">
        <f aca="false">SEP!I47</f>
        <v>152424.4</v>
      </c>
      <c r="J8" s="52" t="n">
        <f aca="false">SEP!J47</f>
        <v>25705.9459364759</v>
      </c>
      <c r="K8" s="52" t="n">
        <f aca="false">SEP!K47</f>
        <v>178130.221509957</v>
      </c>
      <c r="L8" s="52" t="n">
        <f aca="false">SEP!L47</f>
        <v>19509.013667759</v>
      </c>
      <c r="M8" s="52" t="n">
        <f aca="false">SEP!M47</f>
        <v>31136.8</v>
      </c>
      <c r="N8" s="52" t="n">
        <f aca="false">SEP!N47</f>
        <v>0</v>
      </c>
      <c r="O8" s="52" t="n">
        <f aca="false">SEP!O47</f>
        <v>0</v>
      </c>
      <c r="P8" s="52" t="n">
        <f aca="false">SEP!P47</f>
        <v>31136.8</v>
      </c>
      <c r="Q8" s="52" t="n">
        <f aca="false">SEP!Q47</f>
        <v>22133.5</v>
      </c>
      <c r="R8" s="52" t="n">
        <f aca="false">SEP!R47</f>
        <v>11087.2</v>
      </c>
      <c r="S8" s="52" t="n">
        <f aca="false">SEP!S47</f>
        <v>64357.5</v>
      </c>
      <c r="T8" s="52" t="n">
        <f aca="false">SEP!T47</f>
        <v>-5761.08</v>
      </c>
      <c r="U8" s="52" t="n">
        <f aca="false">SEP!U47</f>
        <v>12811.33</v>
      </c>
      <c r="V8" s="52" t="n">
        <f aca="false">SEP!V47</f>
        <v>85873.23</v>
      </c>
      <c r="W8" s="52" t="n">
        <f aca="false">SEP!W47</f>
        <v>1754.76999999995</v>
      </c>
      <c r="X8" s="52" t="n">
        <f aca="false">SEP!X47</f>
        <v>163042.06</v>
      </c>
      <c r="Y8" s="52" t="n">
        <f aca="false">SEP!Y47</f>
        <v>6196.93226871691</v>
      </c>
      <c r="Z8" s="52" t="n">
        <f aca="false">SEP!Z47</f>
        <v>169238.992268717</v>
      </c>
      <c r="AA8" s="55" t="n">
        <f aca="false">SEP!AA47</f>
        <v>20.2</v>
      </c>
      <c r="AB8" s="56"/>
      <c r="AC8" s="56"/>
      <c r="AD8" s="57"/>
      <c r="AE8" s="85"/>
      <c r="AF8" s="85"/>
      <c r="AG8" s="86"/>
      <c r="AH8" s="44"/>
      <c r="AI8" s="44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165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140"/>
      <c r="AB9" s="76"/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6907.49</v>
      </c>
      <c r="C10" s="52" t="n">
        <v>312058</v>
      </c>
      <c r="D10" s="56" t="n">
        <f aca="false">C10-C8</f>
        <v>-431</v>
      </c>
      <c r="E10" s="52" t="n">
        <f aca="false">C10-152000</f>
        <v>160058</v>
      </c>
      <c r="F10" s="51" t="n">
        <f aca="false">D10/$D$2</f>
        <v>-217.292664481976</v>
      </c>
      <c r="G10" s="51" t="n">
        <v>81.5</v>
      </c>
      <c r="H10" s="161" t="n">
        <v>0</v>
      </c>
      <c r="I10" s="51" t="n">
        <f aca="false">G10+H10</f>
        <v>81.5</v>
      </c>
      <c r="J10" s="78" t="n">
        <f aca="false">IF(L10&gt;0,L10,0)</f>
        <v>0</v>
      </c>
      <c r="K10" s="51" t="n">
        <f aca="false">I10+J10</f>
        <v>81.5</v>
      </c>
      <c r="L10" s="51" t="n">
        <f aca="false">F10-(I10-X10)</f>
        <v>-16.9926644819763</v>
      </c>
      <c r="M10" s="51" t="n">
        <v>134.2</v>
      </c>
      <c r="N10" s="51" t="n">
        <v>0</v>
      </c>
      <c r="O10" s="51" t="n">
        <v>0</v>
      </c>
      <c r="P10" s="6" t="n">
        <f aca="false">M10-(N10+O10)</f>
        <v>134.2</v>
      </c>
      <c r="Q10" s="51" t="n">
        <v>46.6</v>
      </c>
      <c r="R10" s="51" t="n">
        <v>46.2</v>
      </c>
      <c r="S10" s="51" t="n">
        <f aca="false">SUM(P10:R10)</f>
        <v>227</v>
      </c>
      <c r="T10" s="52" t="n">
        <f aca="false">(I10-S10)+T7</f>
        <v>-5906.58</v>
      </c>
      <c r="U10" s="51" t="n">
        <v>16</v>
      </c>
      <c r="V10" s="51" t="n">
        <v>38.8</v>
      </c>
      <c r="W10" s="52" t="n">
        <f aca="false">W8-V10</f>
        <v>1715.96999999995</v>
      </c>
      <c r="X10" s="6" t="n">
        <f aca="false">N10+O10+S10+U10+V10</f>
        <v>281.8</v>
      </c>
      <c r="Y10" s="51" t="n">
        <f aca="false">IF(L10&lt;0,L10*-1,0)</f>
        <v>16.9926644819763</v>
      </c>
      <c r="Z10" s="51" t="n">
        <f aca="false">X10+Y10</f>
        <v>298.792664481976</v>
      </c>
      <c r="AA10" s="55" t="n">
        <v>0</v>
      </c>
      <c r="AB10" s="56" t="n">
        <v>74</v>
      </c>
      <c r="AC10" s="56" t="n">
        <v>44</v>
      </c>
      <c r="AD10" s="57" t="n">
        <v>1</v>
      </c>
      <c r="AE10" s="85"/>
      <c r="AF10" s="87"/>
      <c r="AG10" s="87"/>
    </row>
    <row r="11" customFormat="false" ht="11.1" hidden="false" customHeight="true" outlineLevel="0" collapsed="false">
      <c r="A11" s="57" t="n">
        <f aca="false">A10+1</f>
        <v>2</v>
      </c>
      <c r="B11" s="71" t="n">
        <v>6907.39</v>
      </c>
      <c r="C11" s="52" t="n">
        <v>311666</v>
      </c>
      <c r="D11" s="56" t="n">
        <f aca="false">C11-C10</f>
        <v>-392</v>
      </c>
      <c r="E11" s="52" t="n">
        <f aca="false">C11-152000</f>
        <v>159666</v>
      </c>
      <c r="F11" s="51" t="n">
        <f aca="false">D11/$D$2</f>
        <v>-197.630451222586</v>
      </c>
      <c r="G11" s="51" t="n">
        <v>79.4</v>
      </c>
      <c r="H11" s="161" t="n">
        <v>0</v>
      </c>
      <c r="I11" s="51" t="n">
        <f aca="false">G11+H11</f>
        <v>79.4</v>
      </c>
      <c r="J11" s="78" t="n">
        <f aca="false">IF(L11&gt;0,L11,0)</f>
        <v>19.7695487774137</v>
      </c>
      <c r="K11" s="51" t="n">
        <f aca="false">I11+J11</f>
        <v>99.1695487774137</v>
      </c>
      <c r="L11" s="51" t="n">
        <f aca="false">F11-(I11-X11)</f>
        <v>19.7695487774137</v>
      </c>
      <c r="M11" s="51" t="n">
        <v>139.9</v>
      </c>
      <c r="N11" s="51" t="n">
        <v>0</v>
      </c>
      <c r="O11" s="51" t="n">
        <v>0</v>
      </c>
      <c r="P11" s="6" t="n">
        <f aca="false">M11-(N11+O11)</f>
        <v>139.9</v>
      </c>
      <c r="Q11" s="51" t="n">
        <v>46.6</v>
      </c>
      <c r="R11" s="51" t="n">
        <v>48.5</v>
      </c>
      <c r="S11" s="51" t="n">
        <f aca="false">SUM(P11:R11)</f>
        <v>235</v>
      </c>
      <c r="T11" s="52" t="n">
        <f aca="false">(I11-S11)+T10</f>
        <v>-6062.18000000001</v>
      </c>
      <c r="U11" s="51" t="n">
        <v>13</v>
      </c>
      <c r="V11" s="51" t="n">
        <v>48.8</v>
      </c>
      <c r="W11" s="52" t="n">
        <f aca="false">W10-V11</f>
        <v>1667.16999999995</v>
      </c>
      <c r="X11" s="6" t="n">
        <f aca="false">N11+O11+S11+U11+V11</f>
        <v>296.8</v>
      </c>
      <c r="Y11" s="51" t="n">
        <f aca="false">IF(L11&lt;0,L11*-1,0)</f>
        <v>0</v>
      </c>
      <c r="Z11" s="51" t="n">
        <f aca="false">X11+Y11</f>
        <v>296.8</v>
      </c>
      <c r="AA11" s="55" t="n">
        <v>0</v>
      </c>
      <c r="AB11" s="56" t="n">
        <v>76</v>
      </c>
      <c r="AC11" s="56" t="n">
        <v>44</v>
      </c>
      <c r="AD11" s="57" t="n">
        <f aca="false">AD10+1</f>
        <v>2</v>
      </c>
      <c r="AE11" s="85"/>
      <c r="AF11" s="87"/>
      <c r="AG11" s="87"/>
    </row>
    <row r="12" customFormat="false" ht="11.1" hidden="false" customHeight="true" outlineLevel="0" collapsed="false">
      <c r="A12" s="57" t="n">
        <f aca="false">A11+1</f>
        <v>3</v>
      </c>
      <c r="B12" s="71" t="n">
        <v>6907.24</v>
      </c>
      <c r="C12" s="52" t="n">
        <v>311279</v>
      </c>
      <c r="D12" s="56" t="n">
        <f aca="false">C12-C11</f>
        <v>-387</v>
      </c>
      <c r="E12" s="52" t="n">
        <f aca="false">C12-152000</f>
        <v>159279</v>
      </c>
      <c r="F12" s="51" t="n">
        <f aca="false">D12/$D$2</f>
        <v>-195.10965465087</v>
      </c>
      <c r="G12" s="51" t="n">
        <v>74.5</v>
      </c>
      <c r="H12" s="161" t="n">
        <v>0</v>
      </c>
      <c r="I12" s="51" t="n">
        <f aca="false">G12+H12</f>
        <v>74.5</v>
      </c>
      <c r="J12" s="78" t="n">
        <f aca="false">IF(L12&gt;0,L12,0)</f>
        <v>44.4903453491304</v>
      </c>
      <c r="K12" s="51" t="n">
        <f aca="false">I12+J12</f>
        <v>118.99034534913</v>
      </c>
      <c r="L12" s="51" t="n">
        <f aca="false">F12-(I12-X12)</f>
        <v>44.4903453491304</v>
      </c>
      <c r="M12" s="51" t="n">
        <v>143</v>
      </c>
      <c r="N12" s="51" t="n">
        <v>0</v>
      </c>
      <c r="O12" s="51" t="n">
        <v>0</v>
      </c>
      <c r="P12" s="6" t="n">
        <f aca="false">M12-(N12+O12)</f>
        <v>143</v>
      </c>
      <c r="Q12" s="51" t="n">
        <v>46.4</v>
      </c>
      <c r="R12" s="51" t="n">
        <v>47.6</v>
      </c>
      <c r="S12" s="51" t="n">
        <f aca="false">SUM(P12:R12)</f>
        <v>237</v>
      </c>
      <c r="T12" s="52" t="n">
        <f aca="false">(I12-S12)+T11</f>
        <v>-6224.68</v>
      </c>
      <c r="U12" s="51" t="n">
        <v>18</v>
      </c>
      <c r="V12" s="51" t="n">
        <v>59.1</v>
      </c>
      <c r="W12" s="52" t="n">
        <f aca="false">W11-V12</f>
        <v>1608.06999999995</v>
      </c>
      <c r="X12" s="6" t="n">
        <f aca="false">N12+O12+S12+U12+V12</f>
        <v>314.1</v>
      </c>
      <c r="Y12" s="51" t="n">
        <f aca="false">IF(L12&lt;0,L12*-1,0)</f>
        <v>0</v>
      </c>
      <c r="Z12" s="51" t="n">
        <f aca="false">X12+Y12</f>
        <v>314.1</v>
      </c>
      <c r="AA12" s="55" t="n">
        <v>0</v>
      </c>
      <c r="AB12" s="56" t="n">
        <v>72</v>
      </c>
      <c r="AC12" s="56" t="n">
        <v>43</v>
      </c>
      <c r="AD12" s="57" t="n">
        <f aca="false">AD11+1</f>
        <v>3</v>
      </c>
      <c r="AE12" s="85"/>
      <c r="AF12" s="87"/>
      <c r="AG12" s="87"/>
    </row>
    <row r="13" customFormat="false" ht="11.1" hidden="false" customHeight="true" outlineLevel="0" collapsed="false">
      <c r="A13" s="57" t="n">
        <f aca="false">A12+1</f>
        <v>4</v>
      </c>
      <c r="B13" s="71" t="n">
        <v>6907.1</v>
      </c>
      <c r="C13" s="52" t="n">
        <v>310530</v>
      </c>
      <c r="D13" s="56" t="n">
        <f aca="false">C13-C12</f>
        <v>-749</v>
      </c>
      <c r="E13" s="52" t="n">
        <f aca="false">C13-152000</f>
        <v>158530</v>
      </c>
      <c r="F13" s="51" t="n">
        <f aca="false">D13/$D$2</f>
        <v>-377.615326443156</v>
      </c>
      <c r="G13" s="51" t="n">
        <v>72.1</v>
      </c>
      <c r="H13" s="161" t="n">
        <v>0</v>
      </c>
      <c r="I13" s="51" t="n">
        <f aca="false">G13+H13</f>
        <v>72.1</v>
      </c>
      <c r="J13" s="78" t="n">
        <f aca="false">IF(L13&gt;0,L13,0)</f>
        <v>0</v>
      </c>
      <c r="K13" s="51" t="n">
        <f aca="false">I13+J13</f>
        <v>72.1</v>
      </c>
      <c r="L13" s="51" t="n">
        <f aca="false">F13-(I13-X13)</f>
        <v>-135.615326443156</v>
      </c>
      <c r="M13" s="51" t="n">
        <v>144.2</v>
      </c>
      <c r="N13" s="51" t="n">
        <v>0</v>
      </c>
      <c r="O13" s="51" t="n">
        <v>0</v>
      </c>
      <c r="P13" s="6" t="n">
        <f aca="false">M13-(N13+O13)</f>
        <v>144.2</v>
      </c>
      <c r="Q13" s="51" t="n">
        <v>46.5</v>
      </c>
      <c r="R13" s="51" t="n">
        <v>47.4</v>
      </c>
      <c r="S13" s="51" t="n">
        <f aca="false">SUM(P13:R13)</f>
        <v>238.1</v>
      </c>
      <c r="T13" s="52" t="n">
        <f aca="false">(I13-S13)+T12</f>
        <v>-6390.68000000001</v>
      </c>
      <c r="U13" s="51" t="n">
        <v>17</v>
      </c>
      <c r="V13" s="51" t="n">
        <v>59</v>
      </c>
      <c r="W13" s="52" t="n">
        <f aca="false">W12-V13</f>
        <v>1549.06999999995</v>
      </c>
      <c r="X13" s="6" t="n">
        <f aca="false">N13+O13+S13+U13+V13</f>
        <v>314.1</v>
      </c>
      <c r="Y13" s="51" t="n">
        <f aca="false">IF(L13&lt;0,L13*-1,0)</f>
        <v>135.615326443156</v>
      </c>
      <c r="Z13" s="51" t="n">
        <f aca="false">X13+Y13</f>
        <v>449.715326443156</v>
      </c>
      <c r="AA13" s="55" t="n">
        <v>0</v>
      </c>
      <c r="AB13" s="56" t="n">
        <v>70</v>
      </c>
      <c r="AC13" s="56" t="n">
        <v>40</v>
      </c>
      <c r="AD13" s="57" t="n">
        <f aca="false">AD12+1</f>
        <v>4</v>
      </c>
      <c r="AE13" s="85"/>
      <c r="AF13" s="87"/>
      <c r="AG13" s="87"/>
    </row>
    <row r="14" customFormat="false" ht="11.1" hidden="false" customHeight="true" outlineLevel="0" collapsed="false">
      <c r="A14" s="57" t="n">
        <f aca="false">A13+1</f>
        <v>5</v>
      </c>
      <c r="B14" s="71" t="n">
        <v>6906.95</v>
      </c>
      <c r="C14" s="52" t="n">
        <v>309994</v>
      </c>
      <c r="D14" s="56" t="n">
        <f aca="false">C14-C13</f>
        <v>-536</v>
      </c>
      <c r="E14" s="52" t="n">
        <f aca="false">C14-152000</f>
        <v>157994</v>
      </c>
      <c r="F14" s="51" t="n">
        <f aca="false">D14/$D$2</f>
        <v>-270.229392488026</v>
      </c>
      <c r="G14" s="51" t="n">
        <v>69.6</v>
      </c>
      <c r="H14" s="161" t="n">
        <v>0</v>
      </c>
      <c r="I14" s="51" t="n">
        <f aca="false">G14+H14</f>
        <v>69.6</v>
      </c>
      <c r="J14" s="78" t="n">
        <f aca="false">IF(L14&gt;0,L14,0)</f>
        <v>0</v>
      </c>
      <c r="K14" s="51" t="n">
        <f aca="false">I14+J14</f>
        <v>69.6</v>
      </c>
      <c r="L14" s="51" t="n">
        <f aca="false">F14-(I14-X14)</f>
        <v>-19.0293924880262</v>
      </c>
      <c r="M14" s="51" t="n">
        <v>152.4</v>
      </c>
      <c r="N14" s="51" t="n">
        <v>0</v>
      </c>
      <c r="O14" s="51" t="n">
        <v>0</v>
      </c>
      <c r="P14" s="6" t="n">
        <f aca="false">M14-(N14+O14)</f>
        <v>152.4</v>
      </c>
      <c r="Q14" s="51" t="n">
        <v>46.4</v>
      </c>
      <c r="R14" s="51" t="n">
        <v>47.2</v>
      </c>
      <c r="S14" s="51" t="n">
        <f aca="false">SUM(P14:R14)</f>
        <v>246</v>
      </c>
      <c r="T14" s="52" t="n">
        <f aca="false">(I14-S14)+T13</f>
        <v>-6567.08</v>
      </c>
      <c r="U14" s="51" t="n">
        <v>16</v>
      </c>
      <c r="V14" s="51" t="n">
        <v>58.8</v>
      </c>
      <c r="W14" s="52" t="n">
        <f aca="false">W13-V14</f>
        <v>1490.26999999995</v>
      </c>
      <c r="X14" s="6" t="n">
        <f aca="false">N14+O14+S14+U14+V14</f>
        <v>320.8</v>
      </c>
      <c r="Y14" s="51" t="n">
        <f aca="false">IF(L14&lt;0,L14*-1,0)</f>
        <v>19.0293924880262</v>
      </c>
      <c r="Z14" s="51" t="n">
        <f aca="false">X14+Y14</f>
        <v>339.829392488026</v>
      </c>
      <c r="AA14" s="55" t="n">
        <v>0</v>
      </c>
      <c r="AB14" s="56" t="n">
        <v>72</v>
      </c>
      <c r="AC14" s="56" t="n">
        <v>42</v>
      </c>
      <c r="AD14" s="57" t="n">
        <f aca="false">AD13+1</f>
        <v>5</v>
      </c>
      <c r="AE14" s="85"/>
      <c r="AF14" s="87"/>
      <c r="AG14" s="87"/>
    </row>
    <row r="15" customFormat="false" ht="11.1" hidden="false" customHeight="true" outlineLevel="0" collapsed="false">
      <c r="A15" s="57" t="n">
        <f aca="false">A14+1</f>
        <v>6</v>
      </c>
      <c r="B15" s="71" t="n">
        <v>6906.81</v>
      </c>
      <c r="C15" s="52" t="n">
        <v>309400</v>
      </c>
      <c r="D15" s="56" t="n">
        <f aca="false">C15-C14</f>
        <v>-594</v>
      </c>
      <c r="E15" s="52" t="n">
        <f aca="false">C15-152000</f>
        <v>157400</v>
      </c>
      <c r="F15" s="51" t="n">
        <f aca="false">D15/$D$2</f>
        <v>-299.470632719939</v>
      </c>
      <c r="G15" s="51" t="n">
        <v>67.6</v>
      </c>
      <c r="H15" s="161" t="n">
        <v>0</v>
      </c>
      <c r="I15" s="51" t="n">
        <f aca="false">G15+H15</f>
        <v>67.6</v>
      </c>
      <c r="J15" s="78" t="n">
        <f aca="false">IF(L15&gt;0,L15,0)</f>
        <v>0</v>
      </c>
      <c r="K15" s="51" t="n">
        <f aca="false">I15+J15</f>
        <v>67.6</v>
      </c>
      <c r="L15" s="51" t="n">
        <f aca="false">F15-(I15-X15)</f>
        <v>-38.2706327199394</v>
      </c>
      <c r="M15" s="51" t="n">
        <v>155.4</v>
      </c>
      <c r="N15" s="51" t="n">
        <v>0</v>
      </c>
      <c r="O15" s="51" t="n">
        <v>0</v>
      </c>
      <c r="P15" s="6" t="n">
        <f aca="false">M15-(N15+O15)</f>
        <v>155.4</v>
      </c>
      <c r="Q15" s="51" t="n">
        <v>46.4</v>
      </c>
      <c r="R15" s="51" t="n">
        <v>47.2</v>
      </c>
      <c r="S15" s="51" t="n">
        <f aca="false">SUM(P15:R15)</f>
        <v>249</v>
      </c>
      <c r="T15" s="52" t="n">
        <f aca="false">(I15-S15)+T14</f>
        <v>-6748.48</v>
      </c>
      <c r="U15" s="51" t="n">
        <v>21</v>
      </c>
      <c r="V15" s="51" t="n">
        <v>58.8</v>
      </c>
      <c r="W15" s="52" t="n">
        <f aca="false">W14-V15</f>
        <v>1431.46999999995</v>
      </c>
      <c r="X15" s="6" t="n">
        <f aca="false">N15+O15+S15+U15+V15</f>
        <v>328.8</v>
      </c>
      <c r="Y15" s="51" t="n">
        <f aca="false">IF(L15&lt;0,L15*-1,0)</f>
        <v>38.2706327199394</v>
      </c>
      <c r="Z15" s="51" t="n">
        <f aca="false">X15+Y15</f>
        <v>367.070632719939</v>
      </c>
      <c r="AA15" s="55" t="n">
        <v>0</v>
      </c>
      <c r="AB15" s="56" t="n">
        <v>66</v>
      </c>
      <c r="AC15" s="56" t="n">
        <v>36</v>
      </c>
      <c r="AD15" s="57" t="n">
        <f aca="false">AD14+1</f>
        <v>6</v>
      </c>
      <c r="AE15" s="85"/>
      <c r="AF15" s="87"/>
      <c r="AG15" s="87"/>
    </row>
    <row r="16" customFormat="false" ht="11.1" hidden="false" customHeight="true" outlineLevel="0" collapsed="false">
      <c r="A16" s="57" t="n">
        <f aca="false">A15+1</f>
        <v>7</v>
      </c>
      <c r="B16" s="71" t="n">
        <v>6906.64</v>
      </c>
      <c r="C16" s="52" t="n">
        <v>308739</v>
      </c>
      <c r="D16" s="56" t="n">
        <f aca="false">C16-C15</f>
        <v>-661</v>
      </c>
      <c r="E16" s="52" t="n">
        <f aca="false">C16-152000</f>
        <v>156739</v>
      </c>
      <c r="F16" s="51" t="n">
        <f aca="false">D16/$D$2</f>
        <v>-333.249306780943</v>
      </c>
      <c r="G16" s="51" t="n">
        <v>66.2</v>
      </c>
      <c r="H16" s="161" t="n">
        <v>0</v>
      </c>
      <c r="I16" s="51" t="n">
        <f aca="false">G16+H16</f>
        <v>66.2</v>
      </c>
      <c r="J16" s="78" t="n">
        <f aca="false">IF(L16&gt;0,L16,0)</f>
        <v>0</v>
      </c>
      <c r="K16" s="51" t="n">
        <f aca="false">I16+J16</f>
        <v>66.2</v>
      </c>
      <c r="L16" s="51" t="n">
        <f aca="false">F16-(I16-X16)</f>
        <v>-86.1493067809428</v>
      </c>
      <c r="M16" s="51" t="n">
        <v>148.4</v>
      </c>
      <c r="N16" s="51" t="n">
        <v>0</v>
      </c>
      <c r="O16" s="51" t="n">
        <v>0</v>
      </c>
      <c r="P16" s="6" t="n">
        <f aca="false">M16-(N16+O16)</f>
        <v>148.4</v>
      </c>
      <c r="Q16" s="51" t="n">
        <v>46.2</v>
      </c>
      <c r="R16" s="51" t="n">
        <v>46.4</v>
      </c>
      <c r="S16" s="51" t="n">
        <f aca="false">SUM(P16:R16)</f>
        <v>241</v>
      </c>
      <c r="T16" s="52" t="n">
        <f aca="false">(I16-S16)+T15</f>
        <v>-6923.28</v>
      </c>
      <c r="U16" s="51" t="n">
        <v>16</v>
      </c>
      <c r="V16" s="51" t="n">
        <v>56.3</v>
      </c>
      <c r="W16" s="52" t="n">
        <f aca="false">W15-V16</f>
        <v>1375.16999999995</v>
      </c>
      <c r="X16" s="6" t="n">
        <f aca="false">N16+O16+S16+U16+V16</f>
        <v>313.3</v>
      </c>
      <c r="Y16" s="51" t="n">
        <f aca="false">IF(L16&lt;0,L16*-1,0)</f>
        <v>86.1493067809428</v>
      </c>
      <c r="Z16" s="51" t="n">
        <f aca="false">X16+Y16</f>
        <v>399.449306780943</v>
      </c>
      <c r="AA16" s="55" t="n">
        <v>0</v>
      </c>
      <c r="AB16" s="56" t="n">
        <v>54</v>
      </c>
      <c r="AC16" s="56" t="n">
        <v>32</v>
      </c>
      <c r="AD16" s="57" t="n">
        <f aca="false">AD15+1</f>
        <v>7</v>
      </c>
      <c r="AE16" s="85"/>
      <c r="AF16" s="87"/>
      <c r="AG16" s="87"/>
    </row>
    <row r="17" customFormat="false" ht="11.1" hidden="false" customHeight="true" outlineLevel="0" collapsed="false">
      <c r="A17" s="57" t="n">
        <f aca="false">A16+1</f>
        <v>8</v>
      </c>
      <c r="B17" s="71" t="n">
        <v>6906.51</v>
      </c>
      <c r="C17" s="52" t="n">
        <v>308233</v>
      </c>
      <c r="D17" s="56" t="n">
        <f aca="false">C17-C16</f>
        <v>-506</v>
      </c>
      <c r="E17" s="52" t="n">
        <f aca="false">C17-152000</f>
        <v>156233</v>
      </c>
      <c r="F17" s="51" t="n">
        <f aca="false">D17/$D$2</f>
        <v>-255.104613057726</v>
      </c>
      <c r="G17" s="51" t="n">
        <v>68.4</v>
      </c>
      <c r="H17" s="161" t="n">
        <v>0</v>
      </c>
      <c r="I17" s="51" t="n">
        <f aca="false">G17+H17</f>
        <v>68.4</v>
      </c>
      <c r="J17" s="78" t="n">
        <f aca="false">IF(L17&gt;0,L17,0)</f>
        <v>0</v>
      </c>
      <c r="K17" s="51" t="n">
        <f aca="false">I17+J17</f>
        <v>68.4</v>
      </c>
      <c r="L17" s="51" t="n">
        <f aca="false">F17-(I17-X17)</f>
        <v>-18.7046130577262</v>
      </c>
      <c r="M17" s="51" t="n">
        <v>143.7</v>
      </c>
      <c r="N17" s="51" t="n">
        <v>0</v>
      </c>
      <c r="O17" s="51" t="n">
        <v>0</v>
      </c>
      <c r="P17" s="6" t="n">
        <f aca="false">M17-(N17+O17)</f>
        <v>143.7</v>
      </c>
      <c r="Q17" s="51" t="n">
        <v>46</v>
      </c>
      <c r="R17" s="51" t="n">
        <v>45.3</v>
      </c>
      <c r="S17" s="51" t="n">
        <f aca="false">SUM(P17:R17)</f>
        <v>235</v>
      </c>
      <c r="T17" s="52" t="n">
        <f aca="false">(I17-S17)+T16</f>
        <v>-7089.88</v>
      </c>
      <c r="U17" s="51" t="n">
        <v>11</v>
      </c>
      <c r="V17" s="51" t="n">
        <v>58.8</v>
      </c>
      <c r="W17" s="52" t="n">
        <f aca="false">W16-V17</f>
        <v>1316.36999999995</v>
      </c>
      <c r="X17" s="6" t="n">
        <f aca="false">N17+O17+S17+U17+V17</f>
        <v>304.8</v>
      </c>
      <c r="Y17" s="51" t="n">
        <f aca="false">IF(L17&lt;0,L17*-1,0)</f>
        <v>18.7046130577262</v>
      </c>
      <c r="Z17" s="51" t="n">
        <f aca="false">X17+Y17</f>
        <v>323.504613057726</v>
      </c>
      <c r="AA17" s="55" t="n">
        <v>0</v>
      </c>
      <c r="AB17" s="56" t="n">
        <v>60</v>
      </c>
      <c r="AC17" s="56" t="n">
        <v>22</v>
      </c>
      <c r="AD17" s="57" t="n">
        <f aca="false">AD16+1</f>
        <v>8</v>
      </c>
      <c r="AE17" s="85"/>
      <c r="AF17" s="87"/>
      <c r="AG17" s="87"/>
    </row>
    <row r="18" customFormat="false" ht="11.1" hidden="false" customHeight="true" outlineLevel="0" collapsed="false">
      <c r="A18" s="57" t="n">
        <f aca="false">A17+1</f>
        <v>9</v>
      </c>
      <c r="B18" s="71" t="n">
        <v>6906.39</v>
      </c>
      <c r="C18" s="52" t="n">
        <v>307768</v>
      </c>
      <c r="D18" s="56" t="n">
        <f aca="false">C18-C17</f>
        <v>-465</v>
      </c>
      <c r="E18" s="52" t="n">
        <f aca="false">C18-152000</f>
        <v>155768</v>
      </c>
      <c r="F18" s="51" t="n">
        <f aca="false">D18/$D$2</f>
        <v>-234.43408116965</v>
      </c>
      <c r="G18" s="51" t="n">
        <v>67.8</v>
      </c>
      <c r="H18" s="161" t="n">
        <v>0</v>
      </c>
      <c r="I18" s="51" t="n">
        <f aca="false">G18+H18</f>
        <v>67.8</v>
      </c>
      <c r="J18" s="78" t="n">
        <f aca="false">IF(L18&gt;0,L18,0)</f>
        <v>0</v>
      </c>
      <c r="K18" s="51" t="n">
        <f aca="false">I18+J18</f>
        <v>67.8</v>
      </c>
      <c r="L18" s="51" t="n">
        <f aca="false">F18-(I18-X18)</f>
        <v>-18.6340811696496</v>
      </c>
      <c r="M18" s="51" t="n">
        <v>109.9</v>
      </c>
      <c r="N18" s="51" t="n">
        <v>0</v>
      </c>
      <c r="O18" s="51" t="n">
        <v>0</v>
      </c>
      <c r="P18" s="6" t="n">
        <f aca="false">M18-(N18+O18)</f>
        <v>109.9</v>
      </c>
      <c r="Q18" s="51" t="n">
        <v>46.2</v>
      </c>
      <c r="R18" s="51" t="n">
        <v>46.8</v>
      </c>
      <c r="S18" s="51" t="n">
        <f aca="false">SUM(P18:R18)</f>
        <v>202.9</v>
      </c>
      <c r="T18" s="52" t="n">
        <f aca="false">(I18-S18)+T17</f>
        <v>-7224.98000000001</v>
      </c>
      <c r="U18" s="51" t="n">
        <v>22</v>
      </c>
      <c r="V18" s="51" t="n">
        <v>58.7</v>
      </c>
      <c r="W18" s="52" t="n">
        <f aca="false">W17-V18</f>
        <v>1257.66999999995</v>
      </c>
      <c r="X18" s="6" t="n">
        <f aca="false">N18+O18+S18+U18+V18</f>
        <v>283.6</v>
      </c>
      <c r="Y18" s="51" t="n">
        <f aca="false">IF(L18&lt;0,L18*-1,0)</f>
        <v>18.6340811696496</v>
      </c>
      <c r="Z18" s="51" t="n">
        <f aca="false">X18+Y18</f>
        <v>302.23408116965</v>
      </c>
      <c r="AA18" s="55" t="n">
        <v>0</v>
      </c>
      <c r="AB18" s="79" t="n">
        <v>66</v>
      </c>
      <c r="AC18" s="56" t="n">
        <v>20</v>
      </c>
      <c r="AD18" s="57" t="n">
        <f aca="false">AD17+1</f>
        <v>9</v>
      </c>
      <c r="AE18" s="85"/>
      <c r="AF18" s="87"/>
      <c r="AG18" s="87"/>
    </row>
    <row r="19" customFormat="false" ht="11.1" hidden="false" customHeight="true" outlineLevel="0" collapsed="false">
      <c r="A19" s="57" t="n">
        <f aca="false">A18+1</f>
        <v>10</v>
      </c>
      <c r="B19" s="71" t="n">
        <v>6906.27</v>
      </c>
      <c r="C19" s="52" t="n">
        <v>307301</v>
      </c>
      <c r="D19" s="56" t="n">
        <f aca="false">C19-C18</f>
        <v>-467</v>
      </c>
      <c r="E19" s="52" t="n">
        <f aca="false">C19-152000</f>
        <v>155301</v>
      </c>
      <c r="F19" s="51" t="n">
        <f aca="false">D19/$D$2</f>
        <v>-235.442399798336</v>
      </c>
      <c r="G19" s="51" t="n">
        <v>70.1</v>
      </c>
      <c r="H19" s="161" t="n">
        <v>0</v>
      </c>
      <c r="I19" s="51" t="n">
        <f aca="false">G19+H19</f>
        <v>70.1</v>
      </c>
      <c r="J19" s="78" t="n">
        <f aca="false">IF(L19&gt;0,L19,0)</f>
        <v>0</v>
      </c>
      <c r="K19" s="51" t="n">
        <f aca="false">I19+J19</f>
        <v>70.1</v>
      </c>
      <c r="L19" s="51" t="n">
        <f aca="false">F19-(I19-X19)</f>
        <v>-48.8423997983363</v>
      </c>
      <c r="M19" s="51" t="n">
        <v>90.7</v>
      </c>
      <c r="N19" s="51" t="n">
        <v>0</v>
      </c>
      <c r="O19" s="51" t="n">
        <v>0</v>
      </c>
      <c r="P19" s="6" t="n">
        <f aca="false">M19-(N19+O19)</f>
        <v>90.7</v>
      </c>
      <c r="Q19" s="51" t="n">
        <v>46</v>
      </c>
      <c r="R19" s="51" t="n">
        <v>39.3</v>
      </c>
      <c r="S19" s="51" t="n">
        <f aca="false">SUM(P19:R19)</f>
        <v>176</v>
      </c>
      <c r="T19" s="52" t="n">
        <f aca="false">(I19-S19)+T18</f>
        <v>-7330.88000000001</v>
      </c>
      <c r="U19" s="51" t="n">
        <v>22</v>
      </c>
      <c r="V19" s="51" t="n">
        <v>58.7</v>
      </c>
      <c r="W19" s="52" t="n">
        <f aca="false">W18-V19</f>
        <v>1198.96999999995</v>
      </c>
      <c r="X19" s="6" t="n">
        <f aca="false">N19+O19+S19+U19+V19</f>
        <v>256.7</v>
      </c>
      <c r="Y19" s="51" t="n">
        <f aca="false">IF(L19&lt;0,L19*-1,0)</f>
        <v>48.8423997983363</v>
      </c>
      <c r="Z19" s="51" t="n">
        <f aca="false">X19+Y19</f>
        <v>305.542399798336</v>
      </c>
      <c r="AA19" s="55" t="n">
        <v>0</v>
      </c>
      <c r="AB19" s="56" t="n">
        <v>69</v>
      </c>
      <c r="AC19" s="56" t="n">
        <v>32</v>
      </c>
      <c r="AD19" s="57" t="n">
        <f aca="false">AD18+1</f>
        <v>10</v>
      </c>
      <c r="AE19" s="85"/>
      <c r="AF19" s="87"/>
      <c r="AG19" s="87"/>
    </row>
    <row r="20" customFormat="false" ht="11.1" hidden="false" customHeight="true" outlineLevel="0" collapsed="false">
      <c r="A20" s="57" t="n">
        <f aca="false">A19+1</f>
        <v>11</v>
      </c>
      <c r="B20" s="71" t="n">
        <v>6906.16</v>
      </c>
      <c r="C20" s="52" t="n">
        <v>306874</v>
      </c>
      <c r="D20" s="56" t="n">
        <f aca="false">C20-C19</f>
        <v>-427</v>
      </c>
      <c r="E20" s="52" t="n">
        <f aca="false">C20-152000</f>
        <v>154874</v>
      </c>
      <c r="F20" s="51" t="n">
        <f aca="false">D20/$D$2</f>
        <v>-215.276027224603</v>
      </c>
      <c r="G20" s="51" t="n">
        <v>71.1</v>
      </c>
      <c r="H20" s="161" t="n">
        <v>0</v>
      </c>
      <c r="I20" s="51" t="n">
        <f aca="false">G20+H20</f>
        <v>71.1</v>
      </c>
      <c r="J20" s="78" t="n">
        <f aca="false">IF(L20&gt;0,L20,0)</f>
        <v>0</v>
      </c>
      <c r="K20" s="51" t="n">
        <f aca="false">I20+J20</f>
        <v>71.1</v>
      </c>
      <c r="L20" s="51" t="n">
        <f aca="false">F20-(I20-X20)</f>
        <v>-27.976027224603</v>
      </c>
      <c r="M20" s="51" t="n">
        <v>91.5</v>
      </c>
      <c r="N20" s="51" t="n">
        <v>0</v>
      </c>
      <c r="O20" s="51" t="n">
        <v>0</v>
      </c>
      <c r="P20" s="6" t="n">
        <f aca="false">M20-(N20+O20)</f>
        <v>91.5</v>
      </c>
      <c r="Q20" s="51" t="n">
        <v>47.3</v>
      </c>
      <c r="R20" s="51" t="n">
        <v>39.1</v>
      </c>
      <c r="S20" s="51" t="n">
        <f aca="false">SUM(P20:R20)</f>
        <v>177.9</v>
      </c>
      <c r="T20" s="52" t="n">
        <f aca="false">(I20-S20)+T19</f>
        <v>-7437.68000000001</v>
      </c>
      <c r="U20" s="51" t="n">
        <v>22</v>
      </c>
      <c r="V20" s="51" t="n">
        <v>58.5</v>
      </c>
      <c r="W20" s="52" t="n">
        <f aca="false">W19-V20</f>
        <v>1140.46999999995</v>
      </c>
      <c r="X20" s="6" t="n">
        <f aca="false">N20+O20+S20+U20+V20</f>
        <v>258.4</v>
      </c>
      <c r="Y20" s="51" t="n">
        <f aca="false">IF(L20&lt;0,L20*-1,0)</f>
        <v>27.976027224603</v>
      </c>
      <c r="Z20" s="51" t="n">
        <f aca="false">X20+Y20</f>
        <v>286.376027224603</v>
      </c>
      <c r="AA20" s="55" t="n">
        <v>0</v>
      </c>
      <c r="AB20" s="56" t="n">
        <v>74</v>
      </c>
      <c r="AC20" s="56" t="n">
        <v>35</v>
      </c>
      <c r="AD20" s="57" t="n">
        <f aca="false">AD19+1</f>
        <v>11</v>
      </c>
      <c r="AE20" s="85"/>
      <c r="AF20" s="87"/>
      <c r="AG20" s="87"/>
      <c r="AH20" s="142"/>
      <c r="AI20" s="142"/>
      <c r="AJ20" s="142"/>
    </row>
    <row r="21" customFormat="false" ht="11.1" hidden="false" customHeight="true" outlineLevel="0" collapsed="false">
      <c r="A21" s="57" t="n">
        <f aca="false">A20+1</f>
        <v>12</v>
      </c>
      <c r="B21" s="71" t="n">
        <v>6906.09</v>
      </c>
      <c r="C21" s="52" t="n">
        <v>306600</v>
      </c>
      <c r="D21" s="56" t="n">
        <f aca="false">C21-C20</f>
        <v>-274</v>
      </c>
      <c r="E21" s="52" t="n">
        <f aca="false">C21-152000</f>
        <v>154600</v>
      </c>
      <c r="F21" s="51" t="n">
        <f aca="false">D21/$D$2</f>
        <v>-138.139652130073</v>
      </c>
      <c r="G21" s="51" t="n">
        <v>69.6</v>
      </c>
      <c r="H21" s="161" t="n">
        <v>0</v>
      </c>
      <c r="I21" s="51" t="n">
        <f aca="false">G21+H21</f>
        <v>69.6</v>
      </c>
      <c r="J21" s="78" t="n">
        <f aca="false">IF(L21&gt;0,L21,0)</f>
        <v>22.6603478699269</v>
      </c>
      <c r="K21" s="51" t="n">
        <f aca="false">I21+J21</f>
        <v>92.2603478699269</v>
      </c>
      <c r="L21" s="51" t="n">
        <f aca="false">F21-(I21-X21)</f>
        <v>22.6603478699269</v>
      </c>
      <c r="M21" s="51" t="n">
        <v>90.9</v>
      </c>
      <c r="N21" s="51" t="n">
        <v>0</v>
      </c>
      <c r="O21" s="51" t="n">
        <v>0</v>
      </c>
      <c r="P21" s="6" t="n">
        <f aca="false">M21-(N21+O21)</f>
        <v>90.9</v>
      </c>
      <c r="Q21" s="51" t="n">
        <v>15</v>
      </c>
      <c r="R21" s="51" t="n">
        <v>38.1</v>
      </c>
      <c r="S21" s="51" t="n">
        <f aca="false">SUM(P21:R21)</f>
        <v>144</v>
      </c>
      <c r="T21" s="52" t="n">
        <f aca="false">(I21-S21)+T20</f>
        <v>-7512.08</v>
      </c>
      <c r="U21" s="51" t="n">
        <v>28</v>
      </c>
      <c r="V21" s="51" t="n">
        <v>58.4</v>
      </c>
      <c r="W21" s="52" t="n">
        <f aca="false">W20-V21</f>
        <v>1082.06999999995</v>
      </c>
      <c r="X21" s="6" t="n">
        <f aca="false">N21+O21+S21+U21+V21</f>
        <v>230.4</v>
      </c>
      <c r="Y21" s="51" t="n">
        <f aca="false">IF(L21&lt;0,L21*-1,0)</f>
        <v>0</v>
      </c>
      <c r="Z21" s="51" t="n">
        <f aca="false">X21+Y21</f>
        <v>230.4</v>
      </c>
      <c r="AA21" s="55" t="n">
        <v>0</v>
      </c>
      <c r="AB21" s="56" t="n">
        <v>71</v>
      </c>
      <c r="AC21" s="56" t="n">
        <v>38</v>
      </c>
      <c r="AD21" s="57" t="n">
        <f aca="false">AD20+1</f>
        <v>12</v>
      </c>
      <c r="AE21" s="85"/>
      <c r="AF21" s="85"/>
      <c r="AG21" s="87"/>
    </row>
    <row r="22" customFormat="false" ht="11.1" hidden="false" customHeight="true" outlineLevel="0" collapsed="false">
      <c r="A22" s="57" t="n">
        <f aca="false">A21+1</f>
        <v>13</v>
      </c>
      <c r="B22" s="71" t="n">
        <v>6906.01</v>
      </c>
      <c r="C22" s="52" t="n">
        <v>306289</v>
      </c>
      <c r="D22" s="56" t="n">
        <f aca="false">C22-C21</f>
        <v>-311</v>
      </c>
      <c r="E22" s="52" t="n">
        <f aca="false">C22-152000</f>
        <v>154289</v>
      </c>
      <c r="F22" s="51" t="n">
        <f aca="false">D22/$D$2</f>
        <v>-156.793546760776</v>
      </c>
      <c r="G22" s="51" t="n">
        <v>66.9</v>
      </c>
      <c r="H22" s="161" t="n">
        <v>0</v>
      </c>
      <c r="I22" s="51" t="n">
        <f aca="false">G22+H22</f>
        <v>66.9</v>
      </c>
      <c r="J22" s="78" t="n">
        <f aca="false">IF(L22&gt;0,L22,0)</f>
        <v>0</v>
      </c>
      <c r="K22" s="51" t="n">
        <f aca="false">I22+J22</f>
        <v>66.9</v>
      </c>
      <c r="L22" s="51" t="n">
        <f aca="false">F22-(I22-X22)</f>
        <v>-22.2935467607764</v>
      </c>
      <c r="M22" s="51" t="n">
        <v>91.5</v>
      </c>
      <c r="N22" s="51" t="n">
        <v>0</v>
      </c>
      <c r="O22" s="51" t="n">
        <v>0</v>
      </c>
      <c r="P22" s="6" t="n">
        <f aca="false">M22-(N22+O22)</f>
        <v>91.5</v>
      </c>
      <c r="Q22" s="51" t="n">
        <v>0</v>
      </c>
      <c r="R22" s="51" t="n">
        <v>31.5</v>
      </c>
      <c r="S22" s="51" t="n">
        <f aca="false">SUM(P22:R22)</f>
        <v>123</v>
      </c>
      <c r="T22" s="52" t="n">
        <f aca="false">(I22-S22)+T21</f>
        <v>-7568.18000000001</v>
      </c>
      <c r="U22" s="51" t="n">
        <v>20</v>
      </c>
      <c r="V22" s="51" t="n">
        <v>58.4</v>
      </c>
      <c r="W22" s="52" t="n">
        <f aca="false">W21-V22</f>
        <v>1023.66999999995</v>
      </c>
      <c r="X22" s="6" t="n">
        <f aca="false">N22+O22+S22+U22+V22</f>
        <v>201.4</v>
      </c>
      <c r="Y22" s="51" t="n">
        <f aca="false">IF(L22&lt;0,L22*-1,0)</f>
        <v>22.2935467607764</v>
      </c>
      <c r="Z22" s="51" t="n">
        <f aca="false">X22+Y22</f>
        <v>223.693546760776</v>
      </c>
      <c r="AA22" s="55" t="n">
        <v>0</v>
      </c>
      <c r="AB22" s="56" t="n">
        <v>68</v>
      </c>
      <c r="AC22" s="56" t="n">
        <v>40</v>
      </c>
      <c r="AD22" s="57" t="n">
        <f aca="false">AD21+1</f>
        <v>13</v>
      </c>
      <c r="AE22" s="85"/>
      <c r="AF22" s="85"/>
      <c r="AG22" s="87"/>
    </row>
    <row r="23" customFormat="false" ht="11.1" hidden="false" customHeight="true" outlineLevel="0" collapsed="false">
      <c r="A23" s="57" t="n">
        <f aca="false">A22+1</f>
        <v>14</v>
      </c>
      <c r="B23" s="71" t="n">
        <v>6905.91</v>
      </c>
      <c r="C23" s="52" t="n">
        <v>305905</v>
      </c>
      <c r="D23" s="56" t="n">
        <f aca="false">C23-C22</f>
        <v>-384</v>
      </c>
      <c r="E23" s="52" t="n">
        <f aca="false">C23-152000</f>
        <v>153905</v>
      </c>
      <c r="F23" s="51" t="n">
        <f aca="false">D23/$D$2</f>
        <v>-193.59717670784</v>
      </c>
      <c r="G23" s="51" t="n">
        <v>66.4</v>
      </c>
      <c r="H23" s="161" t="n">
        <v>0</v>
      </c>
      <c r="I23" s="51" t="n">
        <f aca="false">G23+H23</f>
        <v>66.4</v>
      </c>
      <c r="J23" s="78" t="n">
        <f aca="false">IF(L23&gt;0,L23,0)</f>
        <v>0</v>
      </c>
      <c r="K23" s="51" t="n">
        <f aca="false">I23+J23</f>
        <v>66.4</v>
      </c>
      <c r="L23" s="51" t="n">
        <f aca="false">F23-(I23-X23)</f>
        <v>-49.9971767078397</v>
      </c>
      <c r="M23" s="51" t="n">
        <v>90.3</v>
      </c>
      <c r="N23" s="51" t="n">
        <v>0</v>
      </c>
      <c r="O23" s="51" t="n">
        <v>0</v>
      </c>
      <c r="P23" s="6" t="n">
        <f aca="false">M23-(N23+O23)</f>
        <v>90.3</v>
      </c>
      <c r="Q23" s="51" t="n">
        <v>0</v>
      </c>
      <c r="R23" s="98" t="n">
        <v>30.7</v>
      </c>
      <c r="S23" s="51" t="n">
        <f aca="false">SUM(P23:R23)</f>
        <v>121</v>
      </c>
      <c r="T23" s="52" t="n">
        <f aca="false">(I23-S23)+T22</f>
        <v>-7622.78000000001</v>
      </c>
      <c r="U23" s="51" t="n">
        <v>33</v>
      </c>
      <c r="V23" s="51" t="n">
        <v>56</v>
      </c>
      <c r="W23" s="52" t="n">
        <f aca="false">W22-V23</f>
        <v>967.669999999955</v>
      </c>
      <c r="X23" s="6" t="n">
        <f aca="false">N23+O23+S23+U23+V23</f>
        <v>210</v>
      </c>
      <c r="Y23" s="51" t="n">
        <f aca="false">IF(L23&lt;0,L23*-1,0)</f>
        <v>49.9971767078397</v>
      </c>
      <c r="Z23" s="51" t="n">
        <f aca="false">X23+Y23</f>
        <v>259.99717670784</v>
      </c>
      <c r="AA23" s="55" t="n">
        <v>0</v>
      </c>
      <c r="AB23" s="79" t="n">
        <v>67</v>
      </c>
      <c r="AC23" s="56" t="n">
        <v>37</v>
      </c>
      <c r="AD23" s="57" t="n">
        <f aca="false">AD22+1</f>
        <v>14</v>
      </c>
      <c r="AE23" s="85"/>
      <c r="AF23" s="85"/>
      <c r="AG23" s="87"/>
    </row>
    <row r="24" customFormat="false" ht="11.1" hidden="false" customHeight="true" outlineLevel="0" collapsed="false">
      <c r="A24" s="57" t="n">
        <f aca="false">A23+1</f>
        <v>15</v>
      </c>
      <c r="B24" s="71" t="n">
        <v>6905.84</v>
      </c>
      <c r="C24" s="52" t="n">
        <v>305634</v>
      </c>
      <c r="D24" s="56" t="n">
        <f aca="false">C24-C23</f>
        <v>-271</v>
      </c>
      <c r="E24" s="52" t="n">
        <f aca="false">C24-152000</f>
        <v>153634</v>
      </c>
      <c r="F24" s="51" t="n">
        <f aca="false">D24/$D$2</f>
        <v>-136.627174187043</v>
      </c>
      <c r="G24" s="51" t="n">
        <v>64.8</v>
      </c>
      <c r="H24" s="161" t="n">
        <v>0</v>
      </c>
      <c r="I24" s="51" t="n">
        <f aca="false">G24+H24</f>
        <v>64.8</v>
      </c>
      <c r="J24" s="78" t="n">
        <f aca="false">IF(L24&gt;0,L24,0)</f>
        <v>0</v>
      </c>
      <c r="K24" s="51" t="n">
        <f aca="false">I24+J24</f>
        <v>64.8</v>
      </c>
      <c r="L24" s="51" t="n">
        <f aca="false">F24-(I24-X24)</f>
        <v>-23.6271741870431</v>
      </c>
      <c r="M24" s="51" t="n">
        <v>69.9</v>
      </c>
      <c r="N24" s="51" t="n">
        <v>0</v>
      </c>
      <c r="O24" s="51" t="n">
        <v>0</v>
      </c>
      <c r="P24" s="6" t="n">
        <f aca="false">M24-(N24+O24)</f>
        <v>69.9</v>
      </c>
      <c r="Q24" s="51" t="n">
        <v>0</v>
      </c>
      <c r="R24" s="98" t="n">
        <v>24.1</v>
      </c>
      <c r="S24" s="51" t="n">
        <f aca="false">SUM(P24:R24)</f>
        <v>94</v>
      </c>
      <c r="T24" s="52" t="n">
        <f aca="false">(I24-S24)+T23</f>
        <v>-7651.98000000001</v>
      </c>
      <c r="U24" s="51" t="n">
        <v>26</v>
      </c>
      <c r="V24" s="51" t="n">
        <v>57.8</v>
      </c>
      <c r="W24" s="52" t="n">
        <f aca="false">W23-V24</f>
        <v>909.869999999955</v>
      </c>
      <c r="X24" s="6" t="n">
        <f aca="false">N24+O24+S24+U24+V24</f>
        <v>177.8</v>
      </c>
      <c r="Y24" s="51" t="n">
        <f aca="false">IF(L24&lt;0,L24*-1,0)</f>
        <v>23.6271741870431</v>
      </c>
      <c r="Z24" s="51" t="n">
        <f aca="false">X24+Y24</f>
        <v>201.427174187043</v>
      </c>
      <c r="AA24" s="55" t="n">
        <v>0</v>
      </c>
      <c r="AB24" s="79" t="n">
        <v>65</v>
      </c>
      <c r="AC24" s="56" t="n">
        <v>37</v>
      </c>
      <c r="AD24" s="57" t="n">
        <f aca="false">AD23+1</f>
        <v>15</v>
      </c>
      <c r="AE24" s="85"/>
      <c r="AF24" s="85"/>
      <c r="AG24" s="87"/>
    </row>
    <row r="25" customFormat="false" ht="11.1" hidden="false" customHeight="true" outlineLevel="0" collapsed="false">
      <c r="A25" s="57" t="n">
        <f aca="false">A24+1</f>
        <v>16</v>
      </c>
      <c r="B25" s="71" t="n">
        <v>6905.77</v>
      </c>
      <c r="C25" s="52" t="n">
        <v>305364</v>
      </c>
      <c r="D25" s="56" t="n">
        <f aca="false">C25-C24</f>
        <v>-270</v>
      </c>
      <c r="E25" s="52" t="n">
        <f aca="false">C25-152000</f>
        <v>153364</v>
      </c>
      <c r="F25" s="51" t="n">
        <f aca="false">D25/$D$2</f>
        <v>-136.1230148727</v>
      </c>
      <c r="G25" s="51" t="n">
        <v>63</v>
      </c>
      <c r="H25" s="161" t="n">
        <v>0</v>
      </c>
      <c r="I25" s="51" t="n">
        <f aca="false">G25+H25</f>
        <v>63</v>
      </c>
      <c r="J25" s="78" t="n">
        <f aca="false">IF(L25&gt;0,L25,0)</f>
        <v>0</v>
      </c>
      <c r="K25" s="51" t="n">
        <f aca="false">I25+J25</f>
        <v>63</v>
      </c>
      <c r="L25" s="51" t="n">
        <f aca="false">F25-(I25-X25)</f>
        <v>-40.3230148726998</v>
      </c>
      <c r="M25" s="51" t="n">
        <v>54.2</v>
      </c>
      <c r="N25" s="51" t="n">
        <v>0</v>
      </c>
      <c r="O25" s="51" t="n">
        <v>0</v>
      </c>
      <c r="P25" s="6" t="n">
        <f aca="false">M25-(N25+O25)</f>
        <v>54.2</v>
      </c>
      <c r="Q25" s="51" t="n">
        <v>0</v>
      </c>
      <c r="R25" s="51" t="n">
        <v>24.8</v>
      </c>
      <c r="S25" s="51" t="n">
        <f aca="false">SUM(P25:R25)</f>
        <v>79</v>
      </c>
      <c r="T25" s="52" t="n">
        <f aca="false">(I25-S25)+T24</f>
        <v>-7667.98000000001</v>
      </c>
      <c r="U25" s="51" t="n">
        <v>22</v>
      </c>
      <c r="V25" s="51" t="n">
        <v>57.8</v>
      </c>
      <c r="W25" s="52" t="n">
        <f aca="false">W24-V25</f>
        <v>852.069999999955</v>
      </c>
      <c r="X25" s="6" t="n">
        <f aca="false">N25+O25+S25+U25+V25</f>
        <v>158.8</v>
      </c>
      <c r="Y25" s="51" t="n">
        <f aca="false">IF(L25&lt;0,L25*-1,0)</f>
        <v>40.3230148726998</v>
      </c>
      <c r="Z25" s="51" t="n">
        <f aca="false">X25+Y25</f>
        <v>199.1230148727</v>
      </c>
      <c r="AA25" s="55" t="n">
        <v>0</v>
      </c>
      <c r="AB25" s="79" t="n">
        <v>68</v>
      </c>
      <c r="AC25" s="56" t="n">
        <v>39</v>
      </c>
      <c r="AD25" s="57" t="n">
        <f aca="false">AD24+1</f>
        <v>16</v>
      </c>
      <c r="AE25" s="85"/>
      <c r="AF25" s="85"/>
      <c r="AG25" s="87"/>
    </row>
    <row r="26" customFormat="false" ht="11.1" hidden="false" customHeight="true" outlineLevel="0" collapsed="false">
      <c r="A26" s="57" t="n">
        <f aca="false">A25+1</f>
        <v>17</v>
      </c>
      <c r="B26" s="71" t="n">
        <v>6905.71</v>
      </c>
      <c r="C26" s="52" t="n">
        <v>305133</v>
      </c>
      <c r="D26" s="56" t="n">
        <f aca="false">C26-C25</f>
        <v>-231</v>
      </c>
      <c r="E26" s="52" t="n">
        <f aca="false">C26-152000</f>
        <v>153133</v>
      </c>
      <c r="F26" s="51" t="n">
        <f aca="false">D26/$D$2</f>
        <v>-116.46080161331</v>
      </c>
      <c r="G26" s="51" t="n">
        <v>63</v>
      </c>
      <c r="H26" s="161" t="n">
        <v>0</v>
      </c>
      <c r="I26" s="51" t="n">
        <f aca="false">G26+H26</f>
        <v>63</v>
      </c>
      <c r="J26" s="78" t="n">
        <f aca="false">IF(L26&gt;0,L26,0)</f>
        <v>0</v>
      </c>
      <c r="K26" s="51" t="n">
        <f aca="false">I26+J26</f>
        <v>63</v>
      </c>
      <c r="L26" s="51" t="n">
        <f aca="false">F26-(I26-X26)</f>
        <v>-20.6608016133098</v>
      </c>
      <c r="M26" s="51" t="n">
        <v>54.4</v>
      </c>
      <c r="N26" s="51" t="n">
        <v>0</v>
      </c>
      <c r="O26" s="51" t="n">
        <v>0</v>
      </c>
      <c r="P26" s="6" t="n">
        <f aca="false">M26-(N26+O26)</f>
        <v>54.4</v>
      </c>
      <c r="Q26" s="51" t="n">
        <v>0</v>
      </c>
      <c r="R26" s="51" t="n">
        <v>24.6</v>
      </c>
      <c r="S26" s="51" t="n">
        <f aca="false">SUM(P26:R26)</f>
        <v>79</v>
      </c>
      <c r="T26" s="52" t="n">
        <f aca="false">(I26-S26)+T25</f>
        <v>-7683.98000000001</v>
      </c>
      <c r="U26" s="51" t="n">
        <v>22</v>
      </c>
      <c r="V26" s="51" t="n">
        <v>57.8</v>
      </c>
      <c r="W26" s="52" t="n">
        <f aca="false">W25-V26</f>
        <v>794.269999999955</v>
      </c>
      <c r="X26" s="6" t="n">
        <f aca="false">N26+O26+S26+U26+V26</f>
        <v>158.8</v>
      </c>
      <c r="Y26" s="51" t="n">
        <f aca="false">IF(L26&lt;0,L26*-1,0)</f>
        <v>20.6608016133098</v>
      </c>
      <c r="Z26" s="51" t="n">
        <f aca="false">X26+Y26</f>
        <v>179.46080161331</v>
      </c>
      <c r="AA26" s="55" t="n">
        <v>0</v>
      </c>
      <c r="AB26" s="79" t="n">
        <v>68</v>
      </c>
      <c r="AC26" s="56" t="n">
        <v>37</v>
      </c>
      <c r="AD26" s="57" t="n">
        <f aca="false">AD25+1</f>
        <v>17</v>
      </c>
      <c r="AE26" s="85"/>
      <c r="AF26" s="85"/>
      <c r="AG26" s="87"/>
    </row>
    <row r="27" customFormat="false" ht="11.1" hidden="false" customHeight="true" outlineLevel="0" collapsed="false">
      <c r="A27" s="57" t="n">
        <f aca="false">A26+1</f>
        <v>18</v>
      </c>
      <c r="B27" s="71" t="n">
        <v>6905.64</v>
      </c>
      <c r="C27" s="52" t="n">
        <v>304864</v>
      </c>
      <c r="D27" s="56" t="n">
        <f aca="false">C27-C26</f>
        <v>-269</v>
      </c>
      <c r="E27" s="52" t="n">
        <f aca="false">C27-152000</f>
        <v>152864</v>
      </c>
      <c r="F27" s="51" t="n">
        <f aca="false">D27/$D$2</f>
        <v>-135.618855558356</v>
      </c>
      <c r="G27" s="51" t="n">
        <v>63</v>
      </c>
      <c r="H27" s="161" t="n">
        <v>0</v>
      </c>
      <c r="I27" s="51" t="n">
        <f aca="false">G27+H27</f>
        <v>63</v>
      </c>
      <c r="J27" s="78" t="n">
        <f aca="false">IF(L27&gt;0,L27,0)</f>
        <v>0</v>
      </c>
      <c r="K27" s="51" t="n">
        <f aca="false">I27+J27</f>
        <v>63</v>
      </c>
      <c r="L27" s="51" t="n">
        <f aca="false">F27-(I27-X27)</f>
        <v>-40.8188555583564</v>
      </c>
      <c r="M27" s="51" t="n">
        <v>53</v>
      </c>
      <c r="N27" s="51" t="n">
        <v>0</v>
      </c>
      <c r="O27" s="51" t="n">
        <v>0</v>
      </c>
      <c r="P27" s="6" t="n">
        <f aca="false">M27-(N27+O27)</f>
        <v>53</v>
      </c>
      <c r="Q27" s="51" t="n">
        <v>0</v>
      </c>
      <c r="R27" s="51" t="n">
        <v>25</v>
      </c>
      <c r="S27" s="51" t="n">
        <f aca="false">SUM(P27:R27)</f>
        <v>78</v>
      </c>
      <c r="T27" s="52" t="n">
        <f aca="false">(I27-S27)+T26</f>
        <v>-7698.98000000001</v>
      </c>
      <c r="U27" s="51" t="n">
        <v>22</v>
      </c>
      <c r="V27" s="51" t="n">
        <v>57.8</v>
      </c>
      <c r="W27" s="52" t="n">
        <f aca="false">W26-V27</f>
        <v>736.469999999955</v>
      </c>
      <c r="X27" s="6" t="n">
        <f aca="false">N27+O27+S27+U27+V27</f>
        <v>157.8</v>
      </c>
      <c r="Y27" s="51" t="n">
        <f aca="false">IF(L27&lt;0,L27*-1,0)</f>
        <v>40.8188555583564</v>
      </c>
      <c r="Z27" s="51" t="n">
        <f aca="false">X27+Y27</f>
        <v>198.618855558356</v>
      </c>
      <c r="AA27" s="55" t="n">
        <v>0</v>
      </c>
      <c r="AB27" s="79" t="n">
        <v>67</v>
      </c>
      <c r="AC27" s="56" t="n">
        <v>35</v>
      </c>
      <c r="AD27" s="57" t="n">
        <f aca="false">AD26+1</f>
        <v>18</v>
      </c>
      <c r="AE27" s="85"/>
      <c r="AF27" s="85"/>
      <c r="AG27" s="87"/>
    </row>
    <row r="28" customFormat="false" ht="11.1" hidden="false" customHeight="true" outlineLevel="0" collapsed="false">
      <c r="A28" s="57" t="n">
        <f aca="false">A27+1</f>
        <v>19</v>
      </c>
      <c r="B28" s="71" t="n">
        <v>6905.58</v>
      </c>
      <c r="C28" s="91" t="n">
        <v>304632</v>
      </c>
      <c r="D28" s="56" t="n">
        <f aca="false">C28-C27</f>
        <v>-232</v>
      </c>
      <c r="E28" s="52" t="n">
        <f aca="false">C28-152000</f>
        <v>152632</v>
      </c>
      <c r="F28" s="51" t="n">
        <f aca="false">D28/$D$2</f>
        <v>-116.964960927653</v>
      </c>
      <c r="G28" s="51" t="n">
        <v>63</v>
      </c>
      <c r="H28" s="161" t="n">
        <v>0</v>
      </c>
      <c r="I28" s="51" t="n">
        <f aca="false">G28+H28</f>
        <v>63</v>
      </c>
      <c r="J28" s="78" t="n">
        <f aca="false">IF(L28&gt;0,L28,0)</f>
        <v>0</v>
      </c>
      <c r="K28" s="51" t="n">
        <f aca="false">I28+J28</f>
        <v>63</v>
      </c>
      <c r="L28" s="51" t="n">
        <f aca="false">F28-(I28-X28)</f>
        <v>-37.1649609276531</v>
      </c>
      <c r="M28" s="51" t="n">
        <v>46.1</v>
      </c>
      <c r="N28" s="51" t="n">
        <v>0</v>
      </c>
      <c r="O28" s="51" t="n">
        <v>0</v>
      </c>
      <c r="P28" s="6" t="n">
        <f aca="false">M28-(N28+O28)</f>
        <v>46.1</v>
      </c>
      <c r="Q28" s="51" t="n">
        <v>0</v>
      </c>
      <c r="R28" s="51" t="n">
        <v>22.9</v>
      </c>
      <c r="S28" s="51" t="n">
        <f aca="false">SUM(P28:R28)</f>
        <v>69</v>
      </c>
      <c r="T28" s="52" t="n">
        <f aca="false">(I28-S28)+T27</f>
        <v>-7704.98000000001</v>
      </c>
      <c r="U28" s="51" t="n">
        <v>16</v>
      </c>
      <c r="V28" s="51" t="n">
        <v>57.8</v>
      </c>
      <c r="W28" s="52" t="n">
        <f aca="false">W27-V28</f>
        <v>678.669999999955</v>
      </c>
      <c r="X28" s="6" t="n">
        <f aca="false">N28+O28+S28+U28+V28</f>
        <v>142.8</v>
      </c>
      <c r="Y28" s="51" t="n">
        <f aca="false">IF(L28&lt;0,L28*-1,0)</f>
        <v>37.1649609276531</v>
      </c>
      <c r="Z28" s="51" t="n">
        <f aca="false">X28+Y28</f>
        <v>179.964960927653</v>
      </c>
      <c r="AA28" s="55" t="n">
        <v>0</v>
      </c>
      <c r="AB28" s="79" t="n">
        <v>69</v>
      </c>
      <c r="AC28" s="56" t="n">
        <v>37</v>
      </c>
      <c r="AD28" s="57" t="n">
        <f aca="false">AD27+1</f>
        <v>19</v>
      </c>
      <c r="AE28" s="85"/>
      <c r="AF28" s="85"/>
      <c r="AG28" s="87"/>
    </row>
    <row r="29" customFormat="false" ht="11.1" hidden="false" customHeight="true" outlineLevel="0" collapsed="false">
      <c r="A29" s="57" t="n">
        <f aca="false">A28+1</f>
        <v>20</v>
      </c>
      <c r="B29" s="71" t="n">
        <v>6905.56</v>
      </c>
      <c r="C29" s="52" t="n">
        <v>304555</v>
      </c>
      <c r="D29" s="56" t="n">
        <f aca="false">C29-C28</f>
        <v>-77</v>
      </c>
      <c r="E29" s="52" t="n">
        <f aca="false">C29-152000</f>
        <v>152555</v>
      </c>
      <c r="F29" s="51" t="n">
        <f aca="false">D29/$D$2</f>
        <v>-38.8202672044366</v>
      </c>
      <c r="G29" s="51" t="n">
        <v>61.3</v>
      </c>
      <c r="H29" s="161" t="n">
        <v>0</v>
      </c>
      <c r="I29" s="51" t="n">
        <f aca="false">G29+H29</f>
        <v>61.3</v>
      </c>
      <c r="J29" s="78" t="n">
        <f aca="false">IF(L29&gt;0,L29,0)</f>
        <v>18.6797327955634</v>
      </c>
      <c r="K29" s="51" t="n">
        <f aca="false">I29+J29</f>
        <v>79.9797327955634</v>
      </c>
      <c r="L29" s="51" t="n">
        <f aca="false">F29-(I29-X29)</f>
        <v>18.6797327955634</v>
      </c>
      <c r="M29" s="51" t="n">
        <v>37.7</v>
      </c>
      <c r="N29" s="51" t="n">
        <v>0</v>
      </c>
      <c r="O29" s="51" t="n">
        <v>0</v>
      </c>
      <c r="P29" s="6" t="n">
        <f aca="false">M29-(N29+O29)</f>
        <v>37.7</v>
      </c>
      <c r="Q29" s="51" t="n">
        <v>0</v>
      </c>
      <c r="R29" s="51" t="n">
        <v>0.3</v>
      </c>
      <c r="S29" s="51" t="n">
        <f aca="false">SUM(P29:R29)</f>
        <v>38</v>
      </c>
      <c r="T29" s="52" t="n">
        <f aca="false">(I29-S29)+T28</f>
        <v>-7681.68</v>
      </c>
      <c r="U29" s="51" t="n">
        <v>23</v>
      </c>
      <c r="V29" s="51" t="n">
        <v>57.8</v>
      </c>
      <c r="W29" s="52" t="n">
        <f aca="false">W28-V29</f>
        <v>620.869999999955</v>
      </c>
      <c r="X29" s="6" t="n">
        <f aca="false">N29+O29+S29+U29+V29</f>
        <v>118.8</v>
      </c>
      <c r="Y29" s="51" t="n">
        <f aca="false">IF(L29&lt;0,L29*-1,0)</f>
        <v>0</v>
      </c>
      <c r="Z29" s="51" t="n">
        <f aca="false">X29+Y29</f>
        <v>118.8</v>
      </c>
      <c r="AA29" s="55" t="n">
        <v>0</v>
      </c>
      <c r="AB29" s="79" t="n">
        <v>70</v>
      </c>
      <c r="AC29" s="56" t="n">
        <v>40</v>
      </c>
      <c r="AD29" s="57" t="n">
        <f aca="false">AD28+1</f>
        <v>20</v>
      </c>
      <c r="AE29" s="85"/>
      <c r="AF29" s="85"/>
      <c r="AG29" s="87"/>
    </row>
    <row r="30" customFormat="false" ht="11.1" hidden="false" customHeight="true" outlineLevel="0" collapsed="false">
      <c r="A30" s="57" t="n">
        <f aca="false">A29+1</f>
        <v>21</v>
      </c>
      <c r="B30" s="71" t="n">
        <v>6905.61</v>
      </c>
      <c r="C30" s="52" t="n">
        <v>304361</v>
      </c>
      <c r="D30" s="56" t="n">
        <f aca="false">C30-C29</f>
        <v>-194</v>
      </c>
      <c r="E30" s="52" t="n">
        <f aca="false">C30-152000</f>
        <v>152361</v>
      </c>
      <c r="F30" s="51" t="n">
        <f aca="false">D30/$D$2</f>
        <v>-97.8069069826065</v>
      </c>
      <c r="G30" s="51" t="n">
        <v>57.8</v>
      </c>
      <c r="H30" s="161" t="n">
        <v>0</v>
      </c>
      <c r="I30" s="51" t="n">
        <f aca="false">G30+H30</f>
        <v>57.8</v>
      </c>
      <c r="J30" s="78" t="n">
        <f aca="false">IF(L30&gt;0,L30,0)</f>
        <v>0</v>
      </c>
      <c r="K30" s="51" t="n">
        <f aca="false">I30+J30</f>
        <v>57.8</v>
      </c>
      <c r="L30" s="51" t="n">
        <f aca="false">F30-(I30-X30)</f>
        <v>-32.8069069826065</v>
      </c>
      <c r="M30" s="51" t="n">
        <v>29.9</v>
      </c>
      <c r="N30" s="51" t="n">
        <v>0</v>
      </c>
      <c r="O30" s="51" t="n">
        <v>0</v>
      </c>
      <c r="P30" s="6" t="n">
        <f aca="false">M30-(N30+O30)</f>
        <v>29.9</v>
      </c>
      <c r="Q30" s="51" t="n">
        <v>0</v>
      </c>
      <c r="R30" s="51" t="n">
        <v>17.1</v>
      </c>
      <c r="S30" s="51" t="n">
        <f aca="false">SUM(P30:R30)</f>
        <v>47</v>
      </c>
      <c r="T30" s="52" t="n">
        <f aca="false">(I30-S30)+T29</f>
        <v>-7670.88000000001</v>
      </c>
      <c r="U30" s="51" t="n">
        <v>18</v>
      </c>
      <c r="V30" s="51" t="n">
        <v>57.8</v>
      </c>
      <c r="W30" s="52" t="n">
        <f aca="false">W29-V30</f>
        <v>563.069999999955</v>
      </c>
      <c r="X30" s="6" t="n">
        <f aca="false">N30+O30+S30+U30+V30</f>
        <v>122.8</v>
      </c>
      <c r="Y30" s="51" t="n">
        <f aca="false">IF(L30&lt;0,L30*-1,0)</f>
        <v>32.8069069826065</v>
      </c>
      <c r="Z30" s="51" t="n">
        <f aca="false">X30+Y30</f>
        <v>155.606906982607</v>
      </c>
      <c r="AA30" s="55" t="n">
        <v>0</v>
      </c>
      <c r="AB30" s="56" t="n">
        <v>66</v>
      </c>
      <c r="AC30" s="56" t="n">
        <v>38</v>
      </c>
      <c r="AD30" s="57" t="n">
        <f aca="false">AD29+1</f>
        <v>21</v>
      </c>
      <c r="AE30" s="85"/>
      <c r="AF30" s="85"/>
      <c r="AG30" s="87"/>
    </row>
    <row r="31" customFormat="false" ht="11.1" hidden="false" customHeight="true" outlineLevel="0" collapsed="false">
      <c r="A31" s="57" t="n">
        <f aca="false">A30+1</f>
        <v>22</v>
      </c>
      <c r="B31" s="71" t="n">
        <v>6905.44</v>
      </c>
      <c r="C31" s="52" t="n">
        <v>304092</v>
      </c>
      <c r="D31" s="56" t="n">
        <f aca="false">C31-C30</f>
        <v>-269</v>
      </c>
      <c r="E31" s="52" t="n">
        <f aca="false">C31-152000</f>
        <v>152092</v>
      </c>
      <c r="F31" s="51" t="n">
        <f aca="false">D31/$D$2</f>
        <v>-135.618855558356</v>
      </c>
      <c r="G31" s="51" t="n">
        <v>62</v>
      </c>
      <c r="H31" s="161" t="n">
        <v>0</v>
      </c>
      <c r="I31" s="51" t="n">
        <f aca="false">G31+H31</f>
        <v>62</v>
      </c>
      <c r="J31" s="78" t="n">
        <f aca="false">IF(L31&gt;0,L31,0)</f>
        <v>0</v>
      </c>
      <c r="K31" s="51" t="n">
        <f aca="false">I31+J31</f>
        <v>62</v>
      </c>
      <c r="L31" s="51" t="n">
        <f aca="false">F31-(I31-X31)</f>
        <v>-92.8188555583565</v>
      </c>
      <c r="M31" s="51" t="n">
        <v>24.9</v>
      </c>
      <c r="N31" s="51" t="n">
        <v>0</v>
      </c>
      <c r="O31" s="51" t="n">
        <v>0</v>
      </c>
      <c r="P31" s="6" t="n">
        <f aca="false">M31-(N31+O31)</f>
        <v>24.9</v>
      </c>
      <c r="Q31" s="51" t="n">
        <v>0</v>
      </c>
      <c r="R31" s="51" t="n">
        <v>14.1</v>
      </c>
      <c r="S31" s="51" t="n">
        <f aca="false">SUM(P31:R31)</f>
        <v>39</v>
      </c>
      <c r="T31" s="52" t="n">
        <f aca="false">(I31-S31)+T30</f>
        <v>-7647.88</v>
      </c>
      <c r="U31" s="51" t="n">
        <v>8</v>
      </c>
      <c r="V31" s="51" t="n">
        <v>57.8</v>
      </c>
      <c r="W31" s="52" t="n">
        <f aca="false">W30-V31</f>
        <v>505.269999999955</v>
      </c>
      <c r="X31" s="6" t="n">
        <f aca="false">N31+O31+S31+U31+V31</f>
        <v>104.8</v>
      </c>
      <c r="Y31" s="51" t="n">
        <f aca="false">IF(L31&lt;0,L31*-1,0)</f>
        <v>92.8188555583565</v>
      </c>
      <c r="Z31" s="51" t="n">
        <f aca="false">X31+Y31</f>
        <v>197.618855558356</v>
      </c>
      <c r="AA31" s="55" t="n">
        <v>0</v>
      </c>
      <c r="AB31" s="56" t="n">
        <v>64</v>
      </c>
      <c r="AC31" s="56" t="n">
        <v>36</v>
      </c>
      <c r="AD31" s="57" t="n">
        <f aca="false">AD30+1</f>
        <v>22</v>
      </c>
      <c r="AE31" s="85"/>
      <c r="AF31" s="85"/>
      <c r="AG31" s="87"/>
      <c r="AH31" s="142"/>
      <c r="AI31" s="142"/>
      <c r="AJ31" s="142"/>
    </row>
    <row r="32" customFormat="false" ht="11.1" hidden="false" customHeight="true" outlineLevel="0" collapsed="false">
      <c r="A32" s="57" t="n">
        <f aca="false">A31+1</f>
        <v>23</v>
      </c>
      <c r="B32" s="71" t="n">
        <v>6905.4</v>
      </c>
      <c r="C32" s="52" t="n">
        <v>303938</v>
      </c>
      <c r="D32" s="56" t="n">
        <f aca="false">C32-C31</f>
        <v>-154</v>
      </c>
      <c r="E32" s="52" t="n">
        <f aca="false">C32-152000</f>
        <v>151938</v>
      </c>
      <c r="F32" s="51" t="n">
        <f aca="false">D32/$D$2</f>
        <v>-77.6405344088732</v>
      </c>
      <c r="G32" s="51" t="n">
        <v>64.2</v>
      </c>
      <c r="H32" s="161" t="n">
        <v>0.02</v>
      </c>
      <c r="I32" s="51" t="n">
        <f aca="false">G32+H32</f>
        <v>64.22</v>
      </c>
      <c r="J32" s="78" t="n">
        <f aca="false">IF(L32&gt;0,L32,0)</f>
        <v>0</v>
      </c>
      <c r="K32" s="51" t="n">
        <f aca="false">I32+J32</f>
        <v>64.22</v>
      </c>
      <c r="L32" s="51" t="n">
        <f aca="false">F32-(I32-X32)</f>
        <v>-17.0605344088732</v>
      </c>
      <c r="M32" s="51" t="n">
        <v>26.9</v>
      </c>
      <c r="N32" s="51" t="n">
        <v>0</v>
      </c>
      <c r="O32" s="51" t="n">
        <v>0</v>
      </c>
      <c r="P32" s="6" t="n">
        <f aca="false">M32-(N32+O32)</f>
        <v>26.9</v>
      </c>
      <c r="Q32" s="51" t="n">
        <v>0</v>
      </c>
      <c r="R32" s="51" t="n">
        <v>14.1</v>
      </c>
      <c r="S32" s="51" t="n">
        <f aca="false">SUM(P32:R32)</f>
        <v>41</v>
      </c>
      <c r="T32" s="52" t="n">
        <f aca="false">(I32-S32)+T31</f>
        <v>-7624.66</v>
      </c>
      <c r="U32" s="51" t="n">
        <v>26</v>
      </c>
      <c r="V32" s="51" t="n">
        <v>57.8</v>
      </c>
      <c r="W32" s="52" t="n">
        <f aca="false">W31-V32</f>
        <v>447.469999999955</v>
      </c>
      <c r="X32" s="6" t="n">
        <f aca="false">N32+O32+S32+U32+V32</f>
        <v>124.8</v>
      </c>
      <c r="Y32" s="51" t="n">
        <f aca="false">IF(L32&lt;0,L32*-1,0)</f>
        <v>17.0605344088732</v>
      </c>
      <c r="Z32" s="51" t="n">
        <f aca="false">X32+Y32</f>
        <v>141.860534408873</v>
      </c>
      <c r="AA32" s="55" t="n">
        <v>0</v>
      </c>
      <c r="AB32" s="56" t="n">
        <v>67</v>
      </c>
      <c r="AC32" s="79" t="n">
        <v>36</v>
      </c>
      <c r="AD32" s="57" t="n">
        <f aca="false">AD31+1</f>
        <v>23</v>
      </c>
      <c r="AE32" s="85"/>
      <c r="AF32" s="85"/>
      <c r="AG32" s="87"/>
    </row>
    <row r="33" customFormat="false" ht="11.1" hidden="false" customHeight="true" outlineLevel="0" collapsed="false">
      <c r="A33" s="57" t="n">
        <f aca="false">A32+1</f>
        <v>24</v>
      </c>
      <c r="B33" s="71" t="n">
        <v>6905.42</v>
      </c>
      <c r="C33" s="52" t="n">
        <v>304015</v>
      </c>
      <c r="D33" s="56" t="n">
        <f aca="false">C33-C32</f>
        <v>77</v>
      </c>
      <c r="E33" s="52" t="n">
        <f aca="false">C33-152000</f>
        <v>152015</v>
      </c>
      <c r="F33" s="51" t="n">
        <f aca="false">D33/$D$2</f>
        <v>38.8202672044366</v>
      </c>
      <c r="G33" s="51" t="n">
        <v>61.7</v>
      </c>
      <c r="H33" s="161" t="n">
        <v>0</v>
      </c>
      <c r="I33" s="51" t="n">
        <f aca="false">G33+H33</f>
        <v>61.7</v>
      </c>
      <c r="J33" s="78" t="n">
        <f aca="false">IF(L33&gt;0,L33,0)</f>
        <v>100.920267204437</v>
      </c>
      <c r="K33" s="51" t="n">
        <f aca="false">I33+J33</f>
        <v>162.620267204437</v>
      </c>
      <c r="L33" s="51" t="n">
        <f aca="false">F33-(I33-X33)</f>
        <v>100.920267204437</v>
      </c>
      <c r="M33" s="51" t="n">
        <v>25.2</v>
      </c>
      <c r="N33" s="51" t="n">
        <v>0</v>
      </c>
      <c r="O33" s="51" t="n">
        <v>0</v>
      </c>
      <c r="P33" s="6" t="n">
        <f aca="false">M33-(N33+O33)</f>
        <v>25.2</v>
      </c>
      <c r="Q33" s="51" t="n">
        <v>0</v>
      </c>
      <c r="R33" s="51" t="n">
        <v>14.8</v>
      </c>
      <c r="S33" s="51" t="n">
        <f aca="false">SUM(P33:R33)</f>
        <v>40</v>
      </c>
      <c r="T33" s="52" t="n">
        <f aca="false">(I33-S33)+T32</f>
        <v>-7602.96000000001</v>
      </c>
      <c r="U33" s="51" t="n">
        <v>26</v>
      </c>
      <c r="V33" s="51" t="n">
        <v>57.8</v>
      </c>
      <c r="W33" s="52" t="n">
        <f aca="false">W32-V33</f>
        <v>389.669999999955</v>
      </c>
      <c r="X33" s="6" t="n">
        <f aca="false">N33+O33+S33+U33+V33</f>
        <v>123.8</v>
      </c>
      <c r="Y33" s="51" t="n">
        <f aca="false">IF(L33&lt;0,L33*-1,0)</f>
        <v>0</v>
      </c>
      <c r="Z33" s="51" t="n">
        <f aca="false">X33+Y33</f>
        <v>123.8</v>
      </c>
      <c r="AA33" s="55" t="n">
        <v>0.1</v>
      </c>
      <c r="AB33" s="56" t="n">
        <v>71</v>
      </c>
      <c r="AC33" s="79" t="n">
        <v>33</v>
      </c>
      <c r="AD33" s="57" t="n">
        <f aca="false">AD32+1</f>
        <v>24</v>
      </c>
      <c r="AE33" s="85"/>
      <c r="AF33" s="85"/>
      <c r="AG33" s="87"/>
    </row>
    <row r="34" customFormat="false" ht="11.1" hidden="false" customHeight="true" outlineLevel="0" collapsed="false">
      <c r="A34" s="57" t="n">
        <v>25</v>
      </c>
      <c r="B34" s="71" t="n">
        <v>6905.41</v>
      </c>
      <c r="C34" s="52" t="n">
        <v>303977</v>
      </c>
      <c r="D34" s="56" t="n">
        <f aca="false">C34-C33</f>
        <v>-38</v>
      </c>
      <c r="E34" s="52" t="n">
        <f aca="false">C34-152000</f>
        <v>151977</v>
      </c>
      <c r="F34" s="51" t="n">
        <f aca="false">D34/$D$2</f>
        <v>-19.1580539450466</v>
      </c>
      <c r="G34" s="51" t="n">
        <v>73.2</v>
      </c>
      <c r="H34" s="161" t="n">
        <v>0</v>
      </c>
      <c r="I34" s="51" t="n">
        <f aca="false">G34+H34</f>
        <v>73.2</v>
      </c>
      <c r="J34" s="78" t="n">
        <f aca="false">IF(L34&gt;0,L34,0)</f>
        <v>31.5419460549534</v>
      </c>
      <c r="K34" s="51" t="n">
        <f aca="false">I34+J34</f>
        <v>104.741946054953</v>
      </c>
      <c r="L34" s="51" t="n">
        <f aca="false">F34-(I34-X34)</f>
        <v>31.5419460549534</v>
      </c>
      <c r="M34" s="51" t="n">
        <v>25.9</v>
      </c>
      <c r="N34" s="51" t="n">
        <v>0</v>
      </c>
      <c r="O34" s="51" t="n">
        <v>0</v>
      </c>
      <c r="P34" s="6" t="n">
        <f aca="false">M34-(N34+O34)</f>
        <v>25.9</v>
      </c>
      <c r="Q34" s="51" t="n">
        <v>0</v>
      </c>
      <c r="R34" s="51" t="n">
        <v>14.1</v>
      </c>
      <c r="S34" s="51" t="n">
        <f aca="false">SUM(P34:R34)</f>
        <v>40</v>
      </c>
      <c r="T34" s="52" t="n">
        <f aca="false">(I34-S34)+T33</f>
        <v>-7569.76000000001</v>
      </c>
      <c r="U34" s="51" t="n">
        <v>26</v>
      </c>
      <c r="V34" s="51" t="n">
        <v>57.9</v>
      </c>
      <c r="W34" s="52" t="n">
        <f aca="false">W33-V34</f>
        <v>331.769999999955</v>
      </c>
      <c r="X34" s="6" t="n">
        <f aca="false">N34+O34+S34+U34+V34</f>
        <v>123.9</v>
      </c>
      <c r="Y34" s="51" t="n">
        <f aca="false">IF(L34&lt;0,L34*-1,0)</f>
        <v>0</v>
      </c>
      <c r="Z34" s="51" t="n">
        <f aca="false">X34+Y34</f>
        <v>123.9</v>
      </c>
      <c r="AA34" s="55" t="n">
        <v>0.7</v>
      </c>
      <c r="AB34" s="56" t="n">
        <v>67</v>
      </c>
      <c r="AC34" s="79" t="n">
        <v>28</v>
      </c>
      <c r="AD34" s="57" t="n">
        <v>25</v>
      </c>
      <c r="AE34" s="85"/>
      <c r="AF34" s="85"/>
      <c r="AG34" s="87"/>
    </row>
    <row r="35" customFormat="false" ht="11.1" hidden="false" customHeight="true" outlineLevel="0" collapsed="false">
      <c r="A35" s="57" t="n">
        <v>26</v>
      </c>
      <c r="B35" s="71" t="n">
        <v>6905.37</v>
      </c>
      <c r="C35" s="52" t="n">
        <v>303823</v>
      </c>
      <c r="D35" s="56" t="n">
        <f aca="false">C35-C34</f>
        <v>-154</v>
      </c>
      <c r="E35" s="52" t="n">
        <f aca="false">C35-152000</f>
        <v>151823</v>
      </c>
      <c r="F35" s="51" t="n">
        <f aca="false">D35/$D$2</f>
        <v>-77.6405344088732</v>
      </c>
      <c r="G35" s="51" t="n">
        <v>79.6</v>
      </c>
      <c r="H35" s="161" t="n">
        <v>0</v>
      </c>
      <c r="I35" s="51" t="n">
        <f aca="false">G35+H35</f>
        <v>79.6</v>
      </c>
      <c r="J35" s="78" t="n">
        <f aca="false">IF(L35&gt;0,L35,0)</f>
        <v>0</v>
      </c>
      <c r="K35" s="51" t="n">
        <f aca="false">I35+J35</f>
        <v>79.6</v>
      </c>
      <c r="L35" s="51" t="n">
        <f aca="false">F35-(I35-X35)</f>
        <v>-58.4405344088732</v>
      </c>
      <c r="M35" s="51" t="n">
        <v>26.4</v>
      </c>
      <c r="N35" s="51" t="n">
        <v>0</v>
      </c>
      <c r="O35" s="51" t="n">
        <v>0</v>
      </c>
      <c r="P35" s="6" t="n">
        <f aca="false">M35-(N35+O35)</f>
        <v>26.4</v>
      </c>
      <c r="Q35" s="51" t="n">
        <v>0</v>
      </c>
      <c r="R35" s="51" t="n">
        <v>14.6</v>
      </c>
      <c r="S35" s="51" t="n">
        <f aca="false">SUM(P35:R35)</f>
        <v>41</v>
      </c>
      <c r="T35" s="52" t="n">
        <f aca="false">(I35-S35)+T34</f>
        <v>-7531.16</v>
      </c>
      <c r="U35" s="51" t="n">
        <v>0</v>
      </c>
      <c r="V35" s="51" t="n">
        <v>57.8</v>
      </c>
      <c r="W35" s="52" t="n">
        <f aca="false">W34-V35</f>
        <v>273.969999999955</v>
      </c>
      <c r="X35" s="6" t="n">
        <f aca="false">N35+O35+S35+U35+V35</f>
        <v>98.8</v>
      </c>
      <c r="Y35" s="51" t="n">
        <f aca="false">IF(L35&lt;0,L35*-1,0)</f>
        <v>58.4405344088732</v>
      </c>
      <c r="Z35" s="51" t="n">
        <f aca="false">X35+Y35</f>
        <v>157.240534408873</v>
      </c>
      <c r="AA35" s="55" t="n">
        <v>0.01</v>
      </c>
      <c r="AB35" s="56" t="n">
        <v>57</v>
      </c>
      <c r="AC35" s="79" t="n">
        <v>24</v>
      </c>
      <c r="AD35" s="57" t="n">
        <v>26</v>
      </c>
      <c r="AE35" s="85"/>
      <c r="AF35" s="85"/>
      <c r="AG35" s="87"/>
    </row>
    <row r="36" customFormat="false" ht="11.1" hidden="false" customHeight="true" outlineLevel="0" collapsed="false">
      <c r="A36" s="57" t="n">
        <v>27</v>
      </c>
      <c r="B36" s="71" t="n">
        <v>6905.36</v>
      </c>
      <c r="C36" s="52" t="n">
        <v>303783</v>
      </c>
      <c r="D36" s="56" t="n">
        <f aca="false">C36-C35</f>
        <v>-40</v>
      </c>
      <c r="E36" s="52" t="n">
        <f aca="false">C36-152000</f>
        <v>151783</v>
      </c>
      <c r="F36" s="51" t="n">
        <f aca="false">D36/$D$2</f>
        <v>-20.1663725737333</v>
      </c>
      <c r="G36" s="51" t="n">
        <v>76.2</v>
      </c>
      <c r="H36" s="161" t="n">
        <v>0</v>
      </c>
      <c r="I36" s="51" t="n">
        <f aca="false">G36+H36</f>
        <v>76.2</v>
      </c>
      <c r="J36" s="78" t="n">
        <f aca="false">IF(L36&gt;0,L36,0)</f>
        <v>0</v>
      </c>
      <c r="K36" s="51" t="n">
        <f aca="false">I36+J36</f>
        <v>76.2</v>
      </c>
      <c r="L36" s="51" t="n">
        <f aca="false">F36-(I36-X36)</f>
        <v>-1.5663725737333</v>
      </c>
      <c r="M36" s="51" t="n">
        <v>26.1</v>
      </c>
      <c r="N36" s="51" t="n">
        <v>0</v>
      </c>
      <c r="O36" s="51" t="n">
        <v>0</v>
      </c>
      <c r="P36" s="6" t="n">
        <f aca="false">M36-(N36+O36)</f>
        <v>26.1</v>
      </c>
      <c r="Q36" s="51" t="n">
        <v>0</v>
      </c>
      <c r="R36" s="51" t="n">
        <v>10.9</v>
      </c>
      <c r="S36" s="51" t="n">
        <f aca="false">SUM(P36:R36)</f>
        <v>37</v>
      </c>
      <c r="T36" s="52" t="n">
        <f aca="false">(I36-S36)+T35</f>
        <v>-7491.96</v>
      </c>
      <c r="U36" s="51" t="n">
        <v>0</v>
      </c>
      <c r="V36" s="51" t="n">
        <v>57.8</v>
      </c>
      <c r="W36" s="52" t="n">
        <f aca="false">W35-V36</f>
        <v>216.169999999955</v>
      </c>
      <c r="X36" s="6" t="n">
        <f aca="false">N36+O36+S36+U36+V36</f>
        <v>94.8</v>
      </c>
      <c r="Y36" s="51" t="n">
        <f aca="false">IF(L36&lt;0,L36*-1,0)</f>
        <v>1.5663725737333</v>
      </c>
      <c r="Z36" s="51" t="n">
        <f aca="false">X36+Y36</f>
        <v>96.3663725737333</v>
      </c>
      <c r="AA36" s="55" t="n">
        <v>0</v>
      </c>
      <c r="AB36" s="56" t="n">
        <v>56</v>
      </c>
      <c r="AC36" s="79" t="n">
        <v>35</v>
      </c>
      <c r="AD36" s="57" t="n">
        <v>27</v>
      </c>
      <c r="AE36" s="85"/>
      <c r="AF36" s="85"/>
      <c r="AG36" s="87"/>
    </row>
    <row r="37" customFormat="false" ht="11.1" hidden="false" customHeight="true" outlineLevel="0" collapsed="false">
      <c r="A37" s="57" t="n">
        <v>28</v>
      </c>
      <c r="B37" s="71" t="n">
        <v>6905.36</v>
      </c>
      <c r="C37" s="52" t="n">
        <v>303783</v>
      </c>
      <c r="D37" s="56" t="n">
        <f aca="false">C37-C36</f>
        <v>0</v>
      </c>
      <c r="E37" s="52" t="n">
        <f aca="false">C37-152000</f>
        <v>151783</v>
      </c>
      <c r="F37" s="51" t="n">
        <f aca="false">D37/$D$2</f>
        <v>0</v>
      </c>
      <c r="G37" s="51" t="n">
        <v>72.5</v>
      </c>
      <c r="H37" s="161" t="n">
        <v>0</v>
      </c>
      <c r="I37" s="51" t="n">
        <f aca="false">G37+H37</f>
        <v>72.5</v>
      </c>
      <c r="J37" s="78" t="n">
        <f aca="false">IF(L37&gt;0,L37,0)</f>
        <v>18.5</v>
      </c>
      <c r="K37" s="51" t="n">
        <f aca="false">I37+J37</f>
        <v>91</v>
      </c>
      <c r="L37" s="51" t="n">
        <f aca="false">F37-(I37-X37)</f>
        <v>18.5</v>
      </c>
      <c r="M37" s="51" t="n">
        <v>26.2</v>
      </c>
      <c r="N37" s="51" t="n">
        <v>0</v>
      </c>
      <c r="O37" s="51" t="n">
        <v>0</v>
      </c>
      <c r="P37" s="6" t="n">
        <f aca="false">M37-(N37+O37)</f>
        <v>26.2</v>
      </c>
      <c r="Q37" s="51" t="n">
        <v>0</v>
      </c>
      <c r="R37" s="51" t="n">
        <v>10.8</v>
      </c>
      <c r="S37" s="51" t="n">
        <f aca="false">SUM(P37:R37)</f>
        <v>37</v>
      </c>
      <c r="T37" s="52" t="n">
        <f aca="false">(I37-S37)+T36</f>
        <v>-7456.46</v>
      </c>
      <c r="U37" s="51" t="n">
        <v>0</v>
      </c>
      <c r="V37" s="51" t="n">
        <v>54</v>
      </c>
      <c r="W37" s="52" t="n">
        <f aca="false">W36-V37</f>
        <v>162.169999999955</v>
      </c>
      <c r="X37" s="6" t="n">
        <f aca="false">N37+O37+S37+U37+V37</f>
        <v>91</v>
      </c>
      <c r="Y37" s="51" t="n">
        <f aca="false">IF(L37&lt;0,L37*-1,0)</f>
        <v>0</v>
      </c>
      <c r="Z37" s="51" t="n">
        <f aca="false">X37+Y37</f>
        <v>91</v>
      </c>
      <c r="AA37" s="55" t="n">
        <v>0.22</v>
      </c>
      <c r="AB37" s="56" t="n">
        <v>51</v>
      </c>
      <c r="AC37" s="79" t="n">
        <v>44</v>
      </c>
      <c r="AD37" s="57" t="n">
        <v>28</v>
      </c>
      <c r="AE37" s="85"/>
      <c r="AF37" s="85"/>
      <c r="AG37" s="87"/>
    </row>
    <row r="38" customFormat="false" ht="11.1" hidden="false" customHeight="true" outlineLevel="0" collapsed="false">
      <c r="A38" s="57" t="n">
        <v>29</v>
      </c>
      <c r="B38" s="71" t="n">
        <v>6905.39</v>
      </c>
      <c r="C38" s="52" t="n">
        <v>303900</v>
      </c>
      <c r="D38" s="56" t="n">
        <f aca="false">C38-C37</f>
        <v>117</v>
      </c>
      <c r="E38" s="52" t="n">
        <f aca="false">C38-152000</f>
        <v>151900</v>
      </c>
      <c r="F38" s="51" t="n">
        <f aca="false">D38/$D$2</f>
        <v>58.9866397781699</v>
      </c>
      <c r="G38" s="51" t="n">
        <v>86.3</v>
      </c>
      <c r="H38" s="161" t="n">
        <v>0</v>
      </c>
      <c r="I38" s="51" t="n">
        <f aca="false">G38+H38</f>
        <v>86.3</v>
      </c>
      <c r="J38" s="78" t="n">
        <f aca="false">IF(L38&gt;0,L38,0)</f>
        <v>62.0866397781699</v>
      </c>
      <c r="K38" s="51" t="n">
        <f aca="false">I38+J38</f>
        <v>148.38663977817</v>
      </c>
      <c r="L38" s="51" t="n">
        <f aca="false">F38-(I38-X38)</f>
        <v>62.0866397781699</v>
      </c>
      <c r="M38" s="51" t="n">
        <v>26.2</v>
      </c>
      <c r="N38" s="51" t="n">
        <v>0</v>
      </c>
      <c r="O38" s="51" t="n">
        <v>0</v>
      </c>
      <c r="P38" s="6" t="n">
        <f aca="false">M38-(N38+O38)</f>
        <v>26.2</v>
      </c>
      <c r="Q38" s="51" t="n">
        <v>0</v>
      </c>
      <c r="R38" s="51" t="n">
        <v>10.8</v>
      </c>
      <c r="S38" s="51" t="n">
        <f aca="false">SUM(P38:R38)</f>
        <v>37</v>
      </c>
      <c r="T38" s="52" t="n">
        <f aca="false">(I38-S38)+T37</f>
        <v>-7407.16</v>
      </c>
      <c r="U38" s="51" t="n">
        <v>0</v>
      </c>
      <c r="V38" s="51" t="n">
        <v>52.4</v>
      </c>
      <c r="W38" s="52" t="n">
        <f aca="false">W37-V38</f>
        <v>109.769999999955</v>
      </c>
      <c r="X38" s="6" t="n">
        <f aca="false">N38+O38+S38+U38+V38</f>
        <v>89.4</v>
      </c>
      <c r="Y38" s="51" t="n">
        <f aca="false">IF(L38&lt;0,L38*-1,0)</f>
        <v>0</v>
      </c>
      <c r="Z38" s="51" t="n">
        <f aca="false">X38+Y38</f>
        <v>89.4</v>
      </c>
      <c r="AA38" s="55" t="n">
        <v>0.27</v>
      </c>
      <c r="AB38" s="56" t="n">
        <v>53</v>
      </c>
      <c r="AC38" s="79" t="n">
        <v>36</v>
      </c>
      <c r="AD38" s="57" t="n">
        <v>29</v>
      </c>
      <c r="AE38" s="85"/>
      <c r="AF38" s="85"/>
      <c r="AG38" s="87"/>
    </row>
    <row r="39" customFormat="false" ht="11.1" hidden="false" customHeight="true" outlineLevel="0" collapsed="false">
      <c r="A39" s="57" t="n">
        <v>30</v>
      </c>
      <c r="B39" s="71" t="n">
        <v>6905.4</v>
      </c>
      <c r="C39" s="52" t="n">
        <v>303938</v>
      </c>
      <c r="D39" s="56" t="n">
        <f aca="false">C39-C38</f>
        <v>38</v>
      </c>
      <c r="E39" s="52" t="n">
        <f aca="false">C39-152000</f>
        <v>151938</v>
      </c>
      <c r="F39" s="51" t="n">
        <f aca="false">D39/$D$2</f>
        <v>19.1580539450466</v>
      </c>
      <c r="G39" s="51" t="n">
        <v>97.2</v>
      </c>
      <c r="H39" s="161" t="n">
        <v>0</v>
      </c>
      <c r="I39" s="51" t="n">
        <f aca="false">G39+H39</f>
        <v>97.2</v>
      </c>
      <c r="J39" s="78" t="n">
        <f aca="false">IF(L39&gt;0,L39,0)</f>
        <v>5.75805394504663</v>
      </c>
      <c r="K39" s="51" t="n">
        <f aca="false">I39+J39</f>
        <v>102.958053945047</v>
      </c>
      <c r="L39" s="51" t="n">
        <f aca="false">F39-(I39-X39)</f>
        <v>5.75805394504663</v>
      </c>
      <c r="M39" s="51" t="n">
        <v>26.2</v>
      </c>
      <c r="N39" s="51" t="n">
        <v>0</v>
      </c>
      <c r="O39" s="51" t="n">
        <v>0</v>
      </c>
      <c r="P39" s="6" t="n">
        <f aca="false">M39-(N39+O39)</f>
        <v>26.2</v>
      </c>
      <c r="Q39" s="51" t="n">
        <v>0</v>
      </c>
      <c r="R39" s="51" t="n">
        <v>10.8</v>
      </c>
      <c r="S39" s="51" t="n">
        <f aca="false">SUM(P39:R39)</f>
        <v>37</v>
      </c>
      <c r="T39" s="52" t="n">
        <f aca="false">(I39-S39)+T38</f>
        <v>-7346.96</v>
      </c>
      <c r="U39" s="51" t="n">
        <v>0</v>
      </c>
      <c r="V39" s="51" t="n">
        <v>46.8</v>
      </c>
      <c r="W39" s="52" t="n">
        <f aca="false">W38-V39</f>
        <v>62.9699999999548</v>
      </c>
      <c r="X39" s="6" t="n">
        <f aca="false">N39+O39+S39+U39+V39</f>
        <v>83.8</v>
      </c>
      <c r="Y39" s="51" t="n">
        <f aca="false">IF(L39&lt;0,L39*-1,0)</f>
        <v>0</v>
      </c>
      <c r="Z39" s="51" t="n">
        <f aca="false">X39+Y39</f>
        <v>83.8</v>
      </c>
      <c r="AA39" s="55" t="n">
        <v>0.93</v>
      </c>
      <c r="AB39" s="56" t="n">
        <v>52</v>
      </c>
      <c r="AC39" s="79" t="n">
        <v>38</v>
      </c>
      <c r="AD39" s="57" t="n">
        <v>30</v>
      </c>
      <c r="AE39" s="85"/>
      <c r="AF39" s="85"/>
      <c r="AG39" s="87"/>
    </row>
    <row r="40" customFormat="false" ht="10.5" hidden="false" customHeight="true" outlineLevel="0" collapsed="false">
      <c r="A40" s="57" t="n">
        <v>31</v>
      </c>
      <c r="B40" s="71" t="n">
        <v>6905.41</v>
      </c>
      <c r="C40" s="52" t="n">
        <v>303977</v>
      </c>
      <c r="D40" s="56" t="n">
        <f aca="false">C40-C39</f>
        <v>39</v>
      </c>
      <c r="E40" s="52" t="n">
        <f aca="false">C40-152000</f>
        <v>151977</v>
      </c>
      <c r="F40" s="51" t="n">
        <f aca="false">D40/$D$2</f>
        <v>19.66221325939</v>
      </c>
      <c r="G40" s="51" t="n">
        <v>138.7</v>
      </c>
      <c r="H40" s="161" t="n">
        <v>0</v>
      </c>
      <c r="I40" s="51" t="n">
        <f aca="false">G40+H40</f>
        <v>138.7</v>
      </c>
      <c r="J40" s="78" t="n">
        <f aca="false">IF(L40&gt;0,L40,0)</f>
        <v>0</v>
      </c>
      <c r="K40" s="51" t="n">
        <f aca="false">I40+J40</f>
        <v>138.7</v>
      </c>
      <c r="L40" s="51" t="n">
        <f aca="false">F40-(I40-X40)</f>
        <v>-45.33778674061</v>
      </c>
      <c r="M40" s="51" t="n">
        <v>26.2</v>
      </c>
      <c r="N40" s="51" t="n">
        <v>0</v>
      </c>
      <c r="O40" s="51" t="n">
        <v>0</v>
      </c>
      <c r="P40" s="6" t="n">
        <f aca="false">M40-(N40+O40)</f>
        <v>26.2</v>
      </c>
      <c r="Q40" s="51" t="n">
        <v>0</v>
      </c>
      <c r="R40" s="51" t="n">
        <v>10.8</v>
      </c>
      <c r="S40" s="51" t="n">
        <f aca="false">SUM(P40:R40)</f>
        <v>37</v>
      </c>
      <c r="T40" s="52" t="n">
        <f aca="false">(I40-S40)+T39</f>
        <v>-7245.26</v>
      </c>
      <c r="U40" s="51" t="n">
        <v>0</v>
      </c>
      <c r="V40" s="51" t="n">
        <v>36.7</v>
      </c>
      <c r="W40" s="52" t="n">
        <f aca="false">W39-V40</f>
        <v>26.2699999999548</v>
      </c>
      <c r="X40" s="6" t="n">
        <f aca="false">N40+O40+S40+U40+V40</f>
        <v>73.7</v>
      </c>
      <c r="Y40" s="51" t="n">
        <f aca="false">IF(L40&lt;0,L40*-1,0)</f>
        <v>45.33778674061</v>
      </c>
      <c r="Z40" s="51" t="n">
        <f aca="false">X40+Y40</f>
        <v>119.03778674061</v>
      </c>
      <c r="AA40" s="55" t="n">
        <v>0.22</v>
      </c>
      <c r="AB40" s="56" t="n">
        <v>49</v>
      </c>
      <c r="AC40" s="79" t="n">
        <v>30</v>
      </c>
      <c r="AD40" s="57" t="n">
        <v>31</v>
      </c>
      <c r="AE40" s="85"/>
      <c r="AF40" s="85"/>
      <c r="AG40" s="87"/>
    </row>
    <row r="41" customFormat="false" ht="2.25" hidden="false" customHeight="true" outlineLevel="0" collapsed="false">
      <c r="A41" s="72"/>
      <c r="B41" s="72"/>
      <c r="C41" s="74"/>
      <c r="D41" s="72"/>
      <c r="E41" s="74"/>
      <c r="F41" s="72"/>
      <c r="G41" s="72"/>
      <c r="H41" s="165" t="n">
        <v>0</v>
      </c>
      <c r="I41" s="72"/>
      <c r="J41" s="72"/>
      <c r="K41" s="72"/>
      <c r="L41" s="72"/>
      <c r="M41" s="72" t="n">
        <v>0</v>
      </c>
      <c r="N41" s="72"/>
      <c r="O41" s="72"/>
      <c r="P41" s="72"/>
      <c r="Q41" s="72"/>
      <c r="R41" s="72" t="n">
        <v>0</v>
      </c>
      <c r="S41" s="72"/>
      <c r="T41" s="74"/>
      <c r="U41" s="72"/>
      <c r="V41" s="72" t="n">
        <v>0</v>
      </c>
      <c r="W41" s="72"/>
      <c r="X41" s="72"/>
      <c r="Y41" s="72"/>
      <c r="Z41" s="72"/>
      <c r="AA41" s="140"/>
      <c r="AB41" s="76"/>
      <c r="AC41" s="76"/>
      <c r="AD41" s="77"/>
      <c r="AE41" s="85"/>
      <c r="AF41" s="85"/>
      <c r="AG41" s="86"/>
    </row>
    <row r="42" customFormat="false" ht="11.1" hidden="false" customHeight="true" outlineLevel="0" collapsed="false">
      <c r="A42" s="51" t="s">
        <v>46</v>
      </c>
      <c r="B42" s="51"/>
      <c r="C42" s="52"/>
      <c r="D42" s="52"/>
      <c r="E42" s="52"/>
      <c r="F42" s="52" t="n">
        <f aca="false">SUM(F10:F40)</f>
        <v>-4291.40408369045</v>
      </c>
      <c r="G42" s="52" t="n">
        <f aca="false">SUM(G10:G40)</f>
        <v>2238.7</v>
      </c>
      <c r="H42" s="161" t="n">
        <f aca="false">SUM(H10:H40)</f>
        <v>0.02</v>
      </c>
      <c r="I42" s="52" t="n">
        <f aca="false">SUM(I10:I40)</f>
        <v>2238.72</v>
      </c>
      <c r="J42" s="52" t="n">
        <f aca="false">SUM(J10:J40)</f>
        <v>324.406881774641</v>
      </c>
      <c r="K42" s="52" t="n">
        <f aca="false">SUM(K10:K40)</f>
        <v>2563.12688177464</v>
      </c>
      <c r="L42" s="52" t="n">
        <f aca="false">SUM(L10:L40)</f>
        <v>-568.724083690446</v>
      </c>
      <c r="M42" s="52" t="n">
        <f aca="false">SUM(M10:M40)</f>
        <v>2331.4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2331.4</v>
      </c>
      <c r="Q42" s="52" t="n">
        <f aca="false">SUM(Q10:Q40)</f>
        <v>525.6</v>
      </c>
      <c r="R42" s="52" t="n">
        <f aca="false">SUM(R10:R40)</f>
        <v>865.9</v>
      </c>
      <c r="S42" s="52" t="n">
        <f aca="false">SUM(S10:S40)</f>
        <v>3722.9</v>
      </c>
      <c r="T42" s="52"/>
      <c r="U42" s="52" t="n">
        <f aca="false">SUM(U10:U40)</f>
        <v>510</v>
      </c>
      <c r="V42" s="52" t="n">
        <f aca="false">SUM(V10:V40)</f>
        <v>1728.5</v>
      </c>
      <c r="W42" s="52"/>
      <c r="X42" s="52" t="n">
        <f aca="false">SUM(X10:X40)</f>
        <v>5961.4</v>
      </c>
      <c r="Y42" s="52" t="n">
        <f aca="false">SUM(Y10:Y40)</f>
        <v>893.130965465087</v>
      </c>
      <c r="Z42" s="52" t="n">
        <f aca="false">SUM(Z10:Z40)</f>
        <v>6854.53096546509</v>
      </c>
      <c r="AA42" s="55" t="n">
        <f aca="false">SUM(AA10:AA40)</f>
        <v>2.45</v>
      </c>
      <c r="AB42" s="56" t="n">
        <f aca="false">AVERAGE(AB10:AB40)</f>
        <v>65.1290322580645</v>
      </c>
      <c r="AC42" s="56" t="n">
        <f aca="false">AVERAGE(AC10:AC40)</f>
        <v>35.741935483871</v>
      </c>
      <c r="AD42" s="57" t="s">
        <v>70</v>
      </c>
      <c r="AE42" s="85"/>
      <c r="AF42" s="85"/>
      <c r="AG42" s="86"/>
    </row>
    <row r="43" customFormat="false" ht="12" hidden="false" customHeight="true" outlineLevel="0" collapsed="false">
      <c r="A43" s="51" t="s">
        <v>48</v>
      </c>
      <c r="B43" s="51"/>
      <c r="C43" s="52"/>
      <c r="D43" s="52" t="n">
        <f aca="false">SUM(D10:D40)</f>
        <v>-8512</v>
      </c>
      <c r="E43" s="52"/>
      <c r="F43" s="52" t="n">
        <f aca="false">F42*$D$2</f>
        <v>-8512</v>
      </c>
      <c r="G43" s="52" t="n">
        <f aca="false">G42*$D$2</f>
        <v>4440.46145</v>
      </c>
      <c r="H43" s="161" t="n">
        <f aca="false">H42*$D$2</f>
        <v>0.03967</v>
      </c>
      <c r="I43" s="52" t="n">
        <f aca="false">I42*$D$2</f>
        <v>4440.50112</v>
      </c>
      <c r="J43" s="52" t="n">
        <f aca="false">J42*$D$2</f>
        <v>643.46105</v>
      </c>
      <c r="K43" s="52" t="n">
        <f aca="false">K42*$D$2</f>
        <v>5083.96217</v>
      </c>
      <c r="L43" s="52" t="n">
        <f aca="false">L42*$D$2</f>
        <v>-1128.06422</v>
      </c>
      <c r="M43" s="52" t="n">
        <f aca="false">M42*$D$2</f>
        <v>4624.3319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4624.3319</v>
      </c>
      <c r="Q43" s="52" t="n">
        <f aca="false">Q42*$D$2</f>
        <v>1042.5276</v>
      </c>
      <c r="R43" s="52" t="n">
        <f aca="false">R42*$D$2</f>
        <v>1717.51265</v>
      </c>
      <c r="S43" s="52" t="n">
        <f aca="false">S42*$D$2</f>
        <v>7384.37215</v>
      </c>
      <c r="T43" s="52"/>
      <c r="U43" s="52" t="n">
        <f aca="false">U42*$D$2</f>
        <v>1011.585</v>
      </c>
      <c r="V43" s="52" t="n">
        <f aca="false">V42*$D$2</f>
        <v>3428.47975</v>
      </c>
      <c r="W43" s="52"/>
      <c r="X43" s="52" t="n">
        <f aca="false">X42*$D$2</f>
        <v>11824.4369</v>
      </c>
      <c r="Y43" s="52" t="n">
        <f aca="false">Y42*$D$2</f>
        <v>1771.52527</v>
      </c>
      <c r="Z43" s="52" t="n">
        <f aca="false">Z42*$D$2</f>
        <v>13595.96217</v>
      </c>
      <c r="AA43" s="55"/>
      <c r="AB43" s="56" t="n">
        <f aca="false">MAX(AB10:AB40)</f>
        <v>76</v>
      </c>
      <c r="AC43" s="56" t="n">
        <f aca="false">MAX(AC10:AC40)</f>
        <v>44</v>
      </c>
      <c r="AD43" s="57" t="s">
        <v>49</v>
      </c>
      <c r="AE43" s="85"/>
      <c r="AF43" s="85"/>
      <c r="AG43" s="86"/>
    </row>
    <row r="44" customFormat="false" ht="2.25" hidden="false" customHeight="true" outlineLevel="0" collapsed="false">
      <c r="A44" s="72"/>
      <c r="B44" s="72"/>
      <c r="C44" s="74"/>
      <c r="D44" s="74"/>
      <c r="E44" s="74"/>
      <c r="F44" s="74"/>
      <c r="G44" s="74"/>
      <c r="H44" s="165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2"/>
      <c r="X44" s="74"/>
      <c r="Y44" s="74"/>
      <c r="Z44" s="74"/>
      <c r="AA44" s="55"/>
      <c r="AB44" s="56"/>
      <c r="AC44" s="56"/>
      <c r="AD44" s="57"/>
      <c r="AE44" s="85"/>
      <c r="AF44" s="85"/>
      <c r="AG44" s="86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 t="n">
        <f aca="false">F7+F42</f>
        <v>-2302.49558860601</v>
      </c>
      <c r="G45" s="52" t="n">
        <f aca="false">G7+G42</f>
        <v>132484.4</v>
      </c>
      <c r="H45" s="161" t="n">
        <f aca="false">H7+H42</f>
        <v>8849.92</v>
      </c>
      <c r="I45" s="52" t="n">
        <f aca="false">I7+I42</f>
        <v>141334.32</v>
      </c>
      <c r="J45" s="52" t="n">
        <f aca="false">J7+J42</f>
        <v>23724.085873456</v>
      </c>
      <c r="K45" s="52" t="n">
        <f aca="false">K7+K42</f>
        <v>165058.405873456</v>
      </c>
      <c r="L45" s="52" t="n">
        <f aca="false">L7+L42</f>
        <v>17895.294411394</v>
      </c>
      <c r="M45" s="52" t="n">
        <f aca="false">M7+M42</f>
        <v>32403.68</v>
      </c>
      <c r="N45" s="52" t="n">
        <f aca="false">N7+N42</f>
        <v>0</v>
      </c>
      <c r="O45" s="52" t="n">
        <f aca="false">O7+O42</f>
        <v>0</v>
      </c>
      <c r="P45" s="52" t="n">
        <f aca="false">P7+P42</f>
        <v>32403.68</v>
      </c>
      <c r="Q45" s="52" t="n">
        <f aca="false">Q7+Q42</f>
        <v>21346.3</v>
      </c>
      <c r="R45" s="52" t="n">
        <f aca="false">R7+R42</f>
        <v>11679</v>
      </c>
      <c r="S45" s="52" t="n">
        <f aca="false">S7+S42</f>
        <v>65428.98</v>
      </c>
      <c r="T45" s="52" t="n">
        <f aca="false">T40</f>
        <v>-7245.26</v>
      </c>
      <c r="U45" s="52" t="n">
        <f aca="false">U7+U42</f>
        <v>13321.33</v>
      </c>
      <c r="V45" s="52" t="n">
        <f aca="false">V7+V42</f>
        <v>82781.8</v>
      </c>
      <c r="W45" s="52"/>
      <c r="X45" s="52" t="n">
        <f aca="false">X7+X42</f>
        <v>161532.11</v>
      </c>
      <c r="Y45" s="52" t="n">
        <f aca="false">Y7+Y42</f>
        <v>5828.79146206201</v>
      </c>
      <c r="Z45" s="52" t="n">
        <f aca="false">Z7+Z42</f>
        <v>167360.901462062</v>
      </c>
      <c r="AA45" s="55"/>
      <c r="AB45" s="56" t="n">
        <f aca="false">MIN(AB10:AB40)</f>
        <v>49</v>
      </c>
      <c r="AC45" s="56" t="n">
        <f aca="false">MIN(AC10:AC40)</f>
        <v>20</v>
      </c>
      <c r="AD45" s="57" t="s">
        <v>51</v>
      </c>
      <c r="AE45" s="85"/>
      <c r="AF45" s="85"/>
      <c r="AG45" s="86"/>
    </row>
    <row r="46" customFormat="false" ht="10.5" hidden="false" customHeight="true" outlineLevel="0" collapsed="false">
      <c r="A46" s="51" t="s">
        <v>52</v>
      </c>
      <c r="B46" s="51"/>
      <c r="C46" s="52"/>
      <c r="D46" s="52"/>
      <c r="E46" s="52"/>
      <c r="F46" s="52" t="n">
        <f aca="false">F45*$D$2</f>
        <v>-4567.00000000001</v>
      </c>
      <c r="G46" s="52" t="n">
        <f aca="false">G45*$D$2</f>
        <v>262782.8074</v>
      </c>
      <c r="H46" s="161" t="n">
        <f aca="false">H45*$D$2</f>
        <v>17553.81632</v>
      </c>
      <c r="I46" s="52" t="n">
        <f aca="false">I45*$D$2</f>
        <v>280336.62372</v>
      </c>
      <c r="J46" s="52" t="n">
        <f aca="false">J45*$D$2</f>
        <v>47056.72433</v>
      </c>
      <c r="K46" s="52" t="n">
        <f aca="false">K45*$D$2</f>
        <v>327393.34805</v>
      </c>
      <c r="L46" s="52" t="n">
        <f aca="false">L45*$D$2</f>
        <v>35495.316465</v>
      </c>
      <c r="M46" s="52" t="n">
        <f aca="false">M45*$D$2</f>
        <v>64272.69928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64272.69928</v>
      </c>
      <c r="Q46" s="52" t="n">
        <f aca="false">Q45*$D$2</f>
        <v>42340.38605</v>
      </c>
      <c r="R46" s="52" t="n">
        <f aca="false">R45*$D$2</f>
        <v>23165.2965</v>
      </c>
      <c r="S46" s="52" t="n">
        <f aca="false">S45*$D$2</f>
        <v>129778.38183</v>
      </c>
      <c r="T46" s="52" t="n">
        <f aca="false">T45*$D$2</f>
        <v>-14370.97321</v>
      </c>
      <c r="U46" s="52" t="n">
        <f aca="false">U45*$D$2</f>
        <v>26422.858055</v>
      </c>
      <c r="V46" s="52" t="n">
        <f aca="false">V45*$D$2</f>
        <v>164197.7003</v>
      </c>
      <c r="W46" s="52"/>
      <c r="X46" s="52" t="n">
        <f aca="false">X45*$D$2</f>
        <v>320398.940185</v>
      </c>
      <c r="Y46" s="52" t="n">
        <f aca="false">Y45*$D$2</f>
        <v>11561.407865</v>
      </c>
      <c r="Z46" s="52" t="n">
        <f aca="false">Z45*$D$2</f>
        <v>331960.34805</v>
      </c>
      <c r="AA46" s="55"/>
      <c r="AB46" s="56"/>
      <c r="AC46" s="56"/>
      <c r="AD46" s="57"/>
      <c r="AE46" s="85"/>
      <c r="AF46" s="85"/>
      <c r="AG46" s="86"/>
    </row>
    <row r="47" customFormat="false" ht="1.5" hidden="false" customHeight="true" outlineLevel="0" collapsed="false">
      <c r="A47" s="72"/>
      <c r="B47" s="72"/>
      <c r="C47" s="74"/>
      <c r="D47" s="74"/>
      <c r="E47" s="74"/>
      <c r="F47" s="74"/>
      <c r="G47" s="74"/>
      <c r="H47" s="165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140"/>
      <c r="AB47" s="56"/>
      <c r="AC47" s="56"/>
      <c r="AD47" s="57"/>
      <c r="AE47" s="85"/>
      <c r="AF47" s="85"/>
      <c r="AG47" s="86"/>
    </row>
    <row r="48" customFormat="false" ht="12.75" hidden="false" customHeight="true" outlineLevel="0" collapsed="false">
      <c r="A48" s="51" t="s">
        <v>53</v>
      </c>
      <c r="B48" s="51"/>
      <c r="C48" s="52"/>
      <c r="D48" s="52"/>
      <c r="E48" s="52"/>
      <c r="F48" s="52" t="n">
        <f aca="false">F8+F42</f>
        <v>4599.94958406856</v>
      </c>
      <c r="G48" s="52" t="n">
        <f aca="false">G8+G42</f>
        <v>145171.5</v>
      </c>
      <c r="H48" s="161" t="n">
        <f aca="false">H8+H42</f>
        <v>9491.62</v>
      </c>
      <c r="I48" s="52" t="n">
        <f aca="false">I8+I42</f>
        <v>154663.12</v>
      </c>
      <c r="J48" s="52" t="n">
        <f aca="false">J8+J42</f>
        <v>26030.3528182506</v>
      </c>
      <c r="K48" s="52" t="n">
        <f aca="false">K8+K42</f>
        <v>180693.348391732</v>
      </c>
      <c r="L48" s="52" t="n">
        <f aca="false">L8+L42</f>
        <v>18940.2895840686</v>
      </c>
      <c r="M48" s="52" t="n">
        <f aca="false">M8+M42</f>
        <v>33468.2</v>
      </c>
      <c r="N48" s="52" t="n">
        <f aca="false">N8+N42</f>
        <v>0</v>
      </c>
      <c r="O48" s="52" t="n">
        <f aca="false">O8+O42</f>
        <v>0</v>
      </c>
      <c r="P48" s="52" t="n">
        <f aca="false">P8+P42</f>
        <v>33468.2</v>
      </c>
      <c r="Q48" s="52" t="n">
        <f aca="false">Q8+Q42</f>
        <v>22659.1</v>
      </c>
      <c r="R48" s="52" t="n">
        <f aca="false">R8+R42</f>
        <v>11953.1</v>
      </c>
      <c r="S48" s="52" t="n">
        <f aca="false">S8+S42</f>
        <v>68080.4</v>
      </c>
      <c r="T48" s="52" t="n">
        <f aca="false">T45</f>
        <v>-7245.26</v>
      </c>
      <c r="U48" s="52" t="n">
        <f aca="false">U8+U42</f>
        <v>13321.33</v>
      </c>
      <c r="V48" s="52" t="n">
        <f aca="false">V8+V42</f>
        <v>87601.73</v>
      </c>
      <c r="W48" s="52" t="n">
        <f aca="false">W40</f>
        <v>26.2699999999548</v>
      </c>
      <c r="X48" s="52" t="n">
        <f aca="false">X8+X42</f>
        <v>169003.46</v>
      </c>
      <c r="Y48" s="52" t="n">
        <f aca="false">Y8+Y42</f>
        <v>7090.063234182</v>
      </c>
      <c r="Z48" s="52" t="n">
        <f aca="false">Z8+Z42</f>
        <v>176093.523234182</v>
      </c>
      <c r="AA48" s="55" t="n">
        <f aca="false">AA8+AA42</f>
        <v>22.65</v>
      </c>
      <c r="AB48" s="56"/>
      <c r="AC48" s="56"/>
      <c r="AD48" s="57"/>
      <c r="AE48" s="85"/>
      <c r="AF48" s="85"/>
      <c r="AG48" s="86"/>
    </row>
    <row r="49" customFormat="false" ht="10.5" hidden="false" customHeight="true" outlineLevel="0" collapsed="false">
      <c r="A49" s="51" t="s">
        <v>54</v>
      </c>
      <c r="B49" s="51"/>
      <c r="C49" s="52"/>
      <c r="D49" s="52" t="n">
        <f aca="false">D8+D43</f>
        <v>9124</v>
      </c>
      <c r="E49" s="52" t="n">
        <f aca="false">E40</f>
        <v>151977</v>
      </c>
      <c r="F49" s="52" t="n">
        <f aca="false">F48*$D$2</f>
        <v>9123.99999999999</v>
      </c>
      <c r="G49" s="52" t="n">
        <f aca="false">G48*$D$2</f>
        <v>287947.67025</v>
      </c>
      <c r="H49" s="161" t="n">
        <f aca="false">H48*$D$2</f>
        <v>18826.62827</v>
      </c>
      <c r="I49" s="52" t="n">
        <f aca="false">I48*$D$2</f>
        <v>306774.29852</v>
      </c>
      <c r="J49" s="52" t="n">
        <f aca="false">J48*$D$2</f>
        <v>51631.204815</v>
      </c>
      <c r="K49" s="52" t="n">
        <f aca="false">K48*$D$2</f>
        <v>358405.256535</v>
      </c>
      <c r="L49" s="52" t="n">
        <f aca="false">L48*$D$2</f>
        <v>37568.06439</v>
      </c>
      <c r="M49" s="52" t="n">
        <f aca="false">M48*$D$2</f>
        <v>66384.1747</v>
      </c>
      <c r="N49" s="52" t="n">
        <f aca="false">N48*$D$2</f>
        <v>0</v>
      </c>
      <c r="O49" s="52" t="n">
        <f aca="false">O48*$D$2</f>
        <v>0</v>
      </c>
      <c r="P49" s="52" t="n">
        <f aca="false">P48*$D$2</f>
        <v>66384.1747</v>
      </c>
      <c r="Q49" s="52" t="n">
        <f aca="false">Q48*$D$2</f>
        <v>44944.32485</v>
      </c>
      <c r="R49" s="52" t="n">
        <f aca="false">R48*$D$2</f>
        <v>23708.97385</v>
      </c>
      <c r="S49" s="52" t="n">
        <f aca="false">S48*$D$2</f>
        <v>135037.4734</v>
      </c>
      <c r="T49" s="52" t="n">
        <f aca="false">T48*$D$2</f>
        <v>-14370.97321</v>
      </c>
      <c r="U49" s="52" t="n">
        <f aca="false">U48*$D$2</f>
        <v>26422.858055</v>
      </c>
      <c r="V49" s="52" t="n">
        <f aca="false">V48*$D$2</f>
        <v>173758.031455</v>
      </c>
      <c r="W49" s="52" t="n">
        <f aca="false">W48*$D$2</f>
        <v>52.1065449999103</v>
      </c>
      <c r="X49" s="52" t="n">
        <f aca="false">X48*$D$2</f>
        <v>335218.36291</v>
      </c>
      <c r="Y49" s="52" t="n">
        <f aca="false">Y48*$D$2</f>
        <v>14063.140425</v>
      </c>
      <c r="Z49" s="52" t="n">
        <f aca="false">Z48*$D$2</f>
        <v>349281.503335</v>
      </c>
      <c r="AA49" s="55"/>
      <c r="AB49" s="56"/>
      <c r="AC49" s="56"/>
      <c r="AD49" s="57"/>
      <c r="AE49" s="85"/>
      <c r="AF49" s="85"/>
      <c r="AG49" s="86"/>
    </row>
    <row r="50" customFormat="false" ht="3" hidden="false" customHeight="true" outlineLevel="0" collapsed="false">
      <c r="A50" s="72"/>
      <c r="B50" s="72"/>
      <c r="C50" s="74"/>
      <c r="D50" s="72"/>
      <c r="E50" s="74"/>
      <c r="F50" s="72"/>
      <c r="G50" s="72"/>
      <c r="H50" s="165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4"/>
      <c r="U50" s="72"/>
      <c r="V50" s="72"/>
      <c r="W50" s="74"/>
      <c r="X50" s="72"/>
      <c r="Y50" s="72"/>
      <c r="Z50" s="72"/>
      <c r="AA50" s="55"/>
      <c r="AB50" s="56"/>
      <c r="AC50" s="56"/>
      <c r="AD50" s="57"/>
      <c r="AE50" s="85"/>
      <c r="AF50" s="85"/>
      <c r="AG50" s="86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E A Birk</cp:lastModifiedBy>
  <cp:lastPrinted>2004-11-23T07:43:06Z</cp:lastPrinted>
  <dcterms:modified xsi:type="dcterms:W3CDTF">2004-11-23T07:51:36Z</dcterms:modified>
  <cp:revision>0</cp:revision>
  <dc:subject>MCPHEE IN/OUT FLOW</dc:subject>
  <dc:title>RIVER</dc:title>
</cp:coreProperties>
</file>