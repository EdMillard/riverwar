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comments10.xml" ContentType="application/vnd.openxmlformats-officedocument.spreadsheetml.comments+xml"/>
  <Override PartName="/xl/comments9.xml" ContentType="application/vnd.openxmlformats-officedocument.spreadsheetml.comments+xml"/>
  <Override PartName="/xl/comments12.xml" ContentType="application/vnd.openxmlformats-officedocument.spreadsheetml.comments+xml"/>
  <Override PartName="/xl/comments7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11.xml" ContentType="application/vnd.openxmlformats-officedocument.spreadsheetml.comment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definedNames>
    <definedName function="false" hidden="false" localSheetId="5" name="_xlnm.Print_Area" vbProcedure="false">APR!$A$1:$AP$57</definedName>
    <definedName function="false" hidden="false" localSheetId="9" name="_xlnm.Print_Area" vbProcedure="false">AUG!$A$1:$AQ$57</definedName>
    <definedName function="false" hidden="false" localSheetId="1" name="_xlnm.Print_Area" vbProcedure="false">DEC!$A$1:$AO$57</definedName>
    <definedName function="false" hidden="false" localSheetId="3" name="_xlnm.Print_Area" vbProcedure="false">FEB!$A$1:$AO$57</definedName>
    <definedName function="false" hidden="false" localSheetId="2" name="_xlnm.Print_Area" vbProcedure="false">JAN!$A$1:$AO$57</definedName>
    <definedName function="false" hidden="false" localSheetId="8" name="_xlnm.Print_Area" vbProcedure="false">JUL!$A$1:$AP$57</definedName>
    <definedName function="false" hidden="false" localSheetId="7" name="_xlnm.Print_Area" vbProcedure="false">JUN!$A$1:$AP$57</definedName>
    <definedName function="false" hidden="false" localSheetId="4" name="_xlnm.Print_Area" vbProcedure="false">MAR!$A$1:$AO$57</definedName>
    <definedName function="false" hidden="false" localSheetId="6" name="_xlnm.Print_Area" vbProcedure="false">MAY!$A$1:$AP$57</definedName>
    <definedName function="false" hidden="false" localSheetId="0" name="_xlnm.Print_Area" vbProcedure="false">NOV!$A$1:$AO$57</definedName>
    <definedName function="false" hidden="false" localSheetId="11" name="_xlnm.Print_Area" vbProcedure="false">OCT!$A$1:$AQ$57</definedName>
    <definedName function="false" hidden="false" localSheetId="10" name="_xlnm.Print_Area" vbProcedure="false">SEP!$A$1:$AQ$57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3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River Froze</t>
        </r>
      </text>
    </comment>
    <comment ref="AC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column runs from Apr 1st to Mar 31st according to contract.</t>
        </r>
      </text>
    </comment>
    <comment ref="AK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column runs from Jan 1st to Dec 31st according to contract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K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column runs from Jan 1st to Dec 31st according to contract.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O1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Note: Canal break u/s of Check 520. We shut the EDS at 9:00 am with 60 cfs going thru the EDS.Water wasted in Reach 2 from 9am to 3pm.  This figures to be 29.76 Ac. Ft. I took 50% of this number to take in account for the ramping up &amp; down in the wasteing of the water or 14.9 Ac. Ft. (7.51
 cfs).This 7.51 cfs will be added to what the satellite shown going thru the EDS.</t>
        </r>
      </text>
    </comment>
    <comment ref="X12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3400 Ac. Ft. Totten Exchange-3400/1.9835=1714.15 cfs</t>
        </r>
      </text>
    </comment>
    <comment ref="AD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column runs from Apr 1st to Mar 31st according to contract.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W34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On May 23
Total used              27474.4
Call Water (5/22)   44208.2
Evap (5/22)                </t>
        </r>
        <r>
          <rPr>
            <u val="single"/>
            <sz val="8"/>
            <color rgb="FF000000"/>
            <rFont val="Tahoma"/>
            <family val="2"/>
          </rPr>
          <t xml:space="preserve">317.4
</t>
        </r>
        <r>
          <rPr>
            <sz val="8"/>
            <color rgb="FF000000"/>
            <rFont val="Tahoma"/>
            <family val="2"/>
          </rPr>
          <t xml:space="preserve">Total                       72000.0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Y8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number is a forecasted number but changes as more real data replaces the forecasted data.The Oct. Forecast shows no project water now.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O2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Ute Farm &amp; Ranch leased 3400 Ac. Ft. from MVIC and we're accounting 50 cfs/day. This is being substracted from the Totten Exchange Water.</t>
        </r>
      </text>
    </comment>
    <comment ref="V2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regular usage plus the 50 cfs they're leasing Ute Farm &amp; Ranch.
</t>
        </r>
      </text>
    </comment>
    <comment ref="W2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The extra 50 cfs in the MVIC toal is from the Totten Exchange not from call water so added the 50 cfs back.</t>
        </r>
      </text>
    </comment>
    <comment ref="W4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All call water gone and 102 cfs substracted from  u/s exchange water</t>
        </r>
      </text>
    </comment>
    <comment ref="X2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leased 3400 ac.ft. to Ute Farm &amp; Ranch and we are taking it out of the Totten Exchange Water @ 50 cfs/day.</t>
        </r>
      </text>
    </comment>
    <comment ref="AE25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50 cfs was substracted as the MVIC total usage has 50 cfs from Totten Exchange combined in the MVIC total.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O30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Farm &amp; Ranch has used all of the 3400 Ac. Ft. that they leased from MVIC.</t>
        </r>
      </text>
    </comment>
    <comment ref="Y1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All of U/S Exchange water gone had to leave Totten Exchange for the Utes. So excess MVIC Water started coming out of project water.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O4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gave the left over over in the canal to Farm &amp; Ranch so that they could drain the canal.</t>
        </r>
      </text>
    </comment>
    <comment ref="O57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This extra 24.2 Ac.Ft is canal drainage that MVIC gave to Farm &amp; Ranch</t>
        </r>
      </text>
    </comment>
    <comment ref="T31" authorId="0">
      <text>
        <r>
          <rPr>
            <b val="true"/>
            <sz val="8"/>
            <color rgb="FF000000"/>
            <rFont val="Tahoma"/>
            <family val="0"/>
          </rPr>
          <t xml:space="preserve">E. A. Birk:
</t>
        </r>
        <r>
          <rPr>
            <sz val="8"/>
            <color rgb="FF000000"/>
            <rFont val="Tahoma"/>
            <family val="0"/>
          </rPr>
          <t xml:space="preserve">MVIC is tranfering some water from Groundhog to Narraquinnep.</t>
        </r>
      </text>
    </comment>
  </commentList>
</comments>
</file>

<file path=xl/sharedStrings.xml><?xml version="1.0" encoding="utf-8"?>
<sst xmlns="http://schemas.openxmlformats.org/spreadsheetml/2006/main" count="1285" uniqueCount="137">
  <si>
    <t xml:space="preserve">MCPHEE  RESERVOIR  INFLOW/OUTFLOW  TABULATION</t>
  </si>
  <si>
    <t xml:space="preserve">AF/cfs  CONVERT FACTOR</t>
  </si>
  <si>
    <t xml:space="preserve">                     NOVEMBER  "2005"</t>
  </si>
  <si>
    <t xml:space="preserve">RESERVOIR</t>
  </si>
  <si>
    <t xml:space="preserve">INFLOW/OUTFLOW (CFS)</t>
  </si>
  <si>
    <t xml:space="preserve">WEATHER</t>
  </si>
  <si>
    <t xml:space="preserve">ADJUSTMENTS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</si>
  <si>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</si>
  <si>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</si>
  <si>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</si>
  <si>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</si>
  <si>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</si>
  <si>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</si>
  <si>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</si>
  <si>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</t>
  </si>
  <si>
    <t xml:space="preserve">CALC</t>
  </si>
  <si>
    <t xml:space="preserve">TOTAL</t>
  </si>
  <si>
    <t xml:space="preserve">DOLORES TUNNEL</t>
  </si>
  <si>
    <t xml:space="preserve">LONE</t>
  </si>
  <si>
    <t xml:space="preserve">U</t>
  </si>
  <si>
    <t xml:space="preserve">MVI</t>
  </si>
  <si>
    <t xml:space="preserve">DV  CR</t>
  </si>
  <si>
    <t xml:space="preserve">       D/S SENIOR </t>
  </si>
  <si>
    <t xml:space="preserve">BELOW</t>
  </si>
  <si>
    <t xml:space="preserve">FISH</t>
  </si>
  <si>
    <t xml:space="preserve">RAIN</t>
  </si>
  <si>
    <t xml:space="preserve">MAX</t>
  </si>
  <si>
    <t xml:space="preserve">MIN</t>
  </si>
  <si>
    <t xml:space="preserve">NAR.</t>
  </si>
  <si>
    <t xml:space="preserve">U/S</t>
  </si>
  <si>
    <t xml:space="preserve">TOTTEN</t>
  </si>
  <si>
    <t xml:space="preserve">NOV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</si>
  <si>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</si>
  <si>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</si>
  <si>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</si>
  <si>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</si>
  <si>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</si>
  <si>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</t>
  </si>
  <si>
    <t xml:space="preserve">INFLOW</t>
  </si>
  <si>
    <t xml:space="preserve">INF/OTF</t>
  </si>
  <si>
    <t xml:space="preserve">TOT DIV</t>
  </si>
  <si>
    <t xml:space="preserve">WET</t>
  </si>
  <si>
    <t xml:space="preserve">UTE</t>
  </si>
  <si>
    <t xml:space="preserve">QUEST</t>
  </si>
  <si>
    <t xml:space="preserve">MWC</t>
  </si>
  <si>
    <t xml:space="preserve">CTZ</t>
  </si>
  <si>
    <t xml:space="preserve">CTZ &amp;</t>
  </si>
  <si>
    <t xml:space="preserve">PINE</t>
  </si>
  <si>
    <t xml:space="preserve">LAT</t>
  </si>
  <si>
    <t xml:space="preserve">CALL  </t>
  </si>
  <si>
    <t xml:space="preserve">PROJ &amp;</t>
  </si>
  <si>
    <t xml:space="preserve">CANAL</t>
  </si>
  <si>
    <t xml:space="preserve">MVIC</t>
  </si>
  <si>
    <t xml:space="preserve">PROJ</t>
  </si>
  <si>
    <t xml:space="preserve">MCP</t>
  </si>
  <si>
    <t xml:space="preserve">LEFT</t>
  </si>
  <si>
    <t xml:space="preserve">OTF</t>
  </si>
  <si>
    <t xml:space="preserve">TMP</t>
  </si>
  <si>
    <t xml:space="preserve">CALL</t>
  </si>
  <si>
    <t xml:space="preserve">STOCK</t>
  </si>
  <si>
    <t xml:space="preserve">STORED</t>
  </si>
  <si>
    <t xml:space="preserve">USERS</t>
  </si>
  <si>
    <t xml:space="preserve">(FRESH</t>
  </si>
  <si>
    <t xml:space="preserve">AC FT</t>
  </si>
  <si>
    <t xml:space="preserve">LAND</t>
  </si>
  <si>
    <t xml:space="preserve">F&amp;R</t>
  </si>
  <si>
    <t xml:space="preserve">TO EX &amp; </t>
  </si>
  <si>
    <t xml:space="preserve">AC.FT.</t>
  </si>
  <si>
    <t xml:space="preserve">Apr-Jun</t>
  </si>
  <si>
    <t xml:space="preserve">EVAP </t>
  </si>
  <si>
    <t xml:space="preserve">EXCH</t>
  </si>
  <si>
    <t xml:space="preserve">WATER)</t>
  </si>
  <si>
    <t xml:space="preserve">U/S EX</t>
  </si>
  <si>
    <t xml:space="preserve">AC.FT</t>
  </si>
  <si>
    <t xml:space="preserve">SEASON BAL</t>
  </si>
  <si>
    <t xml:space="preserve">YTD</t>
  </si>
  <si>
    <t xml:space="preserve">MONTH / CFS</t>
  </si>
  <si>
    <t xml:space="preserve">Avg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</si>
  <si>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</si>
  <si>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</si>
  <si>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</si>
  <si>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</si>
  <si>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</si>
  <si>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</si>
  <si>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</si>
  <si>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"2005"</t>
  </si>
  <si>
    <t xml:space="preserve">       D/S SENIOR</t>
  </si>
  <si>
    <t xml:space="preserve">NAR</t>
  </si>
  <si>
    <t xml:space="preserve">MVI </t>
  </si>
  <si>
    <t xml:space="preserve">DEC</t>
  </si>
  <si>
    <t xml:space="preserve">UTE </t>
  </si>
  <si>
    <t xml:space="preserve">CALL </t>
  </si>
  <si>
    <t xml:space="preserve">TO EX &amp;</t>
  </si>
  <si>
    <t xml:space="preserve">EVAP</t>
  </si>
  <si>
    <t xml:space="preserve"> </t>
  </si>
  <si>
    <t xml:space="preserve">JANUARY  "2006"</t>
  </si>
  <si>
    <t xml:space="preserve">JAN</t>
  </si>
  <si>
    <t xml:space="preserve">AVE</t>
  </si>
  <si>
    <t xml:space="preserve">FEBRUARY  "2006"</t>
  </si>
  <si>
    <t xml:space="preserve">FEB</t>
  </si>
  <si>
    <t xml:space="preserve">MARCH  "2006"</t>
  </si>
  <si>
    <t xml:space="preserve">MAR</t>
  </si>
  <si>
    <t xml:space="preserve">CTX &amp;</t>
  </si>
  <si>
    <t xml:space="preserve">MCPHEE  RESERVOIR  INFLOW/OUTFLOW TABULATION</t>
  </si>
  <si>
    <t xml:space="preserve">                               APRIL "2006"</t>
  </si>
  <si>
    <t xml:space="preserve">APR</t>
  </si>
  <si>
    <t xml:space="preserve">PROJ </t>
  </si>
  <si>
    <t xml:space="preserve">Apr - Jun</t>
  </si>
  <si>
    <t xml:space="preserve">AVG</t>
  </si>
  <si>
    <t xml:space="preserve">MAY  "2006"</t>
  </si>
  <si>
    <t xml:space="preserve">FISH </t>
  </si>
  <si>
    <t xml:space="preserve">MAY</t>
  </si>
  <si>
    <t xml:space="preserve">JUNE  "2006"</t>
  </si>
  <si>
    <t xml:space="preserve">JUN</t>
  </si>
  <si>
    <t xml:space="preserve">July-Oct</t>
  </si>
  <si>
    <t xml:space="preserve">JULY  "2006"</t>
  </si>
  <si>
    <t xml:space="preserve"> D/S SENIOR</t>
  </si>
  <si>
    <t xml:space="preserve">JUL</t>
  </si>
  <si>
    <t xml:space="preserve">(FRESH </t>
  </si>
  <si>
    <t xml:space="preserve">AUGUST  "2006"</t>
  </si>
  <si>
    <t xml:space="preserve">AUG</t>
  </si>
  <si>
    <t xml:space="preserve">TO </t>
  </si>
  <si>
    <t xml:space="preserve">UTES</t>
  </si>
  <si>
    <t xml:space="preserve">SEPTEMBER  "2006"</t>
  </si>
  <si>
    <t xml:space="preserve">D/S SENIOR </t>
  </si>
  <si>
    <t xml:space="preserve">"SEP"</t>
  </si>
  <si>
    <t xml:space="preserve">c</t>
  </si>
  <si>
    <t xml:space="preserve">Utes Water</t>
  </si>
  <si>
    <t xml:space="preserve">used</t>
  </si>
  <si>
    <t xml:space="preserve">left</t>
  </si>
  <si>
    <t xml:space="preserve">OCTOBER  "2006"</t>
  </si>
  <si>
    <t xml:space="preserve">PRECIP</t>
  </si>
  <si>
    <t xml:space="preserve">Groundhog</t>
  </si>
  <si>
    <t xml:space="preserve">OCT</t>
  </si>
  <si>
    <t xml:space="preserve">Narraquinnep</t>
  </si>
  <si>
    <t xml:space="preserve">Transfer</t>
  </si>
  <si>
    <t xml:space="preserve">Utes Water(AC.FT.)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</si>
</sst>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"/>
    <numFmt numFmtId="166" formatCode="0.00_);\(0.00\)"/>
    <numFmt numFmtId="167" formatCode="0.0"/>
    <numFmt numFmtId="168" formatCode="0"/>
    <numFmt numFmtId="169" formatCode="#,##0.0"/>
    <numFmt numFmtId="170" formatCode="##0.0"/>
    <numFmt numFmtId="171" formatCode="0.00"/>
    <numFmt numFmtId="172" formatCode="0.0000"/>
    <numFmt numFmtId="173" formatCode="0.000"/>
    <numFmt numFmtId="174" formatCode="#,##0.00"/>
    <numFmt numFmtId="175" formatCode="[$-409]d\-mmm"/>
    <numFmt numFmtId="176" formatCode="0%"/>
    <numFmt numFmtId="177" formatCode="0.0_);\(0.0\)"/>
    <numFmt numFmtId="178" formatCode="0_);\(0\)"/>
    <numFmt numFmtId="179" formatCode="[$-409]mmm\-yy"/>
    <numFmt numFmtId="180" formatCode="#,##0.0000"/>
    <numFmt numFmtId="181" formatCode="0.00_);[RED]\(0.00\)"/>
    <numFmt numFmtId="182" formatCode="0_);[RED]\(0\)"/>
  </numFmts>
  <fonts count="25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2"/>
    </font>
    <font>
      <sz val="8"/>
      <name val="Arial Narrow"/>
      <family val="0"/>
    </font>
    <font>
      <b val="true"/>
      <i val="true"/>
      <sz val="12"/>
      <name val="Arial Narrow"/>
      <family val="0"/>
    </font>
    <font>
      <sz val="6"/>
      <name val="Arial Narrow"/>
      <family val="2"/>
    </font>
    <font>
      <b val="true"/>
      <sz val="8"/>
      <name val="Arial Narrow"/>
      <family val="2"/>
    </font>
    <font>
      <sz val="6"/>
      <name val="Arial Narrow"/>
      <family val="0"/>
    </font>
    <font>
      <b val="true"/>
      <sz val="6"/>
      <name val="Arial Narrow"/>
      <family val="2"/>
    </font>
    <font>
      <b val="true"/>
      <sz val="6"/>
      <name val="Arial Narrow"/>
      <family val="0"/>
    </font>
    <font>
      <b val="true"/>
      <sz val="9"/>
      <name val="Arial Narrow"/>
      <family val="0"/>
    </font>
    <font>
      <b val="true"/>
      <sz val="8"/>
      <color rgb="FF000000"/>
      <name val="Tahoma"/>
      <family val="0"/>
    </font>
    <font>
      <sz val="8"/>
      <color rgb="FF000000"/>
      <name val="Tahoma"/>
      <family val="0"/>
    </font>
    <font>
      <sz val="6"/>
      <name val="LinePrinter"/>
      <family val="3"/>
    </font>
    <font>
      <sz val="6"/>
      <name val="LinePrinter"/>
      <family val="0"/>
    </font>
    <font>
      <sz val="6"/>
      <name val="Arial"/>
      <family val="0"/>
    </font>
    <font>
      <sz val="6"/>
      <name val="Arial"/>
      <family val="2"/>
    </font>
    <font>
      <sz val="8"/>
      <name val="Arial"/>
      <family val="0"/>
    </font>
    <font>
      <b val="true"/>
      <sz val="12"/>
      <name val="Arial Narrow"/>
      <family val="0"/>
    </font>
    <font>
      <sz val="4"/>
      <name val="LinePrinter"/>
      <family val="3"/>
    </font>
    <font>
      <b val="true"/>
      <sz val="8"/>
      <name val="Arial Narrow"/>
      <family val="0"/>
    </font>
    <font>
      <u val="single"/>
      <sz val="8"/>
      <color rgb="FF000000"/>
      <name val="Tahoma"/>
      <family val="2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64648"/>
        <bgColor rgb="FF333300"/>
      </patternFill>
    </fill>
    <fill>
      <patternFill patternType="solid">
        <fgColor rgb="FFA6CAF0"/>
        <bgColor rgb="FFCCCCFF"/>
      </patternFill>
    </fill>
    <fill>
      <patternFill patternType="solid">
        <fgColor rgb="FFFFFF99"/>
        <bgColor rgb="FFFFFFCC"/>
      </patternFill>
    </fill>
  </fills>
  <borders count="26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EEEEEC"/>
      </bottom>
      <diagonal/>
    </border>
    <border diagonalUp="false" diagonalDown="false">
      <left style="thick">
        <color rgb="FFEEEEEC"/>
      </left>
      <right/>
      <top style="thick">
        <color rgb="FFEEEEEC"/>
      </top>
      <bottom/>
      <diagonal/>
    </border>
    <border diagonalUp="false" diagonalDown="false">
      <left/>
      <right/>
      <top style="thick">
        <color rgb="FFEEEEEC"/>
      </top>
      <bottom/>
      <diagonal/>
    </border>
    <border diagonalUp="false" diagonalDown="false">
      <left/>
      <right style="thick">
        <color rgb="FFEEEEEC"/>
      </right>
      <top style="thick">
        <color rgb="FFEEEEEC"/>
      </top>
      <bottom/>
      <diagonal/>
    </border>
    <border diagonalUp="false" diagonalDown="false">
      <left style="thick">
        <color rgb="FFEEEEEC"/>
      </left>
      <right/>
      <top/>
      <bottom/>
      <diagonal/>
    </border>
    <border diagonalUp="false" diagonalDown="false">
      <left/>
      <right style="thick">
        <color rgb="FFEEEEEC"/>
      </right>
      <top/>
      <bottom/>
      <diagonal/>
    </border>
    <border diagonalUp="false" diagonalDown="false">
      <left style="medium">
        <color rgb="FFEEEEEC"/>
      </left>
      <right style="medium">
        <color rgb="FFEEEEEC"/>
      </right>
      <top style="medium">
        <color rgb="FFEEEEEC"/>
      </top>
      <bottom/>
      <diagonal/>
    </border>
    <border diagonalUp="false" diagonalDown="false">
      <left style="medium">
        <color rgb="FFEEEEEC"/>
      </left>
      <right/>
      <top/>
      <bottom/>
      <diagonal/>
    </border>
    <border diagonalUp="false" diagonalDown="false">
      <left/>
      <right style="medium">
        <color rgb="FFEEEEEC"/>
      </right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 style="thick">
        <color rgb="FFEEEEEC"/>
      </left>
      <right/>
      <top style="thin">
        <color rgb="FFEEEEEC"/>
      </top>
      <bottom style="thin">
        <color rgb="FFEEEEEC"/>
      </bottom>
      <diagonal/>
    </border>
    <border diagonalUp="false" diagonalDown="false">
      <left/>
      <right style="thick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 style="medium">
        <color rgb="FFEEEEEC"/>
      </left>
      <right/>
      <top style="thin">
        <color rgb="FFEEEEEC"/>
      </top>
      <bottom style="thin">
        <color rgb="FFEEEEEC"/>
      </bottom>
      <diagonal/>
    </border>
    <border diagonalUp="false" diagonalDown="false">
      <left/>
      <right style="medium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 style="medium">
        <color rgb="FFEEEEEC"/>
      </right>
      <top style="thin">
        <color rgb="FFEEEEEC"/>
      </top>
      <bottom/>
      <diagonal/>
    </border>
    <border diagonalUp="false" diagonalDown="false">
      <left/>
      <right style="thick">
        <color rgb="FFEEEEEC"/>
      </right>
      <top/>
      <bottom style="thin">
        <color rgb="FFEEEEEC"/>
      </bottom>
      <diagonal/>
    </border>
    <border diagonalUp="false" diagonalDown="false">
      <left/>
      <right style="medium">
        <color rgb="FFEEEEEC"/>
      </right>
      <top/>
      <bottom style="thin">
        <color rgb="FFEEEEEC"/>
      </bottom>
      <diagonal/>
    </border>
    <border diagonalUp="false" diagonalDown="false">
      <left style="medium">
        <color rgb="FFEEEEEC"/>
      </left>
      <right/>
      <top/>
      <bottom style="thin">
        <color rgb="FFEEEEEC"/>
      </bottom>
      <diagonal/>
    </border>
    <border diagonalUp="false" diagonalDown="false">
      <left style="medium">
        <color rgb="FFEEEEEC"/>
      </left>
      <right/>
      <top style="thin">
        <color rgb="FFEEEEEC"/>
      </top>
      <bottom/>
      <diagonal/>
    </border>
    <border diagonalUp="false" diagonalDown="false">
      <left style="thick">
        <color rgb="FFEEEEEC"/>
      </left>
      <right/>
      <top/>
      <bottom style="thin">
        <color rgb="FFEEEEEC"/>
      </bottom>
      <diagonal/>
    </border>
    <border diagonalUp="false" diagonalDown="false">
      <left/>
      <right style="thin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thin">
        <color rgb="FFEEEEEC"/>
      </top>
      <bottom/>
      <diagonal/>
    </border>
    <border diagonalUp="false" diagonalDown="false">
      <left style="thick">
        <color rgb="FFEEEEEC"/>
      </left>
      <right/>
      <top style="thin">
        <color rgb="FFEEEEEC"/>
      </top>
      <bottom/>
      <diagonal/>
    </border>
    <border diagonalUp="false" diagonalDown="false">
      <left/>
      <right/>
      <top style="hair">
        <color rgb="FFEEEEEC"/>
      </top>
      <bottom style="hair">
        <color rgb="FFEEEEEC"/>
      </bottom>
      <diagonal/>
    </border>
    <border diagonalUp="false" diagonalDown="false">
      <left/>
      <right/>
      <top style="medium">
        <color rgb="FFEEEEEC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4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6" fontId="0" fillId="0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6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5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7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0" fillId="0" borderId="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0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9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5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5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1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1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2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4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2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2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2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2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2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4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0" borderId="2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2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5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2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5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5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5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5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5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5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5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5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</cellStyles>
  <colors>
    <indexedColors>
      <rgbColor rgb="FF000000"/>
      <rgbColor rgb="FFEEEE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F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646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30</xdr:row>
      <xdr:rowOff>0</xdr:rowOff>
    </xdr:from>
    <xdr:to>
      <xdr:col>7</xdr:col>
      <xdr:colOff>21600</xdr:colOff>
      <xdr:row>31</xdr:row>
      <xdr:rowOff>28800</xdr:rowOff>
    </xdr:to>
    <xdr:sp>
      <xdr:nvSpPr>
        <xdr:cNvPr id="0" name="Text 1"/>
        <xdr:cNvSpPr/>
      </xdr:nvSpPr>
      <xdr:spPr>
        <a:xfrm>
          <a:off x="2543760" y="4866120"/>
          <a:ext cx="463680" cy="1933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pc="-1" strike="noStrike">
              <a:latin typeface="LinePrinter"/>
            </a:rPr>
            <a:t>thawed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29</xdr:col>
      <xdr:colOff>129240</xdr:colOff>
      <xdr:row>11</xdr:row>
      <xdr:rowOff>56880</xdr:rowOff>
    </xdr:from>
    <xdr:to>
      <xdr:col>30</xdr:col>
      <xdr:colOff>216000</xdr:colOff>
      <xdr:row>13</xdr:row>
      <xdr:rowOff>19440</xdr:rowOff>
    </xdr:to>
    <xdr:sp>
      <xdr:nvSpPr>
        <xdr:cNvPr id="1" name="Text 2"/>
        <xdr:cNvSpPr/>
      </xdr:nvSpPr>
      <xdr:spPr>
        <a:xfrm>
          <a:off x="11024640" y="1798200"/>
          <a:ext cx="442440" cy="2912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400" spc="-1" strike="noStrike">
              <a:latin typeface="LinePrinter"/>
            </a:rPr>
            <a:t>SPILL STARTED</a:t>
          </a:r>
          <a:endParaRPr b="0" lang="en-US" sz="400" spc="-1" strike="noStrike">
            <a:latin typeface="Times New Roman"/>
          </a:endParaRPr>
        </a:p>
        <a:p>
          <a:r>
            <a:rPr b="0" lang="en-US" sz="400" spc="-1" strike="noStrike">
              <a:latin typeface="LinePrinter"/>
            </a:rPr>
            <a:t>NO DEBIT</a:t>
          </a:r>
          <a:endParaRPr b="0" lang="en-US" sz="4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36</xdr:row>
      <xdr:rowOff>0</xdr:rowOff>
    </xdr:from>
    <xdr:to>
      <xdr:col>15</xdr:col>
      <xdr:colOff>360</xdr:colOff>
      <xdr:row>36</xdr:row>
      <xdr:rowOff>164520</xdr:rowOff>
    </xdr:to>
    <xdr:sp>
      <xdr:nvSpPr>
        <xdr:cNvPr id="2" name="Rectangle 1"/>
        <xdr:cNvSpPr/>
      </xdr:nvSpPr>
      <xdr:spPr>
        <a:xfrm>
          <a:off x="5712480" y="585288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36</xdr:row>
      <xdr:rowOff>0</xdr:rowOff>
    </xdr:from>
    <xdr:to>
      <xdr:col>15</xdr:col>
      <xdr:colOff>360</xdr:colOff>
      <xdr:row>36</xdr:row>
      <xdr:rowOff>164520</xdr:rowOff>
    </xdr:to>
    <xdr:sp>
      <xdr:nvSpPr>
        <xdr:cNvPr id="3" name="Rectangle 3"/>
        <xdr:cNvSpPr/>
      </xdr:nvSpPr>
      <xdr:spPr>
        <a:xfrm>
          <a:off x="5712480" y="585288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36</xdr:row>
      <xdr:rowOff>0</xdr:rowOff>
    </xdr:from>
    <xdr:to>
      <xdr:col>15</xdr:col>
      <xdr:colOff>360</xdr:colOff>
      <xdr:row>36</xdr:row>
      <xdr:rowOff>164520</xdr:rowOff>
    </xdr:to>
    <xdr:sp>
      <xdr:nvSpPr>
        <xdr:cNvPr id="4" name="Rectangle 4"/>
        <xdr:cNvSpPr/>
      </xdr:nvSpPr>
      <xdr:spPr>
        <a:xfrm>
          <a:off x="5712480" y="585288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36</xdr:row>
      <xdr:rowOff>0</xdr:rowOff>
    </xdr:from>
    <xdr:to>
      <xdr:col>15</xdr:col>
      <xdr:colOff>360</xdr:colOff>
      <xdr:row>36</xdr:row>
      <xdr:rowOff>164520</xdr:rowOff>
    </xdr:to>
    <xdr:sp>
      <xdr:nvSpPr>
        <xdr:cNvPr id="5" name="Rectangle 6"/>
        <xdr:cNvSpPr/>
      </xdr:nvSpPr>
      <xdr:spPr>
        <a:xfrm>
          <a:off x="5712480" y="585288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36</xdr:row>
      <xdr:rowOff>0</xdr:rowOff>
    </xdr:from>
    <xdr:to>
      <xdr:col>15</xdr:col>
      <xdr:colOff>360</xdr:colOff>
      <xdr:row>36</xdr:row>
      <xdr:rowOff>164520</xdr:rowOff>
    </xdr:to>
    <xdr:sp>
      <xdr:nvSpPr>
        <xdr:cNvPr id="6" name="Rectangle 8"/>
        <xdr:cNvSpPr/>
      </xdr:nvSpPr>
      <xdr:spPr>
        <a:xfrm>
          <a:off x="5712480" y="585288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36</xdr:row>
      <xdr:rowOff>123840</xdr:rowOff>
    </xdr:from>
    <xdr:to>
      <xdr:col>14</xdr:col>
      <xdr:colOff>11160</xdr:colOff>
      <xdr:row>36</xdr:row>
      <xdr:rowOff>164520</xdr:rowOff>
    </xdr:to>
    <xdr:sp>
      <xdr:nvSpPr>
        <xdr:cNvPr id="7" name="Rectangle 10"/>
        <xdr:cNvSpPr/>
      </xdr:nvSpPr>
      <xdr:spPr>
        <a:xfrm>
          <a:off x="5712480" y="5976720"/>
          <a:ext cx="11160" cy="4068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36</xdr:row>
      <xdr:rowOff>0</xdr:rowOff>
    </xdr:from>
    <xdr:to>
      <xdr:col>15</xdr:col>
      <xdr:colOff>360</xdr:colOff>
      <xdr:row>36</xdr:row>
      <xdr:rowOff>164520</xdr:rowOff>
    </xdr:to>
    <xdr:sp>
      <xdr:nvSpPr>
        <xdr:cNvPr id="8" name="Rectangle 11"/>
        <xdr:cNvSpPr/>
      </xdr:nvSpPr>
      <xdr:spPr>
        <a:xfrm>
          <a:off x="5712480" y="5852880"/>
          <a:ext cx="356040" cy="164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30</xdr:row>
      <xdr:rowOff>0</xdr:rowOff>
    </xdr:from>
    <xdr:to>
      <xdr:col>15</xdr:col>
      <xdr:colOff>360</xdr:colOff>
      <xdr:row>30</xdr:row>
      <xdr:rowOff>164520</xdr:rowOff>
    </xdr:to>
    <xdr:sp>
      <xdr:nvSpPr>
        <xdr:cNvPr id="9" name="Rectangle 12"/>
        <xdr:cNvSpPr/>
      </xdr:nvSpPr>
      <xdr:spPr>
        <a:xfrm>
          <a:off x="5712480" y="486612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30</xdr:row>
      <xdr:rowOff>0</xdr:rowOff>
    </xdr:from>
    <xdr:to>
      <xdr:col>15</xdr:col>
      <xdr:colOff>360</xdr:colOff>
      <xdr:row>30</xdr:row>
      <xdr:rowOff>164520</xdr:rowOff>
    </xdr:to>
    <xdr:sp>
      <xdr:nvSpPr>
        <xdr:cNvPr id="10" name="Rectangle 13"/>
        <xdr:cNvSpPr/>
      </xdr:nvSpPr>
      <xdr:spPr>
        <a:xfrm>
          <a:off x="5712480" y="4866120"/>
          <a:ext cx="356040" cy="1645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6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7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O12" activePane="bottomRight" state="frozen"/>
      <selection pane="topLeft" activeCell="A1" activeCellId="0" sqref="A1"/>
      <selection pane="topRight" activeCell="O1" activeCellId="0" sqref="O1"/>
      <selection pane="bottomLeft" activeCell="A12" activeCellId="0" sqref="A12"/>
      <selection pane="bottomRight" activeCell="AC5" activeCellId="0" sqref="AC5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4.66"/>
    <col collapsed="false" customWidth="true" hidden="false" outlineLevel="0" max="2" min="2" style="0" width="6.99"/>
    <col collapsed="false" customWidth="true" hidden="false" outlineLevel="0" max="3" min="3" style="1" width="6.32"/>
    <col collapsed="false" customWidth="true" hidden="false" outlineLevel="0" max="4" min="4" style="0" width="6.99"/>
    <col collapsed="false" customWidth="true" hidden="false" outlineLevel="0" max="5" min="5" style="1" width="6.99"/>
    <col collapsed="false" customWidth="true" hidden="false" outlineLevel="0" max="6" min="6" style="0" width="7.32"/>
    <col collapsed="false" customWidth="true" hidden="false" outlineLevel="0" max="7" min="7" style="0" width="6.82"/>
    <col collapsed="false" customWidth="true" hidden="false" outlineLevel="0" max="8" min="8" style="2" width="5.66"/>
    <col collapsed="false" customWidth="true" hidden="false" outlineLevel="0" max="11" min="9" style="0" width="6.32"/>
    <col collapsed="false" customWidth="true" hidden="false" outlineLevel="0" max="12" min="12" style="0" width="7.16"/>
    <col collapsed="false" customWidth="true" hidden="false" outlineLevel="0" max="13" min="13" style="3" width="5.49"/>
    <col collapsed="false" customWidth="true" hidden="false" outlineLevel="0" max="14" min="14" style="3" width="4.49"/>
    <col collapsed="false" customWidth="true" hidden="false" outlineLevel="0" max="15" min="15" style="3" width="5.49"/>
    <col collapsed="false" customWidth="true" hidden="false" outlineLevel="0" max="16" min="16" style="3" width="4.82"/>
    <col collapsed="false" customWidth="true" hidden="false" outlineLevel="0" max="18" min="17" style="3" width="4.32"/>
    <col collapsed="false" customWidth="true" hidden="false" outlineLevel="0" max="19" min="19" style="0" width="4.32"/>
    <col collapsed="false" customWidth="true" hidden="false" outlineLevel="0" max="21" min="20" style="0" width="5.49"/>
    <col collapsed="false" customWidth="true" hidden="false" outlineLevel="0" max="22" min="22" style="1" width="6.32"/>
    <col collapsed="false" customWidth="true" hidden="false" outlineLevel="0" max="25" min="23" style="0" width="5.49"/>
    <col collapsed="false" customWidth="true" hidden="false" outlineLevel="0" max="27" min="26" style="1" width="5.49"/>
    <col collapsed="false" customWidth="true" hidden="false" outlineLevel="0" max="28" min="28" style="1" width="6.49"/>
    <col collapsed="false" customWidth="true" hidden="false" outlineLevel="0" max="29" min="29" style="0" width="5.49"/>
    <col collapsed="false" customWidth="true" hidden="false" outlineLevel="0" max="30" min="30" style="0" width="6.32"/>
    <col collapsed="false" customWidth="true" hidden="false" outlineLevel="0" max="31" min="31" style="0" width="6.99"/>
    <col collapsed="false" customWidth="true" hidden="false" outlineLevel="0" max="32" min="32" style="2" width="6.99"/>
    <col collapsed="false" customWidth="true" hidden="false" outlineLevel="0" max="33" min="33" style="2" width="5.32"/>
    <col collapsed="false" customWidth="true" hidden="false" outlineLevel="0" max="34" min="34" style="4" width="3.82"/>
    <col collapsed="false" customWidth="true" hidden="false" outlineLevel="0" max="35" min="35" style="5" width="3.82"/>
    <col collapsed="false" customWidth="true" hidden="false" outlineLevel="0" max="37" min="36" style="3" width="5.49"/>
    <col collapsed="false" customWidth="true" hidden="false" outlineLevel="0" max="38" min="38" style="0" width="6.32"/>
    <col collapsed="false" customWidth="true" hidden="false" outlineLevel="0" max="39" min="39" style="6" width="6.32"/>
    <col collapsed="false" customWidth="true" hidden="false" outlineLevel="0" max="40" min="40" style="0" width="6.32"/>
    <col collapsed="false" customWidth="true" hidden="false" outlineLevel="0" max="41" min="41" style="7" width="6.49"/>
  </cols>
  <sheetData>
    <row r="1" customFormat="false" ht="14.1" hidden="false" customHeight="true" outlineLevel="0" collapsed="false">
      <c r="A1" s="8"/>
      <c r="B1" s="8"/>
      <c r="C1" s="9"/>
      <c r="D1" s="8"/>
      <c r="E1" s="9"/>
      <c r="F1" s="8"/>
      <c r="G1" s="8"/>
      <c r="H1" s="10"/>
      <c r="I1" s="8"/>
      <c r="J1" s="8"/>
      <c r="K1" s="11" t="s">
        <v>0</v>
      </c>
      <c r="L1" s="8"/>
      <c r="M1" s="8"/>
      <c r="N1" s="8"/>
      <c r="O1" s="8"/>
      <c r="P1" s="8"/>
      <c r="Q1" s="8"/>
      <c r="R1" s="8"/>
      <c r="S1" s="8"/>
      <c r="T1" s="8"/>
      <c r="U1" s="8"/>
      <c r="V1" s="9"/>
      <c r="W1" s="8"/>
      <c r="X1" s="8"/>
      <c r="Y1" s="8"/>
      <c r="Z1" s="9"/>
      <c r="AA1" s="9"/>
      <c r="AB1" s="9"/>
      <c r="AC1" s="8"/>
      <c r="AD1" s="8"/>
      <c r="AE1" s="8"/>
      <c r="AF1" s="12"/>
      <c r="AG1" s="13"/>
      <c r="AH1" s="14"/>
      <c r="AI1" s="15"/>
    </row>
    <row r="2" customFormat="false" ht="14.1" hidden="false" customHeight="true" outlineLevel="0" collapsed="false">
      <c r="A2" s="16" t="s">
        <v>1</v>
      </c>
      <c r="B2" s="8"/>
      <c r="C2" s="9"/>
      <c r="D2" s="17" t="n">
        <v>1.9835</v>
      </c>
      <c r="E2" s="9"/>
      <c r="F2" s="8"/>
      <c r="G2" s="8"/>
      <c r="H2" s="10"/>
      <c r="I2" s="8"/>
      <c r="J2" s="8"/>
      <c r="K2" s="8"/>
      <c r="L2" s="11" t="s">
        <v>2</v>
      </c>
      <c r="M2" s="8"/>
      <c r="N2" s="8"/>
      <c r="O2" s="8"/>
      <c r="P2" s="8"/>
      <c r="Q2" s="8"/>
      <c r="R2" s="8"/>
      <c r="S2" s="8"/>
      <c r="T2" s="8"/>
      <c r="U2" s="8"/>
      <c r="V2" s="9"/>
      <c r="W2" s="8"/>
      <c r="X2" s="8"/>
      <c r="Y2" s="8"/>
      <c r="Z2" s="9"/>
      <c r="AA2" s="9"/>
      <c r="AB2" s="9"/>
      <c r="AC2" s="8"/>
      <c r="AD2" s="8"/>
      <c r="AE2" s="8"/>
      <c r="AF2" s="12"/>
      <c r="AG2" s="13"/>
      <c r="AH2" s="14"/>
      <c r="AI2" s="15"/>
    </row>
    <row r="3" customFormat="false" ht="14.1" hidden="false" customHeight="true" outlineLevel="0" collapsed="false">
      <c r="A3" s="18"/>
      <c r="B3" s="18"/>
      <c r="C3" s="19"/>
      <c r="D3" s="20"/>
      <c r="E3" s="19"/>
      <c r="F3" s="18"/>
      <c r="G3" s="18"/>
      <c r="H3" s="21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9"/>
      <c r="W3" s="18"/>
      <c r="X3" s="18"/>
      <c r="Y3" s="18"/>
      <c r="Z3" s="19"/>
      <c r="AA3" s="19"/>
      <c r="AB3" s="19"/>
      <c r="AC3" s="18"/>
      <c r="AD3" s="18"/>
      <c r="AE3" s="18"/>
      <c r="AF3" s="22"/>
      <c r="AG3" s="23"/>
      <c r="AH3" s="24"/>
      <c r="AI3" s="25"/>
      <c r="AJ3" s="26"/>
      <c r="AK3" s="26"/>
      <c r="AL3" s="27"/>
      <c r="AM3" s="28"/>
      <c r="AN3" s="29"/>
    </row>
    <row r="4" s="7" customFormat="true" ht="14.1" hidden="false" customHeight="true" outlineLevel="0" collapsed="false">
      <c r="A4" s="30"/>
      <c r="B4" s="31"/>
      <c r="C4" s="32"/>
      <c r="D4" s="33" t="s">
        <v>3</v>
      </c>
      <c r="E4" s="32"/>
      <c r="F4" s="34"/>
      <c r="G4" s="30"/>
      <c r="H4" s="35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6" t="s">
        <v>4</v>
      </c>
      <c r="U4" s="30"/>
      <c r="V4" s="37"/>
      <c r="W4" s="30"/>
      <c r="X4" s="30"/>
      <c r="Y4" s="30"/>
      <c r="Z4" s="37"/>
      <c r="AA4" s="37"/>
      <c r="AB4" s="37"/>
      <c r="AC4" s="30"/>
      <c r="AD4" s="30"/>
      <c r="AE4" s="30"/>
      <c r="AF4" s="38"/>
      <c r="AG4" s="39"/>
      <c r="AH4" s="40" t="s">
        <v>5</v>
      </c>
      <c r="AI4" s="41"/>
      <c r="AJ4" s="42"/>
      <c r="AK4" s="42"/>
      <c r="AL4" s="43" t="s">
        <v>6</v>
      </c>
      <c r="AM4" s="43"/>
      <c r="AN4" s="44"/>
      <c r="AO4" s="44"/>
    </row>
    <row r="5" customFormat="false" ht="12.95" hidden="false" customHeight="true" outlineLevel="0" collapsed="false">
      <c r="A5" s="45" t="s">
        <v>7</v>
      </c>
      <c r="B5" s="46" t="s">
        <v>8</v>
      </c>
      <c r="C5" s="47" t="s">
        <v>8</v>
      </c>
      <c r="D5" s="48" t="s">
        <v>9</v>
      </c>
      <c r="E5" s="47" t="s">
        <v>10</v>
      </c>
      <c r="F5" s="49" t="s">
        <v>11</v>
      </c>
      <c r="G5" s="45" t="s">
        <v>12</v>
      </c>
      <c r="H5" s="50" t="s">
        <v>13</v>
      </c>
      <c r="I5" s="45" t="s">
        <v>14</v>
      </c>
      <c r="J5" s="45" t="s">
        <v>15</v>
      </c>
      <c r="K5" s="45" t="s">
        <v>16</v>
      </c>
      <c r="L5" s="45" t="s">
        <v>15</v>
      </c>
      <c r="M5" s="51" t="s">
        <v>17</v>
      </c>
      <c r="N5" s="51"/>
      <c r="O5" s="51"/>
      <c r="P5" s="51"/>
      <c r="Q5" s="51"/>
      <c r="R5" s="51"/>
      <c r="S5" s="51"/>
      <c r="T5" s="45" t="s">
        <v>18</v>
      </c>
      <c r="U5" s="45" t="s">
        <v>19</v>
      </c>
      <c r="V5" s="45" t="s">
        <v>16</v>
      </c>
      <c r="W5" s="52" t="s">
        <v>20</v>
      </c>
      <c r="X5" s="52" t="s">
        <v>20</v>
      </c>
      <c r="Y5" s="45" t="s">
        <v>21</v>
      </c>
      <c r="Z5" s="53" t="s">
        <v>22</v>
      </c>
      <c r="AA5" s="54"/>
      <c r="AB5" s="45" t="s">
        <v>23</v>
      </c>
      <c r="AC5" s="52" t="s">
        <v>24</v>
      </c>
      <c r="AD5" s="45" t="s">
        <v>14</v>
      </c>
      <c r="AE5" s="45" t="s">
        <v>15</v>
      </c>
      <c r="AF5" s="45" t="s">
        <v>16</v>
      </c>
      <c r="AG5" s="55" t="s">
        <v>25</v>
      </c>
      <c r="AH5" s="56" t="s">
        <v>26</v>
      </c>
      <c r="AI5" s="57" t="s">
        <v>27</v>
      </c>
      <c r="AJ5" s="58" t="s">
        <v>28</v>
      </c>
      <c r="AK5" s="58" t="s">
        <v>20</v>
      </c>
      <c r="AL5" s="59" t="s">
        <v>20</v>
      </c>
      <c r="AM5" s="60" t="s">
        <v>20</v>
      </c>
      <c r="AN5" s="60" t="s">
        <v>29</v>
      </c>
      <c r="AO5" s="61" t="s">
        <v>30</v>
      </c>
    </row>
    <row r="6" customFormat="false" ht="12.95" hidden="false" customHeight="true" outlineLevel="0" collapsed="false">
      <c r="A6" s="62" t="s">
        <v>31</v>
      </c>
      <c r="B6" s="46" t="s">
        <v>32</v>
      </c>
      <c r="C6" s="47" t="s">
        <v>9</v>
      </c>
      <c r="D6" s="48" t="s">
        <v>33</v>
      </c>
      <c r="E6" s="47" t="s">
        <v>34</v>
      </c>
      <c r="F6" s="49" t="s">
        <v>35</v>
      </c>
      <c r="G6" s="45" t="s">
        <v>36</v>
      </c>
      <c r="H6" s="50" t="s">
        <v>37</v>
      </c>
      <c r="I6" s="45" t="s">
        <v>38</v>
      </c>
      <c r="J6" s="45" t="s">
        <v>38</v>
      </c>
      <c r="K6" s="45" t="s">
        <v>38</v>
      </c>
      <c r="L6" s="45" t="s">
        <v>39</v>
      </c>
      <c r="M6" s="63" t="s">
        <v>40</v>
      </c>
      <c r="N6" s="48" t="s">
        <v>41</v>
      </c>
      <c r="O6" s="48" t="s">
        <v>42</v>
      </c>
      <c r="P6" s="48" t="s">
        <v>43</v>
      </c>
      <c r="Q6" s="48" t="s">
        <v>44</v>
      </c>
      <c r="R6" s="48" t="s">
        <v>45</v>
      </c>
      <c r="S6" s="64" t="s">
        <v>46</v>
      </c>
      <c r="T6" s="45" t="s">
        <v>47</v>
      </c>
      <c r="U6" s="45" t="s">
        <v>48</v>
      </c>
      <c r="V6" s="45" t="s">
        <v>20</v>
      </c>
      <c r="W6" s="52" t="s">
        <v>49</v>
      </c>
      <c r="X6" s="52" t="s">
        <v>50</v>
      </c>
      <c r="Y6" s="45" t="s">
        <v>51</v>
      </c>
      <c r="Z6" s="63" t="s">
        <v>52</v>
      </c>
      <c r="AA6" s="65" t="s">
        <v>53</v>
      </c>
      <c r="AB6" s="45" t="s">
        <v>54</v>
      </c>
      <c r="AC6" s="52" t="s">
        <v>55</v>
      </c>
      <c r="AD6" s="45" t="s">
        <v>56</v>
      </c>
      <c r="AE6" s="45" t="s">
        <v>56</v>
      </c>
      <c r="AF6" s="45" t="s">
        <v>56</v>
      </c>
      <c r="AG6" s="66"/>
      <c r="AH6" s="56" t="s">
        <v>57</v>
      </c>
      <c r="AI6" s="57" t="s">
        <v>57</v>
      </c>
      <c r="AJ6" s="67" t="s">
        <v>58</v>
      </c>
      <c r="AK6" s="67" t="s">
        <v>59</v>
      </c>
      <c r="AL6" s="68" t="s">
        <v>60</v>
      </c>
      <c r="AM6" s="69" t="s">
        <v>60</v>
      </c>
      <c r="AN6" s="69" t="s">
        <v>61</v>
      </c>
      <c r="AO6" s="61" t="s">
        <v>62</v>
      </c>
    </row>
    <row r="7" customFormat="false" ht="12.95" hidden="false" customHeight="true" outlineLevel="0" collapsed="false">
      <c r="A7" s="70"/>
      <c r="B7" s="71"/>
      <c r="C7" s="72"/>
      <c r="D7" s="73"/>
      <c r="E7" s="74" t="s">
        <v>63</v>
      </c>
      <c r="F7" s="75"/>
      <c r="G7" s="70"/>
      <c r="H7" s="76"/>
      <c r="I7" s="70"/>
      <c r="J7" s="70"/>
      <c r="K7" s="70"/>
      <c r="L7" s="70"/>
      <c r="M7" s="77"/>
      <c r="N7" s="78" t="s">
        <v>64</v>
      </c>
      <c r="O7" s="78" t="s">
        <v>65</v>
      </c>
      <c r="P7" s="78"/>
      <c r="Q7" s="73"/>
      <c r="R7" s="73"/>
      <c r="S7" s="64" t="s">
        <v>42</v>
      </c>
      <c r="T7" s="70"/>
      <c r="U7" s="70"/>
      <c r="V7" s="70"/>
      <c r="W7" s="79"/>
      <c r="X7" s="79" t="s">
        <v>66</v>
      </c>
      <c r="Y7" s="70"/>
      <c r="Z7" s="77"/>
      <c r="AA7" s="80"/>
      <c r="AB7" s="70"/>
      <c r="AC7" s="81"/>
      <c r="AD7" s="70"/>
      <c r="AE7" s="70"/>
      <c r="AF7" s="70"/>
      <c r="AG7" s="82"/>
      <c r="AH7" s="83"/>
      <c r="AI7" s="84"/>
      <c r="AJ7" s="67" t="s">
        <v>67</v>
      </c>
      <c r="AK7" s="67" t="s">
        <v>35</v>
      </c>
      <c r="AL7" s="61" t="s">
        <v>68</v>
      </c>
      <c r="AM7" s="61" t="s">
        <v>69</v>
      </c>
      <c r="AN7" s="61" t="s">
        <v>70</v>
      </c>
      <c r="AO7" s="61" t="s">
        <v>71</v>
      </c>
    </row>
    <row r="8" customFormat="false" ht="12.95" hidden="false" customHeight="true" outlineLevel="0" collapsed="false">
      <c r="A8" s="70"/>
      <c r="B8" s="71"/>
      <c r="C8" s="72"/>
      <c r="D8" s="73"/>
      <c r="E8" s="72"/>
      <c r="F8" s="75"/>
      <c r="G8" s="70"/>
      <c r="H8" s="76"/>
      <c r="I8" s="70"/>
      <c r="J8" s="70"/>
      <c r="K8" s="70"/>
      <c r="L8" s="70"/>
      <c r="M8" s="77"/>
      <c r="N8" s="85" t="n">
        <v>1.03</v>
      </c>
      <c r="O8" s="85" t="n">
        <v>1.05</v>
      </c>
      <c r="P8" s="85" t="n">
        <v>1.02</v>
      </c>
      <c r="Q8" s="85" t="n">
        <v>1.02</v>
      </c>
      <c r="R8" s="85" t="n">
        <v>1.04</v>
      </c>
      <c r="S8" s="64" t="s">
        <v>53</v>
      </c>
      <c r="T8" s="70"/>
      <c r="U8" s="70"/>
      <c r="V8" s="70"/>
      <c r="W8" s="86"/>
      <c r="X8" s="79" t="s">
        <v>72</v>
      </c>
      <c r="Y8" s="70"/>
      <c r="Z8" s="77"/>
      <c r="AA8" s="80"/>
      <c r="AB8" s="70"/>
      <c r="AC8" s="87"/>
      <c r="AD8" s="70"/>
      <c r="AE8" s="70"/>
      <c r="AF8" s="70"/>
      <c r="AG8" s="82"/>
      <c r="AH8" s="88"/>
      <c r="AI8" s="84"/>
      <c r="AJ8" s="67" t="s">
        <v>16</v>
      </c>
      <c r="AK8" s="89"/>
      <c r="AM8" s="61" t="s">
        <v>73</v>
      </c>
    </row>
    <row r="9" customFormat="false" ht="12.95" hidden="false" customHeight="true" outlineLevel="0" collapsed="false">
      <c r="A9" s="16" t="s">
        <v>74</v>
      </c>
      <c r="B9" s="90"/>
      <c r="C9" s="91"/>
      <c r="D9" s="91"/>
      <c r="E9" s="91"/>
      <c r="F9" s="92"/>
      <c r="G9" s="9"/>
      <c r="H9" s="14"/>
      <c r="I9" s="9"/>
      <c r="J9" s="9"/>
      <c r="K9" s="9"/>
      <c r="L9" s="9"/>
      <c r="M9" s="93"/>
      <c r="N9" s="91"/>
      <c r="O9" s="91"/>
      <c r="P9" s="91"/>
      <c r="Q9" s="94"/>
      <c r="R9" s="94"/>
      <c r="S9" s="95"/>
      <c r="T9" s="96"/>
      <c r="U9" s="96"/>
      <c r="V9" s="96"/>
      <c r="W9" s="96"/>
      <c r="X9" s="96"/>
      <c r="Y9" s="96"/>
      <c r="Z9" s="97"/>
      <c r="AA9" s="95"/>
      <c r="AB9" s="96"/>
      <c r="AC9" s="81"/>
      <c r="AD9" s="96"/>
      <c r="AE9" s="96"/>
      <c r="AF9" s="96"/>
      <c r="AG9" s="98"/>
      <c r="AH9" s="99"/>
      <c r="AI9" s="100"/>
      <c r="AJ9" s="101"/>
      <c r="AK9" s="101"/>
      <c r="AL9" s="102"/>
      <c r="AM9" s="102"/>
      <c r="AN9" s="102"/>
    </row>
    <row r="10" s="1" customFormat="true" ht="12.95" hidden="false" customHeight="true" outlineLevel="0" collapsed="false">
      <c r="A10" s="103" t="s">
        <v>75</v>
      </c>
      <c r="B10" s="104" t="n">
        <v>6904.21</v>
      </c>
      <c r="C10" s="105" t="n">
        <v>299374</v>
      </c>
      <c r="D10" s="91"/>
      <c r="E10" s="91"/>
      <c r="F10" s="92"/>
      <c r="G10" s="9"/>
      <c r="H10" s="14"/>
      <c r="I10" s="9"/>
      <c r="J10" s="9"/>
      <c r="K10" s="9"/>
      <c r="L10" s="9"/>
      <c r="M10" s="93"/>
      <c r="N10" s="91"/>
      <c r="O10" s="91"/>
      <c r="P10" s="91"/>
      <c r="Q10" s="94"/>
      <c r="R10" s="94"/>
      <c r="S10" s="95"/>
      <c r="T10" s="96"/>
      <c r="U10" s="96"/>
      <c r="V10" s="96"/>
      <c r="W10" s="96"/>
      <c r="X10" s="96"/>
      <c r="Y10" s="96"/>
      <c r="Z10" s="97"/>
      <c r="AA10" s="95"/>
      <c r="AB10" s="105"/>
      <c r="AC10" s="105" t="n">
        <v>5492</v>
      </c>
      <c r="AD10" s="96"/>
      <c r="AE10" s="96"/>
      <c r="AF10" s="96"/>
      <c r="AG10" s="98"/>
      <c r="AH10" s="99"/>
      <c r="AI10" s="100"/>
      <c r="AJ10" s="101"/>
      <c r="AK10" s="101" t="n">
        <v>0</v>
      </c>
      <c r="AL10" s="96"/>
      <c r="AM10" s="96"/>
      <c r="AN10" s="96"/>
      <c r="AO10" s="37"/>
    </row>
    <row r="11" customFormat="false" ht="3" hidden="false" customHeight="true" outlineLevel="0" collapsed="false">
      <c r="A11" s="106"/>
      <c r="B11" s="107"/>
      <c r="C11" s="108"/>
      <c r="D11" s="106"/>
      <c r="E11" s="108"/>
      <c r="F11" s="109"/>
      <c r="G11" s="106"/>
      <c r="H11" s="110"/>
      <c r="I11" s="106"/>
      <c r="J11" s="106"/>
      <c r="K11" s="106"/>
      <c r="L11" s="106"/>
      <c r="M11" s="111"/>
      <c r="N11" s="106"/>
      <c r="O11" s="106"/>
      <c r="P11" s="106"/>
      <c r="Q11" s="112"/>
      <c r="R11" s="112"/>
      <c r="S11" s="113"/>
      <c r="T11" s="112"/>
      <c r="U11" s="112"/>
      <c r="V11" s="112"/>
      <c r="W11" s="114"/>
      <c r="X11" s="114"/>
      <c r="Y11" s="112"/>
      <c r="Z11" s="115"/>
      <c r="AA11" s="113"/>
      <c r="AB11" s="112"/>
      <c r="AC11" s="114"/>
      <c r="AD11" s="112"/>
      <c r="AE11" s="112"/>
      <c r="AF11" s="112"/>
      <c r="AG11" s="116"/>
      <c r="AH11" s="117"/>
      <c r="AI11" s="118"/>
      <c r="AJ11" s="119"/>
      <c r="AK11" s="119"/>
      <c r="AL11" s="117"/>
      <c r="AM11" s="117"/>
      <c r="AN11" s="117"/>
      <c r="AO11" s="117"/>
    </row>
    <row r="12" customFormat="false" ht="12.95" hidden="false" customHeight="true" outlineLevel="0" collapsed="false">
      <c r="A12" s="15" t="n">
        <v>1</v>
      </c>
      <c r="B12" s="120" t="n">
        <v>6904.19</v>
      </c>
      <c r="C12" s="91" t="n">
        <v>299298</v>
      </c>
      <c r="D12" s="121" t="n">
        <f aca="false">C12-C10</f>
        <v>-76</v>
      </c>
      <c r="E12" s="91" t="n">
        <f aca="false">C12-152000</f>
        <v>147298</v>
      </c>
      <c r="F12" s="122" t="n">
        <f aca="false">D12/$D$2</f>
        <v>-38.3161078900933</v>
      </c>
      <c r="G12" s="8" t="n">
        <v>96</v>
      </c>
      <c r="H12" s="10" t="n">
        <v>2.23</v>
      </c>
      <c r="I12" s="8" t="n">
        <f aca="false">G12+H12</f>
        <v>98.23</v>
      </c>
      <c r="J12" s="123" t="n">
        <f aca="false">IF(L12&gt;0,L12,0)</f>
        <v>0</v>
      </c>
      <c r="K12" s="8" t="n">
        <f aca="false">I12+J12</f>
        <v>98.23</v>
      </c>
      <c r="L12" s="8" t="n">
        <f aca="false">F12-(I12-AD12)</f>
        <v>-34.5461078900933</v>
      </c>
      <c r="M12" s="124" t="n">
        <v>26</v>
      </c>
      <c r="N12" s="125" t="n">
        <v>0</v>
      </c>
      <c r="O12" s="125" t="n">
        <v>0</v>
      </c>
      <c r="P12" s="125"/>
      <c r="Q12" s="126" t="n">
        <f aca="false">1.38*1.02</f>
        <v>1.4076</v>
      </c>
      <c r="R12" s="126" t="n">
        <f aca="false">2.42*1.04</f>
        <v>2.5168</v>
      </c>
      <c r="S12" s="127" t="n">
        <v>0</v>
      </c>
      <c r="T12" s="128" t="n">
        <v>32</v>
      </c>
      <c r="U12" s="128" t="n">
        <v>13</v>
      </c>
      <c r="V12" s="128" t="n">
        <f aca="false">M12-N12-O12-Q12-R12-S16+T12+U12</f>
        <v>67.0756</v>
      </c>
      <c r="W12" s="96"/>
      <c r="X12" s="96"/>
      <c r="Y12" s="128" t="n">
        <v>0</v>
      </c>
      <c r="Z12" s="129"/>
      <c r="AA12" s="130"/>
      <c r="AB12" s="128" t="n">
        <v>31</v>
      </c>
      <c r="AC12" s="96" t="n">
        <f aca="false">AC10-AB12</f>
        <v>5461</v>
      </c>
      <c r="AD12" s="128" t="n">
        <f aca="false">N12+O12+Q12+R12+S16+V12+Y12+AB12</f>
        <v>102</v>
      </c>
      <c r="AE12" s="128" t="n">
        <f aca="false">IF(L12&lt;0,L12*-1,0)</f>
        <v>34.5461078900933</v>
      </c>
      <c r="AF12" s="128" t="n">
        <f aca="false">AD12+AE12</f>
        <v>136.546107890093</v>
      </c>
      <c r="AG12" s="98" t="n">
        <v>0</v>
      </c>
      <c r="AH12" s="99" t="n">
        <v>60</v>
      </c>
      <c r="AI12" s="100" t="n">
        <v>30</v>
      </c>
      <c r="AJ12" s="101" t="n">
        <f aca="false">(T12-17)*1.98353</f>
        <v>29.75295</v>
      </c>
      <c r="AK12" s="101" t="n">
        <f aca="false">V12-(T12-17)</f>
        <v>52.0756</v>
      </c>
      <c r="AL12" s="102"/>
      <c r="AM12" s="102"/>
      <c r="AN12" s="102"/>
    </row>
    <row r="13" customFormat="false" ht="12.95" hidden="false" customHeight="true" outlineLevel="0" collapsed="false">
      <c r="A13" s="15" t="n">
        <f aca="false">A12+1</f>
        <v>2</v>
      </c>
      <c r="B13" s="131" t="n">
        <v>6904.16</v>
      </c>
      <c r="C13" s="91" t="n">
        <v>299183</v>
      </c>
      <c r="D13" s="121" t="n">
        <f aca="false">C13-C12</f>
        <v>-115</v>
      </c>
      <c r="E13" s="91" t="n">
        <f aca="false">C13-152000</f>
        <v>147183</v>
      </c>
      <c r="F13" s="122" t="n">
        <f aca="false">D13/$D$2</f>
        <v>-57.9783211494832</v>
      </c>
      <c r="G13" s="8" t="n">
        <v>98</v>
      </c>
      <c r="H13" s="10" t="n">
        <v>1.79</v>
      </c>
      <c r="I13" s="8" t="n">
        <f aca="false">G13+H13</f>
        <v>99.79</v>
      </c>
      <c r="J13" s="123" t="n">
        <f aca="false">IF(L13&gt;0,L13,0)</f>
        <v>0</v>
      </c>
      <c r="K13" s="8" t="n">
        <f aca="false">I13+J13</f>
        <v>99.79</v>
      </c>
      <c r="L13" s="8" t="n">
        <f aca="false">F13-(I13-AD13)</f>
        <v>-49.7683211494832</v>
      </c>
      <c r="M13" s="124" t="n">
        <v>26</v>
      </c>
      <c r="N13" s="125" t="n">
        <v>0</v>
      </c>
      <c r="O13" s="125" t="n">
        <v>0</v>
      </c>
      <c r="P13" s="125"/>
      <c r="Q13" s="126" t="n">
        <f aca="false">1.38*1.02</f>
        <v>1.4076</v>
      </c>
      <c r="R13" s="126" t="n">
        <f aca="false">2.34*1.04</f>
        <v>2.4336</v>
      </c>
      <c r="S13" s="132" t="n">
        <v>0</v>
      </c>
      <c r="T13" s="128" t="n">
        <v>42</v>
      </c>
      <c r="U13" s="128" t="n">
        <v>13</v>
      </c>
      <c r="V13" s="128" t="n">
        <f aca="false">M13-N13-O13-Q13-R13-S13+T13+U13</f>
        <v>77.1588</v>
      </c>
      <c r="W13" s="96"/>
      <c r="X13" s="96"/>
      <c r="Y13" s="128" t="n">
        <v>0</v>
      </c>
      <c r="Z13" s="129"/>
      <c r="AA13" s="130"/>
      <c r="AB13" s="128" t="n">
        <v>27</v>
      </c>
      <c r="AC13" s="96" t="n">
        <f aca="false">AC12-AB13</f>
        <v>5434</v>
      </c>
      <c r="AD13" s="128" t="n">
        <f aca="false">N13+O13+Q13+R13+S17+V13+Y13+AB13</f>
        <v>108</v>
      </c>
      <c r="AE13" s="128" t="n">
        <f aca="false">IF(L13&lt;0,L13*-1,0)</f>
        <v>49.7683211494832</v>
      </c>
      <c r="AF13" s="128" t="n">
        <f aca="false">AD13+AE13</f>
        <v>157.768321149483</v>
      </c>
      <c r="AG13" s="98" t="n">
        <v>0</v>
      </c>
      <c r="AH13" s="99" t="n">
        <v>62</v>
      </c>
      <c r="AI13" s="100" t="n">
        <v>36</v>
      </c>
      <c r="AJ13" s="101" t="n">
        <f aca="false">(T13-19)*1.9835+AJ12</f>
        <v>75.37345</v>
      </c>
      <c r="AK13" s="101" t="n">
        <f aca="false">V13-(T13-19)</f>
        <v>54.1588</v>
      </c>
      <c r="AL13" s="102"/>
      <c r="AM13" s="102"/>
      <c r="AN13" s="102"/>
    </row>
    <row r="14" customFormat="false" ht="12.95" hidden="false" customHeight="true" outlineLevel="0" collapsed="false">
      <c r="A14" s="15" t="n">
        <f aca="false">A13+1</f>
        <v>3</v>
      </c>
      <c r="B14" s="120" t="n">
        <v>6904.14</v>
      </c>
      <c r="C14" s="91" t="n">
        <v>299107</v>
      </c>
      <c r="D14" s="121" t="n">
        <f aca="false">C14-C13</f>
        <v>-76</v>
      </c>
      <c r="E14" s="91" t="n">
        <f aca="false">C14-152000</f>
        <v>147107</v>
      </c>
      <c r="F14" s="122" t="n">
        <f aca="false">D14/$D$2</f>
        <v>-38.3161078900933</v>
      </c>
      <c r="G14" s="8" t="n">
        <v>99</v>
      </c>
      <c r="H14" s="10" t="n">
        <v>1.6</v>
      </c>
      <c r="I14" s="8" t="n">
        <f aca="false">G14+H14</f>
        <v>100.6</v>
      </c>
      <c r="J14" s="123" t="n">
        <f aca="false">IF(L14&gt;0,L14,0)</f>
        <v>0</v>
      </c>
      <c r="K14" s="8" t="n">
        <f aca="false">I14+J14</f>
        <v>100.6</v>
      </c>
      <c r="L14" s="8" t="n">
        <f aca="false">F14-(I14-AD14)</f>
        <v>-14.9161078900933</v>
      </c>
      <c r="M14" s="124" t="n">
        <v>26</v>
      </c>
      <c r="N14" s="125" t="n">
        <v>0</v>
      </c>
      <c r="O14" s="125" t="n">
        <v>0</v>
      </c>
      <c r="P14" s="125"/>
      <c r="Q14" s="126" t="n">
        <f aca="false">1.38*1.02</f>
        <v>1.4076</v>
      </c>
      <c r="R14" s="126" t="n">
        <f aca="false">2.41*1.04</f>
        <v>2.5064</v>
      </c>
      <c r="S14" s="132" t="n">
        <v>0</v>
      </c>
      <c r="T14" s="128" t="n">
        <v>59</v>
      </c>
      <c r="U14" s="128" t="n">
        <v>12</v>
      </c>
      <c r="V14" s="128" t="n">
        <f aca="false">M14-N14-O14-Q14-R14-S14+T14+U14</f>
        <v>93.086</v>
      </c>
      <c r="W14" s="96"/>
      <c r="X14" s="96"/>
      <c r="Y14" s="128" t="n">
        <v>0</v>
      </c>
      <c r="Z14" s="129"/>
      <c r="AA14" s="130"/>
      <c r="AB14" s="128" t="n">
        <v>27</v>
      </c>
      <c r="AC14" s="96" t="n">
        <f aca="false">AC13-AB14</f>
        <v>5407</v>
      </c>
      <c r="AD14" s="128" t="n">
        <f aca="false">N14+O14+Q14+R14+S18+V14+Y14+AB14</f>
        <v>124</v>
      </c>
      <c r="AE14" s="128" t="n">
        <f aca="false">IF(L14&lt;0,L14*-1,0)</f>
        <v>14.9161078900933</v>
      </c>
      <c r="AF14" s="128" t="n">
        <f aca="false">AD14+AE14</f>
        <v>138.916107890093</v>
      </c>
      <c r="AG14" s="98" t="n">
        <v>0</v>
      </c>
      <c r="AH14" s="99" t="n">
        <v>59</v>
      </c>
      <c r="AI14" s="100" t="n">
        <v>39</v>
      </c>
      <c r="AJ14" s="101" t="n">
        <f aca="false">(T14-17)*1.9835+AJ13</f>
        <v>158.68045</v>
      </c>
      <c r="AK14" s="101" t="n">
        <f aca="false">V14-(T14-17)</f>
        <v>51.086</v>
      </c>
      <c r="AL14" s="102"/>
      <c r="AM14" s="102"/>
      <c r="AN14" s="102"/>
    </row>
    <row r="15" customFormat="false" ht="12.95" hidden="false" customHeight="true" outlineLevel="0" collapsed="false">
      <c r="A15" s="15" t="n">
        <f aca="false">A14+1</f>
        <v>4</v>
      </c>
      <c r="B15" s="120" t="n">
        <v>6904.13</v>
      </c>
      <c r="C15" s="91" t="n">
        <v>299068</v>
      </c>
      <c r="D15" s="121" t="n">
        <f aca="false">C15-C14</f>
        <v>-39</v>
      </c>
      <c r="E15" s="91" t="n">
        <f aca="false">C15-152000</f>
        <v>147068</v>
      </c>
      <c r="F15" s="122" t="n">
        <f aca="false">D15/$D$2</f>
        <v>-19.66221325939</v>
      </c>
      <c r="G15" s="8" t="n">
        <v>98</v>
      </c>
      <c r="H15" s="10" t="n">
        <v>1.9</v>
      </c>
      <c r="I15" s="8" t="n">
        <f aca="false">G15+H15</f>
        <v>99.9</v>
      </c>
      <c r="J15" s="123" t="n">
        <f aca="false">IF(L15&gt;0,L15,0)</f>
        <v>12.43778674061</v>
      </c>
      <c r="K15" s="8" t="n">
        <f aca="false">I15+J15</f>
        <v>112.33778674061</v>
      </c>
      <c r="L15" s="8" t="n">
        <f aca="false">F15-(I15-AD15)</f>
        <v>12.43778674061</v>
      </c>
      <c r="M15" s="124" t="n">
        <v>26</v>
      </c>
      <c r="N15" s="125" t="n">
        <v>0</v>
      </c>
      <c r="O15" s="125" t="n">
        <v>0</v>
      </c>
      <c r="P15" s="125"/>
      <c r="Q15" s="126" t="n">
        <f aca="false">1.38*1.02</f>
        <v>1.4076</v>
      </c>
      <c r="R15" s="126" t="n">
        <f aca="false">2.37*1.04</f>
        <v>2.4648</v>
      </c>
      <c r="S15" s="132" t="n">
        <v>0</v>
      </c>
      <c r="T15" s="128" t="n">
        <v>69</v>
      </c>
      <c r="U15" s="128" t="n">
        <v>11</v>
      </c>
      <c r="V15" s="128" t="n">
        <f aca="false">M15-N15-O15-Q15-R15-S15+T15+U15</f>
        <v>102.1276</v>
      </c>
      <c r="W15" s="96"/>
      <c r="X15" s="96"/>
      <c r="Y15" s="128" t="n">
        <v>0</v>
      </c>
      <c r="Z15" s="129"/>
      <c r="AA15" s="130"/>
      <c r="AB15" s="128" t="n">
        <v>26</v>
      </c>
      <c r="AC15" s="96" t="n">
        <f aca="false">AC14-AB15</f>
        <v>5381</v>
      </c>
      <c r="AD15" s="128" t="n">
        <f aca="false">N15+O15+Q15+R15+S19+V15+Y15+AB15</f>
        <v>132</v>
      </c>
      <c r="AE15" s="128" t="n">
        <f aca="false">IF(L15&lt;0,L15*-1,0)</f>
        <v>0</v>
      </c>
      <c r="AF15" s="128" t="n">
        <f aca="false">AD15+AE15</f>
        <v>132</v>
      </c>
      <c r="AG15" s="98" t="n">
        <v>0</v>
      </c>
      <c r="AH15" s="99" t="n">
        <v>56</v>
      </c>
      <c r="AI15" s="100" t="n">
        <v>31</v>
      </c>
      <c r="AJ15" s="101" t="n">
        <f aca="false">(T15-16)*1.9835+AJ14</f>
        <v>263.80595</v>
      </c>
      <c r="AK15" s="101" t="n">
        <f aca="false">V15-(T15-16)</f>
        <v>49.1276</v>
      </c>
      <c r="AL15" s="102"/>
      <c r="AM15" s="102"/>
      <c r="AN15" s="102"/>
    </row>
    <row r="16" customFormat="false" ht="12.95" hidden="false" customHeight="true" outlineLevel="0" collapsed="false">
      <c r="A16" s="15" t="n">
        <f aca="false">A15+1</f>
        <v>5</v>
      </c>
      <c r="B16" s="120" t="n">
        <v>6904.11</v>
      </c>
      <c r="C16" s="91" t="n">
        <v>298992</v>
      </c>
      <c r="D16" s="121" t="n">
        <f aca="false">C16-C15</f>
        <v>-76</v>
      </c>
      <c r="E16" s="91" t="n">
        <f aca="false">C16-152000</f>
        <v>146992</v>
      </c>
      <c r="F16" s="122" t="n">
        <f aca="false">D16/$D$2</f>
        <v>-38.3161078900933</v>
      </c>
      <c r="G16" s="8" t="n">
        <v>89</v>
      </c>
      <c r="H16" s="10" t="n">
        <v>1.83</v>
      </c>
      <c r="I16" s="8" t="n">
        <f aca="false">G16+H16</f>
        <v>90.83</v>
      </c>
      <c r="J16" s="123" t="n">
        <f aca="false">IF(L16&gt;0,L16,0)</f>
        <v>0.853892109906731</v>
      </c>
      <c r="K16" s="8" t="n">
        <f aca="false">I16+J16</f>
        <v>91.6838921099067</v>
      </c>
      <c r="L16" s="8" t="n">
        <f aca="false">F16-(I16-AD16)</f>
        <v>0.853892109906731</v>
      </c>
      <c r="M16" s="124" t="n">
        <v>25</v>
      </c>
      <c r="N16" s="125" t="n">
        <v>0</v>
      </c>
      <c r="O16" s="125" t="n">
        <v>0</v>
      </c>
      <c r="P16" s="125"/>
      <c r="Q16" s="126" t="n">
        <f aca="false">1.38*1.02</f>
        <v>1.4076</v>
      </c>
      <c r="R16" s="126" t="n">
        <f aca="false">2.23*1.04</f>
        <v>2.3192</v>
      </c>
      <c r="S16" s="132" t="n">
        <v>0</v>
      </c>
      <c r="T16" s="128" t="n">
        <v>68</v>
      </c>
      <c r="U16" s="128" t="n">
        <v>11</v>
      </c>
      <c r="V16" s="128" t="n">
        <f aca="false">M16-N16-O16-Q16-R16-S16+T16+U16</f>
        <v>100.2732</v>
      </c>
      <c r="W16" s="96"/>
      <c r="X16" s="96"/>
      <c r="Y16" s="128" t="n">
        <v>0</v>
      </c>
      <c r="Z16" s="129"/>
      <c r="AA16" s="130"/>
      <c r="AB16" s="128" t="n">
        <v>26</v>
      </c>
      <c r="AC16" s="96" t="n">
        <f aca="false">AC15-AB16</f>
        <v>5355</v>
      </c>
      <c r="AD16" s="128" t="n">
        <f aca="false">N16+O16+Q16+R16+S20+V16+Y16+AB16</f>
        <v>130</v>
      </c>
      <c r="AE16" s="128" t="n">
        <f aca="false">IF(L16&lt;0,L16*-1,0)</f>
        <v>0</v>
      </c>
      <c r="AF16" s="128" t="n">
        <f aca="false">AD16+AE16</f>
        <v>130</v>
      </c>
      <c r="AG16" s="98" t="n">
        <v>0</v>
      </c>
      <c r="AH16" s="99" t="n">
        <v>51</v>
      </c>
      <c r="AI16" s="100" t="n">
        <v>29</v>
      </c>
      <c r="AJ16" s="101" t="n">
        <f aca="false">(T16-15)*1.9835+AJ15</f>
        <v>368.93145</v>
      </c>
      <c r="AK16" s="101" t="n">
        <f aca="false">V16-(T16-15)</f>
        <v>47.2732</v>
      </c>
      <c r="AL16" s="102"/>
      <c r="AM16" s="102"/>
      <c r="AN16" s="102"/>
    </row>
    <row r="17" customFormat="false" ht="12.95" hidden="false" customHeight="true" outlineLevel="0" collapsed="false">
      <c r="A17" s="15" t="n">
        <f aca="false">A16+1</f>
        <v>6</v>
      </c>
      <c r="B17" s="120" t="n">
        <v>6904.09</v>
      </c>
      <c r="C17" s="91" t="n">
        <v>298915</v>
      </c>
      <c r="D17" s="121" t="n">
        <f aca="false">C17-C16</f>
        <v>-77</v>
      </c>
      <c r="E17" s="91" t="n">
        <f aca="false">C17-152000</f>
        <v>146915</v>
      </c>
      <c r="F17" s="122" t="n">
        <f aca="false">D17/$D$2</f>
        <v>-38.8202672044366</v>
      </c>
      <c r="G17" s="8" t="n">
        <v>83</v>
      </c>
      <c r="H17" s="10" t="n">
        <v>1.6</v>
      </c>
      <c r="I17" s="8" t="n">
        <f aca="false">G17+H17</f>
        <v>84.6</v>
      </c>
      <c r="J17" s="123" t="n">
        <f aca="false">IF(L17&gt;0,L17,0)</f>
        <v>6.5797327955634</v>
      </c>
      <c r="K17" s="8" t="n">
        <f aca="false">I17+J17</f>
        <v>91.1797327955634</v>
      </c>
      <c r="L17" s="8" t="n">
        <f aca="false">F17-(I17-AD17)</f>
        <v>6.5797327955634</v>
      </c>
      <c r="M17" s="124" t="n">
        <v>25</v>
      </c>
      <c r="N17" s="125" t="n">
        <v>0</v>
      </c>
      <c r="O17" s="125" t="n">
        <v>0</v>
      </c>
      <c r="P17" s="125"/>
      <c r="Q17" s="126" t="n">
        <f aca="false">1.38*1.02</f>
        <v>1.4076</v>
      </c>
      <c r="R17" s="126" t="n">
        <f aca="false">2.42*1.04</f>
        <v>2.5168</v>
      </c>
      <c r="S17" s="132" t="n">
        <v>0</v>
      </c>
      <c r="T17" s="128" t="n">
        <v>68</v>
      </c>
      <c r="U17" s="128" t="n">
        <v>11</v>
      </c>
      <c r="V17" s="128" t="n">
        <f aca="false">M17-N17-O17-Q17-R17-S17+T17+U17</f>
        <v>100.0756</v>
      </c>
      <c r="W17" s="96"/>
      <c r="X17" s="96"/>
      <c r="Y17" s="128" t="n">
        <v>0</v>
      </c>
      <c r="Z17" s="129"/>
      <c r="AA17" s="130"/>
      <c r="AB17" s="128" t="n">
        <v>26</v>
      </c>
      <c r="AC17" s="96" t="n">
        <f aca="false">AC16-AB17</f>
        <v>5329</v>
      </c>
      <c r="AD17" s="128" t="n">
        <f aca="false">N17+O17+Q17+R17+S21+V17+Y17+AB17</f>
        <v>130</v>
      </c>
      <c r="AE17" s="128" t="n">
        <f aca="false">IF(L17&lt;0,L17*-1,0)</f>
        <v>0</v>
      </c>
      <c r="AF17" s="128" t="n">
        <f aca="false">AD17+AE17</f>
        <v>130</v>
      </c>
      <c r="AG17" s="98" t="n">
        <v>0</v>
      </c>
      <c r="AH17" s="99" t="n">
        <v>59</v>
      </c>
      <c r="AI17" s="100" t="n">
        <v>32</v>
      </c>
      <c r="AJ17" s="101" t="n">
        <f aca="false">(T17-14)*1.9835+AJ16</f>
        <v>476.04045</v>
      </c>
      <c r="AK17" s="101" t="n">
        <f aca="false">V17-(T17-14)</f>
        <v>46.0756</v>
      </c>
      <c r="AL17" s="102"/>
      <c r="AM17" s="102"/>
      <c r="AN17" s="102"/>
    </row>
    <row r="18" customFormat="false" ht="12.95" hidden="false" customHeight="true" outlineLevel="0" collapsed="false">
      <c r="A18" s="15" t="n">
        <f aca="false">A17+1</f>
        <v>7</v>
      </c>
      <c r="B18" s="120" t="n">
        <v>6904.07</v>
      </c>
      <c r="C18" s="91" t="n">
        <v>298839</v>
      </c>
      <c r="D18" s="121" t="n">
        <f aca="false">C18-C17</f>
        <v>-76</v>
      </c>
      <c r="E18" s="91" t="n">
        <f aca="false">C18-152000</f>
        <v>146839</v>
      </c>
      <c r="F18" s="122" t="n">
        <f aca="false">D18/$D$2</f>
        <v>-38.3161078900933</v>
      </c>
      <c r="G18" s="8" t="n">
        <v>81</v>
      </c>
      <c r="H18" s="10" t="n">
        <v>1.32</v>
      </c>
      <c r="I18" s="8" t="n">
        <f aca="false">G18+H18</f>
        <v>82.32</v>
      </c>
      <c r="J18" s="123" t="n">
        <f aca="false">IF(L18&gt;0,L18,0)</f>
        <v>0.363892109906736</v>
      </c>
      <c r="K18" s="8" t="n">
        <f aca="false">I18+J18</f>
        <v>82.6838921099067</v>
      </c>
      <c r="L18" s="8" t="n">
        <f aca="false">F18-(I18-AD18)</f>
        <v>0.363892109906736</v>
      </c>
      <c r="M18" s="124" t="n">
        <v>25</v>
      </c>
      <c r="N18" s="125" t="n">
        <v>0</v>
      </c>
      <c r="O18" s="125" t="n">
        <v>0</v>
      </c>
      <c r="P18" s="125"/>
      <c r="Q18" s="126" t="n">
        <f aca="false">1.38*1.02</f>
        <v>1.4076</v>
      </c>
      <c r="R18" s="126" t="n">
        <f aca="false">2.75*1.04</f>
        <v>2.86</v>
      </c>
      <c r="S18" s="132" t="n">
        <v>0</v>
      </c>
      <c r="T18" s="128" t="n">
        <v>60</v>
      </c>
      <c r="U18" s="128" t="n">
        <v>11</v>
      </c>
      <c r="V18" s="128" t="n">
        <f aca="false">M18-N18-O18-Q18-R18-S18+T18+U18</f>
        <v>91.7324</v>
      </c>
      <c r="W18" s="96"/>
      <c r="X18" s="96"/>
      <c r="Y18" s="128" t="n">
        <v>0</v>
      </c>
      <c r="Z18" s="129"/>
      <c r="AA18" s="130"/>
      <c r="AB18" s="128" t="n">
        <v>25</v>
      </c>
      <c r="AC18" s="96" t="n">
        <f aca="false">AC17-AB18</f>
        <v>5304</v>
      </c>
      <c r="AD18" s="128" t="n">
        <f aca="false">N18+O18+Q18+R18+S22+V18+Y18+AB18</f>
        <v>121</v>
      </c>
      <c r="AE18" s="128" t="n">
        <f aca="false">IF(L18&lt;0,L18*-1,0)</f>
        <v>0</v>
      </c>
      <c r="AF18" s="128" t="n">
        <f aca="false">AD18+AE18</f>
        <v>121</v>
      </c>
      <c r="AG18" s="98" t="n">
        <v>0</v>
      </c>
      <c r="AH18" s="99" t="n">
        <v>60</v>
      </c>
      <c r="AI18" s="100" t="n">
        <v>42</v>
      </c>
      <c r="AJ18" s="101" t="n">
        <f aca="false">(T18-12)*1.9835+AJ17</f>
        <v>571.24845</v>
      </c>
      <c r="AK18" s="101" t="n">
        <f aca="false">V18-(T18-12)</f>
        <v>43.7324</v>
      </c>
      <c r="AL18" s="102"/>
      <c r="AM18" s="102"/>
      <c r="AN18" s="102"/>
    </row>
    <row r="19" customFormat="false" ht="12.95" hidden="false" customHeight="true" outlineLevel="0" collapsed="false">
      <c r="A19" s="15" t="n">
        <f aca="false">A18+1</f>
        <v>8</v>
      </c>
      <c r="B19" s="120" t="n">
        <v>6904.04</v>
      </c>
      <c r="C19" s="91" t="n">
        <v>298724</v>
      </c>
      <c r="D19" s="121" t="n">
        <f aca="false">C19-C18</f>
        <v>-115</v>
      </c>
      <c r="E19" s="91" t="n">
        <f aca="false">C19-152000</f>
        <v>146724</v>
      </c>
      <c r="F19" s="122" t="n">
        <f aca="false">D19/$D$2</f>
        <v>-57.9783211494832</v>
      </c>
      <c r="G19" s="8" t="n">
        <v>84</v>
      </c>
      <c r="H19" s="10" t="n">
        <v>1.743</v>
      </c>
      <c r="I19" s="8" t="n">
        <f aca="false">G19+H19</f>
        <v>85.743</v>
      </c>
      <c r="J19" s="123" t="n">
        <f aca="false">IF(L19&gt;0,L19,0)</f>
        <v>0</v>
      </c>
      <c r="K19" s="8" t="n">
        <f aca="false">I19+J19</f>
        <v>85.743</v>
      </c>
      <c r="L19" s="8" t="n">
        <f aca="false">F19-(I19-AD19)</f>
        <v>-28.7213211494832</v>
      </c>
      <c r="M19" s="124" t="n">
        <v>25</v>
      </c>
      <c r="N19" s="125" t="n">
        <v>0</v>
      </c>
      <c r="O19" s="125" t="n">
        <v>0</v>
      </c>
      <c r="P19" s="125"/>
      <c r="Q19" s="126" t="n">
        <f aca="false">1.38*1.02</f>
        <v>1.4076</v>
      </c>
      <c r="R19" s="126" t="n">
        <f aca="false">2.25*1.04</f>
        <v>2.34</v>
      </c>
      <c r="S19" s="132" t="n">
        <v>0</v>
      </c>
      <c r="T19" s="128" t="n">
        <v>54</v>
      </c>
      <c r="U19" s="128" t="n">
        <v>11</v>
      </c>
      <c r="V19" s="128" t="n">
        <f aca="false">M19-N19-O19-Q19-R19-S19+T19+U19</f>
        <v>86.2524</v>
      </c>
      <c r="W19" s="96"/>
      <c r="X19" s="96"/>
      <c r="Y19" s="128" t="n">
        <v>0</v>
      </c>
      <c r="Z19" s="129"/>
      <c r="AA19" s="130"/>
      <c r="AB19" s="128" t="n">
        <v>25</v>
      </c>
      <c r="AC19" s="96" t="n">
        <f aca="false">AC18-AB19</f>
        <v>5279</v>
      </c>
      <c r="AD19" s="128" t="n">
        <f aca="false">N19+O19+Q19+R19+S23+V19+Y19+AB19</f>
        <v>115</v>
      </c>
      <c r="AE19" s="128" t="n">
        <f aca="false">IF(L19&lt;0,L19*-1,0)</f>
        <v>28.7213211494832</v>
      </c>
      <c r="AF19" s="128" t="n">
        <f aca="false">AD19+AE19</f>
        <v>143.721321149483</v>
      </c>
      <c r="AG19" s="98" t="n">
        <v>0</v>
      </c>
      <c r="AH19" s="99" t="n">
        <v>59</v>
      </c>
      <c r="AI19" s="100" t="n">
        <v>41</v>
      </c>
      <c r="AJ19" s="101" t="n">
        <f aca="false">(T19-11)*1.9835+AJ18</f>
        <v>656.53895</v>
      </c>
      <c r="AK19" s="101" t="n">
        <f aca="false">V19-(T19-11)</f>
        <v>43.2524</v>
      </c>
      <c r="AL19" s="102"/>
      <c r="AM19" s="102"/>
      <c r="AN19" s="102"/>
    </row>
    <row r="20" customFormat="false" ht="12.95" hidden="false" customHeight="true" outlineLevel="0" collapsed="false">
      <c r="A20" s="15" t="n">
        <f aca="false">A19+1</f>
        <v>9</v>
      </c>
      <c r="B20" s="120" t="n">
        <v>6904.02</v>
      </c>
      <c r="C20" s="91" t="n">
        <v>298648</v>
      </c>
      <c r="D20" s="121" t="n">
        <f aca="false">C20-C19</f>
        <v>-76</v>
      </c>
      <c r="E20" s="91" t="n">
        <f aca="false">C20-152000</f>
        <v>146648</v>
      </c>
      <c r="F20" s="122" t="n">
        <f aca="false">D20/$D$2</f>
        <v>-38.3161078900933</v>
      </c>
      <c r="G20" s="8" t="n">
        <v>82</v>
      </c>
      <c r="H20" s="10" t="n">
        <v>1.8</v>
      </c>
      <c r="I20" s="8" t="n">
        <f aca="false">G20+H20</f>
        <v>83.8</v>
      </c>
      <c r="J20" s="123" t="n">
        <f aca="false">IF(L20&gt;0,L20,0)</f>
        <v>0</v>
      </c>
      <c r="K20" s="8" t="n">
        <f aca="false">I20+J20</f>
        <v>83.8</v>
      </c>
      <c r="L20" s="8" t="n">
        <f aca="false">F20-(I20-AD20)</f>
        <v>-6.11610789009327</v>
      </c>
      <c r="M20" s="124" t="n">
        <v>25</v>
      </c>
      <c r="N20" s="125" t="n">
        <v>0</v>
      </c>
      <c r="O20" s="125" t="n">
        <v>0</v>
      </c>
      <c r="P20" s="125"/>
      <c r="Q20" s="126" t="n">
        <f aca="false">1.38*1.02</f>
        <v>1.4076</v>
      </c>
      <c r="R20" s="126" t="n">
        <f aca="false">2.25*1.04</f>
        <v>2.34</v>
      </c>
      <c r="S20" s="132" t="n">
        <v>0</v>
      </c>
      <c r="T20" s="128" t="n">
        <v>55</v>
      </c>
      <c r="U20" s="128" t="n">
        <v>11</v>
      </c>
      <c r="V20" s="128" t="n">
        <f aca="false">M20-N20-O20-Q20-R20-S20+T20+U20</f>
        <v>87.2524</v>
      </c>
      <c r="W20" s="96"/>
      <c r="X20" s="96"/>
      <c r="Y20" s="128" t="n">
        <v>0</v>
      </c>
      <c r="Z20" s="129"/>
      <c r="AA20" s="130"/>
      <c r="AB20" s="128" t="n">
        <v>25</v>
      </c>
      <c r="AC20" s="96" t="n">
        <f aca="false">AC19-AB20</f>
        <v>5254</v>
      </c>
      <c r="AD20" s="128" t="n">
        <f aca="false">N20+O20+Q20+R20+S24+V20+Y20+AB20</f>
        <v>116</v>
      </c>
      <c r="AE20" s="128" t="n">
        <f aca="false">IF(L20&lt;0,L20*-1,0)</f>
        <v>6.11610789009327</v>
      </c>
      <c r="AF20" s="128" t="n">
        <f aca="false">AD20+AE20</f>
        <v>122.116107890093</v>
      </c>
      <c r="AG20" s="98" t="n">
        <v>0</v>
      </c>
      <c r="AH20" s="133" t="n">
        <v>66</v>
      </c>
      <c r="AI20" s="100" t="n">
        <v>40</v>
      </c>
      <c r="AJ20" s="101" t="n">
        <f aca="false">(T20-10)*1.9835+AJ19</f>
        <v>745.79645</v>
      </c>
      <c r="AK20" s="101" t="n">
        <f aca="false">V20-(T20-10)</f>
        <v>42.2524</v>
      </c>
      <c r="AL20" s="102"/>
      <c r="AM20" s="102"/>
      <c r="AN20" s="102"/>
    </row>
    <row r="21" customFormat="false" ht="12.95" hidden="false" customHeight="true" outlineLevel="0" collapsed="false">
      <c r="A21" s="15" t="n">
        <f aca="false">A20+1</f>
        <v>10</v>
      </c>
      <c r="B21" s="120" t="n">
        <v>6904.01</v>
      </c>
      <c r="C21" s="91" t="n">
        <v>298609</v>
      </c>
      <c r="D21" s="121" t="n">
        <f aca="false">C21-C20</f>
        <v>-39</v>
      </c>
      <c r="E21" s="91" t="n">
        <f aca="false">C21-152000</f>
        <v>146609</v>
      </c>
      <c r="F21" s="122" t="n">
        <f aca="false">D21/$D$2</f>
        <v>-19.66221325939</v>
      </c>
      <c r="G21" s="8" t="n">
        <v>80</v>
      </c>
      <c r="H21" s="10" t="n">
        <v>1.8</v>
      </c>
      <c r="I21" s="8" t="n">
        <f aca="false">G21+H21</f>
        <v>81.8</v>
      </c>
      <c r="J21" s="123" t="n">
        <f aca="false">IF(L21&gt;0,L21,0)</f>
        <v>6.53778674061003</v>
      </c>
      <c r="K21" s="8" t="n">
        <f aca="false">I21+J21</f>
        <v>88.33778674061</v>
      </c>
      <c r="L21" s="8" t="n">
        <f aca="false">F21-(I21-AD21)</f>
        <v>6.53778674061003</v>
      </c>
      <c r="M21" s="124" t="n">
        <v>24</v>
      </c>
      <c r="N21" s="125" t="n">
        <v>0</v>
      </c>
      <c r="O21" s="125" t="n">
        <v>0</v>
      </c>
      <c r="P21" s="125"/>
      <c r="Q21" s="126" t="n">
        <f aca="false">1.38*1.02</f>
        <v>1.4076</v>
      </c>
      <c r="R21" s="126" t="n">
        <f aca="false">2.12*1.04</f>
        <v>2.2048</v>
      </c>
      <c r="S21" s="132" t="n">
        <v>0</v>
      </c>
      <c r="T21" s="128" t="n">
        <v>48</v>
      </c>
      <c r="U21" s="128" t="n">
        <v>11</v>
      </c>
      <c r="V21" s="128" t="n">
        <f aca="false">M21-N21-O21-Q21-R21-S21+T21+U21</f>
        <v>79.3876</v>
      </c>
      <c r="W21" s="96"/>
      <c r="X21" s="96"/>
      <c r="Y21" s="128" t="n">
        <v>0</v>
      </c>
      <c r="Z21" s="129"/>
      <c r="AA21" s="130"/>
      <c r="AB21" s="128" t="n">
        <v>25</v>
      </c>
      <c r="AC21" s="96" t="n">
        <f aca="false">AC20-AB21</f>
        <v>5229</v>
      </c>
      <c r="AD21" s="128" t="n">
        <f aca="false">N21+O21+Q21+R21+S25+V21+Y21+AB21</f>
        <v>108</v>
      </c>
      <c r="AE21" s="128" t="n">
        <f aca="false">IF(L21&lt;0,L21*-1,0)</f>
        <v>0</v>
      </c>
      <c r="AF21" s="128" t="n">
        <f aca="false">AD21+AE21</f>
        <v>108</v>
      </c>
      <c r="AG21" s="98" t="n">
        <v>0</v>
      </c>
      <c r="AH21" s="99" t="n">
        <v>69</v>
      </c>
      <c r="AI21" s="100" t="n">
        <v>43</v>
      </c>
      <c r="AJ21" s="101" t="n">
        <f aca="false">(T21-13)*1.9835+AJ20</f>
        <v>815.21895</v>
      </c>
      <c r="AK21" s="101" t="n">
        <f aca="false">V21-(T21-13)</f>
        <v>44.3876</v>
      </c>
      <c r="AL21" s="102"/>
      <c r="AM21" s="102"/>
      <c r="AN21" s="102"/>
    </row>
    <row r="22" customFormat="false" ht="12.95" hidden="false" customHeight="true" outlineLevel="0" collapsed="false">
      <c r="A22" s="15" t="n">
        <f aca="false">A21+1</f>
        <v>11</v>
      </c>
      <c r="B22" s="120" t="n">
        <v>6904</v>
      </c>
      <c r="C22" s="91" t="n">
        <v>298571</v>
      </c>
      <c r="D22" s="121" t="n">
        <f aca="false">C22-C21</f>
        <v>-38</v>
      </c>
      <c r="E22" s="91" t="n">
        <f aca="false">C22-152000</f>
        <v>146571</v>
      </c>
      <c r="F22" s="122" t="n">
        <f aca="false">D22/$D$2</f>
        <v>-19.1580539450466</v>
      </c>
      <c r="G22" s="8" t="n">
        <v>81</v>
      </c>
      <c r="H22" s="10" t="n">
        <v>1.9</v>
      </c>
      <c r="I22" s="8" t="n">
        <f aca="false">G22+H22</f>
        <v>82.9</v>
      </c>
      <c r="J22" s="123" t="n">
        <f aca="false">IF(L22&gt;0,L22,0)</f>
        <v>2.94194605495336</v>
      </c>
      <c r="K22" s="8" t="n">
        <f aca="false">I22+J22</f>
        <v>85.8419460549534</v>
      </c>
      <c r="L22" s="8" t="n">
        <f aca="false">F22-(I22-AD22)</f>
        <v>2.94194605495336</v>
      </c>
      <c r="M22" s="124" t="n">
        <v>24</v>
      </c>
      <c r="N22" s="125" t="n">
        <v>0</v>
      </c>
      <c r="O22" s="125" t="n">
        <v>0</v>
      </c>
      <c r="P22" s="125"/>
      <c r="Q22" s="126" t="n">
        <f aca="false">1.38*1.02</f>
        <v>1.4076</v>
      </c>
      <c r="R22" s="126" t="n">
        <f aca="false">2*1.04</f>
        <v>2.08</v>
      </c>
      <c r="S22" s="132" t="n">
        <v>0</v>
      </c>
      <c r="T22" s="128" t="n">
        <v>45</v>
      </c>
      <c r="U22" s="128" t="n">
        <v>11</v>
      </c>
      <c r="V22" s="128" t="n">
        <f aca="false">M22-N22-O22-Q22-R22-S22+T22+U22</f>
        <v>76.5124</v>
      </c>
      <c r="W22" s="96"/>
      <c r="X22" s="96"/>
      <c r="Y22" s="128" t="n">
        <v>0</v>
      </c>
      <c r="Z22" s="129"/>
      <c r="AA22" s="130"/>
      <c r="AB22" s="128" t="n">
        <v>25</v>
      </c>
      <c r="AC22" s="96" t="n">
        <f aca="false">AC21-AB22</f>
        <v>5204</v>
      </c>
      <c r="AD22" s="128" t="n">
        <f aca="false">N22+O22+Q22+R22+S26+V22+Y22+AB22</f>
        <v>105</v>
      </c>
      <c r="AE22" s="128" t="n">
        <f aca="false">IF(L22&lt;0,L22*-1,0)</f>
        <v>0</v>
      </c>
      <c r="AF22" s="128" t="n">
        <f aca="false">AD22+AE22</f>
        <v>105</v>
      </c>
      <c r="AG22" s="98" t="n">
        <v>0</v>
      </c>
      <c r="AH22" s="99" t="n">
        <v>58</v>
      </c>
      <c r="AI22" s="100" t="n">
        <v>35</v>
      </c>
      <c r="AJ22" s="101" t="n">
        <f aca="false">(T22-13)*1.9835+AJ21</f>
        <v>878.69095</v>
      </c>
      <c r="AK22" s="101" t="n">
        <f aca="false">V22-(T22-13)</f>
        <v>44.5124</v>
      </c>
      <c r="AL22" s="102"/>
      <c r="AM22" s="102"/>
      <c r="AN22" s="102"/>
    </row>
    <row r="23" customFormat="false" ht="12.95" hidden="false" customHeight="true" outlineLevel="0" collapsed="false">
      <c r="A23" s="15" t="n">
        <f aca="false">A22+1</f>
        <v>12</v>
      </c>
      <c r="B23" s="120" t="n">
        <v>6903.99</v>
      </c>
      <c r="C23" s="91" t="n">
        <v>298533</v>
      </c>
      <c r="D23" s="121" t="n">
        <f aca="false">C23-C22</f>
        <v>-38</v>
      </c>
      <c r="E23" s="91" t="n">
        <f aca="false">C23-152000</f>
        <v>146533</v>
      </c>
      <c r="F23" s="122" t="n">
        <f aca="false">D23/$D$2</f>
        <v>-19.1580539450466</v>
      </c>
      <c r="G23" s="8" t="n">
        <v>98</v>
      </c>
      <c r="H23" s="10" t="n">
        <v>2.6</v>
      </c>
      <c r="I23" s="8" t="n">
        <f aca="false">G23+H23</f>
        <v>100.6</v>
      </c>
      <c r="J23" s="123" t="n">
        <f aca="false">IF(L23&gt;0,L23,0)</f>
        <v>0</v>
      </c>
      <c r="K23" s="8" t="n">
        <f aca="false">I23+J23</f>
        <v>100.6</v>
      </c>
      <c r="L23" s="8" t="n">
        <f aca="false">F23-(I23-AD23)</f>
        <v>-14.7980539450466</v>
      </c>
      <c r="M23" s="124" t="n">
        <v>24</v>
      </c>
      <c r="N23" s="125" t="n">
        <v>0</v>
      </c>
      <c r="O23" s="125" t="n">
        <v>0</v>
      </c>
      <c r="P23" s="125"/>
      <c r="Q23" s="126" t="n">
        <f aca="false">1.38*1.02</f>
        <v>1.4076</v>
      </c>
      <c r="R23" s="126" t="n">
        <f aca="false">2.17*1.04</f>
        <v>2.2568</v>
      </c>
      <c r="S23" s="132" t="n">
        <v>0</v>
      </c>
      <c r="T23" s="128" t="n">
        <v>44.96</v>
      </c>
      <c r="U23" s="128" t="n">
        <v>11</v>
      </c>
      <c r="V23" s="128" t="n">
        <f aca="false">M23-N23-O23-Q23-R23-S23+T23+U23</f>
        <v>76.2956</v>
      </c>
      <c r="W23" s="96"/>
      <c r="X23" s="96"/>
      <c r="Y23" s="128" t="n">
        <v>0</v>
      </c>
      <c r="Z23" s="129"/>
      <c r="AA23" s="130"/>
      <c r="AB23" s="128" t="n">
        <v>25</v>
      </c>
      <c r="AC23" s="96" t="n">
        <f aca="false">AC22-AB23</f>
        <v>5179</v>
      </c>
      <c r="AD23" s="128" t="n">
        <f aca="false">N23+O23+Q23+R23+S27+V23+Y23+AB23</f>
        <v>104.96</v>
      </c>
      <c r="AE23" s="128" t="n">
        <f aca="false">IF(L23&lt;0,L23*-1,0)</f>
        <v>14.7980539450466</v>
      </c>
      <c r="AF23" s="128" t="n">
        <f aca="false">AD23+AE23</f>
        <v>119.758053945047</v>
      </c>
      <c r="AG23" s="98" t="n">
        <v>0.01</v>
      </c>
      <c r="AH23" s="99" t="n">
        <v>52</v>
      </c>
      <c r="AI23" s="100" t="n">
        <v>33</v>
      </c>
      <c r="AJ23" s="101" t="n">
        <f aca="false">(T23-13)*1.9835+AJ22</f>
        <v>942.08361</v>
      </c>
      <c r="AK23" s="101" t="n">
        <f aca="false">V23-(T23-13)</f>
        <v>44.3356</v>
      </c>
      <c r="AL23" s="102"/>
      <c r="AM23" s="102"/>
      <c r="AN23" s="102"/>
    </row>
    <row r="24" customFormat="false" ht="12.95" hidden="false" customHeight="true" outlineLevel="0" collapsed="false">
      <c r="A24" s="15" t="n">
        <f aca="false">A23+1</f>
        <v>13</v>
      </c>
      <c r="B24" s="120" t="n">
        <v>6903.97</v>
      </c>
      <c r="C24" s="91" t="n">
        <v>298457</v>
      </c>
      <c r="D24" s="121" t="n">
        <f aca="false">C24-C23</f>
        <v>-76</v>
      </c>
      <c r="E24" s="91" t="n">
        <f aca="false">C24-152000</f>
        <v>146457</v>
      </c>
      <c r="F24" s="122" t="n">
        <f aca="false">D24/$D$2</f>
        <v>-38.3161078900933</v>
      </c>
      <c r="G24" s="8" t="n">
        <v>91</v>
      </c>
      <c r="H24" s="10" t="n">
        <v>2.6</v>
      </c>
      <c r="I24" s="8" t="n">
        <f aca="false">G24+H24</f>
        <v>93.6</v>
      </c>
      <c r="J24" s="123" t="n">
        <f aca="false">IF(L24&gt;0,L24,0)</f>
        <v>0</v>
      </c>
      <c r="K24" s="8" t="n">
        <f aca="false">I24+J24</f>
        <v>93.6</v>
      </c>
      <c r="L24" s="8" t="n">
        <f aca="false">F24-(I24-AD24)</f>
        <v>-26.9161078900933</v>
      </c>
      <c r="M24" s="124" t="n">
        <v>24</v>
      </c>
      <c r="N24" s="125" t="n">
        <v>0</v>
      </c>
      <c r="O24" s="125" t="n">
        <v>0</v>
      </c>
      <c r="P24" s="125"/>
      <c r="Q24" s="126" t="n">
        <f aca="false">1.38*1.02</f>
        <v>1.4076</v>
      </c>
      <c r="R24" s="126" t="n">
        <f aca="false">2.33*1.04</f>
        <v>2.4232</v>
      </c>
      <c r="S24" s="132" t="n">
        <v>0</v>
      </c>
      <c r="T24" s="128" t="n">
        <v>45</v>
      </c>
      <c r="U24" s="128" t="n">
        <v>11</v>
      </c>
      <c r="V24" s="128" t="n">
        <f aca="false">M24-N24-O24-Q24-R24-S24+T24+U24</f>
        <v>76.1692</v>
      </c>
      <c r="W24" s="96"/>
      <c r="X24" s="96"/>
      <c r="Y24" s="128" t="n">
        <v>0</v>
      </c>
      <c r="Z24" s="129"/>
      <c r="AA24" s="130"/>
      <c r="AB24" s="128" t="n">
        <v>25</v>
      </c>
      <c r="AC24" s="96" t="n">
        <f aca="false">AC23-AB24</f>
        <v>5154</v>
      </c>
      <c r="AD24" s="128" t="n">
        <f aca="false">N24+O24+Q24+R24+S28+V24+Y24+AB24</f>
        <v>105</v>
      </c>
      <c r="AE24" s="128" t="n">
        <f aca="false">IF(L24&lt;0,L24*-1,0)</f>
        <v>26.9161078900933</v>
      </c>
      <c r="AF24" s="128" t="n">
        <f aca="false">AD24+AE24</f>
        <v>131.916107890093</v>
      </c>
      <c r="AG24" s="98" t="n">
        <v>0</v>
      </c>
      <c r="AH24" s="99" t="n">
        <v>53</v>
      </c>
      <c r="AI24" s="100" t="n">
        <v>32</v>
      </c>
      <c r="AJ24" s="101" t="n">
        <f aca="false">(T24-13)*1.9835+AJ23</f>
        <v>1005.55561</v>
      </c>
      <c r="AK24" s="101" t="n">
        <f aca="false">V24-(T24-13)</f>
        <v>44.1692</v>
      </c>
      <c r="AL24" s="102"/>
      <c r="AM24" s="102"/>
      <c r="AN24" s="102"/>
    </row>
    <row r="25" customFormat="false" ht="12.95" hidden="false" customHeight="true" outlineLevel="0" collapsed="false">
      <c r="A25" s="15" t="n">
        <f aca="false">A24+1</f>
        <v>14</v>
      </c>
      <c r="B25" s="120" t="n">
        <v>6903.95</v>
      </c>
      <c r="C25" s="91" t="n">
        <v>298381</v>
      </c>
      <c r="D25" s="121" t="n">
        <f aca="false">C25-C24</f>
        <v>-76</v>
      </c>
      <c r="E25" s="91" t="n">
        <f aca="false">C25-152000</f>
        <v>146381</v>
      </c>
      <c r="F25" s="122" t="n">
        <f aca="false">D25/$D$2</f>
        <v>-38.3161078900933</v>
      </c>
      <c r="G25" s="8" t="n">
        <v>82</v>
      </c>
      <c r="H25" s="10" t="n">
        <v>2.1</v>
      </c>
      <c r="I25" s="8" t="n">
        <f aca="false">G25+H25</f>
        <v>84.1</v>
      </c>
      <c r="J25" s="123" t="n">
        <f aca="false">IF(L25&gt;0,L25,0)</f>
        <v>0</v>
      </c>
      <c r="K25" s="8" t="n">
        <f aca="false">I25+J25</f>
        <v>84.1</v>
      </c>
      <c r="L25" s="8" t="n">
        <f aca="false">F25-(I25-AD25)</f>
        <v>-27.9461078900933</v>
      </c>
      <c r="M25" s="124" t="n">
        <v>11</v>
      </c>
      <c r="N25" s="125" t="n">
        <v>0</v>
      </c>
      <c r="O25" s="125" t="n">
        <v>0</v>
      </c>
      <c r="P25" s="125"/>
      <c r="Q25" s="126" t="n">
        <f aca="false">1.38*1.02</f>
        <v>1.4076</v>
      </c>
      <c r="R25" s="126" t="n">
        <f aca="false">1.94*1.04</f>
        <v>2.0176</v>
      </c>
      <c r="S25" s="132" t="n">
        <v>0</v>
      </c>
      <c r="T25" s="128" t="n">
        <v>55</v>
      </c>
      <c r="U25" s="128" t="n">
        <v>3.47</v>
      </c>
      <c r="V25" s="128" t="n">
        <f aca="false">M25-N25-O25-Q25-R25-S25+T25+U25</f>
        <v>66.0448</v>
      </c>
      <c r="W25" s="96"/>
      <c r="X25" s="96"/>
      <c r="Y25" s="128" t="n">
        <v>0</v>
      </c>
      <c r="Z25" s="129"/>
      <c r="AA25" s="130"/>
      <c r="AB25" s="128" t="n">
        <v>25</v>
      </c>
      <c r="AC25" s="96" t="n">
        <f aca="false">AC24-AB25</f>
        <v>5129</v>
      </c>
      <c r="AD25" s="128" t="n">
        <f aca="false">N25+O25+Q25+R25+S29+V25+Y25+AB25</f>
        <v>94.47</v>
      </c>
      <c r="AE25" s="128" t="n">
        <f aca="false">IF(L25&lt;0,L25*-1,0)</f>
        <v>27.9461078900933</v>
      </c>
      <c r="AF25" s="128" t="n">
        <f aca="false">AD25+AE25</f>
        <v>122.416107890093</v>
      </c>
      <c r="AG25" s="98" t="n">
        <v>0</v>
      </c>
      <c r="AH25" s="133" t="n">
        <v>55</v>
      </c>
      <c r="AI25" s="100" t="n">
        <v>28</v>
      </c>
      <c r="AJ25" s="101" t="n">
        <f aca="false">(T25-5)*1.9835+AJ24</f>
        <v>1104.73061</v>
      </c>
      <c r="AK25" s="101" t="n">
        <f aca="false">V25-(T25-5)</f>
        <v>16.0448</v>
      </c>
      <c r="AL25" s="102"/>
      <c r="AM25" s="102"/>
      <c r="AN25" s="102"/>
    </row>
    <row r="26" customFormat="false" ht="12.95" hidden="false" customHeight="true" outlineLevel="0" collapsed="false">
      <c r="A26" s="15" t="n">
        <f aca="false">A25+1</f>
        <v>15</v>
      </c>
      <c r="B26" s="120" t="n">
        <v>6903.93</v>
      </c>
      <c r="C26" s="91" t="n">
        <v>298306</v>
      </c>
      <c r="D26" s="121" t="n">
        <f aca="false">C26-C25</f>
        <v>-75</v>
      </c>
      <c r="E26" s="91" t="n">
        <f aca="false">C26-152000</f>
        <v>146306</v>
      </c>
      <c r="F26" s="122" t="n">
        <f aca="false">D26/$D$2</f>
        <v>-37.8119485757499</v>
      </c>
      <c r="G26" s="8" t="n">
        <v>83</v>
      </c>
      <c r="H26" s="10" t="n">
        <v>2.1</v>
      </c>
      <c r="I26" s="8" t="n">
        <f aca="false">G26+H26</f>
        <v>85.1</v>
      </c>
      <c r="J26" s="123" t="n">
        <f aca="false">IF(L26&gt;0,L26,0)</f>
        <v>0</v>
      </c>
      <c r="K26" s="8" t="n">
        <f aca="false">I26+J26</f>
        <v>85.1</v>
      </c>
      <c r="L26" s="8" t="n">
        <f aca="false">F26-(I26-AD26)</f>
        <v>-13.8119485757499</v>
      </c>
      <c r="M26" s="124" t="n">
        <v>5.1</v>
      </c>
      <c r="N26" s="125" t="n">
        <v>0</v>
      </c>
      <c r="O26" s="125" t="n">
        <v>0</v>
      </c>
      <c r="P26" s="125"/>
      <c r="Q26" s="126" t="n">
        <f aca="false">1.38*1.02</f>
        <v>1.4076</v>
      </c>
      <c r="R26" s="126" t="n">
        <f aca="false">2.16*1.04</f>
        <v>2.2464</v>
      </c>
      <c r="S26" s="132" t="n">
        <v>0</v>
      </c>
      <c r="T26" s="128" t="n">
        <v>80</v>
      </c>
      <c r="U26" s="128" t="n">
        <v>0</v>
      </c>
      <c r="V26" s="128" t="n">
        <f aca="false">M26-N26-O26-Q26-R26-S26+T26+U26</f>
        <v>81.446</v>
      </c>
      <c r="W26" s="96"/>
      <c r="X26" s="96"/>
      <c r="Y26" s="128" t="n">
        <v>0</v>
      </c>
      <c r="Z26" s="129"/>
      <c r="AA26" s="130"/>
      <c r="AB26" s="128" t="n">
        <v>24</v>
      </c>
      <c r="AC26" s="96" t="n">
        <f aca="false">AC25-AB26</f>
        <v>5105</v>
      </c>
      <c r="AD26" s="128" t="n">
        <f aca="false">N26+O26+Q26+R26+S30+V26+Y26+AB26</f>
        <v>109.1</v>
      </c>
      <c r="AE26" s="128" t="n">
        <f aca="false">IF(L26&lt;0,L26*-1,0)</f>
        <v>13.8119485757499</v>
      </c>
      <c r="AF26" s="128" t="n">
        <f aca="false">AD26+AE26</f>
        <v>122.91194857575</v>
      </c>
      <c r="AG26" s="98" t="n">
        <v>0</v>
      </c>
      <c r="AH26" s="133" t="n">
        <v>37</v>
      </c>
      <c r="AI26" s="100" t="n">
        <v>21</v>
      </c>
      <c r="AJ26" s="101" t="n">
        <f aca="false">V26*1.9835+AJ25</f>
        <v>1266.278751</v>
      </c>
      <c r="AK26" s="101"/>
      <c r="AL26" s="102"/>
      <c r="AM26" s="102"/>
      <c r="AN26" s="102"/>
    </row>
    <row r="27" customFormat="false" ht="12.95" hidden="false" customHeight="true" outlineLevel="0" collapsed="false">
      <c r="A27" s="15" t="n">
        <f aca="false">A26+1</f>
        <v>16</v>
      </c>
      <c r="B27" s="120" t="n">
        <v>6903.91</v>
      </c>
      <c r="C27" s="91" t="n">
        <v>298230</v>
      </c>
      <c r="D27" s="121" t="n">
        <f aca="false">C27-C26</f>
        <v>-76</v>
      </c>
      <c r="E27" s="91" t="n">
        <f aca="false">C27-152000</f>
        <v>146230</v>
      </c>
      <c r="F27" s="122" t="n">
        <f aca="false">D27/$D$2</f>
        <v>-38.3161078900933</v>
      </c>
      <c r="G27" s="8" t="n">
        <v>55</v>
      </c>
      <c r="H27" s="10" t="n">
        <v>1.7</v>
      </c>
      <c r="I27" s="8" t="n">
        <f aca="false">G27+H27</f>
        <v>56.7</v>
      </c>
      <c r="J27" s="123" t="n">
        <f aca="false">IF(L27&gt;0,L27,0)</f>
        <v>13.6838921099067</v>
      </c>
      <c r="K27" s="8" t="n">
        <f aca="false">I27+J27</f>
        <v>70.3838921099067</v>
      </c>
      <c r="L27" s="8" t="n">
        <f aca="false">F27-(I27-AD27)</f>
        <v>13.6838921099067</v>
      </c>
      <c r="M27" s="124" t="n">
        <v>4.7</v>
      </c>
      <c r="N27" s="125" t="n">
        <v>0</v>
      </c>
      <c r="O27" s="125" t="n">
        <v>0</v>
      </c>
      <c r="P27" s="125"/>
      <c r="Q27" s="126" t="n">
        <f aca="false">1.38*1.02</f>
        <v>1.4076</v>
      </c>
      <c r="R27" s="126" t="n">
        <f aca="false">2.22*1.04</f>
        <v>2.3088</v>
      </c>
      <c r="S27" s="132" t="n">
        <v>0</v>
      </c>
      <c r="T27" s="128" t="n">
        <v>80</v>
      </c>
      <c r="U27" s="128" t="n">
        <v>0</v>
      </c>
      <c r="V27" s="128" t="n">
        <f aca="false">M27-N27-O27-Q27-R27-S27+T27+U27</f>
        <v>80.9836</v>
      </c>
      <c r="W27" s="96"/>
      <c r="X27" s="96"/>
      <c r="Y27" s="128" t="n">
        <v>0</v>
      </c>
      <c r="Z27" s="129"/>
      <c r="AA27" s="130"/>
      <c r="AB27" s="128" t="n">
        <v>24</v>
      </c>
      <c r="AC27" s="96" t="n">
        <f aca="false">AC26-AB27</f>
        <v>5081</v>
      </c>
      <c r="AD27" s="128" t="n">
        <f aca="false">N27+O27+Q27+R27+S31+V27+Y27+AB27</f>
        <v>108.7</v>
      </c>
      <c r="AE27" s="128" t="n">
        <f aca="false">IF(L27&lt;0,L27*-1,0)</f>
        <v>0</v>
      </c>
      <c r="AF27" s="128" t="n">
        <f aca="false">AD27+AE27</f>
        <v>108.7</v>
      </c>
      <c r="AG27" s="98" t="n">
        <v>0</v>
      </c>
      <c r="AH27" s="133" t="n">
        <v>47</v>
      </c>
      <c r="AI27" s="100" t="n">
        <v>18</v>
      </c>
      <c r="AJ27" s="101" t="n">
        <f aca="false">V27*1.9835+AJ26</f>
        <v>1426.9097216</v>
      </c>
      <c r="AK27" s="101"/>
      <c r="AL27" s="102"/>
      <c r="AM27" s="102"/>
      <c r="AN27" s="102"/>
    </row>
    <row r="28" customFormat="false" ht="12.95" hidden="false" customHeight="true" outlineLevel="0" collapsed="false">
      <c r="A28" s="15" t="n">
        <f aca="false">A27+1</f>
        <v>17</v>
      </c>
      <c r="B28" s="120" t="n">
        <v>6903.89</v>
      </c>
      <c r="C28" s="91" t="n">
        <v>298154</v>
      </c>
      <c r="D28" s="121" t="n">
        <f aca="false">C28-C27</f>
        <v>-76</v>
      </c>
      <c r="E28" s="91" t="n">
        <f aca="false">C28-152000</f>
        <v>146154</v>
      </c>
      <c r="F28" s="122" t="n">
        <f aca="false">D28/$D$2</f>
        <v>-38.3161078900933</v>
      </c>
      <c r="G28" s="8" t="n">
        <v>66</v>
      </c>
      <c r="H28" s="10" t="n">
        <v>1.2</v>
      </c>
      <c r="I28" s="8" t="n">
        <f aca="false">G28+H28</f>
        <v>67.2</v>
      </c>
      <c r="J28" s="123" t="n">
        <f aca="false">IF(L28&gt;0,L28,0)</f>
        <v>0</v>
      </c>
      <c r="K28" s="8" t="n">
        <f aca="false">I28+J28</f>
        <v>67.2</v>
      </c>
      <c r="L28" s="8" t="n">
        <f aca="false">F28-(I28-AD28)</f>
        <v>-9.91610789009328</v>
      </c>
      <c r="M28" s="124" t="n">
        <v>4.6</v>
      </c>
      <c r="N28" s="125" t="n">
        <v>0</v>
      </c>
      <c r="O28" s="125" t="n">
        <v>0</v>
      </c>
      <c r="P28" s="125"/>
      <c r="Q28" s="126" t="n">
        <f aca="false">1.38*1.02</f>
        <v>1.4076</v>
      </c>
      <c r="R28" s="126" t="n">
        <f aca="false">2.05*1.04</f>
        <v>2.132</v>
      </c>
      <c r="S28" s="132" t="n">
        <v>0</v>
      </c>
      <c r="T28" s="128" t="n">
        <v>67</v>
      </c>
      <c r="U28" s="128" t="n">
        <v>0</v>
      </c>
      <c r="V28" s="128" t="n">
        <f aca="false">M28-N28-O28-Q28-R28-S28+T28+U28</f>
        <v>68.0604</v>
      </c>
      <c r="W28" s="96"/>
      <c r="X28" s="96"/>
      <c r="Y28" s="128" t="n">
        <v>0</v>
      </c>
      <c r="Z28" s="129"/>
      <c r="AA28" s="130"/>
      <c r="AB28" s="128" t="n">
        <v>24</v>
      </c>
      <c r="AC28" s="96" t="n">
        <f aca="false">AC27-AB28</f>
        <v>5057</v>
      </c>
      <c r="AD28" s="128" t="n">
        <f aca="false">N28+O28+Q28+R28+S32+V28+Y28+AB28</f>
        <v>95.6</v>
      </c>
      <c r="AE28" s="128" t="n">
        <f aca="false">IF(L28&lt;0,L28*-1,0)</f>
        <v>9.91610789009328</v>
      </c>
      <c r="AF28" s="128" t="n">
        <f aca="false">AD28+AE28</f>
        <v>105.516107890093</v>
      </c>
      <c r="AG28" s="98" t="n">
        <v>0</v>
      </c>
      <c r="AH28" s="133" t="n">
        <v>51</v>
      </c>
      <c r="AI28" s="100" t="n">
        <v>24</v>
      </c>
      <c r="AJ28" s="101" t="n">
        <f aca="false">V28*1.9835+AJ27</f>
        <v>1561.907525</v>
      </c>
      <c r="AK28" s="101"/>
      <c r="AL28" s="102"/>
      <c r="AM28" s="102"/>
      <c r="AN28" s="102"/>
    </row>
    <row r="29" customFormat="false" ht="12.95" hidden="false" customHeight="true" outlineLevel="0" collapsed="false">
      <c r="A29" s="15" t="n">
        <f aca="false">A28+1</f>
        <v>18</v>
      </c>
      <c r="B29" s="120" t="n">
        <v>6903.86</v>
      </c>
      <c r="C29" s="91" t="n">
        <v>298040</v>
      </c>
      <c r="D29" s="121" t="n">
        <f aca="false">C29-C28</f>
        <v>-114</v>
      </c>
      <c r="E29" s="91" t="n">
        <f aca="false">C29-152000</f>
        <v>146040</v>
      </c>
      <c r="F29" s="122" t="n">
        <f aca="false">D29/$D$2</f>
        <v>-57.4741618351399</v>
      </c>
      <c r="G29" s="8" t="n">
        <v>66</v>
      </c>
      <c r="H29" s="10" t="n">
        <v>0.85</v>
      </c>
      <c r="I29" s="8" t="n">
        <f aca="false">G29+H29</f>
        <v>66.85</v>
      </c>
      <c r="J29" s="123" t="n">
        <f aca="false">IF(L29&gt;0,L29,0)</f>
        <v>0</v>
      </c>
      <c r="K29" s="8" t="n">
        <f aca="false">I29+J29</f>
        <v>66.85</v>
      </c>
      <c r="L29" s="8" t="n">
        <f aca="false">F29-(I29-AD29)</f>
        <v>-36.0241618351399</v>
      </c>
      <c r="M29" s="124" t="n">
        <v>4.3</v>
      </c>
      <c r="N29" s="125" t="n">
        <v>0</v>
      </c>
      <c r="O29" s="125" t="n">
        <v>0</v>
      </c>
      <c r="P29" s="125"/>
      <c r="Q29" s="126" t="n">
        <f aca="false">1.38*1.02</f>
        <v>1.4076</v>
      </c>
      <c r="R29" s="126" t="n">
        <f aca="false">2.21*1.04</f>
        <v>2.2984</v>
      </c>
      <c r="S29" s="132" t="n">
        <v>0</v>
      </c>
      <c r="T29" s="128" t="n">
        <v>60</v>
      </c>
      <c r="U29" s="128" t="n">
        <v>0</v>
      </c>
      <c r="V29" s="128" t="n">
        <f aca="false">M29-N29-O29-Q29-R29-S29+T29+U29</f>
        <v>60.594</v>
      </c>
      <c r="W29" s="96"/>
      <c r="X29" s="96"/>
      <c r="Y29" s="128" t="n">
        <v>0</v>
      </c>
      <c r="Z29" s="129"/>
      <c r="AA29" s="130"/>
      <c r="AB29" s="128" t="n">
        <v>24</v>
      </c>
      <c r="AC29" s="96" t="n">
        <f aca="false">AC28-AB29</f>
        <v>5033</v>
      </c>
      <c r="AD29" s="128" t="n">
        <f aca="false">N29+O29+Q29+R29+S33+V29+Y29+AB29</f>
        <v>88.3</v>
      </c>
      <c r="AE29" s="128" t="n">
        <f aca="false">IF(L29&lt;0,L29*-1,0)</f>
        <v>36.0241618351399</v>
      </c>
      <c r="AF29" s="128" t="n">
        <f aca="false">AD29+AE29</f>
        <v>124.32416183514</v>
      </c>
      <c r="AG29" s="98" t="n">
        <v>0</v>
      </c>
      <c r="AH29" s="133" t="n">
        <v>49</v>
      </c>
      <c r="AI29" s="100" t="n">
        <v>25</v>
      </c>
      <c r="AJ29" s="101" t="n">
        <f aca="false">V29*1.9835+AJ28</f>
        <v>1682.095724</v>
      </c>
      <c r="AK29" s="101"/>
      <c r="AL29" s="102"/>
      <c r="AM29" s="102"/>
      <c r="AN29" s="102"/>
    </row>
    <row r="30" customFormat="false" ht="12.95" hidden="false" customHeight="true" outlineLevel="0" collapsed="false">
      <c r="A30" s="15" t="n">
        <f aca="false">A29+1</f>
        <v>19</v>
      </c>
      <c r="B30" s="120" t="n">
        <v>6903.84</v>
      </c>
      <c r="C30" s="91" t="n">
        <v>297964</v>
      </c>
      <c r="D30" s="121" t="n">
        <f aca="false">C30-C29</f>
        <v>-76</v>
      </c>
      <c r="E30" s="91" t="n">
        <f aca="false">C30-152000</f>
        <v>145964</v>
      </c>
      <c r="F30" s="122" t="n">
        <f aca="false">D30/$D$2</f>
        <v>-38.3161078900933</v>
      </c>
      <c r="G30" s="8" t="n">
        <v>58</v>
      </c>
      <c r="H30" s="10" t="n">
        <v>1</v>
      </c>
      <c r="I30" s="8" t="n">
        <f aca="false">G30+H30</f>
        <v>59</v>
      </c>
      <c r="J30" s="123" t="n">
        <f aca="false">IF(L30&gt;0,L30,0)</f>
        <v>0</v>
      </c>
      <c r="K30" s="8" t="n">
        <f aca="false">I30+J30</f>
        <v>59</v>
      </c>
      <c r="L30" s="8" t="n">
        <f aca="false">F30-(I30-AD30)</f>
        <v>-9.31610789009327</v>
      </c>
      <c r="M30" s="124" t="n">
        <v>4</v>
      </c>
      <c r="N30" s="125" t="n">
        <v>0</v>
      </c>
      <c r="O30" s="125" t="n">
        <v>0</v>
      </c>
      <c r="P30" s="125"/>
      <c r="Q30" s="126" t="n">
        <f aca="false">1.38*1.02</f>
        <v>1.4076</v>
      </c>
      <c r="R30" s="126" t="n">
        <f aca="false">2.34*1.04</f>
        <v>2.4336</v>
      </c>
      <c r="S30" s="132" t="n">
        <v>0</v>
      </c>
      <c r="T30" s="128" t="n">
        <v>60</v>
      </c>
      <c r="U30" s="128" t="n">
        <v>0</v>
      </c>
      <c r="V30" s="128" t="n">
        <f aca="false">M30-N30-O30-Q30-R30-S30+T30+U30</f>
        <v>60.1588</v>
      </c>
      <c r="W30" s="96"/>
      <c r="X30" s="96"/>
      <c r="Y30" s="128" t="n">
        <v>0</v>
      </c>
      <c r="Z30" s="129"/>
      <c r="AA30" s="130"/>
      <c r="AB30" s="128" t="n">
        <v>24</v>
      </c>
      <c r="AC30" s="96" t="n">
        <f aca="false">AC29-AB30</f>
        <v>5009</v>
      </c>
      <c r="AD30" s="128" t="n">
        <f aca="false">N30+O30+Q30+R30+S34+V30+Y30+AB30</f>
        <v>88</v>
      </c>
      <c r="AE30" s="128" t="n">
        <f aca="false">IF(L30&lt;0,L30*-1,0)</f>
        <v>9.31610789009327</v>
      </c>
      <c r="AF30" s="128" t="n">
        <f aca="false">AD30+AE30</f>
        <v>97.3161078900933</v>
      </c>
      <c r="AG30" s="98" t="n">
        <v>0</v>
      </c>
      <c r="AH30" s="133" t="n">
        <v>49</v>
      </c>
      <c r="AI30" s="100" t="n">
        <v>25</v>
      </c>
      <c r="AJ30" s="101" t="n">
        <f aca="false">V30*1.9835+AJ29</f>
        <v>1801.4207038</v>
      </c>
      <c r="AK30" s="101"/>
      <c r="AL30" s="102"/>
      <c r="AM30" s="102"/>
      <c r="AN30" s="102"/>
    </row>
    <row r="31" customFormat="false" ht="12.95" hidden="false" customHeight="true" outlineLevel="0" collapsed="false">
      <c r="A31" s="15" t="n">
        <f aca="false">A30+1</f>
        <v>20</v>
      </c>
      <c r="B31" s="120" t="n">
        <v>6903.81</v>
      </c>
      <c r="C31" s="91" t="n">
        <v>297850</v>
      </c>
      <c r="D31" s="121" t="n">
        <f aca="false">C31-C30</f>
        <v>-114</v>
      </c>
      <c r="E31" s="91" t="n">
        <f aca="false">C31-152000</f>
        <v>145850</v>
      </c>
      <c r="F31" s="122" t="n">
        <f aca="false">D31/$D$2</f>
        <v>-57.4741618351399</v>
      </c>
      <c r="G31" s="8" t="n">
        <v>61</v>
      </c>
      <c r="H31" s="10" t="n">
        <v>1.2</v>
      </c>
      <c r="I31" s="8" t="n">
        <f aca="false">G31+H31</f>
        <v>62.2</v>
      </c>
      <c r="J31" s="123" t="n">
        <f aca="false">IF(L31&gt;0,L31,0)</f>
        <v>0</v>
      </c>
      <c r="K31" s="8" t="n">
        <f aca="false">I31+J31</f>
        <v>62.2</v>
      </c>
      <c r="L31" s="8" t="n">
        <f aca="false">F31-(I31-AD31)</f>
        <v>-31.6741618351399</v>
      </c>
      <c r="M31" s="124" t="n">
        <v>4</v>
      </c>
      <c r="N31" s="125" t="n">
        <v>0</v>
      </c>
      <c r="O31" s="125" t="n">
        <v>0</v>
      </c>
      <c r="P31" s="125"/>
      <c r="Q31" s="126" t="n">
        <f aca="false">1.38*1.02</f>
        <v>1.4076</v>
      </c>
      <c r="R31" s="126" t="n">
        <f aca="false">2.15*1.04</f>
        <v>2.236</v>
      </c>
      <c r="S31" s="132" t="n">
        <v>0</v>
      </c>
      <c r="T31" s="128" t="n">
        <v>60</v>
      </c>
      <c r="U31" s="128" t="n">
        <v>0</v>
      </c>
      <c r="V31" s="128" t="n">
        <f aca="false">M31-N31-O31-Q31-R31-S31+T31+U31</f>
        <v>60.3564</v>
      </c>
      <c r="W31" s="96"/>
      <c r="X31" s="96"/>
      <c r="Y31" s="128" t="n">
        <v>0</v>
      </c>
      <c r="Z31" s="129"/>
      <c r="AA31" s="130"/>
      <c r="AB31" s="128" t="n">
        <v>24</v>
      </c>
      <c r="AC31" s="96" t="n">
        <f aca="false">AC30-AB31</f>
        <v>4985</v>
      </c>
      <c r="AD31" s="128" t="n">
        <f aca="false">N31+O31+Q31+R31+S35+V31+Y31+AB31</f>
        <v>88</v>
      </c>
      <c r="AE31" s="128" t="n">
        <f aca="false">IF(L31&lt;0,L31*-1,0)</f>
        <v>31.6741618351399</v>
      </c>
      <c r="AF31" s="128" t="n">
        <f aca="false">AD31+AE31</f>
        <v>119.67416183514</v>
      </c>
      <c r="AG31" s="98" t="n">
        <v>0</v>
      </c>
      <c r="AH31" s="133" t="n">
        <v>53</v>
      </c>
      <c r="AI31" s="100" t="n">
        <v>26</v>
      </c>
      <c r="AJ31" s="101" t="n">
        <f aca="false">V31*1.9835+AJ30</f>
        <v>1921.1376232</v>
      </c>
      <c r="AK31" s="101"/>
      <c r="AL31" s="102"/>
      <c r="AM31" s="102"/>
      <c r="AN31" s="102"/>
    </row>
    <row r="32" customFormat="false" ht="12.95" hidden="false" customHeight="true" outlineLevel="0" collapsed="false">
      <c r="A32" s="15" t="n">
        <f aca="false">A31+1</f>
        <v>21</v>
      </c>
      <c r="B32" s="120" t="n">
        <v>6903.79</v>
      </c>
      <c r="C32" s="91" t="n">
        <v>297774</v>
      </c>
      <c r="D32" s="121" t="n">
        <f aca="false">C32-C31</f>
        <v>-76</v>
      </c>
      <c r="E32" s="91" t="n">
        <f aca="false">C32-152000</f>
        <v>145774</v>
      </c>
      <c r="F32" s="122" t="n">
        <f aca="false">D32/$D$2</f>
        <v>-38.3161078900933</v>
      </c>
      <c r="G32" s="8" t="n">
        <v>57</v>
      </c>
      <c r="H32" s="10" t="n">
        <v>1.1</v>
      </c>
      <c r="I32" s="8" t="n">
        <f aca="false">G32+H32</f>
        <v>58.1</v>
      </c>
      <c r="J32" s="123" t="n">
        <f aca="false">IF(L32&gt;0,L32,0)</f>
        <v>0</v>
      </c>
      <c r="K32" s="8" t="n">
        <f aca="false">I32+J32</f>
        <v>58.1</v>
      </c>
      <c r="L32" s="8" t="n">
        <f aca="false">F32-(I32-AD32)</f>
        <v>-8.41610789009327</v>
      </c>
      <c r="M32" s="124" t="n">
        <v>4</v>
      </c>
      <c r="N32" s="125" t="n">
        <v>0</v>
      </c>
      <c r="O32" s="125" t="n">
        <v>0</v>
      </c>
      <c r="P32" s="125"/>
      <c r="Q32" s="126" t="n">
        <f aca="false">1.38*1.02</f>
        <v>1.4076</v>
      </c>
      <c r="R32" s="126" t="n">
        <f aca="false">2.14*1.04</f>
        <v>2.2256</v>
      </c>
      <c r="S32" s="132" t="n">
        <v>0</v>
      </c>
      <c r="T32" s="128" t="n">
        <v>60</v>
      </c>
      <c r="U32" s="128" t="n">
        <v>0</v>
      </c>
      <c r="V32" s="128" t="n">
        <f aca="false">M32-N32-O32-Q32-R32-S32+T32+U32</f>
        <v>60.3668</v>
      </c>
      <c r="W32" s="96"/>
      <c r="X32" s="96"/>
      <c r="Y32" s="128" t="n">
        <v>0</v>
      </c>
      <c r="Z32" s="129"/>
      <c r="AA32" s="130"/>
      <c r="AB32" s="128" t="n">
        <v>24</v>
      </c>
      <c r="AC32" s="96" t="n">
        <f aca="false">AC31-AB32</f>
        <v>4961</v>
      </c>
      <c r="AD32" s="128" t="n">
        <f aca="false">N32+O32+Q32+R32+S36+V32+Y32+AB32</f>
        <v>88</v>
      </c>
      <c r="AE32" s="128" t="n">
        <f aca="false">IF(L32&lt;0,L32*-1,0)</f>
        <v>8.41610789009327</v>
      </c>
      <c r="AF32" s="128" t="n">
        <f aca="false">AD32+AE32</f>
        <v>96.4161078900933</v>
      </c>
      <c r="AG32" s="98" t="n">
        <v>0</v>
      </c>
      <c r="AH32" s="99" t="n">
        <v>57</v>
      </c>
      <c r="AI32" s="100" t="n">
        <v>25</v>
      </c>
      <c r="AJ32" s="101" t="n">
        <f aca="false">V32*1.9835+AJ31</f>
        <v>2040.875171</v>
      </c>
      <c r="AK32" s="101"/>
      <c r="AL32" s="102"/>
      <c r="AM32" s="102"/>
      <c r="AN32" s="102"/>
    </row>
    <row r="33" customFormat="false" ht="12.95" hidden="false" customHeight="true" outlineLevel="0" collapsed="false">
      <c r="A33" s="15" t="n">
        <f aca="false">A32+1</f>
        <v>22</v>
      </c>
      <c r="B33" s="120" t="n">
        <v>6903.76</v>
      </c>
      <c r="C33" s="91" t="n">
        <v>297661</v>
      </c>
      <c r="D33" s="121" t="n">
        <f aca="false">C33-C32</f>
        <v>-113</v>
      </c>
      <c r="E33" s="91" t="n">
        <f aca="false">C33-152000</f>
        <v>145661</v>
      </c>
      <c r="F33" s="122" t="n">
        <f aca="false">D33/$D$2</f>
        <v>-56.9700025207966</v>
      </c>
      <c r="G33" s="8" t="n">
        <v>60</v>
      </c>
      <c r="H33" s="10" t="n">
        <v>1.1</v>
      </c>
      <c r="I33" s="8" t="n">
        <f aca="false">G33+H33</f>
        <v>61.1</v>
      </c>
      <c r="J33" s="123" t="n">
        <f aca="false">IF(L33&gt;0,L33,0)</f>
        <v>0</v>
      </c>
      <c r="K33" s="8" t="n">
        <f aca="false">I33+J33</f>
        <v>61.1</v>
      </c>
      <c r="L33" s="8" t="n">
        <f aca="false">F33-(I33-AD33)</f>
        <v>-30.0700025207966</v>
      </c>
      <c r="M33" s="124" t="n">
        <v>4</v>
      </c>
      <c r="N33" s="125" t="n">
        <v>0</v>
      </c>
      <c r="O33" s="125" t="n">
        <v>0</v>
      </c>
      <c r="P33" s="125"/>
      <c r="Q33" s="126" t="n">
        <f aca="false">1.38*1.02</f>
        <v>1.4076</v>
      </c>
      <c r="R33" s="126" t="n">
        <f aca="false">2.14*1.04</f>
        <v>2.2256</v>
      </c>
      <c r="S33" s="132" t="n">
        <v>0</v>
      </c>
      <c r="T33" s="128" t="n">
        <v>60</v>
      </c>
      <c r="U33" s="128" t="n">
        <v>0</v>
      </c>
      <c r="V33" s="128" t="n">
        <f aca="false">M33-N33-O33-Q33-R33-S33+T33+U33</f>
        <v>60.3668</v>
      </c>
      <c r="W33" s="96"/>
      <c r="X33" s="96"/>
      <c r="Y33" s="128" t="n">
        <v>0</v>
      </c>
      <c r="Z33" s="129"/>
      <c r="AA33" s="130"/>
      <c r="AB33" s="128" t="n">
        <v>24</v>
      </c>
      <c r="AC33" s="96" t="n">
        <f aca="false">AC32-AB33</f>
        <v>4937</v>
      </c>
      <c r="AD33" s="128" t="n">
        <f aca="false">N33+O33+Q33+R33+S37+V33+Y33+AB33</f>
        <v>88</v>
      </c>
      <c r="AE33" s="128" t="n">
        <f aca="false">IF(L33&lt;0,L33*-1,0)</f>
        <v>30.0700025207966</v>
      </c>
      <c r="AF33" s="128" t="n">
        <f aca="false">AD33+AE33</f>
        <v>118.070002520797</v>
      </c>
      <c r="AG33" s="98" t="n">
        <v>0</v>
      </c>
      <c r="AH33" s="99" t="n">
        <v>58</v>
      </c>
      <c r="AI33" s="100" t="n">
        <v>27</v>
      </c>
      <c r="AJ33" s="101" t="n">
        <f aca="false">V33*1.9835+AJ32</f>
        <v>2160.6127188</v>
      </c>
      <c r="AK33" s="101"/>
      <c r="AL33" s="102"/>
      <c r="AM33" s="102"/>
      <c r="AN33" s="102"/>
    </row>
    <row r="34" customFormat="false" ht="12.95" hidden="false" customHeight="true" outlineLevel="0" collapsed="false">
      <c r="A34" s="15" t="n">
        <f aca="false">A33+1</f>
        <v>23</v>
      </c>
      <c r="B34" s="120" t="n">
        <v>6903.73</v>
      </c>
      <c r="C34" s="91" t="n">
        <v>297547</v>
      </c>
      <c r="D34" s="121" t="n">
        <f aca="false">C34-C33</f>
        <v>-114</v>
      </c>
      <c r="E34" s="91" t="n">
        <f aca="false">C34-152000</f>
        <v>145547</v>
      </c>
      <c r="F34" s="122" t="n">
        <f aca="false">D34/$D$2</f>
        <v>-57.4741618351399</v>
      </c>
      <c r="G34" s="8" t="n">
        <v>55</v>
      </c>
      <c r="H34" s="10" t="n">
        <v>1.1</v>
      </c>
      <c r="I34" s="8" t="n">
        <f aca="false">G34+H34</f>
        <v>56.1</v>
      </c>
      <c r="J34" s="123" t="n">
        <f aca="false">IF(L34&gt;0,L34,0)</f>
        <v>0</v>
      </c>
      <c r="K34" s="8" t="n">
        <f aca="false">I34+J34</f>
        <v>56.1</v>
      </c>
      <c r="L34" s="8" t="n">
        <f aca="false">F34-(I34-AD34)</f>
        <v>-26.5741618351399</v>
      </c>
      <c r="M34" s="124" t="n">
        <v>4</v>
      </c>
      <c r="N34" s="125" t="n">
        <v>0</v>
      </c>
      <c r="O34" s="125" t="n">
        <v>0</v>
      </c>
      <c r="P34" s="125"/>
      <c r="Q34" s="126" t="n">
        <f aca="false">1.38*1.02</f>
        <v>1.4076</v>
      </c>
      <c r="R34" s="126" t="n">
        <f aca="false">2.11*1.04</f>
        <v>2.1944</v>
      </c>
      <c r="S34" s="132" t="n">
        <v>0</v>
      </c>
      <c r="T34" s="128" t="n">
        <v>60</v>
      </c>
      <c r="U34" s="128" t="n">
        <v>0</v>
      </c>
      <c r="V34" s="128" t="n">
        <f aca="false">M34-N34-O34-Q34-R34-S34+T34+U34</f>
        <v>60.398</v>
      </c>
      <c r="W34" s="96"/>
      <c r="X34" s="96"/>
      <c r="Y34" s="128" t="n">
        <v>0</v>
      </c>
      <c r="Z34" s="129"/>
      <c r="AA34" s="130"/>
      <c r="AB34" s="128" t="n">
        <v>23</v>
      </c>
      <c r="AC34" s="96" t="n">
        <f aca="false">AC33-AB34</f>
        <v>4914</v>
      </c>
      <c r="AD34" s="128" t="n">
        <f aca="false">N34+O34+Q34+R34+S38+V34+Y34+AB34</f>
        <v>87</v>
      </c>
      <c r="AE34" s="128" t="n">
        <f aca="false">IF(L34&lt;0,L34*-1,0)</f>
        <v>26.5741618351399</v>
      </c>
      <c r="AF34" s="128" t="n">
        <f aca="false">AD34+AE34</f>
        <v>113.57416183514</v>
      </c>
      <c r="AG34" s="98" t="n">
        <v>0</v>
      </c>
      <c r="AH34" s="99" t="n">
        <v>53</v>
      </c>
      <c r="AI34" s="134" t="n">
        <v>27</v>
      </c>
      <c r="AJ34" s="101" t="n">
        <f aca="false">V34*1.9835+AJ33</f>
        <v>2280.4121518</v>
      </c>
      <c r="AK34" s="101"/>
      <c r="AL34" s="102"/>
      <c r="AM34" s="102"/>
      <c r="AN34" s="102"/>
    </row>
    <row r="35" customFormat="false" ht="12.95" hidden="false" customHeight="true" outlineLevel="0" collapsed="false">
      <c r="A35" s="15" t="n">
        <f aca="false">A34+1</f>
        <v>24</v>
      </c>
      <c r="B35" s="120" t="n">
        <v>6903.7</v>
      </c>
      <c r="C35" s="91" t="n">
        <v>297433</v>
      </c>
      <c r="D35" s="121" t="n">
        <f aca="false">C35-C34</f>
        <v>-114</v>
      </c>
      <c r="E35" s="91" t="n">
        <f aca="false">C35-152000</f>
        <v>145433</v>
      </c>
      <c r="F35" s="122" t="n">
        <f aca="false">D35/$D$2</f>
        <v>-57.4741618351399</v>
      </c>
      <c r="G35" s="8" t="n">
        <v>59</v>
      </c>
      <c r="H35" s="10" t="n">
        <v>0.94</v>
      </c>
      <c r="I35" s="8" t="n">
        <f aca="false">G35+H35</f>
        <v>59.94</v>
      </c>
      <c r="J35" s="123" t="n">
        <f aca="false">IF(L35&gt;0,L35,0)</f>
        <v>0</v>
      </c>
      <c r="K35" s="8" t="n">
        <f aca="false">I35+J35</f>
        <v>59.94</v>
      </c>
      <c r="L35" s="8" t="n">
        <f aca="false">F35-(I35-AD35)</f>
        <v>-30.4141618351399</v>
      </c>
      <c r="M35" s="124" t="n">
        <v>4</v>
      </c>
      <c r="N35" s="125" t="n">
        <v>0</v>
      </c>
      <c r="O35" s="125" t="n">
        <v>0</v>
      </c>
      <c r="P35" s="125"/>
      <c r="Q35" s="126" t="n">
        <f aca="false">1.38*1.02</f>
        <v>1.4076</v>
      </c>
      <c r="R35" s="126" t="n">
        <f aca="false">2.18*1.04</f>
        <v>2.2672</v>
      </c>
      <c r="S35" s="132" t="n">
        <v>0</v>
      </c>
      <c r="T35" s="128" t="n">
        <v>60</v>
      </c>
      <c r="U35" s="128" t="n">
        <v>0</v>
      </c>
      <c r="V35" s="128" t="n">
        <f aca="false">M35-N35-O35-Q35-R35-S35+T35+U35</f>
        <v>60.3252</v>
      </c>
      <c r="W35" s="96"/>
      <c r="X35" s="96"/>
      <c r="Y35" s="128" t="n">
        <v>0</v>
      </c>
      <c r="Z35" s="129"/>
      <c r="AA35" s="130"/>
      <c r="AB35" s="128" t="n">
        <v>23</v>
      </c>
      <c r="AC35" s="96" t="n">
        <f aca="false">AC34-AB35</f>
        <v>4891</v>
      </c>
      <c r="AD35" s="128" t="n">
        <f aca="false">N35+O35+Q35+R35+S39+V35+Y35+AB35</f>
        <v>87</v>
      </c>
      <c r="AE35" s="128" t="n">
        <f aca="false">IF(L35&lt;0,L35*-1,0)</f>
        <v>30.4141618351399</v>
      </c>
      <c r="AF35" s="128" t="n">
        <f aca="false">AD35+AE35</f>
        <v>117.41416183514</v>
      </c>
      <c r="AG35" s="98" t="n">
        <v>0</v>
      </c>
      <c r="AH35" s="99" t="n">
        <v>53</v>
      </c>
      <c r="AI35" s="134" t="n">
        <v>24</v>
      </c>
      <c r="AJ35" s="101" t="n">
        <f aca="false">V35*1.9835+AJ34</f>
        <v>2400.067186</v>
      </c>
      <c r="AK35" s="101"/>
      <c r="AL35" s="102"/>
      <c r="AM35" s="102"/>
      <c r="AN35" s="102"/>
    </row>
    <row r="36" customFormat="false" ht="12.95" hidden="false" customHeight="true" outlineLevel="0" collapsed="false">
      <c r="A36" s="15" t="n">
        <f aca="false">A35+1</f>
        <v>25</v>
      </c>
      <c r="B36" s="120" t="n">
        <v>6903.67</v>
      </c>
      <c r="C36" s="91" t="n">
        <v>297319</v>
      </c>
      <c r="D36" s="121" t="n">
        <f aca="false">C36-C35</f>
        <v>-114</v>
      </c>
      <c r="E36" s="91" t="n">
        <f aca="false">C36-152000</f>
        <v>145319</v>
      </c>
      <c r="F36" s="122" t="n">
        <f aca="false">D36/$D$2</f>
        <v>-57.4741618351399</v>
      </c>
      <c r="G36" s="8" t="n">
        <v>58</v>
      </c>
      <c r="H36" s="10" t="n">
        <v>0.73</v>
      </c>
      <c r="I36" s="8" t="n">
        <f aca="false">G36+H36</f>
        <v>58.73</v>
      </c>
      <c r="J36" s="123" t="n">
        <f aca="false">IF(L36&gt;0,L36,0)</f>
        <v>0</v>
      </c>
      <c r="K36" s="8" t="n">
        <f aca="false">I36+J36</f>
        <v>58.73</v>
      </c>
      <c r="L36" s="8" t="n">
        <f aca="false">F36-(I36-AD36)</f>
        <v>-28.2041618351399</v>
      </c>
      <c r="M36" s="124" t="n">
        <v>4</v>
      </c>
      <c r="N36" s="125" t="n">
        <v>0</v>
      </c>
      <c r="O36" s="125" t="n">
        <v>0</v>
      </c>
      <c r="P36" s="125"/>
      <c r="Q36" s="126" t="n">
        <f aca="false">1.38*1.02</f>
        <v>1.4076</v>
      </c>
      <c r="R36" s="126" t="n">
        <f aca="false">2.18*1.04</f>
        <v>2.2672</v>
      </c>
      <c r="S36" s="132" t="n">
        <v>0</v>
      </c>
      <c r="T36" s="128" t="n">
        <v>61</v>
      </c>
      <c r="U36" s="128" t="n">
        <v>0</v>
      </c>
      <c r="V36" s="128" t="n">
        <f aca="false">M36-N36-O36-Q36-R36-S36+T36+U36</f>
        <v>61.3252</v>
      </c>
      <c r="W36" s="96"/>
      <c r="X36" s="96"/>
      <c r="Y36" s="128" t="n">
        <v>0</v>
      </c>
      <c r="Z36" s="129"/>
      <c r="AA36" s="130"/>
      <c r="AB36" s="128" t="n">
        <v>23</v>
      </c>
      <c r="AC36" s="96" t="n">
        <f aca="false">AC35-AB36</f>
        <v>4868</v>
      </c>
      <c r="AD36" s="128" t="n">
        <f aca="false">N36+O36+Q36+R36+S40+V36+Y36+AB36</f>
        <v>88</v>
      </c>
      <c r="AE36" s="128" t="n">
        <f aca="false">IF(L36&lt;0,L36*-1,0)</f>
        <v>28.2041618351399</v>
      </c>
      <c r="AF36" s="128" t="n">
        <f aca="false">AD36+AE36</f>
        <v>116.20416183514</v>
      </c>
      <c r="AG36" s="98" t="n">
        <v>0</v>
      </c>
      <c r="AH36" s="99" t="n">
        <v>53</v>
      </c>
      <c r="AI36" s="134" t="n">
        <v>24</v>
      </c>
      <c r="AJ36" s="101" t="n">
        <f aca="false">V36*1.9835+AJ35</f>
        <v>2521.7057202</v>
      </c>
      <c r="AK36" s="101"/>
      <c r="AL36" s="102"/>
      <c r="AM36" s="102"/>
      <c r="AN36" s="102"/>
    </row>
    <row r="37" customFormat="false" ht="12.95" hidden="false" customHeight="true" outlineLevel="0" collapsed="false">
      <c r="A37" s="15" t="n">
        <f aca="false">A36+1</f>
        <v>26</v>
      </c>
      <c r="B37" s="120" t="n">
        <v>6903.64</v>
      </c>
      <c r="C37" s="91" t="n">
        <v>297205</v>
      </c>
      <c r="D37" s="121" t="n">
        <f aca="false">C37-C36</f>
        <v>-114</v>
      </c>
      <c r="E37" s="91" t="n">
        <f aca="false">C37-152000</f>
        <v>145205</v>
      </c>
      <c r="F37" s="122" t="n">
        <f aca="false">D37/$D$2</f>
        <v>-57.4741618351399</v>
      </c>
      <c r="G37" s="8" t="n">
        <v>57</v>
      </c>
      <c r="H37" s="10" t="n">
        <v>0.89</v>
      </c>
      <c r="I37" s="8" t="n">
        <f aca="false">G37+H37</f>
        <v>57.89</v>
      </c>
      <c r="J37" s="123" t="n">
        <f aca="false">IF(L37&gt;0,L37,0)</f>
        <v>0</v>
      </c>
      <c r="K37" s="8" t="n">
        <f aca="false">I37+J37</f>
        <v>57.89</v>
      </c>
      <c r="L37" s="8" t="n">
        <f aca="false">F37-(I37-AD37)</f>
        <v>-27.3641618351399</v>
      </c>
      <c r="M37" s="124" t="n">
        <v>4</v>
      </c>
      <c r="N37" s="125" t="n">
        <v>0</v>
      </c>
      <c r="O37" s="125" t="n">
        <v>0</v>
      </c>
      <c r="P37" s="125"/>
      <c r="Q37" s="126" t="n">
        <f aca="false">1.38*1.02</f>
        <v>1.4076</v>
      </c>
      <c r="R37" s="126" t="n">
        <f aca="false">2.1*1.04</f>
        <v>2.184</v>
      </c>
      <c r="S37" s="132" t="n">
        <v>0</v>
      </c>
      <c r="T37" s="128" t="n">
        <v>61</v>
      </c>
      <c r="U37" s="128" t="n">
        <v>0</v>
      </c>
      <c r="V37" s="128" t="n">
        <f aca="false">M37-N37-O37-Q37-R37-S37+T37+U37</f>
        <v>61.4084</v>
      </c>
      <c r="W37" s="96"/>
      <c r="X37" s="96"/>
      <c r="Y37" s="128" t="n">
        <v>0</v>
      </c>
      <c r="Z37" s="129"/>
      <c r="AA37" s="130"/>
      <c r="AB37" s="128" t="n">
        <v>23</v>
      </c>
      <c r="AC37" s="96" t="n">
        <f aca="false">AC36-AB37</f>
        <v>4845</v>
      </c>
      <c r="AD37" s="128" t="n">
        <f aca="false">N37+O37+Q37+R37+S41+V37+Y37+AB37</f>
        <v>88</v>
      </c>
      <c r="AE37" s="128" t="n">
        <f aca="false">IF(L37&lt;0,L37*-1,0)</f>
        <v>27.3641618351399</v>
      </c>
      <c r="AF37" s="128" t="n">
        <f aca="false">AD37+AE37</f>
        <v>115.36416183514</v>
      </c>
      <c r="AG37" s="98" t="n">
        <v>0</v>
      </c>
      <c r="AH37" s="99" t="n">
        <v>46</v>
      </c>
      <c r="AI37" s="100" t="n">
        <v>24</v>
      </c>
      <c r="AJ37" s="101" t="n">
        <f aca="false">V37*1.9835+AJ36</f>
        <v>2643.5092816</v>
      </c>
      <c r="AK37" s="101"/>
      <c r="AL37" s="102"/>
      <c r="AM37" s="102"/>
      <c r="AN37" s="102"/>
    </row>
    <row r="38" customFormat="false" ht="12.95" hidden="false" customHeight="true" outlineLevel="0" collapsed="false">
      <c r="A38" s="15" t="n">
        <f aca="false">A37+1</f>
        <v>27</v>
      </c>
      <c r="B38" s="120" t="n">
        <v>6903.61</v>
      </c>
      <c r="C38" s="91" t="n">
        <v>297092</v>
      </c>
      <c r="D38" s="121" t="n">
        <f aca="false">C38-C37</f>
        <v>-113</v>
      </c>
      <c r="E38" s="91" t="n">
        <f aca="false">C38-152000</f>
        <v>145092</v>
      </c>
      <c r="F38" s="122" t="n">
        <f aca="false">D38/$D$2</f>
        <v>-56.9700025207966</v>
      </c>
      <c r="G38" s="8" t="n">
        <v>54</v>
      </c>
      <c r="H38" s="10" t="n">
        <v>1.1</v>
      </c>
      <c r="I38" s="8" t="n">
        <f aca="false">G38+H38</f>
        <v>55.1</v>
      </c>
      <c r="J38" s="123" t="n">
        <f aca="false">IF(L38&gt;0,L38,0)</f>
        <v>0</v>
      </c>
      <c r="K38" s="8" t="n">
        <f aca="false">I38+J38</f>
        <v>55.1</v>
      </c>
      <c r="L38" s="8" t="n">
        <f aca="false">F38-(I38-AD38)</f>
        <v>-25.0700025207966</v>
      </c>
      <c r="M38" s="124" t="n">
        <v>4</v>
      </c>
      <c r="N38" s="125" t="n">
        <v>0</v>
      </c>
      <c r="O38" s="125" t="n">
        <v>0</v>
      </c>
      <c r="P38" s="125"/>
      <c r="Q38" s="126" t="n">
        <f aca="false">1.38*1.02</f>
        <v>1.4076</v>
      </c>
      <c r="R38" s="126" t="n">
        <f aca="false">2.16*1.04</f>
        <v>2.2464</v>
      </c>
      <c r="S38" s="132" t="n">
        <v>0</v>
      </c>
      <c r="T38" s="128" t="n">
        <v>61</v>
      </c>
      <c r="U38" s="128" t="n">
        <v>0</v>
      </c>
      <c r="V38" s="128" t="n">
        <f aca="false">M38-N38-O38-Q38-R38-S38+T38+U38</f>
        <v>61.346</v>
      </c>
      <c r="W38" s="96"/>
      <c r="X38" s="96"/>
      <c r="Y38" s="128" t="n">
        <v>0</v>
      </c>
      <c r="Z38" s="129"/>
      <c r="AA38" s="130"/>
      <c r="AB38" s="128" t="n">
        <v>22</v>
      </c>
      <c r="AC38" s="96" t="n">
        <f aca="false">AC37-AB38</f>
        <v>4823</v>
      </c>
      <c r="AD38" s="128" t="n">
        <f aca="false">N38+O38+Q38+R38+S42+V38+Y38+AB38</f>
        <v>87</v>
      </c>
      <c r="AE38" s="128" t="n">
        <f aca="false">IF(L38&lt;0,L38*-1,0)</f>
        <v>25.0700025207966</v>
      </c>
      <c r="AF38" s="128" t="n">
        <f aca="false">AD38+AE38</f>
        <v>112.070002520797</v>
      </c>
      <c r="AG38" s="98" t="n">
        <v>0</v>
      </c>
      <c r="AH38" s="99" t="n">
        <v>31</v>
      </c>
      <c r="AI38" s="100" t="n">
        <v>14</v>
      </c>
      <c r="AJ38" s="101" t="n">
        <f aca="false">V38*1.9835+AJ37</f>
        <v>2765.1890726</v>
      </c>
      <c r="AK38" s="101"/>
      <c r="AL38" s="102"/>
      <c r="AM38" s="102"/>
      <c r="AN38" s="102"/>
    </row>
    <row r="39" customFormat="false" ht="12.95" hidden="false" customHeight="true" outlineLevel="0" collapsed="false">
      <c r="A39" s="15" t="n">
        <f aca="false">A38+1</f>
        <v>28</v>
      </c>
      <c r="B39" s="120" t="n">
        <v>6903.58</v>
      </c>
      <c r="C39" s="91" t="n">
        <v>296978</v>
      </c>
      <c r="D39" s="121" t="n">
        <f aca="false">C39-C38</f>
        <v>-114</v>
      </c>
      <c r="E39" s="91" t="n">
        <f aca="false">C39-152000</f>
        <v>144978</v>
      </c>
      <c r="F39" s="122" t="n">
        <f aca="false">D39/$D$2</f>
        <v>-57.4741618351399</v>
      </c>
      <c r="G39" s="8" t="n">
        <v>47</v>
      </c>
      <c r="H39" s="10" t="n">
        <v>0.97</v>
      </c>
      <c r="I39" s="8" t="n">
        <f aca="false">G39+H39</f>
        <v>47.97</v>
      </c>
      <c r="J39" s="123" t="n">
        <f aca="false">IF(L39&gt;0,L39,0)</f>
        <v>0</v>
      </c>
      <c r="K39" s="8" t="n">
        <f aca="false">I39+J39</f>
        <v>47.97</v>
      </c>
      <c r="L39" s="8" t="n">
        <f aca="false">F39-(I39-AD39)</f>
        <v>-18.4441618351399</v>
      </c>
      <c r="M39" s="124" t="n">
        <v>4</v>
      </c>
      <c r="N39" s="125" t="n">
        <v>0</v>
      </c>
      <c r="O39" s="125" t="n">
        <v>0</v>
      </c>
      <c r="P39" s="125"/>
      <c r="Q39" s="126" t="n">
        <f aca="false">1.38*1.02</f>
        <v>1.4076</v>
      </c>
      <c r="R39" s="126" t="n">
        <f aca="false">2.21*1.04</f>
        <v>2.2984</v>
      </c>
      <c r="S39" s="132" t="n">
        <v>0</v>
      </c>
      <c r="T39" s="128" t="n">
        <v>61</v>
      </c>
      <c r="U39" s="128" t="n">
        <v>0</v>
      </c>
      <c r="V39" s="128" t="n">
        <f aca="false">M39-N39-O39-Q39-R39-S39+T39+U39</f>
        <v>61.294</v>
      </c>
      <c r="W39" s="96"/>
      <c r="X39" s="96"/>
      <c r="Y39" s="128" t="n">
        <v>0</v>
      </c>
      <c r="Z39" s="129"/>
      <c r="AA39" s="130"/>
      <c r="AB39" s="128" t="n">
        <v>22</v>
      </c>
      <c r="AC39" s="96" t="n">
        <f aca="false">AC38-AB39</f>
        <v>4801</v>
      </c>
      <c r="AD39" s="128" t="n">
        <f aca="false">N39+O39+Q39+R39+S43+V39+Y39+AB39</f>
        <v>87</v>
      </c>
      <c r="AE39" s="128" t="n">
        <f aca="false">IF(L39&lt;0,L39*-1,0)</f>
        <v>18.4441618351399</v>
      </c>
      <c r="AF39" s="128" t="n">
        <f aca="false">AD39+AE39</f>
        <v>105.44416183514</v>
      </c>
      <c r="AG39" s="98" t="n">
        <v>0</v>
      </c>
      <c r="AH39" s="99" t="n">
        <v>25</v>
      </c>
      <c r="AI39" s="100" t="n">
        <v>12</v>
      </c>
      <c r="AJ39" s="101" t="n">
        <f aca="false">V39*1.9835+AJ38</f>
        <v>2886.7657216</v>
      </c>
      <c r="AK39" s="101"/>
      <c r="AL39" s="102"/>
      <c r="AM39" s="102"/>
      <c r="AN39" s="102"/>
    </row>
    <row r="40" customFormat="false" ht="12.95" hidden="false" customHeight="true" outlineLevel="0" collapsed="false">
      <c r="A40" s="15" t="n">
        <f aca="false">A39+1</f>
        <v>29</v>
      </c>
      <c r="B40" s="120" t="n">
        <v>6903.55</v>
      </c>
      <c r="C40" s="91" t="n">
        <v>296864</v>
      </c>
      <c r="D40" s="121" t="n">
        <f aca="false">C40-C39</f>
        <v>-114</v>
      </c>
      <c r="E40" s="91" t="n">
        <f aca="false">C40-152000</f>
        <v>144864</v>
      </c>
      <c r="F40" s="122" t="n">
        <f aca="false">D40/$D$2</f>
        <v>-57.4741618351399</v>
      </c>
      <c r="G40" s="8" t="n">
        <v>46</v>
      </c>
      <c r="H40" s="10" t="n">
        <v>0.68</v>
      </c>
      <c r="I40" s="8" t="n">
        <f aca="false">G40+H40</f>
        <v>46.68</v>
      </c>
      <c r="J40" s="123" t="n">
        <f aca="false">IF(L40&gt;0,L40,0)</f>
        <v>0</v>
      </c>
      <c r="K40" s="8" t="n">
        <f aca="false">I40+J40</f>
        <v>46.68</v>
      </c>
      <c r="L40" s="8" t="n">
        <f aca="false">F40-(I40-AD40)</f>
        <v>-21.6541618351399</v>
      </c>
      <c r="M40" s="124" t="n">
        <v>4.5</v>
      </c>
      <c r="N40" s="125" t="n">
        <v>0</v>
      </c>
      <c r="O40" s="125" t="n">
        <v>0</v>
      </c>
      <c r="P40" s="125"/>
      <c r="Q40" s="126" t="n">
        <f aca="false">1.38*1.02</f>
        <v>1.4076</v>
      </c>
      <c r="R40" s="126" t="n">
        <f aca="false">2.1*1.04</f>
        <v>2.184</v>
      </c>
      <c r="S40" s="132" t="n">
        <v>0</v>
      </c>
      <c r="T40" s="128" t="n">
        <v>57</v>
      </c>
      <c r="U40" s="128" t="n">
        <v>0</v>
      </c>
      <c r="V40" s="128" t="n">
        <f aca="false">M40-N40-O40-Q40-R40-S40+T40+U40</f>
        <v>57.9084</v>
      </c>
      <c r="W40" s="96"/>
      <c r="X40" s="96"/>
      <c r="Y40" s="128" t="n">
        <v>0</v>
      </c>
      <c r="Z40" s="129"/>
      <c r="AA40" s="130"/>
      <c r="AB40" s="128" t="n">
        <v>21</v>
      </c>
      <c r="AC40" s="96" t="n">
        <f aca="false">AC39-AB40</f>
        <v>4780</v>
      </c>
      <c r="AD40" s="128" t="n">
        <f aca="false">N40+O40+Q40+R40+S44+V40+Y40+AB40</f>
        <v>82.5</v>
      </c>
      <c r="AE40" s="128" t="n">
        <f aca="false">IF(L40&lt;0,L40*-1,0)</f>
        <v>21.6541618351399</v>
      </c>
      <c r="AF40" s="128" t="n">
        <f aca="false">AD40+AE40</f>
        <v>104.15416183514</v>
      </c>
      <c r="AG40" s="98" t="n">
        <v>0</v>
      </c>
      <c r="AH40" s="133" t="n">
        <v>40</v>
      </c>
      <c r="AI40" s="100" t="n">
        <v>17</v>
      </c>
      <c r="AJ40" s="101" t="n">
        <f aca="false">V40*1.9835+AJ39</f>
        <v>3001.627033</v>
      </c>
      <c r="AK40" s="101"/>
      <c r="AL40" s="102"/>
      <c r="AM40" s="102"/>
      <c r="AN40" s="102"/>
    </row>
    <row r="41" customFormat="false" ht="12.95" hidden="false" customHeight="true" outlineLevel="0" collapsed="false">
      <c r="A41" s="15" t="n">
        <v>30</v>
      </c>
      <c r="B41" s="120" t="n">
        <v>6903.53</v>
      </c>
      <c r="C41" s="91" t="n">
        <v>296788</v>
      </c>
      <c r="D41" s="121" t="n">
        <f aca="false">C41-C40</f>
        <v>-76</v>
      </c>
      <c r="E41" s="91" t="n">
        <f aca="false">C41-152000</f>
        <v>144788</v>
      </c>
      <c r="F41" s="122" t="n">
        <f aca="false">D41/$D$2</f>
        <v>-38.3161078900933</v>
      </c>
      <c r="G41" s="8" t="n">
        <v>51</v>
      </c>
      <c r="H41" s="10" t="n">
        <v>0.87</v>
      </c>
      <c r="I41" s="8" t="n">
        <f aca="false">G41+H41</f>
        <v>51.87</v>
      </c>
      <c r="J41" s="123" t="n">
        <f aca="false">IF(L41&gt;0,L41,0)</f>
        <v>0</v>
      </c>
      <c r="K41" s="8" t="n">
        <f aca="false">I41+J41</f>
        <v>51.87</v>
      </c>
      <c r="L41" s="8" t="n">
        <f aca="false">F41-(I41-AD41)</f>
        <v>-14.2361078900933</v>
      </c>
      <c r="M41" s="124" t="n">
        <v>5</v>
      </c>
      <c r="N41" s="125" t="n">
        <v>0</v>
      </c>
      <c r="O41" s="125" t="n">
        <v>0</v>
      </c>
      <c r="P41" s="125"/>
      <c r="Q41" s="126" t="n">
        <f aca="false">1.38*1.02</f>
        <v>1.4076</v>
      </c>
      <c r="R41" s="126" t="n">
        <f aca="false">2.21*1.04</f>
        <v>2.2984</v>
      </c>
      <c r="S41" s="132" t="n">
        <v>0</v>
      </c>
      <c r="T41" s="128" t="n">
        <v>48.95</v>
      </c>
      <c r="U41" s="128" t="n">
        <v>0</v>
      </c>
      <c r="V41" s="128" t="n">
        <f aca="false">M41-N41-O41-Q41-R41-S41+T41+U41</f>
        <v>50.244</v>
      </c>
      <c r="W41" s="96"/>
      <c r="X41" s="96"/>
      <c r="Y41" s="128" t="n">
        <v>0</v>
      </c>
      <c r="Z41" s="129"/>
      <c r="AA41" s="130"/>
      <c r="AB41" s="128" t="n">
        <v>22</v>
      </c>
      <c r="AC41" s="96" t="n">
        <f aca="false">AC40-AB41</f>
        <v>4758</v>
      </c>
      <c r="AD41" s="128" t="n">
        <f aca="false">N41+O41+Q41+R41+S45+V41+Y41+AB41</f>
        <v>75.95</v>
      </c>
      <c r="AE41" s="128" t="n">
        <f aca="false">IF(L41&lt;0,L41*-1,0)</f>
        <v>14.2361078900933</v>
      </c>
      <c r="AF41" s="128" t="n">
        <f aca="false">AD41+AE41</f>
        <v>90.1861078900933</v>
      </c>
      <c r="AG41" s="98" t="n">
        <v>0</v>
      </c>
      <c r="AH41" s="133" t="n">
        <v>42</v>
      </c>
      <c r="AI41" s="100" t="n">
        <v>26</v>
      </c>
      <c r="AJ41" s="101" t="n">
        <f aca="false">V41*1.9835+AJ40</f>
        <v>3101.286007</v>
      </c>
      <c r="AK41" s="101"/>
      <c r="AL41" s="102"/>
      <c r="AM41" s="102"/>
      <c r="AN41" s="102"/>
    </row>
    <row r="42" customFormat="false" ht="3" hidden="false" customHeight="true" outlineLevel="0" collapsed="false">
      <c r="A42" s="106"/>
      <c r="B42" s="135"/>
      <c r="C42" s="108"/>
      <c r="D42" s="106"/>
      <c r="E42" s="108"/>
      <c r="F42" s="109"/>
      <c r="G42" s="106"/>
      <c r="H42" s="110"/>
      <c r="I42" s="106"/>
      <c r="J42" s="106"/>
      <c r="K42" s="106"/>
      <c r="L42" s="106"/>
      <c r="M42" s="111"/>
      <c r="N42" s="106"/>
      <c r="O42" s="106"/>
      <c r="P42" s="106"/>
      <c r="Q42" s="112"/>
      <c r="R42" s="112"/>
      <c r="S42" s="113"/>
      <c r="T42" s="112"/>
      <c r="U42" s="112"/>
      <c r="V42" s="112"/>
      <c r="W42" s="114"/>
      <c r="X42" s="114"/>
      <c r="Y42" s="112"/>
      <c r="Z42" s="115"/>
      <c r="AA42" s="113"/>
      <c r="AB42" s="112"/>
      <c r="AC42" s="112"/>
      <c r="AD42" s="112"/>
      <c r="AE42" s="112"/>
      <c r="AF42" s="112"/>
      <c r="AG42" s="116"/>
      <c r="AH42" s="117"/>
      <c r="AI42" s="118"/>
      <c r="AJ42" s="119"/>
      <c r="AK42" s="119"/>
      <c r="AL42" s="117"/>
      <c r="AM42" s="117"/>
      <c r="AN42" s="117"/>
      <c r="AO42" s="117"/>
    </row>
    <row r="43" customFormat="false" ht="12.95" hidden="false" customHeight="true" outlineLevel="0" collapsed="false">
      <c r="A43" s="16" t="s">
        <v>76</v>
      </c>
      <c r="B43" s="90"/>
      <c r="C43" s="91"/>
      <c r="D43" s="91"/>
      <c r="E43" s="91"/>
      <c r="F43" s="92" t="n">
        <f aca="false">SUM(F12:F41)</f>
        <v>-1303.75598689186</v>
      </c>
      <c r="G43" s="9" t="n">
        <f aca="false">SUM(G12:G41)</f>
        <v>2175</v>
      </c>
      <c r="H43" s="9" t="n">
        <f aca="false">SUM(H12:H41)</f>
        <v>44.343</v>
      </c>
      <c r="I43" s="9" t="n">
        <f aca="false">SUM(I12:I41)</f>
        <v>2219.343</v>
      </c>
      <c r="J43" s="9" t="n">
        <f aca="false">SUM(J12:J41)</f>
        <v>43.398928661457</v>
      </c>
      <c r="K43" s="9" t="n">
        <f aca="false">SUM(K12:K41)</f>
        <v>2262.74192866146</v>
      </c>
      <c r="L43" s="9" t="n">
        <f aca="false">SUM(L12:L41)</f>
        <v>-491.518986891858</v>
      </c>
      <c r="M43" s="93" t="n">
        <f aca="false">SUM(M12:M41)</f>
        <v>404.2</v>
      </c>
      <c r="N43" s="91" t="n">
        <f aca="false">SUM(N12:N41)</f>
        <v>0</v>
      </c>
      <c r="O43" s="91" t="n">
        <f aca="false">SUM(O12:O41)</f>
        <v>0</v>
      </c>
      <c r="P43" s="91"/>
      <c r="Q43" s="94" t="n">
        <f aca="false">SUM(Q12:Q41)</f>
        <v>42.228</v>
      </c>
      <c r="R43" s="94" t="n">
        <f aca="false">SUM(R12:R41)</f>
        <v>69.3264</v>
      </c>
      <c r="S43" s="95" t="n">
        <f aca="false">SUM(S13:S41)</f>
        <v>0</v>
      </c>
      <c r="T43" s="96" t="n">
        <f aca="false">SUM(T12:T41)</f>
        <v>1741.91</v>
      </c>
      <c r="U43" s="96" t="n">
        <f aca="false">SUM(U12:U41)</f>
        <v>151.47</v>
      </c>
      <c r="V43" s="96" t="n">
        <f aca="false">SUM(V12:V41)</f>
        <v>2186.0256</v>
      </c>
      <c r="W43" s="96"/>
      <c r="X43" s="96"/>
      <c r="Y43" s="96"/>
      <c r="Z43" s="97"/>
      <c r="AA43" s="95"/>
      <c r="AB43" s="96" t="n">
        <f aca="false">SUM(AB12:AB41)</f>
        <v>734</v>
      </c>
      <c r="AC43" s="96"/>
      <c r="AD43" s="96" t="n">
        <f aca="false">SUM(AD12:AD41)</f>
        <v>3031.58</v>
      </c>
      <c r="AE43" s="96" t="n">
        <f aca="false">SUM(AE12:AE41)</f>
        <v>534.917915553315</v>
      </c>
      <c r="AF43" s="96" t="n">
        <f aca="false">SUM(AF12:AF41)</f>
        <v>3566.49791555331</v>
      </c>
      <c r="AG43" s="98" t="n">
        <f aca="false">SUM(AG12:AG41)</f>
        <v>0.01</v>
      </c>
      <c r="AH43" s="99" t="n">
        <f aca="false">AVERAGE(AH12:AH41)</f>
        <v>52.1</v>
      </c>
      <c r="AI43" s="100" t="n">
        <f aca="false">AVERAGE(AI12:AI42)</f>
        <v>28.3333333333333</v>
      </c>
      <c r="AJ43" s="101" t="s">
        <v>77</v>
      </c>
      <c r="AK43" s="101" t="n">
        <f aca="false">SUM(AK12:AK41)</f>
        <v>622.4836</v>
      </c>
      <c r="AL43" s="102"/>
      <c r="AM43" s="102"/>
      <c r="AN43" s="102"/>
    </row>
    <row r="44" customFormat="false" ht="12.95" hidden="false" customHeight="true" outlineLevel="0" collapsed="false">
      <c r="A44" s="16" t="s">
        <v>78</v>
      </c>
      <c r="B44" s="90"/>
      <c r="C44" s="91"/>
      <c r="D44" s="91" t="n">
        <f aca="false">SUM(D12:D41)</f>
        <v>-2586</v>
      </c>
      <c r="E44" s="91"/>
      <c r="F44" s="92" t="n">
        <f aca="false">F43*$D$2</f>
        <v>-2586</v>
      </c>
      <c r="G44" s="9" t="n">
        <f aca="false">G43*$D$2</f>
        <v>4314.1125</v>
      </c>
      <c r="H44" s="9" t="n">
        <f aca="false">H43*$D$2</f>
        <v>87.9543405</v>
      </c>
      <c r="I44" s="9" t="n">
        <f aca="false">I43*$D$2</f>
        <v>4402.0668405</v>
      </c>
      <c r="J44" s="9" t="n">
        <f aca="false">J43*$D$2</f>
        <v>86.081775</v>
      </c>
      <c r="K44" s="9" t="n">
        <f aca="false">K43*$D$2</f>
        <v>4488.1486155</v>
      </c>
      <c r="L44" s="9" t="n">
        <f aca="false">L43*$D$2</f>
        <v>-974.9279105</v>
      </c>
      <c r="M44" s="93" t="n">
        <f aca="false">M43*$D$2</f>
        <v>801.7307</v>
      </c>
      <c r="N44" s="91" t="n">
        <f aca="false">N43*$D$2</f>
        <v>0</v>
      </c>
      <c r="O44" s="91" t="n">
        <f aca="false">O43*$D$2</f>
        <v>0</v>
      </c>
      <c r="P44" s="91"/>
      <c r="Q44" s="94" t="n">
        <f aca="false">Q43*$D$2</f>
        <v>83.759238</v>
      </c>
      <c r="R44" s="94" t="n">
        <f aca="false">R43*$D$2</f>
        <v>137.5089144</v>
      </c>
      <c r="S44" s="95" t="n">
        <f aca="false">S43*$D$2</f>
        <v>0</v>
      </c>
      <c r="T44" s="96" t="n">
        <f aca="false">T43*$D$2</f>
        <v>3455.078485</v>
      </c>
      <c r="U44" s="96" t="n">
        <f aca="false">U43*$D$2</f>
        <v>300.440745</v>
      </c>
      <c r="V44" s="96" t="n">
        <f aca="false">V43*$D$2</f>
        <v>4335.9817776</v>
      </c>
      <c r="W44" s="96"/>
      <c r="X44" s="96"/>
      <c r="Y44" s="96"/>
      <c r="Z44" s="97"/>
      <c r="AA44" s="95"/>
      <c r="AB44" s="96" t="n">
        <f aca="false">AB43*$D$2</f>
        <v>1455.889</v>
      </c>
      <c r="AC44" s="96"/>
      <c r="AD44" s="96" t="n">
        <f aca="false">AD43*$D$2</f>
        <v>6013.13893</v>
      </c>
      <c r="AE44" s="96" t="n">
        <f aca="false">AE43*$D$2</f>
        <v>1061.0096855</v>
      </c>
      <c r="AF44" s="136" t="n">
        <f aca="false">AF43*$D$2</f>
        <v>7074.1486155</v>
      </c>
      <c r="AG44" s="137"/>
      <c r="AH44" s="99" t="n">
        <f aca="false">MAX(AH12:AH41)</f>
        <v>69</v>
      </c>
      <c r="AI44" s="100" t="n">
        <f aca="false">MAX(AI12:AI42)</f>
        <v>43</v>
      </c>
      <c r="AJ44" s="101" t="s">
        <v>79</v>
      </c>
      <c r="AK44" s="101" t="n">
        <f aca="false">AK43*$D$2</f>
        <v>1234.6962206</v>
      </c>
      <c r="AL44" s="102"/>
      <c r="AM44" s="102"/>
      <c r="AN44" s="102"/>
    </row>
    <row r="45" customFormat="false" ht="3" hidden="false" customHeight="true" outlineLevel="0" collapsed="false">
      <c r="A45" s="138"/>
      <c r="B45" s="135"/>
      <c r="C45" s="108"/>
      <c r="D45" s="108"/>
      <c r="E45" s="108"/>
      <c r="F45" s="139"/>
      <c r="G45" s="108"/>
      <c r="H45" s="108"/>
      <c r="I45" s="108"/>
      <c r="J45" s="108"/>
      <c r="K45" s="108"/>
      <c r="L45" s="108"/>
      <c r="M45" s="140"/>
      <c r="N45" s="108"/>
      <c r="O45" s="108"/>
      <c r="P45" s="108"/>
      <c r="Q45" s="114"/>
      <c r="R45" s="114"/>
      <c r="S45" s="141"/>
      <c r="T45" s="114"/>
      <c r="U45" s="114"/>
      <c r="V45" s="114"/>
      <c r="W45" s="114"/>
      <c r="X45" s="114"/>
      <c r="Y45" s="114"/>
      <c r="Z45" s="142"/>
      <c r="AA45" s="141"/>
      <c r="AB45" s="114"/>
      <c r="AC45" s="112"/>
      <c r="AD45" s="114"/>
      <c r="AE45" s="114"/>
      <c r="AF45" s="143"/>
      <c r="AG45" s="114"/>
      <c r="AH45" s="114"/>
      <c r="AI45" s="143"/>
      <c r="AJ45" s="119"/>
      <c r="AK45" s="119"/>
      <c r="AL45" s="114"/>
      <c r="AM45" s="114"/>
      <c r="AN45" s="114"/>
      <c r="AO45" s="114"/>
    </row>
    <row r="46" customFormat="false" ht="12.95" hidden="false" customHeight="true" outlineLevel="0" collapsed="false">
      <c r="A46" s="16" t="s">
        <v>80</v>
      </c>
      <c r="B46" s="90"/>
      <c r="C46" s="91"/>
      <c r="D46" s="91"/>
      <c r="E46" s="91"/>
      <c r="F46" s="92"/>
      <c r="G46" s="9"/>
      <c r="H46" s="14"/>
      <c r="I46" s="9"/>
      <c r="J46" s="9"/>
      <c r="K46" s="9"/>
      <c r="L46" s="9"/>
      <c r="M46" s="93"/>
      <c r="N46" s="91"/>
      <c r="O46" s="91"/>
      <c r="P46" s="91"/>
      <c r="Q46" s="94"/>
      <c r="R46" s="94"/>
      <c r="S46" s="95"/>
      <c r="T46" s="96"/>
      <c r="U46" s="96"/>
      <c r="V46" s="96"/>
      <c r="W46" s="96"/>
      <c r="X46" s="96"/>
      <c r="Y46" s="96"/>
      <c r="Z46" s="97"/>
      <c r="AA46" s="95"/>
      <c r="AB46" s="96"/>
      <c r="AC46" s="96"/>
      <c r="AD46" s="96"/>
      <c r="AE46" s="96"/>
      <c r="AF46" s="136"/>
      <c r="AG46" s="137"/>
      <c r="AH46" s="99" t="n">
        <f aca="false">MIN(AH12:AH41)</f>
        <v>25</v>
      </c>
      <c r="AI46" s="100" t="n">
        <f aca="false">MIN(AI12:AI42)</f>
        <v>12</v>
      </c>
      <c r="AJ46" s="101" t="s">
        <v>81</v>
      </c>
      <c r="AK46" s="101"/>
      <c r="AL46" s="102"/>
      <c r="AM46" s="102"/>
      <c r="AN46" s="102"/>
    </row>
    <row r="47" customFormat="false" ht="12.95" hidden="false" customHeight="true" outlineLevel="0" collapsed="false">
      <c r="A47" s="16" t="s">
        <v>82</v>
      </c>
      <c r="B47" s="90"/>
      <c r="C47" s="91"/>
      <c r="D47" s="91"/>
      <c r="E47" s="91"/>
      <c r="F47" s="92"/>
      <c r="G47" s="9"/>
      <c r="H47" s="14"/>
      <c r="I47" s="9"/>
      <c r="J47" s="9"/>
      <c r="K47" s="9"/>
      <c r="L47" s="9"/>
      <c r="M47" s="93"/>
      <c r="N47" s="91"/>
      <c r="O47" s="91"/>
      <c r="P47" s="91"/>
      <c r="Q47" s="94"/>
      <c r="R47" s="94"/>
      <c r="S47" s="95"/>
      <c r="T47" s="96"/>
      <c r="U47" s="96"/>
      <c r="V47" s="96"/>
      <c r="W47" s="96"/>
      <c r="X47" s="96"/>
      <c r="Y47" s="96"/>
      <c r="Z47" s="97"/>
      <c r="AA47" s="95"/>
      <c r="AB47" s="96"/>
      <c r="AC47" s="96"/>
      <c r="AD47" s="96"/>
      <c r="AE47" s="96"/>
      <c r="AF47" s="96"/>
      <c r="AG47" s="98"/>
      <c r="AH47" s="99"/>
      <c r="AI47" s="100"/>
      <c r="AJ47" s="101"/>
      <c r="AK47" s="101"/>
      <c r="AL47" s="102"/>
      <c r="AM47" s="102"/>
      <c r="AN47" s="102"/>
    </row>
    <row r="48" customFormat="false" ht="3" hidden="false" customHeight="true" outlineLevel="0" collapsed="false">
      <c r="A48" s="138"/>
      <c r="B48" s="135"/>
      <c r="C48" s="108"/>
      <c r="D48" s="108"/>
      <c r="E48" s="108"/>
      <c r="F48" s="139"/>
      <c r="G48" s="108"/>
      <c r="H48" s="144"/>
      <c r="I48" s="108"/>
      <c r="J48" s="108"/>
      <c r="K48" s="108"/>
      <c r="L48" s="108"/>
      <c r="M48" s="140"/>
      <c r="N48" s="108"/>
      <c r="O48" s="108"/>
      <c r="P48" s="108"/>
      <c r="Q48" s="114"/>
      <c r="R48" s="114"/>
      <c r="S48" s="141"/>
      <c r="T48" s="114"/>
      <c r="U48" s="114"/>
      <c r="V48" s="114"/>
      <c r="W48" s="114"/>
      <c r="X48" s="114"/>
      <c r="Y48" s="114"/>
      <c r="Z48" s="142"/>
      <c r="AA48" s="141"/>
      <c r="AB48" s="114"/>
      <c r="AC48" s="114"/>
      <c r="AD48" s="114"/>
      <c r="AE48" s="114"/>
      <c r="AF48" s="114"/>
      <c r="AG48" s="116"/>
      <c r="AH48" s="114"/>
      <c r="AI48" s="143"/>
      <c r="AJ48" s="119"/>
      <c r="AK48" s="119"/>
      <c r="AL48" s="114"/>
      <c r="AM48" s="114"/>
      <c r="AN48" s="114"/>
      <c r="AO48" s="114"/>
    </row>
    <row r="49" customFormat="false" ht="12.95" hidden="false" customHeight="true" outlineLevel="0" collapsed="false">
      <c r="A49" s="16" t="s">
        <v>83</v>
      </c>
      <c r="B49" s="90"/>
      <c r="C49" s="91"/>
      <c r="D49" s="91"/>
      <c r="E49" s="91"/>
      <c r="F49" s="92" t="n">
        <f aca="false">F10+F43</f>
        <v>-1303.75598689186</v>
      </c>
      <c r="G49" s="9" t="n">
        <f aca="false">G10+G43</f>
        <v>2175</v>
      </c>
      <c r="H49" s="14" t="n">
        <f aca="false">H10+H43</f>
        <v>44.343</v>
      </c>
      <c r="I49" s="9" t="n">
        <f aca="false">I10+I43</f>
        <v>2219.343</v>
      </c>
      <c r="J49" s="9" t="n">
        <f aca="false">J10+J43</f>
        <v>43.398928661457</v>
      </c>
      <c r="K49" s="9" t="n">
        <f aca="false">K10+K43</f>
        <v>2262.74192866146</v>
      </c>
      <c r="L49" s="9" t="n">
        <f aca="false">L10+L43</f>
        <v>-491.518986891858</v>
      </c>
      <c r="M49" s="93" t="n">
        <f aca="false">M10+M43</f>
        <v>404.2</v>
      </c>
      <c r="N49" s="91" t="n">
        <f aca="false">N10+N43</f>
        <v>0</v>
      </c>
      <c r="O49" s="91" t="n">
        <v>0</v>
      </c>
      <c r="P49" s="91"/>
      <c r="Q49" s="94" t="n">
        <f aca="false">Q10+Q43</f>
        <v>42.228</v>
      </c>
      <c r="R49" s="94" t="n">
        <f aca="false">R10+R43</f>
        <v>69.3264</v>
      </c>
      <c r="S49" s="95" t="n">
        <f aca="false">S10+S43</f>
        <v>0</v>
      </c>
      <c r="T49" s="96" t="n">
        <f aca="false">T10+T43</f>
        <v>1741.91</v>
      </c>
      <c r="U49" s="96" t="n">
        <f aca="false">U10+U43</f>
        <v>151.47</v>
      </c>
      <c r="V49" s="96" t="n">
        <f aca="false">V10+V43</f>
        <v>2186.0256</v>
      </c>
      <c r="W49" s="96"/>
      <c r="X49" s="96"/>
      <c r="Y49" s="96"/>
      <c r="Z49" s="97"/>
      <c r="AA49" s="95"/>
      <c r="AB49" s="96" t="n">
        <f aca="false">AB10+AB43</f>
        <v>734</v>
      </c>
      <c r="AC49" s="96" t="n">
        <f aca="false">AC41</f>
        <v>4758</v>
      </c>
      <c r="AD49" s="96" t="n">
        <f aca="false">AD10+AD43</f>
        <v>3031.58</v>
      </c>
      <c r="AE49" s="96" t="n">
        <f aca="false">AE10+AE43</f>
        <v>534.917915553315</v>
      </c>
      <c r="AF49" s="96" t="n">
        <f aca="false">AF10+AF43</f>
        <v>3566.49791555331</v>
      </c>
      <c r="AG49" s="98" t="n">
        <f aca="false">AG10+AG43</f>
        <v>0.01</v>
      </c>
      <c r="AH49" s="99"/>
      <c r="AI49" s="100"/>
      <c r="AJ49" s="101"/>
      <c r="AK49" s="101" t="n">
        <f aca="false">AK10+AK43</f>
        <v>622.4836</v>
      </c>
      <c r="AL49" s="102"/>
      <c r="AM49" s="102"/>
      <c r="AN49" s="102"/>
    </row>
    <row r="50" customFormat="false" ht="12.95" hidden="false" customHeight="true" outlineLevel="0" collapsed="false">
      <c r="A50" s="16" t="s">
        <v>84</v>
      </c>
      <c r="B50" s="90"/>
      <c r="C50" s="91"/>
      <c r="D50" s="91" t="n">
        <f aca="false">D10+D44</f>
        <v>-2586</v>
      </c>
      <c r="E50" s="91" t="n">
        <f aca="false">E41</f>
        <v>144788</v>
      </c>
      <c r="F50" s="92" t="n">
        <f aca="false">F49*$D$2</f>
        <v>-2586</v>
      </c>
      <c r="G50" s="9" t="n">
        <f aca="false">G49*$D$2</f>
        <v>4314.1125</v>
      </c>
      <c r="H50" s="14" t="n">
        <f aca="false">H49*$D$2</f>
        <v>87.9543405</v>
      </c>
      <c r="I50" s="9" t="n">
        <f aca="false">I49*$D$2</f>
        <v>4402.0668405</v>
      </c>
      <c r="J50" s="9" t="n">
        <f aca="false">J49*$D$2</f>
        <v>86.081775</v>
      </c>
      <c r="K50" s="9" t="n">
        <f aca="false">K49*$D$2</f>
        <v>4488.1486155</v>
      </c>
      <c r="L50" s="9" t="n">
        <f aca="false">L49*$D$2</f>
        <v>-974.9279105</v>
      </c>
      <c r="M50" s="93" t="n">
        <f aca="false">M49*$D$2</f>
        <v>801.7307</v>
      </c>
      <c r="N50" s="91" t="n">
        <f aca="false">N49*$D$2</f>
        <v>0</v>
      </c>
      <c r="O50" s="91" t="n">
        <f aca="false">O49*$D$2</f>
        <v>0</v>
      </c>
      <c r="P50" s="91"/>
      <c r="Q50" s="94" t="n">
        <f aca="false">Q49*$D$2</f>
        <v>83.759238</v>
      </c>
      <c r="R50" s="94" t="n">
        <f aca="false">R49*$D$2</f>
        <v>137.5089144</v>
      </c>
      <c r="S50" s="95" t="n">
        <f aca="false">S49*$D$2</f>
        <v>0</v>
      </c>
      <c r="T50" s="96" t="n">
        <f aca="false">T49*$D$2</f>
        <v>3455.078485</v>
      </c>
      <c r="U50" s="96" t="n">
        <f aca="false">U49*$D$2</f>
        <v>300.440745</v>
      </c>
      <c r="V50" s="96" t="n">
        <f aca="false">V49*$D$2</f>
        <v>4335.9817776</v>
      </c>
      <c r="W50" s="96"/>
      <c r="X50" s="96"/>
      <c r="Y50" s="96"/>
      <c r="Z50" s="97"/>
      <c r="AA50" s="95"/>
      <c r="AB50" s="96" t="n">
        <f aca="false">AB49*$D$2</f>
        <v>1455.889</v>
      </c>
      <c r="AC50" s="96" t="n">
        <f aca="false">AC49*$D$2</f>
        <v>9437.493</v>
      </c>
      <c r="AD50" s="96" t="n">
        <f aca="false">AD49*$D$2</f>
        <v>6013.13893</v>
      </c>
      <c r="AE50" s="96" t="n">
        <f aca="false">AE49*$D$2</f>
        <v>1061.0096855</v>
      </c>
      <c r="AF50" s="96" t="n">
        <f aca="false">AF49*$D$2</f>
        <v>7074.1486155</v>
      </c>
      <c r="AG50" s="98"/>
      <c r="AH50" s="99"/>
      <c r="AI50" s="145"/>
      <c r="AJ50" s="101" t="n">
        <f aca="false">AJ41</f>
        <v>3101.286007</v>
      </c>
      <c r="AK50" s="101" t="n">
        <f aca="false">AK49*$D$2</f>
        <v>1234.6962206</v>
      </c>
      <c r="AL50" s="102"/>
      <c r="AM50" s="102"/>
      <c r="AN50" s="102"/>
    </row>
    <row r="51" customFormat="false" ht="3" hidden="false" customHeight="true" outlineLevel="0" collapsed="false">
      <c r="A51" s="106"/>
      <c r="B51" s="135"/>
      <c r="C51" s="108"/>
      <c r="D51" s="106"/>
      <c r="E51" s="108"/>
      <c r="F51" s="109"/>
      <c r="G51" s="106"/>
      <c r="H51" s="110"/>
      <c r="I51" s="106"/>
      <c r="J51" s="106"/>
      <c r="K51" s="106"/>
      <c r="L51" s="106"/>
      <c r="M51" s="111"/>
      <c r="N51" s="106"/>
      <c r="O51" s="106"/>
      <c r="P51" s="106"/>
      <c r="Q51" s="106"/>
      <c r="R51" s="106"/>
      <c r="S51" s="146"/>
      <c r="T51" s="106"/>
      <c r="U51" s="106"/>
      <c r="V51" s="106"/>
      <c r="W51" s="108"/>
      <c r="X51" s="108"/>
      <c r="Y51" s="106"/>
      <c r="Z51" s="111"/>
      <c r="AA51" s="146"/>
      <c r="AB51" s="106"/>
      <c r="AC51" s="108"/>
      <c r="AD51" s="106"/>
      <c r="AE51" s="106"/>
      <c r="AF51" s="106"/>
      <c r="AG51" s="106"/>
      <c r="AH51" s="106"/>
      <c r="AI51" s="106"/>
      <c r="AJ51" s="147"/>
      <c r="AK51" s="147"/>
      <c r="AL51" s="106"/>
      <c r="AM51" s="148"/>
      <c r="AN51" s="149"/>
      <c r="AO51" s="149"/>
    </row>
    <row r="52" customFormat="false" ht="14.1" hidden="false" customHeight="true" outlineLevel="0" collapsed="false">
      <c r="A52" s="150"/>
      <c r="B52" s="151"/>
      <c r="C52" s="9"/>
      <c r="D52" s="8"/>
      <c r="E52" s="9"/>
      <c r="F52" s="8"/>
      <c r="G52" s="8"/>
      <c r="H52" s="13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9"/>
      <c r="X52" s="9"/>
      <c r="Y52" s="8"/>
      <c r="Z52" s="8"/>
      <c r="AA52" s="8"/>
      <c r="AB52" s="8"/>
      <c r="AC52" s="9"/>
      <c r="AD52" s="8"/>
      <c r="AE52" s="8"/>
      <c r="AF52" s="13"/>
      <c r="AG52" s="13"/>
      <c r="AH52" s="14"/>
      <c r="AI52" s="14"/>
      <c r="AJ52" s="89"/>
      <c r="AK52" s="89"/>
    </row>
    <row r="53" customFormat="false" ht="11.1" hidden="false" customHeight="true" outlineLevel="0" collapsed="false">
      <c r="A53" s="8"/>
      <c r="B53" s="152"/>
      <c r="C53" s="9"/>
      <c r="D53" s="153"/>
      <c r="E53" s="9"/>
      <c r="F53" s="8"/>
      <c r="G53" s="8"/>
      <c r="H53" s="13"/>
      <c r="I53" s="10"/>
      <c r="J53" s="8"/>
      <c r="K53" s="154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9"/>
      <c r="X53" s="9"/>
      <c r="Y53" s="8"/>
      <c r="Z53" s="8"/>
      <c r="AA53" s="8"/>
      <c r="AB53" s="8"/>
      <c r="AC53" s="9"/>
      <c r="AD53" s="8"/>
      <c r="AE53" s="8"/>
      <c r="AF53" s="13"/>
      <c r="AG53" s="13"/>
      <c r="AH53" s="14"/>
      <c r="AI53" s="14"/>
      <c r="AJ53" s="89"/>
      <c r="AK53" s="89"/>
    </row>
    <row r="54" customFormat="false" ht="11.1" hidden="false" customHeight="true" outlineLevel="0" collapsed="false">
      <c r="B54" s="153"/>
      <c r="C54" s="9"/>
      <c r="D54" s="9"/>
      <c r="E54" s="9"/>
      <c r="F54" s="153"/>
      <c r="G54" s="153"/>
      <c r="H54" s="13"/>
      <c r="I54" s="153"/>
      <c r="J54" s="153"/>
      <c r="K54" s="153"/>
      <c r="L54" s="153"/>
      <c r="M54" s="123"/>
      <c r="N54" s="123"/>
      <c r="O54" s="123"/>
      <c r="P54" s="123"/>
      <c r="Q54" s="123"/>
      <c r="R54" s="123"/>
      <c r="S54" s="123"/>
      <c r="T54" s="153"/>
      <c r="U54" s="153"/>
      <c r="V54" s="153"/>
      <c r="W54" s="9"/>
      <c r="X54" s="9"/>
      <c r="Y54" s="153"/>
      <c r="Z54" s="153"/>
      <c r="AA54" s="153"/>
      <c r="AB54" s="153"/>
      <c r="AC54" s="9"/>
      <c r="AD54" s="153"/>
      <c r="AE54" s="153"/>
      <c r="AF54" s="13"/>
      <c r="AG54" s="13"/>
      <c r="AH54" s="14"/>
      <c r="AI54" s="14"/>
      <c r="AJ54" s="89"/>
      <c r="AK54" s="89"/>
    </row>
    <row r="55" customFormat="false" ht="11.1" hidden="false" customHeight="true" outlineLevel="0" collapsed="false">
      <c r="A55" s="153"/>
      <c r="B55" s="12"/>
      <c r="C55" s="9"/>
      <c r="D55" s="9"/>
      <c r="E55" s="9"/>
      <c r="F55" s="153"/>
      <c r="G55" s="153"/>
      <c r="H55" s="13"/>
      <c r="I55" s="153"/>
      <c r="J55" s="153"/>
      <c r="K55" s="153"/>
      <c r="L55" s="153"/>
      <c r="M55" s="123"/>
      <c r="N55" s="123"/>
      <c r="O55" s="123"/>
      <c r="P55" s="123"/>
      <c r="Q55" s="123"/>
      <c r="R55" s="123"/>
      <c r="S55" s="123"/>
      <c r="T55" s="153"/>
      <c r="U55" s="153"/>
      <c r="V55" s="153"/>
      <c r="W55" s="9"/>
      <c r="X55" s="9"/>
      <c r="Y55" s="153"/>
      <c r="Z55" s="153"/>
      <c r="AA55" s="153"/>
      <c r="AB55" s="153"/>
      <c r="AC55" s="9"/>
      <c r="AD55" s="153"/>
      <c r="AE55" s="153"/>
      <c r="AF55" s="13"/>
      <c r="AG55" s="13"/>
      <c r="AH55" s="14"/>
      <c r="AI55" s="14"/>
      <c r="AJ55" s="89"/>
      <c r="AK55" s="89"/>
    </row>
    <row r="56" customFormat="false" ht="11.1" hidden="false" customHeight="true" outlineLevel="0" collapsed="false">
      <c r="A56" s="153"/>
      <c r="B56" s="153"/>
      <c r="C56" s="9"/>
      <c r="D56" s="153"/>
      <c r="E56" s="9"/>
      <c r="F56" s="153"/>
      <c r="G56" s="155"/>
      <c r="H56" s="13"/>
      <c r="I56" s="153"/>
      <c r="J56" s="153"/>
      <c r="K56" s="153"/>
      <c r="L56" s="153"/>
      <c r="M56" s="123"/>
      <c r="N56" s="123"/>
      <c r="O56" s="123"/>
      <c r="P56" s="123"/>
      <c r="Q56" s="123"/>
      <c r="R56" s="123"/>
      <c r="S56" s="153"/>
      <c r="T56" s="153"/>
      <c r="U56" s="153"/>
      <c r="V56" s="9"/>
      <c r="W56" s="153"/>
      <c r="X56" s="153"/>
      <c r="Y56" s="153"/>
      <c r="Z56" s="9"/>
      <c r="AA56" s="9"/>
      <c r="AB56" s="9"/>
      <c r="AC56" s="153"/>
      <c r="AD56" s="153"/>
      <c r="AE56" s="153"/>
      <c r="AF56" s="13"/>
      <c r="AG56" s="13"/>
      <c r="AH56" s="14"/>
      <c r="AI56" s="15"/>
    </row>
  </sheetData>
  <mergeCells count="1">
    <mergeCell ref="M5:S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10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H19" activePane="bottomRight" state="frozen"/>
      <selection pane="topLeft" activeCell="A1" activeCellId="0" sqref="A1"/>
      <selection pane="topRight" activeCell="H1" activeCellId="0" sqref="H1"/>
      <selection pane="bottomLeft" activeCell="A19" activeCellId="0" sqref="A19"/>
      <selection pane="bottomRight" activeCell="AB43" activeCellId="0" sqref="AB43"/>
    </sheetView>
  </sheetViews>
  <sheetFormatPr defaultColWidth="9.328125" defaultRowHeight="11.1" zeroHeight="false" outlineLevelRow="0" outlineLevelCol="0"/>
  <cols>
    <col collapsed="false" customWidth="true" hidden="false" outlineLevel="0" max="1" min="1" style="156" width="4.66"/>
    <col collapsed="false" customWidth="true" hidden="false" outlineLevel="0" max="2" min="2" style="156" width="6.99"/>
    <col collapsed="false" customWidth="true" hidden="false" outlineLevel="0" max="3" min="3" style="157" width="6.32"/>
    <col collapsed="false" customWidth="true" hidden="false" outlineLevel="0" max="4" min="4" style="156" width="6.99"/>
    <col collapsed="false" customWidth="true" hidden="false" outlineLevel="0" max="5" min="5" style="157" width="6.99"/>
    <col collapsed="false" customWidth="true" hidden="false" outlineLevel="0" max="6" min="6" style="156" width="7.32"/>
    <col collapsed="false" customWidth="true" hidden="false" outlineLevel="0" max="7" min="7" style="156" width="6.82"/>
    <col collapsed="false" customWidth="true" hidden="false" outlineLevel="0" max="8" min="8" style="158" width="5.66"/>
    <col collapsed="false" customWidth="true" hidden="false" outlineLevel="0" max="11" min="9" style="156" width="6.32"/>
    <col collapsed="false" customWidth="true" hidden="false" outlineLevel="0" max="12" min="12" style="156" width="7.16"/>
    <col collapsed="false" customWidth="true" hidden="false" outlineLevel="0" max="13" min="13" style="159" width="5.49"/>
    <col collapsed="false" customWidth="true" hidden="false" outlineLevel="0" max="14" min="14" style="159" width="4.49"/>
    <col collapsed="false" customWidth="true" hidden="false" outlineLevel="0" max="15" min="15" style="159" width="5.49"/>
    <col collapsed="false" customWidth="true" hidden="false" outlineLevel="0" max="16" min="16" style="159" width="4.82"/>
    <col collapsed="false" customWidth="true" hidden="false" outlineLevel="0" max="19" min="17" style="156" width="4.32"/>
    <col collapsed="false" customWidth="true" hidden="false" outlineLevel="0" max="21" min="20" style="156" width="5.49"/>
    <col collapsed="false" customWidth="true" hidden="false" outlineLevel="0" max="22" min="22" style="157" width="6.32"/>
    <col collapsed="false" customWidth="true" hidden="false" outlineLevel="0" max="23" min="23" style="159" width="5.49"/>
    <col collapsed="false" customWidth="true" hidden="false" outlineLevel="0" max="27" min="24" style="156" width="5.49"/>
    <col collapsed="false" customWidth="true" hidden="false" outlineLevel="0" max="28" min="28" style="157" width="6.82"/>
    <col collapsed="false" customWidth="true" hidden="false" outlineLevel="0" max="29" min="29" style="156" width="5.49"/>
    <col collapsed="false" customWidth="true" hidden="false" outlineLevel="0" max="30" min="30" style="156" width="6.32"/>
    <col collapsed="false" customWidth="true" hidden="false" outlineLevel="0" max="31" min="31" style="156" width="6.99"/>
    <col collapsed="false" customWidth="true" hidden="false" outlineLevel="0" max="32" min="32" style="160" width="6.99"/>
    <col collapsed="false" customWidth="true" hidden="false" outlineLevel="0" max="33" min="33" style="158" width="5.32"/>
    <col collapsed="false" customWidth="true" hidden="false" outlineLevel="0" max="34" min="34" style="161" width="3.82"/>
    <col collapsed="false" customWidth="true" hidden="false" outlineLevel="0" max="35" min="35" style="162" width="3.82"/>
    <col collapsed="false" customWidth="true" hidden="false" outlineLevel="0" max="37" min="36" style="156" width="5.49"/>
    <col collapsed="false" customWidth="true" hidden="false" outlineLevel="0" max="38" min="38" style="156" width="6.32"/>
    <col collapsed="false" customWidth="true" hidden="false" outlineLevel="0" max="40" min="39" style="163" width="6.32"/>
    <col collapsed="false" customWidth="true" hidden="false" outlineLevel="0" max="41" min="41" style="156" width="6.49"/>
    <col collapsed="false" customWidth="false" hidden="false" outlineLevel="0" max="257" min="42" style="156" width="9.32"/>
  </cols>
  <sheetData>
    <row r="1" customFormat="false" ht="14.1" hidden="false" customHeight="true" outlineLevel="0" collapsed="false">
      <c r="A1" s="164"/>
      <c r="B1" s="164"/>
      <c r="C1" s="165"/>
      <c r="D1" s="164"/>
      <c r="E1" s="165"/>
      <c r="F1" s="164"/>
      <c r="G1" s="164"/>
      <c r="H1" s="166"/>
      <c r="I1" s="164"/>
      <c r="J1" s="164"/>
      <c r="K1" s="167" t="s">
        <v>0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8"/>
      <c r="X1" s="164"/>
      <c r="Y1" s="164"/>
      <c r="Z1" s="164"/>
      <c r="AA1" s="164"/>
      <c r="AB1" s="165"/>
      <c r="AC1" s="164"/>
      <c r="AD1" s="164"/>
      <c r="AE1" s="164"/>
      <c r="AF1" s="169"/>
      <c r="AG1" s="170"/>
      <c r="AH1" s="171"/>
      <c r="AI1" s="172"/>
    </row>
    <row r="2" customFormat="false" ht="14.1" hidden="false" customHeight="true" outlineLevel="0" collapsed="false">
      <c r="A2" s="173" t="s">
        <v>1</v>
      </c>
      <c r="B2" s="164"/>
      <c r="C2" s="165"/>
      <c r="D2" s="174" t="n">
        <v>1.9835</v>
      </c>
      <c r="E2" s="165"/>
      <c r="F2" s="164"/>
      <c r="G2" s="164"/>
      <c r="H2" s="166"/>
      <c r="I2" s="164"/>
      <c r="J2" s="164"/>
      <c r="K2" s="175" t="s">
        <v>85</v>
      </c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64"/>
      <c r="Z2" s="164"/>
      <c r="AA2" s="164"/>
      <c r="AB2" s="165"/>
      <c r="AC2" s="164"/>
      <c r="AD2" s="164"/>
      <c r="AE2" s="164"/>
      <c r="AF2" s="169"/>
      <c r="AG2" s="170"/>
      <c r="AH2" s="171"/>
      <c r="AI2" s="172"/>
    </row>
    <row r="3" customFormat="false" ht="14.1" hidden="false" customHeight="true" outlineLevel="0" collapsed="false">
      <c r="A3" s="176"/>
      <c r="B3" s="176"/>
      <c r="C3" s="177"/>
      <c r="D3" s="178"/>
      <c r="E3" s="177"/>
      <c r="F3" s="176"/>
      <c r="G3" s="176"/>
      <c r="H3" s="179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7"/>
      <c r="W3" s="180"/>
      <c r="X3" s="176"/>
      <c r="Y3" s="176"/>
      <c r="Z3" s="176"/>
      <c r="AA3" s="176"/>
      <c r="AB3" s="177"/>
      <c r="AC3" s="176"/>
      <c r="AD3" s="176"/>
      <c r="AE3" s="176"/>
      <c r="AF3" s="181"/>
      <c r="AG3" s="182"/>
      <c r="AH3" s="183"/>
      <c r="AI3" s="184"/>
      <c r="AJ3" s="185"/>
      <c r="AK3" s="185"/>
      <c r="AL3" s="185"/>
      <c r="AM3" s="186"/>
    </row>
    <row r="4" s="200" customFormat="true" ht="14.1" hidden="false" customHeight="true" outlineLevel="0" collapsed="false">
      <c r="A4" s="187"/>
      <c r="B4" s="188"/>
      <c r="C4" s="189"/>
      <c r="D4" s="190" t="s">
        <v>3</v>
      </c>
      <c r="E4" s="189"/>
      <c r="F4" s="191"/>
      <c r="G4" s="187"/>
      <c r="H4" s="192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93" t="s">
        <v>4</v>
      </c>
      <c r="U4" s="187"/>
      <c r="V4" s="194"/>
      <c r="W4" s="195"/>
      <c r="X4" s="187"/>
      <c r="Y4" s="187"/>
      <c r="Z4" s="187"/>
      <c r="AA4" s="187"/>
      <c r="AB4" s="194"/>
      <c r="AC4" s="187"/>
      <c r="AD4" s="187"/>
      <c r="AE4" s="187"/>
      <c r="AF4" s="196"/>
      <c r="AG4" s="197"/>
      <c r="AH4" s="198" t="s">
        <v>5</v>
      </c>
      <c r="AI4" s="199"/>
      <c r="AL4" s="201" t="s">
        <v>6</v>
      </c>
      <c r="AM4" s="202"/>
      <c r="AN4" s="203"/>
      <c r="AO4" s="204"/>
    </row>
    <row r="5" customFormat="false" ht="12.95" hidden="false" customHeight="true" outlineLevel="0" collapsed="false">
      <c r="A5" s="205" t="s">
        <v>7</v>
      </c>
      <c r="B5" s="206" t="s">
        <v>8</v>
      </c>
      <c r="C5" s="207" t="s">
        <v>8</v>
      </c>
      <c r="D5" s="205" t="s">
        <v>9</v>
      </c>
      <c r="E5" s="207" t="s">
        <v>10</v>
      </c>
      <c r="F5" s="208" t="s">
        <v>11</v>
      </c>
      <c r="G5" s="205" t="s">
        <v>12</v>
      </c>
      <c r="H5" s="209" t="s">
        <v>13</v>
      </c>
      <c r="I5" s="205" t="s">
        <v>14</v>
      </c>
      <c r="J5" s="205" t="s">
        <v>15</v>
      </c>
      <c r="K5" s="205" t="s">
        <v>16</v>
      </c>
      <c r="L5" s="205" t="s">
        <v>15</v>
      </c>
      <c r="M5" s="210" t="s">
        <v>17</v>
      </c>
      <c r="N5" s="210"/>
      <c r="O5" s="210"/>
      <c r="P5" s="210"/>
      <c r="Q5" s="210"/>
      <c r="R5" s="210"/>
      <c r="S5" s="210"/>
      <c r="T5" s="205" t="s">
        <v>18</v>
      </c>
      <c r="U5" s="205" t="s">
        <v>19</v>
      </c>
      <c r="V5" s="205" t="s">
        <v>16</v>
      </c>
      <c r="W5" s="211" t="s">
        <v>20</v>
      </c>
      <c r="X5" s="207" t="s">
        <v>20</v>
      </c>
      <c r="Y5" s="205" t="s">
        <v>21</v>
      </c>
      <c r="Z5" s="212" t="s">
        <v>86</v>
      </c>
      <c r="AA5" s="213"/>
      <c r="AB5" s="205" t="s">
        <v>23</v>
      </c>
      <c r="AC5" s="207" t="s">
        <v>24</v>
      </c>
      <c r="AD5" s="205" t="s">
        <v>14</v>
      </c>
      <c r="AE5" s="205" t="s">
        <v>15</v>
      </c>
      <c r="AF5" s="205" t="s">
        <v>16</v>
      </c>
      <c r="AG5" s="214" t="s">
        <v>25</v>
      </c>
      <c r="AH5" s="215" t="s">
        <v>26</v>
      </c>
      <c r="AI5" s="216" t="s">
        <v>27</v>
      </c>
      <c r="AJ5" s="215" t="s">
        <v>87</v>
      </c>
      <c r="AK5" s="215" t="s">
        <v>20</v>
      </c>
      <c r="AL5" s="217" t="s">
        <v>88</v>
      </c>
      <c r="AM5" s="217" t="s">
        <v>20</v>
      </c>
      <c r="AN5" s="218" t="s">
        <v>29</v>
      </c>
      <c r="AO5" s="219" t="s">
        <v>30</v>
      </c>
    </row>
    <row r="6" customFormat="false" ht="12.95" hidden="false" customHeight="true" outlineLevel="0" collapsed="false">
      <c r="A6" s="220" t="s">
        <v>89</v>
      </c>
      <c r="B6" s="206" t="s">
        <v>32</v>
      </c>
      <c r="C6" s="207" t="s">
        <v>9</v>
      </c>
      <c r="D6" s="205" t="s">
        <v>33</v>
      </c>
      <c r="E6" s="207" t="s">
        <v>34</v>
      </c>
      <c r="F6" s="208" t="s">
        <v>35</v>
      </c>
      <c r="G6" s="205" t="s">
        <v>36</v>
      </c>
      <c r="H6" s="209" t="s">
        <v>37</v>
      </c>
      <c r="I6" s="205" t="s">
        <v>38</v>
      </c>
      <c r="J6" s="205" t="s">
        <v>38</v>
      </c>
      <c r="K6" s="205" t="s">
        <v>38</v>
      </c>
      <c r="L6" s="205" t="s">
        <v>39</v>
      </c>
      <c r="M6" s="221" t="s">
        <v>40</v>
      </c>
      <c r="N6" s="205" t="s">
        <v>41</v>
      </c>
      <c r="O6" s="205" t="s">
        <v>90</v>
      </c>
      <c r="P6" s="205" t="s">
        <v>43</v>
      </c>
      <c r="Q6" s="205" t="s">
        <v>44</v>
      </c>
      <c r="R6" s="205" t="s">
        <v>45</v>
      </c>
      <c r="S6" s="222" t="s">
        <v>46</v>
      </c>
      <c r="T6" s="205" t="s">
        <v>47</v>
      </c>
      <c r="U6" s="205" t="s">
        <v>48</v>
      </c>
      <c r="V6" s="205" t="s">
        <v>20</v>
      </c>
      <c r="W6" s="211" t="s">
        <v>91</v>
      </c>
      <c r="X6" s="207" t="s">
        <v>50</v>
      </c>
      <c r="Y6" s="205" t="s">
        <v>51</v>
      </c>
      <c r="Z6" s="221"/>
      <c r="AA6" s="222"/>
      <c r="AB6" s="205" t="s">
        <v>54</v>
      </c>
      <c r="AC6" s="207" t="s">
        <v>55</v>
      </c>
      <c r="AD6" s="205" t="s">
        <v>56</v>
      </c>
      <c r="AE6" s="205" t="s">
        <v>56</v>
      </c>
      <c r="AF6" s="205" t="s">
        <v>56</v>
      </c>
      <c r="AG6" s="223"/>
      <c r="AH6" s="215" t="s">
        <v>57</v>
      </c>
      <c r="AI6" s="216" t="s">
        <v>57</v>
      </c>
      <c r="AJ6" s="224" t="s">
        <v>58</v>
      </c>
      <c r="AK6" s="224" t="s">
        <v>59</v>
      </c>
      <c r="AL6" s="217" t="s">
        <v>60</v>
      </c>
      <c r="AM6" s="217" t="s">
        <v>60</v>
      </c>
      <c r="AN6" s="218" t="s">
        <v>61</v>
      </c>
      <c r="AO6" s="225" t="s">
        <v>62</v>
      </c>
    </row>
    <row r="7" customFormat="false" ht="12.95" hidden="false" customHeight="true" outlineLevel="0" collapsed="false">
      <c r="A7" s="226"/>
      <c r="B7" s="227"/>
      <c r="C7" s="228"/>
      <c r="D7" s="226"/>
      <c r="E7" s="229" t="s">
        <v>63</v>
      </c>
      <c r="F7" s="230"/>
      <c r="G7" s="226"/>
      <c r="H7" s="231"/>
      <c r="I7" s="226"/>
      <c r="J7" s="226"/>
      <c r="K7" s="226"/>
      <c r="L7" s="226"/>
      <c r="M7" s="232"/>
      <c r="N7" s="233" t="s">
        <v>64</v>
      </c>
      <c r="O7" s="233" t="s">
        <v>65</v>
      </c>
      <c r="P7" s="233"/>
      <c r="Q7" s="233"/>
      <c r="R7" s="233"/>
      <c r="S7" s="234" t="s">
        <v>42</v>
      </c>
      <c r="T7" s="226"/>
      <c r="U7" s="226"/>
      <c r="V7" s="226"/>
      <c r="W7" s="235"/>
      <c r="X7" s="229" t="s">
        <v>92</v>
      </c>
      <c r="Y7" s="226"/>
      <c r="Z7" s="232"/>
      <c r="AA7" s="236"/>
      <c r="AB7" s="226"/>
      <c r="AC7" s="228"/>
      <c r="AD7" s="226"/>
      <c r="AE7" s="226"/>
      <c r="AF7" s="226"/>
      <c r="AG7" s="237"/>
      <c r="AH7" s="224"/>
      <c r="AI7" s="238"/>
      <c r="AJ7" s="224" t="s">
        <v>67</v>
      </c>
      <c r="AK7" s="224" t="s">
        <v>67</v>
      </c>
      <c r="AL7" s="217" t="s">
        <v>68</v>
      </c>
      <c r="AM7" s="217" t="s">
        <v>93</v>
      </c>
      <c r="AN7" s="218" t="s">
        <v>70</v>
      </c>
      <c r="AO7" s="225" t="s">
        <v>71</v>
      </c>
    </row>
    <row r="8" customFormat="false" ht="12.95" hidden="false" customHeight="true" outlineLevel="0" collapsed="false">
      <c r="A8" s="226"/>
      <c r="B8" s="227"/>
      <c r="C8" s="228"/>
      <c r="D8" s="226"/>
      <c r="E8" s="228"/>
      <c r="F8" s="230"/>
      <c r="G8" s="226"/>
      <c r="H8" s="231"/>
      <c r="I8" s="226"/>
      <c r="J8" s="226"/>
      <c r="K8" s="226"/>
      <c r="L8" s="226"/>
      <c r="M8" s="232"/>
      <c r="N8" s="239" t="n">
        <v>1.03</v>
      </c>
      <c r="O8" s="239" t="n">
        <v>1.05</v>
      </c>
      <c r="P8" s="239" t="n">
        <v>1.02</v>
      </c>
      <c r="Q8" s="239" t="n">
        <v>1.02</v>
      </c>
      <c r="R8" s="239" t="n">
        <v>1.04</v>
      </c>
      <c r="S8" s="234" t="s">
        <v>53</v>
      </c>
      <c r="T8" s="226"/>
      <c r="U8" s="226"/>
      <c r="V8" s="226"/>
      <c r="W8" s="240"/>
      <c r="X8" s="229" t="s">
        <v>72</v>
      </c>
      <c r="Y8" s="226"/>
      <c r="Z8" s="232"/>
      <c r="AA8" s="236"/>
      <c r="AB8" s="226"/>
      <c r="AC8" s="228"/>
      <c r="AD8" s="226"/>
      <c r="AE8" s="226"/>
      <c r="AF8" s="226"/>
      <c r="AG8" s="237"/>
      <c r="AH8" s="172"/>
      <c r="AI8" s="238"/>
      <c r="AJ8" s="172"/>
      <c r="AK8" s="172"/>
      <c r="AL8" s="217"/>
      <c r="AM8" s="217" t="s">
        <v>67</v>
      </c>
    </row>
    <row r="9" customFormat="false" ht="12.95" hidden="false" customHeight="true" outlineLevel="0" collapsed="false">
      <c r="A9" s="173" t="s">
        <v>74</v>
      </c>
      <c r="B9" s="241"/>
      <c r="C9" s="105"/>
      <c r="D9" s="105"/>
      <c r="E9" s="105"/>
      <c r="F9" s="242"/>
      <c r="G9" s="105"/>
      <c r="H9" s="243"/>
      <c r="I9" s="105"/>
      <c r="J9" s="105"/>
      <c r="K9" s="105"/>
      <c r="L9" s="105"/>
      <c r="M9" s="244"/>
      <c r="N9" s="105"/>
      <c r="O9" s="105"/>
      <c r="P9" s="105"/>
      <c r="Q9" s="105"/>
      <c r="R9" s="105"/>
      <c r="S9" s="245"/>
      <c r="T9" s="105"/>
      <c r="U9" s="105"/>
      <c r="V9" s="105"/>
      <c r="W9" s="246"/>
      <c r="X9" s="105"/>
      <c r="Y9" s="105"/>
      <c r="Z9" s="244"/>
      <c r="AA9" s="245"/>
      <c r="AB9" s="105"/>
      <c r="AC9" s="105"/>
      <c r="AD9" s="105"/>
      <c r="AE9" s="105"/>
      <c r="AF9" s="105"/>
      <c r="AG9" s="247"/>
      <c r="AH9" s="243"/>
      <c r="AI9" s="248"/>
      <c r="AJ9" s="243"/>
      <c r="AK9" s="243"/>
      <c r="AL9" s="249"/>
      <c r="AM9" s="249"/>
      <c r="AN9" s="249"/>
    </row>
    <row r="10" s="157" customFormat="true" ht="12.95" hidden="false" customHeight="true" outlineLevel="0" collapsed="false">
      <c r="A10" s="250" t="s">
        <v>75</v>
      </c>
      <c r="B10" s="104" t="n">
        <f aca="false">NOV!B41</f>
        <v>6903.53</v>
      </c>
      <c r="C10" s="105" t="n">
        <f aca="false">NOV!C41</f>
        <v>296788</v>
      </c>
      <c r="D10" s="105" t="n">
        <f aca="false">NOV!D50</f>
        <v>-2586</v>
      </c>
      <c r="E10" s="105" t="n">
        <f aca="false">NOV!E50</f>
        <v>144788</v>
      </c>
      <c r="F10" s="242" t="n">
        <f aca="false">NOV!F49</f>
        <v>-1303.75598689186</v>
      </c>
      <c r="G10" s="105" t="n">
        <f aca="false">NOV!G49</f>
        <v>2175</v>
      </c>
      <c r="H10" s="243" t="n">
        <f aca="false">NOV!H49</f>
        <v>44.343</v>
      </c>
      <c r="I10" s="105" t="n">
        <f aca="false">NOV!I49</f>
        <v>2219.343</v>
      </c>
      <c r="J10" s="105" t="n">
        <f aca="false">NOV!J49</f>
        <v>43.398928661457</v>
      </c>
      <c r="K10" s="105" t="n">
        <f aca="false">NOV!K49</f>
        <v>2262.74192866146</v>
      </c>
      <c r="L10" s="105" t="n">
        <f aca="false">NOV!L49</f>
        <v>-491.518986891858</v>
      </c>
      <c r="M10" s="244" t="n">
        <f aca="false">NOV!M49</f>
        <v>404.2</v>
      </c>
      <c r="N10" s="105" t="n">
        <f aca="false">NOV!N49</f>
        <v>0</v>
      </c>
      <c r="O10" s="105" t="n">
        <f aca="false">NOV!O49</f>
        <v>0</v>
      </c>
      <c r="P10" s="105"/>
      <c r="Q10" s="105" t="n">
        <f aca="false">NOV!Q49</f>
        <v>42.228</v>
      </c>
      <c r="R10" s="105" t="n">
        <f aca="false">NOV!R49</f>
        <v>69.3264</v>
      </c>
      <c r="S10" s="251" t="n">
        <f aca="false">NOV!S49</f>
        <v>0</v>
      </c>
      <c r="T10" s="105" t="n">
        <f aca="false">NOV!T49</f>
        <v>1741.91</v>
      </c>
      <c r="U10" s="105" t="n">
        <f aca="false">NOV!U49</f>
        <v>151.47</v>
      </c>
      <c r="V10" s="105" t="n">
        <f aca="false">NOV!V49</f>
        <v>2186.0256</v>
      </c>
      <c r="W10" s="246"/>
      <c r="X10" s="105"/>
      <c r="Y10" s="105"/>
      <c r="Z10" s="244"/>
      <c r="AA10" s="245"/>
      <c r="AB10" s="105" t="n">
        <f aca="false">NOV!AB49</f>
        <v>734</v>
      </c>
      <c r="AC10" s="105" t="n">
        <f aca="false">NOV!AC49</f>
        <v>4758</v>
      </c>
      <c r="AD10" s="105" t="n">
        <f aca="false">NOV!AD49</f>
        <v>3031.58</v>
      </c>
      <c r="AE10" s="105" t="n">
        <f aca="false">NOV!AE49</f>
        <v>534.917915553315</v>
      </c>
      <c r="AF10" s="105" t="n">
        <f aca="false">NOV!AF49</f>
        <v>3566.49791555331</v>
      </c>
      <c r="AG10" s="247" t="n">
        <f aca="false">NOV!AG49</f>
        <v>0.01</v>
      </c>
      <c r="AH10" s="243"/>
      <c r="AI10" s="248"/>
      <c r="AJ10" s="243" t="n">
        <f aca="false">NOV!AJ50</f>
        <v>3101.286007</v>
      </c>
      <c r="AK10" s="243" t="n">
        <f aca="false">NOV!AK49</f>
        <v>622.4836</v>
      </c>
      <c r="AL10" s="105"/>
      <c r="AM10" s="105"/>
      <c r="AN10" s="105"/>
    </row>
    <row r="11" customFormat="false" ht="3" hidden="false" customHeight="true" outlineLevel="0" collapsed="false">
      <c r="A11" s="252"/>
      <c r="B11" s="253"/>
      <c r="C11" s="254"/>
      <c r="D11" s="255"/>
      <c r="E11" s="254"/>
      <c r="F11" s="256"/>
      <c r="G11" s="255"/>
      <c r="H11" s="257"/>
      <c r="I11" s="255"/>
      <c r="J11" s="255"/>
      <c r="K11" s="255"/>
      <c r="L11" s="255"/>
      <c r="M11" s="258"/>
      <c r="N11" s="255"/>
      <c r="O11" s="255"/>
      <c r="P11" s="255"/>
      <c r="Q11" s="255"/>
      <c r="R11" s="255"/>
      <c r="S11" s="259"/>
      <c r="T11" s="255"/>
      <c r="U11" s="255"/>
      <c r="V11" s="255"/>
      <c r="W11" s="260"/>
      <c r="X11" s="254"/>
      <c r="Y11" s="255"/>
      <c r="Z11" s="258"/>
      <c r="AA11" s="259"/>
      <c r="AB11" s="255"/>
      <c r="AC11" s="254"/>
      <c r="AD11" s="255"/>
      <c r="AE11" s="255"/>
      <c r="AF11" s="255"/>
      <c r="AG11" s="261"/>
      <c r="AH11" s="262"/>
      <c r="AI11" s="263"/>
      <c r="AJ11" s="262"/>
      <c r="AK11" s="262"/>
      <c r="AL11" s="262"/>
      <c r="AM11" s="262"/>
      <c r="AN11" s="262"/>
      <c r="AO11" s="262"/>
    </row>
    <row r="12" customFormat="false" ht="12.95" hidden="false" customHeight="true" outlineLevel="0" collapsed="false">
      <c r="A12" s="172" t="n">
        <v>1</v>
      </c>
      <c r="B12" s="104" t="n">
        <v>6903.51</v>
      </c>
      <c r="C12" s="105" t="n">
        <v>296712</v>
      </c>
      <c r="D12" s="243" t="n">
        <f aca="false">C12-C10</f>
        <v>-76</v>
      </c>
      <c r="E12" s="105" t="n">
        <f aca="false">C12-152000</f>
        <v>144712</v>
      </c>
      <c r="F12" s="264" t="n">
        <f aca="false">D12/$D$2</f>
        <v>-38.3161078900933</v>
      </c>
      <c r="G12" s="265" t="n">
        <v>52</v>
      </c>
      <c r="H12" s="266" t="n">
        <v>0.93</v>
      </c>
      <c r="I12" s="265" t="n">
        <f aca="false">G12+H12</f>
        <v>52.93</v>
      </c>
      <c r="J12" s="246" t="n">
        <f aca="false">IF(L12&gt;0,L12,0)</f>
        <v>0</v>
      </c>
      <c r="K12" s="265" t="n">
        <f aca="false">I12+J12</f>
        <v>52.93</v>
      </c>
      <c r="L12" s="265" t="n">
        <f aca="false">F12-(I12-AD12)</f>
        <v>-14.1661078900933</v>
      </c>
      <c r="M12" s="267" t="n">
        <v>5.1</v>
      </c>
      <c r="N12" s="265" t="n">
        <v>0</v>
      </c>
      <c r="O12" s="265" t="n">
        <v>0</v>
      </c>
      <c r="P12" s="265"/>
      <c r="Q12" s="126" t="n">
        <f aca="false">1.51*1.02</f>
        <v>1.5402</v>
      </c>
      <c r="R12" s="126" t="n">
        <f aca="false">2.15*1.04</f>
        <v>2.236</v>
      </c>
      <c r="S12" s="268" t="n">
        <v>0</v>
      </c>
      <c r="T12" s="265" t="n">
        <v>48.98</v>
      </c>
      <c r="U12" s="265" t="n">
        <v>0</v>
      </c>
      <c r="V12" s="246" t="n">
        <f aca="false">M12-N12-O12-Q12-R12-S12+T12+U12</f>
        <v>50.3038</v>
      </c>
      <c r="W12" s="246"/>
      <c r="X12" s="105"/>
      <c r="Y12" s="265" t="n">
        <v>0</v>
      </c>
      <c r="Z12" s="267"/>
      <c r="AA12" s="269"/>
      <c r="AB12" s="265" t="n">
        <v>23</v>
      </c>
      <c r="AC12" s="105" t="n">
        <f aca="false">AC10-AB12</f>
        <v>4735</v>
      </c>
      <c r="AD12" s="128" t="n">
        <f aca="false">N12+O12+Q12+R12+S12+V12+Y12+AB12</f>
        <v>77.08</v>
      </c>
      <c r="AE12" s="265" t="n">
        <f aca="false">IF(L12&lt;0,L12*-1,0)</f>
        <v>14.1661078900933</v>
      </c>
      <c r="AF12" s="265" t="n">
        <f aca="false">AD12+AE12</f>
        <v>91.2461078900933</v>
      </c>
      <c r="AG12" s="247" t="n">
        <v>0</v>
      </c>
      <c r="AH12" s="243" t="n">
        <v>48</v>
      </c>
      <c r="AI12" s="248" t="n">
        <v>25</v>
      </c>
      <c r="AJ12" s="243" t="n">
        <f aca="false">AJ10+(V12*1.9835)</f>
        <v>3201.0635943</v>
      </c>
      <c r="AK12" s="243" t="n">
        <v>0</v>
      </c>
      <c r="AL12" s="249"/>
      <c r="AM12" s="249"/>
      <c r="AN12" s="249"/>
    </row>
    <row r="13" customFormat="false" ht="12.95" hidden="false" customHeight="true" outlineLevel="0" collapsed="false">
      <c r="A13" s="172" t="n">
        <f aca="false">A12+1</f>
        <v>2</v>
      </c>
      <c r="B13" s="104" t="n">
        <v>6903.49</v>
      </c>
      <c r="C13" s="105" t="n">
        <v>296636</v>
      </c>
      <c r="D13" s="243" t="n">
        <f aca="false">C13-C12</f>
        <v>-76</v>
      </c>
      <c r="E13" s="105" t="n">
        <f aca="false">C13-152000</f>
        <v>144636</v>
      </c>
      <c r="F13" s="264" t="n">
        <f aca="false">D13/$D$2</f>
        <v>-38.3161078900933</v>
      </c>
      <c r="G13" s="265" t="n">
        <v>52</v>
      </c>
      <c r="H13" s="266" t="n">
        <v>1.2</v>
      </c>
      <c r="I13" s="265" t="n">
        <f aca="false">G13+H13</f>
        <v>53.2</v>
      </c>
      <c r="J13" s="246" t="n">
        <f aca="false">IF(L13&gt;0,L13,0)</f>
        <v>0</v>
      </c>
      <c r="K13" s="265" t="n">
        <f aca="false">I13+J13</f>
        <v>53.2</v>
      </c>
      <c r="L13" s="265" t="n">
        <f aca="false">F13-(I13-AD13)</f>
        <v>-13.6061078900933</v>
      </c>
      <c r="M13" s="267" t="n">
        <v>4.9</v>
      </c>
      <c r="N13" s="265" t="n">
        <v>0</v>
      </c>
      <c r="O13" s="265" t="n">
        <v>0</v>
      </c>
      <c r="P13" s="265"/>
      <c r="Q13" s="126" t="n">
        <f aca="false">1.51*1.02</f>
        <v>1.5402</v>
      </c>
      <c r="R13" s="126" t="n">
        <f aca="false">2.11*1.04</f>
        <v>2.1944</v>
      </c>
      <c r="S13" s="268" t="n">
        <v>0</v>
      </c>
      <c r="T13" s="265" t="n">
        <v>49.01</v>
      </c>
      <c r="U13" s="265" t="n">
        <v>0</v>
      </c>
      <c r="V13" s="246" t="n">
        <f aca="false">M13-N13-O13-Q13-R13-S13+T13+U13</f>
        <v>50.1754</v>
      </c>
      <c r="W13" s="246"/>
      <c r="X13" s="105"/>
      <c r="Y13" s="265" t="n">
        <v>0</v>
      </c>
      <c r="Z13" s="267"/>
      <c r="AA13" s="269"/>
      <c r="AB13" s="265" t="n">
        <v>24</v>
      </c>
      <c r="AC13" s="105" t="n">
        <f aca="false">AC12-AB13</f>
        <v>4711</v>
      </c>
      <c r="AD13" s="128" t="n">
        <f aca="false">N13+O13+Q13+R13+S13+V13+Y13+AB13</f>
        <v>77.91</v>
      </c>
      <c r="AE13" s="265" t="n">
        <f aca="false">IF(L13&lt;0,L13*-1,0)</f>
        <v>13.6061078900933</v>
      </c>
      <c r="AF13" s="265" t="n">
        <f aca="false">AD13+AE13</f>
        <v>91.5161078900933</v>
      </c>
      <c r="AG13" s="247" t="n">
        <v>0</v>
      </c>
      <c r="AH13" s="243" t="n">
        <v>48</v>
      </c>
      <c r="AI13" s="248" t="n">
        <v>30</v>
      </c>
      <c r="AJ13" s="243" t="n">
        <f aca="false">AJ12+(V13*1.9835)</f>
        <v>3300.5865002</v>
      </c>
      <c r="AK13" s="243" t="n">
        <v>0</v>
      </c>
      <c r="AL13" s="249"/>
      <c r="AM13" s="249"/>
      <c r="AN13" s="249"/>
    </row>
    <row r="14" customFormat="false" ht="12.95" hidden="false" customHeight="true" outlineLevel="0" collapsed="false">
      <c r="A14" s="172" t="n">
        <f aca="false">A13+1</f>
        <v>3</v>
      </c>
      <c r="B14" s="104" t="n">
        <v>6903.46</v>
      </c>
      <c r="C14" s="105" t="n">
        <v>296523</v>
      </c>
      <c r="D14" s="243" t="n">
        <f aca="false">C14-C13</f>
        <v>-113</v>
      </c>
      <c r="E14" s="105" t="n">
        <f aca="false">C14-152000</f>
        <v>144523</v>
      </c>
      <c r="F14" s="264" t="n">
        <f aca="false">D14/$D$2</f>
        <v>-56.9700025207966</v>
      </c>
      <c r="G14" s="265" t="n">
        <v>53</v>
      </c>
      <c r="H14" s="266" t="n">
        <v>1.5</v>
      </c>
      <c r="I14" s="265" t="n">
        <f aca="false">G14+H14</f>
        <v>54.5</v>
      </c>
      <c r="J14" s="246" t="n">
        <f aca="false">IF(L14&gt;0,L14,0)</f>
        <v>0</v>
      </c>
      <c r="K14" s="265" t="n">
        <f aca="false">I14+J14</f>
        <v>54.5</v>
      </c>
      <c r="L14" s="265" t="n">
        <f aca="false">F14-(I14-AD14)</f>
        <v>-33.5700025207966</v>
      </c>
      <c r="M14" s="267" t="n">
        <v>4.9</v>
      </c>
      <c r="N14" s="265" t="n">
        <v>0</v>
      </c>
      <c r="O14" s="265" t="n">
        <v>0</v>
      </c>
      <c r="P14" s="265"/>
      <c r="Q14" s="126" t="n">
        <f aca="false">1.51*1.02</f>
        <v>1.5402</v>
      </c>
      <c r="R14" s="126" t="n">
        <f aca="false">2.41*1.04</f>
        <v>2.5064</v>
      </c>
      <c r="S14" s="268" t="n">
        <v>0</v>
      </c>
      <c r="T14" s="265" t="n">
        <v>49</v>
      </c>
      <c r="U14" s="265" t="n">
        <v>0</v>
      </c>
      <c r="V14" s="246" t="n">
        <f aca="false">M14-N14-Q14-R14-S14+T14+U14</f>
        <v>49.8534</v>
      </c>
      <c r="W14" s="246"/>
      <c r="X14" s="105"/>
      <c r="Y14" s="265" t="n">
        <v>0</v>
      </c>
      <c r="Z14" s="267"/>
      <c r="AA14" s="269"/>
      <c r="AB14" s="265" t="n">
        <v>24</v>
      </c>
      <c r="AC14" s="105" t="n">
        <f aca="false">AC13-AB14</f>
        <v>4687</v>
      </c>
      <c r="AD14" s="128" t="n">
        <f aca="false">N14+O14+Q14+R14+S14+V14+Y14+AB14</f>
        <v>77.9</v>
      </c>
      <c r="AE14" s="265" t="n">
        <f aca="false">IF(L14&lt;0,L14*-1,0)</f>
        <v>33.5700025207966</v>
      </c>
      <c r="AF14" s="265" t="n">
        <f aca="false">AD14+AE14</f>
        <v>111.470002520797</v>
      </c>
      <c r="AG14" s="247" t="n">
        <v>0.12</v>
      </c>
      <c r="AH14" s="243" t="n">
        <v>42</v>
      </c>
      <c r="AI14" s="248" t="n">
        <v>20</v>
      </c>
      <c r="AJ14" s="243" t="n">
        <f aca="false">AJ13+(V14*1.9835)</f>
        <v>3399.4707191</v>
      </c>
      <c r="AK14" s="243" t="n">
        <v>0</v>
      </c>
      <c r="AL14" s="249"/>
      <c r="AM14" s="249"/>
      <c r="AN14" s="249"/>
    </row>
    <row r="15" customFormat="false" ht="12.95" hidden="false" customHeight="true" outlineLevel="0" collapsed="false">
      <c r="A15" s="172" t="n">
        <f aca="false">A14+1</f>
        <v>4</v>
      </c>
      <c r="B15" s="104" t="n">
        <v>6903.43</v>
      </c>
      <c r="C15" s="105" t="n">
        <v>296409</v>
      </c>
      <c r="D15" s="243" t="n">
        <f aca="false">C15-C14</f>
        <v>-114</v>
      </c>
      <c r="E15" s="105" t="n">
        <f aca="false">C15-152000</f>
        <v>144409</v>
      </c>
      <c r="F15" s="264" t="n">
        <f aca="false">D15/$D$2</f>
        <v>-57.4741618351399</v>
      </c>
      <c r="G15" s="265" t="n">
        <v>50</v>
      </c>
      <c r="H15" s="266" t="n">
        <v>1.2</v>
      </c>
      <c r="I15" s="265" t="n">
        <f aca="false">G15+H15</f>
        <v>51.2</v>
      </c>
      <c r="J15" s="246" t="n">
        <f aca="false">IF(L15&gt;0,L15,0)</f>
        <v>0</v>
      </c>
      <c r="K15" s="265" t="n">
        <f aca="false">I15+J15</f>
        <v>51.2</v>
      </c>
      <c r="L15" s="265" t="n">
        <f aca="false">F15-(I15-AD15)</f>
        <v>-30.7741618351399</v>
      </c>
      <c r="M15" s="267" t="n">
        <v>4.9</v>
      </c>
      <c r="N15" s="265" t="n">
        <v>0</v>
      </c>
      <c r="O15" s="265" t="n">
        <v>0</v>
      </c>
      <c r="P15" s="265"/>
      <c r="Q15" s="126" t="n">
        <f aca="false">1.51*1.02</f>
        <v>1.5402</v>
      </c>
      <c r="R15" s="126" t="n">
        <f aca="false">2.22*1.04</f>
        <v>2.3088</v>
      </c>
      <c r="S15" s="268" t="n">
        <v>0</v>
      </c>
      <c r="T15" s="265" t="n">
        <v>49</v>
      </c>
      <c r="U15" s="265" t="n">
        <v>0</v>
      </c>
      <c r="V15" s="246" t="n">
        <f aca="false">M15-N15-Q15-R15-S15+T15+U15</f>
        <v>50.051</v>
      </c>
      <c r="W15" s="246"/>
      <c r="X15" s="105"/>
      <c r="Y15" s="265" t="n">
        <v>0</v>
      </c>
      <c r="Z15" s="267"/>
      <c r="AA15" s="269"/>
      <c r="AB15" s="265" t="n">
        <v>24</v>
      </c>
      <c r="AC15" s="105" t="n">
        <f aca="false">AC14-AB15</f>
        <v>4663</v>
      </c>
      <c r="AD15" s="128" t="n">
        <f aca="false">N15+O15+Q15+R15+S15+V15+Y15+AB15</f>
        <v>77.9</v>
      </c>
      <c r="AE15" s="265" t="n">
        <f aca="false">IF(L15&lt;0,L15*-1,0)</f>
        <v>30.7741618351399</v>
      </c>
      <c r="AF15" s="265" t="n">
        <f aca="false">AD15+AE15</f>
        <v>108.67416183514</v>
      </c>
      <c r="AG15" s="247" t="n">
        <v>0</v>
      </c>
      <c r="AH15" s="243" t="n">
        <v>27</v>
      </c>
      <c r="AI15" s="248" t="n">
        <v>9</v>
      </c>
      <c r="AJ15" s="243" t="n">
        <f aca="false">AJ14+(V15*1.9835)</f>
        <v>3498.7468776</v>
      </c>
      <c r="AK15" s="243" t="n">
        <v>0</v>
      </c>
      <c r="AL15" s="249"/>
      <c r="AM15" s="249"/>
      <c r="AN15" s="249"/>
    </row>
    <row r="16" customFormat="false" ht="12.95" hidden="false" customHeight="true" outlineLevel="0" collapsed="false">
      <c r="A16" s="172" t="n">
        <f aca="false">A15+1</f>
        <v>5</v>
      </c>
      <c r="B16" s="104" t="n">
        <v>6903.4</v>
      </c>
      <c r="C16" s="105" t="n">
        <v>296295</v>
      </c>
      <c r="D16" s="243" t="n">
        <f aca="false">C16-C15</f>
        <v>-114</v>
      </c>
      <c r="E16" s="105" t="n">
        <f aca="false">C16-152000</f>
        <v>144295</v>
      </c>
      <c r="F16" s="264" t="n">
        <f aca="false">D16/$D$2</f>
        <v>-57.4741618351399</v>
      </c>
      <c r="G16" s="265" t="n">
        <v>43</v>
      </c>
      <c r="H16" s="266" t="n">
        <v>0.89</v>
      </c>
      <c r="I16" s="265" t="n">
        <f aca="false">G16+H16</f>
        <v>43.89</v>
      </c>
      <c r="J16" s="246" t="n">
        <f aca="false">IF(L16&gt;0,L16,0)</f>
        <v>0</v>
      </c>
      <c r="K16" s="265" t="n">
        <f aca="false">I16+J16</f>
        <v>43.89</v>
      </c>
      <c r="L16" s="265" t="n">
        <f aca="false">F16-(I16-AD16)</f>
        <v>-23.4641618351399</v>
      </c>
      <c r="M16" s="267" t="n">
        <v>4.9</v>
      </c>
      <c r="N16" s="265" t="n">
        <v>0</v>
      </c>
      <c r="O16" s="265" t="n">
        <v>0</v>
      </c>
      <c r="P16" s="265"/>
      <c r="Q16" s="126" t="n">
        <f aca="false">1.51*1.02</f>
        <v>1.5402</v>
      </c>
      <c r="R16" s="126" t="n">
        <f aca="false">2.16*1.04</f>
        <v>2.2464</v>
      </c>
      <c r="S16" s="268" t="n">
        <v>0</v>
      </c>
      <c r="T16" s="265" t="n">
        <v>49</v>
      </c>
      <c r="U16" s="265" t="n">
        <v>0</v>
      </c>
      <c r="V16" s="246" t="n">
        <f aca="false">M16-N16-Q16-R16-S16+T16+U16</f>
        <v>50.1134</v>
      </c>
      <c r="W16" s="246"/>
      <c r="X16" s="105"/>
      <c r="Y16" s="265" t="n">
        <v>0</v>
      </c>
      <c r="Z16" s="267"/>
      <c r="AA16" s="269"/>
      <c r="AB16" s="265" t="n">
        <v>24</v>
      </c>
      <c r="AC16" s="105" t="n">
        <f aca="false">AC15-AB16</f>
        <v>4639</v>
      </c>
      <c r="AD16" s="128" t="n">
        <f aca="false">N16+O16+Q16+R16+S16+V16+Y16+AB16</f>
        <v>77.9</v>
      </c>
      <c r="AE16" s="265" t="n">
        <f aca="false">IF(L16&lt;0,L16*-1,0)</f>
        <v>23.4641618351399</v>
      </c>
      <c r="AF16" s="265" t="n">
        <f aca="false">AD16+AE16</f>
        <v>101.36416183514</v>
      </c>
      <c r="AG16" s="247" t="n">
        <v>0</v>
      </c>
      <c r="AH16" s="243" t="n">
        <v>30</v>
      </c>
      <c r="AI16" s="248" t="n">
        <v>5</v>
      </c>
      <c r="AJ16" s="243" t="n">
        <f aca="false">AJ15+(V16*1.9835)</f>
        <v>3598.1468065</v>
      </c>
      <c r="AK16" s="243" t="n">
        <v>0</v>
      </c>
      <c r="AL16" s="249"/>
      <c r="AM16" s="249"/>
      <c r="AN16" s="249"/>
    </row>
    <row r="17" customFormat="false" ht="12.95" hidden="false" customHeight="true" outlineLevel="0" collapsed="false">
      <c r="A17" s="172" t="n">
        <f aca="false">A16+1</f>
        <v>6</v>
      </c>
      <c r="B17" s="104" t="n">
        <v>6903.37</v>
      </c>
      <c r="C17" s="105" t="n">
        <v>296181</v>
      </c>
      <c r="D17" s="243" t="n">
        <f aca="false">C17-C16</f>
        <v>-114</v>
      </c>
      <c r="E17" s="105" t="n">
        <f aca="false">C17-152000</f>
        <v>144181</v>
      </c>
      <c r="F17" s="264" t="n">
        <f aca="false">D17/$D$2</f>
        <v>-57.4741618351399</v>
      </c>
      <c r="G17" s="265" t="n">
        <v>42</v>
      </c>
      <c r="H17" s="266" t="n">
        <v>0.53</v>
      </c>
      <c r="I17" s="265" t="n">
        <f aca="false">G17+H17</f>
        <v>42.53</v>
      </c>
      <c r="J17" s="246" t="n">
        <f aca="false">IF(L17&gt;0,L17,0)</f>
        <v>0</v>
      </c>
      <c r="K17" s="265" t="n">
        <f aca="false">I17+J17</f>
        <v>42.53</v>
      </c>
      <c r="L17" s="265" t="n">
        <f aca="false">F17-(I17-AD17)</f>
        <v>-22.1041618351399</v>
      </c>
      <c r="M17" s="267" t="n">
        <v>4.9</v>
      </c>
      <c r="N17" s="265" t="n">
        <v>0</v>
      </c>
      <c r="O17" s="265" t="n">
        <v>0</v>
      </c>
      <c r="P17" s="265"/>
      <c r="Q17" s="126" t="n">
        <f aca="false">1.51*1.02</f>
        <v>1.5402</v>
      </c>
      <c r="R17" s="126" t="n">
        <f aca="false">3.13*1.04</f>
        <v>3.2552</v>
      </c>
      <c r="S17" s="268" t="n">
        <v>0</v>
      </c>
      <c r="T17" s="265" t="n">
        <v>49</v>
      </c>
      <c r="U17" s="265" t="n">
        <v>0</v>
      </c>
      <c r="V17" s="246" t="n">
        <f aca="false">M17-N17-Q17-R17-S17+T17+U17</f>
        <v>49.1046</v>
      </c>
      <c r="W17" s="246"/>
      <c r="X17" s="105"/>
      <c r="Y17" s="265" t="n">
        <v>0</v>
      </c>
      <c r="Z17" s="267"/>
      <c r="AA17" s="269"/>
      <c r="AB17" s="265" t="n">
        <v>24</v>
      </c>
      <c r="AC17" s="105" t="n">
        <f aca="false">AC16-AB17</f>
        <v>4615</v>
      </c>
      <c r="AD17" s="128" t="n">
        <f aca="false">N17+O17+Q17+R17+S17+V17+Y17+AB17</f>
        <v>77.9</v>
      </c>
      <c r="AE17" s="265" t="n">
        <f aca="false">IF(L17&lt;0,L17*-1,0)</f>
        <v>22.1041618351399</v>
      </c>
      <c r="AF17" s="265" t="n">
        <f aca="false">AD17+AE17</f>
        <v>100.00416183514</v>
      </c>
      <c r="AG17" s="247" t="n">
        <v>0</v>
      </c>
      <c r="AH17" s="243" t="n">
        <v>33</v>
      </c>
      <c r="AI17" s="248" t="n">
        <v>11</v>
      </c>
      <c r="AJ17" s="243" t="n">
        <f aca="false">AJ16+(V17*1.9835)</f>
        <v>3695.5457806</v>
      </c>
      <c r="AK17" s="243" t="n">
        <v>0</v>
      </c>
      <c r="AL17" s="249"/>
      <c r="AM17" s="249"/>
      <c r="AN17" s="249"/>
    </row>
    <row r="18" customFormat="false" ht="12.95" hidden="false" customHeight="true" outlineLevel="0" collapsed="false">
      <c r="A18" s="172" t="n">
        <f aca="false">A17+1</f>
        <v>7</v>
      </c>
      <c r="B18" s="104" t="n">
        <v>6903.33</v>
      </c>
      <c r="C18" s="105" t="n">
        <v>296029</v>
      </c>
      <c r="D18" s="243" t="n">
        <f aca="false">C18-C17</f>
        <v>-152</v>
      </c>
      <c r="E18" s="105" t="n">
        <f aca="false">C18-152000</f>
        <v>144029</v>
      </c>
      <c r="F18" s="264" t="n">
        <f aca="false">D18/$D$2</f>
        <v>-76.6322157801865</v>
      </c>
      <c r="G18" s="265" t="n">
        <v>44</v>
      </c>
      <c r="H18" s="266" t="n">
        <v>0.38</v>
      </c>
      <c r="I18" s="265" t="n">
        <f aca="false">G18+H18</f>
        <v>44.38</v>
      </c>
      <c r="J18" s="246" t="n">
        <f aca="false">IF(L18&gt;0,L18,0)</f>
        <v>0</v>
      </c>
      <c r="K18" s="265" t="n">
        <f aca="false">I18+J18</f>
        <v>44.38</v>
      </c>
      <c r="L18" s="265" t="n">
        <f aca="false">F18-(I18-AD18)</f>
        <v>-24.1122157801866</v>
      </c>
      <c r="M18" s="267" t="n">
        <v>4.9</v>
      </c>
      <c r="N18" s="265" t="n">
        <v>0</v>
      </c>
      <c r="O18" s="265" t="n">
        <v>0</v>
      </c>
      <c r="P18" s="265"/>
      <c r="Q18" s="126" t="n">
        <f aca="false">1.51*1.02</f>
        <v>1.5402</v>
      </c>
      <c r="R18" s="126" t="n">
        <f aca="false">2.44*1.04</f>
        <v>2.5376</v>
      </c>
      <c r="S18" s="268" t="n">
        <v>0</v>
      </c>
      <c r="T18" s="265" t="n">
        <v>69</v>
      </c>
      <c r="U18" s="265" t="n">
        <v>0</v>
      </c>
      <c r="V18" s="246" t="n">
        <f aca="false">M18-N18-Q18-R18-S18+T18+U18</f>
        <v>69.8222</v>
      </c>
      <c r="W18" s="246"/>
      <c r="X18" s="105"/>
      <c r="Y18" s="265" t="n">
        <v>0</v>
      </c>
      <c r="Z18" s="267"/>
      <c r="AA18" s="269"/>
      <c r="AB18" s="265" t="n">
        <v>23</v>
      </c>
      <c r="AC18" s="105" t="n">
        <f aca="false">AC17-AB18</f>
        <v>4592</v>
      </c>
      <c r="AD18" s="128" t="n">
        <f aca="false">N18+O18+Q18+R18+S18+V18+Y18+AB18</f>
        <v>96.9</v>
      </c>
      <c r="AE18" s="265" t="n">
        <f aca="false">IF(L18&lt;0,L18*-1,0)</f>
        <v>24.1122157801866</v>
      </c>
      <c r="AF18" s="265" t="n">
        <f aca="false">AD18+AE18</f>
        <v>121.012215780187</v>
      </c>
      <c r="AG18" s="247" t="n">
        <v>0</v>
      </c>
      <c r="AH18" s="243" t="n">
        <v>25</v>
      </c>
      <c r="AI18" s="248" t="n">
        <v>6</v>
      </c>
      <c r="AJ18" s="243" t="n">
        <f aca="false">AJ17+(V18*1.9835)</f>
        <v>3834.0381143</v>
      </c>
      <c r="AK18" s="243" t="n">
        <v>0</v>
      </c>
      <c r="AL18" s="249"/>
      <c r="AM18" s="249"/>
      <c r="AN18" s="249"/>
    </row>
    <row r="19" customFormat="false" ht="12.95" hidden="false" customHeight="true" outlineLevel="0" collapsed="false">
      <c r="A19" s="172" t="n">
        <f aca="false">A18+1</f>
        <v>8</v>
      </c>
      <c r="B19" s="104" t="n">
        <v>6903.28</v>
      </c>
      <c r="C19" s="105" t="n">
        <v>295840</v>
      </c>
      <c r="D19" s="243" t="n">
        <f aca="false">C19-C18</f>
        <v>-189</v>
      </c>
      <c r="E19" s="105" t="n">
        <f aca="false">C19-152000</f>
        <v>143840</v>
      </c>
      <c r="F19" s="264" t="n">
        <f aca="false">D19/$D$2</f>
        <v>-95.2861104108898</v>
      </c>
      <c r="G19" s="265" t="n">
        <v>39</v>
      </c>
      <c r="H19" s="266" t="n">
        <v>0.15</v>
      </c>
      <c r="I19" s="265" t="n">
        <f aca="false">G19+H19</f>
        <v>39.15</v>
      </c>
      <c r="J19" s="246" t="n">
        <f aca="false">IF(L19&gt;0,L19,0)</f>
        <v>0</v>
      </c>
      <c r="K19" s="265" t="n">
        <f aca="false">I19+J19</f>
        <v>39.15</v>
      </c>
      <c r="L19" s="265" t="n">
        <f aca="false">F19-(I19-AD19)</f>
        <v>-9.53611041088983</v>
      </c>
      <c r="M19" s="267" t="n">
        <v>4.9</v>
      </c>
      <c r="N19" s="265" t="n">
        <v>0</v>
      </c>
      <c r="O19" s="265" t="n">
        <v>0</v>
      </c>
      <c r="P19" s="265"/>
      <c r="Q19" s="126" t="n">
        <f aca="false">1.51*1.02</f>
        <v>1.5402</v>
      </c>
      <c r="R19" s="126" t="n">
        <f aca="false">2.15*1.04</f>
        <v>2.236</v>
      </c>
      <c r="S19" s="268" t="n">
        <v>0</v>
      </c>
      <c r="T19" s="265" t="n">
        <v>97</v>
      </c>
      <c r="U19" s="265" t="n">
        <v>0</v>
      </c>
      <c r="V19" s="246" t="n">
        <f aca="false">M19-N19-Q19-R19-S19+T19+U19</f>
        <v>98.1238</v>
      </c>
      <c r="W19" s="246"/>
      <c r="X19" s="105"/>
      <c r="Y19" s="265" t="n">
        <v>0</v>
      </c>
      <c r="Z19" s="267"/>
      <c r="AA19" s="269"/>
      <c r="AB19" s="265" t="n">
        <v>23</v>
      </c>
      <c r="AC19" s="105" t="n">
        <f aca="false">AC18-AB19</f>
        <v>4569</v>
      </c>
      <c r="AD19" s="128" t="n">
        <f aca="false">N19+O19+Q19+R19+S19+V19+Y19+AB19</f>
        <v>124.9</v>
      </c>
      <c r="AE19" s="265" t="n">
        <f aca="false">IF(L19&lt;0,L19*-1,0)</f>
        <v>9.53611041088983</v>
      </c>
      <c r="AF19" s="265" t="n">
        <f aca="false">AD19+AE19</f>
        <v>134.43611041089</v>
      </c>
      <c r="AG19" s="247" t="n">
        <v>0</v>
      </c>
      <c r="AH19" s="105" t="n">
        <v>30</v>
      </c>
      <c r="AI19" s="248" t="n">
        <v>0</v>
      </c>
      <c r="AJ19" s="243" t="n">
        <f aca="false">AJ18+(V19*1.9835)</f>
        <v>4028.6666716</v>
      </c>
      <c r="AK19" s="243" t="n">
        <v>0</v>
      </c>
      <c r="AL19" s="249"/>
      <c r="AM19" s="249"/>
      <c r="AN19" s="249"/>
    </row>
    <row r="20" customFormat="false" ht="12.95" hidden="false" customHeight="true" outlineLevel="0" collapsed="false">
      <c r="A20" s="172" t="n">
        <f aca="false">A19+1</f>
        <v>9</v>
      </c>
      <c r="B20" s="104" t="n">
        <v>6903.23</v>
      </c>
      <c r="C20" s="105" t="n">
        <v>295650</v>
      </c>
      <c r="D20" s="243" t="n">
        <f aca="false">C20-C19</f>
        <v>-190</v>
      </c>
      <c r="E20" s="105" t="n">
        <f aca="false">C20-152000</f>
        <v>143650</v>
      </c>
      <c r="F20" s="264" t="n">
        <f aca="false">D20/$D$2</f>
        <v>-95.7902697252332</v>
      </c>
      <c r="G20" s="265" t="n">
        <v>41</v>
      </c>
      <c r="H20" s="266" t="n">
        <v>0.08</v>
      </c>
      <c r="I20" s="265" t="n">
        <f aca="false">G20+H20</f>
        <v>41.08</v>
      </c>
      <c r="J20" s="246" t="n">
        <f aca="false">IF(L20&gt;0,L20,0)</f>
        <v>0</v>
      </c>
      <c r="K20" s="265" t="n">
        <f aca="false">I20+J20</f>
        <v>41.08</v>
      </c>
      <c r="L20" s="265" t="n">
        <f aca="false">F20-(I20-AD20)</f>
        <v>-11.9702697252332</v>
      </c>
      <c r="M20" s="267" t="n">
        <v>4.9</v>
      </c>
      <c r="N20" s="265" t="n">
        <v>0</v>
      </c>
      <c r="O20" s="265" t="n">
        <v>0</v>
      </c>
      <c r="P20" s="265"/>
      <c r="Q20" s="126" t="n">
        <f aca="false">1.51*1.02</f>
        <v>1.5402</v>
      </c>
      <c r="R20" s="126" t="n">
        <f aca="false">2.29*1.04</f>
        <v>2.3816</v>
      </c>
      <c r="S20" s="268" t="n">
        <v>0</v>
      </c>
      <c r="T20" s="265" t="n">
        <v>97</v>
      </c>
      <c r="U20" s="265" t="n">
        <v>0</v>
      </c>
      <c r="V20" s="246" t="n">
        <f aca="false">M20-N20-Q20-R20-S20+T20+U20</f>
        <v>97.9782</v>
      </c>
      <c r="W20" s="246"/>
      <c r="X20" s="105"/>
      <c r="Y20" s="265" t="n">
        <v>0</v>
      </c>
      <c r="Z20" s="267"/>
      <c r="AA20" s="269"/>
      <c r="AB20" s="265" t="n">
        <v>23</v>
      </c>
      <c r="AC20" s="105" t="n">
        <f aca="false">AC19-AB20</f>
        <v>4546</v>
      </c>
      <c r="AD20" s="128" t="n">
        <f aca="false">N20+O20+Q20+R20+S20+V20+Y20+AB20</f>
        <v>124.9</v>
      </c>
      <c r="AE20" s="265" t="n">
        <f aca="false">IF(L20&lt;0,L20*-1,0)</f>
        <v>11.9702697252332</v>
      </c>
      <c r="AF20" s="265" t="n">
        <f aca="false">AD20+AE20</f>
        <v>136.870269725233</v>
      </c>
      <c r="AG20" s="247" t="n">
        <v>0</v>
      </c>
      <c r="AH20" s="105" t="n">
        <v>40</v>
      </c>
      <c r="AI20" s="248" t="n">
        <v>12</v>
      </c>
      <c r="AJ20" s="243" t="n">
        <f aca="false">AJ19+(V20*1.9835)</f>
        <v>4223.0064313</v>
      </c>
      <c r="AK20" s="243" t="n">
        <v>0</v>
      </c>
      <c r="AL20" s="249"/>
      <c r="AM20" s="249"/>
      <c r="AN20" s="249"/>
    </row>
    <row r="21" customFormat="false" ht="12.95" hidden="false" customHeight="true" outlineLevel="0" collapsed="false">
      <c r="A21" s="172" t="n">
        <f aca="false">A20+1</f>
        <v>10</v>
      </c>
      <c r="B21" s="104" t="n">
        <v>6903.18</v>
      </c>
      <c r="C21" s="105" t="n">
        <v>295460</v>
      </c>
      <c r="D21" s="243" t="n">
        <f aca="false">C21-C20</f>
        <v>-190</v>
      </c>
      <c r="E21" s="105" t="n">
        <f aca="false">C21-152000</f>
        <v>143460</v>
      </c>
      <c r="F21" s="264" t="n">
        <f aca="false">D21/$D$2</f>
        <v>-95.7902697252332</v>
      </c>
      <c r="G21" s="265" t="n">
        <v>40</v>
      </c>
      <c r="H21" s="266" t="n">
        <v>0.06</v>
      </c>
      <c r="I21" s="265" t="n">
        <f aca="false">G21+H21</f>
        <v>40.06</v>
      </c>
      <c r="J21" s="246" t="n">
        <f aca="false">IF(L21&gt;0,L21,0)</f>
        <v>0</v>
      </c>
      <c r="K21" s="265" t="n">
        <f aca="false">I21+J21</f>
        <v>40.06</v>
      </c>
      <c r="L21" s="265" t="n">
        <f aca="false">F21-(I21-AD21)</f>
        <v>-10.9502697252332</v>
      </c>
      <c r="M21" s="267" t="n">
        <v>4.9</v>
      </c>
      <c r="N21" s="265" t="n">
        <v>0</v>
      </c>
      <c r="O21" s="265" t="n">
        <v>0</v>
      </c>
      <c r="P21" s="265"/>
      <c r="Q21" s="126" t="n">
        <f aca="false">1.51*1.02</f>
        <v>1.5402</v>
      </c>
      <c r="R21" s="126" t="n">
        <f aca="false">2.1*1.04</f>
        <v>2.184</v>
      </c>
      <c r="S21" s="268" t="n">
        <v>0</v>
      </c>
      <c r="T21" s="265" t="n">
        <v>97</v>
      </c>
      <c r="U21" s="265" t="n">
        <v>0</v>
      </c>
      <c r="V21" s="246" t="n">
        <f aca="false">M21-N21-Q21-R21-S21+T21+U21</f>
        <v>98.1758</v>
      </c>
      <c r="W21" s="246"/>
      <c r="X21" s="105"/>
      <c r="Y21" s="265" t="n">
        <v>0</v>
      </c>
      <c r="Z21" s="267"/>
      <c r="AA21" s="269"/>
      <c r="AB21" s="265" t="n">
        <v>23</v>
      </c>
      <c r="AC21" s="105" t="n">
        <f aca="false">AC20-AB21</f>
        <v>4523</v>
      </c>
      <c r="AD21" s="128" t="n">
        <f aca="false">N21+O21+Q21+R21+S21+V21+Y21+AB21</f>
        <v>124.9</v>
      </c>
      <c r="AE21" s="265" t="n">
        <f aca="false">IF(L21&lt;0,L21*-1,0)</f>
        <v>10.9502697252332</v>
      </c>
      <c r="AF21" s="265" t="n">
        <f aca="false">AD21+AE21</f>
        <v>135.850269725233</v>
      </c>
      <c r="AG21" s="247" t="n">
        <v>0</v>
      </c>
      <c r="AH21" s="105" t="n">
        <v>43</v>
      </c>
      <c r="AI21" s="248" t="n">
        <v>15</v>
      </c>
      <c r="AJ21" s="243" t="n">
        <f aca="false">AJ20+(V21*1.9835)</f>
        <v>4417.7381306</v>
      </c>
      <c r="AK21" s="243" t="n">
        <v>0</v>
      </c>
      <c r="AL21" s="249"/>
      <c r="AM21" s="249"/>
      <c r="AN21" s="249"/>
    </row>
    <row r="22" customFormat="false" ht="12.95" hidden="false" customHeight="true" outlineLevel="0" collapsed="false">
      <c r="A22" s="172" t="n">
        <f aca="false">A21+1</f>
        <v>11</v>
      </c>
      <c r="B22" s="104" t="n">
        <v>6903.13</v>
      </c>
      <c r="C22" s="105" t="n">
        <v>295271</v>
      </c>
      <c r="D22" s="243" t="n">
        <f aca="false">C22-C21</f>
        <v>-189</v>
      </c>
      <c r="E22" s="105" t="n">
        <f aca="false">C22-152000</f>
        <v>143271</v>
      </c>
      <c r="F22" s="264" t="n">
        <f aca="false">D22/$D$2</f>
        <v>-95.2861104108898</v>
      </c>
      <c r="G22" s="265" t="n">
        <v>40</v>
      </c>
      <c r="H22" s="266" t="n">
        <v>0.13</v>
      </c>
      <c r="I22" s="265" t="n">
        <f aca="false">G22+H22</f>
        <v>40.13</v>
      </c>
      <c r="J22" s="246" t="n">
        <f aca="false">IF(L22&gt;0,L22,0)</f>
        <v>0</v>
      </c>
      <c r="K22" s="265" t="n">
        <f aca="false">I22+J22</f>
        <v>40.13</v>
      </c>
      <c r="L22" s="265" t="n">
        <f aca="false">F22-(I22-AD22)</f>
        <v>-10.5161104108899</v>
      </c>
      <c r="M22" s="267" t="n">
        <v>4.9</v>
      </c>
      <c r="N22" s="265" t="n">
        <v>0</v>
      </c>
      <c r="O22" s="265" t="n">
        <v>0</v>
      </c>
      <c r="P22" s="265"/>
      <c r="Q22" s="126" t="n">
        <f aca="false">1.51*1.02</f>
        <v>1.5402</v>
      </c>
      <c r="R22" s="126" t="n">
        <f aca="false">2.2*1.04</f>
        <v>2.288</v>
      </c>
      <c r="S22" s="268" t="n">
        <v>0</v>
      </c>
      <c r="T22" s="265" t="n">
        <v>97</v>
      </c>
      <c r="U22" s="265" t="n">
        <v>0</v>
      </c>
      <c r="V22" s="246" t="n">
        <f aca="false">M22-N22-Q22-R22-S22+T22+U22</f>
        <v>98.0718</v>
      </c>
      <c r="W22" s="246"/>
      <c r="X22" s="105"/>
      <c r="Y22" s="265" t="n">
        <v>0</v>
      </c>
      <c r="Z22" s="267"/>
      <c r="AA22" s="269"/>
      <c r="AB22" s="265" t="n">
        <v>23</v>
      </c>
      <c r="AC22" s="105" t="n">
        <f aca="false">AC21-AB22</f>
        <v>4500</v>
      </c>
      <c r="AD22" s="128" t="n">
        <f aca="false">N22+O22+Q22+R22+S22+V22+Y22+AB22</f>
        <v>124.9</v>
      </c>
      <c r="AE22" s="265" t="n">
        <f aca="false">IF(L22&lt;0,L22*-1,0)</f>
        <v>10.5161104108899</v>
      </c>
      <c r="AF22" s="265" t="n">
        <f aca="false">AD22+AE22</f>
        <v>135.41611041089</v>
      </c>
      <c r="AG22" s="247" t="n">
        <v>0</v>
      </c>
      <c r="AH22" s="105" t="n">
        <v>46</v>
      </c>
      <c r="AI22" s="248" t="n">
        <v>17</v>
      </c>
      <c r="AJ22" s="243" t="n">
        <f aca="false">AJ21+(V22*1.9835)</f>
        <v>4612.2635459</v>
      </c>
      <c r="AK22" s="243" t="n">
        <v>0</v>
      </c>
      <c r="AL22" s="249"/>
      <c r="AM22" s="249"/>
      <c r="AN22" s="249"/>
    </row>
    <row r="23" customFormat="false" ht="12.95" hidden="false" customHeight="true" outlineLevel="0" collapsed="false">
      <c r="A23" s="172" t="n">
        <f aca="false">A22+1</f>
        <v>12</v>
      </c>
      <c r="B23" s="104" t="n">
        <v>6903.08</v>
      </c>
      <c r="C23" s="105" t="n">
        <v>295081</v>
      </c>
      <c r="D23" s="243" t="n">
        <f aca="false">C23-C22</f>
        <v>-190</v>
      </c>
      <c r="E23" s="105" t="n">
        <f aca="false">C23-152000</f>
        <v>143081</v>
      </c>
      <c r="F23" s="264" t="n">
        <f aca="false">D23/$D$2</f>
        <v>-95.7902697252332</v>
      </c>
      <c r="G23" s="265" t="n">
        <v>42</v>
      </c>
      <c r="H23" s="266" t="n">
        <v>0.15</v>
      </c>
      <c r="I23" s="265" t="n">
        <f aca="false">G23+H23</f>
        <v>42.15</v>
      </c>
      <c r="J23" s="246" t="n">
        <f aca="false">IF(L23&gt;0,L23,0)</f>
        <v>0</v>
      </c>
      <c r="K23" s="265" t="n">
        <f aca="false">I23+J23</f>
        <v>42.15</v>
      </c>
      <c r="L23" s="265" t="n">
        <f aca="false">F23-(I23-AD23)</f>
        <v>-13.0402697252332</v>
      </c>
      <c r="M23" s="267" t="n">
        <v>4.9</v>
      </c>
      <c r="N23" s="265" t="n">
        <v>0</v>
      </c>
      <c r="O23" s="265" t="n">
        <v>0</v>
      </c>
      <c r="P23" s="265"/>
      <c r="Q23" s="126" t="n">
        <f aca="false">1.51*1.02</f>
        <v>1.5402</v>
      </c>
      <c r="R23" s="126" t="n">
        <f aca="false">2.38*1.04</f>
        <v>2.4752</v>
      </c>
      <c r="S23" s="268" t="n">
        <v>0</v>
      </c>
      <c r="T23" s="265" t="n">
        <v>97</v>
      </c>
      <c r="U23" s="265" t="n">
        <v>0</v>
      </c>
      <c r="V23" s="246" t="n">
        <f aca="false">M23-N23-Q23-R23-S23+T23+U23</f>
        <v>97.8846</v>
      </c>
      <c r="W23" s="246"/>
      <c r="X23" s="105"/>
      <c r="Y23" s="265" t="n">
        <v>0</v>
      </c>
      <c r="Z23" s="267"/>
      <c r="AA23" s="269"/>
      <c r="AB23" s="265" t="n">
        <v>23</v>
      </c>
      <c r="AC23" s="105" t="n">
        <f aca="false">AC22-AB23</f>
        <v>4477</v>
      </c>
      <c r="AD23" s="128" t="n">
        <f aca="false">N23+O23+Q23+R23+S23+V23+Y23+AB23</f>
        <v>124.9</v>
      </c>
      <c r="AE23" s="265" t="n">
        <f aca="false">IF(L23&lt;0,L23*-1,0)</f>
        <v>13.0402697252332</v>
      </c>
      <c r="AF23" s="265" t="n">
        <f aca="false">AD23+AE23</f>
        <v>137.940269725233</v>
      </c>
      <c r="AG23" s="247" t="n">
        <v>0</v>
      </c>
      <c r="AH23" s="105" t="n">
        <v>43</v>
      </c>
      <c r="AI23" s="248" t="n">
        <v>21</v>
      </c>
      <c r="AJ23" s="243" t="n">
        <f aca="false">AJ22+(V23*1.9835)</f>
        <v>4806.41765</v>
      </c>
      <c r="AK23" s="243" t="n">
        <v>0</v>
      </c>
      <c r="AL23" s="249"/>
      <c r="AM23" s="249"/>
      <c r="AN23" s="249"/>
    </row>
    <row r="24" customFormat="false" ht="12.95" hidden="false" customHeight="true" outlineLevel="0" collapsed="false">
      <c r="A24" s="172" t="n">
        <f aca="false">A23+1</f>
        <v>13</v>
      </c>
      <c r="B24" s="104" t="n">
        <v>6903.02</v>
      </c>
      <c r="C24" s="105" t="n">
        <v>294853</v>
      </c>
      <c r="D24" s="243" t="n">
        <f aca="false">C24-C23</f>
        <v>-228</v>
      </c>
      <c r="E24" s="105" t="n">
        <f aca="false">C24-152000</f>
        <v>142853</v>
      </c>
      <c r="F24" s="264" t="n">
        <f aca="false">D24/$D$2</f>
        <v>-114.94832367028</v>
      </c>
      <c r="G24" s="265" t="n">
        <v>43</v>
      </c>
      <c r="H24" s="266" t="n">
        <v>0.17</v>
      </c>
      <c r="I24" s="265" t="n">
        <f aca="false">G24+H24</f>
        <v>43.17</v>
      </c>
      <c r="J24" s="246" t="n">
        <f aca="false">IF(L24&gt;0,L24,0)</f>
        <v>0</v>
      </c>
      <c r="K24" s="265" t="n">
        <f aca="false">I24+J24</f>
        <v>43.17</v>
      </c>
      <c r="L24" s="265" t="n">
        <f aca="false">F24-(I24-AD24)</f>
        <v>-34.2183236702798</v>
      </c>
      <c r="M24" s="267" t="n">
        <v>4.9</v>
      </c>
      <c r="N24" s="265" t="n">
        <v>0</v>
      </c>
      <c r="O24" s="265" t="n">
        <v>0</v>
      </c>
      <c r="P24" s="265"/>
      <c r="Q24" s="126" t="n">
        <f aca="false">1.51*1.02</f>
        <v>1.5402</v>
      </c>
      <c r="R24" s="126" t="n">
        <f aca="false">2.12*1.04</f>
        <v>2.2048</v>
      </c>
      <c r="S24" s="268" t="n">
        <v>0</v>
      </c>
      <c r="T24" s="265" t="n">
        <v>96</v>
      </c>
      <c r="U24" s="265" t="n">
        <v>0</v>
      </c>
      <c r="V24" s="246" t="n">
        <f aca="false">M24-N24-Q24-R24-S24+T24+U24</f>
        <v>97.155</v>
      </c>
      <c r="W24" s="246"/>
      <c r="X24" s="105"/>
      <c r="Y24" s="265" t="n">
        <v>0</v>
      </c>
      <c r="Z24" s="267"/>
      <c r="AA24" s="269"/>
      <c r="AB24" s="265" t="n">
        <v>23</v>
      </c>
      <c r="AC24" s="105" t="n">
        <f aca="false">AC23-AB24</f>
        <v>4454</v>
      </c>
      <c r="AD24" s="128" t="n">
        <f aca="false">N24+O24+Q24+R24+S24+V24+Y24+AB24</f>
        <v>123.9</v>
      </c>
      <c r="AE24" s="265" t="n">
        <f aca="false">IF(L24&lt;0,L24*-1,0)</f>
        <v>34.2183236702798</v>
      </c>
      <c r="AF24" s="265" t="n">
        <f aca="false">AD24+AE24</f>
        <v>158.11832367028</v>
      </c>
      <c r="AG24" s="247" t="n">
        <v>0.02</v>
      </c>
      <c r="AH24" s="105" t="n">
        <v>40</v>
      </c>
      <c r="AI24" s="248" t="n">
        <v>20</v>
      </c>
      <c r="AJ24" s="243" t="n">
        <f aca="false">AJ23+(V24*1.9835)</f>
        <v>4999.1245925</v>
      </c>
      <c r="AK24" s="243" t="n">
        <v>0</v>
      </c>
      <c r="AL24" s="249"/>
      <c r="AM24" s="249"/>
      <c r="AN24" s="249"/>
    </row>
    <row r="25" customFormat="false" ht="12.95" hidden="false" customHeight="true" outlineLevel="0" collapsed="false">
      <c r="A25" s="172" t="n">
        <f aca="false">A24+1</f>
        <v>14</v>
      </c>
      <c r="B25" s="104" t="n">
        <v>6902.96</v>
      </c>
      <c r="C25" s="105" t="n">
        <v>294627</v>
      </c>
      <c r="D25" s="243" t="n">
        <f aca="false">C25-C24</f>
        <v>-226</v>
      </c>
      <c r="E25" s="105" t="n">
        <f aca="false">C25-152000</f>
        <v>142627</v>
      </c>
      <c r="F25" s="264" t="n">
        <f aca="false">D25/$D$2</f>
        <v>-113.940005041593</v>
      </c>
      <c r="G25" s="265" t="n">
        <v>40</v>
      </c>
      <c r="H25" s="266" t="n">
        <v>0.18</v>
      </c>
      <c r="I25" s="265" t="n">
        <f aca="false">G25+H25</f>
        <v>40.18</v>
      </c>
      <c r="J25" s="246" t="n">
        <f aca="false">IF(L25&gt;0,L25,0)</f>
        <v>0</v>
      </c>
      <c r="K25" s="265" t="n">
        <f aca="false">I25+J25</f>
        <v>40.18</v>
      </c>
      <c r="L25" s="265" t="n">
        <f aca="false">F25-(I25-AD25)</f>
        <v>-30.2200050415931</v>
      </c>
      <c r="M25" s="267" t="n">
        <v>4.9</v>
      </c>
      <c r="N25" s="265" t="n">
        <v>0</v>
      </c>
      <c r="O25" s="265" t="n">
        <v>0</v>
      </c>
      <c r="P25" s="265"/>
      <c r="Q25" s="126" t="n">
        <f aca="false">1.51*1.02</f>
        <v>1.5402</v>
      </c>
      <c r="R25" s="126" t="n">
        <f aca="false">2.16*1.04</f>
        <v>2.2464</v>
      </c>
      <c r="S25" s="268" t="n">
        <v>0</v>
      </c>
      <c r="T25" s="265" t="n">
        <v>96</v>
      </c>
      <c r="U25" s="265" t="n">
        <v>0</v>
      </c>
      <c r="V25" s="246" t="n">
        <f aca="false">M25-N25-Q25-R25-S25+T25+U25</f>
        <v>97.1134</v>
      </c>
      <c r="W25" s="246"/>
      <c r="X25" s="105"/>
      <c r="Y25" s="265" t="n">
        <v>0</v>
      </c>
      <c r="Z25" s="267"/>
      <c r="AA25" s="269"/>
      <c r="AB25" s="265" t="n">
        <v>23</v>
      </c>
      <c r="AC25" s="105" t="n">
        <f aca="false">AC24-AB25</f>
        <v>4431</v>
      </c>
      <c r="AD25" s="128" t="n">
        <f aca="false">N25+O25+Q25+R25+S25+V25+Y25+AB25</f>
        <v>123.9</v>
      </c>
      <c r="AE25" s="265" t="n">
        <f aca="false">IF(L25&lt;0,L25*-1,0)</f>
        <v>30.2200050415931</v>
      </c>
      <c r="AF25" s="265" t="n">
        <f aca="false">AD25+AE25</f>
        <v>154.120005041593</v>
      </c>
      <c r="AG25" s="247" t="n">
        <v>0</v>
      </c>
      <c r="AH25" s="105" t="n">
        <v>32</v>
      </c>
      <c r="AI25" s="248" t="n">
        <v>14</v>
      </c>
      <c r="AJ25" s="243" t="n">
        <f aca="false">AJ24+(V25*1.9835)</f>
        <v>5191.7490214</v>
      </c>
      <c r="AK25" s="243" t="n">
        <v>0</v>
      </c>
      <c r="AL25" s="249"/>
      <c r="AM25" s="249"/>
      <c r="AN25" s="249"/>
    </row>
    <row r="26" customFormat="false" ht="12.95" hidden="false" customHeight="true" outlineLevel="0" collapsed="false">
      <c r="A26" s="172" t="n">
        <f aca="false">A25+1</f>
        <v>15</v>
      </c>
      <c r="B26" s="104" t="n">
        <v>6902.91</v>
      </c>
      <c r="C26" s="105" t="n">
        <v>294439</v>
      </c>
      <c r="D26" s="243" t="n">
        <f aca="false">C26-C25</f>
        <v>-188</v>
      </c>
      <c r="E26" s="105" t="n">
        <f aca="false">C26-152000</f>
        <v>142439</v>
      </c>
      <c r="F26" s="264" t="n">
        <f aca="false">D26/$D$2</f>
        <v>-94.7819510965465</v>
      </c>
      <c r="G26" s="265" t="n">
        <v>34</v>
      </c>
      <c r="H26" s="266" t="n">
        <v>0.18</v>
      </c>
      <c r="I26" s="265" t="n">
        <f aca="false">G26+H26</f>
        <v>34.18</v>
      </c>
      <c r="J26" s="246" t="n">
        <f aca="false">IF(L26&gt;0,L26,0)</f>
        <v>0</v>
      </c>
      <c r="K26" s="265" t="n">
        <f aca="false">I26+J26</f>
        <v>34.18</v>
      </c>
      <c r="L26" s="265" t="n">
        <f aca="false">F26-(I26-AD26)</f>
        <v>-5.06195109654651</v>
      </c>
      <c r="M26" s="267" t="n">
        <v>4.9</v>
      </c>
      <c r="N26" s="265" t="n">
        <v>0</v>
      </c>
      <c r="O26" s="265" t="n">
        <v>0</v>
      </c>
      <c r="P26" s="265"/>
      <c r="Q26" s="126" t="n">
        <f aca="false">1.51*1.02</f>
        <v>1.5402</v>
      </c>
      <c r="R26" s="126" t="n">
        <f aca="false">2.35*1.04</f>
        <v>2.444</v>
      </c>
      <c r="S26" s="268" t="n">
        <v>0</v>
      </c>
      <c r="T26" s="265" t="n">
        <v>96</v>
      </c>
      <c r="U26" s="265" t="n">
        <v>0</v>
      </c>
      <c r="V26" s="246" t="n">
        <f aca="false">M26-N26-Q26-R26-S26+T26+U26</f>
        <v>96.9158</v>
      </c>
      <c r="W26" s="246"/>
      <c r="X26" s="105"/>
      <c r="Y26" s="265" t="n">
        <v>0</v>
      </c>
      <c r="Z26" s="267"/>
      <c r="AA26" s="269"/>
      <c r="AB26" s="265" t="n">
        <v>23</v>
      </c>
      <c r="AC26" s="105" t="n">
        <f aca="false">AC25-AB26</f>
        <v>4408</v>
      </c>
      <c r="AD26" s="128" t="n">
        <f aca="false">N26+O26+Q26+R26+S26+V26+Y26+AB26</f>
        <v>123.9</v>
      </c>
      <c r="AE26" s="265" t="n">
        <f aca="false">IF(L26&lt;0,L26*-1,0)</f>
        <v>5.06195109654651</v>
      </c>
      <c r="AF26" s="265" t="n">
        <f aca="false">AD26+AE26</f>
        <v>128.961951096547</v>
      </c>
      <c r="AG26" s="247" t="n">
        <v>0</v>
      </c>
      <c r="AH26" s="105" t="n">
        <v>33</v>
      </c>
      <c r="AI26" s="248" t="n">
        <v>3</v>
      </c>
      <c r="AJ26" s="243" t="n">
        <f aca="false">AJ25+(V26*1.9835)</f>
        <v>5383.9815107</v>
      </c>
      <c r="AK26" s="243" t="n">
        <v>0</v>
      </c>
      <c r="AL26" s="249"/>
      <c r="AM26" s="249"/>
      <c r="AN26" s="249"/>
    </row>
    <row r="27" customFormat="false" ht="12.95" hidden="false" customHeight="true" outlineLevel="0" collapsed="false">
      <c r="A27" s="172" t="n">
        <f aca="false">A26+1</f>
        <v>16</v>
      </c>
      <c r="B27" s="104" t="n">
        <v>6902.86</v>
      </c>
      <c r="C27" s="105" t="n">
        <v>294251</v>
      </c>
      <c r="D27" s="243" t="n">
        <f aca="false">C27-C26</f>
        <v>-188</v>
      </c>
      <c r="E27" s="105" t="n">
        <f aca="false">C27-152000</f>
        <v>142251</v>
      </c>
      <c r="F27" s="264" t="n">
        <f aca="false">D27/$D$2</f>
        <v>-94.7819510965465</v>
      </c>
      <c r="G27" s="265" t="n">
        <v>28</v>
      </c>
      <c r="H27" s="266" t="n">
        <v>0.16</v>
      </c>
      <c r="I27" s="265" t="n">
        <f aca="false">G27+H27</f>
        <v>28.16</v>
      </c>
      <c r="J27" s="246" t="n">
        <f aca="false">IF(L27&gt;0,L27,0)</f>
        <v>0.958048903453502</v>
      </c>
      <c r="K27" s="265" t="n">
        <f aca="false">I27+J27</f>
        <v>29.1180489034535</v>
      </c>
      <c r="L27" s="265" t="n">
        <f aca="false">F27-(I27-AD27)</f>
        <v>0.958048903453502</v>
      </c>
      <c r="M27" s="267" t="n">
        <v>4.9</v>
      </c>
      <c r="N27" s="265" t="n">
        <v>0</v>
      </c>
      <c r="O27" s="265" t="n">
        <v>0</v>
      </c>
      <c r="P27" s="265"/>
      <c r="Q27" s="126" t="n">
        <f aca="false">1.51*1.02</f>
        <v>1.5402</v>
      </c>
      <c r="R27" s="126" t="n">
        <f aca="false">2.18*1.04</f>
        <v>2.2672</v>
      </c>
      <c r="S27" s="268" t="n">
        <v>0</v>
      </c>
      <c r="T27" s="265" t="n">
        <v>96</v>
      </c>
      <c r="U27" s="265" t="n">
        <v>0</v>
      </c>
      <c r="V27" s="246" t="n">
        <f aca="false">M27-N27-Q27-R27-S27+T27+U27</f>
        <v>97.0926</v>
      </c>
      <c r="W27" s="246"/>
      <c r="X27" s="105"/>
      <c r="Y27" s="265" t="n">
        <v>0</v>
      </c>
      <c r="Z27" s="267"/>
      <c r="AA27" s="269"/>
      <c r="AB27" s="265" t="n">
        <v>23</v>
      </c>
      <c r="AC27" s="105" t="n">
        <f aca="false">AC26-AB27</f>
        <v>4385</v>
      </c>
      <c r="AD27" s="128" t="n">
        <f aca="false">N27+O27+Q27+R27+S27+V27+Y27+AB27</f>
        <v>123.9</v>
      </c>
      <c r="AE27" s="265" t="n">
        <f aca="false">IF(L27&lt;0,L27*-1,0)</f>
        <v>0</v>
      </c>
      <c r="AF27" s="265" t="n">
        <f aca="false">AD27+AE27</f>
        <v>123.9</v>
      </c>
      <c r="AG27" s="247" t="n">
        <v>0</v>
      </c>
      <c r="AH27" s="105" t="n">
        <v>32</v>
      </c>
      <c r="AI27" s="248" t="n">
        <v>1</v>
      </c>
      <c r="AJ27" s="243" t="n">
        <f aca="false">AJ26+(V27*1.9835)</f>
        <v>5576.5646828</v>
      </c>
      <c r="AK27" s="243" t="n">
        <v>0</v>
      </c>
      <c r="AL27" s="249"/>
      <c r="AM27" s="249"/>
      <c r="AN27" s="249"/>
    </row>
    <row r="28" customFormat="false" ht="12.95" hidden="false" customHeight="true" outlineLevel="0" collapsed="false">
      <c r="A28" s="172" t="n">
        <f aca="false">A27+1</f>
        <v>17</v>
      </c>
      <c r="B28" s="104" t="n">
        <v>6902.82</v>
      </c>
      <c r="C28" s="105" t="n">
        <v>294100</v>
      </c>
      <c r="D28" s="243" t="n">
        <f aca="false">C28-C27</f>
        <v>-151</v>
      </c>
      <c r="E28" s="105" t="n">
        <f aca="false">C28-152000</f>
        <v>142100</v>
      </c>
      <c r="F28" s="264" t="n">
        <f aca="false">D28/$D$2</f>
        <v>-76.1280564658432</v>
      </c>
      <c r="G28" s="265" t="n">
        <v>27</v>
      </c>
      <c r="H28" s="266" t="n">
        <v>0.11</v>
      </c>
      <c r="I28" s="265" t="n">
        <f aca="false">G28+H28</f>
        <v>27.11</v>
      </c>
      <c r="J28" s="246" t="n">
        <f aca="false">IF(L28&gt;0,L28,0)</f>
        <v>20.6619435341568</v>
      </c>
      <c r="K28" s="265" t="n">
        <f aca="false">I28+J28</f>
        <v>47.7719435341568</v>
      </c>
      <c r="L28" s="265" t="n">
        <f aca="false">F28-(I28-AD28)</f>
        <v>20.6619435341568</v>
      </c>
      <c r="M28" s="267" t="n">
        <v>4.9</v>
      </c>
      <c r="N28" s="265" t="n">
        <v>0</v>
      </c>
      <c r="O28" s="265" t="n">
        <v>0</v>
      </c>
      <c r="P28" s="265"/>
      <c r="Q28" s="126" t="n">
        <f aca="false">1.51*1.02</f>
        <v>1.5402</v>
      </c>
      <c r="R28" s="126" t="n">
        <f aca="false">1.97*1.04</f>
        <v>2.0488</v>
      </c>
      <c r="S28" s="268" t="n">
        <v>0</v>
      </c>
      <c r="T28" s="265" t="n">
        <v>96</v>
      </c>
      <c r="U28" s="265" t="n">
        <v>0</v>
      </c>
      <c r="V28" s="246" t="n">
        <f aca="false">M28-N28-Q28-R28-S28+T28+U28</f>
        <v>97.311</v>
      </c>
      <c r="W28" s="246"/>
      <c r="X28" s="105"/>
      <c r="Y28" s="265" t="n">
        <v>0</v>
      </c>
      <c r="Z28" s="267"/>
      <c r="AA28" s="269"/>
      <c r="AB28" s="265" t="n">
        <v>23</v>
      </c>
      <c r="AC28" s="105" t="n">
        <f aca="false">AC27-AB28</f>
        <v>4362</v>
      </c>
      <c r="AD28" s="128" t="n">
        <f aca="false">N28+O28+Q28+R28+S28+V28+Y28+AB28</f>
        <v>123.9</v>
      </c>
      <c r="AE28" s="265" t="n">
        <f aca="false">IF(L28&lt;0,L28*-1,0)</f>
        <v>0</v>
      </c>
      <c r="AF28" s="265" t="n">
        <f aca="false">AD28+AE28</f>
        <v>123.9</v>
      </c>
      <c r="AG28" s="247" t="n">
        <v>0</v>
      </c>
      <c r="AH28" s="105" t="n">
        <v>35</v>
      </c>
      <c r="AI28" s="248" t="n">
        <v>11</v>
      </c>
      <c r="AJ28" s="243" t="n">
        <f aca="false">AJ27+(V28*1.9835)</f>
        <v>5769.5810513</v>
      </c>
      <c r="AK28" s="243" t="n">
        <v>0</v>
      </c>
      <c r="AL28" s="249"/>
      <c r="AM28" s="249"/>
      <c r="AN28" s="249"/>
    </row>
    <row r="29" customFormat="false" ht="12.95" hidden="false" customHeight="true" outlineLevel="0" collapsed="false">
      <c r="A29" s="172" t="n">
        <f aca="false">A28+1</f>
        <v>18</v>
      </c>
      <c r="B29" s="104" t="n">
        <v>6902.78</v>
      </c>
      <c r="C29" s="105" t="n">
        <v>293950</v>
      </c>
      <c r="D29" s="243" t="n">
        <f aca="false">C29-C28</f>
        <v>-150</v>
      </c>
      <c r="E29" s="105" t="n">
        <f aca="false">C29-152000</f>
        <v>141950</v>
      </c>
      <c r="F29" s="264" t="n">
        <f aca="false">D29/$D$2</f>
        <v>-75.6238971514999</v>
      </c>
      <c r="G29" s="265" t="n">
        <v>29</v>
      </c>
      <c r="H29" s="266" t="n">
        <v>0.08</v>
      </c>
      <c r="I29" s="265" t="n">
        <f aca="false">G29+H29</f>
        <v>29.08</v>
      </c>
      <c r="J29" s="246" t="n">
        <f aca="false">IF(L29&gt;0,L29,0)</f>
        <v>19.1961028485001</v>
      </c>
      <c r="K29" s="265" t="n">
        <f aca="false">I29+J29</f>
        <v>48.2761028485001</v>
      </c>
      <c r="L29" s="265" t="n">
        <f aca="false">F29-(I29-AD29)</f>
        <v>19.1961028485001</v>
      </c>
      <c r="M29" s="267" t="n">
        <v>4.9</v>
      </c>
      <c r="N29" s="265" t="n">
        <v>0</v>
      </c>
      <c r="O29" s="265" t="n">
        <v>0</v>
      </c>
      <c r="P29" s="265"/>
      <c r="Q29" s="126" t="n">
        <f aca="false">1.51*1.02</f>
        <v>1.5402</v>
      </c>
      <c r="R29" s="126" t="n">
        <f aca="false">2.49*1.04</f>
        <v>2.5896</v>
      </c>
      <c r="S29" s="268" t="n">
        <v>0</v>
      </c>
      <c r="T29" s="265" t="n">
        <v>96</v>
      </c>
      <c r="U29" s="265" t="n">
        <v>0</v>
      </c>
      <c r="V29" s="246" t="n">
        <f aca="false">M29-N29-Q29-R29-S29+T29+U29</f>
        <v>96.7702</v>
      </c>
      <c r="W29" s="246"/>
      <c r="X29" s="105"/>
      <c r="Y29" s="265" t="n">
        <v>0</v>
      </c>
      <c r="Z29" s="267"/>
      <c r="AA29" s="269"/>
      <c r="AB29" s="265" t="n">
        <v>23</v>
      </c>
      <c r="AC29" s="105" t="n">
        <f aca="false">AC28-AB29</f>
        <v>4339</v>
      </c>
      <c r="AD29" s="128" t="n">
        <f aca="false">N29+O29+Q29+R29+S29+V29+Y29+AB29</f>
        <v>123.9</v>
      </c>
      <c r="AE29" s="265" t="n">
        <f aca="false">IF(L29&lt;0,L29*-1,0)</f>
        <v>0</v>
      </c>
      <c r="AF29" s="265" t="n">
        <f aca="false">AD29+AE29</f>
        <v>123.9</v>
      </c>
      <c r="AG29" s="247" t="n">
        <v>0.06</v>
      </c>
      <c r="AH29" s="105" t="n">
        <v>41</v>
      </c>
      <c r="AI29" s="248" t="n">
        <v>20</v>
      </c>
      <c r="AJ29" s="243" t="n">
        <f aca="false">AJ28+(V29*1.9835)</f>
        <v>5961.524743</v>
      </c>
      <c r="AK29" s="243" t="n">
        <v>0</v>
      </c>
      <c r="AL29" s="249"/>
      <c r="AM29" s="249"/>
      <c r="AN29" s="249"/>
    </row>
    <row r="30" customFormat="false" ht="12.95" hidden="false" customHeight="true" outlineLevel="0" collapsed="false">
      <c r="A30" s="172" t="n">
        <f aca="false">A29+1</f>
        <v>19</v>
      </c>
      <c r="B30" s="104" t="n">
        <v>6902.74</v>
      </c>
      <c r="C30" s="105" t="n">
        <v>293799</v>
      </c>
      <c r="D30" s="243" t="n">
        <f aca="false">C30-C29</f>
        <v>-151</v>
      </c>
      <c r="E30" s="105" t="n">
        <f aca="false">C30-152000</f>
        <v>141799</v>
      </c>
      <c r="F30" s="264" t="n">
        <f aca="false">D30/$D$2</f>
        <v>-76.1280564658432</v>
      </c>
      <c r="G30" s="265" t="n">
        <v>40</v>
      </c>
      <c r="H30" s="266" t="n">
        <v>0.1</v>
      </c>
      <c r="I30" s="265" t="n">
        <f aca="false">G30+H30</f>
        <v>40.1</v>
      </c>
      <c r="J30" s="246" t="n">
        <f aca="false">IF(L30&gt;0,L30,0)</f>
        <v>0</v>
      </c>
      <c r="K30" s="265" t="n">
        <f aca="false">I30+J30</f>
        <v>40.1</v>
      </c>
      <c r="L30" s="265" t="n">
        <f aca="false">F30-(I30-AD30)</f>
        <v>-35.3280564658432</v>
      </c>
      <c r="M30" s="267" t="n">
        <v>4.9</v>
      </c>
      <c r="N30" s="265" t="n">
        <v>0</v>
      </c>
      <c r="O30" s="265" t="n">
        <v>0</v>
      </c>
      <c r="P30" s="265"/>
      <c r="Q30" s="126" t="n">
        <f aca="false">1.51*1.02</f>
        <v>1.5402</v>
      </c>
      <c r="R30" s="126" t="n">
        <f aca="false">2.2*1.04</f>
        <v>2.288</v>
      </c>
      <c r="S30" s="268" t="n">
        <v>0</v>
      </c>
      <c r="T30" s="265" t="n">
        <v>53</v>
      </c>
      <c r="U30" s="265" t="n">
        <v>0</v>
      </c>
      <c r="V30" s="246" t="n">
        <f aca="false">M30-N30-Q30-R30-S30+T30+U30</f>
        <v>54.0718</v>
      </c>
      <c r="W30" s="246"/>
      <c r="X30" s="105"/>
      <c r="Y30" s="265" t="n">
        <v>0</v>
      </c>
      <c r="Z30" s="267"/>
      <c r="AA30" s="269"/>
      <c r="AB30" s="265" t="n">
        <v>23</v>
      </c>
      <c r="AC30" s="105" t="n">
        <f aca="false">AC29-AB30</f>
        <v>4316</v>
      </c>
      <c r="AD30" s="128" t="n">
        <f aca="false">N30+O30+Q30+R30+S30+V30+Y30+AB30</f>
        <v>80.9</v>
      </c>
      <c r="AE30" s="265" t="n">
        <f aca="false">IF(L30&lt;0,L30*-1,0)</f>
        <v>35.3280564658432</v>
      </c>
      <c r="AF30" s="265" t="n">
        <f aca="false">AD30+AE30</f>
        <v>116.228056465843</v>
      </c>
      <c r="AG30" s="247" t="n">
        <v>0</v>
      </c>
      <c r="AH30" s="105" t="n">
        <v>44</v>
      </c>
      <c r="AI30" s="248" t="n">
        <v>27</v>
      </c>
      <c r="AJ30" s="243" t="n">
        <f aca="false">AJ29+(V30*1.9835)</f>
        <v>6068.7761583</v>
      </c>
      <c r="AK30" s="243" t="n">
        <v>0</v>
      </c>
      <c r="AL30" s="249"/>
      <c r="AM30" s="249"/>
      <c r="AN30" s="249"/>
    </row>
    <row r="31" customFormat="false" ht="12.95" hidden="false" customHeight="true" outlineLevel="0" collapsed="false">
      <c r="A31" s="172" t="n">
        <f aca="false">A30+1</f>
        <v>20</v>
      </c>
      <c r="B31" s="104" t="n">
        <v>6902.74</v>
      </c>
      <c r="C31" s="105" t="n">
        <v>293799</v>
      </c>
      <c r="D31" s="243" t="n">
        <f aca="false">C31-C30</f>
        <v>0</v>
      </c>
      <c r="E31" s="105" t="n">
        <f aca="false">C31-152000</f>
        <v>141799</v>
      </c>
      <c r="F31" s="264" t="n">
        <f aca="false">D31/$D$2</f>
        <v>0</v>
      </c>
      <c r="G31" s="265" t="n">
        <v>45</v>
      </c>
      <c r="H31" s="266" t="n">
        <v>0.14</v>
      </c>
      <c r="I31" s="265" t="n">
        <f aca="false">G31+H31</f>
        <v>45.14</v>
      </c>
      <c r="J31" s="246" t="n">
        <f aca="false">IF(L31&gt;0,L31,0)</f>
        <v>8.8</v>
      </c>
      <c r="K31" s="265" t="n">
        <f aca="false">I31+J31</f>
        <v>53.94</v>
      </c>
      <c r="L31" s="265" t="n">
        <f aca="false">F31-(I31-AD31)</f>
        <v>8.8</v>
      </c>
      <c r="M31" s="267" t="n">
        <v>4.9</v>
      </c>
      <c r="N31" s="265" t="n">
        <v>0</v>
      </c>
      <c r="O31" s="265" t="n">
        <v>0</v>
      </c>
      <c r="P31" s="265"/>
      <c r="Q31" s="126" t="n">
        <f aca="false">1.51*1.02</f>
        <v>1.5402</v>
      </c>
      <c r="R31" s="126" t="n">
        <f aca="false">2.22*1.04</f>
        <v>2.3088</v>
      </c>
      <c r="S31" s="268" t="n">
        <v>0</v>
      </c>
      <c r="T31" s="265" t="n">
        <v>26.04</v>
      </c>
      <c r="U31" s="265" t="n">
        <v>0</v>
      </c>
      <c r="V31" s="246" t="n">
        <f aca="false">M31-N31-Q31-R31-S31+T31+U31</f>
        <v>27.091</v>
      </c>
      <c r="W31" s="246"/>
      <c r="X31" s="105"/>
      <c r="Y31" s="265" t="n">
        <v>0</v>
      </c>
      <c r="Z31" s="267"/>
      <c r="AA31" s="269"/>
      <c r="AB31" s="265" t="n">
        <v>23</v>
      </c>
      <c r="AC31" s="105" t="n">
        <f aca="false">AC30-AB31</f>
        <v>4293</v>
      </c>
      <c r="AD31" s="128" t="n">
        <f aca="false">N31+O31+Q31+R31+S31+V31+Y31+AB31</f>
        <v>53.94</v>
      </c>
      <c r="AE31" s="265" t="n">
        <f aca="false">IF(L31&lt;0,L31*-1,0)</f>
        <v>0</v>
      </c>
      <c r="AF31" s="265" t="n">
        <f aca="false">AD31+AE31</f>
        <v>53.94</v>
      </c>
      <c r="AG31" s="247" t="n">
        <v>0.11</v>
      </c>
      <c r="AH31" s="105" t="n">
        <v>41</v>
      </c>
      <c r="AI31" s="248" t="n">
        <v>25</v>
      </c>
      <c r="AJ31" s="243" t="n">
        <f aca="false">AJ30+(V31*1.9835)</f>
        <v>6122.5111568</v>
      </c>
      <c r="AK31" s="243" t="n">
        <v>0</v>
      </c>
      <c r="AL31" s="249"/>
      <c r="AM31" s="249"/>
      <c r="AN31" s="249"/>
    </row>
    <row r="32" customFormat="false" ht="12.95" hidden="false" customHeight="true" outlineLevel="0" collapsed="false">
      <c r="A32" s="172" t="n">
        <f aca="false">A31+1</f>
        <v>21</v>
      </c>
      <c r="B32" s="104" t="n">
        <v>6902.73</v>
      </c>
      <c r="C32" s="105" t="n">
        <v>293761</v>
      </c>
      <c r="D32" s="243" t="n">
        <f aca="false">C32-C31</f>
        <v>-38</v>
      </c>
      <c r="E32" s="105" t="n">
        <f aca="false">C32-152000</f>
        <v>141761</v>
      </c>
      <c r="F32" s="264" t="n">
        <f aca="false">D32/$D$2</f>
        <v>-19.1580539450466</v>
      </c>
      <c r="G32" s="265" t="n">
        <v>43</v>
      </c>
      <c r="H32" s="266" t="n">
        <v>0.17</v>
      </c>
      <c r="I32" s="265" t="n">
        <f aca="false">G32+H32</f>
        <v>43.17</v>
      </c>
      <c r="J32" s="246" t="n">
        <f aca="false">IF(L32&gt;0,L32,0)</f>
        <v>0</v>
      </c>
      <c r="K32" s="265" t="n">
        <f aca="false">I32+J32</f>
        <v>43.17</v>
      </c>
      <c r="L32" s="265" t="n">
        <f aca="false">F32-(I32-AD32)</f>
        <v>-9.32805394504664</v>
      </c>
      <c r="M32" s="267" t="n">
        <v>5</v>
      </c>
      <c r="N32" s="265" t="n">
        <v>0</v>
      </c>
      <c r="O32" s="265" t="n">
        <v>0</v>
      </c>
      <c r="P32" s="265"/>
      <c r="Q32" s="126" t="n">
        <f aca="false">1.51*1.02</f>
        <v>1.5402</v>
      </c>
      <c r="R32" s="126" t="n">
        <f aca="false">3.39*1.04</f>
        <v>3.5256</v>
      </c>
      <c r="S32" s="268" t="n">
        <v>0</v>
      </c>
      <c r="T32" s="265" t="n">
        <v>25</v>
      </c>
      <c r="U32" s="265" t="n">
        <v>0</v>
      </c>
      <c r="V32" s="246" t="n">
        <f aca="false">M32-N32-Q32-R32-S32+T32+U32</f>
        <v>24.9342</v>
      </c>
      <c r="W32" s="246"/>
      <c r="X32" s="105"/>
      <c r="Y32" s="265" t="n">
        <v>0</v>
      </c>
      <c r="Z32" s="267"/>
      <c r="AA32" s="269"/>
      <c r="AB32" s="265" t="n">
        <v>23</v>
      </c>
      <c r="AC32" s="105" t="n">
        <f aca="false">AC31-AB32</f>
        <v>4270</v>
      </c>
      <c r="AD32" s="128" t="n">
        <f aca="false">N32+O32+Q32+R32+S32+V32+Y32+AB32</f>
        <v>53</v>
      </c>
      <c r="AE32" s="265" t="n">
        <f aca="false">IF(L32&lt;0,L32*-1,0)</f>
        <v>9.32805394504664</v>
      </c>
      <c r="AF32" s="265" t="n">
        <f aca="false">AD32+AE32</f>
        <v>62.3280539450466</v>
      </c>
      <c r="AG32" s="247" t="n">
        <v>0</v>
      </c>
      <c r="AH32" s="105" t="n">
        <v>54</v>
      </c>
      <c r="AI32" s="248" t="n">
        <v>26</v>
      </c>
      <c r="AJ32" s="243" t="n">
        <f aca="false">AJ31+(V32*1.9835)</f>
        <v>6171.9681425</v>
      </c>
      <c r="AK32" s="243" t="n">
        <v>0</v>
      </c>
      <c r="AL32" s="249"/>
      <c r="AM32" s="249"/>
      <c r="AN32" s="249"/>
    </row>
    <row r="33" customFormat="false" ht="12.95" hidden="false" customHeight="true" outlineLevel="0" collapsed="false">
      <c r="A33" s="172" t="n">
        <f aca="false">A32+1</f>
        <v>22</v>
      </c>
      <c r="B33" s="104" t="n">
        <v>6902.72</v>
      </c>
      <c r="C33" s="105" t="n">
        <v>293724</v>
      </c>
      <c r="D33" s="243" t="n">
        <f aca="false">C33-C32</f>
        <v>-37</v>
      </c>
      <c r="E33" s="105" t="n">
        <f aca="false">C33-152000</f>
        <v>141724</v>
      </c>
      <c r="F33" s="264" t="n">
        <f aca="false">D33/$D$2</f>
        <v>-18.6538946307033</v>
      </c>
      <c r="G33" s="265" t="n">
        <v>42</v>
      </c>
      <c r="H33" s="266" t="n">
        <v>0.27</v>
      </c>
      <c r="I33" s="265" t="n">
        <f aca="false">G33+H33</f>
        <v>42.27</v>
      </c>
      <c r="J33" s="246" t="n">
        <f aca="false">IF(L33&gt;0,L33,0)</f>
        <v>0</v>
      </c>
      <c r="K33" s="265" t="n">
        <f aca="false">I33+J33</f>
        <v>42.27</v>
      </c>
      <c r="L33" s="265" t="n">
        <f aca="false">F33-(I33-AD33)</f>
        <v>-7.7238946307033</v>
      </c>
      <c r="M33" s="267" t="n">
        <v>5.2</v>
      </c>
      <c r="N33" s="265" t="n">
        <v>0</v>
      </c>
      <c r="O33" s="265" t="n">
        <v>0</v>
      </c>
      <c r="P33" s="265"/>
      <c r="Q33" s="126" t="n">
        <f aca="false">1.51*1.02</f>
        <v>1.5402</v>
      </c>
      <c r="R33" s="126" t="n">
        <f aca="false">2.6*1.04</f>
        <v>2.704</v>
      </c>
      <c r="S33" s="268" t="n">
        <v>0</v>
      </c>
      <c r="T33" s="265" t="n">
        <v>25</v>
      </c>
      <c r="U33" s="265" t="n">
        <v>0</v>
      </c>
      <c r="V33" s="246" t="n">
        <f aca="false">M33-N33-O33-Q33-R33-S33+T33+U33</f>
        <v>25.9558</v>
      </c>
      <c r="W33" s="246"/>
      <c r="X33" s="105"/>
      <c r="Y33" s="265" t="n">
        <v>0</v>
      </c>
      <c r="Z33" s="267"/>
      <c r="AA33" s="269"/>
      <c r="AB33" s="265" t="n">
        <v>23</v>
      </c>
      <c r="AC33" s="105" t="n">
        <f aca="false">AC32-AB33</f>
        <v>4247</v>
      </c>
      <c r="AD33" s="128" t="n">
        <f aca="false">N33+O33+Q33+R33+S33+V33+Y33+AB33</f>
        <v>53.2</v>
      </c>
      <c r="AE33" s="265" t="n">
        <f aca="false">IF(L33&lt;0,L33*-1,0)</f>
        <v>7.7238946307033</v>
      </c>
      <c r="AF33" s="265" t="n">
        <f aca="false">AD33+AE33</f>
        <v>60.9238946307033</v>
      </c>
      <c r="AG33" s="247" t="n">
        <v>0</v>
      </c>
      <c r="AH33" s="105" t="n">
        <v>56</v>
      </c>
      <c r="AI33" s="248" t="n">
        <v>29</v>
      </c>
      <c r="AJ33" s="243" t="n">
        <f aca="false">AJ32+(V33*1.9835)</f>
        <v>6223.4514718</v>
      </c>
      <c r="AK33" s="243" t="n">
        <v>0</v>
      </c>
      <c r="AL33" s="249"/>
      <c r="AM33" s="249"/>
      <c r="AN33" s="249"/>
    </row>
    <row r="34" customFormat="false" ht="12.95" hidden="false" customHeight="true" outlineLevel="0" collapsed="false">
      <c r="A34" s="172" t="n">
        <f aca="false">A33+1</f>
        <v>23</v>
      </c>
      <c r="B34" s="104" t="n">
        <v>6902.71</v>
      </c>
      <c r="C34" s="105" t="n">
        <v>293686</v>
      </c>
      <c r="D34" s="243" t="n">
        <f aca="false">C34-C33</f>
        <v>-38</v>
      </c>
      <c r="E34" s="105" t="n">
        <f aca="false">C34-152000</f>
        <v>141686</v>
      </c>
      <c r="F34" s="264" t="n">
        <f aca="false">D34/$D$2</f>
        <v>-19.1580539450466</v>
      </c>
      <c r="G34" s="265" t="n">
        <v>43</v>
      </c>
      <c r="H34" s="266" t="n">
        <v>0.44</v>
      </c>
      <c r="I34" s="265" t="n">
        <f aca="false">G34+H34</f>
        <v>43.44</v>
      </c>
      <c r="J34" s="246" t="n">
        <f aca="false">IF(L34&gt;0,L34,0)</f>
        <v>0</v>
      </c>
      <c r="K34" s="265" t="n">
        <f aca="false">I34+J34</f>
        <v>43.44</v>
      </c>
      <c r="L34" s="265" t="n">
        <f aca="false">F34-(I34-AD34)</f>
        <v>-9.59805394504663</v>
      </c>
      <c r="M34" s="267" t="n">
        <v>5</v>
      </c>
      <c r="N34" s="265" t="n">
        <v>0</v>
      </c>
      <c r="O34" s="265" t="n">
        <v>0</v>
      </c>
      <c r="P34" s="265"/>
      <c r="Q34" s="126" t="n">
        <f aca="false">1.51*1.02</f>
        <v>1.5402</v>
      </c>
      <c r="R34" s="126" t="n">
        <f aca="false">3.38*1.04</f>
        <v>3.5152</v>
      </c>
      <c r="S34" s="268" t="n">
        <v>0</v>
      </c>
      <c r="T34" s="265" t="n">
        <v>25</v>
      </c>
      <c r="U34" s="265" t="n">
        <v>0</v>
      </c>
      <c r="V34" s="246" t="n">
        <f aca="false">M34-N34-O34-Q34-R34-S34+T34+U34</f>
        <v>24.9446</v>
      </c>
      <c r="W34" s="246"/>
      <c r="X34" s="105"/>
      <c r="Y34" s="265" t="n">
        <v>0</v>
      </c>
      <c r="Z34" s="267"/>
      <c r="AA34" s="269"/>
      <c r="AB34" s="265" t="n">
        <v>23</v>
      </c>
      <c r="AC34" s="105" t="n">
        <f aca="false">AC33-AB34</f>
        <v>4224</v>
      </c>
      <c r="AD34" s="128" t="n">
        <f aca="false">N34+O34+Q34+R34+S34+V34+Y34+AB34</f>
        <v>53</v>
      </c>
      <c r="AE34" s="265" t="n">
        <f aca="false">IF(L34&lt;0,L34*-1,0)</f>
        <v>9.59805394504663</v>
      </c>
      <c r="AF34" s="265" t="n">
        <f aca="false">AD34+AE34</f>
        <v>62.5980539450466</v>
      </c>
      <c r="AG34" s="247" t="n">
        <v>0</v>
      </c>
      <c r="AH34" s="105" t="n">
        <v>53</v>
      </c>
      <c r="AI34" s="270" t="n">
        <v>30</v>
      </c>
      <c r="AJ34" s="243" t="n">
        <f aca="false">AJ33+(V34*1.9835)</f>
        <v>6272.9290859</v>
      </c>
      <c r="AK34" s="243" t="n">
        <v>0</v>
      </c>
      <c r="AL34" s="249"/>
      <c r="AM34" s="249"/>
      <c r="AN34" s="249"/>
    </row>
    <row r="35" customFormat="false" ht="12.95" hidden="false" customHeight="true" outlineLevel="0" collapsed="false">
      <c r="A35" s="172" t="n">
        <f aca="false">A34+1</f>
        <v>24</v>
      </c>
      <c r="B35" s="104" t="n">
        <v>6902.7</v>
      </c>
      <c r="C35" s="105" t="n">
        <v>293649</v>
      </c>
      <c r="D35" s="243" t="n">
        <f aca="false">C35-C34</f>
        <v>-37</v>
      </c>
      <c r="E35" s="105" t="n">
        <f aca="false">C35-152000</f>
        <v>141649</v>
      </c>
      <c r="F35" s="264" t="n">
        <f aca="false">D35/$D$2</f>
        <v>-18.6538946307033</v>
      </c>
      <c r="G35" s="265" t="n">
        <v>41</v>
      </c>
      <c r="H35" s="266" t="n">
        <v>0.65</v>
      </c>
      <c r="I35" s="265" t="n">
        <f aca="false">G35+H35</f>
        <v>41.65</v>
      </c>
      <c r="J35" s="246" t="n">
        <f aca="false">IF(L35&gt;0,L35,0)</f>
        <v>0</v>
      </c>
      <c r="K35" s="265" t="n">
        <f aca="false">I35+J35</f>
        <v>41.65</v>
      </c>
      <c r="L35" s="265" t="n">
        <f aca="false">F35-(I35-AD35)</f>
        <v>-7.4038946307033</v>
      </c>
      <c r="M35" s="267" t="n">
        <v>4.9</v>
      </c>
      <c r="N35" s="265" t="n">
        <v>0</v>
      </c>
      <c r="O35" s="265" t="n">
        <v>0</v>
      </c>
      <c r="P35" s="265"/>
      <c r="Q35" s="126" t="n">
        <f aca="false">1.51*1.02</f>
        <v>1.5402</v>
      </c>
      <c r="R35" s="126" t="n">
        <f aca="false">2.74*1.04</f>
        <v>2.8496</v>
      </c>
      <c r="S35" s="268" t="n">
        <v>0</v>
      </c>
      <c r="T35" s="265" t="n">
        <v>25</v>
      </c>
      <c r="U35" s="265" t="n">
        <v>0</v>
      </c>
      <c r="V35" s="246" t="n">
        <f aca="false">M35-N35-O35-Q35-R35-S35+T35+U35</f>
        <v>25.5102</v>
      </c>
      <c r="W35" s="246"/>
      <c r="X35" s="105"/>
      <c r="Y35" s="265" t="n">
        <v>0</v>
      </c>
      <c r="Z35" s="267"/>
      <c r="AA35" s="269"/>
      <c r="AB35" s="265" t="n">
        <v>23</v>
      </c>
      <c r="AC35" s="105" t="n">
        <f aca="false">AC34-AB35</f>
        <v>4201</v>
      </c>
      <c r="AD35" s="128" t="n">
        <f aca="false">N35+O35+Q35+R35+S35+V35+Y35+AB35</f>
        <v>52.9</v>
      </c>
      <c r="AE35" s="265" t="n">
        <f aca="false">IF(L35&lt;0,L35*-1,0)</f>
        <v>7.4038946307033</v>
      </c>
      <c r="AF35" s="265" t="n">
        <f aca="false">AD35+AE35</f>
        <v>60.3038946307033</v>
      </c>
      <c r="AG35" s="247" t="n">
        <v>0</v>
      </c>
      <c r="AH35" s="105" t="n">
        <v>53</v>
      </c>
      <c r="AI35" s="270" t="n">
        <v>30</v>
      </c>
      <c r="AJ35" s="243" t="n">
        <f aca="false">AJ34+(V35*1.9835)</f>
        <v>6323.5285676</v>
      </c>
      <c r="AK35" s="243" t="n">
        <v>0</v>
      </c>
      <c r="AL35" s="249"/>
      <c r="AM35" s="249"/>
      <c r="AN35" s="249"/>
    </row>
    <row r="36" customFormat="false" ht="12.95" hidden="false" customHeight="true" outlineLevel="0" collapsed="false">
      <c r="A36" s="172" t="n">
        <f aca="false">A35+1</f>
        <v>25</v>
      </c>
      <c r="B36" s="104" t="n">
        <v>6902.69</v>
      </c>
      <c r="C36" s="105" t="n">
        <v>293611</v>
      </c>
      <c r="D36" s="243" t="n">
        <f aca="false">C36-C35</f>
        <v>-38</v>
      </c>
      <c r="E36" s="105" t="n">
        <f aca="false">C36-152000</f>
        <v>141611</v>
      </c>
      <c r="F36" s="264" t="n">
        <f aca="false">D36/$D$2</f>
        <v>-19.1580539450466</v>
      </c>
      <c r="G36" s="265" t="n">
        <v>40</v>
      </c>
      <c r="H36" s="266" t="n">
        <v>1</v>
      </c>
      <c r="I36" s="265" t="n">
        <f aca="false">G36+H36</f>
        <v>41</v>
      </c>
      <c r="J36" s="246" t="n">
        <f aca="false">IF(L36&gt;0,L36,0)</f>
        <v>0</v>
      </c>
      <c r="K36" s="265" t="n">
        <f aca="false">I36+J36</f>
        <v>41</v>
      </c>
      <c r="L36" s="265" t="n">
        <f aca="false">F36-(I36-AD36)</f>
        <v>-7.05805394504663</v>
      </c>
      <c r="M36" s="267" t="n">
        <v>5.1</v>
      </c>
      <c r="N36" s="265" t="n">
        <v>0</v>
      </c>
      <c r="O36" s="265" t="n">
        <v>0</v>
      </c>
      <c r="P36" s="265"/>
      <c r="Q36" s="126" t="n">
        <f aca="false">1.51*1.02</f>
        <v>1.5402</v>
      </c>
      <c r="R36" s="126" t="n">
        <f aca="false">2.55*1.04</f>
        <v>2.652</v>
      </c>
      <c r="S36" s="268" t="n">
        <v>0</v>
      </c>
      <c r="T36" s="265" t="n">
        <v>25</v>
      </c>
      <c r="U36" s="265" t="n">
        <v>0</v>
      </c>
      <c r="V36" s="246" t="n">
        <f aca="false">M36-N36-O36-Q36-R36-S36+T36+U36</f>
        <v>25.9078</v>
      </c>
      <c r="W36" s="246"/>
      <c r="X36" s="105"/>
      <c r="Y36" s="265" t="n">
        <v>0</v>
      </c>
      <c r="Z36" s="267"/>
      <c r="AA36" s="269"/>
      <c r="AB36" s="265" t="n">
        <v>23</v>
      </c>
      <c r="AC36" s="105" t="n">
        <f aca="false">AC35-AB36</f>
        <v>4178</v>
      </c>
      <c r="AD36" s="128" t="n">
        <f aca="false">N36+O36+Q36+R36+S36+V36+Y36+AB36</f>
        <v>53.1</v>
      </c>
      <c r="AE36" s="265" t="n">
        <f aca="false">IF(L36&lt;0,L36*-1,0)</f>
        <v>7.05805394504663</v>
      </c>
      <c r="AF36" s="265" t="n">
        <f aca="false">AD36+AE36</f>
        <v>60.1580539450466</v>
      </c>
      <c r="AG36" s="247" t="n">
        <v>0</v>
      </c>
      <c r="AH36" s="105" t="n">
        <v>54</v>
      </c>
      <c r="AI36" s="270" t="n">
        <v>27</v>
      </c>
      <c r="AJ36" s="243" t="n">
        <f aca="false">AJ35+(V36*1.9835)</f>
        <v>6374.9166889</v>
      </c>
      <c r="AK36" s="243" t="n">
        <v>0</v>
      </c>
      <c r="AL36" s="249"/>
      <c r="AM36" s="249"/>
      <c r="AN36" s="249"/>
    </row>
    <row r="37" customFormat="false" ht="12.95" hidden="false" customHeight="true" outlineLevel="0" collapsed="false">
      <c r="A37" s="172" t="n">
        <f aca="false">A36+1</f>
        <v>26</v>
      </c>
      <c r="B37" s="104" t="n">
        <v>6902.68</v>
      </c>
      <c r="C37" s="105" t="n">
        <v>293573</v>
      </c>
      <c r="D37" s="243" t="n">
        <f aca="false">C37-C36</f>
        <v>-38</v>
      </c>
      <c r="E37" s="105" t="n">
        <f aca="false">C37-152000</f>
        <v>141573</v>
      </c>
      <c r="F37" s="264" t="n">
        <f aca="false">D37/$D$2</f>
        <v>-19.1580539450466</v>
      </c>
      <c r="G37" s="265" t="n">
        <v>39</v>
      </c>
      <c r="H37" s="266" t="n">
        <v>1.8</v>
      </c>
      <c r="I37" s="265" t="n">
        <f aca="false">G37+H37</f>
        <v>40.8</v>
      </c>
      <c r="J37" s="246" t="n">
        <f aca="false">IF(L37&gt;0,L37,0)</f>
        <v>0</v>
      </c>
      <c r="K37" s="265" t="n">
        <f aca="false">I37+J37</f>
        <v>40.8</v>
      </c>
      <c r="L37" s="265" t="n">
        <f aca="false">F37-(I37-AD37)</f>
        <v>-7.75805394504663</v>
      </c>
      <c r="M37" s="267" t="n">
        <v>5.2</v>
      </c>
      <c r="N37" s="265" t="n">
        <v>0</v>
      </c>
      <c r="O37" s="265" t="n">
        <v>0</v>
      </c>
      <c r="P37" s="265"/>
      <c r="Q37" s="126" t="n">
        <f aca="false">1.51*1.02</f>
        <v>1.5402</v>
      </c>
      <c r="R37" s="126" t="n">
        <f aca="false">2.13*1.04</f>
        <v>2.2152</v>
      </c>
      <c r="S37" s="268" t="n">
        <v>0</v>
      </c>
      <c r="T37" s="265" t="n">
        <v>25</v>
      </c>
      <c r="U37" s="265" t="n">
        <v>0</v>
      </c>
      <c r="V37" s="246" t="n">
        <f aca="false">M37-N37-O37-Q37-R37-S37+T37+U37</f>
        <v>26.4446</v>
      </c>
      <c r="W37" s="246"/>
      <c r="X37" s="105"/>
      <c r="Y37" s="265" t="n">
        <v>0</v>
      </c>
      <c r="Z37" s="267"/>
      <c r="AA37" s="269"/>
      <c r="AB37" s="265" t="n">
        <v>22</v>
      </c>
      <c r="AC37" s="105" t="n">
        <f aca="false">AC36-AB37</f>
        <v>4156</v>
      </c>
      <c r="AD37" s="128" t="n">
        <f aca="false">N37+O37+Q37+R37+S37+V37+Y37+AB37</f>
        <v>52.2</v>
      </c>
      <c r="AE37" s="265" t="n">
        <f aca="false">IF(L37&lt;0,L37*-1,0)</f>
        <v>7.75805394504663</v>
      </c>
      <c r="AF37" s="265" t="n">
        <f aca="false">AD37+AE37</f>
        <v>59.9580539450466</v>
      </c>
      <c r="AG37" s="247" t="n">
        <v>0.01</v>
      </c>
      <c r="AH37" s="105" t="n">
        <v>54</v>
      </c>
      <c r="AI37" s="248" t="n">
        <v>26</v>
      </c>
      <c r="AJ37" s="243" t="n">
        <f aca="false">AJ36+(V37*1.9835)</f>
        <v>6427.369553</v>
      </c>
      <c r="AK37" s="243" t="n">
        <v>0</v>
      </c>
      <c r="AL37" s="249"/>
      <c r="AM37" s="249"/>
      <c r="AN37" s="249"/>
    </row>
    <row r="38" customFormat="false" ht="12.95" hidden="false" customHeight="true" outlineLevel="0" collapsed="false">
      <c r="A38" s="172" t="n">
        <f aca="false">A37+1</f>
        <v>27</v>
      </c>
      <c r="B38" s="104" t="n">
        <v>6902.67</v>
      </c>
      <c r="C38" s="105" t="n">
        <v>293536</v>
      </c>
      <c r="D38" s="243" t="n">
        <f aca="false">C38-C37</f>
        <v>-37</v>
      </c>
      <c r="E38" s="105" t="n">
        <f aca="false">C38-152000</f>
        <v>141536</v>
      </c>
      <c r="F38" s="264" t="n">
        <f aca="false">D38/$D$2</f>
        <v>-18.6538946307033</v>
      </c>
      <c r="G38" s="265" t="n">
        <v>39</v>
      </c>
      <c r="H38" s="266" t="n">
        <v>2.1</v>
      </c>
      <c r="I38" s="265" t="n">
        <f aca="false">G38+H38</f>
        <v>41.1</v>
      </c>
      <c r="J38" s="246" t="n">
        <f aca="false">IF(L38&gt;0,L38,0)</f>
        <v>0</v>
      </c>
      <c r="K38" s="265" t="n">
        <f aca="false">I38+J38</f>
        <v>41.1</v>
      </c>
      <c r="L38" s="265" t="n">
        <f aca="false">F38-(I38-AD38)</f>
        <v>-7.5538946307033</v>
      </c>
      <c r="M38" s="267" t="n">
        <v>5.2</v>
      </c>
      <c r="N38" s="265" t="n">
        <v>0</v>
      </c>
      <c r="O38" s="265" t="n">
        <v>0</v>
      </c>
      <c r="P38" s="265"/>
      <c r="Q38" s="126" t="n">
        <f aca="false">1.51*1.02</f>
        <v>1.5402</v>
      </c>
      <c r="R38" s="126" t="n">
        <f aca="false">2.34*1.04</f>
        <v>2.4336</v>
      </c>
      <c r="S38" s="268" t="n">
        <v>0</v>
      </c>
      <c r="T38" s="265" t="n">
        <v>25</v>
      </c>
      <c r="U38" s="265" t="n">
        <v>0</v>
      </c>
      <c r="V38" s="246" t="n">
        <f aca="false">M38-N38-O38-Q38-R38-S38+T38+U38</f>
        <v>26.2262</v>
      </c>
      <c r="W38" s="246"/>
      <c r="X38" s="105"/>
      <c r="Y38" s="265" t="n">
        <v>0</v>
      </c>
      <c r="Z38" s="267"/>
      <c r="AA38" s="269"/>
      <c r="AB38" s="265" t="n">
        <v>22</v>
      </c>
      <c r="AC38" s="105" t="n">
        <f aca="false">AC37-AB38</f>
        <v>4134</v>
      </c>
      <c r="AD38" s="128" t="n">
        <f aca="false">N38+O38+Q38+R38+S38+V38+Y38+AB38</f>
        <v>52.2</v>
      </c>
      <c r="AE38" s="265" t="n">
        <f aca="false">IF(L38&lt;0,L38*-1,0)</f>
        <v>7.5538946307033</v>
      </c>
      <c r="AF38" s="265" t="n">
        <f aca="false">AD38+AE38</f>
        <v>59.7538946307033</v>
      </c>
      <c r="AG38" s="247" t="n">
        <v>0</v>
      </c>
      <c r="AH38" s="105" t="n">
        <v>44</v>
      </c>
      <c r="AI38" s="248" t="n">
        <v>24</v>
      </c>
      <c r="AJ38" s="243" t="n">
        <f aca="false">AJ37+(V38*1.9835)</f>
        <v>6479.3892207</v>
      </c>
      <c r="AK38" s="243" t="n">
        <v>0</v>
      </c>
      <c r="AL38" s="249"/>
      <c r="AM38" s="249"/>
      <c r="AN38" s="249"/>
    </row>
    <row r="39" customFormat="false" ht="12.95" hidden="false" customHeight="true" outlineLevel="0" collapsed="false">
      <c r="A39" s="172" t="n">
        <f aca="false">A38+1</f>
        <v>28</v>
      </c>
      <c r="B39" s="104" t="n">
        <v>6902.66</v>
      </c>
      <c r="C39" s="105" t="n">
        <v>293498</v>
      </c>
      <c r="D39" s="243" t="n">
        <f aca="false">C39-C38</f>
        <v>-38</v>
      </c>
      <c r="E39" s="105" t="n">
        <f aca="false">C39-152000</f>
        <v>141498</v>
      </c>
      <c r="F39" s="264" t="n">
        <f aca="false">D39/$D$2</f>
        <v>-19.1580539450466</v>
      </c>
      <c r="G39" s="265" t="n">
        <v>39</v>
      </c>
      <c r="H39" s="266" t="n">
        <v>2.1</v>
      </c>
      <c r="I39" s="265" t="n">
        <f aca="false">G39+H39</f>
        <v>41.1</v>
      </c>
      <c r="J39" s="246" t="n">
        <f aca="false">IF(L39&gt;0,L39,0)</f>
        <v>0</v>
      </c>
      <c r="K39" s="265" t="n">
        <f aca="false">I39+J39</f>
        <v>41.1</v>
      </c>
      <c r="L39" s="265" t="n">
        <f aca="false">F39-(I39-AD39)</f>
        <v>-8.15805394504664</v>
      </c>
      <c r="M39" s="267" t="n">
        <v>5.1</v>
      </c>
      <c r="N39" s="265" t="n">
        <v>0</v>
      </c>
      <c r="O39" s="265" t="n">
        <v>0</v>
      </c>
      <c r="P39" s="265"/>
      <c r="Q39" s="126" t="n">
        <f aca="false">1.51*1.02</f>
        <v>1.5402</v>
      </c>
      <c r="R39" s="126" t="n">
        <f aca="false">2.27*1.04</f>
        <v>2.3608</v>
      </c>
      <c r="S39" s="268" t="n">
        <v>0</v>
      </c>
      <c r="T39" s="265" t="n">
        <v>25</v>
      </c>
      <c r="U39" s="265" t="n">
        <v>0</v>
      </c>
      <c r="V39" s="246" t="n">
        <f aca="false">M39-N39-O39-Q39-R39-S39+T39+U39</f>
        <v>26.199</v>
      </c>
      <c r="W39" s="246"/>
      <c r="X39" s="105"/>
      <c r="Y39" s="265" t="n">
        <v>0</v>
      </c>
      <c r="Z39" s="267"/>
      <c r="AA39" s="269"/>
      <c r="AB39" s="265" t="n">
        <v>22</v>
      </c>
      <c r="AC39" s="105" t="n">
        <f aca="false">AC38-AB39</f>
        <v>4112</v>
      </c>
      <c r="AD39" s="128" t="n">
        <f aca="false">N39+O39+Q39+R39+S39+V39+Y39+AB39</f>
        <v>52.1</v>
      </c>
      <c r="AE39" s="265" t="n">
        <f aca="false">IF(L39&lt;0,L39*-1,0)</f>
        <v>8.15805394504664</v>
      </c>
      <c r="AF39" s="265" t="n">
        <f aca="false">AD39+AE39</f>
        <v>60.2580539450466</v>
      </c>
      <c r="AG39" s="247" t="n">
        <v>0.01</v>
      </c>
      <c r="AH39" s="105" t="n">
        <v>51</v>
      </c>
      <c r="AI39" s="248" t="n">
        <v>25</v>
      </c>
      <c r="AJ39" s="243" t="n">
        <f aca="false">AJ38+(V39*1.9835)</f>
        <v>6531.3549372</v>
      </c>
      <c r="AK39" s="243" t="n">
        <v>0</v>
      </c>
      <c r="AL39" s="249"/>
      <c r="AM39" s="249"/>
      <c r="AN39" s="249"/>
    </row>
    <row r="40" customFormat="false" ht="12.95" hidden="false" customHeight="true" outlineLevel="0" collapsed="false">
      <c r="A40" s="172" t="n">
        <f aca="false">A39+1</f>
        <v>29</v>
      </c>
      <c r="B40" s="104" t="n">
        <v>6902.65</v>
      </c>
      <c r="C40" s="105" t="n">
        <v>293460</v>
      </c>
      <c r="D40" s="243" t="n">
        <f aca="false">C40-C39</f>
        <v>-38</v>
      </c>
      <c r="E40" s="105" t="n">
        <f aca="false">C40-152000</f>
        <v>141460</v>
      </c>
      <c r="F40" s="264" t="n">
        <f aca="false">D40/$D$2</f>
        <v>-19.1580539450466</v>
      </c>
      <c r="G40" s="265" t="n">
        <v>42</v>
      </c>
      <c r="H40" s="266" t="n">
        <v>2</v>
      </c>
      <c r="I40" s="265" t="n">
        <f aca="false">G40+H40</f>
        <v>44</v>
      </c>
      <c r="J40" s="246" t="n">
        <f aca="false">IF(L40&gt;0,L40,0)</f>
        <v>0</v>
      </c>
      <c r="K40" s="265" t="n">
        <f aca="false">I40+J40</f>
        <v>44</v>
      </c>
      <c r="L40" s="265" t="n">
        <f aca="false">F40-(I40-AD40)</f>
        <v>-11.4580539450466</v>
      </c>
      <c r="M40" s="267" t="n">
        <v>4.7</v>
      </c>
      <c r="N40" s="265" t="n">
        <v>0</v>
      </c>
      <c r="O40" s="265" t="n">
        <v>0</v>
      </c>
      <c r="P40" s="265"/>
      <c r="Q40" s="126" t="n">
        <f aca="false">1.51*1.02</f>
        <v>1.5402</v>
      </c>
      <c r="R40" s="126" t="n">
        <f aca="false">2.29*1.04</f>
        <v>2.3816</v>
      </c>
      <c r="S40" s="268" t="n">
        <v>0</v>
      </c>
      <c r="T40" s="265" t="n">
        <v>25</v>
      </c>
      <c r="U40" s="265" t="n">
        <v>0</v>
      </c>
      <c r="V40" s="246" t="n">
        <f aca="false">M40-N40-O40-Q40-R40-S40+T40+U40</f>
        <v>25.7782</v>
      </c>
      <c r="W40" s="246"/>
      <c r="X40" s="105"/>
      <c r="Y40" s="265" t="n">
        <v>0</v>
      </c>
      <c r="Z40" s="267"/>
      <c r="AA40" s="269"/>
      <c r="AB40" s="265" t="n">
        <v>22</v>
      </c>
      <c r="AC40" s="105" t="n">
        <f aca="false">AC39-AB40</f>
        <v>4090</v>
      </c>
      <c r="AD40" s="128" t="n">
        <f aca="false">N40+O40+Q40+R40+S40+V40+Y40+AB40</f>
        <v>51.7</v>
      </c>
      <c r="AE40" s="265" t="n">
        <f aca="false">IF(L40&lt;0,L40*-1,0)</f>
        <v>11.4580539450466</v>
      </c>
      <c r="AF40" s="265" t="n">
        <f aca="false">AD40+AE40</f>
        <v>63.1580539450466</v>
      </c>
      <c r="AG40" s="247" t="n">
        <v>0</v>
      </c>
      <c r="AH40" s="105" t="n">
        <v>43</v>
      </c>
      <c r="AI40" s="248" t="n">
        <v>23</v>
      </c>
      <c r="AJ40" s="243" t="n">
        <f aca="false">AJ39+(V40*1.9835)</f>
        <v>6582.4859969</v>
      </c>
      <c r="AK40" s="243" t="n">
        <v>0</v>
      </c>
      <c r="AL40" s="249"/>
      <c r="AM40" s="249"/>
      <c r="AN40" s="249"/>
    </row>
    <row r="41" customFormat="false" ht="12.95" hidden="false" customHeight="true" outlineLevel="0" collapsed="false">
      <c r="A41" s="172" t="n">
        <v>30</v>
      </c>
      <c r="B41" s="104" t="n">
        <v>6902.64</v>
      </c>
      <c r="C41" s="105" t="n">
        <v>293423</v>
      </c>
      <c r="D41" s="243" t="n">
        <f aca="false">C41-C40</f>
        <v>-37</v>
      </c>
      <c r="E41" s="105" t="n">
        <f aca="false">C41-152000</f>
        <v>141423</v>
      </c>
      <c r="F41" s="264" t="n">
        <f aca="false">D41/$D$2</f>
        <v>-18.6538946307033</v>
      </c>
      <c r="G41" s="265" t="n">
        <v>42</v>
      </c>
      <c r="H41" s="266" t="n">
        <v>1.9</v>
      </c>
      <c r="I41" s="265" t="n">
        <f aca="false">G41+H41</f>
        <v>43.9</v>
      </c>
      <c r="J41" s="246" t="n">
        <f aca="false">IF(L41&gt;0,L41,0)</f>
        <v>0</v>
      </c>
      <c r="K41" s="265" t="n">
        <f aca="false">I41+J41</f>
        <v>43.9</v>
      </c>
      <c r="L41" s="265" t="n">
        <f aca="false">F41-(I41-AD41)</f>
        <v>-10.9538946307033</v>
      </c>
      <c r="M41" s="267" t="n">
        <v>4.6</v>
      </c>
      <c r="N41" s="265" t="n">
        <v>0</v>
      </c>
      <c r="O41" s="265" t="n">
        <v>0</v>
      </c>
      <c r="P41" s="265"/>
      <c r="Q41" s="126" t="n">
        <f aca="false">1.51*1.02</f>
        <v>1.5402</v>
      </c>
      <c r="R41" s="126" t="n">
        <f aca="false">2.18*1.04</f>
        <v>2.2672</v>
      </c>
      <c r="S41" s="268" t="n">
        <v>0</v>
      </c>
      <c r="T41" s="265" t="n">
        <v>25</v>
      </c>
      <c r="U41" s="265" t="n">
        <v>0</v>
      </c>
      <c r="V41" s="246" t="n">
        <f aca="false">M41-N41-O41-Q41-R41-S41+T41+U41</f>
        <v>25.7926</v>
      </c>
      <c r="W41" s="246"/>
      <c r="X41" s="105"/>
      <c r="Y41" s="265" t="n">
        <v>0</v>
      </c>
      <c r="Z41" s="267"/>
      <c r="AA41" s="269"/>
      <c r="AB41" s="265" t="n">
        <v>22</v>
      </c>
      <c r="AC41" s="105" t="n">
        <f aca="false">AC40-AB41</f>
        <v>4068</v>
      </c>
      <c r="AD41" s="128" t="n">
        <f aca="false">N41+O41+Q41+R41+S41+V41+Y41+AB41</f>
        <v>51.6</v>
      </c>
      <c r="AE41" s="265" t="n">
        <f aca="false">IF(L41&lt;0,L41*-1,0)</f>
        <v>10.9538946307033</v>
      </c>
      <c r="AF41" s="265" t="n">
        <f aca="false">AD41+AE41</f>
        <v>62.5538946307033</v>
      </c>
      <c r="AG41" s="247" t="n">
        <v>0</v>
      </c>
      <c r="AH41" s="105" t="n">
        <v>44</v>
      </c>
      <c r="AI41" s="248" t="n">
        <v>18</v>
      </c>
      <c r="AJ41" s="243" t="n">
        <f aca="false">AJ40+(V41*1.9835)</f>
        <v>6633.645619</v>
      </c>
      <c r="AK41" s="243" t="n">
        <v>0</v>
      </c>
      <c r="AL41" s="249"/>
      <c r="AM41" s="249"/>
      <c r="AN41" s="249"/>
    </row>
    <row r="42" customFormat="false" ht="12.95" hidden="false" customHeight="true" outlineLevel="0" collapsed="false">
      <c r="A42" s="172" t="n">
        <v>31</v>
      </c>
      <c r="B42" s="104" t="n">
        <v>6902.64</v>
      </c>
      <c r="C42" s="105" t="n">
        <v>293423</v>
      </c>
      <c r="D42" s="243" t="n">
        <f aca="false">C42-C41</f>
        <v>0</v>
      </c>
      <c r="E42" s="105" t="n">
        <f aca="false">C42-152000</f>
        <v>141423</v>
      </c>
      <c r="F42" s="264" t="n">
        <f aca="false">D42/$D$2</f>
        <v>0</v>
      </c>
      <c r="G42" s="265" t="n">
        <v>42</v>
      </c>
      <c r="H42" s="266" t="n">
        <v>1.9</v>
      </c>
      <c r="I42" s="265" t="n">
        <f aca="false">G42+H42</f>
        <v>43.9</v>
      </c>
      <c r="J42" s="246" t="n">
        <f aca="false">IF(L42&gt;0,L42,0)</f>
        <v>8</v>
      </c>
      <c r="K42" s="265" t="n">
        <f aca="false">I42+J42</f>
        <v>51.9</v>
      </c>
      <c r="L42" s="265" t="n">
        <f aca="false">F42-(I42-AD42)</f>
        <v>8</v>
      </c>
      <c r="M42" s="267" t="n">
        <v>4.9</v>
      </c>
      <c r="N42" s="265" t="n">
        <v>0</v>
      </c>
      <c r="O42" s="265" t="n">
        <v>0</v>
      </c>
      <c r="P42" s="265"/>
      <c r="Q42" s="126" t="n">
        <f aca="false">1.51*1.02</f>
        <v>1.5402</v>
      </c>
      <c r="R42" s="126" t="n">
        <f aca="false">3.2*1.04</f>
        <v>3.328</v>
      </c>
      <c r="S42" s="268" t="n">
        <v>0</v>
      </c>
      <c r="T42" s="265" t="n">
        <v>25</v>
      </c>
      <c r="U42" s="265" t="n">
        <v>0</v>
      </c>
      <c r="V42" s="246" t="n">
        <f aca="false">M42-N42-O42-Q42-R42-S42+T42+U42</f>
        <v>25.0318</v>
      </c>
      <c r="W42" s="246"/>
      <c r="X42" s="105"/>
      <c r="Y42" s="265" t="n">
        <v>0</v>
      </c>
      <c r="Z42" s="267"/>
      <c r="AA42" s="269"/>
      <c r="AB42" s="265" t="n">
        <v>22</v>
      </c>
      <c r="AC42" s="105" t="n">
        <f aca="false">AC41-AB42</f>
        <v>4046</v>
      </c>
      <c r="AD42" s="128" t="n">
        <f aca="false">N42+O42+Q42+R42+S42+V42+Y42+AB42</f>
        <v>51.9</v>
      </c>
      <c r="AE42" s="265" t="n">
        <f aca="false">IF(L42&lt;0,L42*-1,0)</f>
        <v>0</v>
      </c>
      <c r="AF42" s="265" t="n">
        <f aca="false">AD42+AE42</f>
        <v>51.9</v>
      </c>
      <c r="AG42" s="247" t="n">
        <v>0.06</v>
      </c>
      <c r="AH42" s="105" t="n">
        <v>49</v>
      </c>
      <c r="AI42" s="248" t="n">
        <v>30</v>
      </c>
      <c r="AJ42" s="243" t="n">
        <f aca="false">AJ41+(V42*1.9835)</f>
        <v>6683.2961943</v>
      </c>
      <c r="AK42" s="243" t="n">
        <v>0</v>
      </c>
      <c r="AL42" s="249"/>
      <c r="AM42" s="249"/>
      <c r="AN42" s="249"/>
    </row>
    <row r="43" customFormat="false" ht="3" hidden="false" customHeight="true" outlineLevel="0" collapsed="false">
      <c r="A43" s="252"/>
      <c r="B43" s="271"/>
      <c r="C43" s="254"/>
      <c r="D43" s="255"/>
      <c r="E43" s="254"/>
      <c r="F43" s="256"/>
      <c r="G43" s="255"/>
      <c r="H43" s="257"/>
      <c r="I43" s="255"/>
      <c r="J43" s="255"/>
      <c r="K43" s="255"/>
      <c r="L43" s="272"/>
      <c r="M43" s="273"/>
      <c r="N43" s="272"/>
      <c r="O43" s="255"/>
      <c r="P43" s="255"/>
      <c r="Q43" s="255"/>
      <c r="R43" s="255"/>
      <c r="S43" s="259"/>
      <c r="T43" s="255"/>
      <c r="U43" s="255"/>
      <c r="V43" s="255" t="n">
        <f aca="false">M43-N43-O43-Q43-R43-S43+T43+U43</f>
        <v>0</v>
      </c>
      <c r="W43" s="260"/>
      <c r="X43" s="254"/>
      <c r="Y43" s="255"/>
      <c r="Z43" s="258"/>
      <c r="AA43" s="259"/>
      <c r="AB43" s="272"/>
      <c r="AC43" s="255"/>
      <c r="AD43" s="255" t="n">
        <f aca="false">N43+O43+Q43+R43+S43+V43+Y43+AB43</f>
        <v>0</v>
      </c>
      <c r="AE43" s="255"/>
      <c r="AF43" s="255"/>
      <c r="AG43" s="261"/>
      <c r="AH43" s="262"/>
      <c r="AI43" s="263" t="s">
        <v>94</v>
      </c>
      <c r="AJ43" s="262"/>
      <c r="AK43" s="262"/>
      <c r="AL43" s="262"/>
      <c r="AM43" s="262"/>
      <c r="AN43" s="262"/>
      <c r="AO43" s="262"/>
    </row>
    <row r="44" customFormat="false" ht="12.95" hidden="false" customHeight="true" outlineLevel="0" collapsed="false">
      <c r="A44" s="173" t="s">
        <v>76</v>
      </c>
      <c r="B44" s="241"/>
      <c r="C44" s="105"/>
      <c r="D44" s="105"/>
      <c r="E44" s="105"/>
      <c r="F44" s="242" t="n">
        <f aca="false">SUM(F12:F42)</f>
        <v>-1696.49609276531</v>
      </c>
      <c r="G44" s="105" t="n">
        <f aca="false">SUM(G12:G42)</f>
        <v>1276</v>
      </c>
      <c r="H44" s="105" t="n">
        <f aca="false">SUM(H12:H42)</f>
        <v>22.65</v>
      </c>
      <c r="I44" s="105" t="n">
        <f aca="false">SUM(I12:I42)</f>
        <v>1298.65</v>
      </c>
      <c r="J44" s="105" t="n">
        <f aca="false">SUM(J12:J42)</f>
        <v>57.6160952861104</v>
      </c>
      <c r="K44" s="105" t="n">
        <f aca="false">SUM(K12:K42)</f>
        <v>1356.26609528611</v>
      </c>
      <c r="L44" s="105" t="n">
        <f aca="false">SUM(L12:L42)</f>
        <v>-352.016092765314</v>
      </c>
      <c r="M44" s="244" t="n">
        <f aca="false">SUM(M12:M43)</f>
        <v>153.1</v>
      </c>
      <c r="N44" s="105" t="n">
        <f aca="false">SUM(N12:N42)</f>
        <v>0</v>
      </c>
      <c r="O44" s="105" t="n">
        <f aca="false">SUM(O12:O42)</f>
        <v>0</v>
      </c>
      <c r="P44" s="105"/>
      <c r="Q44" s="105" t="n">
        <f aca="false">SUM(Q12:Q42)</f>
        <v>47.7462</v>
      </c>
      <c r="R44" s="105" t="n">
        <f aca="false">SUM(R12:R42)</f>
        <v>77.48</v>
      </c>
      <c r="S44" s="245" t="n">
        <f aca="false">SUM(S12:S42)</f>
        <v>0</v>
      </c>
      <c r="T44" s="105" t="n">
        <f aca="false">SUM(T12:T42)</f>
        <v>1778.03</v>
      </c>
      <c r="U44" s="105" t="n">
        <f aca="false">SUM(U12:U42)</f>
        <v>0</v>
      </c>
      <c r="V44" s="105" t="n">
        <f aca="false">SUM(V12:V43)</f>
        <v>1805.9038</v>
      </c>
      <c r="W44" s="246"/>
      <c r="X44" s="105"/>
      <c r="Y44" s="105"/>
      <c r="Z44" s="244"/>
      <c r="AA44" s="245"/>
      <c r="AB44" s="105" t="n">
        <f aca="false">SUM(AB12:AB43)</f>
        <v>712</v>
      </c>
      <c r="AC44" s="105"/>
      <c r="AD44" s="105" t="n">
        <f aca="false">SUM(AD12:AD43)</f>
        <v>2643.13</v>
      </c>
      <c r="AE44" s="105" t="n">
        <f aca="false">SUM(AE12:AE42)</f>
        <v>409.632188051424</v>
      </c>
      <c r="AF44" s="105" t="n">
        <f aca="false">SUM(AF12:AF42)</f>
        <v>3052.76218805142</v>
      </c>
      <c r="AG44" s="247" t="n">
        <f aca="false">SUM(AG12:AG42)</f>
        <v>0.39</v>
      </c>
      <c r="AH44" s="243" t="n">
        <f aca="false">AVERAGE(AH12:AH42)</f>
        <v>42.1935483870968</v>
      </c>
      <c r="AI44" s="248" t="n">
        <f aca="false">AVERAGE(AI12:AI42)</f>
        <v>18.7096774193548</v>
      </c>
      <c r="AJ44" s="243" t="s">
        <v>77</v>
      </c>
      <c r="AK44" s="105" t="n">
        <f aca="false">SUM(AK12:AK42)</f>
        <v>0</v>
      </c>
      <c r="AL44" s="249"/>
      <c r="AM44" s="249"/>
      <c r="AN44" s="249"/>
    </row>
    <row r="45" customFormat="false" ht="12.95" hidden="false" customHeight="true" outlineLevel="0" collapsed="false">
      <c r="A45" s="173" t="s">
        <v>78</v>
      </c>
      <c r="B45" s="241"/>
      <c r="C45" s="105"/>
      <c r="D45" s="105" t="n">
        <f aca="false">SUM(D12:D42)</f>
        <v>-3365</v>
      </c>
      <c r="E45" s="105"/>
      <c r="F45" s="242" t="n">
        <f aca="false">F44*$D$2</f>
        <v>-3365</v>
      </c>
      <c r="G45" s="105" t="n">
        <f aca="false">G44*$D$2</f>
        <v>2530.946</v>
      </c>
      <c r="H45" s="105" t="n">
        <f aca="false">H44*$D$2</f>
        <v>44.926275</v>
      </c>
      <c r="I45" s="105" t="n">
        <f aca="false">I44*$D$2</f>
        <v>2575.872275</v>
      </c>
      <c r="J45" s="105" t="n">
        <f aca="false">J44*$D$2</f>
        <v>114.281525</v>
      </c>
      <c r="K45" s="105" t="n">
        <f aca="false">K44*$D$2</f>
        <v>2690.1538</v>
      </c>
      <c r="L45" s="105" t="n">
        <f aca="false">L44*$D$2</f>
        <v>-698.22392</v>
      </c>
      <c r="M45" s="244" t="n">
        <f aca="false">M44*$D$2</f>
        <v>303.67385</v>
      </c>
      <c r="N45" s="105" t="n">
        <f aca="false">N44*$D$2</f>
        <v>0</v>
      </c>
      <c r="O45" s="105" t="n">
        <f aca="false">O44*$D$2</f>
        <v>0</v>
      </c>
      <c r="P45" s="105"/>
      <c r="Q45" s="105" t="n">
        <f aca="false">Q44*$D$2</f>
        <v>94.7045877</v>
      </c>
      <c r="R45" s="105" t="n">
        <f aca="false">R44*$D$2</f>
        <v>153.68158</v>
      </c>
      <c r="S45" s="245" t="n">
        <f aca="false">S44*$D$2</f>
        <v>0</v>
      </c>
      <c r="T45" s="105" t="n">
        <f aca="false">T44*$D$2</f>
        <v>3526.722505</v>
      </c>
      <c r="U45" s="105" t="n">
        <f aca="false">U44*$D$2</f>
        <v>0</v>
      </c>
      <c r="V45" s="105" t="n">
        <f aca="false">V44*$D$2</f>
        <v>3582.0101873</v>
      </c>
      <c r="W45" s="246"/>
      <c r="X45" s="105"/>
      <c r="Y45" s="105"/>
      <c r="Z45" s="244"/>
      <c r="AA45" s="245"/>
      <c r="AB45" s="105" t="n">
        <f aca="false">AB44*$D$2</f>
        <v>1412.252</v>
      </c>
      <c r="AC45" s="105"/>
      <c r="AD45" s="105" t="n">
        <f aca="false">AD44*$D$2</f>
        <v>5242.648355</v>
      </c>
      <c r="AE45" s="105" t="n">
        <f aca="false">AE44*$D$2</f>
        <v>812.505445</v>
      </c>
      <c r="AF45" s="105" t="n">
        <f aca="false">AF44*$D$2</f>
        <v>6055.1538</v>
      </c>
      <c r="AG45" s="247"/>
      <c r="AH45" s="243" t="n">
        <f aca="false">MAX(AH12:AH42)</f>
        <v>56</v>
      </c>
      <c r="AI45" s="248" t="n">
        <f aca="false">MAX(AI12:AI42)</f>
        <v>30</v>
      </c>
      <c r="AJ45" s="243" t="s">
        <v>79</v>
      </c>
      <c r="AK45" s="105" t="n">
        <f aca="false">AK44*$D$2</f>
        <v>0</v>
      </c>
      <c r="AL45" s="249"/>
      <c r="AM45" s="249"/>
      <c r="AN45" s="249"/>
    </row>
    <row r="46" customFormat="false" ht="3" hidden="false" customHeight="true" outlineLevel="0" collapsed="false">
      <c r="A46" s="274"/>
      <c r="B46" s="271"/>
      <c r="C46" s="254"/>
      <c r="D46" s="254"/>
      <c r="E46" s="254"/>
      <c r="F46" s="275"/>
      <c r="G46" s="254"/>
      <c r="H46" s="254"/>
      <c r="I46" s="254"/>
      <c r="J46" s="254"/>
      <c r="K46" s="254"/>
      <c r="L46" s="254"/>
      <c r="M46" s="276"/>
      <c r="N46" s="254"/>
      <c r="O46" s="254"/>
      <c r="P46" s="254"/>
      <c r="Q46" s="254"/>
      <c r="R46" s="254"/>
      <c r="S46" s="277"/>
      <c r="T46" s="254"/>
      <c r="U46" s="254"/>
      <c r="V46" s="254"/>
      <c r="W46" s="260"/>
      <c r="X46" s="254"/>
      <c r="Y46" s="254"/>
      <c r="Z46" s="276"/>
      <c r="AA46" s="277"/>
      <c r="AB46" s="254"/>
      <c r="AC46" s="255"/>
      <c r="AD46" s="254"/>
      <c r="AE46" s="254"/>
      <c r="AF46" s="254"/>
      <c r="AG46" s="278"/>
      <c r="AH46" s="254"/>
      <c r="AI46" s="275"/>
      <c r="AJ46" s="254"/>
      <c r="AK46" s="254"/>
      <c r="AL46" s="254"/>
      <c r="AM46" s="254"/>
      <c r="AN46" s="262"/>
      <c r="AO46" s="262"/>
    </row>
    <row r="47" customFormat="false" ht="12.95" hidden="false" customHeight="true" outlineLevel="0" collapsed="false">
      <c r="A47" s="173" t="s">
        <v>80</v>
      </c>
      <c r="B47" s="241"/>
      <c r="C47" s="105"/>
      <c r="D47" s="105"/>
      <c r="E47" s="105"/>
      <c r="F47" s="242"/>
      <c r="G47" s="105"/>
      <c r="H47" s="105"/>
      <c r="I47" s="105"/>
      <c r="J47" s="105"/>
      <c r="K47" s="105"/>
      <c r="L47" s="105"/>
      <c r="M47" s="244"/>
      <c r="N47" s="105"/>
      <c r="O47" s="105"/>
      <c r="P47" s="105"/>
      <c r="Q47" s="105"/>
      <c r="R47" s="105"/>
      <c r="S47" s="245"/>
      <c r="T47" s="105"/>
      <c r="U47" s="105"/>
      <c r="V47" s="105"/>
      <c r="W47" s="246"/>
      <c r="X47" s="105"/>
      <c r="Y47" s="105"/>
      <c r="Z47" s="244"/>
      <c r="AA47" s="245"/>
      <c r="AB47" s="105"/>
      <c r="AC47" s="105"/>
      <c r="AD47" s="105"/>
      <c r="AE47" s="105"/>
      <c r="AF47" s="105"/>
      <c r="AG47" s="247"/>
      <c r="AH47" s="243" t="n">
        <f aca="false">MIN(AH12:AH42)</f>
        <v>25</v>
      </c>
      <c r="AI47" s="248" t="n">
        <f aca="false">MIN(AI12:AI42)</f>
        <v>0</v>
      </c>
      <c r="AJ47" s="243" t="s">
        <v>81</v>
      </c>
      <c r="AK47" s="243"/>
      <c r="AL47" s="249"/>
      <c r="AM47" s="249"/>
      <c r="AN47" s="249"/>
    </row>
    <row r="48" customFormat="false" ht="12.95" hidden="false" customHeight="true" outlineLevel="0" collapsed="false">
      <c r="A48" s="173" t="s">
        <v>82</v>
      </c>
      <c r="B48" s="241"/>
      <c r="C48" s="105"/>
      <c r="D48" s="105"/>
      <c r="E48" s="105"/>
      <c r="F48" s="242"/>
      <c r="G48" s="105"/>
      <c r="H48" s="105"/>
      <c r="I48" s="105"/>
      <c r="J48" s="105"/>
      <c r="K48" s="105"/>
      <c r="L48" s="105"/>
      <c r="M48" s="244"/>
      <c r="N48" s="105"/>
      <c r="O48" s="105"/>
      <c r="P48" s="105"/>
      <c r="Q48" s="105"/>
      <c r="R48" s="105"/>
      <c r="S48" s="245"/>
      <c r="T48" s="105"/>
      <c r="U48" s="105"/>
      <c r="V48" s="105"/>
      <c r="W48" s="246"/>
      <c r="X48" s="105"/>
      <c r="Y48" s="105"/>
      <c r="Z48" s="244"/>
      <c r="AA48" s="245"/>
      <c r="AB48" s="105"/>
      <c r="AC48" s="105"/>
      <c r="AD48" s="105"/>
      <c r="AE48" s="105"/>
      <c r="AF48" s="105"/>
      <c r="AG48" s="247"/>
      <c r="AH48" s="243"/>
      <c r="AI48" s="248"/>
      <c r="AJ48" s="243"/>
      <c r="AK48" s="243"/>
      <c r="AL48" s="249"/>
      <c r="AM48" s="249"/>
      <c r="AN48" s="249"/>
    </row>
    <row r="49" customFormat="false" ht="3" hidden="false" customHeight="true" outlineLevel="0" collapsed="false">
      <c r="A49" s="274"/>
      <c r="B49" s="271"/>
      <c r="C49" s="254"/>
      <c r="D49" s="254"/>
      <c r="E49" s="254"/>
      <c r="F49" s="275"/>
      <c r="G49" s="254"/>
      <c r="H49" s="262"/>
      <c r="I49" s="254"/>
      <c r="J49" s="254"/>
      <c r="K49" s="254"/>
      <c r="L49" s="254"/>
      <c r="M49" s="276"/>
      <c r="N49" s="254"/>
      <c r="O49" s="254"/>
      <c r="P49" s="254"/>
      <c r="Q49" s="254"/>
      <c r="R49" s="254"/>
      <c r="S49" s="277"/>
      <c r="T49" s="254"/>
      <c r="U49" s="254"/>
      <c r="V49" s="254"/>
      <c r="W49" s="260"/>
      <c r="X49" s="254"/>
      <c r="Y49" s="254"/>
      <c r="Z49" s="276"/>
      <c r="AA49" s="277"/>
      <c r="AB49" s="254"/>
      <c r="AC49" s="254"/>
      <c r="AD49" s="254"/>
      <c r="AE49" s="254"/>
      <c r="AF49" s="254"/>
      <c r="AG49" s="261"/>
      <c r="AH49" s="279"/>
      <c r="AI49" s="280"/>
      <c r="AJ49" s="279"/>
      <c r="AK49" s="279"/>
      <c r="AL49" s="279"/>
      <c r="AM49" s="279"/>
      <c r="AN49" s="262"/>
      <c r="AO49" s="262"/>
    </row>
    <row r="50" customFormat="false" ht="12.95" hidden="false" customHeight="true" outlineLevel="0" collapsed="false">
      <c r="A50" s="173" t="s">
        <v>83</v>
      </c>
      <c r="B50" s="241"/>
      <c r="C50" s="105"/>
      <c r="D50" s="105"/>
      <c r="E50" s="105"/>
      <c r="F50" s="242" t="n">
        <f aca="false">F10+F44</f>
        <v>-3000.25207965717</v>
      </c>
      <c r="G50" s="105" t="n">
        <f aca="false">G10+G44</f>
        <v>3451</v>
      </c>
      <c r="H50" s="243" t="n">
        <f aca="false">H10+H44</f>
        <v>66.993</v>
      </c>
      <c r="I50" s="105" t="n">
        <f aca="false">I10+I44</f>
        <v>3517.993</v>
      </c>
      <c r="J50" s="105" t="n">
        <f aca="false">J10+J44</f>
        <v>101.015023947567</v>
      </c>
      <c r="K50" s="105" t="n">
        <f aca="false">K10+K44</f>
        <v>3619.00802394757</v>
      </c>
      <c r="L50" s="105" t="n">
        <f aca="false">L10+L44</f>
        <v>-843.535079657172</v>
      </c>
      <c r="M50" s="244" t="n">
        <f aca="false">M10+M44</f>
        <v>557.3</v>
      </c>
      <c r="N50" s="105" t="n">
        <f aca="false">N10+N44</f>
        <v>0</v>
      </c>
      <c r="O50" s="105" t="n">
        <v>0</v>
      </c>
      <c r="P50" s="105"/>
      <c r="Q50" s="105" t="n">
        <f aca="false">Q10+Q44</f>
        <v>89.9742</v>
      </c>
      <c r="R50" s="105" t="n">
        <f aca="false">R10+R44</f>
        <v>146.8064</v>
      </c>
      <c r="S50" s="245" t="n">
        <f aca="false">S10+S44</f>
        <v>0</v>
      </c>
      <c r="T50" s="105" t="n">
        <f aca="false">T10+T44</f>
        <v>3519.94</v>
      </c>
      <c r="U50" s="105" t="n">
        <f aca="false">U10+U44</f>
        <v>151.47</v>
      </c>
      <c r="V50" s="105" t="n">
        <f aca="false">V10+V44</f>
        <v>3991.9294</v>
      </c>
      <c r="W50" s="246"/>
      <c r="X50" s="105"/>
      <c r="Y50" s="105"/>
      <c r="Z50" s="244"/>
      <c r="AA50" s="245"/>
      <c r="AB50" s="105" t="n">
        <f aca="false">AB10+AB44</f>
        <v>1446</v>
      </c>
      <c r="AC50" s="105" t="n">
        <f aca="false">AC42</f>
        <v>4046</v>
      </c>
      <c r="AD50" s="105" t="n">
        <f aca="false">AD10+AD44</f>
        <v>5674.71</v>
      </c>
      <c r="AE50" s="105" t="n">
        <f aca="false">AE10+AE44</f>
        <v>944.550103604739</v>
      </c>
      <c r="AF50" s="105" t="n">
        <f aca="false">AF10+AF44</f>
        <v>6619.26010360474</v>
      </c>
      <c r="AG50" s="247" t="n">
        <f aca="false">AG10+AG44</f>
        <v>0.4</v>
      </c>
      <c r="AH50" s="243"/>
      <c r="AI50" s="248"/>
      <c r="AJ50" s="243"/>
      <c r="AK50" s="105" t="n">
        <f aca="false">AK10+AK44</f>
        <v>622.4836</v>
      </c>
      <c r="AL50" s="249"/>
      <c r="AM50" s="249"/>
      <c r="AN50" s="249"/>
    </row>
    <row r="51" customFormat="false" ht="12.95" hidden="false" customHeight="true" outlineLevel="0" collapsed="false">
      <c r="A51" s="173" t="s">
        <v>84</v>
      </c>
      <c r="B51" s="241"/>
      <c r="C51" s="105"/>
      <c r="D51" s="105" t="n">
        <f aca="false">D10+D45</f>
        <v>-5951</v>
      </c>
      <c r="E51" s="105" t="n">
        <f aca="false">E42</f>
        <v>141423</v>
      </c>
      <c r="F51" s="242" t="n">
        <f aca="false">F50*$D$2</f>
        <v>-5951</v>
      </c>
      <c r="G51" s="105" t="n">
        <f aca="false">G50*$D$2</f>
        <v>6845.0585</v>
      </c>
      <c r="H51" s="243" t="n">
        <f aca="false">H50*$D$2</f>
        <v>132.8806155</v>
      </c>
      <c r="I51" s="105" t="n">
        <f aca="false">I50*$D$2</f>
        <v>6977.9391155</v>
      </c>
      <c r="J51" s="105" t="n">
        <f aca="false">J50*$D$2</f>
        <v>200.3633</v>
      </c>
      <c r="K51" s="105" t="n">
        <f aca="false">K50*$D$2</f>
        <v>7178.3024155</v>
      </c>
      <c r="L51" s="105" t="n">
        <f aca="false">L50*$D$2</f>
        <v>-1673.1518305</v>
      </c>
      <c r="M51" s="244" t="n">
        <f aca="false">M50*$D$2</f>
        <v>1105.40455</v>
      </c>
      <c r="N51" s="105" t="n">
        <f aca="false">N50*$D$2</f>
        <v>0</v>
      </c>
      <c r="O51" s="105" t="n">
        <f aca="false">O50*$D$2</f>
        <v>0</v>
      </c>
      <c r="P51" s="105"/>
      <c r="Q51" s="105" t="n">
        <f aca="false">Q50*$D$2</f>
        <v>178.4638257</v>
      </c>
      <c r="R51" s="105" t="n">
        <f aca="false">R50*$D$2</f>
        <v>291.1904944</v>
      </c>
      <c r="S51" s="251" t="n">
        <f aca="false">S50*$D$2</f>
        <v>0</v>
      </c>
      <c r="T51" s="105" t="n">
        <f aca="false">T50*$D$2</f>
        <v>6981.80099</v>
      </c>
      <c r="U51" s="105" t="n">
        <f aca="false">U50*$D$2</f>
        <v>300.440745</v>
      </c>
      <c r="V51" s="105" t="n">
        <f aca="false">V50*$D$2</f>
        <v>7917.9919649</v>
      </c>
      <c r="W51" s="246"/>
      <c r="X51" s="105"/>
      <c r="Y51" s="105"/>
      <c r="Z51" s="281"/>
      <c r="AA51" s="251"/>
      <c r="AB51" s="105" t="n">
        <f aca="false">AB50*$D$2</f>
        <v>2868.141</v>
      </c>
      <c r="AC51" s="105" t="n">
        <f aca="false">AC50*$D$2</f>
        <v>8025.241</v>
      </c>
      <c r="AD51" s="105" t="n">
        <f aca="false">AD50*$D$2</f>
        <v>11255.787285</v>
      </c>
      <c r="AE51" s="105" t="n">
        <f aca="false">AE50*$D$2</f>
        <v>1873.5151305</v>
      </c>
      <c r="AF51" s="105" t="n">
        <f aca="false">AF50*$D$2</f>
        <v>13129.3024155</v>
      </c>
      <c r="AG51" s="247"/>
      <c r="AH51" s="243"/>
      <c r="AI51" s="248"/>
      <c r="AJ51" s="243" t="n">
        <f aca="false">AJ42</f>
        <v>6683.2961943</v>
      </c>
      <c r="AK51" s="105" t="n">
        <f aca="false">AK50*$D$2</f>
        <v>1234.6962206</v>
      </c>
      <c r="AL51" s="249"/>
      <c r="AM51" s="249"/>
      <c r="AN51" s="249"/>
    </row>
    <row r="52" customFormat="false" ht="3" hidden="false" customHeight="true" outlineLevel="0" collapsed="false">
      <c r="A52" s="252"/>
      <c r="B52" s="271"/>
      <c r="C52" s="254"/>
      <c r="D52" s="255"/>
      <c r="E52" s="254"/>
      <c r="F52" s="256"/>
      <c r="G52" s="255"/>
      <c r="H52" s="257"/>
      <c r="I52" s="255"/>
      <c r="J52" s="255"/>
      <c r="K52" s="255"/>
      <c r="L52" s="255"/>
      <c r="M52" s="258"/>
      <c r="N52" s="255"/>
      <c r="O52" s="255"/>
      <c r="P52" s="255"/>
      <c r="Q52" s="255"/>
      <c r="R52" s="255"/>
      <c r="S52" s="259"/>
      <c r="T52" s="255"/>
      <c r="U52" s="255"/>
      <c r="V52" s="255"/>
      <c r="W52" s="260"/>
      <c r="X52" s="254"/>
      <c r="Y52" s="255"/>
      <c r="Z52" s="258"/>
      <c r="AA52" s="259"/>
      <c r="AB52" s="255"/>
      <c r="AC52" s="254"/>
      <c r="AD52" s="255"/>
      <c r="AE52" s="255"/>
      <c r="AF52" s="255"/>
      <c r="AG52" s="271"/>
      <c r="AH52" s="255"/>
      <c r="AI52" s="256"/>
      <c r="AJ52" s="255"/>
      <c r="AK52" s="255"/>
      <c r="AL52" s="255"/>
      <c r="AM52" s="255"/>
      <c r="AN52" s="262"/>
      <c r="AO52" s="262"/>
    </row>
    <row r="53" customFormat="false" ht="11.1" hidden="false" customHeight="true" outlineLevel="0" collapsed="false">
      <c r="A53" s="164"/>
      <c r="B53" s="282"/>
      <c r="C53" s="165"/>
      <c r="D53" s="164"/>
      <c r="E53" s="165"/>
      <c r="F53" s="164"/>
      <c r="G53" s="164"/>
      <c r="H53" s="170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8"/>
      <c r="X53" s="165"/>
      <c r="Y53" s="164"/>
      <c r="Z53" s="164"/>
      <c r="AA53" s="164"/>
      <c r="AB53" s="164"/>
      <c r="AC53" s="165"/>
      <c r="AD53" s="164"/>
      <c r="AE53" s="164"/>
      <c r="AF53" s="164"/>
      <c r="AG53" s="170"/>
      <c r="AH53" s="171"/>
      <c r="AI53" s="171"/>
      <c r="AJ53" s="172"/>
      <c r="AK53" s="172"/>
    </row>
    <row r="54" customFormat="false" ht="11.1" hidden="false" customHeight="true" outlineLevel="0" collapsed="false">
      <c r="A54" s="164"/>
      <c r="B54" s="283"/>
      <c r="C54" s="165"/>
      <c r="D54" s="284"/>
      <c r="E54" s="165"/>
      <c r="F54" s="164"/>
      <c r="G54" s="164"/>
      <c r="H54" s="170"/>
      <c r="I54" s="166"/>
      <c r="J54" s="164"/>
      <c r="K54" s="15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8"/>
      <c r="X54" s="165"/>
      <c r="Y54" s="164"/>
      <c r="Z54" s="164"/>
      <c r="AA54" s="164"/>
      <c r="AB54" s="164"/>
      <c r="AC54" s="165"/>
      <c r="AD54" s="164"/>
      <c r="AE54" s="164"/>
      <c r="AF54" s="164"/>
      <c r="AG54" s="170"/>
      <c r="AH54" s="171"/>
      <c r="AI54" s="171"/>
      <c r="AJ54" s="172"/>
      <c r="AK54" s="172"/>
    </row>
    <row r="55" customFormat="false" ht="11.1" hidden="false" customHeight="true" outlineLevel="0" collapsed="false">
      <c r="A55" s="284"/>
      <c r="B55" s="284"/>
      <c r="C55" s="165"/>
      <c r="D55" s="165"/>
      <c r="E55" s="165"/>
      <c r="F55" s="284"/>
      <c r="G55" s="284"/>
      <c r="H55" s="170"/>
      <c r="I55" s="284"/>
      <c r="J55" s="284"/>
      <c r="K55" s="284"/>
      <c r="L55" s="284"/>
      <c r="M55" s="168"/>
      <c r="N55" s="168"/>
      <c r="O55" s="168"/>
      <c r="P55" s="168"/>
      <c r="Q55" s="168"/>
      <c r="R55" s="168"/>
      <c r="S55" s="168"/>
      <c r="T55" s="284"/>
      <c r="U55" s="284"/>
      <c r="V55" s="284"/>
      <c r="W55" s="168"/>
      <c r="X55" s="165"/>
      <c r="Y55" s="284"/>
      <c r="Z55" s="284"/>
      <c r="AA55" s="284"/>
      <c r="AB55" s="284"/>
      <c r="AC55" s="165"/>
      <c r="AD55" s="284"/>
      <c r="AE55" s="284"/>
      <c r="AF55" s="284"/>
      <c r="AG55" s="170"/>
      <c r="AH55" s="171"/>
      <c r="AI55" s="171"/>
      <c r="AJ55" s="172"/>
      <c r="AK55" s="172"/>
    </row>
    <row r="56" customFormat="false" ht="11.1" hidden="false" customHeight="true" outlineLevel="0" collapsed="false">
      <c r="A56" s="284"/>
      <c r="B56" s="169"/>
      <c r="C56" s="165"/>
      <c r="D56" s="165"/>
      <c r="E56" s="165"/>
      <c r="F56" s="284"/>
      <c r="G56" s="284"/>
      <c r="H56" s="170"/>
      <c r="I56" s="284"/>
      <c r="J56" s="284"/>
      <c r="K56" s="284"/>
      <c r="L56" s="284"/>
      <c r="M56" s="168"/>
      <c r="N56" s="168"/>
      <c r="O56" s="168"/>
      <c r="P56" s="168"/>
      <c r="Q56" s="284"/>
      <c r="R56" s="284"/>
      <c r="S56" s="284"/>
      <c r="T56" s="284"/>
      <c r="U56" s="284"/>
      <c r="V56" s="165"/>
      <c r="W56" s="168"/>
      <c r="X56" s="284"/>
      <c r="Y56" s="284"/>
      <c r="Z56" s="284"/>
      <c r="AA56" s="284"/>
      <c r="AB56" s="165"/>
      <c r="AC56" s="284"/>
      <c r="AD56" s="284"/>
      <c r="AE56" s="284"/>
      <c r="AF56" s="169"/>
      <c r="AG56" s="170"/>
      <c r="AH56" s="171"/>
      <c r="AI56" s="172"/>
    </row>
    <row r="57" customFormat="false" ht="11.1" hidden="false" customHeight="true" outlineLevel="0" collapsed="false">
      <c r="A57" s="284"/>
      <c r="B57" s="284"/>
      <c r="C57" s="165"/>
      <c r="D57" s="284"/>
      <c r="E57" s="165"/>
      <c r="F57" s="284"/>
      <c r="G57" s="285"/>
      <c r="H57" s="170"/>
      <c r="I57" s="284"/>
      <c r="J57" s="284"/>
      <c r="K57" s="284"/>
      <c r="L57" s="284"/>
      <c r="M57" s="168"/>
      <c r="N57" s="168"/>
      <c r="O57" s="168"/>
      <c r="P57" s="168"/>
      <c r="Q57" s="284"/>
      <c r="R57" s="284"/>
      <c r="S57" s="284"/>
      <c r="T57" s="284"/>
      <c r="U57" s="284"/>
      <c r="V57" s="165"/>
      <c r="W57" s="168"/>
      <c r="X57" s="284"/>
      <c r="Y57" s="284"/>
      <c r="Z57" s="284"/>
      <c r="AA57" s="284"/>
      <c r="AB57" s="165"/>
      <c r="AC57" s="284"/>
      <c r="AD57" s="284"/>
      <c r="AE57" s="284"/>
      <c r="AF57" s="169"/>
      <c r="AG57" s="170"/>
      <c r="AH57" s="171"/>
      <c r="AI57" s="172"/>
    </row>
  </sheetData>
  <mergeCells count="2">
    <mergeCell ref="K2:X2"/>
    <mergeCell ref="M5:S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10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Q19" activePane="bottomRight" state="frozen"/>
      <selection pane="topLeft" activeCell="A1" activeCellId="0" sqref="A1"/>
      <selection pane="topRight" activeCell="Q1" activeCellId="0" sqref="Q1"/>
      <selection pane="bottomLeft" activeCell="A19" activeCellId="0" sqref="A19"/>
      <selection pane="bottomRight" activeCell="AK5" activeCellId="0" sqref="AK5"/>
    </sheetView>
  </sheetViews>
  <sheetFormatPr defaultColWidth="9.328125" defaultRowHeight="11.1" zeroHeight="false" outlineLevelRow="0" outlineLevelCol="0"/>
  <cols>
    <col collapsed="false" customWidth="true" hidden="false" outlineLevel="0" max="1" min="1" style="156" width="4.66"/>
    <col collapsed="false" customWidth="true" hidden="false" outlineLevel="0" max="2" min="2" style="156" width="6.99"/>
    <col collapsed="false" customWidth="true" hidden="false" outlineLevel="0" max="3" min="3" style="157" width="6.32"/>
    <col collapsed="false" customWidth="true" hidden="false" outlineLevel="0" max="4" min="4" style="156" width="6.99"/>
    <col collapsed="false" customWidth="true" hidden="false" outlineLevel="0" max="5" min="5" style="157" width="6.99"/>
    <col collapsed="false" customWidth="true" hidden="false" outlineLevel="0" max="6" min="6" style="156" width="7.32"/>
    <col collapsed="false" customWidth="true" hidden="false" outlineLevel="0" max="7" min="7" style="156" width="6.82"/>
    <col collapsed="false" customWidth="true" hidden="false" outlineLevel="0" max="8" min="8" style="158" width="5.66"/>
    <col collapsed="false" customWidth="true" hidden="false" outlineLevel="0" max="11" min="9" style="156" width="6.32"/>
    <col collapsed="false" customWidth="true" hidden="false" outlineLevel="0" max="12" min="12" style="156" width="7.16"/>
    <col collapsed="false" customWidth="true" hidden="false" outlineLevel="0" max="13" min="13" style="286" width="5.49"/>
    <col collapsed="false" customWidth="true" hidden="false" outlineLevel="0" max="14" min="14" style="159" width="4.49"/>
    <col collapsed="false" customWidth="true" hidden="false" outlineLevel="0" max="15" min="15" style="159" width="5.49"/>
    <col collapsed="false" customWidth="true" hidden="false" outlineLevel="0" max="16" min="16" style="159" width="4.82"/>
    <col collapsed="false" customWidth="true" hidden="false" outlineLevel="0" max="18" min="17" style="159" width="4.32"/>
    <col collapsed="false" customWidth="true" hidden="false" outlineLevel="0" max="19" min="19" style="156" width="4.32"/>
    <col collapsed="false" customWidth="true" hidden="false" outlineLevel="0" max="21" min="20" style="156" width="5.49"/>
    <col collapsed="false" customWidth="true" hidden="false" outlineLevel="0" max="22" min="22" style="157" width="6.32"/>
    <col collapsed="false" customWidth="true" hidden="false" outlineLevel="0" max="27" min="23" style="156" width="5.49"/>
    <col collapsed="false" customWidth="true" hidden="false" outlineLevel="0" max="28" min="28" style="157" width="6.32"/>
    <col collapsed="false" customWidth="true" hidden="false" outlineLevel="0" max="29" min="29" style="156" width="5.49"/>
    <col collapsed="false" customWidth="true" hidden="false" outlineLevel="0" max="30" min="30" style="156" width="6.32"/>
    <col collapsed="false" customWidth="true" hidden="false" outlineLevel="0" max="31" min="31" style="156" width="6.99"/>
    <col collapsed="false" customWidth="true" hidden="false" outlineLevel="0" max="32" min="32" style="160" width="6.99"/>
    <col collapsed="false" customWidth="true" hidden="false" outlineLevel="0" max="33" min="33" style="158" width="5.32"/>
    <col collapsed="false" customWidth="true" hidden="false" outlineLevel="0" max="34" min="34" style="161" width="3.82"/>
    <col collapsed="false" customWidth="true" hidden="false" outlineLevel="0" max="35" min="35" style="162" width="3.82"/>
    <col collapsed="false" customWidth="true" hidden="false" outlineLevel="0" max="36" min="36" style="156" width="5.49"/>
    <col collapsed="false" customWidth="true" hidden="false" outlineLevel="0" max="37" min="37" style="163" width="5.49"/>
    <col collapsed="false" customWidth="true" hidden="false" outlineLevel="0" max="38" min="38" style="156" width="6.32"/>
    <col collapsed="false" customWidth="true" hidden="false" outlineLevel="0" max="40" min="39" style="163" width="6.32"/>
    <col collapsed="false" customWidth="true" hidden="false" outlineLevel="0" max="41" min="41" style="156" width="6.49"/>
    <col collapsed="false" customWidth="false" hidden="false" outlineLevel="0" max="257" min="42" style="156" width="9.32"/>
  </cols>
  <sheetData>
    <row r="1" customFormat="false" ht="14.1" hidden="false" customHeight="true" outlineLevel="0" collapsed="false">
      <c r="A1" s="164"/>
      <c r="B1" s="164"/>
      <c r="C1" s="165"/>
      <c r="D1" s="164"/>
      <c r="E1" s="165"/>
      <c r="F1" s="164"/>
      <c r="G1" s="164"/>
      <c r="H1" s="170"/>
      <c r="I1" s="164"/>
      <c r="J1" s="164"/>
      <c r="K1" s="167" t="s">
        <v>0</v>
      </c>
      <c r="L1" s="164"/>
      <c r="M1" s="287"/>
      <c r="N1" s="164"/>
      <c r="O1" s="164"/>
      <c r="P1" s="164"/>
      <c r="Q1" s="164"/>
      <c r="R1" s="164"/>
      <c r="S1" s="164"/>
      <c r="T1" s="164"/>
      <c r="U1" s="164"/>
      <c r="V1" s="165"/>
      <c r="W1" s="164"/>
      <c r="X1" s="164"/>
      <c r="Y1" s="164"/>
      <c r="Z1" s="164"/>
      <c r="AA1" s="164"/>
      <c r="AB1" s="165"/>
      <c r="AC1" s="164"/>
      <c r="AD1" s="164"/>
      <c r="AE1" s="164"/>
      <c r="AF1" s="169"/>
      <c r="AG1" s="170"/>
      <c r="AH1" s="171"/>
      <c r="AI1" s="172"/>
      <c r="AJ1" s="288"/>
      <c r="AK1" s="289"/>
      <c r="AL1" s="288"/>
    </row>
    <row r="2" customFormat="false" ht="14.1" hidden="false" customHeight="true" outlineLevel="0" collapsed="false">
      <c r="A2" s="173" t="s">
        <v>1</v>
      </c>
      <c r="B2" s="164"/>
      <c r="C2" s="165"/>
      <c r="D2" s="174" t="n">
        <v>1.9835</v>
      </c>
      <c r="E2" s="165"/>
      <c r="F2" s="164"/>
      <c r="G2" s="164"/>
      <c r="H2" s="170"/>
      <c r="I2" s="164"/>
      <c r="J2" s="164"/>
      <c r="K2" s="175" t="s">
        <v>95</v>
      </c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64"/>
      <c r="Z2" s="164"/>
      <c r="AA2" s="164"/>
      <c r="AB2" s="165"/>
      <c r="AC2" s="164"/>
      <c r="AD2" s="164"/>
      <c r="AE2" s="164"/>
      <c r="AF2" s="169"/>
      <c r="AG2" s="170"/>
      <c r="AH2" s="171"/>
      <c r="AI2" s="172"/>
      <c r="AJ2" s="288"/>
      <c r="AK2" s="289"/>
      <c r="AL2" s="288"/>
    </row>
    <row r="3" customFormat="false" ht="14.1" hidden="false" customHeight="true" outlineLevel="0" collapsed="false">
      <c r="A3" s="176"/>
      <c r="B3" s="176"/>
      <c r="C3" s="177"/>
      <c r="D3" s="178"/>
      <c r="E3" s="177"/>
      <c r="F3" s="176"/>
      <c r="G3" s="176"/>
      <c r="H3" s="182"/>
      <c r="I3" s="176"/>
      <c r="J3" s="176"/>
      <c r="K3" s="176"/>
      <c r="L3" s="176"/>
      <c r="M3" s="290"/>
      <c r="N3" s="176"/>
      <c r="O3" s="176"/>
      <c r="P3" s="176"/>
      <c r="Q3" s="176"/>
      <c r="R3" s="176"/>
      <c r="S3" s="176"/>
      <c r="T3" s="176"/>
      <c r="U3" s="176"/>
      <c r="V3" s="177"/>
      <c r="W3" s="176"/>
      <c r="X3" s="176"/>
      <c r="Y3" s="176"/>
      <c r="Z3" s="176"/>
      <c r="AA3" s="176"/>
      <c r="AB3" s="177"/>
      <c r="AC3" s="176"/>
      <c r="AD3" s="176"/>
      <c r="AE3" s="176"/>
      <c r="AF3" s="181"/>
      <c r="AG3" s="182"/>
      <c r="AH3" s="183"/>
      <c r="AI3" s="184"/>
      <c r="AJ3" s="291"/>
      <c r="AK3" s="292"/>
      <c r="AL3" s="291"/>
      <c r="AM3" s="186"/>
    </row>
    <row r="4" s="200" customFormat="true" ht="14.1" hidden="false" customHeight="true" outlineLevel="0" collapsed="false">
      <c r="A4" s="187"/>
      <c r="B4" s="188"/>
      <c r="C4" s="189"/>
      <c r="D4" s="293" t="s">
        <v>3</v>
      </c>
      <c r="E4" s="189"/>
      <c r="F4" s="191"/>
      <c r="G4" s="187"/>
      <c r="H4" s="294"/>
      <c r="I4" s="187"/>
      <c r="J4" s="187"/>
      <c r="K4" s="187"/>
      <c r="L4" s="187"/>
      <c r="M4" s="295"/>
      <c r="N4" s="187"/>
      <c r="O4" s="187"/>
      <c r="P4" s="187"/>
      <c r="Q4" s="187"/>
      <c r="R4" s="187"/>
      <c r="S4" s="187"/>
      <c r="T4" s="193" t="s">
        <v>4</v>
      </c>
      <c r="U4" s="187"/>
      <c r="V4" s="194"/>
      <c r="W4" s="187"/>
      <c r="X4" s="187"/>
      <c r="Y4" s="187"/>
      <c r="Z4" s="187"/>
      <c r="AA4" s="187"/>
      <c r="AB4" s="194"/>
      <c r="AC4" s="187"/>
      <c r="AD4" s="187"/>
      <c r="AE4" s="187"/>
      <c r="AF4" s="196"/>
      <c r="AG4" s="197"/>
      <c r="AH4" s="198" t="s">
        <v>5</v>
      </c>
      <c r="AI4" s="199"/>
      <c r="AJ4" s="187"/>
      <c r="AK4" s="296"/>
      <c r="AL4" s="193" t="s">
        <v>6</v>
      </c>
      <c r="AM4" s="202"/>
      <c r="AN4" s="203"/>
      <c r="AO4" s="204"/>
    </row>
    <row r="5" customFormat="false" ht="12.95" hidden="false" customHeight="true" outlineLevel="0" collapsed="false">
      <c r="A5" s="205" t="s">
        <v>7</v>
      </c>
      <c r="B5" s="206" t="s">
        <v>8</v>
      </c>
      <c r="C5" s="207" t="s">
        <v>8</v>
      </c>
      <c r="D5" s="205" t="s">
        <v>9</v>
      </c>
      <c r="E5" s="207" t="s">
        <v>10</v>
      </c>
      <c r="F5" s="208" t="s">
        <v>11</v>
      </c>
      <c r="G5" s="205" t="s">
        <v>12</v>
      </c>
      <c r="H5" s="297" t="s">
        <v>13</v>
      </c>
      <c r="I5" s="205" t="s">
        <v>14</v>
      </c>
      <c r="J5" s="205" t="s">
        <v>15</v>
      </c>
      <c r="K5" s="205" t="s">
        <v>16</v>
      </c>
      <c r="L5" s="205" t="s">
        <v>15</v>
      </c>
      <c r="M5" s="298" t="s">
        <v>17</v>
      </c>
      <c r="N5" s="298"/>
      <c r="O5" s="298"/>
      <c r="P5" s="298"/>
      <c r="Q5" s="298"/>
      <c r="R5" s="298"/>
      <c r="S5" s="298"/>
      <c r="T5" s="205" t="s">
        <v>18</v>
      </c>
      <c r="U5" s="205" t="s">
        <v>19</v>
      </c>
      <c r="V5" s="205" t="s">
        <v>16</v>
      </c>
      <c r="W5" s="207" t="s">
        <v>20</v>
      </c>
      <c r="X5" s="207" t="s">
        <v>20</v>
      </c>
      <c r="Y5" s="205" t="s">
        <v>21</v>
      </c>
      <c r="Z5" s="212" t="s">
        <v>86</v>
      </c>
      <c r="AA5" s="213"/>
      <c r="AB5" s="205" t="s">
        <v>23</v>
      </c>
      <c r="AC5" s="207" t="s">
        <v>24</v>
      </c>
      <c r="AD5" s="205" t="s">
        <v>14</v>
      </c>
      <c r="AE5" s="205" t="s">
        <v>15</v>
      </c>
      <c r="AF5" s="205" t="s">
        <v>16</v>
      </c>
      <c r="AG5" s="214" t="s">
        <v>25</v>
      </c>
      <c r="AH5" s="215" t="s">
        <v>26</v>
      </c>
      <c r="AI5" s="216" t="s">
        <v>27</v>
      </c>
      <c r="AJ5" s="215" t="s">
        <v>87</v>
      </c>
      <c r="AK5" s="215" t="s">
        <v>20</v>
      </c>
      <c r="AL5" s="289" t="s">
        <v>20</v>
      </c>
      <c r="AM5" s="289" t="s">
        <v>20</v>
      </c>
      <c r="AN5" s="218" t="s">
        <v>29</v>
      </c>
      <c r="AO5" s="225" t="s">
        <v>30</v>
      </c>
    </row>
    <row r="6" customFormat="false" ht="12.95" hidden="false" customHeight="true" outlineLevel="0" collapsed="false">
      <c r="A6" s="220" t="s">
        <v>96</v>
      </c>
      <c r="B6" s="206" t="s">
        <v>32</v>
      </c>
      <c r="C6" s="207" t="s">
        <v>9</v>
      </c>
      <c r="D6" s="205" t="s">
        <v>33</v>
      </c>
      <c r="E6" s="207" t="s">
        <v>34</v>
      </c>
      <c r="F6" s="208" t="s">
        <v>35</v>
      </c>
      <c r="G6" s="205" t="s">
        <v>36</v>
      </c>
      <c r="H6" s="297" t="s">
        <v>37</v>
      </c>
      <c r="I6" s="205" t="s">
        <v>38</v>
      </c>
      <c r="J6" s="205" t="s">
        <v>38</v>
      </c>
      <c r="K6" s="205" t="s">
        <v>38</v>
      </c>
      <c r="L6" s="205" t="s">
        <v>39</v>
      </c>
      <c r="M6" s="299" t="s">
        <v>40</v>
      </c>
      <c r="N6" s="205" t="s">
        <v>41</v>
      </c>
      <c r="O6" s="205" t="s">
        <v>42</v>
      </c>
      <c r="P6" s="205" t="s">
        <v>43</v>
      </c>
      <c r="Q6" s="205" t="s">
        <v>44</v>
      </c>
      <c r="R6" s="205" t="s">
        <v>45</v>
      </c>
      <c r="S6" s="222" t="s">
        <v>46</v>
      </c>
      <c r="T6" s="205" t="s">
        <v>47</v>
      </c>
      <c r="U6" s="205" t="s">
        <v>48</v>
      </c>
      <c r="V6" s="205" t="s">
        <v>20</v>
      </c>
      <c r="W6" s="207" t="s">
        <v>91</v>
      </c>
      <c r="X6" s="207" t="s">
        <v>50</v>
      </c>
      <c r="Y6" s="205" t="s">
        <v>51</v>
      </c>
      <c r="Z6" s="221"/>
      <c r="AA6" s="222"/>
      <c r="AB6" s="205" t="s">
        <v>54</v>
      </c>
      <c r="AC6" s="207" t="s">
        <v>55</v>
      </c>
      <c r="AD6" s="205" t="s">
        <v>56</v>
      </c>
      <c r="AE6" s="205" t="s">
        <v>56</v>
      </c>
      <c r="AF6" s="205" t="s">
        <v>56</v>
      </c>
      <c r="AG6" s="223"/>
      <c r="AH6" s="215" t="s">
        <v>57</v>
      </c>
      <c r="AI6" s="216" t="s">
        <v>57</v>
      </c>
      <c r="AJ6" s="224" t="s">
        <v>58</v>
      </c>
      <c r="AK6" s="224" t="s">
        <v>59</v>
      </c>
      <c r="AL6" s="289" t="s">
        <v>60</v>
      </c>
      <c r="AM6" s="289" t="s">
        <v>60</v>
      </c>
      <c r="AN6" s="218" t="s">
        <v>61</v>
      </c>
      <c r="AO6" s="225" t="s">
        <v>62</v>
      </c>
    </row>
    <row r="7" customFormat="false" ht="12.95" hidden="false" customHeight="true" outlineLevel="0" collapsed="false">
      <c r="A7" s="226"/>
      <c r="B7" s="227"/>
      <c r="C7" s="228"/>
      <c r="D7" s="226"/>
      <c r="E7" s="229" t="s">
        <v>63</v>
      </c>
      <c r="F7" s="230"/>
      <c r="G7" s="226"/>
      <c r="H7" s="300"/>
      <c r="I7" s="226"/>
      <c r="J7" s="226"/>
      <c r="K7" s="226"/>
      <c r="L7" s="226"/>
      <c r="M7" s="301"/>
      <c r="N7" s="233" t="s">
        <v>64</v>
      </c>
      <c r="O7" s="233" t="s">
        <v>65</v>
      </c>
      <c r="P7" s="233"/>
      <c r="Q7" s="226"/>
      <c r="R7" s="226"/>
      <c r="S7" s="234" t="s">
        <v>42</v>
      </c>
      <c r="T7" s="226"/>
      <c r="U7" s="226"/>
      <c r="V7" s="226"/>
      <c r="W7" s="229"/>
      <c r="X7" s="229" t="s">
        <v>92</v>
      </c>
      <c r="Y7" s="226"/>
      <c r="Z7" s="232"/>
      <c r="AA7" s="236"/>
      <c r="AB7" s="226"/>
      <c r="AC7" s="228"/>
      <c r="AD7" s="226"/>
      <c r="AE7" s="226"/>
      <c r="AF7" s="226"/>
      <c r="AG7" s="237"/>
      <c r="AH7" s="224"/>
      <c r="AI7" s="238"/>
      <c r="AJ7" s="224" t="s">
        <v>67</v>
      </c>
      <c r="AK7" s="224" t="s">
        <v>67</v>
      </c>
      <c r="AL7" s="302" t="s">
        <v>68</v>
      </c>
      <c r="AM7" s="302" t="s">
        <v>93</v>
      </c>
      <c r="AN7" s="218" t="s">
        <v>70</v>
      </c>
      <c r="AO7" s="225" t="s">
        <v>71</v>
      </c>
    </row>
    <row r="8" customFormat="false" ht="12.95" hidden="false" customHeight="true" outlineLevel="0" collapsed="false">
      <c r="A8" s="226"/>
      <c r="B8" s="227"/>
      <c r="C8" s="228"/>
      <c r="D8" s="226"/>
      <c r="E8" s="228"/>
      <c r="F8" s="230"/>
      <c r="G8" s="226"/>
      <c r="H8" s="300"/>
      <c r="I8" s="226"/>
      <c r="J8" s="226"/>
      <c r="K8" s="226"/>
      <c r="L8" s="226"/>
      <c r="M8" s="301"/>
      <c r="N8" s="303" t="n">
        <v>1.03</v>
      </c>
      <c r="O8" s="303" t="n">
        <v>1.05</v>
      </c>
      <c r="P8" s="303" t="n">
        <v>1.02</v>
      </c>
      <c r="Q8" s="303" t="n">
        <v>1.02</v>
      </c>
      <c r="R8" s="303" t="n">
        <v>1.04</v>
      </c>
      <c r="S8" s="234" t="s">
        <v>53</v>
      </c>
      <c r="T8" s="226"/>
      <c r="U8" s="226"/>
      <c r="V8" s="226"/>
      <c r="W8" s="228"/>
      <c r="X8" s="229" t="s">
        <v>72</v>
      </c>
      <c r="Y8" s="226"/>
      <c r="Z8" s="232"/>
      <c r="AA8" s="236"/>
      <c r="AB8" s="226"/>
      <c r="AC8" s="228"/>
      <c r="AD8" s="226"/>
      <c r="AE8" s="226"/>
      <c r="AF8" s="226"/>
      <c r="AG8" s="237"/>
      <c r="AH8" s="172"/>
      <c r="AI8" s="238"/>
      <c r="AJ8" s="172"/>
      <c r="AK8" s="172"/>
      <c r="AL8" s="304"/>
      <c r="AM8" s="302" t="s">
        <v>67</v>
      </c>
      <c r="AN8" s="305"/>
    </row>
    <row r="9" customFormat="false" ht="12.95" hidden="false" customHeight="true" outlineLevel="0" collapsed="false">
      <c r="A9" s="173" t="s">
        <v>74</v>
      </c>
      <c r="B9" s="306"/>
      <c r="C9" s="165"/>
      <c r="D9" s="165"/>
      <c r="E9" s="165"/>
      <c r="F9" s="307"/>
      <c r="G9" s="165"/>
      <c r="H9" s="170"/>
      <c r="I9" s="165"/>
      <c r="J9" s="165"/>
      <c r="K9" s="165"/>
      <c r="L9" s="165"/>
      <c r="M9" s="308"/>
      <c r="N9" s="165"/>
      <c r="O9" s="165"/>
      <c r="P9" s="165"/>
      <c r="Q9" s="165"/>
      <c r="R9" s="165"/>
      <c r="S9" s="309"/>
      <c r="T9" s="165"/>
      <c r="U9" s="165"/>
      <c r="V9" s="165"/>
      <c r="W9" s="165"/>
      <c r="X9" s="165"/>
      <c r="Y9" s="165"/>
      <c r="Z9" s="244"/>
      <c r="AA9" s="245"/>
      <c r="AB9" s="165"/>
      <c r="AC9" s="165"/>
      <c r="AD9" s="165"/>
      <c r="AE9" s="165"/>
      <c r="AF9" s="165"/>
      <c r="AG9" s="237"/>
      <c r="AH9" s="171"/>
      <c r="AI9" s="310"/>
      <c r="AJ9" s="172"/>
      <c r="AK9" s="172"/>
      <c r="AL9" s="304"/>
      <c r="AM9" s="305"/>
      <c r="AN9" s="305"/>
    </row>
    <row r="10" s="157" customFormat="true" ht="12.95" hidden="false" customHeight="true" outlineLevel="0" collapsed="false">
      <c r="A10" s="250" t="s">
        <v>75</v>
      </c>
      <c r="B10" s="311" t="n">
        <f aca="false">DEC!B42</f>
        <v>6902.64</v>
      </c>
      <c r="C10" s="165" t="n">
        <f aca="false">DEC!C42</f>
        <v>293423</v>
      </c>
      <c r="D10" s="165" t="n">
        <f aca="false">DEC!D51</f>
        <v>-5951</v>
      </c>
      <c r="E10" s="165" t="n">
        <f aca="false">DEC!E51</f>
        <v>141423</v>
      </c>
      <c r="F10" s="307" t="n">
        <f aca="false">DEC!F50</f>
        <v>-3000.25207965717</v>
      </c>
      <c r="G10" s="165" t="n">
        <f aca="false">DEC!G50</f>
        <v>3451</v>
      </c>
      <c r="H10" s="312" t="n">
        <f aca="false">DEC!H50</f>
        <v>66.993</v>
      </c>
      <c r="I10" s="165" t="n">
        <f aca="false">DEC!I50</f>
        <v>3517.993</v>
      </c>
      <c r="J10" s="165" t="n">
        <f aca="false">DEC!J50</f>
        <v>101.015023947567</v>
      </c>
      <c r="K10" s="165" t="n">
        <f aca="false">DEC!K50</f>
        <v>3619.00802394757</v>
      </c>
      <c r="L10" s="165" t="n">
        <f aca="false">DEC!L50</f>
        <v>-843.535079657172</v>
      </c>
      <c r="M10" s="313" t="n">
        <f aca="false">DEC!M50</f>
        <v>557.3</v>
      </c>
      <c r="N10" s="165" t="n">
        <f aca="false">DEC!N50</f>
        <v>0</v>
      </c>
      <c r="O10" s="165" t="n">
        <f aca="false">DEC!O50</f>
        <v>0</v>
      </c>
      <c r="P10" s="165"/>
      <c r="Q10" s="165" t="n">
        <f aca="false">DEC!Q50</f>
        <v>89.9742</v>
      </c>
      <c r="R10" s="165" t="n">
        <f aca="false">DEC!R50</f>
        <v>146.8064</v>
      </c>
      <c r="S10" s="314" t="n">
        <f aca="false">DEC!S50</f>
        <v>0</v>
      </c>
      <c r="T10" s="165" t="n">
        <f aca="false">DEC!T50</f>
        <v>3519.94</v>
      </c>
      <c r="U10" s="165" t="n">
        <f aca="false">DEC!U50</f>
        <v>151.47</v>
      </c>
      <c r="V10" s="165" t="n">
        <f aca="false">DEC!V50</f>
        <v>3991.9294</v>
      </c>
      <c r="W10" s="165"/>
      <c r="X10" s="165"/>
      <c r="Y10" s="165"/>
      <c r="Z10" s="244"/>
      <c r="AA10" s="245"/>
      <c r="AB10" s="165" t="n">
        <f aca="false">DEC!AB50</f>
        <v>1446</v>
      </c>
      <c r="AC10" s="165" t="n">
        <f aca="false">DEC!AC50</f>
        <v>4046</v>
      </c>
      <c r="AD10" s="165" t="n">
        <f aca="false">DEC!AD50</f>
        <v>5674.71</v>
      </c>
      <c r="AE10" s="165" t="n">
        <f aca="false">DEC!AE50</f>
        <v>944.550103604739</v>
      </c>
      <c r="AF10" s="165" t="n">
        <f aca="false">DEC!AF50</f>
        <v>6619.26010360474</v>
      </c>
      <c r="AG10" s="237" t="n">
        <f aca="false">DEC!AG50</f>
        <v>0.4</v>
      </c>
      <c r="AH10" s="171"/>
      <c r="AI10" s="310"/>
      <c r="AJ10" s="172" t="n">
        <f aca="false">DEC!AJ51</f>
        <v>6683.2961943</v>
      </c>
      <c r="AK10" s="172"/>
      <c r="AL10" s="315"/>
      <c r="AM10" s="316"/>
      <c r="AN10" s="317"/>
    </row>
    <row r="11" customFormat="false" ht="3" hidden="false" customHeight="true" outlineLevel="0" collapsed="false">
      <c r="A11" s="252"/>
      <c r="B11" s="318"/>
      <c r="C11" s="319"/>
      <c r="D11" s="252"/>
      <c r="E11" s="319"/>
      <c r="F11" s="320"/>
      <c r="G11" s="252"/>
      <c r="H11" s="321"/>
      <c r="I11" s="252"/>
      <c r="J11" s="252"/>
      <c r="K11" s="252"/>
      <c r="L11" s="252"/>
      <c r="M11" s="322"/>
      <c r="N11" s="252"/>
      <c r="O11" s="252"/>
      <c r="P11" s="252"/>
      <c r="Q11" s="252"/>
      <c r="R11" s="252"/>
      <c r="S11" s="323"/>
      <c r="T11" s="252"/>
      <c r="U11" s="252"/>
      <c r="V11" s="252"/>
      <c r="W11" s="319"/>
      <c r="X11" s="319"/>
      <c r="Y11" s="252"/>
      <c r="Z11" s="258"/>
      <c r="AA11" s="259"/>
      <c r="AB11" s="252"/>
      <c r="AC11" s="319"/>
      <c r="AD11" s="252"/>
      <c r="AE11" s="252"/>
      <c r="AF11" s="252"/>
      <c r="AG11" s="324"/>
      <c r="AH11" s="325"/>
      <c r="AI11" s="326"/>
      <c r="AJ11" s="327"/>
      <c r="AK11" s="327"/>
      <c r="AL11" s="327"/>
      <c r="AM11" s="327"/>
      <c r="AN11" s="327"/>
      <c r="AO11" s="327"/>
    </row>
    <row r="12" customFormat="false" ht="12.95" hidden="false" customHeight="true" outlineLevel="0" collapsed="false">
      <c r="A12" s="172" t="n">
        <v>1</v>
      </c>
      <c r="B12" s="311" t="n">
        <v>6902.64</v>
      </c>
      <c r="C12" s="165" t="n">
        <v>293423</v>
      </c>
      <c r="D12" s="171" t="n">
        <f aca="false">C12-C10</f>
        <v>0</v>
      </c>
      <c r="E12" s="165" t="n">
        <f aca="false">C12-152000</f>
        <v>141423</v>
      </c>
      <c r="F12" s="328" t="n">
        <f aca="false">D12/$D$2</f>
        <v>0</v>
      </c>
      <c r="G12" s="164" t="n">
        <v>44</v>
      </c>
      <c r="H12" s="170" t="n">
        <v>2</v>
      </c>
      <c r="I12" s="164" t="n">
        <f aca="false">G12+H12</f>
        <v>46</v>
      </c>
      <c r="J12" s="168" t="n">
        <f aca="false">IF(L12&gt;0,L12,0)</f>
        <v>5.7</v>
      </c>
      <c r="K12" s="164" t="n">
        <f aca="false">I12+J12</f>
        <v>51.7</v>
      </c>
      <c r="L12" s="164" t="n">
        <f aca="false">F12-(I12-AD12)</f>
        <v>5.7</v>
      </c>
      <c r="M12" s="308" t="n">
        <v>4.7</v>
      </c>
      <c r="N12" s="164" t="n">
        <v>0</v>
      </c>
      <c r="O12" s="164" t="n">
        <v>0</v>
      </c>
      <c r="P12" s="164"/>
      <c r="Q12" s="283" t="n">
        <f aca="false">1.4*1.02</f>
        <v>1.428</v>
      </c>
      <c r="R12" s="283" t="n">
        <f aca="false">3.08*1.04</f>
        <v>3.2032</v>
      </c>
      <c r="S12" s="329" t="n">
        <v>0</v>
      </c>
      <c r="T12" s="164" t="n">
        <v>25</v>
      </c>
      <c r="U12" s="164" t="n">
        <v>0</v>
      </c>
      <c r="V12" s="164" t="n">
        <f aca="false">M12-N12-O12-Q12-R12-S12+T12+U12</f>
        <v>25.0688</v>
      </c>
      <c r="W12" s="165"/>
      <c r="X12" s="165"/>
      <c r="Y12" s="164" t="n">
        <v>0</v>
      </c>
      <c r="Z12" s="267"/>
      <c r="AA12" s="269"/>
      <c r="AB12" s="164" t="n">
        <v>22</v>
      </c>
      <c r="AC12" s="165" t="n">
        <f aca="false">AC10-AB12</f>
        <v>4024</v>
      </c>
      <c r="AD12" s="8" t="n">
        <f aca="false">N12+O12+Q12+R12+S12+V12+Y12+AB12</f>
        <v>51.7</v>
      </c>
      <c r="AE12" s="164" t="n">
        <f aca="false">IF(L12&lt;0,L12*-1,0)</f>
        <v>0</v>
      </c>
      <c r="AF12" s="164" t="n">
        <f aca="false">AD12+AE12</f>
        <v>51.7</v>
      </c>
      <c r="AG12" s="237" t="n">
        <v>0.11</v>
      </c>
      <c r="AH12" s="171" t="n">
        <v>41</v>
      </c>
      <c r="AI12" s="310" t="n">
        <v>25</v>
      </c>
      <c r="AJ12" s="172" t="n">
        <f aca="false">AJ10+(V12*1.9835)</f>
        <v>6733.0201591</v>
      </c>
      <c r="AK12" s="172" t="n">
        <v>0</v>
      </c>
      <c r="AL12" s="330"/>
      <c r="AM12" s="317"/>
      <c r="AN12" s="305"/>
    </row>
    <row r="13" customFormat="false" ht="12.95" hidden="false" customHeight="true" outlineLevel="0" collapsed="false">
      <c r="A13" s="172" t="n">
        <f aca="false">A12+1</f>
        <v>2</v>
      </c>
      <c r="B13" s="311" t="n">
        <v>6902.63</v>
      </c>
      <c r="C13" s="165" t="n">
        <v>293385</v>
      </c>
      <c r="D13" s="171" t="n">
        <f aca="false">C13-C12</f>
        <v>-38</v>
      </c>
      <c r="E13" s="165" t="n">
        <f aca="false">C13-152000</f>
        <v>141385</v>
      </c>
      <c r="F13" s="328" t="n">
        <f aca="false">D13/$D$2</f>
        <v>-19.1580539450466</v>
      </c>
      <c r="G13" s="164" t="n">
        <v>42</v>
      </c>
      <c r="H13" s="170" t="n">
        <v>2</v>
      </c>
      <c r="I13" s="164" t="n">
        <f aca="false">G13+H13</f>
        <v>44</v>
      </c>
      <c r="J13" s="168" t="n">
        <f aca="false">IF(L13&gt;0,L13,0)</f>
        <v>0</v>
      </c>
      <c r="K13" s="164" t="n">
        <f aca="false">I13+J13</f>
        <v>44</v>
      </c>
      <c r="L13" s="164" t="n">
        <f aca="false">F13-(I13-AD13)</f>
        <v>-11.5580539450466</v>
      </c>
      <c r="M13" s="308" t="n">
        <v>4.6</v>
      </c>
      <c r="N13" s="164" t="n">
        <v>0</v>
      </c>
      <c r="O13" s="164" t="n">
        <v>0</v>
      </c>
      <c r="P13" s="164"/>
      <c r="Q13" s="283" t="n">
        <f aca="false">1.4*1.02</f>
        <v>1.428</v>
      </c>
      <c r="R13" s="283" t="n">
        <f aca="false">2.55*1.04</f>
        <v>2.652</v>
      </c>
      <c r="S13" s="329" t="n">
        <v>0</v>
      </c>
      <c r="T13" s="164" t="n">
        <v>25</v>
      </c>
      <c r="U13" s="164" t="n">
        <v>0</v>
      </c>
      <c r="V13" s="164" t="n">
        <f aca="false">M13-N13-O13-Q13-R13-S13+T13+U13</f>
        <v>25.52</v>
      </c>
      <c r="W13" s="165"/>
      <c r="X13" s="165"/>
      <c r="Y13" s="164" t="n">
        <v>0</v>
      </c>
      <c r="Z13" s="267"/>
      <c r="AA13" s="269"/>
      <c r="AB13" s="164" t="n">
        <v>22</v>
      </c>
      <c r="AC13" s="165" t="n">
        <f aca="false">AC12-AB13</f>
        <v>4002</v>
      </c>
      <c r="AD13" s="8" t="n">
        <f aca="false">N13+O13+Q13+R13+S13+V13+Y13+AB13</f>
        <v>51.6</v>
      </c>
      <c r="AE13" s="164" t="n">
        <f aca="false">IF(L13&lt;0,L13*-1,0)</f>
        <v>11.5580539450466</v>
      </c>
      <c r="AF13" s="164" t="n">
        <f aca="false">AD13+AE13</f>
        <v>63.1580539450466</v>
      </c>
      <c r="AG13" s="237" t="n">
        <v>0</v>
      </c>
      <c r="AH13" s="171" t="n">
        <v>49</v>
      </c>
      <c r="AI13" s="310" t="n">
        <v>26</v>
      </c>
      <c r="AJ13" s="172" t="n">
        <f aca="false">AJ12+(V13*1.9835)</f>
        <v>6783.6390791</v>
      </c>
      <c r="AK13" s="172" t="n">
        <v>0</v>
      </c>
      <c r="AL13" s="330"/>
      <c r="AM13" s="317"/>
      <c r="AN13" s="305"/>
    </row>
    <row r="14" customFormat="false" ht="12.95" hidden="false" customHeight="true" outlineLevel="0" collapsed="false">
      <c r="A14" s="172" t="n">
        <f aca="false">A13+1</f>
        <v>3</v>
      </c>
      <c r="B14" s="311" t="n">
        <v>6902.63</v>
      </c>
      <c r="C14" s="165" t="n">
        <v>293385</v>
      </c>
      <c r="D14" s="171" t="n">
        <f aca="false">C14-C13</f>
        <v>0</v>
      </c>
      <c r="E14" s="165" t="n">
        <f aca="false">C14-152000</f>
        <v>141385</v>
      </c>
      <c r="F14" s="328" t="n">
        <f aca="false">D14/$D$2</f>
        <v>0</v>
      </c>
      <c r="G14" s="164" t="n">
        <v>40</v>
      </c>
      <c r="H14" s="170" t="n">
        <v>2</v>
      </c>
      <c r="I14" s="164" t="n">
        <f aca="false">G14+H14</f>
        <v>42</v>
      </c>
      <c r="J14" s="168" t="n">
        <f aca="false">IF(L14&gt;0,L14,0)</f>
        <v>9.59999999999999</v>
      </c>
      <c r="K14" s="164" t="n">
        <f aca="false">I14+J14</f>
        <v>51.6</v>
      </c>
      <c r="L14" s="164" t="n">
        <f aca="false">F14-(I14-AD14)</f>
        <v>9.59999999999999</v>
      </c>
      <c r="M14" s="308" t="n">
        <v>4.6</v>
      </c>
      <c r="N14" s="164" t="n">
        <v>0</v>
      </c>
      <c r="O14" s="164" t="n">
        <v>0</v>
      </c>
      <c r="P14" s="164"/>
      <c r="Q14" s="283" t="n">
        <f aca="false">1.4*1.02</f>
        <v>1.428</v>
      </c>
      <c r="R14" s="283" t="n">
        <f aca="false">2.22*1.04</f>
        <v>2.3088</v>
      </c>
      <c r="S14" s="329" t="n">
        <v>0</v>
      </c>
      <c r="T14" s="164" t="n">
        <v>25</v>
      </c>
      <c r="U14" s="164" t="n">
        <v>0</v>
      </c>
      <c r="V14" s="164" t="n">
        <f aca="false">M14-N14-O14-Q14-R14-S14+T14+U14</f>
        <v>25.8632</v>
      </c>
      <c r="W14" s="165"/>
      <c r="X14" s="165"/>
      <c r="Y14" s="164" t="n">
        <v>0</v>
      </c>
      <c r="Z14" s="267"/>
      <c r="AA14" s="269"/>
      <c r="AB14" s="164" t="n">
        <v>22</v>
      </c>
      <c r="AC14" s="165" t="n">
        <f aca="false">AC13-AB14</f>
        <v>3980</v>
      </c>
      <c r="AD14" s="8" t="n">
        <f aca="false">N14+O14+Q14+R14+S14+V14+Y14+AB14</f>
        <v>51.6</v>
      </c>
      <c r="AE14" s="164" t="n">
        <f aca="false">IF(L14&lt;0,L14*-1,0)</f>
        <v>0</v>
      </c>
      <c r="AF14" s="164" t="n">
        <f aca="false">AD14+AE14</f>
        <v>51.6</v>
      </c>
      <c r="AG14" s="237" t="n">
        <v>0.01</v>
      </c>
      <c r="AH14" s="171" t="n">
        <v>45</v>
      </c>
      <c r="AI14" s="310" t="n">
        <v>27</v>
      </c>
      <c r="AJ14" s="172" t="n">
        <f aca="false">AJ13+(V14*1.9835)</f>
        <v>6834.9387363</v>
      </c>
      <c r="AK14" s="172" t="n">
        <v>0</v>
      </c>
      <c r="AL14" s="330"/>
      <c r="AM14" s="317"/>
      <c r="AN14" s="305"/>
    </row>
    <row r="15" customFormat="false" ht="12.95" hidden="false" customHeight="true" outlineLevel="0" collapsed="false">
      <c r="A15" s="172" t="n">
        <f aca="false">A14+1</f>
        <v>4</v>
      </c>
      <c r="B15" s="311" t="n">
        <v>6902.63</v>
      </c>
      <c r="C15" s="165" t="n">
        <v>293385</v>
      </c>
      <c r="D15" s="171" t="n">
        <f aca="false">C15-C14</f>
        <v>0</v>
      </c>
      <c r="E15" s="165" t="n">
        <f aca="false">C15-152000</f>
        <v>141385</v>
      </c>
      <c r="F15" s="328" t="n">
        <f aca="false">D15/$D$2</f>
        <v>0</v>
      </c>
      <c r="G15" s="164" t="n">
        <v>40</v>
      </c>
      <c r="H15" s="170" t="n">
        <v>1.9</v>
      </c>
      <c r="I15" s="164" t="n">
        <f aca="false">G15+H15</f>
        <v>41.9</v>
      </c>
      <c r="J15" s="168" t="n">
        <f aca="false">IF(L15&gt;0,L15,0)</f>
        <v>9.7</v>
      </c>
      <c r="K15" s="164" t="n">
        <f aca="false">I15+J15</f>
        <v>51.6</v>
      </c>
      <c r="L15" s="164" t="n">
        <f aca="false">F15-(I15-AD15)</f>
        <v>9.7</v>
      </c>
      <c r="M15" s="308" t="n">
        <v>4.6</v>
      </c>
      <c r="N15" s="164" t="n">
        <v>0</v>
      </c>
      <c r="O15" s="164" t="n">
        <v>0</v>
      </c>
      <c r="P15" s="164"/>
      <c r="Q15" s="283" t="n">
        <f aca="false">1.4*1.02</f>
        <v>1.428</v>
      </c>
      <c r="R15" s="283" t="n">
        <f aca="false">2.28*1.04</f>
        <v>2.3712</v>
      </c>
      <c r="S15" s="329" t="n">
        <v>0</v>
      </c>
      <c r="T15" s="164" t="n">
        <v>25</v>
      </c>
      <c r="U15" s="164" t="n">
        <v>0</v>
      </c>
      <c r="V15" s="164" t="n">
        <f aca="false">M15-N15-O15-Q15-R15-S15+T15+U15</f>
        <v>25.8008</v>
      </c>
      <c r="W15" s="165"/>
      <c r="X15" s="165"/>
      <c r="Y15" s="164" t="n">
        <v>0</v>
      </c>
      <c r="Z15" s="267"/>
      <c r="AA15" s="269"/>
      <c r="AB15" s="164" t="n">
        <v>22</v>
      </c>
      <c r="AC15" s="165" t="n">
        <f aca="false">AC14-AB15</f>
        <v>3958</v>
      </c>
      <c r="AD15" s="8" t="n">
        <f aca="false">N15+O15+Q15+R15+S15+V15+Y15+AB15</f>
        <v>51.6</v>
      </c>
      <c r="AE15" s="164" t="n">
        <f aca="false">IF(L15&lt;0,L15*-1,0)</f>
        <v>0</v>
      </c>
      <c r="AF15" s="164" t="n">
        <f aca="false">AD15+AE15</f>
        <v>51.6</v>
      </c>
      <c r="AG15" s="237" t="n">
        <v>0</v>
      </c>
      <c r="AH15" s="171" t="n">
        <v>45</v>
      </c>
      <c r="AI15" s="310" t="n">
        <v>26</v>
      </c>
      <c r="AJ15" s="172" t="n">
        <f aca="false">AJ14+(V15*1.9835)</f>
        <v>6886.1146231</v>
      </c>
      <c r="AK15" s="172" t="n">
        <v>0</v>
      </c>
      <c r="AL15" s="330"/>
      <c r="AM15" s="317"/>
      <c r="AN15" s="305"/>
    </row>
    <row r="16" customFormat="false" ht="12.95" hidden="false" customHeight="true" outlineLevel="0" collapsed="false">
      <c r="A16" s="172" t="n">
        <f aca="false">A15+1</f>
        <v>5</v>
      </c>
      <c r="B16" s="311" t="n">
        <v>6902.64</v>
      </c>
      <c r="C16" s="165" t="n">
        <v>293423</v>
      </c>
      <c r="D16" s="171" t="n">
        <f aca="false">C16-C15</f>
        <v>38</v>
      </c>
      <c r="E16" s="165" t="n">
        <f aca="false">C16-152000</f>
        <v>141423</v>
      </c>
      <c r="F16" s="328" t="n">
        <f aca="false">D16/$D$2</f>
        <v>19.1580539450466</v>
      </c>
      <c r="G16" s="164" t="n">
        <v>38</v>
      </c>
      <c r="H16" s="170" t="n">
        <v>1.8</v>
      </c>
      <c r="I16" s="164" t="n">
        <f aca="false">G16+H16</f>
        <v>39.8</v>
      </c>
      <c r="J16" s="168" t="n">
        <f aca="false">IF(L16&gt;0,L16,0)</f>
        <v>31.0580539450466</v>
      </c>
      <c r="K16" s="164" t="n">
        <f aca="false">I16+J16</f>
        <v>70.8580539450466</v>
      </c>
      <c r="L16" s="164" t="n">
        <f aca="false">F16-(I16-AD16)</f>
        <v>31.0580539450466</v>
      </c>
      <c r="M16" s="308" t="n">
        <v>4.7</v>
      </c>
      <c r="N16" s="164" t="n">
        <v>0</v>
      </c>
      <c r="O16" s="164" t="n">
        <v>0</v>
      </c>
      <c r="P16" s="164"/>
      <c r="Q16" s="283" t="n">
        <f aca="false">1.4*1.02</f>
        <v>1.428</v>
      </c>
      <c r="R16" s="283" t="n">
        <f aca="false">2.2*1.04</f>
        <v>2.288</v>
      </c>
      <c r="S16" s="329" t="n">
        <v>0</v>
      </c>
      <c r="T16" s="164" t="n">
        <v>25</v>
      </c>
      <c r="U16" s="164" t="n">
        <v>0</v>
      </c>
      <c r="V16" s="164" t="n">
        <f aca="false">M16-N16-O16-Q16-R16-S16+T16+U16</f>
        <v>25.984</v>
      </c>
      <c r="W16" s="165"/>
      <c r="X16" s="165"/>
      <c r="Y16" s="164" t="n">
        <v>0</v>
      </c>
      <c r="Z16" s="267"/>
      <c r="AA16" s="269"/>
      <c r="AB16" s="164" t="n">
        <v>22</v>
      </c>
      <c r="AC16" s="165" t="n">
        <f aca="false">AC15-AB16</f>
        <v>3936</v>
      </c>
      <c r="AD16" s="8" t="n">
        <f aca="false">N16+O16+Q16+R16+S16+V16+Y16+AB16</f>
        <v>51.7</v>
      </c>
      <c r="AE16" s="164" t="n">
        <f aca="false">IF(L16&lt;0,L16*-1,0)</f>
        <v>0</v>
      </c>
      <c r="AF16" s="164" t="n">
        <f aca="false">AD16+AE16</f>
        <v>51.7</v>
      </c>
      <c r="AG16" s="237" t="n">
        <v>0</v>
      </c>
      <c r="AH16" s="171" t="n">
        <v>50</v>
      </c>
      <c r="AI16" s="310" t="n">
        <v>31</v>
      </c>
      <c r="AJ16" s="172" t="n">
        <f aca="false">AJ15+(V16*1.9835)</f>
        <v>6937.6538871</v>
      </c>
      <c r="AK16" s="172" t="n">
        <v>0</v>
      </c>
      <c r="AL16" s="330"/>
      <c r="AM16" s="317"/>
      <c r="AN16" s="305"/>
    </row>
    <row r="17" customFormat="false" ht="12.95" hidden="false" customHeight="true" outlineLevel="0" collapsed="false">
      <c r="A17" s="172" t="n">
        <f aca="false">A16+1</f>
        <v>6</v>
      </c>
      <c r="B17" s="311" t="n">
        <v>6902.64</v>
      </c>
      <c r="C17" s="165" t="n">
        <v>293423</v>
      </c>
      <c r="D17" s="171" t="n">
        <f aca="false">C17-C16</f>
        <v>0</v>
      </c>
      <c r="E17" s="165" t="n">
        <f aca="false">C17-152000</f>
        <v>141423</v>
      </c>
      <c r="F17" s="328" t="n">
        <f aca="false">D17/$D$2</f>
        <v>0</v>
      </c>
      <c r="G17" s="164" t="n">
        <v>37</v>
      </c>
      <c r="H17" s="170" t="n">
        <v>1.7</v>
      </c>
      <c r="I17" s="164" t="n">
        <f aca="false">G17+H17</f>
        <v>38.7</v>
      </c>
      <c r="J17" s="168" t="n">
        <f aca="false">IF(L17&gt;0,L17,0)</f>
        <v>13.2</v>
      </c>
      <c r="K17" s="164" t="n">
        <f aca="false">I17+J17</f>
        <v>51.9</v>
      </c>
      <c r="L17" s="164" t="n">
        <f aca="false">F17-(I17-AD17)</f>
        <v>13.2</v>
      </c>
      <c r="M17" s="308" t="n">
        <v>4.9</v>
      </c>
      <c r="N17" s="164" t="n">
        <v>0</v>
      </c>
      <c r="O17" s="164" t="n">
        <v>0</v>
      </c>
      <c r="P17" s="164"/>
      <c r="Q17" s="283" t="n">
        <f aca="false">1.4*1.02</f>
        <v>1.428</v>
      </c>
      <c r="R17" s="283" t="n">
        <f aca="false">2.67*1.04</f>
        <v>2.7768</v>
      </c>
      <c r="S17" s="329" t="n">
        <v>0</v>
      </c>
      <c r="T17" s="164" t="n">
        <v>25</v>
      </c>
      <c r="U17" s="164" t="n">
        <v>0</v>
      </c>
      <c r="V17" s="164" t="n">
        <f aca="false">M17-N17-O17-Q17-R17-S17+T17+U17</f>
        <v>25.6952</v>
      </c>
      <c r="W17" s="165"/>
      <c r="X17" s="165"/>
      <c r="Y17" s="164" t="n">
        <v>0</v>
      </c>
      <c r="Z17" s="267"/>
      <c r="AA17" s="269"/>
      <c r="AB17" s="164" t="n">
        <v>22</v>
      </c>
      <c r="AC17" s="165" t="n">
        <f aca="false">AC16-AB17</f>
        <v>3914</v>
      </c>
      <c r="AD17" s="8" t="n">
        <f aca="false">N17+O17+Q17+R17+S17+V17+Y17+AB17</f>
        <v>51.9</v>
      </c>
      <c r="AE17" s="164" t="n">
        <f aca="false">IF(L17&lt;0,L17*-1,0)</f>
        <v>0</v>
      </c>
      <c r="AF17" s="164" t="n">
        <f aca="false">AD17+AE17</f>
        <v>51.9</v>
      </c>
      <c r="AG17" s="237" t="n">
        <v>0</v>
      </c>
      <c r="AH17" s="171" t="n">
        <v>54</v>
      </c>
      <c r="AI17" s="310" t="n">
        <v>26</v>
      </c>
      <c r="AJ17" s="172" t="n">
        <f aca="false">AJ16+(V17*1.9835)</f>
        <v>6988.6203163</v>
      </c>
      <c r="AK17" s="172" t="n">
        <v>0</v>
      </c>
      <c r="AL17" s="304"/>
      <c r="AM17" s="317"/>
      <c r="AN17" s="305"/>
    </row>
    <row r="18" customFormat="false" ht="12.95" hidden="false" customHeight="true" outlineLevel="0" collapsed="false">
      <c r="A18" s="172" t="n">
        <f aca="false">A17+1</f>
        <v>7</v>
      </c>
      <c r="B18" s="311" t="n">
        <v>6902.65</v>
      </c>
      <c r="C18" s="165" t="n">
        <v>293460</v>
      </c>
      <c r="D18" s="171" t="n">
        <f aca="false">C18-C17</f>
        <v>37</v>
      </c>
      <c r="E18" s="165" t="n">
        <f aca="false">C18-152000</f>
        <v>141460</v>
      </c>
      <c r="F18" s="328" t="n">
        <f aca="false">D18/$D$2</f>
        <v>18.6538946307033</v>
      </c>
      <c r="G18" s="164" t="n">
        <v>38</v>
      </c>
      <c r="H18" s="170" t="n">
        <v>1.8</v>
      </c>
      <c r="I18" s="164" t="n">
        <f aca="false">G18+H18</f>
        <v>39.8</v>
      </c>
      <c r="J18" s="168" t="n">
        <f aca="false">IF(L18&gt;0,L18,0)</f>
        <v>30.7538946307033</v>
      </c>
      <c r="K18" s="164" t="n">
        <f aca="false">I18+J18</f>
        <v>70.5538946307033</v>
      </c>
      <c r="L18" s="164" t="n">
        <f aca="false">F18-(I18-AD18)</f>
        <v>30.7538946307033</v>
      </c>
      <c r="M18" s="308" t="n">
        <v>4.9</v>
      </c>
      <c r="N18" s="164" t="n">
        <v>0</v>
      </c>
      <c r="O18" s="164" t="n">
        <v>0</v>
      </c>
      <c r="P18" s="164"/>
      <c r="Q18" s="283" t="n">
        <f aca="false">1.4*1.02</f>
        <v>1.428</v>
      </c>
      <c r="R18" s="283" t="n">
        <f aca="false">2.29*1.04</f>
        <v>2.3816</v>
      </c>
      <c r="S18" s="329" t="n">
        <v>0</v>
      </c>
      <c r="T18" s="164" t="n">
        <v>25</v>
      </c>
      <c r="U18" s="164" t="n">
        <v>0</v>
      </c>
      <c r="V18" s="164" t="n">
        <f aca="false">M18-N18-O18-Q18-R18-S18+T18+U18</f>
        <v>26.0904</v>
      </c>
      <c r="W18" s="165"/>
      <c r="X18" s="165"/>
      <c r="Y18" s="164" t="n">
        <v>0</v>
      </c>
      <c r="Z18" s="267"/>
      <c r="AA18" s="269"/>
      <c r="AB18" s="164" t="n">
        <v>22</v>
      </c>
      <c r="AC18" s="165" t="n">
        <f aca="false">AC17-AB18</f>
        <v>3892</v>
      </c>
      <c r="AD18" s="8" t="n">
        <f aca="false">N18+O18+Q18+R18+S18+V18+Y18+AB18</f>
        <v>51.9</v>
      </c>
      <c r="AE18" s="164" t="n">
        <f aca="false">IF(L18&lt;0,L18*-1,0)</f>
        <v>0</v>
      </c>
      <c r="AF18" s="164" t="n">
        <f aca="false">AD18+AE18</f>
        <v>51.9</v>
      </c>
      <c r="AG18" s="237" t="n">
        <v>0</v>
      </c>
      <c r="AH18" s="171" t="n">
        <v>54</v>
      </c>
      <c r="AI18" s="310" t="n">
        <v>27</v>
      </c>
      <c r="AJ18" s="172" t="n">
        <f aca="false">AJ17+(V18*1.9835)</f>
        <v>7040.3706247</v>
      </c>
      <c r="AK18" s="172" t="n">
        <v>0</v>
      </c>
      <c r="AL18" s="304"/>
      <c r="AM18" s="317"/>
      <c r="AN18" s="305"/>
    </row>
    <row r="19" customFormat="false" ht="12.95" hidden="false" customHeight="true" outlineLevel="0" collapsed="false">
      <c r="A19" s="172" t="n">
        <f aca="false">A18+1</f>
        <v>8</v>
      </c>
      <c r="B19" s="311" t="n">
        <v>6902.64</v>
      </c>
      <c r="C19" s="165" t="n">
        <v>293423</v>
      </c>
      <c r="D19" s="171" t="n">
        <f aca="false">C19-C18</f>
        <v>-37</v>
      </c>
      <c r="E19" s="165" t="n">
        <f aca="false">C19-152000</f>
        <v>141423</v>
      </c>
      <c r="F19" s="328" t="n">
        <f aca="false">D19/$D$2</f>
        <v>-18.6538946307033</v>
      </c>
      <c r="G19" s="164" t="n">
        <v>38</v>
      </c>
      <c r="H19" s="170" t="n">
        <v>1.7</v>
      </c>
      <c r="I19" s="164" t="n">
        <f aca="false">G19+H19</f>
        <v>39.7</v>
      </c>
      <c r="J19" s="168" t="n">
        <f aca="false">IF(L19&gt;0,L19,0)</f>
        <v>0</v>
      </c>
      <c r="K19" s="164" t="n">
        <f aca="false">I19+J19</f>
        <v>39.7</v>
      </c>
      <c r="L19" s="164" t="n">
        <f aca="false">F19-(I19-AD19)</f>
        <v>-6.75389463070331</v>
      </c>
      <c r="M19" s="308" t="n">
        <v>4.6</v>
      </c>
      <c r="N19" s="164" t="n">
        <v>0</v>
      </c>
      <c r="O19" s="164" t="n">
        <v>0</v>
      </c>
      <c r="P19" s="164"/>
      <c r="Q19" s="283" t="n">
        <f aca="false">1.4*1.02</f>
        <v>1.428</v>
      </c>
      <c r="R19" s="283" t="n">
        <f aca="false">2.11*1.04</f>
        <v>2.1944</v>
      </c>
      <c r="S19" s="329" t="n">
        <v>0</v>
      </c>
      <c r="T19" s="164" t="n">
        <v>25</v>
      </c>
      <c r="U19" s="164" t="n">
        <v>0</v>
      </c>
      <c r="V19" s="164" t="n">
        <f aca="false">M19-N19-O19-Q19-R19-S19+T19+U19</f>
        <v>25.9776</v>
      </c>
      <c r="W19" s="165"/>
      <c r="X19" s="165"/>
      <c r="Y19" s="164" t="n">
        <v>0</v>
      </c>
      <c r="Z19" s="267"/>
      <c r="AA19" s="269"/>
      <c r="AB19" s="164" t="n">
        <v>22</v>
      </c>
      <c r="AC19" s="165" t="n">
        <f aca="false">AC18-AB19</f>
        <v>3870</v>
      </c>
      <c r="AD19" s="8" t="n">
        <f aca="false">N19+O19+Q19+R19+S19+V19+Y19+AB19</f>
        <v>51.6</v>
      </c>
      <c r="AE19" s="164" t="n">
        <f aca="false">IF(L19&lt;0,L19*-1,0)</f>
        <v>6.75389463070331</v>
      </c>
      <c r="AF19" s="164" t="n">
        <f aca="false">AD19+AE19</f>
        <v>58.3538946307033</v>
      </c>
      <c r="AG19" s="237" t="n">
        <v>0</v>
      </c>
      <c r="AH19" s="171" t="n">
        <v>45</v>
      </c>
      <c r="AI19" s="310" t="n">
        <v>21</v>
      </c>
      <c r="AJ19" s="172" t="n">
        <f aca="false">AJ18+(V19*1.9835)</f>
        <v>7091.8971943</v>
      </c>
      <c r="AK19" s="172" t="n">
        <v>0</v>
      </c>
      <c r="AL19" s="304"/>
      <c r="AM19" s="317"/>
      <c r="AN19" s="305"/>
    </row>
    <row r="20" customFormat="false" ht="12.95" hidden="false" customHeight="true" outlineLevel="0" collapsed="false">
      <c r="A20" s="172" t="n">
        <f aca="false">A19+1</f>
        <v>9</v>
      </c>
      <c r="B20" s="311" t="n">
        <v>6902.63</v>
      </c>
      <c r="C20" s="165" t="n">
        <v>293385</v>
      </c>
      <c r="D20" s="171" t="n">
        <f aca="false">C20-C19</f>
        <v>-38</v>
      </c>
      <c r="E20" s="165" t="n">
        <f aca="false">C20-152000</f>
        <v>141385</v>
      </c>
      <c r="F20" s="328" t="n">
        <f aca="false">D20/$D$2</f>
        <v>-19.1580539450466</v>
      </c>
      <c r="G20" s="164" t="n">
        <v>38</v>
      </c>
      <c r="H20" s="170" t="n">
        <v>1.6</v>
      </c>
      <c r="I20" s="164" t="n">
        <f aca="false">G20+H20</f>
        <v>39.6</v>
      </c>
      <c r="J20" s="168" t="n">
        <f aca="false">IF(L20&gt;0,L20,0)</f>
        <v>0</v>
      </c>
      <c r="K20" s="164" t="n">
        <f aca="false">I20+J20</f>
        <v>39.6</v>
      </c>
      <c r="L20" s="164" t="n">
        <f aca="false">F20-(I20-AD20)</f>
        <v>-7.05805394504663</v>
      </c>
      <c r="M20" s="308" t="n">
        <v>4.7</v>
      </c>
      <c r="N20" s="164" t="n">
        <v>0</v>
      </c>
      <c r="O20" s="164" t="n">
        <v>0</v>
      </c>
      <c r="P20" s="164"/>
      <c r="Q20" s="283" t="n">
        <f aca="false">1.4*1.02</f>
        <v>1.428</v>
      </c>
      <c r="R20" s="283" t="n">
        <f aca="false">2.27*1.04</f>
        <v>2.3608</v>
      </c>
      <c r="S20" s="329" t="n">
        <v>0</v>
      </c>
      <c r="T20" s="164" t="n">
        <v>25</v>
      </c>
      <c r="U20" s="164" t="n">
        <v>0</v>
      </c>
      <c r="V20" s="164" t="n">
        <f aca="false">M20-N20-O20-Q20-R20-S20+T20+U20</f>
        <v>25.9112</v>
      </c>
      <c r="W20" s="165"/>
      <c r="X20" s="165"/>
      <c r="Y20" s="164" t="n">
        <v>0</v>
      </c>
      <c r="Z20" s="267"/>
      <c r="AA20" s="269"/>
      <c r="AB20" s="164" t="n">
        <v>22</v>
      </c>
      <c r="AC20" s="165" t="n">
        <f aca="false">AC19-AB20</f>
        <v>3848</v>
      </c>
      <c r="AD20" s="8" t="n">
        <f aca="false">N20+O20+Q20+R20+S20+V20+Y20+AB20</f>
        <v>51.7</v>
      </c>
      <c r="AE20" s="164" t="n">
        <f aca="false">IF(L20&lt;0,L20*-1,0)</f>
        <v>7.05805394504663</v>
      </c>
      <c r="AF20" s="164" t="n">
        <f aca="false">AD20+AE20</f>
        <v>58.7580539450466</v>
      </c>
      <c r="AG20" s="237" t="n">
        <v>0</v>
      </c>
      <c r="AH20" s="284" t="n">
        <v>40</v>
      </c>
      <c r="AI20" s="310" t="n">
        <v>18</v>
      </c>
      <c r="AJ20" s="172" t="n">
        <f aca="false">AJ19+(V20*1.9835)</f>
        <v>7143.2920595</v>
      </c>
      <c r="AK20" s="172" t="n">
        <v>0</v>
      </c>
      <c r="AL20" s="304"/>
      <c r="AM20" s="317"/>
      <c r="AN20" s="305"/>
    </row>
    <row r="21" customFormat="false" ht="12.95" hidden="false" customHeight="true" outlineLevel="0" collapsed="false">
      <c r="A21" s="172" t="n">
        <f aca="false">A20+1</f>
        <v>10</v>
      </c>
      <c r="B21" s="311" t="n">
        <v>6903.63</v>
      </c>
      <c r="C21" s="165" t="n">
        <v>293385</v>
      </c>
      <c r="D21" s="171" t="n">
        <f aca="false">C21-C20</f>
        <v>0</v>
      </c>
      <c r="E21" s="165" t="n">
        <f aca="false">C21-152000</f>
        <v>141385</v>
      </c>
      <c r="F21" s="328" t="n">
        <f aca="false">D21/$D$2</f>
        <v>0</v>
      </c>
      <c r="G21" s="164" t="n">
        <v>30</v>
      </c>
      <c r="H21" s="170" t="n">
        <v>1.6</v>
      </c>
      <c r="I21" s="164" t="n">
        <f aca="false">G21+H21</f>
        <v>31.6</v>
      </c>
      <c r="J21" s="168" t="n">
        <f aca="false">IF(L21&gt;0,L21,0)</f>
        <v>20.2</v>
      </c>
      <c r="K21" s="164" t="n">
        <f aca="false">I21+J21</f>
        <v>51.8</v>
      </c>
      <c r="L21" s="164" t="n">
        <f aca="false">F21-(I21-AD21)</f>
        <v>20.2</v>
      </c>
      <c r="M21" s="308" t="n">
        <v>4.8</v>
      </c>
      <c r="N21" s="164" t="n">
        <v>0</v>
      </c>
      <c r="O21" s="164" t="n">
        <v>0</v>
      </c>
      <c r="P21" s="164"/>
      <c r="Q21" s="283" t="n">
        <f aca="false">1.4*1.02</f>
        <v>1.428</v>
      </c>
      <c r="R21" s="283" t="n">
        <f aca="false">2.15*1.04</f>
        <v>2.236</v>
      </c>
      <c r="S21" s="329" t="n">
        <v>0</v>
      </c>
      <c r="T21" s="164" t="n">
        <v>25</v>
      </c>
      <c r="U21" s="164" t="n">
        <v>0</v>
      </c>
      <c r="V21" s="164" t="n">
        <f aca="false">M21-N21-O21-Q21-R21-S21+T21+U21</f>
        <v>26.136</v>
      </c>
      <c r="W21" s="165"/>
      <c r="X21" s="165"/>
      <c r="Y21" s="164" t="n">
        <v>0</v>
      </c>
      <c r="Z21" s="267"/>
      <c r="AA21" s="269"/>
      <c r="AB21" s="164" t="n">
        <v>22</v>
      </c>
      <c r="AC21" s="165" t="n">
        <f aca="false">AC20-AB21</f>
        <v>3826</v>
      </c>
      <c r="AD21" s="8" t="n">
        <f aca="false">N21+O21+Q21+R21+S21+V21+Y21+AB21</f>
        <v>51.8</v>
      </c>
      <c r="AE21" s="164" t="n">
        <f aca="false">IF(L21&lt;0,L21*-1,0)</f>
        <v>0</v>
      </c>
      <c r="AF21" s="164" t="n">
        <f aca="false">AD21+AE21</f>
        <v>51.8</v>
      </c>
      <c r="AG21" s="237" t="n">
        <v>0</v>
      </c>
      <c r="AH21" s="171" t="n">
        <v>46</v>
      </c>
      <c r="AI21" s="310" t="n">
        <v>15</v>
      </c>
      <c r="AJ21" s="172" t="n">
        <f aca="false">AJ20+(V21*1.9835)</f>
        <v>7195.1328155</v>
      </c>
      <c r="AK21" s="172" t="n">
        <v>0</v>
      </c>
      <c r="AL21" s="304"/>
      <c r="AM21" s="317"/>
      <c r="AN21" s="305"/>
    </row>
    <row r="22" customFormat="false" ht="12.95" hidden="false" customHeight="true" outlineLevel="0" collapsed="false">
      <c r="A22" s="172" t="n">
        <f aca="false">A21+1</f>
        <v>11</v>
      </c>
      <c r="B22" s="311" t="n">
        <v>6902.62</v>
      </c>
      <c r="C22" s="165" t="n">
        <v>293347</v>
      </c>
      <c r="D22" s="171" t="n">
        <f aca="false">C22-C21</f>
        <v>-38</v>
      </c>
      <c r="E22" s="165" t="n">
        <f aca="false">C22-152000</f>
        <v>141347</v>
      </c>
      <c r="F22" s="328" t="n">
        <f aca="false">D22/$D$2</f>
        <v>-19.1580539450466</v>
      </c>
      <c r="G22" s="164" t="n">
        <v>28</v>
      </c>
      <c r="H22" s="170" t="n">
        <v>1.5</v>
      </c>
      <c r="I22" s="164" t="n">
        <f aca="false">G22+H22</f>
        <v>29.5</v>
      </c>
      <c r="J22" s="168" t="n">
        <f aca="false">IF(L22&gt;0,L22,0)</f>
        <v>2.94194605495336</v>
      </c>
      <c r="K22" s="164" t="n">
        <f aca="false">I22+J22</f>
        <v>32.4419460549534</v>
      </c>
      <c r="L22" s="164" t="n">
        <f aca="false">F22-(I22-AD22)</f>
        <v>2.94194605495336</v>
      </c>
      <c r="M22" s="308" t="n">
        <v>4.6</v>
      </c>
      <c r="N22" s="164" t="n">
        <v>0</v>
      </c>
      <c r="O22" s="164" t="n">
        <v>0</v>
      </c>
      <c r="P22" s="164"/>
      <c r="Q22" s="283" t="n">
        <f aca="false">1.4*1.02</f>
        <v>1.428</v>
      </c>
      <c r="R22" s="283" t="n">
        <f aca="false">2.24*1.04</f>
        <v>2.3296</v>
      </c>
      <c r="S22" s="329" t="n">
        <v>0</v>
      </c>
      <c r="T22" s="164" t="n">
        <v>25</v>
      </c>
      <c r="U22" s="164" t="n">
        <v>0</v>
      </c>
      <c r="V22" s="164" t="n">
        <f aca="false">M22-N22-O22-Q22-R22-S22+T22+U22</f>
        <v>25.8424</v>
      </c>
      <c r="W22" s="165"/>
      <c r="X22" s="165"/>
      <c r="Y22" s="164" t="n">
        <v>0</v>
      </c>
      <c r="Z22" s="267"/>
      <c r="AA22" s="269"/>
      <c r="AB22" s="164" t="n">
        <v>22</v>
      </c>
      <c r="AC22" s="165" t="n">
        <f aca="false">AC21-AB22</f>
        <v>3804</v>
      </c>
      <c r="AD22" s="8" t="n">
        <f aca="false">N22+O22+Q22+R22+S22+V22+Y22+AB22</f>
        <v>51.6</v>
      </c>
      <c r="AE22" s="164" t="n">
        <f aca="false">IF(L22&lt;0,L22*-1,0)</f>
        <v>0</v>
      </c>
      <c r="AF22" s="164" t="n">
        <f aca="false">AD22+AE22</f>
        <v>51.6</v>
      </c>
      <c r="AG22" s="237" t="n">
        <v>0</v>
      </c>
      <c r="AH22" s="171" t="n">
        <v>49</v>
      </c>
      <c r="AI22" s="310" t="n">
        <v>21</v>
      </c>
      <c r="AJ22" s="172" t="n">
        <f aca="false">AJ21+(V22*1.9835)</f>
        <v>7246.3912159</v>
      </c>
      <c r="AK22" s="172" t="n">
        <v>0</v>
      </c>
      <c r="AL22" s="304"/>
      <c r="AM22" s="317"/>
      <c r="AN22" s="305"/>
    </row>
    <row r="23" customFormat="false" ht="12.95" hidden="false" customHeight="true" outlineLevel="0" collapsed="false">
      <c r="A23" s="172" t="n">
        <f aca="false">A22+1</f>
        <v>12</v>
      </c>
      <c r="B23" s="311" t="n">
        <v>6902.61</v>
      </c>
      <c r="C23" s="165" t="n">
        <v>293310</v>
      </c>
      <c r="D23" s="171" t="n">
        <f aca="false">C23-C22</f>
        <v>-37</v>
      </c>
      <c r="E23" s="165" t="n">
        <f aca="false">C23-152000</f>
        <v>141310</v>
      </c>
      <c r="F23" s="328" t="n">
        <f aca="false">D23/$D$2</f>
        <v>-18.6538946307033</v>
      </c>
      <c r="G23" s="164" t="n">
        <v>34</v>
      </c>
      <c r="H23" s="170" t="n">
        <v>1.4</v>
      </c>
      <c r="I23" s="164" t="n">
        <f aca="false">G23+H23</f>
        <v>35.4</v>
      </c>
      <c r="J23" s="168" t="n">
        <f aca="false">IF(L23&gt;0,L23,0)</f>
        <v>0</v>
      </c>
      <c r="K23" s="164" t="n">
        <f aca="false">I23+J23</f>
        <v>35.4</v>
      </c>
      <c r="L23" s="164" t="n">
        <f aca="false">F23-(I23-AD23)</f>
        <v>-2.4538946307033</v>
      </c>
      <c r="M23" s="308" t="n">
        <v>4.6</v>
      </c>
      <c r="N23" s="164" t="n">
        <v>0</v>
      </c>
      <c r="O23" s="164" t="n">
        <v>0</v>
      </c>
      <c r="P23" s="164"/>
      <c r="Q23" s="283" t="n">
        <f aca="false">1.4*1.02</f>
        <v>1.428</v>
      </c>
      <c r="R23" s="283" t="n">
        <f aca="false">2.53*1.04</f>
        <v>2.6312</v>
      </c>
      <c r="S23" s="329" t="n">
        <v>0</v>
      </c>
      <c r="T23" s="164" t="n">
        <v>25</v>
      </c>
      <c r="U23" s="164" t="n">
        <v>0</v>
      </c>
      <c r="V23" s="164" t="n">
        <f aca="false">M23-N23-O23-Q23-R23-S23+T23+U23</f>
        <v>25.5408</v>
      </c>
      <c r="W23" s="165"/>
      <c r="X23" s="165"/>
      <c r="Y23" s="164" t="n">
        <v>0</v>
      </c>
      <c r="Z23" s="267"/>
      <c r="AA23" s="269"/>
      <c r="AB23" s="164" t="n">
        <v>22</v>
      </c>
      <c r="AC23" s="165" t="n">
        <f aca="false">AC22-AB23</f>
        <v>3782</v>
      </c>
      <c r="AD23" s="8" t="n">
        <f aca="false">N23+O23+Q23+R23+S23+V23+Y23+AB23</f>
        <v>51.6</v>
      </c>
      <c r="AE23" s="164" t="n">
        <f aca="false">IF(L23&lt;0,L23*-1,0)</f>
        <v>2.4538946307033</v>
      </c>
      <c r="AF23" s="164" t="n">
        <f aca="false">AD23+AE23</f>
        <v>54.0538946307033</v>
      </c>
      <c r="AG23" s="237" t="n">
        <v>0</v>
      </c>
      <c r="AH23" s="171" t="n">
        <v>39</v>
      </c>
      <c r="AI23" s="310" t="n">
        <v>23</v>
      </c>
      <c r="AJ23" s="172" t="n">
        <f aca="false">AJ22+(V23*1.9835)</f>
        <v>7297.0513927</v>
      </c>
      <c r="AK23" s="172" t="n">
        <v>0</v>
      </c>
      <c r="AL23" s="304"/>
      <c r="AM23" s="317"/>
      <c r="AN23" s="305"/>
    </row>
    <row r="24" customFormat="false" ht="12.95" hidden="false" customHeight="true" outlineLevel="0" collapsed="false">
      <c r="A24" s="172" t="n">
        <v>13</v>
      </c>
      <c r="B24" s="311" t="n">
        <v>6902.6</v>
      </c>
      <c r="C24" s="165" t="n">
        <v>293272</v>
      </c>
      <c r="D24" s="171" t="n">
        <f aca="false">C24-C23</f>
        <v>-38</v>
      </c>
      <c r="E24" s="165" t="n">
        <f aca="false">C24-152000</f>
        <v>141272</v>
      </c>
      <c r="F24" s="328" t="n">
        <f aca="false">D24/$D$2</f>
        <v>-19.1580539450466</v>
      </c>
      <c r="G24" s="164" t="n">
        <v>34</v>
      </c>
      <c r="H24" s="170" t="n">
        <v>1.4</v>
      </c>
      <c r="I24" s="164" t="n">
        <f aca="false">G24+H24</f>
        <v>35.4</v>
      </c>
      <c r="J24" s="168" t="n">
        <f aca="false">IF(L24&gt;0,L24,0)</f>
        <v>0</v>
      </c>
      <c r="K24" s="164" t="n">
        <f aca="false">I24+J24</f>
        <v>35.4</v>
      </c>
      <c r="L24" s="164" t="n">
        <f aca="false">F24-(I24-AD24)</f>
        <v>-2.75805394504664</v>
      </c>
      <c r="M24" s="308" t="n">
        <v>4.8</v>
      </c>
      <c r="N24" s="164" t="n">
        <v>0</v>
      </c>
      <c r="O24" s="164" t="n">
        <v>0</v>
      </c>
      <c r="P24" s="164"/>
      <c r="Q24" s="283" t="n">
        <f aca="false">1.4*1.02</f>
        <v>1.428</v>
      </c>
      <c r="R24" s="283" t="n">
        <f aca="false">2.33*1.04</f>
        <v>2.4232</v>
      </c>
      <c r="S24" s="329" t="n">
        <v>0</v>
      </c>
      <c r="T24" s="164" t="n">
        <v>25</v>
      </c>
      <c r="U24" s="164" t="n">
        <v>0</v>
      </c>
      <c r="V24" s="164" t="n">
        <f aca="false">M24-N24-O24-Q24-R24-S24+T24+U24</f>
        <v>25.9488</v>
      </c>
      <c r="W24" s="165"/>
      <c r="X24" s="165"/>
      <c r="Y24" s="164" t="n">
        <v>0</v>
      </c>
      <c r="Z24" s="267"/>
      <c r="AA24" s="269"/>
      <c r="AB24" s="164" t="n">
        <v>22</v>
      </c>
      <c r="AC24" s="165" t="n">
        <f aca="false">AC23-AB24</f>
        <v>3760</v>
      </c>
      <c r="AD24" s="8" t="n">
        <f aca="false">N24+O24+Q24+R24+S24+V24+Y24+AB24</f>
        <v>51.8</v>
      </c>
      <c r="AE24" s="164" t="n">
        <f aca="false">IF(L24&lt;0,L24*-1,0)</f>
        <v>2.75805394504664</v>
      </c>
      <c r="AF24" s="164" t="n">
        <f aca="false">AD24+AE24</f>
        <v>54.5580539450466</v>
      </c>
      <c r="AG24" s="237" t="n">
        <v>0</v>
      </c>
      <c r="AH24" s="171" t="n">
        <v>46</v>
      </c>
      <c r="AI24" s="310" t="n">
        <v>17</v>
      </c>
      <c r="AJ24" s="172" t="n">
        <f aca="false">AJ23+(V24*1.9835)</f>
        <v>7348.5208375</v>
      </c>
      <c r="AK24" s="172" t="n">
        <v>0</v>
      </c>
      <c r="AL24" s="304"/>
      <c r="AM24" s="317"/>
      <c r="AN24" s="305"/>
    </row>
    <row r="25" customFormat="false" ht="12.95" hidden="false" customHeight="true" outlineLevel="0" collapsed="false">
      <c r="A25" s="172" t="n">
        <f aca="false">A24+1</f>
        <v>14</v>
      </c>
      <c r="B25" s="311" t="n">
        <v>6902.59</v>
      </c>
      <c r="C25" s="165" t="n">
        <v>293235</v>
      </c>
      <c r="D25" s="171" t="n">
        <f aca="false">C25-C24</f>
        <v>-37</v>
      </c>
      <c r="E25" s="165" t="n">
        <f aca="false">C25-152000</f>
        <v>141235</v>
      </c>
      <c r="F25" s="328" t="n">
        <f aca="false">D25/$D$2</f>
        <v>-18.6538946307033</v>
      </c>
      <c r="G25" s="164" t="n">
        <v>32</v>
      </c>
      <c r="H25" s="170" t="n">
        <v>1.6</v>
      </c>
      <c r="I25" s="164" t="n">
        <f aca="false">G25+H25</f>
        <v>33.6</v>
      </c>
      <c r="J25" s="168" t="n">
        <f aca="false">IF(L25&gt;0,L25,0)</f>
        <v>0</v>
      </c>
      <c r="K25" s="164" t="n">
        <f aca="false">I25+J25</f>
        <v>33.6</v>
      </c>
      <c r="L25" s="164" t="n">
        <f aca="false">F25-(I25-AD25)</f>
        <v>-0.553894630703301</v>
      </c>
      <c r="M25" s="308" t="n">
        <v>4.7</v>
      </c>
      <c r="N25" s="164" t="n">
        <v>0</v>
      </c>
      <c r="O25" s="164" t="n">
        <v>0</v>
      </c>
      <c r="P25" s="164"/>
      <c r="Q25" s="283" t="n">
        <f aca="false">1.4*1.02</f>
        <v>1.428</v>
      </c>
      <c r="R25" s="283" t="n">
        <f aca="false">2.58*1.04</f>
        <v>2.6832</v>
      </c>
      <c r="S25" s="329" t="n">
        <v>0</v>
      </c>
      <c r="T25" s="164" t="n">
        <v>25</v>
      </c>
      <c r="U25" s="164" t="n">
        <v>0</v>
      </c>
      <c r="V25" s="164" t="n">
        <f aca="false">M25-N25-O25-Q25-R25-S25+T25+U25</f>
        <v>25.5888</v>
      </c>
      <c r="W25" s="165"/>
      <c r="X25" s="165"/>
      <c r="Y25" s="164" t="n">
        <v>0</v>
      </c>
      <c r="Z25" s="267"/>
      <c r="AA25" s="269"/>
      <c r="AB25" s="164" t="n">
        <v>22</v>
      </c>
      <c r="AC25" s="165" t="n">
        <f aca="false">AC24-AB25</f>
        <v>3738</v>
      </c>
      <c r="AD25" s="8" t="n">
        <f aca="false">N25+O25+Q25+R25+S25+V25+Y25+AB25</f>
        <v>51.7</v>
      </c>
      <c r="AE25" s="164" t="n">
        <f aca="false">IF(L25&lt;0,L25*-1,0)</f>
        <v>0.553894630703301</v>
      </c>
      <c r="AF25" s="164" t="n">
        <f aca="false">AD25+AE25</f>
        <v>52.2538946307033</v>
      </c>
      <c r="AG25" s="237" t="n">
        <v>0</v>
      </c>
      <c r="AH25" s="284" t="n">
        <v>54</v>
      </c>
      <c r="AI25" s="310" t="n">
        <v>25</v>
      </c>
      <c r="AJ25" s="172" t="n">
        <f aca="false">AJ24+(V25*1.9835)</f>
        <v>7399.2762223</v>
      </c>
      <c r="AK25" s="172" t="n">
        <v>0</v>
      </c>
      <c r="AL25" s="304"/>
      <c r="AM25" s="317"/>
      <c r="AN25" s="305"/>
    </row>
    <row r="26" customFormat="false" ht="12.95" hidden="false" customHeight="true" outlineLevel="0" collapsed="false">
      <c r="A26" s="172" t="n">
        <f aca="false">A25+1</f>
        <v>15</v>
      </c>
      <c r="B26" s="311" t="n">
        <v>6902.59</v>
      </c>
      <c r="C26" s="165" t="n">
        <v>293235</v>
      </c>
      <c r="D26" s="171" t="n">
        <f aca="false">C26-C25</f>
        <v>0</v>
      </c>
      <c r="E26" s="165" t="n">
        <f aca="false">C26-152000</f>
        <v>141235</v>
      </c>
      <c r="F26" s="328" t="n">
        <f aca="false">D26/$D$2</f>
        <v>0</v>
      </c>
      <c r="G26" s="164" t="n">
        <v>38</v>
      </c>
      <c r="H26" s="170" t="n">
        <v>1.6</v>
      </c>
      <c r="I26" s="164" t="n">
        <f aca="false">G26+H26</f>
        <v>39.6</v>
      </c>
      <c r="J26" s="168" t="n">
        <f aca="false">IF(L26&gt;0,L26,0)</f>
        <v>12</v>
      </c>
      <c r="K26" s="164" t="n">
        <f aca="false">I26+J26</f>
        <v>51.6</v>
      </c>
      <c r="L26" s="164" t="n">
        <f aca="false">F26-(I26-AD26)</f>
        <v>12</v>
      </c>
      <c r="M26" s="308" t="n">
        <v>4.6</v>
      </c>
      <c r="N26" s="164" t="n">
        <v>0</v>
      </c>
      <c r="O26" s="164" t="n">
        <v>0</v>
      </c>
      <c r="P26" s="164"/>
      <c r="Q26" s="283" t="n">
        <f aca="false">1.4*1.02</f>
        <v>1.428</v>
      </c>
      <c r="R26" s="283" t="n">
        <f aca="false">2.22*1.04</f>
        <v>2.3088</v>
      </c>
      <c r="S26" s="329" t="n">
        <v>0</v>
      </c>
      <c r="T26" s="164" t="n">
        <v>25</v>
      </c>
      <c r="U26" s="164" t="n">
        <v>0</v>
      </c>
      <c r="V26" s="164" t="n">
        <f aca="false">M26-N26-O26-Q26-R26-S26+T26+U26</f>
        <v>25.8632</v>
      </c>
      <c r="W26" s="165"/>
      <c r="X26" s="165"/>
      <c r="Y26" s="164" t="n">
        <v>0</v>
      </c>
      <c r="Z26" s="267"/>
      <c r="AA26" s="269"/>
      <c r="AB26" s="164" t="n">
        <v>22</v>
      </c>
      <c r="AC26" s="165" t="n">
        <f aca="false">AC25-AB26</f>
        <v>3716</v>
      </c>
      <c r="AD26" s="8" t="n">
        <f aca="false">N26+O26+Q26+R26+S26+V26+Y26+AB26</f>
        <v>51.6</v>
      </c>
      <c r="AE26" s="164" t="n">
        <f aca="false">IF(L26&lt;0,L26*-1,0)</f>
        <v>0</v>
      </c>
      <c r="AF26" s="164" t="n">
        <f aca="false">AD26+AE26</f>
        <v>51.6</v>
      </c>
      <c r="AG26" s="237" t="n">
        <v>0.01</v>
      </c>
      <c r="AH26" s="284" t="n">
        <v>43</v>
      </c>
      <c r="AI26" s="310" t="n">
        <v>21</v>
      </c>
      <c r="AJ26" s="172" t="n">
        <f aca="false">AJ25+(V26*1.9835)</f>
        <v>7450.5758795</v>
      </c>
      <c r="AK26" s="172" t="n">
        <v>0</v>
      </c>
      <c r="AL26" s="304"/>
      <c r="AM26" s="317"/>
      <c r="AN26" s="305"/>
    </row>
    <row r="27" customFormat="false" ht="12.95" hidden="false" customHeight="true" outlineLevel="0" collapsed="false">
      <c r="A27" s="172" t="n">
        <f aca="false">A26+1</f>
        <v>16</v>
      </c>
      <c r="B27" s="311" t="n">
        <v>6902.58</v>
      </c>
      <c r="C27" s="165" t="n">
        <v>293197</v>
      </c>
      <c r="D27" s="171" t="n">
        <f aca="false">C27-C26</f>
        <v>-38</v>
      </c>
      <c r="E27" s="165" t="n">
        <f aca="false">C27-152000</f>
        <v>141197</v>
      </c>
      <c r="F27" s="328" t="n">
        <f aca="false">D27/$D$2</f>
        <v>-19.1580539450466</v>
      </c>
      <c r="G27" s="164" t="n">
        <v>36</v>
      </c>
      <c r="H27" s="170" t="n">
        <v>1.6</v>
      </c>
      <c r="I27" s="164" t="n">
        <f aca="false">G27+H27</f>
        <v>37.6</v>
      </c>
      <c r="J27" s="168" t="n">
        <f aca="false">IF(L27&gt;0,L27,0)</f>
        <v>0</v>
      </c>
      <c r="K27" s="164" t="n">
        <f aca="false">I27+J27</f>
        <v>37.6</v>
      </c>
      <c r="L27" s="164" t="n">
        <f aca="false">F27-(I27-AD27)</f>
        <v>-5.15805394504664</v>
      </c>
      <c r="M27" s="308" t="n">
        <v>4.6</v>
      </c>
      <c r="N27" s="164" t="n">
        <v>0</v>
      </c>
      <c r="O27" s="164" t="n">
        <v>0</v>
      </c>
      <c r="P27" s="164"/>
      <c r="Q27" s="283" t="n">
        <f aca="false">1.4*1.02</f>
        <v>1.428</v>
      </c>
      <c r="R27" s="283" t="n">
        <f aca="false">2.16*1.04</f>
        <v>2.2464</v>
      </c>
      <c r="S27" s="329" t="n">
        <v>0</v>
      </c>
      <c r="T27" s="164" t="n">
        <v>25</v>
      </c>
      <c r="U27" s="164" t="n">
        <v>0</v>
      </c>
      <c r="V27" s="164" t="n">
        <f aca="false">M27-N27-O27-Q27-R27-S27+T27+U27</f>
        <v>25.9256</v>
      </c>
      <c r="W27" s="165"/>
      <c r="X27" s="165"/>
      <c r="Y27" s="164" t="n">
        <v>0</v>
      </c>
      <c r="Z27" s="267"/>
      <c r="AA27" s="269"/>
      <c r="AB27" s="164" t="n">
        <v>22</v>
      </c>
      <c r="AC27" s="165" t="n">
        <f aca="false">AC26-AB27</f>
        <v>3694</v>
      </c>
      <c r="AD27" s="8" t="n">
        <f aca="false">N27+O27+Q27+R27+S27+V27+Y27+AB27</f>
        <v>51.6</v>
      </c>
      <c r="AE27" s="164" t="n">
        <f aca="false">IF(L27&lt;0,L27*-1,0)</f>
        <v>5.15805394504664</v>
      </c>
      <c r="AF27" s="164" t="n">
        <f aca="false">AD27+AE27</f>
        <v>56.7580539450466</v>
      </c>
      <c r="AG27" s="237" t="n">
        <v>0</v>
      </c>
      <c r="AH27" s="284" t="n">
        <v>32</v>
      </c>
      <c r="AI27" s="310" t="n">
        <v>16</v>
      </c>
      <c r="AJ27" s="172" t="n">
        <f aca="false">AJ26+(V27*1.9835)</f>
        <v>7501.9993071</v>
      </c>
      <c r="AK27" s="172" t="n">
        <v>0</v>
      </c>
      <c r="AL27" s="304"/>
      <c r="AM27" s="6"/>
      <c r="AN27" s="305"/>
    </row>
    <row r="28" customFormat="false" ht="12.95" hidden="false" customHeight="true" outlineLevel="0" collapsed="false">
      <c r="A28" s="172" t="n">
        <f aca="false">A27+1</f>
        <v>17</v>
      </c>
      <c r="B28" s="311" t="n">
        <v>6902.57</v>
      </c>
      <c r="C28" s="165" t="n">
        <v>293159</v>
      </c>
      <c r="D28" s="171" t="n">
        <f aca="false">C28-C27</f>
        <v>-38</v>
      </c>
      <c r="E28" s="165" t="n">
        <f aca="false">C28-152000</f>
        <v>141159</v>
      </c>
      <c r="F28" s="328" t="n">
        <f aca="false">D28/$D$2</f>
        <v>-19.1580539450466</v>
      </c>
      <c r="G28" s="164" t="n">
        <v>32</v>
      </c>
      <c r="H28" s="170" t="n">
        <v>1.7</v>
      </c>
      <c r="I28" s="164" t="n">
        <f aca="false">G28+H28</f>
        <v>33.7</v>
      </c>
      <c r="J28" s="168" t="n">
        <f aca="false">IF(L28&gt;0,L28,0)</f>
        <v>0</v>
      </c>
      <c r="K28" s="164" t="n">
        <f aca="false">I28+J28</f>
        <v>33.7</v>
      </c>
      <c r="L28" s="164" t="n">
        <f aca="false">F28-(I28-AD28)</f>
        <v>-1.25805394504664</v>
      </c>
      <c r="M28" s="308" t="n">
        <v>4.6</v>
      </c>
      <c r="N28" s="164" t="n">
        <v>0</v>
      </c>
      <c r="O28" s="164" t="n">
        <v>0</v>
      </c>
      <c r="P28" s="164"/>
      <c r="Q28" s="283" t="n">
        <f aca="false">1.4*1.02</f>
        <v>1.428</v>
      </c>
      <c r="R28" s="283" t="n">
        <f aca="false">2.54*1.04</f>
        <v>2.6416</v>
      </c>
      <c r="S28" s="329" t="n">
        <v>0</v>
      </c>
      <c r="T28" s="164" t="n">
        <v>25</v>
      </c>
      <c r="U28" s="164" t="n">
        <v>0</v>
      </c>
      <c r="V28" s="164" t="n">
        <f aca="false">M28-N28-O28-Q28-R28-S28+T28+U28</f>
        <v>25.5304</v>
      </c>
      <c r="W28" s="165"/>
      <c r="X28" s="165"/>
      <c r="Y28" s="164" t="n">
        <v>0</v>
      </c>
      <c r="Z28" s="267"/>
      <c r="AA28" s="269"/>
      <c r="AB28" s="164" t="n">
        <v>22</v>
      </c>
      <c r="AC28" s="165" t="n">
        <f aca="false">AC27-AB28</f>
        <v>3672</v>
      </c>
      <c r="AD28" s="8" t="n">
        <f aca="false">N28+O28+Q28+R28+S28+V28+Y28+AB28</f>
        <v>51.6</v>
      </c>
      <c r="AE28" s="164" t="n">
        <f aca="false">IF(L28&lt;0,L28*-1,0)</f>
        <v>1.25805394504664</v>
      </c>
      <c r="AF28" s="164" t="n">
        <f aca="false">AD28+AE28</f>
        <v>52.8580539450466</v>
      </c>
      <c r="AG28" s="237" t="n">
        <v>0</v>
      </c>
      <c r="AH28" s="284" t="n">
        <v>43</v>
      </c>
      <c r="AI28" s="310" t="n">
        <v>14</v>
      </c>
      <c r="AJ28" s="172" t="n">
        <f aca="false">AJ27+(V28*1.9835)</f>
        <v>7552.6388555</v>
      </c>
      <c r="AK28" s="172" t="n">
        <v>0</v>
      </c>
      <c r="AL28" s="304"/>
      <c r="AM28" s="317"/>
      <c r="AN28" s="305"/>
    </row>
    <row r="29" customFormat="false" ht="12.95" hidden="false" customHeight="true" outlineLevel="0" collapsed="false">
      <c r="A29" s="172" t="n">
        <f aca="false">A28+1</f>
        <v>18</v>
      </c>
      <c r="B29" s="311" t="n">
        <v>6902.57</v>
      </c>
      <c r="C29" s="165" t="n">
        <v>293159</v>
      </c>
      <c r="D29" s="171" t="n">
        <f aca="false">C29-C28</f>
        <v>0</v>
      </c>
      <c r="E29" s="165" t="n">
        <f aca="false">C29-152000</f>
        <v>141159</v>
      </c>
      <c r="F29" s="328" t="n">
        <f aca="false">D29/$D$2</f>
        <v>0</v>
      </c>
      <c r="G29" s="164" t="n">
        <v>32</v>
      </c>
      <c r="H29" s="170" t="n">
        <v>1.7</v>
      </c>
      <c r="I29" s="164" t="n">
        <f aca="false">G29+H29</f>
        <v>33.7</v>
      </c>
      <c r="J29" s="168" t="n">
        <f aca="false">IF(L29&gt;0,L29,0)</f>
        <v>17.9</v>
      </c>
      <c r="K29" s="164" t="n">
        <f aca="false">I29+J29</f>
        <v>51.6</v>
      </c>
      <c r="L29" s="164" t="n">
        <f aca="false">F29-(I29-AD29)</f>
        <v>17.9</v>
      </c>
      <c r="M29" s="308" t="n">
        <v>4.6</v>
      </c>
      <c r="N29" s="164" t="n">
        <v>0</v>
      </c>
      <c r="O29" s="164" t="n">
        <v>0</v>
      </c>
      <c r="P29" s="164"/>
      <c r="Q29" s="283" t="n">
        <f aca="false">1.4*1.02</f>
        <v>1.428</v>
      </c>
      <c r="R29" s="283" t="n">
        <f aca="false">2.41*1.04</f>
        <v>2.5064</v>
      </c>
      <c r="S29" s="329" t="n">
        <v>0</v>
      </c>
      <c r="T29" s="164" t="n">
        <v>25</v>
      </c>
      <c r="U29" s="164" t="n">
        <v>0</v>
      </c>
      <c r="V29" s="164" t="n">
        <f aca="false">M29-N29-O29-Q29-R29-S29+T29+U29</f>
        <v>25.6656</v>
      </c>
      <c r="W29" s="165"/>
      <c r="X29" s="165"/>
      <c r="Y29" s="164" t="n">
        <v>0</v>
      </c>
      <c r="Z29" s="267"/>
      <c r="AA29" s="269"/>
      <c r="AB29" s="164" t="n">
        <v>22</v>
      </c>
      <c r="AC29" s="165" t="n">
        <f aca="false">AC28-AB29</f>
        <v>3650</v>
      </c>
      <c r="AD29" s="8" t="n">
        <f aca="false">N29+O29+Q29+R29+S29+V29+Y29+AB29</f>
        <v>51.6</v>
      </c>
      <c r="AE29" s="164" t="n">
        <f aca="false">IF(L29&lt;0,L29*-1,0)</f>
        <v>0</v>
      </c>
      <c r="AF29" s="164" t="n">
        <f aca="false">AD29+AE29</f>
        <v>51.6</v>
      </c>
      <c r="AG29" s="237" t="n">
        <v>0</v>
      </c>
      <c r="AH29" s="284" t="n">
        <v>46</v>
      </c>
      <c r="AI29" s="310" t="n">
        <v>22</v>
      </c>
      <c r="AJ29" s="172" t="n">
        <f aca="false">AJ28+(V29*1.9835)</f>
        <v>7603.5465731</v>
      </c>
      <c r="AK29" s="172" t="n">
        <v>0</v>
      </c>
      <c r="AL29" s="304"/>
      <c r="AM29" s="317"/>
      <c r="AN29" s="305"/>
    </row>
    <row r="30" customFormat="false" ht="12.95" hidden="false" customHeight="true" outlineLevel="0" collapsed="false">
      <c r="A30" s="172" t="n">
        <f aca="false">A29+1</f>
        <v>19</v>
      </c>
      <c r="B30" s="311" t="n">
        <v>6902.57</v>
      </c>
      <c r="C30" s="165" t="n">
        <v>293159</v>
      </c>
      <c r="D30" s="171" t="n">
        <f aca="false">C30-C29</f>
        <v>0</v>
      </c>
      <c r="E30" s="165" t="n">
        <f aca="false">C30-152000</f>
        <v>141159</v>
      </c>
      <c r="F30" s="328" t="n">
        <f aca="false">D30/$D$2</f>
        <v>0</v>
      </c>
      <c r="G30" s="164" t="n">
        <v>31</v>
      </c>
      <c r="H30" s="170" t="n">
        <v>1.8</v>
      </c>
      <c r="I30" s="164" t="n">
        <f aca="false">G30+H30</f>
        <v>32.8</v>
      </c>
      <c r="J30" s="168" t="n">
        <f aca="false">IF(L30&gt;0,L30,0)</f>
        <v>18.8</v>
      </c>
      <c r="K30" s="164" t="n">
        <f aca="false">I30+J30</f>
        <v>51.6</v>
      </c>
      <c r="L30" s="164" t="n">
        <f aca="false">F30-(I30-AD30)</f>
        <v>18.8</v>
      </c>
      <c r="M30" s="308" t="n">
        <v>4.6</v>
      </c>
      <c r="N30" s="164" t="n">
        <v>0</v>
      </c>
      <c r="O30" s="164" t="n">
        <v>0</v>
      </c>
      <c r="P30" s="164"/>
      <c r="Q30" s="283" t="n">
        <f aca="false">1.4*1.02</f>
        <v>1.428</v>
      </c>
      <c r="R30" s="283" t="n">
        <f aca="false">2.15*1.04</f>
        <v>2.236</v>
      </c>
      <c r="S30" s="329" t="n">
        <v>0</v>
      </c>
      <c r="T30" s="164" t="n">
        <v>25</v>
      </c>
      <c r="U30" s="164" t="n">
        <v>0</v>
      </c>
      <c r="V30" s="164" t="n">
        <f aca="false">M30-N30-O30-Q30-R30-S30+T30+U30</f>
        <v>25.936</v>
      </c>
      <c r="W30" s="165"/>
      <c r="X30" s="165"/>
      <c r="Y30" s="164" t="n">
        <v>0</v>
      </c>
      <c r="Z30" s="267"/>
      <c r="AA30" s="269"/>
      <c r="AB30" s="164" t="n">
        <v>22</v>
      </c>
      <c r="AC30" s="165" t="n">
        <f aca="false">AC29-AB30</f>
        <v>3628</v>
      </c>
      <c r="AD30" s="8" t="n">
        <f aca="false">N30+O30+Q30+R30+S30+V30+Y30+AB30</f>
        <v>51.6</v>
      </c>
      <c r="AE30" s="164" t="n">
        <f aca="false">IF(L30&lt;0,L30*-1,0)</f>
        <v>0</v>
      </c>
      <c r="AF30" s="164" t="n">
        <f aca="false">AD30+AE30</f>
        <v>51.6</v>
      </c>
      <c r="AG30" s="237" t="n">
        <v>0.07</v>
      </c>
      <c r="AH30" s="284" t="n">
        <v>37</v>
      </c>
      <c r="AI30" s="310" t="n">
        <v>20</v>
      </c>
      <c r="AJ30" s="172" t="n">
        <f aca="false">AJ29+(V30*1.9835)</f>
        <v>7654.9906291</v>
      </c>
      <c r="AK30" s="172" t="n">
        <v>0</v>
      </c>
      <c r="AL30" s="304"/>
      <c r="AM30" s="317"/>
      <c r="AN30" s="305"/>
    </row>
    <row r="31" customFormat="false" ht="12.95" hidden="false" customHeight="true" outlineLevel="0" collapsed="false">
      <c r="A31" s="172" t="n">
        <f aca="false">A30+1</f>
        <v>20</v>
      </c>
      <c r="B31" s="311" t="n">
        <v>6902.58</v>
      </c>
      <c r="C31" s="165" t="n">
        <v>293197</v>
      </c>
      <c r="D31" s="171" t="n">
        <f aca="false">C31-C30</f>
        <v>38</v>
      </c>
      <c r="E31" s="165" t="n">
        <f aca="false">C31-152000</f>
        <v>141197</v>
      </c>
      <c r="F31" s="328" t="n">
        <f aca="false">D31/$D$2</f>
        <v>19.1580539450466</v>
      </c>
      <c r="G31" s="164" t="n">
        <v>31</v>
      </c>
      <c r="H31" s="170" t="n">
        <v>1.9</v>
      </c>
      <c r="I31" s="164" t="n">
        <f aca="false">G31+H31</f>
        <v>32.9</v>
      </c>
      <c r="J31" s="168" t="n">
        <f aca="false">IF(L31&gt;0,L31,0)</f>
        <v>36.8580539450466</v>
      </c>
      <c r="K31" s="164" t="n">
        <f aca="false">I31+J31</f>
        <v>69.7580539450466</v>
      </c>
      <c r="L31" s="164" t="n">
        <f aca="false">F31-(I31-AD31)</f>
        <v>36.8580539450466</v>
      </c>
      <c r="M31" s="308" t="n">
        <v>4.6</v>
      </c>
      <c r="N31" s="164" t="n">
        <v>0</v>
      </c>
      <c r="O31" s="164" t="n">
        <v>0</v>
      </c>
      <c r="P31" s="164"/>
      <c r="Q31" s="283" t="n">
        <f aca="false">1.4*1.02</f>
        <v>1.428</v>
      </c>
      <c r="R31" s="283" t="n">
        <f aca="false">2.5*1.04</f>
        <v>2.6</v>
      </c>
      <c r="S31" s="329" t="n">
        <v>0</v>
      </c>
      <c r="T31" s="164" t="n">
        <v>25</v>
      </c>
      <c r="U31" s="164" t="n">
        <v>0</v>
      </c>
      <c r="V31" s="164" t="n">
        <f aca="false">M31-N31-O31-Q31-R31-S31+T31+U31</f>
        <v>25.572</v>
      </c>
      <c r="W31" s="165"/>
      <c r="X31" s="165"/>
      <c r="Y31" s="164" t="n">
        <v>0</v>
      </c>
      <c r="Z31" s="267"/>
      <c r="AA31" s="269"/>
      <c r="AB31" s="164" t="n">
        <v>21</v>
      </c>
      <c r="AC31" s="165" t="n">
        <f aca="false">AC30-AB31</f>
        <v>3607</v>
      </c>
      <c r="AD31" s="8" t="n">
        <f aca="false">N31+O31+Q31+R31+S31+V31+Y31+AB31</f>
        <v>50.6</v>
      </c>
      <c r="AE31" s="164" t="n">
        <f aca="false">IF(L31&lt;0,L31*-1,0)</f>
        <v>0</v>
      </c>
      <c r="AF31" s="164" t="n">
        <f aca="false">AD31+AE31</f>
        <v>50.6</v>
      </c>
      <c r="AG31" s="237" t="n">
        <v>0</v>
      </c>
      <c r="AH31" s="284" t="n">
        <v>34</v>
      </c>
      <c r="AI31" s="310" t="n">
        <v>7</v>
      </c>
      <c r="AJ31" s="172" t="n">
        <f aca="false">AJ30+(V31*1.9835)</f>
        <v>7705.7126911</v>
      </c>
      <c r="AK31" s="172" t="n">
        <v>0</v>
      </c>
      <c r="AL31" s="304"/>
      <c r="AM31" s="317"/>
      <c r="AN31" s="305"/>
    </row>
    <row r="32" customFormat="false" ht="12.95" hidden="false" customHeight="true" outlineLevel="0" collapsed="false">
      <c r="A32" s="172" t="n">
        <f aca="false">A31+1</f>
        <v>21</v>
      </c>
      <c r="B32" s="311" t="n">
        <v>6902.57</v>
      </c>
      <c r="C32" s="165" t="n">
        <v>293159</v>
      </c>
      <c r="D32" s="171" t="n">
        <f aca="false">C32-C31</f>
        <v>-38</v>
      </c>
      <c r="E32" s="165" t="n">
        <f aca="false">C32-152000</f>
        <v>141159</v>
      </c>
      <c r="F32" s="328" t="n">
        <f aca="false">D32/$D$2</f>
        <v>-19.1580539450466</v>
      </c>
      <c r="G32" s="164" t="n">
        <v>30</v>
      </c>
      <c r="H32" s="170" t="n">
        <v>2</v>
      </c>
      <c r="I32" s="164" t="n">
        <f aca="false">G32+H32</f>
        <v>32</v>
      </c>
      <c r="J32" s="168" t="n">
        <f aca="false">IF(L32&gt;0,L32,0)</f>
        <v>0</v>
      </c>
      <c r="K32" s="164" t="n">
        <f aca="false">I32+J32</f>
        <v>32</v>
      </c>
      <c r="L32" s="164" t="n">
        <f aca="false">F32-(I32-AD32)</f>
        <v>-0.558053945046634</v>
      </c>
      <c r="M32" s="308" t="n">
        <v>4.6</v>
      </c>
      <c r="N32" s="164" t="n">
        <v>0</v>
      </c>
      <c r="O32" s="164" t="n">
        <v>0</v>
      </c>
      <c r="P32" s="164"/>
      <c r="Q32" s="283" t="n">
        <f aca="false">1.4*1.02</f>
        <v>1.428</v>
      </c>
      <c r="R32" s="283" t="n">
        <f aca="false">2.48*1.04</f>
        <v>2.5792</v>
      </c>
      <c r="S32" s="329" t="n">
        <v>0</v>
      </c>
      <c r="T32" s="164" t="n">
        <v>25</v>
      </c>
      <c r="U32" s="164" t="n">
        <v>0</v>
      </c>
      <c r="V32" s="164" t="n">
        <f aca="false">M32-N32-O32-Q32-R32-S32+T32+U32</f>
        <v>25.5928</v>
      </c>
      <c r="W32" s="165"/>
      <c r="X32" s="165"/>
      <c r="Y32" s="164" t="n">
        <v>0</v>
      </c>
      <c r="Z32" s="267"/>
      <c r="AA32" s="269"/>
      <c r="AB32" s="164" t="n">
        <v>21</v>
      </c>
      <c r="AC32" s="165" t="n">
        <f aca="false">AC31-AB32</f>
        <v>3586</v>
      </c>
      <c r="AD32" s="8" t="n">
        <f aca="false">N32+O32+Q32+R32+S32+V32+Y32+AB32</f>
        <v>50.6</v>
      </c>
      <c r="AE32" s="164" t="n">
        <f aca="false">IF(L32&lt;0,L32*-1,0)</f>
        <v>0.558053945046634</v>
      </c>
      <c r="AF32" s="164" t="n">
        <f aca="false">AD32+AE32</f>
        <v>51.1580539450466</v>
      </c>
      <c r="AG32" s="237" t="n">
        <v>0</v>
      </c>
      <c r="AH32" s="171" t="n">
        <v>37</v>
      </c>
      <c r="AI32" s="310" t="n">
        <v>11</v>
      </c>
      <c r="AJ32" s="172" t="n">
        <f aca="false">AJ31+(V32*1.9835)</f>
        <v>7756.4760099</v>
      </c>
      <c r="AK32" s="172" t="n">
        <v>0</v>
      </c>
      <c r="AL32" s="304"/>
      <c r="AM32" s="317"/>
      <c r="AN32" s="305"/>
    </row>
    <row r="33" customFormat="false" ht="12.95" hidden="false" customHeight="true" outlineLevel="0" collapsed="false">
      <c r="A33" s="172" t="n">
        <f aca="false">A32+1</f>
        <v>22</v>
      </c>
      <c r="B33" s="311" t="n">
        <v>6902.56</v>
      </c>
      <c r="C33" s="165" t="n">
        <v>293122</v>
      </c>
      <c r="D33" s="171" t="n">
        <f aca="false">C33-C32</f>
        <v>-37</v>
      </c>
      <c r="E33" s="165" t="n">
        <f aca="false">C33-152000</f>
        <v>141122</v>
      </c>
      <c r="F33" s="328" t="n">
        <f aca="false">D33/$D$2</f>
        <v>-18.6538946307033</v>
      </c>
      <c r="G33" s="164" t="n">
        <v>29</v>
      </c>
      <c r="H33" s="170" t="n">
        <v>2.1</v>
      </c>
      <c r="I33" s="164" t="n">
        <f aca="false">G33+H33</f>
        <v>31.1</v>
      </c>
      <c r="J33" s="168" t="n">
        <f aca="false">IF(L33&gt;0,L33,0)</f>
        <v>0.846105369296691</v>
      </c>
      <c r="K33" s="164" t="n">
        <f aca="false">I33+J33</f>
        <v>31.9461053692967</v>
      </c>
      <c r="L33" s="164" t="n">
        <f aca="false">F33-(I33-AD33)</f>
        <v>0.846105369296691</v>
      </c>
      <c r="M33" s="308" t="n">
        <v>4.6</v>
      </c>
      <c r="N33" s="164" t="n">
        <v>0</v>
      </c>
      <c r="O33" s="164" t="n">
        <v>0</v>
      </c>
      <c r="P33" s="164"/>
      <c r="Q33" s="283" t="n">
        <f aca="false">1.4*1.02</f>
        <v>1.428</v>
      </c>
      <c r="R33" s="283" t="n">
        <f aca="false">2.34*1.04</f>
        <v>2.4336</v>
      </c>
      <c r="S33" s="329" t="n">
        <v>0</v>
      </c>
      <c r="T33" s="164" t="n">
        <v>25</v>
      </c>
      <c r="U33" s="164" t="n">
        <v>0</v>
      </c>
      <c r="V33" s="164" t="n">
        <f aca="false">M33-N33-O33-Q33-R33-S33+T33+U33</f>
        <v>25.7384</v>
      </c>
      <c r="W33" s="165"/>
      <c r="X33" s="165"/>
      <c r="Y33" s="164" t="n">
        <v>0</v>
      </c>
      <c r="Z33" s="267"/>
      <c r="AA33" s="269"/>
      <c r="AB33" s="164" t="n">
        <v>21</v>
      </c>
      <c r="AC33" s="165" t="n">
        <f aca="false">AC32-AB33</f>
        <v>3565</v>
      </c>
      <c r="AD33" s="8" t="n">
        <f aca="false">N33+O33+Q33+R33+S33+V33+Y33+AB33</f>
        <v>50.6</v>
      </c>
      <c r="AE33" s="164" t="n">
        <f aca="false">IF(L33&lt;0,L33*-1,0)</f>
        <v>0</v>
      </c>
      <c r="AF33" s="164" t="n">
        <f aca="false">AD33+AE33</f>
        <v>50.6</v>
      </c>
      <c r="AG33" s="237" t="n">
        <v>0</v>
      </c>
      <c r="AH33" s="171" t="n">
        <v>38</v>
      </c>
      <c r="AI33" s="310" t="n">
        <v>12</v>
      </c>
      <c r="AJ33" s="172" t="n">
        <f aca="false">AJ32+(V33*1.9835)</f>
        <v>7807.5281263</v>
      </c>
      <c r="AK33" s="172" t="n">
        <v>0</v>
      </c>
      <c r="AL33" s="304"/>
      <c r="AM33" s="317"/>
      <c r="AN33" s="305"/>
    </row>
    <row r="34" customFormat="false" ht="12.95" hidden="false" customHeight="true" outlineLevel="0" collapsed="false">
      <c r="A34" s="172" t="n">
        <f aca="false">A33+1</f>
        <v>23</v>
      </c>
      <c r="B34" s="311" t="n">
        <v>6902.55</v>
      </c>
      <c r="C34" s="165" t="n">
        <v>293084</v>
      </c>
      <c r="D34" s="171" t="n">
        <f aca="false">C34-C33</f>
        <v>-38</v>
      </c>
      <c r="E34" s="165" t="n">
        <f aca="false">C34-152000</f>
        <v>141084</v>
      </c>
      <c r="F34" s="328" t="n">
        <f aca="false">D34/$D$2</f>
        <v>-19.1580539450466</v>
      </c>
      <c r="G34" s="164" t="n">
        <v>32</v>
      </c>
      <c r="H34" s="170" t="n">
        <v>2.1</v>
      </c>
      <c r="I34" s="164" t="n">
        <f aca="false">G34+H34</f>
        <v>34.1</v>
      </c>
      <c r="J34" s="168" t="n">
        <f aca="false">IF(L34&gt;0,L34,0)</f>
        <v>0</v>
      </c>
      <c r="K34" s="164" t="n">
        <f aca="false">I34+J34</f>
        <v>34.1</v>
      </c>
      <c r="L34" s="164" t="n">
        <f aca="false">F34-(I34-AD34)</f>
        <v>-2.55805394504663</v>
      </c>
      <c r="M34" s="308" t="n">
        <v>4.7</v>
      </c>
      <c r="N34" s="164" t="n">
        <v>0</v>
      </c>
      <c r="O34" s="164" t="n">
        <v>0</v>
      </c>
      <c r="P34" s="164"/>
      <c r="Q34" s="283" t="n">
        <f aca="false">1.4*1.02</f>
        <v>1.428</v>
      </c>
      <c r="R34" s="283" t="n">
        <f aca="false">2.11*1.04</f>
        <v>2.1944</v>
      </c>
      <c r="S34" s="329" t="n">
        <v>0</v>
      </c>
      <c r="T34" s="164" t="n">
        <v>25</v>
      </c>
      <c r="U34" s="164" t="n">
        <v>0</v>
      </c>
      <c r="V34" s="164" t="n">
        <f aca="false">M34-N34-O34-Q34-R34-S34+T34+U34</f>
        <v>26.0776</v>
      </c>
      <c r="W34" s="165"/>
      <c r="X34" s="165"/>
      <c r="Y34" s="164" t="n">
        <v>0</v>
      </c>
      <c r="Z34" s="267"/>
      <c r="AA34" s="269"/>
      <c r="AB34" s="164" t="n">
        <v>21</v>
      </c>
      <c r="AC34" s="165" t="n">
        <f aca="false">AC33-AB34</f>
        <v>3544</v>
      </c>
      <c r="AD34" s="8" t="n">
        <f aca="false">N34+O34+Q34+R34+S34+V34+Y34+AB34</f>
        <v>50.7</v>
      </c>
      <c r="AE34" s="164" t="n">
        <f aca="false">IF(L34&lt;0,L34*-1,0)</f>
        <v>2.55805394504663</v>
      </c>
      <c r="AF34" s="164" t="n">
        <f aca="false">AD34+AE34</f>
        <v>53.2580539450466</v>
      </c>
      <c r="AG34" s="237" t="n">
        <v>0</v>
      </c>
      <c r="AH34" s="171" t="n">
        <v>41</v>
      </c>
      <c r="AI34" s="331" t="n">
        <v>10</v>
      </c>
      <c r="AJ34" s="172" t="n">
        <f aca="false">AJ33+(V34*1.9835)</f>
        <v>7859.2530459</v>
      </c>
      <c r="AK34" s="172" t="n">
        <v>0</v>
      </c>
      <c r="AL34" s="304"/>
      <c r="AM34" s="317"/>
      <c r="AN34" s="305"/>
    </row>
    <row r="35" customFormat="false" ht="12.95" hidden="false" customHeight="true" outlineLevel="0" collapsed="false">
      <c r="A35" s="172" t="n">
        <f aca="false">A34+1</f>
        <v>24</v>
      </c>
      <c r="B35" s="311" t="n">
        <v>6902.54</v>
      </c>
      <c r="C35" s="165" t="n">
        <v>293046</v>
      </c>
      <c r="D35" s="171" t="n">
        <f aca="false">C35-C34</f>
        <v>-38</v>
      </c>
      <c r="E35" s="165" t="n">
        <f aca="false">C35-152000</f>
        <v>141046</v>
      </c>
      <c r="F35" s="328" t="n">
        <f aca="false">D35/$D$2</f>
        <v>-19.1580539450466</v>
      </c>
      <c r="G35" s="164" t="n">
        <v>34</v>
      </c>
      <c r="H35" s="170" t="n">
        <v>2</v>
      </c>
      <c r="I35" s="164" t="n">
        <f aca="false">G35+H35</f>
        <v>36</v>
      </c>
      <c r="J35" s="168" t="n">
        <f aca="false">IF(L35&gt;0,L35,0)</f>
        <v>0</v>
      </c>
      <c r="K35" s="164" t="n">
        <f aca="false">I35+J35</f>
        <v>36</v>
      </c>
      <c r="L35" s="164" t="n">
        <f aca="false">F35-(I35-AD35)</f>
        <v>-4.25805394504664</v>
      </c>
      <c r="M35" s="308" t="n">
        <v>4.9</v>
      </c>
      <c r="N35" s="164" t="n">
        <v>0</v>
      </c>
      <c r="O35" s="164" t="n">
        <v>0</v>
      </c>
      <c r="P35" s="164"/>
      <c r="Q35" s="283" t="n">
        <f aca="false">1.4*1.02</f>
        <v>1.428</v>
      </c>
      <c r="R35" s="283" t="n">
        <f aca="false">2.83*1.04</f>
        <v>2.9432</v>
      </c>
      <c r="S35" s="329" t="n">
        <v>0</v>
      </c>
      <c r="T35" s="164" t="n">
        <v>25</v>
      </c>
      <c r="U35" s="164" t="n">
        <v>0</v>
      </c>
      <c r="V35" s="164" t="n">
        <f aca="false">M35-N35-O35-Q35-R35-S35+T35+U35</f>
        <v>25.5288</v>
      </c>
      <c r="W35" s="165"/>
      <c r="X35" s="165"/>
      <c r="Y35" s="164" t="n">
        <v>0</v>
      </c>
      <c r="Z35" s="267"/>
      <c r="AA35" s="269"/>
      <c r="AB35" s="164" t="n">
        <v>21</v>
      </c>
      <c r="AC35" s="165" t="n">
        <f aca="false">AC34-AB35</f>
        <v>3523</v>
      </c>
      <c r="AD35" s="8" t="n">
        <f aca="false">N35+O35+Q35+R35+S35+V35+Y35+AB35</f>
        <v>50.9</v>
      </c>
      <c r="AE35" s="164" t="n">
        <f aca="false">IF(L35&lt;0,L35*-1,0)</f>
        <v>4.25805394504664</v>
      </c>
      <c r="AF35" s="164" t="n">
        <f aca="false">AD35+AE35</f>
        <v>55.1580539450466</v>
      </c>
      <c r="AG35" s="237" t="n">
        <v>0</v>
      </c>
      <c r="AH35" s="171" t="n">
        <v>48</v>
      </c>
      <c r="AI35" s="331" t="n">
        <v>18</v>
      </c>
      <c r="AJ35" s="172" t="n">
        <f aca="false">AJ34+(V35*1.9835)</f>
        <v>7909.8894207</v>
      </c>
      <c r="AK35" s="172" t="n">
        <v>0</v>
      </c>
      <c r="AL35" s="304"/>
      <c r="AM35" s="317"/>
      <c r="AN35" s="305"/>
    </row>
    <row r="36" customFormat="false" ht="12.95" hidden="false" customHeight="true" outlineLevel="0" collapsed="false">
      <c r="A36" s="172" t="n">
        <f aca="false">A35+1</f>
        <v>25</v>
      </c>
      <c r="B36" s="311" t="n">
        <v>6902.55</v>
      </c>
      <c r="C36" s="165" t="n">
        <v>293084</v>
      </c>
      <c r="D36" s="171" t="n">
        <f aca="false">C36-C35</f>
        <v>38</v>
      </c>
      <c r="E36" s="165" t="n">
        <f aca="false">C36-152000</f>
        <v>141084</v>
      </c>
      <c r="F36" s="328" t="n">
        <f aca="false">D36/$D$2</f>
        <v>19.1580539450466</v>
      </c>
      <c r="G36" s="164" t="n">
        <v>38</v>
      </c>
      <c r="H36" s="170" t="n">
        <v>1.8</v>
      </c>
      <c r="I36" s="164" t="n">
        <f aca="false">G36+H36</f>
        <v>39.8</v>
      </c>
      <c r="J36" s="168" t="n">
        <f aca="false">IF(L36&gt;0,L36,0)</f>
        <v>31.1580539450466</v>
      </c>
      <c r="K36" s="164" t="n">
        <f aca="false">I36+J36</f>
        <v>70.9580539450466</v>
      </c>
      <c r="L36" s="164" t="n">
        <f aca="false">F36-(I36-AD36)</f>
        <v>31.1580539450466</v>
      </c>
      <c r="M36" s="308" t="n">
        <v>4.8</v>
      </c>
      <c r="N36" s="164" t="n">
        <v>0</v>
      </c>
      <c r="O36" s="164" t="n">
        <v>0</v>
      </c>
      <c r="P36" s="164"/>
      <c r="Q36" s="283" t="n">
        <f aca="false">1.4*1.02</f>
        <v>1.428</v>
      </c>
      <c r="R36" s="283" t="n">
        <f aca="false">2.67*1.04</f>
        <v>2.7768</v>
      </c>
      <c r="S36" s="329" t="n">
        <v>0</v>
      </c>
      <c r="T36" s="164" t="n">
        <v>25</v>
      </c>
      <c r="U36" s="164" t="n">
        <v>0</v>
      </c>
      <c r="V36" s="164" t="n">
        <f aca="false">M36-N36-O36-Q36-R36-S36+T36+U36</f>
        <v>25.5952</v>
      </c>
      <c r="W36" s="165"/>
      <c r="X36" s="165"/>
      <c r="Y36" s="164" t="n">
        <v>0</v>
      </c>
      <c r="Z36" s="267"/>
      <c r="AA36" s="269"/>
      <c r="AB36" s="164" t="n">
        <v>22</v>
      </c>
      <c r="AC36" s="165" t="n">
        <f aca="false">AC35-AB36</f>
        <v>3501</v>
      </c>
      <c r="AD36" s="8" t="n">
        <f aca="false">N36+O36+Q36+R36+S36+V36+Y36+AB36</f>
        <v>51.8</v>
      </c>
      <c r="AE36" s="164" t="n">
        <f aca="false">IF(L36&lt;0,L36*-1,0)</f>
        <v>0</v>
      </c>
      <c r="AF36" s="164" t="n">
        <f aca="false">AD36+AE36</f>
        <v>51.8</v>
      </c>
      <c r="AG36" s="237" t="n">
        <v>0.38</v>
      </c>
      <c r="AH36" s="171" t="n">
        <v>46</v>
      </c>
      <c r="AI36" s="331" t="n">
        <v>26</v>
      </c>
      <c r="AJ36" s="172" t="n">
        <f aca="false">AJ35+(V36*1.9835)</f>
        <v>7960.6574999</v>
      </c>
      <c r="AK36" s="172" t="n">
        <v>0</v>
      </c>
      <c r="AL36" s="304"/>
      <c r="AM36" s="317"/>
      <c r="AN36" s="305"/>
    </row>
    <row r="37" customFormat="false" ht="12.95" hidden="false" customHeight="true" outlineLevel="0" collapsed="false">
      <c r="A37" s="172" t="n">
        <f aca="false">A36+1</f>
        <v>26</v>
      </c>
      <c r="B37" s="311" t="n">
        <v>6902.54</v>
      </c>
      <c r="C37" s="165" t="n">
        <v>293046</v>
      </c>
      <c r="D37" s="171" t="n">
        <f aca="false">C37-C36</f>
        <v>-38</v>
      </c>
      <c r="E37" s="165" t="n">
        <f aca="false">C37-152000</f>
        <v>141046</v>
      </c>
      <c r="F37" s="328" t="n">
        <f aca="false">D37/$D$2</f>
        <v>-19.1580539450466</v>
      </c>
      <c r="G37" s="164" t="n">
        <v>39</v>
      </c>
      <c r="H37" s="170" t="n">
        <v>1.6</v>
      </c>
      <c r="I37" s="164" t="n">
        <f aca="false">G37+H37</f>
        <v>40.6</v>
      </c>
      <c r="J37" s="168" t="n">
        <f aca="false">IF(L37&gt;0,L37,0)</f>
        <v>0</v>
      </c>
      <c r="K37" s="164" t="n">
        <f aca="false">I37+J37</f>
        <v>40.6</v>
      </c>
      <c r="L37" s="164" t="n">
        <f aca="false">F37-(I37-AD37)</f>
        <v>-8.15805394504664</v>
      </c>
      <c r="M37" s="308" t="n">
        <v>4.6</v>
      </c>
      <c r="N37" s="164" t="n">
        <v>0</v>
      </c>
      <c r="O37" s="164" t="n">
        <v>0</v>
      </c>
      <c r="P37" s="164"/>
      <c r="Q37" s="283" t="n">
        <f aca="false">1.4*1.02</f>
        <v>1.428</v>
      </c>
      <c r="R37" s="283" t="n">
        <f aca="false">2.35*1.04</f>
        <v>2.444</v>
      </c>
      <c r="S37" s="329" t="n">
        <v>0</v>
      </c>
      <c r="T37" s="164" t="n">
        <v>25</v>
      </c>
      <c r="U37" s="164" t="n">
        <v>0</v>
      </c>
      <c r="V37" s="164" t="n">
        <f aca="false">M37-N37-O37-Q37-R37-S37+T37+U37</f>
        <v>25.728</v>
      </c>
      <c r="W37" s="165"/>
      <c r="X37" s="165"/>
      <c r="Y37" s="164" t="n">
        <v>0</v>
      </c>
      <c r="Z37" s="267"/>
      <c r="AA37" s="269"/>
      <c r="AB37" s="164" t="n">
        <v>22</v>
      </c>
      <c r="AC37" s="165" t="n">
        <f aca="false">AC36-AB37</f>
        <v>3479</v>
      </c>
      <c r="AD37" s="8" t="n">
        <f aca="false">N37+O37+Q37+R37+S37+V37+Y37+AB37</f>
        <v>51.6</v>
      </c>
      <c r="AE37" s="164" t="n">
        <f aca="false">IF(L37&lt;0,L37*-1,0)</f>
        <v>8.15805394504664</v>
      </c>
      <c r="AF37" s="164" t="n">
        <f aca="false">AD37+AE37</f>
        <v>59.7580539450466</v>
      </c>
      <c r="AG37" s="237" t="n">
        <v>0.01</v>
      </c>
      <c r="AH37" s="171" t="n">
        <v>41</v>
      </c>
      <c r="AI37" s="310" t="n">
        <v>21</v>
      </c>
      <c r="AJ37" s="172" t="n">
        <f aca="false">AJ36+(V37*1.9835)</f>
        <v>8011.6889879</v>
      </c>
      <c r="AK37" s="172" t="n">
        <v>0</v>
      </c>
      <c r="AL37" s="304"/>
      <c r="AM37" s="317"/>
      <c r="AN37" s="305"/>
    </row>
    <row r="38" customFormat="false" ht="12.95" hidden="false" customHeight="true" outlineLevel="0" collapsed="false">
      <c r="A38" s="172" t="n">
        <f aca="false">A37+1</f>
        <v>27</v>
      </c>
      <c r="B38" s="311" t="n">
        <v>6902.53</v>
      </c>
      <c r="C38" s="165" t="n">
        <v>293009</v>
      </c>
      <c r="D38" s="171" t="n">
        <f aca="false">C38-C37</f>
        <v>-37</v>
      </c>
      <c r="E38" s="165" t="n">
        <f aca="false">C38-152000</f>
        <v>141009</v>
      </c>
      <c r="F38" s="328" t="n">
        <f aca="false">D38/$D$2</f>
        <v>-18.6538946307033</v>
      </c>
      <c r="G38" s="164" t="n">
        <v>37</v>
      </c>
      <c r="H38" s="170" t="n">
        <v>1.7</v>
      </c>
      <c r="I38" s="164" t="n">
        <f aca="false">G38+H38</f>
        <v>38.7</v>
      </c>
      <c r="J38" s="168" t="n">
        <f aca="false">IF(L38&gt;0,L38,0)</f>
        <v>0</v>
      </c>
      <c r="K38" s="164" t="n">
        <f aca="false">I38+J38</f>
        <v>38.7</v>
      </c>
      <c r="L38" s="164" t="n">
        <f aca="false">F38-(I38-AD38)</f>
        <v>-6.05389463070331</v>
      </c>
      <c r="M38" s="308" t="n">
        <v>4.3</v>
      </c>
      <c r="N38" s="164" t="n">
        <v>0</v>
      </c>
      <c r="O38" s="164" t="n">
        <v>0</v>
      </c>
      <c r="P38" s="164"/>
      <c r="Q38" s="283" t="n">
        <f aca="false">1.4*1.02</f>
        <v>1.428</v>
      </c>
      <c r="R38" s="283" t="n">
        <f aca="false">3.07*1.04</f>
        <v>3.1928</v>
      </c>
      <c r="S38" s="329" t="n">
        <v>0</v>
      </c>
      <c r="T38" s="164" t="n">
        <v>25</v>
      </c>
      <c r="U38" s="164" t="n">
        <v>0</v>
      </c>
      <c r="V38" s="164" t="n">
        <f aca="false">M38-N38-O38-Q38-R38-S38+T38+U38</f>
        <v>24.6792</v>
      </c>
      <c r="W38" s="165"/>
      <c r="X38" s="165"/>
      <c r="Y38" s="164" t="n">
        <v>0</v>
      </c>
      <c r="Z38" s="267"/>
      <c r="AA38" s="269"/>
      <c r="AB38" s="164" t="n">
        <v>22</v>
      </c>
      <c r="AC38" s="165" t="n">
        <f aca="false">AC37-AB38</f>
        <v>3457</v>
      </c>
      <c r="AD38" s="8" t="n">
        <f aca="false">N38+O38+Q38+R38+S38+V38+Y38+AB38</f>
        <v>51.3</v>
      </c>
      <c r="AE38" s="164" t="n">
        <f aca="false">IF(L38&lt;0,L38*-1,0)</f>
        <v>6.05389463070331</v>
      </c>
      <c r="AF38" s="164" t="n">
        <f aca="false">AD38+AE38</f>
        <v>57.3538946307033</v>
      </c>
      <c r="AG38" s="237" t="n">
        <v>0</v>
      </c>
      <c r="AH38" s="171" t="n">
        <v>39</v>
      </c>
      <c r="AI38" s="310" t="n">
        <v>18</v>
      </c>
      <c r="AJ38" s="172" t="n">
        <f aca="false">AJ37+(V38*1.9835)</f>
        <v>8060.6401811</v>
      </c>
      <c r="AK38" s="172" t="n">
        <v>0</v>
      </c>
      <c r="AL38" s="304"/>
      <c r="AM38" s="317"/>
      <c r="AN38" s="305"/>
    </row>
    <row r="39" customFormat="false" ht="12.95" hidden="false" customHeight="true" outlineLevel="0" collapsed="false">
      <c r="A39" s="172" t="n">
        <f aca="false">A38+1</f>
        <v>28</v>
      </c>
      <c r="B39" s="311" t="n">
        <v>6902.52</v>
      </c>
      <c r="C39" s="165" t="n">
        <v>292971</v>
      </c>
      <c r="D39" s="171" t="n">
        <f aca="false">C39-C38</f>
        <v>-38</v>
      </c>
      <c r="E39" s="165" t="n">
        <f aca="false">C39-152000</f>
        <v>140971</v>
      </c>
      <c r="F39" s="328" t="n">
        <f aca="false">D39/$D$2</f>
        <v>-19.1580539450466</v>
      </c>
      <c r="G39" s="164" t="n">
        <v>37</v>
      </c>
      <c r="H39" s="170" t="n">
        <v>1.7</v>
      </c>
      <c r="I39" s="164" t="n">
        <f aca="false">G39+H39</f>
        <v>38.7</v>
      </c>
      <c r="J39" s="168" t="n">
        <f aca="false">IF(L39&gt;0,L39,0)</f>
        <v>0</v>
      </c>
      <c r="K39" s="164" t="n">
        <f aca="false">I39+J39</f>
        <v>38.7</v>
      </c>
      <c r="L39" s="164" t="n">
        <f aca="false">F39-(I39-AD39)</f>
        <v>-6.35805394504664</v>
      </c>
      <c r="M39" s="308" t="n">
        <v>4.5</v>
      </c>
      <c r="N39" s="164" t="n">
        <v>0</v>
      </c>
      <c r="O39" s="164" t="n">
        <v>0</v>
      </c>
      <c r="P39" s="164"/>
      <c r="Q39" s="283" t="n">
        <f aca="false">1.4*1.02</f>
        <v>1.428</v>
      </c>
      <c r="R39" s="283" t="n">
        <f aca="false">2.48*1.04</f>
        <v>2.5792</v>
      </c>
      <c r="S39" s="329" t="n">
        <v>0</v>
      </c>
      <c r="T39" s="164" t="n">
        <v>25</v>
      </c>
      <c r="U39" s="164" t="n">
        <v>0</v>
      </c>
      <c r="V39" s="164" t="n">
        <f aca="false">M39-N39-O39-Q39-R39-S39+T39+U39</f>
        <v>25.4928</v>
      </c>
      <c r="W39" s="165"/>
      <c r="X39" s="165"/>
      <c r="Y39" s="164" t="n">
        <v>0</v>
      </c>
      <c r="Z39" s="267"/>
      <c r="AA39" s="269"/>
      <c r="AB39" s="164" t="n">
        <v>22</v>
      </c>
      <c r="AC39" s="165" t="n">
        <f aca="false">AC38-AB39</f>
        <v>3435</v>
      </c>
      <c r="AD39" s="8" t="n">
        <f aca="false">N39+O39+Q39+R39+S39+V39+Y39+AB39</f>
        <v>51.5</v>
      </c>
      <c r="AE39" s="164" t="n">
        <f aca="false">IF(L39&lt;0,L39*-1,0)</f>
        <v>6.35805394504664</v>
      </c>
      <c r="AF39" s="164" t="n">
        <f aca="false">AD39+AE39</f>
        <v>57.8580539450466</v>
      </c>
      <c r="AG39" s="237" t="n">
        <v>0</v>
      </c>
      <c r="AH39" s="171" t="n">
        <v>36</v>
      </c>
      <c r="AI39" s="310" t="n">
        <v>11</v>
      </c>
      <c r="AJ39" s="172" t="n">
        <f aca="false">AJ38+(V39*1.9835)</f>
        <v>8111.2051499</v>
      </c>
      <c r="AK39" s="172" t="n">
        <v>0</v>
      </c>
      <c r="AL39" s="304"/>
      <c r="AM39" s="317"/>
      <c r="AN39" s="305"/>
    </row>
    <row r="40" customFormat="false" ht="12.95" hidden="false" customHeight="true" outlineLevel="0" collapsed="false">
      <c r="A40" s="172" t="n">
        <f aca="false">A39+1</f>
        <v>29</v>
      </c>
      <c r="B40" s="311" t="n">
        <v>6902.51</v>
      </c>
      <c r="C40" s="165" t="n">
        <v>292934</v>
      </c>
      <c r="D40" s="171" t="n">
        <f aca="false">C40-C39</f>
        <v>-37</v>
      </c>
      <c r="E40" s="165" t="n">
        <f aca="false">C40-152000</f>
        <v>140934</v>
      </c>
      <c r="F40" s="328" t="n">
        <f aca="false">D40/$D$2</f>
        <v>-18.6538946307033</v>
      </c>
      <c r="G40" s="164" t="n">
        <v>39</v>
      </c>
      <c r="H40" s="170" t="n">
        <v>1.7</v>
      </c>
      <c r="I40" s="164" t="n">
        <f aca="false">G40+H40</f>
        <v>40.7</v>
      </c>
      <c r="J40" s="168" t="n">
        <f aca="false">IF(L40&gt;0,L40,0)</f>
        <v>0</v>
      </c>
      <c r="K40" s="164" t="n">
        <f aca="false">I40+J40</f>
        <v>40.7</v>
      </c>
      <c r="L40" s="164" t="n">
        <f aca="false">F40-(I40-AD40)</f>
        <v>-7.75389463070331</v>
      </c>
      <c r="M40" s="308" t="n">
        <v>4.6</v>
      </c>
      <c r="N40" s="164" t="n">
        <v>0</v>
      </c>
      <c r="O40" s="164" t="n">
        <v>0</v>
      </c>
      <c r="P40" s="164"/>
      <c r="Q40" s="283" t="n">
        <f aca="false">1.4*1.02</f>
        <v>1.428</v>
      </c>
      <c r="R40" s="283" t="n">
        <f aca="false">2.85*1.04</f>
        <v>2.964</v>
      </c>
      <c r="S40" s="329" t="n">
        <v>0</v>
      </c>
      <c r="T40" s="164" t="n">
        <v>25</v>
      </c>
      <c r="U40" s="164" t="n">
        <v>0</v>
      </c>
      <c r="V40" s="164" t="n">
        <f aca="false">M40-N40-O40-Q40-R40-S40+T40+U40</f>
        <v>25.208</v>
      </c>
      <c r="W40" s="165"/>
      <c r="X40" s="165"/>
      <c r="Y40" s="164" t="n">
        <v>0</v>
      </c>
      <c r="Z40" s="267"/>
      <c r="AA40" s="269"/>
      <c r="AB40" s="164" t="n">
        <v>22</v>
      </c>
      <c r="AC40" s="165" t="n">
        <f aca="false">AC39-AB40</f>
        <v>3413</v>
      </c>
      <c r="AD40" s="8" t="n">
        <f aca="false">N40+O40+Q40+R40+S40+V40+Y40+AB40</f>
        <v>51.6</v>
      </c>
      <c r="AE40" s="164" t="n">
        <f aca="false">IF(L40&lt;0,L40*-1,0)</f>
        <v>7.75389463070331</v>
      </c>
      <c r="AF40" s="164" t="n">
        <f aca="false">AD40+AE40</f>
        <v>59.3538946307033</v>
      </c>
      <c r="AG40" s="237" t="n">
        <v>0</v>
      </c>
      <c r="AH40" s="284" t="n">
        <v>40</v>
      </c>
      <c r="AI40" s="310" t="n">
        <v>22</v>
      </c>
      <c r="AJ40" s="172" t="n">
        <f aca="false">AJ39+(V40*1.9835)</f>
        <v>8161.2052179</v>
      </c>
      <c r="AK40" s="172" t="n">
        <v>0</v>
      </c>
      <c r="AL40" s="304"/>
      <c r="AM40" s="317"/>
      <c r="AN40" s="305"/>
    </row>
    <row r="41" customFormat="false" ht="12.95" hidden="false" customHeight="true" outlineLevel="0" collapsed="false">
      <c r="A41" s="172" t="n">
        <v>30</v>
      </c>
      <c r="B41" s="311" t="n">
        <v>6902.5</v>
      </c>
      <c r="C41" s="165" t="n">
        <v>292896</v>
      </c>
      <c r="D41" s="171" t="n">
        <f aca="false">C41-C40</f>
        <v>-38</v>
      </c>
      <c r="E41" s="165" t="n">
        <f aca="false">C41-152000</f>
        <v>140896</v>
      </c>
      <c r="F41" s="328" t="n">
        <f aca="false">D41/$D$2</f>
        <v>-19.1580539450466</v>
      </c>
      <c r="G41" s="164" t="n">
        <v>38</v>
      </c>
      <c r="H41" s="170" t="n">
        <v>1.8</v>
      </c>
      <c r="I41" s="164" t="n">
        <f aca="false">G41+H41</f>
        <v>39.8</v>
      </c>
      <c r="J41" s="168" t="n">
        <f aca="false">IF(L41&gt;0,L41,0)</f>
        <v>0</v>
      </c>
      <c r="K41" s="164" t="n">
        <f aca="false">I41+J41</f>
        <v>39.8</v>
      </c>
      <c r="L41" s="164" t="n">
        <f aca="false">F41-(I41-AD41)</f>
        <v>-7.65805394504664</v>
      </c>
      <c r="M41" s="308" t="n">
        <v>4.3</v>
      </c>
      <c r="N41" s="164" t="n">
        <v>0</v>
      </c>
      <c r="O41" s="164" t="n">
        <v>0</v>
      </c>
      <c r="P41" s="164"/>
      <c r="Q41" s="283" t="n">
        <f aca="false">1.4*1.02</f>
        <v>1.428</v>
      </c>
      <c r="R41" s="283" t="n">
        <f aca="false">3.19*1.04</f>
        <v>3.3176</v>
      </c>
      <c r="S41" s="329" t="n">
        <v>0</v>
      </c>
      <c r="T41" s="164" t="n">
        <v>25</v>
      </c>
      <c r="U41" s="164" t="n">
        <v>0</v>
      </c>
      <c r="V41" s="164" t="n">
        <f aca="false">M41-N41-O41-Q41-R41-S41+T41+U41</f>
        <v>24.5544</v>
      </c>
      <c r="W41" s="165"/>
      <c r="X41" s="165"/>
      <c r="Y41" s="164" t="n">
        <v>0</v>
      </c>
      <c r="Z41" s="267"/>
      <c r="AA41" s="269"/>
      <c r="AB41" s="164" t="n">
        <v>22</v>
      </c>
      <c r="AC41" s="165" t="n">
        <f aca="false">AC40-AB41</f>
        <v>3391</v>
      </c>
      <c r="AD41" s="8" t="n">
        <f aca="false">N41+O41+Q41+R41+S41+V41+Y41+AB41</f>
        <v>51.3</v>
      </c>
      <c r="AE41" s="164" t="n">
        <f aca="false">IF(L41&lt;0,L41*-1,0)</f>
        <v>7.65805394504664</v>
      </c>
      <c r="AF41" s="164" t="n">
        <f aca="false">AD41+AE41</f>
        <v>58.9580539450466</v>
      </c>
      <c r="AG41" s="237" t="n">
        <v>0</v>
      </c>
      <c r="AH41" s="284" t="n">
        <v>46</v>
      </c>
      <c r="AI41" s="310" t="n">
        <v>21</v>
      </c>
      <c r="AJ41" s="172" t="n">
        <f aca="false">AJ40+(V41*1.9835)</f>
        <v>8209.9088703</v>
      </c>
      <c r="AK41" s="172" t="n">
        <v>0</v>
      </c>
      <c r="AL41" s="304"/>
      <c r="AM41" s="317"/>
      <c r="AN41" s="305"/>
    </row>
    <row r="42" customFormat="false" ht="12.95" hidden="false" customHeight="true" outlineLevel="0" collapsed="false">
      <c r="A42" s="172" t="n">
        <v>31</v>
      </c>
      <c r="B42" s="311" t="n">
        <v>6902.49</v>
      </c>
      <c r="C42" s="165" t="n">
        <v>292858</v>
      </c>
      <c r="D42" s="171" t="n">
        <f aca="false">C42-C41</f>
        <v>-38</v>
      </c>
      <c r="E42" s="165" t="n">
        <f aca="false">C42-152000</f>
        <v>140858</v>
      </c>
      <c r="F42" s="328" t="n">
        <f aca="false">D42/$D$2</f>
        <v>-19.1580539450466</v>
      </c>
      <c r="G42" s="164" t="n">
        <v>37</v>
      </c>
      <c r="H42" s="170" t="n">
        <v>1.8</v>
      </c>
      <c r="I42" s="164" t="n">
        <f aca="false">G42+H42</f>
        <v>38.8</v>
      </c>
      <c r="J42" s="168" t="n">
        <f aca="false">IF(L42&gt;0,L42,0)</f>
        <v>0</v>
      </c>
      <c r="K42" s="164" t="n">
        <f aca="false">I42+J42</f>
        <v>38.8</v>
      </c>
      <c r="L42" s="164" t="n">
        <f aca="false">F42-(I42-AD42)</f>
        <v>-6.65805394504664</v>
      </c>
      <c r="M42" s="308" t="n">
        <v>4.3</v>
      </c>
      <c r="N42" s="164" t="n">
        <v>0</v>
      </c>
      <c r="O42" s="164" t="n">
        <v>0</v>
      </c>
      <c r="P42" s="164"/>
      <c r="Q42" s="283" t="n">
        <f aca="false">1.4*1.02</f>
        <v>1.428</v>
      </c>
      <c r="R42" s="283" t="n">
        <f aca="false">2.96*1.04</f>
        <v>3.0784</v>
      </c>
      <c r="S42" s="329" t="n">
        <v>0</v>
      </c>
      <c r="T42" s="164" t="n">
        <v>25</v>
      </c>
      <c r="U42" s="164" t="n">
        <v>0</v>
      </c>
      <c r="V42" s="164" t="n">
        <f aca="false">M42-N42-O42-Q42-R42-S42+T42+U42</f>
        <v>24.7936</v>
      </c>
      <c r="W42" s="165"/>
      <c r="X42" s="165"/>
      <c r="Y42" s="164" t="n">
        <v>0</v>
      </c>
      <c r="Z42" s="267"/>
      <c r="AA42" s="269"/>
      <c r="AB42" s="164" t="n">
        <v>22</v>
      </c>
      <c r="AC42" s="165" t="n">
        <f aca="false">AC41-AB42</f>
        <v>3369</v>
      </c>
      <c r="AD42" s="8" t="n">
        <f aca="false">N42+O42+Q42+R42+S42+V42+Y42+AB42</f>
        <v>51.3</v>
      </c>
      <c r="AE42" s="164" t="n">
        <f aca="false">IF(L42&lt;0,L42*-1,0)</f>
        <v>6.65805394504664</v>
      </c>
      <c r="AF42" s="164" t="n">
        <f aca="false">AD42+AE42</f>
        <v>57.9580539450466</v>
      </c>
      <c r="AG42" s="237" t="n">
        <v>0</v>
      </c>
      <c r="AH42" s="284" t="n">
        <v>47</v>
      </c>
      <c r="AI42" s="310" t="n">
        <v>21</v>
      </c>
      <c r="AJ42" s="172" t="n">
        <f aca="false">AJ41+(V42*1.9835)</f>
        <v>8259.0869759</v>
      </c>
      <c r="AK42" s="172" t="n">
        <v>0</v>
      </c>
      <c r="AL42" s="304"/>
      <c r="AM42" s="316"/>
      <c r="AN42" s="305"/>
    </row>
    <row r="43" customFormat="false" ht="3" hidden="false" customHeight="true" outlineLevel="0" collapsed="false">
      <c r="A43" s="252"/>
      <c r="B43" s="319"/>
      <c r="C43" s="319"/>
      <c r="D43" s="252"/>
      <c r="E43" s="319"/>
      <c r="F43" s="320"/>
      <c r="G43" s="319"/>
      <c r="H43" s="321"/>
      <c r="I43" s="252"/>
      <c r="J43" s="252"/>
      <c r="K43" s="252"/>
      <c r="L43" s="252"/>
      <c r="M43" s="319"/>
      <c r="N43" s="319"/>
      <c r="O43" s="252"/>
      <c r="P43" s="252"/>
      <c r="Q43" s="252"/>
      <c r="R43" s="252"/>
      <c r="S43" s="323"/>
      <c r="T43" s="252"/>
      <c r="U43" s="252"/>
      <c r="V43" s="252"/>
      <c r="W43" s="319"/>
      <c r="X43" s="319"/>
      <c r="Y43" s="252"/>
      <c r="Z43" s="258"/>
      <c r="AA43" s="259"/>
      <c r="AB43" s="259"/>
      <c r="AC43" s="252"/>
      <c r="AD43" s="252"/>
      <c r="AE43" s="252"/>
      <c r="AF43" s="252"/>
      <c r="AG43" s="324"/>
      <c r="AH43" s="325"/>
      <c r="AI43" s="326"/>
      <c r="AJ43" s="327"/>
      <c r="AK43" s="327"/>
      <c r="AL43" s="327"/>
      <c r="AM43" s="327"/>
      <c r="AN43" s="327"/>
      <c r="AO43" s="327"/>
    </row>
    <row r="44" customFormat="false" ht="12.95" hidden="false" customHeight="true" outlineLevel="0" collapsed="false">
      <c r="A44" s="173" t="s">
        <v>76</v>
      </c>
      <c r="B44" s="306"/>
      <c r="C44" s="165"/>
      <c r="D44" s="165"/>
      <c r="E44" s="165"/>
      <c r="F44" s="307" t="n">
        <f aca="false">SUM(F12:F42)</f>
        <v>-284.850012603983</v>
      </c>
      <c r="G44" s="165" t="n">
        <f aca="false">SUM(G12:G42)</f>
        <v>1103</v>
      </c>
      <c r="H44" s="312" t="n">
        <f aca="false">SUM(H12:H42)</f>
        <v>54.6</v>
      </c>
      <c r="I44" s="165" t="n">
        <f aca="false">SUM(I12:I42)</f>
        <v>1157.6</v>
      </c>
      <c r="J44" s="165" t="n">
        <f aca="false">SUM(J12:J42)</f>
        <v>240.716107890093</v>
      </c>
      <c r="K44" s="165" t="n">
        <f aca="false">SUM(K12:K42)</f>
        <v>1398.31610789009</v>
      </c>
      <c r="L44" s="165" t="n">
        <f aca="false">SUM(L12:L42)</f>
        <v>153.149987396017</v>
      </c>
      <c r="M44" s="313" t="n">
        <f aca="false">SUM(M12:M42)</f>
        <v>143.6</v>
      </c>
      <c r="N44" s="165" t="n">
        <f aca="false">SUM(N12:N42)</f>
        <v>0</v>
      </c>
      <c r="O44" s="165" t="n">
        <f aca="false">SUM(O12:O42)</f>
        <v>0</v>
      </c>
      <c r="P44" s="165"/>
      <c r="Q44" s="165" t="n">
        <f aca="false">SUM(Q12:Q42)</f>
        <v>44.268</v>
      </c>
      <c r="R44" s="165" t="n">
        <f aca="false">SUM(R12:R42)</f>
        <v>79.8824</v>
      </c>
      <c r="S44" s="309" t="n">
        <f aca="false">SUM(S12:S42)</f>
        <v>0</v>
      </c>
      <c r="T44" s="165" t="n">
        <f aca="false">SUM(T12:T42)</f>
        <v>775</v>
      </c>
      <c r="U44" s="165" t="n">
        <f aca="false">SUM(U12:U42)</f>
        <v>0</v>
      </c>
      <c r="V44" s="165" t="n">
        <f aca="false">SUM(V12:V42)</f>
        <v>794.4496</v>
      </c>
      <c r="W44" s="165"/>
      <c r="X44" s="165"/>
      <c r="Y44" s="165"/>
      <c r="Z44" s="244"/>
      <c r="AA44" s="245"/>
      <c r="AB44" s="165" t="n">
        <f aca="false">SUM(AB12:AB42)</f>
        <v>677</v>
      </c>
      <c r="AC44" s="165"/>
      <c r="AD44" s="165" t="n">
        <f aca="false">SUM(AD12:AD42)</f>
        <v>1595.6</v>
      </c>
      <c r="AE44" s="165" t="n">
        <f aca="false">SUM(AE12:AE42)</f>
        <v>87.5661204940762</v>
      </c>
      <c r="AF44" s="165" t="n">
        <f aca="false">SUM(AF12:AF42)</f>
        <v>1683.16612049408</v>
      </c>
      <c r="AG44" s="237" t="n">
        <f aca="false">SUM(AG12:AG42)</f>
        <v>0.59</v>
      </c>
      <c r="AH44" s="171" t="n">
        <f aca="false">AVERAGE(AH12:AH42)</f>
        <v>43.5806451612903</v>
      </c>
      <c r="AI44" s="310" t="n">
        <f aca="false">AVERAGE(AI12:AI42)</f>
        <v>19.9677419354839</v>
      </c>
      <c r="AJ44" s="172" t="s">
        <v>97</v>
      </c>
      <c r="AK44" s="228" t="n">
        <f aca="false">SUM(AK12:AK42)</f>
        <v>0</v>
      </c>
      <c r="AL44" s="304"/>
      <c r="AM44" s="316"/>
      <c r="AN44" s="305"/>
    </row>
    <row r="45" customFormat="false" ht="12.95" hidden="false" customHeight="true" outlineLevel="0" collapsed="false">
      <c r="A45" s="173" t="s">
        <v>78</v>
      </c>
      <c r="B45" s="306"/>
      <c r="C45" s="165"/>
      <c r="D45" s="165" t="n">
        <f aca="false">SUM(D12:D42)</f>
        <v>-565</v>
      </c>
      <c r="E45" s="165"/>
      <c r="F45" s="307" t="n">
        <f aca="false">F44*$D$2</f>
        <v>-565</v>
      </c>
      <c r="G45" s="165" t="n">
        <f aca="false">G44*$D$2</f>
        <v>2187.8005</v>
      </c>
      <c r="H45" s="312" t="n">
        <f aca="false">H44*$D$2</f>
        <v>108.2991</v>
      </c>
      <c r="I45" s="165" t="n">
        <f aca="false">I44*$D$2</f>
        <v>2296.0996</v>
      </c>
      <c r="J45" s="165" t="n">
        <f aca="false">J44*$D$2</f>
        <v>477.4604</v>
      </c>
      <c r="K45" s="165" t="n">
        <f aca="false">K44*$D$2</f>
        <v>2773.56</v>
      </c>
      <c r="L45" s="165" t="n">
        <f aca="false">L44*$D$2</f>
        <v>303.773</v>
      </c>
      <c r="M45" s="313" t="n">
        <f aca="false">M44*$D$2</f>
        <v>284.8306</v>
      </c>
      <c r="N45" s="165" t="n">
        <f aca="false">N44*$D$2</f>
        <v>0</v>
      </c>
      <c r="O45" s="165" t="n">
        <f aca="false">O44*$D$2</f>
        <v>0</v>
      </c>
      <c r="P45" s="165"/>
      <c r="Q45" s="165" t="n">
        <f aca="false">Q44*$D$2</f>
        <v>87.805578</v>
      </c>
      <c r="R45" s="165" t="n">
        <f aca="false">R44*$D$2</f>
        <v>158.4467404</v>
      </c>
      <c r="S45" s="309" t="n">
        <f aca="false">S44*$D$2</f>
        <v>0</v>
      </c>
      <c r="T45" s="165" t="n">
        <f aca="false">T44*$D$2</f>
        <v>1537.2125</v>
      </c>
      <c r="U45" s="165" t="n">
        <f aca="false">U44*$D$2</f>
        <v>0</v>
      </c>
      <c r="V45" s="165" t="n">
        <f aca="false">V44*$D$2</f>
        <v>1575.7907816</v>
      </c>
      <c r="W45" s="165"/>
      <c r="X45" s="165"/>
      <c r="Y45" s="165"/>
      <c r="Z45" s="244"/>
      <c r="AA45" s="245"/>
      <c r="AB45" s="165" t="n">
        <f aca="false">AB44*$D$2</f>
        <v>1342.8295</v>
      </c>
      <c r="AC45" s="165"/>
      <c r="AD45" s="165" t="n">
        <f aca="false">AD44*$D$2</f>
        <v>3164.8726</v>
      </c>
      <c r="AE45" s="165" t="n">
        <f aca="false">AE44*$D$2</f>
        <v>173.6874</v>
      </c>
      <c r="AF45" s="165" t="n">
        <f aca="false">AF44*$D$2</f>
        <v>3338.56</v>
      </c>
      <c r="AG45" s="237"/>
      <c r="AH45" s="171" t="n">
        <f aca="false">MAX(AH12:AH42)</f>
        <v>54</v>
      </c>
      <c r="AI45" s="310" t="n">
        <f aca="false">MAX(AI12:AI42)</f>
        <v>31</v>
      </c>
      <c r="AJ45" s="172" t="s">
        <v>79</v>
      </c>
      <c r="AK45" s="228" t="n">
        <f aca="false">AK44*$D$2</f>
        <v>0</v>
      </c>
      <c r="AL45" s="304"/>
      <c r="AM45" s="316"/>
      <c r="AN45" s="305"/>
    </row>
    <row r="46" customFormat="false" ht="3" hidden="false" customHeight="true" outlineLevel="0" collapsed="false">
      <c r="A46" s="274"/>
      <c r="B46" s="332"/>
      <c r="C46" s="319"/>
      <c r="D46" s="319"/>
      <c r="E46" s="319"/>
      <c r="F46" s="333"/>
      <c r="G46" s="319"/>
      <c r="H46" s="334"/>
      <c r="I46" s="319"/>
      <c r="J46" s="319"/>
      <c r="K46" s="319"/>
      <c r="L46" s="319"/>
      <c r="M46" s="335"/>
      <c r="N46" s="319"/>
      <c r="O46" s="319"/>
      <c r="P46" s="319"/>
      <c r="Q46" s="319"/>
      <c r="R46" s="319"/>
      <c r="S46" s="336"/>
      <c r="T46" s="319"/>
      <c r="U46" s="319"/>
      <c r="V46" s="319"/>
      <c r="W46" s="319"/>
      <c r="X46" s="319"/>
      <c r="Y46" s="319"/>
      <c r="Z46" s="276"/>
      <c r="AA46" s="277"/>
      <c r="AB46" s="319"/>
      <c r="AC46" s="252"/>
      <c r="AD46" s="319"/>
      <c r="AE46" s="319"/>
      <c r="AF46" s="319"/>
      <c r="AG46" s="337"/>
      <c r="AH46" s="319"/>
      <c r="AI46" s="333"/>
      <c r="AJ46" s="319"/>
      <c r="AK46" s="338"/>
      <c r="AL46" s="319"/>
      <c r="AM46" s="338"/>
      <c r="AN46" s="327"/>
      <c r="AO46" s="327"/>
    </row>
    <row r="47" customFormat="false" ht="12.95" hidden="false" customHeight="true" outlineLevel="0" collapsed="false">
      <c r="A47" s="173" t="s">
        <v>80</v>
      </c>
      <c r="B47" s="306"/>
      <c r="C47" s="165"/>
      <c r="D47" s="165"/>
      <c r="E47" s="165"/>
      <c r="F47" s="307"/>
      <c r="G47" s="165"/>
      <c r="H47" s="312"/>
      <c r="I47" s="165"/>
      <c r="J47" s="165"/>
      <c r="K47" s="165"/>
      <c r="L47" s="165"/>
      <c r="M47" s="313"/>
      <c r="N47" s="165"/>
      <c r="O47" s="165"/>
      <c r="P47" s="165"/>
      <c r="Q47" s="165"/>
      <c r="R47" s="165"/>
      <c r="S47" s="309"/>
      <c r="T47" s="165"/>
      <c r="U47" s="165"/>
      <c r="V47" s="165"/>
      <c r="W47" s="165"/>
      <c r="X47" s="165"/>
      <c r="Y47" s="165"/>
      <c r="Z47" s="244"/>
      <c r="AA47" s="245"/>
      <c r="AB47" s="165"/>
      <c r="AC47" s="165"/>
      <c r="AD47" s="165"/>
      <c r="AE47" s="165"/>
      <c r="AF47" s="165"/>
      <c r="AG47" s="237"/>
      <c r="AH47" s="171" t="n">
        <f aca="false">MIN(AH12:AH42)</f>
        <v>32</v>
      </c>
      <c r="AI47" s="310" t="n">
        <f aca="false">MIN(AI12:AI42)</f>
        <v>7</v>
      </c>
      <c r="AJ47" s="172" t="s">
        <v>81</v>
      </c>
      <c r="AK47" s="172"/>
      <c r="AL47" s="304"/>
      <c r="AM47" s="316"/>
      <c r="AN47" s="305"/>
    </row>
    <row r="48" customFormat="false" ht="12.95" hidden="false" customHeight="true" outlineLevel="0" collapsed="false">
      <c r="A48" s="173" t="s">
        <v>82</v>
      </c>
      <c r="B48" s="306"/>
      <c r="C48" s="165"/>
      <c r="D48" s="165"/>
      <c r="E48" s="165"/>
      <c r="F48" s="307"/>
      <c r="G48" s="165"/>
      <c r="H48" s="312"/>
      <c r="I48" s="165"/>
      <c r="J48" s="165"/>
      <c r="K48" s="165"/>
      <c r="L48" s="165"/>
      <c r="M48" s="313"/>
      <c r="N48" s="165"/>
      <c r="O48" s="165"/>
      <c r="P48" s="165"/>
      <c r="Q48" s="165"/>
      <c r="R48" s="165"/>
      <c r="S48" s="309"/>
      <c r="T48" s="165"/>
      <c r="U48" s="165"/>
      <c r="V48" s="165"/>
      <c r="W48" s="165"/>
      <c r="X48" s="165"/>
      <c r="Y48" s="165"/>
      <c r="Z48" s="244"/>
      <c r="AA48" s="245"/>
      <c r="AB48" s="165"/>
      <c r="AC48" s="165"/>
      <c r="AD48" s="165"/>
      <c r="AE48" s="165"/>
      <c r="AF48" s="165"/>
      <c r="AG48" s="237"/>
      <c r="AH48" s="171"/>
      <c r="AI48" s="310"/>
      <c r="AJ48" s="172"/>
      <c r="AK48" s="172"/>
      <c r="AL48" s="304"/>
      <c r="AM48" s="316"/>
      <c r="AN48" s="305"/>
    </row>
    <row r="49" customFormat="false" ht="3" hidden="false" customHeight="true" outlineLevel="0" collapsed="false">
      <c r="A49" s="274"/>
      <c r="B49" s="332"/>
      <c r="C49" s="319"/>
      <c r="D49" s="319"/>
      <c r="E49" s="319"/>
      <c r="F49" s="333"/>
      <c r="G49" s="319"/>
      <c r="H49" s="334"/>
      <c r="I49" s="319"/>
      <c r="J49" s="319"/>
      <c r="K49" s="319"/>
      <c r="L49" s="319"/>
      <c r="M49" s="335"/>
      <c r="N49" s="319"/>
      <c r="O49" s="319"/>
      <c r="P49" s="319"/>
      <c r="Q49" s="319"/>
      <c r="R49" s="319"/>
      <c r="S49" s="336"/>
      <c r="T49" s="319"/>
      <c r="U49" s="319"/>
      <c r="V49" s="319"/>
      <c r="W49" s="319"/>
      <c r="X49" s="319"/>
      <c r="Y49" s="319"/>
      <c r="Z49" s="276"/>
      <c r="AA49" s="277"/>
      <c r="AB49" s="319"/>
      <c r="AC49" s="319"/>
      <c r="AD49" s="319"/>
      <c r="AE49" s="319"/>
      <c r="AF49" s="319"/>
      <c r="AG49" s="324"/>
      <c r="AH49" s="321"/>
      <c r="AI49" s="339"/>
      <c r="AJ49" s="321"/>
      <c r="AK49" s="340"/>
      <c r="AL49" s="321"/>
      <c r="AM49" s="340"/>
      <c r="AN49" s="327"/>
      <c r="AO49" s="327"/>
    </row>
    <row r="50" customFormat="false" ht="12.95" hidden="false" customHeight="true" outlineLevel="0" collapsed="false">
      <c r="A50" s="173" t="s">
        <v>83</v>
      </c>
      <c r="B50" s="306"/>
      <c r="C50" s="165"/>
      <c r="D50" s="165"/>
      <c r="E50" s="165"/>
      <c r="F50" s="307" t="n">
        <f aca="false">F10+F44</f>
        <v>-3285.10209226115</v>
      </c>
      <c r="G50" s="165" t="n">
        <f aca="false">G10+G44</f>
        <v>4554</v>
      </c>
      <c r="H50" s="312" t="n">
        <f aca="false">H10+H44</f>
        <v>121.593</v>
      </c>
      <c r="I50" s="165" t="n">
        <f aca="false">I10+I44</f>
        <v>4675.593</v>
      </c>
      <c r="J50" s="165" t="n">
        <f aca="false">J10+J44</f>
        <v>341.731131837661</v>
      </c>
      <c r="K50" s="165" t="n">
        <f aca="false">K10+K44</f>
        <v>5017.32413183766</v>
      </c>
      <c r="L50" s="165" t="n">
        <f aca="false">L10+L44</f>
        <v>-690.385092261155</v>
      </c>
      <c r="M50" s="313" t="n">
        <f aca="false">M10+M44</f>
        <v>700.9</v>
      </c>
      <c r="N50" s="165" t="n">
        <f aca="false">N10+N44</f>
        <v>0</v>
      </c>
      <c r="O50" s="165" t="n">
        <f aca="false">O10+O44</f>
        <v>0</v>
      </c>
      <c r="P50" s="165"/>
      <c r="Q50" s="165" t="n">
        <f aca="false">Q10+Q44</f>
        <v>134.2422</v>
      </c>
      <c r="R50" s="165" t="n">
        <f aca="false">R10+R44</f>
        <v>226.6888</v>
      </c>
      <c r="S50" s="309" t="n">
        <f aca="false">S10+S44</f>
        <v>0</v>
      </c>
      <c r="T50" s="165" t="n">
        <f aca="false">T10+T44</f>
        <v>4294.94</v>
      </c>
      <c r="U50" s="165" t="n">
        <f aca="false">U10+U44</f>
        <v>151.47</v>
      </c>
      <c r="V50" s="165" t="n">
        <f aca="false">V10+V44</f>
        <v>4786.379</v>
      </c>
      <c r="W50" s="165"/>
      <c r="X50" s="165"/>
      <c r="Y50" s="165"/>
      <c r="Z50" s="244"/>
      <c r="AA50" s="245"/>
      <c r="AB50" s="165" t="n">
        <f aca="false">AB10+AB44</f>
        <v>2123</v>
      </c>
      <c r="AC50" s="165" t="n">
        <f aca="false">AC42</f>
        <v>3369</v>
      </c>
      <c r="AD50" s="165" t="n">
        <f aca="false">AD10+AD44</f>
        <v>7270.31</v>
      </c>
      <c r="AE50" s="165" t="n">
        <f aca="false">AE10+AE44</f>
        <v>1032.11622409882</v>
      </c>
      <c r="AF50" s="165" t="n">
        <f aca="false">AF10+AF44</f>
        <v>8302.42622409882</v>
      </c>
      <c r="AG50" s="237" t="n">
        <f aca="false">AG10+AG44</f>
        <v>0.99</v>
      </c>
      <c r="AH50" s="171"/>
      <c r="AI50" s="310"/>
      <c r="AJ50" s="172"/>
      <c r="AK50" s="228" t="n">
        <f aca="false">AK10+AK44</f>
        <v>0</v>
      </c>
      <c r="AL50" s="304"/>
      <c r="AM50" s="316"/>
      <c r="AN50" s="305"/>
    </row>
    <row r="51" customFormat="false" ht="12.95" hidden="false" customHeight="true" outlineLevel="0" collapsed="false">
      <c r="A51" s="173" t="s">
        <v>84</v>
      </c>
      <c r="B51" s="306"/>
      <c r="C51" s="165"/>
      <c r="D51" s="165" t="n">
        <f aca="false">D10+D45</f>
        <v>-6516</v>
      </c>
      <c r="E51" s="165" t="n">
        <f aca="false">E42</f>
        <v>140858</v>
      </c>
      <c r="F51" s="307" t="n">
        <f aca="false">F50*$D$2</f>
        <v>-6516</v>
      </c>
      <c r="G51" s="165" t="n">
        <f aca="false">G50*$D$2</f>
        <v>9032.859</v>
      </c>
      <c r="H51" s="312" t="n">
        <f aca="false">H50*$D$2</f>
        <v>241.1797155</v>
      </c>
      <c r="I51" s="165" t="n">
        <f aca="false">I50*$D$2</f>
        <v>9274.0387155</v>
      </c>
      <c r="J51" s="165" t="n">
        <f aca="false">J50*$D$2</f>
        <v>677.8237</v>
      </c>
      <c r="K51" s="165" t="n">
        <f aca="false">K50*$D$2</f>
        <v>9951.8624155</v>
      </c>
      <c r="L51" s="165" t="n">
        <f aca="false">L50*$D$2</f>
        <v>-1369.3788305</v>
      </c>
      <c r="M51" s="313" t="n">
        <f aca="false">M50*$D$2</f>
        <v>1390.23515</v>
      </c>
      <c r="N51" s="165" t="n">
        <f aca="false">N50*$D$2</f>
        <v>0</v>
      </c>
      <c r="O51" s="165" t="n">
        <f aca="false">O50*$D$2</f>
        <v>0</v>
      </c>
      <c r="P51" s="165"/>
      <c r="Q51" s="165" t="n">
        <f aca="false">Q50*$D$2</f>
        <v>266.2694037</v>
      </c>
      <c r="R51" s="165" t="n">
        <f aca="false">R50*$D$2</f>
        <v>449.6372348</v>
      </c>
      <c r="S51" s="309" t="n">
        <f aca="false">S50*$D$2</f>
        <v>0</v>
      </c>
      <c r="T51" s="165" t="n">
        <f aca="false">T50*$D$2</f>
        <v>8519.01349</v>
      </c>
      <c r="U51" s="165" t="n">
        <f aca="false">U50*$D$2</f>
        <v>300.440745</v>
      </c>
      <c r="V51" s="165" t="n">
        <f aca="false">V50*$D$2</f>
        <v>9493.7827465</v>
      </c>
      <c r="W51" s="165"/>
      <c r="X51" s="165"/>
      <c r="Y51" s="165"/>
      <c r="Z51" s="281"/>
      <c r="AA51" s="251"/>
      <c r="AB51" s="165" t="n">
        <f aca="false">AB50*$D$2</f>
        <v>4210.9705</v>
      </c>
      <c r="AC51" s="165" t="n">
        <f aca="false">AC50*$D$2</f>
        <v>6682.4115</v>
      </c>
      <c r="AD51" s="165" t="n">
        <f aca="false">AD50*$D$2</f>
        <v>14420.659885</v>
      </c>
      <c r="AE51" s="165" t="n">
        <f aca="false">AE50*$D$2</f>
        <v>2047.2025305</v>
      </c>
      <c r="AF51" s="165" t="n">
        <f aca="false">AF50*$D$2</f>
        <v>16467.8624155</v>
      </c>
      <c r="AG51" s="237"/>
      <c r="AH51" s="171"/>
      <c r="AI51" s="310"/>
      <c r="AJ51" s="172" t="n">
        <f aca="false">AJ42</f>
        <v>8259.0869759</v>
      </c>
      <c r="AK51" s="228" t="n">
        <f aca="false">AK50*$D$2</f>
        <v>0</v>
      </c>
      <c r="AL51" s="304"/>
      <c r="AM51" s="316"/>
      <c r="AN51" s="305"/>
    </row>
    <row r="52" customFormat="false" ht="3" hidden="false" customHeight="true" outlineLevel="0" collapsed="false">
      <c r="A52" s="252"/>
      <c r="B52" s="332"/>
      <c r="C52" s="319"/>
      <c r="D52" s="252"/>
      <c r="E52" s="319"/>
      <c r="F52" s="320"/>
      <c r="G52" s="252"/>
      <c r="H52" s="321"/>
      <c r="I52" s="252"/>
      <c r="J52" s="252"/>
      <c r="K52" s="252"/>
      <c r="L52" s="252"/>
      <c r="M52" s="322"/>
      <c r="N52" s="252"/>
      <c r="O52" s="252"/>
      <c r="P52" s="252"/>
      <c r="Q52" s="252"/>
      <c r="R52" s="252"/>
      <c r="S52" s="323"/>
      <c r="T52" s="252"/>
      <c r="U52" s="252"/>
      <c r="V52" s="252"/>
      <c r="W52" s="319"/>
      <c r="X52" s="319"/>
      <c r="Y52" s="252"/>
      <c r="Z52" s="258"/>
      <c r="AA52" s="259"/>
      <c r="AB52" s="252"/>
      <c r="AC52" s="319"/>
      <c r="AD52" s="252"/>
      <c r="AE52" s="252"/>
      <c r="AF52" s="252"/>
      <c r="AG52" s="332"/>
      <c r="AH52" s="252"/>
      <c r="AI52" s="320"/>
      <c r="AJ52" s="252"/>
      <c r="AK52" s="341"/>
      <c r="AL52" s="252"/>
      <c r="AM52" s="341"/>
      <c r="AN52" s="327"/>
      <c r="AO52" s="327"/>
    </row>
    <row r="53" customFormat="false" ht="11.1" hidden="false" customHeight="true" outlineLevel="0" collapsed="false">
      <c r="A53" s="164"/>
      <c r="B53" s="282"/>
      <c r="C53" s="165"/>
      <c r="D53" s="164"/>
      <c r="E53" s="165"/>
      <c r="F53" s="164"/>
      <c r="G53" s="164"/>
      <c r="H53" s="170"/>
      <c r="I53" s="164"/>
      <c r="J53" s="164"/>
      <c r="K53" s="164"/>
      <c r="L53" s="164"/>
      <c r="M53" s="287"/>
      <c r="N53" s="164"/>
      <c r="O53" s="164"/>
      <c r="P53" s="164"/>
      <c r="Q53" s="164"/>
      <c r="R53" s="164"/>
      <c r="S53" s="164"/>
      <c r="T53" s="164"/>
      <c r="U53" s="164"/>
      <c r="V53" s="164"/>
      <c r="W53" s="165"/>
      <c r="X53" s="165"/>
      <c r="Y53" s="164"/>
      <c r="Z53" s="164"/>
      <c r="AA53" s="164"/>
      <c r="AB53" s="164"/>
      <c r="AC53" s="165"/>
      <c r="AD53" s="164"/>
      <c r="AE53" s="164"/>
      <c r="AF53" s="164"/>
      <c r="AG53" s="170"/>
      <c r="AH53" s="171"/>
      <c r="AI53" s="171"/>
      <c r="AJ53" s="172"/>
      <c r="AK53" s="172"/>
      <c r="AL53" s="288"/>
      <c r="AM53" s="289"/>
    </row>
    <row r="54" customFormat="false" ht="11.1" hidden="false" customHeight="true" outlineLevel="0" collapsed="false">
      <c r="A54" s="164"/>
      <c r="B54" s="283"/>
      <c r="C54" s="165"/>
      <c r="D54" s="284"/>
      <c r="E54" s="165"/>
      <c r="F54" s="164"/>
      <c r="G54" s="164"/>
      <c r="H54" s="170"/>
      <c r="I54" s="166"/>
      <c r="J54" s="164"/>
      <c r="K54" s="154"/>
      <c r="L54" s="164"/>
      <c r="M54" s="287"/>
      <c r="N54" s="164"/>
      <c r="O54" s="164"/>
      <c r="P54" s="164"/>
      <c r="Q54" s="164"/>
      <c r="R54" s="164"/>
      <c r="S54" s="164"/>
      <c r="T54" s="164"/>
      <c r="U54" s="164"/>
      <c r="V54" s="164"/>
      <c r="W54" s="165"/>
      <c r="X54" s="165"/>
      <c r="Y54" s="164"/>
      <c r="Z54" s="164"/>
      <c r="AA54" s="164"/>
      <c r="AB54" s="164"/>
      <c r="AC54" s="165"/>
      <c r="AD54" s="164"/>
      <c r="AE54" s="164"/>
      <c r="AF54" s="164"/>
      <c r="AG54" s="170"/>
      <c r="AH54" s="171"/>
      <c r="AI54" s="171"/>
      <c r="AJ54" s="172"/>
      <c r="AK54" s="172"/>
      <c r="AL54" s="288"/>
      <c r="AM54" s="289"/>
    </row>
    <row r="55" customFormat="false" ht="11.1" hidden="false" customHeight="true" outlineLevel="0" collapsed="false">
      <c r="A55" s="284"/>
      <c r="B55" s="284"/>
      <c r="C55" s="165"/>
      <c r="D55" s="165"/>
      <c r="E55" s="165"/>
      <c r="F55" s="284"/>
      <c r="G55" s="284"/>
      <c r="H55" s="170"/>
      <c r="I55" s="284"/>
      <c r="J55" s="284"/>
      <c r="K55" s="284"/>
      <c r="L55" s="284"/>
      <c r="M55" s="287"/>
      <c r="N55" s="168"/>
      <c r="O55" s="168"/>
      <c r="P55" s="168"/>
      <c r="Q55" s="168"/>
      <c r="R55" s="168"/>
      <c r="S55" s="168"/>
      <c r="T55" s="284"/>
      <c r="U55" s="284"/>
      <c r="V55" s="284"/>
      <c r="W55" s="165"/>
      <c r="X55" s="165"/>
      <c r="Y55" s="284"/>
      <c r="Z55" s="284"/>
      <c r="AA55" s="284"/>
      <c r="AB55" s="284"/>
      <c r="AC55" s="165"/>
      <c r="AD55" s="284"/>
      <c r="AE55" s="284"/>
      <c r="AF55" s="284"/>
      <c r="AG55" s="170"/>
      <c r="AH55" s="171"/>
      <c r="AI55" s="171"/>
      <c r="AJ55" s="172"/>
      <c r="AK55" s="172"/>
      <c r="AL55" s="342"/>
      <c r="AM55" s="343"/>
    </row>
    <row r="56" customFormat="false" ht="11.1" hidden="false" customHeight="true" outlineLevel="0" collapsed="false">
      <c r="A56" s="284"/>
      <c r="B56" s="169"/>
      <c r="C56" s="165"/>
      <c r="D56" s="165"/>
      <c r="E56" s="165"/>
      <c r="F56" s="284"/>
      <c r="G56" s="284"/>
      <c r="H56" s="170"/>
      <c r="I56" s="284"/>
      <c r="J56" s="284"/>
      <c r="K56" s="284"/>
      <c r="L56" s="284"/>
      <c r="M56" s="287"/>
      <c r="N56" s="168"/>
      <c r="O56" s="168"/>
      <c r="P56" s="168"/>
      <c r="Q56" s="168"/>
      <c r="R56" s="168"/>
      <c r="S56" s="284"/>
      <c r="T56" s="284"/>
      <c r="U56" s="284"/>
      <c r="V56" s="165"/>
      <c r="W56" s="284"/>
      <c r="X56" s="284"/>
      <c r="Y56" s="284"/>
      <c r="Z56" s="284"/>
      <c r="AA56" s="284"/>
      <c r="AB56" s="165"/>
      <c r="AC56" s="284"/>
      <c r="AD56" s="284"/>
      <c r="AE56" s="284"/>
      <c r="AF56" s="169"/>
      <c r="AG56" s="170"/>
      <c r="AH56" s="171"/>
      <c r="AI56" s="172"/>
      <c r="AJ56" s="342"/>
      <c r="AK56" s="343"/>
      <c r="AL56" s="342"/>
    </row>
    <row r="57" customFormat="false" ht="11.1" hidden="false" customHeight="true" outlineLevel="0" collapsed="false">
      <c r="A57" s="284"/>
      <c r="B57" s="284"/>
      <c r="C57" s="165"/>
      <c r="D57" s="284"/>
      <c r="E57" s="165"/>
      <c r="F57" s="284"/>
      <c r="G57" s="285"/>
      <c r="H57" s="170"/>
      <c r="I57" s="284"/>
      <c r="J57" s="284"/>
      <c r="K57" s="284"/>
      <c r="L57" s="284"/>
      <c r="M57" s="287"/>
      <c r="N57" s="168"/>
      <c r="O57" s="168"/>
      <c r="P57" s="168"/>
      <c r="Q57" s="168"/>
      <c r="R57" s="168"/>
      <c r="S57" s="284"/>
      <c r="T57" s="284"/>
      <c r="U57" s="284"/>
      <c r="V57" s="165"/>
      <c r="W57" s="284"/>
      <c r="X57" s="284"/>
      <c r="Y57" s="284"/>
      <c r="Z57" s="284"/>
      <c r="AA57" s="284"/>
      <c r="AB57" s="165"/>
      <c r="AC57" s="284"/>
      <c r="AD57" s="284"/>
      <c r="AE57" s="284"/>
      <c r="AF57" s="169"/>
      <c r="AG57" s="170"/>
      <c r="AH57" s="171"/>
      <c r="AI57" s="172"/>
      <c r="AJ57" s="342"/>
      <c r="AK57" s="343"/>
      <c r="AL57" s="342"/>
    </row>
    <row r="58" customFormat="false" ht="11.1" hidden="false" customHeight="true" outlineLevel="0" collapsed="false">
      <c r="A58" s="0"/>
      <c r="B58" s="0"/>
      <c r="C58" s="1"/>
      <c r="D58" s="0"/>
      <c r="E58" s="1"/>
      <c r="F58" s="0"/>
      <c r="G58" s="0"/>
      <c r="H58" s="2"/>
      <c r="I58" s="0"/>
      <c r="J58" s="0"/>
      <c r="K58" s="0"/>
      <c r="L58" s="0"/>
      <c r="M58" s="3"/>
      <c r="N58" s="3"/>
      <c r="O58" s="3"/>
      <c r="P58" s="3"/>
      <c r="Q58" s="3"/>
      <c r="R58" s="3"/>
      <c r="S58" s="0"/>
      <c r="T58" s="0"/>
      <c r="U58" s="0"/>
      <c r="V58" s="1"/>
      <c r="W58" s="0"/>
      <c r="X58" s="0"/>
      <c r="Y58" s="0"/>
      <c r="Z58" s="0"/>
      <c r="AA58" s="0"/>
      <c r="AB58" s="1"/>
      <c r="AC58" s="0"/>
      <c r="AD58" s="0"/>
      <c r="AE58" s="0"/>
      <c r="AF58" s="2"/>
      <c r="AG58" s="2"/>
      <c r="AH58" s="4"/>
      <c r="AI58" s="5"/>
      <c r="AJ58" s="0"/>
      <c r="AK58" s="344"/>
      <c r="AL58" s="0"/>
      <c r="AM58" s="6"/>
      <c r="AN58" s="0"/>
    </row>
    <row r="59" customFormat="false" ht="11.1" hidden="false" customHeight="true" outlineLevel="0" collapsed="false">
      <c r="A59" s="0"/>
      <c r="B59" s="0"/>
      <c r="C59" s="1"/>
      <c r="D59" s="0"/>
      <c r="E59" s="1"/>
      <c r="F59" s="0"/>
      <c r="G59" s="0"/>
      <c r="H59" s="2"/>
      <c r="I59" s="0"/>
      <c r="J59" s="0"/>
      <c r="K59" s="0"/>
      <c r="L59" s="0"/>
      <c r="M59" s="3"/>
      <c r="N59" s="3"/>
      <c r="O59" s="3"/>
      <c r="P59" s="3"/>
      <c r="Q59" s="3"/>
      <c r="R59" s="3"/>
      <c r="S59" s="0"/>
      <c r="T59" s="0"/>
      <c r="U59" s="0"/>
      <c r="V59" s="1"/>
      <c r="W59" s="0"/>
      <c r="X59" s="0"/>
      <c r="Y59" s="0"/>
      <c r="Z59" s="0"/>
      <c r="AA59" s="0"/>
      <c r="AB59" s="1"/>
      <c r="AC59" s="0"/>
      <c r="AD59" s="0"/>
      <c r="AE59" s="0"/>
      <c r="AF59" s="2"/>
      <c r="AG59" s="2"/>
      <c r="AH59" s="4"/>
      <c r="AI59" s="5"/>
      <c r="AJ59" s="0"/>
      <c r="AK59" s="344"/>
      <c r="AL59" s="0"/>
      <c r="AM59" s="6"/>
      <c r="AN59" s="0"/>
    </row>
  </sheetData>
  <mergeCells count="2">
    <mergeCell ref="K2:X2"/>
    <mergeCell ref="M5:S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10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D16" activePane="bottomRight" state="frozen"/>
      <selection pane="topLeft" activeCell="A1" activeCellId="0" sqref="A1"/>
      <selection pane="topRight" activeCell="D1" activeCellId="0" sqref="D1"/>
      <selection pane="bottomLeft" activeCell="A16" activeCellId="0" sqref="A16"/>
      <selection pane="bottomRight" activeCell="AB40" activeCellId="0" sqref="AB40"/>
    </sheetView>
  </sheetViews>
  <sheetFormatPr defaultColWidth="9.328125" defaultRowHeight="11.1" zeroHeight="false" outlineLevelRow="0" outlineLevelCol="0"/>
  <cols>
    <col collapsed="false" customWidth="true" hidden="false" outlineLevel="0" max="1" min="1" style="156" width="4.66"/>
    <col collapsed="false" customWidth="true" hidden="false" outlineLevel="0" max="2" min="2" style="156" width="6.99"/>
    <col collapsed="false" customWidth="true" hidden="false" outlineLevel="0" max="3" min="3" style="157" width="6.32"/>
    <col collapsed="false" customWidth="true" hidden="false" outlineLevel="0" max="4" min="4" style="156" width="6.99"/>
    <col collapsed="false" customWidth="true" hidden="false" outlineLevel="0" max="5" min="5" style="157" width="6.99"/>
    <col collapsed="false" customWidth="true" hidden="false" outlineLevel="0" max="6" min="6" style="156" width="7.32"/>
    <col collapsed="false" customWidth="true" hidden="false" outlineLevel="0" max="7" min="7" style="156" width="6.82"/>
    <col collapsed="false" customWidth="true" hidden="false" outlineLevel="0" max="8" min="8" style="286" width="5.66"/>
    <col collapsed="false" customWidth="true" hidden="false" outlineLevel="0" max="11" min="9" style="156" width="6.32"/>
    <col collapsed="false" customWidth="true" hidden="false" outlineLevel="0" max="12" min="12" style="156" width="7.16"/>
    <col collapsed="false" customWidth="true" hidden="false" outlineLevel="0" max="13" min="13" style="159" width="5.49"/>
    <col collapsed="false" customWidth="true" hidden="false" outlineLevel="0" max="14" min="14" style="159" width="4.49"/>
    <col collapsed="false" customWidth="true" hidden="false" outlineLevel="0" max="15" min="15" style="159" width="5.49"/>
    <col collapsed="false" customWidth="true" hidden="false" outlineLevel="0" max="16" min="16" style="159" width="4.82"/>
    <col collapsed="false" customWidth="true" hidden="false" outlineLevel="0" max="18" min="17" style="159" width="4.32"/>
    <col collapsed="false" customWidth="true" hidden="false" outlineLevel="0" max="19" min="19" style="160" width="4.32"/>
    <col collapsed="false" customWidth="true" hidden="false" outlineLevel="0" max="21" min="20" style="156" width="5.49"/>
    <col collapsed="false" customWidth="true" hidden="false" outlineLevel="0" max="22" min="22" style="157" width="6.32"/>
    <col collapsed="false" customWidth="true" hidden="false" outlineLevel="0" max="27" min="23" style="156" width="5.49"/>
    <col collapsed="false" customWidth="true" hidden="false" outlineLevel="0" max="28" min="28" style="157" width="6.32"/>
    <col collapsed="false" customWidth="true" hidden="false" outlineLevel="0" max="29" min="29" style="156" width="5.49"/>
    <col collapsed="false" customWidth="true" hidden="false" outlineLevel="0" max="30" min="30" style="156" width="6.32"/>
    <col collapsed="false" customWidth="true" hidden="false" outlineLevel="0" max="31" min="31" style="156" width="6.99"/>
    <col collapsed="false" customWidth="true" hidden="false" outlineLevel="0" max="32" min="32" style="160" width="6.99"/>
    <col collapsed="false" customWidth="true" hidden="false" outlineLevel="0" max="33" min="33" style="158" width="5.32"/>
    <col collapsed="false" customWidth="true" hidden="false" outlineLevel="0" max="34" min="34" style="161" width="3.82"/>
    <col collapsed="false" customWidth="true" hidden="false" outlineLevel="0" max="35" min="35" style="162" width="3.82"/>
    <col collapsed="false" customWidth="true" hidden="false" outlineLevel="0" max="37" min="36" style="161" width="5.49"/>
    <col collapsed="false" customWidth="true" hidden="false" outlineLevel="0" max="38" min="38" style="156" width="6.32"/>
    <col collapsed="false" customWidth="true" hidden="false" outlineLevel="0" max="39" min="39" style="163" width="6.32"/>
    <col collapsed="false" customWidth="true" hidden="false" outlineLevel="0" max="40" min="40" style="225" width="6.32"/>
    <col collapsed="false" customWidth="true" hidden="false" outlineLevel="0" max="41" min="41" style="156" width="6.49"/>
    <col collapsed="false" customWidth="false" hidden="false" outlineLevel="0" max="257" min="42" style="156" width="9.32"/>
  </cols>
  <sheetData>
    <row r="1" customFormat="false" ht="14.1" hidden="false" customHeight="true" outlineLevel="0" collapsed="false">
      <c r="A1" s="164" t="s">
        <v>94</v>
      </c>
      <c r="B1" s="164"/>
      <c r="C1" s="165"/>
      <c r="D1" s="164"/>
      <c r="E1" s="165"/>
      <c r="F1" s="164"/>
      <c r="G1" s="164"/>
      <c r="H1" s="287"/>
      <c r="I1" s="164"/>
      <c r="J1" s="164"/>
      <c r="K1" s="167" t="s">
        <v>0</v>
      </c>
      <c r="L1" s="164"/>
      <c r="M1" s="164"/>
      <c r="N1" s="164"/>
      <c r="O1" s="164"/>
      <c r="P1" s="164"/>
      <c r="Q1" s="164"/>
      <c r="R1" s="164"/>
      <c r="S1" s="169"/>
      <c r="T1" s="164"/>
      <c r="U1" s="164"/>
      <c r="V1" s="165"/>
      <c r="W1" s="164"/>
      <c r="X1" s="164"/>
      <c r="Y1" s="164"/>
      <c r="Z1" s="164"/>
      <c r="AA1" s="164"/>
      <c r="AB1" s="165"/>
      <c r="AC1" s="164"/>
      <c r="AD1" s="164"/>
      <c r="AE1" s="164"/>
      <c r="AF1" s="169"/>
      <c r="AG1" s="170"/>
      <c r="AH1" s="171"/>
      <c r="AI1" s="172"/>
      <c r="AJ1" s="345"/>
      <c r="AK1" s="345"/>
      <c r="AL1" s="288"/>
    </row>
    <row r="2" customFormat="false" ht="14.1" hidden="false" customHeight="true" outlineLevel="0" collapsed="false">
      <c r="A2" s="173" t="s">
        <v>1</v>
      </c>
      <c r="B2" s="164"/>
      <c r="C2" s="165"/>
      <c r="D2" s="174" t="n">
        <v>1.9835</v>
      </c>
      <c r="E2" s="165"/>
      <c r="F2" s="164"/>
      <c r="G2" s="164"/>
      <c r="H2" s="287"/>
      <c r="I2" s="164"/>
      <c r="J2" s="164"/>
      <c r="K2" s="175" t="s">
        <v>98</v>
      </c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64"/>
      <c r="Z2" s="164"/>
      <c r="AA2" s="164"/>
      <c r="AB2" s="165"/>
      <c r="AC2" s="164"/>
      <c r="AD2" s="164"/>
      <c r="AE2" s="164"/>
      <c r="AF2" s="169"/>
      <c r="AG2" s="170"/>
      <c r="AH2" s="171"/>
      <c r="AI2" s="172"/>
      <c r="AJ2" s="345"/>
      <c r="AK2" s="345"/>
      <c r="AL2" s="288"/>
    </row>
    <row r="3" customFormat="false" ht="14.1" hidden="false" customHeight="true" outlineLevel="0" collapsed="false">
      <c r="A3" s="176"/>
      <c r="B3" s="176"/>
      <c r="C3" s="177"/>
      <c r="D3" s="178"/>
      <c r="E3" s="177"/>
      <c r="F3" s="176"/>
      <c r="G3" s="176"/>
      <c r="H3" s="290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81"/>
      <c r="T3" s="176"/>
      <c r="U3" s="176"/>
      <c r="V3" s="177"/>
      <c r="W3" s="176"/>
      <c r="X3" s="176"/>
      <c r="Y3" s="176"/>
      <c r="Z3" s="176"/>
      <c r="AA3" s="176"/>
      <c r="AB3" s="177"/>
      <c r="AC3" s="176"/>
      <c r="AD3" s="176"/>
      <c r="AE3" s="176"/>
      <c r="AF3" s="181"/>
      <c r="AG3" s="182"/>
      <c r="AH3" s="183"/>
      <c r="AI3" s="184"/>
      <c r="AJ3" s="346"/>
      <c r="AK3" s="346"/>
      <c r="AL3" s="291"/>
      <c r="AM3" s="186"/>
    </row>
    <row r="4" s="200" customFormat="true" ht="14.1" hidden="false" customHeight="true" outlineLevel="0" collapsed="false">
      <c r="A4" s="187"/>
      <c r="B4" s="188"/>
      <c r="C4" s="189"/>
      <c r="D4" s="293" t="s">
        <v>3</v>
      </c>
      <c r="E4" s="189"/>
      <c r="F4" s="191"/>
      <c r="G4" s="187"/>
      <c r="H4" s="295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96"/>
      <c r="T4" s="193" t="s">
        <v>4</v>
      </c>
      <c r="U4" s="187"/>
      <c r="V4" s="194"/>
      <c r="W4" s="187"/>
      <c r="X4" s="187"/>
      <c r="Y4" s="187"/>
      <c r="Z4" s="187"/>
      <c r="AA4" s="187"/>
      <c r="AB4" s="194"/>
      <c r="AC4" s="187"/>
      <c r="AD4" s="187"/>
      <c r="AE4" s="187"/>
      <c r="AF4" s="196"/>
      <c r="AG4" s="197"/>
      <c r="AH4" s="198" t="s">
        <v>5</v>
      </c>
      <c r="AI4" s="199"/>
      <c r="AJ4" s="347"/>
      <c r="AK4" s="347"/>
      <c r="AL4" s="193" t="s">
        <v>6</v>
      </c>
      <c r="AM4" s="202"/>
      <c r="AN4" s="203"/>
      <c r="AO4" s="204"/>
    </row>
    <row r="5" customFormat="false" ht="12.95" hidden="false" customHeight="true" outlineLevel="0" collapsed="false">
      <c r="A5" s="205" t="s">
        <v>7</v>
      </c>
      <c r="B5" s="206" t="s">
        <v>8</v>
      </c>
      <c r="C5" s="207" t="s">
        <v>8</v>
      </c>
      <c r="D5" s="205" t="s">
        <v>9</v>
      </c>
      <c r="E5" s="207" t="s">
        <v>10</v>
      </c>
      <c r="F5" s="208" t="s">
        <v>11</v>
      </c>
      <c r="G5" s="205" t="s">
        <v>12</v>
      </c>
      <c r="H5" s="348" t="s">
        <v>13</v>
      </c>
      <c r="I5" s="205" t="s">
        <v>14</v>
      </c>
      <c r="J5" s="205" t="s">
        <v>15</v>
      </c>
      <c r="K5" s="205" t="s">
        <v>16</v>
      </c>
      <c r="L5" s="205" t="s">
        <v>15</v>
      </c>
      <c r="M5" s="210" t="s">
        <v>17</v>
      </c>
      <c r="N5" s="210"/>
      <c r="O5" s="210"/>
      <c r="P5" s="210"/>
      <c r="Q5" s="210"/>
      <c r="R5" s="210"/>
      <c r="S5" s="210"/>
      <c r="T5" s="233" t="s">
        <v>18</v>
      </c>
      <c r="U5" s="233" t="s">
        <v>19</v>
      </c>
      <c r="V5" s="233" t="s">
        <v>16</v>
      </c>
      <c r="W5" s="229" t="s">
        <v>20</v>
      </c>
      <c r="X5" s="229" t="s">
        <v>20</v>
      </c>
      <c r="Y5" s="233" t="s">
        <v>21</v>
      </c>
      <c r="Z5" s="212" t="s">
        <v>86</v>
      </c>
      <c r="AA5" s="213"/>
      <c r="AB5" s="233" t="s">
        <v>23</v>
      </c>
      <c r="AC5" s="229" t="s">
        <v>24</v>
      </c>
      <c r="AD5" s="233" t="s">
        <v>14</v>
      </c>
      <c r="AE5" s="233" t="s">
        <v>15</v>
      </c>
      <c r="AF5" s="233" t="s">
        <v>16</v>
      </c>
      <c r="AG5" s="349" t="s">
        <v>25</v>
      </c>
      <c r="AH5" s="224" t="s">
        <v>26</v>
      </c>
      <c r="AI5" s="350" t="s">
        <v>27</v>
      </c>
      <c r="AJ5" s="224" t="s">
        <v>87</v>
      </c>
      <c r="AK5" s="224" t="s">
        <v>20</v>
      </c>
      <c r="AL5" s="233" t="s">
        <v>20</v>
      </c>
      <c r="AM5" s="233" t="s">
        <v>20</v>
      </c>
      <c r="AN5" s="218" t="s">
        <v>29</v>
      </c>
      <c r="AO5" s="225" t="s">
        <v>30</v>
      </c>
    </row>
    <row r="6" customFormat="false" ht="12.95" hidden="false" customHeight="true" outlineLevel="0" collapsed="false">
      <c r="A6" s="220" t="s">
        <v>99</v>
      </c>
      <c r="B6" s="206" t="s">
        <v>32</v>
      </c>
      <c r="C6" s="207" t="s">
        <v>9</v>
      </c>
      <c r="D6" s="205" t="s">
        <v>33</v>
      </c>
      <c r="E6" s="207" t="s">
        <v>34</v>
      </c>
      <c r="F6" s="208" t="s">
        <v>35</v>
      </c>
      <c r="G6" s="205" t="s">
        <v>36</v>
      </c>
      <c r="H6" s="348" t="s">
        <v>37</v>
      </c>
      <c r="I6" s="205" t="s">
        <v>38</v>
      </c>
      <c r="J6" s="205" t="s">
        <v>38</v>
      </c>
      <c r="K6" s="205" t="s">
        <v>38</v>
      </c>
      <c r="L6" s="205" t="s">
        <v>39</v>
      </c>
      <c r="M6" s="221" t="s">
        <v>40</v>
      </c>
      <c r="N6" s="205" t="s">
        <v>41</v>
      </c>
      <c r="O6" s="205" t="s">
        <v>42</v>
      </c>
      <c r="P6" s="205" t="s">
        <v>43</v>
      </c>
      <c r="Q6" s="205" t="s">
        <v>44</v>
      </c>
      <c r="R6" s="205" t="s">
        <v>45</v>
      </c>
      <c r="S6" s="351" t="s">
        <v>46</v>
      </c>
      <c r="T6" s="233" t="s">
        <v>47</v>
      </c>
      <c r="U6" s="233" t="s">
        <v>48</v>
      </c>
      <c r="V6" s="233" t="s">
        <v>20</v>
      </c>
      <c r="W6" s="229" t="s">
        <v>58</v>
      </c>
      <c r="X6" s="229" t="s">
        <v>50</v>
      </c>
      <c r="Y6" s="233" t="s">
        <v>51</v>
      </c>
      <c r="Z6" s="221"/>
      <c r="AA6" s="222"/>
      <c r="AB6" s="233" t="s">
        <v>54</v>
      </c>
      <c r="AC6" s="229" t="s">
        <v>55</v>
      </c>
      <c r="AD6" s="233" t="s">
        <v>56</v>
      </c>
      <c r="AE6" s="233" t="s">
        <v>56</v>
      </c>
      <c r="AF6" s="233" t="s">
        <v>56</v>
      </c>
      <c r="AG6" s="352"/>
      <c r="AH6" s="224" t="s">
        <v>57</v>
      </c>
      <c r="AI6" s="350" t="s">
        <v>57</v>
      </c>
      <c r="AJ6" s="224" t="s">
        <v>58</v>
      </c>
      <c r="AK6" s="224" t="s">
        <v>59</v>
      </c>
      <c r="AL6" s="233" t="s">
        <v>60</v>
      </c>
      <c r="AM6" s="233" t="s">
        <v>60</v>
      </c>
      <c r="AN6" s="218" t="s">
        <v>61</v>
      </c>
      <c r="AO6" s="225" t="s">
        <v>62</v>
      </c>
    </row>
    <row r="7" customFormat="false" ht="12.95" hidden="false" customHeight="true" outlineLevel="0" collapsed="false">
      <c r="A7" s="226"/>
      <c r="B7" s="227"/>
      <c r="C7" s="228"/>
      <c r="D7" s="226"/>
      <c r="E7" s="229" t="s">
        <v>63</v>
      </c>
      <c r="F7" s="230"/>
      <c r="G7" s="226"/>
      <c r="H7" s="353"/>
      <c r="I7" s="226"/>
      <c r="J7" s="226"/>
      <c r="K7" s="226"/>
      <c r="L7" s="226"/>
      <c r="M7" s="232"/>
      <c r="N7" s="233" t="s">
        <v>64</v>
      </c>
      <c r="O7" s="233" t="s">
        <v>65</v>
      </c>
      <c r="P7" s="233"/>
      <c r="Q7" s="233"/>
      <c r="R7" s="233"/>
      <c r="S7" s="354" t="s">
        <v>42</v>
      </c>
      <c r="T7" s="296"/>
      <c r="U7" s="296"/>
      <c r="V7" s="296"/>
      <c r="W7" s="229"/>
      <c r="X7" s="229" t="s">
        <v>66</v>
      </c>
      <c r="Y7" s="296"/>
      <c r="Z7" s="232"/>
      <c r="AA7" s="236"/>
      <c r="AB7" s="296"/>
      <c r="AC7" s="355"/>
      <c r="AD7" s="296"/>
      <c r="AE7" s="296"/>
      <c r="AF7" s="296"/>
      <c r="AG7" s="356"/>
      <c r="AH7" s="224"/>
      <c r="AI7" s="357"/>
      <c r="AJ7" s="358"/>
      <c r="AK7" s="358"/>
      <c r="AL7" s="233" t="s">
        <v>68</v>
      </c>
      <c r="AM7" s="233" t="s">
        <v>93</v>
      </c>
      <c r="AN7" s="218" t="s">
        <v>70</v>
      </c>
      <c r="AO7" s="225" t="s">
        <v>71</v>
      </c>
    </row>
    <row r="8" customFormat="false" ht="12.95" hidden="false" customHeight="true" outlineLevel="0" collapsed="false">
      <c r="A8" s="226"/>
      <c r="B8" s="227"/>
      <c r="C8" s="228"/>
      <c r="D8" s="226"/>
      <c r="E8" s="228"/>
      <c r="F8" s="230"/>
      <c r="G8" s="226"/>
      <c r="H8" s="353"/>
      <c r="I8" s="226"/>
      <c r="J8" s="226"/>
      <c r="K8" s="226"/>
      <c r="L8" s="226"/>
      <c r="M8" s="232"/>
      <c r="N8" s="303" t="n">
        <v>1.03</v>
      </c>
      <c r="O8" s="303" t="n">
        <v>1.05</v>
      </c>
      <c r="P8" s="303" t="n">
        <v>1.02</v>
      </c>
      <c r="Q8" s="303" t="n">
        <v>1.02</v>
      </c>
      <c r="R8" s="303" t="n">
        <v>1.04</v>
      </c>
      <c r="S8" s="354" t="s">
        <v>53</v>
      </c>
      <c r="T8" s="296"/>
      <c r="U8" s="296"/>
      <c r="V8" s="296"/>
      <c r="W8" s="355"/>
      <c r="X8" s="229" t="s">
        <v>72</v>
      </c>
      <c r="Y8" s="296"/>
      <c r="Z8" s="232"/>
      <c r="AA8" s="236"/>
      <c r="AB8" s="296"/>
      <c r="AC8" s="355"/>
      <c r="AD8" s="296"/>
      <c r="AE8" s="296"/>
      <c r="AF8" s="296"/>
      <c r="AG8" s="356"/>
      <c r="AH8" s="358"/>
      <c r="AI8" s="357"/>
      <c r="AJ8" s="358"/>
      <c r="AK8" s="358"/>
      <c r="AL8" s="187"/>
      <c r="AM8" s="233" t="s">
        <v>73</v>
      </c>
      <c r="AN8" s="218"/>
    </row>
    <row r="9" customFormat="false" ht="12.95" hidden="false" customHeight="true" outlineLevel="0" collapsed="false">
      <c r="A9" s="173" t="s">
        <v>74</v>
      </c>
      <c r="B9" s="241"/>
      <c r="C9" s="105"/>
      <c r="D9" s="105"/>
      <c r="E9" s="105"/>
      <c r="F9" s="242"/>
      <c r="G9" s="105"/>
      <c r="H9" s="359"/>
      <c r="I9" s="105"/>
      <c r="J9" s="105"/>
      <c r="K9" s="105"/>
      <c r="L9" s="105"/>
      <c r="M9" s="244"/>
      <c r="N9" s="105"/>
      <c r="O9" s="105"/>
      <c r="P9" s="105"/>
      <c r="Q9" s="105"/>
      <c r="R9" s="105"/>
      <c r="S9" s="360"/>
      <c r="T9" s="105"/>
      <c r="U9" s="105"/>
      <c r="V9" s="105"/>
      <c r="W9" s="105"/>
      <c r="X9" s="105"/>
      <c r="Y9" s="105"/>
      <c r="Z9" s="244"/>
      <c r="AA9" s="245"/>
      <c r="AB9" s="105"/>
      <c r="AC9" s="105"/>
      <c r="AD9" s="105"/>
      <c r="AE9" s="105"/>
      <c r="AF9" s="105"/>
      <c r="AG9" s="247"/>
      <c r="AH9" s="243"/>
      <c r="AI9" s="248"/>
      <c r="AJ9" s="243"/>
      <c r="AK9" s="243"/>
      <c r="AL9" s="265"/>
      <c r="AM9" s="249"/>
      <c r="AN9" s="361"/>
    </row>
    <row r="10" s="157" customFormat="true" ht="12.95" hidden="false" customHeight="true" outlineLevel="0" collapsed="false">
      <c r="A10" s="250" t="s">
        <v>75</v>
      </c>
      <c r="B10" s="104" t="n">
        <f aca="false">JAN!B42</f>
        <v>6902.49</v>
      </c>
      <c r="C10" s="105" t="n">
        <f aca="false">JAN!C42</f>
        <v>292858</v>
      </c>
      <c r="D10" s="105" t="n">
        <f aca="false">JAN!D51</f>
        <v>-6516</v>
      </c>
      <c r="E10" s="105" t="n">
        <f aca="false">JAN!E51</f>
        <v>140858</v>
      </c>
      <c r="F10" s="242" t="n">
        <f aca="false">JAN!F50</f>
        <v>-3285.10209226115</v>
      </c>
      <c r="G10" s="105" t="n">
        <f aca="false">JAN!G50</f>
        <v>4554</v>
      </c>
      <c r="H10" s="362" t="n">
        <f aca="false">JAN!H50</f>
        <v>121.593</v>
      </c>
      <c r="I10" s="105" t="n">
        <f aca="false">JAN!I50</f>
        <v>4675.593</v>
      </c>
      <c r="J10" s="105" t="n">
        <f aca="false">JAN!J50</f>
        <v>341.731131837661</v>
      </c>
      <c r="K10" s="105" t="n">
        <f aca="false">JAN!K50</f>
        <v>5017.32413183766</v>
      </c>
      <c r="L10" s="105" t="n">
        <f aca="false">JAN!L50</f>
        <v>-690.385092261155</v>
      </c>
      <c r="M10" s="244" t="n">
        <f aca="false">JAN!M50</f>
        <v>700.9</v>
      </c>
      <c r="N10" s="105" t="n">
        <f aca="false">JAN!N50</f>
        <v>0</v>
      </c>
      <c r="O10" s="105" t="n">
        <f aca="false">JAN!O50</f>
        <v>0</v>
      </c>
      <c r="P10" s="105"/>
      <c r="Q10" s="105" t="n">
        <f aca="false">JAN!Q50</f>
        <v>134.2422</v>
      </c>
      <c r="R10" s="105" t="n">
        <f aca="false">JAN!R50</f>
        <v>226.6888</v>
      </c>
      <c r="S10" s="360" t="n">
        <f aca="false">JAN!S50</f>
        <v>0</v>
      </c>
      <c r="T10" s="105" t="n">
        <f aca="false">JAN!T50</f>
        <v>4294.94</v>
      </c>
      <c r="U10" s="105" t="n">
        <f aca="false">JAN!U50</f>
        <v>151.47</v>
      </c>
      <c r="V10" s="105" t="n">
        <f aca="false">JAN!V50</f>
        <v>4786.379</v>
      </c>
      <c r="W10" s="105"/>
      <c r="X10" s="105"/>
      <c r="Y10" s="105"/>
      <c r="Z10" s="244"/>
      <c r="AA10" s="245"/>
      <c r="AB10" s="105" t="n">
        <f aca="false">JAN!AB50</f>
        <v>2123</v>
      </c>
      <c r="AC10" s="105" t="n">
        <f aca="false">JAN!AC50</f>
        <v>3369</v>
      </c>
      <c r="AD10" s="105" t="n">
        <f aca="false">JAN!AD50</f>
        <v>7270.31</v>
      </c>
      <c r="AE10" s="105" t="n">
        <f aca="false">JAN!AE50</f>
        <v>1032.11622409882</v>
      </c>
      <c r="AF10" s="105" t="n">
        <f aca="false">JAN!AF50</f>
        <v>8302.42622409882</v>
      </c>
      <c r="AG10" s="247" t="n">
        <f aca="false">JAN!AG50</f>
        <v>0.99</v>
      </c>
      <c r="AH10" s="243"/>
      <c r="AI10" s="248"/>
      <c r="AJ10" s="243" t="n">
        <f aca="false">JAN!AJ51</f>
        <v>8259.0869759</v>
      </c>
      <c r="AK10" s="243" t="n">
        <f aca="false">JAN!AK51</f>
        <v>0</v>
      </c>
      <c r="AL10" s="105"/>
      <c r="AM10" s="265"/>
      <c r="AN10" s="363"/>
    </row>
    <row r="11" customFormat="false" ht="3" hidden="false" customHeight="true" outlineLevel="0" collapsed="false">
      <c r="A11" s="252"/>
      <c r="B11" s="253"/>
      <c r="C11" s="254"/>
      <c r="D11" s="255"/>
      <c r="E11" s="254"/>
      <c r="F11" s="256"/>
      <c r="G11" s="255"/>
      <c r="H11" s="364"/>
      <c r="I11" s="255"/>
      <c r="J11" s="255"/>
      <c r="K11" s="255"/>
      <c r="L11" s="255"/>
      <c r="M11" s="258"/>
      <c r="N11" s="255"/>
      <c r="O11" s="255"/>
      <c r="P11" s="255"/>
      <c r="Q11" s="255"/>
      <c r="R11" s="255"/>
      <c r="S11" s="365"/>
      <c r="T11" s="255"/>
      <c r="U11" s="255"/>
      <c r="V11" s="255"/>
      <c r="W11" s="254"/>
      <c r="X11" s="254"/>
      <c r="Y11" s="255"/>
      <c r="Z11" s="258"/>
      <c r="AA11" s="259"/>
      <c r="AB11" s="255"/>
      <c r="AC11" s="254"/>
      <c r="AD11" s="255"/>
      <c r="AE11" s="255"/>
      <c r="AF11" s="255"/>
      <c r="AG11" s="261"/>
      <c r="AH11" s="262"/>
      <c r="AI11" s="263"/>
      <c r="AJ11" s="262"/>
      <c r="AK11" s="262"/>
      <c r="AL11" s="262"/>
      <c r="AM11" s="262"/>
      <c r="AN11" s="262"/>
      <c r="AO11" s="262"/>
    </row>
    <row r="12" customFormat="false" ht="12.95" hidden="false" customHeight="true" outlineLevel="0" collapsed="false">
      <c r="A12" s="172" t="n">
        <v>1</v>
      </c>
      <c r="B12" s="104" t="n">
        <v>6902.49</v>
      </c>
      <c r="C12" s="105" t="n">
        <v>292858</v>
      </c>
      <c r="D12" s="243" t="n">
        <f aca="false">C12-C10</f>
        <v>0</v>
      </c>
      <c r="E12" s="105" t="n">
        <f aca="false">C12-152000</f>
        <v>140858</v>
      </c>
      <c r="F12" s="264" t="n">
        <f aca="false">D12/$D$2</f>
        <v>0</v>
      </c>
      <c r="G12" s="265" t="n">
        <v>36</v>
      </c>
      <c r="H12" s="359" t="n">
        <v>1.8</v>
      </c>
      <c r="I12" s="265" t="n">
        <f aca="false">G12+H12</f>
        <v>37.8</v>
      </c>
      <c r="J12" s="246" t="n">
        <f aca="false">IF(L12&gt;0,L12,0)</f>
        <v>13.5</v>
      </c>
      <c r="K12" s="265" t="n">
        <f aca="false">I12+J12</f>
        <v>51.3</v>
      </c>
      <c r="L12" s="265" t="n">
        <f aca="false">F12-(I12-AD12)</f>
        <v>13.5</v>
      </c>
      <c r="M12" s="267" t="n">
        <v>4.3</v>
      </c>
      <c r="N12" s="265" t="n">
        <v>0</v>
      </c>
      <c r="O12" s="265" t="n">
        <v>0</v>
      </c>
      <c r="P12" s="265"/>
      <c r="Q12" s="366" t="n">
        <f aca="false">1.42*1.02</f>
        <v>1.4484</v>
      </c>
      <c r="R12" s="366" t="n">
        <f aca="false">3.28*1.04</f>
        <v>3.4112</v>
      </c>
      <c r="S12" s="367" t="n">
        <v>0</v>
      </c>
      <c r="T12" s="265" t="n">
        <v>25</v>
      </c>
      <c r="U12" s="265" t="n">
        <v>0</v>
      </c>
      <c r="V12" s="265" t="n">
        <f aca="false">M12-N12-O12-Q12-R12-S12+T12+U12</f>
        <v>24.4404</v>
      </c>
      <c r="W12" s="105"/>
      <c r="X12" s="105"/>
      <c r="Y12" s="265" t="n">
        <v>0</v>
      </c>
      <c r="Z12" s="267"/>
      <c r="AA12" s="269"/>
      <c r="AB12" s="265" t="n">
        <v>22</v>
      </c>
      <c r="AC12" s="105" t="n">
        <f aca="false">AC10-AB12</f>
        <v>3347</v>
      </c>
      <c r="AD12" s="128" t="n">
        <f aca="false">N12+O12+Q12+R12+S12+V12+Y12+AB12</f>
        <v>51.3</v>
      </c>
      <c r="AE12" s="265" t="n">
        <f aca="false">IF(L12&lt;0,L12*-1,0)</f>
        <v>0</v>
      </c>
      <c r="AF12" s="265" t="n">
        <f aca="false">AD12+AE12</f>
        <v>51.3</v>
      </c>
      <c r="AG12" s="247" t="n">
        <v>0</v>
      </c>
      <c r="AH12" s="243" t="n">
        <v>47</v>
      </c>
      <c r="AI12" s="248" t="n">
        <v>25</v>
      </c>
      <c r="AJ12" s="243" t="n">
        <f aca="false">AJ10+(V12*1.9835)</f>
        <v>8307.5645093</v>
      </c>
      <c r="AK12" s="243" t="n">
        <v>0</v>
      </c>
      <c r="AL12" s="249"/>
      <c r="AM12" s="105"/>
      <c r="AN12" s="361"/>
    </row>
    <row r="13" customFormat="false" ht="12.95" hidden="false" customHeight="true" outlineLevel="0" collapsed="false">
      <c r="A13" s="172" t="n">
        <f aca="false">A12+1</f>
        <v>2</v>
      </c>
      <c r="B13" s="104" t="n">
        <v>6902.48</v>
      </c>
      <c r="C13" s="105" t="n">
        <v>292821</v>
      </c>
      <c r="D13" s="243" t="n">
        <f aca="false">C13-C12</f>
        <v>-37</v>
      </c>
      <c r="E13" s="105" t="n">
        <f aca="false">C13-152000</f>
        <v>140821</v>
      </c>
      <c r="F13" s="264" t="n">
        <f aca="false">D13/$D$2</f>
        <v>-18.6538946307033</v>
      </c>
      <c r="G13" s="265" t="n">
        <v>35</v>
      </c>
      <c r="H13" s="359" t="n">
        <v>1.6</v>
      </c>
      <c r="I13" s="265" t="n">
        <f aca="false">G13+H13</f>
        <v>36.6</v>
      </c>
      <c r="J13" s="246" t="n">
        <f aca="false">IF(L13&gt;0,L13,0)</f>
        <v>0</v>
      </c>
      <c r="K13" s="265" t="n">
        <f aca="false">I13+J13</f>
        <v>36.6</v>
      </c>
      <c r="L13" s="265" t="n">
        <f aca="false">F13-(I13-AD13)</f>
        <v>-3.95389463070331</v>
      </c>
      <c r="M13" s="267" t="n">
        <v>4.3</v>
      </c>
      <c r="N13" s="265" t="n">
        <v>0</v>
      </c>
      <c r="O13" s="265" t="n">
        <v>0</v>
      </c>
      <c r="P13" s="265"/>
      <c r="Q13" s="366" t="n">
        <f aca="false">1.42*1.02</f>
        <v>1.4484</v>
      </c>
      <c r="R13" s="366" t="n">
        <f aca="false">3*1.04</f>
        <v>3.12</v>
      </c>
      <c r="S13" s="367" t="n">
        <v>0</v>
      </c>
      <c r="T13" s="265" t="n">
        <v>25</v>
      </c>
      <c r="U13" s="265" t="n">
        <v>0</v>
      </c>
      <c r="V13" s="265" t="n">
        <f aca="false">M13-N13-O13-Q13-R13-S13+T13+U13</f>
        <v>24.7316</v>
      </c>
      <c r="W13" s="105"/>
      <c r="X13" s="105"/>
      <c r="Y13" s="265" t="n">
        <v>0</v>
      </c>
      <c r="Z13" s="267"/>
      <c r="AA13" s="269"/>
      <c r="AB13" s="265" t="n">
        <v>22</v>
      </c>
      <c r="AC13" s="105" t="n">
        <f aca="false">AC12-AB13</f>
        <v>3325</v>
      </c>
      <c r="AD13" s="128" t="n">
        <f aca="false">N13+O13+Q13+R13+S13+V13+Y13+AB13</f>
        <v>51.3</v>
      </c>
      <c r="AE13" s="265" t="n">
        <f aca="false">IF(L13&lt;0,L13*-1,0)</f>
        <v>3.95389463070331</v>
      </c>
      <c r="AF13" s="265" t="n">
        <f aca="false">AD13+AE13</f>
        <v>55.2538946307033</v>
      </c>
      <c r="AG13" s="247" t="n">
        <v>0</v>
      </c>
      <c r="AH13" s="243" t="n">
        <v>48</v>
      </c>
      <c r="AI13" s="248" t="n">
        <v>28</v>
      </c>
      <c r="AJ13" s="243" t="n">
        <f aca="false">AJ12+(V13*1.9835)</f>
        <v>8356.6196379</v>
      </c>
      <c r="AK13" s="243" t="n">
        <v>0</v>
      </c>
      <c r="AL13" s="249"/>
      <c r="AM13" s="105"/>
      <c r="AN13" s="361"/>
    </row>
    <row r="14" customFormat="false" ht="12.95" hidden="false" customHeight="true" outlineLevel="0" collapsed="false">
      <c r="A14" s="172" t="n">
        <f aca="false">A13+1</f>
        <v>3</v>
      </c>
      <c r="B14" s="104" t="n">
        <v>6902.47</v>
      </c>
      <c r="C14" s="105" t="n">
        <v>292783</v>
      </c>
      <c r="D14" s="243" t="n">
        <f aca="false">C14-C13</f>
        <v>-38</v>
      </c>
      <c r="E14" s="105" t="n">
        <f aca="false">C14-152000</f>
        <v>140783</v>
      </c>
      <c r="F14" s="264" t="n">
        <f aca="false">D14/$D$2</f>
        <v>-19.1580539450466</v>
      </c>
      <c r="G14" s="265" t="n">
        <v>35</v>
      </c>
      <c r="H14" s="359" t="n">
        <v>1.4</v>
      </c>
      <c r="I14" s="265" t="n">
        <f aca="false">G14+H14</f>
        <v>36.4</v>
      </c>
      <c r="J14" s="246" t="n">
        <f aca="false">IF(L14&gt;0,L14,0)</f>
        <v>0</v>
      </c>
      <c r="K14" s="265" t="n">
        <f aca="false">I14+J14</f>
        <v>36.4</v>
      </c>
      <c r="L14" s="265" t="n">
        <f aca="false">F14-(I14-AD14)</f>
        <v>-4.25805394504664</v>
      </c>
      <c r="M14" s="267" t="n">
        <v>4.3</v>
      </c>
      <c r="N14" s="265" t="n">
        <v>0</v>
      </c>
      <c r="O14" s="265" t="n">
        <v>0</v>
      </c>
      <c r="P14" s="265"/>
      <c r="Q14" s="366" t="n">
        <f aca="false">1.42*1.02</f>
        <v>1.4484</v>
      </c>
      <c r="R14" s="366" t="n">
        <f aca="false">3.28*1.04</f>
        <v>3.4112</v>
      </c>
      <c r="S14" s="367" t="n">
        <v>0</v>
      </c>
      <c r="T14" s="265" t="n">
        <v>25</v>
      </c>
      <c r="U14" s="265" t="n">
        <v>0</v>
      </c>
      <c r="V14" s="265" t="n">
        <f aca="false">M14-N14-O14-Q14-R14-S14+T14+U14</f>
        <v>24.4404</v>
      </c>
      <c r="W14" s="105"/>
      <c r="X14" s="105"/>
      <c r="Y14" s="265" t="n">
        <v>0</v>
      </c>
      <c r="Z14" s="267"/>
      <c r="AA14" s="269"/>
      <c r="AB14" s="265" t="n">
        <v>22</v>
      </c>
      <c r="AC14" s="105" t="n">
        <f aca="false">AC13-AB14</f>
        <v>3303</v>
      </c>
      <c r="AD14" s="128" t="n">
        <f aca="false">N14+O14+Q14+R14+S14+V14+Y14+AB14</f>
        <v>51.3</v>
      </c>
      <c r="AE14" s="265" t="n">
        <f aca="false">IF(L14&lt;0,L14*-1,0)</f>
        <v>4.25805394504664</v>
      </c>
      <c r="AF14" s="265" t="n">
        <f aca="false">AD14+AE14</f>
        <v>55.5580539450466</v>
      </c>
      <c r="AG14" s="247" t="n">
        <v>0</v>
      </c>
      <c r="AH14" s="243" t="n">
        <v>42</v>
      </c>
      <c r="AI14" s="248" t="n">
        <v>19</v>
      </c>
      <c r="AJ14" s="243" t="n">
        <f aca="false">AJ13+(V14*1.9835)</f>
        <v>8405.0971713</v>
      </c>
      <c r="AK14" s="243" t="n">
        <v>0</v>
      </c>
      <c r="AL14" s="249"/>
      <c r="AM14" s="105"/>
      <c r="AN14" s="361"/>
    </row>
    <row r="15" customFormat="false" ht="12.95" hidden="false" customHeight="true" outlineLevel="0" collapsed="false">
      <c r="A15" s="172" t="n">
        <f aca="false">A14+1</f>
        <v>4</v>
      </c>
      <c r="B15" s="104" t="n">
        <v>6902.46</v>
      </c>
      <c r="C15" s="105" t="n">
        <v>292745</v>
      </c>
      <c r="D15" s="243" t="n">
        <f aca="false">C15-C14</f>
        <v>-38</v>
      </c>
      <c r="E15" s="105" t="n">
        <f aca="false">C15-152000</f>
        <v>140745</v>
      </c>
      <c r="F15" s="264" t="n">
        <f aca="false">D15/$D$2</f>
        <v>-19.1580539450466</v>
      </c>
      <c r="G15" s="265" t="n">
        <v>33</v>
      </c>
      <c r="H15" s="359" t="n">
        <v>1.3</v>
      </c>
      <c r="I15" s="265" t="n">
        <f aca="false">G15+H15</f>
        <v>34.3</v>
      </c>
      <c r="J15" s="246" t="n">
        <f aca="false">IF(L15&gt;0,L15,0)</f>
        <v>0</v>
      </c>
      <c r="K15" s="265" t="n">
        <f aca="false">I15+J15</f>
        <v>34.3</v>
      </c>
      <c r="L15" s="265" t="n">
        <f aca="false">F15-(I15-AD15)</f>
        <v>-2.15805394504664</v>
      </c>
      <c r="M15" s="267" t="n">
        <v>4.3</v>
      </c>
      <c r="N15" s="265" t="n">
        <v>0</v>
      </c>
      <c r="O15" s="265" t="n">
        <v>0</v>
      </c>
      <c r="P15" s="265"/>
      <c r="Q15" s="366" t="n">
        <f aca="false">1.42*1.02</f>
        <v>1.4484</v>
      </c>
      <c r="R15" s="366" t="n">
        <f aca="false">3.07*1.04</f>
        <v>3.1928</v>
      </c>
      <c r="S15" s="367" t="n">
        <v>0</v>
      </c>
      <c r="T15" s="265" t="n">
        <v>25</v>
      </c>
      <c r="U15" s="265" t="n">
        <v>0</v>
      </c>
      <c r="V15" s="265" t="n">
        <f aca="false">M15-N15-O15-Q15-R15-S15+T15+U15</f>
        <v>24.6588</v>
      </c>
      <c r="W15" s="105"/>
      <c r="X15" s="105"/>
      <c r="Y15" s="265" t="n">
        <v>0</v>
      </c>
      <c r="Z15" s="267"/>
      <c r="AA15" s="269"/>
      <c r="AB15" s="265" t="n">
        <v>22</v>
      </c>
      <c r="AC15" s="105" t="n">
        <f aca="false">AC14-AB15</f>
        <v>3281</v>
      </c>
      <c r="AD15" s="128" t="n">
        <f aca="false">N15+O15+Q15+R15+S15+V15+Y15+AB15</f>
        <v>51.3</v>
      </c>
      <c r="AE15" s="265" t="n">
        <f aca="false">IF(L15&lt;0,L15*-1,0)</f>
        <v>2.15805394504664</v>
      </c>
      <c r="AF15" s="265" t="n">
        <f aca="false">AD15+AE15</f>
        <v>53.4580539450466</v>
      </c>
      <c r="AG15" s="247" t="n">
        <v>0</v>
      </c>
      <c r="AH15" s="243" t="n">
        <v>48</v>
      </c>
      <c r="AI15" s="248" t="n">
        <v>22</v>
      </c>
      <c r="AJ15" s="243" t="n">
        <f aca="false">AJ14+(V15*1.9835)</f>
        <v>8454.0079011</v>
      </c>
      <c r="AK15" s="243" t="n">
        <v>0</v>
      </c>
      <c r="AL15" s="249"/>
      <c r="AM15" s="105"/>
      <c r="AN15" s="361"/>
    </row>
    <row r="16" customFormat="false" ht="12.95" hidden="false" customHeight="true" outlineLevel="0" collapsed="false">
      <c r="A16" s="172" t="n">
        <f aca="false">A15+1</f>
        <v>5</v>
      </c>
      <c r="B16" s="104" t="n">
        <v>6902.45</v>
      </c>
      <c r="C16" s="105" t="n">
        <v>292708</v>
      </c>
      <c r="D16" s="243" t="n">
        <f aca="false">C16-C15</f>
        <v>-37</v>
      </c>
      <c r="E16" s="105" t="n">
        <f aca="false">C16-152000</f>
        <v>140708</v>
      </c>
      <c r="F16" s="264" t="n">
        <f aca="false">D16/$D$2</f>
        <v>-18.6538946307033</v>
      </c>
      <c r="G16" s="265" t="n">
        <v>32</v>
      </c>
      <c r="H16" s="359" t="n">
        <v>1.2</v>
      </c>
      <c r="I16" s="265" t="n">
        <f aca="false">G16+H16</f>
        <v>33.2</v>
      </c>
      <c r="J16" s="246" t="n">
        <f aca="false">IF(L16&gt;0,L16,0)</f>
        <v>0</v>
      </c>
      <c r="K16" s="265" t="n">
        <f aca="false">I16+J16</f>
        <v>33.2</v>
      </c>
      <c r="L16" s="265" t="n">
        <f aca="false">F16-(I16-AD16)</f>
        <v>-0.553894630703308</v>
      </c>
      <c r="M16" s="267" t="n">
        <v>4.3</v>
      </c>
      <c r="N16" s="265" t="n">
        <v>0</v>
      </c>
      <c r="O16" s="265" t="n">
        <v>0</v>
      </c>
      <c r="P16" s="265"/>
      <c r="Q16" s="366" t="n">
        <f aca="false">1.42*1.02</f>
        <v>1.4484</v>
      </c>
      <c r="R16" s="366" t="n">
        <f aca="false">3.06*1.06</f>
        <v>3.2436</v>
      </c>
      <c r="S16" s="367" t="n">
        <v>0</v>
      </c>
      <c r="T16" s="265" t="n">
        <v>25</v>
      </c>
      <c r="U16" s="265" t="n">
        <v>0</v>
      </c>
      <c r="V16" s="265" t="n">
        <f aca="false">M16-N16-O16-Q16-R16-S16+T16+U16</f>
        <v>24.608</v>
      </c>
      <c r="W16" s="105"/>
      <c r="X16" s="105"/>
      <c r="Y16" s="265" t="n">
        <v>0</v>
      </c>
      <c r="Z16" s="267"/>
      <c r="AA16" s="269"/>
      <c r="AB16" s="265" t="n">
        <v>22</v>
      </c>
      <c r="AC16" s="105" t="n">
        <f aca="false">AC15-AB16</f>
        <v>3259</v>
      </c>
      <c r="AD16" s="128" t="n">
        <f aca="false">N16+O16+Q16+R16+S16+V16+Y16+AB16</f>
        <v>51.3</v>
      </c>
      <c r="AE16" s="265" t="n">
        <f aca="false">IF(L16&lt;0,L16*-1,0)</f>
        <v>0.553894630703308</v>
      </c>
      <c r="AF16" s="265" t="n">
        <f aca="false">AD16+AE16</f>
        <v>51.8538946307033</v>
      </c>
      <c r="AG16" s="247" t="n">
        <v>0</v>
      </c>
      <c r="AH16" s="243" t="n">
        <v>38</v>
      </c>
      <c r="AI16" s="248" t="n">
        <v>21</v>
      </c>
      <c r="AJ16" s="243" t="n">
        <f aca="false">AJ15+(V16*1.9835)</f>
        <v>8502.8178691</v>
      </c>
      <c r="AK16" s="243" t="n">
        <v>0</v>
      </c>
      <c r="AL16" s="249"/>
      <c r="AM16" s="105"/>
      <c r="AN16" s="361"/>
    </row>
    <row r="17" customFormat="false" ht="12.95" hidden="false" customHeight="true" outlineLevel="0" collapsed="false">
      <c r="A17" s="172" t="n">
        <f aca="false">A16+1</f>
        <v>6</v>
      </c>
      <c r="B17" s="104" t="n">
        <v>6902.43</v>
      </c>
      <c r="C17" s="105" t="n">
        <v>292632</v>
      </c>
      <c r="D17" s="243" t="n">
        <f aca="false">C17-C16</f>
        <v>-76</v>
      </c>
      <c r="E17" s="105" t="n">
        <f aca="false">C17-152000</f>
        <v>140632</v>
      </c>
      <c r="F17" s="264" t="n">
        <f aca="false">D17/$D$2</f>
        <v>-38.3161078900933</v>
      </c>
      <c r="G17" s="265" t="n">
        <v>32</v>
      </c>
      <c r="H17" s="359" t="n">
        <v>1.1</v>
      </c>
      <c r="I17" s="265" t="n">
        <f aca="false">G17+H17</f>
        <v>33.1</v>
      </c>
      <c r="J17" s="246" t="n">
        <f aca="false">IF(L17&gt;0,L17,0)</f>
        <v>0</v>
      </c>
      <c r="K17" s="265" t="n">
        <f aca="false">I17+J17</f>
        <v>33.1</v>
      </c>
      <c r="L17" s="265" t="n">
        <f aca="false">F17-(I17-AD17)</f>
        <v>-2.01610789009327</v>
      </c>
      <c r="M17" s="267" t="n">
        <v>4.4</v>
      </c>
      <c r="N17" s="265" t="n">
        <v>0</v>
      </c>
      <c r="O17" s="265" t="n">
        <v>0</v>
      </c>
      <c r="P17" s="265"/>
      <c r="Q17" s="366" t="n">
        <f aca="false">1.42*1.02</f>
        <v>1.4484</v>
      </c>
      <c r="R17" s="366" t="n">
        <f aca="false">2.23*1.04</f>
        <v>2.3192</v>
      </c>
      <c r="S17" s="367" t="n">
        <v>0</v>
      </c>
      <c r="T17" s="265" t="n">
        <v>41</v>
      </c>
      <c r="U17" s="265" t="n">
        <v>0</v>
      </c>
      <c r="V17" s="265" t="n">
        <f aca="false">M17-N17-O17-Q17-R17-S17+T17+U17</f>
        <v>41.6324</v>
      </c>
      <c r="W17" s="105"/>
      <c r="X17" s="105"/>
      <c r="Y17" s="265" t="n">
        <v>0</v>
      </c>
      <c r="Z17" s="267"/>
      <c r="AA17" s="269"/>
      <c r="AB17" s="265" t="n">
        <v>24</v>
      </c>
      <c r="AC17" s="105" t="n">
        <f aca="false">AC16-AB17</f>
        <v>3235</v>
      </c>
      <c r="AD17" s="128" t="n">
        <f aca="false">N17+O17+Q17+R17+S17+V17+Y17+AB17</f>
        <v>69.4</v>
      </c>
      <c r="AE17" s="265" t="n">
        <f aca="false">IF(L17&lt;0,L17*-1,0)</f>
        <v>2.01610789009327</v>
      </c>
      <c r="AF17" s="265" t="n">
        <f aca="false">AD17+AE17</f>
        <v>71.4161078900933</v>
      </c>
      <c r="AG17" s="247" t="n">
        <v>0</v>
      </c>
      <c r="AH17" s="243" t="n">
        <v>47</v>
      </c>
      <c r="AI17" s="248" t="n">
        <v>14</v>
      </c>
      <c r="AJ17" s="243" t="n">
        <f aca="false">AJ16+(V17*1.9835)</f>
        <v>8585.3957345</v>
      </c>
      <c r="AK17" s="243" t="n">
        <v>0</v>
      </c>
      <c r="AL17" s="265"/>
      <c r="AM17" s="105"/>
      <c r="AN17" s="361"/>
    </row>
    <row r="18" customFormat="false" ht="12.95" hidden="false" customHeight="true" outlineLevel="0" collapsed="false">
      <c r="A18" s="172" t="n">
        <f aca="false">A17+1</f>
        <v>7</v>
      </c>
      <c r="B18" s="104" t="n">
        <v>6902.41</v>
      </c>
      <c r="C18" s="105" t="n">
        <v>292557</v>
      </c>
      <c r="D18" s="243" t="n">
        <f aca="false">C18-C17</f>
        <v>-75</v>
      </c>
      <c r="E18" s="105" t="n">
        <f aca="false">C18-152000</f>
        <v>140557</v>
      </c>
      <c r="F18" s="264" t="n">
        <f aca="false">D18/$D$2</f>
        <v>-37.8119485757499</v>
      </c>
      <c r="G18" s="265" t="n">
        <v>28</v>
      </c>
      <c r="H18" s="359" t="n">
        <v>1</v>
      </c>
      <c r="I18" s="265" t="n">
        <f aca="false">G18+H18</f>
        <v>29</v>
      </c>
      <c r="J18" s="246" t="n">
        <f aca="false">IF(L18&gt;0,L18,0)</f>
        <v>15.1880514242501</v>
      </c>
      <c r="K18" s="265" t="n">
        <f aca="false">I18+J18</f>
        <v>44.1880514242501</v>
      </c>
      <c r="L18" s="265" t="n">
        <f aca="false">F18-(I18-AD18)</f>
        <v>15.1880514242501</v>
      </c>
      <c r="M18" s="267" t="n">
        <v>4</v>
      </c>
      <c r="N18" s="265" t="n">
        <v>0</v>
      </c>
      <c r="O18" s="265" t="n">
        <v>0</v>
      </c>
      <c r="P18" s="265"/>
      <c r="Q18" s="366" t="n">
        <f aca="false">1.42*1.02</f>
        <v>1.4484</v>
      </c>
      <c r="R18" s="366" t="n">
        <f aca="false">3.13*1.04</f>
        <v>3.2552</v>
      </c>
      <c r="S18" s="367" t="n">
        <v>0</v>
      </c>
      <c r="T18" s="265" t="n">
        <v>53</v>
      </c>
      <c r="U18" s="265" t="n">
        <v>0</v>
      </c>
      <c r="V18" s="265" t="n">
        <f aca="false">M18-N18-O18-Q18-R18-S18+T18+U18</f>
        <v>52.2964</v>
      </c>
      <c r="W18" s="105"/>
      <c r="X18" s="105"/>
      <c r="Y18" s="265" t="n">
        <v>0</v>
      </c>
      <c r="Z18" s="267"/>
      <c r="AA18" s="269"/>
      <c r="AB18" s="265" t="n">
        <v>25</v>
      </c>
      <c r="AC18" s="105" t="n">
        <f aca="false">AC17-AB18</f>
        <v>3210</v>
      </c>
      <c r="AD18" s="128" t="n">
        <f aca="false">N18+O18+Q18+R18+S18+V18+Y18+AB18</f>
        <v>82</v>
      </c>
      <c r="AE18" s="265" t="n">
        <f aca="false">IF(L18&lt;0,L18*-1,0)</f>
        <v>0</v>
      </c>
      <c r="AF18" s="265" t="n">
        <f aca="false">AD18+AE18</f>
        <v>82</v>
      </c>
      <c r="AG18" s="247" t="n">
        <v>0</v>
      </c>
      <c r="AH18" s="243" t="n">
        <v>53</v>
      </c>
      <c r="AI18" s="248" t="n">
        <v>19</v>
      </c>
      <c r="AJ18" s="243" t="n">
        <f aca="false">AJ17+(V18*1.9835)</f>
        <v>8689.1256439</v>
      </c>
      <c r="AK18" s="243" t="n">
        <v>0</v>
      </c>
      <c r="AL18" s="265"/>
      <c r="AM18" s="105"/>
      <c r="AN18" s="361"/>
    </row>
    <row r="19" customFormat="false" ht="12.95" hidden="false" customHeight="true" outlineLevel="0" collapsed="false">
      <c r="A19" s="172" t="n">
        <f aca="false">A18+1</f>
        <v>8</v>
      </c>
      <c r="B19" s="104" t="n">
        <v>6902.39</v>
      </c>
      <c r="C19" s="105" t="n">
        <v>292482</v>
      </c>
      <c r="D19" s="243" t="n">
        <f aca="false">C19-C18</f>
        <v>-75</v>
      </c>
      <c r="E19" s="105" t="n">
        <f aca="false">C19-152000</f>
        <v>140482</v>
      </c>
      <c r="F19" s="264" t="n">
        <f aca="false">D19/$D$2</f>
        <v>-37.8119485757499</v>
      </c>
      <c r="G19" s="265" t="n">
        <v>30</v>
      </c>
      <c r="H19" s="359" t="n">
        <v>0.91</v>
      </c>
      <c r="I19" s="265" t="n">
        <f aca="false">G19+H19</f>
        <v>30.91</v>
      </c>
      <c r="J19" s="246" t="n">
        <f aca="false">IF(L19&gt;0,L19,0)</f>
        <v>14.4780514242501</v>
      </c>
      <c r="K19" s="265" t="n">
        <f aca="false">I19+J19</f>
        <v>45.3880514242501</v>
      </c>
      <c r="L19" s="265" t="n">
        <f aca="false">F19-(I19-AD19)</f>
        <v>14.4780514242501</v>
      </c>
      <c r="M19" s="267" t="n">
        <v>4.2</v>
      </c>
      <c r="N19" s="265" t="n">
        <v>0</v>
      </c>
      <c r="O19" s="265" t="n">
        <v>0</v>
      </c>
      <c r="P19" s="265"/>
      <c r="Q19" s="366" t="n">
        <f aca="false">1.42*1.02</f>
        <v>1.4484</v>
      </c>
      <c r="R19" s="366" t="n">
        <f aca="false">3.31*1.04</f>
        <v>3.4424</v>
      </c>
      <c r="S19" s="367" t="n">
        <v>0</v>
      </c>
      <c r="T19" s="265" t="n">
        <v>54</v>
      </c>
      <c r="U19" s="265" t="n">
        <v>0</v>
      </c>
      <c r="V19" s="265" t="n">
        <f aca="false">M19-N19-O19-Q19-R19-S19+T19+U19</f>
        <v>53.3092</v>
      </c>
      <c r="W19" s="105"/>
      <c r="X19" s="105"/>
      <c r="Y19" s="265" t="n">
        <v>0</v>
      </c>
      <c r="Z19" s="267"/>
      <c r="AA19" s="269"/>
      <c r="AB19" s="265" t="n">
        <v>25</v>
      </c>
      <c r="AC19" s="105" t="n">
        <f aca="false">AC18-AB19</f>
        <v>3185</v>
      </c>
      <c r="AD19" s="128" t="n">
        <f aca="false">N19+O19+Q19+R19+S19+V19+Y19+AB19</f>
        <v>83.2</v>
      </c>
      <c r="AE19" s="265" t="n">
        <f aca="false">IF(L19&lt;0,L19*-1,0)</f>
        <v>0</v>
      </c>
      <c r="AF19" s="265" t="n">
        <f aca="false">AD19+AE19</f>
        <v>83.2</v>
      </c>
      <c r="AG19" s="247" t="n">
        <v>0</v>
      </c>
      <c r="AH19" s="243" t="n">
        <v>54</v>
      </c>
      <c r="AI19" s="248" t="n">
        <v>21</v>
      </c>
      <c r="AJ19" s="243" t="n">
        <f aca="false">AJ18+(V19*1.9835)</f>
        <v>8794.8644421</v>
      </c>
      <c r="AK19" s="243" t="n">
        <v>0</v>
      </c>
      <c r="AL19" s="265"/>
      <c r="AM19" s="105"/>
      <c r="AN19" s="361"/>
    </row>
    <row r="20" customFormat="false" ht="12.95" hidden="false" customHeight="true" outlineLevel="0" collapsed="false">
      <c r="A20" s="172" t="n">
        <f aca="false">A19+1</f>
        <v>9</v>
      </c>
      <c r="B20" s="104" t="n">
        <v>6902.36</v>
      </c>
      <c r="C20" s="105" t="n">
        <v>292369</v>
      </c>
      <c r="D20" s="243" t="n">
        <f aca="false">C20-C19</f>
        <v>-113</v>
      </c>
      <c r="E20" s="105" t="n">
        <f aca="false">C20-152000</f>
        <v>140369</v>
      </c>
      <c r="F20" s="264" t="n">
        <f aca="false">D20/$D$2</f>
        <v>-56.9700025207966</v>
      </c>
      <c r="G20" s="265" t="n">
        <v>31</v>
      </c>
      <c r="H20" s="359" t="n">
        <v>0.93</v>
      </c>
      <c r="I20" s="265" t="n">
        <f aca="false">G20+H20</f>
        <v>31.93</v>
      </c>
      <c r="J20" s="246" t="n">
        <f aca="false">IF(L20&gt;0,L20,0)</f>
        <v>0</v>
      </c>
      <c r="K20" s="265" t="n">
        <f aca="false">I20+J20</f>
        <v>31.93</v>
      </c>
      <c r="L20" s="265" t="n">
        <f aca="false">F20-(I20-AD20)</f>
        <v>-3.50000252079656</v>
      </c>
      <c r="M20" s="267" t="n">
        <v>5.4</v>
      </c>
      <c r="N20" s="265" t="n">
        <v>0</v>
      </c>
      <c r="O20" s="265" t="n">
        <v>0</v>
      </c>
      <c r="P20" s="265"/>
      <c r="Q20" s="366" t="n">
        <f aca="false">1.42*1.02</f>
        <v>1.4484</v>
      </c>
      <c r="R20" s="366" t="n">
        <f aca="false">3.52*1.04</f>
        <v>3.6608</v>
      </c>
      <c r="S20" s="367" t="n">
        <v>0</v>
      </c>
      <c r="T20" s="265" t="n">
        <v>55</v>
      </c>
      <c r="U20" s="265" t="n">
        <v>0</v>
      </c>
      <c r="V20" s="265" t="n">
        <f aca="false">M20-N20-O20-Q20-R20-S20+T20+U20</f>
        <v>55.2908</v>
      </c>
      <c r="W20" s="105"/>
      <c r="X20" s="105"/>
      <c r="Y20" s="265" t="n">
        <v>0</v>
      </c>
      <c r="Z20" s="267"/>
      <c r="AA20" s="269"/>
      <c r="AB20" s="265" t="n">
        <v>25</v>
      </c>
      <c r="AC20" s="105" t="n">
        <f aca="false">AC19-AB20</f>
        <v>3160</v>
      </c>
      <c r="AD20" s="128" t="n">
        <f aca="false">N20+O20+Q20+R20+S20+V20+Y20+AB20</f>
        <v>85.4</v>
      </c>
      <c r="AE20" s="265" t="n">
        <f aca="false">IF(L20&lt;0,L20*-1,0)</f>
        <v>3.50000252079656</v>
      </c>
      <c r="AF20" s="265" t="n">
        <f aca="false">AD20+AE20</f>
        <v>88.9000025207966</v>
      </c>
      <c r="AG20" s="247" t="n">
        <v>0</v>
      </c>
      <c r="AH20" s="249" t="n">
        <v>55</v>
      </c>
      <c r="AI20" s="248" t="n">
        <v>24</v>
      </c>
      <c r="AJ20" s="243" t="n">
        <f aca="false">AJ19+(V20*1.9835)</f>
        <v>8904.5337439</v>
      </c>
      <c r="AK20" s="243" t="n">
        <v>0</v>
      </c>
      <c r="AL20" s="265"/>
      <c r="AM20" s="105"/>
      <c r="AN20" s="361"/>
    </row>
    <row r="21" customFormat="false" ht="12.95" hidden="false" customHeight="true" outlineLevel="0" collapsed="false">
      <c r="A21" s="172" t="n">
        <f aca="false">A20+1</f>
        <v>10</v>
      </c>
      <c r="B21" s="104" t="n">
        <v>6902.33</v>
      </c>
      <c r="C21" s="105" t="n">
        <v>292256</v>
      </c>
      <c r="D21" s="243" t="n">
        <f aca="false">C21-C20</f>
        <v>-113</v>
      </c>
      <c r="E21" s="105" t="n">
        <f aca="false">C21-152000</f>
        <v>140256</v>
      </c>
      <c r="F21" s="264" t="n">
        <f aca="false">D21/$D$2</f>
        <v>-56.9700025207966</v>
      </c>
      <c r="G21" s="265" t="n">
        <v>32</v>
      </c>
      <c r="H21" s="359" t="n">
        <v>0.97</v>
      </c>
      <c r="I21" s="265" t="n">
        <f aca="false">G21+H21</f>
        <v>32.97</v>
      </c>
      <c r="J21" s="246" t="n">
        <f aca="false">IF(L21&gt;0,L21,0)</f>
        <v>0</v>
      </c>
      <c r="K21" s="265" t="n">
        <f aca="false">I21+J21</f>
        <v>32.97</v>
      </c>
      <c r="L21" s="265" t="n">
        <f aca="false">F21-(I21-AD21)</f>
        <v>-4.74000252079657</v>
      </c>
      <c r="M21" s="267" t="n">
        <v>5.2</v>
      </c>
      <c r="N21" s="265" t="n">
        <v>0</v>
      </c>
      <c r="O21" s="265" t="n">
        <v>0</v>
      </c>
      <c r="P21" s="265"/>
      <c r="Q21" s="366" t="n">
        <f aca="false">1.42*1.02</f>
        <v>1.4484</v>
      </c>
      <c r="R21" s="366" t="n">
        <f aca="false">3.93*1.04</f>
        <v>4.0872</v>
      </c>
      <c r="S21" s="367" t="n">
        <v>0</v>
      </c>
      <c r="T21" s="265" t="n">
        <v>55</v>
      </c>
      <c r="U21" s="265" t="n">
        <v>0</v>
      </c>
      <c r="V21" s="265" t="n">
        <f aca="false">M21-N21-O21-Q21-R21-S21+T21+U21</f>
        <v>54.6644</v>
      </c>
      <c r="W21" s="105"/>
      <c r="X21" s="105"/>
      <c r="Y21" s="265" t="n">
        <v>0</v>
      </c>
      <c r="Z21" s="267"/>
      <c r="AA21" s="269"/>
      <c r="AB21" s="265" t="n">
        <v>25</v>
      </c>
      <c r="AC21" s="105" t="n">
        <f aca="false">AC20-AB21</f>
        <v>3135</v>
      </c>
      <c r="AD21" s="128" t="n">
        <f aca="false">N21+O21+Q21+R21+S21+V21+Y21+AB21</f>
        <v>85.2</v>
      </c>
      <c r="AE21" s="265" t="n">
        <f aca="false">IF(L21&lt;0,L21*-1,0)</f>
        <v>4.74000252079657</v>
      </c>
      <c r="AF21" s="265" t="n">
        <f aca="false">AD21+AE21</f>
        <v>89.9400025207966</v>
      </c>
      <c r="AG21" s="247" t="n">
        <v>0</v>
      </c>
      <c r="AH21" s="243" t="n">
        <v>40</v>
      </c>
      <c r="AI21" s="248" t="n">
        <v>17</v>
      </c>
      <c r="AJ21" s="243" t="n">
        <f aca="false">AJ20+(V21*1.9835)</f>
        <v>9012.9605813</v>
      </c>
      <c r="AK21" s="243" t="n">
        <v>0</v>
      </c>
      <c r="AL21" s="265"/>
      <c r="AM21" s="105"/>
      <c r="AN21" s="361"/>
    </row>
    <row r="22" customFormat="false" ht="12.95" hidden="false" customHeight="true" outlineLevel="0" collapsed="false">
      <c r="A22" s="172" t="n">
        <f aca="false">A21+1</f>
        <v>11</v>
      </c>
      <c r="B22" s="104" t="n">
        <v>6902.29</v>
      </c>
      <c r="C22" s="105" t="n">
        <v>292106</v>
      </c>
      <c r="D22" s="243" t="n">
        <f aca="false">C22-C21</f>
        <v>-150</v>
      </c>
      <c r="E22" s="105" t="n">
        <f aca="false">C22-152000</f>
        <v>140106</v>
      </c>
      <c r="F22" s="264" t="n">
        <f aca="false">D22/$D$2</f>
        <v>-75.6238971514999</v>
      </c>
      <c r="G22" s="265" t="n">
        <v>29</v>
      </c>
      <c r="H22" s="359" t="n">
        <v>0.8</v>
      </c>
      <c r="I22" s="265" t="n">
        <f aca="false">G22+H22</f>
        <v>29.8</v>
      </c>
      <c r="J22" s="246" t="n">
        <f aca="false">IF(L22&gt;0,L22,0)</f>
        <v>0</v>
      </c>
      <c r="K22" s="265" t="n">
        <f aca="false">I22+J22</f>
        <v>29.8</v>
      </c>
      <c r="L22" s="265" t="n">
        <f aca="false">F22-(I22-AD22)</f>
        <v>-20.3238971514999</v>
      </c>
      <c r="M22" s="267" t="n">
        <v>5.1</v>
      </c>
      <c r="N22" s="265" t="n">
        <v>0</v>
      </c>
      <c r="O22" s="265" t="n">
        <v>0</v>
      </c>
      <c r="P22" s="265"/>
      <c r="Q22" s="366" t="n">
        <f aca="false">1.42*1.02</f>
        <v>1.4484</v>
      </c>
      <c r="R22" s="366" t="n">
        <v>4.2</v>
      </c>
      <c r="S22" s="367" t="n">
        <v>1.22</v>
      </c>
      <c r="T22" s="265" t="n">
        <v>55</v>
      </c>
      <c r="U22" s="265" t="n">
        <v>0</v>
      </c>
      <c r="V22" s="265" t="n">
        <f aca="false">M22-N22-O22-Q22-R22-S22+T22+U22</f>
        <v>53.2316</v>
      </c>
      <c r="W22" s="105"/>
      <c r="X22" s="105"/>
      <c r="Y22" s="265" t="n">
        <v>0</v>
      </c>
      <c r="Z22" s="267"/>
      <c r="AA22" s="269"/>
      <c r="AB22" s="265" t="n">
        <v>25</v>
      </c>
      <c r="AC22" s="105" t="n">
        <f aca="false">AC21-AB22</f>
        <v>3110</v>
      </c>
      <c r="AD22" s="128" t="n">
        <f aca="false">N22+O22+Q22+R22+S22+V22+Y22+AB22</f>
        <v>85.1</v>
      </c>
      <c r="AE22" s="265" t="n">
        <f aca="false">IF(L22&lt;0,L22*-1,0)</f>
        <v>20.3238971514999</v>
      </c>
      <c r="AF22" s="265" t="n">
        <f aca="false">AD22+AE22</f>
        <v>105.4238971515</v>
      </c>
      <c r="AG22" s="247" t="n">
        <v>0</v>
      </c>
      <c r="AH22" s="243" t="n">
        <v>38</v>
      </c>
      <c r="AI22" s="248" t="n">
        <v>5</v>
      </c>
      <c r="AJ22" s="243" t="n">
        <f aca="false">AJ21+(V22*1.9835)</f>
        <v>9118.5454599</v>
      </c>
      <c r="AK22" s="243" t="n">
        <v>0</v>
      </c>
      <c r="AL22" s="265"/>
      <c r="AM22" s="105"/>
      <c r="AN22" s="361"/>
    </row>
    <row r="23" customFormat="false" ht="12.95" hidden="false" customHeight="true" outlineLevel="0" collapsed="false">
      <c r="A23" s="172" t="n">
        <f aca="false">A22+1</f>
        <v>12</v>
      </c>
      <c r="B23" s="104" t="n">
        <v>6902.26</v>
      </c>
      <c r="C23" s="105" t="n">
        <v>291993</v>
      </c>
      <c r="D23" s="243" t="n">
        <f aca="false">C23-C22</f>
        <v>-113</v>
      </c>
      <c r="E23" s="105" t="n">
        <f aca="false">C23-152000</f>
        <v>139993</v>
      </c>
      <c r="F23" s="264" t="n">
        <f aca="false">D23/$D$2</f>
        <v>-56.9700025207966</v>
      </c>
      <c r="G23" s="265" t="n">
        <v>27</v>
      </c>
      <c r="H23" s="359" t="n">
        <v>0.76</v>
      </c>
      <c r="I23" s="265" t="n">
        <f aca="false">G23+H23</f>
        <v>27.76</v>
      </c>
      <c r="J23" s="246" t="n">
        <f aca="false">IF(L23&gt;0,L23,0)</f>
        <v>0.36999747920342</v>
      </c>
      <c r="K23" s="265" t="n">
        <f aca="false">I23+J23</f>
        <v>28.1299974792034</v>
      </c>
      <c r="L23" s="265" t="n">
        <f aca="false">F23-(I23-AD23)</f>
        <v>0.36999747920342</v>
      </c>
      <c r="M23" s="267" t="n">
        <v>5.1</v>
      </c>
      <c r="N23" s="265" t="n">
        <v>0</v>
      </c>
      <c r="O23" s="265" t="n">
        <v>0</v>
      </c>
      <c r="P23" s="265"/>
      <c r="Q23" s="366" t="n">
        <f aca="false">1.42*1.02</f>
        <v>1.4484</v>
      </c>
      <c r="R23" s="366" t="n">
        <f aca="false">3.06*1.04</f>
        <v>3.1824</v>
      </c>
      <c r="S23" s="367" t="n">
        <v>0</v>
      </c>
      <c r="T23" s="265" t="n">
        <v>55</v>
      </c>
      <c r="U23" s="265" t="n">
        <v>0</v>
      </c>
      <c r="V23" s="265" t="n">
        <f aca="false">M23-N23-O23-Q23-R23-S23+T23+U23</f>
        <v>55.4692</v>
      </c>
      <c r="W23" s="105"/>
      <c r="X23" s="105"/>
      <c r="Y23" s="265" t="n">
        <v>0</v>
      </c>
      <c r="Z23" s="267"/>
      <c r="AA23" s="269"/>
      <c r="AB23" s="265" t="n">
        <v>25</v>
      </c>
      <c r="AC23" s="105" t="n">
        <f aca="false">AC22-AB23</f>
        <v>3085</v>
      </c>
      <c r="AD23" s="128" t="n">
        <f aca="false">N23+O23+Q23+R23+S23+V23+Y23+AB23</f>
        <v>85.1</v>
      </c>
      <c r="AE23" s="265" t="n">
        <f aca="false">IF(L23&lt;0,L23*-1,0)</f>
        <v>0</v>
      </c>
      <c r="AF23" s="265" t="n">
        <f aca="false">AD23+AE23</f>
        <v>85.1</v>
      </c>
      <c r="AG23" s="247" t="n">
        <v>0</v>
      </c>
      <c r="AH23" s="243" t="n">
        <v>46</v>
      </c>
      <c r="AI23" s="248" t="n">
        <v>14</v>
      </c>
      <c r="AJ23" s="243" t="n">
        <f aca="false">AJ22+(V23*1.9835)</f>
        <v>9228.5686181</v>
      </c>
      <c r="AK23" s="243" t="n">
        <v>0</v>
      </c>
      <c r="AL23" s="265"/>
      <c r="AM23" s="105"/>
      <c r="AN23" s="361"/>
    </row>
    <row r="24" customFormat="false" ht="12.95" hidden="false" customHeight="true" outlineLevel="0" collapsed="false">
      <c r="A24" s="172" t="n">
        <f aca="false">A23+1</f>
        <v>13</v>
      </c>
      <c r="B24" s="104" t="n">
        <v>6902.23</v>
      </c>
      <c r="C24" s="105" t="n">
        <v>291880</v>
      </c>
      <c r="D24" s="243" t="n">
        <f aca="false">C24-C23</f>
        <v>-113</v>
      </c>
      <c r="E24" s="105" t="n">
        <f aca="false">C24-152000</f>
        <v>139880</v>
      </c>
      <c r="F24" s="264" t="n">
        <f aca="false">D24/$D$2</f>
        <v>-56.9700025207966</v>
      </c>
      <c r="G24" s="265" t="n">
        <v>32</v>
      </c>
      <c r="H24" s="359" t="n">
        <v>0.73</v>
      </c>
      <c r="I24" s="265" t="n">
        <f aca="false">G24+H24</f>
        <v>32.73</v>
      </c>
      <c r="J24" s="246" t="n">
        <f aca="false">IF(L24&gt;0,L24,0)</f>
        <v>0</v>
      </c>
      <c r="K24" s="265" t="n">
        <f aca="false">I24+J24</f>
        <v>32.73</v>
      </c>
      <c r="L24" s="265" t="n">
        <f aca="false">F24-(I24-AD24)</f>
        <v>-12.5000025207966</v>
      </c>
      <c r="M24" s="267" t="n">
        <v>5.2</v>
      </c>
      <c r="N24" s="265" t="n">
        <v>0</v>
      </c>
      <c r="O24" s="265" t="n">
        <v>0</v>
      </c>
      <c r="P24" s="265"/>
      <c r="Q24" s="366" t="n">
        <f aca="false">1.42*1.02</f>
        <v>1.4484</v>
      </c>
      <c r="R24" s="366" t="n">
        <f aca="false">2.97*1.04</f>
        <v>3.0888</v>
      </c>
      <c r="S24" s="367" t="n">
        <v>0</v>
      </c>
      <c r="T24" s="265" t="n">
        <v>47</v>
      </c>
      <c r="U24" s="265" t="n">
        <v>0</v>
      </c>
      <c r="V24" s="265" t="n">
        <f aca="false">M24-N24-O24-Q24-R24-S24+T24+U24</f>
        <v>47.6628</v>
      </c>
      <c r="W24" s="105"/>
      <c r="X24" s="105"/>
      <c r="Y24" s="265" t="n">
        <v>0</v>
      </c>
      <c r="Z24" s="267"/>
      <c r="AA24" s="269"/>
      <c r="AB24" s="265" t="n">
        <v>25</v>
      </c>
      <c r="AC24" s="105" t="n">
        <f aca="false">AC23-AB24</f>
        <v>3060</v>
      </c>
      <c r="AD24" s="128" t="n">
        <f aca="false">N24+O24+Q24+R24+S24+V24+Y24+AB24</f>
        <v>77.2</v>
      </c>
      <c r="AE24" s="265" t="n">
        <f aca="false">IF(L24&lt;0,L24*-1,0)</f>
        <v>12.5000025207966</v>
      </c>
      <c r="AF24" s="265" t="n">
        <f aca="false">AD24+AE24</f>
        <v>89.7000025207966</v>
      </c>
      <c r="AG24" s="247" t="n">
        <v>0</v>
      </c>
      <c r="AH24" s="243" t="n">
        <v>44</v>
      </c>
      <c r="AI24" s="248" t="n">
        <v>19</v>
      </c>
      <c r="AJ24" s="243" t="n">
        <f aca="false">AJ23+(V24*1.9835)</f>
        <v>9323.1077819</v>
      </c>
      <c r="AK24" s="243" t="n">
        <v>0</v>
      </c>
      <c r="AL24" s="265"/>
      <c r="AM24" s="105"/>
      <c r="AN24" s="361"/>
    </row>
    <row r="25" customFormat="false" ht="12.95" hidden="false" customHeight="true" outlineLevel="0" collapsed="false">
      <c r="A25" s="172" t="n">
        <f aca="false">A24+1</f>
        <v>14</v>
      </c>
      <c r="B25" s="104" t="n">
        <v>6902.21</v>
      </c>
      <c r="C25" s="105" t="n">
        <v>291805</v>
      </c>
      <c r="D25" s="243" t="n">
        <f aca="false">C25-C24</f>
        <v>-75</v>
      </c>
      <c r="E25" s="105" t="n">
        <f aca="false">C25-152000</f>
        <v>139805</v>
      </c>
      <c r="F25" s="264" t="n">
        <f aca="false">D25/$D$2</f>
        <v>-37.8119485757499</v>
      </c>
      <c r="G25" s="265" t="n">
        <v>32</v>
      </c>
      <c r="H25" s="359" t="n">
        <v>0.69</v>
      </c>
      <c r="I25" s="265" t="n">
        <f aca="false">G25+H25</f>
        <v>32.69</v>
      </c>
      <c r="J25" s="246" t="n">
        <f aca="false">IF(L25&gt;0,L25,0)</f>
        <v>1.59805142425006</v>
      </c>
      <c r="K25" s="265" t="n">
        <f aca="false">I25+J25</f>
        <v>34.2880514242501</v>
      </c>
      <c r="L25" s="265" t="n">
        <f aca="false">F25-(I25-AD25)</f>
        <v>1.59805142425006</v>
      </c>
      <c r="M25" s="267" t="n">
        <v>5.1</v>
      </c>
      <c r="N25" s="265" t="n">
        <v>0</v>
      </c>
      <c r="O25" s="265" t="n">
        <v>0</v>
      </c>
      <c r="P25" s="265"/>
      <c r="Q25" s="366" t="n">
        <f aca="false">1.42*1.02</f>
        <v>1.4484</v>
      </c>
      <c r="R25" s="366" t="n">
        <f aca="false">2.97*1.04</f>
        <v>3.0888</v>
      </c>
      <c r="S25" s="367" t="n">
        <v>0</v>
      </c>
      <c r="T25" s="265" t="n">
        <v>42</v>
      </c>
      <c r="U25" s="265" t="n">
        <v>0</v>
      </c>
      <c r="V25" s="265" t="n">
        <f aca="false">M25-N25-O25-Q25-R25-S25+T25+U25</f>
        <v>42.5628</v>
      </c>
      <c r="W25" s="105"/>
      <c r="X25" s="105"/>
      <c r="Y25" s="265" t="n">
        <v>0</v>
      </c>
      <c r="Z25" s="267"/>
      <c r="AA25" s="269"/>
      <c r="AB25" s="265" t="n">
        <v>25</v>
      </c>
      <c r="AC25" s="105" t="n">
        <f aca="false">AC24-AB25</f>
        <v>3035</v>
      </c>
      <c r="AD25" s="128" t="n">
        <f aca="false">N25+O25+Q25+R25+S25+V25+Y25+AB25</f>
        <v>72.1</v>
      </c>
      <c r="AE25" s="265" t="n">
        <f aca="false">IF(L25&lt;0,L25*-1,0)</f>
        <v>0</v>
      </c>
      <c r="AF25" s="265" t="n">
        <f aca="false">AD25+AE25</f>
        <v>72.1</v>
      </c>
      <c r="AG25" s="247" t="n">
        <v>0</v>
      </c>
      <c r="AH25" s="249" t="n">
        <v>50</v>
      </c>
      <c r="AI25" s="248" t="n">
        <v>20</v>
      </c>
      <c r="AJ25" s="243" t="n">
        <f aca="false">AJ24+(V25*1.9835)</f>
        <v>9407.5310957</v>
      </c>
      <c r="AK25" s="243" t="n">
        <v>0</v>
      </c>
      <c r="AL25" s="265"/>
      <c r="AM25" s="105"/>
      <c r="AN25" s="361"/>
    </row>
    <row r="26" customFormat="false" ht="12.95" hidden="false" customHeight="true" outlineLevel="0" collapsed="false">
      <c r="A26" s="172" t="n">
        <f aca="false">A25+1</f>
        <v>15</v>
      </c>
      <c r="B26" s="104" t="n">
        <v>6902.2</v>
      </c>
      <c r="C26" s="105" t="n">
        <v>291767</v>
      </c>
      <c r="D26" s="243" t="n">
        <f aca="false">C26-C25</f>
        <v>-38</v>
      </c>
      <c r="E26" s="105" t="n">
        <f aca="false">C26-152000</f>
        <v>139767</v>
      </c>
      <c r="F26" s="264" t="n">
        <f aca="false">D26/$D$2</f>
        <v>-19.1580539450466</v>
      </c>
      <c r="G26" s="265" t="n">
        <v>35</v>
      </c>
      <c r="H26" s="359" t="n">
        <v>0.77</v>
      </c>
      <c r="I26" s="265" t="n">
        <f aca="false">G26+H26</f>
        <v>35.77</v>
      </c>
      <c r="J26" s="246" t="n">
        <f aca="false">IF(L26&gt;0,L26,0)</f>
        <v>16.0719460549534</v>
      </c>
      <c r="K26" s="265" t="n">
        <f aca="false">I26+J26</f>
        <v>51.8419460549534</v>
      </c>
      <c r="L26" s="265" t="n">
        <f aca="false">F26-(I26-AD26)</f>
        <v>16.0719460549534</v>
      </c>
      <c r="M26" s="267" t="n">
        <v>5</v>
      </c>
      <c r="N26" s="265" t="n">
        <v>0</v>
      </c>
      <c r="O26" s="265" t="n">
        <v>0</v>
      </c>
      <c r="P26" s="265"/>
      <c r="Q26" s="366" t="n">
        <f aca="false">1.42*1.02</f>
        <v>1.4484</v>
      </c>
      <c r="R26" s="366" t="n">
        <f aca="false">2.95*1.04</f>
        <v>3.068</v>
      </c>
      <c r="S26" s="367" t="n">
        <v>0</v>
      </c>
      <c r="T26" s="265" t="n">
        <v>41</v>
      </c>
      <c r="U26" s="265" t="n">
        <v>0</v>
      </c>
      <c r="V26" s="265" t="n">
        <f aca="false">M26-N26-O26-Q26-R26-S26+T26+U26</f>
        <v>41.4836</v>
      </c>
      <c r="W26" s="105"/>
      <c r="X26" s="105"/>
      <c r="Y26" s="265" t="n">
        <v>0</v>
      </c>
      <c r="Z26" s="267"/>
      <c r="AA26" s="269"/>
      <c r="AB26" s="265" t="n">
        <v>25</v>
      </c>
      <c r="AC26" s="105" t="n">
        <f aca="false">AC25-AB26</f>
        <v>3010</v>
      </c>
      <c r="AD26" s="128" t="n">
        <f aca="false">N26+O26+Q26+R26+S26+V26+Y26+AB26</f>
        <v>71</v>
      </c>
      <c r="AE26" s="265" t="n">
        <f aca="false">IF(L26&lt;0,L26*-1,0)</f>
        <v>0</v>
      </c>
      <c r="AF26" s="265" t="n">
        <f aca="false">AD26+AE26</f>
        <v>71</v>
      </c>
      <c r="AG26" s="247" t="n">
        <v>0.02</v>
      </c>
      <c r="AH26" s="249" t="n">
        <v>53</v>
      </c>
      <c r="AI26" s="248" t="n">
        <v>21</v>
      </c>
      <c r="AJ26" s="243" t="n">
        <f aca="false">AJ25+(V26*1.9835)</f>
        <v>9489.8138163</v>
      </c>
      <c r="AK26" s="243" t="n">
        <v>0</v>
      </c>
      <c r="AL26" s="265"/>
      <c r="AM26" s="105"/>
      <c r="AN26" s="361"/>
    </row>
    <row r="27" customFormat="false" ht="12.95" hidden="false" customHeight="true" outlineLevel="0" collapsed="false">
      <c r="A27" s="172" t="n">
        <f aca="false">A26+1</f>
        <v>16</v>
      </c>
      <c r="B27" s="104" t="n">
        <v>6902.19</v>
      </c>
      <c r="C27" s="105" t="n">
        <v>291729</v>
      </c>
      <c r="D27" s="243" t="n">
        <f aca="false">C27-C26</f>
        <v>-38</v>
      </c>
      <c r="E27" s="105" t="n">
        <f aca="false">C27-152000</f>
        <v>139729</v>
      </c>
      <c r="F27" s="264" t="n">
        <f aca="false">D27/$D$2</f>
        <v>-19.1580539450466</v>
      </c>
      <c r="G27" s="265" t="n">
        <v>37</v>
      </c>
      <c r="H27" s="359" t="n">
        <v>0.91</v>
      </c>
      <c r="I27" s="265" t="n">
        <f aca="false">G27+H27</f>
        <v>37.91</v>
      </c>
      <c r="J27" s="246" t="n">
        <f aca="false">IF(L27&gt;0,L27,0)</f>
        <v>12.9319460549534</v>
      </c>
      <c r="K27" s="265" t="n">
        <f aca="false">I27+J27</f>
        <v>50.8419460549534</v>
      </c>
      <c r="L27" s="265" t="n">
        <f aca="false">F27-(I27-AD27)</f>
        <v>12.9319460549534</v>
      </c>
      <c r="M27" s="267" t="n">
        <v>5</v>
      </c>
      <c r="N27" s="265" t="n">
        <v>0</v>
      </c>
      <c r="O27" s="265" t="n">
        <v>0</v>
      </c>
      <c r="P27" s="265"/>
      <c r="Q27" s="366" t="n">
        <f aca="false">1.42*1.02</f>
        <v>1.4484</v>
      </c>
      <c r="R27" s="366" t="n">
        <f aca="false">2.62*1.04</f>
        <v>2.7248</v>
      </c>
      <c r="S27" s="367" t="n">
        <v>0</v>
      </c>
      <c r="T27" s="265" t="n">
        <v>40</v>
      </c>
      <c r="U27" s="265" t="n">
        <v>0</v>
      </c>
      <c r="V27" s="265" t="n">
        <f aca="false">M27-N27-O27-Q27-R27-S27+T27+U27</f>
        <v>40.8268</v>
      </c>
      <c r="W27" s="105"/>
      <c r="X27" s="105"/>
      <c r="Y27" s="265" t="n">
        <v>0</v>
      </c>
      <c r="Z27" s="267"/>
      <c r="AA27" s="269"/>
      <c r="AB27" s="265" t="n">
        <v>25</v>
      </c>
      <c r="AC27" s="105" t="n">
        <f aca="false">AC26-AB27</f>
        <v>2985</v>
      </c>
      <c r="AD27" s="128" t="n">
        <f aca="false">N27+O27+Q27+R27+S27+V27+Y27+AB27</f>
        <v>70</v>
      </c>
      <c r="AE27" s="265" t="n">
        <f aca="false">IF(L27&lt;0,L27*-1,0)</f>
        <v>0</v>
      </c>
      <c r="AF27" s="265" t="n">
        <f aca="false">AD27+AE27</f>
        <v>70</v>
      </c>
      <c r="AG27" s="247" t="n">
        <v>0</v>
      </c>
      <c r="AH27" s="249" t="n">
        <v>31</v>
      </c>
      <c r="AI27" s="248" t="n">
        <v>10</v>
      </c>
      <c r="AJ27" s="243" t="n">
        <f aca="false">AJ26+(V27*1.9835)</f>
        <v>9570.7937741</v>
      </c>
      <c r="AK27" s="243" t="n">
        <v>0</v>
      </c>
      <c r="AL27" s="265"/>
      <c r="AM27" s="105"/>
      <c r="AN27" s="361"/>
    </row>
    <row r="28" customFormat="false" ht="12.95" hidden="false" customHeight="true" outlineLevel="0" collapsed="false">
      <c r="A28" s="172" t="n">
        <f aca="false">A27+1</f>
        <v>17</v>
      </c>
      <c r="B28" s="104" t="n">
        <v>6902.17</v>
      </c>
      <c r="C28" s="105" t="n">
        <v>291654</v>
      </c>
      <c r="D28" s="243" t="n">
        <f aca="false">C28-C27</f>
        <v>-75</v>
      </c>
      <c r="E28" s="105" t="n">
        <f aca="false">C28-152000</f>
        <v>139654</v>
      </c>
      <c r="F28" s="264" t="n">
        <f aca="false">D28/$D$2</f>
        <v>-37.8119485757499</v>
      </c>
      <c r="G28" s="265" t="n">
        <v>36</v>
      </c>
      <c r="H28" s="359" t="n">
        <v>1</v>
      </c>
      <c r="I28" s="265" t="n">
        <f aca="false">G28+H28</f>
        <v>37</v>
      </c>
      <c r="J28" s="246" t="n">
        <f aca="false">IF(L28&gt;0,L28,0)</f>
        <v>0</v>
      </c>
      <c r="K28" s="265" t="n">
        <f aca="false">I28+J28</f>
        <v>37</v>
      </c>
      <c r="L28" s="265" t="n">
        <f aca="false">F28-(I28-AD28)</f>
        <v>-5.91194857574993</v>
      </c>
      <c r="M28" s="267" t="n">
        <v>4.9</v>
      </c>
      <c r="N28" s="265" t="n">
        <v>0</v>
      </c>
      <c r="O28" s="265" t="n">
        <v>0</v>
      </c>
      <c r="P28" s="265"/>
      <c r="Q28" s="366" t="n">
        <f aca="false">1.42*1.02</f>
        <v>1.4484</v>
      </c>
      <c r="R28" s="366" t="n">
        <f aca="false">2.39*1.04</f>
        <v>2.4856</v>
      </c>
      <c r="S28" s="367" t="n">
        <v>0</v>
      </c>
      <c r="T28" s="265" t="n">
        <v>40</v>
      </c>
      <c r="U28" s="265" t="n">
        <v>0</v>
      </c>
      <c r="V28" s="265" t="n">
        <f aca="false">M28-N28-O28-Q28-R28-S28+T28+U28</f>
        <v>40.966</v>
      </c>
      <c r="W28" s="105"/>
      <c r="X28" s="105"/>
      <c r="Y28" s="265" t="n">
        <v>0</v>
      </c>
      <c r="Z28" s="267"/>
      <c r="AA28" s="269"/>
      <c r="AB28" s="265" t="n">
        <v>24</v>
      </c>
      <c r="AC28" s="105" t="n">
        <f aca="false">AC27-AB28</f>
        <v>2961</v>
      </c>
      <c r="AD28" s="128" t="n">
        <f aca="false">N28+O28+Q28+R28+S28+V28+Y28+AB28</f>
        <v>68.9</v>
      </c>
      <c r="AE28" s="265" t="n">
        <f aca="false">IF(L28&lt;0,L28*-1,0)</f>
        <v>5.91194857574993</v>
      </c>
      <c r="AF28" s="265" t="n">
        <f aca="false">AD28+AE28</f>
        <v>74.8119485757499</v>
      </c>
      <c r="AG28" s="247" t="n">
        <v>0</v>
      </c>
      <c r="AH28" s="249" t="n">
        <v>41</v>
      </c>
      <c r="AI28" s="248" t="n">
        <v>21</v>
      </c>
      <c r="AJ28" s="243" t="n">
        <f aca="false">AJ27+(V28*1.9835)</f>
        <v>9652.04983510001</v>
      </c>
      <c r="AK28" s="243" t="n">
        <v>0</v>
      </c>
      <c r="AL28" s="265"/>
      <c r="AM28" s="105"/>
      <c r="AN28" s="361"/>
    </row>
    <row r="29" customFormat="false" ht="12.95" hidden="false" customHeight="true" outlineLevel="0" collapsed="false">
      <c r="A29" s="172" t="n">
        <f aca="false">A28+1</f>
        <v>18</v>
      </c>
      <c r="B29" s="104" t="n">
        <v>6902.15</v>
      </c>
      <c r="C29" s="105" t="n">
        <v>291579</v>
      </c>
      <c r="D29" s="243" t="n">
        <f aca="false">C29-C28</f>
        <v>-75</v>
      </c>
      <c r="E29" s="105" t="n">
        <f aca="false">C29-152000</f>
        <v>139579</v>
      </c>
      <c r="F29" s="264" t="n">
        <f aca="false">D29/$D$2</f>
        <v>-37.8119485757499</v>
      </c>
      <c r="G29" s="265" t="n">
        <v>40</v>
      </c>
      <c r="H29" s="359" t="n">
        <v>0.98</v>
      </c>
      <c r="I29" s="265" t="n">
        <f aca="false">G29+H29</f>
        <v>40.98</v>
      </c>
      <c r="J29" s="246" t="n">
        <f aca="false">IF(L29&gt;0,L29,0)</f>
        <v>0</v>
      </c>
      <c r="K29" s="265" t="n">
        <f aca="false">I29+J29</f>
        <v>40.98</v>
      </c>
      <c r="L29" s="265" t="n">
        <f aca="false">F29-(I29-AD29)</f>
        <v>-9.89194857574993</v>
      </c>
      <c r="M29" s="267" t="n">
        <v>4.9</v>
      </c>
      <c r="N29" s="265" t="n">
        <v>0</v>
      </c>
      <c r="O29" s="265" t="n">
        <v>0</v>
      </c>
      <c r="P29" s="265"/>
      <c r="Q29" s="366" t="n">
        <f aca="false">1.42*1.02</f>
        <v>1.4484</v>
      </c>
      <c r="R29" s="366" t="n">
        <f aca="false">2.37*1.04</f>
        <v>2.4648</v>
      </c>
      <c r="S29" s="367" t="n">
        <v>0</v>
      </c>
      <c r="T29" s="265" t="n">
        <v>40</v>
      </c>
      <c r="U29" s="265" t="n">
        <v>0</v>
      </c>
      <c r="V29" s="265" t="n">
        <f aca="false">M29-N29-O29-Q29-R29-S29+T29+U29</f>
        <v>40.9868</v>
      </c>
      <c r="W29" s="105"/>
      <c r="X29" s="105"/>
      <c r="Y29" s="265" t="n">
        <v>0</v>
      </c>
      <c r="Z29" s="267"/>
      <c r="AA29" s="269"/>
      <c r="AB29" s="265" t="n">
        <v>24</v>
      </c>
      <c r="AC29" s="105" t="n">
        <f aca="false">AC28-AB29</f>
        <v>2937</v>
      </c>
      <c r="AD29" s="128" t="n">
        <f aca="false">N29+O29+Q29+R29+S29+V29+Y29+AB29</f>
        <v>68.9</v>
      </c>
      <c r="AE29" s="265" t="n">
        <f aca="false">IF(L29&lt;0,L29*-1,0)</f>
        <v>9.89194857574993</v>
      </c>
      <c r="AF29" s="265" t="n">
        <f aca="false">AD29+AE29</f>
        <v>78.7919485757499</v>
      </c>
      <c r="AG29" s="368" t="n">
        <v>0</v>
      </c>
      <c r="AH29" s="249" t="n">
        <v>48</v>
      </c>
      <c r="AI29" s="248" t="n">
        <v>25</v>
      </c>
      <c r="AJ29" s="243" t="n">
        <f aca="false">AJ28+(V29*1.9835)</f>
        <v>9733.3471529</v>
      </c>
      <c r="AK29" s="243" t="n">
        <v>0</v>
      </c>
      <c r="AL29" s="265"/>
      <c r="AM29" s="105"/>
      <c r="AN29" s="361"/>
    </row>
    <row r="30" customFormat="false" ht="12.95" hidden="false" customHeight="true" outlineLevel="0" collapsed="false">
      <c r="A30" s="172" t="n">
        <f aca="false">A29+1</f>
        <v>19</v>
      </c>
      <c r="B30" s="104" t="n">
        <v>6902.13</v>
      </c>
      <c r="C30" s="369" t="n">
        <v>291504</v>
      </c>
      <c r="D30" s="243" t="n">
        <f aca="false">C30-C29</f>
        <v>-75</v>
      </c>
      <c r="E30" s="105" t="n">
        <f aca="false">C30-152000</f>
        <v>139504</v>
      </c>
      <c r="F30" s="264" t="n">
        <f aca="false">D30/$D$2</f>
        <v>-37.8119485757499</v>
      </c>
      <c r="G30" s="265" t="n">
        <v>39</v>
      </c>
      <c r="H30" s="359" t="n">
        <v>1</v>
      </c>
      <c r="I30" s="265" t="n">
        <f aca="false">G30+H30</f>
        <v>40</v>
      </c>
      <c r="J30" s="246" t="n">
        <f aca="false">IF(L30&gt;0,L30,0)</f>
        <v>0</v>
      </c>
      <c r="K30" s="265" t="n">
        <f aca="false">I30+J30</f>
        <v>40</v>
      </c>
      <c r="L30" s="265" t="n">
        <f aca="false">F30-(I30-AD30)</f>
        <v>-8.91194857574993</v>
      </c>
      <c r="M30" s="267" t="n">
        <v>4.9</v>
      </c>
      <c r="N30" s="265" t="n">
        <v>0</v>
      </c>
      <c r="O30" s="265" t="n">
        <v>0</v>
      </c>
      <c r="P30" s="265"/>
      <c r="Q30" s="366" t="n">
        <f aca="false">1.42*1.02</f>
        <v>1.4484</v>
      </c>
      <c r="R30" s="366" t="n">
        <f aca="false">2.66*1.04</f>
        <v>2.7664</v>
      </c>
      <c r="S30" s="367" t="n">
        <v>0</v>
      </c>
      <c r="T30" s="265" t="n">
        <v>40</v>
      </c>
      <c r="U30" s="265" t="n">
        <v>0</v>
      </c>
      <c r="V30" s="265" t="n">
        <f aca="false">M30-N30-O30-Q30-R30-S30+T30+U30</f>
        <v>40.6852</v>
      </c>
      <c r="W30" s="105"/>
      <c r="X30" s="105"/>
      <c r="Y30" s="265" t="n">
        <v>0</v>
      </c>
      <c r="Z30" s="267"/>
      <c r="AA30" s="269"/>
      <c r="AB30" s="265" t="n">
        <v>24</v>
      </c>
      <c r="AC30" s="105" t="n">
        <f aca="false">AC29-AB30</f>
        <v>2913</v>
      </c>
      <c r="AD30" s="128" t="n">
        <f aca="false">N30+O30+Q30+R30+S30+V30+Y30+AB30</f>
        <v>68.9</v>
      </c>
      <c r="AE30" s="265" t="n">
        <f aca="false">IF(L30&lt;0,L30*-1,0)</f>
        <v>8.91194857574993</v>
      </c>
      <c r="AF30" s="265" t="n">
        <f aca="false">AD30+AE30</f>
        <v>77.8119485757499</v>
      </c>
      <c r="AG30" s="247" t="n">
        <v>0</v>
      </c>
      <c r="AH30" s="249" t="n">
        <v>40</v>
      </c>
      <c r="AI30" s="248" t="n">
        <v>19</v>
      </c>
      <c r="AJ30" s="243" t="n">
        <f aca="false">AJ29+(V30*1.9835)</f>
        <v>9814.0462471</v>
      </c>
      <c r="AK30" s="243" t="n">
        <v>0</v>
      </c>
      <c r="AL30" s="265"/>
      <c r="AM30" s="105"/>
      <c r="AN30" s="361"/>
    </row>
    <row r="31" customFormat="false" ht="12.95" hidden="false" customHeight="true" outlineLevel="0" collapsed="false">
      <c r="A31" s="172" t="n">
        <f aca="false">A30+1</f>
        <v>20</v>
      </c>
      <c r="B31" s="104" t="n">
        <v>6902.11</v>
      </c>
      <c r="C31" s="105" t="n">
        <v>291428</v>
      </c>
      <c r="D31" s="243" t="n">
        <f aca="false">C31-C30</f>
        <v>-76</v>
      </c>
      <c r="E31" s="105" t="n">
        <f aca="false">C31-152000</f>
        <v>139428</v>
      </c>
      <c r="F31" s="264" t="n">
        <f aca="false">D31/$D$2</f>
        <v>-38.3161078900933</v>
      </c>
      <c r="G31" s="265" t="n">
        <v>39</v>
      </c>
      <c r="H31" s="359" t="n">
        <v>0.99</v>
      </c>
      <c r="I31" s="265" t="n">
        <f aca="false">G31+H31</f>
        <v>39.99</v>
      </c>
      <c r="J31" s="246" t="n">
        <f aca="false">IF(L31&gt;0,L31,0)</f>
        <v>0</v>
      </c>
      <c r="K31" s="265" t="n">
        <f aca="false">I31+J31</f>
        <v>39.99</v>
      </c>
      <c r="L31" s="265" t="n">
        <f aca="false">F31-(I31-AD31)</f>
        <v>-9.40610789009327</v>
      </c>
      <c r="M31" s="267" t="n">
        <v>4.9</v>
      </c>
      <c r="N31" s="265" t="n">
        <v>0</v>
      </c>
      <c r="O31" s="265" t="n">
        <v>0</v>
      </c>
      <c r="P31" s="265"/>
      <c r="Q31" s="366" t="n">
        <f aca="false">1.42*1.02</f>
        <v>1.4484</v>
      </c>
      <c r="R31" s="366" t="n">
        <f aca="false">2.55*1.04</f>
        <v>2.652</v>
      </c>
      <c r="S31" s="367" t="n">
        <v>0</v>
      </c>
      <c r="T31" s="265" t="n">
        <v>40</v>
      </c>
      <c r="U31" s="265" t="n">
        <v>0</v>
      </c>
      <c r="V31" s="265" t="n">
        <f aca="false">M31-N31-O31-Q31-R31-S31+T31+U31</f>
        <v>40.7996</v>
      </c>
      <c r="W31" s="105"/>
      <c r="X31" s="105"/>
      <c r="Y31" s="265" t="n">
        <v>0</v>
      </c>
      <c r="Z31" s="267"/>
      <c r="AA31" s="269"/>
      <c r="AB31" s="265" t="n">
        <v>24</v>
      </c>
      <c r="AC31" s="105" t="n">
        <f aca="false">AC30-AB31</f>
        <v>2889</v>
      </c>
      <c r="AD31" s="128" t="n">
        <f aca="false">N31+O31+Q31+R31+S31+V31+Y31+AB31</f>
        <v>68.9</v>
      </c>
      <c r="AE31" s="265" t="n">
        <f aca="false">IF(L31&lt;0,L31*-1,0)</f>
        <v>9.40610789009327</v>
      </c>
      <c r="AF31" s="265" t="n">
        <f aca="false">AD31+AE31</f>
        <v>78.3061078900933</v>
      </c>
      <c r="AG31" s="247" t="n">
        <v>0</v>
      </c>
      <c r="AH31" s="249" t="n">
        <v>39</v>
      </c>
      <c r="AI31" s="248" t="n">
        <v>20</v>
      </c>
      <c r="AJ31" s="243" t="n">
        <f aca="false">AJ30+(V31*1.9835)</f>
        <v>9894.9722537</v>
      </c>
      <c r="AK31" s="243" t="n">
        <v>0</v>
      </c>
      <c r="AL31" s="265"/>
      <c r="AM31" s="105"/>
      <c r="AN31" s="361"/>
    </row>
    <row r="32" customFormat="false" ht="12.95" hidden="false" customHeight="true" outlineLevel="0" collapsed="false">
      <c r="A32" s="172" t="n">
        <f aca="false">A31+1</f>
        <v>21</v>
      </c>
      <c r="B32" s="104" t="n">
        <v>6902.09</v>
      </c>
      <c r="C32" s="105" t="n">
        <v>291353</v>
      </c>
      <c r="D32" s="243" t="n">
        <f aca="false">C32-C31</f>
        <v>-75</v>
      </c>
      <c r="E32" s="105" t="n">
        <f aca="false">C32-152000</f>
        <v>139353</v>
      </c>
      <c r="F32" s="264" t="n">
        <f aca="false">D32/$D$2</f>
        <v>-37.8119485757499</v>
      </c>
      <c r="G32" s="265" t="n">
        <v>40</v>
      </c>
      <c r="H32" s="359" t="n">
        <v>0.99</v>
      </c>
      <c r="I32" s="265" t="n">
        <f aca="false">G32+H32</f>
        <v>40.99</v>
      </c>
      <c r="J32" s="246" t="n">
        <f aca="false">IF(L32&gt;0,L32,0)</f>
        <v>0</v>
      </c>
      <c r="K32" s="265" t="n">
        <f aca="false">I32+J32</f>
        <v>40.99</v>
      </c>
      <c r="L32" s="265" t="n">
        <f aca="false">F32-(I32-AD32)</f>
        <v>-9.90194857574993</v>
      </c>
      <c r="M32" s="267" t="n">
        <v>4.9</v>
      </c>
      <c r="N32" s="265" t="n">
        <v>0</v>
      </c>
      <c r="O32" s="265" t="n">
        <v>0</v>
      </c>
      <c r="P32" s="265"/>
      <c r="Q32" s="366" t="n">
        <f aca="false">1.42*1.02</f>
        <v>1.4484</v>
      </c>
      <c r="R32" s="366" t="n">
        <f aca="false">2.41*1.04</f>
        <v>2.5064</v>
      </c>
      <c r="S32" s="367" t="n">
        <v>0</v>
      </c>
      <c r="T32" s="265" t="n">
        <v>40</v>
      </c>
      <c r="U32" s="265" t="n">
        <v>0</v>
      </c>
      <c r="V32" s="265" t="n">
        <f aca="false">M32-N32-O32-Q32-R32-S32+T32+U32</f>
        <v>40.9452</v>
      </c>
      <c r="W32" s="105"/>
      <c r="X32" s="105"/>
      <c r="Y32" s="265" t="n">
        <v>0</v>
      </c>
      <c r="Z32" s="267"/>
      <c r="AA32" s="269"/>
      <c r="AB32" s="265" t="n">
        <v>24</v>
      </c>
      <c r="AC32" s="105" t="n">
        <f aca="false">AC31-AB32</f>
        <v>2865</v>
      </c>
      <c r="AD32" s="128" t="n">
        <f aca="false">N32+O32+Q32+R32+S32+V32+Y32+AB32</f>
        <v>68.9</v>
      </c>
      <c r="AE32" s="265" t="n">
        <f aca="false">IF(L32&lt;0,L32*-1,0)</f>
        <v>9.90194857574993</v>
      </c>
      <c r="AF32" s="265" t="n">
        <f aca="false">AD32+AE32</f>
        <v>78.8019485757499</v>
      </c>
      <c r="AG32" s="247" t="n">
        <v>0</v>
      </c>
      <c r="AH32" s="243" t="n">
        <v>40</v>
      </c>
      <c r="AI32" s="248" t="n">
        <v>19</v>
      </c>
      <c r="AJ32" s="243" t="n">
        <f aca="false">AJ31+(V32*1.9835)</f>
        <v>9976.1870579</v>
      </c>
      <c r="AK32" s="243" t="n">
        <v>0</v>
      </c>
      <c r="AL32" s="265"/>
      <c r="AM32" s="105"/>
      <c r="AN32" s="361"/>
    </row>
    <row r="33" customFormat="false" ht="12.95" hidden="false" customHeight="true" outlineLevel="0" collapsed="false">
      <c r="A33" s="172" t="n">
        <f aca="false">A32+1</f>
        <v>22</v>
      </c>
      <c r="B33" s="104" t="n">
        <v>6902.09</v>
      </c>
      <c r="C33" s="105" t="n">
        <v>291353</v>
      </c>
      <c r="D33" s="243" t="n">
        <f aca="false">C33-C32</f>
        <v>0</v>
      </c>
      <c r="E33" s="105" t="n">
        <f aca="false">C33-152000</f>
        <v>139353</v>
      </c>
      <c r="F33" s="264" t="n">
        <f aca="false">D33/$D$2</f>
        <v>0</v>
      </c>
      <c r="G33" s="265" t="n">
        <v>44</v>
      </c>
      <c r="H33" s="359" t="n">
        <v>0.95</v>
      </c>
      <c r="I33" s="265" t="n">
        <f aca="false">G33+H33</f>
        <v>44.95</v>
      </c>
      <c r="J33" s="246" t="n">
        <f aca="false">IF(L33&gt;0,L33,0)</f>
        <v>0</v>
      </c>
      <c r="K33" s="265" t="n">
        <f aca="false">I33+J33</f>
        <v>44.95</v>
      </c>
      <c r="L33" s="265" t="n">
        <f aca="false">F33-(I33-AD33)</f>
        <v>-3.05</v>
      </c>
      <c r="M33" s="267" t="n">
        <v>4.9</v>
      </c>
      <c r="N33" s="265" t="n">
        <v>0</v>
      </c>
      <c r="O33" s="265" t="n">
        <v>0</v>
      </c>
      <c r="P33" s="265"/>
      <c r="Q33" s="366" t="n">
        <f aca="false">1.42*1.02</f>
        <v>1.4484</v>
      </c>
      <c r="R33" s="366" t="n">
        <f aca="false">2.49*1.04</f>
        <v>2.5896</v>
      </c>
      <c r="S33" s="367" t="n">
        <v>0</v>
      </c>
      <c r="T33" s="265" t="n">
        <v>13</v>
      </c>
      <c r="U33" s="265" t="n">
        <v>0</v>
      </c>
      <c r="V33" s="265" t="n">
        <f aca="false">M33-N33-O33-Q33-R33-S33+T33+U33</f>
        <v>13.862</v>
      </c>
      <c r="W33" s="105"/>
      <c r="X33" s="105"/>
      <c r="Y33" s="265" t="n">
        <v>0</v>
      </c>
      <c r="Z33" s="267"/>
      <c r="AA33" s="269"/>
      <c r="AB33" s="265" t="n">
        <v>24</v>
      </c>
      <c r="AC33" s="105" t="n">
        <f aca="false">AC32-AB33</f>
        <v>2841</v>
      </c>
      <c r="AD33" s="128" t="n">
        <f aca="false">N33+O33+Q33+R33+S33+V33+Y33+AB33</f>
        <v>41.9</v>
      </c>
      <c r="AE33" s="265" t="n">
        <f aca="false">IF(L33&lt;0,L33*-1,0)</f>
        <v>3.05</v>
      </c>
      <c r="AF33" s="265" t="n">
        <f aca="false">AD33+AE33</f>
        <v>44.95</v>
      </c>
      <c r="AG33" s="247" t="n">
        <v>0</v>
      </c>
      <c r="AH33" s="243" t="n">
        <v>44</v>
      </c>
      <c r="AI33" s="248" t="n">
        <v>13</v>
      </c>
      <c r="AJ33" s="243" t="n">
        <f aca="false">AJ32+(V33*1.9835)</f>
        <v>10003.6823349</v>
      </c>
      <c r="AK33" s="243" t="n">
        <v>0</v>
      </c>
      <c r="AL33" s="265"/>
      <c r="AM33" s="105"/>
      <c r="AN33" s="361"/>
    </row>
    <row r="34" customFormat="false" ht="12.95" hidden="false" customHeight="true" outlineLevel="0" collapsed="false">
      <c r="A34" s="172" t="n">
        <f aca="false">A33+1</f>
        <v>23</v>
      </c>
      <c r="B34" s="104" t="n">
        <v>6902.09</v>
      </c>
      <c r="C34" s="105" t="n">
        <v>291353</v>
      </c>
      <c r="D34" s="243" t="n">
        <f aca="false">C34-C33</f>
        <v>0</v>
      </c>
      <c r="E34" s="105" t="n">
        <f aca="false">C34-152000</f>
        <v>139353</v>
      </c>
      <c r="F34" s="264" t="n">
        <f aca="false">D34/$D$2</f>
        <v>0</v>
      </c>
      <c r="G34" s="265" t="n">
        <v>39</v>
      </c>
      <c r="H34" s="359" t="n">
        <v>0.95</v>
      </c>
      <c r="I34" s="265" t="n">
        <f aca="false">G34+H34</f>
        <v>39.95</v>
      </c>
      <c r="J34" s="246" t="n">
        <f aca="false">IF(L34&gt;0,L34,0)</f>
        <v>0</v>
      </c>
      <c r="K34" s="265" t="n">
        <f aca="false">I34+J34</f>
        <v>39.95</v>
      </c>
      <c r="L34" s="265" t="n">
        <f aca="false">F34-(I34-AD34)</f>
        <v>-11.05</v>
      </c>
      <c r="M34" s="267" t="n">
        <v>4.9</v>
      </c>
      <c r="N34" s="265" t="n">
        <v>0</v>
      </c>
      <c r="O34" s="265" t="n">
        <v>0</v>
      </c>
      <c r="P34" s="265"/>
      <c r="Q34" s="366" t="n">
        <f aca="false">1.42*1.02</f>
        <v>1.4484</v>
      </c>
      <c r="R34" s="366" t="n">
        <f aca="false">2.44*1.04</f>
        <v>2.5376</v>
      </c>
      <c r="S34" s="367" t="n">
        <v>0</v>
      </c>
      <c r="T34" s="265" t="n">
        <v>0</v>
      </c>
      <c r="U34" s="265" t="n">
        <v>0</v>
      </c>
      <c r="V34" s="265" t="n">
        <f aca="false">M34-N34-O34-Q34-R34-S34+T34+U34</f>
        <v>0.914000000000001</v>
      </c>
      <c r="W34" s="105"/>
      <c r="X34" s="105"/>
      <c r="Y34" s="265" t="n">
        <v>0</v>
      </c>
      <c r="Z34" s="267"/>
      <c r="AA34" s="269"/>
      <c r="AB34" s="265" t="n">
        <v>24</v>
      </c>
      <c r="AC34" s="105" t="n">
        <f aca="false">AC33-AB34</f>
        <v>2817</v>
      </c>
      <c r="AD34" s="128" t="n">
        <f aca="false">N34+O34+Q34+R34+S34+V34+Y34+AB34</f>
        <v>28.9</v>
      </c>
      <c r="AE34" s="265" t="n">
        <f aca="false">IF(L34&lt;0,L34*-1,0)</f>
        <v>11.05</v>
      </c>
      <c r="AF34" s="265" t="n">
        <f aca="false">AD34+AE34</f>
        <v>39.95</v>
      </c>
      <c r="AG34" s="247" t="n">
        <v>0</v>
      </c>
      <c r="AH34" s="243" t="n">
        <v>50</v>
      </c>
      <c r="AI34" s="270" t="n">
        <v>18</v>
      </c>
      <c r="AJ34" s="243" t="n">
        <f aca="false">AJ33+(V34*1.9835)</f>
        <v>10005.4952539</v>
      </c>
      <c r="AK34" s="243" t="n">
        <v>0</v>
      </c>
      <c r="AL34" s="265"/>
      <c r="AM34" s="105"/>
      <c r="AN34" s="361"/>
    </row>
    <row r="35" customFormat="false" ht="12.95" hidden="false" customHeight="true" outlineLevel="0" collapsed="false">
      <c r="A35" s="172" t="n">
        <f aca="false">A34+1</f>
        <v>24</v>
      </c>
      <c r="B35" s="104" t="n">
        <v>6902.09</v>
      </c>
      <c r="C35" s="105" t="n">
        <v>291353</v>
      </c>
      <c r="D35" s="243" t="n">
        <f aca="false">C35-C34</f>
        <v>0</v>
      </c>
      <c r="E35" s="105" t="n">
        <f aca="false">C35-152000</f>
        <v>139353</v>
      </c>
      <c r="F35" s="264" t="n">
        <f aca="false">D35/$D$2</f>
        <v>0</v>
      </c>
      <c r="G35" s="265" t="n">
        <v>43</v>
      </c>
      <c r="H35" s="359" t="n">
        <v>1</v>
      </c>
      <c r="I35" s="265" t="n">
        <f aca="false">G35+H35</f>
        <v>44</v>
      </c>
      <c r="J35" s="246" t="n">
        <f aca="false">IF(L35&gt;0,L35,0)</f>
        <v>0</v>
      </c>
      <c r="K35" s="265" t="n">
        <f aca="false">I35+J35</f>
        <v>44</v>
      </c>
      <c r="L35" s="265" t="n">
        <f aca="false">F35-(I35-AD35)</f>
        <v>-15.1</v>
      </c>
      <c r="M35" s="267" t="n">
        <v>4.9</v>
      </c>
      <c r="N35" s="265" t="n">
        <v>0</v>
      </c>
      <c r="O35" s="265" t="n">
        <v>0</v>
      </c>
      <c r="P35" s="265"/>
      <c r="Q35" s="366" t="n">
        <f aca="false">1.42*1.02</f>
        <v>1.4484</v>
      </c>
      <c r="R35" s="366" t="n">
        <f aca="false">2.83*1.04</f>
        <v>2.9432</v>
      </c>
      <c r="S35" s="367" t="n">
        <v>0</v>
      </c>
      <c r="T35" s="265" t="n">
        <v>0</v>
      </c>
      <c r="U35" s="265" t="n">
        <v>0</v>
      </c>
      <c r="V35" s="265" t="n">
        <f aca="false">M35-N35-O35-Q35-R35-S35+T35+U35</f>
        <v>0.5084</v>
      </c>
      <c r="W35" s="105"/>
      <c r="X35" s="105"/>
      <c r="Y35" s="265" t="n">
        <v>0</v>
      </c>
      <c r="Z35" s="267"/>
      <c r="AA35" s="269"/>
      <c r="AB35" s="265" t="n">
        <v>24</v>
      </c>
      <c r="AC35" s="105" t="n">
        <f aca="false">AC34-AB35</f>
        <v>2793</v>
      </c>
      <c r="AD35" s="128" t="n">
        <f aca="false">N35+O35+Q35+R35+S35+V35+Y35+AB35</f>
        <v>28.9</v>
      </c>
      <c r="AE35" s="265" t="n">
        <f aca="false">IF(L35&lt;0,L35*-1,0)</f>
        <v>15.1</v>
      </c>
      <c r="AF35" s="265" t="n">
        <f aca="false">AD35+AE35</f>
        <v>44</v>
      </c>
      <c r="AG35" s="247" t="n">
        <v>0</v>
      </c>
      <c r="AH35" s="243" t="n">
        <v>51</v>
      </c>
      <c r="AI35" s="270" t="n">
        <v>22</v>
      </c>
      <c r="AJ35" s="243" t="n">
        <f aca="false">AJ34+(V35*1.9835)</f>
        <v>10006.5036653</v>
      </c>
      <c r="AK35" s="243" t="n">
        <v>0</v>
      </c>
      <c r="AL35" s="265"/>
      <c r="AM35" s="105"/>
      <c r="AN35" s="361"/>
    </row>
    <row r="36" customFormat="false" ht="12.95" hidden="false" customHeight="true" outlineLevel="0" collapsed="false">
      <c r="A36" s="172" t="n">
        <f aca="false">A35+1</f>
        <v>25</v>
      </c>
      <c r="B36" s="104" t="n">
        <v>6902.1</v>
      </c>
      <c r="C36" s="105" t="n">
        <v>291391</v>
      </c>
      <c r="D36" s="243" t="n">
        <f aca="false">C36-C35</f>
        <v>38</v>
      </c>
      <c r="E36" s="105" t="n">
        <f aca="false">C36-152000</f>
        <v>139391</v>
      </c>
      <c r="F36" s="264" t="n">
        <f aca="false">D36/$D$2</f>
        <v>19.1580539450466</v>
      </c>
      <c r="G36" s="265" t="n">
        <v>44</v>
      </c>
      <c r="H36" s="359" t="n">
        <v>1</v>
      </c>
      <c r="I36" s="265" t="n">
        <f aca="false">G36+H36</f>
        <v>45</v>
      </c>
      <c r="J36" s="246" t="n">
        <f aca="false">IF(L36&gt;0,L36,0)</f>
        <v>3.05805394504663</v>
      </c>
      <c r="K36" s="265" t="n">
        <f aca="false">I36+J36</f>
        <v>48.0580539450466</v>
      </c>
      <c r="L36" s="265" t="n">
        <f aca="false">F36-(I36-AD36)</f>
        <v>3.05805394504663</v>
      </c>
      <c r="M36" s="267" t="n">
        <v>4.9</v>
      </c>
      <c r="N36" s="265" t="n">
        <v>0</v>
      </c>
      <c r="O36" s="265" t="n">
        <v>0</v>
      </c>
      <c r="P36" s="265"/>
      <c r="Q36" s="366" t="n">
        <f aca="false">1.42*1.02</f>
        <v>1.4484</v>
      </c>
      <c r="R36" s="366" t="n">
        <f aca="false">2.37*1.04</f>
        <v>2.4648</v>
      </c>
      <c r="S36" s="367" t="n">
        <v>0</v>
      </c>
      <c r="T36" s="265" t="n">
        <v>0</v>
      </c>
      <c r="U36" s="265" t="n">
        <v>0</v>
      </c>
      <c r="V36" s="265" t="n">
        <f aca="false">M36-N36-O36-Q36-R36-S36+T36+U36</f>
        <v>0.9868</v>
      </c>
      <c r="W36" s="105"/>
      <c r="X36" s="105"/>
      <c r="Y36" s="265" t="n">
        <v>0</v>
      </c>
      <c r="Z36" s="267"/>
      <c r="AA36" s="269"/>
      <c r="AB36" s="265" t="n">
        <v>24</v>
      </c>
      <c r="AC36" s="105" t="n">
        <f aca="false">AC35-AB36</f>
        <v>2769</v>
      </c>
      <c r="AD36" s="128" t="n">
        <f aca="false">N36+O36+Q36+R36+S36+V36+Y36+AB36</f>
        <v>28.9</v>
      </c>
      <c r="AE36" s="265" t="n">
        <f aca="false">IF(L36&lt;0,L36*-1,0)</f>
        <v>0</v>
      </c>
      <c r="AF36" s="265" t="n">
        <f aca="false">AD36+AE36</f>
        <v>28.9</v>
      </c>
      <c r="AG36" s="247" t="n">
        <v>0</v>
      </c>
      <c r="AH36" s="243" t="n">
        <v>53</v>
      </c>
      <c r="AI36" s="270" t="n">
        <v>25</v>
      </c>
      <c r="AJ36" s="243" t="n">
        <f aca="false">AJ35+(V36*1.9835)</f>
        <v>10008.4609831</v>
      </c>
      <c r="AK36" s="243" t="n">
        <v>0</v>
      </c>
      <c r="AL36" s="265"/>
      <c r="AM36" s="105"/>
      <c r="AN36" s="361"/>
    </row>
    <row r="37" customFormat="false" ht="12.95" hidden="false" customHeight="true" outlineLevel="0" collapsed="false">
      <c r="A37" s="172" t="n">
        <f aca="false">A36+1</f>
        <v>26</v>
      </c>
      <c r="B37" s="104" t="n">
        <v>6902.11</v>
      </c>
      <c r="C37" s="105" t="n">
        <v>291428</v>
      </c>
      <c r="D37" s="243" t="n">
        <f aca="false">C37-C36</f>
        <v>37</v>
      </c>
      <c r="E37" s="105" t="n">
        <f aca="false">C37-152000</f>
        <v>139428</v>
      </c>
      <c r="F37" s="264" t="n">
        <f aca="false">D37/$D$2</f>
        <v>18.6538946307033</v>
      </c>
      <c r="G37" s="265" t="n">
        <v>46</v>
      </c>
      <c r="H37" s="359" t="n">
        <v>1</v>
      </c>
      <c r="I37" s="265" t="n">
        <f aca="false">G37+H37</f>
        <v>47</v>
      </c>
      <c r="J37" s="246" t="n">
        <f aca="false">IF(L37&gt;0,L37,0)</f>
        <v>0.553894630703301</v>
      </c>
      <c r="K37" s="265" t="n">
        <f aca="false">I37+J37</f>
        <v>47.5538946307033</v>
      </c>
      <c r="L37" s="265" t="n">
        <f aca="false">F37-(I37-AD37)</f>
        <v>0.553894630703301</v>
      </c>
      <c r="M37" s="267" t="n">
        <v>4.9</v>
      </c>
      <c r="N37" s="265" t="n">
        <v>0</v>
      </c>
      <c r="O37" s="265" t="n">
        <v>0</v>
      </c>
      <c r="P37" s="265"/>
      <c r="Q37" s="366" t="n">
        <f aca="false">1.42*1.02</f>
        <v>1.4484</v>
      </c>
      <c r="R37" s="366" t="n">
        <f aca="false">2.55*1.04</f>
        <v>2.652</v>
      </c>
      <c r="S37" s="367" t="n">
        <v>0</v>
      </c>
      <c r="T37" s="265" t="n">
        <v>0</v>
      </c>
      <c r="U37" s="265" t="n">
        <v>0</v>
      </c>
      <c r="V37" s="265" t="n">
        <f aca="false">M37-N37-O37-Q37-R37-S37+T37+U37</f>
        <v>0.799600000000001</v>
      </c>
      <c r="W37" s="105"/>
      <c r="X37" s="105"/>
      <c r="Y37" s="265" t="n">
        <v>0</v>
      </c>
      <c r="Z37" s="267"/>
      <c r="AA37" s="269"/>
      <c r="AB37" s="265" t="n">
        <v>24</v>
      </c>
      <c r="AC37" s="105" t="n">
        <f aca="false">AC36-AB37</f>
        <v>2745</v>
      </c>
      <c r="AD37" s="128" t="n">
        <f aca="false">N37+O37+Q37+R37+S37+V37+Y37+AB37</f>
        <v>28.9</v>
      </c>
      <c r="AE37" s="265" t="n">
        <f aca="false">IF(L37&lt;0,L37*-1,0)</f>
        <v>0</v>
      </c>
      <c r="AF37" s="265" t="n">
        <f aca="false">AD37+AE37</f>
        <v>28.9</v>
      </c>
      <c r="AG37" s="247" t="n">
        <v>0</v>
      </c>
      <c r="AH37" s="243" t="n">
        <v>59</v>
      </c>
      <c r="AI37" s="248" t="n">
        <v>27</v>
      </c>
      <c r="AJ37" s="243" t="n">
        <f aca="false">AJ36+(V37*1.9835)</f>
        <v>10010.0469897</v>
      </c>
      <c r="AK37" s="243" t="n">
        <v>0</v>
      </c>
      <c r="AL37" s="265"/>
      <c r="AM37" s="105"/>
      <c r="AN37" s="361"/>
    </row>
    <row r="38" customFormat="false" ht="12.95" hidden="false" customHeight="true" outlineLevel="0" collapsed="false">
      <c r="A38" s="172" t="n">
        <f aca="false">A37+1</f>
        <v>27</v>
      </c>
      <c r="B38" s="104" t="n">
        <v>6902.12</v>
      </c>
      <c r="C38" s="105" t="n">
        <v>291466</v>
      </c>
      <c r="D38" s="243" t="n">
        <f aca="false">C38-C37</f>
        <v>38</v>
      </c>
      <c r="E38" s="105" t="n">
        <f aca="false">C38-152000</f>
        <v>139466</v>
      </c>
      <c r="F38" s="264" t="n">
        <f aca="false">D38/$D$2</f>
        <v>19.1580539450466</v>
      </c>
      <c r="G38" s="265" t="n">
        <v>48</v>
      </c>
      <c r="H38" s="359" t="n">
        <v>1.1</v>
      </c>
      <c r="I38" s="265" t="n">
        <f aca="false">G38+H38</f>
        <v>49.1</v>
      </c>
      <c r="J38" s="246" t="n">
        <f aca="false">IF(L38&gt;0,L38,0)</f>
        <v>19.0580539450466</v>
      </c>
      <c r="K38" s="265" t="n">
        <f aca="false">I38+J38</f>
        <v>68.1580539450466</v>
      </c>
      <c r="L38" s="265" t="n">
        <f aca="false">F38-(I38-AD38)</f>
        <v>19.0580539450466</v>
      </c>
      <c r="M38" s="267" t="n">
        <v>5</v>
      </c>
      <c r="N38" s="265" t="n">
        <v>0</v>
      </c>
      <c r="O38" s="265" t="n">
        <v>0</v>
      </c>
      <c r="P38" s="265"/>
      <c r="Q38" s="366" t="n">
        <f aca="false">1.42*1.02</f>
        <v>1.4484</v>
      </c>
      <c r="R38" s="366" t="n">
        <v>4.2</v>
      </c>
      <c r="S38" s="367" t="n">
        <v>0.11</v>
      </c>
      <c r="T38" s="265" t="n">
        <v>20</v>
      </c>
      <c r="U38" s="265" t="n">
        <v>0</v>
      </c>
      <c r="V38" s="265" t="n">
        <f aca="false">M38-N38-O38-Q38-R38-S38+T38+U38</f>
        <v>19.2416</v>
      </c>
      <c r="W38" s="105"/>
      <c r="X38" s="105"/>
      <c r="Y38" s="265" t="n">
        <v>0</v>
      </c>
      <c r="Z38" s="267"/>
      <c r="AA38" s="269"/>
      <c r="AB38" s="265" t="n">
        <v>24</v>
      </c>
      <c r="AC38" s="105" t="n">
        <f aca="false">AC37-AB38</f>
        <v>2721</v>
      </c>
      <c r="AD38" s="128" t="n">
        <f aca="false">N38+O38+Q38+R38+S38+V38+Y38+AB38</f>
        <v>49</v>
      </c>
      <c r="AE38" s="265" t="n">
        <f aca="false">IF(L38&lt;0,L38*-1,0)</f>
        <v>0</v>
      </c>
      <c r="AF38" s="265" t="n">
        <f aca="false">AD38+AE38</f>
        <v>49</v>
      </c>
      <c r="AG38" s="247" t="n">
        <v>0</v>
      </c>
      <c r="AH38" s="243" t="n">
        <v>59</v>
      </c>
      <c r="AI38" s="248" t="n">
        <v>30</v>
      </c>
      <c r="AJ38" s="243" t="n">
        <f aca="false">AJ37+(V38*1.9835)</f>
        <v>10048.2127033</v>
      </c>
      <c r="AK38" s="243" t="n">
        <v>0</v>
      </c>
      <c r="AL38" s="265"/>
      <c r="AM38" s="105"/>
      <c r="AN38" s="361"/>
    </row>
    <row r="39" customFormat="false" ht="12.95" hidden="false" customHeight="true" outlineLevel="0" collapsed="false">
      <c r="A39" s="172" t="n">
        <v>28</v>
      </c>
      <c r="B39" s="104" t="n">
        <v>6902.13</v>
      </c>
      <c r="C39" s="105" t="n">
        <v>291504</v>
      </c>
      <c r="D39" s="243" t="n">
        <f aca="false">C39-C38</f>
        <v>38</v>
      </c>
      <c r="E39" s="105" t="n">
        <f aca="false">C39-152000</f>
        <v>139504</v>
      </c>
      <c r="F39" s="264" t="n">
        <f aca="false">D39/$D$2</f>
        <v>19.1580539450466</v>
      </c>
      <c r="G39" s="265" t="n">
        <v>52</v>
      </c>
      <c r="H39" s="359" t="n">
        <v>1.2</v>
      </c>
      <c r="I39" s="265" t="n">
        <f aca="false">G39+H39</f>
        <v>53.2</v>
      </c>
      <c r="J39" s="246" t="n">
        <f aca="false">IF(L39&gt;0,L39,0)</f>
        <v>40.0580539450466</v>
      </c>
      <c r="K39" s="265" t="n">
        <f aca="false">I39+J39</f>
        <v>93.2580539450466</v>
      </c>
      <c r="L39" s="265" t="n">
        <f aca="false">F39-(I39-AD39)</f>
        <v>40.0580539450466</v>
      </c>
      <c r="M39" s="267" t="n">
        <v>5.1</v>
      </c>
      <c r="N39" s="265" t="n">
        <v>0</v>
      </c>
      <c r="O39" s="265" t="n">
        <v>0</v>
      </c>
      <c r="P39" s="265"/>
      <c r="Q39" s="366" t="n">
        <f aca="false">1.42*1.02</f>
        <v>1.4484</v>
      </c>
      <c r="R39" s="366" t="n">
        <f aca="false">3.02*1.04</f>
        <v>3.1408</v>
      </c>
      <c r="S39" s="367" t="n">
        <v>0</v>
      </c>
      <c r="T39" s="265" t="n">
        <v>45</v>
      </c>
      <c r="U39" s="265" t="n">
        <v>0</v>
      </c>
      <c r="V39" s="265" t="n">
        <f aca="false">M39-N39-O39-Q39-R39-S39+T39+U39</f>
        <v>45.5108</v>
      </c>
      <c r="W39" s="105"/>
      <c r="X39" s="105"/>
      <c r="Y39" s="265" t="n">
        <v>0</v>
      </c>
      <c r="Z39" s="267"/>
      <c r="AA39" s="269"/>
      <c r="AB39" s="265" t="n">
        <v>24</v>
      </c>
      <c r="AC39" s="105" t="n">
        <f aca="false">AC38-AB39</f>
        <v>2697</v>
      </c>
      <c r="AD39" s="128" t="n">
        <f aca="false">N39+O39+Q39+R39+S39+V39+Y39+AB39</f>
        <v>74.1</v>
      </c>
      <c r="AE39" s="265" t="n">
        <f aca="false">IF(L39&lt;0,L39*-1,0)</f>
        <v>0</v>
      </c>
      <c r="AF39" s="265" t="n">
        <f aca="false">AD39+AE39</f>
        <v>74.1</v>
      </c>
      <c r="AG39" s="247" t="n">
        <v>0</v>
      </c>
      <c r="AH39" s="243" t="n">
        <v>56</v>
      </c>
      <c r="AI39" s="248" t="n">
        <v>36</v>
      </c>
      <c r="AJ39" s="243" t="n">
        <f aca="false">AJ38+(V39*1.9835)</f>
        <v>10138.4833751</v>
      </c>
      <c r="AK39" s="243" t="n">
        <v>0</v>
      </c>
      <c r="AL39" s="265"/>
      <c r="AM39" s="105"/>
      <c r="AN39" s="361"/>
    </row>
    <row r="40" customFormat="false" ht="3" hidden="false" customHeight="true" outlineLevel="0" collapsed="false">
      <c r="A40" s="252"/>
      <c r="B40" s="271"/>
      <c r="C40" s="254"/>
      <c r="D40" s="255"/>
      <c r="E40" s="254"/>
      <c r="F40" s="256"/>
      <c r="G40" s="255"/>
      <c r="H40" s="364"/>
      <c r="I40" s="255"/>
      <c r="J40" s="255"/>
      <c r="K40" s="255"/>
      <c r="L40" s="255"/>
      <c r="M40" s="258"/>
      <c r="N40" s="255"/>
      <c r="O40" s="255"/>
      <c r="P40" s="255"/>
      <c r="Q40" s="255"/>
      <c r="R40" s="255"/>
      <c r="S40" s="365"/>
      <c r="T40" s="255"/>
      <c r="U40" s="255"/>
      <c r="V40" s="255"/>
      <c r="W40" s="254"/>
      <c r="X40" s="254"/>
      <c r="Y40" s="255"/>
      <c r="Z40" s="258"/>
      <c r="AA40" s="259"/>
      <c r="AB40" s="255"/>
      <c r="AC40" s="255"/>
      <c r="AD40" s="255"/>
      <c r="AE40" s="255"/>
      <c r="AF40" s="255"/>
      <c r="AG40" s="261"/>
      <c r="AH40" s="262"/>
      <c r="AI40" s="263"/>
      <c r="AJ40" s="262"/>
      <c r="AK40" s="262"/>
      <c r="AL40" s="262"/>
      <c r="AM40" s="262"/>
      <c r="AN40" s="262"/>
      <c r="AO40" s="262"/>
    </row>
    <row r="41" customFormat="false" ht="12.95" hidden="false" customHeight="true" outlineLevel="0" collapsed="false">
      <c r="A41" s="173" t="s">
        <v>76</v>
      </c>
      <c r="B41" s="370"/>
      <c r="C41" s="243"/>
      <c r="D41" s="243"/>
      <c r="E41" s="243"/>
      <c r="F41" s="248" t="n">
        <f aca="false">SUM(F12:F39)</f>
        <v>-682.631711620872</v>
      </c>
      <c r="G41" s="243" t="n">
        <f aca="false">SUM(G12:G39)</f>
        <v>1026</v>
      </c>
      <c r="H41" s="243" t="n">
        <f aca="false">SUM(H12:H39)</f>
        <v>29.03</v>
      </c>
      <c r="I41" s="243" t="n">
        <f aca="false">SUM(I12:I39)</f>
        <v>1055.03</v>
      </c>
      <c r="J41" s="243" t="n">
        <f aca="false">SUM(J12:J39)</f>
        <v>136.866100327704</v>
      </c>
      <c r="K41" s="243" t="n">
        <f aca="false">SUM(K12:K39)</f>
        <v>1191.8961003277</v>
      </c>
      <c r="L41" s="243" t="n">
        <f aca="false">SUM(L12:L39)</f>
        <v>9.63828837912778</v>
      </c>
      <c r="M41" s="371" t="n">
        <f aca="false">SUM(M12:M39)</f>
        <v>134.3</v>
      </c>
      <c r="N41" s="243" t="n">
        <f aca="false">SUM(N12:N39)</f>
        <v>0</v>
      </c>
      <c r="O41" s="243" t="n">
        <f aca="false">SUM(O12:O39)</f>
        <v>0</v>
      </c>
      <c r="P41" s="243"/>
      <c r="Q41" s="243" t="n">
        <f aca="false">SUM(Q12:Q39)</f>
        <v>40.5552</v>
      </c>
      <c r="R41" s="243" t="n">
        <f aca="false">SUM(R12:R39)</f>
        <v>85.8996</v>
      </c>
      <c r="S41" s="372" t="n">
        <f aca="false">SUM(S12:S39)</f>
        <v>1.33</v>
      </c>
      <c r="T41" s="243" t="n">
        <f aca="false">SUM(T12:T39)</f>
        <v>941</v>
      </c>
      <c r="U41" s="243" t="n">
        <f aca="false">SUM(U12:U39)</f>
        <v>0</v>
      </c>
      <c r="V41" s="243" t="n">
        <f aca="false">SUM(V12:V39)</f>
        <v>947.5152</v>
      </c>
      <c r="W41" s="243"/>
      <c r="X41" s="243"/>
      <c r="Y41" s="243"/>
      <c r="Z41" s="267"/>
      <c r="AA41" s="269"/>
      <c r="AB41" s="243" t="n">
        <f aca="false">SUM(AB12:AB39)</f>
        <v>672</v>
      </c>
      <c r="AC41" s="243"/>
      <c r="AD41" s="243" t="n">
        <f aca="false">SUM(AD12:AD39)</f>
        <v>1747.3</v>
      </c>
      <c r="AE41" s="243" t="n">
        <f aca="false">SUM(AE12:AE39)</f>
        <v>127.227811948576</v>
      </c>
      <c r="AF41" s="243" t="n">
        <f aca="false">SUM(AF12:AF39)</f>
        <v>1874.52781194858</v>
      </c>
      <c r="AG41" s="247" t="n">
        <f aca="false">SUM(AG12:AG39)</f>
        <v>0.02</v>
      </c>
      <c r="AH41" s="243" t="n">
        <f aca="false">AVERAGE(AH12:AH39)</f>
        <v>46.9285714285714</v>
      </c>
      <c r="AI41" s="248" t="n">
        <f aca="false">AVERAGE(AI12:AI39)</f>
        <v>20.5</v>
      </c>
      <c r="AJ41" s="243" t="s">
        <v>97</v>
      </c>
      <c r="AK41" s="243" t="n">
        <f aca="false">SUM(AK12:AK39)</f>
        <v>0</v>
      </c>
      <c r="AL41" s="265"/>
      <c r="AM41" s="265"/>
      <c r="AN41" s="361"/>
    </row>
    <row r="42" customFormat="false" ht="12.95" hidden="false" customHeight="true" outlineLevel="0" collapsed="false">
      <c r="A42" s="173" t="s">
        <v>78</v>
      </c>
      <c r="B42" s="370"/>
      <c r="C42" s="243"/>
      <c r="D42" s="243" t="n">
        <f aca="false">SUM(D12:D39)</f>
        <v>-1354</v>
      </c>
      <c r="E42" s="243"/>
      <c r="F42" s="248" t="n">
        <f aca="false">F41*$D$2</f>
        <v>-1354</v>
      </c>
      <c r="G42" s="243" t="n">
        <f aca="false">G41*$D$2</f>
        <v>2035.071</v>
      </c>
      <c r="H42" s="243" t="n">
        <f aca="false">H41*$D$2</f>
        <v>57.581005</v>
      </c>
      <c r="I42" s="243" t="n">
        <f aca="false">I41*$D$2</f>
        <v>2092.652005</v>
      </c>
      <c r="J42" s="243" t="n">
        <f aca="false">J41*$D$2</f>
        <v>271.47391</v>
      </c>
      <c r="K42" s="243" t="n">
        <f aca="false">K41*$D$2</f>
        <v>2364.125915</v>
      </c>
      <c r="L42" s="243" t="n">
        <f aca="false">L41*$D$2</f>
        <v>19.1175449999999</v>
      </c>
      <c r="M42" s="373" t="n">
        <f aca="false">M41*$D$2</f>
        <v>266.38405</v>
      </c>
      <c r="N42" s="243" t="n">
        <f aca="false">N41*$D$2</f>
        <v>0</v>
      </c>
      <c r="O42" s="243" t="n">
        <f aca="false">O41*$D$2</f>
        <v>0</v>
      </c>
      <c r="P42" s="243"/>
      <c r="Q42" s="243" t="n">
        <f aca="false">Q41*$D$2</f>
        <v>80.4412392</v>
      </c>
      <c r="R42" s="243" t="n">
        <f aca="false">R41*$D$2</f>
        <v>170.3818566</v>
      </c>
      <c r="S42" s="374" t="n">
        <f aca="false">S41*$D$2</f>
        <v>2.638055</v>
      </c>
      <c r="T42" s="243" t="n">
        <f aca="false">T41*$D$2</f>
        <v>1866.4735</v>
      </c>
      <c r="U42" s="243" t="n">
        <f aca="false">U41*$D$2</f>
        <v>0</v>
      </c>
      <c r="V42" s="243" t="n">
        <f aca="false">V41*$D$2</f>
        <v>1879.3963992</v>
      </c>
      <c r="W42" s="243"/>
      <c r="X42" s="243"/>
      <c r="Y42" s="243"/>
      <c r="Z42" s="267"/>
      <c r="AA42" s="269"/>
      <c r="AB42" s="243" t="n">
        <f aca="false">AB41*$D$2</f>
        <v>1332.912</v>
      </c>
      <c r="AC42" s="243"/>
      <c r="AD42" s="243" t="n">
        <f aca="false">AD41*$D$2</f>
        <v>3465.76955</v>
      </c>
      <c r="AE42" s="243" t="n">
        <f aca="false">AE41*$D$2</f>
        <v>252.356365</v>
      </c>
      <c r="AF42" s="243" t="n">
        <f aca="false">AF41*$D$2</f>
        <v>3718.125915</v>
      </c>
      <c r="AG42" s="247"/>
      <c r="AH42" s="243" t="n">
        <f aca="false">MAX(AH12:AH39)</f>
        <v>59</v>
      </c>
      <c r="AI42" s="248" t="n">
        <f aca="false">MAX(AI12:AI39)</f>
        <v>36</v>
      </c>
      <c r="AJ42" s="243" t="s">
        <v>79</v>
      </c>
      <c r="AK42" s="243" t="n">
        <f aca="false">AK41*$D$2</f>
        <v>0</v>
      </c>
      <c r="AL42" s="265"/>
      <c r="AM42" s="265"/>
      <c r="AN42" s="361"/>
    </row>
    <row r="43" customFormat="false" ht="3" hidden="false" customHeight="true" outlineLevel="0" collapsed="false">
      <c r="A43" s="274"/>
      <c r="B43" s="271"/>
      <c r="C43" s="254"/>
      <c r="D43" s="254"/>
      <c r="E43" s="254"/>
      <c r="F43" s="275"/>
      <c r="G43" s="254"/>
      <c r="H43" s="262"/>
      <c r="I43" s="254"/>
      <c r="J43" s="254"/>
      <c r="K43" s="254"/>
      <c r="L43" s="254"/>
      <c r="M43" s="276"/>
      <c r="N43" s="254"/>
      <c r="O43" s="254"/>
      <c r="P43" s="254"/>
      <c r="Q43" s="254"/>
      <c r="R43" s="254"/>
      <c r="S43" s="375"/>
      <c r="T43" s="254"/>
      <c r="U43" s="254"/>
      <c r="V43" s="254"/>
      <c r="W43" s="254"/>
      <c r="X43" s="254"/>
      <c r="Y43" s="254"/>
      <c r="Z43" s="276"/>
      <c r="AA43" s="277"/>
      <c r="AB43" s="254"/>
      <c r="AC43" s="255"/>
      <c r="AD43" s="254"/>
      <c r="AE43" s="254"/>
      <c r="AF43" s="254"/>
      <c r="AG43" s="278"/>
      <c r="AH43" s="254"/>
      <c r="AI43" s="275"/>
      <c r="AJ43" s="262"/>
      <c r="AK43" s="262"/>
      <c r="AL43" s="254"/>
      <c r="AM43" s="254"/>
      <c r="AN43" s="262"/>
      <c r="AO43" s="262"/>
    </row>
    <row r="44" customFormat="false" ht="12.95" hidden="false" customHeight="true" outlineLevel="0" collapsed="false">
      <c r="A44" s="173" t="s">
        <v>80</v>
      </c>
      <c r="B44" s="370"/>
      <c r="C44" s="243"/>
      <c r="D44" s="243"/>
      <c r="E44" s="243"/>
      <c r="F44" s="248"/>
      <c r="G44" s="243"/>
      <c r="H44" s="243"/>
      <c r="I44" s="243"/>
      <c r="J44" s="243"/>
      <c r="K44" s="243"/>
      <c r="L44" s="243"/>
      <c r="M44" s="373"/>
      <c r="N44" s="243"/>
      <c r="O44" s="243"/>
      <c r="P44" s="243"/>
      <c r="Q44" s="243"/>
      <c r="R44" s="243"/>
      <c r="S44" s="374"/>
      <c r="T44" s="243"/>
      <c r="U44" s="243"/>
      <c r="V44" s="243"/>
      <c r="W44" s="243"/>
      <c r="X44" s="243"/>
      <c r="Y44" s="243"/>
      <c r="Z44" s="267"/>
      <c r="AA44" s="269"/>
      <c r="AB44" s="243"/>
      <c r="AC44" s="243"/>
      <c r="AD44" s="243"/>
      <c r="AE44" s="243"/>
      <c r="AF44" s="243"/>
      <c r="AG44" s="370"/>
      <c r="AH44" s="243" t="n">
        <f aca="false">MIN(AH12:AH39)</f>
        <v>31</v>
      </c>
      <c r="AI44" s="248" t="n">
        <f aca="false">MIN(AI12:AI39)</f>
        <v>5</v>
      </c>
      <c r="AJ44" s="243" t="s">
        <v>81</v>
      </c>
      <c r="AK44" s="243"/>
      <c r="AL44" s="243"/>
      <c r="AM44" s="243"/>
      <c r="AN44" s="376"/>
    </row>
    <row r="45" customFormat="false" ht="12.95" hidden="false" customHeight="true" outlineLevel="0" collapsed="false">
      <c r="A45" s="173" t="s">
        <v>82</v>
      </c>
      <c r="B45" s="370"/>
      <c r="C45" s="243"/>
      <c r="D45" s="243"/>
      <c r="E45" s="243"/>
      <c r="F45" s="248"/>
      <c r="G45" s="243"/>
      <c r="H45" s="243"/>
      <c r="I45" s="243"/>
      <c r="J45" s="243"/>
      <c r="K45" s="243"/>
      <c r="L45" s="243"/>
      <c r="M45" s="373"/>
      <c r="N45" s="243"/>
      <c r="O45" s="243"/>
      <c r="P45" s="243"/>
      <c r="Q45" s="243"/>
      <c r="R45" s="243"/>
      <c r="S45" s="374"/>
      <c r="T45" s="243"/>
      <c r="U45" s="243"/>
      <c r="V45" s="243"/>
      <c r="W45" s="243"/>
      <c r="X45" s="243"/>
      <c r="Y45" s="243"/>
      <c r="Z45" s="267"/>
      <c r="AA45" s="269"/>
      <c r="AB45" s="243"/>
      <c r="AC45" s="243"/>
      <c r="AD45" s="243"/>
      <c r="AE45" s="243"/>
      <c r="AF45" s="243"/>
      <c r="AG45" s="370"/>
      <c r="AH45" s="243"/>
      <c r="AI45" s="248"/>
      <c r="AJ45" s="243"/>
      <c r="AK45" s="243"/>
      <c r="AL45" s="243"/>
      <c r="AM45" s="243"/>
      <c r="AN45" s="376"/>
    </row>
    <row r="46" customFormat="false" ht="3" hidden="false" customHeight="true" outlineLevel="0" collapsed="false">
      <c r="A46" s="274"/>
      <c r="B46" s="377"/>
      <c r="C46" s="262"/>
      <c r="D46" s="262"/>
      <c r="E46" s="262"/>
      <c r="F46" s="263"/>
      <c r="G46" s="262"/>
      <c r="H46" s="262"/>
      <c r="I46" s="262"/>
      <c r="J46" s="262"/>
      <c r="K46" s="262"/>
      <c r="L46" s="262"/>
      <c r="M46" s="378"/>
      <c r="N46" s="262"/>
      <c r="O46" s="262"/>
      <c r="P46" s="262"/>
      <c r="Q46" s="262"/>
      <c r="R46" s="262"/>
      <c r="S46" s="375"/>
      <c r="T46" s="262"/>
      <c r="U46" s="262"/>
      <c r="V46" s="262"/>
      <c r="W46" s="262"/>
      <c r="X46" s="262"/>
      <c r="Y46" s="262"/>
      <c r="Z46" s="378"/>
      <c r="AA46" s="375"/>
      <c r="AB46" s="262"/>
      <c r="AC46" s="262"/>
      <c r="AD46" s="262"/>
      <c r="AE46" s="262"/>
      <c r="AF46" s="262"/>
      <c r="AG46" s="377"/>
      <c r="AH46" s="262"/>
      <c r="AI46" s="263"/>
      <c r="AJ46" s="262"/>
      <c r="AK46" s="262"/>
      <c r="AL46" s="262"/>
      <c r="AM46" s="262"/>
      <c r="AN46" s="262"/>
      <c r="AO46" s="262"/>
    </row>
    <row r="47" customFormat="false" ht="12.95" hidden="false" customHeight="true" outlineLevel="0" collapsed="false">
      <c r="A47" s="173" t="s">
        <v>83</v>
      </c>
      <c r="B47" s="370"/>
      <c r="C47" s="243"/>
      <c r="D47" s="243"/>
      <c r="E47" s="243"/>
      <c r="F47" s="248" t="n">
        <f aca="false">F10+F41</f>
        <v>-3967.73380388203</v>
      </c>
      <c r="G47" s="243" t="n">
        <f aca="false">G10+G41</f>
        <v>5580</v>
      </c>
      <c r="H47" s="243" t="n">
        <f aca="false">H10+H41</f>
        <v>150.623</v>
      </c>
      <c r="I47" s="243" t="n">
        <f aca="false">I10+I41</f>
        <v>5730.623</v>
      </c>
      <c r="J47" s="243" t="n">
        <f aca="false">J10+J41</f>
        <v>478.597232165364</v>
      </c>
      <c r="K47" s="243" t="n">
        <f aca="false">K10+K41</f>
        <v>6209.22023216536</v>
      </c>
      <c r="L47" s="243" t="n">
        <f aca="false">L10+L41</f>
        <v>-680.746803882027</v>
      </c>
      <c r="M47" s="373" t="n">
        <f aca="false">M10+M41</f>
        <v>835.2</v>
      </c>
      <c r="N47" s="243" t="n">
        <f aca="false">N10+N41</f>
        <v>0</v>
      </c>
      <c r="O47" s="243" t="n">
        <f aca="false">O10+O41</f>
        <v>0</v>
      </c>
      <c r="P47" s="243"/>
      <c r="Q47" s="243" t="n">
        <f aca="false">Q10+Q41</f>
        <v>174.7974</v>
      </c>
      <c r="R47" s="243" t="n">
        <f aca="false">R10+R41</f>
        <v>312.5884</v>
      </c>
      <c r="S47" s="374" t="n">
        <f aca="false">S10+S41</f>
        <v>1.33</v>
      </c>
      <c r="T47" s="243" t="n">
        <f aca="false">T10+T41</f>
        <v>5235.94</v>
      </c>
      <c r="U47" s="243" t="n">
        <f aca="false">U10+U41</f>
        <v>151.47</v>
      </c>
      <c r="V47" s="243" t="n">
        <f aca="false">V10+V41</f>
        <v>5733.8942</v>
      </c>
      <c r="W47" s="243"/>
      <c r="X47" s="243"/>
      <c r="Y47" s="243"/>
      <c r="Z47" s="267"/>
      <c r="AA47" s="269"/>
      <c r="AB47" s="243" t="n">
        <f aca="false">AB10+AB41</f>
        <v>2795</v>
      </c>
      <c r="AC47" s="243" t="n">
        <f aca="false">AC39</f>
        <v>2697</v>
      </c>
      <c r="AD47" s="243" t="n">
        <f aca="false">AD10+AD41</f>
        <v>9017.61</v>
      </c>
      <c r="AE47" s="243" t="n">
        <f aca="false">AE10+AE41</f>
        <v>1159.34403604739</v>
      </c>
      <c r="AF47" s="243" t="n">
        <f aca="false">AF10+AF41</f>
        <v>10176.9540360474</v>
      </c>
      <c r="AG47" s="379" t="n">
        <f aca="false">AG10+AG41</f>
        <v>1.01</v>
      </c>
      <c r="AH47" s="243"/>
      <c r="AI47" s="248"/>
      <c r="AJ47" s="243"/>
      <c r="AK47" s="243" t="n">
        <f aca="false">AK10+AK41</f>
        <v>0</v>
      </c>
      <c r="AL47" s="243"/>
      <c r="AM47" s="243"/>
      <c r="AN47" s="376"/>
    </row>
    <row r="48" customFormat="false" ht="12.95" hidden="false" customHeight="true" outlineLevel="0" collapsed="false">
      <c r="A48" s="173" t="s">
        <v>84</v>
      </c>
      <c r="B48" s="370"/>
      <c r="C48" s="243"/>
      <c r="D48" s="243" t="n">
        <f aca="false">D10+D42</f>
        <v>-7870</v>
      </c>
      <c r="E48" s="243" t="n">
        <f aca="false">E39</f>
        <v>139504</v>
      </c>
      <c r="F48" s="248" t="n">
        <f aca="false">F47*$D$2</f>
        <v>-7870</v>
      </c>
      <c r="G48" s="243" t="n">
        <f aca="false">G47*$D$2</f>
        <v>11067.93</v>
      </c>
      <c r="H48" s="243" t="n">
        <f aca="false">H47*$D$2</f>
        <v>298.7607205</v>
      </c>
      <c r="I48" s="243" t="n">
        <f aca="false">I47*$D$2</f>
        <v>11366.6907205</v>
      </c>
      <c r="J48" s="243" t="n">
        <f aca="false">J47*$D$2</f>
        <v>949.29761</v>
      </c>
      <c r="K48" s="243" t="n">
        <f aca="false">K47*$D$2</f>
        <v>12315.9883305</v>
      </c>
      <c r="L48" s="243" t="n">
        <f aca="false">L47*$D$2</f>
        <v>-1350.2612855</v>
      </c>
      <c r="M48" s="373" t="n">
        <f aca="false">M47*$D$2</f>
        <v>1656.6192</v>
      </c>
      <c r="N48" s="243" t="n">
        <f aca="false">N47*$D$2</f>
        <v>0</v>
      </c>
      <c r="O48" s="243" t="n">
        <f aca="false">O47*$D$2</f>
        <v>0</v>
      </c>
      <c r="P48" s="243"/>
      <c r="Q48" s="243" t="n">
        <f aca="false">Q47*$D$2</f>
        <v>346.7106429</v>
      </c>
      <c r="R48" s="243" t="n">
        <f aca="false">R47*$D$2</f>
        <v>620.0190914</v>
      </c>
      <c r="S48" s="374" t="n">
        <f aca="false">S47*$D$2</f>
        <v>2.638055</v>
      </c>
      <c r="T48" s="243" t="n">
        <f aca="false">T47*$D$2</f>
        <v>10385.48699</v>
      </c>
      <c r="U48" s="243" t="n">
        <f aca="false">U47*$D$2</f>
        <v>300.440745</v>
      </c>
      <c r="V48" s="243" t="n">
        <f aca="false">V47*$D$2</f>
        <v>11373.1791457</v>
      </c>
      <c r="W48" s="243"/>
      <c r="X48" s="243"/>
      <c r="Y48" s="243"/>
      <c r="Z48" s="267"/>
      <c r="AA48" s="269"/>
      <c r="AB48" s="243" t="n">
        <f aca="false">AB47*$D$2</f>
        <v>5543.8825</v>
      </c>
      <c r="AC48" s="243" t="n">
        <f aca="false">AC47*$D$2</f>
        <v>5349.4995</v>
      </c>
      <c r="AD48" s="243" t="n">
        <f aca="false">AD47*$D$2</f>
        <v>17886.429435</v>
      </c>
      <c r="AE48" s="243" t="n">
        <f aca="false">AE47*$D$2</f>
        <v>2299.5588955</v>
      </c>
      <c r="AF48" s="243" t="n">
        <f aca="false">AF47*$D$2</f>
        <v>20185.9883305</v>
      </c>
      <c r="AG48" s="370"/>
      <c r="AH48" s="243"/>
      <c r="AI48" s="248"/>
      <c r="AJ48" s="243" t="n">
        <f aca="false">AJ39</f>
        <v>10138.4833751</v>
      </c>
      <c r="AK48" s="243" t="n">
        <f aca="false">AK47*$D$2</f>
        <v>0</v>
      </c>
      <c r="AL48" s="243"/>
      <c r="AM48" s="243"/>
      <c r="AN48" s="376"/>
    </row>
    <row r="49" customFormat="false" ht="3" hidden="false" customHeight="true" outlineLevel="0" collapsed="false">
      <c r="A49" s="252"/>
      <c r="B49" s="271"/>
      <c r="C49" s="254"/>
      <c r="D49" s="255"/>
      <c r="E49" s="254"/>
      <c r="F49" s="256"/>
      <c r="G49" s="255"/>
      <c r="H49" s="364"/>
      <c r="I49" s="255"/>
      <c r="J49" s="255"/>
      <c r="K49" s="255"/>
      <c r="L49" s="255"/>
      <c r="M49" s="258"/>
      <c r="N49" s="255"/>
      <c r="O49" s="255"/>
      <c r="P49" s="255"/>
      <c r="Q49" s="255"/>
      <c r="R49" s="255"/>
      <c r="S49" s="365"/>
      <c r="T49" s="255"/>
      <c r="U49" s="255"/>
      <c r="V49" s="255"/>
      <c r="W49" s="254"/>
      <c r="X49" s="254"/>
      <c r="Y49" s="255"/>
      <c r="Z49" s="258"/>
      <c r="AA49" s="259"/>
      <c r="AB49" s="255"/>
      <c r="AC49" s="254"/>
      <c r="AD49" s="255"/>
      <c r="AE49" s="255"/>
      <c r="AF49" s="255"/>
      <c r="AG49" s="271"/>
      <c r="AH49" s="255"/>
      <c r="AI49" s="256"/>
      <c r="AJ49" s="262"/>
      <c r="AK49" s="262"/>
      <c r="AL49" s="255"/>
      <c r="AM49" s="255"/>
      <c r="AN49" s="262"/>
      <c r="AO49" s="262"/>
    </row>
    <row r="50" customFormat="false" ht="11.1" hidden="false" customHeight="true" outlineLevel="0" collapsed="false">
      <c r="A50" s="164"/>
      <c r="B50" s="282"/>
      <c r="C50" s="165"/>
      <c r="D50" s="164"/>
      <c r="E50" s="165"/>
      <c r="F50" s="164"/>
      <c r="G50" s="164"/>
      <c r="H50" s="287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9"/>
      <c r="T50" s="164"/>
      <c r="U50" s="164"/>
      <c r="V50" s="164"/>
      <c r="W50" s="165"/>
      <c r="X50" s="165"/>
      <c r="Y50" s="164"/>
      <c r="Z50" s="164"/>
      <c r="AA50" s="164"/>
      <c r="AB50" s="164"/>
      <c r="AC50" s="165"/>
      <c r="AD50" s="164"/>
      <c r="AE50" s="164"/>
      <c r="AF50" s="164"/>
      <c r="AG50" s="170"/>
      <c r="AH50" s="171"/>
      <c r="AI50" s="172"/>
      <c r="AL50" s="288"/>
      <c r="AM50" s="289"/>
    </row>
    <row r="51" customFormat="false" ht="11.1" hidden="false" customHeight="true" outlineLevel="0" collapsed="false">
      <c r="A51" s="164"/>
      <c r="B51" s="283"/>
      <c r="C51" s="165"/>
      <c r="D51" s="284"/>
      <c r="E51" s="165"/>
      <c r="F51" s="164"/>
      <c r="G51" s="164"/>
      <c r="H51" s="380"/>
      <c r="I51" s="165"/>
      <c r="J51" s="164"/>
      <c r="K51" s="154"/>
      <c r="L51" s="164"/>
      <c r="M51" s="164"/>
      <c r="N51" s="164"/>
      <c r="O51" s="164"/>
      <c r="P51" s="164"/>
      <c r="Q51" s="164"/>
      <c r="R51" s="164"/>
      <c r="S51" s="169"/>
      <c r="T51" s="164"/>
      <c r="U51" s="164"/>
      <c r="V51" s="164"/>
      <c r="W51" s="165"/>
      <c r="X51" s="165"/>
      <c r="Y51" s="164"/>
      <c r="Z51" s="164"/>
      <c r="AA51" s="164"/>
      <c r="AB51" s="164"/>
      <c r="AC51" s="165"/>
      <c r="AD51" s="164"/>
      <c r="AE51" s="164"/>
      <c r="AF51" s="164"/>
      <c r="AG51" s="170"/>
      <c r="AH51" s="171"/>
      <c r="AI51" s="171"/>
      <c r="AJ51" s="172"/>
      <c r="AK51" s="172"/>
      <c r="AL51" s="288"/>
      <c r="AM51" s="289"/>
    </row>
    <row r="52" customFormat="false" ht="11.1" hidden="false" customHeight="true" outlineLevel="0" collapsed="false">
      <c r="A52" s="284"/>
      <c r="B52" s="284"/>
      <c r="C52" s="165"/>
      <c r="D52" s="165"/>
      <c r="E52" s="165"/>
      <c r="F52" s="284"/>
      <c r="G52" s="284"/>
      <c r="H52" s="287"/>
      <c r="I52" s="165"/>
      <c r="J52" s="284"/>
      <c r="K52" s="284"/>
      <c r="L52" s="284"/>
      <c r="M52" s="168"/>
      <c r="N52" s="168"/>
      <c r="O52" s="168"/>
      <c r="P52" s="168"/>
      <c r="Q52" s="168"/>
      <c r="R52" s="168"/>
      <c r="S52" s="169"/>
      <c r="T52" s="284"/>
      <c r="U52" s="284"/>
      <c r="V52" s="284"/>
      <c r="W52" s="165"/>
      <c r="X52" s="165"/>
      <c r="Y52" s="284"/>
      <c r="Z52" s="284"/>
      <c r="AA52" s="284"/>
      <c r="AB52" s="284"/>
      <c r="AC52" s="165"/>
      <c r="AD52" s="284"/>
      <c r="AE52" s="284"/>
      <c r="AF52" s="284"/>
      <c r="AG52" s="170"/>
      <c r="AH52" s="171"/>
      <c r="AI52" s="171"/>
      <c r="AJ52" s="172"/>
      <c r="AK52" s="172"/>
      <c r="AL52" s="342"/>
      <c r="AM52" s="343"/>
    </row>
    <row r="53" customFormat="false" ht="11.1" hidden="false" customHeight="true" outlineLevel="0" collapsed="false">
      <c r="A53" s="284"/>
      <c r="B53" s="169"/>
      <c r="C53" s="165"/>
      <c r="D53" s="165"/>
      <c r="E53" s="165"/>
      <c r="F53" s="284"/>
      <c r="G53" s="284"/>
      <c r="H53" s="287"/>
      <c r="I53" s="165"/>
      <c r="J53" s="284"/>
      <c r="K53" s="284"/>
      <c r="L53" s="284"/>
      <c r="M53" s="168"/>
      <c r="N53" s="168"/>
      <c r="O53" s="168"/>
      <c r="P53" s="168"/>
      <c r="Q53" s="168"/>
      <c r="R53" s="168"/>
      <c r="S53" s="169"/>
      <c r="T53" s="284"/>
      <c r="U53" s="284"/>
      <c r="V53" s="284"/>
      <c r="W53" s="165"/>
      <c r="X53" s="165"/>
      <c r="Y53" s="284"/>
      <c r="Z53" s="284"/>
      <c r="AA53" s="284"/>
      <c r="AB53" s="284"/>
      <c r="AC53" s="165"/>
      <c r="AD53" s="284"/>
      <c r="AE53" s="284"/>
      <c r="AF53" s="284"/>
      <c r="AG53" s="170"/>
      <c r="AH53" s="171"/>
      <c r="AI53" s="171"/>
      <c r="AJ53" s="172"/>
      <c r="AK53" s="172"/>
      <c r="AL53" s="342"/>
      <c r="AM53" s="343"/>
    </row>
    <row r="54" customFormat="false" ht="11.1" hidden="false" customHeight="true" outlineLevel="0" collapsed="false">
      <c r="A54" s="284"/>
      <c r="B54" s="284"/>
      <c r="C54" s="165"/>
      <c r="D54" s="284"/>
      <c r="E54" s="165"/>
      <c r="F54" s="284"/>
      <c r="G54" s="285"/>
      <c r="H54" s="287"/>
      <c r="I54" s="284"/>
      <c r="J54" s="284"/>
      <c r="K54" s="284"/>
      <c r="L54" s="284"/>
      <c r="M54" s="168"/>
      <c r="N54" s="168"/>
      <c r="O54" s="168"/>
      <c r="P54" s="168"/>
      <c r="Q54" s="168"/>
      <c r="R54" s="168"/>
      <c r="S54" s="169"/>
      <c r="T54" s="284"/>
      <c r="U54" s="284"/>
      <c r="V54" s="284"/>
      <c r="W54" s="165"/>
      <c r="X54" s="165"/>
      <c r="Y54" s="284"/>
      <c r="Z54" s="284"/>
      <c r="AA54" s="284"/>
      <c r="AB54" s="284"/>
      <c r="AC54" s="165"/>
      <c r="AD54" s="284"/>
      <c r="AE54" s="284"/>
      <c r="AF54" s="284"/>
      <c r="AG54" s="170"/>
      <c r="AH54" s="171"/>
      <c r="AI54" s="171"/>
      <c r="AJ54" s="172"/>
      <c r="AK54" s="172"/>
      <c r="AL54" s="342"/>
      <c r="AM54" s="343"/>
    </row>
    <row r="55" customFormat="false" ht="11.1" hidden="false" customHeight="true" outlineLevel="0" collapsed="false">
      <c r="V55" s="156"/>
      <c r="W55" s="157"/>
      <c r="X55" s="157"/>
      <c r="AB55" s="156"/>
      <c r="AC55" s="157"/>
      <c r="AF55" s="156"/>
      <c r="AI55" s="161"/>
      <c r="AJ55" s="162"/>
      <c r="AK55" s="162"/>
    </row>
  </sheetData>
  <mergeCells count="2">
    <mergeCell ref="K2:X2"/>
    <mergeCell ref="M5:S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10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N33" activePane="bottomRight" state="frozen"/>
      <selection pane="topLeft" activeCell="A1" activeCellId="0" sqref="A1"/>
      <selection pane="topRight" activeCell="N1" activeCellId="0" sqref="N1"/>
      <selection pane="bottomLeft" activeCell="A33" activeCellId="0" sqref="A33"/>
      <selection pane="bottomRight" activeCell="AB23" activeCellId="0" sqref="AB23"/>
    </sheetView>
  </sheetViews>
  <sheetFormatPr defaultColWidth="9.328125" defaultRowHeight="11.1" zeroHeight="false" outlineLevelRow="0" outlineLevelCol="0"/>
  <cols>
    <col collapsed="false" customWidth="true" hidden="false" outlineLevel="0" max="1" min="1" style="156" width="4.66"/>
    <col collapsed="false" customWidth="true" hidden="false" outlineLevel="0" max="2" min="2" style="156" width="6.99"/>
    <col collapsed="false" customWidth="true" hidden="false" outlineLevel="0" max="3" min="3" style="157" width="6.32"/>
    <col collapsed="false" customWidth="true" hidden="false" outlineLevel="0" max="4" min="4" style="156" width="6.99"/>
    <col collapsed="false" customWidth="true" hidden="false" outlineLevel="0" max="5" min="5" style="157" width="6.99"/>
    <col collapsed="false" customWidth="true" hidden="false" outlineLevel="0" max="6" min="6" style="156" width="7.32"/>
    <col collapsed="false" customWidth="true" hidden="false" outlineLevel="0" max="7" min="7" style="156" width="6.82"/>
    <col collapsed="false" customWidth="true" hidden="false" outlineLevel="0" max="8" min="8" style="158" width="5.66"/>
    <col collapsed="false" customWidth="true" hidden="false" outlineLevel="0" max="11" min="9" style="156" width="6.32"/>
    <col collapsed="false" customWidth="true" hidden="false" outlineLevel="0" max="12" min="12" style="156" width="7.16"/>
    <col collapsed="false" customWidth="true" hidden="false" outlineLevel="0" max="13" min="13" style="159" width="5.49"/>
    <col collapsed="false" customWidth="true" hidden="false" outlineLevel="0" max="14" min="14" style="159" width="4.49"/>
    <col collapsed="false" customWidth="true" hidden="false" outlineLevel="0" max="15" min="15" style="159" width="5.49"/>
    <col collapsed="false" customWidth="true" hidden="false" outlineLevel="0" max="16" min="16" style="159" width="4.82"/>
    <col collapsed="false" customWidth="true" hidden="false" outlineLevel="0" max="18" min="17" style="159" width="4.32"/>
    <col collapsed="false" customWidth="true" hidden="false" outlineLevel="0" max="19" min="19" style="156" width="4.32"/>
    <col collapsed="false" customWidth="true" hidden="false" outlineLevel="0" max="21" min="20" style="156" width="5.49"/>
    <col collapsed="false" customWidth="true" hidden="false" outlineLevel="0" max="22" min="22" style="157" width="6.32"/>
    <col collapsed="false" customWidth="true" hidden="false" outlineLevel="0" max="27" min="23" style="156" width="5.49"/>
    <col collapsed="false" customWidth="true" hidden="false" outlineLevel="0" max="28" min="28" style="157" width="6.49"/>
    <col collapsed="false" customWidth="true" hidden="false" outlineLevel="0" max="29" min="29" style="156" width="5.49"/>
    <col collapsed="false" customWidth="true" hidden="false" outlineLevel="0" max="30" min="30" style="156" width="6.32"/>
    <col collapsed="false" customWidth="true" hidden="false" outlineLevel="0" max="31" min="31" style="156" width="6.99"/>
    <col collapsed="false" customWidth="true" hidden="false" outlineLevel="0" max="32" min="32" style="160" width="6.99"/>
    <col collapsed="false" customWidth="true" hidden="false" outlineLevel="0" max="33" min="33" style="158" width="5.32"/>
    <col collapsed="false" customWidth="true" hidden="false" outlineLevel="0" max="34" min="34" style="161" width="3.82"/>
    <col collapsed="false" customWidth="true" hidden="false" outlineLevel="0" max="35" min="35" style="162" width="3.82"/>
    <col collapsed="false" customWidth="true" hidden="false" outlineLevel="0" max="37" min="36" style="161" width="5.49"/>
    <col collapsed="false" customWidth="true" hidden="false" outlineLevel="0" max="40" min="38" style="156" width="6.32"/>
    <col collapsed="false" customWidth="true" hidden="false" outlineLevel="0" max="41" min="41" style="163" width="6.49"/>
    <col collapsed="false" customWidth="false" hidden="false" outlineLevel="0" max="257" min="42" style="156" width="9.32"/>
  </cols>
  <sheetData>
    <row r="1" customFormat="false" ht="14.1" hidden="false" customHeight="true" outlineLevel="0" collapsed="false">
      <c r="A1" s="164"/>
      <c r="B1" s="164"/>
      <c r="C1" s="165"/>
      <c r="D1" s="164"/>
      <c r="E1" s="165"/>
      <c r="F1" s="164"/>
      <c r="G1" s="164"/>
      <c r="H1" s="170"/>
      <c r="I1" s="164"/>
      <c r="J1" s="164"/>
      <c r="K1" s="167" t="s">
        <v>0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4"/>
      <c r="X1" s="164"/>
      <c r="Y1" s="164"/>
      <c r="Z1" s="164"/>
      <c r="AA1" s="164"/>
      <c r="AB1" s="165"/>
      <c r="AC1" s="164"/>
      <c r="AD1" s="164"/>
      <c r="AE1" s="164"/>
      <c r="AF1" s="169"/>
      <c r="AG1" s="170"/>
      <c r="AH1" s="171"/>
      <c r="AI1" s="172"/>
      <c r="AJ1" s="345"/>
      <c r="AK1" s="345"/>
      <c r="AL1" s="288"/>
    </row>
    <row r="2" customFormat="false" ht="14.1" hidden="false" customHeight="true" outlineLevel="0" collapsed="false">
      <c r="A2" s="173" t="s">
        <v>1</v>
      </c>
      <c r="B2" s="164"/>
      <c r="C2" s="165"/>
      <c r="D2" s="174" t="n">
        <v>1.9835</v>
      </c>
      <c r="E2" s="165"/>
      <c r="F2" s="164"/>
      <c r="G2" s="164"/>
      <c r="H2" s="170"/>
      <c r="I2" s="164"/>
      <c r="J2" s="164"/>
      <c r="K2" s="175" t="s">
        <v>100</v>
      </c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64"/>
      <c r="Z2" s="164"/>
      <c r="AA2" s="164"/>
      <c r="AB2" s="165"/>
      <c r="AC2" s="164"/>
      <c r="AD2" s="164"/>
      <c r="AE2" s="164"/>
      <c r="AF2" s="169"/>
      <c r="AG2" s="170"/>
      <c r="AH2" s="171"/>
      <c r="AI2" s="172"/>
      <c r="AJ2" s="345"/>
      <c r="AK2" s="345"/>
      <c r="AL2" s="288"/>
    </row>
    <row r="3" customFormat="false" ht="14.1" hidden="false" customHeight="true" outlineLevel="0" collapsed="false">
      <c r="A3" s="176"/>
      <c r="B3" s="176"/>
      <c r="C3" s="177"/>
      <c r="D3" s="178"/>
      <c r="E3" s="177"/>
      <c r="F3" s="176"/>
      <c r="G3" s="176"/>
      <c r="H3" s="182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7"/>
      <c r="W3" s="176"/>
      <c r="X3" s="176"/>
      <c r="Y3" s="176"/>
      <c r="Z3" s="176"/>
      <c r="AA3" s="176"/>
      <c r="AB3" s="177"/>
      <c r="AC3" s="176"/>
      <c r="AD3" s="176"/>
      <c r="AE3" s="176"/>
      <c r="AF3" s="181"/>
      <c r="AG3" s="182"/>
      <c r="AH3" s="183"/>
      <c r="AI3" s="184"/>
      <c r="AJ3" s="346"/>
      <c r="AK3" s="346"/>
      <c r="AL3" s="291"/>
      <c r="AM3" s="185"/>
    </row>
    <row r="4" s="200" customFormat="true" ht="14.1" hidden="false" customHeight="true" outlineLevel="0" collapsed="false">
      <c r="A4" s="187"/>
      <c r="B4" s="188"/>
      <c r="C4" s="189"/>
      <c r="D4" s="293" t="s">
        <v>3</v>
      </c>
      <c r="E4" s="189"/>
      <c r="F4" s="191"/>
      <c r="G4" s="187"/>
      <c r="H4" s="294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93" t="s">
        <v>4</v>
      </c>
      <c r="U4" s="187"/>
      <c r="V4" s="194"/>
      <c r="W4" s="187"/>
      <c r="X4" s="187"/>
      <c r="Y4" s="187"/>
      <c r="Z4" s="187"/>
      <c r="AA4" s="187"/>
      <c r="AB4" s="194"/>
      <c r="AC4" s="187"/>
      <c r="AD4" s="187"/>
      <c r="AE4" s="187"/>
      <c r="AF4" s="196"/>
      <c r="AG4" s="197"/>
      <c r="AH4" s="198" t="s">
        <v>5</v>
      </c>
      <c r="AI4" s="199"/>
      <c r="AJ4" s="347"/>
      <c r="AK4" s="347"/>
      <c r="AL4" s="193" t="s">
        <v>6</v>
      </c>
      <c r="AN4" s="204"/>
      <c r="AO4" s="203"/>
    </row>
    <row r="5" customFormat="false" ht="12.95" hidden="false" customHeight="true" outlineLevel="0" collapsed="false">
      <c r="A5" s="205" t="s">
        <v>7</v>
      </c>
      <c r="B5" s="206" t="s">
        <v>8</v>
      </c>
      <c r="C5" s="207" t="s">
        <v>8</v>
      </c>
      <c r="D5" s="205" t="s">
        <v>9</v>
      </c>
      <c r="E5" s="207" t="s">
        <v>10</v>
      </c>
      <c r="F5" s="208" t="s">
        <v>11</v>
      </c>
      <c r="G5" s="205" t="s">
        <v>12</v>
      </c>
      <c r="H5" s="297" t="s">
        <v>13</v>
      </c>
      <c r="I5" s="205" t="s">
        <v>14</v>
      </c>
      <c r="J5" s="205" t="s">
        <v>15</v>
      </c>
      <c r="K5" s="205" t="s">
        <v>16</v>
      </c>
      <c r="L5" s="205" t="s">
        <v>15</v>
      </c>
      <c r="M5" s="210" t="s">
        <v>17</v>
      </c>
      <c r="N5" s="210"/>
      <c r="O5" s="210"/>
      <c r="P5" s="210"/>
      <c r="Q5" s="210"/>
      <c r="R5" s="210"/>
      <c r="S5" s="210"/>
      <c r="T5" s="233" t="s">
        <v>18</v>
      </c>
      <c r="U5" s="233" t="s">
        <v>19</v>
      </c>
      <c r="V5" s="233" t="s">
        <v>16</v>
      </c>
      <c r="W5" s="229" t="s">
        <v>20</v>
      </c>
      <c r="X5" s="229" t="s">
        <v>20</v>
      </c>
      <c r="Y5" s="233" t="s">
        <v>21</v>
      </c>
      <c r="Z5" s="212" t="s">
        <v>86</v>
      </c>
      <c r="AA5" s="213"/>
      <c r="AB5" s="233" t="s">
        <v>23</v>
      </c>
      <c r="AC5" s="229" t="s">
        <v>24</v>
      </c>
      <c r="AD5" s="233" t="s">
        <v>14</v>
      </c>
      <c r="AE5" s="233" t="s">
        <v>15</v>
      </c>
      <c r="AF5" s="233" t="s">
        <v>16</v>
      </c>
      <c r="AG5" s="349" t="s">
        <v>25</v>
      </c>
      <c r="AH5" s="224" t="s">
        <v>26</v>
      </c>
      <c r="AI5" s="350" t="s">
        <v>27</v>
      </c>
      <c r="AJ5" s="224" t="s">
        <v>87</v>
      </c>
      <c r="AK5" s="224" t="s">
        <v>20</v>
      </c>
      <c r="AL5" s="233" t="s">
        <v>20</v>
      </c>
      <c r="AM5" s="233" t="s">
        <v>20</v>
      </c>
      <c r="AN5" s="218" t="s">
        <v>29</v>
      </c>
      <c r="AO5" s="217" t="s">
        <v>30</v>
      </c>
    </row>
    <row r="6" customFormat="false" ht="12.95" hidden="false" customHeight="true" outlineLevel="0" collapsed="false">
      <c r="A6" s="220" t="s">
        <v>101</v>
      </c>
      <c r="B6" s="206" t="s">
        <v>32</v>
      </c>
      <c r="C6" s="207" t="s">
        <v>9</v>
      </c>
      <c r="D6" s="205" t="s">
        <v>33</v>
      </c>
      <c r="E6" s="207" t="s">
        <v>34</v>
      </c>
      <c r="F6" s="208" t="s">
        <v>35</v>
      </c>
      <c r="G6" s="205" t="s">
        <v>36</v>
      </c>
      <c r="H6" s="297" t="s">
        <v>37</v>
      </c>
      <c r="I6" s="205" t="s">
        <v>38</v>
      </c>
      <c r="J6" s="205" t="s">
        <v>38</v>
      </c>
      <c r="K6" s="205" t="s">
        <v>38</v>
      </c>
      <c r="L6" s="205" t="s">
        <v>39</v>
      </c>
      <c r="M6" s="221" t="s">
        <v>40</v>
      </c>
      <c r="N6" s="205" t="s">
        <v>41</v>
      </c>
      <c r="O6" s="205" t="s">
        <v>42</v>
      </c>
      <c r="P6" s="205" t="s">
        <v>43</v>
      </c>
      <c r="Q6" s="205" t="s">
        <v>44</v>
      </c>
      <c r="R6" s="205" t="s">
        <v>45</v>
      </c>
      <c r="S6" s="222" t="s">
        <v>102</v>
      </c>
      <c r="T6" s="233" t="s">
        <v>47</v>
      </c>
      <c r="U6" s="233" t="s">
        <v>48</v>
      </c>
      <c r="V6" s="233" t="s">
        <v>20</v>
      </c>
      <c r="W6" s="229" t="s">
        <v>58</v>
      </c>
      <c r="X6" s="229" t="s">
        <v>50</v>
      </c>
      <c r="Y6" s="233" t="s">
        <v>51</v>
      </c>
      <c r="Z6" s="221"/>
      <c r="AA6" s="222"/>
      <c r="AB6" s="233" t="s">
        <v>54</v>
      </c>
      <c r="AC6" s="229" t="s">
        <v>55</v>
      </c>
      <c r="AD6" s="233" t="s">
        <v>56</v>
      </c>
      <c r="AE6" s="233" t="s">
        <v>56</v>
      </c>
      <c r="AF6" s="233" t="s">
        <v>56</v>
      </c>
      <c r="AG6" s="352"/>
      <c r="AH6" s="224" t="s">
        <v>57</v>
      </c>
      <c r="AI6" s="350" t="s">
        <v>57</v>
      </c>
      <c r="AJ6" s="224" t="s">
        <v>58</v>
      </c>
      <c r="AK6" s="224" t="s">
        <v>59</v>
      </c>
      <c r="AL6" s="233" t="s">
        <v>60</v>
      </c>
      <c r="AM6" s="233" t="s">
        <v>60</v>
      </c>
      <c r="AN6" s="218" t="s">
        <v>61</v>
      </c>
      <c r="AO6" s="217" t="s">
        <v>62</v>
      </c>
    </row>
    <row r="7" customFormat="false" ht="12.95" hidden="false" customHeight="true" outlineLevel="0" collapsed="false">
      <c r="A7" s="226"/>
      <c r="B7" s="227"/>
      <c r="C7" s="228"/>
      <c r="D7" s="226"/>
      <c r="E7" s="229" t="s">
        <v>63</v>
      </c>
      <c r="F7" s="230"/>
      <c r="G7" s="226"/>
      <c r="H7" s="300"/>
      <c r="I7" s="226"/>
      <c r="J7" s="226"/>
      <c r="K7" s="226"/>
      <c r="L7" s="226"/>
      <c r="M7" s="232"/>
      <c r="N7" s="233" t="s">
        <v>64</v>
      </c>
      <c r="O7" s="233" t="s">
        <v>65</v>
      </c>
      <c r="P7" s="233"/>
      <c r="Q7" s="226"/>
      <c r="R7" s="226"/>
      <c r="S7" s="234" t="s">
        <v>42</v>
      </c>
      <c r="T7" s="296"/>
      <c r="U7" s="296"/>
      <c r="V7" s="296"/>
      <c r="W7" s="229"/>
      <c r="X7" s="229" t="s">
        <v>92</v>
      </c>
      <c r="Y7" s="296"/>
      <c r="Z7" s="232"/>
      <c r="AA7" s="236"/>
      <c r="AB7" s="296"/>
      <c r="AC7" s="355"/>
      <c r="AD7" s="296"/>
      <c r="AE7" s="296"/>
      <c r="AF7" s="296"/>
      <c r="AG7" s="356"/>
      <c r="AH7" s="224"/>
      <c r="AI7" s="357"/>
      <c r="AJ7" s="224" t="s">
        <v>67</v>
      </c>
      <c r="AK7" s="224" t="s">
        <v>35</v>
      </c>
      <c r="AL7" s="233" t="s">
        <v>68</v>
      </c>
      <c r="AM7" s="233" t="s">
        <v>93</v>
      </c>
      <c r="AN7" s="218" t="s">
        <v>70</v>
      </c>
      <c r="AO7" s="217" t="s">
        <v>71</v>
      </c>
    </row>
    <row r="8" customFormat="false" ht="12.95" hidden="false" customHeight="true" outlineLevel="0" collapsed="false">
      <c r="A8" s="226"/>
      <c r="B8" s="227"/>
      <c r="C8" s="228"/>
      <c r="D8" s="226"/>
      <c r="E8" s="228"/>
      <c r="F8" s="230"/>
      <c r="G8" s="226"/>
      <c r="H8" s="300"/>
      <c r="I8" s="226"/>
      <c r="J8" s="226"/>
      <c r="K8" s="226"/>
      <c r="L8" s="226"/>
      <c r="M8" s="232"/>
      <c r="N8" s="303" t="n">
        <v>1.03</v>
      </c>
      <c r="O8" s="303" t="n">
        <v>1.05</v>
      </c>
      <c r="P8" s="303" t="n">
        <v>1.02</v>
      </c>
      <c r="Q8" s="303" t="n">
        <v>1.02</v>
      </c>
      <c r="R8" s="303" t="n">
        <v>1.04</v>
      </c>
      <c r="S8" s="234" t="s">
        <v>53</v>
      </c>
      <c r="T8" s="296"/>
      <c r="U8" s="296"/>
      <c r="V8" s="296"/>
      <c r="W8" s="355"/>
      <c r="X8" s="229" t="s">
        <v>72</v>
      </c>
      <c r="Y8" s="296"/>
      <c r="Z8" s="232"/>
      <c r="AA8" s="236"/>
      <c r="AB8" s="296"/>
      <c r="AC8" s="355"/>
      <c r="AD8" s="296"/>
      <c r="AE8" s="296"/>
      <c r="AF8" s="296"/>
      <c r="AG8" s="356"/>
      <c r="AH8" s="358"/>
      <c r="AI8" s="357"/>
      <c r="AJ8" s="358"/>
      <c r="AK8" s="358"/>
      <c r="AL8" s="187"/>
      <c r="AM8" s="173" t="s">
        <v>67</v>
      </c>
      <c r="AN8" s="200"/>
    </row>
    <row r="9" customFormat="false" ht="12.95" hidden="false" customHeight="true" outlineLevel="0" collapsed="false">
      <c r="A9" s="173" t="s">
        <v>74</v>
      </c>
      <c r="B9" s="241"/>
      <c r="C9" s="105"/>
      <c r="D9" s="105"/>
      <c r="E9" s="105"/>
      <c r="F9" s="242"/>
      <c r="G9" s="105"/>
      <c r="H9" s="381"/>
      <c r="I9" s="105"/>
      <c r="J9" s="105"/>
      <c r="K9" s="105"/>
      <c r="L9" s="105"/>
      <c r="M9" s="244"/>
      <c r="N9" s="105"/>
      <c r="O9" s="105"/>
      <c r="P9" s="105"/>
      <c r="Q9" s="105"/>
      <c r="R9" s="105"/>
      <c r="S9" s="245"/>
      <c r="T9" s="105"/>
      <c r="U9" s="105"/>
      <c r="V9" s="105"/>
      <c r="W9" s="105"/>
      <c r="X9" s="105"/>
      <c r="Y9" s="105"/>
      <c r="Z9" s="244"/>
      <c r="AA9" s="245"/>
      <c r="AB9" s="105"/>
      <c r="AC9" s="105"/>
      <c r="AD9" s="105"/>
      <c r="AE9" s="105"/>
      <c r="AF9" s="105"/>
      <c r="AG9" s="247"/>
      <c r="AH9" s="243"/>
      <c r="AI9" s="248"/>
      <c r="AJ9" s="243"/>
      <c r="AK9" s="243"/>
      <c r="AL9" s="265"/>
      <c r="AM9" s="249"/>
      <c r="AN9" s="249"/>
    </row>
    <row r="10" s="157" customFormat="true" ht="12.95" hidden="false" customHeight="true" outlineLevel="0" collapsed="false">
      <c r="A10" s="250" t="s">
        <v>75</v>
      </c>
      <c r="B10" s="104" t="n">
        <f aca="false">FEB!B39</f>
        <v>6902.13</v>
      </c>
      <c r="C10" s="105" t="n">
        <f aca="false">FEB!C39</f>
        <v>291504</v>
      </c>
      <c r="D10" s="105" t="n">
        <f aca="false">FEB!D48</f>
        <v>-7870</v>
      </c>
      <c r="E10" s="105" t="n">
        <f aca="false">FEB!E48</f>
        <v>139504</v>
      </c>
      <c r="F10" s="242" t="n">
        <f aca="false">FEB!F47</f>
        <v>-3967.73380388203</v>
      </c>
      <c r="G10" s="105" t="n">
        <f aca="false">FEB!G47</f>
        <v>5580</v>
      </c>
      <c r="H10" s="362" t="n">
        <f aca="false">FEB!H47</f>
        <v>150.623</v>
      </c>
      <c r="I10" s="105" t="n">
        <f aca="false">FEB!I47</f>
        <v>5730.623</v>
      </c>
      <c r="J10" s="105" t="n">
        <f aca="false">FEB!J47</f>
        <v>478.597232165364</v>
      </c>
      <c r="K10" s="105" t="n">
        <f aca="false">FEB!K47</f>
        <v>6209.22023216536</v>
      </c>
      <c r="L10" s="105" t="n">
        <f aca="false">FEB!L47</f>
        <v>-680.746803882027</v>
      </c>
      <c r="M10" s="244" t="n">
        <f aca="false">FEB!M47</f>
        <v>835.2</v>
      </c>
      <c r="N10" s="105" t="n">
        <f aca="false">FEB!N47</f>
        <v>0</v>
      </c>
      <c r="O10" s="105" t="n">
        <f aca="false">FEB!O47</f>
        <v>0</v>
      </c>
      <c r="P10" s="105"/>
      <c r="Q10" s="105" t="n">
        <f aca="false">FEB!Q47</f>
        <v>174.7974</v>
      </c>
      <c r="R10" s="105" t="n">
        <f aca="false">FEB!R47</f>
        <v>312.5884</v>
      </c>
      <c r="S10" s="245" t="n">
        <f aca="false">FEB!S47</f>
        <v>1.33</v>
      </c>
      <c r="T10" s="105" t="n">
        <f aca="false">FEB!T47</f>
        <v>5235.94</v>
      </c>
      <c r="U10" s="105" t="n">
        <f aca="false">FEB!U47</f>
        <v>151.47</v>
      </c>
      <c r="V10" s="105" t="n">
        <f aca="false">FEB!V47</f>
        <v>5733.8942</v>
      </c>
      <c r="W10" s="105"/>
      <c r="X10" s="105"/>
      <c r="Y10" s="105"/>
      <c r="Z10" s="244"/>
      <c r="AA10" s="245"/>
      <c r="AB10" s="105" t="n">
        <f aca="false">FEB!AB47</f>
        <v>2795</v>
      </c>
      <c r="AC10" s="105" t="n">
        <f aca="false">FEB!AC47</f>
        <v>2697</v>
      </c>
      <c r="AD10" s="105" t="n">
        <f aca="false">FEB!AD47</f>
        <v>9017.61</v>
      </c>
      <c r="AE10" s="105" t="n">
        <f aca="false">FEB!AE47</f>
        <v>1159.34403604739</v>
      </c>
      <c r="AF10" s="105" t="n">
        <f aca="false">FEB!AF47</f>
        <v>10176.9540360474</v>
      </c>
      <c r="AG10" s="247" t="n">
        <f aca="false">FEB!AG47</f>
        <v>1.01</v>
      </c>
      <c r="AH10" s="243"/>
      <c r="AI10" s="248"/>
      <c r="AJ10" s="243" t="n">
        <f aca="false">FEB!AJ48</f>
        <v>10138.4833751</v>
      </c>
      <c r="AK10" s="243" t="n">
        <f aca="false">FEB!AK48</f>
        <v>0</v>
      </c>
      <c r="AL10" s="105"/>
      <c r="AM10" s="265"/>
      <c r="AN10" s="105"/>
      <c r="AO10" s="382"/>
    </row>
    <row r="11" customFormat="false" ht="3" hidden="false" customHeight="true" outlineLevel="0" collapsed="false">
      <c r="A11" s="383"/>
      <c r="B11" s="253"/>
      <c r="C11" s="254"/>
      <c r="D11" s="255"/>
      <c r="E11" s="254"/>
      <c r="F11" s="256"/>
      <c r="G11" s="255"/>
      <c r="H11" s="279"/>
      <c r="I11" s="255"/>
      <c r="J11" s="255"/>
      <c r="K11" s="255"/>
      <c r="L11" s="255"/>
      <c r="M11" s="258"/>
      <c r="N11" s="255"/>
      <c r="O11" s="255"/>
      <c r="P11" s="255"/>
      <c r="Q11" s="255"/>
      <c r="R11" s="255"/>
      <c r="S11" s="259"/>
      <c r="T11" s="255"/>
      <c r="U11" s="255"/>
      <c r="V11" s="255"/>
      <c r="W11" s="254"/>
      <c r="X11" s="254"/>
      <c r="Y11" s="255"/>
      <c r="Z11" s="258"/>
      <c r="AA11" s="259"/>
      <c r="AB11" s="255"/>
      <c r="AC11" s="254"/>
      <c r="AD11" s="255"/>
      <c r="AE11" s="255"/>
      <c r="AF11" s="255"/>
      <c r="AG11" s="261"/>
      <c r="AH11" s="262"/>
      <c r="AI11" s="263"/>
      <c r="AJ11" s="262"/>
      <c r="AK11" s="262"/>
      <c r="AL11" s="262"/>
      <c r="AM11" s="262"/>
      <c r="AN11" s="262"/>
      <c r="AO11" s="384"/>
    </row>
    <row r="12" customFormat="false" ht="12.95" hidden="false" customHeight="true" outlineLevel="0" collapsed="false">
      <c r="A12" s="358" t="n">
        <v>1</v>
      </c>
      <c r="B12" s="104" t="n">
        <v>6902.14</v>
      </c>
      <c r="C12" s="105" t="n">
        <v>291541</v>
      </c>
      <c r="D12" s="243" t="n">
        <f aca="false">C12-C10</f>
        <v>37</v>
      </c>
      <c r="E12" s="105" t="n">
        <f aca="false">C12-152000</f>
        <v>139541</v>
      </c>
      <c r="F12" s="264" t="n">
        <f aca="false">D12/$D$2</f>
        <v>18.6538946307033</v>
      </c>
      <c r="G12" s="265" t="n">
        <v>59</v>
      </c>
      <c r="H12" s="385" t="n">
        <v>1.5</v>
      </c>
      <c r="I12" s="265" t="n">
        <f aca="false">G12+H12</f>
        <v>60.5</v>
      </c>
      <c r="J12" s="246" t="n">
        <f aca="false">IF(L12&gt;0,L12,0)</f>
        <v>32.0538946307033</v>
      </c>
      <c r="K12" s="265" t="n">
        <f aca="false">I12+J12</f>
        <v>92.5538946307033</v>
      </c>
      <c r="L12" s="265" t="n">
        <f aca="false">F12-(I12-AD12)</f>
        <v>32.0538946307033</v>
      </c>
      <c r="M12" s="267" t="n">
        <v>4.9</v>
      </c>
      <c r="N12" s="265" t="n">
        <v>0</v>
      </c>
      <c r="O12" s="265" t="n">
        <v>0</v>
      </c>
      <c r="P12" s="265"/>
      <c r="Q12" s="386" t="n">
        <f aca="false">1.52*1.02</f>
        <v>1.5504</v>
      </c>
      <c r="R12" s="386" t="n">
        <v>3.08</v>
      </c>
      <c r="S12" s="268" t="n">
        <v>0</v>
      </c>
      <c r="T12" s="265" t="n">
        <v>45</v>
      </c>
      <c r="U12" s="265" t="n">
        <v>0</v>
      </c>
      <c r="V12" s="265" t="n">
        <f aca="false">M12-N12-O12-Q12-R12-S12+T12+U12</f>
        <v>45.2696</v>
      </c>
      <c r="W12" s="105"/>
      <c r="X12" s="105"/>
      <c r="Y12" s="265" t="n">
        <v>0</v>
      </c>
      <c r="Z12" s="267"/>
      <c r="AA12" s="269"/>
      <c r="AB12" s="265" t="n">
        <v>24</v>
      </c>
      <c r="AC12" s="105" t="n">
        <f aca="false">AC10-AB12</f>
        <v>2673</v>
      </c>
      <c r="AD12" s="128" t="n">
        <f aca="false">N12+O12+Q12+R12+S12+V12+Y12+AB12</f>
        <v>73.9</v>
      </c>
      <c r="AE12" s="265" t="n">
        <f aca="false">IF(L12&lt;0,L12*-1,0)</f>
        <v>0</v>
      </c>
      <c r="AF12" s="265" t="n">
        <f aca="false">AD12+AE12</f>
        <v>73.9</v>
      </c>
      <c r="AG12" s="247" t="n">
        <v>0</v>
      </c>
      <c r="AH12" s="243" t="n">
        <v>53</v>
      </c>
      <c r="AI12" s="248" t="n">
        <v>30</v>
      </c>
      <c r="AJ12" s="243" t="n">
        <f aca="false">AJ10+(V12*1.9835)</f>
        <v>10228.2756267</v>
      </c>
      <c r="AK12" s="243"/>
      <c r="AL12" s="249"/>
      <c r="AM12" s="105"/>
      <c r="AN12" s="249"/>
    </row>
    <row r="13" customFormat="false" ht="12.95" hidden="false" customHeight="true" outlineLevel="0" collapsed="false">
      <c r="A13" s="358" t="n">
        <f aca="false">A12+1</f>
        <v>2</v>
      </c>
      <c r="B13" s="104" t="n">
        <v>6904.14</v>
      </c>
      <c r="C13" s="105" t="n">
        <v>291541</v>
      </c>
      <c r="D13" s="243" t="n">
        <f aca="false">C13-C12</f>
        <v>0</v>
      </c>
      <c r="E13" s="105" t="n">
        <f aca="false">C13-152000</f>
        <v>139541</v>
      </c>
      <c r="F13" s="264" t="n">
        <f aca="false">D13/$D$2</f>
        <v>0</v>
      </c>
      <c r="G13" s="265" t="n">
        <v>66</v>
      </c>
      <c r="H13" s="385" t="n">
        <v>1.7</v>
      </c>
      <c r="I13" s="265" t="n">
        <f aca="false">G13+H13</f>
        <v>67.7</v>
      </c>
      <c r="J13" s="246" t="n">
        <f aca="false">IF(L13&gt;0,L13,0)</f>
        <v>29.7</v>
      </c>
      <c r="K13" s="265" t="n">
        <f aca="false">I13+J13</f>
        <v>97.4</v>
      </c>
      <c r="L13" s="265" t="n">
        <f aca="false">F13-(I13-AD13)</f>
        <v>29.7</v>
      </c>
      <c r="M13" s="267" t="n">
        <v>5.4</v>
      </c>
      <c r="N13" s="265" t="n">
        <v>0</v>
      </c>
      <c r="O13" s="265" t="n">
        <v>0</v>
      </c>
      <c r="P13" s="265"/>
      <c r="Q13" s="386" t="n">
        <f aca="false">1.52*1.02</f>
        <v>1.5504</v>
      </c>
      <c r="R13" s="386" t="n">
        <v>2.33</v>
      </c>
      <c r="S13" s="268" t="n">
        <v>0</v>
      </c>
      <c r="T13" s="265" t="n">
        <v>63</v>
      </c>
      <c r="U13" s="265" t="n">
        <v>0</v>
      </c>
      <c r="V13" s="265" t="n">
        <f aca="false">M13-N13-O13-Q13-R13-S13+T13+U13</f>
        <v>64.5196</v>
      </c>
      <c r="W13" s="105"/>
      <c r="X13" s="105"/>
      <c r="Y13" s="265" t="n">
        <v>0</v>
      </c>
      <c r="Z13" s="267"/>
      <c r="AA13" s="269"/>
      <c r="AB13" s="265" t="n">
        <v>29</v>
      </c>
      <c r="AC13" s="105" t="n">
        <f aca="false">AC12-AB13</f>
        <v>2644</v>
      </c>
      <c r="AD13" s="128" t="n">
        <f aca="false">N13+O13+Q13+R13+S13+V13+Y13+AB13</f>
        <v>97.4</v>
      </c>
      <c r="AE13" s="265" t="n">
        <f aca="false">IF(L13&lt;0,L13*-1,0)</f>
        <v>0</v>
      </c>
      <c r="AF13" s="265" t="n">
        <f aca="false">AD13+AE13</f>
        <v>97.4</v>
      </c>
      <c r="AG13" s="247" t="n">
        <v>0</v>
      </c>
      <c r="AH13" s="243" t="n">
        <v>55</v>
      </c>
      <c r="AI13" s="248" t="n">
        <v>31</v>
      </c>
      <c r="AJ13" s="243" t="n">
        <f aca="false">AJ12+(V13*1.9835)</f>
        <v>10356.2502533</v>
      </c>
      <c r="AK13" s="243"/>
      <c r="AL13" s="249"/>
      <c r="AM13" s="105"/>
      <c r="AN13" s="249"/>
    </row>
    <row r="14" customFormat="false" ht="12.95" hidden="false" customHeight="true" outlineLevel="0" collapsed="false">
      <c r="A14" s="358" t="n">
        <f aca="false">A13+1</f>
        <v>3</v>
      </c>
      <c r="B14" s="104" t="n">
        <v>6902.13</v>
      </c>
      <c r="C14" s="105" t="n">
        <v>291504</v>
      </c>
      <c r="D14" s="243" t="n">
        <f aca="false">C14-C13</f>
        <v>-37</v>
      </c>
      <c r="E14" s="105" t="n">
        <f aca="false">C14-152000</f>
        <v>139504</v>
      </c>
      <c r="F14" s="264" t="n">
        <f aca="false">D14/$D$2</f>
        <v>-18.6538946307033</v>
      </c>
      <c r="G14" s="265" t="n">
        <v>60</v>
      </c>
      <c r="H14" s="385" t="n">
        <v>1.9</v>
      </c>
      <c r="I14" s="265" t="n">
        <f aca="false">G14+H14</f>
        <v>61.9</v>
      </c>
      <c r="J14" s="246" t="n">
        <f aca="false">IF(L14&gt;0,L14,0)</f>
        <v>32.4461053692967</v>
      </c>
      <c r="K14" s="265" t="n">
        <f aca="false">I14+J14</f>
        <v>94.3461053692967</v>
      </c>
      <c r="L14" s="265" t="n">
        <f aca="false">F14-(I14-AD14)</f>
        <v>32.4461053692967</v>
      </c>
      <c r="M14" s="267" t="n">
        <v>6</v>
      </c>
      <c r="N14" s="265" t="n">
        <v>0</v>
      </c>
      <c r="O14" s="265" t="n">
        <v>0</v>
      </c>
      <c r="P14" s="265"/>
      <c r="Q14" s="386" t="n">
        <f aca="false">1.52*1.02</f>
        <v>1.5504</v>
      </c>
      <c r="R14" s="386" t="n">
        <v>2.16</v>
      </c>
      <c r="S14" s="268" t="n">
        <v>0</v>
      </c>
      <c r="T14" s="265" t="n">
        <v>75</v>
      </c>
      <c r="U14" s="265" t="n">
        <v>0</v>
      </c>
      <c r="V14" s="265" t="n">
        <f aca="false">M14-N14-O14-Q14-R14-S14+T14+U14</f>
        <v>77.2896</v>
      </c>
      <c r="W14" s="105"/>
      <c r="X14" s="105"/>
      <c r="Y14" s="265" t="n">
        <v>0</v>
      </c>
      <c r="Z14" s="267"/>
      <c r="AA14" s="269"/>
      <c r="AB14" s="265" t="n">
        <v>32</v>
      </c>
      <c r="AC14" s="105" t="n">
        <f aca="false">AC13-AB14</f>
        <v>2612</v>
      </c>
      <c r="AD14" s="128" t="n">
        <f aca="false">N14+O14+Q14+R14+S14+V14+Y14+AB14</f>
        <v>113</v>
      </c>
      <c r="AE14" s="265" t="n">
        <f aca="false">IF(L14&lt;0,L14*-1,0)</f>
        <v>0</v>
      </c>
      <c r="AF14" s="265" t="n">
        <f aca="false">AD14+AE14</f>
        <v>113</v>
      </c>
      <c r="AG14" s="247" t="n">
        <v>0</v>
      </c>
      <c r="AH14" s="243" t="n">
        <v>60</v>
      </c>
      <c r="AI14" s="248" t="n">
        <v>30</v>
      </c>
      <c r="AJ14" s="243" t="n">
        <f aca="false">AJ13+(V14*1.9835)</f>
        <v>10509.5541749</v>
      </c>
      <c r="AK14" s="243"/>
      <c r="AL14" s="249"/>
      <c r="AM14" s="105"/>
      <c r="AN14" s="249"/>
    </row>
    <row r="15" customFormat="false" ht="12.95" hidden="false" customHeight="true" outlineLevel="0" collapsed="false">
      <c r="A15" s="358" t="n">
        <f aca="false">A14+1</f>
        <v>4</v>
      </c>
      <c r="B15" s="104" t="n">
        <v>6902.12</v>
      </c>
      <c r="C15" s="105" t="n">
        <v>291466</v>
      </c>
      <c r="D15" s="243" t="n">
        <f aca="false">C15-C14</f>
        <v>-38</v>
      </c>
      <c r="E15" s="105" t="n">
        <f aca="false">C15-152000</f>
        <v>139466</v>
      </c>
      <c r="F15" s="264" t="n">
        <f aca="false">D15/$D$2</f>
        <v>-19.1580539450466</v>
      </c>
      <c r="G15" s="265" t="n">
        <v>60</v>
      </c>
      <c r="H15" s="385" t="n">
        <v>2</v>
      </c>
      <c r="I15" s="265" t="n">
        <f aca="false">G15+H15</f>
        <v>62</v>
      </c>
      <c r="J15" s="246" t="n">
        <f aca="false">IF(L15&gt;0,L15,0)</f>
        <v>33.1419460549534</v>
      </c>
      <c r="K15" s="265" t="n">
        <f aca="false">I15+J15</f>
        <v>95.1419460549534</v>
      </c>
      <c r="L15" s="265" t="n">
        <f aca="false">F15-(I15-AD15)</f>
        <v>33.1419460549534</v>
      </c>
      <c r="M15" s="267" t="n">
        <v>6.3</v>
      </c>
      <c r="N15" s="265" t="n">
        <v>0</v>
      </c>
      <c r="O15" s="265" t="n">
        <v>0</v>
      </c>
      <c r="P15" s="265"/>
      <c r="Q15" s="386" t="n">
        <f aca="false">1.52*1.02</f>
        <v>1.5504</v>
      </c>
      <c r="R15" s="386" t="n">
        <v>2.95</v>
      </c>
      <c r="S15" s="268" t="n">
        <v>0</v>
      </c>
      <c r="T15" s="265" t="n">
        <v>76</v>
      </c>
      <c r="U15" s="265" t="n">
        <v>0</v>
      </c>
      <c r="V15" s="265" t="n">
        <f aca="false">M15-N15-O15-Q15-R15-S15+T15+U15</f>
        <v>77.7996</v>
      </c>
      <c r="W15" s="105"/>
      <c r="X15" s="105"/>
      <c r="Y15" s="265" t="n">
        <v>0</v>
      </c>
      <c r="Z15" s="267"/>
      <c r="AA15" s="269"/>
      <c r="AB15" s="265" t="n">
        <v>32</v>
      </c>
      <c r="AC15" s="105" t="n">
        <f aca="false">AC14-AB15</f>
        <v>2580</v>
      </c>
      <c r="AD15" s="128" t="n">
        <f aca="false">N15+O15+Q15+R15+S15+V15+Y15+AB15</f>
        <v>114.3</v>
      </c>
      <c r="AE15" s="265" t="n">
        <f aca="false">IF(L15&lt;0,L15*-1,0)</f>
        <v>0</v>
      </c>
      <c r="AF15" s="265" t="n">
        <f aca="false">AD15+AE15</f>
        <v>114.3</v>
      </c>
      <c r="AG15" s="247" t="n">
        <v>0</v>
      </c>
      <c r="AH15" s="243" t="n">
        <v>60</v>
      </c>
      <c r="AI15" s="248" t="n">
        <v>30</v>
      </c>
      <c r="AJ15" s="243" t="n">
        <f aca="false">AJ14+(V15*1.9835)</f>
        <v>10663.8696815</v>
      </c>
      <c r="AK15" s="243"/>
      <c r="AL15" s="249"/>
      <c r="AM15" s="105"/>
      <c r="AN15" s="249"/>
    </row>
    <row r="16" customFormat="false" ht="12.95" hidden="false" customHeight="true" outlineLevel="0" collapsed="false">
      <c r="A16" s="358" t="n">
        <f aca="false">A15+1</f>
        <v>5</v>
      </c>
      <c r="B16" s="104" t="n">
        <v>6902.11</v>
      </c>
      <c r="C16" s="105" t="n">
        <v>291428</v>
      </c>
      <c r="D16" s="243" t="n">
        <f aca="false">C16-C15</f>
        <v>-38</v>
      </c>
      <c r="E16" s="105" t="n">
        <f aca="false">C16-152000</f>
        <v>139428</v>
      </c>
      <c r="F16" s="264" t="n">
        <f aca="false">D16/$D$2</f>
        <v>-19.1580539450466</v>
      </c>
      <c r="G16" s="265" t="n">
        <v>59</v>
      </c>
      <c r="H16" s="385" t="n">
        <v>2</v>
      </c>
      <c r="I16" s="265" t="n">
        <f aca="false">G16+H16</f>
        <v>61</v>
      </c>
      <c r="J16" s="246" t="n">
        <f aca="false">IF(L16&gt;0,L16,0)</f>
        <v>34.1419460549534</v>
      </c>
      <c r="K16" s="265" t="n">
        <f aca="false">I16+J16</f>
        <v>95.1419460549534</v>
      </c>
      <c r="L16" s="265" t="n">
        <f aca="false">F16-(I16-AD16)</f>
        <v>34.1419460549534</v>
      </c>
      <c r="M16" s="267" t="n">
        <v>6.3</v>
      </c>
      <c r="N16" s="265" t="n">
        <v>0</v>
      </c>
      <c r="O16" s="265" t="n">
        <v>0</v>
      </c>
      <c r="P16" s="265"/>
      <c r="Q16" s="386" t="n">
        <f aca="false">1.52*1.02</f>
        <v>1.5504</v>
      </c>
      <c r="R16" s="386" t="n">
        <v>2.98</v>
      </c>
      <c r="S16" s="268" t="n">
        <v>0</v>
      </c>
      <c r="T16" s="265" t="n">
        <v>76</v>
      </c>
      <c r="U16" s="265" t="n">
        <v>0</v>
      </c>
      <c r="V16" s="265" t="n">
        <f aca="false">M16-N16-O16-Q16-R16-S16+T16+U16</f>
        <v>77.7696</v>
      </c>
      <c r="W16" s="105"/>
      <c r="X16" s="105"/>
      <c r="Y16" s="265" t="n">
        <v>0</v>
      </c>
      <c r="Z16" s="267"/>
      <c r="AA16" s="269"/>
      <c r="AB16" s="265" t="n">
        <v>32</v>
      </c>
      <c r="AC16" s="105" t="n">
        <f aca="false">AC15-AB16</f>
        <v>2548</v>
      </c>
      <c r="AD16" s="128" t="n">
        <f aca="false">N16+O16+Q16+R16+S16+V16+Y16+AB16</f>
        <v>114.3</v>
      </c>
      <c r="AE16" s="265" t="n">
        <f aca="false">IF(L16&lt;0,L16*-1,0)</f>
        <v>0</v>
      </c>
      <c r="AF16" s="265" t="n">
        <f aca="false">AD16+AE16</f>
        <v>114.3</v>
      </c>
      <c r="AG16" s="247" t="n">
        <v>0</v>
      </c>
      <c r="AH16" s="243" t="n">
        <v>59</v>
      </c>
      <c r="AI16" s="248" t="n">
        <v>25</v>
      </c>
      <c r="AJ16" s="243" t="n">
        <f aca="false">AJ15+(V16*1.9835)</f>
        <v>10818.1256831</v>
      </c>
      <c r="AK16" s="243"/>
      <c r="AL16" s="249"/>
      <c r="AM16" s="105"/>
      <c r="AN16" s="249"/>
    </row>
    <row r="17" customFormat="false" ht="12.95" hidden="false" customHeight="true" outlineLevel="0" collapsed="false">
      <c r="A17" s="358" t="n">
        <f aca="false">A16+1</f>
        <v>6</v>
      </c>
      <c r="B17" s="104" t="n">
        <v>6902.1</v>
      </c>
      <c r="C17" s="105" t="n">
        <v>291391</v>
      </c>
      <c r="D17" s="243" t="n">
        <f aca="false">C17-C16</f>
        <v>-37</v>
      </c>
      <c r="E17" s="105" t="n">
        <f aca="false">C17-152000</f>
        <v>139391</v>
      </c>
      <c r="F17" s="264" t="n">
        <f aca="false">D17/$D$2</f>
        <v>-18.6538946307033</v>
      </c>
      <c r="G17" s="265" t="n">
        <v>57</v>
      </c>
      <c r="H17" s="385" t="n">
        <v>2.1</v>
      </c>
      <c r="I17" s="265" t="n">
        <f aca="false">G17+H17</f>
        <v>59.1</v>
      </c>
      <c r="J17" s="246" t="n">
        <f aca="false">IF(L17&gt;0,L17,0)</f>
        <v>47.4461053692967</v>
      </c>
      <c r="K17" s="265" t="n">
        <f aca="false">I17+J17</f>
        <v>106.546105369297</v>
      </c>
      <c r="L17" s="265" t="n">
        <f aca="false">F17-(I17-AD17)</f>
        <v>47.4461053692967</v>
      </c>
      <c r="M17" s="267" t="n">
        <v>6.2</v>
      </c>
      <c r="N17" s="265" t="n">
        <v>0</v>
      </c>
      <c r="O17" s="265" t="n">
        <v>0</v>
      </c>
      <c r="P17" s="265"/>
      <c r="Q17" s="386" t="n">
        <f aca="false">1.52*1.02</f>
        <v>1.5504</v>
      </c>
      <c r="R17" s="386" t="n">
        <v>4.46</v>
      </c>
      <c r="S17" s="268" t="n">
        <v>0.26</v>
      </c>
      <c r="T17" s="265" t="n">
        <v>87</v>
      </c>
      <c r="U17" s="265" t="n">
        <v>0</v>
      </c>
      <c r="V17" s="265" t="n">
        <f aca="false">M17-N17-O17-Q17-R17-S17+T17+U17</f>
        <v>86.9296</v>
      </c>
      <c r="W17" s="105"/>
      <c r="X17" s="105"/>
      <c r="Y17" s="265" t="n">
        <v>0</v>
      </c>
      <c r="Z17" s="267"/>
      <c r="AA17" s="269"/>
      <c r="AB17" s="265" t="n">
        <v>32</v>
      </c>
      <c r="AC17" s="105" t="n">
        <f aca="false">AC16-AB17</f>
        <v>2516</v>
      </c>
      <c r="AD17" s="128" t="n">
        <f aca="false">N17+O17+Q17+R17+S17+V17+Y17+AB17</f>
        <v>125.2</v>
      </c>
      <c r="AE17" s="265" t="n">
        <f aca="false">IF(L17&lt;0,L17*-1,0)</f>
        <v>0</v>
      </c>
      <c r="AF17" s="265" t="n">
        <f aca="false">AD17+AE17</f>
        <v>125.2</v>
      </c>
      <c r="AG17" s="247" t="n">
        <v>0</v>
      </c>
      <c r="AH17" s="243" t="n">
        <v>63</v>
      </c>
      <c r="AI17" s="248" t="n">
        <v>33</v>
      </c>
      <c r="AJ17" s="243" t="n">
        <f aca="false">AJ16+(V17*1.9835)</f>
        <v>10990.5505447</v>
      </c>
      <c r="AK17" s="243"/>
      <c r="AL17" s="265"/>
      <c r="AM17" s="105"/>
      <c r="AN17" s="249"/>
    </row>
    <row r="18" customFormat="false" ht="12.95" hidden="false" customHeight="true" outlineLevel="0" collapsed="false">
      <c r="A18" s="358" t="n">
        <f aca="false">A17+1</f>
        <v>7</v>
      </c>
      <c r="B18" s="104" t="n">
        <v>6902.09</v>
      </c>
      <c r="C18" s="105" t="n">
        <v>291353</v>
      </c>
      <c r="D18" s="243" t="n">
        <f aca="false">C18-C17</f>
        <v>-38</v>
      </c>
      <c r="E18" s="105" t="n">
        <f aca="false">C18-152000</f>
        <v>139353</v>
      </c>
      <c r="F18" s="264" t="n">
        <f aca="false">D18/$D$2</f>
        <v>-19.1580539450466</v>
      </c>
      <c r="G18" s="265" t="n">
        <v>62</v>
      </c>
      <c r="H18" s="385" t="n">
        <v>2.3</v>
      </c>
      <c r="I18" s="265" t="n">
        <f aca="false">G18+H18</f>
        <v>64.3</v>
      </c>
      <c r="J18" s="246" t="n">
        <f aca="false">IF(L18&gt;0,L18,0)</f>
        <v>45.8419460549534</v>
      </c>
      <c r="K18" s="265" t="n">
        <f aca="false">I18+J18</f>
        <v>110.141946054953</v>
      </c>
      <c r="L18" s="265" t="n">
        <f aca="false">F18-(I18-AD18)</f>
        <v>45.8419460549534</v>
      </c>
      <c r="M18" s="267" t="n">
        <v>6.3</v>
      </c>
      <c r="N18" s="265" t="n">
        <v>0</v>
      </c>
      <c r="O18" s="265" t="n">
        <v>0</v>
      </c>
      <c r="P18" s="265"/>
      <c r="Q18" s="386" t="n">
        <f aca="false">1.52*1.02</f>
        <v>1.5504</v>
      </c>
      <c r="R18" s="386" t="n">
        <v>3.57</v>
      </c>
      <c r="S18" s="268" t="n">
        <v>0</v>
      </c>
      <c r="T18" s="265" t="n">
        <v>91</v>
      </c>
      <c r="U18" s="265" t="n">
        <v>0</v>
      </c>
      <c r="V18" s="265" t="n">
        <f aca="false">M18-N18-O18-Q18-R18-S18+T18+U18</f>
        <v>92.1796</v>
      </c>
      <c r="W18" s="105"/>
      <c r="X18" s="105"/>
      <c r="Y18" s="265" t="n">
        <v>0</v>
      </c>
      <c r="Z18" s="267"/>
      <c r="AA18" s="269"/>
      <c r="AB18" s="265" t="n">
        <v>32</v>
      </c>
      <c r="AC18" s="105" t="n">
        <f aca="false">AC17-AB18</f>
        <v>2484</v>
      </c>
      <c r="AD18" s="128" t="n">
        <f aca="false">N18+O18+Q18+R18+S18+V18+Y18+AB18</f>
        <v>129.3</v>
      </c>
      <c r="AE18" s="265" t="n">
        <f aca="false">IF(L18&lt;0,L18*-1,0)</f>
        <v>0</v>
      </c>
      <c r="AF18" s="265" t="n">
        <f aca="false">AD18+AE18</f>
        <v>129.3</v>
      </c>
      <c r="AG18" s="247" t="n">
        <v>0.02</v>
      </c>
      <c r="AH18" s="243" t="n">
        <v>55</v>
      </c>
      <c r="AI18" s="248" t="n">
        <v>30</v>
      </c>
      <c r="AJ18" s="243" t="n">
        <f aca="false">AJ17+(V18*1.9835)</f>
        <v>11173.3887813</v>
      </c>
      <c r="AK18" s="243"/>
      <c r="AL18" s="265"/>
      <c r="AM18" s="105"/>
      <c r="AN18" s="249"/>
    </row>
    <row r="19" customFormat="false" ht="12.95" hidden="false" customHeight="true" outlineLevel="0" collapsed="false">
      <c r="A19" s="358" t="n">
        <f aca="false">A18+1</f>
        <v>8</v>
      </c>
      <c r="B19" s="104" t="n">
        <v>6902.08</v>
      </c>
      <c r="C19" s="105" t="n">
        <v>291315</v>
      </c>
      <c r="D19" s="243" t="n">
        <f aca="false">C19-C18</f>
        <v>-38</v>
      </c>
      <c r="E19" s="105" t="n">
        <f aca="false">C19-152000</f>
        <v>139315</v>
      </c>
      <c r="F19" s="264" t="n">
        <f aca="false">D19/$D$2</f>
        <v>-19.1580539450466</v>
      </c>
      <c r="G19" s="265" t="n">
        <v>72</v>
      </c>
      <c r="H19" s="385" t="n">
        <v>2.5</v>
      </c>
      <c r="I19" s="265" t="n">
        <f aca="false">G19+H19</f>
        <v>74.5</v>
      </c>
      <c r="J19" s="246" t="n">
        <f aca="false">IF(L19&gt;0,L19,0)</f>
        <v>33.6419460549534</v>
      </c>
      <c r="K19" s="265" t="n">
        <f aca="false">I19+J19</f>
        <v>108.141946054953</v>
      </c>
      <c r="L19" s="265" t="n">
        <f aca="false">F19-(I19-AD19)</f>
        <v>33.6419460549534</v>
      </c>
      <c r="M19" s="267" t="n">
        <v>6.3</v>
      </c>
      <c r="N19" s="265" t="n">
        <v>0</v>
      </c>
      <c r="O19" s="265" t="n">
        <v>0</v>
      </c>
      <c r="P19" s="265"/>
      <c r="Q19" s="386" t="n">
        <f aca="false">1.52*1.02</f>
        <v>1.5504</v>
      </c>
      <c r="R19" s="386" t="n">
        <v>2.62</v>
      </c>
      <c r="S19" s="268" t="n">
        <v>0</v>
      </c>
      <c r="T19" s="265" t="n">
        <v>89</v>
      </c>
      <c r="U19" s="265" t="n">
        <v>0</v>
      </c>
      <c r="V19" s="265" t="n">
        <f aca="false">M19-N19-O19-Q19-R19-S19+T19+U19</f>
        <v>91.1296</v>
      </c>
      <c r="W19" s="105"/>
      <c r="X19" s="105"/>
      <c r="Y19" s="265" t="n">
        <v>0</v>
      </c>
      <c r="Z19" s="267"/>
      <c r="AA19" s="269"/>
      <c r="AB19" s="265" t="n">
        <v>32</v>
      </c>
      <c r="AC19" s="105" t="n">
        <f aca="false">AC18-AB19</f>
        <v>2452</v>
      </c>
      <c r="AD19" s="128" t="n">
        <f aca="false">N19+O19+Q19+R19+S19+V19+Y19+AB19</f>
        <v>127.3</v>
      </c>
      <c r="AE19" s="265" t="n">
        <f aca="false">IF(L19&lt;0,L19*-1,0)</f>
        <v>0</v>
      </c>
      <c r="AF19" s="265" t="n">
        <f aca="false">AD19+AE19</f>
        <v>127.3</v>
      </c>
      <c r="AG19" s="247" t="n">
        <v>0.74</v>
      </c>
      <c r="AH19" s="243" t="n">
        <v>37</v>
      </c>
      <c r="AI19" s="248" t="n">
        <v>23</v>
      </c>
      <c r="AJ19" s="243" t="n">
        <f aca="false">AJ18+(V19*1.9835)</f>
        <v>11354.1443429</v>
      </c>
      <c r="AK19" s="243"/>
      <c r="AL19" s="265"/>
      <c r="AM19" s="105"/>
      <c r="AN19" s="249"/>
    </row>
    <row r="20" customFormat="false" ht="12.95" hidden="false" customHeight="true" outlineLevel="0" collapsed="false">
      <c r="A20" s="358" t="n">
        <f aca="false">A19+1</f>
        <v>9</v>
      </c>
      <c r="B20" s="104" t="n">
        <v>6902.06</v>
      </c>
      <c r="C20" s="105" t="n">
        <v>291240</v>
      </c>
      <c r="D20" s="243" t="n">
        <f aca="false">C20-C19</f>
        <v>-75</v>
      </c>
      <c r="E20" s="105" t="n">
        <f aca="false">C20-152000</f>
        <v>139240</v>
      </c>
      <c r="F20" s="264" t="n">
        <f aca="false">D20/$D$2</f>
        <v>-37.8119485757499</v>
      </c>
      <c r="G20" s="265" t="n">
        <v>61</v>
      </c>
      <c r="H20" s="385" t="n">
        <v>1.9</v>
      </c>
      <c r="I20" s="265" t="n">
        <f aca="false">G20+H20</f>
        <v>62.9</v>
      </c>
      <c r="J20" s="246" t="n">
        <f aca="false">IF(L20&gt;0,L20,0)</f>
        <v>26.3880514242501</v>
      </c>
      <c r="K20" s="265" t="n">
        <f aca="false">I20+J20</f>
        <v>89.2880514242501</v>
      </c>
      <c r="L20" s="265" t="n">
        <f aca="false">F20-(I20-AD20)</f>
        <v>26.3880514242501</v>
      </c>
      <c r="M20" s="267" t="n">
        <v>6.1</v>
      </c>
      <c r="N20" s="265" t="n">
        <v>0</v>
      </c>
      <c r="O20" s="265" t="n">
        <v>0</v>
      </c>
      <c r="P20" s="265"/>
      <c r="Q20" s="386" t="n">
        <f aca="false">1.52*1.02</f>
        <v>1.5504</v>
      </c>
      <c r="R20" s="386" t="n">
        <v>2.51</v>
      </c>
      <c r="S20" s="268" t="n">
        <v>0</v>
      </c>
      <c r="T20" s="265" t="n">
        <v>89</v>
      </c>
      <c r="U20" s="265" t="n">
        <v>0</v>
      </c>
      <c r="V20" s="265" t="n">
        <f aca="false">M20-N20-O20-Q20-R20-S20+T20+U20</f>
        <v>91.0396</v>
      </c>
      <c r="W20" s="105"/>
      <c r="X20" s="105"/>
      <c r="Y20" s="265" t="n">
        <v>0</v>
      </c>
      <c r="Z20" s="267"/>
      <c r="AA20" s="269"/>
      <c r="AB20" s="265" t="n">
        <v>32</v>
      </c>
      <c r="AC20" s="105" t="n">
        <f aca="false">AC19-AB20</f>
        <v>2420</v>
      </c>
      <c r="AD20" s="128" t="n">
        <f aca="false">N20+O20+Q20+R20+S20+V20+Y20+AB20</f>
        <v>127.1</v>
      </c>
      <c r="AE20" s="265" t="n">
        <f aca="false">IF(L20&lt;0,L20*-1,0)</f>
        <v>0</v>
      </c>
      <c r="AF20" s="265" t="n">
        <f aca="false">AD20+AE20</f>
        <v>127.1</v>
      </c>
      <c r="AG20" s="247" t="n">
        <v>0.1</v>
      </c>
      <c r="AH20" s="249" t="n">
        <v>37</v>
      </c>
      <c r="AI20" s="248" t="n">
        <v>16</v>
      </c>
      <c r="AJ20" s="243" t="n">
        <f aca="false">AJ19+(V20*1.9835)</f>
        <v>11534.7213895</v>
      </c>
      <c r="AK20" s="243"/>
      <c r="AL20" s="265"/>
      <c r="AM20" s="105"/>
      <c r="AN20" s="249"/>
    </row>
    <row r="21" customFormat="false" ht="12.95" hidden="false" customHeight="true" outlineLevel="0" collapsed="false">
      <c r="A21" s="358" t="n">
        <f aca="false">A20+1</f>
        <v>10</v>
      </c>
      <c r="B21" s="104" t="n">
        <v>6902.04</v>
      </c>
      <c r="C21" s="105" t="n">
        <v>291165</v>
      </c>
      <c r="D21" s="243" t="n">
        <f aca="false">C21-C20</f>
        <v>-75</v>
      </c>
      <c r="E21" s="105" t="n">
        <f aca="false">C21-152000</f>
        <v>139165</v>
      </c>
      <c r="F21" s="264" t="n">
        <f aca="false">D21/$D$2</f>
        <v>-37.8119485757499</v>
      </c>
      <c r="G21" s="265" t="n">
        <v>54</v>
      </c>
      <c r="H21" s="385" t="n">
        <v>1.9</v>
      </c>
      <c r="I21" s="265" t="n">
        <f aca="false">G21+H21</f>
        <v>55.9</v>
      </c>
      <c r="J21" s="246" t="n">
        <f aca="false">IF(L21&gt;0,L21,0)</f>
        <v>32.1880514242501</v>
      </c>
      <c r="K21" s="265" t="n">
        <f aca="false">I21+J21</f>
        <v>88.0880514242501</v>
      </c>
      <c r="L21" s="265" t="n">
        <f aca="false">F21-(I21-AD21)</f>
        <v>32.1880514242501</v>
      </c>
      <c r="M21" s="267" t="n">
        <v>5.9</v>
      </c>
      <c r="N21" s="265" t="n">
        <v>0</v>
      </c>
      <c r="O21" s="265" t="n">
        <v>0</v>
      </c>
      <c r="P21" s="265"/>
      <c r="Q21" s="386" t="n">
        <f aca="false">1.52*1.02</f>
        <v>1.5504</v>
      </c>
      <c r="R21" s="386" t="n">
        <v>2.44</v>
      </c>
      <c r="S21" s="268" t="n">
        <v>0</v>
      </c>
      <c r="T21" s="265" t="n">
        <v>88</v>
      </c>
      <c r="U21" s="265" t="n">
        <v>0</v>
      </c>
      <c r="V21" s="265" t="n">
        <f aca="false">M21-N21-O21-Q21-R21-S21+T21+U21</f>
        <v>89.9096</v>
      </c>
      <c r="W21" s="105"/>
      <c r="X21" s="105"/>
      <c r="Y21" s="265" t="n">
        <v>0</v>
      </c>
      <c r="Z21" s="267"/>
      <c r="AA21" s="269"/>
      <c r="AB21" s="265" t="n">
        <v>32</v>
      </c>
      <c r="AC21" s="105" t="n">
        <f aca="false">AC20-AB21</f>
        <v>2388</v>
      </c>
      <c r="AD21" s="128" t="n">
        <f aca="false">N21+O21+Q21+R21+S21+V21+Y21+AB21</f>
        <v>125.9</v>
      </c>
      <c r="AE21" s="265" t="n">
        <f aca="false">IF(L21&lt;0,L21*-1,0)</f>
        <v>0</v>
      </c>
      <c r="AF21" s="265" t="n">
        <f aca="false">AD21+AE21</f>
        <v>125.9</v>
      </c>
      <c r="AG21" s="247" t="n">
        <v>0</v>
      </c>
      <c r="AH21" s="243" t="n">
        <v>32</v>
      </c>
      <c r="AI21" s="248" t="n">
        <v>17</v>
      </c>
      <c r="AJ21" s="243" t="n">
        <f aca="false">AJ20+(V21*1.9835)</f>
        <v>11713.0570811</v>
      </c>
      <c r="AK21" s="243"/>
      <c r="AL21" s="265"/>
      <c r="AM21" s="105"/>
      <c r="AN21" s="249"/>
    </row>
    <row r="22" customFormat="false" ht="12.95" hidden="false" customHeight="true" outlineLevel="0" collapsed="false">
      <c r="A22" s="358" t="n">
        <f aca="false">A21+1</f>
        <v>11</v>
      </c>
      <c r="B22" s="104" t="n">
        <v>6902.03</v>
      </c>
      <c r="C22" s="105" t="n">
        <v>291127</v>
      </c>
      <c r="D22" s="243" t="n">
        <f aca="false">C22-C21</f>
        <v>-38</v>
      </c>
      <c r="E22" s="105" t="n">
        <f aca="false">C22-152000</f>
        <v>139127</v>
      </c>
      <c r="F22" s="264" t="n">
        <f aca="false">D22/$D$2</f>
        <v>-19.1580539450466</v>
      </c>
      <c r="G22" s="265" t="n">
        <v>50</v>
      </c>
      <c r="H22" s="385" t="n">
        <v>1.8</v>
      </c>
      <c r="I22" s="265" t="n">
        <f aca="false">G22+H22</f>
        <v>51.8</v>
      </c>
      <c r="J22" s="246" t="n">
        <f aca="false">IF(L22&gt;0,L22,0)</f>
        <v>54.9419460549534</v>
      </c>
      <c r="K22" s="265" t="n">
        <f aca="false">I22+J22</f>
        <v>106.741946054953</v>
      </c>
      <c r="L22" s="265" t="n">
        <f aca="false">F22-(I22-AD22)</f>
        <v>54.9419460549534</v>
      </c>
      <c r="M22" s="267" t="n">
        <v>5.9</v>
      </c>
      <c r="N22" s="265" t="n">
        <v>0</v>
      </c>
      <c r="O22" s="265" t="n">
        <v>0</v>
      </c>
      <c r="P22" s="265"/>
      <c r="Q22" s="386" t="n">
        <f aca="false">1.52*1.02</f>
        <v>1.5504</v>
      </c>
      <c r="R22" s="386" t="n">
        <v>2.26</v>
      </c>
      <c r="S22" s="268" t="n">
        <v>0</v>
      </c>
      <c r="T22" s="265" t="n">
        <v>88</v>
      </c>
      <c r="U22" s="265" t="n">
        <v>0</v>
      </c>
      <c r="V22" s="265" t="n">
        <f aca="false">M22-N22-O22-Q22-R22-S22+T22+U22</f>
        <v>90.0896</v>
      </c>
      <c r="W22" s="105"/>
      <c r="X22" s="105"/>
      <c r="Y22" s="265" t="n">
        <v>0</v>
      </c>
      <c r="Z22" s="267"/>
      <c r="AA22" s="269"/>
      <c r="AB22" s="265" t="n">
        <v>32</v>
      </c>
      <c r="AC22" s="105" t="n">
        <f aca="false">AC21-AB22</f>
        <v>2356</v>
      </c>
      <c r="AD22" s="128" t="n">
        <f aca="false">N22+O22+Q22+R22+S22+V22+Y22+AB22</f>
        <v>125.9</v>
      </c>
      <c r="AE22" s="265" t="n">
        <f aca="false">IF(L22&lt;0,L22*-1,0)</f>
        <v>0</v>
      </c>
      <c r="AF22" s="265" t="n">
        <f aca="false">AD22+AE22</f>
        <v>125.9</v>
      </c>
      <c r="AG22" s="247" t="n">
        <v>0.06</v>
      </c>
      <c r="AH22" s="243" t="n">
        <v>30</v>
      </c>
      <c r="AI22" s="248" t="n">
        <v>17</v>
      </c>
      <c r="AJ22" s="243" t="n">
        <f aca="false">AJ21+(V22*1.9835)</f>
        <v>11891.7498027</v>
      </c>
      <c r="AK22" s="243"/>
      <c r="AL22" s="265"/>
      <c r="AM22" s="105"/>
      <c r="AN22" s="249"/>
    </row>
    <row r="23" customFormat="false" ht="12.95" hidden="false" customHeight="true" outlineLevel="0" collapsed="false">
      <c r="A23" s="358" t="n">
        <f aca="false">A22+1</f>
        <v>12</v>
      </c>
      <c r="B23" s="104" t="n">
        <v>6902.02</v>
      </c>
      <c r="C23" s="105" t="n">
        <v>291090</v>
      </c>
      <c r="D23" s="243" t="n">
        <f aca="false">C23-C22</f>
        <v>-37</v>
      </c>
      <c r="E23" s="105" t="n">
        <f aca="false">C23-152000</f>
        <v>139090</v>
      </c>
      <c r="F23" s="264" t="n">
        <f aca="false">D23/$D$2</f>
        <v>-18.6538946307033</v>
      </c>
      <c r="G23" s="265" t="n">
        <v>43</v>
      </c>
      <c r="H23" s="385" t="n">
        <v>1.7</v>
      </c>
      <c r="I23" s="265" t="n">
        <f aca="false">G23+H23</f>
        <v>44.7</v>
      </c>
      <c r="J23" s="246" t="n">
        <f aca="false">IF(L23&gt;0,L23,0)</f>
        <v>63.5461053692967</v>
      </c>
      <c r="K23" s="265" t="n">
        <f aca="false">I23+J23</f>
        <v>108.246105369297</v>
      </c>
      <c r="L23" s="265" t="n">
        <f aca="false">F23-(I23-AD23)</f>
        <v>63.5461053692967</v>
      </c>
      <c r="M23" s="267" t="n">
        <v>5.9</v>
      </c>
      <c r="N23" s="265" t="n">
        <v>0</v>
      </c>
      <c r="O23" s="265" t="n">
        <v>0</v>
      </c>
      <c r="P23" s="265"/>
      <c r="Q23" s="386" t="n">
        <f aca="false">1.52*1.02</f>
        <v>1.5504</v>
      </c>
      <c r="R23" s="386" t="n">
        <v>2.49</v>
      </c>
      <c r="S23" s="268" t="n">
        <v>0</v>
      </c>
      <c r="T23" s="265" t="n">
        <v>89</v>
      </c>
      <c r="U23" s="265" t="n">
        <v>0</v>
      </c>
      <c r="V23" s="265" t="n">
        <f aca="false">M23-N23-O23-Q23-R23-S23+T23+U23</f>
        <v>90.8596</v>
      </c>
      <c r="W23" s="105"/>
      <c r="X23" s="105"/>
      <c r="Y23" s="265" t="n">
        <v>0</v>
      </c>
      <c r="Z23" s="267"/>
      <c r="AA23" s="269"/>
      <c r="AB23" s="265" t="n">
        <v>32</v>
      </c>
      <c r="AC23" s="105" t="n">
        <f aca="false">AC22-AB23</f>
        <v>2324</v>
      </c>
      <c r="AD23" s="128" t="n">
        <f aca="false">N23+O23+Q23+R23+S23+V23+Y23+AB23</f>
        <v>126.9</v>
      </c>
      <c r="AE23" s="265" t="n">
        <f aca="false">IF(L23&lt;0,L23*-1,0)</f>
        <v>0</v>
      </c>
      <c r="AF23" s="265" t="n">
        <f aca="false">AD23+AE23</f>
        <v>126.9</v>
      </c>
      <c r="AG23" s="247" t="n">
        <v>0.28</v>
      </c>
      <c r="AH23" s="243" t="n">
        <v>27</v>
      </c>
      <c r="AI23" s="248" t="n">
        <v>19</v>
      </c>
      <c r="AJ23" s="243" t="n">
        <f aca="false">AJ22+(V23*1.9835)</f>
        <v>12071.9698193</v>
      </c>
      <c r="AK23" s="243"/>
      <c r="AL23" s="265"/>
      <c r="AM23" s="105"/>
      <c r="AN23" s="249"/>
    </row>
    <row r="24" customFormat="false" ht="12.95" hidden="false" customHeight="true" outlineLevel="0" collapsed="false">
      <c r="A24" s="358" t="n">
        <f aca="false">A23+1</f>
        <v>13</v>
      </c>
      <c r="B24" s="104" t="n">
        <v>6902</v>
      </c>
      <c r="C24" s="105" t="n">
        <v>291014</v>
      </c>
      <c r="D24" s="243" t="n">
        <f aca="false">C24-C23</f>
        <v>-76</v>
      </c>
      <c r="E24" s="105" t="n">
        <f aca="false">C24-152000</f>
        <v>139014</v>
      </c>
      <c r="F24" s="264" t="n">
        <f aca="false">D24/$D$2</f>
        <v>-38.3161078900933</v>
      </c>
      <c r="G24" s="265" t="n">
        <v>47</v>
      </c>
      <c r="H24" s="387" t="n">
        <v>1.7</v>
      </c>
      <c r="I24" s="265" t="n">
        <f aca="false">G24+H24</f>
        <v>48.7</v>
      </c>
      <c r="J24" s="246" t="n">
        <f aca="false">IF(L24&gt;0,L24,0)</f>
        <v>26.6838921099067</v>
      </c>
      <c r="K24" s="265" t="n">
        <f aca="false">I24+J24</f>
        <v>75.3838921099067</v>
      </c>
      <c r="L24" s="265" t="n">
        <f aca="false">F24-(I24-AD24)</f>
        <v>26.6838921099067</v>
      </c>
      <c r="M24" s="267" t="n">
        <v>5.7</v>
      </c>
      <c r="N24" s="265" t="n">
        <v>0</v>
      </c>
      <c r="O24" s="265" t="n">
        <v>0</v>
      </c>
      <c r="P24" s="265"/>
      <c r="Q24" s="386" t="n">
        <f aca="false">1.52*1.02</f>
        <v>1.5504</v>
      </c>
      <c r="R24" s="386" t="n">
        <v>2.55</v>
      </c>
      <c r="S24" s="268" t="n">
        <v>0</v>
      </c>
      <c r="T24" s="265" t="n">
        <v>76</v>
      </c>
      <c r="U24" s="265" t="n">
        <v>0</v>
      </c>
      <c r="V24" s="265" t="n">
        <f aca="false">M24-N24-O24-Q24-R24-S24+T24+U24</f>
        <v>77.5996</v>
      </c>
      <c r="W24" s="105"/>
      <c r="X24" s="105"/>
      <c r="Y24" s="265" t="n">
        <v>0</v>
      </c>
      <c r="Z24" s="267"/>
      <c r="AA24" s="269"/>
      <c r="AB24" s="265" t="n">
        <v>32</v>
      </c>
      <c r="AC24" s="105" t="n">
        <f aca="false">AC23-AB24</f>
        <v>2292</v>
      </c>
      <c r="AD24" s="128" t="n">
        <f aca="false">N24+O24+Q24+R24+S24+V24+Y24+AB24</f>
        <v>113.7</v>
      </c>
      <c r="AE24" s="265" t="n">
        <f aca="false">IF(L24&lt;0,L24*-1,0)</f>
        <v>0</v>
      </c>
      <c r="AF24" s="265" t="n">
        <f aca="false">AD24+AE24</f>
        <v>113.7</v>
      </c>
      <c r="AG24" s="247" t="n">
        <v>0.01</v>
      </c>
      <c r="AH24" s="243" t="n">
        <v>34</v>
      </c>
      <c r="AI24" s="248" t="n">
        <v>13</v>
      </c>
      <c r="AJ24" s="243" t="n">
        <f aca="false">AJ23+(V24*1.9835)</f>
        <v>12225.8886259</v>
      </c>
      <c r="AK24" s="243"/>
      <c r="AL24" s="265"/>
      <c r="AM24" s="105"/>
      <c r="AN24" s="249"/>
    </row>
    <row r="25" customFormat="false" ht="12.95" hidden="false" customHeight="true" outlineLevel="0" collapsed="false">
      <c r="A25" s="358" t="n">
        <f aca="false">A24+1</f>
        <v>14</v>
      </c>
      <c r="B25" s="104" t="n">
        <v>6901.99</v>
      </c>
      <c r="C25" s="105" t="n">
        <v>290977</v>
      </c>
      <c r="D25" s="243" t="n">
        <f aca="false">C25-C24</f>
        <v>-37</v>
      </c>
      <c r="E25" s="105" t="n">
        <f aca="false">C25-152000</f>
        <v>138977</v>
      </c>
      <c r="F25" s="264" t="n">
        <f aca="false">D25/$D$2</f>
        <v>-18.6538946307033</v>
      </c>
      <c r="G25" s="265" t="n">
        <v>37</v>
      </c>
      <c r="H25" s="359" t="n">
        <v>1.6</v>
      </c>
      <c r="I25" s="265" t="n">
        <f aca="false">G25+H25</f>
        <v>38.6</v>
      </c>
      <c r="J25" s="246" t="n">
        <f aca="false">IF(L25&gt;0,L25,0)</f>
        <v>44.2461053692967</v>
      </c>
      <c r="K25" s="265" t="n">
        <f aca="false">I25+J25</f>
        <v>82.8461053692967</v>
      </c>
      <c r="L25" s="265" t="n">
        <f aca="false">F25-(I25-AD25)</f>
        <v>44.2461053692967</v>
      </c>
      <c r="M25" s="267" t="n">
        <v>5.5</v>
      </c>
      <c r="N25" s="265" t="n">
        <v>0</v>
      </c>
      <c r="O25" s="265" t="n">
        <v>0</v>
      </c>
      <c r="P25" s="265"/>
      <c r="Q25" s="386" t="n">
        <f aca="false">1.52*1.02</f>
        <v>1.5504</v>
      </c>
      <c r="R25" s="386" t="n">
        <v>2.34</v>
      </c>
      <c r="S25" s="268" t="n">
        <v>0</v>
      </c>
      <c r="T25" s="265" t="n">
        <v>64</v>
      </c>
      <c r="U25" s="265" t="n">
        <v>0</v>
      </c>
      <c r="V25" s="265" t="n">
        <f aca="false">M25-N25-O25-Q25-R25-S25+T25+U25</f>
        <v>65.6096</v>
      </c>
      <c r="W25" s="105"/>
      <c r="X25" s="105"/>
      <c r="Y25" s="265" t="n">
        <v>0</v>
      </c>
      <c r="Z25" s="267"/>
      <c r="AA25" s="269"/>
      <c r="AB25" s="265" t="n">
        <v>32</v>
      </c>
      <c r="AC25" s="105" t="n">
        <f aca="false">AC24-AB25</f>
        <v>2260</v>
      </c>
      <c r="AD25" s="128" t="n">
        <f aca="false">N25+O25+Q25+R25+S25+V25+Y25+AB25</f>
        <v>101.5</v>
      </c>
      <c r="AE25" s="265" t="n">
        <f aca="false">IF(L25&lt;0,L25*-1,0)</f>
        <v>0</v>
      </c>
      <c r="AF25" s="265" t="n">
        <f aca="false">AD25+AE25</f>
        <v>101.5</v>
      </c>
      <c r="AG25" s="247" t="n">
        <v>0</v>
      </c>
      <c r="AH25" s="249" t="n">
        <v>41</v>
      </c>
      <c r="AI25" s="248" t="n">
        <v>13</v>
      </c>
      <c r="AJ25" s="243" t="n">
        <f aca="false">AJ24+(V25*1.9835)</f>
        <v>12356.0252675</v>
      </c>
      <c r="AK25" s="243"/>
      <c r="AL25" s="265"/>
      <c r="AM25" s="105"/>
      <c r="AN25" s="249"/>
    </row>
    <row r="26" customFormat="false" ht="12.95" hidden="false" customHeight="true" outlineLevel="0" collapsed="false">
      <c r="A26" s="358" t="n">
        <f aca="false">A25+1</f>
        <v>15</v>
      </c>
      <c r="B26" s="104" t="n">
        <v>6901.97</v>
      </c>
      <c r="C26" s="105" t="n">
        <v>290902</v>
      </c>
      <c r="D26" s="243" t="n">
        <f aca="false">C26-C25</f>
        <v>-75</v>
      </c>
      <c r="E26" s="105" t="n">
        <f aca="false">C26-152000</f>
        <v>138902</v>
      </c>
      <c r="F26" s="264" t="n">
        <f aca="false">D26/$D$2</f>
        <v>-37.8119485757499</v>
      </c>
      <c r="G26" s="265" t="n">
        <v>43</v>
      </c>
      <c r="H26" s="359" t="n">
        <v>1.4</v>
      </c>
      <c r="I26" s="265" t="n">
        <f aca="false">G26+H26</f>
        <v>44.4</v>
      </c>
      <c r="J26" s="246" t="n">
        <f aca="false">IF(L26&gt;0,L26,0)</f>
        <v>19.2880514242501</v>
      </c>
      <c r="K26" s="265" t="n">
        <f aca="false">I26+J26</f>
        <v>63.6880514242501</v>
      </c>
      <c r="L26" s="265" t="n">
        <f aca="false">F26-(I26-AD26)</f>
        <v>19.2880514242501</v>
      </c>
      <c r="M26" s="267" t="n">
        <v>5.5</v>
      </c>
      <c r="N26" s="265" t="n">
        <v>0</v>
      </c>
      <c r="O26" s="265" t="n">
        <v>0</v>
      </c>
      <c r="P26" s="265"/>
      <c r="Q26" s="386" t="n">
        <f aca="false">1.52*1.02</f>
        <v>1.5504</v>
      </c>
      <c r="R26" s="386" t="n">
        <v>3.3</v>
      </c>
      <c r="S26" s="268" t="n">
        <v>0</v>
      </c>
      <c r="T26" s="265" t="n">
        <v>64</v>
      </c>
      <c r="U26" s="265" t="n">
        <v>0</v>
      </c>
      <c r="V26" s="265" t="n">
        <f aca="false">M26-N26-O26-Q26-R26-S26+T26+U26</f>
        <v>64.6496</v>
      </c>
      <c r="W26" s="105"/>
      <c r="X26" s="105"/>
      <c r="Y26" s="265" t="n">
        <v>0</v>
      </c>
      <c r="Z26" s="267"/>
      <c r="AA26" s="269"/>
      <c r="AB26" s="265" t="n">
        <v>32</v>
      </c>
      <c r="AC26" s="105" t="n">
        <f aca="false">AC25-AB26</f>
        <v>2228</v>
      </c>
      <c r="AD26" s="128" t="n">
        <f aca="false">N26+O26+Q26+R26+S26+V26+Y26+AB26</f>
        <v>101.5</v>
      </c>
      <c r="AE26" s="265" t="n">
        <f aca="false">IF(L26&lt;0,L26*-1,0)</f>
        <v>0</v>
      </c>
      <c r="AF26" s="265" t="n">
        <f aca="false">AD26+AE26</f>
        <v>101.5</v>
      </c>
      <c r="AG26" s="247" t="n">
        <v>0</v>
      </c>
      <c r="AH26" s="249" t="n">
        <v>44</v>
      </c>
      <c r="AI26" s="248" t="n">
        <v>27</v>
      </c>
      <c r="AJ26" s="243" t="n">
        <f aca="false">AJ25+(V26*1.9835)</f>
        <v>12484.2577491</v>
      </c>
      <c r="AK26" s="243"/>
      <c r="AL26" s="265"/>
      <c r="AM26" s="105"/>
      <c r="AN26" s="249"/>
    </row>
    <row r="27" customFormat="false" ht="12.95" hidden="false" customHeight="true" outlineLevel="0" collapsed="false">
      <c r="A27" s="358" t="n">
        <f aca="false">A26+1</f>
        <v>16</v>
      </c>
      <c r="B27" s="104" t="n">
        <v>6901.94</v>
      </c>
      <c r="C27" s="105" t="n">
        <v>290790</v>
      </c>
      <c r="D27" s="243" t="n">
        <f aca="false">C27-C26</f>
        <v>-112</v>
      </c>
      <c r="E27" s="105" t="n">
        <f aca="false">C27-152000</f>
        <v>138790</v>
      </c>
      <c r="F27" s="264" t="n">
        <f aca="false">D27/$D$2</f>
        <v>-56.4658432064532</v>
      </c>
      <c r="G27" s="265" t="n">
        <v>51</v>
      </c>
      <c r="H27" s="359" t="n">
        <v>1.7</v>
      </c>
      <c r="I27" s="265" t="n">
        <f aca="false">G27+H27</f>
        <v>52.7</v>
      </c>
      <c r="J27" s="246" t="n">
        <f aca="false">IF(L27&gt;0,L27,0)</f>
        <v>0</v>
      </c>
      <c r="K27" s="265" t="n">
        <f aca="false">I27+J27</f>
        <v>52.7</v>
      </c>
      <c r="L27" s="265" t="n">
        <f aca="false">F27-(I27-AD27)</f>
        <v>-4.66584320645324</v>
      </c>
      <c r="M27" s="267" t="n">
        <v>5.5</v>
      </c>
      <c r="N27" s="265" t="n">
        <v>0</v>
      </c>
      <c r="O27" s="265" t="n">
        <v>0</v>
      </c>
      <c r="P27" s="265"/>
      <c r="Q27" s="386" t="n">
        <f aca="false">1.52*1.02</f>
        <v>1.5504</v>
      </c>
      <c r="R27" s="386" t="n">
        <v>4.2</v>
      </c>
      <c r="S27" s="268" t="n">
        <v>1.05</v>
      </c>
      <c r="T27" s="265" t="n">
        <v>64</v>
      </c>
      <c r="U27" s="265" t="n">
        <v>0</v>
      </c>
      <c r="V27" s="265" t="n">
        <f aca="false">M27-N27-O27-Q27-R27-S27+T27+U27</f>
        <v>62.6996</v>
      </c>
      <c r="W27" s="105"/>
      <c r="X27" s="105"/>
      <c r="Y27" s="265" t="n">
        <v>0</v>
      </c>
      <c r="Z27" s="267"/>
      <c r="AA27" s="269"/>
      <c r="AB27" s="265" t="n">
        <v>35</v>
      </c>
      <c r="AC27" s="105" t="n">
        <f aca="false">AC26-AB27</f>
        <v>2193</v>
      </c>
      <c r="AD27" s="128" t="n">
        <f aca="false">N27+O27+Q27+R27+S27+V27+Y27+AB27</f>
        <v>104.5</v>
      </c>
      <c r="AE27" s="265" t="n">
        <f aca="false">IF(L27&lt;0,L27*-1,0)</f>
        <v>4.66584320645324</v>
      </c>
      <c r="AF27" s="265" t="n">
        <f aca="false">AD27+AE27</f>
        <v>109.165843206453</v>
      </c>
      <c r="AG27" s="247" t="n">
        <v>0</v>
      </c>
      <c r="AH27" s="249" t="n">
        <v>49</v>
      </c>
      <c r="AI27" s="248" t="n">
        <v>23</v>
      </c>
      <c r="AJ27" s="243" t="n">
        <f aca="false">AJ26+(V27*1.9835)</f>
        <v>12608.6224057</v>
      </c>
      <c r="AK27" s="243"/>
      <c r="AL27" s="265"/>
      <c r="AM27" s="102"/>
      <c r="AN27" s="249"/>
    </row>
    <row r="28" customFormat="false" ht="12.95" hidden="false" customHeight="true" outlineLevel="0" collapsed="false">
      <c r="A28" s="358" t="n">
        <v>17</v>
      </c>
      <c r="B28" s="104" t="n">
        <v>6901.91</v>
      </c>
      <c r="C28" s="105" t="n">
        <v>290678</v>
      </c>
      <c r="D28" s="243" t="n">
        <f aca="false">C28-C27</f>
        <v>-112</v>
      </c>
      <c r="E28" s="105" t="n">
        <f aca="false">C28-152000</f>
        <v>138678</v>
      </c>
      <c r="F28" s="264" t="n">
        <f aca="false">D28/$D$2</f>
        <v>-56.4658432064532</v>
      </c>
      <c r="G28" s="265" t="n">
        <v>60</v>
      </c>
      <c r="H28" s="359" t="n">
        <v>1.6</v>
      </c>
      <c r="I28" s="265" t="n">
        <f aca="false">G28+H28</f>
        <v>61.6</v>
      </c>
      <c r="J28" s="246" t="n">
        <f aca="false">IF(L28&gt;0,L28,0)</f>
        <v>0</v>
      </c>
      <c r="K28" s="265" t="n">
        <f aca="false">I28+J28</f>
        <v>61.6</v>
      </c>
      <c r="L28" s="265" t="n">
        <f aca="false">F28-(I28-AD28)</f>
        <v>-11.5658432064532</v>
      </c>
      <c r="M28" s="267" t="n">
        <v>5.5</v>
      </c>
      <c r="N28" s="265" t="n">
        <v>0</v>
      </c>
      <c r="O28" s="265" t="n">
        <v>0</v>
      </c>
      <c r="P28" s="265"/>
      <c r="Q28" s="386" t="n">
        <f aca="false">1.52*1.02</f>
        <v>1.5504</v>
      </c>
      <c r="R28" s="386" t="n">
        <v>4.2</v>
      </c>
      <c r="S28" s="268" t="n">
        <v>0</v>
      </c>
      <c r="T28" s="265" t="n">
        <v>64</v>
      </c>
      <c r="U28" s="265" t="n">
        <v>0</v>
      </c>
      <c r="V28" s="265" t="n">
        <f aca="false">M28-N28-O28-Q28-R28-S28+T28+U28</f>
        <v>63.7496</v>
      </c>
      <c r="W28" s="105"/>
      <c r="X28" s="105"/>
      <c r="Y28" s="265" t="n">
        <v>0</v>
      </c>
      <c r="Z28" s="267"/>
      <c r="AA28" s="269"/>
      <c r="AB28" s="265" t="n">
        <v>37</v>
      </c>
      <c r="AC28" s="105" t="n">
        <f aca="false">AC27-AB28</f>
        <v>2156</v>
      </c>
      <c r="AD28" s="128" t="n">
        <f aca="false">N28+O28+Q28+R28+S28+V28+Y28+AB28</f>
        <v>106.5</v>
      </c>
      <c r="AE28" s="265" t="n">
        <f aca="false">IF(L28&lt;0,L28*-1,0)</f>
        <v>11.5658432064532</v>
      </c>
      <c r="AF28" s="265" t="n">
        <f aca="false">AD28+AE28</f>
        <v>118.065843206453</v>
      </c>
      <c r="AG28" s="247" t="n">
        <v>0</v>
      </c>
      <c r="AH28" s="249" t="n">
        <v>52</v>
      </c>
      <c r="AI28" s="248" t="n">
        <v>35</v>
      </c>
      <c r="AJ28" s="243" t="n">
        <f aca="false">AJ27+(V28*1.9835)</f>
        <v>12735.0697373</v>
      </c>
      <c r="AK28" s="243"/>
      <c r="AL28" s="265"/>
      <c r="AM28" s="105"/>
      <c r="AN28" s="249"/>
    </row>
    <row r="29" customFormat="false" ht="12.95" hidden="false" customHeight="true" outlineLevel="0" collapsed="false">
      <c r="A29" s="358" t="n">
        <f aca="false">A28+1</f>
        <v>18</v>
      </c>
      <c r="B29" s="104" t="n">
        <v>6901.88</v>
      </c>
      <c r="C29" s="105" t="n">
        <v>290567</v>
      </c>
      <c r="D29" s="243" t="n">
        <f aca="false">C29-C28</f>
        <v>-111</v>
      </c>
      <c r="E29" s="105" t="n">
        <f aca="false">C29-152000</f>
        <v>138567</v>
      </c>
      <c r="F29" s="264" t="n">
        <f aca="false">D29/$D$2</f>
        <v>-55.9616838921099</v>
      </c>
      <c r="G29" s="265" t="n">
        <v>66</v>
      </c>
      <c r="H29" s="359" t="n">
        <v>1.8</v>
      </c>
      <c r="I29" s="265" t="n">
        <f aca="false">G29+H29</f>
        <v>67.8</v>
      </c>
      <c r="J29" s="246" t="n">
        <f aca="false">IF(L29&gt;0,L29,0)</f>
        <v>0</v>
      </c>
      <c r="K29" s="265" t="n">
        <f aca="false">I29+J29</f>
        <v>67.8</v>
      </c>
      <c r="L29" s="265" t="n">
        <f aca="false">F29-(I29-AD29)</f>
        <v>-16.2616838921099</v>
      </c>
      <c r="M29" s="267" t="n">
        <v>5.5</v>
      </c>
      <c r="N29" s="265" t="n">
        <v>0</v>
      </c>
      <c r="O29" s="265" t="n">
        <v>0</v>
      </c>
      <c r="P29" s="265"/>
      <c r="Q29" s="386" t="n">
        <f aca="false">1.52*1.02</f>
        <v>1.5504</v>
      </c>
      <c r="R29" s="386" t="n">
        <v>2.5</v>
      </c>
      <c r="S29" s="268" t="n">
        <v>0</v>
      </c>
      <c r="T29" s="265" t="n">
        <v>64</v>
      </c>
      <c r="U29" s="265" t="n">
        <v>0</v>
      </c>
      <c r="V29" s="265" t="n">
        <f aca="false">M29-N29-O29-Q29-R29-S29+T29+U29</f>
        <v>65.4496</v>
      </c>
      <c r="W29" s="105"/>
      <c r="X29" s="105"/>
      <c r="Y29" s="265" t="n">
        <v>0</v>
      </c>
      <c r="Z29" s="267"/>
      <c r="AA29" s="269"/>
      <c r="AB29" s="265" t="n">
        <v>38</v>
      </c>
      <c r="AC29" s="105" t="n">
        <f aca="false">AC28-AB29</f>
        <v>2118</v>
      </c>
      <c r="AD29" s="128" t="n">
        <f aca="false">N29+O29+Q29+R29+S29+V29+Y29+AB29</f>
        <v>107.5</v>
      </c>
      <c r="AE29" s="265" t="n">
        <f aca="false">IF(L29&lt;0,L29*-1,0)</f>
        <v>16.2616838921099</v>
      </c>
      <c r="AF29" s="265" t="n">
        <f aca="false">AD29+AE29</f>
        <v>123.76168389211</v>
      </c>
      <c r="AG29" s="247" t="n">
        <v>0</v>
      </c>
      <c r="AH29" s="249" t="n">
        <v>48</v>
      </c>
      <c r="AI29" s="248" t="n">
        <v>32</v>
      </c>
      <c r="AJ29" s="243" t="n">
        <f aca="false">AJ28+(V29*1.9835)</f>
        <v>12864.8890189</v>
      </c>
      <c r="AK29" s="243"/>
      <c r="AL29" s="265"/>
      <c r="AM29" s="105"/>
      <c r="AN29" s="249"/>
    </row>
    <row r="30" customFormat="false" ht="12.95" hidden="false" customHeight="true" outlineLevel="0" collapsed="false">
      <c r="A30" s="358" t="n">
        <f aca="false">A29+1</f>
        <v>19</v>
      </c>
      <c r="B30" s="104" t="n">
        <v>6901.85</v>
      </c>
      <c r="C30" s="369" t="n">
        <v>290455</v>
      </c>
      <c r="D30" s="243" t="n">
        <f aca="false">C30-C29</f>
        <v>-112</v>
      </c>
      <c r="E30" s="105" t="n">
        <f aca="false">C30-152000</f>
        <v>138455</v>
      </c>
      <c r="F30" s="264" t="n">
        <f aca="false">D30/$D$2</f>
        <v>-56.4658432064532</v>
      </c>
      <c r="G30" s="265" t="n">
        <v>64</v>
      </c>
      <c r="H30" s="359" t="n">
        <v>1.6</v>
      </c>
      <c r="I30" s="265" t="n">
        <f aca="false">G30+H30</f>
        <v>65.6</v>
      </c>
      <c r="J30" s="246" t="n">
        <f aca="false">IF(L30&gt;0,L30,0)</f>
        <v>0</v>
      </c>
      <c r="K30" s="265" t="n">
        <f aca="false">I30+J30</f>
        <v>65.6</v>
      </c>
      <c r="L30" s="265" t="n">
        <f aca="false">F30-(I30-AD30)</f>
        <v>-14.5658432064532</v>
      </c>
      <c r="M30" s="267" t="n">
        <v>5.5</v>
      </c>
      <c r="N30" s="265" t="n">
        <v>0</v>
      </c>
      <c r="O30" s="265" t="n">
        <v>0</v>
      </c>
      <c r="P30" s="265"/>
      <c r="Q30" s="386" t="n">
        <f aca="false">1.52*1.02</f>
        <v>1.5504</v>
      </c>
      <c r="R30" s="386" t="n">
        <v>2.68</v>
      </c>
      <c r="S30" s="268" t="n">
        <v>0</v>
      </c>
      <c r="T30" s="265" t="n">
        <v>64</v>
      </c>
      <c r="U30" s="265" t="n">
        <v>0</v>
      </c>
      <c r="V30" s="265" t="n">
        <f aca="false">M30-N30-O30-Q30-R30-S30+T30+U30</f>
        <v>65.2696</v>
      </c>
      <c r="W30" s="105"/>
      <c r="X30" s="105"/>
      <c r="Y30" s="265" t="n">
        <v>0</v>
      </c>
      <c r="Z30" s="267"/>
      <c r="AA30" s="269"/>
      <c r="AB30" s="265" t="n">
        <v>38</v>
      </c>
      <c r="AC30" s="105" t="n">
        <f aca="false">AC29-AB30</f>
        <v>2080</v>
      </c>
      <c r="AD30" s="128" t="n">
        <f aca="false">N30+O30+Q30+R30+S30+V30+Y30+AB30</f>
        <v>107.5</v>
      </c>
      <c r="AE30" s="265" t="n">
        <f aca="false">IF(L30&lt;0,L30*-1,0)</f>
        <v>14.5658432064532</v>
      </c>
      <c r="AF30" s="265" t="n">
        <f aca="false">AD30+AE30</f>
        <v>122.065843206453</v>
      </c>
      <c r="AG30" s="247" t="n">
        <v>0</v>
      </c>
      <c r="AH30" s="249" t="n">
        <v>40</v>
      </c>
      <c r="AI30" s="248" t="n">
        <v>21</v>
      </c>
      <c r="AJ30" s="243" t="n">
        <f aca="false">AJ29+(V30*1.9835)</f>
        <v>12994.3512705</v>
      </c>
      <c r="AK30" s="243"/>
      <c r="AL30" s="265"/>
      <c r="AM30" s="105"/>
      <c r="AN30" s="249"/>
    </row>
    <row r="31" customFormat="false" ht="12.95" hidden="false" customHeight="true" outlineLevel="0" collapsed="false">
      <c r="A31" s="358" t="n">
        <f aca="false">A30+1</f>
        <v>20</v>
      </c>
      <c r="B31" s="104" t="n">
        <v>6901.82</v>
      </c>
      <c r="C31" s="105" t="n">
        <v>290343</v>
      </c>
      <c r="D31" s="243" t="n">
        <f aca="false">C31-C30</f>
        <v>-112</v>
      </c>
      <c r="E31" s="105" t="n">
        <f aca="false">C31-152000</f>
        <v>138343</v>
      </c>
      <c r="F31" s="264" t="n">
        <f aca="false">D31/$D$2</f>
        <v>-56.4658432064532</v>
      </c>
      <c r="G31" s="265" t="n">
        <v>55</v>
      </c>
      <c r="H31" s="359" t="n">
        <v>1.4</v>
      </c>
      <c r="I31" s="265" t="n">
        <f aca="false">G31+H31</f>
        <v>56.4</v>
      </c>
      <c r="J31" s="246" t="n">
        <f aca="false">IF(L31&gt;0,L31,0)</f>
        <v>6.13415679354677</v>
      </c>
      <c r="K31" s="265" t="n">
        <f aca="false">I31+J31</f>
        <v>62.5341567935468</v>
      </c>
      <c r="L31" s="265" t="n">
        <f aca="false">F31-(I31-AD31)</f>
        <v>6.13415679354677</v>
      </c>
      <c r="M31" s="267" t="n">
        <v>21</v>
      </c>
      <c r="N31" s="265" t="n">
        <v>0</v>
      </c>
      <c r="O31" s="265" t="n">
        <v>0</v>
      </c>
      <c r="P31" s="265"/>
      <c r="Q31" s="386" t="n">
        <f aca="false">1.52*1.02</f>
        <v>1.5504</v>
      </c>
      <c r="R31" s="386" t="n">
        <v>2.48</v>
      </c>
      <c r="S31" s="268" t="n">
        <v>0</v>
      </c>
      <c r="T31" s="265" t="n">
        <v>59</v>
      </c>
      <c r="U31" s="265" t="n">
        <v>0</v>
      </c>
      <c r="V31" s="265" t="n">
        <f aca="false">M31-N31-O31-Q31-R31-S31+T31+U31</f>
        <v>75.9696</v>
      </c>
      <c r="W31" s="105"/>
      <c r="X31" s="105"/>
      <c r="Y31" s="265" t="n">
        <v>0</v>
      </c>
      <c r="Z31" s="267"/>
      <c r="AA31" s="269"/>
      <c r="AB31" s="265" t="n">
        <v>39</v>
      </c>
      <c r="AC31" s="105" t="n">
        <f aca="false">AC30-AB31</f>
        <v>2041</v>
      </c>
      <c r="AD31" s="128" t="n">
        <f aca="false">N31+O31+Q31+R31+S31+V31+Y31+AB31</f>
        <v>119</v>
      </c>
      <c r="AE31" s="265" t="n">
        <f aca="false">IF(L31&lt;0,L31*-1,0)</f>
        <v>0</v>
      </c>
      <c r="AF31" s="265" t="n">
        <f aca="false">AD31+AE31</f>
        <v>119</v>
      </c>
      <c r="AG31" s="247" t="n">
        <v>0</v>
      </c>
      <c r="AH31" s="249" t="n">
        <v>43</v>
      </c>
      <c r="AI31" s="248" t="n">
        <v>18</v>
      </c>
      <c r="AJ31" s="243" t="n">
        <f aca="false">AJ30+(T31*1.9835)</f>
        <v>13111.3777705</v>
      </c>
      <c r="AK31" s="243"/>
      <c r="AL31" s="265"/>
      <c r="AM31" s="105"/>
      <c r="AN31" s="249"/>
    </row>
    <row r="32" customFormat="false" ht="12.95" hidden="false" customHeight="true" outlineLevel="0" collapsed="false">
      <c r="A32" s="358" t="n">
        <f aca="false">A31+1</f>
        <v>21</v>
      </c>
      <c r="B32" s="104" t="n">
        <v>6901.79</v>
      </c>
      <c r="C32" s="105" t="n">
        <v>290231</v>
      </c>
      <c r="D32" s="243" t="n">
        <f aca="false">C32-C31</f>
        <v>-112</v>
      </c>
      <c r="E32" s="105" t="n">
        <f aca="false">C32-152000</f>
        <v>138231</v>
      </c>
      <c r="F32" s="264" t="n">
        <f aca="false">D32/$D$2</f>
        <v>-56.4658432064532</v>
      </c>
      <c r="G32" s="388" t="n">
        <v>48</v>
      </c>
      <c r="H32" s="359" t="n">
        <v>1.5</v>
      </c>
      <c r="I32" s="265" t="n">
        <f aca="false">G32+H32</f>
        <v>49.5</v>
      </c>
      <c r="J32" s="246" t="n">
        <f aca="false">IF(L32&gt;0,L32,0)</f>
        <v>9.03415679354676</v>
      </c>
      <c r="K32" s="265" t="n">
        <f aca="false">I32+J32</f>
        <v>58.5341567935468</v>
      </c>
      <c r="L32" s="265" t="n">
        <f aca="false">F32-(I32-AD32)</f>
        <v>9.03415679354676</v>
      </c>
      <c r="M32" s="267" t="n">
        <v>21</v>
      </c>
      <c r="N32" s="265" t="n">
        <v>0</v>
      </c>
      <c r="O32" s="265" t="n">
        <v>0</v>
      </c>
      <c r="P32" s="265"/>
      <c r="Q32" s="386" t="n">
        <f aca="false">1.52*1.02</f>
        <v>1.5504</v>
      </c>
      <c r="R32" s="386" t="n">
        <v>2.76</v>
      </c>
      <c r="S32" s="268" t="n">
        <v>0</v>
      </c>
      <c r="T32" s="265" t="n">
        <v>54</v>
      </c>
      <c r="U32" s="265" t="n">
        <v>0</v>
      </c>
      <c r="V32" s="265" t="n">
        <f aca="false">M32-N32-O32-Q32-R32-S32+T32+U32</f>
        <v>70.6896</v>
      </c>
      <c r="W32" s="105"/>
      <c r="X32" s="105"/>
      <c r="Y32" s="265" t="n">
        <v>0</v>
      </c>
      <c r="Z32" s="267"/>
      <c r="AA32" s="269"/>
      <c r="AB32" s="265" t="n">
        <v>40</v>
      </c>
      <c r="AC32" s="105" t="n">
        <f aca="false">AC31-AB32</f>
        <v>2001</v>
      </c>
      <c r="AD32" s="128" t="n">
        <f aca="false">N32+O32+Q32+R32+S32+V32+Y32+AB32</f>
        <v>115</v>
      </c>
      <c r="AE32" s="265" t="n">
        <f aca="false">IF(L32&lt;0,L32*-1,0)</f>
        <v>0</v>
      </c>
      <c r="AF32" s="265" t="n">
        <f aca="false">AD32+AE32</f>
        <v>115</v>
      </c>
      <c r="AG32" s="247" t="n">
        <v>0</v>
      </c>
      <c r="AH32" s="243" t="n">
        <v>40</v>
      </c>
      <c r="AI32" s="248" t="n">
        <v>28</v>
      </c>
      <c r="AJ32" s="243" t="n">
        <f aca="false">AJ31+(T32*1.9835)</f>
        <v>13218.4867705</v>
      </c>
      <c r="AK32" s="243"/>
      <c r="AL32" s="265"/>
      <c r="AM32" s="105"/>
      <c r="AN32" s="249"/>
    </row>
    <row r="33" customFormat="false" ht="12.95" hidden="false" customHeight="true" outlineLevel="0" collapsed="false">
      <c r="A33" s="358" t="n">
        <f aca="false">A32+1</f>
        <v>22</v>
      </c>
      <c r="B33" s="104" t="n">
        <v>6901.75</v>
      </c>
      <c r="C33" s="105" t="n">
        <v>290081</v>
      </c>
      <c r="D33" s="243" t="n">
        <f aca="false">C33-C32</f>
        <v>-150</v>
      </c>
      <c r="E33" s="105" t="n">
        <f aca="false">C33-152000</f>
        <v>138081</v>
      </c>
      <c r="F33" s="264" t="n">
        <f aca="false">D33/$D$2</f>
        <v>-75.6238971514999</v>
      </c>
      <c r="G33" s="265" t="n">
        <v>51</v>
      </c>
      <c r="H33" s="359" t="n">
        <v>1.4</v>
      </c>
      <c r="I33" s="265" t="n">
        <f aca="false">G33+H33</f>
        <v>52.4</v>
      </c>
      <c r="J33" s="246" t="n">
        <f aca="false">IF(L33&gt;0,L33,0)</f>
        <v>0</v>
      </c>
      <c r="K33" s="265" t="n">
        <f aca="false">I33+J33</f>
        <v>52.4</v>
      </c>
      <c r="L33" s="265" t="n">
        <f aca="false">F33-(I33-AD33)</f>
        <v>-0.0238971514998809</v>
      </c>
      <c r="M33" s="267" t="n">
        <v>34</v>
      </c>
      <c r="N33" s="265" t="n">
        <v>0</v>
      </c>
      <c r="O33" s="265" t="n">
        <f aca="false">(4+3.61)*1.05</f>
        <v>7.9905</v>
      </c>
      <c r="P33" s="265"/>
      <c r="Q33" s="386" t="n">
        <f aca="false">1.52*1.02</f>
        <v>1.5504</v>
      </c>
      <c r="R33" s="386" t="n">
        <v>2.51</v>
      </c>
      <c r="S33" s="268" t="n">
        <v>0</v>
      </c>
      <c r="T33" s="265" t="n">
        <v>54</v>
      </c>
      <c r="U33" s="265" t="n">
        <v>0</v>
      </c>
      <c r="V33" s="265" t="n">
        <f aca="false">M33-N33-O33-Q33-R33-S33+T33+U33</f>
        <v>75.9491</v>
      </c>
      <c r="W33" s="105"/>
      <c r="X33" s="105"/>
      <c r="Y33" s="265" t="n">
        <v>0</v>
      </c>
      <c r="Z33" s="267"/>
      <c r="AA33" s="269"/>
      <c r="AB33" s="265" t="n">
        <v>40</v>
      </c>
      <c r="AC33" s="105" t="n">
        <f aca="false">AC32-AB33</f>
        <v>1961</v>
      </c>
      <c r="AD33" s="128" t="n">
        <f aca="false">N33+O33+Q33+R33+S33+V33+Y33+AB33</f>
        <v>128</v>
      </c>
      <c r="AE33" s="265" t="n">
        <f aca="false">IF(L33&lt;0,L33*-1,0)</f>
        <v>0.0238971514998809</v>
      </c>
      <c r="AF33" s="265" t="n">
        <f aca="false">AD33+AE33</f>
        <v>128.0238971515</v>
      </c>
      <c r="AG33" s="247" t="n">
        <v>0</v>
      </c>
      <c r="AH33" s="243" t="n">
        <v>48</v>
      </c>
      <c r="AI33" s="248" t="n">
        <v>25</v>
      </c>
      <c r="AJ33" s="243" t="n">
        <f aca="false">AJ32+(T33*1.9835)</f>
        <v>13325.5957705</v>
      </c>
      <c r="AK33" s="243"/>
      <c r="AL33" s="265"/>
      <c r="AM33" s="105"/>
      <c r="AN33" s="249"/>
    </row>
    <row r="34" customFormat="false" ht="12.95" hidden="false" customHeight="true" outlineLevel="0" collapsed="false">
      <c r="A34" s="358" t="n">
        <f aca="false">A33+1</f>
        <v>23</v>
      </c>
      <c r="B34" s="104" t="n">
        <v>6901.71</v>
      </c>
      <c r="C34" s="105" t="n">
        <v>289932</v>
      </c>
      <c r="D34" s="243" t="n">
        <f aca="false">C34-C33</f>
        <v>-149</v>
      </c>
      <c r="E34" s="105" t="n">
        <f aca="false">C34-152000</f>
        <v>137932</v>
      </c>
      <c r="F34" s="264" t="n">
        <f aca="false">D34/$D$2</f>
        <v>-75.1197378371565</v>
      </c>
      <c r="G34" s="265" t="n">
        <v>58</v>
      </c>
      <c r="H34" s="359" t="n">
        <v>1.5</v>
      </c>
      <c r="I34" s="265" t="n">
        <f aca="false">G34+H34</f>
        <v>59.5</v>
      </c>
      <c r="J34" s="246" t="n">
        <f aca="false">IF(L34&gt;0,L34,0)</f>
        <v>0</v>
      </c>
      <c r="K34" s="265" t="n">
        <f aca="false">I34+J34</f>
        <v>59.5</v>
      </c>
      <c r="L34" s="265" t="n">
        <f aca="false">F34-(I34-AD34)</f>
        <v>-3.61973783715653</v>
      </c>
      <c r="M34" s="267" t="n">
        <v>43</v>
      </c>
      <c r="N34" s="265" t="n">
        <v>0</v>
      </c>
      <c r="O34" s="265" t="n">
        <f aca="false">(10.96+11.24)*1.05</f>
        <v>23.31</v>
      </c>
      <c r="P34" s="265"/>
      <c r="Q34" s="386" t="n">
        <f aca="false">1.52*1.02</f>
        <v>1.5504</v>
      </c>
      <c r="R34" s="386" t="n">
        <v>2.35</v>
      </c>
      <c r="S34" s="268" t="n">
        <v>0</v>
      </c>
      <c r="T34" s="265" t="n">
        <v>48</v>
      </c>
      <c r="U34" s="265" t="n">
        <v>0</v>
      </c>
      <c r="V34" s="265" t="n">
        <f aca="false">M34-N34-O34-Q34-R34-S34+T34+U34</f>
        <v>63.7896</v>
      </c>
      <c r="W34" s="105"/>
      <c r="X34" s="105"/>
      <c r="Y34" s="265" t="n">
        <v>0</v>
      </c>
      <c r="Z34" s="267"/>
      <c r="AA34" s="269"/>
      <c r="AB34" s="265" t="n">
        <v>40</v>
      </c>
      <c r="AC34" s="105" t="n">
        <f aca="false">AC33-AB34</f>
        <v>1921</v>
      </c>
      <c r="AD34" s="128" t="n">
        <f aca="false">N34+O34+Q34+R34+S34+V34+Y34+AB34</f>
        <v>131</v>
      </c>
      <c r="AE34" s="265" t="n">
        <f aca="false">IF(L34&lt;0,L34*-1,0)</f>
        <v>3.61973783715653</v>
      </c>
      <c r="AF34" s="265" t="n">
        <f aca="false">AD34+AE34</f>
        <v>134.619737837157</v>
      </c>
      <c r="AG34" s="247" t="n">
        <v>0</v>
      </c>
      <c r="AH34" s="243" t="n">
        <v>52</v>
      </c>
      <c r="AI34" s="270" t="n">
        <v>24</v>
      </c>
      <c r="AJ34" s="243" t="n">
        <f aca="false">AJ33+(T34*1.9835)</f>
        <v>13420.8037705</v>
      </c>
      <c r="AK34" s="243"/>
      <c r="AL34" s="265"/>
      <c r="AM34" s="105"/>
      <c r="AN34" s="249"/>
    </row>
    <row r="35" customFormat="false" ht="12.95" hidden="false" customHeight="true" outlineLevel="0" collapsed="false">
      <c r="A35" s="358" t="n">
        <f aca="false">A34+1</f>
        <v>24</v>
      </c>
      <c r="B35" s="104" t="n">
        <v>6901.7</v>
      </c>
      <c r="C35" s="105" t="n">
        <v>289895</v>
      </c>
      <c r="D35" s="243" t="n">
        <f aca="false">C35-C34</f>
        <v>-37</v>
      </c>
      <c r="E35" s="105" t="n">
        <f aca="false">C35-152000</f>
        <v>137895</v>
      </c>
      <c r="F35" s="264" t="n">
        <f aca="false">D35/$D$2</f>
        <v>-18.6538946307033</v>
      </c>
      <c r="G35" s="265" t="n">
        <v>64</v>
      </c>
      <c r="H35" s="359" t="n">
        <v>2</v>
      </c>
      <c r="I35" s="265" t="n">
        <f aca="false">G35+H35</f>
        <v>66</v>
      </c>
      <c r="J35" s="246" t="n">
        <f aca="false">IF(L35&gt;0,L35,0)</f>
        <v>7.7461053692967</v>
      </c>
      <c r="K35" s="265" t="n">
        <f aca="false">I35+J35</f>
        <v>73.7461053692967</v>
      </c>
      <c r="L35" s="265" t="n">
        <f aca="false">F35-(I35-AD35)</f>
        <v>7.7461053692967</v>
      </c>
      <c r="M35" s="267" t="n">
        <v>7.4</v>
      </c>
      <c r="N35" s="265" t="n">
        <v>0</v>
      </c>
      <c r="O35" s="265" t="n">
        <v>0</v>
      </c>
      <c r="P35" s="265"/>
      <c r="Q35" s="386" t="n">
        <f aca="false">1.52*1.02</f>
        <v>1.5504</v>
      </c>
      <c r="R35" s="386" t="n">
        <v>3.89</v>
      </c>
      <c r="S35" s="268" t="n">
        <v>0</v>
      </c>
      <c r="T35" s="265" t="n">
        <v>45</v>
      </c>
      <c r="U35" s="265" t="n">
        <v>0</v>
      </c>
      <c r="V35" s="265" t="n">
        <f aca="false">M35-N35-O35-Q35-R35-S35+T35+U35</f>
        <v>46.9596</v>
      </c>
      <c r="W35" s="105"/>
      <c r="X35" s="105"/>
      <c r="Y35" s="265" t="n">
        <v>0</v>
      </c>
      <c r="Z35" s="267"/>
      <c r="AA35" s="269"/>
      <c r="AB35" s="265" t="n">
        <v>40</v>
      </c>
      <c r="AC35" s="105" t="n">
        <f aca="false">AC34-AB35</f>
        <v>1881</v>
      </c>
      <c r="AD35" s="128" t="n">
        <f aca="false">N35+O35+Q35+R35+S35+V35+Y35+AB35</f>
        <v>92.4</v>
      </c>
      <c r="AE35" s="265" t="n">
        <f aca="false">IF(L35&lt;0,L35*-1,0)</f>
        <v>0</v>
      </c>
      <c r="AF35" s="265" t="n">
        <f aca="false">AD35+AE35</f>
        <v>92.4</v>
      </c>
      <c r="AG35" s="247" t="n">
        <v>0</v>
      </c>
      <c r="AH35" s="243" t="n">
        <v>56</v>
      </c>
      <c r="AI35" s="270" t="n">
        <v>27</v>
      </c>
      <c r="AJ35" s="243" t="n">
        <f aca="false">AJ34+(T35*1.9835)</f>
        <v>13510.0612705</v>
      </c>
      <c r="AK35" s="243"/>
      <c r="AL35" s="265"/>
      <c r="AM35" s="105"/>
      <c r="AN35" s="249"/>
    </row>
    <row r="36" customFormat="false" ht="12.95" hidden="false" customHeight="true" outlineLevel="0" collapsed="false">
      <c r="A36" s="358" t="n">
        <f aca="false">A35+1</f>
        <v>25</v>
      </c>
      <c r="B36" s="104" t="n">
        <v>6901.69</v>
      </c>
      <c r="C36" s="105" t="n">
        <v>289857</v>
      </c>
      <c r="D36" s="243" t="n">
        <f aca="false">C36-C35</f>
        <v>-38</v>
      </c>
      <c r="E36" s="105" t="n">
        <f aca="false">C36-152000</f>
        <v>137857</v>
      </c>
      <c r="F36" s="264" t="n">
        <f aca="false">D36/$D$2</f>
        <v>-19.1580539450466</v>
      </c>
      <c r="G36" s="265" t="n">
        <v>78</v>
      </c>
      <c r="H36" s="359" t="n">
        <v>2.9</v>
      </c>
      <c r="I36" s="265" t="n">
        <f aca="false">G36+H36</f>
        <v>80.9</v>
      </c>
      <c r="J36" s="246" t="n">
        <f aca="false">IF(L36&gt;0,L36,0)</f>
        <v>0</v>
      </c>
      <c r="K36" s="265" t="n">
        <f aca="false">I36+J36</f>
        <v>80.9</v>
      </c>
      <c r="L36" s="265" t="n">
        <f aca="false">F36-(I36-AD36)</f>
        <v>-7.65805394504664</v>
      </c>
      <c r="M36" s="267" t="n">
        <v>7.4</v>
      </c>
      <c r="N36" s="265" t="n">
        <v>0</v>
      </c>
      <c r="O36" s="265" t="n">
        <v>0</v>
      </c>
      <c r="P36" s="265"/>
      <c r="Q36" s="386" t="n">
        <f aca="false">1.52*1.02</f>
        <v>1.5504</v>
      </c>
      <c r="R36" s="386" t="n">
        <v>3.47</v>
      </c>
      <c r="S36" s="268" t="n">
        <v>0</v>
      </c>
      <c r="T36" s="265" t="n">
        <v>45</v>
      </c>
      <c r="U36" s="265" t="n">
        <v>0</v>
      </c>
      <c r="V36" s="265" t="n">
        <f aca="false">M36-N36-O36-Q36-R36-S36+T36+U36</f>
        <v>47.3796</v>
      </c>
      <c r="W36" s="105"/>
      <c r="X36" s="105"/>
      <c r="Y36" s="265" t="n">
        <v>0</v>
      </c>
      <c r="Z36" s="267"/>
      <c r="AA36" s="269"/>
      <c r="AB36" s="265" t="n">
        <v>40</v>
      </c>
      <c r="AC36" s="105" t="n">
        <f aca="false">AC35-AB36</f>
        <v>1841</v>
      </c>
      <c r="AD36" s="128" t="n">
        <f aca="false">N36+O36+Q36+R36+S36+V36+Y36+AB36</f>
        <v>92.4</v>
      </c>
      <c r="AE36" s="265" t="n">
        <f aca="false">IF(L36&lt;0,L36*-1,0)</f>
        <v>7.65805394504664</v>
      </c>
      <c r="AF36" s="265" t="n">
        <f aca="false">AD36+AE36</f>
        <v>100.058053945047</v>
      </c>
      <c r="AG36" s="247" t="n">
        <v>0</v>
      </c>
      <c r="AH36" s="243" t="n">
        <v>61</v>
      </c>
      <c r="AI36" s="270" t="n">
        <v>31</v>
      </c>
      <c r="AJ36" s="243" t="n">
        <f aca="false">AJ35+(T36*1.9835)</f>
        <v>13599.3187705</v>
      </c>
      <c r="AK36" s="243"/>
      <c r="AL36" s="265"/>
      <c r="AM36" s="105"/>
      <c r="AN36" s="249"/>
    </row>
    <row r="37" customFormat="false" ht="12.95" hidden="false" customHeight="true" outlineLevel="0" collapsed="false">
      <c r="A37" s="358" t="n">
        <f aca="false">A36+1</f>
        <v>26</v>
      </c>
      <c r="B37" s="104" t="n">
        <v>6901.7</v>
      </c>
      <c r="C37" s="105" t="n">
        <v>289895</v>
      </c>
      <c r="D37" s="243" t="n">
        <f aca="false">C37-C36</f>
        <v>38</v>
      </c>
      <c r="E37" s="105" t="n">
        <f aca="false">C37-152000</f>
        <v>137895</v>
      </c>
      <c r="F37" s="264" t="n">
        <f aca="false">D37/$D$2</f>
        <v>19.1580539450466</v>
      </c>
      <c r="G37" s="265" t="n">
        <v>99</v>
      </c>
      <c r="H37" s="359" t="n">
        <v>3.9</v>
      </c>
      <c r="I37" s="265" t="n">
        <f aca="false">G37+H37</f>
        <v>102.9</v>
      </c>
      <c r="J37" s="246" t="n">
        <f aca="false">IF(L37&gt;0,L37,0)</f>
        <v>8.65805394504664</v>
      </c>
      <c r="K37" s="265" t="n">
        <f aca="false">I37+J37</f>
        <v>111.558053945047</v>
      </c>
      <c r="L37" s="265" t="n">
        <f aca="false">F37-(I37-AD37)</f>
        <v>8.65805394504664</v>
      </c>
      <c r="M37" s="267" t="n">
        <v>7.4</v>
      </c>
      <c r="N37" s="265" t="n">
        <v>0</v>
      </c>
      <c r="O37" s="265" t="n">
        <v>0</v>
      </c>
      <c r="P37" s="265"/>
      <c r="Q37" s="386" t="n">
        <f aca="false">1.52*1.02</f>
        <v>1.5504</v>
      </c>
      <c r="R37" s="386" t="n">
        <v>4.2</v>
      </c>
      <c r="S37" s="268" t="n">
        <v>0.11</v>
      </c>
      <c r="T37" s="265" t="n">
        <v>45</v>
      </c>
      <c r="U37" s="265" t="n">
        <v>0</v>
      </c>
      <c r="V37" s="265" t="n">
        <f aca="false">M37-N37-O37-Q37-R37-S37+T37+U37</f>
        <v>46.5396</v>
      </c>
      <c r="W37" s="105"/>
      <c r="X37" s="105"/>
      <c r="Y37" s="265" t="n">
        <v>0</v>
      </c>
      <c r="Z37" s="267"/>
      <c r="AA37" s="269"/>
      <c r="AB37" s="265" t="n">
        <v>40</v>
      </c>
      <c r="AC37" s="105" t="n">
        <f aca="false">AC36-AB37</f>
        <v>1801</v>
      </c>
      <c r="AD37" s="128" t="n">
        <f aca="false">N37+O37+Q37+R37+S37+V37+Y37+AB37</f>
        <v>92.4</v>
      </c>
      <c r="AE37" s="265" t="n">
        <f aca="false">IF(L37&lt;0,L37*-1,0)</f>
        <v>0</v>
      </c>
      <c r="AF37" s="265" t="n">
        <f aca="false">AD37+AE37</f>
        <v>92.4</v>
      </c>
      <c r="AG37" s="247" t="n">
        <v>0</v>
      </c>
      <c r="AH37" s="243" t="n">
        <v>51</v>
      </c>
      <c r="AI37" s="248" t="n">
        <v>27</v>
      </c>
      <c r="AJ37" s="243" t="n">
        <f aca="false">AJ36+(T37*1.9835)</f>
        <v>13688.5762705</v>
      </c>
      <c r="AK37" s="243"/>
      <c r="AL37" s="265"/>
      <c r="AM37" s="105"/>
      <c r="AN37" s="249"/>
    </row>
    <row r="38" customFormat="false" ht="12.95" hidden="false" customHeight="true" outlineLevel="0" collapsed="false">
      <c r="A38" s="358" t="n">
        <f aca="false">A37+1</f>
        <v>27</v>
      </c>
      <c r="B38" s="104" t="n">
        <v>6901.69</v>
      </c>
      <c r="C38" s="105" t="n">
        <v>289857</v>
      </c>
      <c r="D38" s="243" t="n">
        <f aca="false">C38-C37</f>
        <v>-38</v>
      </c>
      <c r="E38" s="105" t="n">
        <f aca="false">C38-152000</f>
        <v>137857</v>
      </c>
      <c r="F38" s="264" t="n">
        <f aca="false">D38/$D$2</f>
        <v>-19.1580539450466</v>
      </c>
      <c r="G38" s="265" t="n">
        <v>102</v>
      </c>
      <c r="H38" s="359" t="n">
        <v>3.5</v>
      </c>
      <c r="I38" s="265" t="n">
        <f aca="false">G38+H38</f>
        <v>105.5</v>
      </c>
      <c r="J38" s="246" t="n">
        <f aca="false">IF(L38&gt;0,L38,0)</f>
        <v>2.34194605495336</v>
      </c>
      <c r="K38" s="265" t="n">
        <f aca="false">I38+J38</f>
        <v>107.841946054953</v>
      </c>
      <c r="L38" s="265" t="n">
        <f aca="false">F38-(I38-AD38)</f>
        <v>2.34194605495336</v>
      </c>
      <c r="M38" s="267" t="n">
        <v>25</v>
      </c>
      <c r="N38" s="265" t="n">
        <v>0</v>
      </c>
      <c r="O38" s="265" t="n">
        <f aca="false">(2.51+5.16)*1.05</f>
        <v>8.0535</v>
      </c>
      <c r="P38" s="265"/>
      <c r="Q38" s="386" t="n">
        <f aca="false">1.52*1.02</f>
        <v>1.5504</v>
      </c>
      <c r="R38" s="386" t="n">
        <v>3.65</v>
      </c>
      <c r="S38" s="268" t="n">
        <v>0</v>
      </c>
      <c r="T38" s="265" t="n">
        <v>62</v>
      </c>
      <c r="U38" s="265" t="n">
        <v>0</v>
      </c>
      <c r="V38" s="265" t="n">
        <f aca="false">M38-N38-O38-Q38-R38-S38+T38+U38</f>
        <v>73.7461</v>
      </c>
      <c r="W38" s="105"/>
      <c r="X38" s="105"/>
      <c r="Y38" s="265" t="n">
        <v>0</v>
      </c>
      <c r="Z38" s="267"/>
      <c r="AA38" s="269"/>
      <c r="AB38" s="265" t="n">
        <v>40</v>
      </c>
      <c r="AC38" s="105" t="n">
        <f aca="false">AC37-AB38</f>
        <v>1761</v>
      </c>
      <c r="AD38" s="128" t="n">
        <f aca="false">N38+O38+Q38+R38+S38+V38+Y38+AB38</f>
        <v>127</v>
      </c>
      <c r="AE38" s="265" t="n">
        <f aca="false">IF(L38&lt;0,L38*-1,0)</f>
        <v>0</v>
      </c>
      <c r="AF38" s="265" t="n">
        <f aca="false">AD38+AE38</f>
        <v>127</v>
      </c>
      <c r="AG38" s="247" t="n">
        <v>0</v>
      </c>
      <c r="AH38" s="243" t="n">
        <v>57</v>
      </c>
      <c r="AI38" s="248" t="n">
        <v>26</v>
      </c>
      <c r="AJ38" s="243" t="n">
        <f aca="false">AJ37+(T38*1.9835)</f>
        <v>13811.5532705</v>
      </c>
      <c r="AK38" s="243"/>
      <c r="AL38" s="265"/>
      <c r="AM38" s="105"/>
      <c r="AN38" s="249"/>
    </row>
    <row r="39" customFormat="false" ht="12.95" hidden="false" customHeight="true" outlineLevel="0" collapsed="false">
      <c r="A39" s="358" t="n">
        <f aca="false">A38+1</f>
        <v>28</v>
      </c>
      <c r="B39" s="104" t="n">
        <v>6901.72</v>
      </c>
      <c r="C39" s="105" t="n">
        <v>289969</v>
      </c>
      <c r="D39" s="243" t="n">
        <f aca="false">C39-C38</f>
        <v>112</v>
      </c>
      <c r="E39" s="105" t="n">
        <f aca="false">C39-152000</f>
        <v>137969</v>
      </c>
      <c r="F39" s="264" t="n">
        <f aca="false">D39/$D$2</f>
        <v>56.4658432064532</v>
      </c>
      <c r="G39" s="265" t="n">
        <v>105</v>
      </c>
      <c r="H39" s="359" t="n">
        <v>4.5</v>
      </c>
      <c r="I39" s="265" t="n">
        <f aca="false">G39+H39</f>
        <v>109.5</v>
      </c>
      <c r="J39" s="246" t="n">
        <f aca="false">IF(L39&gt;0,L39,0)</f>
        <v>100.965843206453</v>
      </c>
      <c r="K39" s="265" t="n">
        <f aca="false">I39+J39</f>
        <v>210.465843206453</v>
      </c>
      <c r="L39" s="265" t="n">
        <f aca="false">F39-(I39-AD39)</f>
        <v>100.965843206453</v>
      </c>
      <c r="M39" s="267" t="n">
        <v>38</v>
      </c>
      <c r="N39" s="265" t="n">
        <v>0</v>
      </c>
      <c r="O39" s="265" t="n">
        <f aca="false">(3.87+2.55)*1.05</f>
        <v>6.741</v>
      </c>
      <c r="P39" s="265"/>
      <c r="Q39" s="386" t="n">
        <f aca="false">1.52*1.02</f>
        <v>1.5504</v>
      </c>
      <c r="R39" s="386" t="n">
        <v>2.97</v>
      </c>
      <c r="S39" s="268" t="n">
        <v>0</v>
      </c>
      <c r="T39" s="265" t="n">
        <v>76</v>
      </c>
      <c r="U39" s="265" t="n">
        <v>0</v>
      </c>
      <c r="V39" s="265" t="n">
        <f aca="false">M39-N39-O39-Q39-R39-S39+T39+U39</f>
        <v>102.7386</v>
      </c>
      <c r="W39" s="105"/>
      <c r="X39" s="105"/>
      <c r="Y39" s="265" t="n">
        <v>0</v>
      </c>
      <c r="Z39" s="267"/>
      <c r="AA39" s="269"/>
      <c r="AB39" s="265" t="n">
        <v>40</v>
      </c>
      <c r="AC39" s="105" t="n">
        <f aca="false">AC38-AB39</f>
        <v>1721</v>
      </c>
      <c r="AD39" s="128" t="n">
        <f aca="false">N39+O39+Q39+R39+S39+V39+Y39+AB39</f>
        <v>154</v>
      </c>
      <c r="AE39" s="265" t="n">
        <f aca="false">IF(L39&lt;0,L39*-1,0)</f>
        <v>0</v>
      </c>
      <c r="AF39" s="265" t="n">
        <f aca="false">AD39+AE39</f>
        <v>154</v>
      </c>
      <c r="AG39" s="247" t="n">
        <v>0.31</v>
      </c>
      <c r="AH39" s="243" t="n">
        <v>51</v>
      </c>
      <c r="AI39" s="248" t="n">
        <v>38</v>
      </c>
      <c r="AJ39" s="243" t="n">
        <f aca="false">AJ38+(T39*1.9835)</f>
        <v>13962.2992705</v>
      </c>
      <c r="AK39" s="243"/>
      <c r="AL39" s="265"/>
      <c r="AM39" s="105"/>
      <c r="AN39" s="249"/>
    </row>
    <row r="40" customFormat="false" ht="12.95" hidden="false" customHeight="true" outlineLevel="0" collapsed="false">
      <c r="A40" s="358" t="n">
        <f aca="false">A39+1</f>
        <v>29</v>
      </c>
      <c r="B40" s="104" t="n">
        <v>6901.79</v>
      </c>
      <c r="C40" s="105" t="n">
        <v>290231</v>
      </c>
      <c r="D40" s="243" t="n">
        <f aca="false">C40-C39</f>
        <v>262</v>
      </c>
      <c r="E40" s="105" t="n">
        <f aca="false">C40-152000</f>
        <v>138231</v>
      </c>
      <c r="F40" s="264" t="n">
        <f aca="false">D40/$D$2</f>
        <v>132.089740357953</v>
      </c>
      <c r="G40" s="265" t="n">
        <v>121</v>
      </c>
      <c r="H40" s="359" t="n">
        <v>5.4</v>
      </c>
      <c r="I40" s="265" t="n">
        <f aca="false">G40+H40</f>
        <v>126.4</v>
      </c>
      <c r="J40" s="246" t="n">
        <f aca="false">IF(L40&gt;0,L40,0)</f>
        <v>138.689740357953</v>
      </c>
      <c r="K40" s="265" t="n">
        <f aca="false">I40+J40</f>
        <v>265.089740357953</v>
      </c>
      <c r="L40" s="265" t="n">
        <f aca="false">F40-(I40-AD40)</f>
        <v>138.689740357953</v>
      </c>
      <c r="M40" s="267" t="n">
        <v>51</v>
      </c>
      <c r="N40" s="265" t="n">
        <v>0</v>
      </c>
      <c r="O40" s="265" t="n">
        <f aca="false">(7.22+8.37)*1.05</f>
        <v>16.3695</v>
      </c>
      <c r="P40" s="265"/>
      <c r="Q40" s="386" t="n">
        <f aca="false">1.52*1.02</f>
        <v>1.5504</v>
      </c>
      <c r="R40" s="386" t="n">
        <v>2.46</v>
      </c>
      <c r="S40" s="268" t="n">
        <v>0</v>
      </c>
      <c r="T40" s="265" t="n">
        <v>42</v>
      </c>
      <c r="U40" s="265" t="n">
        <v>0</v>
      </c>
      <c r="V40" s="265" t="n">
        <f aca="false">M40-N40-O40-Q40-R40-S40+T40+U40</f>
        <v>72.6201</v>
      </c>
      <c r="W40" s="105"/>
      <c r="X40" s="105"/>
      <c r="Y40" s="265" t="n">
        <v>0</v>
      </c>
      <c r="Z40" s="267"/>
      <c r="AA40" s="269"/>
      <c r="AB40" s="265" t="n">
        <v>40</v>
      </c>
      <c r="AC40" s="105" t="n">
        <f aca="false">AC39-AB40</f>
        <v>1681</v>
      </c>
      <c r="AD40" s="128" t="n">
        <f aca="false">N40+O40+Q40+R40+S40+V40+Y40+AB40</f>
        <v>133</v>
      </c>
      <c r="AE40" s="265" t="n">
        <f aca="false">IF(L40&lt;0,L40*-1,0)</f>
        <v>0</v>
      </c>
      <c r="AF40" s="265" t="n">
        <f aca="false">AD40+AE40</f>
        <v>133</v>
      </c>
      <c r="AG40" s="247" t="n">
        <v>0.5</v>
      </c>
      <c r="AH40" s="249" t="n">
        <v>49</v>
      </c>
      <c r="AI40" s="248" t="n">
        <v>30</v>
      </c>
      <c r="AJ40" s="243" t="n">
        <f aca="false">AJ39+(T40*1.9835)</f>
        <v>14045.6062705</v>
      </c>
      <c r="AK40" s="243"/>
      <c r="AL40" s="265"/>
      <c r="AM40" s="105"/>
      <c r="AN40" s="249"/>
    </row>
    <row r="41" customFormat="false" ht="12.95" hidden="false" customHeight="true" outlineLevel="0" collapsed="false">
      <c r="A41" s="358" t="n">
        <v>30</v>
      </c>
      <c r="B41" s="104" t="n">
        <v>6901.872</v>
      </c>
      <c r="C41" s="105" t="n">
        <v>290529</v>
      </c>
      <c r="D41" s="243" t="n">
        <f aca="false">C41-C40</f>
        <v>298</v>
      </c>
      <c r="E41" s="105" t="n">
        <f aca="false">C41-152000</f>
        <v>138529</v>
      </c>
      <c r="F41" s="264" t="n">
        <f aca="false">D41/$D$2</f>
        <v>150.239475674313</v>
      </c>
      <c r="G41" s="265" t="n">
        <v>116</v>
      </c>
      <c r="H41" s="359" t="n">
        <v>5</v>
      </c>
      <c r="I41" s="265" t="n">
        <f aca="false">G41+H41</f>
        <v>121</v>
      </c>
      <c r="J41" s="246" t="n">
        <f aca="false">IF(L41&gt;0,L41,0)</f>
        <v>120.239475674313</v>
      </c>
      <c r="K41" s="265" t="n">
        <f aca="false">I41+J41</f>
        <v>241.239475674313</v>
      </c>
      <c r="L41" s="265" t="n">
        <f aca="false">F41-(I41-AD41)</f>
        <v>120.239475674313</v>
      </c>
      <c r="M41" s="267" t="n">
        <v>51</v>
      </c>
      <c r="N41" s="265" t="n">
        <v>0</v>
      </c>
      <c r="O41" s="265" t="n">
        <f aca="false">(8.55+13.45)*1.05</f>
        <v>23.1</v>
      </c>
      <c r="P41" s="265"/>
      <c r="Q41" s="386" t="n">
        <f aca="false">1.52*1.02</f>
        <v>1.5504</v>
      </c>
      <c r="R41" s="386" t="n">
        <v>2.26</v>
      </c>
      <c r="S41" s="268" t="n">
        <v>0</v>
      </c>
      <c r="T41" s="265" t="n">
        <v>0</v>
      </c>
      <c r="U41" s="265" t="n">
        <v>0</v>
      </c>
      <c r="V41" s="265" t="n">
        <f aca="false">M41-N41-O41-Q41-R41-S41+T41+U41</f>
        <v>24.0896</v>
      </c>
      <c r="W41" s="105"/>
      <c r="X41" s="105"/>
      <c r="Y41" s="265" t="n">
        <v>0</v>
      </c>
      <c r="Z41" s="267"/>
      <c r="AA41" s="269"/>
      <c r="AB41" s="265" t="n">
        <v>40</v>
      </c>
      <c r="AC41" s="105" t="n">
        <f aca="false">AC40-AB41</f>
        <v>1641</v>
      </c>
      <c r="AD41" s="128" t="n">
        <f aca="false">N41+O41+Q41+R41+S41+V41+Y41+AB41</f>
        <v>91</v>
      </c>
      <c r="AE41" s="265" t="n">
        <f aca="false">IF(L41&lt;0,L41*-1,0)</f>
        <v>0</v>
      </c>
      <c r="AF41" s="265" t="n">
        <f aca="false">AD41+AE41</f>
        <v>91</v>
      </c>
      <c r="AG41" s="247" t="n">
        <v>0.05</v>
      </c>
      <c r="AH41" s="249" t="n">
        <v>45</v>
      </c>
      <c r="AI41" s="248" t="n">
        <v>28</v>
      </c>
      <c r="AJ41" s="243" t="n">
        <f aca="false">AJ40+(T41*1.9835)</f>
        <v>14045.6062705</v>
      </c>
      <c r="AK41" s="243"/>
      <c r="AL41" s="265"/>
      <c r="AM41" s="105"/>
      <c r="AN41" s="249"/>
    </row>
    <row r="42" customFormat="false" ht="12.95" hidden="false" customHeight="true" outlineLevel="0" collapsed="false">
      <c r="A42" s="358" t="n">
        <v>31</v>
      </c>
      <c r="B42" s="104" t="n">
        <v>6901.94</v>
      </c>
      <c r="C42" s="105" t="n">
        <v>290790</v>
      </c>
      <c r="D42" s="243" t="n">
        <f aca="false">C42-C41</f>
        <v>261</v>
      </c>
      <c r="E42" s="105" t="n">
        <f aca="false">C42-152000</f>
        <v>138790</v>
      </c>
      <c r="F42" s="264" t="n">
        <f aca="false">D42/$D$2</f>
        <v>131.58558104361</v>
      </c>
      <c r="G42" s="265" t="n">
        <v>104</v>
      </c>
      <c r="H42" s="359" t="n">
        <v>4.5</v>
      </c>
      <c r="I42" s="265" t="n">
        <f aca="false">G42+H42</f>
        <v>108.5</v>
      </c>
      <c r="J42" s="246" t="n">
        <f aca="false">IF(L42&gt;0,L42,0)</f>
        <v>104.08558104361</v>
      </c>
      <c r="K42" s="265" t="n">
        <f aca="false">I42+J42</f>
        <v>212.58558104361</v>
      </c>
      <c r="L42" s="265" t="n">
        <f aca="false">F42-(I42-AD42)</f>
        <v>104.08558104361</v>
      </c>
      <c r="M42" s="267" t="n">
        <v>41</v>
      </c>
      <c r="N42" s="265" t="n">
        <v>0</v>
      </c>
      <c r="O42" s="265" t="n">
        <f aca="false">(8.48+13.43)*1.05</f>
        <v>23.0055</v>
      </c>
      <c r="P42" s="265"/>
      <c r="Q42" s="386" t="n">
        <f aca="false">1.52*1.02</f>
        <v>1.5504</v>
      </c>
      <c r="R42" s="386" t="n">
        <v>2.72</v>
      </c>
      <c r="S42" s="268" t="n">
        <v>0</v>
      </c>
      <c r="T42" s="265" t="n">
        <v>0</v>
      </c>
      <c r="U42" s="265" t="n">
        <v>0</v>
      </c>
      <c r="V42" s="265" t="n">
        <f aca="false">M42-N42-O42-Q42-R42-S42+T42+U42</f>
        <v>13.7241</v>
      </c>
      <c r="W42" s="105"/>
      <c r="X42" s="105"/>
      <c r="Y42" s="265" t="n">
        <v>0</v>
      </c>
      <c r="Z42" s="267"/>
      <c r="AA42" s="269"/>
      <c r="AB42" s="265" t="n">
        <v>40</v>
      </c>
      <c r="AC42" s="105" t="n">
        <f aca="false">AC41-AB42</f>
        <v>1601</v>
      </c>
      <c r="AD42" s="128" t="n">
        <f aca="false">N42+O42+Q42+R42+S42+V42+Y42+AB42</f>
        <v>81</v>
      </c>
      <c r="AE42" s="265" t="n">
        <f aca="false">IF(L42&lt;0,L42*-1,0)</f>
        <v>0</v>
      </c>
      <c r="AF42" s="265" t="n">
        <f aca="false">AD42+AE42</f>
        <v>81</v>
      </c>
      <c r="AG42" s="247" t="n">
        <v>0.06</v>
      </c>
      <c r="AH42" s="249" t="n">
        <v>56</v>
      </c>
      <c r="AI42" s="248" t="n">
        <v>29</v>
      </c>
      <c r="AJ42" s="243" t="n">
        <f aca="false">AJ41+(T42*1.9835)</f>
        <v>14045.6062705</v>
      </c>
      <c r="AK42" s="243"/>
      <c r="AL42" s="265"/>
      <c r="AM42" s="265"/>
      <c r="AN42" s="249"/>
    </row>
    <row r="43" customFormat="false" ht="3" hidden="false" customHeight="true" outlineLevel="0" collapsed="false">
      <c r="A43" s="383"/>
      <c r="B43" s="271"/>
      <c r="C43" s="254"/>
      <c r="D43" s="255"/>
      <c r="E43" s="254"/>
      <c r="F43" s="256"/>
      <c r="G43" s="255"/>
      <c r="H43" s="279"/>
      <c r="I43" s="255"/>
      <c r="J43" s="255"/>
      <c r="K43" s="255"/>
      <c r="L43" s="255"/>
      <c r="M43" s="258"/>
      <c r="N43" s="255"/>
      <c r="O43" s="255"/>
      <c r="P43" s="255"/>
      <c r="Q43" s="255"/>
      <c r="R43" s="255"/>
      <c r="S43" s="259"/>
      <c r="T43" s="255"/>
      <c r="U43" s="255"/>
      <c r="V43" s="255"/>
      <c r="W43" s="254"/>
      <c r="X43" s="254"/>
      <c r="Y43" s="255"/>
      <c r="Z43" s="258"/>
      <c r="AA43" s="259"/>
      <c r="AB43" s="255"/>
      <c r="AC43" s="255"/>
      <c r="AD43" s="255"/>
      <c r="AE43" s="255"/>
      <c r="AF43" s="255"/>
      <c r="AG43" s="261"/>
      <c r="AH43" s="262"/>
      <c r="AI43" s="263"/>
      <c r="AJ43" s="262"/>
      <c r="AK43" s="262"/>
      <c r="AL43" s="262"/>
      <c r="AM43" s="262"/>
      <c r="AN43" s="262"/>
      <c r="AO43" s="384"/>
    </row>
    <row r="44" customFormat="false" ht="12.95" hidden="false" customHeight="true" outlineLevel="0" collapsed="false">
      <c r="A44" s="173" t="s">
        <v>76</v>
      </c>
      <c r="B44" s="241"/>
      <c r="C44" s="105"/>
      <c r="D44" s="105"/>
      <c r="E44" s="105"/>
      <c r="F44" s="242" t="n">
        <f aca="false">SUM(F12:F42)</f>
        <v>-359.969750441139</v>
      </c>
      <c r="G44" s="105" t="n">
        <f aca="false">SUM(G12:G42)</f>
        <v>2072</v>
      </c>
      <c r="H44" s="362" t="n">
        <f aca="false">SUM(H12:H42)</f>
        <v>72.2</v>
      </c>
      <c r="I44" s="105" t="n">
        <f aca="false">SUM(I12:I42)</f>
        <v>2144.2</v>
      </c>
      <c r="J44" s="105" t="n">
        <f aca="false">SUM(J12:J42)</f>
        <v>1053.59115200403</v>
      </c>
      <c r="K44" s="105" t="n">
        <f aca="false">SUM(K12:K42)</f>
        <v>3197.79115200403</v>
      </c>
      <c r="L44" s="105" t="n">
        <f aca="false">SUM(L12:L42)</f>
        <v>995.230249558861</v>
      </c>
      <c r="M44" s="244" t="n">
        <f aca="false">SUM(M12:M42)</f>
        <v>457.4</v>
      </c>
      <c r="N44" s="105" t="n">
        <f aca="false">SUM(N12:N42)</f>
        <v>0</v>
      </c>
      <c r="O44" s="105" t="n">
        <f aca="false">SUM(O12:O42)</f>
        <v>108.57</v>
      </c>
      <c r="P44" s="105"/>
      <c r="Q44" s="105" t="n">
        <f aca="false">SUM(Q12:Q42)</f>
        <v>48.0624</v>
      </c>
      <c r="R44" s="105" t="n">
        <f aca="false">SUM(R12:R42)</f>
        <v>91.34</v>
      </c>
      <c r="S44" s="245" t="n">
        <f aca="false">SUM(S12:S42)</f>
        <v>1.42</v>
      </c>
      <c r="T44" s="105" t="n">
        <f aca="false">SUM(T12:T42)</f>
        <v>1946</v>
      </c>
      <c r="U44" s="105" t="n">
        <f aca="false">SUM(U12:U42)</f>
        <v>0</v>
      </c>
      <c r="V44" s="105" t="n">
        <f aca="false">SUM(V12:V42)</f>
        <v>2154.0076</v>
      </c>
      <c r="W44" s="105"/>
      <c r="X44" s="105"/>
      <c r="Y44" s="105"/>
      <c r="Z44" s="244"/>
      <c r="AA44" s="245"/>
      <c r="AB44" s="105" t="n">
        <f aca="false">SUM(AB12:AB42)</f>
        <v>1096</v>
      </c>
      <c r="AC44" s="105"/>
      <c r="AD44" s="105" t="n">
        <f aca="false">SUM(AD12:AD42)</f>
        <v>3499.4</v>
      </c>
      <c r="AE44" s="105" t="n">
        <f aca="false">SUM(AE12:AE42)</f>
        <v>58.3609024451727</v>
      </c>
      <c r="AF44" s="105" t="n">
        <f aca="false">SUM(AF12:AF42)</f>
        <v>3557.76090244517</v>
      </c>
      <c r="AG44" s="247" t="n">
        <f aca="false">SUM(AG12:AG42)</f>
        <v>2.13</v>
      </c>
      <c r="AH44" s="243" t="n">
        <f aca="false">AVERAGE(AH12:AH42)</f>
        <v>47.9032258064516</v>
      </c>
      <c r="AI44" s="248" t="n">
        <f aca="false">AVERAGE(AI12:AI42)</f>
        <v>25.6774193548387</v>
      </c>
      <c r="AJ44" s="243" t="s">
        <v>97</v>
      </c>
      <c r="AK44" s="105" t="n">
        <f aca="false">SUM(AK12:AK42)</f>
        <v>0</v>
      </c>
      <c r="AL44" s="265"/>
      <c r="AM44" s="265"/>
      <c r="AN44" s="249"/>
      <c r="AO44" s="355" t="s">
        <v>94</v>
      </c>
    </row>
    <row r="45" customFormat="false" ht="12.95" hidden="false" customHeight="true" outlineLevel="0" collapsed="false">
      <c r="A45" s="173" t="s">
        <v>78</v>
      </c>
      <c r="B45" s="241"/>
      <c r="C45" s="105"/>
      <c r="D45" s="105" t="n">
        <f aca="false">SUM(D12:D42)</f>
        <v>-714</v>
      </c>
      <c r="E45" s="105"/>
      <c r="F45" s="242" t="n">
        <f aca="false">F44*$D$2</f>
        <v>-714</v>
      </c>
      <c r="G45" s="105" t="n">
        <f aca="false">G44*$D$2</f>
        <v>4109.812</v>
      </c>
      <c r="H45" s="362" t="n">
        <f aca="false">H44*$D$2</f>
        <v>143.2087</v>
      </c>
      <c r="I45" s="105" t="n">
        <f aca="false">I44*$D$2</f>
        <v>4253.0207</v>
      </c>
      <c r="J45" s="105" t="n">
        <f aca="false">J44*$D$2</f>
        <v>2089.79805</v>
      </c>
      <c r="K45" s="105" t="n">
        <f aca="false">K44*$D$2</f>
        <v>6342.81875</v>
      </c>
      <c r="L45" s="105" t="n">
        <f aca="false">L44*$D$2</f>
        <v>1974.0392</v>
      </c>
      <c r="M45" s="244" t="n">
        <f aca="false">M44*$D$2</f>
        <v>907.2529</v>
      </c>
      <c r="N45" s="105" t="n">
        <f aca="false">N44*$D$2</f>
        <v>0</v>
      </c>
      <c r="O45" s="105" t="n">
        <f aca="false">O44*$D$2</f>
        <v>215.348595</v>
      </c>
      <c r="P45" s="105"/>
      <c r="Q45" s="105" t="n">
        <f aca="false">Q44*$D$2</f>
        <v>95.3317704</v>
      </c>
      <c r="R45" s="105" t="n">
        <f aca="false">R44*$D$2</f>
        <v>181.17289</v>
      </c>
      <c r="S45" s="245" t="n">
        <f aca="false">S44*$D$2</f>
        <v>2.81657</v>
      </c>
      <c r="T45" s="105" t="n">
        <f aca="false">T44*$D$2</f>
        <v>3859.891</v>
      </c>
      <c r="U45" s="105" t="n">
        <f aca="false">U44*$D$2</f>
        <v>0</v>
      </c>
      <c r="V45" s="105" t="n">
        <f aca="false">V44*$D$2</f>
        <v>4272.4740746</v>
      </c>
      <c r="W45" s="105"/>
      <c r="X45" s="105"/>
      <c r="Y45" s="105"/>
      <c r="Z45" s="244"/>
      <c r="AA45" s="245"/>
      <c r="AB45" s="105" t="n">
        <f aca="false">AB44*$D$2</f>
        <v>2173.916</v>
      </c>
      <c r="AC45" s="105"/>
      <c r="AD45" s="105" t="n">
        <f aca="false">AD44*$D$2</f>
        <v>6941.0599</v>
      </c>
      <c r="AE45" s="105" t="n">
        <f aca="false">AE44*$D$2</f>
        <v>115.75885</v>
      </c>
      <c r="AF45" s="105" t="n">
        <f aca="false">AF44*$D$2</f>
        <v>7056.81875</v>
      </c>
      <c r="AG45" s="247"/>
      <c r="AH45" s="243" t="n">
        <f aca="false">MAX(AH12:AH42)</f>
        <v>63</v>
      </c>
      <c r="AI45" s="248" t="n">
        <f aca="false">MAX(AI12:AI42)</f>
        <v>38</v>
      </c>
      <c r="AJ45" s="243" t="s">
        <v>79</v>
      </c>
      <c r="AK45" s="105" t="n">
        <f aca="false">AK44*$D$2</f>
        <v>0</v>
      </c>
      <c r="AL45" s="265"/>
      <c r="AM45" s="265"/>
      <c r="AN45" s="249"/>
      <c r="AO45" s="355"/>
    </row>
    <row r="46" customFormat="false" ht="3" hidden="false" customHeight="true" outlineLevel="0" collapsed="false">
      <c r="A46" s="274"/>
      <c r="B46" s="271"/>
      <c r="C46" s="254"/>
      <c r="D46" s="254"/>
      <c r="E46" s="254"/>
      <c r="F46" s="275"/>
      <c r="G46" s="254"/>
      <c r="H46" s="389"/>
      <c r="I46" s="254"/>
      <c r="J46" s="254"/>
      <c r="K46" s="254"/>
      <c r="L46" s="254"/>
      <c r="M46" s="276"/>
      <c r="N46" s="254"/>
      <c r="O46" s="254"/>
      <c r="P46" s="254"/>
      <c r="Q46" s="254"/>
      <c r="R46" s="254"/>
      <c r="S46" s="277"/>
      <c r="T46" s="254"/>
      <c r="U46" s="254"/>
      <c r="V46" s="254"/>
      <c r="W46" s="254"/>
      <c r="X46" s="254"/>
      <c r="Y46" s="254"/>
      <c r="Z46" s="276"/>
      <c r="AA46" s="277"/>
      <c r="AB46" s="254"/>
      <c r="AC46" s="255"/>
      <c r="AD46" s="254"/>
      <c r="AE46" s="254"/>
      <c r="AF46" s="254"/>
      <c r="AG46" s="278"/>
      <c r="AH46" s="254"/>
      <c r="AI46" s="275"/>
      <c r="AJ46" s="262"/>
      <c r="AK46" s="262"/>
      <c r="AL46" s="254"/>
      <c r="AM46" s="254"/>
      <c r="AN46" s="254"/>
      <c r="AO46" s="390"/>
    </row>
    <row r="47" customFormat="false" ht="12.95" hidden="false" customHeight="true" outlineLevel="0" collapsed="false">
      <c r="A47" s="173" t="s">
        <v>80</v>
      </c>
      <c r="B47" s="241"/>
      <c r="C47" s="105"/>
      <c r="D47" s="105"/>
      <c r="E47" s="105"/>
      <c r="F47" s="242"/>
      <c r="G47" s="105"/>
      <c r="H47" s="362"/>
      <c r="I47" s="105"/>
      <c r="J47" s="105"/>
      <c r="K47" s="105"/>
      <c r="L47" s="105"/>
      <c r="M47" s="244"/>
      <c r="N47" s="105"/>
      <c r="O47" s="105" t="n">
        <f aca="false">O44</f>
        <v>108.57</v>
      </c>
      <c r="P47" s="105"/>
      <c r="Q47" s="105"/>
      <c r="R47" s="105"/>
      <c r="S47" s="245"/>
      <c r="T47" s="105"/>
      <c r="U47" s="105"/>
      <c r="V47" s="105"/>
      <c r="W47" s="105"/>
      <c r="X47" s="105"/>
      <c r="Y47" s="105"/>
      <c r="Z47" s="244"/>
      <c r="AA47" s="245"/>
      <c r="AB47" s="105"/>
      <c r="AC47" s="105"/>
      <c r="AD47" s="105"/>
      <c r="AE47" s="105"/>
      <c r="AF47" s="105"/>
      <c r="AG47" s="247"/>
      <c r="AH47" s="243" t="n">
        <f aca="false">MIN(AH12:AH42)</f>
        <v>27</v>
      </c>
      <c r="AI47" s="248" t="n">
        <f aca="false">MIN(AI12:AI42)</f>
        <v>13</v>
      </c>
      <c r="AJ47" s="243" t="s">
        <v>81</v>
      </c>
      <c r="AK47" s="243"/>
      <c r="AL47" s="265"/>
      <c r="AM47" s="265"/>
      <c r="AN47" s="249"/>
      <c r="AO47" s="355"/>
    </row>
    <row r="48" customFormat="false" ht="12.95" hidden="false" customHeight="true" outlineLevel="0" collapsed="false">
      <c r="A48" s="173" t="s">
        <v>82</v>
      </c>
      <c r="B48" s="241"/>
      <c r="C48" s="105"/>
      <c r="D48" s="105"/>
      <c r="E48" s="105"/>
      <c r="F48" s="242"/>
      <c r="G48" s="105"/>
      <c r="H48" s="362"/>
      <c r="I48" s="105"/>
      <c r="J48" s="105"/>
      <c r="K48" s="105"/>
      <c r="L48" s="105"/>
      <c r="M48" s="244"/>
      <c r="N48" s="105"/>
      <c r="O48" s="105" t="n">
        <f aca="false">O47*D2</f>
        <v>215.348595</v>
      </c>
      <c r="P48" s="105"/>
      <c r="Q48" s="105"/>
      <c r="R48" s="105"/>
      <c r="S48" s="245"/>
      <c r="T48" s="105"/>
      <c r="U48" s="105"/>
      <c r="V48" s="105" t="n">
        <f aca="false">V47*D2</f>
        <v>0</v>
      </c>
      <c r="W48" s="105"/>
      <c r="X48" s="105"/>
      <c r="Y48" s="105"/>
      <c r="Z48" s="244"/>
      <c r="AA48" s="245"/>
      <c r="AB48" s="105"/>
      <c r="AC48" s="105"/>
      <c r="AD48" s="105"/>
      <c r="AE48" s="105"/>
      <c r="AF48" s="105"/>
      <c r="AG48" s="247"/>
      <c r="AH48" s="243"/>
      <c r="AI48" s="248"/>
      <c r="AJ48" s="243"/>
      <c r="AK48" s="243"/>
      <c r="AL48" s="265"/>
      <c r="AM48" s="265"/>
      <c r="AN48" s="249"/>
      <c r="AO48" s="355"/>
    </row>
    <row r="49" customFormat="false" ht="3" hidden="false" customHeight="true" outlineLevel="0" collapsed="false">
      <c r="A49" s="274"/>
      <c r="B49" s="271"/>
      <c r="C49" s="254"/>
      <c r="D49" s="254"/>
      <c r="E49" s="254"/>
      <c r="F49" s="275"/>
      <c r="G49" s="254"/>
      <c r="H49" s="389"/>
      <c r="I49" s="254"/>
      <c r="J49" s="254"/>
      <c r="K49" s="254"/>
      <c r="L49" s="254"/>
      <c r="M49" s="276"/>
      <c r="N49" s="254"/>
      <c r="O49" s="254"/>
      <c r="P49" s="254"/>
      <c r="Q49" s="254"/>
      <c r="R49" s="254"/>
      <c r="S49" s="277"/>
      <c r="T49" s="254"/>
      <c r="U49" s="254"/>
      <c r="V49" s="254"/>
      <c r="W49" s="254"/>
      <c r="X49" s="254"/>
      <c r="Y49" s="254"/>
      <c r="Z49" s="276"/>
      <c r="AA49" s="277"/>
      <c r="AB49" s="254"/>
      <c r="AC49" s="254"/>
      <c r="AD49" s="254"/>
      <c r="AE49" s="254"/>
      <c r="AF49" s="254"/>
      <c r="AG49" s="261"/>
      <c r="AH49" s="279"/>
      <c r="AI49" s="280"/>
      <c r="AJ49" s="262"/>
      <c r="AK49" s="262"/>
      <c r="AL49" s="279"/>
      <c r="AM49" s="279"/>
      <c r="AN49" s="279"/>
      <c r="AO49" s="390"/>
    </row>
    <row r="50" customFormat="false" ht="12.95" hidden="false" customHeight="true" outlineLevel="0" collapsed="false">
      <c r="A50" s="173" t="s">
        <v>83</v>
      </c>
      <c r="B50" s="241"/>
      <c r="C50" s="105"/>
      <c r="D50" s="105"/>
      <c r="E50" s="105"/>
      <c r="F50" s="242" t="n">
        <f aca="false">F10+F44</f>
        <v>-4327.70355432317</v>
      </c>
      <c r="G50" s="105" t="n">
        <f aca="false">G10+G44</f>
        <v>7652</v>
      </c>
      <c r="H50" s="362" t="n">
        <f aca="false">H10+H44</f>
        <v>222.823</v>
      </c>
      <c r="I50" s="105" t="n">
        <f aca="false">I10+I44</f>
        <v>7874.823</v>
      </c>
      <c r="J50" s="105" t="n">
        <f aca="false">J10+J44</f>
        <v>1532.1883841694</v>
      </c>
      <c r="K50" s="105" t="n">
        <f aca="false">K10+K44</f>
        <v>9407.0113841694</v>
      </c>
      <c r="L50" s="105" t="n">
        <f aca="false">L10+L44</f>
        <v>314.483445676834</v>
      </c>
      <c r="M50" s="244" t="n">
        <f aca="false">M10+M44</f>
        <v>1292.6</v>
      </c>
      <c r="N50" s="105" t="n">
        <f aca="false">N10+N44</f>
        <v>0</v>
      </c>
      <c r="O50" s="105" t="n">
        <f aca="false">O10+O44</f>
        <v>108.57</v>
      </c>
      <c r="P50" s="105"/>
      <c r="Q50" s="105" t="n">
        <f aca="false">Q10+Q44</f>
        <v>222.8598</v>
      </c>
      <c r="R50" s="105" t="n">
        <f aca="false">R10+R44</f>
        <v>403.9284</v>
      </c>
      <c r="S50" s="245" t="n">
        <f aca="false">S10+S44</f>
        <v>2.75</v>
      </c>
      <c r="T50" s="105" t="n">
        <f aca="false">T10+T44</f>
        <v>7181.94</v>
      </c>
      <c r="U50" s="105" t="n">
        <f aca="false">U10+U44</f>
        <v>151.47</v>
      </c>
      <c r="V50" s="105" t="n">
        <f aca="false">V10+V44</f>
        <v>7887.9018</v>
      </c>
      <c r="W50" s="105"/>
      <c r="X50" s="105"/>
      <c r="Y50" s="105"/>
      <c r="Z50" s="244"/>
      <c r="AA50" s="245"/>
      <c r="AB50" s="105" t="n">
        <f aca="false">AB10+AB44</f>
        <v>3891</v>
      </c>
      <c r="AC50" s="105" t="n">
        <f aca="false">AC42</f>
        <v>1601</v>
      </c>
      <c r="AD50" s="105" t="n">
        <f aca="false">AD10+AD44</f>
        <v>12517.01</v>
      </c>
      <c r="AE50" s="105" t="n">
        <f aca="false">AE10+AE44</f>
        <v>1217.70493849256</v>
      </c>
      <c r="AF50" s="105" t="n">
        <f aca="false">AF10+AF44</f>
        <v>13734.7149384926</v>
      </c>
      <c r="AG50" s="247" t="n">
        <f aca="false">AG10+AG44</f>
        <v>3.14</v>
      </c>
      <c r="AH50" s="243"/>
      <c r="AI50" s="248"/>
      <c r="AJ50" s="243"/>
      <c r="AK50" s="105" t="n">
        <f aca="false">AK10+AK44</f>
        <v>0</v>
      </c>
      <c r="AL50" s="265"/>
      <c r="AM50" s="265"/>
      <c r="AN50" s="249"/>
      <c r="AO50" s="355"/>
    </row>
    <row r="51" customFormat="false" ht="12.95" hidden="false" customHeight="true" outlineLevel="0" collapsed="false">
      <c r="A51" s="173" t="s">
        <v>84</v>
      </c>
      <c r="B51" s="241"/>
      <c r="C51" s="105"/>
      <c r="D51" s="105" t="n">
        <f aca="false">D10+D45</f>
        <v>-8584</v>
      </c>
      <c r="E51" s="105" t="n">
        <f aca="false">E42</f>
        <v>138790</v>
      </c>
      <c r="F51" s="242" t="n">
        <f aca="false">F50*$D$2</f>
        <v>-8584</v>
      </c>
      <c r="G51" s="105" t="n">
        <f aca="false">G50*$D$2</f>
        <v>15177.742</v>
      </c>
      <c r="H51" s="362" t="n">
        <f aca="false">H50*$D$2</f>
        <v>441.9694205</v>
      </c>
      <c r="I51" s="105" t="n">
        <f aca="false">I50*$D$2</f>
        <v>15619.7114205</v>
      </c>
      <c r="J51" s="105" t="n">
        <f aca="false">J50*$D$2</f>
        <v>3039.09566</v>
      </c>
      <c r="K51" s="105" t="n">
        <f aca="false">K50*$D$2</f>
        <v>18658.8070805</v>
      </c>
      <c r="L51" s="105" t="n">
        <f aca="false">L50*$D$2</f>
        <v>623.7779145</v>
      </c>
      <c r="M51" s="244" t="n">
        <f aca="false">M50*$D$2</f>
        <v>2563.8721</v>
      </c>
      <c r="N51" s="105" t="n">
        <f aca="false">N50*$D$2</f>
        <v>0</v>
      </c>
      <c r="O51" s="105" t="n">
        <f aca="false">O50*$D$2</f>
        <v>215.348595</v>
      </c>
      <c r="P51" s="105"/>
      <c r="Q51" s="105" t="n">
        <f aca="false">Q50*$D$2</f>
        <v>442.0424133</v>
      </c>
      <c r="R51" s="105" t="n">
        <f aca="false">R50*$D$2</f>
        <v>801.1919814</v>
      </c>
      <c r="S51" s="245" t="n">
        <f aca="false">S50*$D$2</f>
        <v>5.454625</v>
      </c>
      <c r="T51" s="105" t="n">
        <f aca="false">T50*$D$2</f>
        <v>14245.37799</v>
      </c>
      <c r="U51" s="105" t="n">
        <f aca="false">U50*$D$2</f>
        <v>300.440745</v>
      </c>
      <c r="V51" s="105" t="n">
        <f aca="false">V50*$D$2</f>
        <v>15645.6532203</v>
      </c>
      <c r="W51" s="105"/>
      <c r="X51" s="105"/>
      <c r="Y51" s="105"/>
      <c r="Z51" s="281"/>
      <c r="AA51" s="251"/>
      <c r="AB51" s="105" t="n">
        <f aca="false">AB50*$D$2</f>
        <v>7717.7985</v>
      </c>
      <c r="AC51" s="105" t="n">
        <f aca="false">AC50*$D$2</f>
        <v>3175.5835</v>
      </c>
      <c r="AD51" s="105" t="n">
        <f aca="false">AD50*$D$2</f>
        <v>24827.489335</v>
      </c>
      <c r="AE51" s="105" t="n">
        <f aca="false">AE50*$D$2</f>
        <v>2415.3177455</v>
      </c>
      <c r="AF51" s="105" t="n">
        <f aca="false">AF50*$D$2</f>
        <v>27242.8070805</v>
      </c>
      <c r="AG51" s="247"/>
      <c r="AH51" s="243"/>
      <c r="AI51" s="248"/>
      <c r="AJ51" s="243" t="n">
        <f aca="false">AJ42</f>
        <v>14045.6062705</v>
      </c>
      <c r="AK51" s="105" t="n">
        <f aca="false">AK50*$D$2</f>
        <v>0</v>
      </c>
      <c r="AL51" s="265"/>
      <c r="AM51" s="265"/>
      <c r="AN51" s="249"/>
      <c r="AO51" s="355"/>
    </row>
    <row r="52" customFormat="false" ht="3" hidden="false" customHeight="true" outlineLevel="0" collapsed="false">
      <c r="A52" s="383"/>
      <c r="B52" s="271"/>
      <c r="C52" s="254"/>
      <c r="D52" s="255"/>
      <c r="E52" s="254"/>
      <c r="F52" s="256"/>
      <c r="G52" s="255"/>
      <c r="H52" s="279"/>
      <c r="I52" s="255"/>
      <c r="J52" s="255"/>
      <c r="K52" s="255"/>
      <c r="L52" s="255"/>
      <c r="M52" s="258"/>
      <c r="N52" s="255"/>
      <c r="O52" s="255"/>
      <c r="P52" s="255"/>
      <c r="Q52" s="255"/>
      <c r="R52" s="255"/>
      <c r="S52" s="259"/>
      <c r="T52" s="255"/>
      <c r="U52" s="255"/>
      <c r="V52" s="255"/>
      <c r="W52" s="254"/>
      <c r="X52" s="254"/>
      <c r="Y52" s="255"/>
      <c r="Z52" s="258"/>
      <c r="AA52" s="259"/>
      <c r="AB52" s="255"/>
      <c r="AC52" s="254"/>
      <c r="AD52" s="255"/>
      <c r="AE52" s="255"/>
      <c r="AF52" s="255"/>
      <c r="AG52" s="271"/>
      <c r="AH52" s="255"/>
      <c r="AI52" s="256"/>
      <c r="AJ52" s="262"/>
      <c r="AK52" s="262"/>
      <c r="AL52" s="255"/>
      <c r="AM52" s="255"/>
      <c r="AN52" s="255"/>
      <c r="AO52" s="391"/>
    </row>
    <row r="53" customFormat="false" ht="11.1" hidden="false" customHeight="true" outlineLevel="0" collapsed="false">
      <c r="A53" s="164"/>
      <c r="B53" s="282"/>
      <c r="C53" s="165"/>
      <c r="D53" s="164"/>
      <c r="E53" s="165"/>
      <c r="F53" s="164"/>
      <c r="G53" s="164"/>
      <c r="H53" s="170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5"/>
      <c r="X53" s="165"/>
      <c r="Y53" s="164"/>
      <c r="Z53" s="164"/>
      <c r="AA53" s="164"/>
      <c r="AB53" s="164"/>
      <c r="AC53" s="165"/>
      <c r="AD53" s="164"/>
      <c r="AE53" s="164"/>
      <c r="AF53" s="164"/>
      <c r="AG53" s="170"/>
      <c r="AH53" s="171"/>
      <c r="AI53" s="171"/>
      <c r="AJ53" s="172"/>
      <c r="AK53" s="172"/>
      <c r="AL53" s="288"/>
      <c r="AM53" s="288"/>
    </row>
    <row r="54" customFormat="false" ht="11.1" hidden="false" customHeight="true" outlineLevel="0" collapsed="false">
      <c r="A54" s="164"/>
      <c r="B54" s="283"/>
      <c r="C54" s="165"/>
      <c r="D54" s="284"/>
      <c r="E54" s="165"/>
      <c r="F54" s="164"/>
      <c r="G54" s="164"/>
      <c r="H54" s="170"/>
      <c r="I54" s="166"/>
      <c r="J54" s="164"/>
      <c r="K54" s="15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5"/>
      <c r="X54" s="165"/>
      <c r="Y54" s="164"/>
      <c r="Z54" s="164"/>
      <c r="AA54" s="164"/>
      <c r="AB54" s="164"/>
      <c r="AC54" s="165"/>
      <c r="AD54" s="164"/>
      <c r="AE54" s="164"/>
      <c r="AF54" s="164"/>
      <c r="AG54" s="170"/>
      <c r="AH54" s="171"/>
      <c r="AI54" s="171"/>
      <c r="AJ54" s="172"/>
      <c r="AK54" s="172"/>
      <c r="AL54" s="288"/>
      <c r="AM54" s="288"/>
    </row>
    <row r="55" customFormat="false" ht="11.1" hidden="false" customHeight="true" outlineLevel="0" collapsed="false">
      <c r="A55" s="284"/>
      <c r="B55" s="284"/>
      <c r="C55" s="165"/>
      <c r="D55" s="165"/>
      <c r="E55" s="165"/>
      <c r="F55" s="284"/>
      <c r="G55" s="284"/>
      <c r="H55" s="170"/>
      <c r="I55" s="284"/>
      <c r="J55" s="284"/>
      <c r="K55" s="284"/>
      <c r="L55" s="284"/>
      <c r="M55" s="168"/>
      <c r="N55" s="168"/>
      <c r="O55" s="168"/>
      <c r="P55" s="168"/>
      <c r="Q55" s="168"/>
      <c r="R55" s="168"/>
      <c r="S55" s="168"/>
      <c r="T55" s="284"/>
      <c r="U55" s="284"/>
      <c r="V55" s="284"/>
      <c r="W55" s="165"/>
      <c r="X55" s="165"/>
      <c r="Y55" s="284"/>
      <c r="Z55" s="284"/>
      <c r="AA55" s="284"/>
      <c r="AB55" s="284"/>
      <c r="AC55" s="165"/>
      <c r="AD55" s="284"/>
      <c r="AE55" s="284"/>
      <c r="AF55" s="284"/>
      <c r="AG55" s="170"/>
      <c r="AH55" s="171"/>
      <c r="AI55" s="171"/>
      <c r="AJ55" s="172"/>
      <c r="AK55" s="172"/>
      <c r="AL55" s="342"/>
      <c r="AM55" s="342"/>
    </row>
    <row r="56" customFormat="false" ht="11.1" hidden="false" customHeight="true" outlineLevel="0" collapsed="false">
      <c r="A56" s="284"/>
      <c r="B56" s="169"/>
      <c r="C56" s="165"/>
      <c r="D56" s="165"/>
      <c r="E56" s="165"/>
      <c r="F56" s="284"/>
      <c r="G56" s="284"/>
      <c r="H56" s="170"/>
      <c r="I56" s="284"/>
      <c r="J56" s="284"/>
      <c r="K56" s="284"/>
      <c r="L56" s="284"/>
      <c r="M56" s="168"/>
      <c r="N56" s="168"/>
      <c r="O56" s="168"/>
      <c r="P56" s="168"/>
      <c r="Q56" s="168"/>
      <c r="R56" s="168"/>
      <c r="S56" s="284"/>
      <c r="T56" s="284"/>
      <c r="U56" s="284"/>
      <c r="V56" s="165"/>
      <c r="W56" s="284"/>
      <c r="X56" s="284"/>
      <c r="Y56" s="284"/>
      <c r="Z56" s="284"/>
      <c r="AA56" s="284"/>
      <c r="AB56" s="165"/>
      <c r="AC56" s="284"/>
      <c r="AD56" s="284"/>
      <c r="AE56" s="284"/>
      <c r="AF56" s="169"/>
      <c r="AG56" s="170"/>
      <c r="AH56" s="171"/>
      <c r="AI56" s="172"/>
      <c r="AJ56" s="345"/>
      <c r="AK56" s="345"/>
      <c r="AL56" s="342"/>
    </row>
    <row r="57" customFormat="false" ht="11.1" hidden="false" customHeight="true" outlineLevel="0" collapsed="false">
      <c r="A57" s="284"/>
      <c r="B57" s="284"/>
      <c r="C57" s="165"/>
      <c r="D57" s="284"/>
      <c r="E57" s="165"/>
      <c r="F57" s="284"/>
      <c r="G57" s="285"/>
      <c r="H57" s="170"/>
      <c r="I57" s="284"/>
      <c r="J57" s="284"/>
      <c r="K57" s="284"/>
      <c r="L57" s="284"/>
      <c r="M57" s="168"/>
      <c r="N57" s="168"/>
      <c r="O57" s="168"/>
      <c r="P57" s="168"/>
      <c r="Q57" s="168"/>
      <c r="R57" s="168"/>
      <c r="S57" s="284"/>
      <c r="T57" s="284"/>
      <c r="U57" s="284"/>
      <c r="V57" s="165"/>
      <c r="W57" s="284"/>
      <c r="X57" s="284"/>
      <c r="Y57" s="284"/>
      <c r="Z57" s="284"/>
      <c r="AA57" s="284"/>
      <c r="AB57" s="165"/>
      <c r="AC57" s="284"/>
      <c r="AD57" s="284"/>
      <c r="AE57" s="284"/>
      <c r="AF57" s="169"/>
      <c r="AG57" s="170"/>
      <c r="AH57" s="171"/>
      <c r="AI57" s="172"/>
      <c r="AJ57" s="345"/>
      <c r="AK57" s="345"/>
      <c r="AL57" s="342"/>
    </row>
  </sheetData>
  <mergeCells count="2">
    <mergeCell ref="K2:X2"/>
    <mergeCell ref="M5:S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10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24" activePane="bottomRight" state="frozen"/>
      <selection pane="topLeft" activeCell="A1" activeCellId="0" sqref="A1"/>
      <selection pane="topRight" activeCell="B1" activeCellId="0" sqref="B1"/>
      <selection pane="bottomLeft" activeCell="A24" activeCellId="0" sqref="A24"/>
      <selection pane="bottomRight" activeCell="G5" activeCellId="0" sqref="G5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4.66"/>
    <col collapsed="false" customWidth="true" hidden="false" outlineLevel="0" max="2" min="2" style="0" width="6.99"/>
    <col collapsed="false" customWidth="true" hidden="false" outlineLevel="0" max="3" min="3" style="1" width="6.32"/>
    <col collapsed="false" customWidth="true" hidden="false" outlineLevel="0" max="4" min="4" style="0" width="6.99"/>
    <col collapsed="false" customWidth="true" hidden="false" outlineLevel="0" max="5" min="5" style="1" width="6.99"/>
    <col collapsed="false" customWidth="true" hidden="false" outlineLevel="0" max="6" min="6" style="0" width="7.32"/>
    <col collapsed="false" customWidth="true" hidden="false" outlineLevel="0" max="7" min="7" style="0" width="6.82"/>
    <col collapsed="false" customWidth="true" hidden="false" outlineLevel="0" max="8" min="8" style="392" width="5.66"/>
    <col collapsed="false" customWidth="true" hidden="false" outlineLevel="0" max="11" min="9" style="0" width="6.32"/>
    <col collapsed="false" customWidth="true" hidden="false" outlineLevel="0" max="12" min="12" style="0" width="7.16"/>
    <col collapsed="false" customWidth="true" hidden="false" outlineLevel="0" max="13" min="13" style="3" width="5.49"/>
    <col collapsed="false" customWidth="true" hidden="false" outlineLevel="0" max="14" min="14" style="3" width="4.49"/>
    <col collapsed="false" customWidth="true" hidden="false" outlineLevel="0" max="15" min="15" style="3" width="5.49"/>
    <col collapsed="false" customWidth="true" hidden="false" outlineLevel="0" max="16" min="16" style="3" width="4.82"/>
    <col collapsed="false" customWidth="true" hidden="false" outlineLevel="0" max="17" min="17" style="3" width="4.32"/>
    <col collapsed="false" customWidth="true" hidden="false" outlineLevel="0" max="18" min="18" style="3" width="4.99"/>
    <col collapsed="false" customWidth="true" hidden="false" outlineLevel="0" max="19" min="19" style="0" width="4.32"/>
    <col collapsed="false" customWidth="true" hidden="false" outlineLevel="0" max="21" min="20" style="0" width="5.49"/>
    <col collapsed="false" customWidth="true" hidden="false" outlineLevel="0" max="22" min="22" style="1" width="6.32"/>
    <col collapsed="false" customWidth="true" hidden="false" outlineLevel="0" max="24" min="23" style="4" width="5.49"/>
    <col collapsed="false" customWidth="true" hidden="false" outlineLevel="0" max="25" min="25" style="3" width="5.49"/>
    <col collapsed="false" customWidth="true" hidden="false" outlineLevel="0" max="28" min="26" style="0" width="5.49"/>
    <col collapsed="false" customWidth="true" hidden="false" outlineLevel="0" max="29" min="29" style="1" width="6.16"/>
    <col collapsed="false" customWidth="true" hidden="false" outlineLevel="0" max="30" min="30" style="0" width="5.49"/>
    <col collapsed="false" customWidth="true" hidden="false" outlineLevel="0" max="31" min="31" style="0" width="6.32"/>
    <col collapsed="false" customWidth="true" hidden="false" outlineLevel="0" max="32" min="32" style="0" width="6.99"/>
    <col collapsed="false" customWidth="true" hidden="false" outlineLevel="0" max="33" min="33" style="393" width="6.99"/>
    <col collapsed="false" customWidth="true" hidden="false" outlineLevel="0" max="34" min="34" style="394" width="5.32"/>
    <col collapsed="false" customWidth="true" hidden="false" outlineLevel="0" max="35" min="35" style="395" width="3.82"/>
    <col collapsed="false" customWidth="true" hidden="false" outlineLevel="0" max="36" min="36" style="396" width="3.82"/>
    <col collapsed="false" customWidth="true" hidden="false" outlineLevel="0" max="37" min="37" style="5" width="5.49"/>
    <col collapsed="false" customWidth="true" hidden="false" outlineLevel="0" max="38" min="38" style="397" width="5.49"/>
    <col collapsed="false" customWidth="true" hidden="false" outlineLevel="0" max="39" min="39" style="4" width="6.32"/>
    <col collapsed="false" customWidth="true" hidden="false" outlineLevel="0" max="40" min="40" style="344" width="6.32"/>
    <col collapsed="false" customWidth="true" hidden="false" outlineLevel="0" max="41" min="41" style="0" width="6.32"/>
    <col collapsed="false" customWidth="true" hidden="false" outlineLevel="0" max="42" min="42" style="0" width="6.49"/>
  </cols>
  <sheetData>
    <row r="1" customFormat="false" ht="14.1" hidden="false" customHeight="true" outlineLevel="0" collapsed="false">
      <c r="A1" s="8"/>
      <c r="B1" s="8"/>
      <c r="C1" s="9"/>
      <c r="D1" s="8"/>
      <c r="E1" s="9"/>
      <c r="F1" s="125"/>
      <c r="G1" s="8"/>
      <c r="H1" s="10"/>
      <c r="I1" s="8"/>
      <c r="J1" s="8"/>
      <c r="K1" s="11" t="s">
        <v>103</v>
      </c>
      <c r="L1" s="8"/>
      <c r="M1" s="8"/>
      <c r="N1" s="8"/>
      <c r="O1" s="8"/>
      <c r="P1" s="8"/>
      <c r="Q1" s="8"/>
      <c r="R1" s="8"/>
      <c r="S1" s="8"/>
      <c r="T1" s="8"/>
      <c r="U1" s="8"/>
      <c r="V1" s="9"/>
      <c r="W1" s="14"/>
      <c r="X1" s="14"/>
      <c r="Y1" s="123"/>
      <c r="Z1" s="8"/>
      <c r="AA1" s="8"/>
      <c r="AB1" s="8"/>
      <c r="AC1" s="9"/>
      <c r="AD1" s="8"/>
      <c r="AE1" s="8"/>
      <c r="AF1" s="8"/>
      <c r="AG1" s="398"/>
      <c r="AH1" s="399"/>
      <c r="AI1" s="121"/>
      <c r="AJ1" s="88"/>
      <c r="AK1" s="15"/>
      <c r="AL1" s="89"/>
      <c r="AM1" s="400"/>
    </row>
    <row r="2" customFormat="false" ht="14.1" hidden="false" customHeight="true" outlineLevel="0" collapsed="false">
      <c r="A2" s="16" t="s">
        <v>1</v>
      </c>
      <c r="B2" s="8"/>
      <c r="C2" s="9"/>
      <c r="D2" s="17" t="n">
        <v>1.9835</v>
      </c>
      <c r="E2" s="9"/>
      <c r="F2" s="125"/>
      <c r="G2" s="8"/>
      <c r="H2" s="10"/>
      <c r="I2" s="8"/>
      <c r="J2" s="8"/>
      <c r="K2" s="401" t="s">
        <v>104</v>
      </c>
      <c r="L2" s="402"/>
      <c r="M2" s="70"/>
      <c r="N2" s="70"/>
      <c r="O2" s="70"/>
      <c r="P2" s="70"/>
      <c r="Q2" s="70"/>
      <c r="R2" s="70"/>
      <c r="S2" s="70"/>
      <c r="T2" s="70"/>
      <c r="U2" s="70"/>
      <c r="V2" s="86"/>
      <c r="W2" s="15"/>
      <c r="X2" s="15"/>
      <c r="Y2" s="89"/>
      <c r="Z2" s="70"/>
      <c r="AA2" s="70"/>
      <c r="AB2" s="70"/>
      <c r="AC2" s="86"/>
      <c r="AD2" s="8"/>
      <c r="AE2" s="8"/>
      <c r="AF2" s="8"/>
      <c r="AG2" s="398"/>
      <c r="AH2" s="399"/>
      <c r="AI2" s="121"/>
      <c r="AJ2" s="88"/>
      <c r="AK2" s="15"/>
      <c r="AL2" s="89"/>
      <c r="AM2" s="400"/>
    </row>
    <row r="3" customFormat="false" ht="14.1" hidden="false" customHeight="true" outlineLevel="0" collapsed="false">
      <c r="A3" s="8"/>
      <c r="B3" s="8"/>
      <c r="C3" s="9"/>
      <c r="D3" s="17"/>
      <c r="E3" s="9"/>
      <c r="F3" s="125"/>
      <c r="G3" s="8"/>
      <c r="H3" s="403"/>
      <c r="I3" s="8"/>
      <c r="J3" s="8"/>
      <c r="K3" s="404"/>
      <c r="L3" s="402"/>
      <c r="M3" s="70"/>
      <c r="N3" s="70"/>
      <c r="O3" s="70"/>
      <c r="P3" s="70"/>
      <c r="Q3" s="70"/>
      <c r="R3" s="70"/>
      <c r="S3" s="70"/>
      <c r="T3" s="70"/>
      <c r="U3" s="70"/>
      <c r="V3" s="405"/>
      <c r="W3" s="15"/>
      <c r="X3" s="15"/>
      <c r="Y3" s="89"/>
      <c r="Z3" s="70"/>
      <c r="AA3" s="70"/>
      <c r="AB3" s="70"/>
      <c r="AC3" s="86"/>
      <c r="AD3" s="8"/>
      <c r="AE3" s="8"/>
      <c r="AF3" s="8"/>
      <c r="AG3" s="398"/>
      <c r="AH3" s="399"/>
      <c r="AI3" s="121"/>
      <c r="AJ3" s="88"/>
      <c r="AK3" s="15"/>
      <c r="AL3" s="406"/>
      <c r="AM3" s="407"/>
      <c r="AN3" s="408"/>
    </row>
    <row r="4" s="7" customFormat="true" ht="14.1" hidden="false" customHeight="true" outlineLevel="0" collapsed="false">
      <c r="A4" s="34"/>
      <c r="B4" s="31"/>
      <c r="C4" s="32"/>
      <c r="D4" s="409" t="s">
        <v>3</v>
      </c>
      <c r="E4" s="32"/>
      <c r="F4" s="34"/>
      <c r="G4" s="410"/>
      <c r="H4" s="411"/>
      <c r="I4" s="410"/>
      <c r="J4" s="410"/>
      <c r="K4" s="410"/>
      <c r="L4" s="410"/>
      <c r="M4" s="410"/>
      <c r="N4" s="410"/>
      <c r="O4" s="410"/>
      <c r="P4" s="410"/>
      <c r="Q4" s="410"/>
      <c r="R4" s="410"/>
      <c r="S4" s="410"/>
      <c r="T4" s="410"/>
      <c r="U4" s="410"/>
      <c r="V4" s="412" t="s">
        <v>4</v>
      </c>
      <c r="W4" s="413"/>
      <c r="X4" s="413"/>
      <c r="Y4" s="414"/>
      <c r="Z4" s="410"/>
      <c r="AA4" s="410"/>
      <c r="AB4" s="410"/>
      <c r="AC4" s="32"/>
      <c r="AD4" s="410"/>
      <c r="AE4" s="410"/>
      <c r="AF4" s="410"/>
      <c r="AG4" s="415"/>
      <c r="AH4" s="39"/>
      <c r="AI4" s="40" t="s">
        <v>5</v>
      </c>
      <c r="AJ4" s="41"/>
      <c r="AK4" s="416"/>
      <c r="AL4" s="417"/>
      <c r="AM4" s="418" t="s">
        <v>6</v>
      </c>
      <c r="AN4" s="419"/>
      <c r="AO4" s="44"/>
      <c r="AP4" s="44"/>
    </row>
    <row r="5" customFormat="false" ht="12.95" hidden="false" customHeight="true" outlineLevel="0" collapsed="false">
      <c r="A5" s="420" t="s">
        <v>7</v>
      </c>
      <c r="B5" s="421" t="s">
        <v>8</v>
      </c>
      <c r="C5" s="74" t="s">
        <v>8</v>
      </c>
      <c r="D5" s="78" t="s">
        <v>9</v>
      </c>
      <c r="E5" s="74" t="s">
        <v>10</v>
      </c>
      <c r="F5" s="422" t="s">
        <v>11</v>
      </c>
      <c r="G5" s="423" t="s">
        <v>12</v>
      </c>
      <c r="H5" s="424" t="s">
        <v>13</v>
      </c>
      <c r="I5" s="423" t="s">
        <v>14</v>
      </c>
      <c r="J5" s="423" t="s">
        <v>15</v>
      </c>
      <c r="K5" s="423" t="s">
        <v>16</v>
      </c>
      <c r="L5" s="420" t="s">
        <v>15</v>
      </c>
      <c r="M5" s="51" t="s">
        <v>17</v>
      </c>
      <c r="N5" s="51"/>
      <c r="O5" s="51"/>
      <c r="P5" s="51"/>
      <c r="Q5" s="51"/>
      <c r="R5" s="51"/>
      <c r="S5" s="51"/>
      <c r="T5" s="420" t="s">
        <v>18</v>
      </c>
      <c r="U5" s="420" t="s">
        <v>19</v>
      </c>
      <c r="V5" s="420" t="s">
        <v>16</v>
      </c>
      <c r="W5" s="68" t="s">
        <v>20</v>
      </c>
      <c r="X5" s="68" t="s">
        <v>92</v>
      </c>
      <c r="Y5" s="67" t="s">
        <v>20</v>
      </c>
      <c r="Z5" s="420" t="s">
        <v>21</v>
      </c>
      <c r="AA5" s="53" t="s">
        <v>22</v>
      </c>
      <c r="AB5" s="54"/>
      <c r="AC5" s="420" t="s">
        <v>23</v>
      </c>
      <c r="AD5" s="79" t="s">
        <v>24</v>
      </c>
      <c r="AE5" s="420" t="s">
        <v>14</v>
      </c>
      <c r="AF5" s="420" t="s">
        <v>15</v>
      </c>
      <c r="AG5" s="78" t="s">
        <v>16</v>
      </c>
      <c r="AH5" s="425" t="s">
        <v>25</v>
      </c>
      <c r="AI5" s="83" t="s">
        <v>26</v>
      </c>
      <c r="AJ5" s="426" t="s">
        <v>27</v>
      </c>
      <c r="AK5" s="68" t="s">
        <v>87</v>
      </c>
      <c r="AL5" s="67" t="s">
        <v>20</v>
      </c>
      <c r="AM5" s="68" t="s">
        <v>88</v>
      </c>
      <c r="AN5" s="427" t="s">
        <v>88</v>
      </c>
      <c r="AO5" s="61" t="s">
        <v>29</v>
      </c>
      <c r="AP5" s="428" t="s">
        <v>30</v>
      </c>
    </row>
    <row r="6" customFormat="false" ht="12.95" hidden="false" customHeight="true" outlineLevel="0" collapsed="false">
      <c r="A6" s="429" t="s">
        <v>105</v>
      </c>
      <c r="B6" s="421" t="s">
        <v>32</v>
      </c>
      <c r="C6" s="74" t="s">
        <v>9</v>
      </c>
      <c r="D6" s="78" t="s">
        <v>33</v>
      </c>
      <c r="E6" s="74" t="s">
        <v>34</v>
      </c>
      <c r="F6" s="422" t="s">
        <v>35</v>
      </c>
      <c r="G6" s="423" t="s">
        <v>36</v>
      </c>
      <c r="H6" s="424" t="s">
        <v>37</v>
      </c>
      <c r="I6" s="423" t="s">
        <v>38</v>
      </c>
      <c r="J6" s="423" t="s">
        <v>38</v>
      </c>
      <c r="K6" s="423" t="s">
        <v>38</v>
      </c>
      <c r="L6" s="420" t="s">
        <v>39</v>
      </c>
      <c r="M6" s="430" t="s">
        <v>40</v>
      </c>
      <c r="N6" s="78" t="s">
        <v>41</v>
      </c>
      <c r="O6" s="78" t="s">
        <v>42</v>
      </c>
      <c r="P6" s="78" t="s">
        <v>43</v>
      </c>
      <c r="Q6" s="78" t="s">
        <v>44</v>
      </c>
      <c r="R6" s="78" t="s">
        <v>45</v>
      </c>
      <c r="S6" s="64" t="s">
        <v>46</v>
      </c>
      <c r="T6" s="420" t="s">
        <v>47</v>
      </c>
      <c r="U6" s="420" t="s">
        <v>48</v>
      </c>
      <c r="V6" s="420" t="s">
        <v>20</v>
      </c>
      <c r="W6" s="68" t="s">
        <v>58</v>
      </c>
      <c r="X6" s="68" t="s">
        <v>72</v>
      </c>
      <c r="Y6" s="67" t="s">
        <v>106</v>
      </c>
      <c r="Z6" s="420" t="s">
        <v>51</v>
      </c>
      <c r="AA6" s="63" t="s">
        <v>52</v>
      </c>
      <c r="AB6" s="65" t="s">
        <v>53</v>
      </c>
      <c r="AC6" s="420" t="s">
        <v>54</v>
      </c>
      <c r="AD6" s="79" t="s">
        <v>55</v>
      </c>
      <c r="AE6" s="420" t="s">
        <v>56</v>
      </c>
      <c r="AF6" s="420" t="s">
        <v>56</v>
      </c>
      <c r="AG6" s="78" t="s">
        <v>56</v>
      </c>
      <c r="AH6" s="431"/>
      <c r="AI6" s="83" t="s">
        <v>57</v>
      </c>
      <c r="AJ6" s="426" t="s">
        <v>57</v>
      </c>
      <c r="AK6" s="68" t="s">
        <v>58</v>
      </c>
      <c r="AL6" s="67" t="s">
        <v>59</v>
      </c>
      <c r="AM6" s="68" t="s">
        <v>60</v>
      </c>
      <c r="AN6" s="427" t="s">
        <v>60</v>
      </c>
      <c r="AO6" s="61" t="s">
        <v>61</v>
      </c>
      <c r="AP6" s="428" t="s">
        <v>62</v>
      </c>
    </row>
    <row r="7" customFormat="false" ht="12.95" hidden="false" customHeight="true" outlineLevel="0" collapsed="false">
      <c r="A7" s="420"/>
      <c r="B7" s="421"/>
      <c r="C7" s="74"/>
      <c r="D7" s="78"/>
      <c r="E7" s="74" t="s">
        <v>63</v>
      </c>
      <c r="F7" s="422"/>
      <c r="G7" s="420"/>
      <c r="H7" s="432"/>
      <c r="I7" s="420"/>
      <c r="J7" s="420"/>
      <c r="K7" s="420"/>
      <c r="L7" s="420"/>
      <c r="M7" s="430"/>
      <c r="N7" s="78" t="s">
        <v>64</v>
      </c>
      <c r="O7" s="78" t="s">
        <v>65</v>
      </c>
      <c r="P7" s="78"/>
      <c r="Q7" s="78"/>
      <c r="R7" s="78"/>
      <c r="S7" s="64" t="s">
        <v>42</v>
      </c>
      <c r="T7" s="420"/>
      <c r="U7" s="420"/>
      <c r="V7" s="420"/>
      <c r="W7" s="68"/>
      <c r="X7" s="68"/>
      <c r="Y7" s="67"/>
      <c r="Z7" s="420"/>
      <c r="AA7" s="77"/>
      <c r="AB7" s="80"/>
      <c r="AC7" s="420"/>
      <c r="AD7" s="79"/>
      <c r="AE7" s="420"/>
      <c r="AF7" s="420"/>
      <c r="AG7" s="78"/>
      <c r="AH7" s="431"/>
      <c r="AI7" s="83"/>
      <c r="AJ7" s="426"/>
      <c r="AK7" s="68" t="s">
        <v>63</v>
      </c>
      <c r="AL7" s="67" t="s">
        <v>35</v>
      </c>
      <c r="AM7" s="68" t="s">
        <v>107</v>
      </c>
      <c r="AN7" s="427" t="s">
        <v>93</v>
      </c>
      <c r="AO7" s="61" t="s">
        <v>70</v>
      </c>
      <c r="AP7" s="428" t="s">
        <v>71</v>
      </c>
    </row>
    <row r="8" customFormat="false" ht="12.95" hidden="false" customHeight="true" outlineLevel="0" collapsed="false">
      <c r="A8" s="420"/>
      <c r="B8" s="421"/>
      <c r="C8" s="74"/>
      <c r="D8" s="78"/>
      <c r="E8" s="74"/>
      <c r="F8" s="422"/>
      <c r="G8" s="420"/>
      <c r="H8" s="432"/>
      <c r="I8" s="420"/>
      <c r="J8" s="420"/>
      <c r="K8" s="420"/>
      <c r="L8" s="420"/>
      <c r="M8" s="430"/>
      <c r="N8" s="433" t="n">
        <v>1.03</v>
      </c>
      <c r="O8" s="433" t="n">
        <v>1.05</v>
      </c>
      <c r="P8" s="433" t="n">
        <v>1.02</v>
      </c>
      <c r="Q8" s="434" t="n">
        <v>1.02</v>
      </c>
      <c r="R8" s="433" t="n">
        <v>1.04</v>
      </c>
      <c r="S8" s="64" t="s">
        <v>53</v>
      </c>
      <c r="T8" s="420"/>
      <c r="U8" s="420"/>
      <c r="V8" s="420"/>
      <c r="W8" s="68"/>
      <c r="X8" s="68"/>
      <c r="Y8" s="68"/>
      <c r="Z8" s="79"/>
      <c r="AA8" s="77" t="n">
        <v>1.7</v>
      </c>
      <c r="AB8" s="80" t="n">
        <v>1.3</v>
      </c>
      <c r="AC8" s="420"/>
      <c r="AD8" s="96" t="n">
        <v>31798</v>
      </c>
      <c r="AE8" s="420"/>
      <c r="AF8" s="420"/>
      <c r="AG8" s="78"/>
      <c r="AH8" s="431"/>
      <c r="AI8" s="83"/>
      <c r="AJ8" s="426"/>
      <c r="AK8" s="68"/>
      <c r="AL8" s="67"/>
      <c r="AM8" s="68"/>
      <c r="AN8" s="427" t="s">
        <v>67</v>
      </c>
      <c r="AO8" s="435"/>
    </row>
    <row r="9" customFormat="false" ht="12.95" hidden="false" customHeight="true" outlineLevel="0" collapsed="false">
      <c r="A9" s="16" t="s">
        <v>74</v>
      </c>
      <c r="B9" s="436"/>
      <c r="C9" s="94"/>
      <c r="D9" s="94"/>
      <c r="E9" s="94"/>
      <c r="F9" s="136"/>
      <c r="G9" s="96"/>
      <c r="H9" s="437"/>
      <c r="I9" s="96"/>
      <c r="J9" s="96"/>
      <c r="K9" s="96"/>
      <c r="L9" s="96"/>
      <c r="M9" s="97"/>
      <c r="N9" s="94"/>
      <c r="O9" s="94" t="n">
        <f aca="false">MAR!O47</f>
        <v>108.57</v>
      </c>
      <c r="P9" s="94"/>
      <c r="Q9" s="94"/>
      <c r="R9" s="94"/>
      <c r="S9" s="95"/>
      <c r="T9" s="96"/>
      <c r="U9" s="96"/>
      <c r="V9" s="96" t="n">
        <f aca="false">MAR!V47</f>
        <v>0</v>
      </c>
      <c r="W9" s="437"/>
      <c r="X9" s="437"/>
      <c r="Y9" s="101"/>
      <c r="Z9" s="96"/>
      <c r="AA9" s="97"/>
      <c r="AB9" s="95"/>
      <c r="AC9" s="96"/>
      <c r="AD9" s="96"/>
      <c r="AE9" s="96"/>
      <c r="AF9" s="96"/>
      <c r="AG9" s="94"/>
      <c r="AH9" s="98"/>
      <c r="AI9" s="99"/>
      <c r="AJ9" s="100"/>
      <c r="AK9" s="437"/>
      <c r="AL9" s="101"/>
      <c r="AM9" s="437"/>
      <c r="AN9" s="438"/>
      <c r="AO9" s="102"/>
    </row>
    <row r="10" s="1" customFormat="true" ht="12.95" hidden="false" customHeight="true" outlineLevel="0" collapsed="false">
      <c r="A10" s="103" t="s">
        <v>75</v>
      </c>
      <c r="B10" s="439" t="n">
        <f aca="false">MAR!B42</f>
        <v>6901.94</v>
      </c>
      <c r="C10" s="94" t="n">
        <f aca="false">MAR!C42</f>
        <v>290790</v>
      </c>
      <c r="D10" s="94" t="n">
        <f aca="false">MAR!D51</f>
        <v>-8584</v>
      </c>
      <c r="E10" s="94" t="n">
        <f aca="false">MAR!E51</f>
        <v>138790</v>
      </c>
      <c r="F10" s="136" t="n">
        <f aca="false">MAR!F50</f>
        <v>-4327.70355432317</v>
      </c>
      <c r="G10" s="96" t="n">
        <f aca="false">MAR!G50</f>
        <v>7652</v>
      </c>
      <c r="H10" s="437" t="n">
        <f aca="false">MAR!H50</f>
        <v>222.823</v>
      </c>
      <c r="I10" s="96" t="n">
        <f aca="false">MAR!I50</f>
        <v>7874.823</v>
      </c>
      <c r="J10" s="96" t="n">
        <f aca="false">MAR!J50</f>
        <v>1532.1883841694</v>
      </c>
      <c r="K10" s="96" t="n">
        <f aca="false">MAR!K50</f>
        <v>9407.0113841694</v>
      </c>
      <c r="L10" s="96" t="n">
        <f aca="false">MAR!L50</f>
        <v>314.483445676834</v>
      </c>
      <c r="M10" s="97" t="n">
        <f aca="false">MAR!M50</f>
        <v>1292.6</v>
      </c>
      <c r="N10" s="94" t="n">
        <f aca="false">MAR!N50</f>
        <v>0</v>
      </c>
      <c r="O10" s="94" t="n">
        <f aca="false">MAR!O50</f>
        <v>108.57</v>
      </c>
      <c r="P10" s="94"/>
      <c r="Q10" s="94" t="n">
        <f aca="false">MAR!Q50</f>
        <v>222.8598</v>
      </c>
      <c r="R10" s="94" t="n">
        <f aca="false">MAR!R50</f>
        <v>403.9284</v>
      </c>
      <c r="S10" s="95" t="n">
        <f aca="false">MAR!S50</f>
        <v>2.75</v>
      </c>
      <c r="T10" s="96" t="n">
        <f aca="false">MAR!T50</f>
        <v>7181.94</v>
      </c>
      <c r="U10" s="96" t="n">
        <f aca="false">MAR!U50</f>
        <v>151.47</v>
      </c>
      <c r="V10" s="96" t="n">
        <f aca="false">MAR!V50</f>
        <v>7887.9018</v>
      </c>
      <c r="W10" s="437"/>
      <c r="X10" s="437"/>
      <c r="Y10" s="101"/>
      <c r="Z10" s="96" t="n">
        <f aca="false">MAR!Y50</f>
        <v>0</v>
      </c>
      <c r="AA10" s="97"/>
      <c r="AB10" s="95"/>
      <c r="AC10" s="96" t="n">
        <f aca="false">MAR!AB50</f>
        <v>3891</v>
      </c>
      <c r="AD10" s="96" t="n">
        <f aca="false">AD8/D2</f>
        <v>16031.2578774893</v>
      </c>
      <c r="AE10" s="96" t="n">
        <f aca="false">MAR!AD50</f>
        <v>12517.01</v>
      </c>
      <c r="AF10" s="96" t="n">
        <f aca="false">MAR!AE50</f>
        <v>1217.70493849256</v>
      </c>
      <c r="AG10" s="94" t="n">
        <f aca="false">MAR!AF50</f>
        <v>13734.7149384926</v>
      </c>
      <c r="AH10" s="98" t="n">
        <f aca="false">MAR!AG50</f>
        <v>3.14</v>
      </c>
      <c r="AI10" s="99"/>
      <c r="AJ10" s="100"/>
      <c r="AK10" s="437" t="n">
        <f aca="false">MAR!AJ51</f>
        <v>14045.6062705</v>
      </c>
      <c r="AL10" s="101" t="n">
        <f aca="false">MAR!AK50</f>
        <v>0</v>
      </c>
      <c r="AM10" s="437"/>
      <c r="AN10" s="438"/>
      <c r="AO10" s="96"/>
    </row>
    <row r="11" customFormat="false" ht="3" hidden="false" customHeight="true" outlineLevel="0" collapsed="false">
      <c r="A11" s="106"/>
      <c r="B11" s="440"/>
      <c r="C11" s="114"/>
      <c r="D11" s="112"/>
      <c r="E11" s="114"/>
      <c r="F11" s="441"/>
      <c r="G11" s="112"/>
      <c r="H11" s="442"/>
      <c r="I11" s="112"/>
      <c r="J11" s="112"/>
      <c r="K11" s="112"/>
      <c r="L11" s="112"/>
      <c r="M11" s="115"/>
      <c r="N11" s="112"/>
      <c r="O11" s="112"/>
      <c r="P11" s="112"/>
      <c r="Q11" s="112"/>
      <c r="R11" s="112"/>
      <c r="S11" s="113"/>
      <c r="T11" s="112"/>
      <c r="U11" s="112"/>
      <c r="V11" s="112"/>
      <c r="W11" s="117"/>
      <c r="X11" s="117"/>
      <c r="Y11" s="119"/>
      <c r="Z11" s="112"/>
      <c r="AA11" s="115"/>
      <c r="AB11" s="113"/>
      <c r="AC11" s="112"/>
      <c r="AD11" s="114"/>
      <c r="AE11" s="112"/>
      <c r="AF11" s="112"/>
      <c r="AG11" s="112"/>
      <c r="AH11" s="116"/>
      <c r="AI11" s="117"/>
      <c r="AJ11" s="118"/>
      <c r="AK11" s="117"/>
      <c r="AL11" s="119"/>
      <c r="AM11" s="117"/>
      <c r="AN11" s="443"/>
      <c r="AO11" s="443"/>
      <c r="AP11" s="443"/>
    </row>
    <row r="12" customFormat="false" ht="12.95" hidden="false" customHeight="true" outlineLevel="0" collapsed="false">
      <c r="A12" s="15" t="n">
        <v>1</v>
      </c>
      <c r="B12" s="439" t="n">
        <v>6902.02</v>
      </c>
      <c r="C12" s="94" t="n">
        <v>291090</v>
      </c>
      <c r="D12" s="99" t="n">
        <f aca="false">C12-C10</f>
        <v>300</v>
      </c>
      <c r="E12" s="94" t="n">
        <f aca="false">C12-152000</f>
        <v>139090</v>
      </c>
      <c r="F12" s="444" t="n">
        <f aca="false">D12/$D$2</f>
        <v>151.247794303</v>
      </c>
      <c r="G12" s="128" t="n">
        <v>139</v>
      </c>
      <c r="H12" s="445" t="n">
        <v>6.9</v>
      </c>
      <c r="I12" s="128" t="n">
        <f aca="false">G12+H12</f>
        <v>145.9</v>
      </c>
      <c r="J12" s="446" t="n">
        <f aca="false">IF(L12&gt;0,L12,0)</f>
        <v>67.3477943029998</v>
      </c>
      <c r="K12" s="128" t="n">
        <f aca="false">I12+J12</f>
        <v>213.247794303</v>
      </c>
      <c r="L12" s="128" t="n">
        <f aca="false">F12-(I12-AE12)</f>
        <v>67.3477943029998</v>
      </c>
      <c r="M12" s="129" t="n">
        <v>22</v>
      </c>
      <c r="N12" s="126" t="n">
        <f aca="false">1.8299*1.03</f>
        <v>1.884797</v>
      </c>
      <c r="O12" s="447" t="n">
        <f aca="false">(8.47+13.39)*1.05</f>
        <v>22.953</v>
      </c>
      <c r="P12" s="447"/>
      <c r="Q12" s="386" t="n">
        <f aca="false">1.67*1.02</f>
        <v>1.7034</v>
      </c>
      <c r="R12" s="386" t="n">
        <f aca="false">2.43*1.04</f>
        <v>2.5272</v>
      </c>
      <c r="S12" s="268" t="n">
        <v>0</v>
      </c>
      <c r="T12" s="128" t="n">
        <v>0</v>
      </c>
      <c r="U12" s="128" t="n">
        <v>0</v>
      </c>
      <c r="V12" s="265" t="n">
        <f aca="false">M12-N12-O12-Q12-R12-S12+T12+U12</f>
        <v>-7.068397</v>
      </c>
      <c r="W12" s="105" t="n">
        <f aca="false">W9+AM12-(AN12/1.9835)</f>
        <v>146.639040091879</v>
      </c>
      <c r="X12" s="437" t="n">
        <v>1714.14</v>
      </c>
      <c r="Y12" s="101"/>
      <c r="Z12" s="128" t="n">
        <v>0</v>
      </c>
      <c r="AA12" s="129" t="n">
        <v>1.7</v>
      </c>
      <c r="AB12" s="130" t="n">
        <v>1.3</v>
      </c>
      <c r="AC12" s="448" t="n">
        <v>40</v>
      </c>
      <c r="AD12" s="449" t="n">
        <f aca="false">AD10-AC12</f>
        <v>15991.2578774893</v>
      </c>
      <c r="AE12" s="128" t="n">
        <f aca="false">N12+O12+Q12+R12+S12+V12+Z12+AC12</f>
        <v>62</v>
      </c>
      <c r="AF12" s="128" t="n">
        <f aca="false">IF(L12&lt;0,L12*-1,0)</f>
        <v>0</v>
      </c>
      <c r="AG12" s="447" t="n">
        <f aca="false">AE12+AF12</f>
        <v>62</v>
      </c>
      <c r="AH12" s="98" t="n">
        <v>0.41</v>
      </c>
      <c r="AI12" s="99" t="n">
        <v>44</v>
      </c>
      <c r="AJ12" s="100" t="n">
        <v>32</v>
      </c>
      <c r="AK12" s="243" t="n">
        <f aca="false">AK10</f>
        <v>14045.6062705</v>
      </c>
      <c r="AL12" s="101"/>
      <c r="AM12" s="437" t="n">
        <f aca="false">I12-Q12-R12-V12-AA12</f>
        <v>147.037797</v>
      </c>
      <c r="AN12" s="438" t="n">
        <f aca="false">29.8*(AM12*1.9835+X12*1.9835)/E12</f>
        <v>0.790934327258718</v>
      </c>
      <c r="AO12" s="102"/>
      <c r="AP12" s="8"/>
    </row>
    <row r="13" customFormat="false" ht="12.95" hidden="false" customHeight="true" outlineLevel="0" collapsed="false">
      <c r="A13" s="15" t="n">
        <f aca="false">A12+1</f>
        <v>2</v>
      </c>
      <c r="B13" s="439" t="n">
        <v>6902.09</v>
      </c>
      <c r="C13" s="94" t="n">
        <v>291353</v>
      </c>
      <c r="D13" s="99" t="n">
        <f aca="false">C13-C12</f>
        <v>263</v>
      </c>
      <c r="E13" s="94" t="n">
        <f aca="false">C13-152000</f>
        <v>139353</v>
      </c>
      <c r="F13" s="444" t="n">
        <f aca="false">D13/$D$2</f>
        <v>132.593899672296</v>
      </c>
      <c r="G13" s="128" t="n">
        <v>125</v>
      </c>
      <c r="H13" s="445" t="n">
        <v>6.8</v>
      </c>
      <c r="I13" s="128" t="n">
        <f aca="false">G13+H13</f>
        <v>131.8</v>
      </c>
      <c r="J13" s="446" t="n">
        <f aca="false">IF(L13&gt;0,L13,0)</f>
        <v>69.4938996722964</v>
      </c>
      <c r="K13" s="128" t="n">
        <f aca="false">I13+J13</f>
        <v>201.293899672296</v>
      </c>
      <c r="L13" s="128" t="n">
        <f aca="false">F13-(I13-AE13)</f>
        <v>69.4938996722964</v>
      </c>
      <c r="M13" s="129" t="n">
        <v>23</v>
      </c>
      <c r="N13" s="126" t="n">
        <f aca="false">1.8299*1.03</f>
        <v>1.884797</v>
      </c>
      <c r="O13" s="447" t="n">
        <f aca="false">(8.45+13.32)*1.05</f>
        <v>22.8585</v>
      </c>
      <c r="P13" s="447"/>
      <c r="Q13" s="386" t="n">
        <f aca="false">1.67*1.02</f>
        <v>1.7034</v>
      </c>
      <c r="R13" s="386" t="n">
        <f aca="false">2.2*1.04</f>
        <v>2.288</v>
      </c>
      <c r="S13" s="268" t="n">
        <v>0</v>
      </c>
      <c r="T13" s="128" t="n">
        <v>0</v>
      </c>
      <c r="U13" s="128" t="n">
        <v>3.7</v>
      </c>
      <c r="V13" s="265" t="n">
        <f aca="false">M13-N13-O13-Q13-R13-S13+T13+U13</f>
        <v>-2.034697</v>
      </c>
      <c r="W13" s="105" t="n">
        <f aca="false">W12+AM13-(AN13/1.9835)</f>
        <v>274.357015170963</v>
      </c>
      <c r="X13" s="437" t="n">
        <f aca="false">X12</f>
        <v>1714.14</v>
      </c>
      <c r="Y13" s="101"/>
      <c r="Z13" s="128" t="n">
        <v>0</v>
      </c>
      <c r="AA13" s="129" t="n">
        <v>1.7</v>
      </c>
      <c r="AB13" s="130" t="n">
        <v>1.3</v>
      </c>
      <c r="AC13" s="448" t="n">
        <v>42</v>
      </c>
      <c r="AD13" s="449" t="n">
        <f aca="false">AD12-AC13</f>
        <v>15949.2578774893</v>
      </c>
      <c r="AE13" s="128" t="n">
        <f aca="false">N13+O13+Q13+R13+S13+V13+Z13+AC13</f>
        <v>68.7</v>
      </c>
      <c r="AF13" s="128" t="n">
        <f aca="false">IF(L13&lt;0,L13*-1,0)</f>
        <v>0</v>
      </c>
      <c r="AG13" s="447" t="n">
        <f aca="false">AE13+AF13</f>
        <v>68.7</v>
      </c>
      <c r="AH13" s="98" t="n">
        <v>0</v>
      </c>
      <c r="AI13" s="99" t="n">
        <v>55</v>
      </c>
      <c r="AJ13" s="100" t="n">
        <v>28</v>
      </c>
      <c r="AK13" s="243" t="n">
        <f aca="false">AK12</f>
        <v>14045.6062705</v>
      </c>
      <c r="AL13" s="101" t="n">
        <f aca="false">V13</f>
        <v>-2.034697</v>
      </c>
      <c r="AM13" s="437" t="n">
        <f aca="false">I13-Q13-R13-V13-AA13</f>
        <v>128.143297</v>
      </c>
      <c r="AN13" s="438" t="n">
        <f aca="false">29.8*(W12*1.9835+AM13*1.9835+X12*1.9835)/E13</f>
        <v>0.843626030135899</v>
      </c>
      <c r="AO13" s="102"/>
      <c r="AP13" s="8"/>
    </row>
    <row r="14" customFormat="false" ht="12.95" hidden="false" customHeight="true" outlineLevel="0" collapsed="false">
      <c r="A14" s="15" t="n">
        <f aca="false">A13+1</f>
        <v>3</v>
      </c>
      <c r="B14" s="439" t="n">
        <v>6902.12</v>
      </c>
      <c r="C14" s="94" t="n">
        <v>291466</v>
      </c>
      <c r="D14" s="99" t="n">
        <f aca="false">C14-C13</f>
        <v>113</v>
      </c>
      <c r="E14" s="94" t="n">
        <f aca="false">C14-152000</f>
        <v>139466</v>
      </c>
      <c r="F14" s="444" t="n">
        <f aca="false">D14/$D$2</f>
        <v>56.9700025207966</v>
      </c>
      <c r="G14" s="128" t="n">
        <v>131</v>
      </c>
      <c r="H14" s="445" t="n">
        <v>7</v>
      </c>
      <c r="I14" s="128" t="n">
        <f aca="false">G14+H14</f>
        <v>138</v>
      </c>
      <c r="J14" s="446" t="n">
        <f aca="false">IF(L14&gt;0,L14,0)</f>
        <v>62.3700025207966</v>
      </c>
      <c r="K14" s="128" t="n">
        <f aca="false">I14+J14</f>
        <v>200.370002520797</v>
      </c>
      <c r="L14" s="128" t="n">
        <f aca="false">F14-(I14-AE14)</f>
        <v>62.3700025207966</v>
      </c>
      <c r="M14" s="129" t="n">
        <v>93</v>
      </c>
      <c r="N14" s="126" t="n">
        <f aca="false">1.8299*1.03</f>
        <v>1.884797</v>
      </c>
      <c r="O14" s="447" t="n">
        <f aca="false">(17.23+19.69)*1.05</f>
        <v>38.766</v>
      </c>
      <c r="P14" s="447"/>
      <c r="Q14" s="386" t="n">
        <f aca="false">1.67*1.02</f>
        <v>1.7034</v>
      </c>
      <c r="R14" s="386" t="n">
        <f aca="false">3.75*1.04</f>
        <v>3.9</v>
      </c>
      <c r="S14" s="268" t="n">
        <v>0</v>
      </c>
      <c r="T14" s="128" t="n">
        <v>0</v>
      </c>
      <c r="U14" s="128" t="n">
        <v>5.4</v>
      </c>
      <c r="V14" s="265" t="n">
        <f aca="false">M14-N14-O14-Q14-R14-S14+T14+U14</f>
        <v>52.145803</v>
      </c>
      <c r="W14" s="105" t="n">
        <f aca="false">W13+AM14-(AN14/1.9835)</f>
        <v>352.466141621849</v>
      </c>
      <c r="X14" s="437" t="n">
        <f aca="false">X13</f>
        <v>1714.14</v>
      </c>
      <c r="Y14" s="101"/>
      <c r="Z14" s="128" t="n">
        <v>0</v>
      </c>
      <c r="AA14" s="129" t="n">
        <v>1.7</v>
      </c>
      <c r="AB14" s="130" t="n">
        <v>1.3</v>
      </c>
      <c r="AC14" s="448" t="n">
        <v>45</v>
      </c>
      <c r="AD14" s="449" t="n">
        <f aca="false">AD13-AC14</f>
        <v>15904.2578774893</v>
      </c>
      <c r="AE14" s="128" t="n">
        <f aca="false">N14+O14+Q14+R14+S14+V14+Z14+AC14</f>
        <v>143.4</v>
      </c>
      <c r="AF14" s="128" t="n">
        <f aca="false">IF(L14&lt;0,L14*-1,0)</f>
        <v>0</v>
      </c>
      <c r="AG14" s="447" t="n">
        <f aca="false">AE14+AF14</f>
        <v>143.4</v>
      </c>
      <c r="AH14" s="98" t="n">
        <v>0</v>
      </c>
      <c r="AI14" s="99" t="n">
        <v>65</v>
      </c>
      <c r="AJ14" s="100" t="n">
        <v>36</v>
      </c>
      <c r="AK14" s="243" t="n">
        <f aca="false">AK12</f>
        <v>14045.6062705</v>
      </c>
      <c r="AL14" s="101" t="n">
        <f aca="false">V14</f>
        <v>52.145803</v>
      </c>
      <c r="AM14" s="437" t="n">
        <f aca="false">I14-Q14-R14-V14-AA14</f>
        <v>78.550797</v>
      </c>
      <c r="AN14" s="438" t="n">
        <f aca="false">29.8*(W13*1.9835+AM14*1.9835+X13*1.9835)/E14</f>
        <v>0.876053534167073</v>
      </c>
      <c r="AO14" s="102"/>
      <c r="AP14" s="8"/>
    </row>
    <row r="15" customFormat="false" ht="12.95" hidden="false" customHeight="true" outlineLevel="0" collapsed="false">
      <c r="A15" s="15" t="n">
        <f aca="false">A14+1</f>
        <v>4</v>
      </c>
      <c r="B15" s="439" t="n">
        <v>6902.22</v>
      </c>
      <c r="C15" s="94" t="n">
        <v>291842</v>
      </c>
      <c r="D15" s="99" t="n">
        <f aca="false">C15-C14</f>
        <v>376</v>
      </c>
      <c r="E15" s="94" t="n">
        <f aca="false">C15-152000</f>
        <v>139842</v>
      </c>
      <c r="F15" s="444" t="n">
        <f aca="false">D15/$D$2</f>
        <v>189.563902193093</v>
      </c>
      <c r="G15" s="128" t="n">
        <v>152</v>
      </c>
      <c r="H15" s="445" t="n">
        <v>8.9</v>
      </c>
      <c r="I15" s="128" t="n">
        <f aca="false">G15+H15</f>
        <v>160.9</v>
      </c>
      <c r="J15" s="446" t="n">
        <f aca="false">IF(L15&gt;0,L15,0)</f>
        <v>158.563902193093</v>
      </c>
      <c r="K15" s="128" t="n">
        <f aca="false">I15+J15</f>
        <v>319.463902193093</v>
      </c>
      <c r="L15" s="128" t="n">
        <f aca="false">F15-(I15-AE15)</f>
        <v>158.563902193093</v>
      </c>
      <c r="M15" s="129" t="n">
        <v>78</v>
      </c>
      <c r="N15" s="126" t="n">
        <v>1.88</v>
      </c>
      <c r="O15" s="447" t="n">
        <f aca="false">(22.75+23.91+7.51)*1.05</f>
        <v>56.8785</v>
      </c>
      <c r="P15" s="447"/>
      <c r="Q15" s="386" t="n">
        <f aca="false">1.67*1.02</f>
        <v>1.7034</v>
      </c>
      <c r="R15" s="386" t="n">
        <f aca="false">3.36*1.04</f>
        <v>3.4944</v>
      </c>
      <c r="S15" s="268" t="n">
        <v>0</v>
      </c>
      <c r="T15" s="128" t="n">
        <v>0</v>
      </c>
      <c r="U15" s="128" t="n">
        <v>6.9</v>
      </c>
      <c r="V15" s="265" t="n">
        <f aca="false">M15-N15-O15-Q15-R15-S15+T15+U15</f>
        <v>20.9437</v>
      </c>
      <c r="W15" s="105" t="n">
        <f aca="false">W14+AM15-(AN15/1.9835)</f>
        <v>485.055898280648</v>
      </c>
      <c r="X15" s="437" t="n">
        <f aca="false">X14</f>
        <v>1714.14</v>
      </c>
      <c r="Y15" s="101"/>
      <c r="Z15" s="128" t="n">
        <v>0</v>
      </c>
      <c r="AA15" s="129" t="n">
        <v>1.7</v>
      </c>
      <c r="AB15" s="130" t="n">
        <v>1.3</v>
      </c>
      <c r="AC15" s="448" t="n">
        <v>45</v>
      </c>
      <c r="AD15" s="449" t="n">
        <f aca="false">AD14-AC15</f>
        <v>15859.2578774893</v>
      </c>
      <c r="AE15" s="128" t="n">
        <f aca="false">N15+O15+Q15+R15+S15+V15+Z15+AC15</f>
        <v>129.9</v>
      </c>
      <c r="AF15" s="128" t="n">
        <f aca="false">IF(L15&lt;0,L15*-1,0)</f>
        <v>0</v>
      </c>
      <c r="AG15" s="447" t="n">
        <f aca="false">AE15+AF15</f>
        <v>129.9</v>
      </c>
      <c r="AH15" s="98" t="n">
        <v>0</v>
      </c>
      <c r="AI15" s="99" t="n">
        <v>64</v>
      </c>
      <c r="AJ15" s="100" t="n">
        <v>44</v>
      </c>
      <c r="AK15" s="243" t="n">
        <f aca="false">AK13</f>
        <v>14045.6062705</v>
      </c>
      <c r="AL15" s="101" t="n">
        <f aca="false">V15</f>
        <v>20.9437</v>
      </c>
      <c r="AM15" s="437" t="n">
        <f aca="false">I15-Q15-R15-V15-AA15</f>
        <v>133.0585</v>
      </c>
      <c r="AN15" s="438" t="n">
        <f aca="false">29.8*(W14*1.9835+AM15*1.9835+X14*1.9835)/E15</f>
        <v>0.929752417273614</v>
      </c>
      <c r="AO15" s="102"/>
      <c r="AP15" s="8"/>
    </row>
    <row r="16" customFormat="false" ht="12.95" hidden="false" customHeight="true" outlineLevel="0" collapsed="false">
      <c r="A16" s="15" t="n">
        <f aca="false">A15+1</f>
        <v>5</v>
      </c>
      <c r="B16" s="439" t="n">
        <v>6902.36</v>
      </c>
      <c r="C16" s="94" t="n">
        <v>292369</v>
      </c>
      <c r="D16" s="99" t="n">
        <f aca="false">C16-C15</f>
        <v>527</v>
      </c>
      <c r="E16" s="94" t="n">
        <f aca="false">C16-152000</f>
        <v>140369</v>
      </c>
      <c r="F16" s="444" t="n">
        <f aca="false">D16/$D$2</f>
        <v>265.691958658936</v>
      </c>
      <c r="G16" s="128" t="n">
        <v>182</v>
      </c>
      <c r="H16" s="445" t="n">
        <v>14</v>
      </c>
      <c r="I16" s="128" t="n">
        <f aca="false">G16+H16</f>
        <v>196</v>
      </c>
      <c r="J16" s="446" t="n">
        <f aca="false">IF(L16&gt;0,L16,0)</f>
        <v>215.891958658936</v>
      </c>
      <c r="K16" s="128" t="n">
        <f aca="false">I16+J16</f>
        <v>411.891958658936</v>
      </c>
      <c r="L16" s="128" t="n">
        <f aca="false">F16-(I16-AE16)</f>
        <v>215.891958658936</v>
      </c>
      <c r="M16" s="129" t="n">
        <v>97</v>
      </c>
      <c r="N16" s="126" t="n">
        <v>1.88</v>
      </c>
      <c r="O16" s="447" t="n">
        <f aca="false">(27.58+28.98)*1.05</f>
        <v>59.388</v>
      </c>
      <c r="P16" s="447"/>
      <c r="Q16" s="386" t="n">
        <f aca="false">1.67*1.02</f>
        <v>1.7034</v>
      </c>
      <c r="R16" s="386" t="n">
        <f aca="false">2.99*1.04</f>
        <v>3.1096</v>
      </c>
      <c r="S16" s="268" t="n">
        <v>0</v>
      </c>
      <c r="T16" s="128" t="n">
        <v>0</v>
      </c>
      <c r="U16" s="128" t="n">
        <v>6.2</v>
      </c>
      <c r="V16" s="265" t="n">
        <f aca="false">M16-N16-O16-Q16-R16-S16+T16+U16</f>
        <v>37.119</v>
      </c>
      <c r="W16" s="105" t="n">
        <f aca="false">W15+AM16-(AN16/1.9835)</f>
        <v>636.924666939192</v>
      </c>
      <c r="X16" s="437" t="n">
        <f aca="false">X15</f>
        <v>1714.14</v>
      </c>
      <c r="Y16" s="101"/>
      <c r="Z16" s="128" t="n">
        <v>0</v>
      </c>
      <c r="AA16" s="129" t="n">
        <v>1.7</v>
      </c>
      <c r="AB16" s="130" t="n">
        <v>1.3</v>
      </c>
      <c r="AC16" s="448" t="n">
        <v>43</v>
      </c>
      <c r="AD16" s="449" t="n">
        <f aca="false">AD15-AC16</f>
        <v>15816.2578774893</v>
      </c>
      <c r="AE16" s="128" t="n">
        <f aca="false">N16+O16+Q16+R16+S16+V16+Z16+AC16</f>
        <v>146.2</v>
      </c>
      <c r="AF16" s="128" t="n">
        <f aca="false">IF(L16&lt;0,L16*-1,0)</f>
        <v>0</v>
      </c>
      <c r="AG16" s="447" t="n">
        <f aca="false">AE16+AF16</f>
        <v>146.2</v>
      </c>
      <c r="AH16" s="98" t="n">
        <v>0.2</v>
      </c>
      <c r="AI16" s="99" t="n">
        <v>56</v>
      </c>
      <c r="AJ16" s="100" t="n">
        <v>30</v>
      </c>
      <c r="AK16" s="243" t="n">
        <f aca="false">AK14</f>
        <v>14045.6062705</v>
      </c>
      <c r="AL16" s="101" t="n">
        <f aca="false">V16</f>
        <v>37.119</v>
      </c>
      <c r="AM16" s="437" t="n">
        <f aca="false">I16-Q16-R16-V16-AA16</f>
        <v>152.368</v>
      </c>
      <c r="AN16" s="438" t="n">
        <f aca="false">29.8*(W15*1.9835+AM16*1.9835+X15*1.9835)/E16</f>
        <v>0.990225365776931</v>
      </c>
      <c r="AO16" s="102"/>
      <c r="AP16" s="8"/>
    </row>
    <row r="17" customFormat="false" ht="12.95" hidden="false" customHeight="true" outlineLevel="0" collapsed="false">
      <c r="A17" s="15" t="n">
        <f aca="false">A16+1</f>
        <v>6</v>
      </c>
      <c r="B17" s="439" t="n">
        <v>6902.48</v>
      </c>
      <c r="C17" s="94" t="n">
        <v>292821</v>
      </c>
      <c r="D17" s="99" t="n">
        <f aca="false">C17-C16</f>
        <v>452</v>
      </c>
      <c r="E17" s="94" t="n">
        <f aca="false">C17-152000</f>
        <v>140821</v>
      </c>
      <c r="F17" s="444" t="n">
        <f aca="false">D17/$D$2</f>
        <v>227.880010083186</v>
      </c>
      <c r="G17" s="128" t="n">
        <v>209</v>
      </c>
      <c r="H17" s="445" t="n">
        <v>9.9</v>
      </c>
      <c r="I17" s="128" t="n">
        <f aca="false">G17+H17</f>
        <v>218.9</v>
      </c>
      <c r="J17" s="446" t="n">
        <f aca="false">IF(L17&gt;0,L17,0)</f>
        <v>157.280010083186</v>
      </c>
      <c r="K17" s="128" t="n">
        <f aca="false">I17+J17</f>
        <v>376.180010083186</v>
      </c>
      <c r="L17" s="128" t="n">
        <f aca="false">F17-(I17-AE17)</f>
        <v>157.280010083186</v>
      </c>
      <c r="M17" s="129" t="n">
        <v>100</v>
      </c>
      <c r="N17" s="126" t="n">
        <v>1.88</v>
      </c>
      <c r="O17" s="447" t="n">
        <f aca="false">(40+41.12)*1.05</f>
        <v>85.176</v>
      </c>
      <c r="P17" s="447"/>
      <c r="Q17" s="386" t="n">
        <f aca="false">1.67*1.02</f>
        <v>1.7034</v>
      </c>
      <c r="R17" s="386" t="n">
        <f aca="false">2.46*1.04</f>
        <v>2.5584</v>
      </c>
      <c r="S17" s="268" t="n">
        <v>0</v>
      </c>
      <c r="T17" s="128" t="n">
        <v>0</v>
      </c>
      <c r="U17" s="128" t="n">
        <v>5.3</v>
      </c>
      <c r="V17" s="265" t="n">
        <f aca="false">M17-N17-O17-Q17-R17-S17+T17+U17</f>
        <v>13.9822</v>
      </c>
      <c r="W17" s="105" t="n">
        <f aca="false">W16+AM17-(AN17/1.9835)</f>
        <v>835.341041344467</v>
      </c>
      <c r="X17" s="437" t="n">
        <f aca="false">X16</f>
        <v>1714.14</v>
      </c>
      <c r="Y17" s="101"/>
      <c r="Z17" s="128" t="n">
        <v>0</v>
      </c>
      <c r="AA17" s="129" t="n">
        <v>1.7</v>
      </c>
      <c r="AB17" s="130" t="n">
        <v>1.3</v>
      </c>
      <c r="AC17" s="448" t="n">
        <v>43</v>
      </c>
      <c r="AD17" s="449" t="n">
        <f aca="false">AD16-AC17</f>
        <v>15773.2578774893</v>
      </c>
      <c r="AE17" s="128" t="n">
        <f aca="false">N17+O17+Q17+R17+S17+V17+Z17+AC17</f>
        <v>148.3</v>
      </c>
      <c r="AF17" s="128" t="n">
        <f aca="false">IF(L17&lt;0,L17*-1,0)</f>
        <v>0</v>
      </c>
      <c r="AG17" s="447" t="n">
        <f aca="false">AE17+AF17</f>
        <v>148.3</v>
      </c>
      <c r="AH17" s="98" t="n">
        <v>0.2</v>
      </c>
      <c r="AI17" s="99" t="n">
        <v>40</v>
      </c>
      <c r="AJ17" s="100" t="n">
        <v>27</v>
      </c>
      <c r="AK17" s="243" t="n">
        <f aca="false">AK15</f>
        <v>14045.6062705</v>
      </c>
      <c r="AL17" s="101" t="n">
        <f aca="false">V17</f>
        <v>13.9822</v>
      </c>
      <c r="AM17" s="437" t="n">
        <f aca="false">I17-Q17-R17-V17-AA17</f>
        <v>198.956</v>
      </c>
      <c r="AN17" s="438" t="n">
        <f aca="false">29.8*(W16*1.9835+AM17*1.9835+X16*1.9835)/E17</f>
        <v>1.0703473671373</v>
      </c>
      <c r="AO17" s="102"/>
      <c r="AP17" s="8"/>
    </row>
    <row r="18" customFormat="false" ht="12.95" hidden="false" customHeight="true" outlineLevel="0" collapsed="false">
      <c r="A18" s="15" t="n">
        <f aca="false">A17+1</f>
        <v>7</v>
      </c>
      <c r="B18" s="439" t="n">
        <v>6902.56</v>
      </c>
      <c r="C18" s="94" t="n">
        <v>293122</v>
      </c>
      <c r="D18" s="99" t="n">
        <f aca="false">C18-C17</f>
        <v>301</v>
      </c>
      <c r="E18" s="94" t="n">
        <f aca="false">C18-152000</f>
        <v>141122</v>
      </c>
      <c r="F18" s="444" t="n">
        <f aca="false">D18/$D$2</f>
        <v>151.751953617343</v>
      </c>
      <c r="G18" s="128" t="n">
        <v>183</v>
      </c>
      <c r="H18" s="445" t="n">
        <v>6.5</v>
      </c>
      <c r="I18" s="128" t="n">
        <f aca="false">G18+H18</f>
        <v>189.5</v>
      </c>
      <c r="J18" s="446" t="n">
        <f aca="false">IF(L18&gt;0,L18,0)</f>
        <v>98.651953617343</v>
      </c>
      <c r="K18" s="128" t="n">
        <f aca="false">I18+J18</f>
        <v>288.151953617343</v>
      </c>
      <c r="L18" s="128" t="n">
        <f aca="false">F18-(I18-AE18)</f>
        <v>98.651953617343</v>
      </c>
      <c r="M18" s="129" t="n">
        <v>89</v>
      </c>
      <c r="N18" s="126" t="n">
        <v>1.88</v>
      </c>
      <c r="O18" s="447" t="n">
        <f aca="false">(42.26+41.62)*1.05</f>
        <v>88.074</v>
      </c>
      <c r="P18" s="447"/>
      <c r="Q18" s="386" t="n">
        <f aca="false">1.67*1.02</f>
        <v>1.7034</v>
      </c>
      <c r="R18" s="386" t="n">
        <f aca="false">2.54*1.04</f>
        <v>2.6416</v>
      </c>
      <c r="S18" s="268" t="n">
        <v>0</v>
      </c>
      <c r="T18" s="128" t="n">
        <v>0</v>
      </c>
      <c r="U18" s="128" t="n">
        <v>2.4</v>
      </c>
      <c r="V18" s="265" t="n">
        <f aca="false">M18-N18-O18-Q18-R18-S18+T18+U18</f>
        <v>-2.89899999999999</v>
      </c>
      <c r="W18" s="105" t="n">
        <f aca="false">W17+AM18-(AN18/1.9835)</f>
        <v>1021.11732926391</v>
      </c>
      <c r="X18" s="437" t="n">
        <f aca="false">X17</f>
        <v>1714.14</v>
      </c>
      <c r="Y18" s="101"/>
      <c r="Z18" s="128" t="n">
        <v>0</v>
      </c>
      <c r="AA18" s="129" t="n">
        <v>1.7</v>
      </c>
      <c r="AB18" s="130" t="n">
        <v>1.3</v>
      </c>
      <c r="AC18" s="448" t="n">
        <v>45</v>
      </c>
      <c r="AD18" s="449" t="n">
        <f aca="false">AD17-AC18</f>
        <v>15728.2578774893</v>
      </c>
      <c r="AE18" s="128" t="n">
        <f aca="false">N18+O18+Q18+R18+S18+V18+Z18+AC18</f>
        <v>136.4</v>
      </c>
      <c r="AF18" s="128" t="n">
        <f aca="false">IF(L18&lt;0,L18*-1,0)</f>
        <v>0</v>
      </c>
      <c r="AG18" s="447" t="n">
        <f aca="false">AE18+AF18</f>
        <v>136.4</v>
      </c>
      <c r="AH18" s="98" t="n">
        <v>0</v>
      </c>
      <c r="AI18" s="99" t="n">
        <v>59</v>
      </c>
      <c r="AJ18" s="100" t="n">
        <v>28</v>
      </c>
      <c r="AK18" s="243" t="n">
        <f aca="false">AK16</f>
        <v>14045.6062705</v>
      </c>
      <c r="AL18" s="101" t="n">
        <f aca="false">V18</f>
        <v>-2.89899999999999</v>
      </c>
      <c r="AM18" s="437" t="n">
        <f aca="false">I18-Q18-R18-V18-AA18</f>
        <v>186.354</v>
      </c>
      <c r="AN18" s="438" t="n">
        <f aca="false">29.8*(W17*1.9835+AM18*1.9835+X17*1.9835)/E18</f>
        <v>1.1458919117806</v>
      </c>
      <c r="AO18" s="102"/>
      <c r="AP18" s="8"/>
    </row>
    <row r="19" customFormat="false" ht="12.95" hidden="false" customHeight="true" outlineLevel="0" collapsed="false">
      <c r="A19" s="15" t="n">
        <f aca="false">A18+1</f>
        <v>8</v>
      </c>
      <c r="B19" s="439" t="n">
        <v>6902.67</v>
      </c>
      <c r="C19" s="94" t="n">
        <v>293536</v>
      </c>
      <c r="D19" s="99" t="n">
        <f aca="false">C19-C18</f>
        <v>414</v>
      </c>
      <c r="E19" s="94" t="n">
        <f aca="false">C19-152000</f>
        <v>141536</v>
      </c>
      <c r="F19" s="444" t="n">
        <f aca="false">D19/$D$2</f>
        <v>208.72195613814</v>
      </c>
      <c r="G19" s="128" t="n">
        <v>212</v>
      </c>
      <c r="H19" s="445" t="n">
        <v>9.9</v>
      </c>
      <c r="I19" s="128" t="n">
        <f aca="false">G19+H19</f>
        <v>221.9</v>
      </c>
      <c r="J19" s="446" t="n">
        <f aca="false">IF(L19&gt;0,L19,0)</f>
        <v>125.82195613814</v>
      </c>
      <c r="K19" s="128" t="n">
        <f aca="false">I19+J19</f>
        <v>347.72195613814</v>
      </c>
      <c r="L19" s="128" t="n">
        <f aca="false">F19-(I19-AE19)</f>
        <v>125.82195613814</v>
      </c>
      <c r="M19" s="129" t="n">
        <v>94</v>
      </c>
      <c r="N19" s="126" t="n">
        <v>1.88</v>
      </c>
      <c r="O19" s="447" t="n">
        <f aca="false">(44.11+44.11)*1.05</f>
        <v>92.631</v>
      </c>
      <c r="P19" s="447"/>
      <c r="Q19" s="386" t="n">
        <f aca="false">1.67*1.02</f>
        <v>1.7034</v>
      </c>
      <c r="R19" s="386" t="n">
        <f aca="false">3.99*1.04</f>
        <v>4.1496</v>
      </c>
      <c r="S19" s="268" t="n">
        <v>0</v>
      </c>
      <c r="T19" s="128" t="n">
        <v>0</v>
      </c>
      <c r="U19" s="128" t="n">
        <v>0</v>
      </c>
      <c r="V19" s="265" t="n">
        <f aca="false">M19-N19-O19-Q19-R19-S19+T19+U19</f>
        <v>-6.364</v>
      </c>
      <c r="W19" s="105" t="n">
        <f aca="false">W18+AM19-(AN19/1.9835)</f>
        <v>1241.2059585864</v>
      </c>
      <c r="X19" s="437" t="n">
        <f aca="false">X18</f>
        <v>1714.14</v>
      </c>
      <c r="Y19" s="101"/>
      <c r="Z19" s="128" t="n">
        <v>0</v>
      </c>
      <c r="AA19" s="129" t="n">
        <v>1.7</v>
      </c>
      <c r="AB19" s="130" t="n">
        <v>1.3</v>
      </c>
      <c r="AC19" s="448" t="n">
        <v>45</v>
      </c>
      <c r="AD19" s="449" t="n">
        <f aca="false">AD18-AC19</f>
        <v>15683.2578774893</v>
      </c>
      <c r="AE19" s="128" t="n">
        <f aca="false">N19+O19+Q19+R19+S19+V19+Z19+AC19</f>
        <v>139</v>
      </c>
      <c r="AF19" s="128" t="n">
        <f aca="false">IF(L19&lt;0,L19*-1,0)</f>
        <v>0</v>
      </c>
      <c r="AG19" s="447" t="n">
        <f aca="false">AE19+AF19</f>
        <v>139</v>
      </c>
      <c r="AH19" s="98" t="n">
        <v>0</v>
      </c>
      <c r="AI19" s="99" t="n">
        <v>64</v>
      </c>
      <c r="AJ19" s="100" t="n">
        <v>34</v>
      </c>
      <c r="AK19" s="243" t="n">
        <f aca="false">AK17</f>
        <v>14045.6062705</v>
      </c>
      <c r="AL19" s="101"/>
      <c r="AM19" s="437" t="n">
        <f aca="false">I19-Q19-R19-V19-AA19</f>
        <v>220.711</v>
      </c>
      <c r="AN19" s="438" t="n">
        <f aca="false">29.8*(W18*1.9835+AM19*1.9835+X18*1.9835)/E19</f>
        <v>1.23447223884121</v>
      </c>
      <c r="AO19" s="102"/>
      <c r="AP19" s="8"/>
    </row>
    <row r="20" customFormat="false" ht="12.95" hidden="false" customHeight="true" outlineLevel="0" collapsed="false">
      <c r="A20" s="15" t="n">
        <f aca="false">A19+1</f>
        <v>9</v>
      </c>
      <c r="B20" s="439" t="n">
        <v>6902.81</v>
      </c>
      <c r="C20" s="94" t="n">
        <v>294062</v>
      </c>
      <c r="D20" s="99" t="n">
        <f aca="false">C20-C19</f>
        <v>526</v>
      </c>
      <c r="E20" s="94" t="n">
        <f aca="false">C20-152000</f>
        <v>142062</v>
      </c>
      <c r="F20" s="444" t="n">
        <f aca="false">D20/$D$2</f>
        <v>265.187799344593</v>
      </c>
      <c r="G20" s="128" t="n">
        <v>261</v>
      </c>
      <c r="H20" s="445" t="n">
        <v>11</v>
      </c>
      <c r="I20" s="128" t="n">
        <f aca="false">G20+H20</f>
        <v>272</v>
      </c>
      <c r="J20" s="446" t="n">
        <f aca="false">IF(L20&gt;0,L20,0)</f>
        <v>144.187799344593</v>
      </c>
      <c r="K20" s="128" t="n">
        <f aca="false">I20+J20</f>
        <v>416.187799344593</v>
      </c>
      <c r="L20" s="128" t="n">
        <f aca="false">F20-(I20-AE20)</f>
        <v>144.187799344593</v>
      </c>
      <c r="M20" s="129" t="n">
        <v>107</v>
      </c>
      <c r="N20" s="126" t="n">
        <v>1.88</v>
      </c>
      <c r="O20" s="447" t="n">
        <f aca="false">(49.74+49.94)*1.05</f>
        <v>104.664</v>
      </c>
      <c r="P20" s="447"/>
      <c r="Q20" s="386" t="n">
        <f aca="false">1.67*1.02</f>
        <v>1.7034</v>
      </c>
      <c r="R20" s="386" t="n">
        <f aca="false">3.44*1.04</f>
        <v>3.5776</v>
      </c>
      <c r="S20" s="268" t="n">
        <v>0</v>
      </c>
      <c r="T20" s="128" t="n">
        <v>0</v>
      </c>
      <c r="U20" s="128" t="n">
        <v>0</v>
      </c>
      <c r="V20" s="265" t="n">
        <f aca="false">M20-N20-O20-Q20-R20-S20+T20+U20</f>
        <v>-4.82500000000001</v>
      </c>
      <c r="W20" s="105" t="n">
        <f aca="false">W19+AM20-(AN20/1.9835)</f>
        <v>1510.37341833802</v>
      </c>
      <c r="X20" s="437" t="n">
        <f aca="false">X19</f>
        <v>1714.14</v>
      </c>
      <c r="Y20" s="101"/>
      <c r="Z20" s="128" t="n">
        <v>0</v>
      </c>
      <c r="AA20" s="129" t="n">
        <v>1.7</v>
      </c>
      <c r="AB20" s="130" t="n">
        <v>1.3</v>
      </c>
      <c r="AC20" s="448" t="n">
        <v>44</v>
      </c>
      <c r="AD20" s="449" t="n">
        <f aca="false">AD19-AC20</f>
        <v>15639.2578774893</v>
      </c>
      <c r="AE20" s="128" t="n">
        <f aca="false">N20+O20+Q20+R20+S20+V20+Z20+AC20</f>
        <v>151</v>
      </c>
      <c r="AF20" s="128" t="n">
        <f aca="false">IF(L20&lt;0,L20*-1,0)</f>
        <v>0</v>
      </c>
      <c r="AG20" s="447" t="n">
        <f aca="false">AE20+AF20</f>
        <v>151</v>
      </c>
      <c r="AH20" s="98" t="n">
        <v>0</v>
      </c>
      <c r="AI20" s="133" t="n">
        <v>69</v>
      </c>
      <c r="AJ20" s="100" t="n">
        <v>35</v>
      </c>
      <c r="AK20" s="243" t="n">
        <f aca="false">AK18</f>
        <v>14045.6062705</v>
      </c>
      <c r="AL20" s="101"/>
      <c r="AM20" s="437" t="n">
        <f aca="false">I20-Q20-R20-V20-AA20</f>
        <v>269.844</v>
      </c>
      <c r="AN20" s="438" t="n">
        <f aca="false">29.8*(W19*1.9835+AM20*1.9835+X19*1.9835)/E20</f>
        <v>1.34191758266892</v>
      </c>
      <c r="AO20" s="102"/>
      <c r="AP20" s="8"/>
    </row>
    <row r="21" customFormat="false" ht="12.95" hidden="false" customHeight="true" outlineLevel="0" collapsed="false">
      <c r="A21" s="15" t="n">
        <f aca="false">A20+1</f>
        <v>10</v>
      </c>
      <c r="B21" s="439" t="n">
        <v>6902.99</v>
      </c>
      <c r="C21" s="94" t="n">
        <v>294740</v>
      </c>
      <c r="D21" s="99" t="n">
        <f aca="false">C21-C20</f>
        <v>678</v>
      </c>
      <c r="E21" s="94" t="n">
        <f aca="false">C21-152000</f>
        <v>142740</v>
      </c>
      <c r="F21" s="444" t="n">
        <f aca="false">D21/$D$2</f>
        <v>341.820015124779</v>
      </c>
      <c r="G21" s="128" t="n">
        <v>350</v>
      </c>
      <c r="H21" s="445" t="n">
        <v>14</v>
      </c>
      <c r="I21" s="128" t="n">
        <f aca="false">G21+H21</f>
        <v>364</v>
      </c>
      <c r="J21" s="446" t="n">
        <f aca="false">IF(L21&gt;0,L21,0)</f>
        <v>132.820015124779</v>
      </c>
      <c r="K21" s="128" t="n">
        <f aca="false">I21+J21</f>
        <v>496.820015124779</v>
      </c>
      <c r="L21" s="128" t="n">
        <f aca="false">F21-(I21-AE21)</f>
        <v>132.820015124779</v>
      </c>
      <c r="M21" s="129" t="n">
        <v>111</v>
      </c>
      <c r="N21" s="126" t="n">
        <v>1.88</v>
      </c>
      <c r="O21" s="447" t="n">
        <f aca="false">(51.66+50.82)*1.05</f>
        <v>107.604</v>
      </c>
      <c r="P21" s="447"/>
      <c r="Q21" s="386" t="n">
        <f aca="false">1.67*1.02</f>
        <v>1.7034</v>
      </c>
      <c r="R21" s="386" t="n">
        <f aca="false">4.01*1.04</f>
        <v>4.1704</v>
      </c>
      <c r="S21" s="268" t="n">
        <v>0</v>
      </c>
      <c r="T21" s="128" t="n">
        <v>0</v>
      </c>
      <c r="U21" s="128" t="n">
        <v>0</v>
      </c>
      <c r="V21" s="265" t="n">
        <f aca="false">M21-N21-O21-Q21-R21-S21+T21+U21</f>
        <v>-4.3578</v>
      </c>
      <c r="W21" s="105" t="n">
        <f aca="false">W20+AM21-(AN21/1.9835)</f>
        <v>1870.40891152096</v>
      </c>
      <c r="X21" s="437" t="n">
        <f aca="false">X20</f>
        <v>1714.14</v>
      </c>
      <c r="Y21" s="101"/>
      <c r="Z21" s="128" t="n">
        <v>0</v>
      </c>
      <c r="AA21" s="129" t="n">
        <v>1.7</v>
      </c>
      <c r="AB21" s="130" t="n">
        <v>1.3</v>
      </c>
      <c r="AC21" s="448" t="n">
        <v>44</v>
      </c>
      <c r="AD21" s="449" t="n">
        <f aca="false">AD20-AC21</f>
        <v>15595.2578774893</v>
      </c>
      <c r="AE21" s="128" t="n">
        <f aca="false">N21+O21+Q21+R21+S21+V21+Z21+AC21</f>
        <v>155</v>
      </c>
      <c r="AF21" s="128" t="n">
        <f aca="false">IF(L21&lt;0,L21*-1,0)</f>
        <v>0</v>
      </c>
      <c r="AG21" s="447" t="n">
        <f aca="false">AE21+AF21</f>
        <v>155</v>
      </c>
      <c r="AH21" s="98" t="n">
        <v>0</v>
      </c>
      <c r="AI21" s="99" t="n">
        <v>62</v>
      </c>
      <c r="AJ21" s="100" t="n">
        <v>35</v>
      </c>
      <c r="AK21" s="243" t="n">
        <f aca="false">AK19</f>
        <v>14045.6062705</v>
      </c>
      <c r="AL21" s="101"/>
      <c r="AM21" s="437" t="n">
        <f aca="false">I21-Q21-R21-V21-AA21</f>
        <v>360.784</v>
      </c>
      <c r="AN21" s="438" t="n">
        <f aca="false">29.8*(W20*1.9835+AM21*1.9835+X20*1.9835)/E21</f>
        <v>1.48466327162918</v>
      </c>
      <c r="AO21" s="102"/>
      <c r="AP21" s="8"/>
    </row>
    <row r="22" customFormat="false" ht="12.95" hidden="false" customHeight="true" outlineLevel="0" collapsed="false">
      <c r="A22" s="15" t="n">
        <f aca="false">A21+1</f>
        <v>11</v>
      </c>
      <c r="B22" s="439" t="n">
        <v>6903.16</v>
      </c>
      <c r="C22" s="94" t="n">
        <v>295384</v>
      </c>
      <c r="D22" s="99" t="n">
        <f aca="false">C22-C21</f>
        <v>644</v>
      </c>
      <c r="E22" s="94" t="n">
        <f aca="false">C22-152000</f>
        <v>143384</v>
      </c>
      <c r="F22" s="444" t="n">
        <f aca="false">D22/$D$2</f>
        <v>324.678598437106</v>
      </c>
      <c r="G22" s="128" t="n">
        <v>401</v>
      </c>
      <c r="H22" s="445" t="n">
        <v>13</v>
      </c>
      <c r="I22" s="128" t="n">
        <f aca="false">G22+H22</f>
        <v>414</v>
      </c>
      <c r="J22" s="446" t="n">
        <f aca="false">IF(L22&gt;0,L22,0)</f>
        <v>72.6785984371061</v>
      </c>
      <c r="K22" s="128" t="n">
        <f aca="false">I22+J22</f>
        <v>486.678598437106</v>
      </c>
      <c r="L22" s="128" t="n">
        <f aca="false">F22-(I22-AE22)</f>
        <v>72.6785984371061</v>
      </c>
      <c r="M22" s="129" t="n">
        <v>117</v>
      </c>
      <c r="N22" s="126" t="n">
        <v>1.88</v>
      </c>
      <c r="O22" s="447" t="n">
        <f aca="false">(51.13+51.99)*1.05</f>
        <v>108.276</v>
      </c>
      <c r="P22" s="447"/>
      <c r="Q22" s="386" t="n">
        <f aca="false">1.67*1.02</f>
        <v>1.7034</v>
      </c>
      <c r="R22" s="126" t="n">
        <f aca="false">3.44*1.04</f>
        <v>3.5776</v>
      </c>
      <c r="S22" s="268" t="n">
        <v>0</v>
      </c>
      <c r="T22" s="128" t="n">
        <v>0</v>
      </c>
      <c r="U22" s="128" t="n">
        <v>0</v>
      </c>
      <c r="V22" s="265" t="n">
        <f aca="false">M22-N22-O22-Q22-R22-S22+T22+U22</f>
        <v>1.56299999999999</v>
      </c>
      <c r="W22" s="105" t="n">
        <f aca="false">W21+AM22-(AN22/1.9835)</f>
        <v>2275.03565479522</v>
      </c>
      <c r="X22" s="437" t="n">
        <f aca="false">X21</f>
        <v>1714.14</v>
      </c>
      <c r="Y22" s="101"/>
      <c r="Z22" s="128" t="n">
        <v>0</v>
      </c>
      <c r="AA22" s="129" t="n">
        <v>1.7</v>
      </c>
      <c r="AB22" s="130" t="n">
        <v>1.3</v>
      </c>
      <c r="AC22" s="448" t="n">
        <v>45</v>
      </c>
      <c r="AD22" s="449" t="n">
        <f aca="false">AD21-AC22</f>
        <v>15550.2578774893</v>
      </c>
      <c r="AE22" s="128" t="n">
        <f aca="false">N22+O22+Q22+R22+S22+V22+Z22+AC22</f>
        <v>162</v>
      </c>
      <c r="AF22" s="128" t="n">
        <f aca="false">IF(L22&lt;0,L22*-1,0)</f>
        <v>0</v>
      </c>
      <c r="AG22" s="447" t="n">
        <f aca="false">AE22+AF22</f>
        <v>162</v>
      </c>
      <c r="AH22" s="98" t="n">
        <v>0</v>
      </c>
      <c r="AI22" s="99" t="n">
        <v>56</v>
      </c>
      <c r="AJ22" s="100" t="n">
        <v>38</v>
      </c>
      <c r="AK22" s="243" t="n">
        <f aca="false">AK20</f>
        <v>14045.6062705</v>
      </c>
      <c r="AL22" s="101"/>
      <c r="AM22" s="437" t="n">
        <f aca="false">I22-Q22-R22-V22-AA22</f>
        <v>405.456</v>
      </c>
      <c r="AN22" s="438" t="n">
        <f aca="false">29.8*(W21*1.9835+AM22*1.9835+X21*1.9835)/E22</f>
        <v>1.64483071550281</v>
      </c>
      <c r="AO22" s="102"/>
      <c r="AP22" s="8"/>
    </row>
    <row r="23" customFormat="false" ht="12.95" hidden="false" customHeight="true" outlineLevel="0" collapsed="false">
      <c r="A23" s="15" t="n">
        <f aca="false">A22+1</f>
        <v>12</v>
      </c>
      <c r="B23" s="439" t="n">
        <v>6903.36</v>
      </c>
      <c r="C23" s="94" t="n">
        <v>296143</v>
      </c>
      <c r="D23" s="99" t="n">
        <f aca="false">C23-C22</f>
        <v>759</v>
      </c>
      <c r="E23" s="94" t="n">
        <f aca="false">C23-152000</f>
        <v>144143</v>
      </c>
      <c r="F23" s="444" t="n">
        <f aca="false">D23/$D$2</f>
        <v>382.656919586589</v>
      </c>
      <c r="G23" s="128" t="n">
        <v>407</v>
      </c>
      <c r="H23" s="445" t="n">
        <v>11</v>
      </c>
      <c r="I23" s="128" t="n">
        <f aca="false">G23+H23</f>
        <v>418</v>
      </c>
      <c r="J23" s="446" t="n">
        <f aca="false">IF(L23&gt;0,L23,0)</f>
        <v>114.656919586589</v>
      </c>
      <c r="K23" s="128" t="n">
        <f aca="false">I23+J23</f>
        <v>532.656919586589</v>
      </c>
      <c r="L23" s="128" t="n">
        <f aca="false">F23-(I23-AE23)</f>
        <v>114.656919586589</v>
      </c>
      <c r="M23" s="129" t="n">
        <v>106</v>
      </c>
      <c r="N23" s="126" t="n">
        <v>1.88</v>
      </c>
      <c r="O23" s="447" t="n">
        <f aca="false">(47.89+48.19)*1.05</f>
        <v>100.884</v>
      </c>
      <c r="P23" s="447"/>
      <c r="Q23" s="386" t="n">
        <f aca="false">1.67*1.02</f>
        <v>1.7034</v>
      </c>
      <c r="R23" s="126" t="n">
        <f aca="false">3.63*1.04</f>
        <v>3.7752</v>
      </c>
      <c r="S23" s="268" t="n">
        <v>0</v>
      </c>
      <c r="T23" s="128" t="n">
        <v>0</v>
      </c>
      <c r="U23" s="128" t="n">
        <v>0</v>
      </c>
      <c r="V23" s="265" t="n">
        <f aca="false">M23-N23-O23-Q23-R23-S23+T23+U23</f>
        <v>-2.2426</v>
      </c>
      <c r="W23" s="105" t="n">
        <f aca="false">W22+AM23-(AN23/1.9835)</f>
        <v>2687.18953955055</v>
      </c>
      <c r="X23" s="437" t="n">
        <f aca="false">X22</f>
        <v>1714.14</v>
      </c>
      <c r="Y23" s="101"/>
      <c r="Z23" s="128" t="n">
        <v>0</v>
      </c>
      <c r="AA23" s="129" t="n">
        <v>1.7</v>
      </c>
      <c r="AB23" s="130" t="n">
        <v>1.3</v>
      </c>
      <c r="AC23" s="448" t="n">
        <v>44</v>
      </c>
      <c r="AD23" s="449" t="n">
        <f aca="false">AD22-AC23</f>
        <v>15506.2578774893</v>
      </c>
      <c r="AE23" s="128" t="n">
        <f aca="false">N23+O23+Q23+R23+S23+V23+Z23+AC23</f>
        <v>150</v>
      </c>
      <c r="AF23" s="128" t="n">
        <f aca="false">IF(L23&lt;0,L23*-1,0)</f>
        <v>0</v>
      </c>
      <c r="AG23" s="447" t="n">
        <f aca="false">AE23+AF23</f>
        <v>150</v>
      </c>
      <c r="AH23" s="98" t="n">
        <v>0</v>
      </c>
      <c r="AI23" s="99" t="n">
        <v>68</v>
      </c>
      <c r="AJ23" s="100" t="n">
        <v>37</v>
      </c>
      <c r="AK23" s="243" t="n">
        <f aca="false">AK21</f>
        <v>14045.6062705</v>
      </c>
      <c r="AL23" s="101"/>
      <c r="AM23" s="437" t="n">
        <f aca="false">I23-Q23-R23-V23-AA23</f>
        <v>413.064</v>
      </c>
      <c r="AN23" s="438" t="n">
        <f aca="false">29.8*(W22*1.9835+AM23*1.9835+X22*1.9835)/E23</f>
        <v>1.80521358780886</v>
      </c>
      <c r="AO23" s="102"/>
      <c r="AP23" s="8"/>
    </row>
    <row r="24" customFormat="false" ht="12.95" hidden="false" customHeight="true" outlineLevel="0" collapsed="false">
      <c r="A24" s="15" t="n">
        <f aca="false">A23+1</f>
        <v>13</v>
      </c>
      <c r="B24" s="439" t="n">
        <v>6903.56</v>
      </c>
      <c r="C24" s="94" t="n">
        <v>296902</v>
      </c>
      <c r="D24" s="99" t="n">
        <f aca="false">C24-C23</f>
        <v>759</v>
      </c>
      <c r="E24" s="94" t="n">
        <f aca="false">C24-152000</f>
        <v>144902</v>
      </c>
      <c r="F24" s="444" t="n">
        <f aca="false">D24/$D$2</f>
        <v>382.656919586589</v>
      </c>
      <c r="G24" s="128" t="n">
        <v>529</v>
      </c>
      <c r="H24" s="445" t="n">
        <v>24</v>
      </c>
      <c r="I24" s="128" t="n">
        <f aca="false">G24+H24</f>
        <v>553</v>
      </c>
      <c r="J24" s="446" t="n">
        <f aca="false">IF(L24&gt;0,L24,0)</f>
        <v>16.6569195865894</v>
      </c>
      <c r="K24" s="128" t="n">
        <f aca="false">I24+J24</f>
        <v>569.656919586589</v>
      </c>
      <c r="L24" s="128" t="n">
        <f aca="false">F24-(I24-AE24)</f>
        <v>16.6569195865894</v>
      </c>
      <c r="M24" s="129" t="n">
        <v>99</v>
      </c>
      <c r="N24" s="126" t="n">
        <v>1.88</v>
      </c>
      <c r="O24" s="447" t="n">
        <f aca="false">(39.02+43.97)*1.05</f>
        <v>87.1395</v>
      </c>
      <c r="P24" s="447"/>
      <c r="Q24" s="386" t="n">
        <f aca="false">1.67*1.02</f>
        <v>1.7034</v>
      </c>
      <c r="R24" s="126" t="n">
        <f aca="false">3.62*1.04</f>
        <v>3.7648</v>
      </c>
      <c r="S24" s="268" t="n">
        <v>0</v>
      </c>
      <c r="T24" s="128" t="n">
        <v>43</v>
      </c>
      <c r="U24" s="128" t="n">
        <v>0</v>
      </c>
      <c r="V24" s="265" t="n">
        <f aca="false">M24-N24-O24-Q24-R24-S24+T24+U24</f>
        <v>47.5123</v>
      </c>
      <c r="W24" s="105" t="n">
        <f aca="false">W23+AM24-(AN24/1.9835)</f>
        <v>3184.50139616827</v>
      </c>
      <c r="X24" s="437" t="n">
        <f aca="false">X23</f>
        <v>1714.14</v>
      </c>
      <c r="Y24" s="101"/>
      <c r="Z24" s="128" t="n">
        <v>0</v>
      </c>
      <c r="AA24" s="129" t="n">
        <v>1.7</v>
      </c>
      <c r="AB24" s="130" t="n">
        <v>1.3</v>
      </c>
      <c r="AC24" s="448" t="n">
        <v>45</v>
      </c>
      <c r="AD24" s="449" t="n">
        <f aca="false">AD23-AC24</f>
        <v>15461.2578774893</v>
      </c>
      <c r="AE24" s="128" t="n">
        <f aca="false">N24+O24+Q24+R24+S24+V24+Z24+AC24</f>
        <v>187</v>
      </c>
      <c r="AF24" s="128" t="n">
        <f aca="false">IF(L24&lt;0,L24*-1,0)</f>
        <v>0</v>
      </c>
      <c r="AG24" s="447" t="n">
        <f aca="false">AE24+AF24</f>
        <v>187</v>
      </c>
      <c r="AH24" s="98" t="n">
        <v>0</v>
      </c>
      <c r="AI24" s="99" t="n">
        <v>71</v>
      </c>
      <c r="AJ24" s="100" t="n">
        <v>37</v>
      </c>
      <c r="AK24" s="243" t="n">
        <f aca="false">AK22</f>
        <v>14045.6062705</v>
      </c>
      <c r="AL24" s="101"/>
      <c r="AM24" s="437" t="n">
        <f aca="false">I24-Q24-R24-V24-AA24</f>
        <v>498.3195</v>
      </c>
      <c r="AN24" s="438" t="n">
        <f aca="false">29.8*(W23*1.9835+AM24*1.9835+X23*1.9835)/E24</f>
        <v>1.99866064874512</v>
      </c>
      <c r="AO24" s="102"/>
      <c r="AP24" s="8"/>
    </row>
    <row r="25" customFormat="false" ht="12.95" hidden="false" customHeight="true" outlineLevel="0" collapsed="false">
      <c r="A25" s="15" t="n">
        <f aca="false">A24+1</f>
        <v>14</v>
      </c>
      <c r="B25" s="439" t="n">
        <v>6903.9</v>
      </c>
      <c r="C25" s="94" t="n">
        <v>298192</v>
      </c>
      <c r="D25" s="99" t="n">
        <f aca="false">C25-C24</f>
        <v>1290</v>
      </c>
      <c r="E25" s="94" t="n">
        <f aca="false">C25-152000</f>
        <v>146192</v>
      </c>
      <c r="F25" s="444" t="n">
        <f aca="false">D25/$D$2</f>
        <v>650.365515502899</v>
      </c>
      <c r="G25" s="128" t="n">
        <v>677</v>
      </c>
      <c r="H25" s="445" t="n">
        <v>61</v>
      </c>
      <c r="I25" s="128" t="n">
        <f aca="false">G25+H25</f>
        <v>738</v>
      </c>
      <c r="J25" s="446" t="n">
        <f aca="false">IF(L25&gt;0,L25,0)</f>
        <v>117.365515502899</v>
      </c>
      <c r="K25" s="128" t="n">
        <f aca="false">I25+J25</f>
        <v>855.365515502899</v>
      </c>
      <c r="L25" s="128" t="n">
        <f aca="false">F25-(I25-AE25)</f>
        <v>117.365515502899</v>
      </c>
      <c r="M25" s="129" t="n">
        <v>84</v>
      </c>
      <c r="N25" s="126" t="n">
        <v>1.88</v>
      </c>
      <c r="O25" s="447" t="n">
        <f aca="false">(34.12+37.53)*1.05</f>
        <v>75.2325</v>
      </c>
      <c r="P25" s="447"/>
      <c r="Q25" s="386" t="n">
        <f aca="false">1.67*1.02</f>
        <v>1.7034</v>
      </c>
      <c r="R25" s="126" t="n">
        <v>4.2</v>
      </c>
      <c r="S25" s="268" t="n">
        <v>0.32</v>
      </c>
      <c r="T25" s="128" t="n">
        <v>76</v>
      </c>
      <c r="U25" s="128" t="n">
        <v>0</v>
      </c>
      <c r="V25" s="265" t="n">
        <f aca="false">M25-N25-O25-Q25-R25-S25+T25+U25</f>
        <v>76.6641</v>
      </c>
      <c r="W25" s="105" t="n">
        <f aca="false">W24+AM25-(AN25/1.9835)</f>
        <v>3837.10209181437</v>
      </c>
      <c r="X25" s="437" t="n">
        <f aca="false">X24</f>
        <v>1714.14</v>
      </c>
      <c r="Y25" s="101"/>
      <c r="Z25" s="128" t="n">
        <v>0</v>
      </c>
      <c r="AA25" s="129" t="n">
        <v>1.7</v>
      </c>
      <c r="AB25" s="130" t="n">
        <v>1.3</v>
      </c>
      <c r="AC25" s="448" t="n">
        <v>45</v>
      </c>
      <c r="AD25" s="449" t="n">
        <f aca="false">AD24-AC25</f>
        <v>15416.2578774893</v>
      </c>
      <c r="AE25" s="128" t="n">
        <f aca="false">N25+O25+Q25+R25+S25+V25+Z25+AC25</f>
        <v>205</v>
      </c>
      <c r="AF25" s="128" t="n">
        <f aca="false">IF(L25&lt;0,L25*-1,0)</f>
        <v>0</v>
      </c>
      <c r="AG25" s="447" t="n">
        <f aca="false">AE25+AF25</f>
        <v>205</v>
      </c>
      <c r="AH25" s="98" t="n">
        <v>0</v>
      </c>
      <c r="AI25" s="133" t="n">
        <v>70</v>
      </c>
      <c r="AJ25" s="100" t="n">
        <v>41</v>
      </c>
      <c r="AK25" s="243" t="n">
        <f aca="false">AK23</f>
        <v>14045.6062705</v>
      </c>
      <c r="AL25" s="101"/>
      <c r="AM25" s="437" t="n">
        <f aca="false">I25-Q25-R25-V25-AA25</f>
        <v>653.7325</v>
      </c>
      <c r="AN25" s="438" t="n">
        <f aca="false">29.8*(W24*1.9835+AM25*1.9835+X24*1.9835)/E25</f>
        <v>2.24493393596697</v>
      </c>
      <c r="AO25" s="102"/>
      <c r="AP25" s="8"/>
    </row>
    <row r="26" customFormat="false" ht="12.95" hidden="false" customHeight="true" outlineLevel="0" collapsed="false">
      <c r="A26" s="15" t="n">
        <f aca="false">A25+1</f>
        <v>15</v>
      </c>
      <c r="B26" s="439" t="n">
        <v>6904.3</v>
      </c>
      <c r="C26" s="94" t="n">
        <v>299718</v>
      </c>
      <c r="D26" s="99" t="n">
        <f aca="false">C26-C25</f>
        <v>1526</v>
      </c>
      <c r="E26" s="94" t="n">
        <f aca="false">C26-152000</f>
        <v>147718</v>
      </c>
      <c r="F26" s="444" t="n">
        <f aca="false">D26/$D$2</f>
        <v>769.347113687925</v>
      </c>
      <c r="G26" s="128" t="n">
        <v>755</v>
      </c>
      <c r="H26" s="445" t="n">
        <v>65</v>
      </c>
      <c r="I26" s="128" t="n">
        <f aca="false">G26+H26</f>
        <v>820</v>
      </c>
      <c r="J26" s="446" t="n">
        <f aca="false">IF(L26&gt;0,L26,0)</f>
        <v>134.347113687925</v>
      </c>
      <c r="K26" s="128" t="n">
        <f aca="false">I26+J26</f>
        <v>954.347113687925</v>
      </c>
      <c r="L26" s="128" t="n">
        <f aca="false">F26-(I26-AE26)</f>
        <v>134.347113687925</v>
      </c>
      <c r="M26" s="129" t="n">
        <v>64</v>
      </c>
      <c r="N26" s="126" t="n">
        <v>1.88</v>
      </c>
      <c r="O26" s="447" t="n">
        <f aca="false">(26.17+25.22)*1.05</f>
        <v>53.9595</v>
      </c>
      <c r="P26" s="447"/>
      <c r="Q26" s="386" t="n">
        <f aca="false">1.67*1.02</f>
        <v>1.7034</v>
      </c>
      <c r="R26" s="126" t="n">
        <v>4.2</v>
      </c>
      <c r="S26" s="268" t="n">
        <v>0.73</v>
      </c>
      <c r="T26" s="128" t="n">
        <v>76</v>
      </c>
      <c r="U26" s="128" t="n">
        <v>0</v>
      </c>
      <c r="V26" s="265" t="n">
        <f aca="false">M26-N26-O26-Q26-R26-S26+T26+U26</f>
        <v>77.5271</v>
      </c>
      <c r="W26" s="105" t="n">
        <f aca="false">W25+AM26-(AN26/1.9835)</f>
        <v>4553.3103679584</v>
      </c>
      <c r="X26" s="437" t="n">
        <f aca="false">X25</f>
        <v>1714.14</v>
      </c>
      <c r="Y26" s="101"/>
      <c r="Z26" s="128" t="n">
        <v>0</v>
      </c>
      <c r="AA26" s="129" t="n">
        <v>1.7</v>
      </c>
      <c r="AB26" s="130" t="n">
        <v>1.3</v>
      </c>
      <c r="AC26" s="448" t="n">
        <v>45</v>
      </c>
      <c r="AD26" s="449" t="n">
        <f aca="false">AD25-AC26</f>
        <v>15371.2578774893</v>
      </c>
      <c r="AE26" s="128" t="n">
        <f aca="false">N26+O26+Q26+R26+S26+V26+Z26+AC26</f>
        <v>185</v>
      </c>
      <c r="AF26" s="128" t="n">
        <f aca="false">IF(L26&lt;0,L26*-1,0)</f>
        <v>0</v>
      </c>
      <c r="AG26" s="447" t="n">
        <f aca="false">AE26+AF26</f>
        <v>185</v>
      </c>
      <c r="AH26" s="98" t="n">
        <v>0.02</v>
      </c>
      <c r="AI26" s="133" t="n">
        <v>57</v>
      </c>
      <c r="AJ26" s="100" t="n">
        <v>35</v>
      </c>
      <c r="AK26" s="243" t="n">
        <f aca="false">AK24</f>
        <v>14045.6062705</v>
      </c>
      <c r="AL26" s="101"/>
      <c r="AM26" s="437" t="n">
        <f aca="false">795-V26</f>
        <v>717.4729</v>
      </c>
      <c r="AN26" s="438" t="n">
        <f aca="false">29.8*(W25*1.9835+AM26*1.9835+X25*1.9835)/E26</f>
        <v>2.50838141831504</v>
      </c>
      <c r="AO26" s="102"/>
      <c r="AP26" s="8"/>
    </row>
    <row r="27" customFormat="false" ht="12.95" hidden="false" customHeight="true" outlineLevel="0" collapsed="false">
      <c r="A27" s="15" t="n">
        <f aca="false">A26+1</f>
        <v>16</v>
      </c>
      <c r="B27" s="439" t="n">
        <v>6904.65</v>
      </c>
      <c r="C27" s="94" t="n">
        <v>301057</v>
      </c>
      <c r="D27" s="99" t="n">
        <f aca="false">C27-C26</f>
        <v>1339</v>
      </c>
      <c r="E27" s="94" t="n">
        <f aca="false">C27-152000</f>
        <v>149057</v>
      </c>
      <c r="F27" s="444" t="n">
        <f aca="false">D27/$D$2</f>
        <v>675.069321905722</v>
      </c>
      <c r="G27" s="128" t="n">
        <v>601</v>
      </c>
      <c r="H27" s="445" t="n">
        <v>38</v>
      </c>
      <c r="I27" s="128" t="n">
        <f aca="false">G27+H27</f>
        <v>639</v>
      </c>
      <c r="J27" s="446" t="n">
        <f aca="false">IF(L27&gt;0,L27,0)</f>
        <v>229.169321905722</v>
      </c>
      <c r="K27" s="128" t="n">
        <f aca="false">I27+J27</f>
        <v>868.169321905722</v>
      </c>
      <c r="L27" s="128" t="n">
        <f aca="false">F27-(I27-AE27)</f>
        <v>229.169321905722</v>
      </c>
      <c r="M27" s="129" t="n">
        <v>59</v>
      </c>
      <c r="N27" s="126" t="n">
        <v>1.88</v>
      </c>
      <c r="O27" s="447" t="n">
        <f aca="false">(18.6+20.31)*1.05</f>
        <v>40.8555</v>
      </c>
      <c r="P27" s="447"/>
      <c r="Q27" s="386" t="n">
        <f aca="false">1.67*1.02</f>
        <v>1.7034</v>
      </c>
      <c r="R27" s="126" t="n">
        <v>4.2</v>
      </c>
      <c r="S27" s="268" t="n">
        <v>0.73</v>
      </c>
      <c r="T27" s="128" t="n">
        <v>87</v>
      </c>
      <c r="U27" s="128" t="n">
        <v>2.1</v>
      </c>
      <c r="V27" s="265" t="n">
        <f aca="false">M27-N27-O27-Q27-R27-S27+T27+U27</f>
        <v>98.7311</v>
      </c>
      <c r="W27" s="105" t="n">
        <f aca="false">W26+AM27-(AN27/1.9835)</f>
        <v>5084.61636486318</v>
      </c>
      <c r="X27" s="437" t="n">
        <f aca="false">X26</f>
        <v>1714.14</v>
      </c>
      <c r="Y27" s="101"/>
      <c r="Z27" s="128" t="n">
        <v>0</v>
      </c>
      <c r="AA27" s="129" t="n">
        <v>1.7</v>
      </c>
      <c r="AB27" s="130" t="n">
        <v>1.3</v>
      </c>
      <c r="AC27" s="448" t="n">
        <v>45</v>
      </c>
      <c r="AD27" s="449" t="n">
        <f aca="false">AD26-AC27</f>
        <v>15326.2578774893</v>
      </c>
      <c r="AE27" s="128" t="n">
        <f aca="false">N27+O27+Q27+R27+S27+V27+Z27+AC27</f>
        <v>193.1</v>
      </c>
      <c r="AF27" s="128" t="n">
        <f aca="false">IF(L27&lt;0,L27*-1,0)</f>
        <v>0</v>
      </c>
      <c r="AG27" s="447" t="n">
        <f aca="false">AE27+AF27</f>
        <v>193.1</v>
      </c>
      <c r="AH27" s="98" t="n">
        <v>0</v>
      </c>
      <c r="AI27" s="133" t="n">
        <v>66</v>
      </c>
      <c r="AJ27" s="100" t="n">
        <v>35</v>
      </c>
      <c r="AK27" s="243" t="n">
        <f aca="false">AK25</f>
        <v>14045.6062705</v>
      </c>
      <c r="AL27" s="101"/>
      <c r="AM27" s="437" t="n">
        <f aca="false">I27-Q27-R27-V27-AA27</f>
        <v>532.6655</v>
      </c>
      <c r="AN27" s="438" t="n">
        <f aca="false">29.8*(W26*1.9835+AM27*1.9835+X26*1.9835)/E27</f>
        <v>2.69657438938155</v>
      </c>
      <c r="AO27" s="102"/>
      <c r="AP27" s="8"/>
    </row>
    <row r="28" customFormat="false" ht="12.95" hidden="false" customHeight="true" outlineLevel="0" collapsed="false">
      <c r="A28" s="15" t="n">
        <f aca="false">A27+1</f>
        <v>17</v>
      </c>
      <c r="B28" s="439" t="n">
        <v>6905</v>
      </c>
      <c r="C28" s="94" t="n">
        <v>302396</v>
      </c>
      <c r="D28" s="99" t="n">
        <f aca="false">C28-C27</f>
        <v>1339</v>
      </c>
      <c r="E28" s="94" t="n">
        <f aca="false">C28-152000</f>
        <v>150396</v>
      </c>
      <c r="F28" s="444" t="n">
        <f aca="false">D28/$D$2</f>
        <v>675.069321905722</v>
      </c>
      <c r="G28" s="128" t="n">
        <v>722</v>
      </c>
      <c r="H28" s="445" t="n">
        <v>52</v>
      </c>
      <c r="I28" s="128" t="n">
        <f aca="false">G28+H28</f>
        <v>774</v>
      </c>
      <c r="J28" s="446" t="n">
        <f aca="false">IF(L28&gt;0,L28,0)</f>
        <v>132.869321905722</v>
      </c>
      <c r="K28" s="128" t="n">
        <f aca="false">I28+J28</f>
        <v>906.869321905722</v>
      </c>
      <c r="L28" s="128" t="n">
        <f aca="false">F28-(I28-AE28)</f>
        <v>132.869321905722</v>
      </c>
      <c r="M28" s="129" t="n">
        <v>73</v>
      </c>
      <c r="N28" s="126" t="n">
        <v>1.88</v>
      </c>
      <c r="O28" s="447" t="n">
        <f aca="false">(18.68+19.11)*1.05</f>
        <v>39.6795</v>
      </c>
      <c r="P28" s="447"/>
      <c r="Q28" s="386" t="n">
        <f aca="false">1.67*1.02</f>
        <v>1.7034</v>
      </c>
      <c r="R28" s="126" t="n">
        <f aca="false">3.57*1.04</f>
        <v>3.7128</v>
      </c>
      <c r="S28" s="268" t="n">
        <v>0</v>
      </c>
      <c r="T28" s="128" t="n">
        <v>101</v>
      </c>
      <c r="U28" s="128" t="n">
        <v>6.5</v>
      </c>
      <c r="V28" s="265" t="n">
        <f aca="false">M28-N28-O28-Q28-R28-S28+T28+U28</f>
        <v>133.5243</v>
      </c>
      <c r="W28" s="105" t="n">
        <f aca="false">W27+AM28-(AN28/1.9835)</f>
        <v>5716.50323891054</v>
      </c>
      <c r="X28" s="437" t="n">
        <f aca="false">X27</f>
        <v>1714.14</v>
      </c>
      <c r="Y28" s="101"/>
      <c r="Z28" s="128" t="n">
        <v>6.3</v>
      </c>
      <c r="AA28" s="129" t="n">
        <v>1.7</v>
      </c>
      <c r="AB28" s="130" t="n">
        <v>1.3</v>
      </c>
      <c r="AC28" s="448" t="n">
        <v>45</v>
      </c>
      <c r="AD28" s="449" t="n">
        <f aca="false">AD27-AC28</f>
        <v>15281.2578774893</v>
      </c>
      <c r="AE28" s="128" t="n">
        <f aca="false">N28+O28+Q28+R28+S28+V28+Z28+AC28</f>
        <v>231.8</v>
      </c>
      <c r="AF28" s="128" t="n">
        <f aca="false">IF(L28&lt;0,L28*-1,0)</f>
        <v>0</v>
      </c>
      <c r="AG28" s="447" t="n">
        <f aca="false">AE28+AF28</f>
        <v>231.8</v>
      </c>
      <c r="AH28" s="98" t="n">
        <v>0</v>
      </c>
      <c r="AI28" s="133" t="n">
        <v>65</v>
      </c>
      <c r="AJ28" s="100" t="n">
        <v>32</v>
      </c>
      <c r="AK28" s="243" t="n">
        <f aca="false">AK26</f>
        <v>14045.6062705</v>
      </c>
      <c r="AL28" s="101"/>
      <c r="AM28" s="437" t="n">
        <f aca="false">I28-Q28-R28-V28-AA28</f>
        <v>633.3595</v>
      </c>
      <c r="AN28" s="438" t="n">
        <f aca="false">29.8*(W27*1.9835+AM28*1.9835+X27*1.9835)/E28</f>
        <v>2.92095357705718</v>
      </c>
      <c r="AO28" s="102"/>
      <c r="AP28" s="8"/>
    </row>
    <row r="29" customFormat="false" ht="12.95" hidden="false" customHeight="true" outlineLevel="0" collapsed="false">
      <c r="A29" s="15" t="n">
        <f aca="false">A28+1</f>
        <v>18</v>
      </c>
      <c r="B29" s="439" t="n">
        <v>6905.35</v>
      </c>
      <c r="C29" s="94" t="n">
        <v>303745</v>
      </c>
      <c r="D29" s="99" t="n">
        <f aca="false">C29-C28</f>
        <v>1349</v>
      </c>
      <c r="E29" s="94" t="n">
        <f aca="false">C29-152000</f>
        <v>151745</v>
      </c>
      <c r="F29" s="444" t="n">
        <f aca="false">D29/$D$2</f>
        <v>680.110915049156</v>
      </c>
      <c r="G29" s="128" t="n">
        <v>829</v>
      </c>
      <c r="H29" s="445" t="n">
        <v>63</v>
      </c>
      <c r="I29" s="128" t="n">
        <f aca="false">G29+H29</f>
        <v>892</v>
      </c>
      <c r="J29" s="446" t="n">
        <f aca="false">IF(L29&gt;0,L29,0)</f>
        <v>25.9109150491555</v>
      </c>
      <c r="K29" s="128" t="n">
        <f aca="false">I29+J29</f>
        <v>917.910915049156</v>
      </c>
      <c r="L29" s="128" t="n">
        <f aca="false">F29-(I29-AE29)</f>
        <v>25.9109150491555</v>
      </c>
      <c r="M29" s="129" t="n">
        <v>84</v>
      </c>
      <c r="N29" s="126" t="n">
        <v>1.88</v>
      </c>
      <c r="O29" s="447" t="n">
        <f aca="false">(22.38+20.36)*1.05</f>
        <v>44.877</v>
      </c>
      <c r="P29" s="447"/>
      <c r="Q29" s="386" t="n">
        <f aca="false">1.67*1.02</f>
        <v>1.7034</v>
      </c>
      <c r="R29" s="126" t="n">
        <f aca="false">3.6*1.04</f>
        <v>3.744</v>
      </c>
      <c r="S29" s="268" t="n">
        <v>0</v>
      </c>
      <c r="T29" s="128" t="n">
        <v>101</v>
      </c>
      <c r="U29" s="128" t="n">
        <v>7.8</v>
      </c>
      <c r="V29" s="265" t="n">
        <f aca="false">M29-N29-O29-Q29-R29-S29+T29+U29</f>
        <v>140.5956</v>
      </c>
      <c r="W29" s="105" t="n">
        <f aca="false">W28+AM29-(AN29/1.9835)</f>
        <v>6369.31988037062</v>
      </c>
      <c r="X29" s="437" t="n">
        <f aca="false">X28</f>
        <v>1714.14</v>
      </c>
      <c r="Y29" s="101"/>
      <c r="Z29" s="128" t="n">
        <v>0</v>
      </c>
      <c r="AA29" s="129" t="n">
        <v>1.7</v>
      </c>
      <c r="AB29" s="130" t="n">
        <v>1.3</v>
      </c>
      <c r="AC29" s="448" t="n">
        <v>45</v>
      </c>
      <c r="AD29" s="449" t="n">
        <f aca="false">AD28-AC29</f>
        <v>15236.2578774893</v>
      </c>
      <c r="AE29" s="128" t="n">
        <f aca="false">N29+O29+Q29+R29+S29+V29+Z29+AC29</f>
        <v>237.8</v>
      </c>
      <c r="AF29" s="128" t="n">
        <f aca="false">IF(L29&lt;0,L29*-1,0)</f>
        <v>0</v>
      </c>
      <c r="AG29" s="447" t="n">
        <f aca="false">AE29+AF29</f>
        <v>237.8</v>
      </c>
      <c r="AH29" s="98" t="n">
        <v>0</v>
      </c>
      <c r="AI29" s="133" t="n">
        <v>48</v>
      </c>
      <c r="AJ29" s="100" t="n">
        <v>24</v>
      </c>
      <c r="AK29" s="243" t="n">
        <f aca="false">AK27</f>
        <v>14045.6062705</v>
      </c>
      <c r="AL29" s="101"/>
      <c r="AM29" s="437" t="n">
        <f aca="false">795-V29</f>
        <v>654.4044</v>
      </c>
      <c r="AN29" s="438" t="n">
        <f aca="false">29.8*(W28*1.9835+AM29*1.9835+X28*1.9835)/E29</f>
        <v>3.14931906392313</v>
      </c>
      <c r="AO29" s="102"/>
      <c r="AP29" s="8"/>
    </row>
    <row r="30" customFormat="false" ht="12.95" hidden="false" customHeight="true" outlineLevel="0" collapsed="false">
      <c r="A30" s="15" t="n">
        <f aca="false">A29+1</f>
        <v>19</v>
      </c>
      <c r="B30" s="439" t="n">
        <v>6905.6</v>
      </c>
      <c r="C30" s="94" t="n">
        <v>304709</v>
      </c>
      <c r="D30" s="99" t="n">
        <f aca="false">C30-C29</f>
        <v>964</v>
      </c>
      <c r="E30" s="94" t="n">
        <f aca="false">C30-152000</f>
        <v>152709</v>
      </c>
      <c r="F30" s="444" t="n">
        <f aca="false">D30/$D$2</f>
        <v>486.009579026973</v>
      </c>
      <c r="G30" s="128" t="n">
        <v>720</v>
      </c>
      <c r="H30" s="445" t="n">
        <v>33</v>
      </c>
      <c r="I30" s="128" t="n">
        <f aca="false">G30+H30</f>
        <v>753</v>
      </c>
      <c r="J30" s="446" t="n">
        <f aca="false">IF(L30&gt;0,L30,0)</f>
        <v>2.70957902697251</v>
      </c>
      <c r="K30" s="128" t="n">
        <f aca="false">I30+J30</f>
        <v>755.709579026972</v>
      </c>
      <c r="L30" s="128" t="n">
        <f aca="false">F30-(I30-AE30)</f>
        <v>2.70957902697251</v>
      </c>
      <c r="M30" s="129" t="n">
        <v>100</v>
      </c>
      <c r="N30" s="126" t="n">
        <v>1.88</v>
      </c>
      <c r="O30" s="447" t="n">
        <f aca="false">(25.69+26.81)*1.05</f>
        <v>55.125</v>
      </c>
      <c r="P30" s="447"/>
      <c r="Q30" s="386" t="n">
        <f aca="false">1.67*1.02</f>
        <v>1.7034</v>
      </c>
      <c r="R30" s="126" t="n">
        <f aca="false">3.88*1.04</f>
        <v>4.0352</v>
      </c>
      <c r="S30" s="268" t="n">
        <v>0</v>
      </c>
      <c r="T30" s="128" t="n">
        <v>101</v>
      </c>
      <c r="U30" s="128" t="n">
        <v>7.7</v>
      </c>
      <c r="V30" s="265" t="n">
        <f aca="false">M30-N30-O30-Q30-R30-S30+T30+U30</f>
        <v>145.9564</v>
      </c>
      <c r="W30" s="105" t="n">
        <f aca="false">W29+AM30-(AN30/1.9835)</f>
        <v>6967.23044629382</v>
      </c>
      <c r="X30" s="437" t="n">
        <f aca="false">X29</f>
        <v>1714.14</v>
      </c>
      <c r="Y30" s="101"/>
      <c r="Z30" s="128" t="n">
        <v>16</v>
      </c>
      <c r="AA30" s="129" t="n">
        <v>1.7</v>
      </c>
      <c r="AB30" s="130" t="n">
        <v>1.3</v>
      </c>
      <c r="AC30" s="448" t="n">
        <v>45</v>
      </c>
      <c r="AD30" s="449" t="n">
        <f aca="false">AD29-AC30</f>
        <v>15191.2578774893</v>
      </c>
      <c r="AE30" s="128" t="n">
        <f aca="false">N30+O30+Q30+R30+S30+V30+Z30+AC30</f>
        <v>269.7</v>
      </c>
      <c r="AF30" s="128" t="n">
        <f aca="false">IF(L30&lt;0,L30*-1,0)</f>
        <v>0</v>
      </c>
      <c r="AG30" s="447" t="n">
        <f aca="false">AE30+AF30</f>
        <v>269.7</v>
      </c>
      <c r="AH30" s="98" t="n">
        <v>0</v>
      </c>
      <c r="AI30" s="133" t="n">
        <v>57</v>
      </c>
      <c r="AJ30" s="100" t="n">
        <v>25</v>
      </c>
      <c r="AK30" s="243" t="n">
        <f aca="false">AK28</f>
        <v>14045.6062705</v>
      </c>
      <c r="AL30" s="101"/>
      <c r="AM30" s="437" t="n">
        <f aca="false">I30-Q30-R30-V30-AA30</f>
        <v>599.605</v>
      </c>
      <c r="AN30" s="438" t="n">
        <f aca="false">29.8*(W29*1.9835+AM30*1.9835+X29*1.9835)/E30</f>
        <v>3.3609099913457</v>
      </c>
      <c r="AO30" s="102"/>
      <c r="AP30" s="8"/>
    </row>
    <row r="31" customFormat="false" ht="12.95" hidden="false" customHeight="true" outlineLevel="0" collapsed="false">
      <c r="A31" s="15" t="n">
        <f aca="false">A30+1</f>
        <v>20</v>
      </c>
      <c r="B31" s="439" t="n">
        <v>6905.94</v>
      </c>
      <c r="C31" s="94" t="n">
        <v>306020</v>
      </c>
      <c r="D31" s="99" t="n">
        <f aca="false">C31-C30</f>
        <v>1311</v>
      </c>
      <c r="E31" s="94" t="n">
        <f aca="false">C31-152000</f>
        <v>154020</v>
      </c>
      <c r="F31" s="444" t="n">
        <f aca="false">D31/$D$2</f>
        <v>660.952861104109</v>
      </c>
      <c r="G31" s="128" t="n">
        <v>765</v>
      </c>
      <c r="H31" s="445" t="n">
        <v>31</v>
      </c>
      <c r="I31" s="128" t="n">
        <f aca="false">G31+H31</f>
        <v>796</v>
      </c>
      <c r="J31" s="446" t="n">
        <f aca="false">IF(L31&gt;0,L31,0)</f>
        <v>82.7528611041089</v>
      </c>
      <c r="K31" s="128" t="n">
        <f aca="false">I31+J31</f>
        <v>878.752861104109</v>
      </c>
      <c r="L31" s="128" t="n">
        <f aca="false">F31-(I31-AE31)</f>
        <v>82.7528611041089</v>
      </c>
      <c r="M31" s="129" t="n">
        <v>95</v>
      </c>
      <c r="N31" s="126" t="n">
        <v>1.88</v>
      </c>
      <c r="O31" s="447" t="n">
        <f aca="false">(24.86+27.79)*1.05</f>
        <v>55.2825</v>
      </c>
      <c r="P31" s="447"/>
      <c r="Q31" s="386" t="n">
        <f aca="false">1.67*1.02</f>
        <v>1.7034</v>
      </c>
      <c r="R31" s="126" t="n">
        <v>4.2</v>
      </c>
      <c r="S31" s="268" t="n">
        <v>2.03</v>
      </c>
      <c r="T31" s="128" t="n">
        <v>42</v>
      </c>
      <c r="U31" s="128" t="n">
        <v>9.8</v>
      </c>
      <c r="V31" s="265" t="n">
        <f aca="false">M31-N31-O31-Q31-R31-S31+T31+U31</f>
        <v>81.7041</v>
      </c>
      <c r="W31" s="105" t="n">
        <f aca="false">W30+AM31-(AN31/1.9835)</f>
        <v>7672.10653105034</v>
      </c>
      <c r="X31" s="437" t="n">
        <f aca="false">X30</f>
        <v>1714.14</v>
      </c>
      <c r="Y31" s="101"/>
      <c r="Z31" s="128" t="n">
        <v>26</v>
      </c>
      <c r="AA31" s="129" t="n">
        <v>1.7</v>
      </c>
      <c r="AB31" s="130" t="n">
        <v>1.3</v>
      </c>
      <c r="AC31" s="448" t="n">
        <v>45</v>
      </c>
      <c r="AD31" s="449" t="n">
        <f aca="false">AD30-AC31</f>
        <v>15146.2578774893</v>
      </c>
      <c r="AE31" s="128" t="n">
        <f aca="false">N31+O31+Q31+R31+S31+V31+Z31+AC31</f>
        <v>217.8</v>
      </c>
      <c r="AF31" s="128" t="n">
        <f aca="false">IF(L31&lt;0,L31*-1,0)</f>
        <v>0</v>
      </c>
      <c r="AG31" s="447" t="n">
        <f aca="false">AE31+AF31</f>
        <v>217.8</v>
      </c>
      <c r="AH31" s="98" t="n">
        <v>0</v>
      </c>
      <c r="AI31" s="133" t="n">
        <v>62</v>
      </c>
      <c r="AJ31" s="100" t="n">
        <v>28</v>
      </c>
      <c r="AK31" s="243" t="n">
        <f aca="false">AK29</f>
        <v>14045.6062705</v>
      </c>
      <c r="AL31" s="101"/>
      <c r="AM31" s="437" t="n">
        <f aca="false">I31-Q31-R31-V31-AA31</f>
        <v>706.6925</v>
      </c>
      <c r="AN31" s="438" t="n">
        <f aca="false">29.8*(W30*1.9835+AM31*1.9835+X30*1.9835)/E31</f>
        <v>3.60285963542669</v>
      </c>
      <c r="AO31" s="102"/>
      <c r="AP31" s="8"/>
    </row>
    <row r="32" customFormat="false" ht="12.95" hidden="false" customHeight="true" outlineLevel="0" collapsed="false">
      <c r="A32" s="15" t="n">
        <f aca="false">A31+1</f>
        <v>21</v>
      </c>
      <c r="B32" s="439" t="n">
        <v>6906.32</v>
      </c>
      <c r="C32" s="94" t="n">
        <v>307495</v>
      </c>
      <c r="D32" s="99" t="n">
        <f aca="false">C32-C31</f>
        <v>1475</v>
      </c>
      <c r="E32" s="94" t="n">
        <f aca="false">C32-152000</f>
        <v>155495</v>
      </c>
      <c r="F32" s="444" t="n">
        <f aca="false">D32/$D$2</f>
        <v>743.634988656415</v>
      </c>
      <c r="G32" s="128" t="n">
        <v>841</v>
      </c>
      <c r="H32" s="445" t="n">
        <v>34</v>
      </c>
      <c r="I32" s="128" t="n">
        <f aca="false">G32+H32</f>
        <v>875</v>
      </c>
      <c r="J32" s="446" t="n">
        <f aca="false">IF(L32&gt;0,L32,0)</f>
        <v>38.6349886564154</v>
      </c>
      <c r="K32" s="128" t="n">
        <f aca="false">I32+J32</f>
        <v>913.634988656415</v>
      </c>
      <c r="L32" s="128" t="n">
        <f aca="false">F32-(I32-AE32)</f>
        <v>38.6349886564154</v>
      </c>
      <c r="M32" s="129" t="n">
        <v>86</v>
      </c>
      <c r="N32" s="126" t="n">
        <v>1.88</v>
      </c>
      <c r="O32" s="447" t="n">
        <f aca="false">+(24.63+25.93)*1.05</f>
        <v>53.088</v>
      </c>
      <c r="P32" s="447"/>
      <c r="Q32" s="386" t="n">
        <f aca="false">1.67*1.02</f>
        <v>1.7034</v>
      </c>
      <c r="R32" s="126" t="n">
        <v>4.2</v>
      </c>
      <c r="S32" s="268" t="n">
        <v>0.98</v>
      </c>
      <c r="T32" s="128" t="n">
        <v>0</v>
      </c>
      <c r="U32" s="128" t="n">
        <v>16</v>
      </c>
      <c r="V32" s="265" t="n">
        <f aca="false">M32-N32-O32-Q32-R32-S32+T32+U32</f>
        <v>40.1486</v>
      </c>
      <c r="W32" s="105" t="n">
        <f aca="false">W31+AM32-(AN32/1.9835)</f>
        <v>8425.01442985516</v>
      </c>
      <c r="X32" s="437" t="n">
        <f aca="false">X31</f>
        <v>1714.14</v>
      </c>
      <c r="Y32" s="101"/>
      <c r="Z32" s="128" t="n">
        <v>23</v>
      </c>
      <c r="AA32" s="129" t="n">
        <v>1.7</v>
      </c>
      <c r="AB32" s="130" t="n">
        <v>1.3</v>
      </c>
      <c r="AC32" s="448" t="n">
        <v>45</v>
      </c>
      <c r="AD32" s="449" t="n">
        <f aca="false">AD31-AC32</f>
        <v>15101.2578774893</v>
      </c>
      <c r="AE32" s="128" t="n">
        <f aca="false">N32+O32+Q32+R32+S32+V32+Z32+AC32</f>
        <v>170</v>
      </c>
      <c r="AF32" s="128" t="n">
        <f aca="false">IF(L32&lt;0,L32*-1,0)</f>
        <v>0</v>
      </c>
      <c r="AG32" s="447" t="n">
        <f aca="false">AE32+AF32</f>
        <v>170</v>
      </c>
      <c r="AH32" s="98" t="n">
        <v>0</v>
      </c>
      <c r="AI32" s="99" t="n">
        <v>69</v>
      </c>
      <c r="AJ32" s="100" t="n">
        <v>33</v>
      </c>
      <c r="AK32" s="243" t="n">
        <f aca="false">AK30</f>
        <v>14045.6062705</v>
      </c>
      <c r="AL32" s="101"/>
      <c r="AM32" s="437" t="n">
        <f aca="false">795-V32</f>
        <v>754.8514</v>
      </c>
      <c r="AN32" s="438" t="n">
        <f aca="false">29.8*(W31*1.9835+AM32*1.9835+X31*1.9835)/E32</f>
        <v>3.85493462064956</v>
      </c>
      <c r="AO32" s="102"/>
      <c r="AP32" s="8"/>
    </row>
    <row r="33" customFormat="false" ht="12.95" hidden="false" customHeight="true" outlineLevel="0" collapsed="false">
      <c r="A33" s="15" t="n">
        <f aca="false">A32+1</f>
        <v>22</v>
      </c>
      <c r="B33" s="439" t="n">
        <v>6906.8</v>
      </c>
      <c r="C33" s="94" t="n">
        <v>309361</v>
      </c>
      <c r="D33" s="99" t="n">
        <f aca="false">C33-C32</f>
        <v>1866</v>
      </c>
      <c r="E33" s="94" t="n">
        <f aca="false">C33-152000</f>
        <v>157361</v>
      </c>
      <c r="F33" s="444" t="n">
        <f aca="false">D33/$D$2</f>
        <v>940.761280564658</v>
      </c>
      <c r="G33" s="128" t="n">
        <v>928</v>
      </c>
      <c r="H33" s="445" t="n">
        <v>43</v>
      </c>
      <c r="I33" s="128" t="n">
        <f aca="false">G33+H33</f>
        <v>971</v>
      </c>
      <c r="J33" s="446" t="n">
        <f aca="false">IF(L33&gt;0,L33,0)</f>
        <v>147.761280564658</v>
      </c>
      <c r="K33" s="128" t="n">
        <f aca="false">I33+J33</f>
        <v>1118.76128056466</v>
      </c>
      <c r="L33" s="128" t="n">
        <f aca="false">F33-(I33-AE33)</f>
        <v>147.761280564658</v>
      </c>
      <c r="M33" s="129" t="n">
        <v>82</v>
      </c>
      <c r="N33" s="126" t="n">
        <v>1.88</v>
      </c>
      <c r="O33" s="447" t="n">
        <f aca="false">(15.36+24.46)*1.05</f>
        <v>41.811</v>
      </c>
      <c r="P33" s="447"/>
      <c r="Q33" s="386" t="n">
        <f aca="false">1.67*1.02</f>
        <v>1.7034</v>
      </c>
      <c r="R33" s="126" t="n">
        <v>4.2</v>
      </c>
      <c r="S33" s="268" t="n">
        <v>2.12</v>
      </c>
      <c r="T33" s="128" t="n">
        <v>0</v>
      </c>
      <c r="U33" s="128" t="n">
        <v>25</v>
      </c>
      <c r="V33" s="265" t="n">
        <f aca="false">M33-N33-O33-Q33-R33-S33+T33+U33</f>
        <v>55.2856</v>
      </c>
      <c r="W33" s="105" t="n">
        <f aca="false">W32+AM33-(AN33/1.9835)</f>
        <v>9162.66866061927</v>
      </c>
      <c r="X33" s="437" t="n">
        <f aca="false">X32</f>
        <v>1714.14</v>
      </c>
      <c r="Y33" s="101"/>
      <c r="Z33" s="128" t="n">
        <v>26</v>
      </c>
      <c r="AA33" s="129" t="n">
        <v>1.7</v>
      </c>
      <c r="AB33" s="130" t="n">
        <v>1.3</v>
      </c>
      <c r="AC33" s="448" t="n">
        <v>45</v>
      </c>
      <c r="AD33" s="449" t="n">
        <f aca="false">AD32-AC33</f>
        <v>15056.2578774893</v>
      </c>
      <c r="AE33" s="128" t="n">
        <f aca="false">N33+O33+Q33+R33+S33+V33+Z33+AC33</f>
        <v>178</v>
      </c>
      <c r="AF33" s="128" t="n">
        <f aca="false">IF(L33&lt;0,L33*-1,0)</f>
        <v>0</v>
      </c>
      <c r="AG33" s="447" t="n">
        <f aca="false">AE33+AF33</f>
        <v>178</v>
      </c>
      <c r="AH33" s="98" t="n">
        <v>0</v>
      </c>
      <c r="AI33" s="99" t="n">
        <v>76</v>
      </c>
      <c r="AJ33" s="100" t="n">
        <v>42</v>
      </c>
      <c r="AK33" s="243" t="n">
        <f aca="false">AK31</f>
        <v>14045.6062705</v>
      </c>
      <c r="AL33" s="101"/>
      <c r="AM33" s="437" t="n">
        <f aca="false">795-V33</f>
        <v>739.7144</v>
      </c>
      <c r="AN33" s="438" t="n">
        <f aca="false">29.8*(W32*1.9835+AM33*1.9835+X32*1.9835)/E33</f>
        <v>4.08634567939787</v>
      </c>
      <c r="AO33" s="102"/>
      <c r="AP33" s="8"/>
    </row>
    <row r="34" customFormat="false" ht="12.95" hidden="false" customHeight="true" outlineLevel="0" collapsed="false">
      <c r="A34" s="15" t="n">
        <f aca="false">A33+1</f>
        <v>23</v>
      </c>
      <c r="B34" s="439" t="n">
        <v>6907.31</v>
      </c>
      <c r="C34" s="94" t="n">
        <v>311352</v>
      </c>
      <c r="D34" s="99" t="n">
        <f aca="false">C34-C33</f>
        <v>1991</v>
      </c>
      <c r="E34" s="94" t="n">
        <f aca="false">C34-152000</f>
        <v>159352</v>
      </c>
      <c r="F34" s="444" t="n">
        <f aca="false">D34/$D$2</f>
        <v>1003.78119485758</v>
      </c>
      <c r="G34" s="128" t="n">
        <v>1040</v>
      </c>
      <c r="H34" s="445" t="n">
        <v>46</v>
      </c>
      <c r="I34" s="128" t="n">
        <f aca="false">G34+H34</f>
        <v>1086</v>
      </c>
      <c r="J34" s="446" t="n">
        <f aca="false">IF(L34&gt;0,L34,0)</f>
        <v>95.0811948575749</v>
      </c>
      <c r="K34" s="128" t="n">
        <f aca="false">I34+J34</f>
        <v>1181.08119485758</v>
      </c>
      <c r="L34" s="128" t="n">
        <f aca="false">F34-(I34-AE34)</f>
        <v>95.0811948575749</v>
      </c>
      <c r="M34" s="129" t="n">
        <v>95</v>
      </c>
      <c r="N34" s="126" t="n">
        <v>1.88</v>
      </c>
      <c r="O34" s="447" t="n">
        <f aca="false">(10.07+17.97)*1.05</f>
        <v>29.442</v>
      </c>
      <c r="P34" s="447"/>
      <c r="Q34" s="386" t="n">
        <f aca="false">1.67*1.02</f>
        <v>1.7034</v>
      </c>
      <c r="R34" s="126" t="n">
        <v>4.2</v>
      </c>
      <c r="S34" s="268" t="n">
        <v>2.42</v>
      </c>
      <c r="T34" s="128" t="n">
        <v>0</v>
      </c>
      <c r="U34" s="128" t="n">
        <v>28</v>
      </c>
      <c r="V34" s="265" t="n">
        <f aca="false">M34-N34-O34-Q34-R34-S34+T34+U34</f>
        <v>83.3546</v>
      </c>
      <c r="W34" s="105" t="n">
        <f aca="false">W33+AM34-(AN34/1.9835)</f>
        <v>9872.14693418843</v>
      </c>
      <c r="X34" s="437" t="n">
        <f aca="false">X33</f>
        <v>1714.14</v>
      </c>
      <c r="Y34" s="101"/>
      <c r="Z34" s="128" t="n">
        <v>9.3</v>
      </c>
      <c r="AA34" s="129" t="n">
        <v>1.7</v>
      </c>
      <c r="AB34" s="130" t="n">
        <v>1.3</v>
      </c>
      <c r="AC34" s="448" t="n">
        <v>45</v>
      </c>
      <c r="AD34" s="449" t="n">
        <f aca="false">AD33-AC34</f>
        <v>15011.2578774893</v>
      </c>
      <c r="AE34" s="128" t="n">
        <f aca="false">N34+O34+Q34+R34+S34+V34+Z34+AC34</f>
        <v>177.3</v>
      </c>
      <c r="AF34" s="128" t="n">
        <f aca="false">IF(L34&lt;0,L34*-1,0)</f>
        <v>0</v>
      </c>
      <c r="AG34" s="447" t="n">
        <f aca="false">AE34+AF34</f>
        <v>177.3</v>
      </c>
      <c r="AH34" s="98" t="n">
        <v>0</v>
      </c>
      <c r="AI34" s="99" t="n">
        <v>71</v>
      </c>
      <c r="AJ34" s="134" t="n">
        <v>38</v>
      </c>
      <c r="AK34" s="243" t="n">
        <f aca="false">AK32</f>
        <v>14045.6062705</v>
      </c>
      <c r="AL34" s="101"/>
      <c r="AM34" s="437" t="n">
        <f aca="false">795-V34</f>
        <v>711.6454</v>
      </c>
      <c r="AN34" s="438" t="n">
        <f aca="false">29.8*(W33*1.9835+AM34*1.9835+X33*1.9835)/E34</f>
        <v>4.29849527556166</v>
      </c>
      <c r="AO34" s="102"/>
      <c r="AP34" s="8"/>
    </row>
    <row r="35" customFormat="false" ht="12.95" hidden="false" customHeight="true" outlineLevel="0" collapsed="false">
      <c r="A35" s="15" t="n">
        <f aca="false">A34+1</f>
        <v>24</v>
      </c>
      <c r="B35" s="439" t="n">
        <v>6907.78</v>
      </c>
      <c r="C35" s="94" t="n">
        <v>313194</v>
      </c>
      <c r="D35" s="99" t="n">
        <f aca="false">C35-C34</f>
        <v>1842</v>
      </c>
      <c r="E35" s="94" t="n">
        <f aca="false">C35-152000</f>
        <v>161194</v>
      </c>
      <c r="F35" s="444" t="n">
        <f aca="false">D35/$D$2</f>
        <v>928.661457020418</v>
      </c>
      <c r="G35" s="128" t="n">
        <v>1130</v>
      </c>
      <c r="H35" s="445" t="n">
        <v>58</v>
      </c>
      <c r="I35" s="128" t="n">
        <f aca="false">G35+H35</f>
        <v>1188</v>
      </c>
      <c r="J35" s="446" t="n">
        <f aca="false">IF(L35&gt;0,L35,0)</f>
        <v>0</v>
      </c>
      <c r="K35" s="128" t="n">
        <f aca="false">I35+J35</f>
        <v>1188</v>
      </c>
      <c r="L35" s="128" t="n">
        <f aca="false">F35-(I35-AE35)</f>
        <v>-52.3385429795816</v>
      </c>
      <c r="M35" s="129" t="n">
        <v>118</v>
      </c>
      <c r="N35" s="126" t="n">
        <v>1.88</v>
      </c>
      <c r="O35" s="447" t="n">
        <f aca="false">(14.94+16.46)*1.05</f>
        <v>32.97</v>
      </c>
      <c r="P35" s="447"/>
      <c r="Q35" s="386" t="n">
        <f aca="false">1.67*1.02</f>
        <v>1.7034</v>
      </c>
      <c r="R35" s="126" t="n">
        <v>4.2</v>
      </c>
      <c r="S35" s="268" t="n">
        <v>1.44</v>
      </c>
      <c r="T35" s="128" t="n">
        <v>0</v>
      </c>
      <c r="U35" s="128" t="n">
        <v>31</v>
      </c>
      <c r="V35" s="265" t="n">
        <f aca="false">M35-N35-O35-Q35-R35-S35+T35+U35</f>
        <v>106.8066</v>
      </c>
      <c r="W35" s="105" t="n">
        <f aca="false">W34+AM35-(AN35/1.9835)</f>
        <v>10558.0711460427</v>
      </c>
      <c r="X35" s="437" t="n">
        <f aca="false">X34</f>
        <v>1714.14</v>
      </c>
      <c r="Y35" s="101"/>
      <c r="Z35" s="128" t="n">
        <v>13</v>
      </c>
      <c r="AA35" s="129" t="n">
        <v>1.7</v>
      </c>
      <c r="AB35" s="130" t="n">
        <v>1.3</v>
      </c>
      <c r="AC35" s="448" t="n">
        <v>45</v>
      </c>
      <c r="AD35" s="449" t="n">
        <f aca="false">AD34-AC35</f>
        <v>14966.2578774893</v>
      </c>
      <c r="AE35" s="128" t="n">
        <f aca="false">N35+O35+Q35+R35+S35+V35+Z35+AC35</f>
        <v>207</v>
      </c>
      <c r="AF35" s="128" t="n">
        <f aca="false">IF(L35&lt;0,L35*-1,0)</f>
        <v>52.3385429795816</v>
      </c>
      <c r="AG35" s="447" t="n">
        <f aca="false">AE35+AF35</f>
        <v>259.338542979582</v>
      </c>
      <c r="AH35" s="98" t="n">
        <v>0</v>
      </c>
      <c r="AI35" s="99" t="n">
        <v>55</v>
      </c>
      <c r="AJ35" s="134" t="n">
        <v>28</v>
      </c>
      <c r="AK35" s="243" t="n">
        <f aca="false">AK33</f>
        <v>14045.6062705</v>
      </c>
      <c r="AL35" s="101"/>
      <c r="AM35" s="437" t="n">
        <f aca="false">795-V35</f>
        <v>688.1934</v>
      </c>
      <c r="AN35" s="438" t="n">
        <f aca="false">29.8*(W34*1.9835+AM35*1.9835+X34*1.9835)/E35</f>
        <v>4.5009346870064</v>
      </c>
      <c r="AO35" s="102"/>
      <c r="AP35" s="8"/>
    </row>
    <row r="36" customFormat="false" ht="12.95" hidden="false" customHeight="true" outlineLevel="0" collapsed="false">
      <c r="A36" s="15" t="n">
        <f aca="false">A35+1</f>
        <v>25</v>
      </c>
      <c r="B36" s="439" t="n">
        <v>6908.11</v>
      </c>
      <c r="C36" s="94" t="n">
        <v>314490</v>
      </c>
      <c r="D36" s="99" t="n">
        <f aca="false">C36-C35</f>
        <v>1296</v>
      </c>
      <c r="E36" s="94" t="n">
        <f aca="false">C36-152000</f>
        <v>162490</v>
      </c>
      <c r="F36" s="444" t="n">
        <f aca="false">D36/$D$2</f>
        <v>653.390471388959</v>
      </c>
      <c r="G36" s="128" t="n">
        <v>838</v>
      </c>
      <c r="H36" s="445" t="n">
        <v>23</v>
      </c>
      <c r="I36" s="128" t="n">
        <f aca="false">G36+H36</f>
        <v>861</v>
      </c>
      <c r="J36" s="446" t="n">
        <f aca="false">IF(L36&gt;0,L36,0)</f>
        <v>59.3904713889589</v>
      </c>
      <c r="K36" s="128" t="n">
        <f aca="false">I36+J36</f>
        <v>920.390471388959</v>
      </c>
      <c r="L36" s="128" t="n">
        <f aca="false">F36-(I36-AE36)</f>
        <v>59.3904713889589</v>
      </c>
      <c r="M36" s="129" t="n">
        <v>178</v>
      </c>
      <c r="N36" s="126" t="n">
        <v>1.88</v>
      </c>
      <c r="O36" s="447" t="n">
        <f aca="false">(31.37+32.89)*1.05</f>
        <v>67.473</v>
      </c>
      <c r="P36" s="447"/>
      <c r="Q36" s="386" t="n">
        <f aca="false">1.67*1.02</f>
        <v>1.7034</v>
      </c>
      <c r="R36" s="126" t="n">
        <v>4.2</v>
      </c>
      <c r="S36" s="268" t="n">
        <v>1.78</v>
      </c>
      <c r="T36" s="128" t="n">
        <v>0</v>
      </c>
      <c r="U36" s="128" t="n">
        <v>32</v>
      </c>
      <c r="V36" s="265" t="n">
        <f aca="false">M36-N36-O36-Q36-R36-S36+T36+U36</f>
        <v>132.9636</v>
      </c>
      <c r="W36" s="105" t="n">
        <f aca="false">W35+AM36-(AN36/1.9835)</f>
        <v>11217.7354580566</v>
      </c>
      <c r="X36" s="437" t="n">
        <f aca="false">X35</f>
        <v>1714.14</v>
      </c>
      <c r="Y36" s="101"/>
      <c r="Z36" s="128" t="n">
        <v>12</v>
      </c>
      <c r="AA36" s="129" t="n">
        <v>1.7</v>
      </c>
      <c r="AB36" s="130" t="n">
        <v>1.3</v>
      </c>
      <c r="AC36" s="448" t="n">
        <v>45</v>
      </c>
      <c r="AD36" s="449" t="n">
        <f aca="false">AD35-AC36</f>
        <v>14921.2578774893</v>
      </c>
      <c r="AE36" s="128" t="n">
        <f aca="false">N36+O36+Q36+R36+S36+V36+Z36+AC36</f>
        <v>267</v>
      </c>
      <c r="AF36" s="128" t="n">
        <f aca="false">IF(L36&lt;0,L36*-1,0)</f>
        <v>0</v>
      </c>
      <c r="AG36" s="447" t="n">
        <f aca="false">AE36+AF36</f>
        <v>267</v>
      </c>
      <c r="AH36" s="98" t="n">
        <v>0</v>
      </c>
      <c r="AI36" s="99" t="n">
        <v>63</v>
      </c>
      <c r="AJ36" s="134" t="n">
        <v>32</v>
      </c>
      <c r="AK36" s="243" t="n">
        <f aca="false">AK34</f>
        <v>14045.6062705</v>
      </c>
      <c r="AL36" s="101"/>
      <c r="AM36" s="437" t="n">
        <f aca="false">795-V36</f>
        <v>662.0364</v>
      </c>
      <c r="AN36" s="438" t="n">
        <f aca="false">29.8*(W35*1.9835+AM36*1.9835+X35*1.9835)/E36</f>
        <v>4.70503652055977</v>
      </c>
      <c r="AO36" s="102"/>
      <c r="AP36" s="8"/>
    </row>
    <row r="37" customFormat="false" ht="12.95" hidden="false" customHeight="true" outlineLevel="0" collapsed="false">
      <c r="A37" s="15" t="n">
        <f aca="false">A36+1</f>
        <v>26</v>
      </c>
      <c r="B37" s="439" t="n">
        <v>6908.42</v>
      </c>
      <c r="C37" s="94" t="n">
        <v>315715</v>
      </c>
      <c r="D37" s="99" t="n">
        <f aca="false">C37-C36</f>
        <v>1225</v>
      </c>
      <c r="E37" s="94" t="n">
        <f aca="false">C37-152000</f>
        <v>163715</v>
      </c>
      <c r="F37" s="444" t="n">
        <f aca="false">D37/$D$2</f>
        <v>617.595160070582</v>
      </c>
      <c r="G37" s="128" t="n">
        <v>863</v>
      </c>
      <c r="H37" s="445" t="n">
        <v>20</v>
      </c>
      <c r="I37" s="128" t="n">
        <f aca="false">G37+H37</f>
        <v>883</v>
      </c>
      <c r="J37" s="446" t="n">
        <f aca="false">IF(L37&gt;0,L37,0)</f>
        <v>52.5951600705823</v>
      </c>
      <c r="K37" s="128" t="n">
        <f aca="false">I37+J37</f>
        <v>935.595160070582</v>
      </c>
      <c r="L37" s="128" t="n">
        <f aca="false">F37-(I37-AE37)</f>
        <v>52.5951600705823</v>
      </c>
      <c r="M37" s="129" t="n">
        <v>222</v>
      </c>
      <c r="N37" s="126" t="n">
        <v>1.88</v>
      </c>
      <c r="O37" s="447" t="n">
        <f aca="false">(47.17+49.95)*1.05</f>
        <v>101.976</v>
      </c>
      <c r="P37" s="447"/>
      <c r="Q37" s="386" t="n">
        <f aca="false">1.67*1.02</f>
        <v>1.7034</v>
      </c>
      <c r="R37" s="126" t="n">
        <v>4.2</v>
      </c>
      <c r="S37" s="268" t="n">
        <v>1.51</v>
      </c>
      <c r="T37" s="128" t="n">
        <v>0</v>
      </c>
      <c r="U37" s="128" t="n">
        <v>34</v>
      </c>
      <c r="V37" s="265" t="n">
        <f aca="false">M37-N37-O37-Q37-R37-S37+T37+U37</f>
        <v>144.7306</v>
      </c>
      <c r="W37" s="105" t="n">
        <f aca="false">W36+AM37-(AN37/1.9835)</f>
        <v>11865.532586629</v>
      </c>
      <c r="X37" s="437" t="n">
        <f aca="false">X36</f>
        <v>1714.14</v>
      </c>
      <c r="Y37" s="101"/>
      <c r="Z37" s="128" t="n">
        <v>17</v>
      </c>
      <c r="AA37" s="129" t="n">
        <v>1.7</v>
      </c>
      <c r="AB37" s="130" t="n">
        <v>1.3</v>
      </c>
      <c r="AC37" s="448" t="n">
        <v>45</v>
      </c>
      <c r="AD37" s="449" t="n">
        <f aca="false">AD36-AC37</f>
        <v>14876.2578774893</v>
      </c>
      <c r="AE37" s="128" t="n">
        <f aca="false">N37+O37+Q37+R37+S37+V37+Z37+AC37</f>
        <v>318</v>
      </c>
      <c r="AF37" s="128" t="n">
        <f aca="false">IF(L37&lt;0,L37*-1,0)</f>
        <v>0</v>
      </c>
      <c r="AG37" s="447" t="n">
        <f aca="false">AE37+AF37</f>
        <v>318</v>
      </c>
      <c r="AH37" s="98" t="n">
        <v>0</v>
      </c>
      <c r="AI37" s="99" t="n">
        <v>69</v>
      </c>
      <c r="AJ37" s="100" t="n">
        <v>35</v>
      </c>
      <c r="AK37" s="243" t="n">
        <f aca="false">AK35</f>
        <v>14045.6062705</v>
      </c>
      <c r="AL37" s="101"/>
      <c r="AM37" s="437" t="n">
        <f aca="false">795-V37</f>
        <v>650.2694</v>
      </c>
      <c r="AN37" s="438" t="n">
        <f aca="false">29.8*(W36*1.9835+AM37*1.9835+X36*1.9835)/E37</f>
        <v>4.90375037665128</v>
      </c>
      <c r="AO37" s="102"/>
      <c r="AP37" s="3"/>
    </row>
    <row r="38" customFormat="false" ht="12.95" hidden="false" customHeight="true" outlineLevel="0" collapsed="false">
      <c r="A38" s="15" t="n">
        <f aca="false">A37+1</f>
        <v>27</v>
      </c>
      <c r="B38" s="439" t="n">
        <v>6908.9</v>
      </c>
      <c r="C38" s="94" t="n">
        <v>317610</v>
      </c>
      <c r="D38" s="99" t="n">
        <f aca="false">C38-C37</f>
        <v>1895</v>
      </c>
      <c r="E38" s="94" t="n">
        <f aca="false">C38-152000</f>
        <v>165610</v>
      </c>
      <c r="F38" s="444" t="n">
        <f aca="false">D38/$D$2</f>
        <v>955.381900680615</v>
      </c>
      <c r="G38" s="128" t="n">
        <v>1060</v>
      </c>
      <c r="H38" s="445" t="n">
        <v>28</v>
      </c>
      <c r="I38" s="128" t="n">
        <f aca="false">G38+H38</f>
        <v>1088</v>
      </c>
      <c r="J38" s="446" t="n">
        <f aca="false">IF(L38&gt;0,L38,0)</f>
        <v>174.381900680615</v>
      </c>
      <c r="K38" s="128" t="n">
        <f aca="false">I38+J38</f>
        <v>1262.38190068062</v>
      </c>
      <c r="L38" s="128" t="n">
        <f aca="false">F38-(I38-AE38)</f>
        <v>174.381900680615</v>
      </c>
      <c r="M38" s="129" t="n">
        <v>210</v>
      </c>
      <c r="N38" s="126" t="n">
        <v>1.88</v>
      </c>
      <c r="O38" s="447" t="n">
        <f aca="false">(47.15+48.98)*1.05</f>
        <v>100.9365</v>
      </c>
      <c r="P38" s="447"/>
      <c r="Q38" s="386" t="n">
        <f aca="false">1.67*1.02</f>
        <v>1.7034</v>
      </c>
      <c r="R38" s="126" t="n">
        <v>4.2</v>
      </c>
      <c r="S38" s="268" t="n">
        <v>1.84</v>
      </c>
      <c r="T38" s="128" t="n">
        <v>0</v>
      </c>
      <c r="U38" s="128" t="n">
        <v>36</v>
      </c>
      <c r="V38" s="265" t="n">
        <f aca="false">M38-N38-O38-Q38-R38-S38+T38+U38</f>
        <v>135.4401</v>
      </c>
      <c r="W38" s="105" t="n">
        <f aca="false">W37+AM38-(AN38/1.9835)</f>
        <v>12522.5302673904</v>
      </c>
      <c r="X38" s="437" t="n">
        <f aca="false">X37</f>
        <v>1714.14</v>
      </c>
      <c r="Y38" s="101"/>
      <c r="Z38" s="128" t="n">
        <v>16</v>
      </c>
      <c r="AA38" s="129" t="n">
        <v>1.7</v>
      </c>
      <c r="AB38" s="130" t="n">
        <v>1.3</v>
      </c>
      <c r="AC38" s="448" t="n">
        <v>45</v>
      </c>
      <c r="AD38" s="449" t="n">
        <f aca="false">AD37-AC38</f>
        <v>14831.2578774893</v>
      </c>
      <c r="AE38" s="128" t="n">
        <f aca="false">N38+O38+Q38+R38+S38+V38+Z38+AC38</f>
        <v>307</v>
      </c>
      <c r="AF38" s="128" t="n">
        <f aca="false">IF(L38&lt;0,L38*-1,0)</f>
        <v>0</v>
      </c>
      <c r="AG38" s="447" t="n">
        <f aca="false">AE38+AF38</f>
        <v>307</v>
      </c>
      <c r="AH38" s="98" t="n">
        <v>0</v>
      </c>
      <c r="AI38" s="99" t="n">
        <v>73</v>
      </c>
      <c r="AJ38" s="100" t="n">
        <v>41</v>
      </c>
      <c r="AK38" s="243" t="n">
        <f aca="false">AK36</f>
        <v>14045.6062705</v>
      </c>
      <c r="AL38" s="101"/>
      <c r="AM38" s="437" t="n">
        <f aca="false">795-V38</f>
        <v>659.5599</v>
      </c>
      <c r="AN38" s="438" t="n">
        <f aca="false">29.8*(W37*1.9835+AM38*1.9835+X37*1.9835)/E38</f>
        <v>5.08216185972713</v>
      </c>
      <c r="AO38" s="102"/>
      <c r="AP38" s="8"/>
    </row>
    <row r="39" customFormat="false" ht="12.95" hidden="false" customHeight="true" outlineLevel="0" collapsed="false">
      <c r="A39" s="15" t="n">
        <f aca="false">A38+1</f>
        <v>28</v>
      </c>
      <c r="B39" s="439" t="n">
        <v>6909.4</v>
      </c>
      <c r="C39" s="94" t="n">
        <v>319598</v>
      </c>
      <c r="D39" s="99" t="n">
        <f aca="false">C39-C38</f>
        <v>1988</v>
      </c>
      <c r="E39" s="94" t="n">
        <f aca="false">C39-152000</f>
        <v>167598</v>
      </c>
      <c r="F39" s="444" t="n">
        <f aca="false">D39/$D$2</f>
        <v>1002.26871691455</v>
      </c>
      <c r="G39" s="128" t="n">
        <v>1190</v>
      </c>
      <c r="H39" s="445" t="n">
        <v>40</v>
      </c>
      <c r="I39" s="128" t="n">
        <f aca="false">G39+H39</f>
        <v>1230</v>
      </c>
      <c r="J39" s="446" t="n">
        <f aca="false">IF(L39&gt;0,L39,0)</f>
        <v>71.2687169145449</v>
      </c>
      <c r="K39" s="128" t="n">
        <f aca="false">I39+J39</f>
        <v>1301.26871691455</v>
      </c>
      <c r="L39" s="128" t="n">
        <f aca="false">F39-(I39-AE39)</f>
        <v>71.2687169145449</v>
      </c>
      <c r="M39" s="129" t="n">
        <v>198</v>
      </c>
      <c r="N39" s="126" t="n">
        <v>1.88</v>
      </c>
      <c r="O39" s="447" t="n">
        <f aca="false">(34.88+32.06)*1.05</f>
        <v>70.287</v>
      </c>
      <c r="P39" s="447"/>
      <c r="Q39" s="386" t="n">
        <f aca="false">1.67*1.02</f>
        <v>1.7034</v>
      </c>
      <c r="R39" s="126" t="n">
        <v>4.2</v>
      </c>
      <c r="S39" s="268" t="n">
        <v>2.63</v>
      </c>
      <c r="T39" s="128" t="n">
        <v>0</v>
      </c>
      <c r="U39" s="128" t="n">
        <v>35</v>
      </c>
      <c r="V39" s="265" t="n">
        <f aca="false">M39-N39-O39-Q39-R39-S39+T39+U39</f>
        <v>152.2996</v>
      </c>
      <c r="W39" s="105" t="n">
        <f aca="false">W38+AM39-(AN39/1.9835)</f>
        <v>13162.5850197938</v>
      </c>
      <c r="X39" s="437" t="n">
        <f aca="false">X38</f>
        <v>1714.14</v>
      </c>
      <c r="Y39" s="101"/>
      <c r="Z39" s="128" t="n">
        <v>21</v>
      </c>
      <c r="AA39" s="129" t="n">
        <v>1.7</v>
      </c>
      <c r="AB39" s="130" t="n">
        <v>1.3</v>
      </c>
      <c r="AC39" s="448" t="n">
        <v>45</v>
      </c>
      <c r="AD39" s="449" t="n">
        <f aca="false">AD38-AC39</f>
        <v>14786.2578774893</v>
      </c>
      <c r="AE39" s="128" t="n">
        <f aca="false">N39+O39+Q39+R39+S39+V39+Z39+AC39</f>
        <v>299</v>
      </c>
      <c r="AF39" s="128" t="n">
        <f aca="false">IF(L39&lt;0,L39*-1,0)</f>
        <v>0</v>
      </c>
      <c r="AG39" s="447" t="n">
        <f aca="false">AE39+AF39</f>
        <v>299</v>
      </c>
      <c r="AH39" s="98" t="n">
        <v>0</v>
      </c>
      <c r="AI39" s="99" t="n">
        <v>66</v>
      </c>
      <c r="AJ39" s="100" t="n">
        <v>45</v>
      </c>
      <c r="AK39" s="243" t="n">
        <f aca="false">AK37</f>
        <v>14045.6062705</v>
      </c>
      <c r="AL39" s="101"/>
      <c r="AM39" s="437" t="n">
        <f aca="false">795-V39</f>
        <v>642.7004</v>
      </c>
      <c r="AN39" s="438" t="n">
        <f aca="false">29.8*(W38*1.9835+AM39*1.9835+X38*1.9835)/E39</f>
        <v>5.24764200777641</v>
      </c>
      <c r="AO39" s="102"/>
      <c r="AP39" s="8"/>
    </row>
    <row r="40" customFormat="false" ht="12.95" hidden="false" customHeight="true" outlineLevel="0" collapsed="false">
      <c r="A40" s="15" t="n">
        <f aca="false">A39+1</f>
        <v>29</v>
      </c>
      <c r="B40" s="439" t="n">
        <v>6909.88</v>
      </c>
      <c r="C40" s="94" t="n">
        <v>321509</v>
      </c>
      <c r="D40" s="99" t="n">
        <f aca="false">C40-C39</f>
        <v>1911</v>
      </c>
      <c r="E40" s="94" t="n">
        <f aca="false">C40-152000</f>
        <v>169509</v>
      </c>
      <c r="F40" s="444" t="n">
        <f aca="false">D40/$D$2</f>
        <v>963.448449710108</v>
      </c>
      <c r="G40" s="128" t="n">
        <v>1140</v>
      </c>
      <c r="H40" s="445" t="n">
        <v>29</v>
      </c>
      <c r="I40" s="128" t="n">
        <f aca="false">G40+H40</f>
        <v>1169</v>
      </c>
      <c r="J40" s="446" t="n">
        <f aca="false">IF(L40&gt;0,L40,0)</f>
        <v>85.4484497101083</v>
      </c>
      <c r="K40" s="128" t="n">
        <f aca="false">I40+J40</f>
        <v>1254.44844971011</v>
      </c>
      <c r="L40" s="128" t="n">
        <f aca="false">F40-(I40-AE40)</f>
        <v>85.4484497101083</v>
      </c>
      <c r="M40" s="129" t="n">
        <v>212</v>
      </c>
      <c r="N40" s="126" t="n">
        <v>1.88</v>
      </c>
      <c r="O40" s="447" t="n">
        <f aca="false">(29.86+31.77)*1.05</f>
        <v>64.7115</v>
      </c>
      <c r="P40" s="447"/>
      <c r="Q40" s="386" t="n">
        <f aca="false">1.67*1.02</f>
        <v>1.7034</v>
      </c>
      <c r="R40" s="126" t="n">
        <v>4.2</v>
      </c>
      <c r="S40" s="268" t="n">
        <v>1.04</v>
      </c>
      <c r="T40" s="128" t="n">
        <v>0</v>
      </c>
      <c r="U40" s="128" t="n">
        <v>34</v>
      </c>
      <c r="V40" s="265" t="n">
        <f aca="false">M40-N40-O40-Q40-R40-S40+T40+U40</f>
        <v>172.4651</v>
      </c>
      <c r="W40" s="105" t="n">
        <f aca="false">W39+AM40-(AN40/1.9835)</f>
        <v>13782.3951208415</v>
      </c>
      <c r="X40" s="437" t="n">
        <f aca="false">X39</f>
        <v>1714.14</v>
      </c>
      <c r="Y40" s="101"/>
      <c r="Z40" s="128" t="n">
        <v>0</v>
      </c>
      <c r="AA40" s="129" t="n">
        <v>1.7</v>
      </c>
      <c r="AB40" s="130" t="n">
        <v>1.3</v>
      </c>
      <c r="AC40" s="448" t="n">
        <v>45</v>
      </c>
      <c r="AD40" s="449" t="n">
        <f aca="false">AD39-AC40</f>
        <v>14741.2578774893</v>
      </c>
      <c r="AE40" s="128" t="n">
        <f aca="false">N40+O40+Q40+R40+S40+V40+Z40+AC40</f>
        <v>291</v>
      </c>
      <c r="AF40" s="128" t="n">
        <f aca="false">IF(L40&lt;0,L40*-1,0)</f>
        <v>0</v>
      </c>
      <c r="AG40" s="447" t="n">
        <f aca="false">AE40+AF40</f>
        <v>291</v>
      </c>
      <c r="AH40" s="98" t="n">
        <v>0</v>
      </c>
      <c r="AI40" s="133" t="n">
        <v>63</v>
      </c>
      <c r="AJ40" s="100" t="n">
        <v>30</v>
      </c>
      <c r="AK40" s="243" t="n">
        <f aca="false">AK38</f>
        <v>14045.6062705</v>
      </c>
      <c r="AL40" s="101"/>
      <c r="AM40" s="437" t="n">
        <f aca="false">795-V40</f>
        <v>622.5349</v>
      </c>
      <c r="AN40" s="438" t="n">
        <f aca="false">29.8*(W39*1.9835+AM40*1.9835+X39*1.9835)/E40</f>
        <v>5.40463872193894</v>
      </c>
      <c r="AO40" s="102"/>
      <c r="AP40" s="8"/>
    </row>
    <row r="41" customFormat="false" ht="12.95" hidden="false" customHeight="true" outlineLevel="0" collapsed="false">
      <c r="A41" s="15" t="n">
        <v>30</v>
      </c>
      <c r="B41" s="439" t="n">
        <v>6910.36</v>
      </c>
      <c r="C41" s="94" t="n">
        <v>323431</v>
      </c>
      <c r="D41" s="99" t="n">
        <f aca="false">C41-C40</f>
        <v>1922</v>
      </c>
      <c r="E41" s="94" t="n">
        <f aca="false">C41-152000</f>
        <v>171431</v>
      </c>
      <c r="F41" s="444" t="n">
        <f aca="false">D41/$D$2</f>
        <v>968.994202167885</v>
      </c>
      <c r="G41" s="128" t="n">
        <v>1110</v>
      </c>
      <c r="H41" s="445" t="n">
        <v>28</v>
      </c>
      <c r="I41" s="128" t="n">
        <f aca="false">G41+H41</f>
        <v>1138</v>
      </c>
      <c r="J41" s="446" t="n">
        <f aca="false">IF(L41&gt;0,L41,0)</f>
        <v>117.994202167885</v>
      </c>
      <c r="K41" s="128" t="n">
        <f aca="false">I41+J41</f>
        <v>1255.99420216789</v>
      </c>
      <c r="L41" s="128" t="n">
        <f aca="false">F41-(I41-AE41)</f>
        <v>117.994202167885</v>
      </c>
      <c r="M41" s="129" t="n">
        <v>207</v>
      </c>
      <c r="N41" s="126" t="n">
        <v>1.88</v>
      </c>
      <c r="O41" s="447" t="n">
        <f aca="false">(29.13+29)*1.05</f>
        <v>61.0365</v>
      </c>
      <c r="P41" s="447"/>
      <c r="Q41" s="386" t="n">
        <f aca="false">1.67*1.02</f>
        <v>1.7034</v>
      </c>
      <c r="R41" s="126" t="n">
        <v>4.2</v>
      </c>
      <c r="S41" s="268" t="n">
        <v>2.66</v>
      </c>
      <c r="T41" s="128" t="n">
        <v>0</v>
      </c>
      <c r="U41" s="128" t="n">
        <v>35</v>
      </c>
      <c r="V41" s="265" t="n">
        <f aca="false">M41-N41-O41-Q41-R41-S41+T41+U41</f>
        <v>170.5201</v>
      </c>
      <c r="W41" s="105" t="n">
        <f aca="false">W40+AM41-(AN41/1.9835)</f>
        <v>14404.0726907634</v>
      </c>
      <c r="X41" s="437" t="n">
        <f aca="false">X40</f>
        <v>1714.14</v>
      </c>
      <c r="Y41" s="101"/>
      <c r="Z41" s="128" t="n">
        <v>0</v>
      </c>
      <c r="AA41" s="129" t="n">
        <v>1.7</v>
      </c>
      <c r="AB41" s="130" t="n">
        <v>1.3</v>
      </c>
      <c r="AC41" s="448" t="n">
        <v>45</v>
      </c>
      <c r="AD41" s="449" t="n">
        <f aca="false">AD40-AC41</f>
        <v>14696.2578774893</v>
      </c>
      <c r="AE41" s="128" t="n">
        <f aca="false">N41+O41+Q41+R41+S41+V41+Z41+AC41</f>
        <v>287</v>
      </c>
      <c r="AF41" s="128" t="n">
        <f aca="false">IF(L41&lt;0,L41*-1,0)</f>
        <v>0</v>
      </c>
      <c r="AG41" s="447" t="n">
        <f aca="false">AE41+AF41</f>
        <v>287</v>
      </c>
      <c r="AH41" s="98" t="n">
        <v>0</v>
      </c>
      <c r="AI41" s="133" t="n">
        <v>70</v>
      </c>
      <c r="AJ41" s="100" t="n">
        <v>34</v>
      </c>
      <c r="AK41" s="243" t="n">
        <f aca="false">AK39</f>
        <v>14045.6062705</v>
      </c>
      <c r="AL41" s="101"/>
      <c r="AM41" s="437" t="n">
        <f aca="false">795-V41</f>
        <v>624.4799</v>
      </c>
      <c r="AN41" s="438" t="n">
        <f aca="false">29.8*(W40*1.9835+AM41*1.9835+X40*1.9835)/E41</f>
        <v>5.55842170993814</v>
      </c>
      <c r="AO41" s="102"/>
      <c r="AP41" s="8"/>
    </row>
    <row r="42" customFormat="false" ht="3" hidden="false" customHeight="true" outlineLevel="0" collapsed="false">
      <c r="A42" s="106"/>
      <c r="B42" s="450"/>
      <c r="C42" s="114"/>
      <c r="D42" s="112"/>
      <c r="E42" s="114"/>
      <c r="F42" s="441"/>
      <c r="G42" s="112"/>
      <c r="H42" s="442"/>
      <c r="I42" s="112"/>
      <c r="J42" s="112"/>
      <c r="K42" s="112"/>
      <c r="L42" s="112"/>
      <c r="M42" s="115"/>
      <c r="N42" s="112"/>
      <c r="O42" s="112"/>
      <c r="P42" s="112"/>
      <c r="Q42" s="112"/>
      <c r="R42" s="112"/>
      <c r="S42" s="113"/>
      <c r="T42" s="112"/>
      <c r="U42" s="112"/>
      <c r="V42" s="112"/>
      <c r="W42" s="117"/>
      <c r="X42" s="117"/>
      <c r="Y42" s="119"/>
      <c r="Z42" s="112"/>
      <c r="AA42" s="115"/>
      <c r="AB42" s="113"/>
      <c r="AC42" s="112"/>
      <c r="AD42" s="112"/>
      <c r="AE42" s="112"/>
      <c r="AF42" s="112"/>
      <c r="AG42" s="112"/>
      <c r="AH42" s="116"/>
      <c r="AI42" s="117"/>
      <c r="AJ42" s="118"/>
      <c r="AK42" s="117"/>
      <c r="AL42" s="119"/>
      <c r="AM42" s="117"/>
      <c r="AN42" s="443"/>
      <c r="AO42" s="443"/>
      <c r="AP42" s="443"/>
    </row>
    <row r="43" customFormat="false" ht="12.95" hidden="false" customHeight="true" outlineLevel="0" collapsed="false">
      <c r="A43" s="16" t="s">
        <v>76</v>
      </c>
      <c r="B43" s="436"/>
      <c r="C43" s="94"/>
      <c r="D43" s="94"/>
      <c r="E43" s="94"/>
      <c r="F43" s="136" t="n">
        <f aca="false">SUM(F12:F41)</f>
        <v>16456.2641794807</v>
      </c>
      <c r="G43" s="96" t="n">
        <f aca="false">SUM(G12:G41)</f>
        <v>18490</v>
      </c>
      <c r="H43" s="96" t="n">
        <f aca="false">SUM(H12:H41)</f>
        <v>834.9</v>
      </c>
      <c r="I43" s="96" t="n">
        <f aca="false">SUM(I12:I41)</f>
        <v>19324.9</v>
      </c>
      <c r="J43" s="96" t="n">
        <f aca="false">SUM(J12:J41)</f>
        <v>3004.1027224603</v>
      </c>
      <c r="K43" s="96" t="n">
        <f aca="false">SUM(K12:K41)</f>
        <v>22329.0027224603</v>
      </c>
      <c r="L43" s="96" t="n">
        <f aca="false">SUM(L12:L41)</f>
        <v>2951.76417948072</v>
      </c>
      <c r="M43" s="97" t="n">
        <f aca="false">SUM(M12:M41)</f>
        <v>3303</v>
      </c>
      <c r="N43" s="94" t="n">
        <f aca="false">SUM(N12:N41)</f>
        <v>56.414391</v>
      </c>
      <c r="O43" s="94" t="n">
        <f aca="false">SUM(O12:O41)</f>
        <v>1964.0355</v>
      </c>
      <c r="P43" s="94" t="n">
        <f aca="false">SUM(P12:P41)</f>
        <v>0</v>
      </c>
      <c r="Q43" s="94" t="n">
        <f aca="false">SUM(Q12:Q41)</f>
        <v>51.102</v>
      </c>
      <c r="R43" s="94" t="n">
        <f aca="false">SUM(R12:R41)</f>
        <v>113.8264</v>
      </c>
      <c r="S43" s="95" t="n">
        <f aca="false">SUM(S12:S41)</f>
        <v>22.23</v>
      </c>
      <c r="T43" s="96" t="n">
        <f aca="false">SUM(T12:T41)</f>
        <v>627</v>
      </c>
      <c r="U43" s="96" t="n">
        <f aca="false">SUM(U12:U41)</f>
        <v>369.8</v>
      </c>
      <c r="V43" s="96" t="n">
        <f aca="false">SUM(V12:V41)</f>
        <v>2092.191709</v>
      </c>
      <c r="W43" s="437"/>
      <c r="X43" s="437"/>
      <c r="Y43" s="101"/>
      <c r="Z43" s="96" t="n">
        <f aca="false">SUM(Z12:Z41)</f>
        <v>185.6</v>
      </c>
      <c r="AA43" s="96" t="n">
        <f aca="false">SUM(AA12:AA41)</f>
        <v>51</v>
      </c>
      <c r="AB43" s="96" t="n">
        <f aca="false">SUM(AB12:AB41)</f>
        <v>39</v>
      </c>
      <c r="AC43" s="96" t="n">
        <f aca="false">SUM(AC12:AC41)</f>
        <v>1335</v>
      </c>
      <c r="AD43" s="96"/>
      <c r="AE43" s="96" t="n">
        <f aca="false">SUM(AE12:AE41)</f>
        <v>5820.4</v>
      </c>
      <c r="AF43" s="96" t="n">
        <f aca="false">SUM(AF12:AF41)</f>
        <v>52.3385429795816</v>
      </c>
      <c r="AG43" s="94" t="n">
        <f aca="false">SUM(AG12:AG41)</f>
        <v>5872.73854297958</v>
      </c>
      <c r="AH43" s="98" t="n">
        <f aca="false">SUM(AH12:AH41)</f>
        <v>0.83</v>
      </c>
      <c r="AI43" s="99" t="n">
        <f aca="false">AVERAGE(AI12:AI41)</f>
        <v>62.4333333333333</v>
      </c>
      <c r="AJ43" s="100" t="n">
        <f aca="false">AVERAGE(AJ12:AJ41)</f>
        <v>33.9666666666667</v>
      </c>
      <c r="AK43" s="437" t="s">
        <v>108</v>
      </c>
      <c r="AL43" s="451" t="n">
        <f aca="false">SUM(AL12:AL41)</f>
        <v>119.257006</v>
      </c>
      <c r="AM43" s="437"/>
      <c r="AN43" s="438"/>
      <c r="AO43" s="102"/>
    </row>
    <row r="44" customFormat="false" ht="12.95" hidden="false" customHeight="true" outlineLevel="0" collapsed="false">
      <c r="A44" s="16" t="s">
        <v>78</v>
      </c>
      <c r="B44" s="436"/>
      <c r="C44" s="94"/>
      <c r="D44" s="94" t="n">
        <f aca="false">SUM(D12:D41)</f>
        <v>32641</v>
      </c>
      <c r="E44" s="94"/>
      <c r="F44" s="136" t="n">
        <f aca="false">F43*$D$2</f>
        <v>32641</v>
      </c>
      <c r="G44" s="96" t="n">
        <f aca="false">G43*$D$2</f>
        <v>36674.915</v>
      </c>
      <c r="H44" s="96" t="n">
        <f aca="false">H43*$D$2</f>
        <v>1656.02415</v>
      </c>
      <c r="I44" s="96" t="n">
        <f aca="false">I43*$D$2</f>
        <v>38330.93915</v>
      </c>
      <c r="J44" s="96" t="n">
        <f aca="false">J43*$D$2</f>
        <v>5958.63775</v>
      </c>
      <c r="K44" s="96" t="n">
        <f aca="false">K43*$D$2</f>
        <v>44289.5769</v>
      </c>
      <c r="L44" s="96" t="n">
        <f aca="false">L43*$D$2</f>
        <v>5854.82425</v>
      </c>
      <c r="M44" s="97" t="n">
        <f aca="false">M43*$D$2</f>
        <v>6551.5005</v>
      </c>
      <c r="N44" s="94" t="n">
        <f aca="false">N43*$D$2</f>
        <v>111.8979445485</v>
      </c>
      <c r="O44" s="94" t="n">
        <f aca="false">O43*$D$2</f>
        <v>3895.66441425</v>
      </c>
      <c r="P44" s="94" t="n">
        <f aca="false">P43*$D$2</f>
        <v>0</v>
      </c>
      <c r="Q44" s="94" t="n">
        <f aca="false">Q43*$D$2</f>
        <v>101.360817</v>
      </c>
      <c r="R44" s="94" t="n">
        <f aca="false">R43*$D$2</f>
        <v>225.7746644</v>
      </c>
      <c r="S44" s="95" t="n">
        <f aca="false">S43*$D$2</f>
        <v>44.093205</v>
      </c>
      <c r="T44" s="96" t="n">
        <f aca="false">T43*$D$2</f>
        <v>1243.6545</v>
      </c>
      <c r="U44" s="96" t="n">
        <f aca="false">U43*$D$2</f>
        <v>733.4983</v>
      </c>
      <c r="V44" s="96" t="n">
        <f aca="false">V43*$D$2</f>
        <v>4149.8622548015</v>
      </c>
      <c r="W44" s="437"/>
      <c r="X44" s="437"/>
      <c r="Y44" s="101"/>
      <c r="Z44" s="96" t="n">
        <f aca="false">Z43*$D$2</f>
        <v>368.1376</v>
      </c>
      <c r="AA44" s="96" t="n">
        <f aca="false">AA43*$D$2</f>
        <v>101.1585</v>
      </c>
      <c r="AB44" s="96" t="n">
        <f aca="false">AB43*$D$2</f>
        <v>77.3565</v>
      </c>
      <c r="AC44" s="96" t="n">
        <f aca="false">AC43*$D$2</f>
        <v>2647.9725</v>
      </c>
      <c r="AD44" s="96"/>
      <c r="AE44" s="96" t="n">
        <f aca="false">AE43*$D$2</f>
        <v>11544.7634</v>
      </c>
      <c r="AF44" s="96" t="n">
        <f aca="false">AF43*$D$2</f>
        <v>103.8135</v>
      </c>
      <c r="AG44" s="94" t="n">
        <f aca="false">AG43*$D$2</f>
        <v>11648.5769</v>
      </c>
      <c r="AH44" s="98"/>
      <c r="AI44" s="99" t="n">
        <f aca="false">MAX(AI12:AI41)</f>
        <v>76</v>
      </c>
      <c r="AJ44" s="100" t="n">
        <f aca="false">MAX(AJ12:AJ41)</f>
        <v>45</v>
      </c>
      <c r="AK44" s="437" t="s">
        <v>79</v>
      </c>
      <c r="AL44" s="451" t="n">
        <f aca="false">AL43*$D$2</f>
        <v>236.546271401</v>
      </c>
      <c r="AM44" s="437"/>
      <c r="AN44" s="438" t="n">
        <f aca="false">SUM(AN12:AN41)</f>
        <v>84.2828824693497</v>
      </c>
      <c r="AO44" s="102"/>
    </row>
    <row r="45" customFormat="false" ht="3" hidden="false" customHeight="true" outlineLevel="0" collapsed="false">
      <c r="A45" s="138"/>
      <c r="B45" s="450"/>
      <c r="C45" s="114"/>
      <c r="D45" s="114"/>
      <c r="E45" s="114"/>
      <c r="F45" s="143"/>
      <c r="G45" s="114"/>
      <c r="H45" s="114"/>
      <c r="I45" s="114"/>
      <c r="J45" s="114"/>
      <c r="K45" s="114"/>
      <c r="L45" s="114"/>
      <c r="M45" s="142"/>
      <c r="N45" s="114"/>
      <c r="O45" s="114"/>
      <c r="P45" s="114"/>
      <c r="Q45" s="114"/>
      <c r="R45" s="114"/>
      <c r="S45" s="141"/>
      <c r="T45" s="114"/>
      <c r="U45" s="114"/>
      <c r="V45" s="114"/>
      <c r="W45" s="117"/>
      <c r="X45" s="117"/>
      <c r="Y45" s="119"/>
      <c r="Z45" s="114"/>
      <c r="AA45" s="114"/>
      <c r="AB45" s="114"/>
      <c r="AC45" s="114"/>
      <c r="AD45" s="112"/>
      <c r="AE45" s="114"/>
      <c r="AF45" s="114"/>
      <c r="AG45" s="114"/>
      <c r="AH45" s="452"/>
      <c r="AI45" s="114"/>
      <c r="AJ45" s="143"/>
      <c r="AK45" s="117"/>
      <c r="AL45" s="119"/>
      <c r="AM45" s="117"/>
      <c r="AN45" s="443"/>
      <c r="AO45" s="443"/>
      <c r="AP45" s="443"/>
    </row>
    <row r="46" customFormat="false" ht="12.95" hidden="false" customHeight="true" outlineLevel="0" collapsed="false">
      <c r="A46" s="16" t="s">
        <v>80</v>
      </c>
      <c r="B46" s="436"/>
      <c r="C46" s="94"/>
      <c r="D46" s="94"/>
      <c r="E46" s="94"/>
      <c r="F46" s="136" t="n">
        <f aca="false">F43</f>
        <v>16456.2641794807</v>
      </c>
      <c r="G46" s="96" t="n">
        <f aca="false">G43</f>
        <v>18490</v>
      </c>
      <c r="H46" s="437" t="n">
        <f aca="false">H43</f>
        <v>834.9</v>
      </c>
      <c r="I46" s="96" t="n">
        <f aca="false">I43</f>
        <v>19324.9</v>
      </c>
      <c r="J46" s="96" t="n">
        <f aca="false">J43</f>
        <v>3004.1027224603</v>
      </c>
      <c r="K46" s="96" t="n">
        <f aca="false">K43</f>
        <v>22329.0027224603</v>
      </c>
      <c r="L46" s="96" t="n">
        <f aca="false">L43</f>
        <v>2951.76417948072</v>
      </c>
      <c r="M46" s="97" t="n">
        <f aca="false">M43</f>
        <v>3303</v>
      </c>
      <c r="N46" s="94" t="n">
        <f aca="false">N43</f>
        <v>56.414391</v>
      </c>
      <c r="O46" s="94" t="n">
        <f aca="false">O9+O43</f>
        <v>2072.6055</v>
      </c>
      <c r="P46" s="94" t="n">
        <f aca="false">P9+P43</f>
        <v>0</v>
      </c>
      <c r="Q46" s="94"/>
      <c r="R46" s="94"/>
      <c r="S46" s="95"/>
      <c r="T46" s="96" t="n">
        <f aca="false">T43</f>
        <v>627</v>
      </c>
      <c r="U46" s="96" t="n">
        <f aca="false">U43</f>
        <v>369.8</v>
      </c>
      <c r="V46" s="96" t="n">
        <f aca="false">V9+V43</f>
        <v>2092.191709</v>
      </c>
      <c r="W46" s="437" t="n">
        <f aca="false">W41</f>
        <v>14404.0726907634</v>
      </c>
      <c r="X46" s="437" t="n">
        <f aca="false">X41</f>
        <v>1714.14</v>
      </c>
      <c r="Y46" s="101"/>
      <c r="Z46" s="96" t="n">
        <f aca="false">Z43</f>
        <v>185.6</v>
      </c>
      <c r="AA46" s="96" t="n">
        <f aca="false">AA43</f>
        <v>51</v>
      </c>
      <c r="AB46" s="96" t="n">
        <f aca="false">AB43</f>
        <v>39</v>
      </c>
      <c r="AC46" s="96"/>
      <c r="AD46" s="96"/>
      <c r="AE46" s="96" t="n">
        <f aca="false">AE43</f>
        <v>5820.4</v>
      </c>
      <c r="AF46" s="96" t="n">
        <f aca="false">AF43</f>
        <v>52.3385429795816</v>
      </c>
      <c r="AG46" s="94" t="n">
        <f aca="false">AG43</f>
        <v>5872.73854297958</v>
      </c>
      <c r="AH46" s="98"/>
      <c r="AI46" s="99" t="n">
        <f aca="false">MIN(AI12:AI41)</f>
        <v>40</v>
      </c>
      <c r="AJ46" s="100" t="n">
        <f aca="false">MIN(AJ12:AJ41)</f>
        <v>24</v>
      </c>
      <c r="AK46" s="437" t="s">
        <v>81</v>
      </c>
      <c r="AL46" s="101"/>
      <c r="AM46" s="437"/>
      <c r="AN46" s="438"/>
      <c r="AO46" s="102"/>
    </row>
    <row r="47" customFormat="false" ht="12.95" hidden="false" customHeight="true" outlineLevel="0" collapsed="false">
      <c r="A47" s="16" t="s">
        <v>82</v>
      </c>
      <c r="B47" s="436"/>
      <c r="C47" s="94"/>
      <c r="D47" s="94"/>
      <c r="E47" s="94"/>
      <c r="F47" s="136" t="n">
        <f aca="false">F46*$D$2</f>
        <v>32641</v>
      </c>
      <c r="G47" s="96" t="n">
        <f aca="false">G46*$D$2</f>
        <v>36674.915</v>
      </c>
      <c r="H47" s="437" t="n">
        <f aca="false">H46*$D$2</f>
        <v>1656.02415</v>
      </c>
      <c r="I47" s="96" t="n">
        <f aca="false">I46*$D$2</f>
        <v>38330.93915</v>
      </c>
      <c r="J47" s="96" t="n">
        <f aca="false">J46*$D$2</f>
        <v>5958.63775</v>
      </c>
      <c r="K47" s="96" t="n">
        <f aca="false">K46*$D$2</f>
        <v>44289.5769</v>
      </c>
      <c r="L47" s="96" t="n">
        <f aca="false">L46*$D$2</f>
        <v>5854.82425</v>
      </c>
      <c r="M47" s="97" t="n">
        <f aca="false">M46*$D$2</f>
        <v>6551.5005</v>
      </c>
      <c r="N47" s="94" t="n">
        <f aca="false">N46*$D$2</f>
        <v>111.8979445485</v>
      </c>
      <c r="O47" s="94" t="n">
        <f aca="false">O46*$D$2</f>
        <v>4111.01300925</v>
      </c>
      <c r="P47" s="94" t="n">
        <f aca="false">P46*$D$2</f>
        <v>0</v>
      </c>
      <c r="Q47" s="94"/>
      <c r="R47" s="94"/>
      <c r="S47" s="95"/>
      <c r="T47" s="96" t="n">
        <f aca="false">T46*$D$2</f>
        <v>1243.6545</v>
      </c>
      <c r="U47" s="96" t="n">
        <f aca="false">U46*$D$2</f>
        <v>733.4983</v>
      </c>
      <c r="V47" s="96" t="n">
        <f aca="false">V46*$D$2</f>
        <v>4149.8622548015</v>
      </c>
      <c r="W47" s="437" t="n">
        <f aca="false">W46*$D$2</f>
        <v>28570.4781821291</v>
      </c>
      <c r="X47" s="437" t="n">
        <f aca="false">X46*$D$2</f>
        <v>3399.99669</v>
      </c>
      <c r="Y47" s="101"/>
      <c r="Z47" s="96" t="n">
        <f aca="false">Z46*$D$2</f>
        <v>368.1376</v>
      </c>
      <c r="AA47" s="96" t="n">
        <f aca="false">AA46*$D$2</f>
        <v>101.1585</v>
      </c>
      <c r="AB47" s="96" t="n">
        <f aca="false">AB46*$D$2</f>
        <v>77.3565</v>
      </c>
      <c r="AC47" s="96"/>
      <c r="AD47" s="96"/>
      <c r="AE47" s="96" t="n">
        <f aca="false">AE46*$D$2</f>
        <v>11544.7634</v>
      </c>
      <c r="AF47" s="96" t="n">
        <f aca="false">AF46*$D$2</f>
        <v>103.8135</v>
      </c>
      <c r="AG47" s="94" t="n">
        <f aca="false">AG46*$D$2</f>
        <v>11648.5769</v>
      </c>
      <c r="AH47" s="98"/>
      <c r="AI47" s="99"/>
      <c r="AJ47" s="100"/>
      <c r="AK47" s="437"/>
      <c r="AL47" s="101"/>
      <c r="AM47" s="437"/>
      <c r="AN47" s="438" t="n">
        <f aca="false">AN44</f>
        <v>84.2828824693497</v>
      </c>
      <c r="AO47" s="102"/>
    </row>
    <row r="48" customFormat="false" ht="3" hidden="false" customHeight="true" outlineLevel="0" collapsed="false">
      <c r="A48" s="138"/>
      <c r="B48" s="450"/>
      <c r="C48" s="114"/>
      <c r="D48" s="114"/>
      <c r="E48" s="114"/>
      <c r="F48" s="143"/>
      <c r="G48" s="114"/>
      <c r="H48" s="117"/>
      <c r="I48" s="114"/>
      <c r="J48" s="114"/>
      <c r="K48" s="114"/>
      <c r="L48" s="114"/>
      <c r="M48" s="142"/>
      <c r="N48" s="114"/>
      <c r="O48" s="114"/>
      <c r="P48" s="114"/>
      <c r="Q48" s="114"/>
      <c r="R48" s="114"/>
      <c r="S48" s="141"/>
      <c r="T48" s="114"/>
      <c r="U48" s="114"/>
      <c r="V48" s="114"/>
      <c r="W48" s="117"/>
      <c r="X48" s="117"/>
      <c r="Y48" s="119"/>
      <c r="Z48" s="114"/>
      <c r="AA48" s="114"/>
      <c r="AB48" s="114"/>
      <c r="AC48" s="114"/>
      <c r="AD48" s="114"/>
      <c r="AE48" s="114"/>
      <c r="AF48" s="114"/>
      <c r="AG48" s="114"/>
      <c r="AH48" s="116"/>
      <c r="AI48" s="453"/>
      <c r="AJ48" s="454"/>
      <c r="AK48" s="117"/>
      <c r="AL48" s="119"/>
      <c r="AM48" s="117"/>
      <c r="AN48" s="443"/>
      <c r="AO48" s="443"/>
      <c r="AP48" s="443"/>
    </row>
    <row r="49" customFormat="false" ht="12.95" hidden="false" customHeight="true" outlineLevel="0" collapsed="false">
      <c r="A49" s="16" t="s">
        <v>83</v>
      </c>
      <c r="B49" s="436"/>
      <c r="C49" s="94"/>
      <c r="D49" s="94"/>
      <c r="E49" s="94"/>
      <c r="F49" s="136" t="n">
        <f aca="false">F10+F43</f>
        <v>12128.5606251576</v>
      </c>
      <c r="G49" s="96" t="n">
        <f aca="false">G10+G43</f>
        <v>26142</v>
      </c>
      <c r="H49" s="437" t="n">
        <f aca="false">H10+H43</f>
        <v>1057.723</v>
      </c>
      <c r="I49" s="96" t="n">
        <f aca="false">I10+I43</f>
        <v>27199.723</v>
      </c>
      <c r="J49" s="96" t="n">
        <f aca="false">J10+J43</f>
        <v>4536.2911066297</v>
      </c>
      <c r="K49" s="96" t="n">
        <f aca="false">K10+K43</f>
        <v>31736.0141066297</v>
      </c>
      <c r="L49" s="96" t="n">
        <f aca="false">L10+L43</f>
        <v>3266.24762515755</v>
      </c>
      <c r="M49" s="97" t="n">
        <f aca="false">M10+M43</f>
        <v>4595.6</v>
      </c>
      <c r="N49" s="94" t="n">
        <f aca="false">N10+N43</f>
        <v>56.414391</v>
      </c>
      <c r="O49" s="94" t="n">
        <f aca="false">O10+O43</f>
        <v>2072.6055</v>
      </c>
      <c r="P49" s="94"/>
      <c r="Q49" s="94" t="n">
        <f aca="false">Q10+Q43</f>
        <v>273.9618</v>
      </c>
      <c r="R49" s="94" t="n">
        <f aca="false">R10+R43</f>
        <v>517.7548</v>
      </c>
      <c r="S49" s="95" t="n">
        <f aca="false">S10+S43</f>
        <v>24.98</v>
      </c>
      <c r="T49" s="96" t="n">
        <f aca="false">T10+T43</f>
        <v>7808.94</v>
      </c>
      <c r="U49" s="96" t="n">
        <f aca="false">U10+U43</f>
        <v>521.27</v>
      </c>
      <c r="V49" s="96" t="n">
        <f aca="false">V10+V43</f>
        <v>9980.093509</v>
      </c>
      <c r="W49" s="437"/>
      <c r="X49" s="437"/>
      <c r="Y49" s="101"/>
      <c r="Z49" s="96"/>
      <c r="AA49" s="96"/>
      <c r="AB49" s="96"/>
      <c r="AC49" s="96" t="n">
        <f aca="false">AC10+AC43</f>
        <v>5226</v>
      </c>
      <c r="AD49" s="96" t="n">
        <f aca="false">AD41</f>
        <v>14696.2578774893</v>
      </c>
      <c r="AE49" s="96" t="n">
        <f aca="false">AE10+AE43</f>
        <v>18337.41</v>
      </c>
      <c r="AF49" s="96" t="n">
        <f aca="false">AF10+AF43</f>
        <v>1270.04348147215</v>
      </c>
      <c r="AG49" s="94" t="n">
        <f aca="false">AG10+AG43</f>
        <v>19607.4534814721</v>
      </c>
      <c r="AH49" s="98" t="n">
        <f aca="false">AH10+AH43</f>
        <v>3.97</v>
      </c>
      <c r="AI49" s="99"/>
      <c r="AJ49" s="100"/>
      <c r="AK49" s="437"/>
      <c r="AL49" s="451" t="n">
        <f aca="false">AL10+AL43</f>
        <v>119.257006</v>
      </c>
      <c r="AM49" s="437"/>
      <c r="AN49" s="438"/>
      <c r="AO49" s="102"/>
    </row>
    <row r="50" customFormat="false" ht="12.95" hidden="false" customHeight="true" outlineLevel="0" collapsed="false">
      <c r="A50" s="16" t="s">
        <v>84</v>
      </c>
      <c r="B50" s="436"/>
      <c r="C50" s="94"/>
      <c r="D50" s="94" t="n">
        <f aca="false">D10+D44</f>
        <v>24057</v>
      </c>
      <c r="E50" s="94" t="n">
        <f aca="false">E41</f>
        <v>171431</v>
      </c>
      <c r="F50" s="136" t="n">
        <f aca="false">F49*$D$2</f>
        <v>24057</v>
      </c>
      <c r="G50" s="96" t="n">
        <f aca="false">G49*$D$2</f>
        <v>51852.657</v>
      </c>
      <c r="H50" s="437" t="n">
        <f aca="false">H49*$D$2</f>
        <v>2097.9935705</v>
      </c>
      <c r="I50" s="96" t="n">
        <f aca="false">I49*$D$2</f>
        <v>53950.6505705</v>
      </c>
      <c r="J50" s="96" t="n">
        <f aca="false">J49*$D$2</f>
        <v>8997.73341</v>
      </c>
      <c r="K50" s="96" t="n">
        <f aca="false">K49*$D$2</f>
        <v>62948.3839805</v>
      </c>
      <c r="L50" s="96" t="n">
        <f aca="false">L49*$D$2</f>
        <v>6478.6021645</v>
      </c>
      <c r="M50" s="97" t="n">
        <f aca="false">M49*$D$2</f>
        <v>9115.3726</v>
      </c>
      <c r="N50" s="94" t="n">
        <f aca="false">N49*$D$2</f>
        <v>111.8979445485</v>
      </c>
      <c r="O50" s="94" t="n">
        <f aca="false">O49*$D$2</f>
        <v>4111.01300925</v>
      </c>
      <c r="P50" s="94"/>
      <c r="Q50" s="94" t="n">
        <f aca="false">Q49*$D$2</f>
        <v>543.4032303</v>
      </c>
      <c r="R50" s="94" t="n">
        <f aca="false">R49*$D$2</f>
        <v>1026.9666458</v>
      </c>
      <c r="S50" s="95" t="n">
        <f aca="false">S49*$D$2</f>
        <v>49.54783</v>
      </c>
      <c r="T50" s="96" t="n">
        <f aca="false">T49*$D$2</f>
        <v>15489.03249</v>
      </c>
      <c r="U50" s="96" t="n">
        <f aca="false">U49*$D$2</f>
        <v>1033.939045</v>
      </c>
      <c r="V50" s="96" t="n">
        <f aca="false">V49*$D$2</f>
        <v>19795.5154751015</v>
      </c>
      <c r="W50" s="437"/>
      <c r="X50" s="437"/>
      <c r="Y50" s="101"/>
      <c r="Z50" s="96"/>
      <c r="AA50" s="96"/>
      <c r="AB50" s="96"/>
      <c r="AC50" s="96" t="n">
        <f aca="false">AC49*$D$2</f>
        <v>10365.771</v>
      </c>
      <c r="AD50" s="96" t="n">
        <f aca="false">AD49*$D$2</f>
        <v>29150.0275</v>
      </c>
      <c r="AE50" s="96" t="n">
        <f aca="false">AE49*$D$2</f>
        <v>36372.252735</v>
      </c>
      <c r="AF50" s="96" t="n">
        <f aca="false">AF49*$D$2</f>
        <v>2519.1312455</v>
      </c>
      <c r="AG50" s="94" t="n">
        <f aca="false">AG49*$D$2</f>
        <v>38891.3839805</v>
      </c>
      <c r="AH50" s="98"/>
      <c r="AI50" s="99"/>
      <c r="AJ50" s="100"/>
      <c r="AK50" s="437" t="n">
        <f aca="false">AK41</f>
        <v>14045.6062705</v>
      </c>
      <c r="AL50" s="451" t="n">
        <f aca="false">AL49*$D$2</f>
        <v>236.546271401</v>
      </c>
      <c r="AM50" s="437"/>
      <c r="AN50" s="438" t="n">
        <f aca="false">AN44</f>
        <v>84.2828824693497</v>
      </c>
      <c r="AO50" s="102"/>
    </row>
    <row r="51" customFormat="false" ht="3" hidden="false" customHeight="true" outlineLevel="0" collapsed="false">
      <c r="A51" s="106"/>
      <c r="B51" s="135"/>
      <c r="C51" s="108"/>
      <c r="D51" s="106"/>
      <c r="E51" s="108"/>
      <c r="F51" s="109"/>
      <c r="G51" s="106"/>
      <c r="H51" s="110"/>
      <c r="I51" s="106"/>
      <c r="J51" s="106"/>
      <c r="K51" s="106"/>
      <c r="L51" s="106"/>
      <c r="M51" s="111"/>
      <c r="N51" s="106"/>
      <c r="O51" s="106"/>
      <c r="P51" s="106"/>
      <c r="Q51" s="106"/>
      <c r="R51" s="106"/>
      <c r="S51" s="146"/>
      <c r="T51" s="106"/>
      <c r="U51" s="106"/>
      <c r="V51" s="106"/>
      <c r="W51" s="144"/>
      <c r="X51" s="144"/>
      <c r="Y51" s="147"/>
      <c r="Z51" s="106"/>
      <c r="AA51" s="111"/>
      <c r="AB51" s="146"/>
      <c r="AC51" s="106"/>
      <c r="AD51" s="108"/>
      <c r="AE51" s="106"/>
      <c r="AF51" s="106"/>
      <c r="AG51" s="106"/>
      <c r="AH51" s="135"/>
      <c r="AI51" s="106"/>
      <c r="AJ51" s="109"/>
      <c r="AK51" s="144"/>
      <c r="AL51" s="147"/>
      <c r="AM51" s="144"/>
      <c r="AN51" s="455"/>
      <c r="AO51" s="455"/>
      <c r="AP51" s="455"/>
    </row>
    <row r="52" customFormat="false" ht="14.1" hidden="false" customHeight="true" outlineLevel="0" collapsed="false">
      <c r="A52" s="150"/>
      <c r="B52" s="151"/>
      <c r="C52" s="9"/>
      <c r="D52" s="8"/>
      <c r="E52" s="9"/>
      <c r="F52" s="8"/>
      <c r="G52" s="8"/>
      <c r="H52" s="10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4"/>
      <c r="X52" s="14"/>
      <c r="Y52" s="123"/>
      <c r="Z52" s="8"/>
      <c r="AA52" s="8"/>
      <c r="AB52" s="8"/>
      <c r="AC52" s="8"/>
      <c r="AD52" s="9"/>
      <c r="AE52" s="8"/>
      <c r="AF52" s="8"/>
      <c r="AG52" s="29"/>
      <c r="AH52" s="399"/>
      <c r="AI52" s="121"/>
      <c r="AJ52" s="121"/>
      <c r="AK52" s="14"/>
      <c r="AL52" s="123"/>
      <c r="AM52" s="400"/>
      <c r="AN52" s="456"/>
    </row>
    <row r="53" customFormat="false" ht="11.1" hidden="false" customHeight="true" outlineLevel="0" collapsed="false">
      <c r="A53" s="8"/>
      <c r="B53" s="152"/>
      <c r="C53" s="9"/>
      <c r="D53" s="153"/>
      <c r="E53" s="9"/>
      <c r="F53" s="8"/>
      <c r="G53" s="8"/>
      <c r="H53" s="153"/>
      <c r="I53" s="10"/>
      <c r="J53" s="8"/>
      <c r="K53" s="154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4"/>
      <c r="X53" s="14"/>
      <c r="Y53" s="123"/>
      <c r="Z53" s="8"/>
      <c r="AA53" s="8"/>
      <c r="AB53" s="8"/>
      <c r="AC53" s="8"/>
      <c r="AD53" s="9"/>
      <c r="AE53" s="8"/>
      <c r="AF53" s="8"/>
      <c r="AG53" s="125"/>
      <c r="AH53" s="399"/>
      <c r="AI53" s="121"/>
      <c r="AJ53" s="121"/>
      <c r="AK53" s="14"/>
      <c r="AL53" s="123"/>
      <c r="AM53" s="400"/>
      <c r="AN53" s="456"/>
    </row>
    <row r="54" customFormat="false" ht="11.1" hidden="false" customHeight="true" outlineLevel="0" collapsed="false">
      <c r="B54" s="153"/>
      <c r="C54" s="9"/>
      <c r="D54" s="9"/>
      <c r="E54" s="9"/>
      <c r="F54" s="153"/>
      <c r="G54" s="153"/>
      <c r="H54" s="10"/>
      <c r="I54" s="153"/>
      <c r="J54" s="153"/>
      <c r="K54" s="153"/>
      <c r="L54" s="153"/>
      <c r="M54" s="123"/>
      <c r="N54" s="123"/>
      <c r="O54" s="123"/>
      <c r="P54" s="123"/>
      <c r="Q54" s="123"/>
      <c r="R54" s="123"/>
      <c r="S54" s="123"/>
      <c r="T54" s="153"/>
      <c r="U54" s="153"/>
      <c r="V54" s="153"/>
      <c r="W54" s="14"/>
      <c r="X54" s="14"/>
      <c r="Y54" s="123"/>
      <c r="Z54" s="153"/>
      <c r="AA54" s="153"/>
      <c r="AB54" s="153"/>
      <c r="AC54" s="153"/>
      <c r="AD54" s="9"/>
      <c r="AE54" s="153"/>
      <c r="AF54" s="153"/>
      <c r="AG54" s="457"/>
      <c r="AH54" s="399"/>
      <c r="AI54" s="121"/>
      <c r="AJ54" s="121"/>
      <c r="AK54" s="14"/>
      <c r="AL54" s="123"/>
      <c r="AM54" s="400"/>
      <c r="AN54" s="456"/>
    </row>
    <row r="55" customFormat="false" ht="11.1" hidden="false" customHeight="true" outlineLevel="0" collapsed="false">
      <c r="A55" s="153"/>
      <c r="B55" s="12"/>
      <c r="C55" s="9"/>
      <c r="D55" s="9"/>
      <c r="E55" s="9"/>
      <c r="F55" s="153"/>
      <c r="G55" s="153"/>
      <c r="H55" s="10"/>
      <c r="I55" s="153"/>
      <c r="J55" s="153"/>
      <c r="K55" s="153"/>
      <c r="L55" s="153"/>
      <c r="M55" s="123"/>
      <c r="N55" s="123"/>
      <c r="O55" s="123"/>
      <c r="P55" s="123"/>
      <c r="Q55" s="123"/>
      <c r="R55" s="123"/>
      <c r="S55" s="123"/>
      <c r="T55" s="153"/>
      <c r="U55" s="153"/>
      <c r="V55" s="153"/>
      <c r="W55" s="14"/>
      <c r="X55" s="14"/>
      <c r="Y55" s="123"/>
      <c r="Z55" s="153"/>
      <c r="AA55" s="153"/>
      <c r="AB55" s="153"/>
      <c r="AC55" s="153"/>
      <c r="AD55" s="9"/>
      <c r="AE55" s="153"/>
      <c r="AF55" s="153"/>
      <c r="AG55" s="29"/>
      <c r="AH55" s="399"/>
      <c r="AI55" s="121"/>
      <c r="AJ55" s="121"/>
      <c r="AK55" s="14"/>
      <c r="AL55" s="123"/>
      <c r="AM55" s="400"/>
      <c r="AN55" s="456"/>
    </row>
    <row r="56" customFormat="false" ht="11.1" hidden="false" customHeight="true" outlineLevel="0" collapsed="false">
      <c r="A56" s="153"/>
      <c r="B56" s="153"/>
      <c r="C56" s="9"/>
      <c r="D56" s="153"/>
      <c r="E56" s="9"/>
      <c r="F56" s="153"/>
      <c r="G56" s="155"/>
      <c r="H56" s="10"/>
      <c r="I56" s="153"/>
      <c r="J56" s="153"/>
      <c r="K56" s="153"/>
      <c r="L56" s="153"/>
      <c r="M56" s="123"/>
      <c r="N56" s="123"/>
      <c r="O56" s="123"/>
      <c r="P56" s="123"/>
      <c r="Q56" s="123"/>
      <c r="R56" s="123"/>
      <c r="S56" s="153"/>
      <c r="T56" s="153"/>
      <c r="U56" s="153"/>
      <c r="V56" s="9"/>
      <c r="W56" s="14"/>
      <c r="X56" s="14"/>
      <c r="Y56" s="123"/>
      <c r="Z56" s="153"/>
      <c r="AA56" s="153"/>
      <c r="AB56" s="153"/>
      <c r="AC56" s="9"/>
      <c r="AD56" s="153"/>
      <c r="AE56" s="153"/>
      <c r="AF56" s="153"/>
      <c r="AG56" s="398"/>
      <c r="AH56" s="399"/>
      <c r="AI56" s="121"/>
      <c r="AJ56" s="88"/>
      <c r="AK56" s="15"/>
      <c r="AL56" s="89"/>
      <c r="AM56" s="400"/>
    </row>
    <row r="57" customFormat="false" ht="11.1" hidden="false" customHeight="true" outlineLevel="0" collapsed="false">
      <c r="AJ57" s="88"/>
      <c r="AK57" s="15"/>
      <c r="AL57" s="89"/>
    </row>
  </sheetData>
  <mergeCells count="1">
    <mergeCell ref="M5:S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10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25" activePane="bottomLeft" state="frozen"/>
      <selection pane="topLeft" activeCell="A1" activeCellId="0" sqref="A1"/>
      <selection pane="bottomLeft" activeCell="G5" activeCellId="0" sqref="G5"/>
    </sheetView>
  </sheetViews>
  <sheetFormatPr defaultColWidth="9.328125" defaultRowHeight="11.1" zeroHeight="false" outlineLevelRow="0" outlineLevelCol="0"/>
  <cols>
    <col collapsed="false" customWidth="true" hidden="false" outlineLevel="0" max="1" min="1" style="156" width="4.66"/>
    <col collapsed="false" customWidth="true" hidden="false" outlineLevel="0" max="2" min="2" style="156" width="6.99"/>
    <col collapsed="false" customWidth="true" hidden="false" outlineLevel="0" max="3" min="3" style="157" width="6.32"/>
    <col collapsed="false" customWidth="true" hidden="false" outlineLevel="0" max="4" min="4" style="156" width="6.99"/>
    <col collapsed="false" customWidth="true" hidden="false" outlineLevel="0" max="5" min="5" style="157" width="6.99"/>
    <col collapsed="false" customWidth="true" hidden="false" outlineLevel="0" max="6" min="6" style="156" width="7.32"/>
    <col collapsed="false" customWidth="true" hidden="false" outlineLevel="0" max="7" min="7" style="156" width="6.82"/>
    <col collapsed="false" customWidth="true" hidden="false" outlineLevel="0" max="8" min="8" style="159" width="6.66"/>
    <col collapsed="false" customWidth="true" hidden="false" outlineLevel="0" max="11" min="9" style="156" width="6.32"/>
    <col collapsed="false" customWidth="true" hidden="false" outlineLevel="0" max="12" min="12" style="156" width="7.16"/>
    <col collapsed="false" customWidth="true" hidden="false" outlineLevel="0" max="13" min="13" style="159" width="5.49"/>
    <col collapsed="false" customWidth="true" hidden="false" outlineLevel="0" max="14" min="14" style="160" width="4.49"/>
    <col collapsed="false" customWidth="true" hidden="false" outlineLevel="0" max="15" min="15" style="159" width="5.49"/>
    <col collapsed="false" customWidth="true" hidden="false" outlineLevel="0" max="16" min="16" style="160" width="4.82"/>
    <col collapsed="false" customWidth="true" hidden="false" outlineLevel="0" max="17" min="17" style="159" width="4.32"/>
    <col collapsed="false" customWidth="true" hidden="false" outlineLevel="0" max="18" min="18" style="159" width="4.82"/>
    <col collapsed="false" customWidth="true" hidden="false" outlineLevel="0" max="19" min="19" style="156" width="4.32"/>
    <col collapsed="false" customWidth="true" hidden="false" outlineLevel="0" max="21" min="20" style="156" width="5.49"/>
    <col collapsed="false" customWidth="true" hidden="false" outlineLevel="0" max="22" min="22" style="157" width="6.32"/>
    <col collapsed="false" customWidth="true" hidden="false" outlineLevel="0" max="28" min="23" style="156" width="5.49"/>
    <col collapsed="false" customWidth="true" hidden="false" outlineLevel="0" max="29" min="29" style="161" width="5.82"/>
    <col collapsed="false" customWidth="true" hidden="false" outlineLevel="0" max="30" min="30" style="156" width="5.49"/>
    <col collapsed="false" customWidth="true" hidden="false" outlineLevel="0" max="31" min="31" style="156" width="6.32"/>
    <col collapsed="false" customWidth="true" hidden="false" outlineLevel="0" max="32" min="32" style="156" width="6.99"/>
    <col collapsed="false" customWidth="true" hidden="false" outlineLevel="0" max="33" min="33" style="160" width="6.99"/>
    <col collapsed="false" customWidth="true" hidden="false" outlineLevel="0" max="34" min="34" style="158" width="5.32"/>
    <col collapsed="false" customWidth="true" hidden="false" outlineLevel="0" max="35" min="35" style="161" width="3.82"/>
    <col collapsed="false" customWidth="true" hidden="false" outlineLevel="0" max="36" min="36" style="162" width="3.82"/>
    <col collapsed="false" customWidth="true" hidden="false" outlineLevel="0" max="37" min="37" style="161" width="5.49"/>
    <col collapsed="false" customWidth="true" hidden="false" outlineLevel="0" max="38" min="38" style="156" width="5.49"/>
    <col collapsed="false" customWidth="true" hidden="false" outlineLevel="0" max="39" min="39" style="156" width="6.32"/>
    <col collapsed="false" customWidth="true" hidden="false" outlineLevel="0" max="40" min="40" style="458" width="6.32"/>
    <col collapsed="false" customWidth="true" hidden="false" outlineLevel="0" max="41" min="41" style="156" width="6.32"/>
    <col collapsed="false" customWidth="true" hidden="false" outlineLevel="0" max="42" min="42" style="156" width="6.49"/>
    <col collapsed="false" customWidth="false" hidden="false" outlineLevel="0" max="257" min="43" style="156" width="9.32"/>
  </cols>
  <sheetData>
    <row r="1" customFormat="false" ht="14.1" hidden="false" customHeight="true" outlineLevel="0" collapsed="false">
      <c r="A1" s="164"/>
      <c r="B1" s="164"/>
      <c r="C1" s="165"/>
      <c r="D1" s="164"/>
      <c r="E1" s="165"/>
      <c r="F1" s="164"/>
      <c r="G1" s="164"/>
      <c r="H1" s="168"/>
      <c r="I1" s="164"/>
      <c r="J1" s="164"/>
      <c r="K1" s="167" t="s">
        <v>0</v>
      </c>
      <c r="L1" s="164"/>
      <c r="M1" s="164"/>
      <c r="N1" s="169"/>
      <c r="O1" s="164"/>
      <c r="P1" s="169"/>
      <c r="Q1" s="164"/>
      <c r="R1" s="164"/>
      <c r="S1" s="164"/>
      <c r="T1" s="164"/>
      <c r="U1" s="164"/>
      <c r="V1" s="165"/>
      <c r="W1" s="164"/>
      <c r="X1" s="164"/>
      <c r="Y1" s="164"/>
      <c r="Z1" s="164"/>
      <c r="AA1" s="164"/>
      <c r="AB1" s="164"/>
      <c r="AC1" s="171"/>
      <c r="AD1" s="164"/>
      <c r="AE1" s="164"/>
      <c r="AF1" s="164"/>
      <c r="AG1" s="169"/>
      <c r="AH1" s="170"/>
      <c r="AI1" s="171"/>
      <c r="AJ1" s="172"/>
      <c r="AK1" s="345"/>
      <c r="AL1" s="288"/>
      <c r="AM1" s="288"/>
    </row>
    <row r="2" customFormat="false" ht="14.1" hidden="false" customHeight="true" outlineLevel="0" collapsed="false">
      <c r="A2" s="173" t="s">
        <v>1</v>
      </c>
      <c r="B2" s="164"/>
      <c r="C2" s="165"/>
      <c r="D2" s="174" t="n">
        <v>1.9835</v>
      </c>
      <c r="E2" s="165"/>
      <c r="F2" s="164"/>
      <c r="G2" s="164"/>
      <c r="H2" s="168"/>
      <c r="I2" s="164"/>
      <c r="J2" s="164"/>
      <c r="K2" s="175" t="s">
        <v>109</v>
      </c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64"/>
      <c r="AA2" s="164"/>
      <c r="AB2" s="164"/>
      <c r="AC2" s="171"/>
      <c r="AD2" s="164"/>
      <c r="AE2" s="164"/>
      <c r="AF2" s="164"/>
      <c r="AG2" s="169"/>
      <c r="AH2" s="170"/>
      <c r="AI2" s="171"/>
      <c r="AJ2" s="172"/>
      <c r="AK2" s="345"/>
      <c r="AL2" s="288"/>
      <c r="AM2" s="288"/>
    </row>
    <row r="3" customFormat="false" ht="14.1" hidden="false" customHeight="true" outlineLevel="0" collapsed="false">
      <c r="A3" s="164"/>
      <c r="B3" s="164"/>
      <c r="C3" s="165"/>
      <c r="D3" s="459"/>
      <c r="E3" s="165"/>
      <c r="F3" s="164"/>
      <c r="G3" s="164"/>
      <c r="H3" s="168"/>
      <c r="I3" s="164"/>
      <c r="J3" s="164"/>
      <c r="K3" s="164"/>
      <c r="L3" s="164"/>
      <c r="M3" s="164"/>
      <c r="N3" s="169"/>
      <c r="O3" s="164"/>
      <c r="P3" s="169"/>
      <c r="Q3" s="164"/>
      <c r="R3" s="164"/>
      <c r="S3" s="164"/>
      <c r="T3" s="164"/>
      <c r="U3" s="164"/>
      <c r="V3" s="165"/>
      <c r="W3" s="164"/>
      <c r="X3" s="164"/>
      <c r="Y3" s="164"/>
      <c r="Z3" s="164"/>
      <c r="AA3" s="164"/>
      <c r="AB3" s="164"/>
      <c r="AC3" s="171"/>
      <c r="AD3" s="164"/>
      <c r="AE3" s="164"/>
      <c r="AF3" s="164"/>
      <c r="AG3" s="169"/>
      <c r="AH3" s="170"/>
      <c r="AI3" s="171"/>
      <c r="AJ3" s="172"/>
      <c r="AK3" s="345"/>
      <c r="AL3" s="288"/>
      <c r="AM3" s="288"/>
    </row>
    <row r="4" s="200" customFormat="true" ht="14.1" hidden="false" customHeight="true" outlineLevel="0" collapsed="false">
      <c r="A4" s="460"/>
      <c r="B4" s="188"/>
      <c r="C4" s="189"/>
      <c r="D4" s="293" t="s">
        <v>3</v>
      </c>
      <c r="E4" s="189"/>
      <c r="F4" s="460"/>
      <c r="G4" s="188"/>
      <c r="H4" s="461"/>
      <c r="I4" s="460"/>
      <c r="J4" s="460"/>
      <c r="K4" s="460"/>
      <c r="L4" s="460"/>
      <c r="M4" s="460"/>
      <c r="N4" s="462"/>
      <c r="O4" s="460"/>
      <c r="P4" s="462"/>
      <c r="Q4" s="460"/>
      <c r="R4" s="460"/>
      <c r="S4" s="460"/>
      <c r="T4" s="463" t="s">
        <v>4</v>
      </c>
      <c r="U4" s="460"/>
      <c r="V4" s="189"/>
      <c r="W4" s="460"/>
      <c r="X4" s="460"/>
      <c r="Y4" s="460"/>
      <c r="Z4" s="460"/>
      <c r="AA4" s="460"/>
      <c r="AB4" s="460"/>
      <c r="AC4" s="464"/>
      <c r="AD4" s="460"/>
      <c r="AE4" s="460"/>
      <c r="AF4" s="460"/>
      <c r="AG4" s="462"/>
      <c r="AH4" s="197"/>
      <c r="AI4" s="198" t="s">
        <v>5</v>
      </c>
      <c r="AJ4" s="199"/>
      <c r="AK4" s="416"/>
      <c r="AL4" s="416"/>
      <c r="AM4" s="193" t="s">
        <v>6</v>
      </c>
      <c r="AN4" s="465"/>
      <c r="AO4" s="44"/>
      <c r="AP4" s="204"/>
    </row>
    <row r="5" customFormat="false" ht="12.95" hidden="false" customHeight="true" outlineLevel="0" collapsed="false">
      <c r="A5" s="233" t="s">
        <v>7</v>
      </c>
      <c r="B5" s="466" t="s">
        <v>8</v>
      </c>
      <c r="C5" s="229" t="s">
        <v>8</v>
      </c>
      <c r="D5" s="233" t="s">
        <v>9</v>
      </c>
      <c r="E5" s="229" t="s">
        <v>10</v>
      </c>
      <c r="F5" s="233" t="s">
        <v>11</v>
      </c>
      <c r="G5" s="467" t="s">
        <v>12</v>
      </c>
      <c r="H5" s="468" t="s">
        <v>13</v>
      </c>
      <c r="I5" s="469" t="s">
        <v>14</v>
      </c>
      <c r="J5" s="469" t="s">
        <v>15</v>
      </c>
      <c r="K5" s="469" t="s">
        <v>16</v>
      </c>
      <c r="L5" s="233" t="s">
        <v>15</v>
      </c>
      <c r="M5" s="210" t="s">
        <v>17</v>
      </c>
      <c r="N5" s="210"/>
      <c r="O5" s="210"/>
      <c r="P5" s="210"/>
      <c r="Q5" s="210"/>
      <c r="R5" s="210"/>
      <c r="S5" s="210"/>
      <c r="T5" s="233" t="s">
        <v>18</v>
      </c>
      <c r="U5" s="233" t="s">
        <v>19</v>
      </c>
      <c r="V5" s="233" t="s">
        <v>16</v>
      </c>
      <c r="W5" s="229" t="s">
        <v>20</v>
      </c>
      <c r="X5" s="229" t="s">
        <v>92</v>
      </c>
      <c r="Y5" s="229" t="s">
        <v>20</v>
      </c>
      <c r="Z5" s="233" t="s">
        <v>21</v>
      </c>
      <c r="AA5" s="212" t="s">
        <v>86</v>
      </c>
      <c r="AB5" s="213"/>
      <c r="AC5" s="224" t="s">
        <v>23</v>
      </c>
      <c r="AD5" s="229" t="s">
        <v>110</v>
      </c>
      <c r="AE5" s="233" t="s">
        <v>14</v>
      </c>
      <c r="AF5" s="233" t="s">
        <v>15</v>
      </c>
      <c r="AG5" s="233" t="s">
        <v>16</v>
      </c>
      <c r="AH5" s="349" t="s">
        <v>25</v>
      </c>
      <c r="AI5" s="224" t="s">
        <v>26</v>
      </c>
      <c r="AJ5" s="350" t="s">
        <v>27</v>
      </c>
      <c r="AK5" s="68" t="s">
        <v>87</v>
      </c>
      <c r="AL5" s="68" t="s">
        <v>20</v>
      </c>
      <c r="AM5" s="427" t="s">
        <v>88</v>
      </c>
      <c r="AN5" s="427" t="s">
        <v>88</v>
      </c>
      <c r="AO5" s="61" t="s">
        <v>29</v>
      </c>
      <c r="AP5" s="225" t="s">
        <v>30</v>
      </c>
    </row>
    <row r="6" customFormat="false" ht="12.95" hidden="false" customHeight="true" outlineLevel="0" collapsed="false">
      <c r="A6" s="470" t="s">
        <v>111</v>
      </c>
      <c r="B6" s="466" t="s">
        <v>32</v>
      </c>
      <c r="C6" s="229" t="s">
        <v>9</v>
      </c>
      <c r="D6" s="233" t="s">
        <v>33</v>
      </c>
      <c r="E6" s="229" t="s">
        <v>34</v>
      </c>
      <c r="F6" s="233" t="s">
        <v>35</v>
      </c>
      <c r="G6" s="467" t="s">
        <v>36</v>
      </c>
      <c r="H6" s="468" t="s">
        <v>37</v>
      </c>
      <c r="I6" s="469" t="s">
        <v>38</v>
      </c>
      <c r="J6" s="469" t="s">
        <v>38</v>
      </c>
      <c r="K6" s="469" t="s">
        <v>38</v>
      </c>
      <c r="L6" s="233" t="s">
        <v>39</v>
      </c>
      <c r="M6" s="471" t="s">
        <v>40</v>
      </c>
      <c r="N6" s="472" t="s">
        <v>41</v>
      </c>
      <c r="O6" s="233" t="s">
        <v>42</v>
      </c>
      <c r="P6" s="472" t="s">
        <v>43</v>
      </c>
      <c r="Q6" s="233" t="s">
        <v>44</v>
      </c>
      <c r="R6" s="233" t="s">
        <v>45</v>
      </c>
      <c r="S6" s="234" t="s">
        <v>46</v>
      </c>
      <c r="T6" s="233" t="s">
        <v>47</v>
      </c>
      <c r="U6" s="233" t="s">
        <v>48</v>
      </c>
      <c r="V6" s="233" t="s">
        <v>20</v>
      </c>
      <c r="W6" s="229" t="s">
        <v>58</v>
      </c>
      <c r="X6" s="229" t="s">
        <v>72</v>
      </c>
      <c r="Y6" s="229" t="s">
        <v>106</v>
      </c>
      <c r="Z6" s="233" t="s">
        <v>51</v>
      </c>
      <c r="AA6" s="221"/>
      <c r="AB6" s="222"/>
      <c r="AC6" s="224" t="s">
        <v>54</v>
      </c>
      <c r="AD6" s="229" t="s">
        <v>55</v>
      </c>
      <c r="AE6" s="233" t="s">
        <v>56</v>
      </c>
      <c r="AF6" s="233" t="s">
        <v>56</v>
      </c>
      <c r="AG6" s="233" t="s">
        <v>56</v>
      </c>
      <c r="AH6" s="352"/>
      <c r="AI6" s="224" t="s">
        <v>57</v>
      </c>
      <c r="AJ6" s="350" t="s">
        <v>57</v>
      </c>
      <c r="AK6" s="68" t="s">
        <v>58</v>
      </c>
      <c r="AL6" s="68" t="s">
        <v>59</v>
      </c>
      <c r="AM6" s="427" t="s">
        <v>60</v>
      </c>
      <c r="AN6" s="427" t="s">
        <v>60</v>
      </c>
      <c r="AO6" s="61" t="s">
        <v>61</v>
      </c>
      <c r="AP6" s="225" t="s">
        <v>62</v>
      </c>
    </row>
    <row r="7" customFormat="false" ht="12.95" hidden="false" customHeight="true" outlineLevel="0" collapsed="false">
      <c r="A7" s="233"/>
      <c r="B7" s="466"/>
      <c r="C7" s="229"/>
      <c r="D7" s="233"/>
      <c r="E7" s="229" t="s">
        <v>63</v>
      </c>
      <c r="F7" s="233"/>
      <c r="G7" s="466"/>
      <c r="H7" s="235"/>
      <c r="I7" s="233"/>
      <c r="J7" s="233"/>
      <c r="K7" s="233"/>
      <c r="L7" s="233"/>
      <c r="M7" s="471"/>
      <c r="N7" s="472" t="s">
        <v>64</v>
      </c>
      <c r="O7" s="233" t="s">
        <v>65</v>
      </c>
      <c r="P7" s="472"/>
      <c r="Q7" s="233"/>
      <c r="R7" s="233"/>
      <c r="S7" s="234" t="s">
        <v>42</v>
      </c>
      <c r="T7" s="233"/>
      <c r="U7" s="233"/>
      <c r="V7" s="233"/>
      <c r="W7" s="229"/>
      <c r="X7" s="229"/>
      <c r="Y7" s="229"/>
      <c r="Z7" s="233"/>
      <c r="AA7" s="232"/>
      <c r="AB7" s="236"/>
      <c r="AC7" s="224"/>
      <c r="AD7" s="229"/>
      <c r="AE7" s="233"/>
      <c r="AF7" s="233"/>
      <c r="AG7" s="233"/>
      <c r="AH7" s="352"/>
      <c r="AI7" s="224"/>
      <c r="AJ7" s="350"/>
      <c r="AK7" s="68" t="s">
        <v>63</v>
      </c>
      <c r="AL7" s="68" t="s">
        <v>67</v>
      </c>
      <c r="AM7" s="427" t="s">
        <v>107</v>
      </c>
      <c r="AN7" s="427" t="s">
        <v>93</v>
      </c>
      <c r="AO7" s="61" t="s">
        <v>70</v>
      </c>
      <c r="AP7" s="225" t="s">
        <v>71</v>
      </c>
    </row>
    <row r="8" customFormat="false" ht="12.95" hidden="false" customHeight="true" outlineLevel="0" collapsed="false">
      <c r="A8" s="233"/>
      <c r="B8" s="466"/>
      <c r="C8" s="229"/>
      <c r="D8" s="233"/>
      <c r="E8" s="229"/>
      <c r="F8" s="233"/>
      <c r="G8" s="466"/>
      <c r="H8" s="235"/>
      <c r="I8" s="233"/>
      <c r="J8" s="233"/>
      <c r="K8" s="233"/>
      <c r="L8" s="233"/>
      <c r="M8" s="471"/>
      <c r="N8" s="472" t="n">
        <v>1.03</v>
      </c>
      <c r="O8" s="239" t="n">
        <v>1.05</v>
      </c>
      <c r="P8" s="472" t="n">
        <v>1.02</v>
      </c>
      <c r="Q8" s="239" t="n">
        <v>1.02</v>
      </c>
      <c r="R8" s="239" t="n">
        <v>1.04</v>
      </c>
      <c r="S8" s="234" t="s">
        <v>53</v>
      </c>
      <c r="T8" s="233"/>
      <c r="U8" s="233"/>
      <c r="V8" s="233"/>
      <c r="W8" s="229"/>
      <c r="X8" s="229"/>
      <c r="Y8" s="229"/>
      <c r="Z8" s="233"/>
      <c r="AA8" s="232"/>
      <c r="AB8" s="236"/>
      <c r="AC8" s="224"/>
      <c r="AD8" s="229"/>
      <c r="AE8" s="233"/>
      <c r="AF8" s="233"/>
      <c r="AG8" s="233"/>
      <c r="AH8" s="352"/>
      <c r="AI8" s="224"/>
      <c r="AJ8" s="350"/>
      <c r="AK8" s="68"/>
      <c r="AL8" s="68"/>
      <c r="AM8" s="427"/>
      <c r="AN8" s="427" t="s">
        <v>67</v>
      </c>
      <c r="AO8" s="435"/>
    </row>
    <row r="9" customFormat="false" ht="12.95" hidden="false" customHeight="true" outlineLevel="0" collapsed="false">
      <c r="A9" s="173" t="s">
        <v>74</v>
      </c>
      <c r="B9" s="241"/>
      <c r="C9" s="105"/>
      <c r="D9" s="105"/>
      <c r="E9" s="105"/>
      <c r="F9" s="105" t="n">
        <f aca="false">APR!F46</f>
        <v>16456.2641794807</v>
      </c>
      <c r="G9" s="473" t="n">
        <f aca="false">APR!G46</f>
        <v>18490</v>
      </c>
      <c r="H9" s="246" t="n">
        <f aca="false">APR!H46</f>
        <v>834.9</v>
      </c>
      <c r="I9" s="105" t="n">
        <f aca="false">APR!I46</f>
        <v>19324.9</v>
      </c>
      <c r="J9" s="105" t="n">
        <f aca="false">APR!J46</f>
        <v>3004.1027224603</v>
      </c>
      <c r="K9" s="105" t="n">
        <f aca="false">APR!K46</f>
        <v>22329.0027224603</v>
      </c>
      <c r="L9" s="105" t="n">
        <f aca="false">APR!L46</f>
        <v>2951.76417948072</v>
      </c>
      <c r="M9" s="244" t="n">
        <f aca="false">APR!M46</f>
        <v>3303</v>
      </c>
      <c r="N9" s="246" t="n">
        <f aca="false">APR!N46</f>
        <v>56.414391</v>
      </c>
      <c r="O9" s="105" t="n">
        <f aca="false">APR!O46</f>
        <v>2072.6055</v>
      </c>
      <c r="P9" s="366" t="n">
        <f aca="false">APR!P46</f>
        <v>0</v>
      </c>
      <c r="Q9" s="105"/>
      <c r="R9" s="105"/>
      <c r="S9" s="245"/>
      <c r="T9" s="105" t="n">
        <f aca="false">APR!T46</f>
        <v>627</v>
      </c>
      <c r="U9" s="105" t="n">
        <f aca="false">APR!U46</f>
        <v>369.8</v>
      </c>
      <c r="V9" s="105" t="n">
        <f aca="false">APR!V46</f>
        <v>2092.191709</v>
      </c>
      <c r="W9" s="105" t="n">
        <f aca="false">APR!W46</f>
        <v>14404.0726907634</v>
      </c>
      <c r="X9" s="105" t="n">
        <f aca="false">APR!X46</f>
        <v>1714.14</v>
      </c>
      <c r="Y9" s="105"/>
      <c r="Z9" s="105" t="n">
        <f aca="false">APR!Z46</f>
        <v>185.6</v>
      </c>
      <c r="AA9" s="105" t="n">
        <f aca="false">APR!AA46</f>
        <v>51</v>
      </c>
      <c r="AB9" s="105" t="n">
        <f aca="false">APR!AB46</f>
        <v>39</v>
      </c>
      <c r="AC9" s="243"/>
      <c r="AD9" s="105"/>
      <c r="AE9" s="105" t="n">
        <f aca="false">APR!AE46</f>
        <v>5820.4</v>
      </c>
      <c r="AF9" s="105" t="n">
        <f aca="false">APR!AF46</f>
        <v>52.3385429795816</v>
      </c>
      <c r="AG9" s="105" t="n">
        <f aca="false">APR!AG46</f>
        <v>5872.73854297958</v>
      </c>
      <c r="AH9" s="247"/>
      <c r="AI9" s="243"/>
      <c r="AJ9" s="248"/>
      <c r="AK9" s="243"/>
      <c r="AL9" s="243"/>
      <c r="AM9" s="265"/>
      <c r="AN9" s="366" t="n">
        <f aca="false">APR!AN47</f>
        <v>84.2828824693497</v>
      </c>
      <c r="AO9" s="105" t="n">
        <f aca="false">APR!AO46</f>
        <v>0</v>
      </c>
    </row>
    <row r="10" s="157" customFormat="true" ht="12.95" hidden="false" customHeight="true" outlineLevel="0" collapsed="false">
      <c r="A10" s="250" t="s">
        <v>75</v>
      </c>
      <c r="B10" s="104" t="n">
        <f aca="false">APR!B41</f>
        <v>6910.36</v>
      </c>
      <c r="C10" s="105" t="n">
        <f aca="false">APR!C41</f>
        <v>323431</v>
      </c>
      <c r="D10" s="105" t="n">
        <f aca="false">APR!D50</f>
        <v>24057</v>
      </c>
      <c r="E10" s="105" t="n">
        <f aca="false">APR!E50</f>
        <v>171431</v>
      </c>
      <c r="F10" s="105" t="n">
        <f aca="false">APR!F49</f>
        <v>12128.5606251576</v>
      </c>
      <c r="G10" s="473" t="n">
        <f aca="false">APR!G49</f>
        <v>26142</v>
      </c>
      <c r="H10" s="246" t="n">
        <f aca="false">APR!H49</f>
        <v>1057.723</v>
      </c>
      <c r="I10" s="105" t="n">
        <f aca="false">APR!I49</f>
        <v>27199.723</v>
      </c>
      <c r="J10" s="105" t="n">
        <f aca="false">APR!J49</f>
        <v>4536.2911066297</v>
      </c>
      <c r="K10" s="105" t="n">
        <f aca="false">APR!K49</f>
        <v>31736.0141066297</v>
      </c>
      <c r="L10" s="105" t="n">
        <f aca="false">APR!L49</f>
        <v>3266.24762515755</v>
      </c>
      <c r="M10" s="244" t="n">
        <f aca="false">APR!M49</f>
        <v>4595.6</v>
      </c>
      <c r="N10" s="246" t="n">
        <f aca="false">APR!N49</f>
        <v>56.414391</v>
      </c>
      <c r="O10" s="105" t="n">
        <f aca="false">APR!O49</f>
        <v>2072.6055</v>
      </c>
      <c r="P10" s="366"/>
      <c r="Q10" s="105" t="n">
        <f aca="false">APR!Q49</f>
        <v>273.9618</v>
      </c>
      <c r="R10" s="105" t="n">
        <f aca="false">APR!R49</f>
        <v>517.7548</v>
      </c>
      <c r="S10" s="251" t="n">
        <f aca="false">APR!S49</f>
        <v>24.98</v>
      </c>
      <c r="T10" s="105" t="n">
        <f aca="false">APR!T49</f>
        <v>7808.94</v>
      </c>
      <c r="U10" s="105" t="n">
        <f aca="false">APR!U49</f>
        <v>521.27</v>
      </c>
      <c r="V10" s="105" t="n">
        <f aca="false">APR!V49</f>
        <v>9980.093509</v>
      </c>
      <c r="W10" s="105"/>
      <c r="X10" s="105"/>
      <c r="Y10" s="105"/>
      <c r="Z10" s="105"/>
      <c r="AA10" s="244"/>
      <c r="AB10" s="245"/>
      <c r="AC10" s="243" t="n">
        <f aca="false">APR!AC49</f>
        <v>5226</v>
      </c>
      <c r="AD10" s="105" t="n">
        <f aca="false">APR!AD49</f>
        <v>14696.2578774893</v>
      </c>
      <c r="AE10" s="105" t="n">
        <f aca="false">APR!AE49</f>
        <v>18337.41</v>
      </c>
      <c r="AF10" s="105" t="n">
        <f aca="false">APR!AF49</f>
        <v>1270.04348147215</v>
      </c>
      <c r="AG10" s="105" t="n">
        <f aca="false">APR!AG49</f>
        <v>19607.4534814721</v>
      </c>
      <c r="AH10" s="247" t="n">
        <f aca="false">APR!AH49</f>
        <v>3.97</v>
      </c>
      <c r="AI10" s="243"/>
      <c r="AJ10" s="248"/>
      <c r="AK10" s="474" t="n">
        <f aca="false">APR!AK50</f>
        <v>14045.6062705</v>
      </c>
      <c r="AL10" s="362" t="n">
        <f aca="false">APR!AL49</f>
        <v>119.257006</v>
      </c>
      <c r="AM10" s="105"/>
      <c r="AN10" s="366" t="n">
        <f aca="false">APR!AN50</f>
        <v>84.2828824693497</v>
      </c>
      <c r="AO10" s="105" t="n">
        <f aca="false">APR!AO49</f>
        <v>0</v>
      </c>
    </row>
    <row r="11" customFormat="false" ht="2.25" hidden="false" customHeight="true" outlineLevel="0" collapsed="false">
      <c r="A11" s="252"/>
      <c r="B11" s="253"/>
      <c r="C11" s="254"/>
      <c r="D11" s="255"/>
      <c r="E11" s="254"/>
      <c r="F11" s="255"/>
      <c r="G11" s="271"/>
      <c r="H11" s="260"/>
      <c r="I11" s="255"/>
      <c r="J11" s="255"/>
      <c r="K11" s="255"/>
      <c r="L11" s="255"/>
      <c r="M11" s="258"/>
      <c r="N11" s="475"/>
      <c r="O11" s="255"/>
      <c r="P11" s="475"/>
      <c r="Q11" s="255"/>
      <c r="R11" s="255"/>
      <c r="S11" s="259"/>
      <c r="T11" s="255"/>
      <c r="U11" s="255"/>
      <c r="V11" s="255"/>
      <c r="W11" s="254"/>
      <c r="X11" s="254"/>
      <c r="Y11" s="254"/>
      <c r="Z11" s="255"/>
      <c r="AA11" s="258"/>
      <c r="AB11" s="259"/>
      <c r="AC11" s="262"/>
      <c r="AD11" s="254"/>
      <c r="AE11" s="255"/>
      <c r="AF11" s="255"/>
      <c r="AG11" s="255"/>
      <c r="AH11" s="261"/>
      <c r="AI11" s="262"/>
      <c r="AJ11" s="263"/>
      <c r="AK11" s="262"/>
      <c r="AL11" s="262"/>
      <c r="AM11" s="262"/>
      <c r="AN11" s="475"/>
      <c r="AO11" s="475"/>
      <c r="AP11" s="475"/>
    </row>
    <row r="12" customFormat="false" ht="12.95" hidden="false" customHeight="true" outlineLevel="0" collapsed="false">
      <c r="A12" s="172" t="n">
        <v>1</v>
      </c>
      <c r="B12" s="104" t="n">
        <v>6910.81</v>
      </c>
      <c r="C12" s="105" t="n">
        <v>325237</v>
      </c>
      <c r="D12" s="243" t="n">
        <f aca="false">C12-C10</f>
        <v>1806</v>
      </c>
      <c r="E12" s="105" t="n">
        <f aca="false">C12-152000</f>
        <v>173237</v>
      </c>
      <c r="F12" s="265" t="n">
        <f aca="false">D12/$D$2</f>
        <v>910.511721704058</v>
      </c>
      <c r="G12" s="241" t="n">
        <v>1130</v>
      </c>
      <c r="H12" s="246" t="n">
        <v>26</v>
      </c>
      <c r="I12" s="265" t="n">
        <f aca="false">G12+H12</f>
        <v>1156</v>
      </c>
      <c r="J12" s="246" t="n">
        <f aca="false">IF(L12&gt;0,L12,0)</f>
        <v>67.3795217040585</v>
      </c>
      <c r="K12" s="265" t="n">
        <f aca="false">I12+J12</f>
        <v>1223.37952170406</v>
      </c>
      <c r="L12" s="265" t="n">
        <f aca="false">F12-(I12-AE12)</f>
        <v>67.3795217040585</v>
      </c>
      <c r="M12" s="267" t="n">
        <v>212</v>
      </c>
      <c r="N12" s="366" t="n">
        <f aca="false">1.8299*1.03</f>
        <v>1.884797</v>
      </c>
      <c r="O12" s="265" t="n">
        <f aca="false">(34.87+35.17)*1.05</f>
        <v>73.542</v>
      </c>
      <c r="P12" s="366" t="n">
        <f aca="false">1.11*1.02</f>
        <v>1.1322</v>
      </c>
      <c r="Q12" s="386" t="n">
        <f aca="false">2.26*1.02</f>
        <v>2.3052</v>
      </c>
      <c r="R12" s="386" t="n">
        <v>4.2</v>
      </c>
      <c r="S12" s="268" t="n">
        <v>3.12</v>
      </c>
      <c r="T12" s="265" t="n">
        <v>0</v>
      </c>
      <c r="U12" s="265" t="n">
        <v>40</v>
      </c>
      <c r="V12" s="265" t="n">
        <f aca="false">M12-N12-O12-P12-Q12-R12-S12+T12+U12-AP12</f>
        <v>165.815803</v>
      </c>
      <c r="W12" s="105" t="n">
        <f aca="false">W9+AM12-(AN12/1.9835)</f>
        <v>15028.6842394677</v>
      </c>
      <c r="X12" s="105" t="n">
        <f aca="false">X9</f>
        <v>1714.14</v>
      </c>
      <c r="Y12" s="105"/>
      <c r="Z12" s="265" t="n">
        <v>15</v>
      </c>
      <c r="AA12" s="267" t="n">
        <v>1.7</v>
      </c>
      <c r="AB12" s="269" t="n">
        <v>1.3</v>
      </c>
      <c r="AC12" s="476" t="n">
        <v>47</v>
      </c>
      <c r="AD12" s="477" t="n">
        <f aca="false">AD10-AC12</f>
        <v>14649.2578774893</v>
      </c>
      <c r="AE12" s="128" t="n">
        <f aca="false">N12+O12+Q12+R12+S12+V12+Z12+AC12</f>
        <v>312.8678</v>
      </c>
      <c r="AF12" s="265" t="n">
        <f aca="false">IF(L12&lt;0,L12*-1,0)</f>
        <v>0</v>
      </c>
      <c r="AG12" s="265" t="n">
        <f aca="false">AE12+AF12</f>
        <v>312.8678</v>
      </c>
      <c r="AH12" s="247" t="n">
        <v>0</v>
      </c>
      <c r="AI12" s="243" t="n">
        <v>69</v>
      </c>
      <c r="AJ12" s="248" t="n">
        <v>36</v>
      </c>
      <c r="AK12" s="243" t="n">
        <f aca="false">AK10</f>
        <v>14045.6062705</v>
      </c>
      <c r="AL12" s="243"/>
      <c r="AM12" s="437" t="n">
        <f aca="false">795-V12</f>
        <v>629.184197</v>
      </c>
      <c r="AN12" s="366" t="n">
        <f aca="false">47.3*(W9*1.9835+AM12*1.9835+X12*1.9835)/E12</f>
        <v>9.06984789439531</v>
      </c>
      <c r="AO12" s="249"/>
    </row>
    <row r="13" customFormat="false" ht="12.95" hidden="false" customHeight="true" outlineLevel="0" collapsed="false">
      <c r="A13" s="172" t="n">
        <f aca="false">A12+1</f>
        <v>2</v>
      </c>
      <c r="B13" s="104" t="n">
        <v>6911.22</v>
      </c>
      <c r="C13" s="105" t="n">
        <v>326889</v>
      </c>
      <c r="D13" s="243" t="n">
        <f aca="false">C13-C12</f>
        <v>1652</v>
      </c>
      <c r="E13" s="105" t="n">
        <f aca="false">C13-152000</f>
        <v>174889</v>
      </c>
      <c r="F13" s="265" t="n">
        <f aca="false">D13/$D$2</f>
        <v>832.871187295185</v>
      </c>
      <c r="G13" s="241" t="n">
        <v>1260</v>
      </c>
      <c r="H13" s="246" t="n">
        <v>28</v>
      </c>
      <c r="I13" s="265" t="n">
        <f aca="false">G13+H13</f>
        <v>1288</v>
      </c>
      <c r="J13" s="246" t="n">
        <f aca="false">IF(L13&gt;0,L13,0)</f>
        <v>0</v>
      </c>
      <c r="K13" s="265" t="n">
        <f aca="false">I13+J13</f>
        <v>1288</v>
      </c>
      <c r="L13" s="265" t="n">
        <f aca="false">F13-(I13-AE13)</f>
        <v>-18.2610127048148</v>
      </c>
      <c r="M13" s="267" t="n">
        <v>275</v>
      </c>
      <c r="N13" s="366" t="n">
        <v>1.88</v>
      </c>
      <c r="O13" s="265" t="n">
        <f aca="false">(44.62+46.84)*1.05</f>
        <v>96.033</v>
      </c>
      <c r="P13" s="366" t="n">
        <f aca="false">1.11*1.02</f>
        <v>1.1322</v>
      </c>
      <c r="Q13" s="386" t="n">
        <f aca="false">2.26*1.02</f>
        <v>2.3052</v>
      </c>
      <c r="R13" s="386" t="n">
        <v>4.2</v>
      </c>
      <c r="S13" s="268" t="n">
        <v>3.58</v>
      </c>
      <c r="T13" s="265" t="n">
        <v>54</v>
      </c>
      <c r="U13" s="265" t="n">
        <v>43</v>
      </c>
      <c r="V13" s="265" t="n">
        <f aca="false">M13-N13-O13-P13-Q13-R13-S13+T13+U13-AP13</f>
        <v>262.8696</v>
      </c>
      <c r="W13" s="105" t="n">
        <f aca="false">W12+AM13-(AN13/1.9835)</f>
        <v>15556.1425025441</v>
      </c>
      <c r="X13" s="105" t="n">
        <f aca="false">X12</f>
        <v>1714.14</v>
      </c>
      <c r="Y13" s="105"/>
      <c r="Z13" s="265" t="n">
        <v>16</v>
      </c>
      <c r="AA13" s="267" t="n">
        <v>1.7</v>
      </c>
      <c r="AB13" s="269" t="n">
        <v>1.3</v>
      </c>
      <c r="AC13" s="476" t="n">
        <v>50</v>
      </c>
      <c r="AD13" s="477" t="n">
        <f aca="false">AD12-AC13</f>
        <v>14599.2578774893</v>
      </c>
      <c r="AE13" s="128" t="n">
        <f aca="false">N13+O13+Q13+R13+S13+V13+Z13+AC13</f>
        <v>436.8678</v>
      </c>
      <c r="AF13" s="265" t="n">
        <f aca="false">IF(L13&lt;0,L13*-1,0)</f>
        <v>18.2610127048148</v>
      </c>
      <c r="AG13" s="265" t="n">
        <f aca="false">AE13+AF13</f>
        <v>455.128812704815</v>
      </c>
      <c r="AH13" s="247" t="n">
        <v>0</v>
      </c>
      <c r="AI13" s="243" t="n">
        <v>72</v>
      </c>
      <c r="AJ13" s="248" t="n">
        <v>42</v>
      </c>
      <c r="AK13" s="243" t="n">
        <f aca="false">AK12</f>
        <v>14045.6062705</v>
      </c>
      <c r="AL13" s="243"/>
      <c r="AM13" s="437" t="n">
        <f aca="false">795-V13</f>
        <v>532.1304</v>
      </c>
      <c r="AN13" s="366" t="n">
        <f aca="false">47.3*(W12*1.9835+AM13*1.9835+X13*1.9835)/E13</f>
        <v>9.26718358813462</v>
      </c>
      <c r="AO13" s="249"/>
    </row>
    <row r="14" customFormat="false" ht="12.95" hidden="false" customHeight="true" outlineLevel="0" collapsed="false">
      <c r="A14" s="172" t="n">
        <f aca="false">A13+1</f>
        <v>3</v>
      </c>
      <c r="B14" s="104" t="n">
        <v>6911.6</v>
      </c>
      <c r="C14" s="105" t="n">
        <v>328426</v>
      </c>
      <c r="D14" s="243" t="n">
        <f aca="false">C14-C13</f>
        <v>1537</v>
      </c>
      <c r="E14" s="105" t="n">
        <f aca="false">C14-152000</f>
        <v>176426</v>
      </c>
      <c r="F14" s="265" t="n">
        <f aca="false">D14/$D$2</f>
        <v>774.892866145702</v>
      </c>
      <c r="G14" s="241" t="n">
        <v>1210</v>
      </c>
      <c r="H14" s="246" t="n">
        <v>23</v>
      </c>
      <c r="I14" s="265" t="n">
        <f aca="false">G14+H14</f>
        <v>1233</v>
      </c>
      <c r="J14" s="246" t="n">
        <f aca="false">IF(L14&gt;0,L14,0)</f>
        <v>77.892866145702</v>
      </c>
      <c r="K14" s="265" t="n">
        <f aca="false">I14+J14</f>
        <v>1310.8928661457</v>
      </c>
      <c r="L14" s="265" t="n">
        <f aca="false">F14-(I14-AE14)</f>
        <v>77.892866145702</v>
      </c>
      <c r="M14" s="267" t="n">
        <v>307</v>
      </c>
      <c r="N14" s="366" t="n">
        <v>1.88</v>
      </c>
      <c r="O14" s="265" t="n">
        <f aca="false">(50.41+52.63)*1.05</f>
        <v>108.192</v>
      </c>
      <c r="P14" s="366"/>
      <c r="Q14" s="386" t="n">
        <f aca="false">2.26*1.02</f>
        <v>2.3052</v>
      </c>
      <c r="R14" s="386" t="n">
        <v>4.2</v>
      </c>
      <c r="S14" s="268" t="n">
        <v>2.36</v>
      </c>
      <c r="T14" s="265" t="n">
        <v>112</v>
      </c>
      <c r="U14" s="265" t="n">
        <v>48</v>
      </c>
      <c r="V14" s="265" t="n">
        <f aca="false">M14-N14-O14-P14-Q14-R14-S14+T14+U14-AP14</f>
        <v>348.0628</v>
      </c>
      <c r="W14" s="105" t="n">
        <f aca="false">W13+AM14-(AN14/1.9835)</f>
        <v>15998.3296969217</v>
      </c>
      <c r="X14" s="105" t="n">
        <f aca="false">X13</f>
        <v>1714.14</v>
      </c>
      <c r="Y14" s="105"/>
      <c r="Z14" s="265" t="n">
        <v>18</v>
      </c>
      <c r="AA14" s="267" t="n">
        <v>1.7</v>
      </c>
      <c r="AB14" s="269" t="n">
        <v>1.3</v>
      </c>
      <c r="AC14" s="476" t="n">
        <v>51</v>
      </c>
      <c r="AD14" s="477" t="n">
        <f aca="false">AD13-AC14</f>
        <v>14548.2578774893</v>
      </c>
      <c r="AE14" s="128" t="n">
        <f aca="false">N14+O14+Q14+R14+S14+V14+Z14+AC14</f>
        <v>536</v>
      </c>
      <c r="AF14" s="265" t="n">
        <f aca="false">IF(L14&lt;0,L14*-1,0)</f>
        <v>0</v>
      </c>
      <c r="AG14" s="265" t="n">
        <f aca="false">AE14+AF14</f>
        <v>536</v>
      </c>
      <c r="AH14" s="247" t="n">
        <v>0</v>
      </c>
      <c r="AI14" s="243" t="n">
        <v>72</v>
      </c>
      <c r="AJ14" s="248" t="n">
        <v>41</v>
      </c>
      <c r="AK14" s="243" t="n">
        <f aca="false">AK13</f>
        <v>14045.6062705</v>
      </c>
      <c r="AL14" s="243"/>
      <c r="AM14" s="437" t="n">
        <f aca="false">795-V14</f>
        <v>446.9372</v>
      </c>
      <c r="AN14" s="366" t="n">
        <f aca="false">47.3*(W13*1.9835+AM14*1.9835+X14*1.9835)/E14</f>
        <v>9.42163615194935</v>
      </c>
      <c r="AO14" s="249"/>
    </row>
    <row r="15" customFormat="false" ht="12.95" hidden="false" customHeight="true" outlineLevel="0" collapsed="false">
      <c r="A15" s="172" t="n">
        <f aca="false">A14+1</f>
        <v>4</v>
      </c>
      <c r="B15" s="104" t="n">
        <v>6911.97</v>
      </c>
      <c r="C15" s="105" t="n">
        <v>329923</v>
      </c>
      <c r="D15" s="243" t="n">
        <f aca="false">C15-C14</f>
        <v>1497</v>
      </c>
      <c r="E15" s="105" t="n">
        <f aca="false">C15-152000</f>
        <v>177923</v>
      </c>
      <c r="F15" s="265" t="n">
        <f aca="false">D15/$D$2</f>
        <v>754.726493571969</v>
      </c>
      <c r="G15" s="241" t="n">
        <v>1300</v>
      </c>
      <c r="H15" s="246" t="n">
        <v>19</v>
      </c>
      <c r="I15" s="265" t="n">
        <f aca="false">G15+H15</f>
        <v>1319</v>
      </c>
      <c r="J15" s="246" t="n">
        <f aca="false">IF(L15&gt;0,L15,0)</f>
        <v>0</v>
      </c>
      <c r="K15" s="265" t="n">
        <f aca="false">I15+J15</f>
        <v>1319</v>
      </c>
      <c r="L15" s="265" t="n">
        <f aca="false">F15-(I15-AE15)</f>
        <v>-21.2735064280313</v>
      </c>
      <c r="M15" s="267" t="n">
        <v>270</v>
      </c>
      <c r="N15" s="366" t="n">
        <v>1.88</v>
      </c>
      <c r="O15" s="265" t="n">
        <f aca="false">(42.22+42.48)*1.05</f>
        <v>88.935</v>
      </c>
      <c r="P15" s="366"/>
      <c r="Q15" s="386" t="n">
        <f aca="false">2.26*1.02</f>
        <v>2.3052</v>
      </c>
      <c r="R15" s="386" t="n">
        <v>4.2</v>
      </c>
      <c r="S15" s="268" t="n">
        <v>1.4</v>
      </c>
      <c r="T15" s="265" t="n">
        <v>120</v>
      </c>
      <c r="U15" s="265" t="n">
        <v>54</v>
      </c>
      <c r="V15" s="265" t="n">
        <f aca="false">M15-N15-O15-P15-Q15-R15-S15+T15+U15-AP15</f>
        <v>345.2798</v>
      </c>
      <c r="W15" s="105" t="n">
        <f aca="false">W14+AM15-(AN15/1.9835)</f>
        <v>16443.2215634172</v>
      </c>
      <c r="X15" s="105" t="n">
        <f aca="false">X14</f>
        <v>1714.14</v>
      </c>
      <c r="Y15" s="105"/>
      <c r="Z15" s="265" t="n">
        <v>48</v>
      </c>
      <c r="AA15" s="267" t="n">
        <v>1.7</v>
      </c>
      <c r="AB15" s="269" t="n">
        <v>1.3</v>
      </c>
      <c r="AC15" s="476" t="n">
        <v>51</v>
      </c>
      <c r="AD15" s="477" t="n">
        <f aca="false">AD14-AC15</f>
        <v>14497.2578774893</v>
      </c>
      <c r="AE15" s="128" t="n">
        <f aca="false">N15+O15+Q15+R15+S15+V15+Z15+AC15</f>
        <v>543</v>
      </c>
      <c r="AF15" s="265" t="n">
        <f aca="false">IF(L15&lt;0,L15*-1,0)</f>
        <v>21.2735064280313</v>
      </c>
      <c r="AG15" s="265" t="n">
        <f aca="false">AE15+AF15</f>
        <v>564.273506428031</v>
      </c>
      <c r="AH15" s="247" t="n">
        <v>0</v>
      </c>
      <c r="AI15" s="243" t="n">
        <v>71</v>
      </c>
      <c r="AJ15" s="248" t="n">
        <v>44</v>
      </c>
      <c r="AK15" s="243" t="n">
        <f aca="false">AK14</f>
        <v>14045.6062705</v>
      </c>
      <c r="AL15" s="243"/>
      <c r="AM15" s="437" t="n">
        <f aca="false">795-V15</f>
        <v>449.7202</v>
      </c>
      <c r="AN15" s="366" t="n">
        <f aca="false">47.3*(W14*1.9835+AM15*1.9835+X15*1.9835)/E15</f>
        <v>9.5769995062119</v>
      </c>
      <c r="AO15" s="249"/>
    </row>
    <row r="16" customFormat="false" ht="12.95" hidden="false" customHeight="true" outlineLevel="0" collapsed="false">
      <c r="A16" s="172" t="n">
        <f aca="false">A15+1</f>
        <v>5</v>
      </c>
      <c r="B16" s="104" t="n">
        <v>6912.31</v>
      </c>
      <c r="C16" s="105" t="n">
        <v>331308</v>
      </c>
      <c r="D16" s="243" t="n">
        <f aca="false">C16-C15</f>
        <v>1385</v>
      </c>
      <c r="E16" s="105" t="n">
        <f aca="false">C16-152000</f>
        <v>179308</v>
      </c>
      <c r="F16" s="265" t="n">
        <f aca="false">D16/$D$2</f>
        <v>698.260650365516</v>
      </c>
      <c r="G16" s="241" t="n">
        <v>1260</v>
      </c>
      <c r="H16" s="246" t="n">
        <v>17</v>
      </c>
      <c r="I16" s="265" t="n">
        <f aca="false">G16+H16</f>
        <v>1277</v>
      </c>
      <c r="J16" s="246" t="n">
        <f aca="false">IF(L16&gt;0,L16,0)</f>
        <v>0</v>
      </c>
      <c r="K16" s="265" t="n">
        <f aca="false">I16+J16</f>
        <v>1277</v>
      </c>
      <c r="L16" s="265" t="n">
        <f aca="false">F16-(I16-AE16)</f>
        <v>-17.7393496344845</v>
      </c>
      <c r="M16" s="267" t="n">
        <v>276</v>
      </c>
      <c r="N16" s="366" t="n">
        <v>1.88</v>
      </c>
      <c r="O16" s="265" t="n">
        <f aca="false">(41.39+40.88)*1.05</f>
        <v>86.3835</v>
      </c>
      <c r="P16" s="366"/>
      <c r="Q16" s="386" t="n">
        <f aca="false">2.26*1.02</f>
        <v>2.3052</v>
      </c>
      <c r="R16" s="386" t="n">
        <v>4.2</v>
      </c>
      <c r="S16" s="268" t="n">
        <v>3.93</v>
      </c>
      <c r="T16" s="265" t="n">
        <v>124</v>
      </c>
      <c r="U16" s="265" t="n">
        <v>57</v>
      </c>
      <c r="V16" s="265" t="n">
        <f aca="false">M16-N16-O16-P16-Q16-R16-S16+T16+U16-AP16</f>
        <v>358.3013</v>
      </c>
      <c r="W16" s="105" t="n">
        <f aca="false">W15+AM16-(AN16/1.9835)</f>
        <v>16875.0153007247</v>
      </c>
      <c r="X16" s="105" t="n">
        <f aca="false">X15</f>
        <v>1714.14</v>
      </c>
      <c r="Y16" s="105"/>
      <c r="Z16" s="265" t="n">
        <v>53</v>
      </c>
      <c r="AA16" s="267" t="n">
        <v>1.7</v>
      </c>
      <c r="AB16" s="269" t="n">
        <v>1.3</v>
      </c>
      <c r="AC16" s="476" t="n">
        <v>51</v>
      </c>
      <c r="AD16" s="477" t="n">
        <f aca="false">AD15-AC16</f>
        <v>14446.2578774893</v>
      </c>
      <c r="AE16" s="128" t="n">
        <f aca="false">N16+O16+Q16+R16+S16+V16+Z16+AC16</f>
        <v>561</v>
      </c>
      <c r="AF16" s="265" t="n">
        <f aca="false">IF(L16&lt;0,L16*-1,0)</f>
        <v>17.7393496344845</v>
      </c>
      <c r="AG16" s="265" t="n">
        <f aca="false">AE16+AF16</f>
        <v>578.739349634485</v>
      </c>
      <c r="AH16" s="247" t="n">
        <v>0</v>
      </c>
      <c r="AI16" s="243" t="n">
        <v>64</v>
      </c>
      <c r="AJ16" s="248" t="n">
        <v>39</v>
      </c>
      <c r="AK16" s="243" t="n">
        <f aca="false">AK15</f>
        <v>14045.6062705</v>
      </c>
      <c r="AL16" s="243"/>
      <c r="AM16" s="437" t="n">
        <f aca="false">795-V16</f>
        <v>436.6987</v>
      </c>
      <c r="AN16" s="366" t="n">
        <f aca="false">47.3*(W15*1.9835+AM16*1.9835+X16*1.9835)/E16</f>
        <v>9.72899350049457</v>
      </c>
      <c r="AO16" s="249"/>
    </row>
    <row r="17" customFormat="false" ht="12.95" hidden="false" customHeight="true" outlineLevel="0" collapsed="false">
      <c r="A17" s="172" t="n">
        <f aca="false">A16+1</f>
        <v>6</v>
      </c>
      <c r="B17" s="104" t="n">
        <v>6912.55</v>
      </c>
      <c r="C17" s="105" t="n">
        <v>332287</v>
      </c>
      <c r="D17" s="243" t="n">
        <f aca="false">C17-C16</f>
        <v>979</v>
      </c>
      <c r="E17" s="105" t="n">
        <f aca="false">C17-152000</f>
        <v>180287</v>
      </c>
      <c r="F17" s="265" t="n">
        <f aca="false">D17/$D$2</f>
        <v>493.571968742123</v>
      </c>
      <c r="G17" s="241" t="n">
        <v>1030</v>
      </c>
      <c r="H17" s="246" t="n">
        <v>15</v>
      </c>
      <c r="I17" s="265" t="n">
        <f aca="false">G17+H17</f>
        <v>1045</v>
      </c>
      <c r="J17" s="246" t="n">
        <f aca="false">IF(L17&gt;0,L17,0)</f>
        <v>20.5719687421225</v>
      </c>
      <c r="K17" s="265" t="n">
        <f aca="false">I17+J17</f>
        <v>1065.57196874212</v>
      </c>
      <c r="L17" s="265" t="n">
        <f aca="false">F17-(I17-AE17)</f>
        <v>20.5719687421225</v>
      </c>
      <c r="M17" s="267" t="n">
        <v>283</v>
      </c>
      <c r="N17" s="366" t="n">
        <v>1.88</v>
      </c>
      <c r="O17" s="265" t="n">
        <f aca="false">(47.65+43.16)*1.05</f>
        <v>95.3505</v>
      </c>
      <c r="P17" s="366"/>
      <c r="Q17" s="386" t="n">
        <f aca="false">2.26*1.02</f>
        <v>2.3052</v>
      </c>
      <c r="R17" s="386" t="n">
        <v>4.2</v>
      </c>
      <c r="S17" s="268" t="n">
        <v>3.78</v>
      </c>
      <c r="T17" s="265" t="n">
        <v>125</v>
      </c>
      <c r="U17" s="265" t="n">
        <v>60</v>
      </c>
      <c r="V17" s="265" t="n">
        <f aca="false">M17-N17-O17-P17-Q17-R17-S17+T17+U17-AP17</f>
        <v>360.4843</v>
      </c>
      <c r="W17" s="105" t="n">
        <f aca="false">W16+AM17-(AN17/1.9835)</f>
        <v>17304.5399606701</v>
      </c>
      <c r="X17" s="105" t="n">
        <f aca="false">X16</f>
        <v>1714.14</v>
      </c>
      <c r="Y17" s="105"/>
      <c r="Z17" s="265" t="n">
        <v>53</v>
      </c>
      <c r="AA17" s="267" t="n">
        <v>1.7</v>
      </c>
      <c r="AB17" s="269" t="n">
        <v>1.3</v>
      </c>
      <c r="AC17" s="476" t="n">
        <v>51</v>
      </c>
      <c r="AD17" s="477" t="n">
        <f aca="false">AD16-AC17</f>
        <v>14395.2578774893</v>
      </c>
      <c r="AE17" s="128" t="n">
        <f aca="false">N17+O17+Q17+R17+S17+V17+Z17+AC17</f>
        <v>572</v>
      </c>
      <c r="AF17" s="265" t="n">
        <f aca="false">IF(L17&lt;0,L17*-1,0)</f>
        <v>0</v>
      </c>
      <c r="AG17" s="265" t="n">
        <f aca="false">AE17+AF17</f>
        <v>572</v>
      </c>
      <c r="AH17" s="247" t="n">
        <v>0</v>
      </c>
      <c r="AI17" s="243" t="n">
        <v>66</v>
      </c>
      <c r="AJ17" s="248" t="n">
        <v>35</v>
      </c>
      <c r="AK17" s="243" t="n">
        <f aca="false">AK16</f>
        <v>14045.6062705</v>
      </c>
      <c r="AL17" s="243"/>
      <c r="AM17" s="437" t="n">
        <f aca="false">795-V17</f>
        <v>434.5157</v>
      </c>
      <c r="AN17" s="366" t="n">
        <f aca="false">47.3*(W16*1.9835+AM17*1.9835+X17*1.9835)/E17</f>
        <v>9.89972794841581</v>
      </c>
      <c r="AO17" s="249"/>
    </row>
    <row r="18" customFormat="false" ht="12.95" hidden="false" customHeight="true" outlineLevel="0" collapsed="false">
      <c r="A18" s="172" t="n">
        <f aca="false">A17+1</f>
        <v>7</v>
      </c>
      <c r="B18" s="104" t="n">
        <v>6912.76</v>
      </c>
      <c r="C18" s="105" t="n">
        <v>333143</v>
      </c>
      <c r="D18" s="243" t="n">
        <f aca="false">C18-C17</f>
        <v>856</v>
      </c>
      <c r="E18" s="105" t="n">
        <f aca="false">C18-152000</f>
        <v>181143</v>
      </c>
      <c r="F18" s="265" t="n">
        <f aca="false">D18/$D$2</f>
        <v>431.560373077893</v>
      </c>
      <c r="G18" s="241" t="n">
        <v>1030</v>
      </c>
      <c r="H18" s="246" t="n">
        <v>13</v>
      </c>
      <c r="I18" s="265" t="n">
        <f aca="false">G18+H18</f>
        <v>1043</v>
      </c>
      <c r="J18" s="246" t="n">
        <f aca="false">IF(L18&gt;0,L18,0)</f>
        <v>0</v>
      </c>
      <c r="K18" s="265" t="n">
        <f aca="false">I18+J18</f>
        <v>1043</v>
      </c>
      <c r="L18" s="265" t="n">
        <f aca="false">F18-(I18-AE18)</f>
        <v>-11.4396269221074</v>
      </c>
      <c r="M18" s="267" t="n">
        <v>285</v>
      </c>
      <c r="N18" s="366" t="n">
        <v>1.88</v>
      </c>
      <c r="O18" s="265" t="n">
        <f aca="false">(47.04+44.18)*1.05</f>
        <v>95.781</v>
      </c>
      <c r="P18" s="366"/>
      <c r="Q18" s="386" t="n">
        <f aca="false">2.26*1.02</f>
        <v>2.3052</v>
      </c>
      <c r="R18" s="386" t="n">
        <v>4.2</v>
      </c>
      <c r="S18" s="268" t="n">
        <v>1.3</v>
      </c>
      <c r="T18" s="265" t="n">
        <v>124</v>
      </c>
      <c r="U18" s="265" t="n">
        <v>62</v>
      </c>
      <c r="V18" s="265" t="n">
        <f aca="false">M18-N18-O18-P18-Q18-R18-S18+T18+U18-AP18</f>
        <v>365.5338</v>
      </c>
      <c r="W18" s="105" t="n">
        <f aca="false">W17+AM18-(AN18/1.9835)</f>
        <v>17728.9278672036</v>
      </c>
      <c r="X18" s="105" t="n">
        <f aca="false">X17</f>
        <v>1714.14</v>
      </c>
      <c r="Y18" s="105"/>
      <c r="Z18" s="265" t="n">
        <v>78</v>
      </c>
      <c r="AA18" s="267" t="n">
        <v>1.7</v>
      </c>
      <c r="AB18" s="269" t="n">
        <v>1.3</v>
      </c>
      <c r="AC18" s="476" t="n">
        <v>51</v>
      </c>
      <c r="AD18" s="477" t="n">
        <f aca="false">AD17-AC18</f>
        <v>14344.2578774893</v>
      </c>
      <c r="AE18" s="128" t="n">
        <f aca="false">N18+O18+Q18+R18+S18+V18+Z18+AC18</f>
        <v>600</v>
      </c>
      <c r="AF18" s="265" t="n">
        <f aca="false">IF(L18&lt;0,L18*-1,0)</f>
        <v>11.4396269221074</v>
      </c>
      <c r="AG18" s="265" t="n">
        <f aca="false">AE18+AF18</f>
        <v>611.439626922107</v>
      </c>
      <c r="AH18" s="247" t="n">
        <v>0</v>
      </c>
      <c r="AI18" s="243" t="n">
        <v>68</v>
      </c>
      <c r="AJ18" s="248" t="n">
        <v>38</v>
      </c>
      <c r="AK18" s="243" t="n">
        <f aca="false">AK17</f>
        <v>14045.6062705</v>
      </c>
      <c r="AL18" s="243"/>
      <c r="AM18" s="437" t="n">
        <f aca="false">795-V18</f>
        <v>429.4662</v>
      </c>
      <c r="AN18" s="366" t="n">
        <f aca="false">47.3*(W17*1.9835+AM18*1.9835+X18*1.9835)/E18</f>
        <v>10.0727950907752</v>
      </c>
      <c r="AO18" s="249"/>
    </row>
    <row r="19" customFormat="false" ht="12.95" hidden="false" customHeight="true" outlineLevel="0" collapsed="false">
      <c r="A19" s="172" t="n">
        <f aca="false">A18+1</f>
        <v>8</v>
      </c>
      <c r="B19" s="104" t="n">
        <v>6912.93</v>
      </c>
      <c r="C19" s="105" t="n">
        <v>333836</v>
      </c>
      <c r="D19" s="243" t="n">
        <f aca="false">C19-C18</f>
        <v>693</v>
      </c>
      <c r="E19" s="105" t="n">
        <f aca="false">C19-152000</f>
        <v>181836</v>
      </c>
      <c r="F19" s="265" t="n">
        <f aca="false">D19/$D$2</f>
        <v>349.382404839929</v>
      </c>
      <c r="G19" s="241" t="n">
        <v>1020</v>
      </c>
      <c r="H19" s="246" t="n">
        <v>5.1</v>
      </c>
      <c r="I19" s="265" t="n">
        <f aca="false">G19+H19</f>
        <v>1025.1</v>
      </c>
      <c r="J19" s="246" t="n">
        <f aca="false">IF(L19&gt;0,L19,0)</f>
        <v>0</v>
      </c>
      <c r="K19" s="265" t="n">
        <f aca="false">I19+J19</f>
        <v>1025.1</v>
      </c>
      <c r="L19" s="265" t="n">
        <f aca="false">F19-(I19-AE19)</f>
        <v>-28.7175951600705</v>
      </c>
      <c r="M19" s="267" t="n">
        <v>296</v>
      </c>
      <c r="N19" s="366" t="n">
        <v>1.88</v>
      </c>
      <c r="O19" s="265" t="n">
        <f aca="false">(45.11+49.39)*1.05</f>
        <v>99.225</v>
      </c>
      <c r="P19" s="366"/>
      <c r="Q19" s="386" t="n">
        <f aca="false">2.26*1.02</f>
        <v>2.3052</v>
      </c>
      <c r="R19" s="386" t="n">
        <v>4.2</v>
      </c>
      <c r="S19" s="268" t="n">
        <v>2.99</v>
      </c>
      <c r="T19" s="265" t="n">
        <v>130</v>
      </c>
      <c r="U19" s="265" t="n">
        <v>66</v>
      </c>
      <c r="V19" s="265" t="n">
        <f aca="false">M19-N19-O19-P19-Q19-R19-S19+T19+U19-AP19</f>
        <v>381.3998</v>
      </c>
      <c r="W19" s="105" t="n">
        <f aca="false">W18+AM19-(AN19/1.9835)</f>
        <v>18137.3628611961</v>
      </c>
      <c r="X19" s="105" t="n">
        <f aca="false">X18</f>
        <v>1714.14</v>
      </c>
      <c r="Y19" s="105"/>
      <c r="Z19" s="265" t="n">
        <v>104</v>
      </c>
      <c r="AA19" s="267" t="n">
        <v>1.7</v>
      </c>
      <c r="AB19" s="269" t="n">
        <v>1.3</v>
      </c>
      <c r="AC19" s="476" t="n">
        <v>51</v>
      </c>
      <c r="AD19" s="477" t="n">
        <f aca="false">AD18-AC19</f>
        <v>14293.2578774893</v>
      </c>
      <c r="AE19" s="128" t="n">
        <f aca="false">N19+O19+Q19+R19+S19+V19+Z19+AC19</f>
        <v>647</v>
      </c>
      <c r="AF19" s="265" t="n">
        <f aca="false">IF(L19&lt;0,L19*-1,0)</f>
        <v>28.7175951600705</v>
      </c>
      <c r="AG19" s="265" t="n">
        <f aca="false">AE19+AF19</f>
        <v>675.71759516007</v>
      </c>
      <c r="AH19" s="247" t="n">
        <v>0</v>
      </c>
      <c r="AI19" s="243" t="n">
        <v>72</v>
      </c>
      <c r="AJ19" s="248" t="n">
        <v>41</v>
      </c>
      <c r="AK19" s="243" t="n">
        <f aca="false">AK18</f>
        <v>14045.6062705</v>
      </c>
      <c r="AL19" s="243"/>
      <c r="AM19" s="437" t="n">
        <f aca="false">795-V19</f>
        <v>413.6002</v>
      </c>
      <c r="AN19" s="366" t="n">
        <f aca="false">47.3*(W18*1.9835+AM19*1.9835+X19*1.9835)/E19</f>
        <v>10.2451861158649</v>
      </c>
      <c r="AO19" s="249"/>
    </row>
    <row r="20" customFormat="false" ht="12.95" hidden="false" customHeight="true" outlineLevel="0" collapsed="false">
      <c r="A20" s="172" t="n">
        <f aca="false">A19+1</f>
        <v>9</v>
      </c>
      <c r="B20" s="104" t="n">
        <v>6913.1</v>
      </c>
      <c r="C20" s="105" t="n">
        <v>334532</v>
      </c>
      <c r="D20" s="243" t="n">
        <f aca="false">C20-C19</f>
        <v>696</v>
      </c>
      <c r="E20" s="105" t="n">
        <f aca="false">C20-152000</f>
        <v>182532</v>
      </c>
      <c r="F20" s="265" t="n">
        <f aca="false">D20/$D$2</f>
        <v>350.894882782959</v>
      </c>
      <c r="G20" s="241" t="n">
        <v>1020</v>
      </c>
      <c r="H20" s="246" t="n">
        <v>2.8</v>
      </c>
      <c r="I20" s="265" t="n">
        <f aca="false">G20+H20</f>
        <v>1022.8</v>
      </c>
      <c r="J20" s="246" t="n">
        <f aca="false">IF(L20&gt;0,L20,0)</f>
        <v>5.09488278295947</v>
      </c>
      <c r="K20" s="265" t="n">
        <f aca="false">I20+J20</f>
        <v>1027.89488278296</v>
      </c>
      <c r="L20" s="265" t="n">
        <f aca="false">F20-(I20-AE20)</f>
        <v>5.09488278295947</v>
      </c>
      <c r="M20" s="267" t="n">
        <v>300</v>
      </c>
      <c r="N20" s="366" t="n">
        <v>1.88</v>
      </c>
      <c r="O20" s="265" t="n">
        <f aca="false">(44.7+46.75)*1.05</f>
        <v>96.0225</v>
      </c>
      <c r="P20" s="366"/>
      <c r="Q20" s="386" t="n">
        <f aca="false">2.26*1.02</f>
        <v>2.3052</v>
      </c>
      <c r="R20" s="386" t="n">
        <v>4.2</v>
      </c>
      <c r="S20" s="268" t="n">
        <v>0.75</v>
      </c>
      <c r="T20" s="265" t="n">
        <v>136</v>
      </c>
      <c r="U20" s="265" t="n">
        <v>71</v>
      </c>
      <c r="V20" s="265" t="n">
        <f aca="false">M20-N20-O20-P20-Q20-R20-S20+T20+U20-AP20</f>
        <v>401.8423</v>
      </c>
      <c r="W20" s="105" t="n">
        <f aca="false">W19+AM20-(AN20/1.9835)</f>
        <v>18525.274508753</v>
      </c>
      <c r="X20" s="105" t="n">
        <f aca="false">X19</f>
        <v>1714.14</v>
      </c>
      <c r="Y20" s="105"/>
      <c r="Z20" s="265" t="n">
        <v>119</v>
      </c>
      <c r="AA20" s="267" t="n">
        <v>1.7</v>
      </c>
      <c r="AB20" s="269" t="n">
        <v>1.3</v>
      </c>
      <c r="AC20" s="476" t="n">
        <v>51</v>
      </c>
      <c r="AD20" s="477" t="n">
        <f aca="false">AD19-AC20</f>
        <v>14242.2578774893</v>
      </c>
      <c r="AE20" s="128" t="n">
        <f aca="false">N20+O20+Q20+R20+S20+V20+Z20+AC20</f>
        <v>677</v>
      </c>
      <c r="AF20" s="265" t="n">
        <f aca="false">IF(L20&lt;0,L20*-1,0)</f>
        <v>0</v>
      </c>
      <c r="AG20" s="265" t="n">
        <f aca="false">AE20+AF20</f>
        <v>677</v>
      </c>
      <c r="AH20" s="247" t="n">
        <v>0.1</v>
      </c>
      <c r="AI20" s="243" t="n">
        <v>56</v>
      </c>
      <c r="AJ20" s="248" t="n">
        <v>37</v>
      </c>
      <c r="AK20" s="243" t="n">
        <f aca="false">AK19</f>
        <v>14045.6062705</v>
      </c>
      <c r="AL20" s="243"/>
      <c r="AM20" s="437" t="n">
        <f aca="false">795-V20</f>
        <v>393.1577</v>
      </c>
      <c r="AN20" s="366" t="n">
        <f aca="false">47.3*(W19*1.9835+AM20*1.9835+X20*1.9835)/E20</f>
        <v>10.4055450208959</v>
      </c>
      <c r="AO20" s="249"/>
    </row>
    <row r="21" customFormat="false" ht="12.95" hidden="false" customHeight="true" outlineLevel="0" collapsed="false">
      <c r="A21" s="172" t="n">
        <f aca="false">A20+1</f>
        <v>10</v>
      </c>
      <c r="B21" s="104" t="n">
        <v>6913.12</v>
      </c>
      <c r="C21" s="105" t="n">
        <v>334614</v>
      </c>
      <c r="D21" s="243" t="n">
        <f aca="false">C21-C20</f>
        <v>82</v>
      </c>
      <c r="E21" s="105" t="n">
        <f aca="false">C21-152000</f>
        <v>182614</v>
      </c>
      <c r="F21" s="265" t="n">
        <f aca="false">D21/$D$2</f>
        <v>41.3410637761533</v>
      </c>
      <c r="G21" s="241" t="n">
        <v>830</v>
      </c>
      <c r="H21" s="246" t="n">
        <v>2.2</v>
      </c>
      <c r="I21" s="265" t="n">
        <f aca="false">G21+H21</f>
        <v>832.2</v>
      </c>
      <c r="J21" s="246" t="n">
        <f aca="false">IF(L21&gt;0,L21,0)</f>
        <v>0</v>
      </c>
      <c r="K21" s="265" t="n">
        <f aca="false">I21+J21</f>
        <v>832.2</v>
      </c>
      <c r="L21" s="265" t="n">
        <f aca="false">F21-(I21-AE21)</f>
        <v>-77.8589362238468</v>
      </c>
      <c r="M21" s="267" t="n">
        <v>281</v>
      </c>
      <c r="N21" s="366" t="n">
        <v>1.88</v>
      </c>
      <c r="O21" s="265" t="n">
        <f aca="false">(43.31+45.64)*1.05</f>
        <v>93.3975</v>
      </c>
      <c r="P21" s="366"/>
      <c r="Q21" s="386" t="n">
        <f aca="false">2.26*1.02</f>
        <v>2.3052</v>
      </c>
      <c r="R21" s="386" t="n">
        <v>4.2</v>
      </c>
      <c r="S21" s="268" t="n">
        <v>1.38</v>
      </c>
      <c r="T21" s="265" t="n">
        <v>196</v>
      </c>
      <c r="U21" s="265" t="n">
        <v>70</v>
      </c>
      <c r="V21" s="265" t="n">
        <f aca="false">M21-N21-O21-P21-Q21-R21-S21+T21+U21-AP21</f>
        <v>443.8373</v>
      </c>
      <c r="W21" s="105" t="n">
        <f aca="false">W20+AM21-(AN21/1.9835)</f>
        <v>18871.1039139236</v>
      </c>
      <c r="X21" s="105" t="n">
        <f aca="false">X20</f>
        <v>1714.14</v>
      </c>
      <c r="Y21" s="105"/>
      <c r="Z21" s="265" t="n">
        <v>115</v>
      </c>
      <c r="AA21" s="267" t="n">
        <v>1.7</v>
      </c>
      <c r="AB21" s="269" t="n">
        <v>1.3</v>
      </c>
      <c r="AC21" s="476" t="n">
        <v>51</v>
      </c>
      <c r="AD21" s="477" t="n">
        <f aca="false">AD20-AC21</f>
        <v>14191.2578774893</v>
      </c>
      <c r="AE21" s="128" t="n">
        <f aca="false">N21+O21+Q21+R21+S21+V21+Z21+AC21</f>
        <v>713</v>
      </c>
      <c r="AF21" s="265" t="n">
        <f aca="false">IF(L21&lt;0,L21*-1,0)</f>
        <v>77.8589362238468</v>
      </c>
      <c r="AG21" s="265" t="n">
        <f aca="false">AE21+AF21</f>
        <v>790.858936223847</v>
      </c>
      <c r="AH21" s="247" t="n">
        <v>0</v>
      </c>
      <c r="AI21" s="243" t="n">
        <v>63</v>
      </c>
      <c r="AJ21" s="248" t="n">
        <v>30</v>
      </c>
      <c r="AK21" s="243" t="n">
        <f aca="false">AK20</f>
        <v>14045.6062705</v>
      </c>
      <c r="AL21" s="243"/>
      <c r="AM21" s="437" t="n">
        <f aca="false">795-V21</f>
        <v>351.1627</v>
      </c>
      <c r="AN21" s="366" t="n">
        <f aca="false">47.3*(W20*1.9835+AM21*1.9835+X21*1.9835)/E21</f>
        <v>10.5785902940928</v>
      </c>
      <c r="AO21" s="249"/>
    </row>
    <row r="22" customFormat="false" ht="12.95" hidden="false" customHeight="true" outlineLevel="0" collapsed="false">
      <c r="A22" s="172" t="n">
        <f aca="false">A21+1</f>
        <v>11</v>
      </c>
      <c r="B22" s="104" t="n">
        <v>6913.12</v>
      </c>
      <c r="C22" s="105" t="n">
        <v>334614</v>
      </c>
      <c r="D22" s="243" t="n">
        <f aca="false">C22-C21</f>
        <v>0</v>
      </c>
      <c r="E22" s="105" t="n">
        <f aca="false">C22-152000</f>
        <v>182614</v>
      </c>
      <c r="F22" s="265" t="n">
        <f aca="false">D22/$D$2</f>
        <v>0</v>
      </c>
      <c r="G22" s="241" t="n">
        <v>759</v>
      </c>
      <c r="H22" s="246" t="n">
        <v>1.61</v>
      </c>
      <c r="I22" s="265" t="n">
        <f aca="false">G22+H22</f>
        <v>760.61</v>
      </c>
      <c r="J22" s="246" t="n">
        <f aca="false">IF(L22&gt;0,L22,0)</f>
        <v>0.389999999999986</v>
      </c>
      <c r="K22" s="265" t="n">
        <f aca="false">I22+J22</f>
        <v>761</v>
      </c>
      <c r="L22" s="265" t="n">
        <f aca="false">F22-(I22-AE22)</f>
        <v>0.389999999999986</v>
      </c>
      <c r="M22" s="267" t="n">
        <v>282</v>
      </c>
      <c r="N22" s="366" t="n">
        <v>1.88</v>
      </c>
      <c r="O22" s="265" t="n">
        <f aca="false">(40.51+43.3)*1.05</f>
        <v>88.0005</v>
      </c>
      <c r="P22" s="366"/>
      <c r="Q22" s="386" t="n">
        <f aca="false">2.26*1.02</f>
        <v>2.3052</v>
      </c>
      <c r="R22" s="386" t="n">
        <v>4.2</v>
      </c>
      <c r="S22" s="268" t="n">
        <v>1.85</v>
      </c>
      <c r="T22" s="265" t="n">
        <v>238</v>
      </c>
      <c r="U22" s="265" t="n">
        <v>67</v>
      </c>
      <c r="V22" s="265" t="n">
        <f aca="false">M22-N22-O22-P22-Q22-R22-S22+T22+U22-AP22</f>
        <v>488.7643</v>
      </c>
      <c r="W22" s="105" t="n">
        <f aca="false">W21+AM22-(AN22/1.9835)</f>
        <v>19129.3442133213</v>
      </c>
      <c r="X22" s="105" t="n">
        <f aca="false">X21</f>
        <v>1714.14</v>
      </c>
      <c r="Y22" s="105"/>
      <c r="Z22" s="265" t="n">
        <v>123</v>
      </c>
      <c r="AA22" s="267" t="n">
        <v>1.7</v>
      </c>
      <c r="AB22" s="269" t="n">
        <v>1.3</v>
      </c>
      <c r="AC22" s="476" t="n">
        <v>51</v>
      </c>
      <c r="AD22" s="477" t="n">
        <f aca="false">AD21-AC22</f>
        <v>14140.2578774893</v>
      </c>
      <c r="AE22" s="128" t="n">
        <f aca="false">N22+O22+Q22+R22+S22+V22+Z22+AC22</f>
        <v>761</v>
      </c>
      <c r="AF22" s="265" t="n">
        <f aca="false">IF(L22&lt;0,L22*-1,0)</f>
        <v>0</v>
      </c>
      <c r="AG22" s="265" t="n">
        <f aca="false">AE22+AF22</f>
        <v>761</v>
      </c>
      <c r="AH22" s="247" t="n">
        <v>0</v>
      </c>
      <c r="AI22" s="243" t="n">
        <v>68</v>
      </c>
      <c r="AJ22" s="248" t="n">
        <v>34</v>
      </c>
      <c r="AK22" s="243" t="n">
        <f aca="false">AK21</f>
        <v>14045.6062705</v>
      </c>
      <c r="AL22" s="243"/>
      <c r="AM22" s="437" t="n">
        <f aca="false">I22-Q22-R22-V22-AA22</f>
        <v>263.6405</v>
      </c>
      <c r="AN22" s="366" t="n">
        <f aca="false">47.3*(W21*1.9835+AM22*1.9835+X22*1.9835)/E22</f>
        <v>10.7112978945553</v>
      </c>
      <c r="AO22" s="249"/>
    </row>
    <row r="23" customFormat="false" ht="12.95" hidden="false" customHeight="true" outlineLevel="0" collapsed="false">
      <c r="A23" s="172" t="n">
        <f aca="false">A22+1</f>
        <v>12</v>
      </c>
      <c r="B23" s="104" t="n">
        <v>6913.17</v>
      </c>
      <c r="C23" s="105" t="n">
        <v>334820</v>
      </c>
      <c r="D23" s="243" t="n">
        <f aca="false">C23-C22</f>
        <v>206</v>
      </c>
      <c r="E23" s="105" t="n">
        <f aca="false">C23-152000</f>
        <v>182820</v>
      </c>
      <c r="F23" s="265" t="n">
        <f aca="false">D23/$D$2</f>
        <v>103.856818754727</v>
      </c>
      <c r="G23" s="241" t="n">
        <v>814</v>
      </c>
      <c r="H23" s="246" t="n">
        <v>1.2</v>
      </c>
      <c r="I23" s="265" t="n">
        <f aca="false">G23+H23</f>
        <v>815.2</v>
      </c>
      <c r="J23" s="246" t="n">
        <f aca="false">IF(L23&gt;0,L23,0)</f>
        <v>91.6568187547265</v>
      </c>
      <c r="K23" s="265" t="n">
        <f aca="false">I23+J23</f>
        <v>906.856818754727</v>
      </c>
      <c r="L23" s="265" t="n">
        <f aca="false">F23-(I23-AE23)</f>
        <v>91.6568187547265</v>
      </c>
      <c r="M23" s="267" t="n">
        <v>288</v>
      </c>
      <c r="N23" s="366" t="n">
        <v>1.88</v>
      </c>
      <c r="O23" s="265" t="n">
        <f aca="false">(38.4+40.44)*1.05</f>
        <v>82.782</v>
      </c>
      <c r="P23" s="366"/>
      <c r="Q23" s="386" t="n">
        <f aca="false">2.26*1.02</f>
        <v>2.3052</v>
      </c>
      <c r="R23" s="386" t="n">
        <v>4.2</v>
      </c>
      <c r="S23" s="268" t="n">
        <v>3.47</v>
      </c>
      <c r="T23" s="265" t="n">
        <v>240</v>
      </c>
      <c r="U23" s="265" t="n">
        <v>68</v>
      </c>
      <c r="V23" s="265" t="n">
        <f aca="false">M23-N23-O23-P23-Q23-R23-S23+T23+U23-AP23</f>
        <v>501.3628</v>
      </c>
      <c r="W23" s="105" t="n">
        <f aca="false">W22+AM23-(AN23/1.9835)</f>
        <v>19417.5127236657</v>
      </c>
      <c r="X23" s="105" t="n">
        <f aca="false">X22</f>
        <v>1714.14</v>
      </c>
      <c r="Y23" s="105"/>
      <c r="Z23" s="265" t="n">
        <v>156</v>
      </c>
      <c r="AA23" s="267" t="n">
        <v>1.7</v>
      </c>
      <c r="AB23" s="269" t="n">
        <v>1.3</v>
      </c>
      <c r="AC23" s="476" t="n">
        <v>51</v>
      </c>
      <c r="AD23" s="477" t="n">
        <f aca="false">AD22-AC23</f>
        <v>14089.2578774893</v>
      </c>
      <c r="AE23" s="128" t="n">
        <f aca="false">N23+O23+Q23+R23+S23+V23+Z23+AC23</f>
        <v>803</v>
      </c>
      <c r="AF23" s="265" t="n">
        <f aca="false">IF(L23&lt;0,L23*-1,0)</f>
        <v>0</v>
      </c>
      <c r="AG23" s="265" t="n">
        <f aca="false">AE23+AF23</f>
        <v>803</v>
      </c>
      <c r="AH23" s="247" t="n">
        <v>0</v>
      </c>
      <c r="AI23" s="243" t="n">
        <v>76</v>
      </c>
      <c r="AJ23" s="248" t="n">
        <v>39</v>
      </c>
      <c r="AK23" s="243" t="n">
        <f aca="false">AK22</f>
        <v>14045.6062705</v>
      </c>
      <c r="AL23" s="243"/>
      <c r="AM23" s="437" t="n">
        <f aca="false">795-V23</f>
        <v>293.6372</v>
      </c>
      <c r="AN23" s="366" t="n">
        <f aca="false">47.3*(W22*1.9835+AM23*1.9835+X23*1.9835)/E23</f>
        <v>10.847145932027</v>
      </c>
      <c r="AO23" s="249"/>
    </row>
    <row r="24" customFormat="false" ht="12.95" hidden="false" customHeight="true" outlineLevel="0" collapsed="false">
      <c r="A24" s="172" t="n">
        <f aca="false">A23+1</f>
        <v>13</v>
      </c>
      <c r="B24" s="104" t="n">
        <v>6913.3</v>
      </c>
      <c r="C24" s="105" t="n">
        <v>335354</v>
      </c>
      <c r="D24" s="243" t="n">
        <f aca="false">C24-C23</f>
        <v>534</v>
      </c>
      <c r="E24" s="105" t="n">
        <f aca="false">C24-152000</f>
        <v>183354</v>
      </c>
      <c r="F24" s="265" t="n">
        <f aca="false">D24/$D$2</f>
        <v>269.221073859339</v>
      </c>
      <c r="G24" s="241" t="n">
        <v>1040</v>
      </c>
      <c r="H24" s="246" t="n">
        <v>0.99</v>
      </c>
      <c r="I24" s="265" t="n">
        <f aca="false">G24+H24</f>
        <v>1040.99</v>
      </c>
      <c r="J24" s="246" t="n">
        <f aca="false">IF(L24&gt;0,L24,0)</f>
        <v>67.2310738593395</v>
      </c>
      <c r="K24" s="265" t="n">
        <f aca="false">I24+J24</f>
        <v>1108.22107385934</v>
      </c>
      <c r="L24" s="265" t="n">
        <f aca="false">F24-(I24-AE24)</f>
        <v>67.2310738593395</v>
      </c>
      <c r="M24" s="267" t="n">
        <v>314</v>
      </c>
      <c r="N24" s="366" t="n">
        <v>1.88</v>
      </c>
      <c r="O24" s="265" t="n">
        <f aca="false">(40.27+39.38)*1.05</f>
        <v>83.6325</v>
      </c>
      <c r="P24" s="366"/>
      <c r="Q24" s="386" t="n">
        <f aca="false">2.26*1.02</f>
        <v>2.3052</v>
      </c>
      <c r="R24" s="386" t="n">
        <v>4.2</v>
      </c>
      <c r="S24" s="268" t="n">
        <v>3.97</v>
      </c>
      <c r="T24" s="265" t="n">
        <v>243</v>
      </c>
      <c r="U24" s="265" t="n">
        <v>70</v>
      </c>
      <c r="V24" s="265" t="n">
        <f aca="false">M24-N24-O24-P24-Q24-R24-S24+T24+U24-AP24</f>
        <v>531.0123</v>
      </c>
      <c r="W24" s="105" t="n">
        <f aca="false">W23+AM24-(AN24/1.9835)</f>
        <v>19675.9809706292</v>
      </c>
      <c r="X24" s="105" t="n">
        <f aca="false">X23</f>
        <v>1714.14</v>
      </c>
      <c r="Y24" s="105"/>
      <c r="Z24" s="265" t="n">
        <v>161</v>
      </c>
      <c r="AA24" s="267" t="n">
        <v>1.7</v>
      </c>
      <c r="AB24" s="269" t="n">
        <v>1.3</v>
      </c>
      <c r="AC24" s="476" t="n">
        <v>51</v>
      </c>
      <c r="AD24" s="477" t="n">
        <f aca="false">AD23-AC24</f>
        <v>14038.2578774893</v>
      </c>
      <c r="AE24" s="128" t="n">
        <f aca="false">N24+O24+Q24+R24+S24+V24+Z24+AC24</f>
        <v>839</v>
      </c>
      <c r="AF24" s="265" t="n">
        <f aca="false">IF(L24&lt;0,L24*-1,0)</f>
        <v>0</v>
      </c>
      <c r="AG24" s="265" t="n">
        <f aca="false">AE24+AF24</f>
        <v>839</v>
      </c>
      <c r="AH24" s="247" t="n">
        <v>0</v>
      </c>
      <c r="AI24" s="243" t="n">
        <v>80</v>
      </c>
      <c r="AJ24" s="248" t="n">
        <v>47</v>
      </c>
      <c r="AK24" s="243" t="n">
        <f aca="false">AK23</f>
        <v>14045.6062705</v>
      </c>
      <c r="AL24" s="243"/>
      <c r="AM24" s="437" t="n">
        <f aca="false">795-V24</f>
        <v>263.9877</v>
      </c>
      <c r="AN24" s="366" t="n">
        <f aca="false">47.3*(W23*1.9835+AM24*1.9835+X24*1.9835)/E24</f>
        <v>10.9478350977351</v>
      </c>
      <c r="AO24" s="249"/>
    </row>
    <row r="25" customFormat="false" ht="12.95" hidden="false" customHeight="true" outlineLevel="0" collapsed="false">
      <c r="A25" s="172" t="n">
        <f aca="false">A24+1</f>
        <v>14</v>
      </c>
      <c r="B25" s="104" t="n">
        <v>6913.46</v>
      </c>
      <c r="C25" s="105" t="n">
        <v>336012</v>
      </c>
      <c r="D25" s="243" t="n">
        <f aca="false">C25-C24</f>
        <v>658</v>
      </c>
      <c r="E25" s="105" t="n">
        <f aca="false">C25-152000</f>
        <v>184012</v>
      </c>
      <c r="F25" s="265" t="n">
        <f aca="false">D25/$D$2</f>
        <v>331.736828837913</v>
      </c>
      <c r="G25" s="241" t="n">
        <v>1130</v>
      </c>
      <c r="H25" s="246" t="n">
        <v>0.89</v>
      </c>
      <c r="I25" s="265" t="n">
        <f aca="false">G25+H25</f>
        <v>1130.89</v>
      </c>
      <c r="J25" s="246" t="n">
        <f aca="false">IF(L25&gt;0,L25,0)</f>
        <v>67.8468288379127</v>
      </c>
      <c r="K25" s="265" t="n">
        <f aca="false">I25+J25</f>
        <v>1198.73682883791</v>
      </c>
      <c r="L25" s="265" t="n">
        <f aca="false">F25-(I25-AE25)</f>
        <v>67.8468288379127</v>
      </c>
      <c r="M25" s="267" t="n">
        <v>332</v>
      </c>
      <c r="N25" s="366" t="n">
        <v>1.88</v>
      </c>
      <c r="O25" s="265" t="n">
        <f aca="false">(43.63+44.96)*1.05</f>
        <v>93.0195</v>
      </c>
      <c r="P25" s="366"/>
      <c r="Q25" s="386" t="n">
        <f aca="false">2.26*1.02</f>
        <v>2.3052</v>
      </c>
      <c r="R25" s="386" t="n">
        <v>4.2</v>
      </c>
      <c r="S25" s="268" t="n">
        <v>5.09</v>
      </c>
      <c r="T25" s="265" t="n">
        <v>243</v>
      </c>
      <c r="U25" s="265" t="n">
        <v>70</v>
      </c>
      <c r="V25" s="265" t="n">
        <f aca="false">M25-N25-O25-P25-Q25-R25-S25+T25+U25-AP25</f>
        <v>538.5053</v>
      </c>
      <c r="W25" s="105" t="n">
        <f aca="false">W24+AM25-(AN25/1.9835)</f>
        <v>19926.9114415506</v>
      </c>
      <c r="X25" s="105" t="n">
        <f aca="false">X24</f>
        <v>1714.14</v>
      </c>
      <c r="Y25" s="105"/>
      <c r="Z25" s="265" t="n">
        <v>171</v>
      </c>
      <c r="AA25" s="267" t="n">
        <v>1.7</v>
      </c>
      <c r="AB25" s="269" t="n">
        <v>1.3</v>
      </c>
      <c r="AC25" s="476" t="n">
        <v>51</v>
      </c>
      <c r="AD25" s="477" t="n">
        <f aca="false">AD24-AC25</f>
        <v>13987.2578774893</v>
      </c>
      <c r="AE25" s="128" t="n">
        <f aca="false">N25+O25+Q25+R25+S25+V25+Z25+AC25</f>
        <v>867</v>
      </c>
      <c r="AF25" s="265" t="n">
        <f aca="false">IF(L25&lt;0,L25*-1,0)</f>
        <v>0</v>
      </c>
      <c r="AG25" s="265" t="n">
        <f aca="false">AE25+AF25</f>
        <v>867</v>
      </c>
      <c r="AH25" s="247" t="n">
        <v>0.03</v>
      </c>
      <c r="AI25" s="243" t="n">
        <v>80</v>
      </c>
      <c r="AJ25" s="248" t="n">
        <v>51</v>
      </c>
      <c r="AK25" s="243" t="n">
        <f aca="false">AK24</f>
        <v>14045.6062705</v>
      </c>
      <c r="AL25" s="243"/>
      <c r="AM25" s="437" t="n">
        <f aca="false">795-V25</f>
        <v>256.4947</v>
      </c>
      <c r="AN25" s="366" t="n">
        <f aca="false">47.3*(W24*1.9835+AM25*1.9835+X25*1.9835)/E25</f>
        <v>11.0366483775046</v>
      </c>
      <c r="AO25" s="249"/>
    </row>
    <row r="26" customFormat="false" ht="12.95" hidden="false" customHeight="true" outlineLevel="0" collapsed="false">
      <c r="A26" s="172" t="n">
        <f aca="false">A25+1</f>
        <v>15</v>
      </c>
      <c r="B26" s="104" t="n">
        <v>6913.71</v>
      </c>
      <c r="C26" s="105" t="n">
        <v>337039</v>
      </c>
      <c r="D26" s="243" t="n">
        <f aca="false">C26-C25</f>
        <v>1027</v>
      </c>
      <c r="E26" s="105" t="n">
        <f aca="false">C26-152000</f>
        <v>185039</v>
      </c>
      <c r="F26" s="265" t="n">
        <f aca="false">D26/$D$2</f>
        <v>517.771615830603</v>
      </c>
      <c r="G26" s="241" t="n">
        <v>1370</v>
      </c>
      <c r="H26" s="246" t="n">
        <v>0.83</v>
      </c>
      <c r="I26" s="265" t="n">
        <f aca="false">G26+H26</f>
        <v>1370.83</v>
      </c>
      <c r="J26" s="246" t="n">
        <f aca="false">IF(L26&gt;0,L26,0)</f>
        <v>0</v>
      </c>
      <c r="K26" s="388" t="n">
        <f aca="false">I26+J26</f>
        <v>1370.83</v>
      </c>
      <c r="L26" s="265" t="n">
        <f aca="false">F26-(I26-AE26)</f>
        <v>-2.05838416939741</v>
      </c>
      <c r="M26" s="267" t="n">
        <v>314</v>
      </c>
      <c r="N26" s="366" t="n">
        <v>1.88</v>
      </c>
      <c r="O26" s="265" t="n">
        <f aca="false">(45.63+47.83)*1.05</f>
        <v>98.133</v>
      </c>
      <c r="P26" s="366"/>
      <c r="Q26" s="386" t="n">
        <f aca="false">2.26*1.02</f>
        <v>2.3052</v>
      </c>
      <c r="R26" s="386" t="n">
        <v>4.2</v>
      </c>
      <c r="S26" s="268" t="n">
        <v>2.23</v>
      </c>
      <c r="T26" s="265" t="n">
        <v>244</v>
      </c>
      <c r="U26" s="265" t="n">
        <v>69</v>
      </c>
      <c r="V26" s="265" t="n">
        <f aca="false">M26-N26-O26-P26-Q26-R26-S26+T26+U26-AP26</f>
        <v>518.2518</v>
      </c>
      <c r="W26" s="105" t="n">
        <f aca="false">W25+AM26-(AN26/1.9835)</f>
        <v>20198.0569744207</v>
      </c>
      <c r="X26" s="105" t="n">
        <f aca="false">X25</f>
        <v>1714.14</v>
      </c>
      <c r="Y26" s="105"/>
      <c r="Z26" s="265" t="n">
        <v>173</v>
      </c>
      <c r="AA26" s="267" t="n">
        <v>1.7</v>
      </c>
      <c r="AB26" s="269" t="n">
        <v>1.3</v>
      </c>
      <c r="AC26" s="476" t="n">
        <v>51</v>
      </c>
      <c r="AD26" s="477" t="n">
        <f aca="false">AD25-AC26</f>
        <v>13936.2578774893</v>
      </c>
      <c r="AE26" s="128" t="n">
        <f aca="false">N26+O26+Q26+R26+S26+V26+Z26+AC26</f>
        <v>851</v>
      </c>
      <c r="AF26" s="265" t="n">
        <f aca="false">IF(L26&lt;0,L26*-1,0)</f>
        <v>2.05838416939741</v>
      </c>
      <c r="AG26" s="265" t="n">
        <f aca="false">AE26+AF26</f>
        <v>853.058384169398</v>
      </c>
      <c r="AH26" s="247" t="n">
        <v>0.09</v>
      </c>
      <c r="AI26" s="243" t="n">
        <v>74</v>
      </c>
      <c r="AJ26" s="248" t="n">
        <v>47</v>
      </c>
      <c r="AK26" s="243" t="n">
        <f aca="false">AK25</f>
        <v>14045.6062705</v>
      </c>
      <c r="AL26" s="243"/>
      <c r="AM26" s="437" t="n">
        <f aca="false">795-V26</f>
        <v>276.7482</v>
      </c>
      <c r="AN26" s="366" t="n">
        <f aca="false">47.3*(W25*1.9835+AM26*1.9835+X26*1.9835)/E26</f>
        <v>11.1128902521114</v>
      </c>
      <c r="AO26" s="249"/>
    </row>
    <row r="27" customFormat="false" ht="12.95" hidden="false" customHeight="true" outlineLevel="0" collapsed="false">
      <c r="A27" s="172" t="n">
        <f aca="false">A26+1</f>
        <v>16</v>
      </c>
      <c r="B27" s="104" t="n">
        <v>6913.97</v>
      </c>
      <c r="C27" s="105" t="n">
        <v>338107</v>
      </c>
      <c r="D27" s="243" t="n">
        <f aca="false">C27-C26</f>
        <v>1068</v>
      </c>
      <c r="E27" s="105" t="n">
        <f aca="false">C27-152000</f>
        <v>186107</v>
      </c>
      <c r="F27" s="265" t="n">
        <f aca="false">D27/$D$2</f>
        <v>538.442147718679</v>
      </c>
      <c r="G27" s="241" t="n">
        <v>1440</v>
      </c>
      <c r="H27" s="246" t="n">
        <v>1</v>
      </c>
      <c r="I27" s="265" t="n">
        <f aca="false">G27+H27</f>
        <v>1441</v>
      </c>
      <c r="J27" s="246" t="n">
        <f aca="false">IF(L27&gt;0,L27,0)</f>
        <v>0</v>
      </c>
      <c r="K27" s="265" t="n">
        <f aca="false">I27+J27</f>
        <v>1441</v>
      </c>
      <c r="L27" s="265" t="n">
        <f aca="false">F27-(I27-AE27)</f>
        <v>-51.5578522813209</v>
      </c>
      <c r="M27" s="267" t="n">
        <v>276</v>
      </c>
      <c r="N27" s="366" t="n">
        <v>1.88</v>
      </c>
      <c r="O27" s="265" t="n">
        <f aca="false">(39.63+37.9)*1.05</f>
        <v>81.4065</v>
      </c>
      <c r="P27" s="366"/>
      <c r="Q27" s="386" t="n">
        <f aca="false">2.26*1.02</f>
        <v>2.3052</v>
      </c>
      <c r="R27" s="386" t="n">
        <v>4.2</v>
      </c>
      <c r="S27" s="268" t="n">
        <v>2.94</v>
      </c>
      <c r="T27" s="265" t="n">
        <v>244</v>
      </c>
      <c r="U27" s="265" t="n">
        <v>69</v>
      </c>
      <c r="V27" s="265" t="n">
        <f aca="false">M27-N27-O27-P27-Q27-R27-S27+T27+U27-AP27</f>
        <v>496.2683</v>
      </c>
      <c r="W27" s="105" t="n">
        <f aca="false">W26+AM27-(AN27/1.9835)</f>
        <v>20491.1436587776</v>
      </c>
      <c r="X27" s="105" t="n">
        <f aca="false">X26</f>
        <v>1714.14</v>
      </c>
      <c r="Y27" s="105"/>
      <c r="Z27" s="265" t="n">
        <v>211</v>
      </c>
      <c r="AA27" s="267" t="n">
        <v>1.7</v>
      </c>
      <c r="AB27" s="269" t="n">
        <v>1.3</v>
      </c>
      <c r="AC27" s="476" t="n">
        <v>51</v>
      </c>
      <c r="AD27" s="477" t="n">
        <f aca="false">AD26-AC27</f>
        <v>13885.2578774893</v>
      </c>
      <c r="AE27" s="128" t="n">
        <f aca="false">N27+O27+Q27+R27+S27+V27+Z27+AC27</f>
        <v>851</v>
      </c>
      <c r="AF27" s="265" t="n">
        <f aca="false">IF(L27&lt;0,L27*-1,0)</f>
        <v>51.5578522813209</v>
      </c>
      <c r="AG27" s="265" t="n">
        <f aca="false">AE27+AF27</f>
        <v>902.557852281321</v>
      </c>
      <c r="AH27" s="247" t="n">
        <v>0</v>
      </c>
      <c r="AI27" s="243" t="n">
        <v>78</v>
      </c>
      <c r="AJ27" s="248" t="n">
        <v>44</v>
      </c>
      <c r="AK27" s="243" t="n">
        <f aca="false">AK26</f>
        <v>14045.6062705</v>
      </c>
      <c r="AL27" s="243"/>
      <c r="AM27" s="437" t="n">
        <f aca="false">795-V27</f>
        <v>298.7317</v>
      </c>
      <c r="AN27" s="366" t="n">
        <f aca="false">47.3*(W26*1.9835+AM27*1.9835+X27*1.9835)/E27</f>
        <v>11.1968885281921</v>
      </c>
      <c r="AO27" s="249"/>
    </row>
    <row r="28" customFormat="false" ht="12.95" hidden="false" customHeight="true" outlineLevel="0" collapsed="false">
      <c r="A28" s="172" t="n">
        <f aca="false">A27+1</f>
        <v>17</v>
      </c>
      <c r="B28" s="104" t="n">
        <v>6914.21</v>
      </c>
      <c r="C28" s="105" t="n">
        <v>339100</v>
      </c>
      <c r="D28" s="243" t="n">
        <f aca="false">C28-C27</f>
        <v>993</v>
      </c>
      <c r="E28" s="105" t="n">
        <f aca="false">C28-152000</f>
        <v>187100</v>
      </c>
      <c r="F28" s="265" t="n">
        <f aca="false">D28/$D$2</f>
        <v>500.630199142929</v>
      </c>
      <c r="G28" s="241" t="n">
        <v>1480</v>
      </c>
      <c r="H28" s="246" t="n">
        <v>0.85</v>
      </c>
      <c r="I28" s="265" t="n">
        <f aca="false">G28+H28</f>
        <v>1480.85</v>
      </c>
      <c r="J28" s="246" t="n">
        <f aca="false">IF(L28&gt;0,L28,0)</f>
        <v>0</v>
      </c>
      <c r="K28" s="388" t="n">
        <f aca="false">I28+J28</f>
        <v>1480.85</v>
      </c>
      <c r="L28" s="265" t="n">
        <f aca="false">F28-(I28-AE28)</f>
        <v>-91.2198008570708</v>
      </c>
      <c r="M28" s="267" t="n">
        <v>312</v>
      </c>
      <c r="N28" s="366" t="n">
        <v>1.88</v>
      </c>
      <c r="O28" s="265" t="n">
        <f aca="false">(38.73+38.54)*1.05</f>
        <v>81.1335</v>
      </c>
      <c r="P28" s="366"/>
      <c r="Q28" s="386" t="n">
        <f aca="false">2.26*1.02</f>
        <v>2.3052</v>
      </c>
      <c r="R28" s="386" t="n">
        <v>4.2</v>
      </c>
      <c r="S28" s="268" t="n">
        <v>2.96</v>
      </c>
      <c r="T28" s="265" t="n">
        <v>244</v>
      </c>
      <c r="U28" s="265" t="n">
        <v>69</v>
      </c>
      <c r="V28" s="265" t="n">
        <f aca="false">M28-N28-O28-P28-Q28-R28-S28+T28+U28-AP28</f>
        <v>532.5213</v>
      </c>
      <c r="W28" s="105" t="n">
        <f aca="false">W27+AM28-(AN28/1.9835)</f>
        <v>20747.9423739589</v>
      </c>
      <c r="X28" s="105" t="n">
        <f aca="false">X27</f>
        <v>1714.14</v>
      </c>
      <c r="Y28" s="105"/>
      <c r="Z28" s="265" t="n">
        <v>213</v>
      </c>
      <c r="AA28" s="267" t="n">
        <v>1.7</v>
      </c>
      <c r="AB28" s="269" t="n">
        <v>1.3</v>
      </c>
      <c r="AC28" s="476" t="n">
        <v>51</v>
      </c>
      <c r="AD28" s="477" t="n">
        <f aca="false">AD27-AC28</f>
        <v>13834.2578774893</v>
      </c>
      <c r="AE28" s="128" t="n">
        <f aca="false">N28+O28+Q28+R28+S28+V28+Z28+AC28</f>
        <v>889</v>
      </c>
      <c r="AF28" s="265" t="n">
        <f aca="false">IF(L28&lt;0,L28*-1,0)</f>
        <v>91.2198008570708</v>
      </c>
      <c r="AG28" s="265" t="n">
        <f aca="false">AE28+AF28</f>
        <v>980.219800857071</v>
      </c>
      <c r="AH28" s="247" t="n">
        <v>0</v>
      </c>
      <c r="AI28" s="243" t="n">
        <v>82</v>
      </c>
      <c r="AJ28" s="248" t="n">
        <v>46</v>
      </c>
      <c r="AK28" s="243" t="n">
        <f aca="false">AK27</f>
        <v>14045.6062705</v>
      </c>
      <c r="AL28" s="243"/>
      <c r="AM28" s="437" t="n">
        <f aca="false">795-V28</f>
        <v>262.4787</v>
      </c>
      <c r="AN28" s="366" t="n">
        <f aca="false">47.3*(W27*1.9835+AM28*1.9835+X28*1.9835)/E28</f>
        <v>11.2662498878004</v>
      </c>
      <c r="AO28" s="249"/>
    </row>
    <row r="29" customFormat="false" ht="12.95" hidden="false" customHeight="true" outlineLevel="0" collapsed="false">
      <c r="A29" s="172" t="n">
        <f aca="false">A28+1</f>
        <v>18</v>
      </c>
      <c r="B29" s="104" t="n">
        <v>6914.42</v>
      </c>
      <c r="C29" s="105" t="n">
        <v>339970</v>
      </c>
      <c r="D29" s="243" t="n">
        <f aca="false">C29-C28</f>
        <v>870</v>
      </c>
      <c r="E29" s="105" t="n">
        <f aca="false">C29-152000</f>
        <v>187970</v>
      </c>
      <c r="F29" s="265" t="n">
        <f aca="false">D29/$D$2</f>
        <v>438.618603478699</v>
      </c>
      <c r="G29" s="241" t="n">
        <v>1420</v>
      </c>
      <c r="H29" s="246" t="n">
        <v>0.62</v>
      </c>
      <c r="I29" s="265" t="n">
        <f aca="false">G29+H29</f>
        <v>1420.62</v>
      </c>
      <c r="J29" s="246" t="n">
        <f aca="false">IF(L29&gt;0,L29,0)</f>
        <v>0</v>
      </c>
      <c r="K29" s="265" t="n">
        <f aca="false">I29+J29</f>
        <v>1420.62</v>
      </c>
      <c r="L29" s="265" t="n">
        <f aca="false">F29-(I29-AE29)</f>
        <v>-91.0013965213006</v>
      </c>
      <c r="M29" s="267" t="n">
        <v>311</v>
      </c>
      <c r="N29" s="366" t="n">
        <v>1.88</v>
      </c>
      <c r="O29" s="265" t="n">
        <f aca="false">(40.84+42.35)*1.05</f>
        <v>87.3495</v>
      </c>
      <c r="P29" s="366"/>
      <c r="Q29" s="386" t="n">
        <f aca="false">2.26*1.02</f>
        <v>2.3052</v>
      </c>
      <c r="R29" s="386" t="n">
        <v>4.2</v>
      </c>
      <c r="S29" s="268" t="n">
        <v>3.93</v>
      </c>
      <c r="T29" s="265" t="n">
        <v>222</v>
      </c>
      <c r="U29" s="265" t="n">
        <v>70</v>
      </c>
      <c r="V29" s="265" t="n">
        <f aca="false">M29-N29-O29-P29-Q29-R29-S29+T29+U29-AP29</f>
        <v>503.3353</v>
      </c>
      <c r="W29" s="105" t="n">
        <f aca="false">W28+AM29-(AN29/1.9835)</f>
        <v>21033.8814143505</v>
      </c>
      <c r="X29" s="105" t="n">
        <f aca="false">X28</f>
        <v>1714.14</v>
      </c>
      <c r="Y29" s="105"/>
      <c r="Z29" s="265" t="n">
        <v>237</v>
      </c>
      <c r="AA29" s="267" t="n">
        <v>1.7</v>
      </c>
      <c r="AB29" s="269" t="n">
        <v>1.3</v>
      </c>
      <c r="AC29" s="476" t="n">
        <v>51</v>
      </c>
      <c r="AD29" s="477" t="n">
        <f aca="false">AD28-AC29</f>
        <v>13783.2578774893</v>
      </c>
      <c r="AE29" s="128" t="n">
        <f aca="false">N29+O29+Q29+R29+S29+V29+Z29+AC29</f>
        <v>891</v>
      </c>
      <c r="AF29" s="265" t="n">
        <f aca="false">IF(L29&lt;0,L29*-1,0)</f>
        <v>91.0013965213006</v>
      </c>
      <c r="AG29" s="265" t="n">
        <f aca="false">AE29+AF29</f>
        <v>982.001396521301</v>
      </c>
      <c r="AH29" s="247" t="n">
        <v>0</v>
      </c>
      <c r="AI29" s="243" t="n">
        <v>83</v>
      </c>
      <c r="AJ29" s="248" t="n">
        <v>47</v>
      </c>
      <c r="AK29" s="243" t="n">
        <f aca="false">AK28</f>
        <v>14045.6062705</v>
      </c>
      <c r="AL29" s="243"/>
      <c r="AM29" s="437" t="n">
        <f aca="false">795-V29</f>
        <v>291.6647</v>
      </c>
      <c r="AN29" s="366" t="n">
        <f aca="false">47.3*(W28*1.9835+AM29*1.9835+X29*1.9835)/E29</f>
        <v>11.3568458333385</v>
      </c>
      <c r="AO29" s="249"/>
      <c r="AP29" s="200"/>
    </row>
    <row r="30" customFormat="false" ht="12.95" hidden="false" customHeight="true" outlineLevel="0" collapsed="false">
      <c r="A30" s="172" t="n">
        <f aca="false">A29+1</f>
        <v>19</v>
      </c>
      <c r="B30" s="104" t="n">
        <v>6914.67</v>
      </c>
      <c r="C30" s="369" t="n">
        <v>341006</v>
      </c>
      <c r="D30" s="243" t="n">
        <f aca="false">C30-C29</f>
        <v>1036</v>
      </c>
      <c r="E30" s="105" t="n">
        <f aca="false">C30-152000</f>
        <v>189006</v>
      </c>
      <c r="F30" s="265" t="n">
        <f aca="false">D30/$D$2</f>
        <v>522.309049659693</v>
      </c>
      <c r="G30" s="241" t="n">
        <v>1350</v>
      </c>
      <c r="H30" s="246" t="n">
        <v>0.51</v>
      </c>
      <c r="I30" s="265" t="n">
        <f aca="false">G30+H30</f>
        <v>1350.51</v>
      </c>
      <c r="J30" s="246" t="n">
        <f aca="false">IF(L30&gt;0,L30,0)</f>
        <v>38.7990496596925</v>
      </c>
      <c r="K30" s="265" t="n">
        <f aca="false">I30+J30</f>
        <v>1389.30904965969</v>
      </c>
      <c r="L30" s="265" t="n">
        <f aca="false">F30-(I30-AE30)</f>
        <v>38.7990496596925</v>
      </c>
      <c r="M30" s="267" t="n">
        <v>327</v>
      </c>
      <c r="N30" s="366" t="n">
        <v>1.88</v>
      </c>
      <c r="O30" s="265" t="n">
        <f aca="false">(40.88+42.27)*1.05</f>
        <v>87.3075</v>
      </c>
      <c r="P30" s="366"/>
      <c r="Q30" s="386" t="n">
        <f aca="false">2.26*1.02</f>
        <v>2.3052</v>
      </c>
      <c r="R30" s="386" t="n">
        <v>4.2</v>
      </c>
      <c r="S30" s="268" t="n">
        <v>4.84</v>
      </c>
      <c r="T30" s="265" t="n">
        <v>198</v>
      </c>
      <c r="U30" s="265" t="n">
        <v>70</v>
      </c>
      <c r="V30" s="265" t="n">
        <f aca="false">M30-N30-O30-P30-Q30-R30-S30+T30+U30-AP30</f>
        <v>494.4673</v>
      </c>
      <c r="W30" s="105" t="n">
        <f aca="false">W29+AM30-(AN30/1.9835)</f>
        <v>21328.6460614336</v>
      </c>
      <c r="X30" s="105" t="n">
        <f aca="false">X29</f>
        <v>1714.14</v>
      </c>
      <c r="Y30" s="105"/>
      <c r="Z30" s="265" t="n">
        <v>221</v>
      </c>
      <c r="AA30" s="267" t="n">
        <v>1.7</v>
      </c>
      <c r="AB30" s="269" t="n">
        <v>1.3</v>
      </c>
      <c r="AC30" s="476" t="n">
        <v>51</v>
      </c>
      <c r="AD30" s="477" t="n">
        <f aca="false">AD29-AC30</f>
        <v>13732.2578774893</v>
      </c>
      <c r="AE30" s="128" t="n">
        <f aca="false">N30+O30+Q30+R30+S30+V30+Z30+AC30</f>
        <v>867</v>
      </c>
      <c r="AF30" s="265" t="n">
        <f aca="false">IF(L30&lt;0,L30*-1,0)</f>
        <v>0</v>
      </c>
      <c r="AG30" s="265" t="n">
        <f aca="false">AE30+AF30</f>
        <v>867</v>
      </c>
      <c r="AH30" s="247" t="n">
        <v>0</v>
      </c>
      <c r="AI30" s="243" t="n">
        <v>82</v>
      </c>
      <c r="AJ30" s="248" t="n">
        <v>48</v>
      </c>
      <c r="AK30" s="243" t="n">
        <f aca="false">AK29</f>
        <v>14045.6062705</v>
      </c>
      <c r="AL30" s="243"/>
      <c r="AM30" s="437" t="n">
        <f aca="false">795-V30</f>
        <v>300.5327</v>
      </c>
      <c r="AN30" s="366" t="n">
        <f aca="false">47.3*(W29*1.9835+AM30*1.9835+X30*1.9835)/E30</f>
        <v>11.4409329606415</v>
      </c>
      <c r="AO30" s="249"/>
      <c r="AP30" s="200"/>
    </row>
    <row r="31" customFormat="false" ht="12.95" hidden="false" customHeight="true" outlineLevel="0" collapsed="false">
      <c r="A31" s="172" t="n">
        <f aca="false">A30+1</f>
        <v>20</v>
      </c>
      <c r="B31" s="104" t="n">
        <v>6914.86</v>
      </c>
      <c r="C31" s="105" t="n">
        <v>341792</v>
      </c>
      <c r="D31" s="243" t="n">
        <f aca="false">C31-C30</f>
        <v>786</v>
      </c>
      <c r="E31" s="105" t="n">
        <f aca="false">C31-152000</f>
        <v>189792</v>
      </c>
      <c r="F31" s="265" t="n">
        <f aca="false">D31/$D$2</f>
        <v>396.269221073859</v>
      </c>
      <c r="G31" s="241" t="n">
        <v>1280</v>
      </c>
      <c r="H31" s="246" t="n">
        <v>0.45</v>
      </c>
      <c r="I31" s="265" t="n">
        <f aca="false">G31+H31</f>
        <v>1280.45</v>
      </c>
      <c r="J31" s="246" t="n">
        <f aca="false">IF(L31&gt;0,L31,0)</f>
        <v>9.8192210738593</v>
      </c>
      <c r="K31" s="265" t="n">
        <f aca="false">I31+J31</f>
        <v>1290.26922107386</v>
      </c>
      <c r="L31" s="265" t="n">
        <f aca="false">F31-(I31-AE31)</f>
        <v>9.8192210738593</v>
      </c>
      <c r="M31" s="267" t="n">
        <v>329</v>
      </c>
      <c r="N31" s="366" t="n">
        <v>1.88</v>
      </c>
      <c r="O31" s="265" t="n">
        <f aca="false">(43.38+42.11)*1.05</f>
        <v>89.7645</v>
      </c>
      <c r="P31" s="366"/>
      <c r="Q31" s="386" t="n">
        <f aca="false">2.26*1.02</f>
        <v>2.3052</v>
      </c>
      <c r="R31" s="386" t="n">
        <v>4.2</v>
      </c>
      <c r="S31" s="268" t="n">
        <v>4.94</v>
      </c>
      <c r="T31" s="265" t="n">
        <v>179</v>
      </c>
      <c r="U31" s="265" t="n">
        <v>73</v>
      </c>
      <c r="V31" s="265" t="n">
        <f aca="false">M31-N31-O31-P31-Q31-R31-S31+T31+U31-AP31</f>
        <v>477.9103</v>
      </c>
      <c r="W31" s="105" t="n">
        <f aca="false">W30+AM31-(AN31/1.9835)</f>
        <v>21639.9140085488</v>
      </c>
      <c r="X31" s="105" t="n">
        <f aca="false">X30</f>
        <v>1714.14</v>
      </c>
      <c r="Y31" s="105"/>
      <c r="Z31" s="265" t="n">
        <v>262</v>
      </c>
      <c r="AA31" s="267" t="n">
        <v>1.7</v>
      </c>
      <c r="AB31" s="269" t="n">
        <v>1.3</v>
      </c>
      <c r="AC31" s="476" t="n">
        <v>51</v>
      </c>
      <c r="AD31" s="477" t="n">
        <f aca="false">AD30-AC31</f>
        <v>13681.2578774893</v>
      </c>
      <c r="AE31" s="128" t="n">
        <f aca="false">N31+O31+Q31+R31+S31+V31+Z31+AC31</f>
        <v>894</v>
      </c>
      <c r="AF31" s="265" t="n">
        <f aca="false">IF(L31&lt;0,L31*-1,0)</f>
        <v>0</v>
      </c>
      <c r="AG31" s="265" t="n">
        <f aca="false">AE31+AF31</f>
        <v>894</v>
      </c>
      <c r="AH31" s="247" t="n">
        <v>0</v>
      </c>
      <c r="AI31" s="243" t="n">
        <v>80</v>
      </c>
      <c r="AJ31" s="248" t="n">
        <v>49</v>
      </c>
      <c r="AK31" s="243" t="n">
        <f aca="false">AK30</f>
        <v>14045.6062705</v>
      </c>
      <c r="AL31" s="243"/>
      <c r="AM31" s="437" t="n">
        <f aca="false">795-V31</f>
        <v>317.0897</v>
      </c>
      <c r="AN31" s="366" t="n">
        <f aca="false">47.3*(W30*1.9835+AM31*1.9835+X31*1.9835)/E31</f>
        <v>11.547446847041</v>
      </c>
      <c r="AO31" s="249"/>
      <c r="AP31" s="200"/>
    </row>
    <row r="32" customFormat="false" ht="12.95" hidden="false" customHeight="true" outlineLevel="0" collapsed="false">
      <c r="A32" s="172" t="n">
        <f aca="false">A31+1</f>
        <v>21</v>
      </c>
      <c r="B32" s="478" t="n">
        <v>6915.17</v>
      </c>
      <c r="C32" s="105" t="n">
        <v>343082</v>
      </c>
      <c r="D32" s="243" t="n">
        <f aca="false">C32-C31</f>
        <v>1290</v>
      </c>
      <c r="E32" s="105" t="n">
        <f aca="false">C32-152000</f>
        <v>191082</v>
      </c>
      <c r="F32" s="265" t="n">
        <f aca="false">D32/$D$2</f>
        <v>650.365515502899</v>
      </c>
      <c r="G32" s="241" t="n">
        <v>1460</v>
      </c>
      <c r="H32" s="246" t="n">
        <v>0.38</v>
      </c>
      <c r="I32" s="265" t="n">
        <f aca="false">G32+H32</f>
        <v>1460.38</v>
      </c>
      <c r="J32" s="246" t="n">
        <f aca="false">IF(L32&gt;0,L32,0)</f>
        <v>29.9855155028988</v>
      </c>
      <c r="K32" s="265" t="n">
        <f aca="false">I32+J32</f>
        <v>1490.3655155029</v>
      </c>
      <c r="L32" s="265" t="n">
        <f aca="false">F32-(I32-AE32)</f>
        <v>29.9855155028988</v>
      </c>
      <c r="M32" s="267" t="n">
        <v>325</v>
      </c>
      <c r="N32" s="366" t="n">
        <v>1.88</v>
      </c>
      <c r="O32" s="265" t="n">
        <f aca="false">(40.44+40.82)*1.05</f>
        <v>85.323</v>
      </c>
      <c r="P32" s="366"/>
      <c r="Q32" s="386" t="n">
        <f aca="false">2.26*1.02</f>
        <v>2.3052</v>
      </c>
      <c r="R32" s="386" t="n">
        <v>4.2</v>
      </c>
      <c r="S32" s="268" t="n">
        <v>3.13</v>
      </c>
      <c r="T32" s="265" t="n">
        <v>164</v>
      </c>
      <c r="U32" s="265" t="n">
        <v>76</v>
      </c>
      <c r="V32" s="265" t="n">
        <f aca="false">M32-N32-O32-P32-Q32-R32-S32+T32+U32-AP32</f>
        <v>468.1618</v>
      </c>
      <c r="W32" s="105" t="n">
        <f aca="false">W31+AM32-(AN32/1.9835)</f>
        <v>21960.8902948077</v>
      </c>
      <c r="X32" s="105" t="n">
        <f aca="false">X31</f>
        <v>1714.14</v>
      </c>
      <c r="Y32" s="105"/>
      <c r="Z32" s="265" t="n">
        <v>224</v>
      </c>
      <c r="AA32" s="267" t="n">
        <v>1.7</v>
      </c>
      <c r="AB32" s="269" t="n">
        <v>1.3</v>
      </c>
      <c r="AC32" s="476" t="n">
        <v>51</v>
      </c>
      <c r="AD32" s="477" t="n">
        <f aca="false">AD31-AC32</f>
        <v>13630.2578774893</v>
      </c>
      <c r="AE32" s="128" t="n">
        <f aca="false">N32+O32+Q32+R32+S32+V32+Z32+AC32</f>
        <v>840</v>
      </c>
      <c r="AF32" s="265" t="n">
        <f aca="false">IF(L32&lt;0,L32*-1,0)</f>
        <v>0</v>
      </c>
      <c r="AG32" s="265" t="n">
        <f aca="false">AE32+AF32</f>
        <v>840</v>
      </c>
      <c r="AH32" s="247" t="n">
        <v>0</v>
      </c>
      <c r="AI32" s="243" t="n">
        <v>80</v>
      </c>
      <c r="AJ32" s="248" t="n">
        <v>47</v>
      </c>
      <c r="AK32" s="243" t="n">
        <f aca="false">AK31</f>
        <v>14045.6062705</v>
      </c>
      <c r="AL32" s="243"/>
      <c r="AM32" s="437" t="n">
        <f aca="false">795-V32</f>
        <v>326.8382</v>
      </c>
      <c r="AN32" s="366" t="n">
        <f aca="false">47.3*(W31*1.9835+AM32*1.9835+X32*1.9835)/E32</f>
        <v>11.627105905342</v>
      </c>
      <c r="AO32" s="249"/>
      <c r="AP32" s="200"/>
    </row>
    <row r="33" customFormat="false" ht="12.95" hidden="false" customHeight="true" outlineLevel="0" collapsed="false">
      <c r="A33" s="172" t="n">
        <f aca="false">A32+1</f>
        <v>22</v>
      </c>
      <c r="B33" s="104" t="n">
        <v>6915.42</v>
      </c>
      <c r="C33" s="105" t="n">
        <v>344126</v>
      </c>
      <c r="D33" s="243" t="n">
        <f aca="false">C33-C32</f>
        <v>1044</v>
      </c>
      <c r="E33" s="105" t="n">
        <f aca="false">C33-152000</f>
        <v>192126</v>
      </c>
      <c r="F33" s="265" t="n">
        <f aca="false">D33/$D$2</f>
        <v>526.342324174439</v>
      </c>
      <c r="G33" s="241" t="n">
        <v>1490</v>
      </c>
      <c r="H33" s="246" t="n">
        <v>0.35</v>
      </c>
      <c r="I33" s="265" t="n">
        <f aca="false">G33+H33</f>
        <v>1490.35</v>
      </c>
      <c r="J33" s="246" t="n">
        <f aca="false">IF(L33&gt;0,L33,0)</f>
        <v>0</v>
      </c>
      <c r="K33" s="265" t="n">
        <f aca="false">I33+J33</f>
        <v>1490.35</v>
      </c>
      <c r="L33" s="265" t="n">
        <f aca="false">F33-(I33-AE33)</f>
        <v>-106.007675825561</v>
      </c>
      <c r="M33" s="267" t="n">
        <v>315</v>
      </c>
      <c r="N33" s="366" t="n">
        <v>1.88</v>
      </c>
      <c r="O33" s="265" t="n">
        <f aca="false">(39+39.33)*1.05</f>
        <v>82.2465</v>
      </c>
      <c r="P33" s="366"/>
      <c r="Q33" s="386" t="n">
        <f aca="false">2.26*1.02</f>
        <v>2.3052</v>
      </c>
      <c r="R33" s="386" t="n">
        <v>4.2</v>
      </c>
      <c r="S33" s="268" t="n">
        <v>3.28</v>
      </c>
      <c r="T33" s="265" t="n">
        <v>164</v>
      </c>
      <c r="U33" s="265" t="n">
        <v>77</v>
      </c>
      <c r="V33" s="265" t="n">
        <f aca="false">M33-N33-O33-P33-Q33-R33-S33+T33+U33-AP33</f>
        <v>462.0883</v>
      </c>
      <c r="W33" s="105" t="n">
        <f aca="false">W32+AM33-(AN33/1.9835)</f>
        <v>22287.8914170808</v>
      </c>
      <c r="X33" s="105" t="n">
        <f aca="false">X32</f>
        <v>1714.14</v>
      </c>
      <c r="Y33" s="105"/>
      <c r="Z33" s="265" t="n">
        <v>251</v>
      </c>
      <c r="AA33" s="267" t="n">
        <v>1.7</v>
      </c>
      <c r="AB33" s="269" t="n">
        <v>1.3</v>
      </c>
      <c r="AC33" s="476" t="n">
        <v>51</v>
      </c>
      <c r="AD33" s="477" t="n">
        <f aca="false">AD32-AC33</f>
        <v>13579.2578774893</v>
      </c>
      <c r="AE33" s="128" t="n">
        <f aca="false">N33+O33+Q33+R33+S33+V33+Z33+AC33</f>
        <v>858</v>
      </c>
      <c r="AF33" s="265" t="n">
        <f aca="false">IF(L33&lt;0,L33*-1,0)</f>
        <v>106.007675825561</v>
      </c>
      <c r="AG33" s="265" t="n">
        <f aca="false">AE33+AF33</f>
        <v>964.007675825561</v>
      </c>
      <c r="AH33" s="247" t="n">
        <v>0</v>
      </c>
      <c r="AI33" s="243" t="n">
        <v>74</v>
      </c>
      <c r="AJ33" s="248" t="n">
        <v>47</v>
      </c>
      <c r="AK33" s="243" t="n">
        <f aca="false">AK32</f>
        <v>14045.6062705</v>
      </c>
      <c r="AL33" s="243"/>
      <c r="AM33" s="437" t="n">
        <f aca="false">795-V33</f>
        <v>332.9117</v>
      </c>
      <c r="AN33" s="366" t="n">
        <f aca="false">47.3*(W32*1.9835+AM33*1.9835+X33*1.9835)/E33</f>
        <v>11.723630921265</v>
      </c>
      <c r="AO33" s="249"/>
      <c r="AP33" s="200"/>
    </row>
    <row r="34" customFormat="false" ht="12.95" hidden="false" customHeight="true" outlineLevel="0" collapsed="false">
      <c r="A34" s="172" t="n">
        <f aca="false">A33+1</f>
        <v>23</v>
      </c>
      <c r="B34" s="104" t="n">
        <v>6915.65</v>
      </c>
      <c r="C34" s="105" t="n">
        <v>345086</v>
      </c>
      <c r="D34" s="243" t="n">
        <f aca="false">C34-C33</f>
        <v>960</v>
      </c>
      <c r="E34" s="105" t="n">
        <f aca="false">C34-152000</f>
        <v>193086</v>
      </c>
      <c r="F34" s="265" t="n">
        <f aca="false">D34/$D$2</f>
        <v>483.992941769599</v>
      </c>
      <c r="G34" s="241" t="n">
        <v>1420</v>
      </c>
      <c r="H34" s="246" t="n">
        <v>0.32</v>
      </c>
      <c r="I34" s="265" t="n">
        <f aca="false">G34+H34</f>
        <v>1420.32</v>
      </c>
      <c r="J34" s="246" t="n">
        <f aca="false">IF(L34&gt;0,L34,0)</f>
        <v>0</v>
      </c>
      <c r="K34" s="265" t="n">
        <f aca="false">I34+J34</f>
        <v>1420.32</v>
      </c>
      <c r="L34" s="265" t="n">
        <f aca="false">F34-(I34-AE34)</f>
        <v>-79.3270582304008</v>
      </c>
      <c r="M34" s="267" t="n">
        <v>304</v>
      </c>
      <c r="N34" s="366" t="n">
        <v>1.88</v>
      </c>
      <c r="O34" s="265" t="n">
        <f aca="false">(37.17+37.84)*1.05</f>
        <v>78.7605</v>
      </c>
      <c r="P34" s="366"/>
      <c r="Q34" s="386" t="n">
        <f aca="false">2.26*1.02</f>
        <v>2.3052</v>
      </c>
      <c r="R34" s="386" t="n">
        <v>4.2</v>
      </c>
      <c r="S34" s="268" t="n">
        <v>3.97</v>
      </c>
      <c r="T34" s="265" t="n">
        <v>165</v>
      </c>
      <c r="U34" s="265" t="n">
        <v>77</v>
      </c>
      <c r="V34" s="265" t="n">
        <f aca="false">M34-N34-O34-P34-Q34-R34-S34+T34+U34-AP34</f>
        <v>454.8843</v>
      </c>
      <c r="W34" s="105" t="n">
        <f aca="false">W33-199.6-(AN34/1.9835)</f>
        <v>22082.41167393</v>
      </c>
      <c r="X34" s="105" t="n">
        <f aca="false">X33</f>
        <v>1714.14</v>
      </c>
      <c r="Y34" s="105"/>
      <c r="Z34" s="265" t="n">
        <v>260</v>
      </c>
      <c r="AA34" s="267" t="n">
        <v>1.7</v>
      </c>
      <c r="AB34" s="269" t="n">
        <v>1.3</v>
      </c>
      <c r="AC34" s="476" t="n">
        <v>51</v>
      </c>
      <c r="AD34" s="477" t="n">
        <f aca="false">AD33-AC34</f>
        <v>13528.2578774893</v>
      </c>
      <c r="AE34" s="128" t="n">
        <f aca="false">N34+O34+Q34+R34+S34+V34+Z34+AC34</f>
        <v>857</v>
      </c>
      <c r="AF34" s="265" t="n">
        <f aca="false">IF(L34&lt;0,L34*-1,0)</f>
        <v>79.3270582304008</v>
      </c>
      <c r="AG34" s="265" t="n">
        <f aca="false">AE34+AF34</f>
        <v>936.327058230401</v>
      </c>
      <c r="AH34" s="247" t="n">
        <v>0</v>
      </c>
      <c r="AI34" s="243" t="n">
        <v>70</v>
      </c>
      <c r="AJ34" s="248" t="n">
        <v>37</v>
      </c>
      <c r="AK34" s="243" t="n">
        <f aca="false">AK33</f>
        <v>14045.6062705</v>
      </c>
      <c r="AL34" s="243"/>
      <c r="AM34" s="437"/>
      <c r="AN34" s="366" t="n">
        <f aca="false">47.3*(W33*1.9835+AM34*1.9835+X34*1.9835)/E34</f>
        <v>11.6624705397408</v>
      </c>
      <c r="AO34" s="249"/>
      <c r="AP34" s="200"/>
    </row>
    <row r="35" customFormat="false" ht="12.95" hidden="false" customHeight="true" outlineLevel="0" collapsed="false">
      <c r="A35" s="172" t="n">
        <f aca="false">A34+1</f>
        <v>24</v>
      </c>
      <c r="B35" s="104" t="n">
        <v>6915.8</v>
      </c>
      <c r="C35" s="105" t="n">
        <v>345712</v>
      </c>
      <c r="D35" s="243" t="n">
        <f aca="false">C35-C34</f>
        <v>626</v>
      </c>
      <c r="E35" s="105" t="n">
        <f aca="false">C35-152000</f>
        <v>193712</v>
      </c>
      <c r="F35" s="265" t="n">
        <f aca="false">D35/$D$2</f>
        <v>315.603730778926</v>
      </c>
      <c r="G35" s="241" t="n">
        <v>1250</v>
      </c>
      <c r="H35" s="246" t="n">
        <v>0.28</v>
      </c>
      <c r="I35" s="265" t="n">
        <f aca="false">G35+H35</f>
        <v>1250.28</v>
      </c>
      <c r="J35" s="246" t="n">
        <f aca="false">IF(L35&gt;0,L35,0)</f>
        <v>0</v>
      </c>
      <c r="K35" s="265" t="n">
        <f aca="false">I35+J35</f>
        <v>1250.28</v>
      </c>
      <c r="L35" s="265" t="n">
        <f aca="false">F35-(I35-AE35)</f>
        <v>-26.6762692210738</v>
      </c>
      <c r="M35" s="267" t="n">
        <v>342</v>
      </c>
      <c r="N35" s="366" t="n">
        <v>1.88</v>
      </c>
      <c r="O35" s="265" t="n">
        <f aca="false">(40.86+39.92)*1.05</f>
        <v>84.819</v>
      </c>
      <c r="P35" s="366"/>
      <c r="Q35" s="386" t="n">
        <f aca="false">2.26*1.02</f>
        <v>2.3052</v>
      </c>
      <c r="R35" s="386" t="n">
        <v>4.2</v>
      </c>
      <c r="S35" s="268" t="n">
        <v>4.74</v>
      </c>
      <c r="T35" s="265" t="n">
        <v>165</v>
      </c>
      <c r="U35" s="265" t="n">
        <v>76</v>
      </c>
      <c r="V35" s="265" t="n">
        <f aca="false">M35-N35-O35-P35-Q35-R35-S35+T35+U35-AP35</f>
        <v>485.0558</v>
      </c>
      <c r="W35" s="105" t="n">
        <f aca="false">W34-V35-(AN35/1.9835)</f>
        <v>21591.5453051775</v>
      </c>
      <c r="X35" s="105" t="n">
        <f aca="false">X34</f>
        <v>1714.14</v>
      </c>
      <c r="Y35" s="105"/>
      <c r="Z35" s="265" t="n">
        <v>274</v>
      </c>
      <c r="AA35" s="267" t="n">
        <v>1.7</v>
      </c>
      <c r="AB35" s="269" t="n">
        <v>1.3</v>
      </c>
      <c r="AC35" s="476" t="n">
        <v>51</v>
      </c>
      <c r="AD35" s="477" t="n">
        <f aca="false">AD34-AC35</f>
        <v>13477.2578774893</v>
      </c>
      <c r="AE35" s="128" t="n">
        <f aca="false">N35+O35+Q35+R35+S35+V35+Z35+AC35</f>
        <v>908</v>
      </c>
      <c r="AF35" s="265" t="n">
        <f aca="false">IF(L35&lt;0,L35*-1,0)</f>
        <v>26.6762692210738</v>
      </c>
      <c r="AG35" s="265" t="n">
        <f aca="false">AE35+AF35</f>
        <v>934.676269221074</v>
      </c>
      <c r="AH35" s="247" t="n">
        <v>0</v>
      </c>
      <c r="AI35" s="243" t="n">
        <v>80</v>
      </c>
      <c r="AJ35" s="248" t="n">
        <v>46</v>
      </c>
      <c r="AK35" s="243" t="n">
        <f aca="false">AK34</f>
        <v>14045.6062705</v>
      </c>
      <c r="AL35" s="243"/>
      <c r="AM35" s="437"/>
      <c r="AN35" s="366" t="n">
        <f aca="false">47.3*(W34*1.9835+AM35*1.9835+X35*1.9835)/E35</f>
        <v>11.5252631205081</v>
      </c>
      <c r="AO35" s="249"/>
      <c r="AP35" s="200"/>
    </row>
    <row r="36" customFormat="false" ht="12.95" hidden="false" customHeight="true" outlineLevel="0" collapsed="false">
      <c r="A36" s="172" t="n">
        <f aca="false">A35+1</f>
        <v>25</v>
      </c>
      <c r="B36" s="104" t="n">
        <v>6915.95</v>
      </c>
      <c r="C36" s="105" t="n">
        <v>346338</v>
      </c>
      <c r="D36" s="243" t="n">
        <f aca="false">C36-C35</f>
        <v>626</v>
      </c>
      <c r="E36" s="105" t="n">
        <f aca="false">C36-152000</f>
        <v>194338</v>
      </c>
      <c r="F36" s="265" t="n">
        <f aca="false">D36/$D$2</f>
        <v>315.603730778926</v>
      </c>
      <c r="G36" s="241" t="n">
        <v>1240</v>
      </c>
      <c r="H36" s="246" t="n">
        <v>0.23</v>
      </c>
      <c r="I36" s="265" t="n">
        <f aca="false">G36+H36</f>
        <v>1240.23</v>
      </c>
      <c r="J36" s="246" t="n">
        <f aca="false">IF(L36&gt;0,L36,0)</f>
        <v>0</v>
      </c>
      <c r="K36" s="265" t="n">
        <f aca="false">I36+J36</f>
        <v>1240.23</v>
      </c>
      <c r="L36" s="265" t="n">
        <f aca="false">F36-(I36-AE36)</f>
        <v>-31.6262692210739</v>
      </c>
      <c r="M36" s="267" t="n">
        <v>322</v>
      </c>
      <c r="N36" s="366" t="n">
        <v>1.88</v>
      </c>
      <c r="O36" s="265" t="n">
        <f aca="false">(45.65+46.73)*1.05</f>
        <v>96.999</v>
      </c>
      <c r="P36" s="366"/>
      <c r="Q36" s="386" t="n">
        <f aca="false">2.26*1.02</f>
        <v>2.3052</v>
      </c>
      <c r="R36" s="386" t="n">
        <v>4.2</v>
      </c>
      <c r="S36" s="268" t="n">
        <v>4.68</v>
      </c>
      <c r="T36" s="265" t="n">
        <v>165</v>
      </c>
      <c r="U36" s="265" t="n">
        <v>78</v>
      </c>
      <c r="V36" s="265" t="n">
        <f aca="false">M36-N36-O36-P36-Q36-R36-S36+T36+U36-AP36</f>
        <v>454.9358</v>
      </c>
      <c r="W36" s="105" t="n">
        <f aca="false">W35-V36-(AN36/1.9835)</f>
        <v>21130.9371255352</v>
      </c>
      <c r="X36" s="105" t="n">
        <f aca="false">X35</f>
        <v>1714.14</v>
      </c>
      <c r="Y36" s="105"/>
      <c r="Z36" s="265" t="n">
        <v>277</v>
      </c>
      <c r="AA36" s="267" t="n">
        <v>1.7</v>
      </c>
      <c r="AB36" s="269" t="n">
        <v>1.3</v>
      </c>
      <c r="AC36" s="476" t="n">
        <v>51</v>
      </c>
      <c r="AD36" s="477" t="n">
        <f aca="false">AD35-AC36</f>
        <v>13426.2578774893</v>
      </c>
      <c r="AE36" s="128" t="n">
        <f aca="false">N36+O36+Q36+R36+S36+V36+Z36+AC36</f>
        <v>893</v>
      </c>
      <c r="AF36" s="265" t="n">
        <f aca="false">IF(L36&lt;0,L36*-1,0)</f>
        <v>31.6262692210739</v>
      </c>
      <c r="AG36" s="265" t="n">
        <f aca="false">AE36+AF36</f>
        <v>924.626269221074</v>
      </c>
      <c r="AH36" s="247" t="n">
        <v>0</v>
      </c>
      <c r="AI36" s="243" t="n">
        <v>83</v>
      </c>
      <c r="AJ36" s="248" t="n">
        <v>48</v>
      </c>
      <c r="AK36" s="243" t="n">
        <f aca="false">AK35</f>
        <v>14045.6062705</v>
      </c>
      <c r="AL36" s="243"/>
      <c r="AM36" s="437"/>
      <c r="AN36" s="366" t="n">
        <f aca="false">47.3*(W35*1.9835+AM36*1.9835+X36*1.9835)/E36</f>
        <v>11.2511650206</v>
      </c>
      <c r="AO36" s="249"/>
      <c r="AP36" s="200"/>
    </row>
    <row r="37" customFormat="false" ht="12.95" hidden="false" customHeight="true" outlineLevel="0" collapsed="false">
      <c r="A37" s="172" t="n">
        <f aca="false">A36+1</f>
        <v>26</v>
      </c>
      <c r="B37" s="104" t="n">
        <v>6916.01</v>
      </c>
      <c r="C37" s="105" t="n">
        <v>346589</v>
      </c>
      <c r="D37" s="243" t="n">
        <f aca="false">C37-C36</f>
        <v>251</v>
      </c>
      <c r="E37" s="105" t="n">
        <f aca="false">C37-152000</f>
        <v>194589</v>
      </c>
      <c r="F37" s="265" t="n">
        <f aca="false">D37/$D$2</f>
        <v>126.543987900176</v>
      </c>
      <c r="G37" s="241" t="n">
        <v>1090</v>
      </c>
      <c r="H37" s="246" t="n">
        <v>0.2</v>
      </c>
      <c r="I37" s="265" t="n">
        <f aca="false">G37+H37</f>
        <v>1090.2</v>
      </c>
      <c r="J37" s="246" t="n">
        <f aca="false">IF(L37&gt;0,L37,0)</f>
        <v>0</v>
      </c>
      <c r="K37" s="265" t="n">
        <f aca="false">I37+J37</f>
        <v>1090.2</v>
      </c>
      <c r="L37" s="265" t="n">
        <f aca="false">F37-(I37-AE37)</f>
        <v>-52.6560120998236</v>
      </c>
      <c r="M37" s="267" t="n">
        <v>334</v>
      </c>
      <c r="N37" s="366" t="n">
        <v>1.88</v>
      </c>
      <c r="O37" s="265" t="n">
        <f aca="false">(42.72+41.88)*1.05</f>
        <v>88.83</v>
      </c>
      <c r="P37" s="366"/>
      <c r="Q37" s="386" t="n">
        <f aca="false">2.26*1.02</f>
        <v>2.3052</v>
      </c>
      <c r="R37" s="386" t="n">
        <v>4.2</v>
      </c>
      <c r="S37" s="268" t="n">
        <v>4.54</v>
      </c>
      <c r="T37" s="265" t="n">
        <v>165</v>
      </c>
      <c r="U37" s="265" t="n">
        <v>78</v>
      </c>
      <c r="V37" s="265" t="n">
        <f aca="false">M37-N37-O37-P37-Q37-R37-S37+T37+U37-AP37</f>
        <v>475.2448</v>
      </c>
      <c r="W37" s="105" t="n">
        <f aca="false">W36-V37-(AN37/1.9835)</f>
        <v>20650.1392256784</v>
      </c>
      <c r="X37" s="105" t="n">
        <f aca="false">X36</f>
        <v>1714.14</v>
      </c>
      <c r="Y37" s="105"/>
      <c r="Z37" s="265" t="n">
        <v>283</v>
      </c>
      <c r="AA37" s="267" t="n">
        <v>1.7</v>
      </c>
      <c r="AB37" s="269" t="n">
        <v>1.3</v>
      </c>
      <c r="AC37" s="476" t="n">
        <v>51</v>
      </c>
      <c r="AD37" s="477" t="n">
        <f aca="false">AD36-AC37</f>
        <v>13375.2578774893</v>
      </c>
      <c r="AE37" s="128" t="n">
        <f aca="false">N37+O37+Q37+R37+S37+V37+Z37+AC37</f>
        <v>911</v>
      </c>
      <c r="AF37" s="265" t="n">
        <f aca="false">IF(L37&lt;0,L37*-1,0)</f>
        <v>52.6560120998236</v>
      </c>
      <c r="AG37" s="265" t="n">
        <f aca="false">AE37+AF37</f>
        <v>963.656012099824</v>
      </c>
      <c r="AH37" s="247" t="n">
        <v>0</v>
      </c>
      <c r="AI37" s="243" t="n">
        <v>79</v>
      </c>
      <c r="AJ37" s="248" t="n">
        <v>47</v>
      </c>
      <c r="AK37" s="243" t="n">
        <f aca="false">AK36</f>
        <v>14045.6062705</v>
      </c>
      <c r="AL37" s="243"/>
      <c r="AM37" s="437"/>
      <c r="AN37" s="366" t="n">
        <f aca="false">47.3*(W36*1.9835+AM37*1.9835+X37*1.9835)/E37</f>
        <v>11.014573565993</v>
      </c>
      <c r="AO37" s="249"/>
      <c r="AP37" s="200"/>
    </row>
    <row r="38" customFormat="false" ht="12.95" hidden="false" customHeight="true" outlineLevel="0" collapsed="false">
      <c r="A38" s="172" t="n">
        <f aca="false">A37+1</f>
        <v>27</v>
      </c>
      <c r="B38" s="104" t="n">
        <v>6916.03</v>
      </c>
      <c r="C38" s="105" t="n">
        <v>346673</v>
      </c>
      <c r="D38" s="243" t="n">
        <f aca="false">C38-C37</f>
        <v>84</v>
      </c>
      <c r="E38" s="105" t="n">
        <f aca="false">C38-152000</f>
        <v>194673</v>
      </c>
      <c r="F38" s="265" t="n">
        <f aca="false">D38/$D$2</f>
        <v>42.3493824048399</v>
      </c>
      <c r="G38" s="241" t="n">
        <v>1040</v>
      </c>
      <c r="H38" s="246" t="n">
        <v>0.16</v>
      </c>
      <c r="I38" s="265" t="n">
        <f aca="false">G38+H38</f>
        <v>1040.16</v>
      </c>
      <c r="J38" s="246" t="n">
        <f aca="false">IF(L38&gt;0,L38,0)</f>
        <v>0</v>
      </c>
      <c r="K38" s="265" t="n">
        <f aca="false">I38+J38</f>
        <v>1040.16</v>
      </c>
      <c r="L38" s="265" t="n">
        <f aca="false">F38-(I38-AE38)</f>
        <v>-119.81061759516</v>
      </c>
      <c r="M38" s="267" t="n">
        <v>311</v>
      </c>
      <c r="N38" s="366" t="n">
        <v>1.88</v>
      </c>
      <c r="O38" s="265" t="n">
        <f aca="false">(39.4+41.22)*1.05</f>
        <v>84.651</v>
      </c>
      <c r="P38" s="366"/>
      <c r="Q38" s="386" t="n">
        <f aca="false">2.26*1.02</f>
        <v>2.3052</v>
      </c>
      <c r="R38" s="386" t="n">
        <v>4.2</v>
      </c>
      <c r="S38" s="268" t="n">
        <v>3.7</v>
      </c>
      <c r="T38" s="265" t="n">
        <v>165</v>
      </c>
      <c r="U38" s="265" t="n">
        <v>79</v>
      </c>
      <c r="V38" s="265" t="n">
        <f aca="false">M38-N38-O38-P38-Q38-R38-S38+T38+U38-AP38</f>
        <v>458.2638</v>
      </c>
      <c r="W38" s="105" t="n">
        <f aca="false">W37-V38-(AN38/1.9835)</f>
        <v>20186.4415421538</v>
      </c>
      <c r="X38" s="105" t="n">
        <f aca="false">X37</f>
        <v>1714.14</v>
      </c>
      <c r="Y38" s="105"/>
      <c r="Z38" s="265" t="n">
        <v>272</v>
      </c>
      <c r="AA38" s="267" t="n">
        <v>1.7</v>
      </c>
      <c r="AB38" s="269" t="n">
        <v>1.3</v>
      </c>
      <c r="AC38" s="476" t="n">
        <v>51</v>
      </c>
      <c r="AD38" s="477" t="n">
        <f aca="false">AD37-AC38</f>
        <v>13324.2578774893</v>
      </c>
      <c r="AE38" s="128" t="n">
        <f aca="false">N38+O38+Q38+R38+S38+V38+Z38+AC38</f>
        <v>878</v>
      </c>
      <c r="AF38" s="265" t="n">
        <f aca="false">IF(L38&lt;0,L38*-1,0)</f>
        <v>119.81061759516</v>
      </c>
      <c r="AG38" s="265" t="n">
        <f aca="false">AE38+AF38</f>
        <v>997.81061759516</v>
      </c>
      <c r="AH38" s="247" t="n">
        <v>0</v>
      </c>
      <c r="AI38" s="243" t="n">
        <v>77</v>
      </c>
      <c r="AJ38" s="248" t="n">
        <v>50</v>
      </c>
      <c r="AK38" s="243" t="n">
        <f aca="false">AK37</f>
        <v>14045.6062705</v>
      </c>
      <c r="AL38" s="243"/>
      <c r="AM38" s="437"/>
      <c r="AN38" s="366" t="n">
        <f aca="false">47.3*(W37*1.9835+AM38*1.9835+X38*1.9835)/E38</f>
        <v>10.7781079709435</v>
      </c>
      <c r="AO38" s="249"/>
      <c r="AP38" s="200"/>
    </row>
    <row r="39" customFormat="false" ht="12.95" hidden="false" customHeight="true" outlineLevel="0" collapsed="false">
      <c r="A39" s="172" t="n">
        <v>28</v>
      </c>
      <c r="B39" s="104" t="n">
        <v>6916.01</v>
      </c>
      <c r="C39" s="105" t="n">
        <v>346589</v>
      </c>
      <c r="D39" s="243" t="n">
        <f aca="false">C39-C38</f>
        <v>-84</v>
      </c>
      <c r="E39" s="105" t="n">
        <f aca="false">C39-152000</f>
        <v>194589</v>
      </c>
      <c r="F39" s="265" t="n">
        <f aca="false">D39/$D$2</f>
        <v>-42.3493824048399</v>
      </c>
      <c r="G39" s="241" t="n">
        <v>877</v>
      </c>
      <c r="H39" s="246" t="n">
        <v>0.13</v>
      </c>
      <c r="I39" s="265" t="n">
        <f aca="false">G39+H39</f>
        <v>877.13</v>
      </c>
      <c r="J39" s="246" t="n">
        <f aca="false">IF(L39&gt;0,L39,0)</f>
        <v>0</v>
      </c>
      <c r="K39" s="265" t="n">
        <f aca="false">I39+J39</f>
        <v>877.13</v>
      </c>
      <c r="L39" s="265" t="n">
        <f aca="false">F39-(I39-AE39)</f>
        <v>-69.4793824048399</v>
      </c>
      <c r="M39" s="267" t="n">
        <v>312</v>
      </c>
      <c r="N39" s="366" t="n">
        <v>1.88</v>
      </c>
      <c r="O39" s="265" t="n">
        <f aca="false">(35.64+37.36)*1.05</f>
        <v>76.65</v>
      </c>
      <c r="P39" s="366"/>
      <c r="Q39" s="386" t="n">
        <f aca="false">2.26*1.02</f>
        <v>2.3052</v>
      </c>
      <c r="R39" s="386" t="n">
        <v>4.2</v>
      </c>
      <c r="S39" s="268" t="n">
        <v>2.58</v>
      </c>
      <c r="T39" s="265" t="n">
        <v>166</v>
      </c>
      <c r="U39" s="265" t="n">
        <v>79</v>
      </c>
      <c r="V39" s="265" t="n">
        <f aca="false">M39-N39-O39-P39-Q39-R39-S39+T39+U39-AP39</f>
        <v>469.3848</v>
      </c>
      <c r="W39" s="105" t="n">
        <f aca="false">W38-V39-(AN39/1.9835)</f>
        <v>19711.7332269143</v>
      </c>
      <c r="X39" s="105" t="n">
        <f aca="false">X38</f>
        <v>1714.14</v>
      </c>
      <c r="Y39" s="105"/>
      <c r="Z39" s="265" t="n">
        <v>241</v>
      </c>
      <c r="AA39" s="267" t="n">
        <v>1.7</v>
      </c>
      <c r="AB39" s="269" t="n">
        <v>1.3</v>
      </c>
      <c r="AC39" s="476" t="n">
        <v>52</v>
      </c>
      <c r="AD39" s="477" t="n">
        <f aca="false">AD38-AC39</f>
        <v>13272.2578774893</v>
      </c>
      <c r="AE39" s="128" t="n">
        <f aca="false">N39+O39+Q39+R39+S39+V39+Z39+AC39</f>
        <v>850</v>
      </c>
      <c r="AF39" s="265" t="n">
        <f aca="false">IF(L39&lt;0,L39*-1,0)</f>
        <v>69.4793824048399</v>
      </c>
      <c r="AG39" s="265" t="n">
        <f aca="false">AE39+AF39</f>
        <v>919.47938240484</v>
      </c>
      <c r="AH39" s="247" t="n">
        <v>0</v>
      </c>
      <c r="AI39" s="243" t="n">
        <v>65</v>
      </c>
      <c r="AJ39" s="248" t="n">
        <v>40</v>
      </c>
      <c r="AK39" s="243" t="n">
        <f aca="false">AK38</f>
        <v>14045.6062705</v>
      </c>
      <c r="AL39" s="243"/>
      <c r="AM39" s="437"/>
      <c r="AN39" s="366" t="n">
        <f aca="false">47.3*(W38*1.9835+AM39*1.9835+X39*1.9835)/E39</f>
        <v>10.5591924775973</v>
      </c>
      <c r="AO39" s="249"/>
      <c r="AP39" s="200"/>
    </row>
    <row r="40" customFormat="false" ht="12.95" hidden="false" customHeight="true" outlineLevel="0" collapsed="false">
      <c r="A40" s="172" t="n">
        <v>29</v>
      </c>
      <c r="B40" s="104" t="n">
        <v>6915.92</v>
      </c>
      <c r="C40" s="105" t="n">
        <v>346213</v>
      </c>
      <c r="D40" s="243" t="n">
        <f aca="false">C40-C39</f>
        <v>-376</v>
      </c>
      <c r="E40" s="105" t="n">
        <f aca="false">C40-152000</f>
        <v>194213</v>
      </c>
      <c r="F40" s="265" t="n">
        <f aca="false">D40/$D$2</f>
        <v>-189.563902193093</v>
      </c>
      <c r="G40" s="241" t="n">
        <v>707</v>
      </c>
      <c r="H40" s="246" t="n">
        <v>0.1</v>
      </c>
      <c r="I40" s="265" t="n">
        <f aca="false">G40+H40</f>
        <v>707.1</v>
      </c>
      <c r="J40" s="246" t="n">
        <f aca="false">IF(L40&gt;0,L40,0)</f>
        <v>0</v>
      </c>
      <c r="K40" s="265" t="n">
        <f aca="false">I40+J40</f>
        <v>707.1</v>
      </c>
      <c r="L40" s="265" t="n">
        <f aca="false">F40-(I40-AE40)</f>
        <v>-83.663902193093</v>
      </c>
      <c r="M40" s="267" t="n">
        <v>305</v>
      </c>
      <c r="N40" s="366" t="n">
        <v>1.88</v>
      </c>
      <c r="O40" s="265" t="n">
        <f aca="false">(36.11+36.85)*1.05</f>
        <v>76.608</v>
      </c>
      <c r="P40" s="366"/>
      <c r="Q40" s="386" t="n">
        <f aca="false">2.26*1.02</f>
        <v>2.3052</v>
      </c>
      <c r="R40" s="386" t="n">
        <v>4.2</v>
      </c>
      <c r="S40" s="268" t="n">
        <v>3.2</v>
      </c>
      <c r="T40" s="265" t="n">
        <v>173</v>
      </c>
      <c r="U40" s="265" t="n">
        <v>78</v>
      </c>
      <c r="V40" s="265" t="n">
        <f aca="false">M40-N40-O40-P40-Q40-R40-S40+T40+U40-AP40</f>
        <v>467.8068</v>
      </c>
      <c r="W40" s="105" t="n">
        <f aca="false">W39-V40-(AN40/1.9835)</f>
        <v>19238.7082190516</v>
      </c>
      <c r="X40" s="105" t="n">
        <f aca="false">X39</f>
        <v>1714.14</v>
      </c>
      <c r="Y40" s="105"/>
      <c r="Z40" s="265" t="n">
        <v>205</v>
      </c>
      <c r="AA40" s="267" t="n">
        <v>1.7</v>
      </c>
      <c r="AB40" s="269" t="n">
        <v>1.3</v>
      </c>
      <c r="AC40" s="476" t="n">
        <v>52</v>
      </c>
      <c r="AD40" s="477" t="n">
        <f aca="false">AD39-AC40</f>
        <v>13220.2578774893</v>
      </c>
      <c r="AE40" s="128" t="n">
        <f aca="false">N40+O40+Q40+R40+S40+V40+Z40+AC40</f>
        <v>813</v>
      </c>
      <c r="AF40" s="265" t="n">
        <f aca="false">IF(L40&lt;0,L40*-1,0)</f>
        <v>83.663902193093</v>
      </c>
      <c r="AG40" s="265" t="n">
        <f aca="false">AE40+AF40</f>
        <v>896.663902193093</v>
      </c>
      <c r="AH40" s="247" t="n">
        <v>0</v>
      </c>
      <c r="AI40" s="243" t="n">
        <v>67</v>
      </c>
      <c r="AJ40" s="248" t="n">
        <v>32</v>
      </c>
      <c r="AK40" s="243" t="n">
        <f aca="false">AK39</f>
        <v>14045.6062705</v>
      </c>
      <c r="AL40" s="243"/>
      <c r="AM40" s="437"/>
      <c r="AN40" s="366" t="n">
        <f aca="false">47.3*(W39*1.9835+AM40*1.9835+X40*1.9835)/E40</f>
        <v>10.3503152956092</v>
      </c>
      <c r="AO40" s="249"/>
      <c r="AP40" s="200"/>
    </row>
    <row r="41" customFormat="false" ht="12.95" hidden="false" customHeight="true" outlineLevel="0" collapsed="false">
      <c r="A41" s="172" t="n">
        <v>30</v>
      </c>
      <c r="B41" s="104" t="n">
        <v>6915.76</v>
      </c>
      <c r="C41" s="105" t="n">
        <v>345545</v>
      </c>
      <c r="D41" s="243" t="n">
        <f aca="false">C41-C40</f>
        <v>-668</v>
      </c>
      <c r="E41" s="105" t="n">
        <f aca="false">C41-152000</f>
        <v>193545</v>
      </c>
      <c r="F41" s="265" t="n">
        <f aca="false">D41/$D$2</f>
        <v>-336.778421981346</v>
      </c>
      <c r="G41" s="241" t="n">
        <v>598</v>
      </c>
      <c r="H41" s="246" t="n">
        <v>0.08</v>
      </c>
      <c r="I41" s="265" t="n">
        <f aca="false">G41+H41</f>
        <v>598.08</v>
      </c>
      <c r="J41" s="246" t="n">
        <f aca="false">IF(L41&gt;0,L41,0)</f>
        <v>0</v>
      </c>
      <c r="K41" s="265" t="n">
        <f aca="false">I41+J41</f>
        <v>598.08</v>
      </c>
      <c r="L41" s="265" t="n">
        <f aca="false">F41-(I41-AE41)</f>
        <v>-105.858421981346</v>
      </c>
      <c r="M41" s="267" t="n">
        <v>290</v>
      </c>
      <c r="N41" s="366" t="n">
        <v>1.88</v>
      </c>
      <c r="O41" s="265" t="n">
        <f aca="false">(33.33+33.86)*1.05</f>
        <v>70.5495</v>
      </c>
      <c r="P41" s="366"/>
      <c r="Q41" s="386" t="n">
        <f aca="false">2.26*1.02</f>
        <v>2.3052</v>
      </c>
      <c r="R41" s="386" t="n">
        <v>4.2</v>
      </c>
      <c r="S41" s="268" t="n">
        <v>4.95</v>
      </c>
      <c r="T41" s="265" t="n">
        <v>180</v>
      </c>
      <c r="U41" s="265" t="n">
        <v>79</v>
      </c>
      <c r="V41" s="265" t="n">
        <f aca="false">M41-N41-O41-P41-Q41-R41-S41+T41+U41-AP41</f>
        <v>465.1153</v>
      </c>
      <c r="W41" s="105" t="n">
        <f aca="false">W40-V41-(AN41/1.9835)</f>
        <v>18768.4723025502</v>
      </c>
      <c r="X41" s="105" t="n">
        <f aca="false">X40</f>
        <v>1714.14</v>
      </c>
      <c r="Y41" s="105"/>
      <c r="Z41" s="265" t="n">
        <v>228</v>
      </c>
      <c r="AA41" s="267" t="n">
        <v>1.7</v>
      </c>
      <c r="AB41" s="269" t="n">
        <v>1.3</v>
      </c>
      <c r="AC41" s="476" t="n">
        <v>52</v>
      </c>
      <c r="AD41" s="477" t="n">
        <f aca="false">AD40-AC41</f>
        <v>13168.2578774893</v>
      </c>
      <c r="AE41" s="128" t="n">
        <f aca="false">N41+O41+Q41+R41+S41+V41+Z41+AC41</f>
        <v>829</v>
      </c>
      <c r="AF41" s="265" t="n">
        <f aca="false">IF(L41&lt;0,L41*-1,0)</f>
        <v>105.858421981346</v>
      </c>
      <c r="AG41" s="265" t="n">
        <f aca="false">AE41+AF41</f>
        <v>934.858421981346</v>
      </c>
      <c r="AH41" s="247" t="n">
        <v>0</v>
      </c>
      <c r="AI41" s="243" t="n">
        <v>74</v>
      </c>
      <c r="AJ41" s="248" t="n">
        <v>39</v>
      </c>
      <c r="AK41" s="243" t="n">
        <f aca="false">AK40</f>
        <v>14045.6062705</v>
      </c>
      <c r="AL41" s="243"/>
      <c r="AM41" s="437"/>
      <c r="AN41" s="366" t="n">
        <f aca="false">47.3*(W40*1.9835+AM41*1.9835+X41*1.9835)/E41</f>
        <v>10.1567428305031</v>
      </c>
      <c r="AO41" s="249"/>
      <c r="AP41" s="200"/>
    </row>
    <row r="42" customFormat="false" ht="12.95" hidden="false" customHeight="true" outlineLevel="0" collapsed="false">
      <c r="A42" s="172" t="n">
        <v>31</v>
      </c>
      <c r="B42" s="104" t="n">
        <v>6915.6</v>
      </c>
      <c r="C42" s="105" t="n">
        <v>344877</v>
      </c>
      <c r="D42" s="243" t="n">
        <f aca="false">C42-C41</f>
        <v>-668</v>
      </c>
      <c r="E42" s="105" t="n">
        <f aca="false">C42-152000</f>
        <v>192877</v>
      </c>
      <c r="F42" s="265" t="n">
        <f aca="false">D42/$D$2</f>
        <v>-336.778421981346</v>
      </c>
      <c r="G42" s="241" t="n">
        <v>576</v>
      </c>
      <c r="H42" s="246" t="n">
        <v>0.05</v>
      </c>
      <c r="I42" s="265" t="n">
        <f aca="false">G42+H42</f>
        <v>576.05</v>
      </c>
      <c r="J42" s="246" t="n">
        <f aca="false">IF(L42&gt;0,L42,0)</f>
        <v>0</v>
      </c>
      <c r="K42" s="265" t="n">
        <f aca="false">I42+J42</f>
        <v>576.05</v>
      </c>
      <c r="L42" s="265" t="n">
        <f aca="false">F42-(I42-AE42)</f>
        <v>-97.828421981346</v>
      </c>
      <c r="M42" s="267" t="n">
        <v>287</v>
      </c>
      <c r="N42" s="366" t="n">
        <v>1.88</v>
      </c>
      <c r="O42" s="265" t="n">
        <f aca="false">(30.01+31.41)*1.05</f>
        <v>64.491</v>
      </c>
      <c r="P42" s="366"/>
      <c r="Q42" s="386" t="n">
        <f aca="false">2.26*1.02</f>
        <v>2.3052</v>
      </c>
      <c r="R42" s="386" t="n">
        <v>4.2</v>
      </c>
      <c r="S42" s="268" t="n">
        <v>4.51</v>
      </c>
      <c r="T42" s="265" t="n">
        <v>186</v>
      </c>
      <c r="U42" s="265" t="n">
        <v>80</v>
      </c>
      <c r="V42" s="265" t="n">
        <f aca="false">M42-N42-O42-P42-Q42-R42-S42+T42+U42-AP42</f>
        <v>475.6138</v>
      </c>
      <c r="W42" s="105" t="n">
        <f aca="false">W41-V42-(AN42/1.9835)</f>
        <v>18287.8354694156</v>
      </c>
      <c r="X42" s="105" t="n">
        <f aca="false">X41</f>
        <v>1714.14</v>
      </c>
      <c r="Y42" s="105"/>
      <c r="Z42" s="265" t="n">
        <v>210</v>
      </c>
      <c r="AA42" s="267" t="n">
        <v>1.7</v>
      </c>
      <c r="AB42" s="269" t="n">
        <v>1.3</v>
      </c>
      <c r="AC42" s="476" t="n">
        <v>52</v>
      </c>
      <c r="AD42" s="477" t="n">
        <f aca="false">AD41-AC42</f>
        <v>13116.2578774893</v>
      </c>
      <c r="AE42" s="128" t="n">
        <f aca="false">N42+O42+Q42+R42+S42+V42+Z42+AC42</f>
        <v>815</v>
      </c>
      <c r="AF42" s="265" t="n">
        <f aca="false">IF(L42&lt;0,L42*-1,0)</f>
        <v>97.828421981346</v>
      </c>
      <c r="AG42" s="265" t="n">
        <f aca="false">AE42+AF42</f>
        <v>912.828421981346</v>
      </c>
      <c r="AH42" s="247" t="n">
        <v>0</v>
      </c>
      <c r="AI42" s="243" t="n">
        <v>78</v>
      </c>
      <c r="AJ42" s="248" t="n">
        <v>45</v>
      </c>
      <c r="AK42" s="243" t="n">
        <f aca="false">AK41</f>
        <v>14045.6062705</v>
      </c>
      <c r="AL42" s="243"/>
      <c r="AM42" s="437"/>
      <c r="AN42" s="366" t="n">
        <f aca="false">47.3*(W41*1.9835+AM42*1.9835+X42*1.9835)/E42</f>
        <v>9.96318622256529</v>
      </c>
      <c r="AO42" s="249"/>
      <c r="AP42" s="200"/>
    </row>
    <row r="43" customFormat="false" ht="3" hidden="false" customHeight="true" outlineLevel="0" collapsed="false">
      <c r="A43" s="252"/>
      <c r="B43" s="271"/>
      <c r="C43" s="254"/>
      <c r="D43" s="255"/>
      <c r="E43" s="254"/>
      <c r="F43" s="255"/>
      <c r="G43" s="271"/>
      <c r="H43" s="260"/>
      <c r="I43" s="255"/>
      <c r="J43" s="255"/>
      <c r="K43" s="255"/>
      <c r="L43" s="255"/>
      <c r="M43" s="258"/>
      <c r="N43" s="475"/>
      <c r="O43" s="255"/>
      <c r="P43" s="475"/>
      <c r="Q43" s="255"/>
      <c r="R43" s="255"/>
      <c r="S43" s="259"/>
      <c r="T43" s="255"/>
      <c r="U43" s="255"/>
      <c r="V43" s="255"/>
      <c r="W43" s="254"/>
      <c r="X43" s="254"/>
      <c r="Y43" s="254"/>
      <c r="Z43" s="255"/>
      <c r="AA43" s="258"/>
      <c r="AB43" s="259"/>
      <c r="AC43" s="262"/>
      <c r="AD43" s="255"/>
      <c r="AE43" s="255"/>
      <c r="AF43" s="255"/>
      <c r="AG43" s="255"/>
      <c r="AH43" s="261"/>
      <c r="AI43" s="262"/>
      <c r="AJ43" s="263"/>
      <c r="AK43" s="262"/>
      <c r="AL43" s="262"/>
      <c r="AM43" s="262"/>
      <c r="AN43" s="475"/>
      <c r="AO43" s="475"/>
      <c r="AP43" s="475"/>
    </row>
    <row r="44" customFormat="false" ht="12.95" hidden="false" customHeight="true" outlineLevel="0" collapsed="false">
      <c r="A44" s="173" t="s">
        <v>76</v>
      </c>
      <c r="B44" s="241"/>
      <c r="C44" s="105"/>
      <c r="D44" s="105"/>
      <c r="E44" s="105"/>
      <c r="F44" s="105" t="n">
        <f aca="false">SUM(F12:F42)</f>
        <v>10812.2006554071</v>
      </c>
      <c r="G44" s="473" t="n">
        <f aca="false">SUM(G12:G42)</f>
        <v>34921</v>
      </c>
      <c r="H44" s="246" t="n">
        <f aca="false">SUM(H12:H42)</f>
        <v>162.33</v>
      </c>
      <c r="I44" s="105" t="n">
        <f aca="false">SUM(I12:I42)</f>
        <v>35083.33</v>
      </c>
      <c r="J44" s="105" t="n">
        <f aca="false">SUM(J12:J42)</f>
        <v>476.667747063272</v>
      </c>
      <c r="K44" s="105" t="n">
        <f aca="false">SUM(K12:K42)</f>
        <v>35559.9977470633</v>
      </c>
      <c r="L44" s="105" t="n">
        <f aca="false">SUM(L12:L42)</f>
        <v>-707.393744592892</v>
      </c>
      <c r="M44" s="244" t="n">
        <f aca="false">SUM(M12:M42)</f>
        <v>9317</v>
      </c>
      <c r="N44" s="246" t="n">
        <f aca="false">SUM(N12:N42)</f>
        <v>58.284797</v>
      </c>
      <c r="O44" s="105" t="n">
        <f aca="false">SUM(O12:O42)</f>
        <v>2695.3185</v>
      </c>
      <c r="P44" s="366" t="n">
        <f aca="false">SUM(P12:P42)</f>
        <v>2.2644</v>
      </c>
      <c r="Q44" s="105" t="n">
        <f aca="false">SUM(Q12:Q42)</f>
        <v>71.4612</v>
      </c>
      <c r="R44" s="105" t="n">
        <f aca="false">SUM(R12:R42)</f>
        <v>130.2</v>
      </c>
      <c r="S44" s="245" t="n">
        <f aca="false">SUM(S12:S42)</f>
        <v>104.09</v>
      </c>
      <c r="T44" s="105" t="n">
        <f aca="false">SUM(T12:T42)</f>
        <v>5274</v>
      </c>
      <c r="U44" s="105" t="n">
        <f aca="false">SUM(U12:U42)</f>
        <v>2123</v>
      </c>
      <c r="V44" s="105" t="n">
        <f aca="false">SUM(V12:V42)</f>
        <v>13652.381103</v>
      </c>
      <c r="W44" s="105"/>
      <c r="X44" s="105"/>
      <c r="Y44" s="105"/>
      <c r="Z44" s="105" t="n">
        <f aca="false">SUM(Z12:Z42)</f>
        <v>5272</v>
      </c>
      <c r="AA44" s="105" t="n">
        <f aca="false">SUM(AA12:AA42)</f>
        <v>52.7</v>
      </c>
      <c r="AB44" s="105" t="n">
        <f aca="false">SUM(AB12:AB42)</f>
        <v>40.3</v>
      </c>
      <c r="AC44" s="243" t="n">
        <f aca="false">SUM(AC12:AC42)</f>
        <v>1580</v>
      </c>
      <c r="AD44" s="105"/>
      <c r="AE44" s="105" t="n">
        <f aca="false">SUM(AE12:AE42)</f>
        <v>23563.7356</v>
      </c>
      <c r="AF44" s="105" t="n">
        <f aca="false">SUM(AF12:AF42)</f>
        <v>1184.06149165616</v>
      </c>
      <c r="AG44" s="105" t="n">
        <f aca="false">SUM(AG12:AG42)</f>
        <v>24747.7970916562</v>
      </c>
      <c r="AH44" s="247" t="n">
        <f aca="false">SUM(AH12:AH42)</f>
        <v>0.22</v>
      </c>
      <c r="AI44" s="243" t="n">
        <f aca="false">AVERAGE(AI12:AI42)</f>
        <v>73.6451612903226</v>
      </c>
      <c r="AJ44" s="248" t="n">
        <f aca="false">AVERAGE(AJ12:AJ42)</f>
        <v>42.3548387096774</v>
      </c>
      <c r="AK44" s="243" t="s">
        <v>108</v>
      </c>
      <c r="AL44" s="105" t="n">
        <f aca="false">SUM(AL12:AL42)</f>
        <v>0</v>
      </c>
      <c r="AM44" s="265"/>
      <c r="AN44" s="366"/>
      <c r="AO44" s="249" t="n">
        <f aca="false">SUM(AO12:AO42)</f>
        <v>0</v>
      </c>
      <c r="AP44" s="249" t="n">
        <f aca="false">SUM(AP12:AP42)</f>
        <v>0</v>
      </c>
    </row>
    <row r="45" customFormat="false" ht="12.95" hidden="false" customHeight="true" outlineLevel="0" collapsed="false">
      <c r="A45" s="173" t="s">
        <v>78</v>
      </c>
      <c r="B45" s="241"/>
      <c r="C45" s="105"/>
      <c r="D45" s="105" t="n">
        <f aca="false">SUM(D12:D42)</f>
        <v>21446</v>
      </c>
      <c r="E45" s="105"/>
      <c r="F45" s="105" t="n">
        <f aca="false">F44*$D$2</f>
        <v>21446</v>
      </c>
      <c r="G45" s="473" t="n">
        <f aca="false">G44*$D$2</f>
        <v>69265.8035</v>
      </c>
      <c r="H45" s="246" t="n">
        <f aca="false">H44*$D$2</f>
        <v>321.981555</v>
      </c>
      <c r="I45" s="105" t="n">
        <f aca="false">I44*$D$2</f>
        <v>69587.785055</v>
      </c>
      <c r="J45" s="105" t="n">
        <f aca="false">J44*$D$2</f>
        <v>945.470476299999</v>
      </c>
      <c r="K45" s="105" t="n">
        <f aca="false">K44*$D$2</f>
        <v>70533.2555313</v>
      </c>
      <c r="L45" s="105" t="n">
        <f aca="false">L44*$D$2</f>
        <v>-1403.1154924</v>
      </c>
      <c r="M45" s="244" t="n">
        <f aca="false">M44*$D$2</f>
        <v>18480.2695</v>
      </c>
      <c r="N45" s="243" t="n">
        <f aca="false">N44*$D$2</f>
        <v>115.6078948495</v>
      </c>
      <c r="O45" s="105" t="n">
        <f aca="false">O44*$D$2</f>
        <v>5346.16424475</v>
      </c>
      <c r="P45" s="366" t="n">
        <f aca="false">P44*$D$2</f>
        <v>4.4914374</v>
      </c>
      <c r="Q45" s="105" t="n">
        <f aca="false">Q44*$D$2</f>
        <v>141.7432902</v>
      </c>
      <c r="R45" s="105" t="n">
        <f aca="false">R44*$D$2</f>
        <v>258.2517</v>
      </c>
      <c r="S45" s="245" t="n">
        <f aca="false">S44*$D$2</f>
        <v>206.462515</v>
      </c>
      <c r="T45" s="105" t="n">
        <f aca="false">T44*$D$2</f>
        <v>10460.979</v>
      </c>
      <c r="U45" s="105" t="n">
        <f aca="false">U44*$D$2</f>
        <v>4210.9705</v>
      </c>
      <c r="V45" s="105" t="n">
        <f aca="false">V44*$D$2</f>
        <v>27079.4979178005</v>
      </c>
      <c r="W45" s="105"/>
      <c r="X45" s="105"/>
      <c r="Y45" s="105"/>
      <c r="Z45" s="105" t="n">
        <f aca="false">Z44*$D$2</f>
        <v>10457.012</v>
      </c>
      <c r="AA45" s="105" t="n">
        <f aca="false">AA44*$D$2</f>
        <v>104.53045</v>
      </c>
      <c r="AB45" s="105" t="n">
        <f aca="false">AB44*$D$2</f>
        <v>79.93505</v>
      </c>
      <c r="AC45" s="243" t="n">
        <f aca="false">AC44*$D$2</f>
        <v>3133.93</v>
      </c>
      <c r="AD45" s="105"/>
      <c r="AE45" s="479" t="n">
        <f aca="false">AE44*$D$2</f>
        <v>46738.6695626</v>
      </c>
      <c r="AF45" s="105" t="n">
        <f aca="false">AF44*$D$2</f>
        <v>2348.5859687</v>
      </c>
      <c r="AG45" s="105" t="n">
        <f aca="false">AG44*$D$2</f>
        <v>49087.2555313</v>
      </c>
      <c r="AH45" s="247"/>
      <c r="AI45" s="243" t="n">
        <f aca="false">MAX(AI12:AI42)</f>
        <v>83</v>
      </c>
      <c r="AJ45" s="248" t="n">
        <f aca="false">MAX(AJ12:AJ42)</f>
        <v>51</v>
      </c>
      <c r="AK45" s="243" t="s">
        <v>79</v>
      </c>
      <c r="AL45" s="105" t="n">
        <f aca="false">AL44*$D$2</f>
        <v>0</v>
      </c>
      <c r="AM45" s="265"/>
      <c r="AN45" s="366" t="n">
        <f aca="false">SUM(AN12:AN42)</f>
        <v>330.342440592844</v>
      </c>
      <c r="AO45" s="105" t="n">
        <f aca="false">AO44*$D$2</f>
        <v>0</v>
      </c>
      <c r="AP45" s="105" t="n">
        <f aca="false">AP44*$D$2</f>
        <v>0</v>
      </c>
    </row>
    <row r="46" customFormat="false" ht="3" hidden="false" customHeight="true" outlineLevel="0" collapsed="false">
      <c r="A46" s="274"/>
      <c r="B46" s="271"/>
      <c r="C46" s="254"/>
      <c r="D46" s="254"/>
      <c r="E46" s="254"/>
      <c r="F46" s="254"/>
      <c r="G46" s="278"/>
      <c r="H46" s="260"/>
      <c r="I46" s="254"/>
      <c r="J46" s="254"/>
      <c r="K46" s="254"/>
      <c r="L46" s="254"/>
      <c r="M46" s="276"/>
      <c r="N46" s="475"/>
      <c r="O46" s="254"/>
      <c r="P46" s="475"/>
      <c r="Q46" s="254"/>
      <c r="R46" s="254"/>
      <c r="S46" s="277"/>
      <c r="T46" s="254"/>
      <c r="U46" s="254"/>
      <c r="V46" s="254"/>
      <c r="W46" s="254"/>
      <c r="X46" s="254"/>
      <c r="Y46" s="254"/>
      <c r="Z46" s="254"/>
      <c r="AA46" s="254"/>
      <c r="AB46" s="254"/>
      <c r="AC46" s="262"/>
      <c r="AD46" s="255"/>
      <c r="AE46" s="254"/>
      <c r="AF46" s="254"/>
      <c r="AG46" s="254"/>
      <c r="AH46" s="254"/>
      <c r="AI46" s="254"/>
      <c r="AJ46" s="254"/>
      <c r="AK46" s="262"/>
      <c r="AL46" s="254"/>
      <c r="AM46" s="254"/>
      <c r="AN46" s="475"/>
      <c r="AO46" s="475"/>
      <c r="AP46" s="475"/>
    </row>
    <row r="47" customFormat="false" ht="12.95" hidden="false" customHeight="true" outlineLevel="0" collapsed="false">
      <c r="A47" s="173" t="s">
        <v>80</v>
      </c>
      <c r="B47" s="241"/>
      <c r="C47" s="105"/>
      <c r="D47" s="105"/>
      <c r="E47" s="105"/>
      <c r="F47" s="105" t="n">
        <f aca="false">F9+F44</f>
        <v>27268.4648348878</v>
      </c>
      <c r="G47" s="473" t="n">
        <f aca="false">G9+G44</f>
        <v>53411</v>
      </c>
      <c r="H47" s="246" t="n">
        <f aca="false">H9+H44</f>
        <v>997.23</v>
      </c>
      <c r="I47" s="105" t="n">
        <f aca="false">I9+I44</f>
        <v>54408.23</v>
      </c>
      <c r="J47" s="105" t="n">
        <f aca="false">J9+J44</f>
        <v>3480.77046952357</v>
      </c>
      <c r="K47" s="105" t="n">
        <f aca="false">K9+K44</f>
        <v>57889.0004695236</v>
      </c>
      <c r="L47" s="105" t="n">
        <f aca="false">L9+L44</f>
        <v>2244.37043488782</v>
      </c>
      <c r="M47" s="244" t="n">
        <f aca="false">M9+M44</f>
        <v>12620</v>
      </c>
      <c r="N47" s="243" t="n">
        <f aca="false">N9+N44</f>
        <v>114.699188</v>
      </c>
      <c r="O47" s="105" t="n">
        <f aca="false">O9+O44</f>
        <v>4767.924</v>
      </c>
      <c r="P47" s="366" t="n">
        <f aca="false">P9+P44</f>
        <v>2.2644</v>
      </c>
      <c r="Q47" s="105"/>
      <c r="R47" s="105"/>
      <c r="S47" s="245"/>
      <c r="T47" s="105" t="n">
        <f aca="false">T9+T44</f>
        <v>5901</v>
      </c>
      <c r="U47" s="105" t="n">
        <f aca="false">U9+U44</f>
        <v>2492.8</v>
      </c>
      <c r="V47" s="105" t="n">
        <f aca="false">V9+V44</f>
        <v>15744.572812</v>
      </c>
      <c r="W47" s="105" t="n">
        <f aca="false">W42+W44</f>
        <v>18287.8354694156</v>
      </c>
      <c r="X47" s="105" t="n">
        <f aca="false">X42+X44</f>
        <v>1714.14</v>
      </c>
      <c r="Y47" s="105"/>
      <c r="Z47" s="105" t="n">
        <f aca="false">Z9+Z44</f>
        <v>5457.6</v>
      </c>
      <c r="AA47" s="105" t="n">
        <f aca="false">AA9+AA44</f>
        <v>103.7</v>
      </c>
      <c r="AB47" s="105" t="n">
        <f aca="false">AB9+AB44</f>
        <v>79.3</v>
      </c>
      <c r="AC47" s="243"/>
      <c r="AD47" s="105"/>
      <c r="AE47" s="105" t="n">
        <f aca="false">AE9+AE44</f>
        <v>29384.1356</v>
      </c>
      <c r="AF47" s="105" t="n">
        <f aca="false">AF9+AF44</f>
        <v>1236.40003463574</v>
      </c>
      <c r="AG47" s="105" t="n">
        <f aca="false">AG9+AG44</f>
        <v>30620.5356346357</v>
      </c>
      <c r="AH47" s="247"/>
      <c r="AI47" s="243" t="n">
        <f aca="false">MIN(AI12:AI42)</f>
        <v>56</v>
      </c>
      <c r="AJ47" s="248" t="n">
        <f aca="false">MIN(AJ12:AJ42)</f>
        <v>30</v>
      </c>
      <c r="AK47" s="243" t="s">
        <v>81</v>
      </c>
      <c r="AL47" s="243"/>
      <c r="AM47" s="265"/>
      <c r="AN47" s="366"/>
      <c r="AO47" s="105" t="n">
        <f aca="false">AO9+AO44</f>
        <v>0</v>
      </c>
      <c r="AP47" s="105" t="n">
        <f aca="false">AP9+AP44</f>
        <v>0</v>
      </c>
    </row>
    <row r="48" customFormat="false" ht="12.95" hidden="false" customHeight="true" outlineLevel="0" collapsed="false">
      <c r="A48" s="173" t="s">
        <v>82</v>
      </c>
      <c r="B48" s="241"/>
      <c r="C48" s="105"/>
      <c r="D48" s="105"/>
      <c r="E48" s="105"/>
      <c r="F48" s="105" t="n">
        <f aca="false">F47*$D$2</f>
        <v>54087</v>
      </c>
      <c r="G48" s="473" t="n">
        <f aca="false">G47*$D$2</f>
        <v>105940.7185</v>
      </c>
      <c r="H48" s="246" t="n">
        <f aca="false">H47*$D$2</f>
        <v>1978.005705</v>
      </c>
      <c r="I48" s="105" t="n">
        <f aca="false">I47*$D$2</f>
        <v>107918.724205</v>
      </c>
      <c r="J48" s="105" t="n">
        <f aca="false">J47*$D$2</f>
        <v>6904.1082263</v>
      </c>
      <c r="K48" s="105" t="n">
        <f aca="false">K47*$D$2</f>
        <v>114822.8324313</v>
      </c>
      <c r="L48" s="105" t="n">
        <f aca="false">L47*$D$2</f>
        <v>4451.7087576</v>
      </c>
      <c r="M48" s="244" t="n">
        <f aca="false">M47*$D$2</f>
        <v>25031.77</v>
      </c>
      <c r="N48" s="243" t="n">
        <f aca="false">N47*$D$2</f>
        <v>227.505839398</v>
      </c>
      <c r="O48" s="105" t="n">
        <f aca="false">O47*$D$2</f>
        <v>9457.177254</v>
      </c>
      <c r="P48" s="366" t="n">
        <f aca="false">P47*$D$2</f>
        <v>4.4914374</v>
      </c>
      <c r="Q48" s="105"/>
      <c r="R48" s="105"/>
      <c r="S48" s="245"/>
      <c r="T48" s="105" t="n">
        <f aca="false">T47*$D$2</f>
        <v>11704.6335</v>
      </c>
      <c r="U48" s="105" t="n">
        <f aca="false">U47*$D$2</f>
        <v>4944.4688</v>
      </c>
      <c r="V48" s="105" t="n">
        <f aca="false">V47*$D$2</f>
        <v>31229.360172602</v>
      </c>
      <c r="W48" s="105" t="n">
        <f aca="false">W47*$D$2</f>
        <v>36273.9216535858</v>
      </c>
      <c r="X48" s="105" t="n">
        <f aca="false">X47*$D$2</f>
        <v>3399.99669</v>
      </c>
      <c r="Y48" s="105"/>
      <c r="Z48" s="105" t="n">
        <f aca="false">Z47*$D$2</f>
        <v>10825.1496</v>
      </c>
      <c r="AA48" s="105" t="n">
        <f aca="false">AA47*$D$2</f>
        <v>205.68895</v>
      </c>
      <c r="AB48" s="105" t="n">
        <f aca="false">AB47*$D$2</f>
        <v>157.29155</v>
      </c>
      <c r="AC48" s="243"/>
      <c r="AD48" s="105"/>
      <c r="AE48" s="105" t="n">
        <f aca="false">AE47*$D$2</f>
        <v>58283.4329626</v>
      </c>
      <c r="AF48" s="105" t="n">
        <f aca="false">AF47*$D$2</f>
        <v>2452.3994687</v>
      </c>
      <c r="AG48" s="105" t="n">
        <f aca="false">AG47*$D$2</f>
        <v>60735.8324313</v>
      </c>
      <c r="AH48" s="247"/>
      <c r="AI48" s="243"/>
      <c r="AJ48" s="248"/>
      <c r="AK48" s="243"/>
      <c r="AL48" s="243"/>
      <c r="AM48" s="265"/>
      <c r="AN48" s="366" t="n">
        <f aca="false">AN9+AN45</f>
        <v>414.625323062194</v>
      </c>
      <c r="AO48" s="105" t="n">
        <f aca="false">AO47*$D$2</f>
        <v>0</v>
      </c>
      <c r="AP48" s="105" t="n">
        <f aca="false">AP47*$D$2</f>
        <v>0</v>
      </c>
    </row>
    <row r="49" customFormat="false" ht="3" hidden="false" customHeight="true" outlineLevel="0" collapsed="false">
      <c r="A49" s="274"/>
      <c r="B49" s="271"/>
      <c r="C49" s="254"/>
      <c r="D49" s="254"/>
      <c r="E49" s="254"/>
      <c r="F49" s="254"/>
      <c r="G49" s="278"/>
      <c r="H49" s="260"/>
      <c r="I49" s="254"/>
      <c r="J49" s="254"/>
      <c r="K49" s="254"/>
      <c r="L49" s="254"/>
      <c r="M49" s="276"/>
      <c r="N49" s="260"/>
      <c r="O49" s="254"/>
      <c r="P49" s="475"/>
      <c r="Q49" s="254"/>
      <c r="R49" s="254"/>
      <c r="S49" s="277"/>
      <c r="T49" s="254"/>
      <c r="U49" s="254"/>
      <c r="V49" s="254"/>
      <c r="W49" s="254"/>
      <c r="X49" s="254"/>
      <c r="Y49" s="254"/>
      <c r="Z49" s="254"/>
      <c r="AA49" s="276"/>
      <c r="AB49" s="277"/>
      <c r="AC49" s="262"/>
      <c r="AD49" s="254"/>
      <c r="AE49" s="254"/>
      <c r="AF49" s="254"/>
      <c r="AG49" s="254"/>
      <c r="AH49" s="261"/>
      <c r="AI49" s="480"/>
      <c r="AJ49" s="279"/>
      <c r="AK49" s="377"/>
      <c r="AL49" s="279"/>
      <c r="AM49" s="279"/>
      <c r="AN49" s="475"/>
      <c r="AO49" s="475"/>
      <c r="AP49" s="475"/>
    </row>
    <row r="50" customFormat="false" ht="12.95" hidden="false" customHeight="true" outlineLevel="0" collapsed="false">
      <c r="A50" s="173" t="s">
        <v>83</v>
      </c>
      <c r="B50" s="241"/>
      <c r="C50" s="105"/>
      <c r="D50" s="105"/>
      <c r="E50" s="105"/>
      <c r="F50" s="105" t="n">
        <f aca="false">F10+F44</f>
        <v>22940.7612805647</v>
      </c>
      <c r="G50" s="473" t="n">
        <f aca="false">G10+G44</f>
        <v>61063</v>
      </c>
      <c r="H50" s="246" t="n">
        <f aca="false">H10+H44</f>
        <v>1220.053</v>
      </c>
      <c r="I50" s="105" t="n">
        <f aca="false">I10+I44</f>
        <v>62283.053</v>
      </c>
      <c r="J50" s="105" t="n">
        <f aca="false">J10+J44</f>
        <v>5012.95885369297</v>
      </c>
      <c r="K50" s="105" t="n">
        <f aca="false">K10+K44</f>
        <v>67296.011853693</v>
      </c>
      <c r="L50" s="105" t="n">
        <f aca="false">L10+L44</f>
        <v>2558.85388056466</v>
      </c>
      <c r="M50" s="244" t="n">
        <f aca="false">M10+M44</f>
        <v>13912.6</v>
      </c>
      <c r="N50" s="243" t="n">
        <f aca="false">N10+N44</f>
        <v>114.699188</v>
      </c>
      <c r="O50" s="105" t="n">
        <f aca="false">O10+O44</f>
        <v>4767.924</v>
      </c>
      <c r="P50" s="386" t="n">
        <f aca="false">P10+P44</f>
        <v>2.2644</v>
      </c>
      <c r="Q50" s="105" t="n">
        <f aca="false">Q10+Q44</f>
        <v>345.423</v>
      </c>
      <c r="R50" s="105" t="n">
        <f aca="false">R10+R44</f>
        <v>647.9548</v>
      </c>
      <c r="S50" s="245" t="n">
        <f aca="false">S10+S44</f>
        <v>129.07</v>
      </c>
      <c r="T50" s="105" t="n">
        <f aca="false">T10+T44</f>
        <v>13082.94</v>
      </c>
      <c r="U50" s="105" t="n">
        <f aca="false">U10+U44</f>
        <v>2644.27</v>
      </c>
      <c r="V50" s="105" t="n">
        <f aca="false">V10+V44</f>
        <v>23632.474612</v>
      </c>
      <c r="W50" s="105"/>
      <c r="X50" s="105"/>
      <c r="Y50" s="105"/>
      <c r="Z50" s="105"/>
      <c r="AA50" s="244"/>
      <c r="AB50" s="245"/>
      <c r="AC50" s="243" t="n">
        <f aca="false">AC10+AC44</f>
        <v>6806</v>
      </c>
      <c r="AD50" s="105" t="n">
        <f aca="false">AD42</f>
        <v>13116.2578774893</v>
      </c>
      <c r="AE50" s="105" t="n">
        <f aca="false">AE10+AE44</f>
        <v>41901.1456</v>
      </c>
      <c r="AF50" s="105" t="n">
        <f aca="false">AF10+AF44</f>
        <v>2454.10497312831</v>
      </c>
      <c r="AG50" s="105" t="n">
        <f aca="false">AG10+AG44</f>
        <v>44355.2505731283</v>
      </c>
      <c r="AH50" s="247" t="n">
        <f aca="false">AH10+AH44</f>
        <v>4.19</v>
      </c>
      <c r="AI50" s="243"/>
      <c r="AJ50" s="248"/>
      <c r="AK50" s="243"/>
      <c r="AL50" s="105" t="n">
        <f aca="false">AL10+AL44</f>
        <v>119.257006</v>
      </c>
      <c r="AM50" s="265"/>
      <c r="AN50" s="366"/>
      <c r="AO50" s="105" t="n">
        <f aca="false">AO10+AO44</f>
        <v>0</v>
      </c>
      <c r="AP50" s="105"/>
    </row>
    <row r="51" customFormat="false" ht="12.95" hidden="false" customHeight="true" outlineLevel="0" collapsed="false">
      <c r="A51" s="173" t="s">
        <v>84</v>
      </c>
      <c r="B51" s="241"/>
      <c r="C51" s="105"/>
      <c r="D51" s="105" t="n">
        <f aca="false">D10+D45</f>
        <v>45503</v>
      </c>
      <c r="E51" s="105" t="n">
        <f aca="false">E42</f>
        <v>192877</v>
      </c>
      <c r="F51" s="105" t="n">
        <f aca="false">F50*$D$2</f>
        <v>45503</v>
      </c>
      <c r="G51" s="473" t="n">
        <f aca="false">G50*$D$2</f>
        <v>121118.4605</v>
      </c>
      <c r="H51" s="246" t="n">
        <f aca="false">H50*$D$2</f>
        <v>2419.9751255</v>
      </c>
      <c r="I51" s="105" t="n">
        <f aca="false">I50*$D$2</f>
        <v>123538.4356255</v>
      </c>
      <c r="J51" s="105" t="n">
        <f aca="false">J50*$D$2</f>
        <v>9943.2038863</v>
      </c>
      <c r="K51" s="105" t="n">
        <f aca="false">K50*$D$2</f>
        <v>133481.6395118</v>
      </c>
      <c r="L51" s="105" t="n">
        <f aca="false">L50*$D$2</f>
        <v>5075.4866721</v>
      </c>
      <c r="M51" s="244" t="n">
        <f aca="false">M50*$D$2</f>
        <v>27595.6421</v>
      </c>
      <c r="N51" s="243" t="n">
        <f aca="false">N50*$D$2</f>
        <v>227.505839398</v>
      </c>
      <c r="O51" s="105" t="n">
        <f aca="false">O50*$D$2</f>
        <v>9457.177254</v>
      </c>
      <c r="P51" s="386" t="n">
        <f aca="false">P50*$D$2</f>
        <v>4.4914374</v>
      </c>
      <c r="Q51" s="105" t="n">
        <f aca="false">Q50*$D$2</f>
        <v>685.1465205</v>
      </c>
      <c r="R51" s="105" t="n">
        <f aca="false">R50*$D$2</f>
        <v>1285.2183458</v>
      </c>
      <c r="S51" s="245" t="n">
        <f aca="false">S50*$D$2</f>
        <v>256.010345</v>
      </c>
      <c r="T51" s="105" t="n">
        <f aca="false">T50*$D$2</f>
        <v>25950.01149</v>
      </c>
      <c r="U51" s="105" t="n">
        <f aca="false">U50*$D$2</f>
        <v>5244.909545</v>
      </c>
      <c r="V51" s="105" t="n">
        <f aca="false">V50*$D$2</f>
        <v>46875.013392902</v>
      </c>
      <c r="W51" s="105"/>
      <c r="X51" s="105"/>
      <c r="Y51" s="105"/>
      <c r="Z51" s="105"/>
      <c r="AA51" s="281"/>
      <c r="AB51" s="251"/>
      <c r="AC51" s="243" t="n">
        <f aca="false">AC50*$D$2</f>
        <v>13499.701</v>
      </c>
      <c r="AD51" s="105" t="n">
        <f aca="false">AD50*$D$2</f>
        <v>26016.0975</v>
      </c>
      <c r="AE51" s="105" t="n">
        <f aca="false">AE50*$D$2</f>
        <v>83110.9222976</v>
      </c>
      <c r="AF51" s="105" t="n">
        <f aca="false">AF50*$D$2</f>
        <v>4867.7172142</v>
      </c>
      <c r="AG51" s="105" t="n">
        <f aca="false">AG50*$D$2</f>
        <v>87978.6395118</v>
      </c>
      <c r="AH51" s="247"/>
      <c r="AI51" s="243"/>
      <c r="AJ51" s="248"/>
      <c r="AK51" s="243" t="n">
        <f aca="false">AK42</f>
        <v>14045.6062705</v>
      </c>
      <c r="AL51" s="105" t="n">
        <f aca="false">AL50*$D$2</f>
        <v>236.546271401</v>
      </c>
      <c r="AM51" s="265"/>
      <c r="AN51" s="366" t="n">
        <f aca="false">AN10+AN45</f>
        <v>414.625323062194</v>
      </c>
      <c r="AO51" s="105" t="n">
        <f aca="false">AO50*$D$2</f>
        <v>0</v>
      </c>
      <c r="AP51" s="105"/>
    </row>
    <row r="52" customFormat="false" ht="3" hidden="false" customHeight="true" outlineLevel="0" collapsed="false">
      <c r="A52" s="252"/>
      <c r="B52" s="271"/>
      <c r="C52" s="254"/>
      <c r="D52" s="255"/>
      <c r="E52" s="254"/>
      <c r="F52" s="481"/>
      <c r="G52" s="482"/>
      <c r="H52" s="483"/>
      <c r="I52" s="255"/>
      <c r="J52" s="255"/>
      <c r="K52" s="255"/>
      <c r="L52" s="255"/>
      <c r="M52" s="258"/>
      <c r="N52" s="475"/>
      <c r="O52" s="255"/>
      <c r="P52" s="475"/>
      <c r="Q52" s="255"/>
      <c r="R52" s="255"/>
      <c r="S52" s="259"/>
      <c r="T52" s="255"/>
      <c r="U52" s="255"/>
      <c r="V52" s="255"/>
      <c r="W52" s="254"/>
      <c r="X52" s="254"/>
      <c r="Y52" s="254"/>
      <c r="Z52" s="255"/>
      <c r="AA52" s="258"/>
      <c r="AB52" s="259"/>
      <c r="AC52" s="262"/>
      <c r="AD52" s="254"/>
      <c r="AE52" s="255"/>
      <c r="AF52" s="255"/>
      <c r="AG52" s="255"/>
      <c r="AH52" s="255"/>
      <c r="AI52" s="255"/>
      <c r="AJ52" s="255"/>
      <c r="AK52" s="262"/>
      <c r="AL52" s="255"/>
      <c r="AM52" s="255"/>
      <c r="AN52" s="475"/>
      <c r="AO52" s="475"/>
      <c r="AP52" s="475"/>
    </row>
    <row r="53" customFormat="false" ht="11.1" hidden="false" customHeight="true" outlineLevel="0" collapsed="false">
      <c r="A53" s="484"/>
      <c r="B53" s="282"/>
      <c r="C53" s="165"/>
      <c r="D53" s="164"/>
      <c r="E53" s="165"/>
      <c r="F53" s="485"/>
      <c r="G53" s="485"/>
      <c r="H53" s="486"/>
      <c r="I53" s="164"/>
      <c r="J53" s="164"/>
      <c r="K53" s="164"/>
      <c r="L53" s="164"/>
      <c r="M53" s="164"/>
      <c r="N53" s="169"/>
      <c r="O53" s="164"/>
      <c r="P53" s="169"/>
      <c r="Q53" s="164"/>
      <c r="R53" s="164"/>
      <c r="S53" s="164"/>
      <c r="T53" s="164"/>
      <c r="U53" s="164"/>
      <c r="V53" s="164"/>
      <c r="W53" s="165"/>
      <c r="X53" s="165"/>
      <c r="Y53" s="165"/>
      <c r="Z53" s="164"/>
      <c r="AA53" s="164"/>
      <c r="AB53" s="164"/>
      <c r="AC53" s="171"/>
      <c r="AD53" s="165"/>
      <c r="AE53" s="164"/>
      <c r="AF53" s="164"/>
      <c r="AG53" s="164"/>
      <c r="AH53" s="170"/>
      <c r="AI53" s="171"/>
      <c r="AJ53" s="171"/>
      <c r="AK53" s="172"/>
      <c r="AL53" s="172"/>
      <c r="AM53" s="288"/>
      <c r="AN53" s="487"/>
    </row>
    <row r="54" customFormat="false" ht="11.1" hidden="false" customHeight="true" outlineLevel="0" collapsed="false">
      <c r="A54" s="164"/>
      <c r="B54" s="165"/>
      <c r="E54" s="488"/>
      <c r="F54" s="489"/>
      <c r="G54" s="490"/>
      <c r="H54" s="168"/>
      <c r="I54" s="491"/>
      <c r="J54" s="164"/>
      <c r="K54" s="154"/>
      <c r="L54" s="164"/>
      <c r="M54" s="164"/>
      <c r="N54" s="169"/>
      <c r="O54" s="29"/>
      <c r="P54" s="393"/>
      <c r="Q54" s="29"/>
      <c r="R54" s="29"/>
      <c r="S54" s="164"/>
      <c r="T54" s="164"/>
      <c r="U54" s="165"/>
      <c r="V54" s="29"/>
      <c r="W54" s="165"/>
      <c r="X54" s="165"/>
      <c r="Y54" s="165"/>
      <c r="Z54" s="165"/>
      <c r="AA54" s="165"/>
      <c r="AB54" s="165"/>
      <c r="AC54" s="171"/>
      <c r="AD54" s="492"/>
      <c r="AE54" s="164"/>
      <c r="AF54" s="164"/>
      <c r="AG54" s="169"/>
      <c r="AH54" s="170"/>
      <c r="AI54" s="171"/>
      <c r="AJ54" s="172"/>
      <c r="AK54" s="345"/>
      <c r="AL54" s="288"/>
      <c r="AM54" s="288"/>
    </row>
    <row r="56" customFormat="false" ht="11.1" hidden="false" customHeight="true" outlineLevel="0" collapsed="false">
      <c r="A56" s="284"/>
      <c r="B56" s="169"/>
      <c r="C56" s="165"/>
      <c r="D56" s="165"/>
      <c r="F56" s="493"/>
      <c r="G56" s="284"/>
      <c r="I56" s="284"/>
      <c r="J56" s="284"/>
      <c r="K56" s="284"/>
      <c r="L56" s="284"/>
      <c r="M56" s="168"/>
      <c r="N56" s="169"/>
      <c r="O56" s="168"/>
      <c r="P56" s="169"/>
      <c r="Q56" s="168"/>
      <c r="R56" s="168"/>
      <c r="S56" s="284"/>
      <c r="T56" s="284"/>
      <c r="U56" s="284"/>
      <c r="V56" s="165"/>
      <c r="W56" s="284"/>
      <c r="X56" s="284"/>
      <c r="Y56" s="284"/>
      <c r="Z56" s="165"/>
      <c r="AA56" s="165"/>
      <c r="AB56" s="165"/>
      <c r="AC56" s="171"/>
      <c r="AD56" s="284"/>
      <c r="AE56" s="284"/>
      <c r="AF56" s="284"/>
      <c r="AG56" s="169"/>
      <c r="AH56" s="170"/>
      <c r="AI56" s="171"/>
      <c r="AJ56" s="172"/>
      <c r="AK56" s="345"/>
      <c r="AL56" s="342"/>
      <c r="AM56" s="342"/>
    </row>
    <row r="57" customFormat="false" ht="11.1" hidden="false" customHeight="true" outlineLevel="0" collapsed="false">
      <c r="A57" s="284"/>
      <c r="B57" s="0"/>
      <c r="C57" s="165"/>
      <c r="D57" s="0"/>
      <c r="E57" s="165"/>
      <c r="F57" s="284"/>
      <c r="G57" s="494"/>
      <c r="H57" s="495"/>
      <c r="I57" s="496"/>
      <c r="J57" s="284"/>
      <c r="K57" s="284"/>
      <c r="L57" s="284"/>
      <c r="M57" s="168"/>
      <c r="N57" s="169"/>
      <c r="O57" s="168"/>
      <c r="P57" s="169"/>
      <c r="Q57" s="168"/>
      <c r="R57" s="168"/>
      <c r="S57" s="284"/>
      <c r="T57" s="284"/>
      <c r="U57" s="284"/>
      <c r="V57" s="165"/>
      <c r="W57" s="284"/>
      <c r="X57" s="284"/>
      <c r="Y57" s="284"/>
      <c r="Z57" s="284"/>
      <c r="AA57" s="284"/>
      <c r="AB57" s="284"/>
      <c r="AC57" s="171"/>
      <c r="AD57" s="284"/>
      <c r="AE57" s="284"/>
      <c r="AF57" s="284"/>
      <c r="AG57" s="169"/>
      <c r="AH57" s="170"/>
      <c r="AI57" s="171"/>
      <c r="AJ57" s="172"/>
      <c r="AK57" s="345"/>
      <c r="AL57" s="342"/>
      <c r="AM57" s="342"/>
    </row>
  </sheetData>
  <mergeCells count="2">
    <mergeCell ref="K2:Y2"/>
    <mergeCell ref="M5:S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10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G5" activeCellId="0" sqref="G5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4.66"/>
    <col collapsed="false" customWidth="true" hidden="false" outlineLevel="0" max="2" min="2" style="0" width="6.99"/>
    <col collapsed="false" customWidth="true" hidden="false" outlineLevel="0" max="3" min="3" style="1" width="6.82"/>
    <col collapsed="false" customWidth="true" hidden="false" outlineLevel="0" max="4" min="4" style="0" width="6.82"/>
    <col collapsed="false" customWidth="true" hidden="false" outlineLevel="0" max="5" min="5" style="1" width="6.99"/>
    <col collapsed="false" customWidth="true" hidden="false" outlineLevel="0" max="6" min="6" style="0" width="7.32"/>
    <col collapsed="false" customWidth="true" hidden="false" outlineLevel="0" max="7" min="7" style="0" width="6.82"/>
    <col collapsed="false" customWidth="true" hidden="false" outlineLevel="0" max="8" min="8" style="3" width="5.66"/>
    <col collapsed="false" customWidth="true" hidden="false" outlineLevel="0" max="11" min="9" style="0" width="6.32"/>
    <col collapsed="false" customWidth="true" hidden="false" outlineLevel="0" max="12" min="12" style="0" width="7.16"/>
    <col collapsed="false" customWidth="true" hidden="false" outlineLevel="0" max="13" min="13" style="3" width="5.49"/>
    <col collapsed="false" customWidth="true" hidden="false" outlineLevel="0" max="14" min="14" style="3" width="4.49"/>
    <col collapsed="false" customWidth="true" hidden="false" outlineLevel="0" max="15" min="15" style="3" width="5.49"/>
    <col collapsed="false" customWidth="true" hidden="false" outlineLevel="0" max="16" min="16" style="3" width="4.82"/>
    <col collapsed="false" customWidth="true" hidden="false" outlineLevel="0" max="18" min="17" style="3" width="4.32"/>
    <col collapsed="false" customWidth="true" hidden="false" outlineLevel="0" max="19" min="19" style="0" width="4.32"/>
    <col collapsed="false" customWidth="true" hidden="false" outlineLevel="0" max="21" min="20" style="0" width="5.49"/>
    <col collapsed="false" customWidth="true" hidden="false" outlineLevel="0" max="22" min="22" style="1" width="6.32"/>
    <col collapsed="false" customWidth="true" hidden="false" outlineLevel="0" max="28" min="23" style="0" width="5.49"/>
    <col collapsed="false" customWidth="true" hidden="false" outlineLevel="0" max="29" min="29" style="1" width="6.66"/>
    <col collapsed="false" customWidth="true" hidden="false" outlineLevel="0" max="30" min="30" style="0" width="5.49"/>
    <col collapsed="false" customWidth="true" hidden="false" outlineLevel="0" max="31" min="31" style="0" width="6.32"/>
    <col collapsed="false" customWidth="true" hidden="false" outlineLevel="0" max="32" min="32" style="0" width="6.99"/>
    <col collapsed="false" customWidth="true" hidden="false" outlineLevel="0" max="33" min="33" style="497" width="6.99"/>
    <col collapsed="false" customWidth="true" hidden="false" outlineLevel="0" max="34" min="34" style="2" width="5.32"/>
    <col collapsed="false" customWidth="true" hidden="false" outlineLevel="0" max="35" min="35" style="4" width="3.82"/>
    <col collapsed="false" customWidth="true" hidden="false" outlineLevel="0" max="36" min="36" style="5" width="3.82"/>
    <col collapsed="false" customWidth="true" hidden="false" outlineLevel="0" max="38" min="37" style="0" width="5.49"/>
    <col collapsed="false" customWidth="true" hidden="false" outlineLevel="0" max="39" min="39" style="0" width="6.32"/>
    <col collapsed="false" customWidth="true" hidden="false" outlineLevel="0" max="40" min="40" style="458" width="6.32"/>
    <col collapsed="false" customWidth="true" hidden="false" outlineLevel="0" max="41" min="41" style="344" width="6.32"/>
    <col collapsed="false" customWidth="true" hidden="false" outlineLevel="0" max="42" min="42" style="0" width="6.49"/>
  </cols>
  <sheetData>
    <row r="1" customFormat="false" ht="14.1" hidden="false" customHeight="true" outlineLevel="0" collapsed="false">
      <c r="A1" s="8" t="s">
        <v>94</v>
      </c>
      <c r="B1" s="8"/>
      <c r="C1" s="9"/>
      <c r="D1" s="8"/>
      <c r="E1" s="9"/>
      <c r="F1" s="8"/>
      <c r="G1" s="8"/>
      <c r="H1" s="123"/>
      <c r="I1" s="8"/>
      <c r="J1" s="8"/>
      <c r="K1" s="11" t="s">
        <v>0</v>
      </c>
      <c r="L1" s="8"/>
      <c r="M1" s="8"/>
      <c r="N1" s="8"/>
      <c r="O1" s="123"/>
      <c r="P1" s="123"/>
      <c r="Q1" s="123"/>
      <c r="R1" s="123"/>
      <c r="S1" s="8"/>
      <c r="T1" s="8"/>
      <c r="U1" s="8"/>
      <c r="V1" s="9"/>
      <c r="W1" s="8"/>
      <c r="X1" s="8"/>
      <c r="Y1" s="8"/>
      <c r="Z1" s="8"/>
      <c r="AA1" s="8"/>
      <c r="AB1" s="8"/>
      <c r="AC1" s="9"/>
      <c r="AD1" s="8"/>
      <c r="AE1" s="8"/>
      <c r="AF1" s="8"/>
      <c r="AG1" s="12"/>
      <c r="AH1" s="13"/>
      <c r="AI1" s="14"/>
      <c r="AJ1" s="15"/>
      <c r="AK1" s="498"/>
      <c r="AL1" s="498"/>
      <c r="AM1" s="498"/>
    </row>
    <row r="2" customFormat="false" ht="14.1" hidden="false" customHeight="true" outlineLevel="0" collapsed="false">
      <c r="A2" s="16" t="s">
        <v>1</v>
      </c>
      <c r="B2" s="8"/>
      <c r="C2" s="9"/>
      <c r="D2" s="17" t="n">
        <v>1.9835</v>
      </c>
      <c r="E2" s="9"/>
      <c r="F2" s="8"/>
      <c r="G2" s="8"/>
      <c r="H2" s="123"/>
      <c r="I2" s="8"/>
      <c r="J2" s="8"/>
      <c r="K2" s="499" t="s">
        <v>112</v>
      </c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499"/>
      <c r="AD2" s="8"/>
      <c r="AE2" s="8"/>
      <c r="AF2" s="8"/>
      <c r="AG2" s="12"/>
      <c r="AH2" s="13"/>
      <c r="AI2" s="14"/>
      <c r="AJ2" s="15"/>
      <c r="AK2" s="498"/>
      <c r="AL2" s="498"/>
      <c r="AM2" s="498"/>
    </row>
    <row r="3" customFormat="false" ht="14.1" hidden="false" customHeight="true" outlineLevel="0" collapsed="false">
      <c r="A3" s="18"/>
      <c r="B3" s="18"/>
      <c r="C3" s="19"/>
      <c r="D3" s="20"/>
      <c r="E3" s="19"/>
      <c r="F3" s="18"/>
      <c r="G3" s="18"/>
      <c r="H3" s="500"/>
      <c r="I3" s="18"/>
      <c r="J3" s="18"/>
      <c r="K3" s="18"/>
      <c r="L3" s="18"/>
      <c r="M3" s="18"/>
      <c r="N3" s="18"/>
      <c r="O3" s="500"/>
      <c r="P3" s="500"/>
      <c r="Q3" s="500"/>
      <c r="R3" s="500"/>
      <c r="S3" s="18"/>
      <c r="T3" s="18"/>
      <c r="U3" s="18"/>
      <c r="V3" s="19"/>
      <c r="W3" s="18"/>
      <c r="X3" s="18"/>
      <c r="Y3" s="18"/>
      <c r="Z3" s="18"/>
      <c r="AA3" s="18"/>
      <c r="AB3" s="18"/>
      <c r="AC3" s="19"/>
      <c r="AD3" s="18"/>
      <c r="AE3" s="18"/>
      <c r="AF3" s="18"/>
      <c r="AG3" s="22"/>
      <c r="AH3" s="23"/>
      <c r="AI3" s="24"/>
      <c r="AJ3" s="25"/>
      <c r="AK3" s="501"/>
      <c r="AL3" s="501"/>
      <c r="AM3" s="501"/>
    </row>
    <row r="4" s="7" customFormat="true" ht="14.1" hidden="false" customHeight="true" outlineLevel="0" collapsed="false">
      <c r="A4" s="30"/>
      <c r="B4" s="31"/>
      <c r="C4" s="32"/>
      <c r="D4" s="409" t="s">
        <v>3</v>
      </c>
      <c r="E4" s="32"/>
      <c r="F4" s="34"/>
      <c r="G4" s="30"/>
      <c r="H4" s="42"/>
      <c r="I4" s="30"/>
      <c r="J4" s="30"/>
      <c r="K4" s="30"/>
      <c r="L4" s="30"/>
      <c r="M4" s="30"/>
      <c r="N4" s="30"/>
      <c r="O4" s="42"/>
      <c r="P4" s="42"/>
      <c r="Q4" s="42"/>
      <c r="R4" s="42"/>
      <c r="S4" s="30"/>
      <c r="T4" s="36" t="s">
        <v>4</v>
      </c>
      <c r="U4" s="30"/>
      <c r="V4" s="37"/>
      <c r="W4" s="30"/>
      <c r="X4" s="30"/>
      <c r="Y4" s="30"/>
      <c r="Z4" s="30"/>
      <c r="AA4" s="30"/>
      <c r="AB4" s="30"/>
      <c r="AC4" s="37"/>
      <c r="AD4" s="30"/>
      <c r="AE4" s="30"/>
      <c r="AF4" s="30"/>
      <c r="AG4" s="38"/>
      <c r="AH4" s="39"/>
      <c r="AI4" s="40" t="s">
        <v>5</v>
      </c>
      <c r="AJ4" s="41"/>
      <c r="AK4" s="416"/>
      <c r="AL4" s="416"/>
      <c r="AM4" s="193" t="s">
        <v>6</v>
      </c>
      <c r="AN4" s="465"/>
      <c r="AO4" s="415"/>
      <c r="AP4" s="44"/>
    </row>
    <row r="5" customFormat="false" ht="12.95" hidden="false" customHeight="true" outlineLevel="0" collapsed="false">
      <c r="A5" s="420" t="s">
        <v>7</v>
      </c>
      <c r="B5" s="421" t="s">
        <v>8</v>
      </c>
      <c r="C5" s="74" t="s">
        <v>8</v>
      </c>
      <c r="D5" s="78" t="s">
        <v>9</v>
      </c>
      <c r="E5" s="74" t="s">
        <v>10</v>
      </c>
      <c r="F5" s="422" t="s">
        <v>11</v>
      </c>
      <c r="G5" s="423" t="s">
        <v>12</v>
      </c>
      <c r="H5" s="502" t="s">
        <v>13</v>
      </c>
      <c r="I5" s="423" t="s">
        <v>14</v>
      </c>
      <c r="J5" s="423" t="s">
        <v>15</v>
      </c>
      <c r="K5" s="423" t="s">
        <v>16</v>
      </c>
      <c r="L5" s="420" t="s">
        <v>15</v>
      </c>
      <c r="M5" s="210" t="s">
        <v>17</v>
      </c>
      <c r="N5" s="210"/>
      <c r="O5" s="210"/>
      <c r="P5" s="210"/>
      <c r="Q5" s="210"/>
      <c r="R5" s="210"/>
      <c r="S5" s="210"/>
      <c r="T5" s="420" t="s">
        <v>18</v>
      </c>
      <c r="U5" s="420" t="s">
        <v>19</v>
      </c>
      <c r="V5" s="420" t="s">
        <v>16</v>
      </c>
      <c r="W5" s="79" t="s">
        <v>20</v>
      </c>
      <c r="X5" s="79" t="s">
        <v>92</v>
      </c>
      <c r="Y5" s="229" t="s">
        <v>20</v>
      </c>
      <c r="Z5" s="420" t="s">
        <v>21</v>
      </c>
      <c r="AA5" s="53" t="s">
        <v>22</v>
      </c>
      <c r="AB5" s="54"/>
      <c r="AC5" s="420" t="s">
        <v>23</v>
      </c>
      <c r="AD5" s="229" t="s">
        <v>110</v>
      </c>
      <c r="AE5" s="233" t="s">
        <v>14</v>
      </c>
      <c r="AF5" s="233" t="s">
        <v>15</v>
      </c>
      <c r="AG5" s="233" t="s">
        <v>16</v>
      </c>
      <c r="AH5" s="425" t="s">
        <v>25</v>
      </c>
      <c r="AI5" s="83" t="s">
        <v>26</v>
      </c>
      <c r="AJ5" s="426" t="s">
        <v>27</v>
      </c>
      <c r="AK5" s="68" t="s">
        <v>87</v>
      </c>
      <c r="AL5" s="68" t="s">
        <v>20</v>
      </c>
      <c r="AM5" s="427" t="s">
        <v>88</v>
      </c>
      <c r="AN5" s="427" t="s">
        <v>88</v>
      </c>
      <c r="AO5" s="427" t="s">
        <v>29</v>
      </c>
      <c r="AP5" s="428" t="s">
        <v>30</v>
      </c>
    </row>
    <row r="6" customFormat="false" ht="12.95" hidden="false" customHeight="true" outlineLevel="0" collapsed="false">
      <c r="A6" s="429" t="s">
        <v>113</v>
      </c>
      <c r="B6" s="421" t="s">
        <v>32</v>
      </c>
      <c r="C6" s="74" t="s">
        <v>9</v>
      </c>
      <c r="D6" s="78" t="s">
        <v>33</v>
      </c>
      <c r="E6" s="74" t="s">
        <v>34</v>
      </c>
      <c r="F6" s="422" t="s">
        <v>35</v>
      </c>
      <c r="G6" s="423" t="s">
        <v>36</v>
      </c>
      <c r="H6" s="502" t="s">
        <v>37</v>
      </c>
      <c r="I6" s="423" t="s">
        <v>38</v>
      </c>
      <c r="J6" s="423" t="s">
        <v>38</v>
      </c>
      <c r="K6" s="423" t="s">
        <v>38</v>
      </c>
      <c r="L6" s="420" t="s">
        <v>39</v>
      </c>
      <c r="M6" s="471" t="s">
        <v>40</v>
      </c>
      <c r="N6" s="233" t="s">
        <v>41</v>
      </c>
      <c r="O6" s="233" t="s">
        <v>42</v>
      </c>
      <c r="P6" s="233" t="s">
        <v>43</v>
      </c>
      <c r="Q6" s="233" t="s">
        <v>44</v>
      </c>
      <c r="R6" s="233" t="s">
        <v>45</v>
      </c>
      <c r="S6" s="234" t="s">
        <v>46</v>
      </c>
      <c r="T6" s="420" t="s">
        <v>47</v>
      </c>
      <c r="U6" s="420" t="s">
        <v>48</v>
      </c>
      <c r="V6" s="420" t="s">
        <v>20</v>
      </c>
      <c r="W6" s="79" t="s">
        <v>58</v>
      </c>
      <c r="X6" s="79" t="s">
        <v>72</v>
      </c>
      <c r="Y6" s="229" t="s">
        <v>53</v>
      </c>
      <c r="Z6" s="420" t="s">
        <v>51</v>
      </c>
      <c r="AA6" s="63" t="s">
        <v>52</v>
      </c>
      <c r="AB6" s="65" t="s">
        <v>53</v>
      </c>
      <c r="AC6" s="420" t="s">
        <v>54</v>
      </c>
      <c r="AD6" s="229" t="s">
        <v>55</v>
      </c>
      <c r="AE6" s="233" t="s">
        <v>56</v>
      </c>
      <c r="AF6" s="233" t="s">
        <v>56</v>
      </c>
      <c r="AG6" s="233" t="s">
        <v>56</v>
      </c>
      <c r="AH6" s="431"/>
      <c r="AI6" s="83" t="s">
        <v>57</v>
      </c>
      <c r="AJ6" s="426" t="s">
        <v>57</v>
      </c>
      <c r="AK6" s="68" t="s">
        <v>58</v>
      </c>
      <c r="AL6" s="68" t="s">
        <v>59</v>
      </c>
      <c r="AM6" s="427" t="s">
        <v>60</v>
      </c>
      <c r="AN6" s="427" t="s">
        <v>60</v>
      </c>
      <c r="AO6" s="427" t="s">
        <v>61</v>
      </c>
      <c r="AP6" s="428" t="s">
        <v>62</v>
      </c>
    </row>
    <row r="7" customFormat="false" ht="12.95" hidden="false" customHeight="true" outlineLevel="0" collapsed="false">
      <c r="A7" s="420"/>
      <c r="B7" s="421"/>
      <c r="C7" s="74"/>
      <c r="D7" s="78"/>
      <c r="E7" s="74" t="s">
        <v>63</v>
      </c>
      <c r="F7" s="422"/>
      <c r="G7" s="420"/>
      <c r="H7" s="67"/>
      <c r="I7" s="420"/>
      <c r="J7" s="420"/>
      <c r="K7" s="420"/>
      <c r="L7" s="420"/>
      <c r="M7" s="471"/>
      <c r="N7" s="233" t="s">
        <v>64</v>
      </c>
      <c r="O7" s="233" t="s">
        <v>65</v>
      </c>
      <c r="P7" s="233"/>
      <c r="Q7" s="233"/>
      <c r="R7" s="233"/>
      <c r="S7" s="234" t="s">
        <v>42</v>
      </c>
      <c r="T7" s="420"/>
      <c r="U7" s="420"/>
      <c r="V7" s="420"/>
      <c r="W7" s="79"/>
      <c r="X7" s="79"/>
      <c r="Y7" s="79"/>
      <c r="Z7" s="420"/>
      <c r="AA7" s="77"/>
      <c r="AB7" s="80"/>
      <c r="AC7" s="420"/>
      <c r="AD7" s="79"/>
      <c r="AE7" s="420"/>
      <c r="AF7" s="420"/>
      <c r="AG7" s="420"/>
      <c r="AH7" s="431"/>
      <c r="AI7" s="83"/>
      <c r="AJ7" s="426"/>
      <c r="AK7" s="68" t="s">
        <v>63</v>
      </c>
      <c r="AL7" s="68" t="s">
        <v>67</v>
      </c>
      <c r="AM7" s="427" t="s">
        <v>107</v>
      </c>
      <c r="AN7" s="427" t="s">
        <v>93</v>
      </c>
      <c r="AO7" s="427" t="s">
        <v>70</v>
      </c>
      <c r="AP7" s="428" t="s">
        <v>71</v>
      </c>
    </row>
    <row r="8" customFormat="false" ht="12.95" hidden="false" customHeight="true" outlineLevel="0" collapsed="false">
      <c r="A8" s="420"/>
      <c r="B8" s="421"/>
      <c r="C8" s="74"/>
      <c r="D8" s="78"/>
      <c r="E8" s="74"/>
      <c r="F8" s="422"/>
      <c r="G8" s="420"/>
      <c r="H8" s="67"/>
      <c r="I8" s="420"/>
      <c r="J8" s="420"/>
      <c r="K8" s="420"/>
      <c r="L8" s="420"/>
      <c r="M8" s="471"/>
      <c r="N8" s="239" t="n">
        <v>1.03</v>
      </c>
      <c r="O8" s="239" t="n">
        <v>1.05</v>
      </c>
      <c r="P8" s="239" t="n">
        <v>1.02</v>
      </c>
      <c r="Q8" s="239" t="n">
        <v>1.02</v>
      </c>
      <c r="R8" s="239" t="n">
        <v>1.04</v>
      </c>
      <c r="S8" s="234" t="s">
        <v>53</v>
      </c>
      <c r="T8" s="420"/>
      <c r="U8" s="420"/>
      <c r="V8" s="420"/>
      <c r="W8" s="79"/>
      <c r="X8" s="79"/>
      <c r="Y8" s="79"/>
      <c r="Z8" s="420"/>
      <c r="AA8" s="77"/>
      <c r="AB8" s="80"/>
      <c r="AC8" s="420"/>
      <c r="AD8" s="79"/>
      <c r="AE8" s="420"/>
      <c r="AF8" s="420"/>
      <c r="AG8" s="420"/>
      <c r="AH8" s="431"/>
      <c r="AI8" s="83"/>
      <c r="AJ8" s="426"/>
      <c r="AK8" s="68"/>
      <c r="AL8" s="68"/>
      <c r="AM8" s="427" t="s">
        <v>114</v>
      </c>
      <c r="AN8" s="427" t="s">
        <v>67</v>
      </c>
      <c r="AO8" s="503"/>
    </row>
    <row r="9" customFormat="false" ht="12.95" hidden="false" customHeight="true" outlineLevel="0" collapsed="false">
      <c r="A9" s="16" t="s">
        <v>74</v>
      </c>
      <c r="B9" s="436"/>
      <c r="C9" s="94"/>
      <c r="D9" s="94"/>
      <c r="E9" s="94"/>
      <c r="F9" s="94" t="n">
        <f aca="false">MAY!F47</f>
        <v>27268.4648348878</v>
      </c>
      <c r="G9" s="94" t="n">
        <f aca="false">MAY!G47</f>
        <v>53411</v>
      </c>
      <c r="H9" s="94" t="n">
        <f aca="false">MAY!H47</f>
        <v>997.23</v>
      </c>
      <c r="I9" s="94" t="n">
        <f aca="false">MAY!I47</f>
        <v>54408.23</v>
      </c>
      <c r="J9" s="94" t="n">
        <f aca="false">MAY!J47</f>
        <v>3480.77046952357</v>
      </c>
      <c r="K9" s="94" t="n">
        <f aca="false">MAY!K47</f>
        <v>57889.0004695236</v>
      </c>
      <c r="L9" s="94" t="n">
        <f aca="false">MAY!L47</f>
        <v>2244.37043488782</v>
      </c>
      <c r="M9" s="94" t="n">
        <f aca="false">MAY!M47</f>
        <v>12620</v>
      </c>
      <c r="N9" s="94" t="n">
        <f aca="false">MAY!N47</f>
        <v>114.699188</v>
      </c>
      <c r="O9" s="94" t="n">
        <f aca="false">MAY!O47</f>
        <v>4767.924</v>
      </c>
      <c r="P9" s="126" t="n">
        <f aca="false">MAY!P47</f>
        <v>2.2644</v>
      </c>
      <c r="Q9" s="451"/>
      <c r="R9" s="451"/>
      <c r="S9" s="95"/>
      <c r="T9" s="94" t="n">
        <f aca="false">MAY!T47</f>
        <v>5901</v>
      </c>
      <c r="U9" s="94" t="n">
        <f aca="false">MAY!U47</f>
        <v>2492.8</v>
      </c>
      <c r="V9" s="94" t="n">
        <f aca="false">MAY!V47</f>
        <v>15744.572812</v>
      </c>
      <c r="W9" s="94" t="n">
        <f aca="false">MAY!W47</f>
        <v>18287.8354694156</v>
      </c>
      <c r="X9" s="96"/>
      <c r="Y9" s="96"/>
      <c r="Z9" s="94" t="n">
        <f aca="false">MAY!Z47</f>
        <v>5457.6</v>
      </c>
      <c r="AA9" s="94" t="n">
        <f aca="false">MAY!AA47</f>
        <v>103.7</v>
      </c>
      <c r="AB9" s="94" t="n">
        <f aca="false">MAY!AB47</f>
        <v>79.3</v>
      </c>
      <c r="AC9" s="96"/>
      <c r="AD9" s="96"/>
      <c r="AE9" s="94" t="n">
        <f aca="false">MAY!AE47</f>
        <v>29384.1356</v>
      </c>
      <c r="AF9" s="94" t="n">
        <f aca="false">MAY!AF47</f>
        <v>1236.40003463574</v>
      </c>
      <c r="AG9" s="94" t="n">
        <f aca="false">MAY!AG47</f>
        <v>30620.5356346357</v>
      </c>
      <c r="AH9" s="98"/>
      <c r="AI9" s="99"/>
      <c r="AJ9" s="100"/>
      <c r="AK9" s="437"/>
      <c r="AL9" s="437"/>
      <c r="AM9" s="96"/>
      <c r="AN9" s="94" t="n">
        <f aca="false">MAY!AN48</f>
        <v>414.625323062194</v>
      </c>
      <c r="AO9" s="504" t="n">
        <f aca="false">MAY!AO47</f>
        <v>0</v>
      </c>
      <c r="AP9" s="94" t="n">
        <f aca="false">MAY!AP47</f>
        <v>0</v>
      </c>
    </row>
    <row r="10" s="1" customFormat="true" ht="12.95" hidden="false" customHeight="true" outlineLevel="0" collapsed="false">
      <c r="A10" s="103" t="s">
        <v>75</v>
      </c>
      <c r="B10" s="126" t="n">
        <f aca="false">MAY!B42</f>
        <v>6915.6</v>
      </c>
      <c r="C10" s="94" t="n">
        <f aca="false">MAY!C42</f>
        <v>344877</v>
      </c>
      <c r="D10" s="94" t="n">
        <f aca="false">MAY!D51</f>
        <v>45503</v>
      </c>
      <c r="E10" s="94" t="n">
        <f aca="false">MAY!E51</f>
        <v>192877</v>
      </c>
      <c r="F10" s="94" t="n">
        <f aca="false">MAY!F50</f>
        <v>22940.7612805647</v>
      </c>
      <c r="G10" s="94" t="n">
        <f aca="false">MAY!G50</f>
        <v>61063</v>
      </c>
      <c r="H10" s="94" t="n">
        <f aca="false">MAY!H50</f>
        <v>1220.053</v>
      </c>
      <c r="I10" s="94" t="n">
        <f aca="false">MAY!I50</f>
        <v>62283.053</v>
      </c>
      <c r="J10" s="94" t="n">
        <f aca="false">MAY!J50</f>
        <v>5012.95885369297</v>
      </c>
      <c r="K10" s="94" t="n">
        <f aca="false">MAY!K50</f>
        <v>67296.011853693</v>
      </c>
      <c r="L10" s="94" t="n">
        <f aca="false">MAY!L50</f>
        <v>2558.85388056466</v>
      </c>
      <c r="M10" s="94" t="n">
        <f aca="false">MAY!M50</f>
        <v>13912.6</v>
      </c>
      <c r="N10" s="94" t="n">
        <f aca="false">MAY!N50</f>
        <v>114.699188</v>
      </c>
      <c r="O10" s="94" t="n">
        <f aca="false">MAY!O50</f>
        <v>4767.924</v>
      </c>
      <c r="P10" s="99"/>
      <c r="Q10" s="94" t="n">
        <f aca="false">MAY!Q50</f>
        <v>345.423</v>
      </c>
      <c r="R10" s="94" t="n">
        <f aca="false">MAY!R50</f>
        <v>647.9548</v>
      </c>
      <c r="S10" s="94" t="n">
        <f aca="false">MAY!S50</f>
        <v>129.07</v>
      </c>
      <c r="T10" s="94" t="n">
        <f aca="false">MAY!T50</f>
        <v>13082.94</v>
      </c>
      <c r="U10" s="94" t="n">
        <f aca="false">MAY!U50</f>
        <v>2644.27</v>
      </c>
      <c r="V10" s="94" t="n">
        <f aca="false">MAY!V50</f>
        <v>23632.474612</v>
      </c>
      <c r="W10" s="96"/>
      <c r="X10" s="96"/>
      <c r="Y10" s="96"/>
      <c r="Z10" s="94"/>
      <c r="AA10" s="97"/>
      <c r="AB10" s="95"/>
      <c r="AC10" s="94" t="n">
        <f aca="false">MAY!AC50</f>
        <v>6806</v>
      </c>
      <c r="AD10" s="94" t="n">
        <f aca="false">MAY!AD50</f>
        <v>13116.2578774893</v>
      </c>
      <c r="AE10" s="94" t="n">
        <f aca="false">MAY!AE50</f>
        <v>41901.1456</v>
      </c>
      <c r="AF10" s="94" t="n">
        <f aca="false">MAY!AF50</f>
        <v>2454.10497312831</v>
      </c>
      <c r="AG10" s="94" t="n">
        <f aca="false">MAY!AG50</f>
        <v>44355.2505731283</v>
      </c>
      <c r="AH10" s="126" t="n">
        <f aca="false">MAY!AH50</f>
        <v>4.19</v>
      </c>
      <c r="AI10" s="99"/>
      <c r="AJ10" s="100"/>
      <c r="AK10" s="94" t="n">
        <f aca="false">MAY!AK51</f>
        <v>14045.6062705</v>
      </c>
      <c r="AL10" s="94" t="n">
        <f aca="false">MAY!AL51</f>
        <v>236.546271401</v>
      </c>
      <c r="AM10" s="128"/>
      <c r="AN10" s="94" t="n">
        <f aca="false">MAY!AN51</f>
        <v>414.625323062194</v>
      </c>
      <c r="AO10" s="504" t="n">
        <f aca="false">MAY!AO50</f>
        <v>0</v>
      </c>
      <c r="AP10" s="94" t="n">
        <f aca="false">MAY!AP50</f>
        <v>0</v>
      </c>
    </row>
    <row r="11" customFormat="false" ht="3" hidden="false" customHeight="true" outlineLevel="0" collapsed="false">
      <c r="A11" s="106"/>
      <c r="B11" s="440"/>
      <c r="C11" s="114"/>
      <c r="D11" s="112"/>
      <c r="E11" s="114"/>
      <c r="F11" s="441"/>
      <c r="G11" s="112"/>
      <c r="H11" s="119"/>
      <c r="I11" s="112"/>
      <c r="J11" s="112"/>
      <c r="K11" s="112"/>
      <c r="L11" s="112"/>
      <c r="M11" s="115"/>
      <c r="N11" s="112"/>
      <c r="O11" s="119" t="n">
        <v>0</v>
      </c>
      <c r="P11" s="119"/>
      <c r="Q11" s="119"/>
      <c r="R11" s="119"/>
      <c r="S11" s="113"/>
      <c r="T11" s="112"/>
      <c r="U11" s="112" t="n">
        <v>0</v>
      </c>
      <c r="V11" s="112"/>
      <c r="W11" s="114"/>
      <c r="X11" s="114"/>
      <c r="Y11" s="114"/>
      <c r="Z11" s="112"/>
      <c r="AA11" s="115"/>
      <c r="AB11" s="113"/>
      <c r="AC11" s="112"/>
      <c r="AD11" s="114"/>
      <c r="AE11" s="112"/>
      <c r="AF11" s="112"/>
      <c r="AG11" s="112"/>
      <c r="AH11" s="116"/>
      <c r="AI11" s="117"/>
      <c r="AJ11" s="118"/>
      <c r="AK11" s="117"/>
      <c r="AL11" s="117"/>
      <c r="AM11" s="117"/>
      <c r="AN11" s="475"/>
      <c r="AO11" s="475"/>
      <c r="AP11" s="262"/>
    </row>
    <row r="12" customFormat="false" ht="12.95" hidden="false" customHeight="true" outlineLevel="0" collapsed="false">
      <c r="A12" s="15" t="n">
        <v>1</v>
      </c>
      <c r="B12" s="439" t="n">
        <v>6915.44</v>
      </c>
      <c r="C12" s="94" t="n">
        <v>344209</v>
      </c>
      <c r="D12" s="99" t="n">
        <f aca="false">C12-C10</f>
        <v>-668</v>
      </c>
      <c r="E12" s="94" t="n">
        <f aca="false">C12-152000</f>
        <v>192209</v>
      </c>
      <c r="F12" s="444" t="n">
        <f aca="false">D12/$D$2</f>
        <v>-336.778421981346</v>
      </c>
      <c r="G12" s="128" t="n">
        <v>573</v>
      </c>
      <c r="H12" s="101" t="n">
        <v>0.03</v>
      </c>
      <c r="I12" s="128" t="n">
        <f aca="false">G12+H12</f>
        <v>573.03</v>
      </c>
      <c r="J12" s="446" t="n">
        <f aca="false">IF(L12&gt;0,L12,0)</f>
        <v>0</v>
      </c>
      <c r="K12" s="128" t="n">
        <f aca="false">I12+J12</f>
        <v>573.03</v>
      </c>
      <c r="L12" s="128" t="n">
        <f aca="false">F12-(I12-AE12)</f>
        <v>-47.808421981346</v>
      </c>
      <c r="M12" s="129" t="n">
        <v>323</v>
      </c>
      <c r="N12" s="126" t="n">
        <f aca="false">1.8299*1.03</f>
        <v>1.884797</v>
      </c>
      <c r="O12" s="246" t="n">
        <f aca="false">(42.65+42.74)*1.05</f>
        <v>89.6595</v>
      </c>
      <c r="P12" s="246"/>
      <c r="Q12" s="366" t="n">
        <f aca="false">2.63*1.02</f>
        <v>2.6826</v>
      </c>
      <c r="R12" s="366" t="n">
        <v>4.2</v>
      </c>
      <c r="S12" s="367" t="n">
        <v>6.13</v>
      </c>
      <c r="T12" s="128" t="n">
        <v>187</v>
      </c>
      <c r="U12" s="128" t="n">
        <v>80</v>
      </c>
      <c r="V12" s="265" t="n">
        <f aca="false">M12-N12-O12-Q12-R12-S12+T12+U12-AP12</f>
        <v>485.443103</v>
      </c>
      <c r="W12" s="105" t="n">
        <f aca="false">W9-V12-(AN12/1.9835)</f>
        <v>17795.7322910287</v>
      </c>
      <c r="X12" s="96" t="n">
        <v>1714.14</v>
      </c>
      <c r="Y12" s="96"/>
      <c r="Z12" s="128" t="n">
        <v>206</v>
      </c>
      <c r="AA12" s="129" t="n">
        <v>1.7</v>
      </c>
      <c r="AB12" s="130" t="n">
        <v>1.3</v>
      </c>
      <c r="AC12" s="448" t="n">
        <v>66</v>
      </c>
      <c r="AD12" s="449" t="n">
        <f aca="false">AD10-AC12</f>
        <v>13050.2578774893</v>
      </c>
      <c r="AE12" s="128" t="n">
        <f aca="false">N12+O12+Q12+R12+S12+V12+Z12+AC12</f>
        <v>862</v>
      </c>
      <c r="AF12" s="128" t="n">
        <f aca="false">IF(L12&lt;0,L12*-1,0)</f>
        <v>47.808421981346</v>
      </c>
      <c r="AG12" s="128" t="n">
        <f aca="false">AE12+AF12</f>
        <v>909.808421981346</v>
      </c>
      <c r="AH12" s="98" t="n">
        <v>0</v>
      </c>
      <c r="AI12" s="99" t="n">
        <v>84</v>
      </c>
      <c r="AJ12" s="100" t="n">
        <v>48</v>
      </c>
      <c r="AK12" s="437" t="n">
        <f aca="false">AK10+(111*1.9835)</f>
        <v>14265.7747705</v>
      </c>
      <c r="AL12" s="437"/>
      <c r="AM12" s="437"/>
      <c r="AN12" s="366" t="n">
        <f aca="false">64*(W9*1.9835+X12*1.9835+AM12*1.9835)/E12</f>
        <v>13.2102595299361</v>
      </c>
      <c r="AO12" s="438"/>
      <c r="AP12" s="8"/>
    </row>
    <row r="13" customFormat="false" ht="12.95" hidden="false" customHeight="true" outlineLevel="0" collapsed="false">
      <c r="A13" s="15" t="n">
        <f aca="false">A12+1</f>
        <v>2</v>
      </c>
      <c r="B13" s="439" t="n">
        <v>6915.29</v>
      </c>
      <c r="C13" s="94" t="n">
        <v>343583</v>
      </c>
      <c r="D13" s="99" t="n">
        <f aca="false">C13-C12</f>
        <v>-626</v>
      </c>
      <c r="E13" s="94" t="n">
        <f aca="false">C13-152000</f>
        <v>191583</v>
      </c>
      <c r="F13" s="444" t="n">
        <f aca="false">D13/$D$2</f>
        <v>-315.603730778926</v>
      </c>
      <c r="G13" s="128" t="n">
        <v>589</v>
      </c>
      <c r="H13" s="101" t="n">
        <v>0.02</v>
      </c>
      <c r="I13" s="128" t="n">
        <f aca="false">G13+H13</f>
        <v>589.02</v>
      </c>
      <c r="J13" s="446" t="n">
        <f aca="false">IF(L13&gt;0,L13,0)</f>
        <v>0</v>
      </c>
      <c r="K13" s="128" t="n">
        <f aca="false">I13+J13</f>
        <v>589.02</v>
      </c>
      <c r="L13" s="128" t="n">
        <f aca="false">F13-(I13-AE13)</f>
        <v>-31.6237307789261</v>
      </c>
      <c r="M13" s="129" t="n">
        <v>307</v>
      </c>
      <c r="N13" s="126" t="n">
        <f aca="false">1.8299*1.03</f>
        <v>1.884797</v>
      </c>
      <c r="O13" s="246" t="n">
        <f aca="false">(43.77+46.04)*1.05</f>
        <v>94.3005</v>
      </c>
      <c r="P13" s="246"/>
      <c r="Q13" s="366" t="n">
        <f aca="false">2.63*1.02</f>
        <v>2.6826</v>
      </c>
      <c r="R13" s="366" t="n">
        <v>4.2</v>
      </c>
      <c r="S13" s="367" t="n">
        <v>4.31</v>
      </c>
      <c r="T13" s="128" t="n">
        <v>186</v>
      </c>
      <c r="U13" s="128" t="n">
        <v>80</v>
      </c>
      <c r="V13" s="265" t="n">
        <f aca="false">M13-N13-O13-Q13-R13-S13+T13+U13-AP13</f>
        <v>465.622103</v>
      </c>
      <c r="W13" s="105" t="n">
        <f aca="false">W12-V13-(AN13/1.9835)</f>
        <v>17323.5927421873</v>
      </c>
      <c r="X13" s="105" t="n">
        <f aca="false">X12+AO13</f>
        <v>1714.14</v>
      </c>
      <c r="Y13" s="105"/>
      <c r="Z13" s="128" t="n">
        <v>225</v>
      </c>
      <c r="AA13" s="129" t="n">
        <v>1.7</v>
      </c>
      <c r="AB13" s="130" t="n">
        <v>1.3</v>
      </c>
      <c r="AC13" s="448" t="n">
        <v>75</v>
      </c>
      <c r="AD13" s="449" t="n">
        <f aca="false">AD12-AC13</f>
        <v>12975.2578774893</v>
      </c>
      <c r="AE13" s="128" t="n">
        <f aca="false">N13+O13+Q13+R13+S13+V13+Z13+AC13</f>
        <v>873</v>
      </c>
      <c r="AF13" s="128" t="n">
        <f aca="false">IF(L13&lt;0,L13*-1,0)</f>
        <v>31.6237307789261</v>
      </c>
      <c r="AG13" s="128" t="n">
        <f aca="false">AE13+AF13</f>
        <v>904.623730778926</v>
      </c>
      <c r="AH13" s="98" t="n">
        <v>0</v>
      </c>
      <c r="AI13" s="99" t="n">
        <v>85</v>
      </c>
      <c r="AJ13" s="100" t="n">
        <v>53</v>
      </c>
      <c r="AK13" s="437" t="n">
        <f aca="false">AK12+(167*1.9835)</f>
        <v>14597.0192705</v>
      </c>
      <c r="AL13" s="437"/>
      <c r="AM13" s="437"/>
      <c r="AN13" s="366" t="n">
        <f aca="false">64*(W12*1.9835+X13*1.9835+AM13*1.9835)/E13</f>
        <v>12.9273538263434</v>
      </c>
      <c r="AO13" s="438"/>
      <c r="AP13" s="8"/>
    </row>
    <row r="14" customFormat="false" ht="12.95" hidden="false" customHeight="true" outlineLevel="0" collapsed="false">
      <c r="A14" s="15" t="n">
        <f aca="false">A13+1</f>
        <v>3</v>
      </c>
      <c r="B14" s="439" t="n">
        <v>6915.14</v>
      </c>
      <c r="C14" s="94" t="n">
        <v>342957</v>
      </c>
      <c r="D14" s="99" t="n">
        <f aca="false">C14-C13</f>
        <v>-626</v>
      </c>
      <c r="E14" s="94" t="n">
        <f aca="false">C14-152000</f>
        <v>190957</v>
      </c>
      <c r="F14" s="444" t="n">
        <f aca="false">D14/$D$2</f>
        <v>-315.603730778926</v>
      </c>
      <c r="G14" s="128" t="n">
        <v>574</v>
      </c>
      <c r="H14" s="101" t="n">
        <v>0.02</v>
      </c>
      <c r="I14" s="128" t="n">
        <f aca="false">G14+H14</f>
        <v>574.02</v>
      </c>
      <c r="J14" s="446" t="n">
        <f aca="false">IF(L14&gt;0,L14,0)</f>
        <v>0</v>
      </c>
      <c r="K14" s="128" t="n">
        <f aca="false">I14+J14</f>
        <v>574.02</v>
      </c>
      <c r="L14" s="128" t="n">
        <f aca="false">F14-(I14-AE14)</f>
        <v>-48.6237307789261</v>
      </c>
      <c r="M14" s="129" t="n">
        <v>298</v>
      </c>
      <c r="N14" s="126" t="n">
        <f aca="false">1.8299*1.03</f>
        <v>1.884797</v>
      </c>
      <c r="O14" s="451" t="n">
        <f aca="false">(41.72+38.1)*1.05</f>
        <v>83.811</v>
      </c>
      <c r="P14" s="451"/>
      <c r="Q14" s="366" t="n">
        <f aca="false">2.63*1.02</f>
        <v>2.6826</v>
      </c>
      <c r="R14" s="366" t="n">
        <v>4.2</v>
      </c>
      <c r="S14" s="367" t="n">
        <v>4.07</v>
      </c>
      <c r="T14" s="128" t="n">
        <v>186</v>
      </c>
      <c r="U14" s="128" t="n">
        <v>81</v>
      </c>
      <c r="V14" s="265" t="n">
        <f aca="false">M14-N14-O14-Q14-R14-S14+T14+U14-AP14</f>
        <v>468.351603</v>
      </c>
      <c r="W14" s="105" t="n">
        <f aca="false">W13-V14-(AN14/1.9835)</f>
        <v>16848.8605671449</v>
      </c>
      <c r="X14" s="105" t="n">
        <f aca="false">X13+AO14</f>
        <v>1714.14</v>
      </c>
      <c r="Y14" s="105"/>
      <c r="Z14" s="128" t="n">
        <v>201</v>
      </c>
      <c r="AA14" s="129" t="n">
        <v>1.7</v>
      </c>
      <c r="AB14" s="130" t="n">
        <v>1.3</v>
      </c>
      <c r="AC14" s="448" t="n">
        <v>75</v>
      </c>
      <c r="AD14" s="449" t="n">
        <f aca="false">AD13-AC14</f>
        <v>12900.2578774893</v>
      </c>
      <c r="AE14" s="128" t="n">
        <f aca="false">N14+O14+Q14+R14+S14+V14+Z14+AC14</f>
        <v>841</v>
      </c>
      <c r="AF14" s="128" t="n">
        <f aca="false">IF(L14&lt;0,L14*-1,0)</f>
        <v>48.6237307789261</v>
      </c>
      <c r="AG14" s="128" t="n">
        <f aca="false">AE14+AF14</f>
        <v>889.623730778926</v>
      </c>
      <c r="AH14" s="98" t="n">
        <v>0</v>
      </c>
      <c r="AI14" s="99" t="n">
        <v>85</v>
      </c>
      <c r="AJ14" s="100" t="n">
        <v>50</v>
      </c>
      <c r="AK14" s="437" t="n">
        <f aca="false">AK13+(167*1.9835)</f>
        <v>14928.2637705</v>
      </c>
      <c r="AL14" s="437"/>
      <c r="AM14" s="437"/>
      <c r="AN14" s="366" t="n">
        <f aca="false">64*(W13*1.9835+X14*1.9835+AM14*1.9835)/E14</f>
        <v>12.6558646460943</v>
      </c>
      <c r="AO14" s="438"/>
      <c r="AP14" s="8"/>
    </row>
    <row r="15" customFormat="false" ht="12.95" hidden="false" customHeight="true" outlineLevel="0" collapsed="false">
      <c r="A15" s="15" t="n">
        <f aca="false">A14+1</f>
        <v>4</v>
      </c>
      <c r="B15" s="439" t="n">
        <v>6914.98</v>
      </c>
      <c r="C15" s="94" t="n">
        <v>342289</v>
      </c>
      <c r="D15" s="99" t="n">
        <f aca="false">C15-C14</f>
        <v>-668</v>
      </c>
      <c r="E15" s="94" t="n">
        <f aca="false">C15-152000</f>
        <v>190289</v>
      </c>
      <c r="F15" s="444" t="n">
        <f aca="false">D15/$D$2</f>
        <v>-336.778421981346</v>
      </c>
      <c r="G15" s="128" t="n">
        <v>570</v>
      </c>
      <c r="H15" s="101" t="n">
        <v>0.01</v>
      </c>
      <c r="I15" s="128" t="n">
        <f aca="false">G15+H15</f>
        <v>570.01</v>
      </c>
      <c r="J15" s="446" t="n">
        <f aca="false">IF(L15&gt;0,L15,0)</f>
        <v>0</v>
      </c>
      <c r="K15" s="128" t="n">
        <f aca="false">I15+J15</f>
        <v>570.01</v>
      </c>
      <c r="L15" s="128" t="n">
        <f aca="false">F15-(I15-AE15)</f>
        <v>-41.7884219813461</v>
      </c>
      <c r="M15" s="129" t="n">
        <v>315</v>
      </c>
      <c r="N15" s="126" t="n">
        <f aca="false">1.8299*1.03</f>
        <v>1.884797</v>
      </c>
      <c r="O15" s="451" t="n">
        <f aca="false">(40.6+41.4)*1.05</f>
        <v>86.1</v>
      </c>
      <c r="P15" s="451"/>
      <c r="Q15" s="366" t="n">
        <f aca="false">2.63*1.02</f>
        <v>2.6826</v>
      </c>
      <c r="R15" s="366" t="n">
        <v>4.2</v>
      </c>
      <c r="S15" s="367" t="n">
        <v>4.43</v>
      </c>
      <c r="T15" s="128" t="n">
        <v>186</v>
      </c>
      <c r="U15" s="128" t="n">
        <v>81</v>
      </c>
      <c r="V15" s="265" t="n">
        <f aca="false">M15-N15-O15-Q15-R15-S15+T15+U15-AP15</f>
        <v>482.702603</v>
      </c>
      <c r="W15" s="105" t="n">
        <f aca="false">W14-V15-(AN15/1.9835)</f>
        <v>16359.9146603475</v>
      </c>
      <c r="X15" s="105" t="n">
        <f aca="false">X14+AO15</f>
        <v>1714.14</v>
      </c>
      <c r="Y15" s="105"/>
      <c r="Z15" s="128" t="n">
        <v>208</v>
      </c>
      <c r="AA15" s="129" t="n">
        <v>1.7</v>
      </c>
      <c r="AB15" s="130" t="n">
        <v>1.3</v>
      </c>
      <c r="AC15" s="448" t="n">
        <v>75</v>
      </c>
      <c r="AD15" s="449" t="n">
        <f aca="false">AD14-AC15</f>
        <v>12825.2578774893</v>
      </c>
      <c r="AE15" s="128" t="n">
        <f aca="false">N15+O15+Q15+R15+S15+V15+Z15+AC15</f>
        <v>865</v>
      </c>
      <c r="AF15" s="128" t="n">
        <f aca="false">IF(L15&lt;0,L15*-1,0)</f>
        <v>41.7884219813461</v>
      </c>
      <c r="AG15" s="128" t="n">
        <f aca="false">AE15+AF15</f>
        <v>906.788421981346</v>
      </c>
      <c r="AH15" s="98" t="n">
        <v>0</v>
      </c>
      <c r="AI15" s="99" t="n">
        <v>87</v>
      </c>
      <c r="AJ15" s="100" t="n">
        <v>51</v>
      </c>
      <c r="AK15" s="437" t="n">
        <f aca="false">AK14+(167*1.9835)</f>
        <v>15259.5082705</v>
      </c>
      <c r="AL15" s="437"/>
      <c r="AM15" s="437"/>
      <c r="AN15" s="366" t="n">
        <f aca="false">64*(W14*1.9835+X15*1.9835+AM15*1.9835)/E15</f>
        <v>12.3835930820785</v>
      </c>
      <c r="AO15" s="438"/>
      <c r="AP15" s="8"/>
    </row>
    <row r="16" customFormat="false" ht="12.95" hidden="false" customHeight="true" outlineLevel="0" collapsed="false">
      <c r="A16" s="15" t="n">
        <f aca="false">A15+1</f>
        <v>5</v>
      </c>
      <c r="B16" s="439" t="n">
        <v>6914.82</v>
      </c>
      <c r="C16" s="94" t="n">
        <v>341627</v>
      </c>
      <c r="D16" s="99" t="n">
        <f aca="false">C16-C15</f>
        <v>-662</v>
      </c>
      <c r="E16" s="94" t="n">
        <f aca="false">C16-152000</f>
        <v>189627</v>
      </c>
      <c r="F16" s="444" t="n">
        <f aca="false">D16/$D$2</f>
        <v>-333.753466095286</v>
      </c>
      <c r="G16" s="128" t="n">
        <v>554</v>
      </c>
      <c r="H16" s="101" t="n">
        <v>0.01</v>
      </c>
      <c r="I16" s="128" t="n">
        <f aca="false">G16+H16</f>
        <v>554.01</v>
      </c>
      <c r="J16" s="446" t="n">
        <f aca="false">IF(L16&gt;0,L16,0)</f>
        <v>0</v>
      </c>
      <c r="K16" s="128" t="n">
        <f aca="false">I16+J16</f>
        <v>554.01</v>
      </c>
      <c r="L16" s="128" t="n">
        <f aca="false">F16-(I16-AE16)</f>
        <v>-78.7634660952861</v>
      </c>
      <c r="M16" s="129" t="n">
        <v>290</v>
      </c>
      <c r="N16" s="126" t="n">
        <f aca="false">1.8299*1.03</f>
        <v>1.884797</v>
      </c>
      <c r="O16" s="451" t="n">
        <f aca="false">(39.94+41.56)*1.05</f>
        <v>85.575</v>
      </c>
      <c r="P16" s="451"/>
      <c r="Q16" s="366" t="n">
        <f aca="false">2.63*1.02</f>
        <v>2.6826</v>
      </c>
      <c r="R16" s="366" t="n">
        <v>4.2</v>
      </c>
      <c r="S16" s="367" t="n">
        <v>5.49</v>
      </c>
      <c r="T16" s="128" t="n">
        <v>185</v>
      </c>
      <c r="U16" s="128" t="n">
        <v>80</v>
      </c>
      <c r="V16" s="265" t="n">
        <f aca="false">M16-N16-O16-Q16-R16-S16+T16+U16-AP16</f>
        <v>455.167603</v>
      </c>
      <c r="W16" s="105" t="n">
        <f aca="false">W15-V16-(AN16/1.9835)</f>
        <v>15898.6469793088</v>
      </c>
      <c r="X16" s="105" t="n">
        <f aca="false">X15+AO16</f>
        <v>1714.14</v>
      </c>
      <c r="Y16" s="105"/>
      <c r="Z16" s="128" t="n">
        <v>181</v>
      </c>
      <c r="AA16" s="129" t="n">
        <v>1.7</v>
      </c>
      <c r="AB16" s="130" t="n">
        <v>1.3</v>
      </c>
      <c r="AC16" s="448" t="n">
        <v>73</v>
      </c>
      <c r="AD16" s="449" t="n">
        <f aca="false">AD15-AC16</f>
        <v>12752.2578774893</v>
      </c>
      <c r="AE16" s="128" t="n">
        <f aca="false">N16+O16+Q16+R16+S16+V16+Z16+AC16</f>
        <v>809</v>
      </c>
      <c r="AF16" s="128" t="n">
        <f aca="false">IF(L16&lt;0,L16*-1,0)</f>
        <v>78.7634660952861</v>
      </c>
      <c r="AG16" s="128" t="n">
        <f aca="false">AE16+AF16</f>
        <v>887.763466095286</v>
      </c>
      <c r="AH16" s="98" t="n">
        <v>0</v>
      </c>
      <c r="AI16" s="99" t="n">
        <v>89</v>
      </c>
      <c r="AJ16" s="100" t="n">
        <v>52</v>
      </c>
      <c r="AK16" s="437" t="n">
        <f aca="false">AK15+(167*1.9835)</f>
        <v>15590.7527705</v>
      </c>
      <c r="AL16" s="437"/>
      <c r="AM16" s="437"/>
      <c r="AN16" s="366" t="n">
        <f aca="false">64*(W15*1.9835+X16*1.9835+AM16*1.9835)/E16</f>
        <v>12.0995047899464</v>
      </c>
      <c r="AO16" s="438"/>
      <c r="AP16" s="8"/>
    </row>
    <row r="17" customFormat="false" ht="12.95" hidden="false" customHeight="true" outlineLevel="0" collapsed="false">
      <c r="A17" s="15" t="n">
        <f aca="false">A16+1</f>
        <v>6</v>
      </c>
      <c r="B17" s="439" t="n">
        <v>6914.64</v>
      </c>
      <c r="C17" s="94" t="n">
        <v>340881</v>
      </c>
      <c r="D17" s="99" t="n">
        <f aca="false">C17-C16</f>
        <v>-746</v>
      </c>
      <c r="E17" s="94" t="n">
        <f aca="false">C17-152000</f>
        <v>188881</v>
      </c>
      <c r="F17" s="444" t="n">
        <f aca="false">D17/$D$2</f>
        <v>-376.102848500126</v>
      </c>
      <c r="G17" s="128" t="n">
        <v>533</v>
      </c>
      <c r="H17" s="101" t="n">
        <v>0.01</v>
      </c>
      <c r="I17" s="128" t="n">
        <f aca="false">G17+H17</f>
        <v>533.01</v>
      </c>
      <c r="J17" s="446" t="n">
        <f aca="false">IF(L17&gt;0,L17,0)</f>
        <v>0</v>
      </c>
      <c r="K17" s="128" t="n">
        <f aca="false">I17+J17</f>
        <v>533.01</v>
      </c>
      <c r="L17" s="128" t="n">
        <f aca="false">F17-(I17-AE17)</f>
        <v>-110.112848500126</v>
      </c>
      <c r="M17" s="129" t="n">
        <v>296</v>
      </c>
      <c r="N17" s="126" t="n">
        <f aca="false">1.8299*1.03</f>
        <v>1.884797</v>
      </c>
      <c r="O17" s="451" t="n">
        <f aca="false">(44.07+44.9)*1.05</f>
        <v>93.4185</v>
      </c>
      <c r="P17" s="451"/>
      <c r="Q17" s="366" t="n">
        <f aca="false">2.63*1.02</f>
        <v>2.6826</v>
      </c>
      <c r="R17" s="366" t="n">
        <v>4.2</v>
      </c>
      <c r="S17" s="367" t="n">
        <v>4.89</v>
      </c>
      <c r="T17" s="128" t="n">
        <v>184</v>
      </c>
      <c r="U17" s="128" t="n">
        <v>79</v>
      </c>
      <c r="V17" s="265" t="n">
        <f aca="false">M17-N17-O17-Q17-R17-S17+T17+U17-AP17</f>
        <v>451.924103</v>
      </c>
      <c r="W17" s="105" t="n">
        <f aca="false">W16-V17-(AN17/1.9835)</f>
        <v>15440.7550004151</v>
      </c>
      <c r="X17" s="105" t="n">
        <f aca="false">X16+AO17</f>
        <v>1714.14</v>
      </c>
      <c r="Y17" s="105"/>
      <c r="Z17" s="128" t="n">
        <v>168</v>
      </c>
      <c r="AA17" s="129" t="n">
        <v>1.7</v>
      </c>
      <c r="AB17" s="130" t="n">
        <v>1.3</v>
      </c>
      <c r="AC17" s="448" t="n">
        <v>72</v>
      </c>
      <c r="AD17" s="449" t="n">
        <f aca="false">AD16-AC17</f>
        <v>12680.2578774893</v>
      </c>
      <c r="AE17" s="128" t="n">
        <f aca="false">N17+O17+Q17+R17+S17+V17+Z17+AC17</f>
        <v>799</v>
      </c>
      <c r="AF17" s="128" t="n">
        <f aca="false">IF(L17&lt;0,L17*-1,0)</f>
        <v>110.112848500126</v>
      </c>
      <c r="AG17" s="128" t="n">
        <f aca="false">AE17+AF17</f>
        <v>909.112848500126</v>
      </c>
      <c r="AH17" s="98" t="n">
        <v>0</v>
      </c>
      <c r="AI17" s="99" t="n">
        <v>92</v>
      </c>
      <c r="AJ17" s="100" t="n">
        <v>59</v>
      </c>
      <c r="AK17" s="437" t="n">
        <f aca="false">AK16+(54.45*1.9835)</f>
        <v>15698.7543455</v>
      </c>
      <c r="AL17" s="437"/>
      <c r="AM17" s="437"/>
      <c r="AN17" s="366" t="n">
        <f aca="false">64*(W16*1.9835+X17*1.9835+AM17*1.9835)/E17</f>
        <v>11.837281835131</v>
      </c>
      <c r="AO17" s="438"/>
      <c r="AP17" s="8"/>
    </row>
    <row r="18" customFormat="false" ht="12.95" hidden="false" customHeight="true" outlineLevel="0" collapsed="false">
      <c r="A18" s="15" t="n">
        <f aca="false">A17+1</f>
        <v>7</v>
      </c>
      <c r="B18" s="439" t="n">
        <v>6914.48</v>
      </c>
      <c r="C18" s="94" t="n">
        <v>340219</v>
      </c>
      <c r="D18" s="99" t="n">
        <f aca="false">C18-C17</f>
        <v>-662</v>
      </c>
      <c r="E18" s="94" t="n">
        <f aca="false">C18-152000</f>
        <v>188219</v>
      </c>
      <c r="F18" s="444" t="n">
        <f aca="false">D18/$D$2</f>
        <v>-333.753466095286</v>
      </c>
      <c r="G18" s="128" t="n">
        <v>488</v>
      </c>
      <c r="H18" s="101" t="n">
        <v>0.01</v>
      </c>
      <c r="I18" s="128" t="n">
        <f aca="false">G18+H18</f>
        <v>488.01</v>
      </c>
      <c r="J18" s="446" t="n">
        <f aca="false">IF(L18&gt;0,L18,0)</f>
        <v>0</v>
      </c>
      <c r="K18" s="128" t="n">
        <f aca="false">I18+J18</f>
        <v>488.01</v>
      </c>
      <c r="L18" s="128" t="n">
        <f aca="false">F18-(I18-AE18)</f>
        <v>-24.7634660952861</v>
      </c>
      <c r="M18" s="129" t="n">
        <v>304</v>
      </c>
      <c r="N18" s="126" t="n">
        <f aca="false">1.8299*1.03</f>
        <v>1.884797</v>
      </c>
      <c r="O18" s="451" t="n">
        <f aca="false">(44.27+45.45)*1.05</f>
        <v>94.206</v>
      </c>
      <c r="P18" s="451"/>
      <c r="Q18" s="366" t="n">
        <f aca="false">2.63*1.02</f>
        <v>2.6826</v>
      </c>
      <c r="R18" s="366" t="n">
        <v>4.2</v>
      </c>
      <c r="S18" s="367" t="n">
        <v>4.96</v>
      </c>
      <c r="T18" s="128" t="n">
        <v>185</v>
      </c>
      <c r="U18" s="128" t="n">
        <v>78</v>
      </c>
      <c r="V18" s="265" t="n">
        <f aca="false">M18-N18-O18-Q18-R18-S18+T18+U18-AP18</f>
        <v>459.066603</v>
      </c>
      <c r="W18" s="105" t="n">
        <f aca="false">W17-V18-(AN18/1.9835)</f>
        <v>14975.8552281812</v>
      </c>
      <c r="X18" s="105" t="n">
        <f aca="false">X17+AO18</f>
        <v>1714.14</v>
      </c>
      <c r="Y18" s="105"/>
      <c r="Z18" s="128" t="n">
        <v>158</v>
      </c>
      <c r="AA18" s="129" t="n">
        <v>1.7</v>
      </c>
      <c r="AB18" s="130" t="n">
        <v>1.3</v>
      </c>
      <c r="AC18" s="448" t="n">
        <v>72</v>
      </c>
      <c r="AD18" s="449" t="n">
        <f aca="false">AD17-AC18</f>
        <v>12608.2578774893</v>
      </c>
      <c r="AE18" s="128" t="n">
        <f aca="false">N18+O18+Q18+R18+S18+V18+Z18+AC18</f>
        <v>797</v>
      </c>
      <c r="AF18" s="128" t="n">
        <f aca="false">IF(L18&lt;0,L18*-1,0)</f>
        <v>24.7634660952861</v>
      </c>
      <c r="AG18" s="128" t="n">
        <f aca="false">AE18+AF18</f>
        <v>821.763466095286</v>
      </c>
      <c r="AH18" s="98" t="n">
        <v>0.01</v>
      </c>
      <c r="AI18" s="99" t="n">
        <v>87</v>
      </c>
      <c r="AJ18" s="100" t="n">
        <v>55</v>
      </c>
      <c r="AK18" s="437" t="n">
        <f aca="false">AK17</f>
        <v>15698.7543455</v>
      </c>
      <c r="AL18" s="437"/>
      <c r="AM18" s="437"/>
      <c r="AN18" s="366" t="n">
        <f aca="false">64*(W17*1.9835+X18*1.9835+AM18*1.9835)/E18</f>
        <v>11.5700911753473</v>
      </c>
      <c r="AO18" s="438"/>
      <c r="AP18" s="8"/>
    </row>
    <row r="19" customFormat="false" ht="12.95" hidden="false" customHeight="true" outlineLevel="0" collapsed="false">
      <c r="A19" s="15" t="n">
        <f aca="false">A18+1</f>
        <v>8</v>
      </c>
      <c r="B19" s="439" t="n">
        <v>6914.37</v>
      </c>
      <c r="C19" s="94" t="n">
        <v>339763</v>
      </c>
      <c r="D19" s="99" t="n">
        <f aca="false">C19-C18</f>
        <v>-456</v>
      </c>
      <c r="E19" s="94" t="n">
        <f aca="false">C19-152000</f>
        <v>187763</v>
      </c>
      <c r="F19" s="444" t="n">
        <f aca="false">D19/$D$2</f>
        <v>-229.89664734056</v>
      </c>
      <c r="G19" s="128" t="n">
        <v>497</v>
      </c>
      <c r="H19" s="101" t="n">
        <v>0.01</v>
      </c>
      <c r="I19" s="128" t="n">
        <f aca="false">G19+H19</f>
        <v>497.01</v>
      </c>
      <c r="J19" s="446" t="n">
        <f aca="false">IF(L19&gt;0,L19,0)</f>
        <v>43.0933526594404</v>
      </c>
      <c r="K19" s="128" t="n">
        <f aca="false">I19+J19</f>
        <v>540.10335265944</v>
      </c>
      <c r="L19" s="128" t="n">
        <f aca="false">F19-(I19-AE19)</f>
        <v>43.0933526594404</v>
      </c>
      <c r="M19" s="129" t="n">
        <v>282</v>
      </c>
      <c r="N19" s="126" t="n">
        <f aca="false">1.8299*1.03</f>
        <v>1.884797</v>
      </c>
      <c r="O19" s="451" t="n">
        <f aca="false">(43.55+46.24)*1.05</f>
        <v>94.2795</v>
      </c>
      <c r="P19" s="451"/>
      <c r="Q19" s="366" t="n">
        <f aca="false">2.63*1.02</f>
        <v>2.6826</v>
      </c>
      <c r="R19" s="366" t="n">
        <v>4.2</v>
      </c>
      <c r="S19" s="367" t="n">
        <v>1.05</v>
      </c>
      <c r="T19" s="128" t="n">
        <v>185</v>
      </c>
      <c r="U19" s="128" t="n">
        <v>78</v>
      </c>
      <c r="V19" s="265" t="n">
        <f aca="false">M19-N19-O19-Q19-R19-S19+T19+U19-AP19</f>
        <v>440.903103</v>
      </c>
      <c r="W19" s="105" t="n">
        <f aca="false">W18-V19-(AN19/1.9835)</f>
        <v>14529.2632530679</v>
      </c>
      <c r="X19" s="105" t="n">
        <f aca="false">X18+AO19</f>
        <v>1714.14</v>
      </c>
      <c r="Y19" s="105"/>
      <c r="Z19" s="128" t="n">
        <v>153</v>
      </c>
      <c r="AA19" s="129" t="n">
        <v>1.7</v>
      </c>
      <c r="AB19" s="130" t="n">
        <v>1.3</v>
      </c>
      <c r="AC19" s="448" t="n">
        <v>72</v>
      </c>
      <c r="AD19" s="449" t="n">
        <f aca="false">AD18-AC19</f>
        <v>12536.2578774893</v>
      </c>
      <c r="AE19" s="128" t="n">
        <f aca="false">N19+O19+Q19+R19+S19+V19+Z19+AC19</f>
        <v>770</v>
      </c>
      <c r="AF19" s="128" t="n">
        <f aca="false">IF(L19&lt;0,L19*-1,0)</f>
        <v>0</v>
      </c>
      <c r="AG19" s="128" t="n">
        <f aca="false">AE19+AF19</f>
        <v>770</v>
      </c>
      <c r="AH19" s="98" t="n">
        <v>1.11</v>
      </c>
      <c r="AI19" s="99" t="n">
        <v>70</v>
      </c>
      <c r="AJ19" s="100" t="n">
        <v>45</v>
      </c>
      <c r="AK19" s="437" t="n">
        <f aca="false">AK18</f>
        <v>15698.7543455</v>
      </c>
      <c r="AL19" s="437"/>
      <c r="AM19" s="437"/>
      <c r="AN19" s="366" t="n">
        <f aca="false">64*(W18*1.9835+X19*1.9835+AM19*1.9835)/E19</f>
        <v>11.2838778366677</v>
      </c>
      <c r="AO19" s="438"/>
      <c r="AP19" s="8"/>
    </row>
    <row r="20" customFormat="false" ht="12.95" hidden="false" customHeight="true" outlineLevel="0" collapsed="false">
      <c r="A20" s="15" t="n">
        <f aca="false">A19+1</f>
        <v>9</v>
      </c>
      <c r="B20" s="439" t="n">
        <v>6914.32</v>
      </c>
      <c r="C20" s="94" t="n">
        <v>339556</v>
      </c>
      <c r="D20" s="99" t="n">
        <f aca="false">C20-C19</f>
        <v>-207</v>
      </c>
      <c r="E20" s="94" t="n">
        <f aca="false">C20-152000</f>
        <v>187556</v>
      </c>
      <c r="F20" s="444" t="n">
        <f aca="false">D20/$D$2</f>
        <v>-104.36097806907</v>
      </c>
      <c r="G20" s="128" t="n">
        <v>650</v>
      </c>
      <c r="H20" s="101" t="n">
        <v>0.01</v>
      </c>
      <c r="I20" s="128" t="n">
        <f aca="false">G20+H20</f>
        <v>650.01</v>
      </c>
      <c r="J20" s="446" t="n">
        <f aca="false">IF(L20&gt;0,L20,0)</f>
        <v>0</v>
      </c>
      <c r="K20" s="128" t="n">
        <f aca="false">I20+J20</f>
        <v>650.01</v>
      </c>
      <c r="L20" s="128" t="n">
        <f aca="false">F20-(I20-AE20)</f>
        <v>-88.3709780690698</v>
      </c>
      <c r="M20" s="129" t="n">
        <v>234</v>
      </c>
      <c r="N20" s="126" t="n">
        <f aca="false">1.8299*1.03</f>
        <v>1.884797</v>
      </c>
      <c r="O20" s="451" t="n">
        <f aca="false">(38.57+36.58)*1.05</f>
        <v>78.9075</v>
      </c>
      <c r="P20" s="451"/>
      <c r="Q20" s="366" t="n">
        <f aca="false">2.63*1.02</f>
        <v>2.6826</v>
      </c>
      <c r="R20" s="366" t="n">
        <v>4.2</v>
      </c>
      <c r="S20" s="367" t="n">
        <v>2.3</v>
      </c>
      <c r="T20" s="128" t="n">
        <v>168</v>
      </c>
      <c r="U20" s="128" t="n">
        <v>78</v>
      </c>
      <c r="V20" s="265" t="n">
        <f aca="false">M20-N20-O20-Q20-R20-S20+T20+U20-AP20</f>
        <v>390.025103</v>
      </c>
      <c r="W20" s="105" t="n">
        <f aca="false">W19-V20-(AN20/1.9835)</f>
        <v>14133.6953905284</v>
      </c>
      <c r="X20" s="105" t="n">
        <f aca="false">X19+AO20</f>
        <v>1714.14</v>
      </c>
      <c r="Y20" s="105"/>
      <c r="Z20" s="128" t="n">
        <v>114</v>
      </c>
      <c r="AA20" s="129" t="n">
        <v>1.7</v>
      </c>
      <c r="AB20" s="130" t="n">
        <v>1.3</v>
      </c>
      <c r="AC20" s="448" t="n">
        <v>72</v>
      </c>
      <c r="AD20" s="449" t="n">
        <f aca="false">AD19-AC20</f>
        <v>12464.2578774893</v>
      </c>
      <c r="AE20" s="128" t="n">
        <f aca="false">N20+O20+Q20+R20+S20+V20+Z20+AC20</f>
        <v>666</v>
      </c>
      <c r="AF20" s="128" t="n">
        <f aca="false">IF(L20&lt;0,L20*-1,0)</f>
        <v>88.3709780690698</v>
      </c>
      <c r="AG20" s="128" t="n">
        <f aca="false">AE20+AF20</f>
        <v>754.37097806907</v>
      </c>
      <c r="AH20" s="98" t="n">
        <v>0</v>
      </c>
      <c r="AI20" s="99" t="n">
        <v>77</v>
      </c>
      <c r="AJ20" s="100" t="n">
        <v>49</v>
      </c>
      <c r="AK20" s="437" t="n">
        <f aca="false">AK19</f>
        <v>15698.7543455</v>
      </c>
      <c r="AL20" s="437"/>
      <c r="AM20" s="437"/>
      <c r="AN20" s="366" t="n">
        <f aca="false">64*(W19*1.9835+X20*1.9835+AM20*1.9835)/E20</f>
        <v>10.9940635466605</v>
      </c>
      <c r="AO20" s="438"/>
      <c r="AP20" s="8"/>
    </row>
    <row r="21" customFormat="false" ht="12.95" hidden="false" customHeight="true" outlineLevel="0" collapsed="false">
      <c r="A21" s="15" t="n">
        <f aca="false">A20+1</f>
        <v>10</v>
      </c>
      <c r="B21" s="439" t="n">
        <v>6914.21</v>
      </c>
      <c r="C21" s="94" t="n">
        <v>339100</v>
      </c>
      <c r="D21" s="99" t="n">
        <f aca="false">C21-C20</f>
        <v>-456</v>
      </c>
      <c r="E21" s="94" t="n">
        <f aca="false">C21-152000</f>
        <v>187100</v>
      </c>
      <c r="F21" s="444" t="n">
        <f aca="false">D21/$D$2</f>
        <v>-229.89664734056</v>
      </c>
      <c r="G21" s="128" t="n">
        <v>527</v>
      </c>
      <c r="H21" s="101" t="n">
        <v>0.12</v>
      </c>
      <c r="I21" s="128" t="n">
        <f aca="false">G21+H21</f>
        <v>527.12</v>
      </c>
      <c r="J21" s="446" t="n">
        <f aca="false">IF(L21&gt;0,L21,0)</f>
        <v>0</v>
      </c>
      <c r="K21" s="128" t="n">
        <f aca="false">I21+J21</f>
        <v>527.12</v>
      </c>
      <c r="L21" s="128" t="n">
        <f aca="false">F21-(I21-AE21)</f>
        <v>-100.01664734056</v>
      </c>
      <c r="M21" s="129" t="n">
        <v>252</v>
      </c>
      <c r="N21" s="126" t="n">
        <f aca="false">1.8299*1.03</f>
        <v>1.884797</v>
      </c>
      <c r="O21" s="451" t="n">
        <f aca="false">(34.04+33.77)*1.05</f>
        <v>71.2005</v>
      </c>
      <c r="P21" s="451"/>
      <c r="Q21" s="366" t="n">
        <f aca="false">2.63*1.02</f>
        <v>2.6826</v>
      </c>
      <c r="R21" s="366" t="n">
        <v>4.2</v>
      </c>
      <c r="S21" s="367" t="n">
        <v>3.99</v>
      </c>
      <c r="T21" s="128" t="n">
        <v>148</v>
      </c>
      <c r="U21" s="128" t="n">
        <v>76</v>
      </c>
      <c r="V21" s="265" t="n">
        <f aca="false">M21-N21-O21-Q21-R21-S21+T21+U21-AP21</f>
        <v>392.042103</v>
      </c>
      <c r="W21" s="105" t="n">
        <f aca="false">W20-V21-(AN21/1.9835)</f>
        <v>13736.2323283355</v>
      </c>
      <c r="X21" s="105" t="n">
        <f aca="false">X20+AO21</f>
        <v>1714.14</v>
      </c>
      <c r="Y21" s="105"/>
      <c r="Z21" s="128" t="n">
        <v>109</v>
      </c>
      <c r="AA21" s="129" t="n">
        <v>1.7</v>
      </c>
      <c r="AB21" s="130" t="n">
        <v>1.3</v>
      </c>
      <c r="AC21" s="448" t="n">
        <v>72</v>
      </c>
      <c r="AD21" s="449" t="n">
        <f aca="false">AD20-AC21</f>
        <v>12392.2578774893</v>
      </c>
      <c r="AE21" s="128" t="n">
        <f aca="false">N21+O21+Q21+R21+S21+V21+Z21+AC21</f>
        <v>657</v>
      </c>
      <c r="AF21" s="128" t="n">
        <f aca="false">IF(L21&lt;0,L21*-1,0)</f>
        <v>100.01664734056</v>
      </c>
      <c r="AG21" s="128" t="n">
        <f aca="false">AE21+AF21</f>
        <v>757.01664734056</v>
      </c>
      <c r="AH21" s="98" t="n">
        <v>0</v>
      </c>
      <c r="AI21" s="99" t="n">
        <v>80</v>
      </c>
      <c r="AJ21" s="100" t="n">
        <v>51</v>
      </c>
      <c r="AK21" s="437" t="n">
        <f aca="false">AK20</f>
        <v>15698.7543455</v>
      </c>
      <c r="AL21" s="437"/>
      <c r="AM21" s="437"/>
      <c r="AN21" s="366" t="n">
        <f aca="false">64*(W20*1.9835+X21*1.9835+AM21*1.9835)/E21</f>
        <v>10.7524725591408</v>
      </c>
      <c r="AO21" s="438"/>
      <c r="AP21" s="8"/>
    </row>
    <row r="22" customFormat="false" ht="12.95" hidden="false" customHeight="true" outlineLevel="0" collapsed="false">
      <c r="A22" s="15" t="n">
        <f aca="false">A21+1</f>
        <v>11</v>
      </c>
      <c r="B22" s="439" t="n">
        <v>6914.12</v>
      </c>
      <c r="C22" s="94" t="n">
        <v>338728</v>
      </c>
      <c r="D22" s="99" t="n">
        <f aca="false">C22-C21</f>
        <v>-372</v>
      </c>
      <c r="E22" s="94" t="n">
        <f aca="false">C22-152000</f>
        <v>186728</v>
      </c>
      <c r="F22" s="444" t="n">
        <f aca="false">D22/$D$2</f>
        <v>-187.54726493572</v>
      </c>
      <c r="G22" s="128" t="n">
        <v>452</v>
      </c>
      <c r="H22" s="101" t="n">
        <v>0.2</v>
      </c>
      <c r="I22" s="128" t="n">
        <f aca="false">G22+H22</f>
        <v>452.2</v>
      </c>
      <c r="J22" s="446" t="n">
        <f aca="false">IF(L22&gt;0,L22,0)</f>
        <v>0</v>
      </c>
      <c r="K22" s="128" t="n">
        <f aca="false">I22+J22</f>
        <v>452.2</v>
      </c>
      <c r="L22" s="128" t="n">
        <f aca="false">F22-(I22-AE22)</f>
        <v>-8.74726493571967</v>
      </c>
      <c r="M22" s="129" t="n">
        <v>247</v>
      </c>
      <c r="N22" s="126" t="n">
        <f aca="false">1.8299*1.03</f>
        <v>1.884797</v>
      </c>
      <c r="O22" s="451" t="n">
        <f aca="false">(32.51+31.07)*1.05</f>
        <v>66.759</v>
      </c>
      <c r="P22" s="451"/>
      <c r="Q22" s="366" t="n">
        <f aca="false">2.63*1.02</f>
        <v>2.6826</v>
      </c>
      <c r="R22" s="366" t="n">
        <v>4.2</v>
      </c>
      <c r="S22" s="367" t="n">
        <v>4.3</v>
      </c>
      <c r="T22" s="128" t="n">
        <v>140</v>
      </c>
      <c r="U22" s="128" t="n">
        <v>76</v>
      </c>
      <c r="V22" s="265" t="n">
        <f aca="false">M22-N22-O22-Q22-R22-S22+T22+U22-AP22</f>
        <v>383.173603</v>
      </c>
      <c r="W22" s="105" t="n">
        <f aca="false">W21-V22-(AN22/1.9835)</f>
        <v>13347.763194783</v>
      </c>
      <c r="X22" s="105" t="n">
        <f aca="false">X21+AO22</f>
        <v>1714.14</v>
      </c>
      <c r="Y22" s="105"/>
      <c r="Z22" s="128" t="n">
        <v>96</v>
      </c>
      <c r="AA22" s="129" t="n">
        <v>1.7</v>
      </c>
      <c r="AB22" s="130" t="n">
        <v>1.3</v>
      </c>
      <c r="AC22" s="448" t="n">
        <v>72</v>
      </c>
      <c r="AD22" s="449" t="n">
        <f aca="false">AD21-AC22</f>
        <v>12320.2578774893</v>
      </c>
      <c r="AE22" s="128" t="n">
        <f aca="false">N22+O22+Q22+R22+S22+V22+Z22+AC22</f>
        <v>631</v>
      </c>
      <c r="AF22" s="128" t="n">
        <f aca="false">IF(L22&lt;0,L22*-1,0)</f>
        <v>8.74726493571967</v>
      </c>
      <c r="AG22" s="128" t="n">
        <f aca="false">AE22+AF22</f>
        <v>639.74726493572</v>
      </c>
      <c r="AH22" s="98" t="n">
        <v>0</v>
      </c>
      <c r="AI22" s="99" t="n">
        <v>83</v>
      </c>
      <c r="AJ22" s="100" t="n">
        <v>50</v>
      </c>
      <c r="AK22" s="437" t="n">
        <f aca="false">AK21</f>
        <v>15698.7543455</v>
      </c>
      <c r="AL22" s="437"/>
      <c r="AM22" s="437"/>
      <c r="AN22" s="366" t="n">
        <f aca="false">64*(W21*1.9835+X22*1.9835+AM22*1.9835)/E22</f>
        <v>10.5036848509502</v>
      </c>
      <c r="AO22" s="438"/>
      <c r="AP22" s="8"/>
    </row>
    <row r="23" customFormat="false" ht="12.95" hidden="false" customHeight="true" outlineLevel="0" collapsed="false">
      <c r="A23" s="15" t="n">
        <f aca="false">A22+1</f>
        <v>12</v>
      </c>
      <c r="B23" s="439" t="n">
        <v>6913.94</v>
      </c>
      <c r="C23" s="94" t="n">
        <v>337984</v>
      </c>
      <c r="D23" s="99" t="n">
        <f aca="false">C23-C22</f>
        <v>-744</v>
      </c>
      <c r="E23" s="94" t="n">
        <f aca="false">C23-152000</f>
        <v>185984</v>
      </c>
      <c r="F23" s="444" t="n">
        <f aca="false">D23/$D$2</f>
        <v>-375.094529871439</v>
      </c>
      <c r="G23" s="128" t="n">
        <v>409</v>
      </c>
      <c r="H23" s="101" t="n">
        <v>0.23</v>
      </c>
      <c r="I23" s="128" t="n">
        <f aca="false">G23+H23</f>
        <v>409.23</v>
      </c>
      <c r="J23" s="446" t="n">
        <f aca="false">IF(L23&gt;0,L23,0)</f>
        <v>0</v>
      </c>
      <c r="K23" s="128" t="n">
        <f aca="false">I23+J23</f>
        <v>409.23</v>
      </c>
      <c r="L23" s="128" t="n">
        <f aca="false">F23-(I23-AE23)</f>
        <v>-137.324529871439</v>
      </c>
      <c r="M23" s="129" t="n">
        <v>255</v>
      </c>
      <c r="N23" s="126" t="n">
        <f aca="false">1.8299*1.03</f>
        <v>1.884797</v>
      </c>
      <c r="O23" s="451" t="n">
        <f aca="false">(29.76+30.21)*1.05</f>
        <v>62.9685</v>
      </c>
      <c r="P23" s="451"/>
      <c r="Q23" s="366" t="n">
        <f aca="false">2.63*1.02</f>
        <v>2.6826</v>
      </c>
      <c r="R23" s="366" t="n">
        <v>4.2</v>
      </c>
      <c r="S23" s="367" t="n">
        <v>4.66</v>
      </c>
      <c r="T23" s="128" t="n">
        <v>138</v>
      </c>
      <c r="U23" s="128" t="n">
        <v>76</v>
      </c>
      <c r="V23" s="265" t="n">
        <f aca="false">M23-N23-O23-Q23-R23-S23+T23+U23-AP23</f>
        <v>392.604103</v>
      </c>
      <c r="W23" s="105" t="n">
        <f aca="false">W22-V23-(AN23/1.9835)</f>
        <v>12949.9760555838</v>
      </c>
      <c r="X23" s="105" t="n">
        <f aca="false">X22+AO23</f>
        <v>1714.14</v>
      </c>
      <c r="Y23" s="105"/>
      <c r="Z23" s="128" t="n">
        <v>106</v>
      </c>
      <c r="AA23" s="129" t="n">
        <v>1.7</v>
      </c>
      <c r="AB23" s="130" t="n">
        <v>1.3</v>
      </c>
      <c r="AC23" s="448" t="n">
        <v>72</v>
      </c>
      <c r="AD23" s="449" t="n">
        <f aca="false">AD22-AC23</f>
        <v>12248.2578774893</v>
      </c>
      <c r="AE23" s="128" t="n">
        <f aca="false">N23+O23+Q23+R23+S23+V23+Z23+AC23</f>
        <v>647</v>
      </c>
      <c r="AF23" s="128" t="n">
        <f aca="false">IF(L23&lt;0,L23*-1,0)</f>
        <v>137.324529871439</v>
      </c>
      <c r="AG23" s="128" t="n">
        <f aca="false">AE23+AF23</f>
        <v>784.324529871439</v>
      </c>
      <c r="AH23" s="98" t="n">
        <v>0</v>
      </c>
      <c r="AI23" s="99" t="n">
        <v>86</v>
      </c>
      <c r="AJ23" s="100" t="n">
        <v>50</v>
      </c>
      <c r="AK23" s="437" t="n">
        <f aca="false">AK22</f>
        <v>15698.7543455</v>
      </c>
      <c r="AL23" s="437"/>
      <c r="AM23" s="437"/>
      <c r="AN23" s="366" t="n">
        <f aca="false">64*(W22*1.9835+X23*1.9835+AM23*1.9835)/E23</f>
        <v>10.2805523010502</v>
      </c>
      <c r="AO23" s="438"/>
      <c r="AP23" s="8"/>
    </row>
    <row r="24" customFormat="false" ht="12.95" hidden="false" customHeight="true" outlineLevel="0" collapsed="false">
      <c r="A24" s="15" t="n">
        <f aca="false">A23+1</f>
        <v>13</v>
      </c>
      <c r="B24" s="439" t="n">
        <v>6913.73</v>
      </c>
      <c r="C24" s="94" t="n">
        <v>337121</v>
      </c>
      <c r="D24" s="99" t="n">
        <f aca="false">C24-C23</f>
        <v>-863</v>
      </c>
      <c r="E24" s="94" t="n">
        <f aca="false">C24-152000</f>
        <v>185121</v>
      </c>
      <c r="F24" s="444" t="n">
        <f aca="false">D24/$D$2</f>
        <v>-435.089488278296</v>
      </c>
      <c r="G24" s="128" t="n">
        <v>371</v>
      </c>
      <c r="H24" s="101" t="n">
        <v>0.2</v>
      </c>
      <c r="I24" s="128" t="n">
        <f aca="false">G24+H24</f>
        <v>371.2</v>
      </c>
      <c r="J24" s="446" t="n">
        <f aca="false">IF(L24&gt;0,L24,0)</f>
        <v>0</v>
      </c>
      <c r="K24" s="128" t="n">
        <f aca="false">I24+J24</f>
        <v>371.2</v>
      </c>
      <c r="L24" s="128" t="n">
        <f aca="false">F24-(I24-AE24)</f>
        <v>-141.289488278296</v>
      </c>
      <c r="M24" s="129" t="n">
        <v>277</v>
      </c>
      <c r="N24" s="126" t="n">
        <f aca="false">1.8299*1.03</f>
        <v>1.884797</v>
      </c>
      <c r="O24" s="451" t="n">
        <f aca="false">(38.14+37.78)*1.05</f>
        <v>79.716</v>
      </c>
      <c r="P24" s="451"/>
      <c r="Q24" s="366" t="n">
        <f aca="false">2.63*1.02</f>
        <v>2.6826</v>
      </c>
      <c r="R24" s="366" t="n">
        <v>4.2</v>
      </c>
      <c r="S24" s="367" t="n">
        <v>4.64</v>
      </c>
      <c r="T24" s="128" t="n">
        <v>138</v>
      </c>
      <c r="U24" s="128" t="n">
        <v>76</v>
      </c>
      <c r="V24" s="265" t="n">
        <f aca="false">M24-N24-O24-Q24-R24-S24+T24+U24-AP24</f>
        <v>397.876603</v>
      </c>
      <c r="W24" s="105" t="n">
        <f aca="false">W23-V24-(AN24/1.9835)</f>
        <v>12547.0297769254</v>
      </c>
      <c r="X24" s="105" t="n">
        <f aca="false">X23+AO24</f>
        <v>1714.14</v>
      </c>
      <c r="Y24" s="105"/>
      <c r="Z24" s="128" t="n">
        <v>102</v>
      </c>
      <c r="AA24" s="129" t="n">
        <v>1.7</v>
      </c>
      <c r="AB24" s="130" t="n">
        <v>1.3</v>
      </c>
      <c r="AC24" s="448" t="n">
        <v>72</v>
      </c>
      <c r="AD24" s="449" t="n">
        <f aca="false">AD23-AC24</f>
        <v>12176.2578774893</v>
      </c>
      <c r="AE24" s="128" t="n">
        <f aca="false">N24+O24+Q24+R24+S24+V24+Z24+AC24</f>
        <v>665</v>
      </c>
      <c r="AF24" s="128" t="n">
        <f aca="false">IF(L24&lt;0,L24*-1,0)</f>
        <v>141.289488278296</v>
      </c>
      <c r="AG24" s="128" t="n">
        <f aca="false">AE24+AF24</f>
        <v>806.289488278296</v>
      </c>
      <c r="AH24" s="98" t="n">
        <v>0</v>
      </c>
      <c r="AI24" s="99" t="n">
        <v>84</v>
      </c>
      <c r="AJ24" s="100" t="n">
        <v>51</v>
      </c>
      <c r="AK24" s="437" t="n">
        <f aca="false">AK23</f>
        <v>15698.7543455</v>
      </c>
      <c r="AL24" s="437"/>
      <c r="AM24" s="437"/>
      <c r="AN24" s="366" t="n">
        <f aca="false">64*(W23*1.9835+X24*1.9835+AM24*1.9835)/E24</f>
        <v>10.0557016684224</v>
      </c>
      <c r="AO24" s="438"/>
      <c r="AP24" s="8"/>
    </row>
    <row r="25" customFormat="false" ht="12.95" hidden="false" customHeight="true" outlineLevel="0" collapsed="false">
      <c r="A25" s="15" t="n">
        <f aca="false">A24+1</f>
        <v>14</v>
      </c>
      <c r="B25" s="439" t="n">
        <v>6913.5</v>
      </c>
      <c r="C25" s="94" t="n">
        <v>336176</v>
      </c>
      <c r="D25" s="99" t="n">
        <f aca="false">C25-C24</f>
        <v>-945</v>
      </c>
      <c r="E25" s="94" t="n">
        <f aca="false">C25-152000</f>
        <v>184176</v>
      </c>
      <c r="F25" s="444" t="n">
        <f aca="false">D25/$D$2</f>
        <v>-476.430552054449</v>
      </c>
      <c r="G25" s="128" t="n">
        <v>339</v>
      </c>
      <c r="H25" s="101" t="n">
        <v>0.15</v>
      </c>
      <c r="I25" s="128" t="n">
        <f aca="false">G25+H25</f>
        <v>339.15</v>
      </c>
      <c r="J25" s="446" t="n">
        <f aca="false">IF(L25&gt;0,L25,0)</f>
        <v>0</v>
      </c>
      <c r="K25" s="128" t="n">
        <f aca="false">I25+J25</f>
        <v>339.15</v>
      </c>
      <c r="L25" s="128" t="n">
        <f aca="false">F25-(I25-AE25)</f>
        <v>-148.580552054449</v>
      </c>
      <c r="M25" s="129" t="n">
        <v>280</v>
      </c>
      <c r="N25" s="126" t="n">
        <f aca="false">1.8299*1.03</f>
        <v>1.884797</v>
      </c>
      <c r="O25" s="451" t="n">
        <f aca="false">(37.28+37.89)*1.05</f>
        <v>78.9285</v>
      </c>
      <c r="P25" s="451"/>
      <c r="Q25" s="366" t="n">
        <f aca="false">2.63*1.02</f>
        <v>2.6826</v>
      </c>
      <c r="R25" s="366" t="n">
        <v>4.2</v>
      </c>
      <c r="S25" s="367" t="n">
        <v>2.94</v>
      </c>
      <c r="T25" s="128" t="n">
        <v>138</v>
      </c>
      <c r="U25" s="128" t="n">
        <v>75</v>
      </c>
      <c r="V25" s="265" t="n">
        <f aca="false">M25-N25-O25-Q25-R25-S25+T25+U25-AP25</f>
        <v>402.364103</v>
      </c>
      <c r="W25" s="105" t="n">
        <f aca="false">W24-V25-(AN25/1.9835)</f>
        <v>12139.7100072494</v>
      </c>
      <c r="X25" s="105" t="n">
        <f aca="false">X24+AO25</f>
        <v>1714.14</v>
      </c>
      <c r="Y25" s="105"/>
      <c r="Z25" s="128" t="n">
        <v>103</v>
      </c>
      <c r="AA25" s="129" t="n">
        <v>1.7</v>
      </c>
      <c r="AB25" s="130" t="n">
        <v>1.3</v>
      </c>
      <c r="AC25" s="448" t="n">
        <v>71</v>
      </c>
      <c r="AD25" s="449" t="n">
        <f aca="false">AD24-AC25</f>
        <v>12105.2578774893</v>
      </c>
      <c r="AE25" s="128" t="n">
        <f aca="false">N25+O25+Q25+R25+S25+V25+Z25+AC25</f>
        <v>667</v>
      </c>
      <c r="AF25" s="128" t="n">
        <f aca="false">IF(L25&lt;0,L25*-1,0)</f>
        <v>148.580552054449</v>
      </c>
      <c r="AG25" s="128" t="n">
        <f aca="false">AE25+AF25</f>
        <v>815.580552054449</v>
      </c>
      <c r="AH25" s="98" t="n">
        <v>0</v>
      </c>
      <c r="AI25" s="99" t="n">
        <v>86</v>
      </c>
      <c r="AJ25" s="100" t="n">
        <v>56</v>
      </c>
      <c r="AK25" s="437" t="n">
        <f aca="false">AK24</f>
        <v>15698.7543455</v>
      </c>
      <c r="AL25" s="437"/>
      <c r="AM25" s="437"/>
      <c r="AN25" s="366" t="n">
        <f aca="false">64*(W24*1.9835+X25*1.9835+AM25*1.9835)/E25</f>
        <v>9.82956485189177</v>
      </c>
      <c r="AO25" s="438"/>
      <c r="AP25" s="8"/>
    </row>
    <row r="26" customFormat="false" ht="12.95" hidden="false" customHeight="true" outlineLevel="0" collapsed="false">
      <c r="A26" s="15" t="n">
        <f aca="false">A25+1</f>
        <v>15</v>
      </c>
      <c r="B26" s="439" t="n">
        <v>6913.3</v>
      </c>
      <c r="C26" s="94" t="n">
        <v>335354</v>
      </c>
      <c r="D26" s="99" t="n">
        <f aca="false">C26-C25</f>
        <v>-822</v>
      </c>
      <c r="E26" s="94" t="n">
        <f aca="false">C26-152000</f>
        <v>183354</v>
      </c>
      <c r="F26" s="444" t="n">
        <f aca="false">D26/$D$2</f>
        <v>-414.418956390219</v>
      </c>
      <c r="G26" s="128" t="n">
        <v>326</v>
      </c>
      <c r="H26" s="101" t="n">
        <v>0.13</v>
      </c>
      <c r="I26" s="128" t="n">
        <f aca="false">G26+H26</f>
        <v>326.13</v>
      </c>
      <c r="J26" s="446" t="n">
        <f aca="false">IF(L26&gt;0,L26,0)</f>
        <v>0</v>
      </c>
      <c r="K26" s="128" t="n">
        <f aca="false">I26+J26</f>
        <v>326.13</v>
      </c>
      <c r="L26" s="128" t="n">
        <f aca="false">F26-(I26-AE26)</f>
        <v>-91.5489563902193</v>
      </c>
      <c r="M26" s="129" t="n">
        <v>270</v>
      </c>
      <c r="N26" s="126" t="n">
        <f aca="false">1.8299*1.03</f>
        <v>1.884797</v>
      </c>
      <c r="O26" s="451" t="n">
        <f aca="false">(34.11+38.15)*1.05</f>
        <v>75.873</v>
      </c>
      <c r="P26" s="451"/>
      <c r="Q26" s="366" t="n">
        <f aca="false">2.63*1.02</f>
        <v>2.6826</v>
      </c>
      <c r="R26" s="366" t="n">
        <v>4.2</v>
      </c>
      <c r="S26" s="367" t="n">
        <v>4.45</v>
      </c>
      <c r="T26" s="128" t="n">
        <v>142</v>
      </c>
      <c r="U26" s="128" t="n">
        <v>75</v>
      </c>
      <c r="V26" s="265" t="n">
        <f aca="false">M26-N26-O26-Q26-R26-S26+T26+U26-AP26</f>
        <v>397.909603</v>
      </c>
      <c r="W26" s="105" t="n">
        <f aca="false">W25-V26-(AN26/1.9835)</f>
        <v>11736.9646962721</v>
      </c>
      <c r="X26" s="105" t="n">
        <f aca="false">X25+AO26</f>
        <v>1714.14</v>
      </c>
      <c r="Y26" s="105"/>
      <c r="Z26" s="128" t="n">
        <v>91</v>
      </c>
      <c r="AA26" s="129" t="n">
        <v>1.7</v>
      </c>
      <c r="AB26" s="130" t="n">
        <v>1.3</v>
      </c>
      <c r="AC26" s="448" t="n">
        <v>71</v>
      </c>
      <c r="AD26" s="449" t="n">
        <f aca="false">AD25-AC26</f>
        <v>12034.2578774893</v>
      </c>
      <c r="AE26" s="128" t="n">
        <f aca="false">N26+O26+Q26+R26+S26+V26+Z26+AC26</f>
        <v>649</v>
      </c>
      <c r="AF26" s="128" t="n">
        <f aca="false">IF(L26&lt;0,L26*-1,0)</f>
        <v>91.5489563902193</v>
      </c>
      <c r="AG26" s="128" t="n">
        <f aca="false">AE26+AF26</f>
        <v>740.548956390219</v>
      </c>
      <c r="AH26" s="98" t="n">
        <v>0</v>
      </c>
      <c r="AI26" s="99" t="n">
        <v>70</v>
      </c>
      <c r="AJ26" s="100" t="n">
        <v>46</v>
      </c>
      <c r="AK26" s="437" t="n">
        <f aca="false">AK25</f>
        <v>15698.7543455</v>
      </c>
      <c r="AL26" s="437"/>
      <c r="AM26" s="437"/>
      <c r="AN26" s="366" t="n">
        <f aca="false">64*(W25*1.9835+X26*1.9835+AM26*1.9835)/E26</f>
        <v>9.59162677291068</v>
      </c>
      <c r="AO26" s="438"/>
      <c r="AP26" s="8"/>
    </row>
    <row r="27" customFormat="false" ht="12.95" hidden="false" customHeight="true" outlineLevel="0" collapsed="false">
      <c r="A27" s="15" t="n">
        <f aca="false">A26+1</f>
        <v>16</v>
      </c>
      <c r="B27" s="439" t="n">
        <v>6913.07</v>
      </c>
      <c r="C27" s="94" t="n">
        <v>334409</v>
      </c>
      <c r="D27" s="99" t="n">
        <f aca="false">C27-C26</f>
        <v>-945</v>
      </c>
      <c r="E27" s="94" t="n">
        <f aca="false">C27-152000</f>
        <v>182409</v>
      </c>
      <c r="F27" s="444" t="n">
        <f aca="false">D27/$D$2</f>
        <v>-476.430552054449</v>
      </c>
      <c r="G27" s="128" t="n">
        <v>293</v>
      </c>
      <c r="H27" s="101" t="n">
        <v>0.19</v>
      </c>
      <c r="I27" s="128" t="n">
        <f aca="false">G27+H27</f>
        <v>293.19</v>
      </c>
      <c r="J27" s="446" t="n">
        <f aca="false">IF(L27&gt;0,L27,0)</f>
        <v>0</v>
      </c>
      <c r="K27" s="128" t="n">
        <f aca="false">I27+J27</f>
        <v>293.19</v>
      </c>
      <c r="L27" s="128" t="n">
        <f aca="false">F27-(I27-AE27)</f>
        <v>-92.6205520544492</v>
      </c>
      <c r="M27" s="129" t="n">
        <v>284</v>
      </c>
      <c r="N27" s="126" t="n">
        <f aca="false">1.8299*1.03</f>
        <v>1.884797</v>
      </c>
      <c r="O27" s="451" t="n">
        <f aca="false">(34.68+34.57)*1.05</f>
        <v>72.7125</v>
      </c>
      <c r="P27" s="451"/>
      <c r="Q27" s="366" t="n">
        <f aca="false">2.63*1.02</f>
        <v>2.6826</v>
      </c>
      <c r="R27" s="366" t="n">
        <v>4.2</v>
      </c>
      <c r="S27" s="367" t="n">
        <v>5.67</v>
      </c>
      <c r="T27" s="128" t="n">
        <v>144</v>
      </c>
      <c r="U27" s="128" t="n">
        <v>75</v>
      </c>
      <c r="V27" s="265" t="n">
        <f aca="false">M27-N27-O27-Q27-R27-S27+T27+U27-AP27</f>
        <v>415.850103</v>
      </c>
      <c r="W27" s="105" t="n">
        <f aca="false">W26-V27-(AN27/1.9835)</f>
        <v>11316.3908036534</v>
      </c>
      <c r="X27" s="105" t="n">
        <f aca="false">X26+AO27</f>
        <v>1726.5</v>
      </c>
      <c r="Y27" s="105"/>
      <c r="Z27" s="128" t="n">
        <v>102</v>
      </c>
      <c r="AA27" s="129" t="n">
        <v>1.7</v>
      </c>
      <c r="AB27" s="130" t="n">
        <v>1.3</v>
      </c>
      <c r="AC27" s="448" t="n">
        <v>72</v>
      </c>
      <c r="AD27" s="449" t="n">
        <f aca="false">AD26-AC27</f>
        <v>11962.2578774893</v>
      </c>
      <c r="AE27" s="128" t="n">
        <f aca="false">N27+O27+Q27+R27+S27+V27+Z27+AC27</f>
        <v>677</v>
      </c>
      <c r="AF27" s="128" t="n">
        <f aca="false">IF(L27&lt;0,L27*-1,0)</f>
        <v>92.6205520544492</v>
      </c>
      <c r="AG27" s="128" t="n">
        <f aca="false">AE27+AF27</f>
        <v>769.620552054449</v>
      </c>
      <c r="AH27" s="98" t="n">
        <v>0</v>
      </c>
      <c r="AI27" s="99" t="n">
        <v>73</v>
      </c>
      <c r="AJ27" s="100" t="n">
        <v>43</v>
      </c>
      <c r="AK27" s="437" t="n">
        <f aca="false">AK26</f>
        <v>15698.7543455</v>
      </c>
      <c r="AL27" s="437"/>
      <c r="AM27" s="437"/>
      <c r="AN27" s="366" t="n">
        <f aca="false">64*(W26*1.9835+X27*1.9835+AM27*1.9835)/E27</f>
        <v>9.36963670873459</v>
      </c>
      <c r="AO27" s="438" t="n">
        <v>12.36</v>
      </c>
      <c r="AP27" s="8"/>
    </row>
    <row r="28" customFormat="false" ht="12.95" hidden="false" customHeight="true" outlineLevel="0" collapsed="false">
      <c r="A28" s="15" t="n">
        <f aca="false">A27+1</f>
        <v>17</v>
      </c>
      <c r="B28" s="439" t="n">
        <v>6912.81</v>
      </c>
      <c r="C28" s="94" t="n">
        <v>333347</v>
      </c>
      <c r="D28" s="99" t="n">
        <f aca="false">C28-C27</f>
        <v>-1062</v>
      </c>
      <c r="E28" s="94" t="n">
        <f aca="false">C28-152000</f>
        <v>181347</v>
      </c>
      <c r="F28" s="444" t="n">
        <f aca="false">D28/$D$2</f>
        <v>-535.417191832619</v>
      </c>
      <c r="G28" s="128" t="n">
        <v>271</v>
      </c>
      <c r="H28" s="101" t="n">
        <v>0.19</v>
      </c>
      <c r="I28" s="128" t="n">
        <f aca="false">G28+H28</f>
        <v>271.19</v>
      </c>
      <c r="J28" s="446" t="n">
        <f aca="false">IF(L28&gt;0,L28,0)</f>
        <v>0</v>
      </c>
      <c r="K28" s="128" t="n">
        <f aca="false">I28+J28</f>
        <v>271.19</v>
      </c>
      <c r="L28" s="128" t="n">
        <f aca="false">F28-(I28-AE28)</f>
        <v>-88.6071918326191</v>
      </c>
      <c r="M28" s="129" t="n">
        <v>281</v>
      </c>
      <c r="N28" s="126" t="n">
        <f aca="false">1.8299*1.03</f>
        <v>1.884797</v>
      </c>
      <c r="O28" s="451" t="n">
        <f aca="false">(37.81+36.9)*1.05</f>
        <v>78.4455</v>
      </c>
      <c r="P28" s="451"/>
      <c r="Q28" s="366" t="n">
        <f aca="false">2.63*1.02</f>
        <v>2.6826</v>
      </c>
      <c r="R28" s="366" t="n">
        <v>4.2</v>
      </c>
      <c r="S28" s="367" t="n">
        <v>3.44</v>
      </c>
      <c r="T28" s="128" t="n">
        <v>150</v>
      </c>
      <c r="U28" s="128" t="n">
        <v>78</v>
      </c>
      <c r="V28" s="265" t="n">
        <f aca="false">M28-N28-O28-Q28-R28-S28+T28+U28-AP28</f>
        <v>418.347103</v>
      </c>
      <c r="W28" s="105" t="n">
        <f aca="false">W27-V28-(AN28/1.9835)</f>
        <v>10893.4320279407</v>
      </c>
      <c r="X28" s="105" t="n">
        <f aca="false">X27+AO28</f>
        <v>1751</v>
      </c>
      <c r="Y28" s="105"/>
      <c r="Z28" s="128" t="n">
        <v>137</v>
      </c>
      <c r="AA28" s="129" t="n">
        <v>1.7</v>
      </c>
      <c r="AB28" s="130" t="n">
        <v>1.3</v>
      </c>
      <c r="AC28" s="448" t="n">
        <v>72</v>
      </c>
      <c r="AD28" s="449" t="n">
        <f aca="false">AD27-AC28</f>
        <v>11890.2578774893</v>
      </c>
      <c r="AE28" s="128" t="n">
        <f aca="false">N28+O28+Q28+R28+S28+V28+Z28+AC28</f>
        <v>718</v>
      </c>
      <c r="AF28" s="128" t="n">
        <f aca="false">IF(L28&lt;0,L28*-1,0)</f>
        <v>88.6071918326191</v>
      </c>
      <c r="AG28" s="128" t="n">
        <f aca="false">AE28+AF28</f>
        <v>806.607191832619</v>
      </c>
      <c r="AH28" s="98" t="n">
        <v>0</v>
      </c>
      <c r="AI28" s="99" t="n">
        <v>81</v>
      </c>
      <c r="AJ28" s="100" t="n">
        <v>46</v>
      </c>
      <c r="AK28" s="437" t="n">
        <f aca="false">AK27</f>
        <v>15698.7543455</v>
      </c>
      <c r="AL28" s="437"/>
      <c r="AM28" s="437"/>
      <c r="AN28" s="366" t="n">
        <f aca="false">64*(W27*1.9835+X28*1.9835+AM28*1.9835)/E28</f>
        <v>9.14725282568213</v>
      </c>
      <c r="AO28" s="438" t="n">
        <v>24.5</v>
      </c>
      <c r="AP28" s="8"/>
    </row>
    <row r="29" customFormat="false" ht="12.95" hidden="false" customHeight="true" outlineLevel="0" collapsed="false">
      <c r="A29" s="15" t="n">
        <f aca="false">A28+1</f>
        <v>18</v>
      </c>
      <c r="B29" s="439" t="n">
        <v>6912.52</v>
      </c>
      <c r="C29" s="94" t="n">
        <v>332164</v>
      </c>
      <c r="D29" s="99" t="n">
        <f aca="false">C29-C28</f>
        <v>-1183</v>
      </c>
      <c r="E29" s="94" t="n">
        <f aca="false">C29-152000</f>
        <v>180164</v>
      </c>
      <c r="F29" s="444" t="n">
        <f aca="false">D29/$D$2</f>
        <v>-596.420468868162</v>
      </c>
      <c r="G29" s="128" t="n">
        <v>249</v>
      </c>
      <c r="H29" s="101" t="n">
        <v>0.19</v>
      </c>
      <c r="I29" s="128" t="n">
        <f aca="false">G29+H29</f>
        <v>249.19</v>
      </c>
      <c r="J29" s="446" t="n">
        <f aca="false">IF(L29&gt;0,L29,0)</f>
        <v>0</v>
      </c>
      <c r="K29" s="128" t="n">
        <f aca="false">I29+J29</f>
        <v>249.19</v>
      </c>
      <c r="L29" s="128" t="n">
        <f aca="false">F29-(I29-AE29)</f>
        <v>-129.610468868162</v>
      </c>
      <c r="M29" s="129" t="n">
        <v>290</v>
      </c>
      <c r="N29" s="126" t="n">
        <f aca="false">1.8299*1.03</f>
        <v>1.884797</v>
      </c>
      <c r="O29" s="451" t="n">
        <f aca="false">(34.58+29.47)*1.05</f>
        <v>67.2525</v>
      </c>
      <c r="P29" s="451"/>
      <c r="Q29" s="366" t="n">
        <f aca="false">2.63*1.02</f>
        <v>2.6826</v>
      </c>
      <c r="R29" s="366" t="n">
        <v>4.2</v>
      </c>
      <c r="S29" s="367" t="n">
        <v>4.5</v>
      </c>
      <c r="T29" s="128" t="n">
        <v>151</v>
      </c>
      <c r="U29" s="128" t="n">
        <v>80</v>
      </c>
      <c r="V29" s="265" t="n">
        <f aca="false">M29-N29-O29-Q29-R29-S29+T29+U29-AP29</f>
        <v>440.480103</v>
      </c>
      <c r="W29" s="105" t="n">
        <f aca="false">W28-V29-(AN29/1.9835)</f>
        <v>10448.4515161476</v>
      </c>
      <c r="X29" s="105" t="n">
        <f aca="false">X28+AO29</f>
        <v>1775.5</v>
      </c>
      <c r="Y29" s="105"/>
      <c r="Z29" s="128" t="n">
        <v>124</v>
      </c>
      <c r="AA29" s="129" t="n">
        <v>1.7</v>
      </c>
      <c r="AB29" s="130" t="n">
        <v>1.3</v>
      </c>
      <c r="AC29" s="448" t="n">
        <v>71</v>
      </c>
      <c r="AD29" s="449" t="n">
        <f aca="false">AD28-AC29</f>
        <v>11819.2578774893</v>
      </c>
      <c r="AE29" s="128" t="n">
        <f aca="false">N29+O29+Q29+R29+S29+V29+Z29+AC29</f>
        <v>716</v>
      </c>
      <c r="AF29" s="128" t="n">
        <f aca="false">IF(L29&lt;0,L29*-1,0)</f>
        <v>129.610468868162</v>
      </c>
      <c r="AG29" s="128" t="n">
        <f aca="false">AE29+AF29</f>
        <v>845.610468868162</v>
      </c>
      <c r="AH29" s="98" t="n">
        <v>0</v>
      </c>
      <c r="AI29" s="99" t="n">
        <v>87</v>
      </c>
      <c r="AJ29" s="100" t="n">
        <v>51</v>
      </c>
      <c r="AK29" s="437" t="n">
        <f aca="false">AK28</f>
        <v>15698.7543455</v>
      </c>
      <c r="AL29" s="437"/>
      <c r="AM29" s="437"/>
      <c r="AN29" s="366" t="n">
        <f aca="false">64*(W28*1.9835+X29*1.9835+AM29*1.9835)/E29</f>
        <v>8.92656084098322</v>
      </c>
      <c r="AO29" s="438" t="n">
        <v>24.5</v>
      </c>
      <c r="AP29" s="8"/>
    </row>
    <row r="30" customFormat="false" ht="12.95" hidden="false" customHeight="true" outlineLevel="0" collapsed="false">
      <c r="A30" s="15" t="n">
        <f aca="false">A29+1</f>
        <v>19</v>
      </c>
      <c r="B30" s="439" t="n">
        <v>6912.19</v>
      </c>
      <c r="C30" s="94" t="n">
        <v>330819</v>
      </c>
      <c r="D30" s="99" t="n">
        <f aca="false">C30-C29</f>
        <v>-1345</v>
      </c>
      <c r="E30" s="94" t="n">
        <f aca="false">C30-152000</f>
        <v>178819</v>
      </c>
      <c r="F30" s="444" t="n">
        <f aca="false">D30/$D$2</f>
        <v>-678.094277791782</v>
      </c>
      <c r="G30" s="128" t="n">
        <v>237</v>
      </c>
      <c r="H30" s="101" t="n">
        <v>0.19</v>
      </c>
      <c r="I30" s="128" t="n">
        <f aca="false">G30+H30</f>
        <v>237.19</v>
      </c>
      <c r="J30" s="446" t="n">
        <f aca="false">IF(L30&gt;0,L30,0)</f>
        <v>0</v>
      </c>
      <c r="K30" s="128" t="n">
        <f aca="false">I30+J30</f>
        <v>237.19</v>
      </c>
      <c r="L30" s="128" t="n">
        <f aca="false">F30-(I30-AE30)</f>
        <v>-187.284277791782</v>
      </c>
      <c r="M30" s="129" t="n">
        <v>277</v>
      </c>
      <c r="N30" s="126" t="n">
        <f aca="false">1.8299*1.03</f>
        <v>1.884797</v>
      </c>
      <c r="O30" s="451" t="n">
        <f aca="false">(31.18+31.7)*1.05</f>
        <v>66.024</v>
      </c>
      <c r="P30" s="451"/>
      <c r="Q30" s="366" t="n">
        <f aca="false">2.63*1.02</f>
        <v>2.6826</v>
      </c>
      <c r="R30" s="366" t="n">
        <v>4.2</v>
      </c>
      <c r="S30" s="367" t="n">
        <v>4.21</v>
      </c>
      <c r="T30" s="128" t="n">
        <v>150</v>
      </c>
      <c r="U30" s="128" t="n">
        <v>81</v>
      </c>
      <c r="V30" s="265" t="n">
        <f aca="false">M30-N30-O30-Q30-R30-S30+T30+U30-AP30</f>
        <v>428.998603</v>
      </c>
      <c r="W30" s="105" t="n">
        <f aca="false">W29-V30-(AN30/1.9835)</f>
        <v>10015.0691457793</v>
      </c>
      <c r="X30" s="105" t="n">
        <f aca="false">X29+AO30</f>
        <v>1800</v>
      </c>
      <c r="Y30" s="105"/>
      <c r="Z30" s="128" t="n">
        <v>150</v>
      </c>
      <c r="AA30" s="129" t="n">
        <v>1.7</v>
      </c>
      <c r="AB30" s="130" t="n">
        <v>1.3</v>
      </c>
      <c r="AC30" s="448" t="n">
        <v>70</v>
      </c>
      <c r="AD30" s="449" t="n">
        <f aca="false">AD29-AC30</f>
        <v>11749.2578774893</v>
      </c>
      <c r="AE30" s="128" t="n">
        <f aca="false">N30+O30+Q30+R30+S30+V30+Z30+AC30</f>
        <v>728</v>
      </c>
      <c r="AF30" s="128" t="n">
        <f aca="false">IF(L30&lt;0,L30*-1,0)</f>
        <v>187.284277791782</v>
      </c>
      <c r="AG30" s="128" t="n">
        <f aca="false">AE30+AF30</f>
        <v>915.284277791782</v>
      </c>
      <c r="AH30" s="98" t="n">
        <v>0</v>
      </c>
      <c r="AI30" s="99" t="n">
        <v>88</v>
      </c>
      <c r="AJ30" s="100" t="n">
        <v>56</v>
      </c>
      <c r="AK30" s="437" t="n">
        <f aca="false">AK29</f>
        <v>15698.7543455</v>
      </c>
      <c r="AL30" s="437"/>
      <c r="AM30" s="437"/>
      <c r="AN30" s="366" t="n">
        <f aca="false">64*(W29*1.9835+X30*1.9835+AM30*1.9835)/E30</f>
        <v>8.6952025750387</v>
      </c>
      <c r="AO30" s="438" t="n">
        <v>24.5</v>
      </c>
      <c r="AP30" s="8"/>
    </row>
    <row r="31" customFormat="false" ht="12.95" hidden="false" customHeight="true" outlineLevel="0" collapsed="false">
      <c r="A31" s="15" t="n">
        <f aca="false">A30+1</f>
        <v>20</v>
      </c>
      <c r="B31" s="439" t="n">
        <v>6911.84</v>
      </c>
      <c r="C31" s="94" t="n">
        <v>329397</v>
      </c>
      <c r="D31" s="99" t="n">
        <f aca="false">C31-C30</f>
        <v>-1422</v>
      </c>
      <c r="E31" s="94" t="n">
        <f aca="false">C31-152000</f>
        <v>177397</v>
      </c>
      <c r="F31" s="444" t="n">
        <f aca="false">D31/$D$2</f>
        <v>-716.914544996219</v>
      </c>
      <c r="G31" s="128" t="n">
        <v>226</v>
      </c>
      <c r="H31" s="101" t="n">
        <v>0.23</v>
      </c>
      <c r="I31" s="128" t="n">
        <f aca="false">G31+H31</f>
        <v>226.23</v>
      </c>
      <c r="J31" s="446" t="n">
        <f aca="false">IF(L31&gt;0,L31,0)</f>
        <v>0</v>
      </c>
      <c r="K31" s="128" t="n">
        <f aca="false">I31+J31</f>
        <v>226.23</v>
      </c>
      <c r="L31" s="128" t="n">
        <f aca="false">F31-(I31-AE31)</f>
        <v>-188.144544996219</v>
      </c>
      <c r="M31" s="129" t="n">
        <v>311</v>
      </c>
      <c r="N31" s="126" t="n">
        <f aca="false">1.8299*1.03</f>
        <v>1.884797</v>
      </c>
      <c r="O31" s="101" t="n">
        <f aca="false">(34.15+36.42)*1.05</f>
        <v>74.0985</v>
      </c>
      <c r="P31" s="101"/>
      <c r="Q31" s="366" t="n">
        <f aca="false">2.63*1.02</f>
        <v>2.6826</v>
      </c>
      <c r="R31" s="366" t="n">
        <v>4.2</v>
      </c>
      <c r="S31" s="367" t="n">
        <v>5.48</v>
      </c>
      <c r="T31" s="128" t="n">
        <v>149</v>
      </c>
      <c r="U31" s="128" t="n">
        <v>83</v>
      </c>
      <c r="V31" s="265" t="n">
        <f aca="false">M31-N31-O31-Q31-R31-S31+T31+U31-AP31</f>
        <v>454.654103</v>
      </c>
      <c r="W31" s="105" t="n">
        <f aca="false">W30-V31-(AN31/1.9835)</f>
        <v>9556.1436490955</v>
      </c>
      <c r="X31" s="105" t="n">
        <f aca="false">X30+AO31</f>
        <v>1824.5</v>
      </c>
      <c r="Y31" s="105"/>
      <c r="Z31" s="128" t="n">
        <v>143</v>
      </c>
      <c r="AA31" s="129" t="n">
        <v>1.7</v>
      </c>
      <c r="AB31" s="130" t="n">
        <v>1.3</v>
      </c>
      <c r="AC31" s="448" t="n">
        <v>69</v>
      </c>
      <c r="AD31" s="449" t="n">
        <f aca="false">AD30-AC31</f>
        <v>11680.2578774893</v>
      </c>
      <c r="AE31" s="128" t="n">
        <f aca="false">N31+O31+Q31+R31+S31+V31+Z31+AC31</f>
        <v>755</v>
      </c>
      <c r="AF31" s="128" t="n">
        <f aca="false">IF(L31&lt;0,L31*-1,0)</f>
        <v>188.144544996219</v>
      </c>
      <c r="AG31" s="128" t="n">
        <f aca="false">AE31+AF31</f>
        <v>943.144544996219</v>
      </c>
      <c r="AH31" s="98" t="n">
        <v>0</v>
      </c>
      <c r="AI31" s="99" t="n">
        <v>85</v>
      </c>
      <c r="AJ31" s="100" t="n">
        <v>53</v>
      </c>
      <c r="AK31" s="437" t="n">
        <f aca="false">AK30</f>
        <v>15698.7543455</v>
      </c>
      <c r="AL31" s="437"/>
      <c r="AM31" s="437"/>
      <c r="AN31" s="366" t="n">
        <f aca="false">64*(W30*1.9835+X31*1.9835+AM31*1.9835)/E31</f>
        <v>8.47230937187106</v>
      </c>
      <c r="AO31" s="438" t="n">
        <v>24.5</v>
      </c>
      <c r="AP31" s="8"/>
    </row>
    <row r="32" customFormat="false" ht="12.95" hidden="false" customHeight="true" outlineLevel="0" collapsed="false">
      <c r="A32" s="15" t="n">
        <f aca="false">A31+1</f>
        <v>21</v>
      </c>
      <c r="B32" s="439" t="n">
        <v>6911.52</v>
      </c>
      <c r="C32" s="94" t="n">
        <v>328103</v>
      </c>
      <c r="D32" s="99" t="n">
        <f aca="false">C32-C31</f>
        <v>-1294</v>
      </c>
      <c r="E32" s="94" t="n">
        <f aca="false">C32-152000</f>
        <v>176103</v>
      </c>
      <c r="F32" s="444" t="n">
        <f aca="false">D32/$D$2</f>
        <v>-652.382152760272</v>
      </c>
      <c r="G32" s="128" t="n">
        <v>218</v>
      </c>
      <c r="H32" s="101" t="n">
        <v>0.18</v>
      </c>
      <c r="I32" s="128" t="n">
        <f aca="false">G32+H32</f>
        <v>218.18</v>
      </c>
      <c r="J32" s="446" t="n">
        <f aca="false">IF(L32&gt;0,L32,0)</f>
        <v>0</v>
      </c>
      <c r="K32" s="128" t="n">
        <f aca="false">I32+J32</f>
        <v>218.18</v>
      </c>
      <c r="L32" s="128" t="n">
        <f aca="false">F32-(I32-AE32)</f>
        <v>-81.5621527602723</v>
      </c>
      <c r="M32" s="129" t="n">
        <v>329</v>
      </c>
      <c r="N32" s="126" t="n">
        <f aca="false">1.8299*1.03</f>
        <v>1.884797</v>
      </c>
      <c r="O32" s="451" t="n">
        <f aca="false">(41.45+42.65)*1.05</f>
        <v>88.305</v>
      </c>
      <c r="P32" s="451"/>
      <c r="Q32" s="366" t="n">
        <f aca="false">2.63*1.02</f>
        <v>2.6826</v>
      </c>
      <c r="R32" s="366" t="n">
        <v>4.2</v>
      </c>
      <c r="S32" s="367" t="n">
        <v>6.32</v>
      </c>
      <c r="T32" s="128" t="n">
        <v>148</v>
      </c>
      <c r="U32" s="128" t="n">
        <v>83</v>
      </c>
      <c r="V32" s="265" t="n">
        <f aca="false">M32-N32-O32-Q32-R32-S32+T32+U32-AP32</f>
        <v>456.607603</v>
      </c>
      <c r="W32" s="105" t="n">
        <f aca="false">W31-V32-(AN32/1.9835)</f>
        <v>9095.39114684028</v>
      </c>
      <c r="X32" s="105" t="n">
        <f aca="false">X31+AO32</f>
        <v>1849</v>
      </c>
      <c r="Y32" s="105"/>
      <c r="Z32" s="128" t="n">
        <v>160</v>
      </c>
      <c r="AA32" s="129" t="n">
        <v>1.7</v>
      </c>
      <c r="AB32" s="130" t="n">
        <v>1.3</v>
      </c>
      <c r="AC32" s="448" t="n">
        <v>69</v>
      </c>
      <c r="AD32" s="449" t="n">
        <f aca="false">AD31-AC32</f>
        <v>11611.2578774893</v>
      </c>
      <c r="AE32" s="128" t="n">
        <f aca="false">N32+O32+Q32+R32+S32+V32+Z32+AC32</f>
        <v>789</v>
      </c>
      <c r="AF32" s="128" t="n">
        <f aca="false">IF(L32&lt;0,L32*-1,0)</f>
        <v>81.5621527602723</v>
      </c>
      <c r="AG32" s="128" t="n">
        <f aca="false">AE32+AF32</f>
        <v>870.562152760272</v>
      </c>
      <c r="AH32" s="98" t="n">
        <v>0</v>
      </c>
      <c r="AI32" s="99" t="n">
        <v>86</v>
      </c>
      <c r="AJ32" s="100" t="n">
        <v>54</v>
      </c>
      <c r="AK32" s="437" t="n">
        <f aca="false">AK31</f>
        <v>15698.7543455</v>
      </c>
      <c r="AL32" s="437"/>
      <c r="AM32" s="437"/>
      <c r="AN32" s="366" t="n">
        <f aca="false">64*(W31*1.9835+X32*1.9835+AM32*1.9835)/E32</f>
        <v>8.22140767273005</v>
      </c>
      <c r="AO32" s="438" t="n">
        <v>24.5</v>
      </c>
      <c r="AP32" s="8"/>
    </row>
    <row r="33" customFormat="false" ht="12.95" hidden="false" customHeight="true" outlineLevel="0" collapsed="false">
      <c r="A33" s="15" t="n">
        <f aca="false">A32+1</f>
        <v>22</v>
      </c>
      <c r="B33" s="439" t="n">
        <v>6911.16</v>
      </c>
      <c r="C33" s="94" t="n">
        <v>326647</v>
      </c>
      <c r="D33" s="99" t="n">
        <f aca="false">C33-C32</f>
        <v>-1456</v>
      </c>
      <c r="E33" s="94" t="n">
        <f aca="false">C33-152000</f>
        <v>174647</v>
      </c>
      <c r="F33" s="444" t="n">
        <f aca="false">D33/$D$2</f>
        <v>-734.055961683892</v>
      </c>
      <c r="G33" s="128" t="n">
        <v>207</v>
      </c>
      <c r="H33" s="101" t="n">
        <v>0.13</v>
      </c>
      <c r="I33" s="128" t="n">
        <f aca="false">G33+H33</f>
        <v>207.13</v>
      </c>
      <c r="J33" s="446" t="n">
        <f aca="false">IF(L33&gt;0,L33,0)</f>
        <v>0</v>
      </c>
      <c r="K33" s="128" t="n">
        <f aca="false">I33+J33</f>
        <v>207.13</v>
      </c>
      <c r="L33" s="128" t="n">
        <f aca="false">F33-(I33-AE33)</f>
        <v>-136.185961683892</v>
      </c>
      <c r="M33" s="129" t="n">
        <v>315</v>
      </c>
      <c r="N33" s="126" t="n">
        <f aca="false">1.8299*1.03</f>
        <v>1.884797</v>
      </c>
      <c r="O33" s="451" t="n">
        <f aca="false">(42.81+43.24)*1.05</f>
        <v>90.3525</v>
      </c>
      <c r="P33" s="451"/>
      <c r="Q33" s="366" t="n">
        <f aca="false">2.63*1.02</f>
        <v>2.6826</v>
      </c>
      <c r="R33" s="366" t="n">
        <v>4.2</v>
      </c>
      <c r="S33" s="367" t="n">
        <v>5.94</v>
      </c>
      <c r="T33" s="128" t="n">
        <v>148</v>
      </c>
      <c r="U33" s="128" t="n">
        <v>83</v>
      </c>
      <c r="V33" s="265" t="n">
        <f aca="false">M33-N33-O33-Q33-R33-S33+T33+U33-AP33</f>
        <v>440.940103</v>
      </c>
      <c r="W33" s="105" t="n">
        <f aca="false">W32-V33-(AN33/1.9835)</f>
        <v>8650.43145556566</v>
      </c>
      <c r="X33" s="105" t="n">
        <f aca="false">X32+AO33</f>
        <v>1873.5</v>
      </c>
      <c r="Y33" s="105"/>
      <c r="Z33" s="128" t="n">
        <v>190</v>
      </c>
      <c r="AA33" s="129" t="n">
        <v>1.7</v>
      </c>
      <c r="AB33" s="130" t="n">
        <v>1.3</v>
      </c>
      <c r="AC33" s="448" t="n">
        <v>69</v>
      </c>
      <c r="AD33" s="449" t="n">
        <f aca="false">AD32-AC33</f>
        <v>11542.2578774893</v>
      </c>
      <c r="AE33" s="128" t="n">
        <f aca="false">N33+O33+Q33+R33+S33+V33+Z33+AC33</f>
        <v>805</v>
      </c>
      <c r="AF33" s="128" t="n">
        <f aca="false">IF(L33&lt;0,L33*-1,0)</f>
        <v>136.185961683892</v>
      </c>
      <c r="AG33" s="128" t="n">
        <f aca="false">AE33+AF33</f>
        <v>941.185961683892</v>
      </c>
      <c r="AH33" s="98" t="n">
        <v>0</v>
      </c>
      <c r="AI33" s="99" t="n">
        <v>87</v>
      </c>
      <c r="AJ33" s="100" t="n">
        <v>53</v>
      </c>
      <c r="AK33" s="437" t="n">
        <f aca="false">AK32</f>
        <v>15698.7543455</v>
      </c>
      <c r="AL33" s="437"/>
      <c r="AM33" s="437"/>
      <c r="AN33" s="366" t="n">
        <f aca="false">64*(W32*1.9835+X33*1.9835+AM33*1.9835)/E33</f>
        <v>7.97285334271126</v>
      </c>
      <c r="AO33" s="438" t="n">
        <v>24.5</v>
      </c>
      <c r="AP33" s="8"/>
    </row>
    <row r="34" customFormat="false" ht="12.95" hidden="false" customHeight="true" outlineLevel="0" collapsed="false">
      <c r="A34" s="15" t="n">
        <f aca="false">A33+1</f>
        <v>23</v>
      </c>
      <c r="B34" s="439" t="n">
        <v>6910.8</v>
      </c>
      <c r="C34" s="94" t="n">
        <v>325197</v>
      </c>
      <c r="D34" s="99" t="n">
        <f aca="false">C34-C33</f>
        <v>-1450</v>
      </c>
      <c r="E34" s="94" t="n">
        <f aca="false">C34-152000</f>
        <v>173197</v>
      </c>
      <c r="F34" s="444" t="n">
        <f aca="false">D34/$D$2</f>
        <v>-731.031005797832</v>
      </c>
      <c r="G34" s="128" t="n">
        <v>194</v>
      </c>
      <c r="H34" s="101" t="n">
        <v>0.11</v>
      </c>
      <c r="I34" s="128" t="n">
        <f aca="false">G34+H34</f>
        <v>194.11</v>
      </c>
      <c r="J34" s="446" t="n">
        <f aca="false">IF(L34&gt;0,L34,0)</f>
        <v>0</v>
      </c>
      <c r="K34" s="128" t="n">
        <f aca="false">I34+J34</f>
        <v>194.11</v>
      </c>
      <c r="L34" s="128" t="n">
        <f aca="false">F34-(I34-AE34)</f>
        <v>-98.1410057978321</v>
      </c>
      <c r="M34" s="129" t="n">
        <v>311</v>
      </c>
      <c r="N34" s="126" t="n">
        <f aca="false">1.8299*1.03</f>
        <v>1.884797</v>
      </c>
      <c r="O34" s="451" t="n">
        <f aca="false">(34.59+36.31)*1.05</f>
        <v>74.445</v>
      </c>
      <c r="P34" s="451"/>
      <c r="Q34" s="366" t="n">
        <f aca="false">2.63*1.02</f>
        <v>2.6826</v>
      </c>
      <c r="R34" s="366" t="n">
        <v>4.2</v>
      </c>
      <c r="S34" s="367" t="n">
        <v>5.25</v>
      </c>
      <c r="T34" s="128" t="n">
        <v>147</v>
      </c>
      <c r="U34" s="128" t="n">
        <v>82</v>
      </c>
      <c r="V34" s="265" t="n">
        <f aca="false">M34-N34-O34-Q34-R34-S34+T34+U34-AP34</f>
        <v>451.537603</v>
      </c>
      <c r="W34" s="105" t="n">
        <f aca="false">W33-V34-(AN34/1.9835)</f>
        <v>8194.99598127946</v>
      </c>
      <c r="X34" s="105" t="n">
        <f aca="false">X33+AO34</f>
        <v>1898</v>
      </c>
      <c r="Y34" s="105"/>
      <c r="Z34" s="128" t="n">
        <v>218</v>
      </c>
      <c r="AA34" s="129" t="n">
        <v>1.7</v>
      </c>
      <c r="AB34" s="130" t="n">
        <v>1.3</v>
      </c>
      <c r="AC34" s="448" t="n">
        <v>69</v>
      </c>
      <c r="AD34" s="449" t="n">
        <f aca="false">AD33-AC34</f>
        <v>11473.2578774893</v>
      </c>
      <c r="AE34" s="128" t="n">
        <f aca="false">N34+O34+Q34+R34+S34+V34+Z34+AC34</f>
        <v>827</v>
      </c>
      <c r="AF34" s="128" t="n">
        <f aca="false">IF(L34&lt;0,L34*-1,0)</f>
        <v>98.1410057978321</v>
      </c>
      <c r="AG34" s="128" t="n">
        <f aca="false">AE34+AF34</f>
        <v>925.141005797832</v>
      </c>
      <c r="AH34" s="98" t="n">
        <v>0</v>
      </c>
      <c r="AI34" s="99" t="n">
        <v>89</v>
      </c>
      <c r="AJ34" s="100" t="n">
        <v>56</v>
      </c>
      <c r="AK34" s="437" t="n">
        <f aca="false">AK33</f>
        <v>15698.7543455</v>
      </c>
      <c r="AL34" s="437"/>
      <c r="AM34" s="437"/>
      <c r="AN34" s="366" t="n">
        <f aca="false">64*(W33*1.9835+X34*1.9835+AM34*1.9835)/E34</f>
        <v>7.73142769618023</v>
      </c>
      <c r="AO34" s="438" t="n">
        <v>24.5</v>
      </c>
      <c r="AP34" s="8"/>
    </row>
    <row r="35" customFormat="false" ht="12.95" hidden="false" customHeight="true" outlineLevel="0" collapsed="false">
      <c r="A35" s="15" t="n">
        <f aca="false">A34+1</f>
        <v>24</v>
      </c>
      <c r="B35" s="439" t="n">
        <v>6910.44</v>
      </c>
      <c r="C35" s="94" t="n">
        <v>323752</v>
      </c>
      <c r="D35" s="99" t="n">
        <f aca="false">C35-C34</f>
        <v>-1445</v>
      </c>
      <c r="E35" s="94" t="n">
        <f aca="false">C35-152000</f>
        <v>171752</v>
      </c>
      <c r="F35" s="444" t="n">
        <f aca="false">D35/$D$2</f>
        <v>-728.510209226115</v>
      </c>
      <c r="G35" s="128" t="n">
        <v>184</v>
      </c>
      <c r="H35" s="101" t="n">
        <v>0.08</v>
      </c>
      <c r="I35" s="128" t="n">
        <f aca="false">G35+H35</f>
        <v>184.08</v>
      </c>
      <c r="J35" s="446" t="n">
        <f aca="false">IF(L35&gt;0,L35,0)</f>
        <v>0</v>
      </c>
      <c r="K35" s="128" t="n">
        <f aca="false">I35+J35</f>
        <v>184.08</v>
      </c>
      <c r="L35" s="128" t="n">
        <f aca="false">F35-(I35-AE35)</f>
        <v>-100.590209226115</v>
      </c>
      <c r="M35" s="129" t="n">
        <v>313</v>
      </c>
      <c r="N35" s="126" t="n">
        <f aca="false">1.8299*1.03</f>
        <v>1.884797</v>
      </c>
      <c r="O35" s="451" t="n">
        <f aca="false">(33.08+35.19)*1.05</f>
        <v>71.6835</v>
      </c>
      <c r="P35" s="451"/>
      <c r="Q35" s="366" t="n">
        <f aca="false">2.63*1.02</f>
        <v>2.6826</v>
      </c>
      <c r="R35" s="366" t="n">
        <v>4.2</v>
      </c>
      <c r="S35" s="367" t="n">
        <v>5.32</v>
      </c>
      <c r="T35" s="128" t="n">
        <v>152</v>
      </c>
      <c r="U35" s="128" t="n">
        <v>82</v>
      </c>
      <c r="V35" s="265" t="n">
        <f aca="false">M35-N35-O35-Q35-R35-S35+T35+U35-AP35</f>
        <v>461.229103</v>
      </c>
      <c r="W35" s="105" t="n">
        <f aca="false">W34-V35-(AN35/1.9835)</f>
        <v>7729.99679267462</v>
      </c>
      <c r="X35" s="105" t="n">
        <f aca="false">X34+AO35</f>
        <v>1922.5</v>
      </c>
      <c r="Y35" s="105"/>
      <c r="Z35" s="128" t="n">
        <v>196</v>
      </c>
      <c r="AA35" s="129" t="n">
        <v>1.7</v>
      </c>
      <c r="AB35" s="130" t="n">
        <v>1.3</v>
      </c>
      <c r="AC35" s="448" t="n">
        <v>69</v>
      </c>
      <c r="AD35" s="449" t="n">
        <f aca="false">AD34-AC35</f>
        <v>11404.2578774893</v>
      </c>
      <c r="AE35" s="128" t="n">
        <f aca="false">N35+O35+Q35+R35+S35+V35+Z35+AC35</f>
        <v>812</v>
      </c>
      <c r="AF35" s="128" t="n">
        <f aca="false">IF(L35&lt;0,L35*-1,0)</f>
        <v>100.590209226115</v>
      </c>
      <c r="AG35" s="128" t="n">
        <f aca="false">AE35+AF35</f>
        <v>912.590209226116</v>
      </c>
      <c r="AH35" s="98" t="n">
        <v>0</v>
      </c>
      <c r="AI35" s="99" t="n">
        <v>88</v>
      </c>
      <c r="AJ35" s="100" t="n">
        <v>55</v>
      </c>
      <c r="AK35" s="437" t="n">
        <f aca="false">AK34</f>
        <v>15698.7543455</v>
      </c>
      <c r="AL35" s="437"/>
      <c r="AM35" s="437"/>
      <c r="AN35" s="366" t="n">
        <f aca="false">64*(W34*1.9835+X35*1.9835+AM35*1.9835)/E35</f>
        <v>7.47796479719328</v>
      </c>
      <c r="AO35" s="438" t="n">
        <v>24.5</v>
      </c>
      <c r="AP35" s="8"/>
    </row>
    <row r="36" customFormat="false" ht="12.95" hidden="false" customHeight="true" outlineLevel="0" collapsed="false">
      <c r="A36" s="15" t="n">
        <f aca="false">A35+1</f>
        <v>25</v>
      </c>
      <c r="B36" s="439" t="n">
        <v>6910.07</v>
      </c>
      <c r="C36" s="94" t="n">
        <v>322267</v>
      </c>
      <c r="D36" s="99" t="n">
        <f aca="false">C36-C35</f>
        <v>-1485</v>
      </c>
      <c r="E36" s="94" t="n">
        <f aca="false">C36-152000</f>
        <v>170267</v>
      </c>
      <c r="F36" s="444" t="n">
        <f aca="false">D36/$D$2</f>
        <v>-748.676581799849</v>
      </c>
      <c r="G36" s="128" t="n">
        <v>174</v>
      </c>
      <c r="H36" s="101" t="n">
        <v>0.07</v>
      </c>
      <c r="I36" s="128" t="n">
        <f aca="false">G36+H36</f>
        <v>174.07</v>
      </c>
      <c r="J36" s="446" t="n">
        <f aca="false">IF(L36&gt;0,L36,0)</f>
        <v>0</v>
      </c>
      <c r="K36" s="128" t="n">
        <f aca="false">I36+J36</f>
        <v>174.07</v>
      </c>
      <c r="L36" s="128" t="n">
        <f aca="false">F36-(I36-AE36)</f>
        <v>-115.746581799849</v>
      </c>
      <c r="M36" s="129" t="n">
        <v>323</v>
      </c>
      <c r="N36" s="126" t="n">
        <f aca="false">1.8299*1.03</f>
        <v>1.884797</v>
      </c>
      <c r="O36" s="451" t="n">
        <f aca="false">(35.11+37.69)*1.05</f>
        <v>76.44</v>
      </c>
      <c r="P36" s="451"/>
      <c r="Q36" s="366" t="n">
        <f aca="false">2.63*1.02</f>
        <v>2.6826</v>
      </c>
      <c r="R36" s="366" t="n">
        <v>4.2</v>
      </c>
      <c r="S36" s="367" t="n">
        <v>5.03</v>
      </c>
      <c r="T36" s="128" t="n">
        <v>156</v>
      </c>
      <c r="U36" s="128" t="n">
        <v>82</v>
      </c>
      <c r="V36" s="265" t="n">
        <f aca="false">M36-N36-O36-Q36-R36-S36+T36+U36-AP36</f>
        <v>470.762603</v>
      </c>
      <c r="W36" s="105" t="n">
        <f aca="false">W35-V36-(AN36/1.9835)</f>
        <v>7255.59679784455</v>
      </c>
      <c r="X36" s="105" t="n">
        <f aca="false">X35+AO36</f>
        <v>1947</v>
      </c>
      <c r="Y36" s="105"/>
      <c r="Z36" s="128" t="n">
        <v>178</v>
      </c>
      <c r="AA36" s="129" t="n">
        <v>1.7</v>
      </c>
      <c r="AB36" s="130" t="n">
        <v>1.3</v>
      </c>
      <c r="AC36" s="448" t="n">
        <v>68</v>
      </c>
      <c r="AD36" s="449" t="n">
        <f aca="false">AD35-AC36</f>
        <v>11336.2578774893</v>
      </c>
      <c r="AE36" s="128" t="n">
        <f aca="false">N36+O36+Q36+R36+S36+V36+Z36+AC36</f>
        <v>807</v>
      </c>
      <c r="AF36" s="128" t="n">
        <f aca="false">IF(L36&lt;0,L36*-1,0)</f>
        <v>115.746581799849</v>
      </c>
      <c r="AG36" s="128" t="n">
        <f aca="false">AE36+AF36</f>
        <v>922.746581799849</v>
      </c>
      <c r="AH36" s="98" t="n">
        <v>0</v>
      </c>
      <c r="AI36" s="99" t="n">
        <v>88</v>
      </c>
      <c r="AJ36" s="100" t="n">
        <v>57</v>
      </c>
      <c r="AK36" s="437" t="n">
        <f aca="false">AK35</f>
        <v>15698.7543455</v>
      </c>
      <c r="AL36" s="437"/>
      <c r="AM36" s="437"/>
      <c r="AN36" s="366" t="n">
        <f aca="false">64*(W35*1.9835+X36*1.9835+AM36*1.9835)/E36</f>
        <v>7.21476669495138</v>
      </c>
      <c r="AO36" s="438" t="n">
        <v>24.5</v>
      </c>
      <c r="AP36" s="8"/>
    </row>
    <row r="37" customFormat="false" ht="12.95" hidden="false" customHeight="true" outlineLevel="0" collapsed="false">
      <c r="A37" s="15" t="n">
        <f aca="false">A36+1</f>
        <v>26</v>
      </c>
      <c r="B37" s="439" t="n">
        <v>6909.66</v>
      </c>
      <c r="C37" s="94" t="n">
        <v>320633</v>
      </c>
      <c r="D37" s="99" t="n">
        <f aca="false">C37-C36</f>
        <v>-1634</v>
      </c>
      <c r="E37" s="94" t="n">
        <f aca="false">C37-152000</f>
        <v>168633</v>
      </c>
      <c r="F37" s="444" t="n">
        <f aca="false">D37/$D$2</f>
        <v>-823.796319637005</v>
      </c>
      <c r="G37" s="128" t="n">
        <v>167</v>
      </c>
      <c r="H37" s="101" t="n">
        <v>0.07</v>
      </c>
      <c r="I37" s="128" t="n">
        <f aca="false">G37+H37</f>
        <v>167.07</v>
      </c>
      <c r="J37" s="446" t="n">
        <f aca="false">IF(L37&gt;0,L37,0)</f>
        <v>0</v>
      </c>
      <c r="K37" s="128" t="n">
        <f aca="false">I37+J37</f>
        <v>167.07</v>
      </c>
      <c r="L37" s="128" t="n">
        <f aca="false">F37-(I37-AE37)</f>
        <v>-148.866319637005</v>
      </c>
      <c r="M37" s="129" t="n">
        <v>304</v>
      </c>
      <c r="N37" s="126" t="n">
        <f aca="false">1.8299*1.03</f>
        <v>1.884797</v>
      </c>
      <c r="O37" s="101" t="n">
        <f aca="false">(36.08+37.27)*1.05</f>
        <v>77.0175</v>
      </c>
      <c r="P37" s="101"/>
      <c r="Q37" s="366" t="n">
        <f aca="false">2.63*1.02</f>
        <v>2.6826</v>
      </c>
      <c r="R37" s="366" t="n">
        <v>4.2</v>
      </c>
      <c r="S37" s="367" t="n">
        <v>5.69</v>
      </c>
      <c r="T37" s="128" t="n">
        <v>157</v>
      </c>
      <c r="U37" s="128" t="n">
        <v>82</v>
      </c>
      <c r="V37" s="265" t="n">
        <f aca="false">M37-N37-O37-Q37-R37-S37+T37+U37-AP37</f>
        <v>451.525103</v>
      </c>
      <c r="W37" s="105" t="n">
        <f aca="false">W36-V37-(AN37/1.9835)</f>
        <v>6800.5698049709</v>
      </c>
      <c r="X37" s="105" t="n">
        <f aca="false">X36+AO37</f>
        <v>1971.5</v>
      </c>
      <c r="Y37" s="105"/>
      <c r="Z37" s="505" t="n">
        <v>231</v>
      </c>
      <c r="AA37" s="129" t="n">
        <v>1.7</v>
      </c>
      <c r="AB37" s="130" t="n">
        <v>1.3</v>
      </c>
      <c r="AC37" s="448" t="n">
        <v>68</v>
      </c>
      <c r="AD37" s="449" t="n">
        <f aca="false">AD36-AC37</f>
        <v>11268.2578774893</v>
      </c>
      <c r="AE37" s="128" t="n">
        <f aca="false">N37+O37+Q37+R37+S37+V37+Z37+AC37</f>
        <v>842</v>
      </c>
      <c r="AF37" s="128" t="n">
        <f aca="false">IF(L37&lt;0,L37*-1,0)</f>
        <v>148.866319637005</v>
      </c>
      <c r="AG37" s="128" t="n">
        <f aca="false">AE37+AF37</f>
        <v>990.866319637005</v>
      </c>
      <c r="AH37" s="98" t="n">
        <v>0</v>
      </c>
      <c r="AI37" s="99" t="n">
        <v>79</v>
      </c>
      <c r="AJ37" s="100" t="n">
        <v>55</v>
      </c>
      <c r="AK37" s="437" t="n">
        <f aca="false">AK36</f>
        <v>15698.7543455</v>
      </c>
      <c r="AL37" s="437"/>
      <c r="AM37" s="437"/>
      <c r="AN37" s="366" t="n">
        <f aca="false">64*(W36*1.9835+X37*1.9835+AM37*1.9835)/E37</f>
        <v>6.94599856437102</v>
      </c>
      <c r="AO37" s="438" t="n">
        <v>24.5</v>
      </c>
      <c r="AP37" s="3"/>
    </row>
    <row r="38" customFormat="false" ht="12.95" hidden="false" customHeight="true" outlineLevel="0" collapsed="false">
      <c r="A38" s="15" t="n">
        <f aca="false">A37+1</f>
        <v>27</v>
      </c>
      <c r="B38" s="439" t="n">
        <v>6909.24</v>
      </c>
      <c r="C38" s="94" t="n">
        <v>318961</v>
      </c>
      <c r="D38" s="99" t="n">
        <f aca="false">C38-C37</f>
        <v>-1672</v>
      </c>
      <c r="E38" s="94" t="n">
        <f aca="false">C38-152000</f>
        <v>166961</v>
      </c>
      <c r="F38" s="444" t="n">
        <f aca="false">D38/$D$2</f>
        <v>-842.954373582052</v>
      </c>
      <c r="G38" s="128" t="n">
        <v>171</v>
      </c>
      <c r="H38" s="101" t="n">
        <v>0.1</v>
      </c>
      <c r="I38" s="128" t="n">
        <f aca="false">G38+H38</f>
        <v>171.1</v>
      </c>
      <c r="J38" s="446" t="n">
        <f aca="false">IF(L38&gt;0,L38,0)</f>
        <v>0</v>
      </c>
      <c r="K38" s="128" t="n">
        <f aca="false">I38+J38</f>
        <v>171.1</v>
      </c>
      <c r="L38" s="128" t="n">
        <f aca="false">F38-(I38-AE38)</f>
        <v>-157.054373582052</v>
      </c>
      <c r="M38" s="129" t="n">
        <v>316</v>
      </c>
      <c r="N38" s="126" t="n">
        <f aca="false">1.8299*1.03</f>
        <v>1.884797</v>
      </c>
      <c r="O38" s="451" t="n">
        <f aca="false">(35.04+35.12)*1.05</f>
        <v>73.668</v>
      </c>
      <c r="P38" s="451"/>
      <c r="Q38" s="366" t="n">
        <f aca="false">2.63*1.02</f>
        <v>2.6826</v>
      </c>
      <c r="R38" s="366" t="n">
        <v>4.2</v>
      </c>
      <c r="S38" s="367" t="n">
        <v>4.88</v>
      </c>
      <c r="T38" s="128" t="n">
        <v>165</v>
      </c>
      <c r="U38" s="128" t="n">
        <v>82</v>
      </c>
      <c r="V38" s="265" t="n">
        <f aca="false">M38-N38-O38-Q38-R38-S38+T38+U38-AP38</f>
        <v>475.684603</v>
      </c>
      <c r="W38" s="105" t="n">
        <f aca="false">W37-V38-(AN38/1.9835)</f>
        <v>6321.51327399061</v>
      </c>
      <c r="X38" s="105" t="n">
        <f aca="false">X37+AO38</f>
        <v>1996</v>
      </c>
      <c r="Y38" s="105"/>
      <c r="Z38" s="128" t="n">
        <v>226</v>
      </c>
      <c r="AA38" s="129" t="n">
        <v>1.7</v>
      </c>
      <c r="AB38" s="130" t="n">
        <v>1.3</v>
      </c>
      <c r="AC38" s="448" t="n">
        <v>68</v>
      </c>
      <c r="AD38" s="449" t="n">
        <f aca="false">AD37-AC38</f>
        <v>11200.2578774893</v>
      </c>
      <c r="AE38" s="128" t="n">
        <f aca="false">N38+O38+Q38+R38+S38+V38+Z38+AC38</f>
        <v>857</v>
      </c>
      <c r="AF38" s="128" t="n">
        <f aca="false">IF(L38&lt;0,L38*-1,0)</f>
        <v>157.054373582052</v>
      </c>
      <c r="AG38" s="128" t="n">
        <f aca="false">AE38+AF38</f>
        <v>1014.05437358205</v>
      </c>
      <c r="AH38" s="98" t="n">
        <v>0</v>
      </c>
      <c r="AI38" s="99" t="n">
        <v>83</v>
      </c>
      <c r="AJ38" s="100" t="n">
        <v>48</v>
      </c>
      <c r="AK38" s="437" t="n">
        <f aca="false">AK37</f>
        <v>15698.7543455</v>
      </c>
      <c r="AL38" s="437"/>
      <c r="AM38" s="437"/>
      <c r="AN38" s="366" t="n">
        <f aca="false">64*(W37*1.9835+X38*1.9835+AM38*1.9835)/E38</f>
        <v>6.68821914891637</v>
      </c>
      <c r="AO38" s="438" t="n">
        <v>24.5</v>
      </c>
      <c r="AP38" s="8"/>
    </row>
    <row r="39" customFormat="false" ht="12.95" hidden="false" customHeight="true" outlineLevel="0" collapsed="false">
      <c r="A39" s="15" t="n">
        <f aca="false">A38+1</f>
        <v>28</v>
      </c>
      <c r="B39" s="439" t="n">
        <v>6908.83</v>
      </c>
      <c r="C39" s="94" t="n">
        <v>317334</v>
      </c>
      <c r="D39" s="99" t="n">
        <f aca="false">C39-C38</f>
        <v>-1627</v>
      </c>
      <c r="E39" s="94" t="n">
        <f aca="false">C39-152000</f>
        <v>165334</v>
      </c>
      <c r="F39" s="444" t="n">
        <f aca="false">D39/$D$2</f>
        <v>-820.267204436602</v>
      </c>
      <c r="G39" s="128" t="n">
        <v>169</v>
      </c>
      <c r="H39" s="101" t="n">
        <v>0.11</v>
      </c>
      <c r="I39" s="128" t="n">
        <f aca="false">G39+H39</f>
        <v>169.11</v>
      </c>
      <c r="J39" s="446" t="n">
        <f aca="false">IF(L39&gt;0,L39,0)</f>
        <v>0</v>
      </c>
      <c r="K39" s="128" t="n">
        <f aca="false">I39+J39</f>
        <v>169.11</v>
      </c>
      <c r="L39" s="128" t="n">
        <f aca="false">F39-(I39-AE39)</f>
        <v>-101.377204436602</v>
      </c>
      <c r="M39" s="129" t="n">
        <v>328</v>
      </c>
      <c r="N39" s="126" t="n">
        <f aca="false">1.8299*1.03</f>
        <v>1.884797</v>
      </c>
      <c r="O39" s="451" t="n">
        <f aca="false">(37.92+39.05)*1.05</f>
        <v>80.8185</v>
      </c>
      <c r="P39" s="451"/>
      <c r="Q39" s="366" t="n">
        <f aca="false">2.63*1.02</f>
        <v>2.6826</v>
      </c>
      <c r="R39" s="366" t="n">
        <v>4.2</v>
      </c>
      <c r="S39" s="367" t="n">
        <v>2.13</v>
      </c>
      <c r="T39" s="128" t="n">
        <v>168</v>
      </c>
      <c r="U39" s="128" t="n">
        <v>81</v>
      </c>
      <c r="V39" s="265" t="n">
        <f aca="false">M39-N39-O39-Q39-R39-S39+T39+U39-AP39</f>
        <v>485.284103</v>
      </c>
      <c r="W39" s="105" t="n">
        <f aca="false">W38-V39-(AN39/1.9835)</f>
        <v>5833.00001758275</v>
      </c>
      <c r="X39" s="105" t="n">
        <f aca="false">X38+AO39</f>
        <v>2020.5</v>
      </c>
      <c r="Y39" s="105"/>
      <c r="Z39" s="128" t="n">
        <v>243</v>
      </c>
      <c r="AA39" s="129" t="n">
        <v>1.7</v>
      </c>
      <c r="AB39" s="130" t="n">
        <v>1.3</v>
      </c>
      <c r="AC39" s="448" t="n">
        <v>68</v>
      </c>
      <c r="AD39" s="449" t="n">
        <f aca="false">AD38-AC39</f>
        <v>11132.2578774893</v>
      </c>
      <c r="AE39" s="128" t="n">
        <f aca="false">N39+O39+Q39+R39+S39+V39+Z39+AC39</f>
        <v>888</v>
      </c>
      <c r="AF39" s="128" t="n">
        <f aca="false">IF(L39&lt;0,L39*-1,0)</f>
        <v>101.377204436602</v>
      </c>
      <c r="AG39" s="128" t="n">
        <f aca="false">AE39+AF39</f>
        <v>989.377204436602</v>
      </c>
      <c r="AH39" s="98" t="n">
        <v>0</v>
      </c>
      <c r="AI39" s="99" t="n">
        <v>83</v>
      </c>
      <c r="AJ39" s="100" t="n">
        <v>53</v>
      </c>
      <c r="AK39" s="437" t="n">
        <f aca="false">AK38</f>
        <v>15698.7543455</v>
      </c>
      <c r="AL39" s="437"/>
      <c r="AM39" s="437"/>
      <c r="AN39" s="366" t="n">
        <f aca="false">64*(W38*1.9835+X39*1.9835+AM39*1.9835)/E39</f>
        <v>6.40502578449359</v>
      </c>
      <c r="AO39" s="438" t="n">
        <v>24.5</v>
      </c>
      <c r="AP39" s="8"/>
    </row>
    <row r="40" customFormat="false" ht="12.95" hidden="false" customHeight="true" outlineLevel="0" collapsed="false">
      <c r="A40" s="15" t="n">
        <f aca="false">A39+1</f>
        <v>29</v>
      </c>
      <c r="B40" s="439" t="n">
        <v>6908.41</v>
      </c>
      <c r="C40" s="94" t="n">
        <v>315675</v>
      </c>
      <c r="D40" s="99" t="n">
        <f aca="false">C40-C39</f>
        <v>-1659</v>
      </c>
      <c r="E40" s="94" t="n">
        <f aca="false">C40-152000</f>
        <v>163675</v>
      </c>
      <c r="F40" s="444" t="n">
        <f aca="false">D40/$D$2</f>
        <v>-836.400302495589</v>
      </c>
      <c r="G40" s="128" t="n">
        <v>168</v>
      </c>
      <c r="H40" s="101" t="n">
        <v>0.13</v>
      </c>
      <c r="I40" s="128" t="n">
        <f aca="false">G40+H40</f>
        <v>168.13</v>
      </c>
      <c r="J40" s="446" t="n">
        <f aca="false">IF(L40&gt;0,L40,0)</f>
        <v>0</v>
      </c>
      <c r="K40" s="128" t="n">
        <f aca="false">I40+J40</f>
        <v>168.13</v>
      </c>
      <c r="L40" s="128" t="n">
        <f aca="false">F40-(I40-AE40)</f>
        <v>-116.530302495589</v>
      </c>
      <c r="M40" s="129" t="n">
        <v>331</v>
      </c>
      <c r="N40" s="126" t="n">
        <f aca="false">1.8299*1.03</f>
        <v>1.884797</v>
      </c>
      <c r="O40" s="451" t="n">
        <f aca="false">(41.37+40.8)*1.05</f>
        <v>86.2785</v>
      </c>
      <c r="P40" s="451"/>
      <c r="Q40" s="366" t="n">
        <f aca="false">2.63*1.02</f>
        <v>2.6826</v>
      </c>
      <c r="R40" s="366" t="n">
        <v>4.2</v>
      </c>
      <c r="S40" s="367" t="n">
        <v>4.62</v>
      </c>
      <c r="T40" s="128" t="n">
        <v>168</v>
      </c>
      <c r="U40" s="128" t="n">
        <v>82</v>
      </c>
      <c r="V40" s="265" t="n">
        <f aca="false">M40-N40-O40-Q40-R40-S40+T40+U40-AP40</f>
        <v>481.334103</v>
      </c>
      <c r="W40" s="105" t="n">
        <f aca="false">W39-V40-(AN40/1.9835)</f>
        <v>5348.58546857007</v>
      </c>
      <c r="X40" s="105" t="n">
        <f aca="false">X39+AO40</f>
        <v>2045</v>
      </c>
      <c r="Y40" s="105"/>
      <c r="Z40" s="128" t="n">
        <v>239</v>
      </c>
      <c r="AA40" s="129" t="n">
        <v>1.7</v>
      </c>
      <c r="AB40" s="130" t="n">
        <v>1.3</v>
      </c>
      <c r="AC40" s="448" t="n">
        <v>68</v>
      </c>
      <c r="AD40" s="449" t="n">
        <f aca="false">AD39-AC40</f>
        <v>11064.2578774893</v>
      </c>
      <c r="AE40" s="128" t="n">
        <f aca="false">N40+O40+Q40+R40+S40+V40+Z40+AC40</f>
        <v>888</v>
      </c>
      <c r="AF40" s="128" t="n">
        <f aca="false">IF(L40&lt;0,L40*-1,0)</f>
        <v>116.530302495589</v>
      </c>
      <c r="AG40" s="128" t="n">
        <f aca="false">AE40+AF40</f>
        <v>1004.53030249559</v>
      </c>
      <c r="AH40" s="98" t="n">
        <v>0</v>
      </c>
      <c r="AI40" s="99" t="n">
        <v>85</v>
      </c>
      <c r="AJ40" s="100" t="n">
        <v>52</v>
      </c>
      <c r="AK40" s="437" t="n">
        <f aca="false">AK39</f>
        <v>15698.7543455</v>
      </c>
      <c r="AL40" s="437"/>
      <c r="AM40" s="437"/>
      <c r="AN40" s="366" t="n">
        <f aca="false">64*(W39*1.9835+X40*1.9835+AM40*1.9835)/E40</f>
        <v>6.11006466614953</v>
      </c>
      <c r="AO40" s="438" t="n">
        <v>24.5</v>
      </c>
      <c r="AP40" s="8"/>
    </row>
    <row r="41" customFormat="false" ht="12.95" hidden="false" customHeight="true" outlineLevel="0" collapsed="false">
      <c r="A41" s="15" t="n">
        <v>30</v>
      </c>
      <c r="B41" s="439" t="n">
        <v>6907.99</v>
      </c>
      <c r="C41" s="94" t="n">
        <v>314017</v>
      </c>
      <c r="D41" s="99" t="n">
        <f aca="false">C41-C40</f>
        <v>-1658</v>
      </c>
      <c r="E41" s="94" t="n">
        <f aca="false">C41-152000</f>
        <v>162017</v>
      </c>
      <c r="F41" s="444" t="n">
        <f aca="false">D41/$D$2</f>
        <v>-835.896143181245</v>
      </c>
      <c r="G41" s="128" t="n">
        <v>153</v>
      </c>
      <c r="H41" s="101" t="n">
        <v>0.13</v>
      </c>
      <c r="I41" s="128" t="n">
        <f aca="false">G41+H41</f>
        <v>153.13</v>
      </c>
      <c r="J41" s="446" t="n">
        <f aca="false">IF(L41&gt;0,L41,0)</f>
        <v>0</v>
      </c>
      <c r="K41" s="128" t="n">
        <f aca="false">I41+J41</f>
        <v>153.13</v>
      </c>
      <c r="L41" s="128" t="n">
        <f aca="false">F41-(I41-AE41)</f>
        <v>-70.0261431812453</v>
      </c>
      <c r="M41" s="129" t="n">
        <v>330</v>
      </c>
      <c r="N41" s="126" t="n">
        <f aca="false">1.8299*1.03</f>
        <v>1.884797</v>
      </c>
      <c r="O41" s="451" t="n">
        <f aca="false">(38.72+39.31)*1.05</f>
        <v>81.9315</v>
      </c>
      <c r="P41" s="451"/>
      <c r="Q41" s="366" t="n">
        <f aca="false">2.63*1.02</f>
        <v>2.6826</v>
      </c>
      <c r="R41" s="366" t="n">
        <v>4.2</v>
      </c>
      <c r="S41" s="367" t="n">
        <v>7.13</v>
      </c>
      <c r="T41" s="128" t="n">
        <v>168</v>
      </c>
      <c r="U41" s="128" t="n">
        <v>82</v>
      </c>
      <c r="V41" s="265" t="n">
        <f aca="false">M41-N41-O41-Q41-R41-S41+T41+U41-AP41</f>
        <v>482.171103</v>
      </c>
      <c r="W41" s="105" t="n">
        <f aca="false">W40-V41-(AN41/1.9835)</f>
        <v>4863.48407140348</v>
      </c>
      <c r="X41" s="105" t="n">
        <f aca="false">X40+AO41</f>
        <v>2069.5</v>
      </c>
      <c r="Y41" s="105"/>
      <c r="Z41" s="128" t="n">
        <v>271</v>
      </c>
      <c r="AA41" s="129" t="n">
        <v>1.7</v>
      </c>
      <c r="AB41" s="130" t="n">
        <v>1.3</v>
      </c>
      <c r="AC41" s="448" t="n">
        <v>68</v>
      </c>
      <c r="AD41" s="449" t="n">
        <f aca="false">AD40-AC41</f>
        <v>10996.2578774893</v>
      </c>
      <c r="AE41" s="128" t="n">
        <f aca="false">N41+O41+Q41+R41+S41+V41+Z41+AC41</f>
        <v>919</v>
      </c>
      <c r="AF41" s="128" t="n">
        <f aca="false">IF(L41&lt;0,L41*-1,0)</f>
        <v>70.0261431812453</v>
      </c>
      <c r="AG41" s="128" t="n">
        <f aca="false">AE41+AF41</f>
        <v>989.026143181245</v>
      </c>
      <c r="AH41" s="98" t="n">
        <v>0</v>
      </c>
      <c r="AI41" s="99" t="n">
        <v>90</v>
      </c>
      <c r="AJ41" s="100" t="n">
        <v>54</v>
      </c>
      <c r="AK41" s="437" t="n">
        <f aca="false">AK40</f>
        <v>15698.7543455</v>
      </c>
      <c r="AL41" s="437"/>
      <c r="AM41" s="437"/>
      <c r="AN41" s="366" t="n">
        <f aca="false">64*(W40*1.9835+X41*1.9835+AM41*1.9835)/E41</f>
        <v>5.81223847943215</v>
      </c>
      <c r="AO41" s="438" t="n">
        <v>24.5</v>
      </c>
      <c r="AP41" s="8"/>
    </row>
    <row r="42" customFormat="false" ht="3" hidden="false" customHeight="true" outlineLevel="0" collapsed="false">
      <c r="A42" s="106"/>
      <c r="B42" s="450"/>
      <c r="C42" s="114"/>
      <c r="D42" s="112"/>
      <c r="E42" s="114"/>
      <c r="F42" s="441"/>
      <c r="G42" s="112"/>
      <c r="H42" s="119"/>
      <c r="I42" s="112"/>
      <c r="J42" s="112"/>
      <c r="K42" s="112"/>
      <c r="L42" s="112"/>
      <c r="M42" s="115"/>
      <c r="N42" s="112"/>
      <c r="O42" s="119"/>
      <c r="P42" s="119"/>
      <c r="Q42" s="119"/>
      <c r="R42" s="119"/>
      <c r="S42" s="113"/>
      <c r="T42" s="112"/>
      <c r="U42" s="112"/>
      <c r="V42" s="112"/>
      <c r="W42" s="114"/>
      <c r="X42" s="114"/>
      <c r="Y42" s="114"/>
      <c r="Z42" s="112"/>
      <c r="AA42" s="115"/>
      <c r="AB42" s="113"/>
      <c r="AC42" s="112"/>
      <c r="AD42" s="112"/>
      <c r="AE42" s="112"/>
      <c r="AF42" s="112"/>
      <c r="AG42" s="112"/>
      <c r="AH42" s="116"/>
      <c r="AI42" s="117"/>
      <c r="AJ42" s="118"/>
      <c r="AK42" s="117"/>
      <c r="AL42" s="117"/>
      <c r="AM42" s="117"/>
      <c r="AN42" s="475"/>
      <c r="AO42" s="475"/>
      <c r="AP42" s="262"/>
    </row>
    <row r="43" customFormat="false" ht="12.95" hidden="false" customHeight="true" outlineLevel="0" collapsed="false">
      <c r="A43" s="16" t="s">
        <v>76</v>
      </c>
      <c r="B43" s="436"/>
      <c r="C43" s="94"/>
      <c r="D43" s="94"/>
      <c r="E43" s="94"/>
      <c r="F43" s="136" t="n">
        <f aca="false">SUM(F12:F41)</f>
        <v>-15558.3564406352</v>
      </c>
      <c r="G43" s="96" t="n">
        <f aca="false">SUM(G12:G41)</f>
        <v>10533</v>
      </c>
      <c r="H43" s="437" t="n">
        <f aca="false">SUM(H12:H41)</f>
        <v>3.26</v>
      </c>
      <c r="I43" s="96" t="n">
        <f aca="false">SUM(I12:I41)</f>
        <v>10536.26</v>
      </c>
      <c r="J43" s="96" t="n">
        <f aca="false">SUM(J12:J41)</f>
        <v>43.0933526594404</v>
      </c>
      <c r="K43" s="96" t="n">
        <f aca="false">SUM(K12:K41)</f>
        <v>10579.3533526594</v>
      </c>
      <c r="L43" s="96" t="n">
        <f aca="false">SUM(L12:L41)</f>
        <v>-2868.61644063524</v>
      </c>
      <c r="M43" s="97" t="n">
        <f aca="false">SUM(M12:M41)</f>
        <v>8873</v>
      </c>
      <c r="N43" s="94" t="n">
        <f aca="false">SUM(N12:N41)</f>
        <v>56.54391</v>
      </c>
      <c r="O43" s="99" t="n">
        <f aca="false">SUM(O12:O41)</f>
        <v>2395.176</v>
      </c>
      <c r="P43" s="99" t="n">
        <f aca="false">SUM(P12:P41)</f>
        <v>0</v>
      </c>
      <c r="Q43" s="99" t="n">
        <f aca="false">SUM(Q12:Q41)</f>
        <v>80.478</v>
      </c>
      <c r="R43" s="99" t="n">
        <f aca="false">SUM(R12:R41)</f>
        <v>126</v>
      </c>
      <c r="S43" s="506" t="n">
        <f aca="false">SUM(S12:S41)</f>
        <v>138.22</v>
      </c>
      <c r="T43" s="96" t="n">
        <f aca="false">SUM(T12:T41)</f>
        <v>4817</v>
      </c>
      <c r="U43" s="96" t="n">
        <f aca="false">SUM(U12:U41)</f>
        <v>2387</v>
      </c>
      <c r="V43" s="96" t="n">
        <f aca="false">SUM(V12:V41)</f>
        <v>13280.58209</v>
      </c>
      <c r="W43" s="96"/>
      <c r="X43" s="96"/>
      <c r="Y43" s="96"/>
      <c r="Z43" s="96" t="n">
        <f aca="false">SUM(Z12:Z41)</f>
        <v>5029</v>
      </c>
      <c r="AA43" s="96" t="n">
        <f aca="false">SUM(AA12:AA41)</f>
        <v>51</v>
      </c>
      <c r="AB43" s="96" t="n">
        <f aca="false">SUM(AB12:AB41)</f>
        <v>39</v>
      </c>
      <c r="AC43" s="96" t="n">
        <f aca="false">SUM(AC12:AC41)</f>
        <v>2120</v>
      </c>
      <c r="AD43" s="96"/>
      <c r="AE43" s="96" t="n">
        <f aca="false">SUM(AE12:AE41)</f>
        <v>23226</v>
      </c>
      <c r="AF43" s="96" t="n">
        <f aca="false">SUM(AF12:AF41)</f>
        <v>2911.70979329468</v>
      </c>
      <c r="AG43" s="96" t="n">
        <f aca="false">SUM(AG12:AG41)</f>
        <v>26137.7097932947</v>
      </c>
      <c r="AH43" s="98" t="n">
        <f aca="false">SUM(AH12:AH41)</f>
        <v>1.12</v>
      </c>
      <c r="AI43" s="99" t="n">
        <f aca="false">AVERAGE(AI12:AI41)</f>
        <v>83.9</v>
      </c>
      <c r="AJ43" s="100" t="n">
        <f aca="false">AVERAGE(AJ12:AJ41)</f>
        <v>51.7333333333333</v>
      </c>
      <c r="AK43" s="437" t="s">
        <v>108</v>
      </c>
      <c r="AL43" s="96" t="n">
        <f aca="false">SUM(AL12:AL41)</f>
        <v>0</v>
      </c>
      <c r="AM43" s="128"/>
      <c r="AN43" s="366"/>
      <c r="AO43" s="438" t="n">
        <f aca="false">SUM(AO12:AO41)</f>
        <v>355.36</v>
      </c>
      <c r="AP43" s="437" t="n">
        <f aca="false">SUM(AP12:AP41)</f>
        <v>0</v>
      </c>
    </row>
    <row r="44" customFormat="false" ht="12.95" hidden="false" customHeight="true" outlineLevel="0" collapsed="false">
      <c r="A44" s="16" t="s">
        <v>78</v>
      </c>
      <c r="B44" s="436"/>
      <c r="C44" s="94"/>
      <c r="D44" s="94" t="n">
        <f aca="false">SUM(D12:D41)</f>
        <v>-30860</v>
      </c>
      <c r="E44" s="94"/>
      <c r="F44" s="136" t="n">
        <f aca="false">F43*$D$2</f>
        <v>-30860</v>
      </c>
      <c r="G44" s="96" t="n">
        <f aca="false">G43*$D$2</f>
        <v>20892.2055</v>
      </c>
      <c r="H44" s="437" t="n">
        <f aca="false">H43*$D$2</f>
        <v>6.46621</v>
      </c>
      <c r="I44" s="96" t="n">
        <f aca="false">I43*$D$2</f>
        <v>20898.67171</v>
      </c>
      <c r="J44" s="96" t="n">
        <f aca="false">J43*$D$2</f>
        <v>85.475665</v>
      </c>
      <c r="K44" s="96" t="n">
        <f aca="false">K43*$D$2</f>
        <v>20984.147375</v>
      </c>
      <c r="L44" s="96" t="n">
        <f aca="false">L43*$D$2</f>
        <v>-5689.90071</v>
      </c>
      <c r="M44" s="97" t="n">
        <f aca="false">M43*$D$2</f>
        <v>17599.5955</v>
      </c>
      <c r="N44" s="94" t="n">
        <f aca="false">N43*$D$2</f>
        <v>112.154845485</v>
      </c>
      <c r="O44" s="99" t="n">
        <f aca="false">O43*$D$2</f>
        <v>4750.831596</v>
      </c>
      <c r="P44" s="99" t="n">
        <f aca="false">P43*$D$2</f>
        <v>0</v>
      </c>
      <c r="Q44" s="99" t="n">
        <f aca="false">Q43*$D$2</f>
        <v>159.628113</v>
      </c>
      <c r="R44" s="99" t="n">
        <f aca="false">R43*$D$2</f>
        <v>249.921</v>
      </c>
      <c r="S44" s="506" t="n">
        <f aca="false">S43*$D$2</f>
        <v>274.15937</v>
      </c>
      <c r="T44" s="96" t="n">
        <f aca="false">T43*$D$2</f>
        <v>9554.5195</v>
      </c>
      <c r="U44" s="96" t="n">
        <f aca="false">U43*$D$2</f>
        <v>4734.6145</v>
      </c>
      <c r="V44" s="96" t="n">
        <f aca="false">V43*$D$2</f>
        <v>26342.034575515</v>
      </c>
      <c r="W44" s="96"/>
      <c r="X44" s="96"/>
      <c r="Y44" s="96"/>
      <c r="Z44" s="96" t="n">
        <f aca="false">Z43*$D$2</f>
        <v>9975.0215</v>
      </c>
      <c r="AA44" s="96" t="n">
        <f aca="false">AA43*$D$2</f>
        <v>101.1585</v>
      </c>
      <c r="AB44" s="96" t="n">
        <f aca="false">AB43*$D$2</f>
        <v>77.3565</v>
      </c>
      <c r="AC44" s="96" t="n">
        <f aca="false">AC43*$D$2</f>
        <v>4205.02</v>
      </c>
      <c r="AD44" s="96"/>
      <c r="AE44" s="96" t="n">
        <f aca="false">AE43*$D$2</f>
        <v>46068.771</v>
      </c>
      <c r="AF44" s="96" t="n">
        <f aca="false">AF43*$D$2</f>
        <v>5775.376375</v>
      </c>
      <c r="AG44" s="96" t="n">
        <f aca="false">AG43*$D$2</f>
        <v>51844.147375</v>
      </c>
      <c r="AH44" s="98"/>
      <c r="AI44" s="99" t="n">
        <f aca="false">MAX(AI12:AI41)</f>
        <v>92</v>
      </c>
      <c r="AJ44" s="100" t="n">
        <f aca="false">MAX(AJ12:AJ41)</f>
        <v>59</v>
      </c>
      <c r="AK44" s="437" t="s">
        <v>79</v>
      </c>
      <c r="AL44" s="96" t="n">
        <f aca="false">AL43*$D$2</f>
        <v>0</v>
      </c>
      <c r="AM44" s="128"/>
      <c r="AN44" s="366" t="n">
        <f aca="false">SUM(AN12:AN41)</f>
        <v>285.16642244201</v>
      </c>
      <c r="AO44" s="366" t="n">
        <f aca="false">AO43*$D$2</f>
        <v>704.85656</v>
      </c>
      <c r="AP44" s="243" t="n">
        <f aca="false">AP43*$D$2</f>
        <v>0</v>
      </c>
    </row>
    <row r="45" customFormat="false" ht="3" hidden="false" customHeight="true" outlineLevel="0" collapsed="false">
      <c r="A45" s="138"/>
      <c r="B45" s="450"/>
      <c r="C45" s="114"/>
      <c r="D45" s="114"/>
      <c r="E45" s="114"/>
      <c r="F45" s="143"/>
      <c r="G45" s="114"/>
      <c r="H45" s="117"/>
      <c r="I45" s="114"/>
      <c r="J45" s="114"/>
      <c r="K45" s="114"/>
      <c r="L45" s="114"/>
      <c r="M45" s="142"/>
      <c r="N45" s="114"/>
      <c r="O45" s="117"/>
      <c r="P45" s="117"/>
      <c r="Q45" s="119"/>
      <c r="R45" s="119"/>
      <c r="S45" s="141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2"/>
      <c r="AE45" s="114"/>
      <c r="AF45" s="114"/>
      <c r="AG45" s="114"/>
      <c r="AH45" s="452"/>
      <c r="AI45" s="114"/>
      <c r="AJ45" s="143"/>
      <c r="AK45" s="114"/>
      <c r="AL45" s="114"/>
      <c r="AM45" s="114"/>
      <c r="AN45" s="475"/>
      <c r="AO45" s="475"/>
      <c r="AP45" s="262"/>
    </row>
    <row r="46" customFormat="false" ht="12.95" hidden="false" customHeight="true" outlineLevel="0" collapsed="false">
      <c r="A46" s="16" t="s">
        <v>80</v>
      </c>
      <c r="B46" s="436"/>
      <c r="C46" s="94"/>
      <c r="D46" s="94"/>
      <c r="E46" s="94"/>
      <c r="F46" s="136" t="n">
        <f aca="false">F9+F43</f>
        <v>11710.1083942526</v>
      </c>
      <c r="G46" s="96" t="n">
        <f aca="false">G9+G43</f>
        <v>63944</v>
      </c>
      <c r="H46" s="437" t="n">
        <f aca="false">H9+H43</f>
        <v>1000.49</v>
      </c>
      <c r="I46" s="96" t="n">
        <f aca="false">I9+I43</f>
        <v>64944.49</v>
      </c>
      <c r="J46" s="96" t="n">
        <f aca="false">J9+J43</f>
        <v>3523.86382218301</v>
      </c>
      <c r="K46" s="96" t="n">
        <f aca="false">K9+K43</f>
        <v>68468.353822183</v>
      </c>
      <c r="L46" s="96" t="n">
        <f aca="false">L9+L43</f>
        <v>-624.246005747416</v>
      </c>
      <c r="M46" s="97" t="n">
        <f aca="false">M9+M43</f>
        <v>21493</v>
      </c>
      <c r="N46" s="94" t="n">
        <f aca="false">N9+N43</f>
        <v>171.243098</v>
      </c>
      <c r="O46" s="99" t="n">
        <f aca="false">O9+O43</f>
        <v>7163.1</v>
      </c>
      <c r="P46" s="99" t="n">
        <f aca="false">P9+P43</f>
        <v>2.2644</v>
      </c>
      <c r="Q46" s="451"/>
      <c r="R46" s="451"/>
      <c r="S46" s="95"/>
      <c r="T46" s="96" t="n">
        <f aca="false">T9+T43</f>
        <v>10718</v>
      </c>
      <c r="U46" s="96" t="n">
        <f aca="false">U9+U43</f>
        <v>4879.8</v>
      </c>
      <c r="V46" s="96" t="n">
        <f aca="false">V9+V43</f>
        <v>29025.154902</v>
      </c>
      <c r="W46" s="507" t="n">
        <f aca="false">W41</f>
        <v>4863.48407140348</v>
      </c>
      <c r="X46" s="507" t="n">
        <f aca="false">X41</f>
        <v>2069.5</v>
      </c>
      <c r="Y46" s="507"/>
      <c r="Z46" s="96" t="n">
        <f aca="false">Z9+Z43</f>
        <v>10486.6</v>
      </c>
      <c r="AA46" s="96" t="n">
        <f aca="false">AA9+AA43</f>
        <v>154.7</v>
      </c>
      <c r="AB46" s="96" t="n">
        <f aca="false">AB9+AB43</f>
        <v>118.3</v>
      </c>
      <c r="AC46" s="96"/>
      <c r="AD46" s="507"/>
      <c r="AE46" s="96" t="n">
        <f aca="false">AE9+AE43</f>
        <v>52610.1356</v>
      </c>
      <c r="AF46" s="96" t="n">
        <f aca="false">AF9+AF43</f>
        <v>4148.10982793043</v>
      </c>
      <c r="AG46" s="96" t="n">
        <f aca="false">AG9+AG43</f>
        <v>56758.2454279304</v>
      </c>
      <c r="AH46" s="98"/>
      <c r="AI46" s="99" t="n">
        <f aca="false">MIN(AI12:AI41)</f>
        <v>70</v>
      </c>
      <c r="AJ46" s="100" t="n">
        <f aca="false">MIN(AJ12:AJ41)</f>
        <v>43</v>
      </c>
      <c r="AK46" s="437" t="s">
        <v>81</v>
      </c>
      <c r="AL46" s="437"/>
      <c r="AM46" s="128"/>
      <c r="AN46" s="366"/>
      <c r="AO46" s="366" t="n">
        <f aca="false">AO9+AO43</f>
        <v>355.36</v>
      </c>
      <c r="AP46" s="366" t="n">
        <f aca="false">AP9+AP43</f>
        <v>0</v>
      </c>
    </row>
    <row r="47" customFormat="false" ht="12.95" hidden="false" customHeight="true" outlineLevel="0" collapsed="false">
      <c r="A47" s="16" t="s">
        <v>82</v>
      </c>
      <c r="B47" s="436"/>
      <c r="C47" s="94"/>
      <c r="D47" s="94"/>
      <c r="E47" s="94"/>
      <c r="F47" s="136" t="n">
        <f aca="false">F46*$D$2</f>
        <v>23227</v>
      </c>
      <c r="G47" s="96" t="n">
        <f aca="false">G46*$D$2</f>
        <v>126832.924</v>
      </c>
      <c r="H47" s="437" t="n">
        <f aca="false">H46*$D$2</f>
        <v>1984.471915</v>
      </c>
      <c r="I47" s="96" t="n">
        <f aca="false">I46*$D$2</f>
        <v>128817.395915</v>
      </c>
      <c r="J47" s="96" t="n">
        <f aca="false">J46*$D$2</f>
        <v>6989.5838913</v>
      </c>
      <c r="K47" s="96" t="n">
        <f aca="false">K46*$D$2</f>
        <v>135806.9798063</v>
      </c>
      <c r="L47" s="96" t="n">
        <f aca="false">L46*$D$2</f>
        <v>-1238.1919524</v>
      </c>
      <c r="M47" s="97" t="n">
        <f aca="false">M46*$D$2</f>
        <v>42631.3655</v>
      </c>
      <c r="N47" s="94" t="n">
        <f aca="false">N46*$D$2</f>
        <v>339.660684883</v>
      </c>
      <c r="O47" s="99" t="n">
        <f aca="false">O46*$D$2</f>
        <v>14208.00885</v>
      </c>
      <c r="P47" s="99" t="n">
        <f aca="false">P46*$D$2</f>
        <v>4.4914374</v>
      </c>
      <c r="Q47" s="451"/>
      <c r="R47" s="451"/>
      <c r="S47" s="95"/>
      <c r="T47" s="96" t="n">
        <f aca="false">T46*$D$2</f>
        <v>21259.153</v>
      </c>
      <c r="U47" s="96" t="n">
        <f aca="false">U46*$D$2</f>
        <v>9679.0833</v>
      </c>
      <c r="V47" s="96" t="n">
        <f aca="false">V46*$D$2</f>
        <v>57571.394748117</v>
      </c>
      <c r="W47" s="96" t="n">
        <f aca="false">W46*$D$2</f>
        <v>9646.7206556288</v>
      </c>
      <c r="X47" s="96" t="n">
        <f aca="false">X46*$D$2</f>
        <v>4104.85325</v>
      </c>
      <c r="Y47" s="96"/>
      <c r="Z47" s="96" t="n">
        <f aca="false">Z46*$D$2</f>
        <v>20800.1711</v>
      </c>
      <c r="AA47" s="96" t="n">
        <f aca="false">AA46*$D$2</f>
        <v>306.84745</v>
      </c>
      <c r="AB47" s="96" t="n">
        <f aca="false">AB46*$D$2</f>
        <v>234.64805</v>
      </c>
      <c r="AC47" s="96"/>
      <c r="AD47" s="96"/>
      <c r="AE47" s="96" t="n">
        <f aca="false">AE46*$D$2</f>
        <v>104352.2039626</v>
      </c>
      <c r="AF47" s="96" t="n">
        <f aca="false">AF46*$D$2</f>
        <v>8227.7758437</v>
      </c>
      <c r="AG47" s="96" t="n">
        <f aca="false">AG46*$D$2</f>
        <v>112579.9798063</v>
      </c>
      <c r="AH47" s="98"/>
      <c r="AI47" s="99"/>
      <c r="AJ47" s="100"/>
      <c r="AK47" s="437"/>
      <c r="AL47" s="437"/>
      <c r="AM47" s="128"/>
      <c r="AN47" s="366" t="n">
        <f aca="false">AN9+AN44</f>
        <v>699.791745504204</v>
      </c>
      <c r="AO47" s="438" t="n">
        <f aca="false">AO46*$D$2</f>
        <v>704.85656</v>
      </c>
      <c r="AP47" s="437" t="n">
        <f aca="false">AP46*$D$2</f>
        <v>0</v>
      </c>
    </row>
    <row r="48" customFormat="false" ht="3" hidden="false" customHeight="true" outlineLevel="0" collapsed="false">
      <c r="A48" s="138"/>
      <c r="B48" s="450"/>
      <c r="C48" s="114"/>
      <c r="D48" s="114"/>
      <c r="E48" s="114"/>
      <c r="F48" s="143"/>
      <c r="G48" s="114"/>
      <c r="H48" s="117"/>
      <c r="I48" s="114"/>
      <c r="J48" s="114"/>
      <c r="K48" s="114"/>
      <c r="L48" s="114"/>
      <c r="M48" s="142"/>
      <c r="N48" s="114"/>
      <c r="O48" s="117"/>
      <c r="P48" s="117"/>
      <c r="Q48" s="119"/>
      <c r="R48" s="119"/>
      <c r="S48" s="141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6"/>
      <c r="AI48" s="453"/>
      <c r="AJ48" s="454"/>
      <c r="AK48" s="453"/>
      <c r="AL48" s="453"/>
      <c r="AM48" s="453"/>
      <c r="AN48" s="475"/>
      <c r="AO48" s="475"/>
      <c r="AP48" s="262"/>
    </row>
    <row r="49" customFormat="false" ht="12.95" hidden="false" customHeight="true" outlineLevel="0" collapsed="false">
      <c r="A49" s="16" t="s">
        <v>83</v>
      </c>
      <c r="B49" s="436"/>
      <c r="C49" s="94"/>
      <c r="D49" s="94"/>
      <c r="E49" s="94"/>
      <c r="F49" s="136" t="n">
        <f aca="false">F10+F43</f>
        <v>7382.40483992942</v>
      </c>
      <c r="G49" s="96" t="n">
        <f aca="false">G10+G43</f>
        <v>71596</v>
      </c>
      <c r="H49" s="437" t="n">
        <f aca="false">H10+H43</f>
        <v>1223.313</v>
      </c>
      <c r="I49" s="96" t="n">
        <f aca="false">I10+I43</f>
        <v>72819.313</v>
      </c>
      <c r="J49" s="96" t="n">
        <f aca="false">J10+J43</f>
        <v>5056.05220635241</v>
      </c>
      <c r="K49" s="96" t="n">
        <f aca="false">K10+K43</f>
        <v>77875.3652063524</v>
      </c>
      <c r="L49" s="96" t="n">
        <f aca="false">L10+L43</f>
        <v>-309.762560070582</v>
      </c>
      <c r="M49" s="97" t="n">
        <f aca="false">M10+M43</f>
        <v>22785.6</v>
      </c>
      <c r="N49" s="94" t="n">
        <f aca="false">N10+N43</f>
        <v>171.243098</v>
      </c>
      <c r="O49" s="99" t="n">
        <f aca="false">O10+O43</f>
        <v>7163.1</v>
      </c>
      <c r="P49" s="99"/>
      <c r="Q49" s="99" t="n">
        <f aca="false">Q10+Q43</f>
        <v>425.901</v>
      </c>
      <c r="R49" s="99" t="n">
        <f aca="false">R10+R43</f>
        <v>773.9548</v>
      </c>
      <c r="S49" s="506" t="n">
        <f aca="false">S10+S43</f>
        <v>267.29</v>
      </c>
      <c r="T49" s="96" t="n">
        <f aca="false">T10+T43</f>
        <v>17899.94</v>
      </c>
      <c r="U49" s="96" t="n">
        <f aca="false">U10+U43</f>
        <v>5031.27</v>
      </c>
      <c r="V49" s="96" t="n">
        <f aca="false">V10+V43</f>
        <v>36913.056702</v>
      </c>
      <c r="W49" s="96"/>
      <c r="X49" s="96"/>
      <c r="Y49" s="96"/>
      <c r="Z49" s="96"/>
      <c r="AA49" s="96"/>
      <c r="AB49" s="96"/>
      <c r="AC49" s="96" t="n">
        <f aca="false">AC10+AC43</f>
        <v>8926</v>
      </c>
      <c r="AD49" s="96" t="n">
        <f aca="false">AD41</f>
        <v>10996.2578774893</v>
      </c>
      <c r="AE49" s="96" t="n">
        <f aca="false">AE10+AE43</f>
        <v>65127.1456</v>
      </c>
      <c r="AF49" s="96" t="n">
        <f aca="false">AF10+AF43</f>
        <v>5365.81476642299</v>
      </c>
      <c r="AG49" s="96" t="n">
        <f aca="false">AG10+AG43</f>
        <v>70492.960366423</v>
      </c>
      <c r="AH49" s="98" t="n">
        <f aca="false">AH10+AH43</f>
        <v>5.31</v>
      </c>
      <c r="AI49" s="99"/>
      <c r="AJ49" s="100"/>
      <c r="AK49" s="437"/>
      <c r="AL49" s="96" t="n">
        <f aca="false">AL10+AL43</f>
        <v>236.546271401</v>
      </c>
      <c r="AM49" s="128"/>
      <c r="AN49" s="366"/>
      <c r="AO49" s="438" t="n">
        <f aca="false">AO10+AO43</f>
        <v>355.36</v>
      </c>
      <c r="AP49" s="437"/>
    </row>
    <row r="50" customFormat="false" ht="12.95" hidden="false" customHeight="true" outlineLevel="0" collapsed="false">
      <c r="A50" s="16" t="s">
        <v>84</v>
      </c>
      <c r="B50" s="436"/>
      <c r="C50" s="94"/>
      <c r="D50" s="94" t="n">
        <f aca="false">D10+D44</f>
        <v>14643</v>
      </c>
      <c r="E50" s="94" t="n">
        <f aca="false">E41</f>
        <v>162017</v>
      </c>
      <c r="F50" s="136" t="n">
        <f aca="false">F49*$D$2</f>
        <v>14643</v>
      </c>
      <c r="G50" s="96" t="n">
        <f aca="false">G49*$D$2</f>
        <v>142010.666</v>
      </c>
      <c r="H50" s="437" t="n">
        <f aca="false">H49*$D$2</f>
        <v>2426.4413355</v>
      </c>
      <c r="I50" s="96" t="n">
        <f aca="false">I49*$D$2</f>
        <v>144437.1073355</v>
      </c>
      <c r="J50" s="96" t="n">
        <f aca="false">J49*$D$2</f>
        <v>10028.6795513</v>
      </c>
      <c r="K50" s="96" t="n">
        <f aca="false">K49*$D$2</f>
        <v>154465.7868868</v>
      </c>
      <c r="L50" s="96" t="n">
        <f aca="false">L49*$D$2</f>
        <v>-614.414037899999</v>
      </c>
      <c r="M50" s="97" t="n">
        <f aca="false">M49*$D$2</f>
        <v>45195.2376</v>
      </c>
      <c r="N50" s="94" t="n">
        <f aca="false">N49*$D$2</f>
        <v>339.660684883</v>
      </c>
      <c r="O50" s="99" t="n">
        <f aca="false">O49*$D$2</f>
        <v>14208.00885</v>
      </c>
      <c r="P50" s="99"/>
      <c r="Q50" s="99" t="n">
        <f aca="false">Q49*$D$2</f>
        <v>844.7746335</v>
      </c>
      <c r="R50" s="99" t="n">
        <f aca="false">R49*$D$2</f>
        <v>1535.1393458</v>
      </c>
      <c r="S50" s="506" t="n">
        <f aca="false">S49*$D$2</f>
        <v>530.169715</v>
      </c>
      <c r="T50" s="96" t="n">
        <f aca="false">T49*$D$2</f>
        <v>35504.53099</v>
      </c>
      <c r="U50" s="96" t="n">
        <f aca="false">U49*$D$2</f>
        <v>9979.524045</v>
      </c>
      <c r="V50" s="96" t="n">
        <f aca="false">V49*$D$2</f>
        <v>73217.047968417</v>
      </c>
      <c r="W50" s="96"/>
      <c r="X50" s="96"/>
      <c r="Y50" s="96"/>
      <c r="Z50" s="96"/>
      <c r="AA50" s="96"/>
      <c r="AB50" s="96"/>
      <c r="AC50" s="96" t="n">
        <f aca="false">AC49*$D$2</f>
        <v>17704.721</v>
      </c>
      <c r="AD50" s="96" t="n">
        <f aca="false">AD49*$D$2</f>
        <v>21811.0775</v>
      </c>
      <c r="AE50" s="96" t="n">
        <f aca="false">AE49*$D$2</f>
        <v>129179.6932976</v>
      </c>
      <c r="AF50" s="96" t="n">
        <f aca="false">AF49*$D$2</f>
        <v>10643.0935892</v>
      </c>
      <c r="AG50" s="96" t="n">
        <f aca="false">AG49*$D$2</f>
        <v>139822.7868868</v>
      </c>
      <c r="AH50" s="98"/>
      <c r="AI50" s="99"/>
      <c r="AJ50" s="100"/>
      <c r="AK50" s="437" t="n">
        <f aca="false">AK41</f>
        <v>15698.7543455</v>
      </c>
      <c r="AL50" s="96" t="n">
        <f aca="false">AL49*$D$2</f>
        <v>469.189529323884</v>
      </c>
      <c r="AM50" s="128"/>
      <c r="AN50" s="366" t="n">
        <f aca="false">AN10+AN44</f>
        <v>699.791745504204</v>
      </c>
      <c r="AO50" s="438" t="n">
        <f aca="false">AO49*$D$2</f>
        <v>704.85656</v>
      </c>
      <c r="AP50" s="437"/>
    </row>
    <row r="51" customFormat="false" ht="3" hidden="false" customHeight="true" outlineLevel="0" collapsed="false">
      <c r="A51" s="106"/>
      <c r="B51" s="450"/>
      <c r="C51" s="114"/>
      <c r="D51" s="112"/>
      <c r="E51" s="114"/>
      <c r="F51" s="441"/>
      <c r="G51" s="112"/>
      <c r="H51" s="119"/>
      <c r="I51" s="112"/>
      <c r="J51" s="112"/>
      <c r="K51" s="508"/>
      <c r="L51" s="112"/>
      <c r="M51" s="115"/>
      <c r="N51" s="112"/>
      <c r="O51" s="119"/>
      <c r="P51" s="119"/>
      <c r="Q51" s="119"/>
      <c r="R51" s="119"/>
      <c r="S51" s="113"/>
      <c r="T51" s="112"/>
      <c r="U51" s="112"/>
      <c r="V51" s="112"/>
      <c r="W51" s="114"/>
      <c r="X51" s="114"/>
      <c r="Y51" s="114"/>
      <c r="Z51" s="112"/>
      <c r="AA51" s="111"/>
      <c r="AB51" s="146"/>
      <c r="AC51" s="112"/>
      <c r="AD51" s="114"/>
      <c r="AE51" s="112"/>
      <c r="AF51" s="112"/>
      <c r="AG51" s="112"/>
      <c r="AH51" s="450"/>
      <c r="AI51" s="112"/>
      <c r="AJ51" s="441"/>
      <c r="AK51" s="112"/>
      <c r="AL51" s="112"/>
      <c r="AM51" s="112"/>
      <c r="AN51" s="475"/>
      <c r="AO51" s="475"/>
      <c r="AP51" s="475"/>
    </row>
    <row r="52" customFormat="false" ht="14.1" hidden="false" customHeight="true" outlineLevel="0" collapsed="false">
      <c r="A52" s="150"/>
      <c r="B52" s="152"/>
      <c r="C52" s="9"/>
      <c r="D52" s="8"/>
      <c r="E52" s="509"/>
      <c r="H52" s="123"/>
      <c r="I52" s="8"/>
      <c r="J52" s="8"/>
      <c r="K52" s="510"/>
      <c r="L52" s="165"/>
      <c r="M52" s="8"/>
      <c r="N52" s="8"/>
      <c r="O52" s="123"/>
      <c r="P52" s="123"/>
      <c r="Q52" s="123"/>
      <c r="R52" s="123"/>
      <c r="S52" s="8"/>
      <c r="T52" s="8"/>
      <c r="U52" s="8"/>
      <c r="V52" s="8"/>
      <c r="W52" s="511"/>
      <c r="X52" s="511"/>
      <c r="Y52" s="511"/>
      <c r="Z52" s="8"/>
      <c r="AA52" s="8"/>
      <c r="AB52" s="8"/>
      <c r="AC52" s="8"/>
      <c r="AD52" s="509"/>
      <c r="AE52" s="8"/>
      <c r="AF52" s="8"/>
      <c r="AG52" s="8"/>
      <c r="AH52" s="13"/>
      <c r="AI52" s="14"/>
      <c r="AJ52" s="14"/>
      <c r="AK52" s="15"/>
      <c r="AL52" s="15"/>
      <c r="AM52" s="498"/>
      <c r="AN52" s="487"/>
    </row>
    <row r="53" customFormat="false" ht="11.1" hidden="false" customHeight="true" outlineLevel="0" collapsed="false">
      <c r="A53" s="8"/>
      <c r="B53" s="152"/>
      <c r="C53" s="9"/>
      <c r="D53" s="153"/>
      <c r="E53" s="488"/>
      <c r="F53" s="512"/>
      <c r="H53" s="123"/>
      <c r="I53" s="10"/>
      <c r="J53" s="8"/>
      <c r="K53" s="154"/>
      <c r="L53" s="168"/>
      <c r="M53" s="8"/>
      <c r="N53" s="8"/>
      <c r="O53" s="123"/>
      <c r="P53" s="123"/>
      <c r="Q53" s="123"/>
      <c r="R53" s="123"/>
      <c r="S53" s="125"/>
      <c r="T53" s="513"/>
      <c r="U53" s="125"/>
      <c r="V53" s="514"/>
      <c r="W53" s="165"/>
      <c r="X53" s="165"/>
      <c r="Y53" s="165"/>
      <c r="Z53" s="513"/>
      <c r="AA53" s="513"/>
      <c r="AB53" s="513"/>
      <c r="AC53" s="8"/>
      <c r="AD53" s="9"/>
      <c r="AE53" s="8"/>
      <c r="AF53" s="8"/>
      <c r="AG53" s="8"/>
      <c r="AH53" s="13"/>
      <c r="AI53" s="14"/>
      <c r="AJ53" s="14"/>
      <c r="AK53" s="15"/>
      <c r="AL53" s="15"/>
      <c r="AM53" s="498"/>
    </row>
    <row r="54" customFormat="false" ht="11.1" hidden="false" customHeight="true" outlineLevel="0" collapsed="false">
      <c r="B54" s="165"/>
      <c r="C54" s="157"/>
      <c r="D54" s="156"/>
      <c r="E54" s="488"/>
      <c r="F54" s="489"/>
      <c r="H54" s="123"/>
      <c r="I54" s="153"/>
      <c r="J54" s="153"/>
      <c r="K54" s="515"/>
      <c r="L54" s="492"/>
      <c r="M54" s="516"/>
      <c r="N54" s="516"/>
      <c r="O54" s="517"/>
      <c r="P54" s="517"/>
      <c r="Q54" s="517"/>
      <c r="R54" s="517"/>
      <c r="S54" s="457"/>
      <c r="T54" s="513"/>
      <c r="U54" s="125"/>
      <c r="V54" s="91"/>
      <c r="W54" s="165"/>
      <c r="X54" s="165"/>
      <c r="Y54" s="165"/>
      <c r="Z54" s="165"/>
      <c r="AA54" s="165"/>
      <c r="AB54" s="165"/>
      <c r="AC54" s="9"/>
      <c r="AD54" s="513"/>
      <c r="AE54" s="153"/>
      <c r="AF54" s="153"/>
      <c r="AG54" s="12"/>
      <c r="AH54" s="13"/>
      <c r="AI54" s="14"/>
      <c r="AJ54" s="15"/>
      <c r="AK54" s="518"/>
      <c r="AL54" s="518"/>
      <c r="AM54" s="518"/>
    </row>
    <row r="55" customFormat="false" ht="11.1" hidden="false" customHeight="true" outlineLevel="0" collapsed="false">
      <c r="A55" s="153"/>
      <c r="B55" s="284"/>
      <c r="C55" s="165"/>
      <c r="D55" s="165"/>
      <c r="E55" s="488"/>
      <c r="H55" s="168"/>
      <c r="J55" s="153"/>
      <c r="K55" s="515"/>
      <c r="L55" s="168"/>
      <c r="M55" s="123"/>
      <c r="N55" s="123"/>
      <c r="O55" s="168"/>
      <c r="P55" s="168"/>
      <c r="Q55" s="168"/>
      <c r="R55" s="168"/>
      <c r="S55" s="457"/>
      <c r="T55" s="457"/>
      <c r="U55" s="457"/>
      <c r="V55" s="91"/>
      <c r="W55" s="171"/>
      <c r="X55" s="171"/>
      <c r="Y55" s="171"/>
      <c r="Z55" s="165"/>
      <c r="AA55" s="165"/>
      <c r="AB55" s="165"/>
      <c r="AC55" s="9"/>
      <c r="AD55" s="165"/>
      <c r="AE55" s="153"/>
      <c r="AF55" s="153"/>
      <c r="AG55" s="12"/>
      <c r="AH55" s="13"/>
      <c r="AI55" s="14"/>
      <c r="AJ55" s="15"/>
      <c r="AK55" s="518"/>
      <c r="AL55" s="518"/>
      <c r="AM55" s="518"/>
    </row>
    <row r="56" customFormat="false" ht="11.1" hidden="false" customHeight="true" outlineLevel="0" collapsed="false">
      <c r="A56" s="153"/>
      <c r="B56" s="169"/>
      <c r="C56" s="165"/>
      <c r="D56" s="165"/>
      <c r="E56" s="488"/>
      <c r="F56" s="493"/>
      <c r="G56" s="284"/>
      <c r="H56" s="123"/>
      <c r="I56" s="153"/>
      <c r="J56" s="153"/>
      <c r="K56" s="154"/>
      <c r="L56" s="153"/>
      <c r="M56" s="123"/>
      <c r="N56" s="123"/>
      <c r="O56" s="123"/>
      <c r="P56" s="123"/>
      <c r="Q56" s="123"/>
      <c r="R56" s="123"/>
      <c r="S56" s="153"/>
      <c r="T56" s="153"/>
      <c r="U56" s="153"/>
      <c r="V56" s="9"/>
      <c r="W56" s="9"/>
      <c r="X56" s="9"/>
      <c r="Y56" s="9"/>
      <c r="Z56" s="153"/>
      <c r="AA56" s="153"/>
      <c r="AB56" s="153"/>
      <c r="AC56" s="9"/>
      <c r="AD56" s="153"/>
      <c r="AE56" s="153"/>
      <c r="AF56" s="153"/>
      <c r="AG56" s="12"/>
      <c r="AH56" s="13"/>
      <c r="AI56" s="14"/>
      <c r="AJ56" s="15"/>
      <c r="AK56" s="518"/>
      <c r="AL56" s="518"/>
      <c r="AM56" s="518"/>
    </row>
    <row r="57" customFormat="false" ht="11.1" hidden="false" customHeight="true" outlineLevel="0" collapsed="false">
      <c r="U57" s="153"/>
      <c r="V57" s="9"/>
    </row>
    <row r="58" customFormat="false" ht="11.1" hidden="false" customHeight="true" outlineLevel="0" collapsed="false">
      <c r="B58" s="151"/>
    </row>
  </sheetData>
  <mergeCells count="2">
    <mergeCell ref="K2:AC2"/>
    <mergeCell ref="M5:S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10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26" activePane="bottomRight" state="frozen"/>
      <selection pane="topLeft" activeCell="A1" activeCellId="0" sqref="A1"/>
      <selection pane="topRight" activeCell="B1" activeCellId="0" sqref="B1"/>
      <selection pane="bottomLeft" activeCell="A26" activeCellId="0" sqref="A26"/>
      <selection pane="bottomRight" activeCell="AD2" activeCellId="0" sqref="AD2"/>
    </sheetView>
  </sheetViews>
  <sheetFormatPr defaultColWidth="9.328125" defaultRowHeight="11.1" zeroHeight="false" outlineLevelRow="0" outlineLevelCol="0"/>
  <cols>
    <col collapsed="false" customWidth="true" hidden="false" outlineLevel="0" max="1" min="1" style="156" width="4.66"/>
    <col collapsed="false" customWidth="true" hidden="false" outlineLevel="0" max="2" min="2" style="156" width="6.99"/>
    <col collapsed="false" customWidth="true" hidden="false" outlineLevel="0" max="3" min="3" style="157" width="6.32"/>
    <col collapsed="false" customWidth="true" hidden="false" outlineLevel="0" max="4" min="4" style="156" width="6.99"/>
    <col collapsed="false" customWidth="true" hidden="false" outlineLevel="0" max="5" min="5" style="157" width="6.99"/>
    <col collapsed="false" customWidth="true" hidden="false" outlineLevel="0" max="6" min="6" style="156" width="7.32"/>
    <col collapsed="false" customWidth="true" hidden="false" outlineLevel="0" max="7" min="7" style="156" width="6.82"/>
    <col collapsed="false" customWidth="true" hidden="false" outlineLevel="0" max="8" min="8" style="159" width="5.66"/>
    <col collapsed="false" customWidth="true" hidden="false" outlineLevel="0" max="11" min="9" style="156" width="6.32"/>
    <col collapsed="false" customWidth="true" hidden="false" outlineLevel="0" max="12" min="12" style="156" width="7.16"/>
    <col collapsed="false" customWidth="true" hidden="false" outlineLevel="0" max="13" min="13" style="159" width="5.49"/>
    <col collapsed="false" customWidth="true" hidden="false" outlineLevel="0" max="14" min="14" style="159" width="4.49"/>
    <col collapsed="false" customWidth="true" hidden="false" outlineLevel="0" max="15" min="15" style="159" width="5.49"/>
    <col collapsed="false" customWidth="true" hidden="false" outlineLevel="0" max="16" min="16" style="159" width="4.82"/>
    <col collapsed="false" customWidth="true" hidden="false" outlineLevel="0" max="17" min="17" style="159" width="4.66"/>
    <col collapsed="false" customWidth="true" hidden="false" outlineLevel="0" max="18" min="18" style="159" width="4.99"/>
    <col collapsed="false" customWidth="true" hidden="false" outlineLevel="0" max="19" min="19" style="156" width="4.32"/>
    <col collapsed="false" customWidth="true" hidden="false" outlineLevel="0" max="21" min="20" style="156" width="5.49"/>
    <col collapsed="false" customWidth="true" hidden="false" outlineLevel="0" max="22" min="22" style="157" width="6.32"/>
    <col collapsed="false" customWidth="true" hidden="false" outlineLevel="0" max="28" min="23" style="156" width="5.49"/>
    <col collapsed="false" customWidth="true" hidden="false" outlineLevel="0" max="29" min="29" style="157" width="6.49"/>
    <col collapsed="false" customWidth="true" hidden="false" outlineLevel="0" max="30" min="30" style="156" width="5.49"/>
    <col collapsed="false" customWidth="true" hidden="false" outlineLevel="0" max="31" min="31" style="156" width="6.32"/>
    <col collapsed="false" customWidth="true" hidden="false" outlineLevel="0" max="32" min="32" style="156" width="6.99"/>
    <col collapsed="false" customWidth="true" hidden="false" outlineLevel="0" max="33" min="33" style="160" width="6.99"/>
    <col collapsed="false" customWidth="true" hidden="false" outlineLevel="0" max="34" min="34" style="161" width="5.32"/>
    <col collapsed="false" customWidth="true" hidden="false" outlineLevel="0" max="35" min="35" style="161" width="3.82"/>
    <col collapsed="false" customWidth="true" hidden="false" outlineLevel="0" max="36" min="36" style="162" width="3.82"/>
    <col collapsed="false" customWidth="true" hidden="false" outlineLevel="0" max="38" min="37" style="156" width="5.49"/>
    <col collapsed="false" customWidth="true" hidden="false" outlineLevel="0" max="39" min="39" style="159" width="6.32"/>
    <col collapsed="false" customWidth="true" hidden="false" outlineLevel="0" max="40" min="40" style="519" width="6.32"/>
    <col collapsed="false" customWidth="true" hidden="false" outlineLevel="0" max="41" min="41" style="458" width="6.32"/>
    <col collapsed="false" customWidth="true" hidden="false" outlineLevel="0" max="42" min="42" style="156" width="6.49"/>
    <col collapsed="false" customWidth="false" hidden="false" outlineLevel="0" max="257" min="43" style="156" width="9.32"/>
  </cols>
  <sheetData>
    <row r="1" customFormat="false" ht="14.1" hidden="false" customHeight="true" outlineLevel="0" collapsed="false">
      <c r="A1" s="8"/>
      <c r="B1" s="8"/>
      <c r="C1" s="9"/>
      <c r="D1" s="8"/>
      <c r="E1" s="9"/>
      <c r="F1" s="8"/>
      <c r="G1" s="8"/>
      <c r="H1" s="123"/>
      <c r="I1" s="8"/>
      <c r="J1" s="8"/>
      <c r="K1" s="11" t="s">
        <v>0</v>
      </c>
      <c r="L1" s="8"/>
      <c r="M1" s="8"/>
      <c r="N1" s="8"/>
      <c r="O1" s="8"/>
      <c r="P1" s="8"/>
      <c r="Q1" s="8"/>
      <c r="R1" s="8"/>
      <c r="S1" s="8"/>
      <c r="T1" s="8"/>
      <c r="U1" s="8"/>
      <c r="V1" s="9"/>
      <c r="W1" s="8"/>
      <c r="X1" s="8"/>
      <c r="Y1" s="8"/>
      <c r="Z1" s="8"/>
      <c r="AA1" s="8"/>
      <c r="AB1" s="8"/>
      <c r="AC1" s="9"/>
      <c r="AD1" s="8"/>
      <c r="AE1" s="8"/>
      <c r="AF1" s="8"/>
      <c r="AG1" s="12"/>
      <c r="AH1" s="13"/>
      <c r="AI1" s="14"/>
      <c r="AJ1" s="15"/>
      <c r="AK1" s="498"/>
      <c r="AL1" s="498"/>
      <c r="AM1" s="520"/>
      <c r="AO1" s="344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</row>
    <row r="2" customFormat="false" ht="14.1" hidden="false" customHeight="true" outlineLevel="0" collapsed="false">
      <c r="A2" s="16" t="s">
        <v>1</v>
      </c>
      <c r="B2" s="8"/>
      <c r="C2" s="9"/>
      <c r="D2" s="17" t="n">
        <v>1.9835</v>
      </c>
      <c r="E2" s="9"/>
      <c r="F2" s="8"/>
      <c r="G2" s="8"/>
      <c r="H2" s="123"/>
      <c r="I2" s="8"/>
      <c r="J2" s="8"/>
      <c r="K2" s="499" t="s">
        <v>115</v>
      </c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499"/>
      <c r="AD2" s="8"/>
      <c r="AE2" s="8"/>
      <c r="AF2" s="8"/>
      <c r="AG2" s="12"/>
      <c r="AH2" s="13"/>
      <c r="AI2" s="14"/>
      <c r="AJ2" s="15"/>
      <c r="AK2" s="498"/>
      <c r="AL2" s="498"/>
      <c r="AM2" s="520"/>
      <c r="AO2" s="344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</row>
    <row r="3" customFormat="false" ht="14.1" hidden="false" customHeight="true" outlineLevel="0" collapsed="false">
      <c r="A3" s="18"/>
      <c r="B3" s="18"/>
      <c r="C3" s="19"/>
      <c r="D3" s="20"/>
      <c r="E3" s="19"/>
      <c r="F3" s="18"/>
      <c r="G3" s="18"/>
      <c r="H3" s="500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9"/>
      <c r="W3" s="18"/>
      <c r="X3" s="18"/>
      <c r="Y3" s="18"/>
      <c r="Z3" s="18"/>
      <c r="AA3" s="18"/>
      <c r="AB3" s="18"/>
      <c r="AC3" s="19"/>
      <c r="AD3" s="18"/>
      <c r="AE3" s="18"/>
      <c r="AF3" s="18"/>
      <c r="AG3" s="22"/>
      <c r="AH3" s="23"/>
      <c r="AI3" s="24"/>
      <c r="AJ3" s="25"/>
      <c r="AK3" s="501"/>
      <c r="AL3" s="501"/>
      <c r="AM3" s="521"/>
      <c r="AO3" s="344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s="7" customFormat="true" ht="14.1" hidden="false" customHeight="true" outlineLevel="0" collapsed="false">
      <c r="A4" s="30"/>
      <c r="B4" s="31"/>
      <c r="C4" s="32"/>
      <c r="D4" s="409" t="s">
        <v>3</v>
      </c>
      <c r="E4" s="32"/>
      <c r="F4" s="34"/>
      <c r="G4" s="30"/>
      <c r="H4" s="42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6" t="s">
        <v>4</v>
      </c>
      <c r="U4" s="30"/>
      <c r="V4" s="37"/>
      <c r="W4" s="30"/>
      <c r="X4" s="30"/>
      <c r="Y4" s="30"/>
      <c r="Z4" s="30"/>
      <c r="AA4" s="30"/>
      <c r="AB4" s="30"/>
      <c r="AC4" s="37"/>
      <c r="AD4" s="30"/>
      <c r="AE4" s="30"/>
      <c r="AF4" s="30"/>
      <c r="AG4" s="38"/>
      <c r="AH4" s="39"/>
      <c r="AI4" s="40" t="s">
        <v>5</v>
      </c>
      <c r="AJ4" s="41"/>
      <c r="AK4" s="416"/>
      <c r="AL4" s="416"/>
      <c r="AM4" s="193" t="s">
        <v>6</v>
      </c>
      <c r="AN4" s="465"/>
      <c r="AO4" s="415"/>
      <c r="AP4" s="44"/>
    </row>
    <row r="5" s="524" customFormat="true" ht="12.95" hidden="false" customHeight="true" outlineLevel="0" collapsed="false">
      <c r="A5" s="233" t="s">
        <v>7</v>
      </c>
      <c r="B5" s="466" t="s">
        <v>8</v>
      </c>
      <c r="C5" s="229" t="s">
        <v>8</v>
      </c>
      <c r="D5" s="233" t="s">
        <v>9</v>
      </c>
      <c r="E5" s="229" t="s">
        <v>10</v>
      </c>
      <c r="F5" s="522" t="s">
        <v>11</v>
      </c>
      <c r="G5" s="469" t="s">
        <v>12</v>
      </c>
      <c r="H5" s="468" t="s">
        <v>13</v>
      </c>
      <c r="I5" s="469" t="s">
        <v>14</v>
      </c>
      <c r="J5" s="469" t="s">
        <v>15</v>
      </c>
      <c r="K5" s="469" t="s">
        <v>16</v>
      </c>
      <c r="L5" s="233" t="s">
        <v>15</v>
      </c>
      <c r="M5" s="210" t="s">
        <v>17</v>
      </c>
      <c r="N5" s="210"/>
      <c r="O5" s="210"/>
      <c r="P5" s="210"/>
      <c r="Q5" s="210"/>
      <c r="R5" s="210"/>
      <c r="S5" s="210"/>
      <c r="T5" s="420" t="s">
        <v>18</v>
      </c>
      <c r="U5" s="420" t="s">
        <v>19</v>
      </c>
      <c r="V5" s="420" t="s">
        <v>16</v>
      </c>
      <c r="W5" s="79" t="s">
        <v>20</v>
      </c>
      <c r="X5" s="79" t="s">
        <v>92</v>
      </c>
      <c r="Y5" s="229" t="s">
        <v>20</v>
      </c>
      <c r="Z5" s="420" t="s">
        <v>21</v>
      </c>
      <c r="AA5" s="212" t="s">
        <v>116</v>
      </c>
      <c r="AB5" s="213"/>
      <c r="AC5" s="420" t="s">
        <v>23</v>
      </c>
      <c r="AD5" s="229" t="s">
        <v>110</v>
      </c>
      <c r="AE5" s="233" t="s">
        <v>14</v>
      </c>
      <c r="AF5" s="233" t="s">
        <v>15</v>
      </c>
      <c r="AG5" s="233" t="s">
        <v>16</v>
      </c>
      <c r="AH5" s="523" t="s">
        <v>25</v>
      </c>
      <c r="AI5" s="224" t="s">
        <v>26</v>
      </c>
      <c r="AJ5" s="350" t="s">
        <v>27</v>
      </c>
      <c r="AK5" s="68" t="s">
        <v>87</v>
      </c>
      <c r="AL5" s="68" t="s">
        <v>20</v>
      </c>
      <c r="AM5" s="427" t="s">
        <v>88</v>
      </c>
      <c r="AN5" s="427" t="s">
        <v>88</v>
      </c>
      <c r="AO5" s="427" t="s">
        <v>29</v>
      </c>
      <c r="AP5" s="218" t="s">
        <v>30</v>
      </c>
    </row>
    <row r="6" s="524" customFormat="true" ht="12.95" hidden="false" customHeight="true" outlineLevel="0" collapsed="false">
      <c r="A6" s="470" t="s">
        <v>117</v>
      </c>
      <c r="B6" s="466" t="s">
        <v>32</v>
      </c>
      <c r="C6" s="229" t="s">
        <v>9</v>
      </c>
      <c r="D6" s="233" t="s">
        <v>33</v>
      </c>
      <c r="E6" s="229" t="s">
        <v>34</v>
      </c>
      <c r="F6" s="522" t="s">
        <v>35</v>
      </c>
      <c r="G6" s="469" t="s">
        <v>36</v>
      </c>
      <c r="H6" s="468" t="s">
        <v>37</v>
      </c>
      <c r="I6" s="469" t="s">
        <v>38</v>
      </c>
      <c r="J6" s="469" t="s">
        <v>38</v>
      </c>
      <c r="K6" s="469" t="s">
        <v>38</v>
      </c>
      <c r="L6" s="233" t="s">
        <v>39</v>
      </c>
      <c r="M6" s="471" t="s">
        <v>40</v>
      </c>
      <c r="N6" s="233" t="s">
        <v>41</v>
      </c>
      <c r="O6" s="233" t="s">
        <v>42</v>
      </c>
      <c r="P6" s="233" t="s">
        <v>43</v>
      </c>
      <c r="Q6" s="233" t="s">
        <v>44</v>
      </c>
      <c r="R6" s="233" t="s">
        <v>45</v>
      </c>
      <c r="S6" s="234" t="s">
        <v>46</v>
      </c>
      <c r="T6" s="420" t="s">
        <v>47</v>
      </c>
      <c r="U6" s="420" t="s">
        <v>48</v>
      </c>
      <c r="V6" s="420" t="s">
        <v>20</v>
      </c>
      <c r="W6" s="79" t="s">
        <v>58</v>
      </c>
      <c r="X6" s="229" t="s">
        <v>72</v>
      </c>
      <c r="Y6" s="229" t="s">
        <v>53</v>
      </c>
      <c r="Z6" s="420" t="s">
        <v>51</v>
      </c>
      <c r="AA6" s="221" t="s">
        <v>20</v>
      </c>
      <c r="AB6" s="222" t="s">
        <v>53</v>
      </c>
      <c r="AC6" s="420" t="s">
        <v>54</v>
      </c>
      <c r="AD6" s="229" t="s">
        <v>55</v>
      </c>
      <c r="AE6" s="233" t="s">
        <v>56</v>
      </c>
      <c r="AF6" s="233" t="s">
        <v>56</v>
      </c>
      <c r="AG6" s="233" t="s">
        <v>56</v>
      </c>
      <c r="AH6" s="525"/>
      <c r="AI6" s="224" t="s">
        <v>57</v>
      </c>
      <c r="AJ6" s="350" t="s">
        <v>57</v>
      </c>
      <c r="AK6" s="68" t="s">
        <v>58</v>
      </c>
      <c r="AL6" s="68" t="s">
        <v>59</v>
      </c>
      <c r="AM6" s="427" t="s">
        <v>60</v>
      </c>
      <c r="AN6" s="427" t="s">
        <v>60</v>
      </c>
      <c r="AO6" s="427" t="s">
        <v>61</v>
      </c>
      <c r="AP6" s="218" t="s">
        <v>118</v>
      </c>
    </row>
    <row r="7" s="524" customFormat="true" ht="12.95" hidden="false" customHeight="true" outlineLevel="0" collapsed="false">
      <c r="A7" s="233"/>
      <c r="B7" s="466"/>
      <c r="C7" s="229"/>
      <c r="D7" s="233"/>
      <c r="E7" s="229" t="s">
        <v>63</v>
      </c>
      <c r="F7" s="522"/>
      <c r="G7" s="233"/>
      <c r="H7" s="235"/>
      <c r="I7" s="233"/>
      <c r="J7" s="233"/>
      <c r="K7" s="233"/>
      <c r="L7" s="233"/>
      <c r="M7" s="471"/>
      <c r="N7" s="233" t="s">
        <v>64</v>
      </c>
      <c r="O7" s="233" t="s">
        <v>65</v>
      </c>
      <c r="P7" s="233"/>
      <c r="Q7" s="233"/>
      <c r="R7" s="233"/>
      <c r="S7" s="234" t="s">
        <v>42</v>
      </c>
      <c r="T7" s="420"/>
      <c r="U7" s="420"/>
      <c r="V7" s="420"/>
      <c r="W7" s="79"/>
      <c r="X7" s="79"/>
      <c r="Y7" s="79"/>
      <c r="Z7" s="420"/>
      <c r="AA7" s="232"/>
      <c r="AB7" s="236"/>
      <c r="AC7" s="420"/>
      <c r="AD7" s="79"/>
      <c r="AE7" s="420"/>
      <c r="AF7" s="420"/>
      <c r="AG7" s="420"/>
      <c r="AH7" s="525"/>
      <c r="AI7" s="224"/>
      <c r="AJ7" s="350"/>
      <c r="AK7" s="68" t="s">
        <v>63</v>
      </c>
      <c r="AL7" s="68" t="s">
        <v>67</v>
      </c>
      <c r="AM7" s="427" t="s">
        <v>107</v>
      </c>
      <c r="AN7" s="427" t="s">
        <v>93</v>
      </c>
      <c r="AO7" s="427" t="s">
        <v>70</v>
      </c>
      <c r="AP7" s="218" t="s">
        <v>71</v>
      </c>
    </row>
    <row r="8" s="524" customFormat="true" ht="12.95" hidden="false" customHeight="true" outlineLevel="0" collapsed="false">
      <c r="A8" s="233"/>
      <c r="B8" s="466"/>
      <c r="C8" s="229"/>
      <c r="D8" s="233"/>
      <c r="E8" s="229"/>
      <c r="F8" s="522"/>
      <c r="G8" s="233"/>
      <c r="H8" s="235"/>
      <c r="I8" s="233"/>
      <c r="J8" s="233"/>
      <c r="K8" s="233"/>
      <c r="L8" s="233"/>
      <c r="M8" s="471"/>
      <c r="N8" s="239" t="n">
        <v>1.03</v>
      </c>
      <c r="O8" s="239" t="n">
        <v>1.05</v>
      </c>
      <c r="P8" s="239" t="n">
        <v>1.02</v>
      </c>
      <c r="Q8" s="239" t="n">
        <v>1.02</v>
      </c>
      <c r="R8" s="239" t="n">
        <v>1.04</v>
      </c>
      <c r="S8" s="234" t="s">
        <v>53</v>
      </c>
      <c r="T8" s="233"/>
      <c r="U8" s="233"/>
      <c r="V8" s="233"/>
      <c r="W8" s="229"/>
      <c r="X8" s="229"/>
      <c r="Y8" s="355" t="n">
        <v>0</v>
      </c>
      <c r="Z8" s="233"/>
      <c r="AA8" s="232"/>
      <c r="AB8" s="236"/>
      <c r="AC8" s="233"/>
      <c r="AD8" s="229"/>
      <c r="AE8" s="233"/>
      <c r="AF8" s="233"/>
      <c r="AG8" s="233"/>
      <c r="AH8" s="525"/>
      <c r="AI8" s="224"/>
      <c r="AJ8" s="350"/>
      <c r="AK8" s="68"/>
      <c r="AL8" s="68"/>
      <c r="AM8" s="427"/>
      <c r="AN8" s="427" t="s">
        <v>67</v>
      </c>
      <c r="AO8" s="503"/>
    </row>
    <row r="9" customFormat="false" ht="12.95" hidden="false" customHeight="true" outlineLevel="0" collapsed="false">
      <c r="A9" s="173" t="s">
        <v>74</v>
      </c>
      <c r="B9" s="241"/>
      <c r="C9" s="105"/>
      <c r="D9" s="105"/>
      <c r="E9" s="105"/>
      <c r="F9" s="242" t="n">
        <f aca="false">JUN!F46</f>
        <v>11710.1083942526</v>
      </c>
      <c r="G9" s="105" t="n">
        <f aca="false">JUN!G46</f>
        <v>63944</v>
      </c>
      <c r="H9" s="243" t="n">
        <f aca="false">JUN!H46</f>
        <v>1000.49</v>
      </c>
      <c r="I9" s="105" t="n">
        <f aca="false">JUN!I46</f>
        <v>64944.49</v>
      </c>
      <c r="J9" s="105" t="n">
        <f aca="false">JUN!J46</f>
        <v>3523.86382218301</v>
      </c>
      <c r="K9" s="105" t="n">
        <f aca="false">JUN!K46</f>
        <v>68468.353822183</v>
      </c>
      <c r="L9" s="105" t="n">
        <f aca="false">JUN!L46</f>
        <v>-624.246005747416</v>
      </c>
      <c r="M9" s="244" t="n">
        <f aca="false">JUN!M46</f>
        <v>21493</v>
      </c>
      <c r="N9" s="105" t="n">
        <f aca="false">JUN!N46</f>
        <v>171.243098</v>
      </c>
      <c r="O9" s="105" t="n">
        <f aca="false">JUN!O46</f>
        <v>7163.1</v>
      </c>
      <c r="P9" s="105" t="n">
        <f aca="false">JUN!P46</f>
        <v>2.2644</v>
      </c>
      <c r="Q9" s="105"/>
      <c r="R9" s="105"/>
      <c r="S9" s="245"/>
      <c r="T9" s="105" t="n">
        <f aca="false">JUN!T46</f>
        <v>10718</v>
      </c>
      <c r="U9" s="105" t="n">
        <f aca="false">JUN!U46</f>
        <v>4879.8</v>
      </c>
      <c r="V9" s="105" t="n">
        <f aca="false">JUN!V46</f>
        <v>29025.154902</v>
      </c>
      <c r="W9" s="105" t="n">
        <f aca="false">JUN!W46</f>
        <v>4863.48407140348</v>
      </c>
      <c r="X9" s="105" t="n">
        <f aca="false">JUN!X46</f>
        <v>2069.5</v>
      </c>
      <c r="Y9" s="355" t="n">
        <f aca="false">Y8/D2</f>
        <v>0</v>
      </c>
      <c r="Z9" s="105" t="n">
        <f aca="false">JUN!Z46</f>
        <v>10486.6</v>
      </c>
      <c r="AA9" s="244" t="n">
        <f aca="false">JUN!AA46</f>
        <v>154.7</v>
      </c>
      <c r="AB9" s="245" t="n">
        <f aca="false">JUN!AB46</f>
        <v>118.3</v>
      </c>
      <c r="AC9" s="105"/>
      <c r="AD9" s="105"/>
      <c r="AE9" s="105" t="n">
        <f aca="false">JUN!AE46</f>
        <v>52610.1356</v>
      </c>
      <c r="AF9" s="105" t="n">
        <f aca="false">JUN!AF46</f>
        <v>4148.10982793043</v>
      </c>
      <c r="AG9" s="105" t="n">
        <f aca="false">JUN!AG46</f>
        <v>56758.2454279304</v>
      </c>
      <c r="AH9" s="379"/>
      <c r="AI9" s="243"/>
      <c r="AJ9" s="248"/>
      <c r="AK9" s="243"/>
      <c r="AL9" s="243"/>
      <c r="AM9" s="246"/>
      <c r="AN9" s="366" t="n">
        <f aca="false">JUN!AN47</f>
        <v>699.791745504204</v>
      </c>
      <c r="AO9" s="438" t="n">
        <f aca="false">JUN!AO46</f>
        <v>355.36</v>
      </c>
      <c r="AP9" s="437" t="n">
        <f aca="false">JUN!AP46</f>
        <v>0</v>
      </c>
    </row>
    <row r="10" s="157" customFormat="true" ht="12.95" hidden="false" customHeight="true" outlineLevel="0" collapsed="false">
      <c r="A10" s="250" t="s">
        <v>75</v>
      </c>
      <c r="B10" s="104" t="n">
        <f aca="false">JUN!B41</f>
        <v>6907.99</v>
      </c>
      <c r="C10" s="105" t="n">
        <f aca="false">JUN!C41</f>
        <v>314017</v>
      </c>
      <c r="D10" s="105" t="n">
        <f aca="false">JUN!D50</f>
        <v>14643</v>
      </c>
      <c r="E10" s="105" t="n">
        <f aca="false">JUN!E50</f>
        <v>162017</v>
      </c>
      <c r="F10" s="242" t="n">
        <f aca="false">JUN!F49</f>
        <v>7382.40483992942</v>
      </c>
      <c r="G10" s="105" t="n">
        <f aca="false">JUN!G49</f>
        <v>71596</v>
      </c>
      <c r="H10" s="243" t="n">
        <f aca="false">JUN!H49</f>
        <v>1223.313</v>
      </c>
      <c r="I10" s="105" t="n">
        <f aca="false">JUN!I49</f>
        <v>72819.313</v>
      </c>
      <c r="J10" s="105" t="n">
        <f aca="false">JUN!J49</f>
        <v>5056.05220635241</v>
      </c>
      <c r="K10" s="105" t="n">
        <f aca="false">JUN!K49</f>
        <v>77875.3652063524</v>
      </c>
      <c r="L10" s="105" t="n">
        <f aca="false">JUN!L49</f>
        <v>-309.762560070582</v>
      </c>
      <c r="M10" s="244" t="n">
        <f aca="false">JUN!M49</f>
        <v>22785.6</v>
      </c>
      <c r="N10" s="105" t="n">
        <f aca="false">JUN!N49</f>
        <v>171.243098</v>
      </c>
      <c r="O10" s="105" t="n">
        <f aca="false">JUN!O49</f>
        <v>7163.1</v>
      </c>
      <c r="P10" s="105"/>
      <c r="Q10" s="105" t="n">
        <f aca="false">JUN!Q49</f>
        <v>425.901</v>
      </c>
      <c r="R10" s="105" t="n">
        <f aca="false">JUN!R49</f>
        <v>773.9548</v>
      </c>
      <c r="S10" s="245" t="n">
        <f aca="false">JUN!S49</f>
        <v>267.29</v>
      </c>
      <c r="T10" s="105" t="n">
        <f aca="false">JUN!T49</f>
        <v>17899.94</v>
      </c>
      <c r="U10" s="105" t="n">
        <f aca="false">JUN!U49</f>
        <v>5031.27</v>
      </c>
      <c r="V10" s="105" t="n">
        <f aca="false">JUN!V49</f>
        <v>36913.056702</v>
      </c>
      <c r="W10" s="105"/>
      <c r="X10" s="105"/>
      <c r="Y10" s="105"/>
      <c r="Z10" s="105" t="n">
        <f aca="false">JUN!Z49</f>
        <v>0</v>
      </c>
      <c r="AA10" s="244"/>
      <c r="AB10" s="245"/>
      <c r="AC10" s="105" t="n">
        <f aca="false">JUN!AC49</f>
        <v>8926</v>
      </c>
      <c r="AD10" s="105" t="n">
        <f aca="false">JUN!AD49</f>
        <v>10996.2578774893</v>
      </c>
      <c r="AE10" s="105" t="n">
        <f aca="false">JUN!AE49</f>
        <v>65127.1456</v>
      </c>
      <c r="AF10" s="105" t="n">
        <f aca="false">JUN!AF49</f>
        <v>5365.81476642299</v>
      </c>
      <c r="AG10" s="105" t="n">
        <f aca="false">JUN!AG49</f>
        <v>70492.960366423</v>
      </c>
      <c r="AH10" s="526" t="n">
        <f aca="false">JUN!AH49</f>
        <v>5.31</v>
      </c>
      <c r="AI10" s="243"/>
      <c r="AJ10" s="248"/>
      <c r="AK10" s="105" t="n">
        <f aca="false">JUN!AK50</f>
        <v>15698.7543455</v>
      </c>
      <c r="AL10" s="105" t="n">
        <f aca="false">JUN!AL49</f>
        <v>236.546271401</v>
      </c>
      <c r="AM10" s="246"/>
      <c r="AN10" s="366" t="n">
        <f aca="false">JUN!AN50</f>
        <v>699.791745504204</v>
      </c>
      <c r="AO10" s="366"/>
      <c r="AP10" s="243"/>
    </row>
    <row r="11" customFormat="false" ht="3" hidden="false" customHeight="true" outlineLevel="0" collapsed="false">
      <c r="A11" s="252"/>
      <c r="B11" s="253"/>
      <c r="C11" s="254"/>
      <c r="D11" s="255"/>
      <c r="E11" s="254"/>
      <c r="F11" s="256"/>
      <c r="G11" s="255"/>
      <c r="H11" s="260"/>
      <c r="I11" s="255"/>
      <c r="J11" s="255"/>
      <c r="K11" s="255"/>
      <c r="L11" s="255"/>
      <c r="M11" s="258"/>
      <c r="N11" s="255"/>
      <c r="O11" s="255"/>
      <c r="P11" s="255"/>
      <c r="Q11" s="255"/>
      <c r="R11" s="255"/>
      <c r="S11" s="259"/>
      <c r="T11" s="255"/>
      <c r="U11" s="255"/>
      <c r="V11" s="255"/>
      <c r="W11" s="254"/>
      <c r="X11" s="254"/>
      <c r="Y11" s="254"/>
      <c r="Z11" s="255"/>
      <c r="AA11" s="258"/>
      <c r="AB11" s="259"/>
      <c r="AC11" s="255"/>
      <c r="AD11" s="254"/>
      <c r="AE11" s="255"/>
      <c r="AF11" s="255"/>
      <c r="AG11" s="255"/>
      <c r="AH11" s="527"/>
      <c r="AI11" s="262"/>
      <c r="AJ11" s="263"/>
      <c r="AK11" s="262"/>
      <c r="AL11" s="262"/>
      <c r="AM11" s="260"/>
      <c r="AN11" s="475"/>
      <c r="AO11" s="475"/>
      <c r="AP11" s="262"/>
    </row>
    <row r="12" customFormat="false" ht="12.95" hidden="false" customHeight="true" outlineLevel="0" collapsed="false">
      <c r="A12" s="172" t="n">
        <v>1</v>
      </c>
      <c r="B12" s="104" t="n">
        <v>6907.57</v>
      </c>
      <c r="C12" s="105" t="n">
        <v>312371</v>
      </c>
      <c r="D12" s="243" t="n">
        <f aca="false">C12-C10</f>
        <v>-1646</v>
      </c>
      <c r="E12" s="105" t="n">
        <f aca="false">C12-152000</f>
        <v>160371</v>
      </c>
      <c r="F12" s="264" t="n">
        <f aca="false">D12/$D$2</f>
        <v>-829.846231409125</v>
      </c>
      <c r="G12" s="265" t="n">
        <v>149</v>
      </c>
      <c r="H12" s="246" t="n">
        <v>0.11</v>
      </c>
      <c r="I12" s="265" t="n">
        <f aca="false">G12+H12</f>
        <v>149.11</v>
      </c>
      <c r="J12" s="246" t="n">
        <f aca="false">IF(L12&gt;0,L12,0)</f>
        <v>0</v>
      </c>
      <c r="K12" s="265" t="n">
        <f aca="false">I12+J12</f>
        <v>149.11</v>
      </c>
      <c r="L12" s="265" t="n">
        <f aca="false">F12-(I12-AE12)</f>
        <v>-36.9562314091253</v>
      </c>
      <c r="M12" s="267" t="n">
        <v>343</v>
      </c>
      <c r="N12" s="126" t="n">
        <f aca="false">1.8299*1.03</f>
        <v>1.884797</v>
      </c>
      <c r="O12" s="265" t="n">
        <f aca="false">(38.33+38.85)*1.05</f>
        <v>81.039</v>
      </c>
      <c r="P12" s="265"/>
      <c r="Q12" s="366" t="n">
        <f aca="false">2.4*1.02</f>
        <v>2.448</v>
      </c>
      <c r="R12" s="366" t="n">
        <v>4.2</v>
      </c>
      <c r="S12" s="367" t="n">
        <v>5.64</v>
      </c>
      <c r="T12" s="265" t="n">
        <v>169</v>
      </c>
      <c r="U12" s="265" t="n">
        <v>83</v>
      </c>
      <c r="V12" s="265" t="n">
        <f aca="false">M12-N12-O12-Q12-R12-S12+T12+U12</f>
        <v>499.788203</v>
      </c>
      <c r="W12" s="105" t="n">
        <f aca="false">W9-(V12-I12)-Q12-R12-AA12-(AN12/1.9835)</f>
        <v>4501.85104460425</v>
      </c>
      <c r="X12" s="105" t="n">
        <f aca="false">X9+AO12</f>
        <v>2094</v>
      </c>
      <c r="Y12" s="105" t="n">
        <f aca="false">Y9</f>
        <v>0</v>
      </c>
      <c r="Z12" s="265" t="n">
        <v>279</v>
      </c>
      <c r="AA12" s="267" t="n">
        <v>1.7</v>
      </c>
      <c r="AB12" s="269" t="n">
        <v>1.3</v>
      </c>
      <c r="AC12" s="528" t="n">
        <v>68</v>
      </c>
      <c r="AD12" s="477" t="n">
        <f aca="false">AD10-AC12</f>
        <v>10928.2578774893</v>
      </c>
      <c r="AE12" s="128" t="n">
        <f aca="false">N12+O12+Q12+R12+S12+V12+Z12+AC12</f>
        <v>942</v>
      </c>
      <c r="AF12" s="265" t="n">
        <f aca="false">IF(L12&lt;0,L12*-1,0)</f>
        <v>36.9562314091253</v>
      </c>
      <c r="AG12" s="265" t="n">
        <f aca="false">AE12+AF12</f>
        <v>978.956231409125</v>
      </c>
      <c r="AH12" s="379" t="n">
        <v>0</v>
      </c>
      <c r="AI12" s="529" t="n">
        <v>87</v>
      </c>
      <c r="AJ12" s="530" t="n">
        <v>60</v>
      </c>
      <c r="AK12" s="243" t="n">
        <f aca="false">AK10</f>
        <v>15698.7543455</v>
      </c>
      <c r="AL12" s="243"/>
      <c r="AM12" s="437"/>
      <c r="AN12" s="366" t="n">
        <f aca="false">60.3*(W9*1.9835+X9*1.9835+Y9*1.9835)/E12</f>
        <v>5.17063500576424</v>
      </c>
      <c r="AO12" s="438" t="n">
        <v>24.5</v>
      </c>
      <c r="AP12" s="8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2.95" hidden="false" customHeight="true" outlineLevel="0" collapsed="false">
      <c r="A13" s="172" t="n">
        <f aca="false">A12+1</f>
        <v>2</v>
      </c>
      <c r="B13" s="104" t="n">
        <v>6907.17</v>
      </c>
      <c r="C13" s="105" t="n">
        <v>310804</v>
      </c>
      <c r="D13" s="243" t="n">
        <f aca="false">C13-C12</f>
        <v>-1567</v>
      </c>
      <c r="E13" s="105" t="n">
        <f aca="false">C13-152000</f>
        <v>158804</v>
      </c>
      <c r="F13" s="264" t="n">
        <f aca="false">D13/$D$2</f>
        <v>-790.017645576002</v>
      </c>
      <c r="G13" s="265" t="n">
        <v>150</v>
      </c>
      <c r="H13" s="246" t="n">
        <v>0.09</v>
      </c>
      <c r="I13" s="265" t="n">
        <f aca="false">G13+H13</f>
        <v>150.09</v>
      </c>
      <c r="J13" s="246" t="n">
        <f aca="false">IF(L13&gt;0,L13,0)</f>
        <v>0</v>
      </c>
      <c r="K13" s="265" t="n">
        <f aca="false">I13+J13</f>
        <v>150.09</v>
      </c>
      <c r="L13" s="265" t="n">
        <f aca="false">F13-(I13-AE13)</f>
        <v>-69.107645576002</v>
      </c>
      <c r="M13" s="267" t="n">
        <v>333</v>
      </c>
      <c r="N13" s="126" t="n">
        <f aca="false">1.8299*1.03</f>
        <v>1.884797</v>
      </c>
      <c r="O13" s="265" t="n">
        <f aca="false">(41.4+42.84)*1.05</f>
        <v>88.452</v>
      </c>
      <c r="P13" s="265"/>
      <c r="Q13" s="366" t="n">
        <f aca="false">2.4*1.02</f>
        <v>2.448</v>
      </c>
      <c r="R13" s="366" t="n">
        <v>4.2</v>
      </c>
      <c r="S13" s="367" t="n">
        <v>2.56</v>
      </c>
      <c r="T13" s="265" t="n">
        <v>171</v>
      </c>
      <c r="U13" s="265" t="n">
        <v>83</v>
      </c>
      <c r="V13" s="265" t="n">
        <f aca="false">M13-N13-O13-Q13-R13-S13+T13+U13</f>
        <v>487.455203</v>
      </c>
      <c r="W13" s="105" t="n">
        <f aca="false">W12-(V13-I13)-Q13-R13-AA13-(AN13/1.9835)</f>
        <v>4153.63330885955</v>
      </c>
      <c r="X13" s="105" t="n">
        <f aca="false">X12+AO13</f>
        <v>2118.5</v>
      </c>
      <c r="Y13" s="105" t="n">
        <f aca="false">Y12</f>
        <v>0</v>
      </c>
      <c r="Z13" s="265" t="n">
        <v>217</v>
      </c>
      <c r="AA13" s="267" t="n">
        <v>1.7</v>
      </c>
      <c r="AB13" s="269" t="n">
        <v>1.3</v>
      </c>
      <c r="AC13" s="528" t="n">
        <v>67</v>
      </c>
      <c r="AD13" s="477" t="n">
        <f aca="false">AD12-AC13</f>
        <v>10861.2578774893</v>
      </c>
      <c r="AE13" s="128" t="n">
        <f aca="false">N13+O13+Q13+R13+S13+V13+Z13+AC13</f>
        <v>871</v>
      </c>
      <c r="AF13" s="265" t="n">
        <f aca="false">IF(L13&lt;0,L13*-1,0)</f>
        <v>69.107645576002</v>
      </c>
      <c r="AG13" s="265" t="n">
        <f aca="false">AE13+AF13</f>
        <v>940.107645576002</v>
      </c>
      <c r="AH13" s="379" t="n">
        <v>0</v>
      </c>
      <c r="AI13" s="243" t="n">
        <v>85</v>
      </c>
      <c r="AJ13" s="248" t="n">
        <v>61</v>
      </c>
      <c r="AK13" s="243" t="n">
        <f aca="false">AK12</f>
        <v>15698.7543455</v>
      </c>
      <c r="AL13" s="243"/>
      <c r="AM13" s="437"/>
      <c r="AN13" s="366" t="n">
        <f aca="false">60.3*(W12*1.9835+X12*1.9835+Y12*1.9835)/E13</f>
        <v>4.96774069911617</v>
      </c>
      <c r="AO13" s="438" t="n">
        <v>24.5</v>
      </c>
      <c r="AP13" s="8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2.95" hidden="false" customHeight="true" outlineLevel="0" collapsed="false">
      <c r="A14" s="172" t="n">
        <f aca="false">A13+1</f>
        <v>3</v>
      </c>
      <c r="B14" s="104" t="n">
        <v>6906.82</v>
      </c>
      <c r="C14" s="105" t="n">
        <v>309438</v>
      </c>
      <c r="D14" s="243" t="n">
        <f aca="false">C14-C13</f>
        <v>-1366</v>
      </c>
      <c r="E14" s="105" t="n">
        <f aca="false">C14-152000</f>
        <v>157438</v>
      </c>
      <c r="F14" s="264" t="n">
        <f aca="false">D14/$D$2</f>
        <v>-688.681623392992</v>
      </c>
      <c r="G14" s="265" t="n">
        <v>153</v>
      </c>
      <c r="H14" s="246" t="n">
        <v>0.08</v>
      </c>
      <c r="I14" s="265" t="n">
        <f aca="false">G14+H14</f>
        <v>153.08</v>
      </c>
      <c r="J14" s="246" t="n">
        <f aca="false">IF(L14&gt;0,L14,0)</f>
        <v>60.2383766070078</v>
      </c>
      <c r="K14" s="265" t="n">
        <f aca="false">I14+J14</f>
        <v>213.318376607008</v>
      </c>
      <c r="L14" s="265" t="n">
        <f aca="false">F14-(I14-AE14)</f>
        <v>60.2383766070078</v>
      </c>
      <c r="M14" s="267" t="n">
        <v>326</v>
      </c>
      <c r="N14" s="126" t="n">
        <f aca="false">1.8299*1.03</f>
        <v>1.884797</v>
      </c>
      <c r="O14" s="265" t="n">
        <f aca="false">(37.97+38.47)*1.05</f>
        <v>80.262</v>
      </c>
      <c r="P14" s="265"/>
      <c r="Q14" s="366" t="n">
        <f aca="false">2.4*1.02</f>
        <v>2.448</v>
      </c>
      <c r="R14" s="366" t="n">
        <v>4.2</v>
      </c>
      <c r="S14" s="367" t="n">
        <v>6.32</v>
      </c>
      <c r="T14" s="265" t="n">
        <v>169</v>
      </c>
      <c r="U14" s="265" t="n">
        <v>83</v>
      </c>
      <c r="V14" s="265" t="n">
        <f aca="false">M14-N14-O14-Q14-R14-S14+T14+U14</f>
        <v>482.885203</v>
      </c>
      <c r="W14" s="105" t="n">
        <f aca="false">W13-(V14-I14)-Q14-R14-AA14-(AN14/1.9835)</f>
        <v>3813.07782916317</v>
      </c>
      <c r="X14" s="105" t="n">
        <f aca="false">X13+AO14</f>
        <v>2143</v>
      </c>
      <c r="Y14" s="105" t="n">
        <f aca="false">Y13</f>
        <v>0</v>
      </c>
      <c r="Z14" s="265" t="n">
        <v>257</v>
      </c>
      <c r="AA14" s="267" t="n">
        <v>1.7</v>
      </c>
      <c r="AB14" s="269" t="n">
        <v>1.3</v>
      </c>
      <c r="AC14" s="528" t="n">
        <v>67</v>
      </c>
      <c r="AD14" s="477" t="n">
        <f aca="false">AD13-AC14</f>
        <v>10794.2578774893</v>
      </c>
      <c r="AE14" s="128" t="n">
        <f aca="false">N14+O14+Q14+R14+S14+V14+Z14+AC14</f>
        <v>902</v>
      </c>
      <c r="AF14" s="265" t="n">
        <f aca="false">IF(L14&lt;0,L14*-1,0)</f>
        <v>0</v>
      </c>
      <c r="AG14" s="265" t="n">
        <f aca="false">AE14+AF14</f>
        <v>902</v>
      </c>
      <c r="AH14" s="379" t="n">
        <v>0.02</v>
      </c>
      <c r="AI14" s="243" t="n">
        <v>86</v>
      </c>
      <c r="AJ14" s="248" t="n">
        <v>56</v>
      </c>
      <c r="AK14" s="243" t="n">
        <f aca="false">AK13</f>
        <v>15698.7543455</v>
      </c>
      <c r="AL14" s="243"/>
      <c r="AM14" s="437"/>
      <c r="AN14" s="366" t="n">
        <f aca="false">60.3*(W13*1.9835+X13*1.9835+Y13*1.9835)/E14</f>
        <v>4.76491582726414</v>
      </c>
      <c r="AO14" s="438" t="n">
        <v>24.5</v>
      </c>
      <c r="AP14" s="8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2.95" hidden="false" customHeight="true" outlineLevel="0" collapsed="false">
      <c r="A15" s="172" t="n">
        <f aca="false">A14+1</f>
        <v>4</v>
      </c>
      <c r="B15" s="104" t="n">
        <v>6906.41</v>
      </c>
      <c r="C15" s="105" t="n">
        <v>307845</v>
      </c>
      <c r="D15" s="243" t="n">
        <f aca="false">C15-C14</f>
        <v>-1593</v>
      </c>
      <c r="E15" s="105" t="n">
        <f aca="false">C15-152000</f>
        <v>155845</v>
      </c>
      <c r="F15" s="264" t="n">
        <f aca="false">D15/$D$2</f>
        <v>-803.125787748929</v>
      </c>
      <c r="G15" s="265" t="n">
        <v>168</v>
      </c>
      <c r="H15" s="246" t="n">
        <v>0.07</v>
      </c>
      <c r="I15" s="265" t="n">
        <f aca="false">G15+H15</f>
        <v>168.07</v>
      </c>
      <c r="J15" s="246" t="n">
        <f aca="false">IF(L15&gt;0,L15,0)</f>
        <v>0</v>
      </c>
      <c r="K15" s="265" t="n">
        <f aca="false">I15+J15</f>
        <v>168.07</v>
      </c>
      <c r="L15" s="265" t="n">
        <f aca="false">F15-(I15-AE15)</f>
        <v>-66.1957877489286</v>
      </c>
      <c r="M15" s="267" t="n">
        <v>325</v>
      </c>
      <c r="N15" s="126" t="n">
        <f aca="false">1.8299*1.03</f>
        <v>1.884797</v>
      </c>
      <c r="O15" s="265" t="n">
        <f aca="false">(37.55+38.82)*1.05</f>
        <v>80.1885</v>
      </c>
      <c r="P15" s="265"/>
      <c r="Q15" s="366" t="n">
        <f aca="false">2.4*1.02</f>
        <v>2.448</v>
      </c>
      <c r="R15" s="366" t="n">
        <v>4.2</v>
      </c>
      <c r="S15" s="367" t="n">
        <v>5.24</v>
      </c>
      <c r="T15" s="265" t="n">
        <v>168</v>
      </c>
      <c r="U15" s="265" t="n">
        <v>83</v>
      </c>
      <c r="V15" s="265" t="n">
        <f aca="false">M15-N15-O15-Q15-R15-S15+T15+U15</f>
        <v>482.038703</v>
      </c>
      <c r="W15" s="105" t="n">
        <f aca="false">W14-(V15-I15)-Q15-R15-AA15-(AN15/1.9835)</f>
        <v>3488.45658323206</v>
      </c>
      <c r="X15" s="105" t="n">
        <f aca="false">X14+AO15</f>
        <v>2167.5</v>
      </c>
      <c r="Y15" s="105" t="n">
        <f aca="false">Y14</f>
        <v>0</v>
      </c>
      <c r="Z15" s="265" t="n">
        <v>262</v>
      </c>
      <c r="AA15" s="267" t="n">
        <v>1.7</v>
      </c>
      <c r="AB15" s="269" t="n">
        <v>1.3</v>
      </c>
      <c r="AC15" s="528" t="n">
        <v>67</v>
      </c>
      <c r="AD15" s="477" t="n">
        <f aca="false">AD14-AC15</f>
        <v>10727.2578774893</v>
      </c>
      <c r="AE15" s="128" t="n">
        <f aca="false">N15+O15+Q15+R15+S15+V15+Z15+AC15</f>
        <v>905</v>
      </c>
      <c r="AF15" s="265" t="n">
        <f aca="false">IF(L15&lt;0,L15*-1,0)</f>
        <v>66.1957877489286</v>
      </c>
      <c r="AG15" s="265" t="n">
        <f aca="false">AE15+AF15</f>
        <v>971.195787748929</v>
      </c>
      <c r="AH15" s="379" t="n">
        <v>0</v>
      </c>
      <c r="AI15" s="243" t="n">
        <v>84</v>
      </c>
      <c r="AJ15" s="248" t="n">
        <v>60</v>
      </c>
      <c r="AK15" s="243" t="n">
        <f aca="false">AK14</f>
        <v>15698.7543455</v>
      </c>
      <c r="AL15" s="243"/>
      <c r="AM15" s="437"/>
      <c r="AN15" s="366" t="n">
        <f aca="false">60.3*(W14*1.9835+X14*1.9835+Y14*1.9835)/E15</f>
        <v>4.57106090385288</v>
      </c>
      <c r="AO15" s="438" t="n">
        <v>24.5</v>
      </c>
      <c r="AP15" s="8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2.95" hidden="false" customHeight="true" outlineLevel="0" collapsed="false">
      <c r="A16" s="172" t="n">
        <f aca="false">A15+1</f>
        <v>5</v>
      </c>
      <c r="B16" s="104" t="n">
        <v>6906.17</v>
      </c>
      <c r="C16" s="105" t="n">
        <v>306912</v>
      </c>
      <c r="D16" s="243" t="n">
        <f aca="false">C16-C15</f>
        <v>-933</v>
      </c>
      <c r="E16" s="105" t="n">
        <f aca="false">C16-152000</f>
        <v>154912</v>
      </c>
      <c r="F16" s="264" t="n">
        <f aca="false">D16/$D$2</f>
        <v>-470.380640282329</v>
      </c>
      <c r="G16" s="265" t="n">
        <v>168</v>
      </c>
      <c r="H16" s="246" t="n">
        <v>0.07</v>
      </c>
      <c r="I16" s="265" t="n">
        <f aca="false">G16+H16</f>
        <v>168.07</v>
      </c>
      <c r="J16" s="246" t="n">
        <f aca="false">IF(L16&gt;0,L16,0)</f>
        <v>171.549359717671</v>
      </c>
      <c r="K16" s="265" t="n">
        <f aca="false">I16+J16</f>
        <v>339.619359717671</v>
      </c>
      <c r="L16" s="265" t="n">
        <f aca="false">F16-(I16-AE16)</f>
        <v>171.549359717671</v>
      </c>
      <c r="M16" s="267" t="n">
        <v>300</v>
      </c>
      <c r="N16" s="126" t="n">
        <f aca="false">1.8299*1.03</f>
        <v>1.884797</v>
      </c>
      <c r="O16" s="265" t="n">
        <f aca="false">(39.08+40.45)*1.05</f>
        <v>83.5065</v>
      </c>
      <c r="P16" s="265"/>
      <c r="Q16" s="366" t="n">
        <f aca="false">2.4*1.02</f>
        <v>2.448</v>
      </c>
      <c r="R16" s="366" t="n">
        <v>4.2</v>
      </c>
      <c r="S16" s="367" t="n">
        <v>1.75</v>
      </c>
      <c r="T16" s="265" t="n">
        <v>109</v>
      </c>
      <c r="U16" s="265" t="n">
        <v>82</v>
      </c>
      <c r="V16" s="265" t="n">
        <f aca="false">M16-N16-O16-Q16-R16-S16+T16+U16</f>
        <v>397.210703</v>
      </c>
      <c r="W16" s="105" t="n">
        <f aca="false">W15-(V16-I16)-Q16-R16-AA16-(AN16/1.9835)</f>
        <v>3248.76628073061</v>
      </c>
      <c r="X16" s="105" t="n">
        <f aca="false">X15+AO16</f>
        <v>2192</v>
      </c>
      <c r="Y16" s="105" t="n">
        <f aca="false">Y15</f>
        <v>0</v>
      </c>
      <c r="Z16" s="265" t="n">
        <v>252</v>
      </c>
      <c r="AA16" s="267" t="n">
        <v>1.7</v>
      </c>
      <c r="AB16" s="269" t="n">
        <v>1.3</v>
      </c>
      <c r="AC16" s="528" t="n">
        <v>67</v>
      </c>
      <c r="AD16" s="477" t="n">
        <f aca="false">AD15-AC16</f>
        <v>10660.2578774893</v>
      </c>
      <c r="AE16" s="128" t="n">
        <f aca="false">N16+O16+Q16+R16+S16+V16+Z16+AC16</f>
        <v>810</v>
      </c>
      <c r="AF16" s="265" t="n">
        <f aca="false">IF(L16&lt;0,L16*-1,0)</f>
        <v>0</v>
      </c>
      <c r="AG16" s="265" t="n">
        <f aca="false">AE16+AF16</f>
        <v>810</v>
      </c>
      <c r="AH16" s="379" t="n">
        <v>0.51</v>
      </c>
      <c r="AI16" s="243" t="n">
        <v>85</v>
      </c>
      <c r="AJ16" s="248" t="n">
        <v>57</v>
      </c>
      <c r="AK16" s="243" t="n">
        <f aca="false">AK15</f>
        <v>15698.7543455</v>
      </c>
      <c r="AL16" s="243"/>
      <c r="AM16" s="437"/>
      <c r="AN16" s="366" t="n">
        <f aca="false">60.3*(W15*1.9835+X15*1.9835+Y15*1.9835)/E16</f>
        <v>4.36687261112955</v>
      </c>
      <c r="AO16" s="438" t="n">
        <v>24.5</v>
      </c>
      <c r="AP16" s="8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2.95" hidden="false" customHeight="true" outlineLevel="0" collapsed="false">
      <c r="A17" s="172" t="n">
        <f aca="false">A16+1</f>
        <v>6</v>
      </c>
      <c r="B17" s="104" t="n">
        <v>6905.98</v>
      </c>
      <c r="C17" s="105" t="n">
        <v>306174</v>
      </c>
      <c r="D17" s="243" t="n">
        <f aca="false">C17-C16</f>
        <v>-738</v>
      </c>
      <c r="E17" s="105" t="n">
        <f aca="false">C17-152000</f>
        <v>154174</v>
      </c>
      <c r="F17" s="264" t="n">
        <f aca="false">D17/$D$2</f>
        <v>-372.069573985379</v>
      </c>
      <c r="G17" s="265" t="n">
        <v>261</v>
      </c>
      <c r="H17" s="246" t="n">
        <v>0.1</v>
      </c>
      <c r="I17" s="265" t="n">
        <f aca="false">G17+H17</f>
        <v>261.1</v>
      </c>
      <c r="J17" s="246" t="n">
        <f aca="false">IF(L17&gt;0,L17,0)</f>
        <v>67.8304260146206</v>
      </c>
      <c r="K17" s="265" t="n">
        <f aca="false">I17+J17</f>
        <v>328.930426014621</v>
      </c>
      <c r="L17" s="265" t="n">
        <f aca="false">F17-(I17-AE17)</f>
        <v>67.8304260146206</v>
      </c>
      <c r="M17" s="267" t="n">
        <v>255</v>
      </c>
      <c r="N17" s="126" t="n">
        <f aca="false">1.8299*1.03</f>
        <v>1.884797</v>
      </c>
      <c r="O17" s="265" t="n">
        <f aca="false">(38.42+37.8)*1.05</f>
        <v>80.031</v>
      </c>
      <c r="P17" s="265"/>
      <c r="Q17" s="366" t="n">
        <f aca="false">2.4*1.02</f>
        <v>2.448</v>
      </c>
      <c r="R17" s="366" t="n">
        <v>4.2</v>
      </c>
      <c r="S17" s="367" t="n">
        <v>3.81</v>
      </c>
      <c r="T17" s="265" t="n">
        <v>76</v>
      </c>
      <c r="U17" s="265" t="n">
        <v>83</v>
      </c>
      <c r="V17" s="265" t="n">
        <f aca="false">M17-N17-O17-Q17-R17-S17+T17+U17</f>
        <v>321.626203</v>
      </c>
      <c r="W17" s="105" t="n">
        <f aca="false">W16-(V17-I17)-Q17-R17-AA17-(AN17/1.9835)</f>
        <v>3177.76410409869</v>
      </c>
      <c r="X17" s="105" t="n">
        <f aca="false">X16+AO17</f>
        <v>2216.5</v>
      </c>
      <c r="Y17" s="105" t="n">
        <f aca="false">Y16</f>
        <v>0</v>
      </c>
      <c r="Z17" s="265" t="n">
        <v>220</v>
      </c>
      <c r="AA17" s="267" t="n">
        <v>1.7</v>
      </c>
      <c r="AB17" s="269" t="n">
        <v>1.3</v>
      </c>
      <c r="AC17" s="528" t="n">
        <v>67</v>
      </c>
      <c r="AD17" s="477" t="n">
        <f aca="false">AD16-AC17</f>
        <v>10593.2578774893</v>
      </c>
      <c r="AE17" s="128" t="n">
        <f aca="false">N17+O17+Q17+R17+S17+V17+Z17+AC17</f>
        <v>701</v>
      </c>
      <c r="AF17" s="265" t="n">
        <f aca="false">IF(L17&lt;0,L17*-1,0)</f>
        <v>0</v>
      </c>
      <c r="AG17" s="265" t="n">
        <f aca="false">AE17+AF17</f>
        <v>701</v>
      </c>
      <c r="AH17" s="379" t="n">
        <v>0.47</v>
      </c>
      <c r="AI17" s="243" t="n">
        <v>77</v>
      </c>
      <c r="AJ17" s="248" t="n">
        <v>56</v>
      </c>
      <c r="AK17" s="243" t="n">
        <f aca="false">AK16</f>
        <v>15698.7543455</v>
      </c>
      <c r="AL17" s="243"/>
      <c r="AM17" s="437"/>
      <c r="AN17" s="366" t="n">
        <f aca="false">60.3*(W16*1.9835+X16*1.9835+Y16*1.9835)/E17</f>
        <v>4.22083569891875</v>
      </c>
      <c r="AO17" s="438" t="n">
        <v>24.5</v>
      </c>
      <c r="AP17" s="8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2.95" hidden="false" customHeight="true" outlineLevel="0" collapsed="false">
      <c r="A18" s="172" t="n">
        <f aca="false">A17+1</f>
        <v>7</v>
      </c>
      <c r="B18" s="104" t="n">
        <v>6905.78</v>
      </c>
      <c r="C18" s="105" t="n">
        <v>305403</v>
      </c>
      <c r="D18" s="243" t="n">
        <f aca="false">C18-C17</f>
        <v>-771</v>
      </c>
      <c r="E18" s="105" t="n">
        <f aca="false">C18-152000</f>
        <v>153403</v>
      </c>
      <c r="F18" s="264" t="n">
        <f aca="false">D18/$D$2</f>
        <v>-388.706831358709</v>
      </c>
      <c r="G18" s="265" t="n">
        <v>297</v>
      </c>
      <c r="H18" s="246" t="n">
        <v>0.12</v>
      </c>
      <c r="I18" s="265" t="n">
        <f aca="false">G18+H18</f>
        <v>297.12</v>
      </c>
      <c r="J18" s="246" t="n">
        <f aca="false">IF(L18&gt;0,L18,0)</f>
        <v>0</v>
      </c>
      <c r="K18" s="265" t="n">
        <f aca="false">I18+J18</f>
        <v>297.12</v>
      </c>
      <c r="L18" s="265" t="n">
        <f aca="false">F18-(I18-AE18)</f>
        <v>-96.8268313587094</v>
      </c>
      <c r="M18" s="267" t="n">
        <v>160</v>
      </c>
      <c r="N18" s="126" t="n">
        <f aca="false">1.8299*1.03</f>
        <v>1.884797</v>
      </c>
      <c r="O18" s="265" t="n">
        <f aca="false">(18.86+17.76)*1.05</f>
        <v>38.451</v>
      </c>
      <c r="P18" s="265"/>
      <c r="Q18" s="366" t="n">
        <f aca="false">2.4*1.02</f>
        <v>2.448</v>
      </c>
      <c r="R18" s="366" t="n">
        <v>4.2</v>
      </c>
      <c r="S18" s="367" t="n">
        <v>0.43</v>
      </c>
      <c r="T18" s="265" t="n">
        <v>66</v>
      </c>
      <c r="U18" s="265" t="n">
        <v>79</v>
      </c>
      <c r="V18" s="265" t="n">
        <f aca="false">M18-N18-O18-Q18-R18-S18+T18+U18</f>
        <v>257.586203</v>
      </c>
      <c r="W18" s="105" t="n">
        <f aca="false">W17-(V18-I18)-Q18-R18-AA18-(AN18/1.9835)</f>
        <v>3206.82951150085</v>
      </c>
      <c r="X18" s="105" t="n">
        <f aca="false">X17+AO18</f>
        <v>2241</v>
      </c>
      <c r="Y18" s="105" t="n">
        <f aca="false">Y17</f>
        <v>0</v>
      </c>
      <c r="Z18" s="265" t="n">
        <v>217</v>
      </c>
      <c r="AA18" s="267" t="n">
        <v>1.7</v>
      </c>
      <c r="AB18" s="269" t="n">
        <v>1.3</v>
      </c>
      <c r="AC18" s="528" t="n">
        <v>67</v>
      </c>
      <c r="AD18" s="477" t="n">
        <f aca="false">AD17-AC18</f>
        <v>10526.2578774893</v>
      </c>
      <c r="AE18" s="128" t="n">
        <f aca="false">N18+O18+Q18+R18+S18+V18+Z18+AC18</f>
        <v>589</v>
      </c>
      <c r="AF18" s="265" t="n">
        <f aca="false">IF(L18&lt;0,L18*-1,0)</f>
        <v>96.8268313587094</v>
      </c>
      <c r="AG18" s="265" t="n">
        <f aca="false">AE18+AF18</f>
        <v>685.826831358709</v>
      </c>
      <c r="AH18" s="379" t="n">
        <v>0.3</v>
      </c>
      <c r="AI18" s="529" t="n">
        <v>73</v>
      </c>
      <c r="AJ18" s="530" t="n">
        <v>55</v>
      </c>
      <c r="AK18" s="243" t="n">
        <f aca="false">AK17</f>
        <v>15698.7543455</v>
      </c>
      <c r="AL18" s="243"/>
      <c r="AM18" s="437"/>
      <c r="AN18" s="366" t="n">
        <f aca="false">60.3*(W17*1.9835+X17*1.9835+Y17*1.9835)/E18</f>
        <v>4.20579276731178</v>
      </c>
      <c r="AO18" s="438" t="n">
        <v>24.5</v>
      </c>
      <c r="AP18" s="8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2.95" hidden="false" customHeight="true" outlineLevel="0" collapsed="false">
      <c r="A19" s="172" t="n">
        <f aca="false">A18+1</f>
        <v>8</v>
      </c>
      <c r="B19" s="104" t="n">
        <v>6905.66</v>
      </c>
      <c r="C19" s="105" t="n">
        <v>304940</v>
      </c>
      <c r="D19" s="243" t="n">
        <f aca="false">C19-C18</f>
        <v>-463</v>
      </c>
      <c r="E19" s="105" t="n">
        <f aca="false">C19-152000</f>
        <v>152940</v>
      </c>
      <c r="F19" s="264" t="n">
        <f aca="false">D19/$D$2</f>
        <v>-233.425762540963</v>
      </c>
      <c r="G19" s="265" t="n">
        <v>265</v>
      </c>
      <c r="H19" s="246" t="n">
        <v>0.16</v>
      </c>
      <c r="I19" s="265" t="n">
        <f aca="false">G19+H19</f>
        <v>265.16</v>
      </c>
      <c r="J19" s="246" t="n">
        <f aca="false">IF(L19&gt;0,L19,0)</f>
        <v>38.414237459037</v>
      </c>
      <c r="K19" s="265" t="n">
        <f aca="false">I19+J19</f>
        <v>303.574237459037</v>
      </c>
      <c r="L19" s="265" t="n">
        <f aca="false">F19-(I19-AE19)</f>
        <v>38.414237459037</v>
      </c>
      <c r="M19" s="267" t="n">
        <v>157</v>
      </c>
      <c r="N19" s="126" t="n">
        <f aca="false">1.8299*1.03</f>
        <v>1.884797</v>
      </c>
      <c r="O19" s="265" t="n">
        <f aca="false">0.25*1.05</f>
        <v>0.2625</v>
      </c>
      <c r="P19" s="265"/>
      <c r="Q19" s="366" t="n">
        <f aca="false">2.4*1.02</f>
        <v>2.448</v>
      </c>
      <c r="R19" s="366" t="n">
        <v>4.2</v>
      </c>
      <c r="S19" s="367" t="n">
        <v>0.17</v>
      </c>
      <c r="T19" s="265" t="n">
        <v>59</v>
      </c>
      <c r="U19" s="265" t="n">
        <v>72</v>
      </c>
      <c r="V19" s="265" t="n">
        <f aca="false">M19-N19-O19-Q19-R19-S19+T19+U19</f>
        <v>279.034703</v>
      </c>
      <c r="W19" s="105" t="n">
        <f aca="false">W18-(V19-I19)-Q19-R19-AA19-(AN19/1.9835)</f>
        <v>3182.45888042747</v>
      </c>
      <c r="X19" s="105" t="n">
        <f aca="false">X18+AO19</f>
        <v>2265.5</v>
      </c>
      <c r="Y19" s="105" t="n">
        <f aca="false">Y18</f>
        <v>0</v>
      </c>
      <c r="Z19" s="265" t="n">
        <v>182</v>
      </c>
      <c r="AA19" s="267" t="n">
        <v>1.7</v>
      </c>
      <c r="AB19" s="269" t="n">
        <v>1.3</v>
      </c>
      <c r="AC19" s="528" t="n">
        <v>67</v>
      </c>
      <c r="AD19" s="477" t="n">
        <f aca="false">AD18-AC19</f>
        <v>10459.2578774893</v>
      </c>
      <c r="AE19" s="128" t="n">
        <f aca="false">N19+O19+Q19+R19+S19+V19+Z19+AC19</f>
        <v>537</v>
      </c>
      <c r="AF19" s="265" t="n">
        <f aca="false">IF(L19&lt;0,L19*-1,0)</f>
        <v>0</v>
      </c>
      <c r="AG19" s="265" t="n">
        <f aca="false">AE19+AF19</f>
        <v>537</v>
      </c>
      <c r="AH19" s="379" t="n">
        <v>0.19</v>
      </c>
      <c r="AI19" s="243" t="n">
        <v>70</v>
      </c>
      <c r="AJ19" s="248" t="n">
        <v>56</v>
      </c>
      <c r="AK19" s="243" t="n">
        <f aca="false">AK18</f>
        <v>15698.7543455</v>
      </c>
      <c r="AL19" s="243"/>
      <c r="AM19" s="437"/>
      <c r="AN19" s="366" t="n">
        <f aca="false">60.3*(W18*1.9835+X18*1.9835+Y18*1.9835)/E19</f>
        <v>4.26041533355914</v>
      </c>
      <c r="AO19" s="438" t="n">
        <v>24.5</v>
      </c>
      <c r="AP19" s="8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2.95" hidden="false" customHeight="true" outlineLevel="0" collapsed="false">
      <c r="A20" s="172" t="n">
        <f aca="false">A19+1</f>
        <v>9</v>
      </c>
      <c r="B20" s="104" t="n">
        <v>6905.56</v>
      </c>
      <c r="C20" s="105" t="n">
        <v>304555</v>
      </c>
      <c r="D20" s="243" t="n">
        <f aca="false">C20-C19</f>
        <v>-385</v>
      </c>
      <c r="E20" s="105" t="n">
        <f aca="false">C20-152000</f>
        <v>152555</v>
      </c>
      <c r="F20" s="264" t="n">
        <f aca="false">D20/$D$2</f>
        <v>-194.101336022183</v>
      </c>
      <c r="G20" s="265" t="n">
        <v>349</v>
      </c>
      <c r="H20" s="246" t="n">
        <v>0.14</v>
      </c>
      <c r="I20" s="265" t="n">
        <f aca="false">G20+H20</f>
        <v>349.14</v>
      </c>
      <c r="J20" s="246" t="n">
        <f aca="false">IF(L20&gt;0,L20,0)</f>
        <v>0</v>
      </c>
      <c r="K20" s="265" t="n">
        <f aca="false">I20+J20</f>
        <v>349.14</v>
      </c>
      <c r="L20" s="265" t="n">
        <f aca="false">F20-(I20-AE20)</f>
        <v>-89.241336022183</v>
      </c>
      <c r="M20" s="267" t="n">
        <v>122</v>
      </c>
      <c r="N20" s="126" t="n">
        <f aca="false">1.8299*1.03</f>
        <v>1.884797</v>
      </c>
      <c r="O20" s="265" t="n">
        <f aca="false">7.03*1.05</f>
        <v>7.3815</v>
      </c>
      <c r="P20" s="265"/>
      <c r="Q20" s="366" t="n">
        <f aca="false">2.4*1.02</f>
        <v>2.448</v>
      </c>
      <c r="R20" s="366" t="n">
        <v>4.2</v>
      </c>
      <c r="S20" s="367" t="n">
        <v>3.45</v>
      </c>
      <c r="T20" s="265" t="n">
        <v>55</v>
      </c>
      <c r="U20" s="265" t="n">
        <v>70</v>
      </c>
      <c r="V20" s="265" t="n">
        <f aca="false">M20-N20-O20-Q20-R20-S20+T20+U20</f>
        <v>227.635703</v>
      </c>
      <c r="W20" s="105" t="n">
        <f aca="false">W19-(AN20/1.9835)</f>
        <v>3180.30548053569</v>
      </c>
      <c r="X20" s="105" t="n">
        <f aca="false">X19+AO20</f>
        <v>2290</v>
      </c>
      <c r="Y20" s="105" t="n">
        <f aca="false">Y19</f>
        <v>0</v>
      </c>
      <c r="Z20" s="265" t="n">
        <v>141</v>
      </c>
      <c r="AA20" s="267" t="n">
        <v>1.7</v>
      </c>
      <c r="AB20" s="269" t="n">
        <v>1.3</v>
      </c>
      <c r="AC20" s="528" t="n">
        <v>66</v>
      </c>
      <c r="AD20" s="477" t="n">
        <f aca="false">AD19-AC20</f>
        <v>10393.2578774893</v>
      </c>
      <c r="AE20" s="128" t="n">
        <f aca="false">N20+O20+Q20+R20+S20+V20+Z20+AC20</f>
        <v>454</v>
      </c>
      <c r="AF20" s="265" t="n">
        <f aca="false">IF(L20&lt;0,L20*-1,0)</f>
        <v>89.241336022183</v>
      </c>
      <c r="AG20" s="265" t="n">
        <f aca="false">AE20+AF20</f>
        <v>543.241336022183</v>
      </c>
      <c r="AH20" s="379" t="n">
        <v>0.03</v>
      </c>
      <c r="AI20" s="249" t="n">
        <v>75</v>
      </c>
      <c r="AJ20" s="248" t="n">
        <v>55</v>
      </c>
      <c r="AK20" s="243" t="n">
        <f aca="false">AK19</f>
        <v>15698.7543455</v>
      </c>
      <c r="AL20" s="243"/>
      <c r="AM20" s="437"/>
      <c r="AN20" s="366" t="n">
        <f aca="false">60.3*(W19*1.9835+X19*1.9835+Y19*1.9835)/E20</f>
        <v>4.27126868533625</v>
      </c>
      <c r="AO20" s="438" t="n">
        <v>24.5</v>
      </c>
      <c r="AP20" s="8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2.95" hidden="false" customHeight="true" outlineLevel="0" collapsed="false">
      <c r="A21" s="172" t="n">
        <f aca="false">A20+1</f>
        <v>10</v>
      </c>
      <c r="B21" s="104" t="n">
        <v>6905.4</v>
      </c>
      <c r="C21" s="105" t="n">
        <v>303938</v>
      </c>
      <c r="D21" s="243" t="n">
        <f aca="false">C21-C20</f>
        <v>-617</v>
      </c>
      <c r="E21" s="105" t="n">
        <f aca="false">C21-152000</f>
        <v>151938</v>
      </c>
      <c r="F21" s="264" t="n">
        <f aca="false">D21/$D$2</f>
        <v>-311.066296949836</v>
      </c>
      <c r="G21" s="265" t="n">
        <v>369</v>
      </c>
      <c r="H21" s="246" t="n">
        <v>0.12</v>
      </c>
      <c r="I21" s="265" t="n">
        <f aca="false">G21+H21</f>
        <v>369.12</v>
      </c>
      <c r="J21" s="246" t="n">
        <f aca="false">IF(L21&gt;0,L21,0)</f>
        <v>0</v>
      </c>
      <c r="K21" s="265" t="n">
        <f aca="false">I21+J21</f>
        <v>369.12</v>
      </c>
      <c r="L21" s="265" t="n">
        <f aca="false">F21-(I21-AE21)</f>
        <v>-94.1862969498362</v>
      </c>
      <c r="M21" s="267" t="n">
        <v>213</v>
      </c>
      <c r="N21" s="126" t="n">
        <f aca="false">1.8299*1.03</f>
        <v>1.884797</v>
      </c>
      <c r="O21" s="265" t="n">
        <f aca="false">(25.09+25.09)*1.05</f>
        <v>52.689</v>
      </c>
      <c r="P21" s="265"/>
      <c r="Q21" s="366" t="n">
        <f aca="false">2.4*1.02</f>
        <v>2.448</v>
      </c>
      <c r="R21" s="366" t="n">
        <v>4.2</v>
      </c>
      <c r="S21" s="367" t="n">
        <v>1.49</v>
      </c>
      <c r="T21" s="265" t="n">
        <v>71</v>
      </c>
      <c r="U21" s="265" t="n">
        <v>68</v>
      </c>
      <c r="V21" s="265" t="n">
        <f aca="false">M21-N21-O21-Q21-R21-S21+T21+U21</f>
        <v>289.288203</v>
      </c>
      <c r="W21" s="105" t="n">
        <f aca="false">W20-(AN21/1.9835)</f>
        <v>3178.1344672245</v>
      </c>
      <c r="X21" s="105" t="n">
        <f aca="false">X20+AO21</f>
        <v>2314.5</v>
      </c>
      <c r="Y21" s="105" t="n">
        <f aca="false">Y20</f>
        <v>0</v>
      </c>
      <c r="Z21" s="265" t="n">
        <v>168</v>
      </c>
      <c r="AA21" s="267" t="n">
        <v>1.7</v>
      </c>
      <c r="AB21" s="269" t="n">
        <v>1.3</v>
      </c>
      <c r="AC21" s="528" t="n">
        <v>66</v>
      </c>
      <c r="AD21" s="477" t="n">
        <f aca="false">AD20-AC21</f>
        <v>10327.2578774893</v>
      </c>
      <c r="AE21" s="128" t="n">
        <f aca="false">N21+O21+Q21+R21+S21+V21+Z21+AC21</f>
        <v>586</v>
      </c>
      <c r="AF21" s="265" t="n">
        <f aca="false">IF(L21&lt;0,L21*-1,0)</f>
        <v>94.1862969498362</v>
      </c>
      <c r="AG21" s="265" t="n">
        <f aca="false">AE21+AF21</f>
        <v>680.186296949836</v>
      </c>
      <c r="AH21" s="379" t="n">
        <v>0.02</v>
      </c>
      <c r="AI21" s="243" t="n">
        <v>79</v>
      </c>
      <c r="AJ21" s="248" t="n">
        <v>53</v>
      </c>
      <c r="AK21" s="243" t="n">
        <f aca="false">AK20</f>
        <v>15698.7543455</v>
      </c>
      <c r="AL21" s="243"/>
      <c r="AM21" s="437"/>
      <c r="AN21" s="366" t="n">
        <f aca="false">60.3*(W20*1.9835+X20*1.9835+Y20*1.9835)/E21</f>
        <v>4.30620490275471</v>
      </c>
      <c r="AO21" s="438" t="n">
        <v>24.5</v>
      </c>
      <c r="AP21" s="8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2.95" hidden="false" customHeight="true" outlineLevel="0" collapsed="false">
      <c r="A22" s="172" t="n">
        <f aca="false">A21+1</f>
        <v>11</v>
      </c>
      <c r="B22" s="104" t="n">
        <v>6905.21</v>
      </c>
      <c r="C22" s="105" t="n">
        <v>303205</v>
      </c>
      <c r="D22" s="243" t="n">
        <f aca="false">C22-C21</f>
        <v>-733</v>
      </c>
      <c r="E22" s="105" t="n">
        <f aca="false">C22-152000</f>
        <v>151205</v>
      </c>
      <c r="F22" s="264" t="n">
        <f aca="false">D22/$D$2</f>
        <v>-369.548777413663</v>
      </c>
      <c r="G22" s="265" t="n">
        <v>369</v>
      </c>
      <c r="H22" s="246" t="n">
        <v>0.11</v>
      </c>
      <c r="I22" s="265" t="n">
        <f aca="false">G22+H22</f>
        <v>369.11</v>
      </c>
      <c r="J22" s="246" t="n">
        <f aca="false">IF(L22&gt;0,L22,0)</f>
        <v>0</v>
      </c>
      <c r="K22" s="265" t="n">
        <f aca="false">I22+J22</f>
        <v>369.11</v>
      </c>
      <c r="L22" s="265" t="n">
        <f aca="false">F22-(I22-AE22)</f>
        <v>-103.658777413663</v>
      </c>
      <c r="M22" s="267" t="n">
        <v>231</v>
      </c>
      <c r="N22" s="126" t="n">
        <f aca="false">1.8299*1.03</f>
        <v>1.884797</v>
      </c>
      <c r="O22" s="265" t="n">
        <f aca="false">(39.58+41.26)*1.05</f>
        <v>84.882</v>
      </c>
      <c r="P22" s="265"/>
      <c r="Q22" s="366" t="n">
        <f aca="false">2.4*1.02</f>
        <v>2.448</v>
      </c>
      <c r="R22" s="366" t="n">
        <v>4.2</v>
      </c>
      <c r="S22" s="367" t="n">
        <v>1.58</v>
      </c>
      <c r="T22" s="265" t="n">
        <v>85</v>
      </c>
      <c r="U22" s="265" t="n">
        <v>67</v>
      </c>
      <c r="V22" s="265" t="n">
        <f aca="false">M22-N22-O22-Q22-R22-S22+T22+U22</f>
        <v>288.005203</v>
      </c>
      <c r="W22" s="105" t="n">
        <f aca="false">W21-(AN22/1.9835)</f>
        <v>3175.94402472343</v>
      </c>
      <c r="X22" s="105" t="n">
        <f aca="false">X21+AO22</f>
        <v>2339</v>
      </c>
      <c r="Y22" s="105" t="n">
        <f aca="false">Y21</f>
        <v>0</v>
      </c>
      <c r="Z22" s="265" t="n">
        <v>188</v>
      </c>
      <c r="AA22" s="267" t="n">
        <v>1.7</v>
      </c>
      <c r="AB22" s="269" t="n">
        <v>1.3</v>
      </c>
      <c r="AC22" s="528" t="n">
        <v>64</v>
      </c>
      <c r="AD22" s="477" t="n">
        <f aca="false">AD21-AC22</f>
        <v>10263.2578774893</v>
      </c>
      <c r="AE22" s="128" t="n">
        <f aca="false">N22+O22+Q22+R22+S22+V22+Z22+AC22</f>
        <v>635</v>
      </c>
      <c r="AF22" s="265" t="n">
        <f aca="false">IF(L22&lt;0,L22*-1,0)</f>
        <v>103.658777413663</v>
      </c>
      <c r="AG22" s="265" t="n">
        <f aca="false">AE22+AF22</f>
        <v>738.658777413663</v>
      </c>
      <c r="AH22" s="379" t="n">
        <v>0</v>
      </c>
      <c r="AI22" s="243" t="n">
        <v>81</v>
      </c>
      <c r="AJ22" s="248" t="n">
        <v>51</v>
      </c>
      <c r="AK22" s="243" t="n">
        <f aca="false">AK21</f>
        <v>15698.7543455</v>
      </c>
      <c r="AL22" s="243"/>
      <c r="AM22" s="437"/>
      <c r="AN22" s="366" t="n">
        <f aca="false">60.3*(W21*1.9835+X21*1.9835+Y21*1.9835)/E22</f>
        <v>4.34474270086379</v>
      </c>
      <c r="AO22" s="438" t="n">
        <v>24.5</v>
      </c>
      <c r="AP22" s="8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2.95" hidden="false" customHeight="true" outlineLevel="0" collapsed="false">
      <c r="A23" s="172" t="n">
        <f aca="false">A22+1</f>
        <v>12</v>
      </c>
      <c r="B23" s="104" t="n">
        <v>6904.98</v>
      </c>
      <c r="C23" s="105" t="n">
        <v>302319</v>
      </c>
      <c r="D23" s="243" t="n">
        <f aca="false">C23-C22</f>
        <v>-886</v>
      </c>
      <c r="E23" s="105" t="n">
        <f aca="false">C23-152000</f>
        <v>150319</v>
      </c>
      <c r="F23" s="264" t="n">
        <f aca="false">D23/$D$2</f>
        <v>-446.685152508193</v>
      </c>
      <c r="G23" s="265" t="n">
        <v>290</v>
      </c>
      <c r="H23" s="246" t="n">
        <v>0.09</v>
      </c>
      <c r="I23" s="265" t="n">
        <f aca="false">G23+H23</f>
        <v>290.09</v>
      </c>
      <c r="J23" s="246" t="n">
        <f aca="false">IF(L23&gt;0,L23,0)</f>
        <v>0</v>
      </c>
      <c r="K23" s="265" t="n">
        <f aca="false">I23+J23</f>
        <v>290.09</v>
      </c>
      <c r="L23" s="265" t="n">
        <f aca="false">F23-(I23-AE23)</f>
        <v>-79.7751525081925</v>
      </c>
      <c r="M23" s="267" t="n">
        <v>247</v>
      </c>
      <c r="N23" s="126" t="n">
        <f aca="false">1.8299*1.03</f>
        <v>1.884797</v>
      </c>
      <c r="O23" s="265" t="n">
        <f aca="false">(36.37+38.07)*1.05</f>
        <v>78.162</v>
      </c>
      <c r="P23" s="265"/>
      <c r="Q23" s="366" t="n">
        <f aca="false">2.4*1.02</f>
        <v>2.448</v>
      </c>
      <c r="R23" s="366" t="n">
        <v>4.2</v>
      </c>
      <c r="S23" s="367" t="n">
        <v>3.16</v>
      </c>
      <c r="T23" s="265" t="n">
        <v>69</v>
      </c>
      <c r="U23" s="265" t="n">
        <v>69</v>
      </c>
      <c r="V23" s="265" t="n">
        <f aca="false">M23-N23-O23-Q23-R23-S23+T23+U23</f>
        <v>295.145203</v>
      </c>
      <c r="W23" s="105" t="n">
        <f aca="false">W22-(V23-I23)-Q23-R23-AA23-(AN23/1.9835)</f>
        <v>3160.32851905584</v>
      </c>
      <c r="X23" s="105" t="n">
        <f aca="false">X22+AO23</f>
        <v>2363.5</v>
      </c>
      <c r="Y23" s="105" t="n">
        <f aca="false">Y22</f>
        <v>0</v>
      </c>
      <c r="Z23" s="265" t="n">
        <v>208</v>
      </c>
      <c r="AA23" s="267" t="n">
        <v>1.7</v>
      </c>
      <c r="AB23" s="269" t="n">
        <v>1.3</v>
      </c>
      <c r="AC23" s="528" t="n">
        <v>64</v>
      </c>
      <c r="AD23" s="477" t="n">
        <f aca="false">AD22-AC23</f>
        <v>10199.2578774893</v>
      </c>
      <c r="AE23" s="128" t="n">
        <f aca="false">N23+O23+Q23+R23+S23+V23+Z23+AC23</f>
        <v>657</v>
      </c>
      <c r="AF23" s="265" t="n">
        <f aca="false">IF(L23&lt;0,L23*-1,0)</f>
        <v>79.7751525081925</v>
      </c>
      <c r="AG23" s="265" t="n">
        <f aca="false">AE23+AF23</f>
        <v>736.775152508193</v>
      </c>
      <c r="AH23" s="379" t="n">
        <v>0</v>
      </c>
      <c r="AI23" s="243" t="n">
        <v>85</v>
      </c>
      <c r="AJ23" s="248" t="n">
        <v>56</v>
      </c>
      <c r="AK23" s="243" t="n">
        <f aca="false">AK22</f>
        <v>15698.7543455</v>
      </c>
      <c r="AL23" s="243"/>
      <c r="AM23" s="437"/>
      <c r="AN23" s="366" t="n">
        <f aca="false">60.3*(W22*1.9835+X22*1.9835+Y22*1.9835)/E23</f>
        <v>4.38810234118273</v>
      </c>
      <c r="AO23" s="438" t="n">
        <v>24.5</v>
      </c>
      <c r="AP23" s="8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2.95" hidden="false" customHeight="true" outlineLevel="0" collapsed="false">
      <c r="A24" s="172" t="n">
        <f aca="false">A23+1</f>
        <v>13</v>
      </c>
      <c r="B24" s="104" t="n">
        <v>6904.72</v>
      </c>
      <c r="C24" s="105" t="n">
        <v>301325</v>
      </c>
      <c r="D24" s="243" t="n">
        <f aca="false">C24-C23</f>
        <v>-994</v>
      </c>
      <c r="E24" s="105" t="n">
        <f aca="false">C24-152000</f>
        <v>149325</v>
      </c>
      <c r="F24" s="264" t="n">
        <f aca="false">D24/$D$2</f>
        <v>-501.134358457272</v>
      </c>
      <c r="G24" s="265" t="n">
        <v>240</v>
      </c>
      <c r="H24" s="246" t="n">
        <v>0.07</v>
      </c>
      <c r="I24" s="265" t="n">
        <f aca="false">G24+H24</f>
        <v>240.07</v>
      </c>
      <c r="J24" s="246" t="n">
        <f aca="false">IF(L24&gt;0,L24,0)</f>
        <v>0</v>
      </c>
      <c r="K24" s="265" t="n">
        <f aca="false">I24+J24</f>
        <v>240.07</v>
      </c>
      <c r="L24" s="265" t="n">
        <f aca="false">F24-(I24-AE24)</f>
        <v>-88.2043584572725</v>
      </c>
      <c r="M24" s="267" t="n">
        <v>230</v>
      </c>
      <c r="N24" s="126" t="n">
        <f aca="false">1.8299*1.03</f>
        <v>1.884797</v>
      </c>
      <c r="O24" s="265" t="n">
        <f aca="false">(36.4+39.63)*1.05</f>
        <v>79.8315</v>
      </c>
      <c r="P24" s="265"/>
      <c r="Q24" s="366" t="n">
        <f aca="false">2.4*1.02</f>
        <v>2.448</v>
      </c>
      <c r="R24" s="366" t="n">
        <v>4.2</v>
      </c>
      <c r="S24" s="367" t="n">
        <v>4.87</v>
      </c>
      <c r="T24" s="265" t="n">
        <v>59</v>
      </c>
      <c r="U24" s="265" t="n">
        <v>70</v>
      </c>
      <c r="V24" s="265" t="n">
        <f aca="false">M24-N24-O24-Q24-R24-S24+T24+U24</f>
        <v>265.765703</v>
      </c>
      <c r="W24" s="105" t="n">
        <f aca="false">W23-(V24-I24)-Q24-R24-AA24-(AN24/1.9835)</f>
        <v>3124.05419921539</v>
      </c>
      <c r="X24" s="105" t="n">
        <f aca="false">X23+AO24</f>
        <v>2388</v>
      </c>
      <c r="Y24" s="105" t="n">
        <f aca="false">Y23</f>
        <v>0</v>
      </c>
      <c r="Z24" s="265" t="n">
        <v>230</v>
      </c>
      <c r="AA24" s="267" t="n">
        <v>1.7</v>
      </c>
      <c r="AB24" s="269" t="n">
        <v>1.3</v>
      </c>
      <c r="AC24" s="528" t="n">
        <v>64</v>
      </c>
      <c r="AD24" s="477" t="n">
        <f aca="false">AD23-AC24</f>
        <v>10135.2578774893</v>
      </c>
      <c r="AE24" s="128" t="n">
        <f aca="false">N24+O24+Q24+R24+S24+V24+Z24+AC24</f>
        <v>653</v>
      </c>
      <c r="AF24" s="265" t="n">
        <f aca="false">IF(L24&lt;0,L24*-1,0)</f>
        <v>88.2043584572725</v>
      </c>
      <c r="AG24" s="265" t="n">
        <f aca="false">AE24+AF24</f>
        <v>741.204358457273</v>
      </c>
      <c r="AH24" s="379" t="n">
        <v>0</v>
      </c>
      <c r="AI24" s="243" t="n">
        <v>87</v>
      </c>
      <c r="AJ24" s="248" t="n">
        <v>54</v>
      </c>
      <c r="AK24" s="243" t="n">
        <f aca="false">AK23</f>
        <v>15698.7543455</v>
      </c>
      <c r="AL24" s="243"/>
      <c r="AM24" s="437"/>
      <c r="AN24" s="366" t="n">
        <f aca="false">60.3*(W23*1.9835+X23*1.9835+Y23*1.9835)/E24</f>
        <v>4.42442850301757</v>
      </c>
      <c r="AO24" s="438" t="n">
        <v>24.5</v>
      </c>
      <c r="AP24" s="8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2.95" hidden="false" customHeight="true" outlineLevel="0" collapsed="false">
      <c r="A25" s="172" t="n">
        <f aca="false">A24+1</f>
        <v>14</v>
      </c>
      <c r="B25" s="104" t="n">
        <v>6904.43</v>
      </c>
      <c r="C25" s="105" t="n">
        <v>300216</v>
      </c>
      <c r="D25" s="243" t="n">
        <f aca="false">C25-C24</f>
        <v>-1109</v>
      </c>
      <c r="E25" s="105" t="n">
        <f aca="false">C25-152000</f>
        <v>148216</v>
      </c>
      <c r="F25" s="264" t="n">
        <f aca="false">D25/$D$2</f>
        <v>-559.112679606756</v>
      </c>
      <c r="G25" s="265" t="n">
        <v>210</v>
      </c>
      <c r="H25" s="246" t="n">
        <v>0.06</v>
      </c>
      <c r="I25" s="265" t="n">
        <f aca="false">G25+H25</f>
        <v>210.06</v>
      </c>
      <c r="J25" s="246" t="n">
        <f aca="false">IF(L25&gt;0,L25,0)</f>
        <v>0</v>
      </c>
      <c r="K25" s="265" t="n">
        <f aca="false">I25+J25</f>
        <v>210.06</v>
      </c>
      <c r="L25" s="265" t="n">
        <f aca="false">F25-(I25-AE25)</f>
        <v>-130.172679606756</v>
      </c>
      <c r="M25" s="267" t="n">
        <v>213</v>
      </c>
      <c r="N25" s="126" t="n">
        <f aca="false">1.8299*1.03</f>
        <v>1.884797</v>
      </c>
      <c r="O25" s="265" t="n">
        <f aca="false">(37.16+40.97)*1.05</f>
        <v>82.0365</v>
      </c>
      <c r="P25" s="265"/>
      <c r="Q25" s="366" t="n">
        <f aca="false">2.4*1.02</f>
        <v>2.448</v>
      </c>
      <c r="R25" s="366" t="n">
        <v>4.2</v>
      </c>
      <c r="S25" s="367" t="n">
        <v>4.76</v>
      </c>
      <c r="T25" s="265" t="n">
        <v>59</v>
      </c>
      <c r="U25" s="265" t="n">
        <v>71</v>
      </c>
      <c r="V25" s="265" t="n">
        <f aca="false">M25-N25-O25-Q25-R25-S25+T25+U25</f>
        <v>247.670703</v>
      </c>
      <c r="W25" s="105" t="n">
        <f aca="false">W24-(V25-I25)-Q25-R25-AA25-(AN25/1.9835)</f>
        <v>3075.85297942765</v>
      </c>
      <c r="X25" s="105" t="n">
        <f aca="false">X24+AO25</f>
        <v>2412.5</v>
      </c>
      <c r="Y25" s="105" t="n">
        <f aca="false">Y24</f>
        <v>0</v>
      </c>
      <c r="Z25" s="265" t="n">
        <v>232</v>
      </c>
      <c r="AA25" s="267" t="n">
        <v>1.7</v>
      </c>
      <c r="AB25" s="269" t="n">
        <v>1.3</v>
      </c>
      <c r="AC25" s="528" t="n">
        <v>64</v>
      </c>
      <c r="AD25" s="477" t="n">
        <f aca="false">AD24-AC25</f>
        <v>10071.2578774893</v>
      </c>
      <c r="AE25" s="128" t="n">
        <f aca="false">N25+O25+Q25+R25+S25+V25+Z25+AC25</f>
        <v>639</v>
      </c>
      <c r="AF25" s="265" t="n">
        <f aca="false">IF(L25&lt;0,L25*-1,0)</f>
        <v>130.172679606756</v>
      </c>
      <c r="AG25" s="265" t="n">
        <f aca="false">AE25+AF25</f>
        <v>769.172679606756</v>
      </c>
      <c r="AH25" s="379" t="n">
        <v>0</v>
      </c>
      <c r="AI25" s="243" t="n">
        <v>92</v>
      </c>
      <c r="AJ25" s="248" t="n">
        <v>58</v>
      </c>
      <c r="AK25" s="243" t="n">
        <f aca="false">AK24</f>
        <v>15698.7543455</v>
      </c>
      <c r="AL25" s="243"/>
      <c r="AM25" s="437"/>
      <c r="AN25" s="366" t="n">
        <f aca="false">60.3*(W24*1.9835+X24*1.9835+Y24*1.9835)/E25</f>
        <v>4.44803204849589</v>
      </c>
      <c r="AO25" s="438" t="n">
        <v>24.5</v>
      </c>
      <c r="AP25" s="8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2.95" hidden="false" customHeight="true" outlineLevel="0" collapsed="false">
      <c r="A26" s="172" t="n">
        <f aca="false">A25+1</f>
        <v>15</v>
      </c>
      <c r="B26" s="104" t="n">
        <v>6904.13</v>
      </c>
      <c r="C26" s="105" t="n">
        <v>299068</v>
      </c>
      <c r="D26" s="243" t="n">
        <f aca="false">C26-C25</f>
        <v>-1148</v>
      </c>
      <c r="E26" s="105" t="n">
        <f aca="false">C26-152000</f>
        <v>147068</v>
      </c>
      <c r="F26" s="264" t="n">
        <f aca="false">D26/$D$2</f>
        <v>-578.774892866146</v>
      </c>
      <c r="G26" s="265" t="n">
        <v>182</v>
      </c>
      <c r="H26" s="246" t="n">
        <v>0.05</v>
      </c>
      <c r="I26" s="265" t="n">
        <f aca="false">G26+H26</f>
        <v>182.05</v>
      </c>
      <c r="J26" s="246" t="n">
        <f aca="false">IF(L26&gt;0,L26,0)</f>
        <v>0</v>
      </c>
      <c r="K26" s="265" t="n">
        <f aca="false">I26+J26</f>
        <v>182.05</v>
      </c>
      <c r="L26" s="265" t="n">
        <f aca="false">F26-(I26-AE26)</f>
        <v>-94.8248928661457</v>
      </c>
      <c r="M26" s="267" t="n">
        <v>230</v>
      </c>
      <c r="N26" s="126" t="n">
        <f aca="false">1.8299*1.03</f>
        <v>1.884797</v>
      </c>
      <c r="O26" s="265" t="n">
        <f aca="false">(41.22+43.07)*1.05</f>
        <v>88.5045</v>
      </c>
      <c r="P26" s="265"/>
      <c r="Q26" s="366" t="n">
        <f aca="false">2.4*1.02</f>
        <v>2.448</v>
      </c>
      <c r="R26" s="366" t="n">
        <v>4.2</v>
      </c>
      <c r="S26" s="367" t="n">
        <v>5.56</v>
      </c>
      <c r="T26" s="265" t="n">
        <v>59</v>
      </c>
      <c r="U26" s="265" t="n">
        <v>72</v>
      </c>
      <c r="V26" s="265" t="n">
        <f aca="false">M26-N26-O26-Q26-R26-S26+T26+U26</f>
        <v>258.402703</v>
      </c>
      <c r="W26" s="105" t="n">
        <f aca="false">W25-(V26-I26)-Q26-R26-AA26-(AN26/1.9835)</f>
        <v>2988.90197259092</v>
      </c>
      <c r="X26" s="105" t="n">
        <f aca="false">X25+AO26</f>
        <v>2437</v>
      </c>
      <c r="Y26" s="105" t="n">
        <f aca="false">Y25</f>
        <v>0</v>
      </c>
      <c r="Z26" s="265" t="n">
        <v>241</v>
      </c>
      <c r="AA26" s="267" t="n">
        <v>1.7</v>
      </c>
      <c r="AB26" s="269" t="n">
        <v>1.3</v>
      </c>
      <c r="AC26" s="528" t="n">
        <v>64</v>
      </c>
      <c r="AD26" s="477" t="n">
        <f aca="false">AD25-AC26</f>
        <v>10007.2578774893</v>
      </c>
      <c r="AE26" s="128" t="n">
        <f aca="false">N26+O26+Q26+R26+S26+V26+Z26+AC26</f>
        <v>666</v>
      </c>
      <c r="AF26" s="265" t="n">
        <f aca="false">IF(L26&lt;0,L26*-1,0)</f>
        <v>94.8248928661457</v>
      </c>
      <c r="AG26" s="265" t="n">
        <f aca="false">AE26+AF26</f>
        <v>760.824892866146</v>
      </c>
      <c r="AH26" s="379" t="n">
        <v>0</v>
      </c>
      <c r="AI26" s="249" t="n">
        <v>91</v>
      </c>
      <c r="AJ26" s="248" t="n">
        <v>59</v>
      </c>
      <c r="AK26" s="243" t="n">
        <f aca="false">AK25</f>
        <v>15698.7543455</v>
      </c>
      <c r="AL26" s="243"/>
      <c r="AM26" s="437"/>
      <c r="AN26" s="366" t="n">
        <f aca="false">60.3*(W25*1.9835+X25*1.9835+Y25*1.9835)/E26</f>
        <v>4.46347766014424</v>
      </c>
      <c r="AO26" s="438" t="n">
        <v>24.5</v>
      </c>
      <c r="AP26" s="8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2.95" hidden="false" customHeight="true" outlineLevel="0" collapsed="false">
      <c r="A27" s="172" t="n">
        <f aca="false">A26+1</f>
        <v>16</v>
      </c>
      <c r="B27" s="104" t="n">
        <v>6903.85</v>
      </c>
      <c r="C27" s="105" t="n">
        <v>298002</v>
      </c>
      <c r="D27" s="243" t="n">
        <f aca="false">C27-C26</f>
        <v>-1066</v>
      </c>
      <c r="E27" s="105" t="n">
        <f aca="false">C27-152000</f>
        <v>146002</v>
      </c>
      <c r="F27" s="264" t="n">
        <f aca="false">D27/$D$2</f>
        <v>-537.433829089992</v>
      </c>
      <c r="G27" s="265" t="n">
        <v>189</v>
      </c>
      <c r="H27" s="246" t="n">
        <v>0.04</v>
      </c>
      <c r="I27" s="265" t="n">
        <f aca="false">G27+H27</f>
        <v>189.04</v>
      </c>
      <c r="J27" s="246" t="n">
        <f aca="false">IF(L27&gt;0,L27,0)</f>
        <v>0</v>
      </c>
      <c r="K27" s="265" t="n">
        <f aca="false">I27+J27</f>
        <v>189.04</v>
      </c>
      <c r="L27" s="265" t="n">
        <f aca="false">F27-(I27-AE27)</f>
        <v>-84.4738290899924</v>
      </c>
      <c r="M27" s="267" t="n">
        <v>240</v>
      </c>
      <c r="N27" s="126" t="n">
        <f aca="false">1.8299*1.03</f>
        <v>1.884797</v>
      </c>
      <c r="O27" s="265" t="n">
        <f aca="false">(38.47+43.33)*1.05</f>
        <v>85.89</v>
      </c>
      <c r="P27" s="265"/>
      <c r="Q27" s="366" t="n">
        <f aca="false">2.4*1.02</f>
        <v>2.448</v>
      </c>
      <c r="R27" s="366" t="n">
        <v>4.2</v>
      </c>
      <c r="S27" s="367" t="n">
        <v>3.56</v>
      </c>
      <c r="T27" s="265" t="n">
        <v>59</v>
      </c>
      <c r="U27" s="265" t="n">
        <v>73</v>
      </c>
      <c r="V27" s="265" t="n">
        <f aca="false">M27-N27-O27-Q27-R27-S27+T27+U27</f>
        <v>274.017203</v>
      </c>
      <c r="W27" s="105" t="n">
        <f aca="false">W26-(V27-I27)-Q27-R27-AA27-(AN27/1.9835)</f>
        <v>2893.33582844664</v>
      </c>
      <c r="X27" s="105" t="n">
        <f aca="false">X26+AO27</f>
        <v>2461.5</v>
      </c>
      <c r="Y27" s="105" t="n">
        <f aca="false">Y26</f>
        <v>0</v>
      </c>
      <c r="Z27" s="265" t="n">
        <v>206</v>
      </c>
      <c r="AA27" s="267" t="n">
        <v>1.7</v>
      </c>
      <c r="AB27" s="269" t="n">
        <v>1.3</v>
      </c>
      <c r="AC27" s="528" t="n">
        <v>64</v>
      </c>
      <c r="AD27" s="477" t="n">
        <f aca="false">AD26-AC27</f>
        <v>9943.25787748929</v>
      </c>
      <c r="AE27" s="128" t="n">
        <f aca="false">N27+O27+Q27+R27+S27+V27+Z27+AC27</f>
        <v>642</v>
      </c>
      <c r="AF27" s="265" t="n">
        <f aca="false">IF(L27&lt;0,L27*-1,0)</f>
        <v>84.4738290899924</v>
      </c>
      <c r="AG27" s="265" t="n">
        <f aca="false">AE27+AF27</f>
        <v>726.473829089992</v>
      </c>
      <c r="AH27" s="379" t="n">
        <v>0</v>
      </c>
      <c r="AI27" s="249" t="n">
        <v>83</v>
      </c>
      <c r="AJ27" s="248" t="n">
        <v>60</v>
      </c>
      <c r="AK27" s="243" t="n">
        <f aca="false">AK26</f>
        <v>15698.7543455</v>
      </c>
      <c r="AL27" s="243"/>
      <c r="AM27" s="437"/>
      <c r="AN27" s="366" t="n">
        <f aca="false">60.3*(W26*1.9835+X26*1.9835+Y26*1.9835)/E27</f>
        <v>4.44490675968025</v>
      </c>
      <c r="AO27" s="438" t="n">
        <v>24.5</v>
      </c>
      <c r="AP27" s="8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2.95" hidden="false" customHeight="true" outlineLevel="0" collapsed="false">
      <c r="A28" s="172" t="n">
        <f aca="false">A27+1</f>
        <v>17</v>
      </c>
      <c r="B28" s="104" t="n">
        <v>6903.57</v>
      </c>
      <c r="C28" s="105" t="n">
        <v>296940</v>
      </c>
      <c r="D28" s="243" t="n">
        <f aca="false">C28-C27</f>
        <v>-1062</v>
      </c>
      <c r="E28" s="105" t="n">
        <f aca="false">C28-152000</f>
        <v>144940</v>
      </c>
      <c r="F28" s="264" t="n">
        <f aca="false">D28/$D$2</f>
        <v>-535.417191832619</v>
      </c>
      <c r="G28" s="265" t="n">
        <v>235</v>
      </c>
      <c r="H28" s="246" t="n">
        <v>0.04</v>
      </c>
      <c r="I28" s="265" t="n">
        <f aca="false">G28+H28</f>
        <v>235.04</v>
      </c>
      <c r="J28" s="246" t="n">
        <f aca="false">IF(L28&gt;0,L28,0)</f>
        <v>0</v>
      </c>
      <c r="K28" s="265" t="n">
        <f aca="false">I28+J28</f>
        <v>235.04</v>
      </c>
      <c r="L28" s="265" t="n">
        <f aca="false">F28-(I28-AE28)</f>
        <v>-82.4571918326191</v>
      </c>
      <c r="M28" s="267" t="n">
        <v>238</v>
      </c>
      <c r="N28" s="126" t="n">
        <f aca="false">1.8299*1.03</f>
        <v>1.884797</v>
      </c>
      <c r="O28" s="265" t="n">
        <f aca="false">(39.73+41.28)*1.05</f>
        <v>85.0605</v>
      </c>
      <c r="P28" s="265"/>
      <c r="Q28" s="366" t="n">
        <f aca="false">2.4*1.02</f>
        <v>2.448</v>
      </c>
      <c r="R28" s="366" t="n">
        <v>4.2</v>
      </c>
      <c r="S28" s="367" t="n">
        <v>5.54</v>
      </c>
      <c r="T28" s="265" t="n">
        <v>60</v>
      </c>
      <c r="U28" s="265" t="n">
        <v>73</v>
      </c>
      <c r="V28" s="265" t="n">
        <f aca="false">M28-N28-O28-Q28-R28-S28+T28+U28</f>
        <v>271.866703</v>
      </c>
      <c r="W28" s="105" t="n">
        <f aca="false">W27-(V28-I28)-Q28-R28-AA28-(AN28/1.9835)</f>
        <v>2845.93333049387</v>
      </c>
      <c r="X28" s="105" t="n">
        <f aca="false">X27+AO28</f>
        <v>2486</v>
      </c>
      <c r="Y28" s="105" t="n">
        <f aca="false">Y27</f>
        <v>0</v>
      </c>
      <c r="Z28" s="265" t="n">
        <v>252</v>
      </c>
      <c r="AA28" s="267" t="n">
        <v>1.7</v>
      </c>
      <c r="AB28" s="269" t="n">
        <v>1.3</v>
      </c>
      <c r="AC28" s="528" t="n">
        <v>65</v>
      </c>
      <c r="AD28" s="477" t="n">
        <f aca="false">AD27-AC28</f>
        <v>9878.25787748929</v>
      </c>
      <c r="AE28" s="128" t="n">
        <f aca="false">N28+O28+Q28+R28+S28+V28+Z28+AC28</f>
        <v>688</v>
      </c>
      <c r="AF28" s="265" t="n">
        <f aca="false">IF(L28&lt;0,L28*-1,0)</f>
        <v>82.4571918326191</v>
      </c>
      <c r="AG28" s="265" t="n">
        <f aca="false">AE28+AF28</f>
        <v>770.457191832619</v>
      </c>
      <c r="AH28" s="379" t="n">
        <v>0.09</v>
      </c>
      <c r="AI28" s="249" t="n">
        <v>95</v>
      </c>
      <c r="AJ28" s="248" t="n">
        <v>60</v>
      </c>
      <c r="AK28" s="243" t="n">
        <f aca="false">AK27</f>
        <v>15698.7543455</v>
      </c>
      <c r="AL28" s="243"/>
      <c r="AM28" s="437"/>
      <c r="AN28" s="366" t="n">
        <f aca="false">60.3*(W27*1.9835+X27*1.9835+Y27*1.9835)/E28</f>
        <v>4.41883128883091</v>
      </c>
      <c r="AO28" s="438" t="n">
        <v>24.5</v>
      </c>
      <c r="AP28" s="8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2.95" hidden="false" customHeight="true" outlineLevel="0" collapsed="false">
      <c r="A29" s="172" t="n">
        <f aca="false">A28+1</f>
        <v>18</v>
      </c>
      <c r="B29" s="104" t="n">
        <v>6903.42</v>
      </c>
      <c r="C29" s="105" t="n">
        <v>296371</v>
      </c>
      <c r="D29" s="243" t="n">
        <f aca="false">C29-C28</f>
        <v>-569</v>
      </c>
      <c r="E29" s="105" t="n">
        <f aca="false">C29-152000</f>
        <v>144371</v>
      </c>
      <c r="F29" s="264" t="n">
        <f aca="false">D29/$D$2</f>
        <v>-286.866649861356</v>
      </c>
      <c r="G29" s="265" t="n">
        <v>234</v>
      </c>
      <c r="H29" s="246" t="n">
        <v>0.01</v>
      </c>
      <c r="I29" s="265" t="n">
        <f aca="false">G29+H29</f>
        <v>234.01</v>
      </c>
      <c r="J29" s="246" t="n">
        <f aca="false">IF(L29&gt;0,L29,0)</f>
        <v>149.123350138644</v>
      </c>
      <c r="K29" s="265" t="n">
        <f aca="false">I29+J29</f>
        <v>383.133350138644</v>
      </c>
      <c r="L29" s="265" t="n">
        <f aca="false">F29-(I29-AE29)</f>
        <v>149.123350138644</v>
      </c>
      <c r="M29" s="267" t="n">
        <v>234</v>
      </c>
      <c r="N29" s="126" t="n">
        <f aca="false">1.8299*1.03</f>
        <v>1.884797</v>
      </c>
      <c r="O29" s="265" t="n">
        <f aca="false">(39.79+39.74)*1.05</f>
        <v>83.5065</v>
      </c>
      <c r="P29" s="265"/>
      <c r="Q29" s="366" t="n">
        <f aca="false">2.4*1.02</f>
        <v>2.448</v>
      </c>
      <c r="R29" s="366" t="n">
        <v>4.2</v>
      </c>
      <c r="S29" s="367" t="n">
        <v>5.86</v>
      </c>
      <c r="T29" s="265" t="n">
        <v>60</v>
      </c>
      <c r="U29" s="265" t="n">
        <v>78</v>
      </c>
      <c r="V29" s="265" t="n">
        <f aca="false">M29-N29-O29-Q29-R29-S29+T29+U29</f>
        <v>274.100703</v>
      </c>
      <c r="W29" s="105" t="n">
        <f aca="false">W28-(V29-I29)-Q29-R29-AA29-(AN29/1.9835)</f>
        <v>2795.2676180541</v>
      </c>
      <c r="X29" s="105" t="n">
        <f aca="false">X28+AO29</f>
        <v>2510.5</v>
      </c>
      <c r="Y29" s="105" t="n">
        <f aca="false">Y28</f>
        <v>0</v>
      </c>
      <c r="Z29" s="265" t="n">
        <v>231</v>
      </c>
      <c r="AA29" s="267" t="n">
        <v>1.7</v>
      </c>
      <c r="AB29" s="269" t="n">
        <v>1.3</v>
      </c>
      <c r="AC29" s="528" t="n">
        <v>67</v>
      </c>
      <c r="AD29" s="477" t="n">
        <f aca="false">AD28-AC29</f>
        <v>9811.25787748929</v>
      </c>
      <c r="AE29" s="128" t="n">
        <f aca="false">N29+O29+Q29+R29+S29+V29+Z29+AC29</f>
        <v>670</v>
      </c>
      <c r="AF29" s="265" t="n">
        <f aca="false">IF(L29&lt;0,L29*-1,0)</f>
        <v>0</v>
      </c>
      <c r="AG29" s="265" t="n">
        <f aca="false">AE29+AF29</f>
        <v>670</v>
      </c>
      <c r="AH29" s="379" t="n">
        <v>0.14</v>
      </c>
      <c r="AI29" s="249" t="n">
        <v>89</v>
      </c>
      <c r="AJ29" s="248" t="n">
        <v>61</v>
      </c>
      <c r="AK29" s="243" t="n">
        <f aca="false">AK28</f>
        <v>15698.7543455</v>
      </c>
      <c r="AL29" s="243"/>
      <c r="AM29" s="437"/>
      <c r="AN29" s="366" t="n">
        <f aca="false">60.3*(W28*1.9835+X28*1.9835+Y28*1.9835)/E29</f>
        <v>4.4172732237803</v>
      </c>
      <c r="AO29" s="438" t="n">
        <v>24.5</v>
      </c>
      <c r="AP29" s="8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2.95" hidden="false" customHeight="true" outlineLevel="0" collapsed="false">
      <c r="A30" s="172" t="n">
        <f aca="false">A29+1</f>
        <v>19</v>
      </c>
      <c r="B30" s="104" t="n">
        <v>6903.15</v>
      </c>
      <c r="C30" s="105" t="n">
        <v>295346</v>
      </c>
      <c r="D30" s="243" t="n">
        <f aca="false">C30-C29</f>
        <v>-1025</v>
      </c>
      <c r="E30" s="105" t="n">
        <f aca="false">C30-152000</f>
        <v>143346</v>
      </c>
      <c r="F30" s="264" t="n">
        <f aca="false">D30/$D$2</f>
        <v>-516.763297201916</v>
      </c>
      <c r="G30" s="265" t="n">
        <v>238</v>
      </c>
      <c r="H30" s="246" t="n">
        <v>0</v>
      </c>
      <c r="I30" s="265" t="n">
        <f aca="false">G30+H30</f>
        <v>238</v>
      </c>
      <c r="J30" s="246" t="n">
        <f aca="false">IF(L30&gt;0,L30,0)</f>
        <v>0</v>
      </c>
      <c r="K30" s="265" t="n">
        <f aca="false">I30+J30</f>
        <v>238</v>
      </c>
      <c r="L30" s="265" t="n">
        <f aca="false">F30-(I30-AE30)</f>
        <v>-70.7632972019158</v>
      </c>
      <c r="M30" s="267" t="n">
        <v>238</v>
      </c>
      <c r="N30" s="126" t="n">
        <f aca="false">1.8299*1.03</f>
        <v>1.884797</v>
      </c>
      <c r="O30" s="265" t="n">
        <f aca="false">(42.39+43)*1.05</f>
        <v>89.6595</v>
      </c>
      <c r="P30" s="265"/>
      <c r="Q30" s="366" t="n">
        <f aca="false">2.4*1.02</f>
        <v>2.448</v>
      </c>
      <c r="R30" s="366" t="n">
        <v>4.2</v>
      </c>
      <c r="S30" s="367" t="n">
        <v>5.95</v>
      </c>
      <c r="T30" s="265" t="n">
        <v>60</v>
      </c>
      <c r="U30" s="265" t="n">
        <v>79</v>
      </c>
      <c r="V30" s="265" t="n">
        <f aca="false">M30-N30-O30-Q30-R30-S30+T30+U30</f>
        <v>272.857703</v>
      </c>
      <c r="W30" s="105" t="n">
        <f aca="false">W29-(V30-I30)-Q30-R30-AA30-(AN30/1.9835)</f>
        <v>2749.82998819623</v>
      </c>
      <c r="X30" s="105" t="n">
        <f aca="false">X29+AO30</f>
        <v>2535</v>
      </c>
      <c r="Y30" s="105" t="n">
        <f aca="false">Y29</f>
        <v>0</v>
      </c>
      <c r="Z30" s="265" t="n">
        <v>241</v>
      </c>
      <c r="AA30" s="267" t="n">
        <v>1.7</v>
      </c>
      <c r="AB30" s="269" t="n">
        <v>1.3</v>
      </c>
      <c r="AC30" s="528" t="n">
        <v>66</v>
      </c>
      <c r="AD30" s="477" t="n">
        <f aca="false">AD29-AC30</f>
        <v>9745.25787748929</v>
      </c>
      <c r="AE30" s="128" t="n">
        <f aca="false">N30+O30+Q30+R30+S30+V30+Z30+AC30</f>
        <v>684</v>
      </c>
      <c r="AF30" s="265" t="n">
        <f aca="false">IF(L30&lt;0,L30*-1,0)</f>
        <v>70.7632972019158</v>
      </c>
      <c r="AG30" s="265" t="n">
        <f aca="false">AE30+AF30</f>
        <v>754.763297201916</v>
      </c>
      <c r="AH30" s="379" t="n">
        <v>0.15</v>
      </c>
      <c r="AI30" s="249" t="n">
        <v>86</v>
      </c>
      <c r="AJ30" s="248" t="n">
        <v>57</v>
      </c>
      <c r="AK30" s="243" t="n">
        <f aca="false">AK29</f>
        <v>15698.7543455</v>
      </c>
      <c r="AL30" s="243"/>
      <c r="AM30" s="437"/>
      <c r="AN30" s="366" t="n">
        <f aca="false">60.3*(W29*1.9835+X29*1.9835+Y29*1.9835)/E30</f>
        <v>4.42702692259108</v>
      </c>
      <c r="AO30" s="438" t="n">
        <v>24.5</v>
      </c>
      <c r="AP30" s="8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2.95" hidden="false" customHeight="true" outlineLevel="0" collapsed="false">
      <c r="A31" s="172" t="n">
        <f aca="false">A30+1</f>
        <v>20</v>
      </c>
      <c r="B31" s="104" t="n">
        <v>6902.9</v>
      </c>
      <c r="C31" s="105" t="n">
        <v>294401</v>
      </c>
      <c r="D31" s="243" t="n">
        <f aca="false">C31-C30</f>
        <v>-945</v>
      </c>
      <c r="E31" s="105" t="n">
        <f aca="false">C31-152000</f>
        <v>142401</v>
      </c>
      <c r="F31" s="264" t="n">
        <f aca="false">D31/$D$2</f>
        <v>-476.430552054449</v>
      </c>
      <c r="G31" s="265" t="n">
        <v>251</v>
      </c>
      <c r="H31" s="246" t="n">
        <v>0</v>
      </c>
      <c r="I31" s="265" t="n">
        <f aca="false">G31+H31</f>
        <v>251</v>
      </c>
      <c r="J31" s="246" t="n">
        <f aca="false">IF(L31&gt;0,L31,0)</f>
        <v>0</v>
      </c>
      <c r="K31" s="265" t="n">
        <f aca="false">I31+J31</f>
        <v>251</v>
      </c>
      <c r="L31" s="265" t="n">
        <f aca="false">F31-(I31-AE31)</f>
        <v>-80.4305520544492</v>
      </c>
      <c r="M31" s="267" t="n">
        <v>214</v>
      </c>
      <c r="N31" s="126" t="n">
        <f aca="false">1.8299*1.03</f>
        <v>1.884797</v>
      </c>
      <c r="O31" s="265" t="n">
        <f aca="false">(37.57+40.19)*1.05</f>
        <v>81.648</v>
      </c>
      <c r="P31" s="265"/>
      <c r="Q31" s="366" t="n">
        <f aca="false">2.4*1.02</f>
        <v>2.448</v>
      </c>
      <c r="R31" s="366" t="n">
        <v>4.2</v>
      </c>
      <c r="S31" s="367" t="n">
        <v>2.92</v>
      </c>
      <c r="T31" s="265" t="n">
        <v>60</v>
      </c>
      <c r="U31" s="265" t="n">
        <v>80</v>
      </c>
      <c r="V31" s="265" t="n">
        <f aca="false">M31-N31-O31-Q31-R31-S31+T31+U31</f>
        <v>260.899203</v>
      </c>
      <c r="W31" s="105" t="n">
        <f aca="false">W30-(V31-I31)-Q31-R31-AA31-(AN31/1.9835)</f>
        <v>2729.34491293207</v>
      </c>
      <c r="X31" s="105" t="n">
        <f aca="false">X30+AO31</f>
        <v>2559.5</v>
      </c>
      <c r="Y31" s="105" t="n">
        <f aca="false">Y30</f>
        <v>0</v>
      </c>
      <c r="Z31" s="265" t="n">
        <v>228</v>
      </c>
      <c r="AA31" s="267" t="n">
        <v>1.7</v>
      </c>
      <c r="AB31" s="269" t="n">
        <v>1.3</v>
      </c>
      <c r="AC31" s="528" t="n">
        <v>65</v>
      </c>
      <c r="AD31" s="477" t="n">
        <f aca="false">AD30-AC31</f>
        <v>9680.25787748929</v>
      </c>
      <c r="AE31" s="128" t="n">
        <f aca="false">N31+O31+Q31+R31+S31+V31+Z31+AC31</f>
        <v>647</v>
      </c>
      <c r="AF31" s="265" t="n">
        <f aca="false">IF(L31&lt;0,L31*-1,0)</f>
        <v>80.4305520544492</v>
      </c>
      <c r="AG31" s="265" t="n">
        <f aca="false">AE31+AF31</f>
        <v>727.430552054449</v>
      </c>
      <c r="AH31" s="379" t="n">
        <v>0.05</v>
      </c>
      <c r="AI31" s="249" t="n">
        <v>89</v>
      </c>
      <c r="AJ31" s="248" t="n">
        <v>59</v>
      </c>
      <c r="AK31" s="243" t="n">
        <f aca="false">AK30</f>
        <v>15698.7543455</v>
      </c>
      <c r="AL31" s="243"/>
      <c r="AM31" s="437"/>
      <c r="AN31" s="366" t="n">
        <f aca="false">60.3*(W30*1.9835+X30*1.9835+Y30*1.9835)/E31</f>
        <v>4.43881963595557</v>
      </c>
      <c r="AO31" s="438" t="n">
        <v>24.5</v>
      </c>
      <c r="AP31" s="8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2.95" hidden="false" customHeight="true" outlineLevel="0" collapsed="false">
      <c r="A32" s="172" t="n">
        <f aca="false">A31+1</f>
        <v>21</v>
      </c>
      <c r="B32" s="104" t="n">
        <v>6902.65</v>
      </c>
      <c r="C32" s="105" t="n">
        <v>293460</v>
      </c>
      <c r="D32" s="243" t="n">
        <f aca="false">C32-C31</f>
        <v>-941</v>
      </c>
      <c r="E32" s="105" t="n">
        <f aca="false">C32-152000</f>
        <v>141460</v>
      </c>
      <c r="F32" s="264" t="n">
        <f aca="false">D32/$D$2</f>
        <v>-474.413914797076</v>
      </c>
      <c r="G32" s="265" t="n">
        <v>254</v>
      </c>
      <c r="H32" s="246" t="n">
        <v>0</v>
      </c>
      <c r="I32" s="265" t="n">
        <f aca="false">G32+H32</f>
        <v>254</v>
      </c>
      <c r="J32" s="246" t="n">
        <f aca="false">IF(L32&gt;0,L32,0)</f>
        <v>0</v>
      </c>
      <c r="K32" s="265" t="n">
        <f aca="false">I32+J32</f>
        <v>254</v>
      </c>
      <c r="L32" s="265" t="n">
        <f aca="false">F32-(I32-AE32)</f>
        <v>-85.4139147970759</v>
      </c>
      <c r="M32" s="267" t="n">
        <v>224</v>
      </c>
      <c r="N32" s="126" t="n">
        <f aca="false">1.8299*1.03</f>
        <v>1.884797</v>
      </c>
      <c r="O32" s="265" t="n">
        <f aca="false">(40+41)*1.05</f>
        <v>85.05</v>
      </c>
      <c r="P32" s="265"/>
      <c r="Q32" s="366" t="n">
        <f aca="false">2.4*1.02</f>
        <v>2.448</v>
      </c>
      <c r="R32" s="366" t="n">
        <v>4.2</v>
      </c>
      <c r="S32" s="367" t="n">
        <v>3.67</v>
      </c>
      <c r="T32" s="265" t="n">
        <v>60</v>
      </c>
      <c r="U32" s="265" t="n">
        <v>81</v>
      </c>
      <c r="V32" s="265" t="n">
        <f aca="false">M32-N32-O32-Q32-R32-S32+T32+U32</f>
        <v>267.747203</v>
      </c>
      <c r="W32" s="105" t="n">
        <f aca="false">W31-(V32-I32)-Q32-R32-AA32-(AN32/1.9835)</f>
        <v>2704.9952397762</v>
      </c>
      <c r="X32" s="105" t="n">
        <f aca="false">X31+AO32</f>
        <v>2584</v>
      </c>
      <c r="Y32" s="105" t="n">
        <f aca="false">Y31</f>
        <v>0</v>
      </c>
      <c r="Z32" s="265" t="n">
        <v>213</v>
      </c>
      <c r="AA32" s="267" t="n">
        <v>1.7</v>
      </c>
      <c r="AB32" s="269" t="n">
        <v>1.3</v>
      </c>
      <c r="AC32" s="528" t="n">
        <v>65</v>
      </c>
      <c r="AD32" s="477" t="n">
        <f aca="false">AD31-AC32</f>
        <v>9615.25787748929</v>
      </c>
      <c r="AE32" s="128" t="n">
        <f aca="false">N32+O32+Q32+R32+S32+V32+Z32+AC32</f>
        <v>643</v>
      </c>
      <c r="AF32" s="265" t="n">
        <f aca="false">IF(L32&lt;0,L32*-1,0)</f>
        <v>85.4139147970759</v>
      </c>
      <c r="AG32" s="265" t="n">
        <f aca="false">AE32+AF32</f>
        <v>728.413914797076</v>
      </c>
      <c r="AH32" s="379" t="n">
        <v>0</v>
      </c>
      <c r="AI32" s="243" t="n">
        <v>90</v>
      </c>
      <c r="AJ32" s="248" t="n">
        <v>65</v>
      </c>
      <c r="AK32" s="243" t="n">
        <f aca="false">AK31</f>
        <v>15698.7543455</v>
      </c>
      <c r="AL32" s="243"/>
      <c r="AM32" s="437"/>
      <c r="AN32" s="366" t="n">
        <f aca="false">60.3*(W31*1.9835+X31*1.9835+Y31*1.9835)/E32</f>
        <v>4.47174155417423</v>
      </c>
      <c r="AO32" s="438" t="n">
        <v>24.5</v>
      </c>
      <c r="AP32" s="8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2.95" hidden="false" customHeight="true" outlineLevel="0" collapsed="false">
      <c r="A33" s="172" t="n">
        <f aca="false">A32+1</f>
        <v>22</v>
      </c>
      <c r="B33" s="104" t="n">
        <v>6902.4</v>
      </c>
      <c r="C33" s="105" t="n">
        <v>292520</v>
      </c>
      <c r="D33" s="243" t="n">
        <f aca="false">C33-C32</f>
        <v>-940</v>
      </c>
      <c r="E33" s="105" t="n">
        <f aca="false">C33-152000</f>
        <v>140520</v>
      </c>
      <c r="F33" s="264" t="n">
        <f aca="false">D33/$D$2</f>
        <v>-473.909755482733</v>
      </c>
      <c r="G33" s="265" t="n">
        <v>273</v>
      </c>
      <c r="H33" s="246" t="n">
        <v>0</v>
      </c>
      <c r="I33" s="265" t="n">
        <f aca="false">G33+H33</f>
        <v>273</v>
      </c>
      <c r="J33" s="246" t="n">
        <f aca="false">IF(L33&gt;0,L33,0)</f>
        <v>0</v>
      </c>
      <c r="K33" s="265" t="n">
        <f aca="false">I33+J33</f>
        <v>273</v>
      </c>
      <c r="L33" s="265" t="n">
        <f aca="false">F33-(I33-AE33)</f>
        <v>-119.909755482733</v>
      </c>
      <c r="M33" s="267" t="n">
        <v>217</v>
      </c>
      <c r="N33" s="126" t="n">
        <f aca="false">1.8299*1.03</f>
        <v>1.884797</v>
      </c>
      <c r="O33" s="265" t="n">
        <f aca="false">(42.1+40.76)*1.05</f>
        <v>87.003</v>
      </c>
      <c r="P33" s="265"/>
      <c r="Q33" s="366" t="n">
        <f aca="false">2.4*1.02</f>
        <v>2.448</v>
      </c>
      <c r="R33" s="366" t="n">
        <v>4.2</v>
      </c>
      <c r="S33" s="367" t="n">
        <v>3.05</v>
      </c>
      <c r="T33" s="265" t="n">
        <v>59</v>
      </c>
      <c r="U33" s="265" t="n">
        <v>83</v>
      </c>
      <c r="V33" s="265" t="n">
        <f aca="false">M33-N33-O33-Q33-R33-S33+T33+U33</f>
        <v>260.414203</v>
      </c>
      <c r="W33" s="105" t="n">
        <f aca="false">W32-(V33-I33)-Q33-R33-AA33-(AN33/1.9835)</f>
        <v>2706.96342097091</v>
      </c>
      <c r="X33" s="105" t="n">
        <f aca="false">X32+AO33</f>
        <v>2608.5</v>
      </c>
      <c r="Y33" s="105" t="n">
        <f aca="false">Y32</f>
        <v>0</v>
      </c>
      <c r="Z33" s="265" t="n">
        <v>202</v>
      </c>
      <c r="AA33" s="267" t="n">
        <v>1.7</v>
      </c>
      <c r="AB33" s="269" t="n">
        <v>1.3</v>
      </c>
      <c r="AC33" s="528" t="n">
        <v>66</v>
      </c>
      <c r="AD33" s="477" t="n">
        <f aca="false">AD32-AC33</f>
        <v>9549.25787748929</v>
      </c>
      <c r="AE33" s="128" t="n">
        <f aca="false">N33+O33+Q33+R33+S33+V33+Z33+AC33</f>
        <v>627</v>
      </c>
      <c r="AF33" s="265" t="n">
        <f aca="false">IF(L33&lt;0,L33*-1,0)</f>
        <v>119.909755482733</v>
      </c>
      <c r="AG33" s="265" t="n">
        <f aca="false">AE33+AF33</f>
        <v>746.909755482733</v>
      </c>
      <c r="AH33" s="379" t="n">
        <v>0</v>
      </c>
      <c r="AI33" s="243" t="n">
        <v>89</v>
      </c>
      <c r="AJ33" s="248" t="n">
        <v>62</v>
      </c>
      <c r="AK33" s="243" t="n">
        <f aca="false">AK32</f>
        <v>15698.7543455</v>
      </c>
      <c r="AL33" s="243"/>
      <c r="AM33" s="437"/>
      <c r="AN33" s="366" t="n">
        <f aca="false">60.3*(W32*1.9835+X32*1.9835+Y32*1.9835)/E33</f>
        <v>4.50178294978077</v>
      </c>
      <c r="AO33" s="438" t="n">
        <v>24.5</v>
      </c>
      <c r="AP33" s="8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2.95" hidden="false" customHeight="true" outlineLevel="0" collapsed="false">
      <c r="A34" s="172" t="n">
        <f aca="false">A33+1</f>
        <v>23</v>
      </c>
      <c r="B34" s="104" t="n">
        <v>6902.17</v>
      </c>
      <c r="C34" s="105" t="n">
        <v>291654</v>
      </c>
      <c r="D34" s="243" t="n">
        <f aca="false">C34-C33</f>
        <v>-866</v>
      </c>
      <c r="E34" s="105" t="n">
        <f aca="false">C34-152000</f>
        <v>139654</v>
      </c>
      <c r="F34" s="264" t="n">
        <f aca="false">D34/$D$2</f>
        <v>-436.601966221326</v>
      </c>
      <c r="G34" s="265" t="n">
        <v>245</v>
      </c>
      <c r="H34" s="246" t="n">
        <v>0</v>
      </c>
      <c r="I34" s="265" t="n">
        <f aca="false">G34+H34</f>
        <v>245</v>
      </c>
      <c r="J34" s="246" t="n">
        <f aca="false">IF(L34&gt;0,L34,0)</f>
        <v>0</v>
      </c>
      <c r="K34" s="265" t="n">
        <f aca="false">I34+J34</f>
        <v>245</v>
      </c>
      <c r="L34" s="265" t="n">
        <f aca="false">F34-(I34-AE34)</f>
        <v>-84.6019662213259</v>
      </c>
      <c r="M34" s="267" t="n">
        <v>237</v>
      </c>
      <c r="N34" s="126" t="n">
        <f aca="false">1.8299*1.03</f>
        <v>1.884797</v>
      </c>
      <c r="O34" s="265" t="n">
        <f aca="false">(38.4+41.77)*1.05</f>
        <v>84.1785</v>
      </c>
      <c r="P34" s="265"/>
      <c r="Q34" s="366" t="n">
        <f aca="false">2.4*1.02</f>
        <v>2.448</v>
      </c>
      <c r="R34" s="366" t="n">
        <v>4.2</v>
      </c>
      <c r="S34" s="367" t="n">
        <v>4.18</v>
      </c>
      <c r="T34" s="265" t="n">
        <v>60</v>
      </c>
      <c r="U34" s="265" t="n">
        <v>82</v>
      </c>
      <c r="V34" s="265" t="n">
        <f aca="false">M34-N34-O34-Q34-R34-S34+T34+U34</f>
        <v>282.108703</v>
      </c>
      <c r="W34" s="105" t="n">
        <f aca="false">W33-(V34-I34)-Q34-R34-AA34-(AN34/1.9835)</f>
        <v>2659.21159971949</v>
      </c>
      <c r="X34" s="105" t="n">
        <f aca="false">X33+AO34</f>
        <v>2633</v>
      </c>
      <c r="Y34" s="105" t="n">
        <f aca="false">Y33</f>
        <v>0</v>
      </c>
      <c r="Z34" s="265" t="n">
        <v>153</v>
      </c>
      <c r="AA34" s="267" t="n">
        <v>1.7</v>
      </c>
      <c r="AB34" s="269" t="n">
        <v>1.3</v>
      </c>
      <c r="AC34" s="528" t="n">
        <v>65</v>
      </c>
      <c r="AD34" s="477" t="n">
        <f aca="false">AD33-AC34</f>
        <v>9484.25787748929</v>
      </c>
      <c r="AE34" s="128" t="n">
        <f aca="false">N34+O34+Q34+R34+S34+V34+Z34+AC34</f>
        <v>597</v>
      </c>
      <c r="AF34" s="265" t="n">
        <f aca="false">IF(L34&lt;0,L34*-1,0)</f>
        <v>84.6019662213259</v>
      </c>
      <c r="AG34" s="265" t="n">
        <f aca="false">AE34+AF34</f>
        <v>681.601966221326</v>
      </c>
      <c r="AH34" s="379" t="n">
        <v>0.05</v>
      </c>
      <c r="AI34" s="243" t="n">
        <v>88</v>
      </c>
      <c r="AJ34" s="270" t="n">
        <v>58</v>
      </c>
      <c r="AK34" s="243" t="n">
        <f aca="false">AK33</f>
        <v>15698.7543455</v>
      </c>
      <c r="AL34" s="243"/>
      <c r="AM34" s="437"/>
      <c r="AN34" s="366" t="n">
        <f aca="false">60.3*(W33*1.9835+X33*1.9835+Y33*1.9835)/E34</f>
        <v>4.55236705170205</v>
      </c>
      <c r="AO34" s="438" t="n">
        <v>24.5</v>
      </c>
      <c r="AP34" s="8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2.95" hidden="false" customHeight="true" outlineLevel="0" collapsed="false">
      <c r="A35" s="172" t="n">
        <f aca="false">A34+1</f>
        <v>24</v>
      </c>
      <c r="B35" s="104" t="n">
        <v>6901.95</v>
      </c>
      <c r="C35" s="105" t="n">
        <v>290828</v>
      </c>
      <c r="D35" s="243" t="n">
        <f aca="false">C35-C34</f>
        <v>-826</v>
      </c>
      <c r="E35" s="105" t="n">
        <f aca="false">C35-152000</f>
        <v>138828</v>
      </c>
      <c r="F35" s="264" t="n">
        <f aca="false">D35/$D$2</f>
        <v>-416.435593647593</v>
      </c>
      <c r="G35" s="265" t="n">
        <v>235</v>
      </c>
      <c r="H35" s="246" t="n">
        <v>0</v>
      </c>
      <c r="I35" s="265" t="n">
        <f aca="false">G35+H35</f>
        <v>235</v>
      </c>
      <c r="J35" s="246" t="n">
        <f aca="false">IF(L35&gt;0,L35,0)</f>
        <v>0</v>
      </c>
      <c r="K35" s="265" t="n">
        <f aca="false">I35+J35</f>
        <v>235</v>
      </c>
      <c r="L35" s="265" t="n">
        <f aca="false">F35-(I35-AE35)</f>
        <v>-50.4355936475926</v>
      </c>
      <c r="M35" s="267" t="n">
        <v>222</v>
      </c>
      <c r="N35" s="126" t="n">
        <f aca="false">1.8299*1.03</f>
        <v>1.884797</v>
      </c>
      <c r="O35" s="265" t="n">
        <f aca="false">(39.82+38.78)*1.05</f>
        <v>82.53</v>
      </c>
      <c r="P35" s="265"/>
      <c r="Q35" s="366" t="n">
        <f aca="false">2.4*1.02</f>
        <v>2.448</v>
      </c>
      <c r="R35" s="366" t="n">
        <v>4.2</v>
      </c>
      <c r="S35" s="367" t="n">
        <v>4.74</v>
      </c>
      <c r="T35" s="265" t="n">
        <v>60</v>
      </c>
      <c r="U35" s="265" t="n">
        <v>81</v>
      </c>
      <c r="V35" s="265" t="n">
        <f aca="false">M35-N35-O35-Q35-R35-S35+T35+U35</f>
        <v>267.197203</v>
      </c>
      <c r="W35" s="105" t="n">
        <f aca="false">W34-(V35-I35)-Q35-R35-AA35-(AN35/1.9835)</f>
        <v>2616.36772239253</v>
      </c>
      <c r="X35" s="105" t="n">
        <f aca="false">X34+AO35</f>
        <v>2657.5</v>
      </c>
      <c r="Y35" s="105" t="n">
        <f aca="false">Y34</f>
        <v>0</v>
      </c>
      <c r="Z35" s="265" t="n">
        <v>172</v>
      </c>
      <c r="AA35" s="267" t="n">
        <v>1.7</v>
      </c>
      <c r="AB35" s="269" t="n">
        <v>1.3</v>
      </c>
      <c r="AC35" s="528" t="n">
        <v>66</v>
      </c>
      <c r="AD35" s="477" t="n">
        <f aca="false">AD34-AC35</f>
        <v>9418.25787748929</v>
      </c>
      <c r="AE35" s="128" t="n">
        <f aca="false">N35+O35+Q35+R35+S35+V35+Z35+AC35</f>
        <v>601</v>
      </c>
      <c r="AF35" s="265" t="n">
        <f aca="false">IF(L35&lt;0,L35*-1,0)</f>
        <v>50.4355936475926</v>
      </c>
      <c r="AG35" s="265" t="n">
        <f aca="false">AE35+AF35</f>
        <v>651.435593647593</v>
      </c>
      <c r="AH35" s="379" t="n">
        <v>0.05</v>
      </c>
      <c r="AI35" s="243" t="n">
        <v>92</v>
      </c>
      <c r="AJ35" s="270" t="n">
        <v>59</v>
      </c>
      <c r="AK35" s="243" t="n">
        <f aca="false">AK34</f>
        <v>15698.7543455</v>
      </c>
      <c r="AL35" s="243"/>
      <c r="AM35" s="437"/>
      <c r="AN35" s="366" t="n">
        <f aca="false">60.3*(W34*1.9835+X34*1.9835+Y34*1.9835)/E35</f>
        <v>4.55942052752348</v>
      </c>
      <c r="AO35" s="438" t="n">
        <v>24.5</v>
      </c>
      <c r="AP35" s="8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2.95" hidden="false" customHeight="true" outlineLevel="0" collapsed="false">
      <c r="A36" s="172" t="n">
        <f aca="false">A35+1</f>
        <v>25</v>
      </c>
      <c r="B36" s="104" t="n">
        <v>6901.73</v>
      </c>
      <c r="C36" s="105" t="n">
        <v>290007</v>
      </c>
      <c r="D36" s="243" t="n">
        <f aca="false">C36-C35</f>
        <v>-821</v>
      </c>
      <c r="E36" s="105" t="n">
        <f aca="false">C36-152000</f>
        <v>138007</v>
      </c>
      <c r="F36" s="264" t="n">
        <f aca="false">D36/$D$2</f>
        <v>-413.914797075876</v>
      </c>
      <c r="G36" s="265" t="n">
        <v>236</v>
      </c>
      <c r="H36" s="246" t="n">
        <v>0</v>
      </c>
      <c r="I36" s="265" t="n">
        <f aca="false">G36+H36</f>
        <v>236</v>
      </c>
      <c r="J36" s="246" t="n">
        <f aca="false">IF(L36&gt;0,L36,0)</f>
        <v>0</v>
      </c>
      <c r="K36" s="265" t="n">
        <f aca="false">I36+J36</f>
        <v>236</v>
      </c>
      <c r="L36" s="265" t="n">
        <f aca="false">F36-(I36-AE36)</f>
        <v>-76.914797075876</v>
      </c>
      <c r="M36" s="267" t="n">
        <v>215</v>
      </c>
      <c r="N36" s="126" t="n">
        <f aca="false">1.8299*1.03</f>
        <v>1.884797</v>
      </c>
      <c r="O36" s="265" t="n">
        <f aca="false">(33.93+34.87)*1.05</f>
        <v>72.24</v>
      </c>
      <c r="P36" s="265"/>
      <c r="Q36" s="366" t="n">
        <f aca="false">2.4*1.02</f>
        <v>2.448</v>
      </c>
      <c r="R36" s="366" t="n">
        <v>4.2</v>
      </c>
      <c r="S36" s="367" t="n">
        <v>4.36</v>
      </c>
      <c r="T36" s="265" t="n">
        <v>48</v>
      </c>
      <c r="U36" s="265" t="n">
        <v>76</v>
      </c>
      <c r="V36" s="265" t="n">
        <f aca="false">M36-N36-O36-Q36-R36-S36+T36+U36</f>
        <v>253.867203</v>
      </c>
      <c r="W36" s="105" t="n">
        <f aca="false">W35-(V36-I36)-Q36-R36-AA36-(AN36/1.9835)</f>
        <v>2587.84818538295</v>
      </c>
      <c r="X36" s="105" t="n">
        <f aca="false">X35+AO36</f>
        <v>2682</v>
      </c>
      <c r="Y36" s="105" t="n">
        <f aca="false">Y35</f>
        <v>0</v>
      </c>
      <c r="Z36" s="265" t="n">
        <v>167</v>
      </c>
      <c r="AA36" s="267" t="n">
        <v>1.7</v>
      </c>
      <c r="AB36" s="269" t="n">
        <v>1.3</v>
      </c>
      <c r="AC36" s="528" t="n">
        <v>67</v>
      </c>
      <c r="AD36" s="477" t="n">
        <f aca="false">AD35-AC36</f>
        <v>9351.25787748929</v>
      </c>
      <c r="AE36" s="128" t="n">
        <f aca="false">N36+O36+Q36+R36+S36+V36+Z36+AC36</f>
        <v>573</v>
      </c>
      <c r="AF36" s="265" t="n">
        <f aca="false">IF(L36&lt;0,L36*-1,0)</f>
        <v>76.914797075876</v>
      </c>
      <c r="AG36" s="265" t="n">
        <f aca="false">AE36+AF36</f>
        <v>649.914797075876</v>
      </c>
      <c r="AH36" s="379" t="n">
        <v>0.03</v>
      </c>
      <c r="AI36" s="243" t="n">
        <v>89</v>
      </c>
      <c r="AJ36" s="270" t="n">
        <v>61</v>
      </c>
      <c r="AK36" s="243" t="n">
        <f aca="false">AK35</f>
        <v>15698.7543455</v>
      </c>
      <c r="AL36" s="243"/>
      <c r="AM36" s="437"/>
      <c r="AN36" s="366" t="n">
        <f aca="false">60.3*(W35*1.9835+X35*1.9835+Y35*1.9835)/E36</f>
        <v>4.57064650800427</v>
      </c>
      <c r="AO36" s="438" t="n">
        <v>24.5</v>
      </c>
      <c r="AP36" s="8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2.95" hidden="false" customHeight="true" outlineLevel="0" collapsed="false">
      <c r="A37" s="172" t="n">
        <f aca="false">A36+1</f>
        <v>26</v>
      </c>
      <c r="B37" s="104" t="n">
        <v>6901.49</v>
      </c>
      <c r="C37" s="105" t="n">
        <v>289111</v>
      </c>
      <c r="D37" s="243" t="n">
        <f aca="false">C37-C36</f>
        <v>-896</v>
      </c>
      <c r="E37" s="105" t="n">
        <f aca="false">C37-152000</f>
        <v>137111</v>
      </c>
      <c r="F37" s="264" t="n">
        <f aca="false">D37/$D$2</f>
        <v>-451.726745651626</v>
      </c>
      <c r="G37" s="265" t="n">
        <v>244</v>
      </c>
      <c r="H37" s="246" t="n">
        <v>0</v>
      </c>
      <c r="I37" s="265" t="n">
        <f aca="false">G37+H37</f>
        <v>244</v>
      </c>
      <c r="J37" s="246" t="n">
        <f aca="false">IF(L37&gt;0,L37,0)</f>
        <v>0</v>
      </c>
      <c r="K37" s="265" t="n">
        <f aca="false">I37+J37</f>
        <v>244</v>
      </c>
      <c r="L37" s="265" t="n">
        <f aca="false">F37-(I37-AE37)</f>
        <v>-100.726745651626</v>
      </c>
      <c r="M37" s="267" t="n">
        <v>213</v>
      </c>
      <c r="N37" s="126" t="n">
        <f aca="false">1.8299*1.03</f>
        <v>1.884797</v>
      </c>
      <c r="O37" s="265" t="n">
        <f aca="false">(28.6+30.69)*1.05</f>
        <v>62.2545</v>
      </c>
      <c r="P37" s="265"/>
      <c r="Q37" s="366" t="n">
        <f aca="false">2.4*1.02</f>
        <v>2.448</v>
      </c>
      <c r="R37" s="366" t="n">
        <v>4.2</v>
      </c>
      <c r="S37" s="367" t="n">
        <v>3.86</v>
      </c>
      <c r="T37" s="265" t="n">
        <v>60</v>
      </c>
      <c r="U37" s="265" t="n">
        <v>82</v>
      </c>
      <c r="V37" s="265" t="n">
        <f aca="false">M37-N37-O37-Q37-R37-S37+T37+U37</f>
        <v>280.352703</v>
      </c>
      <c r="W37" s="105" t="n">
        <f aca="false">W36-(V37-I37)-Q37-R37-AA37-(AN37/1.9835)</f>
        <v>2540.82985764403</v>
      </c>
      <c r="X37" s="105" t="n">
        <f aca="false">X36+AO37</f>
        <v>2706.5</v>
      </c>
      <c r="Y37" s="105" t="n">
        <f aca="false">Y36</f>
        <v>0</v>
      </c>
      <c r="Z37" s="265" t="n">
        <v>171</v>
      </c>
      <c r="AA37" s="267" t="n">
        <v>1.7</v>
      </c>
      <c r="AB37" s="269" t="n">
        <v>1.3</v>
      </c>
      <c r="AC37" s="528" t="n">
        <v>69</v>
      </c>
      <c r="AD37" s="477" t="n">
        <f aca="false">AD36-AC37</f>
        <v>9282.25787748929</v>
      </c>
      <c r="AE37" s="128" t="n">
        <f aca="false">N37+O37+Q37+R37+S37+V37+Z37+AC37</f>
        <v>595</v>
      </c>
      <c r="AF37" s="265" t="n">
        <f aca="false">IF(L37&lt;0,L37*-1,0)</f>
        <v>100.726745651626</v>
      </c>
      <c r="AG37" s="265" t="n">
        <f aca="false">AE37+AF37</f>
        <v>695.726745651626</v>
      </c>
      <c r="AH37" s="379" t="n">
        <v>0</v>
      </c>
      <c r="AI37" s="243" t="n">
        <v>89</v>
      </c>
      <c r="AJ37" s="248" t="n">
        <v>59</v>
      </c>
      <c r="AK37" s="243" t="n">
        <f aca="false">AK36</f>
        <v>15698.7543455</v>
      </c>
      <c r="AL37" s="243"/>
      <c r="AM37" s="437"/>
      <c r="AN37" s="366" t="n">
        <f aca="false">60.3*(W36*1.9835+X36*1.9835+Y36*1.9835)/E37</f>
        <v>4.59700866965551</v>
      </c>
      <c r="AO37" s="438" t="n">
        <v>24.5</v>
      </c>
      <c r="AP37" s="3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2.95" hidden="false" customHeight="true" outlineLevel="0" collapsed="false">
      <c r="A38" s="172" t="n">
        <f aca="false">A37+1</f>
        <v>27</v>
      </c>
      <c r="B38" s="104" t="n">
        <v>6901.24</v>
      </c>
      <c r="C38" s="105" t="n">
        <v>288178</v>
      </c>
      <c r="D38" s="243" t="n">
        <f aca="false">C38-C37</f>
        <v>-933</v>
      </c>
      <c r="E38" s="105" t="n">
        <f aca="false">C38-152000</f>
        <v>136178</v>
      </c>
      <c r="F38" s="264" t="n">
        <f aca="false">D38/$D$2</f>
        <v>-470.380640282329</v>
      </c>
      <c r="G38" s="265" t="n">
        <v>224</v>
      </c>
      <c r="H38" s="246" t="n">
        <v>0</v>
      </c>
      <c r="I38" s="265" t="n">
        <f aca="false">G38+H38</f>
        <v>224</v>
      </c>
      <c r="J38" s="246" t="n">
        <f aca="false">IF(L38&gt;0,L38,0)</f>
        <v>0</v>
      </c>
      <c r="K38" s="265" t="n">
        <f aca="false">I38+J38</f>
        <v>224</v>
      </c>
      <c r="L38" s="265" t="n">
        <f aca="false">F38-(I38-AE38)</f>
        <v>-49.3806402823292</v>
      </c>
      <c r="M38" s="267" t="n">
        <v>250</v>
      </c>
      <c r="N38" s="126" t="n">
        <f aca="false">1.8299*1.03</f>
        <v>1.884797</v>
      </c>
      <c r="O38" s="265" t="n">
        <f aca="false">(36.64+40.37)*1.05</f>
        <v>80.8605</v>
      </c>
      <c r="P38" s="265"/>
      <c r="Q38" s="366" t="n">
        <f aca="false">2.4*1.02</f>
        <v>2.448</v>
      </c>
      <c r="R38" s="366" t="n">
        <v>4.2</v>
      </c>
      <c r="S38" s="367" t="n">
        <v>4.83</v>
      </c>
      <c r="T38" s="265" t="n">
        <v>63</v>
      </c>
      <c r="U38" s="265" t="n">
        <v>82</v>
      </c>
      <c r="V38" s="265" t="n">
        <f aca="false">M38-N38-O38-Q38-R38-S38+T38+U38</f>
        <v>300.776703</v>
      </c>
      <c r="W38" s="105" t="n">
        <f aca="false">W37-(V38-I38)-Q38-R38-AA38-(AN38/1.9835)</f>
        <v>2453.38162227892</v>
      </c>
      <c r="X38" s="105" t="n">
        <f aca="false">X37+AO38</f>
        <v>2709.21</v>
      </c>
      <c r="Y38" s="105" t="n">
        <f aca="false">Y37</f>
        <v>0</v>
      </c>
      <c r="Z38" s="265" t="n">
        <v>181</v>
      </c>
      <c r="AA38" s="267" t="n">
        <v>1.7</v>
      </c>
      <c r="AB38" s="269" t="n">
        <v>1.3</v>
      </c>
      <c r="AC38" s="528" t="n">
        <v>69</v>
      </c>
      <c r="AD38" s="477" t="n">
        <f aca="false">AD37-AC38</f>
        <v>9213.25787748929</v>
      </c>
      <c r="AE38" s="128" t="n">
        <f aca="false">N38+O38+Q38+R38+S38+V38+Z38+AC38</f>
        <v>645</v>
      </c>
      <c r="AF38" s="265" t="n">
        <f aca="false">IF(L38&lt;0,L38*-1,0)</f>
        <v>49.3806402823292</v>
      </c>
      <c r="AG38" s="265" t="n">
        <f aca="false">AE38+AF38</f>
        <v>694.380640282329</v>
      </c>
      <c r="AH38" s="379" t="n">
        <v>0</v>
      </c>
      <c r="AI38" s="243" t="n">
        <v>88</v>
      </c>
      <c r="AJ38" s="248" t="n">
        <v>66</v>
      </c>
      <c r="AK38" s="243" t="n">
        <f aca="false">AK37</f>
        <v>15698.7543455</v>
      </c>
      <c r="AL38" s="243"/>
      <c r="AM38" s="437"/>
      <c r="AN38" s="366" t="n">
        <f aca="false">60.3*(W37*1.9835+X37*1.9835+Y37*1.9835)/E38</f>
        <v>4.60872644619547</v>
      </c>
      <c r="AO38" s="438" t="n">
        <v>2.71</v>
      </c>
      <c r="AP38" s="8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2.95" hidden="false" customHeight="true" outlineLevel="0" collapsed="false">
      <c r="A39" s="172" t="n">
        <f aca="false">A38+1</f>
        <v>28</v>
      </c>
      <c r="B39" s="104" t="n">
        <v>6900.99</v>
      </c>
      <c r="C39" s="105" t="n">
        <v>287247</v>
      </c>
      <c r="D39" s="243" t="n">
        <f aca="false">C39-C38</f>
        <v>-931</v>
      </c>
      <c r="E39" s="105" t="n">
        <f aca="false">C39-152000</f>
        <v>135247</v>
      </c>
      <c r="F39" s="264" t="n">
        <f aca="false">D39/$D$2</f>
        <v>-469.372321653643</v>
      </c>
      <c r="G39" s="265" t="n">
        <v>213</v>
      </c>
      <c r="H39" s="246" t="n">
        <v>0</v>
      </c>
      <c r="I39" s="265" t="n">
        <f aca="false">G39+H39</f>
        <v>213</v>
      </c>
      <c r="J39" s="246" t="n">
        <f aca="false">IF(L39&gt;0,L39,0)</f>
        <v>0</v>
      </c>
      <c r="K39" s="265" t="n">
        <f aca="false">I39+J39</f>
        <v>213</v>
      </c>
      <c r="L39" s="265" t="n">
        <f aca="false">F39-(I39-AE39)</f>
        <v>-61.3723216536425</v>
      </c>
      <c r="M39" s="267" t="n">
        <v>248</v>
      </c>
      <c r="N39" s="126" t="n">
        <f aca="false">1.8299*1.03</f>
        <v>1.884797</v>
      </c>
      <c r="O39" s="265" t="n">
        <f aca="false">(40.85+40.55)*1.05</f>
        <v>85.47</v>
      </c>
      <c r="P39" s="265"/>
      <c r="Q39" s="366" t="n">
        <f aca="false">2.4*1.02</f>
        <v>2.448</v>
      </c>
      <c r="R39" s="366" t="n">
        <v>4.2</v>
      </c>
      <c r="S39" s="367" t="n">
        <v>5.53</v>
      </c>
      <c r="T39" s="265" t="n">
        <v>65</v>
      </c>
      <c r="U39" s="265" t="n">
        <v>82</v>
      </c>
      <c r="V39" s="265" t="n">
        <f aca="false">M39-N39-O39-Q39-R39-S39+T39+U39</f>
        <v>295.467203</v>
      </c>
      <c r="W39" s="105" t="n">
        <f aca="false">W38-(V39-I39)-Q39-R39-AA39-(AN39/1.9835)</f>
        <v>2360.26467303077</v>
      </c>
      <c r="X39" s="105" t="n">
        <f aca="false">X38+AO39</f>
        <v>2709.21</v>
      </c>
      <c r="Y39" s="105" t="n">
        <f aca="false">Y38</f>
        <v>0</v>
      </c>
      <c r="Z39" s="265" t="n">
        <v>157</v>
      </c>
      <c r="AA39" s="267" t="n">
        <v>1.7</v>
      </c>
      <c r="AB39" s="269" t="n">
        <v>1.3</v>
      </c>
      <c r="AC39" s="528" t="n">
        <v>69</v>
      </c>
      <c r="AD39" s="477" t="n">
        <f aca="false">AD38-AC39</f>
        <v>9144.25787748929</v>
      </c>
      <c r="AE39" s="128" t="n">
        <f aca="false">N39+O39+Q39+R39+S39+V39+Z39+AC39</f>
        <v>621</v>
      </c>
      <c r="AF39" s="265" t="n">
        <f aca="false">IF(L39&lt;0,L39*-1,0)</f>
        <v>61.3723216536425</v>
      </c>
      <c r="AG39" s="265" t="n">
        <f aca="false">AE39+AF39</f>
        <v>682.372321653643</v>
      </c>
      <c r="AH39" s="379" t="n">
        <v>0</v>
      </c>
      <c r="AI39" s="243" t="n">
        <v>81</v>
      </c>
      <c r="AJ39" s="248" t="n">
        <v>57</v>
      </c>
      <c r="AK39" s="243" t="n">
        <f aca="false">AK38</f>
        <v>15698.7543455</v>
      </c>
      <c r="AL39" s="243"/>
      <c r="AM39" s="437"/>
      <c r="AN39" s="366" t="n">
        <f aca="false">60.3*(W38*1.9835+X38*1.9835+Y38*1.9835)/E39</f>
        <v>4.5655136832037</v>
      </c>
      <c r="AO39" s="438"/>
      <c r="AP39" s="8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2.95" hidden="false" customHeight="true" outlineLevel="0" collapsed="false">
      <c r="A40" s="172" t="n">
        <f aca="false">A39+1</f>
        <v>29</v>
      </c>
      <c r="B40" s="104" t="n">
        <v>6900.72</v>
      </c>
      <c r="C40" s="105" t="n">
        <v>286245</v>
      </c>
      <c r="D40" s="243" t="n">
        <f aca="false">C40-C39</f>
        <v>-1002</v>
      </c>
      <c r="E40" s="105" t="n">
        <f aca="false">C40-152000</f>
        <v>134245</v>
      </c>
      <c r="F40" s="264" t="n">
        <f aca="false">D40/$D$2</f>
        <v>-505.167632972019</v>
      </c>
      <c r="G40" s="265" t="n">
        <v>164</v>
      </c>
      <c r="H40" s="246" t="n">
        <v>0</v>
      </c>
      <c r="I40" s="265" t="n">
        <f aca="false">G40+H40</f>
        <v>164</v>
      </c>
      <c r="J40" s="246" t="n">
        <f aca="false">IF(L40&gt;0,L40,0)</f>
        <v>0</v>
      </c>
      <c r="K40" s="265" t="n">
        <f aca="false">I40+J40</f>
        <v>164</v>
      </c>
      <c r="L40" s="265" t="n">
        <f aca="false">F40-(I40-AE40)</f>
        <v>-51.1676329720191</v>
      </c>
      <c r="M40" s="267" t="n">
        <v>246</v>
      </c>
      <c r="N40" s="126" t="n">
        <f aca="false">1.8299*1.03</f>
        <v>1.884797</v>
      </c>
      <c r="O40" s="265" t="n">
        <f aca="false">(38.52+40.71)*1.05</f>
        <v>83.1915</v>
      </c>
      <c r="P40" s="265"/>
      <c r="Q40" s="366" t="n">
        <f aca="false">2.4*1.02</f>
        <v>2.448</v>
      </c>
      <c r="R40" s="366" t="n">
        <v>4.2</v>
      </c>
      <c r="S40" s="367" t="n">
        <v>2.05</v>
      </c>
      <c r="T40" s="265" t="n">
        <v>65</v>
      </c>
      <c r="U40" s="265" t="n">
        <v>82</v>
      </c>
      <c r="V40" s="265" t="n">
        <f aca="false">M40-N40-O40-Q40-R40-S40+T40+U40</f>
        <v>299.225703</v>
      </c>
      <c r="W40" s="105" t="n">
        <f aca="false">W39-(V40-I40)-Q40-R40-AA40-(AN40/1.9835)</f>
        <v>2214.41386978284</v>
      </c>
      <c r="X40" s="105" t="n">
        <f aca="false">X39+AO40</f>
        <v>2709.21</v>
      </c>
      <c r="Y40" s="105" t="n">
        <f aca="false">Y39</f>
        <v>0</v>
      </c>
      <c r="Z40" s="265" t="n">
        <v>155</v>
      </c>
      <c r="AA40" s="267" t="n">
        <v>1.7</v>
      </c>
      <c r="AB40" s="269" t="n">
        <v>1.3</v>
      </c>
      <c r="AC40" s="528" t="n">
        <v>70</v>
      </c>
      <c r="AD40" s="477" t="n">
        <f aca="false">AD39-AC40</f>
        <v>9074.25787748929</v>
      </c>
      <c r="AE40" s="128" t="n">
        <f aca="false">N40+O40+Q40+R40+S40+V40+Z40+AC40</f>
        <v>618</v>
      </c>
      <c r="AF40" s="265" t="n">
        <f aca="false">IF(L40&lt;0,L40*-1,0)</f>
        <v>51.1676329720191</v>
      </c>
      <c r="AG40" s="265" t="n">
        <f aca="false">AE40+AF40</f>
        <v>669.167632972019</v>
      </c>
      <c r="AH40" s="379" t="n">
        <v>0.16</v>
      </c>
      <c r="AI40" s="249" t="n">
        <v>85</v>
      </c>
      <c r="AJ40" s="248" t="n">
        <v>59</v>
      </c>
      <c r="AK40" s="243" t="n">
        <f aca="false">AK39</f>
        <v>15698.7543455</v>
      </c>
      <c r="AL40" s="243"/>
      <c r="AM40" s="437"/>
      <c r="AN40" s="366" t="n">
        <f aca="false">60.3*(W39*1.9835+X39*1.9835+Y39*1.9835)/E40</f>
        <v>4.51662834177496</v>
      </c>
      <c r="AO40" s="438"/>
      <c r="AP40" s="8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12.95" hidden="false" customHeight="true" outlineLevel="0" collapsed="false">
      <c r="A41" s="172" t="n">
        <v>30</v>
      </c>
      <c r="B41" s="104" t="n">
        <v>6900.55</v>
      </c>
      <c r="C41" s="105" t="n">
        <v>285616</v>
      </c>
      <c r="D41" s="243" t="n">
        <f aca="false">C41-C40</f>
        <v>-629</v>
      </c>
      <c r="E41" s="105" t="n">
        <f aca="false">C41-152000</f>
        <v>133616</v>
      </c>
      <c r="F41" s="264" t="n">
        <f aca="false">D41/$D$2</f>
        <v>-317.116208721956</v>
      </c>
      <c r="G41" s="265" t="n">
        <v>166</v>
      </c>
      <c r="H41" s="246" t="n">
        <v>0</v>
      </c>
      <c r="I41" s="265" t="n">
        <f aca="false">G41+H41</f>
        <v>166</v>
      </c>
      <c r="J41" s="246" t="n">
        <f aca="false">IF(L41&gt;0,L41,0)</f>
        <v>124.883791278044</v>
      </c>
      <c r="K41" s="265" t="n">
        <f aca="false">I41+J41</f>
        <v>290.883791278044</v>
      </c>
      <c r="L41" s="265" t="n">
        <f aca="false">F41-(I41-AE41)</f>
        <v>124.883791278044</v>
      </c>
      <c r="M41" s="267" t="n">
        <v>240</v>
      </c>
      <c r="N41" s="126" t="n">
        <f aca="false">1.8299*1.03</f>
        <v>1.884797</v>
      </c>
      <c r="O41" s="265" t="n">
        <f aca="false">(39.2+42.23)*1.05</f>
        <v>85.5015</v>
      </c>
      <c r="P41" s="265"/>
      <c r="Q41" s="366" t="n">
        <f aca="false">2.4*1.02</f>
        <v>2.448</v>
      </c>
      <c r="R41" s="366" t="n">
        <v>4.2</v>
      </c>
      <c r="S41" s="367" t="n">
        <v>2.73</v>
      </c>
      <c r="T41" s="265" t="n">
        <v>65</v>
      </c>
      <c r="U41" s="265" t="n">
        <v>80</v>
      </c>
      <c r="V41" s="265" t="n">
        <f aca="false">M41-N41-O41-Q41-R41-S41+T41+U41</f>
        <v>288.235703</v>
      </c>
      <c r="W41" s="105" t="n">
        <f aca="false">W40-(V41-I41)-Q41-R41-AA41-(AN41/1.9835)</f>
        <v>2081.60816852404</v>
      </c>
      <c r="X41" s="105" t="n">
        <f aca="false">X40+AO41</f>
        <v>2709.21</v>
      </c>
      <c r="Y41" s="105" t="n">
        <f aca="false">Y40</f>
        <v>0</v>
      </c>
      <c r="Z41" s="265" t="n">
        <v>155</v>
      </c>
      <c r="AA41" s="267" t="n">
        <v>1.7</v>
      </c>
      <c r="AB41" s="269" t="n">
        <v>1.3</v>
      </c>
      <c r="AC41" s="528" t="n">
        <v>68</v>
      </c>
      <c r="AD41" s="477" t="n">
        <f aca="false">AD40-AC41</f>
        <v>9006.25787748929</v>
      </c>
      <c r="AE41" s="128" t="n">
        <f aca="false">N41+O41+Q41+R41+S41+V41+Z41+AC41</f>
        <v>608</v>
      </c>
      <c r="AF41" s="265" t="n">
        <f aca="false">IF(L41&lt;0,L41*-1,0)</f>
        <v>0</v>
      </c>
      <c r="AG41" s="265" t="n">
        <f aca="false">AE41+AF41</f>
        <v>608</v>
      </c>
      <c r="AH41" s="379" t="n">
        <v>1.42</v>
      </c>
      <c r="AI41" s="249" t="n">
        <v>88</v>
      </c>
      <c r="AJ41" s="248" t="n">
        <v>57</v>
      </c>
      <c r="AK41" s="243" t="n">
        <f aca="false">AK40</f>
        <v>15698.7543455</v>
      </c>
      <c r="AL41" s="243"/>
      <c r="AM41" s="437"/>
      <c r="AN41" s="366" t="n">
        <f aca="false">60.3*(W40*1.9835+X40*1.9835+Y40*1.9835)/E41</f>
        <v>4.40733354633105</v>
      </c>
      <c r="AO41" s="438"/>
      <c r="AP41" s="8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</row>
    <row r="42" customFormat="false" ht="12.95" hidden="false" customHeight="true" outlineLevel="0" collapsed="false">
      <c r="A42" s="172" t="n">
        <v>31</v>
      </c>
      <c r="B42" s="104" t="n">
        <v>6900.38</v>
      </c>
      <c r="C42" s="105" t="n">
        <v>284987</v>
      </c>
      <c r="D42" s="243" t="n">
        <f aca="false">C42-C41</f>
        <v>-629</v>
      </c>
      <c r="E42" s="105" t="n">
        <f aca="false">C42-152000</f>
        <v>132987</v>
      </c>
      <c r="F42" s="264" t="n">
        <f aca="false">D42/$D$2</f>
        <v>-317.116208721956</v>
      </c>
      <c r="G42" s="265" t="n">
        <v>192</v>
      </c>
      <c r="H42" s="246" t="n">
        <v>0</v>
      </c>
      <c r="I42" s="265" t="n">
        <f aca="false">G42+H42</f>
        <v>192</v>
      </c>
      <c r="J42" s="246" t="n">
        <f aca="false">IF(L42&gt;0,L42,0)</f>
        <v>23.8837912780439</v>
      </c>
      <c r="K42" s="265" t="n">
        <f aca="false">I42+J42</f>
        <v>215.883791278044</v>
      </c>
      <c r="L42" s="265" t="n">
        <f aca="false">F42-(I42-AE42)</f>
        <v>23.8837912780439</v>
      </c>
      <c r="M42" s="267" t="n">
        <v>200</v>
      </c>
      <c r="N42" s="126" t="n">
        <f aca="false">1.8299*1.03</f>
        <v>1.884797</v>
      </c>
      <c r="O42" s="265" t="n">
        <f aca="false">(37.18+39.16)*1.05</f>
        <v>80.157</v>
      </c>
      <c r="P42" s="265"/>
      <c r="Q42" s="366" t="n">
        <f aca="false">2.4*1.02</f>
        <v>2.448</v>
      </c>
      <c r="R42" s="366" t="n">
        <v>4.2</v>
      </c>
      <c r="S42" s="367" t="n">
        <v>2.6</v>
      </c>
      <c r="T42" s="265" t="n">
        <v>66</v>
      </c>
      <c r="U42" s="265" t="n">
        <v>76</v>
      </c>
      <c r="V42" s="265" t="n">
        <f aca="false">M42-N42-O42-Q42-R42-S42+T42+U42</f>
        <v>250.710203</v>
      </c>
      <c r="W42" s="105" t="n">
        <f aca="false">W41-(V42-I42)-Q42-R42-AA42-(AN42/1.9835)</f>
        <v>2012.37767548394</v>
      </c>
      <c r="X42" s="105" t="n">
        <f aca="false">X41+AO42</f>
        <v>2709.21</v>
      </c>
      <c r="Y42" s="105" t="n">
        <f aca="false">Y41</f>
        <v>0</v>
      </c>
      <c r="Z42" s="265" t="n">
        <v>122</v>
      </c>
      <c r="AA42" s="267" t="n">
        <v>1.7</v>
      </c>
      <c r="AB42" s="269" t="n">
        <v>1.3</v>
      </c>
      <c r="AC42" s="528" t="n">
        <v>69</v>
      </c>
      <c r="AD42" s="477" t="n">
        <f aca="false">AD41-AC42</f>
        <v>8937.25787748929</v>
      </c>
      <c r="AE42" s="128" t="n">
        <f aca="false">N42+O42+Q42+R42+S42+V42+Z42+AC42</f>
        <v>533</v>
      </c>
      <c r="AF42" s="265" t="n">
        <f aca="false">IF(L42&lt;0,L42*-1,0)</f>
        <v>0</v>
      </c>
      <c r="AG42" s="265" t="n">
        <f aca="false">AE42+AF42</f>
        <v>533</v>
      </c>
      <c r="AH42" s="379" t="n">
        <v>0.07</v>
      </c>
      <c r="AI42" s="249" t="n">
        <v>82</v>
      </c>
      <c r="AJ42" s="248" t="n">
        <v>57</v>
      </c>
      <c r="AK42" s="243" t="n">
        <f aca="false">AK41</f>
        <v>15698.7543455</v>
      </c>
      <c r="AL42" s="243"/>
      <c r="AM42" s="437"/>
      <c r="AN42" s="366" t="n">
        <f aca="false">60.3*(W41*1.9835+X41*1.9835+Y41*1.9835)/E42</f>
        <v>4.30873729452673</v>
      </c>
      <c r="AO42" s="438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</row>
    <row r="43" customFormat="false" ht="3" hidden="false" customHeight="true" outlineLevel="0" collapsed="false">
      <c r="A43" s="252"/>
      <c r="B43" s="271"/>
      <c r="C43" s="254"/>
      <c r="D43" s="255"/>
      <c r="E43" s="254"/>
      <c r="F43" s="256"/>
      <c r="G43" s="255"/>
      <c r="H43" s="260"/>
      <c r="I43" s="255"/>
      <c r="J43" s="255"/>
      <c r="K43" s="255"/>
      <c r="L43" s="255"/>
      <c r="M43" s="258"/>
      <c r="N43" s="255"/>
      <c r="O43" s="255"/>
      <c r="P43" s="255"/>
      <c r="Q43" s="255"/>
      <c r="R43" s="255"/>
      <c r="S43" s="259"/>
      <c r="T43" s="255"/>
      <c r="U43" s="255"/>
      <c r="V43" s="255"/>
      <c r="W43" s="254"/>
      <c r="X43" s="254"/>
      <c r="Y43" s="254"/>
      <c r="Z43" s="255"/>
      <c r="AA43" s="258"/>
      <c r="AB43" s="259"/>
      <c r="AC43" s="255"/>
      <c r="AD43" s="255"/>
      <c r="AE43" s="255"/>
      <c r="AF43" s="255"/>
      <c r="AG43" s="255"/>
      <c r="AH43" s="527"/>
      <c r="AI43" s="262"/>
      <c r="AJ43" s="263"/>
      <c r="AK43" s="262"/>
      <c r="AL43" s="262"/>
      <c r="AM43" s="260"/>
      <c r="AN43" s="260"/>
      <c r="AO43" s="475"/>
      <c r="AP43" s="262"/>
    </row>
    <row r="44" customFormat="false" ht="12.95" hidden="false" customHeight="true" outlineLevel="0" collapsed="false">
      <c r="A44" s="173" t="s">
        <v>76</v>
      </c>
      <c r="B44" s="241"/>
      <c r="C44" s="105"/>
      <c r="D44" s="105"/>
      <c r="E44" s="105"/>
      <c r="F44" s="242" t="n">
        <f aca="false">SUM(F12:F42)</f>
        <v>-14635.7448953869</v>
      </c>
      <c r="G44" s="105" t="n">
        <f aca="false">SUM(G12:G42)</f>
        <v>7213</v>
      </c>
      <c r="H44" s="243" t="n">
        <f aca="false">SUM(H12:H42)</f>
        <v>1.53</v>
      </c>
      <c r="I44" s="105" t="n">
        <f aca="false">SUM(I12:I42)</f>
        <v>7214.53</v>
      </c>
      <c r="J44" s="105" t="n">
        <f aca="false">SUM(J12:J42)</f>
        <v>635.923332493068</v>
      </c>
      <c r="K44" s="105" t="n">
        <f aca="false">SUM(K12:K42)</f>
        <v>7850.45333249307</v>
      </c>
      <c r="L44" s="105" t="n">
        <f aca="false">SUM(L12:L42)</f>
        <v>-1311.27489538694</v>
      </c>
      <c r="M44" s="244" t="n">
        <f aca="false">SUM(M12:M42)</f>
        <v>7361</v>
      </c>
      <c r="N44" s="105" t="n">
        <f aca="false">SUM(N12:N42)</f>
        <v>58.428707</v>
      </c>
      <c r="O44" s="105" t="n">
        <f aca="false">SUM(O12:O42)</f>
        <v>2319.8805</v>
      </c>
      <c r="P44" s="105" t="n">
        <f aca="false">SUM(P12:P42)</f>
        <v>0</v>
      </c>
      <c r="Q44" s="105" t="n">
        <f aca="false">SUM(Q12:Q42)</f>
        <v>75.888</v>
      </c>
      <c r="R44" s="105" t="n">
        <f aca="false">SUM(R12:R42)</f>
        <v>130.2</v>
      </c>
      <c r="S44" s="245" t="n">
        <f aca="false">SUM(S12:S42)</f>
        <v>116.22</v>
      </c>
      <c r="T44" s="105" t="n">
        <f aca="false">SUM(T12:T42)</f>
        <v>2414</v>
      </c>
      <c r="U44" s="105" t="n">
        <f aca="false">SUM(U12:U42)</f>
        <v>2405</v>
      </c>
      <c r="V44" s="105" t="n">
        <f aca="false">SUM(V12:V42)</f>
        <v>9479.382793</v>
      </c>
      <c r="W44" s="105"/>
      <c r="X44" s="105"/>
      <c r="Y44" s="105"/>
      <c r="Z44" s="105" t="n">
        <f aca="false">SUM(Z12:Z42)</f>
        <v>6300</v>
      </c>
      <c r="AA44" s="531" t="n">
        <f aca="false">SUM(AA12:AA42)</f>
        <v>52.7</v>
      </c>
      <c r="AB44" s="532" t="n">
        <f aca="false">SUM(AB12:AB42)</f>
        <v>40.3</v>
      </c>
      <c r="AC44" s="105" t="n">
        <f aca="false">SUM(AC12:AC42)</f>
        <v>2059</v>
      </c>
      <c r="AD44" s="105"/>
      <c r="AE44" s="105" t="n">
        <f aca="false">SUM(AE12:AE42)</f>
        <v>20539</v>
      </c>
      <c r="AF44" s="105" t="n">
        <f aca="false">SUM(AF12:AF42)</f>
        <v>1947.19822788001</v>
      </c>
      <c r="AG44" s="105" t="n">
        <f aca="false">SUM(AG12:AG42)</f>
        <v>22486.19822788</v>
      </c>
      <c r="AH44" s="379" t="n">
        <f aca="false">SUM(AH12:AH43)</f>
        <v>3.75</v>
      </c>
      <c r="AI44" s="243" t="n">
        <f aca="false">AVERAGE(AI12:AI42)</f>
        <v>85.1612903225806</v>
      </c>
      <c r="AJ44" s="248" t="n">
        <f aca="false">AVERAGE(AJ12:AJ42)</f>
        <v>58.1935483870968</v>
      </c>
      <c r="AK44" s="243" t="s">
        <v>108</v>
      </c>
      <c r="AL44" s="105" t="n">
        <f aca="false">SUM(AL12:AL42)</f>
        <v>0</v>
      </c>
      <c r="AM44" s="246"/>
      <c r="AN44" s="533"/>
      <c r="AO44" s="366" t="n">
        <f aca="false">SUM(AO12:AO42)</f>
        <v>639.71</v>
      </c>
    </row>
    <row r="45" customFormat="false" ht="12.95" hidden="false" customHeight="true" outlineLevel="0" collapsed="false">
      <c r="A45" s="173" t="s">
        <v>78</v>
      </c>
      <c r="B45" s="241"/>
      <c r="C45" s="105"/>
      <c r="D45" s="105" t="n">
        <f aca="false">SUM(D12:D42)</f>
        <v>-29030</v>
      </c>
      <c r="E45" s="105"/>
      <c r="F45" s="242" t="n">
        <f aca="false">F44*$D$2</f>
        <v>-29030</v>
      </c>
      <c r="G45" s="105" t="n">
        <f aca="false">G44*$D$2</f>
        <v>14306.9855</v>
      </c>
      <c r="H45" s="243" t="n">
        <f aca="false">H44*$D$2</f>
        <v>3.034755</v>
      </c>
      <c r="I45" s="105" t="n">
        <f aca="false">I44*$D$2</f>
        <v>14310.020255</v>
      </c>
      <c r="J45" s="105" t="n">
        <f aca="false">J44*$D$2</f>
        <v>1261.35393</v>
      </c>
      <c r="K45" s="105" t="n">
        <f aca="false">K44*$D$2</f>
        <v>15571.374185</v>
      </c>
      <c r="L45" s="105" t="n">
        <f aca="false">L44*$D$2</f>
        <v>-2600.913755</v>
      </c>
      <c r="M45" s="244" t="n">
        <f aca="false">M44*$D$2</f>
        <v>14600.5435</v>
      </c>
      <c r="N45" s="105" t="n">
        <f aca="false">N44*$D$2</f>
        <v>115.8933403345</v>
      </c>
      <c r="O45" s="105" t="n">
        <f aca="false">O44*$D$2</f>
        <v>4601.48297175</v>
      </c>
      <c r="P45" s="105" t="n">
        <f aca="false">P44*$D$2</f>
        <v>0</v>
      </c>
      <c r="Q45" s="105" t="n">
        <f aca="false">Q44*$D$2</f>
        <v>150.523848</v>
      </c>
      <c r="R45" s="105" t="n">
        <f aca="false">R44*$D$2</f>
        <v>258.2517</v>
      </c>
      <c r="S45" s="245" t="n">
        <f aca="false">S44*$D$2</f>
        <v>230.52237</v>
      </c>
      <c r="T45" s="105" t="n">
        <f aca="false">T44*$D$2</f>
        <v>4788.169</v>
      </c>
      <c r="U45" s="105" t="n">
        <f aca="false">U44*$D$2</f>
        <v>4770.3175</v>
      </c>
      <c r="V45" s="105" t="n">
        <f aca="false">V44*$D$2</f>
        <v>18802.3557699155</v>
      </c>
      <c r="W45" s="105"/>
      <c r="X45" s="105"/>
      <c r="Y45" s="105"/>
      <c r="Z45" s="105" t="n">
        <f aca="false">Z44*$D$2</f>
        <v>12496.05</v>
      </c>
      <c r="AA45" s="244" t="n">
        <f aca="false">AA44*$D$2</f>
        <v>104.53045</v>
      </c>
      <c r="AB45" s="245" t="n">
        <f aca="false">AB44*$D$2</f>
        <v>79.93505</v>
      </c>
      <c r="AC45" s="105" t="n">
        <f aca="false">AC44*$D$2</f>
        <v>4084.0265</v>
      </c>
      <c r="AD45" s="105"/>
      <c r="AE45" s="105" t="n">
        <f aca="false">AE44*$D$2</f>
        <v>40739.1065</v>
      </c>
      <c r="AF45" s="105" t="n">
        <f aca="false">AF44*$D$2</f>
        <v>3862.267685</v>
      </c>
      <c r="AG45" s="105" t="n">
        <f aca="false">AG44*$D$2</f>
        <v>44601.374185</v>
      </c>
      <c r="AH45" s="379"/>
      <c r="AI45" s="243" t="n">
        <f aca="false">MAX(AI12:AI42)</f>
        <v>95</v>
      </c>
      <c r="AJ45" s="248" t="n">
        <f aca="false">MAX(AJ12:AJ42)</f>
        <v>66</v>
      </c>
      <c r="AK45" s="243" t="s">
        <v>79</v>
      </c>
      <c r="AL45" s="105" t="n">
        <f aca="false">AL44*$D$2</f>
        <v>0</v>
      </c>
      <c r="AM45" s="246"/>
      <c r="AN45" s="533" t="n">
        <f aca="false">SUM(AN12:AN42)</f>
        <v>138.981290092422</v>
      </c>
      <c r="AO45" s="366" t="n">
        <f aca="false">AO44*$D$2</f>
        <v>1268.864785</v>
      </c>
    </row>
    <row r="46" customFormat="false" ht="3" hidden="false" customHeight="true" outlineLevel="0" collapsed="false">
      <c r="A46" s="274"/>
      <c r="B46" s="271"/>
      <c r="C46" s="254"/>
      <c r="D46" s="254"/>
      <c r="E46" s="254"/>
      <c r="F46" s="275"/>
      <c r="G46" s="254"/>
      <c r="H46" s="262"/>
      <c r="I46" s="254"/>
      <c r="J46" s="254"/>
      <c r="K46" s="254"/>
      <c r="L46" s="254"/>
      <c r="M46" s="276"/>
      <c r="N46" s="254"/>
      <c r="O46" s="254"/>
      <c r="P46" s="254"/>
      <c r="Q46" s="254"/>
      <c r="R46" s="254"/>
      <c r="S46" s="277"/>
      <c r="T46" s="254"/>
      <c r="U46" s="254"/>
      <c r="V46" s="254"/>
      <c r="W46" s="254"/>
      <c r="X46" s="254"/>
      <c r="Y46" s="254"/>
      <c r="Z46" s="254"/>
      <c r="AA46" s="276"/>
      <c r="AB46" s="277"/>
      <c r="AC46" s="254"/>
      <c r="AD46" s="255"/>
      <c r="AE46" s="254"/>
      <c r="AF46" s="254"/>
      <c r="AG46" s="254"/>
      <c r="AH46" s="278"/>
      <c r="AI46" s="254"/>
      <c r="AJ46" s="275"/>
      <c r="AK46" s="254"/>
      <c r="AL46" s="254"/>
      <c r="AM46" s="260"/>
      <c r="AN46" s="475"/>
      <c r="AO46" s="475"/>
      <c r="AP46" s="262"/>
    </row>
    <row r="47" customFormat="false" ht="12.95" hidden="false" customHeight="true" outlineLevel="0" collapsed="false">
      <c r="A47" s="173" t="s">
        <v>80</v>
      </c>
      <c r="B47" s="241"/>
      <c r="C47" s="105"/>
      <c r="D47" s="105"/>
      <c r="E47" s="105"/>
      <c r="F47" s="242" t="n">
        <f aca="false">F9+F44</f>
        <v>-2925.63650113436</v>
      </c>
      <c r="G47" s="105" t="n">
        <f aca="false">G9+G44</f>
        <v>71157</v>
      </c>
      <c r="H47" s="243" t="n">
        <f aca="false">H9+H44</f>
        <v>1002.02</v>
      </c>
      <c r="I47" s="105" t="n">
        <f aca="false">I9+I44</f>
        <v>72159.02</v>
      </c>
      <c r="J47" s="105" t="n">
        <f aca="false">J9+J44</f>
        <v>4159.78715467608</v>
      </c>
      <c r="K47" s="105" t="n">
        <f aca="false">K9+K44</f>
        <v>76318.8071546761</v>
      </c>
      <c r="L47" s="105" t="n">
        <f aca="false">L9+L44</f>
        <v>-1935.52090113436</v>
      </c>
      <c r="M47" s="244" t="n">
        <f aca="false">M9+M44</f>
        <v>28854</v>
      </c>
      <c r="N47" s="105" t="n">
        <f aca="false">N9+N44</f>
        <v>229.671805</v>
      </c>
      <c r="O47" s="105" t="n">
        <f aca="false">O9+O44</f>
        <v>9482.9805</v>
      </c>
      <c r="P47" s="105" t="n">
        <f aca="false">P9+P44</f>
        <v>2.2644</v>
      </c>
      <c r="Q47" s="105"/>
      <c r="R47" s="105"/>
      <c r="S47" s="245"/>
      <c r="T47" s="105" t="n">
        <f aca="false">T9+T44</f>
        <v>13132</v>
      </c>
      <c r="U47" s="105" t="n">
        <f aca="false">U9+U44</f>
        <v>7284.8</v>
      </c>
      <c r="V47" s="105" t="n">
        <f aca="false">V9+V44</f>
        <v>38504.537695</v>
      </c>
      <c r="W47" s="479" t="n">
        <f aca="false">W42</f>
        <v>2012.37767548394</v>
      </c>
      <c r="X47" s="479" t="n">
        <f aca="false">X42</f>
        <v>2709.21</v>
      </c>
      <c r="Y47" s="479" t="n">
        <f aca="false">Y42</f>
        <v>0</v>
      </c>
      <c r="Z47" s="105" t="n">
        <f aca="false">Z9+Z44</f>
        <v>16786.6</v>
      </c>
      <c r="AA47" s="244" t="n">
        <f aca="false">AA9+AA44</f>
        <v>207.4</v>
      </c>
      <c r="AB47" s="245" t="n">
        <f aca="false">AB9+AB44</f>
        <v>158.6</v>
      </c>
      <c r="AC47" s="105"/>
      <c r="AD47" s="479"/>
      <c r="AE47" s="105" t="n">
        <f aca="false">AE9+AE44</f>
        <v>73149.1356</v>
      </c>
      <c r="AF47" s="105" t="n">
        <f aca="false">AF9+AF44</f>
        <v>6095.30805581043</v>
      </c>
      <c r="AG47" s="105" t="n">
        <f aca="false">AG9+AG44</f>
        <v>79244.4436558104</v>
      </c>
      <c r="AH47" s="379"/>
      <c r="AI47" s="243" t="n">
        <f aca="false">MIN(AI12:AI42)</f>
        <v>70</v>
      </c>
      <c r="AJ47" s="248" t="n">
        <f aca="false">MIN(AJ12:AJ42)</f>
        <v>51</v>
      </c>
      <c r="AK47" s="243" t="s">
        <v>81</v>
      </c>
      <c r="AL47" s="243"/>
      <c r="AM47" s="246"/>
      <c r="AN47" s="533"/>
      <c r="AO47" s="366" t="n">
        <f aca="false">AO9+AO44</f>
        <v>995.07</v>
      </c>
      <c r="AP47" s="243" t="n">
        <f aca="false">AP9+AP44</f>
        <v>0</v>
      </c>
    </row>
    <row r="48" customFormat="false" ht="12.95" hidden="false" customHeight="true" outlineLevel="0" collapsed="false">
      <c r="A48" s="173" t="s">
        <v>82</v>
      </c>
      <c r="B48" s="241"/>
      <c r="C48" s="105"/>
      <c r="D48" s="105"/>
      <c r="E48" s="105"/>
      <c r="F48" s="242" t="n">
        <f aca="false">F47*$D$2</f>
        <v>-5803</v>
      </c>
      <c r="G48" s="105" t="n">
        <f aca="false">G47*$D$2</f>
        <v>141139.9095</v>
      </c>
      <c r="H48" s="243" t="n">
        <f aca="false">H47*$D$2</f>
        <v>1987.50667</v>
      </c>
      <c r="I48" s="105" t="n">
        <f aca="false">I47*$D$2</f>
        <v>143127.41617</v>
      </c>
      <c r="J48" s="105" t="n">
        <f aca="false">J47*$D$2</f>
        <v>8250.9378213</v>
      </c>
      <c r="K48" s="105" t="n">
        <f aca="false">K47*$D$2</f>
        <v>151378.3539913</v>
      </c>
      <c r="L48" s="105" t="n">
        <f aca="false">L47*$D$2</f>
        <v>-3839.1057074</v>
      </c>
      <c r="M48" s="244" t="n">
        <f aca="false">M47*$D$2</f>
        <v>57231.909</v>
      </c>
      <c r="N48" s="105" t="n">
        <f aca="false">N47*$D$2</f>
        <v>455.5540252175</v>
      </c>
      <c r="O48" s="105" t="n">
        <f aca="false">O47*$D$2</f>
        <v>18809.49182175</v>
      </c>
      <c r="P48" s="105" t="n">
        <f aca="false">P47*$D$2</f>
        <v>4.4914374</v>
      </c>
      <c r="Q48" s="105"/>
      <c r="R48" s="105"/>
      <c r="S48" s="245"/>
      <c r="T48" s="105" t="n">
        <f aca="false">T47*$D$2</f>
        <v>26047.322</v>
      </c>
      <c r="U48" s="105" t="n">
        <f aca="false">U47*$D$2</f>
        <v>14449.4008</v>
      </c>
      <c r="V48" s="105" t="n">
        <f aca="false">V47*$D$2</f>
        <v>76373.7505180325</v>
      </c>
      <c r="W48" s="105" t="n">
        <f aca="false">W47*$D$2</f>
        <v>3991.5511193224</v>
      </c>
      <c r="X48" s="105" t="n">
        <f aca="false">X47*$D$2</f>
        <v>5373.718035</v>
      </c>
      <c r="Y48" s="105" t="n">
        <f aca="false">Y47*$D$2</f>
        <v>0</v>
      </c>
      <c r="Z48" s="105" t="n">
        <f aca="false">Z47*$D$2</f>
        <v>33296.2211</v>
      </c>
      <c r="AA48" s="244" t="n">
        <f aca="false">AA47*$D$2</f>
        <v>411.3779</v>
      </c>
      <c r="AB48" s="245" t="n">
        <f aca="false">AB47*$D$2</f>
        <v>314.5831</v>
      </c>
      <c r="AC48" s="105"/>
      <c r="AD48" s="105"/>
      <c r="AE48" s="105" t="n">
        <f aca="false">AE47*$D$2</f>
        <v>145091.3104626</v>
      </c>
      <c r="AF48" s="105" t="n">
        <f aca="false">AF47*$D$2</f>
        <v>12090.0435287</v>
      </c>
      <c r="AG48" s="105" t="n">
        <f aca="false">AG47*$D$2</f>
        <v>157181.3539913</v>
      </c>
      <c r="AH48" s="379"/>
      <c r="AI48" s="243"/>
      <c r="AJ48" s="248"/>
      <c r="AK48" s="243"/>
      <c r="AL48" s="243"/>
      <c r="AM48" s="246"/>
      <c r="AN48" s="533" t="n">
        <f aca="false">AN9+AN45</f>
        <v>838.773035596626</v>
      </c>
      <c r="AO48" s="366" t="n">
        <f aca="false">AO47*$D$2</f>
        <v>1973.721345</v>
      </c>
      <c r="AP48" s="243" t="n">
        <f aca="false">AP47*$D$2</f>
        <v>0</v>
      </c>
    </row>
    <row r="49" customFormat="false" ht="3" hidden="false" customHeight="true" outlineLevel="0" collapsed="false">
      <c r="A49" s="274"/>
      <c r="B49" s="271"/>
      <c r="C49" s="254"/>
      <c r="D49" s="254"/>
      <c r="E49" s="254"/>
      <c r="F49" s="275"/>
      <c r="G49" s="254"/>
      <c r="H49" s="262"/>
      <c r="I49" s="254"/>
      <c r="J49" s="254"/>
      <c r="K49" s="254"/>
      <c r="L49" s="254"/>
      <c r="M49" s="276"/>
      <c r="N49" s="254"/>
      <c r="O49" s="254"/>
      <c r="P49" s="254"/>
      <c r="Q49" s="254"/>
      <c r="R49" s="254"/>
      <c r="S49" s="277"/>
      <c r="T49" s="254"/>
      <c r="U49" s="254"/>
      <c r="V49" s="254"/>
      <c r="W49" s="254"/>
      <c r="X49" s="254"/>
      <c r="Y49" s="254"/>
      <c r="Z49" s="254"/>
      <c r="AA49" s="276"/>
      <c r="AB49" s="277"/>
      <c r="AC49" s="254"/>
      <c r="AD49" s="254"/>
      <c r="AE49" s="254"/>
      <c r="AF49" s="254"/>
      <c r="AG49" s="254"/>
      <c r="AH49" s="527"/>
      <c r="AI49" s="254"/>
      <c r="AJ49" s="275"/>
      <c r="AK49" s="254"/>
      <c r="AL49" s="254"/>
      <c r="AM49" s="260"/>
      <c r="AN49" s="475"/>
      <c r="AO49" s="475"/>
      <c r="AP49" s="262"/>
    </row>
    <row r="50" customFormat="false" ht="12.95" hidden="false" customHeight="true" outlineLevel="0" collapsed="false">
      <c r="A50" s="173" t="s">
        <v>83</v>
      </c>
      <c r="B50" s="241"/>
      <c r="C50" s="105"/>
      <c r="D50" s="105"/>
      <c r="E50" s="105"/>
      <c r="F50" s="242" t="n">
        <f aca="false">F10+F44</f>
        <v>-7253.34005545753</v>
      </c>
      <c r="G50" s="105" t="n">
        <f aca="false">G10+G44</f>
        <v>78809</v>
      </c>
      <c r="H50" s="243" t="n">
        <f aca="false">H10+H44</f>
        <v>1224.843</v>
      </c>
      <c r="I50" s="105" t="n">
        <f aca="false">I10+I44</f>
        <v>80033.843</v>
      </c>
      <c r="J50" s="105" t="n">
        <f aca="false">J10+J44</f>
        <v>5691.97553884548</v>
      </c>
      <c r="K50" s="105" t="n">
        <f aca="false">K10+K44</f>
        <v>85725.8185388455</v>
      </c>
      <c r="L50" s="105" t="n">
        <f aca="false">L10+L44</f>
        <v>-1621.03745545752</v>
      </c>
      <c r="M50" s="244" t="n">
        <f aca="false">M10+M44</f>
        <v>30146.6</v>
      </c>
      <c r="N50" s="105" t="n">
        <f aca="false">N10+N44</f>
        <v>229.671805</v>
      </c>
      <c r="O50" s="105" t="n">
        <f aca="false">O10+O44</f>
        <v>9482.9805</v>
      </c>
      <c r="P50" s="105"/>
      <c r="Q50" s="105" t="n">
        <f aca="false">Q10+Q44</f>
        <v>501.789</v>
      </c>
      <c r="R50" s="105" t="n">
        <f aca="false">R10+R44</f>
        <v>904.1548</v>
      </c>
      <c r="S50" s="245" t="n">
        <f aca="false">S10+S44</f>
        <v>383.51</v>
      </c>
      <c r="T50" s="105" t="n">
        <f aca="false">T10+T44</f>
        <v>20313.94</v>
      </c>
      <c r="U50" s="105" t="n">
        <f aca="false">U10+U44</f>
        <v>7436.27</v>
      </c>
      <c r="V50" s="105" t="n">
        <f aca="false">V10+V44</f>
        <v>46392.439495</v>
      </c>
      <c r="W50" s="105"/>
      <c r="X50" s="105"/>
      <c r="Y50" s="105"/>
      <c r="Z50" s="105"/>
      <c r="AA50" s="244"/>
      <c r="AB50" s="245"/>
      <c r="AC50" s="105" t="n">
        <f aca="false">AC10+AC44</f>
        <v>10985</v>
      </c>
      <c r="AD50" s="105" t="n">
        <f aca="false">AD42</f>
        <v>8937.25787748929</v>
      </c>
      <c r="AE50" s="105" t="n">
        <f aca="false">AE10+AE44</f>
        <v>85666.1456</v>
      </c>
      <c r="AF50" s="105" t="n">
        <f aca="false">AF10+AF44</f>
        <v>7313.012994303</v>
      </c>
      <c r="AG50" s="105" t="n">
        <f aca="false">AG10+AG44</f>
        <v>92979.158594303</v>
      </c>
      <c r="AH50" s="379" t="n">
        <f aca="false">AH10+AH44</f>
        <v>9.06</v>
      </c>
      <c r="AI50" s="243"/>
      <c r="AJ50" s="248"/>
      <c r="AK50" s="243"/>
      <c r="AL50" s="105" t="n">
        <f aca="false">AL10+AL44</f>
        <v>236.546271401</v>
      </c>
      <c r="AM50" s="246"/>
      <c r="AN50" s="533"/>
      <c r="AO50" s="533"/>
      <c r="AP50" s="534"/>
    </row>
    <row r="51" customFormat="false" ht="12.95" hidden="false" customHeight="true" outlineLevel="0" collapsed="false">
      <c r="A51" s="173" t="s">
        <v>84</v>
      </c>
      <c r="B51" s="241"/>
      <c r="C51" s="105"/>
      <c r="D51" s="105" t="n">
        <f aca="false">D10+D45</f>
        <v>-14387</v>
      </c>
      <c r="E51" s="105" t="n">
        <f aca="false">E42</f>
        <v>132987</v>
      </c>
      <c r="F51" s="242" t="n">
        <f aca="false">F50*$D$2</f>
        <v>-14387</v>
      </c>
      <c r="G51" s="105" t="n">
        <f aca="false">G50*$D$2</f>
        <v>156317.6515</v>
      </c>
      <c r="H51" s="243" t="n">
        <f aca="false">H50*$D$2</f>
        <v>2429.4760905</v>
      </c>
      <c r="I51" s="105" t="n">
        <f aca="false">I50*$D$2</f>
        <v>158747.1275905</v>
      </c>
      <c r="J51" s="105" t="n">
        <f aca="false">J50*$D$2</f>
        <v>11290.0334813</v>
      </c>
      <c r="K51" s="105" t="n">
        <f aca="false">K50*$D$2</f>
        <v>170037.1610718</v>
      </c>
      <c r="L51" s="105" t="n">
        <f aca="false">L50*$D$2</f>
        <v>-3215.3277929</v>
      </c>
      <c r="M51" s="244" t="n">
        <f aca="false">M50*$D$2</f>
        <v>59795.7811</v>
      </c>
      <c r="N51" s="105" t="n">
        <f aca="false">N50*$D$2</f>
        <v>455.5540252175</v>
      </c>
      <c r="O51" s="105" t="n">
        <f aca="false">O50*$D$2</f>
        <v>18809.49182175</v>
      </c>
      <c r="P51" s="105"/>
      <c r="Q51" s="105" t="n">
        <f aca="false">Q50*$D$2</f>
        <v>995.2984815</v>
      </c>
      <c r="R51" s="105" t="n">
        <f aca="false">R50*$D$2</f>
        <v>1793.3910458</v>
      </c>
      <c r="S51" s="251" t="n">
        <f aca="false">S50*$D$2</f>
        <v>760.692085</v>
      </c>
      <c r="T51" s="105" t="n">
        <f aca="false">T50*$D$2</f>
        <v>40292.69999</v>
      </c>
      <c r="U51" s="105" t="n">
        <f aca="false">U50*$D$2</f>
        <v>14749.841545</v>
      </c>
      <c r="V51" s="105" t="n">
        <f aca="false">V50*$D$2</f>
        <v>92019.4037383325</v>
      </c>
      <c r="W51" s="105"/>
      <c r="X51" s="105"/>
      <c r="Y51" s="105"/>
      <c r="Z51" s="105"/>
      <c r="AA51" s="281"/>
      <c r="AB51" s="251"/>
      <c r="AC51" s="105" t="n">
        <f aca="false">AC50*$D$2</f>
        <v>21788.7475</v>
      </c>
      <c r="AD51" s="105" t="n">
        <f aca="false">AD50*$D$2</f>
        <v>17727.051</v>
      </c>
      <c r="AE51" s="105" t="n">
        <f aca="false">AE50*$D$2</f>
        <v>169918.7997976</v>
      </c>
      <c r="AF51" s="105" t="n">
        <f aca="false">AF50*$D$2</f>
        <v>14505.3612742</v>
      </c>
      <c r="AG51" s="105" t="n">
        <f aca="false">AG50*$D$2</f>
        <v>184424.1610718</v>
      </c>
      <c r="AH51" s="379"/>
      <c r="AI51" s="243"/>
      <c r="AJ51" s="248"/>
      <c r="AK51" s="243" t="n">
        <f aca="false">AK42</f>
        <v>15698.7543455</v>
      </c>
      <c r="AL51" s="105" t="n">
        <f aca="false">AL50*$D$2</f>
        <v>469.189529323884</v>
      </c>
      <c r="AM51" s="246"/>
      <c r="AN51" s="533" t="n">
        <f aca="false">AN10+AN45</f>
        <v>838.773035596626</v>
      </c>
      <c r="AO51" s="366"/>
      <c r="AP51" s="243"/>
    </row>
    <row r="52" customFormat="false" ht="3" hidden="false" customHeight="true" outlineLevel="0" collapsed="false">
      <c r="A52" s="252"/>
      <c r="B52" s="332"/>
      <c r="C52" s="319"/>
      <c r="D52" s="252"/>
      <c r="E52" s="319"/>
      <c r="F52" s="320"/>
      <c r="G52" s="252"/>
      <c r="H52" s="535"/>
      <c r="I52" s="252"/>
      <c r="J52" s="252"/>
      <c r="K52" s="252"/>
      <c r="L52" s="252"/>
      <c r="M52" s="536"/>
      <c r="N52" s="252"/>
      <c r="O52" s="252"/>
      <c r="P52" s="252"/>
      <c r="Q52" s="252"/>
      <c r="R52" s="252"/>
      <c r="S52" s="323"/>
      <c r="T52" s="252"/>
      <c r="U52" s="252"/>
      <c r="V52" s="252"/>
      <c r="W52" s="319"/>
      <c r="X52" s="319"/>
      <c r="Y52" s="319"/>
      <c r="Z52" s="252"/>
      <c r="AA52" s="258"/>
      <c r="AB52" s="259"/>
      <c r="AC52" s="252"/>
      <c r="AD52" s="319"/>
      <c r="AE52" s="252"/>
      <c r="AF52" s="252"/>
      <c r="AG52" s="252"/>
      <c r="AH52" s="332"/>
      <c r="AI52" s="252"/>
      <c r="AJ52" s="320"/>
      <c r="AK52" s="537"/>
      <c r="AL52" s="537"/>
      <c r="AM52" s="538"/>
      <c r="AN52" s="260"/>
      <c r="AO52" s="539"/>
      <c r="AP52" s="540"/>
    </row>
    <row r="53" customFormat="false" ht="11.1" hidden="false" customHeight="true" outlineLevel="0" collapsed="false">
      <c r="A53" s="164"/>
      <c r="B53" s="152"/>
      <c r="C53" s="9"/>
      <c r="D53" s="8"/>
      <c r="E53" s="509"/>
      <c r="F53" s="0"/>
      <c r="G53" s="0"/>
      <c r="H53" s="123"/>
      <c r="I53" s="8"/>
      <c r="J53" s="8"/>
      <c r="K53" s="510"/>
      <c r="L53" s="165"/>
      <c r="M53" s="8"/>
      <c r="N53" s="8"/>
      <c r="O53" s="8"/>
      <c r="P53" s="8"/>
      <c r="Q53" s="8"/>
      <c r="R53" s="8"/>
      <c r="S53" s="8"/>
      <c r="T53" s="8"/>
      <c r="U53" s="8"/>
      <c r="V53" s="8"/>
      <c r="W53" s="511"/>
      <c r="X53" s="511"/>
      <c r="Y53" s="511"/>
      <c r="Z53" s="8"/>
      <c r="AA53" s="8"/>
      <c r="AB53" s="8"/>
      <c r="AC53" s="8"/>
      <c r="AD53" s="509"/>
      <c r="AE53" s="509"/>
      <c r="AF53" s="164"/>
      <c r="AG53" s="164"/>
      <c r="AH53" s="169"/>
      <c r="AI53" s="171"/>
      <c r="AJ53" s="171"/>
      <c r="AK53" s="172"/>
      <c r="AL53" s="172"/>
      <c r="AM53" s="541"/>
    </row>
    <row r="54" customFormat="false" ht="11.1" hidden="false" customHeight="true" outlineLevel="0" collapsed="false">
      <c r="A54" s="164"/>
      <c r="B54" s="152"/>
      <c r="C54" s="9"/>
      <c r="D54" s="153"/>
      <c r="E54" s="488"/>
      <c r="F54" s="512"/>
      <c r="G54" s="0"/>
      <c r="H54" s="123"/>
      <c r="I54" s="10"/>
      <c r="J54" s="8"/>
      <c r="K54" s="154"/>
      <c r="L54" s="168"/>
      <c r="M54" s="8"/>
      <c r="N54" s="8"/>
      <c r="O54" s="8"/>
      <c r="P54" s="8"/>
      <c r="Q54" s="8"/>
      <c r="R54" s="8"/>
      <c r="S54" s="125"/>
      <c r="T54" s="513"/>
      <c r="U54" s="125"/>
      <c r="V54" s="514"/>
      <c r="W54" s="165"/>
      <c r="X54" s="165"/>
      <c r="Y54" s="165"/>
      <c r="Z54" s="513"/>
      <c r="AA54" s="513"/>
      <c r="AB54" s="513"/>
      <c r="AC54" s="125"/>
      <c r="AD54" s="91"/>
      <c r="AE54" s="9"/>
      <c r="AF54" s="164"/>
      <c r="AG54" s="169"/>
      <c r="AH54" s="171"/>
      <c r="AI54" s="171"/>
      <c r="AJ54" s="172"/>
      <c r="AK54" s="288"/>
      <c r="AL54" s="288"/>
      <c r="AM54" s="541"/>
    </row>
    <row r="55" customFormat="false" ht="11.1" hidden="false" customHeight="true" outlineLevel="0" collapsed="false">
      <c r="A55" s="284"/>
      <c r="B55" s="165"/>
      <c r="E55" s="488"/>
      <c r="F55" s="489"/>
      <c r="G55" s="0"/>
      <c r="H55" s="123"/>
      <c r="I55" s="153"/>
      <c r="J55" s="153"/>
      <c r="K55" s="515"/>
      <c r="L55" s="492"/>
      <c r="M55" s="516"/>
      <c r="N55" s="516"/>
      <c r="O55" s="488"/>
      <c r="P55" s="488"/>
      <c r="Q55" s="488"/>
      <c r="R55" s="488"/>
      <c r="S55" s="457"/>
      <c r="T55" s="513"/>
      <c r="U55" s="125"/>
      <c r="V55" s="91"/>
      <c r="W55" s="165"/>
      <c r="X55" s="165"/>
      <c r="Y55" s="165"/>
      <c r="Z55" s="165"/>
      <c r="AA55" s="165"/>
      <c r="AB55" s="165"/>
      <c r="AC55" s="91"/>
      <c r="AD55" s="513"/>
      <c r="AE55" s="513"/>
      <c r="AF55" s="284"/>
      <c r="AG55" s="169"/>
      <c r="AH55" s="171"/>
      <c r="AI55" s="171"/>
      <c r="AJ55" s="172"/>
      <c r="AK55" s="342"/>
      <c r="AL55" s="342"/>
      <c r="AM55" s="541"/>
    </row>
    <row r="56" customFormat="false" ht="11.1" hidden="false" customHeight="true" outlineLevel="0" collapsed="false">
      <c r="A56" s="284"/>
      <c r="B56" s="284"/>
      <c r="C56" s="165"/>
      <c r="D56" s="165"/>
      <c r="E56" s="488"/>
      <c r="F56" s="0"/>
      <c r="G56" s="0"/>
      <c r="H56" s="168"/>
      <c r="I56" s="0"/>
      <c r="J56" s="153"/>
      <c r="K56" s="515"/>
      <c r="L56" s="171"/>
      <c r="M56" s="123"/>
      <c r="N56" s="123"/>
      <c r="O56" s="171"/>
      <c r="P56" s="171"/>
      <c r="Q56" s="171"/>
      <c r="R56" s="171"/>
      <c r="S56" s="457"/>
      <c r="T56" s="457"/>
      <c r="U56" s="457"/>
      <c r="V56" s="91"/>
      <c r="W56" s="171"/>
      <c r="X56" s="171"/>
      <c r="Y56" s="171"/>
      <c r="Z56" s="165"/>
      <c r="AA56" s="165"/>
      <c r="AB56" s="165"/>
      <c r="AC56" s="91"/>
      <c r="AD56" s="165"/>
      <c r="AE56" s="165"/>
      <c r="AF56" s="284"/>
      <c r="AG56" s="491"/>
      <c r="AH56" s="171"/>
      <c r="AI56" s="171"/>
      <c r="AJ56" s="172"/>
      <c r="AK56" s="342"/>
      <c r="AL56" s="342"/>
      <c r="AM56" s="541"/>
    </row>
    <row r="57" customFormat="false" ht="11.1" hidden="false" customHeight="true" outlineLevel="0" collapsed="false">
      <c r="A57" s="284"/>
      <c r="B57" s="284"/>
      <c r="C57" s="165"/>
      <c r="D57" s="284"/>
      <c r="E57" s="165"/>
      <c r="F57" s="284"/>
      <c r="G57" s="285"/>
      <c r="H57" s="168"/>
      <c r="I57" s="284"/>
      <c r="J57" s="284"/>
      <c r="K57" s="284"/>
      <c r="L57" s="284"/>
      <c r="M57" s="168"/>
      <c r="N57" s="168"/>
      <c r="O57" s="168"/>
      <c r="P57" s="168"/>
      <c r="Q57" s="168"/>
      <c r="R57" s="168"/>
      <c r="S57" s="284"/>
      <c r="T57" s="284"/>
      <c r="U57" s="284"/>
      <c r="V57" s="165"/>
      <c r="W57" s="284"/>
      <c r="X57" s="284"/>
      <c r="Y57" s="284"/>
      <c r="Z57" s="284"/>
      <c r="AA57" s="284"/>
      <c r="AB57" s="284"/>
      <c r="AC57" s="165"/>
      <c r="AD57" s="284"/>
      <c r="AE57" s="284"/>
      <c r="AF57" s="284"/>
      <c r="AG57" s="169"/>
      <c r="AH57" s="171"/>
      <c r="AI57" s="171"/>
      <c r="AJ57" s="172"/>
      <c r="AK57" s="342"/>
      <c r="AL57" s="342"/>
      <c r="AM57" s="541"/>
    </row>
  </sheetData>
  <mergeCells count="2">
    <mergeCell ref="K2:AC2"/>
    <mergeCell ref="M5:S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10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Q12" activePane="bottomRight" state="frozen"/>
      <selection pane="topLeft" activeCell="A1" activeCellId="0" sqref="A1"/>
      <selection pane="topRight" activeCell="Q1" activeCellId="0" sqref="Q1"/>
      <selection pane="bottomLeft" activeCell="A12" activeCellId="0" sqref="A12"/>
      <selection pane="bottomRight" activeCell="AD13" activeCellId="0" sqref="AD13"/>
    </sheetView>
  </sheetViews>
  <sheetFormatPr defaultColWidth="9.328125" defaultRowHeight="11.1" zeroHeight="false" outlineLevelRow="0" outlineLevelCol="0"/>
  <cols>
    <col collapsed="false" customWidth="true" hidden="false" outlineLevel="0" max="1" min="1" style="156" width="4.66"/>
    <col collapsed="false" customWidth="true" hidden="false" outlineLevel="0" max="2" min="2" style="156" width="6.99"/>
    <col collapsed="false" customWidth="true" hidden="false" outlineLevel="0" max="3" min="3" style="157" width="6.32"/>
    <col collapsed="false" customWidth="true" hidden="false" outlineLevel="0" max="4" min="4" style="156" width="6.99"/>
    <col collapsed="false" customWidth="true" hidden="false" outlineLevel="0" max="5" min="5" style="157" width="6.99"/>
    <col collapsed="false" customWidth="true" hidden="false" outlineLevel="0" max="6" min="6" style="156" width="7.32"/>
    <col collapsed="false" customWidth="true" hidden="false" outlineLevel="0" max="7" min="7" style="156" width="6.82"/>
    <col collapsed="false" customWidth="true" hidden="false" outlineLevel="0" max="8" min="8" style="542" width="5.66"/>
    <col collapsed="false" customWidth="true" hidden="false" outlineLevel="0" max="11" min="9" style="156" width="6.32"/>
    <col collapsed="false" customWidth="true" hidden="false" outlineLevel="0" max="12" min="12" style="156" width="7.16"/>
    <col collapsed="false" customWidth="true" hidden="false" outlineLevel="0" max="13" min="13" style="159" width="5.49"/>
    <col collapsed="false" customWidth="true" hidden="false" outlineLevel="0" max="14" min="14" style="159" width="4.49"/>
    <col collapsed="false" customWidth="true" hidden="false" outlineLevel="0" max="15" min="15" style="159" width="5.49"/>
    <col collapsed="false" customWidth="true" hidden="false" outlineLevel="0" max="16" min="16" style="159" width="4.82"/>
    <col collapsed="false" customWidth="true" hidden="false" outlineLevel="0" max="19" min="17" style="156" width="4.32"/>
    <col collapsed="false" customWidth="true" hidden="false" outlineLevel="0" max="20" min="20" style="156" width="5.49"/>
    <col collapsed="false" customWidth="true" hidden="false" outlineLevel="0" max="21" min="21" style="157" width="5.49"/>
    <col collapsed="false" customWidth="true" hidden="false" outlineLevel="0" max="22" min="22" style="156" width="6.32"/>
    <col collapsed="false" customWidth="true" hidden="false" outlineLevel="0" max="23" min="23" style="156" width="5.49"/>
    <col collapsed="false" customWidth="true" hidden="false" outlineLevel="0" max="25" min="24" style="157" width="6.32"/>
    <col collapsed="false" customWidth="true" hidden="false" outlineLevel="0" max="28" min="26" style="156" width="5.49"/>
    <col collapsed="false" customWidth="true" hidden="false" outlineLevel="0" max="29" min="29" style="156" width="6.32"/>
    <col collapsed="false" customWidth="true" hidden="false" outlineLevel="0" max="30" min="30" style="156" width="5.49"/>
    <col collapsed="false" customWidth="true" hidden="false" outlineLevel="0" max="31" min="31" style="160" width="6.32"/>
    <col collapsed="false" customWidth="true" hidden="false" outlineLevel="0" max="32" min="32" style="158" width="6.99"/>
    <col collapsed="false" customWidth="true" hidden="false" outlineLevel="0" max="33" min="33" style="161" width="6.99"/>
    <col collapsed="false" customWidth="true" hidden="false" outlineLevel="0" max="34" min="34" style="162" width="5.32"/>
    <col collapsed="false" customWidth="true" hidden="false" outlineLevel="0" max="36" min="35" style="156" width="3.82"/>
    <col collapsed="false" customWidth="true" hidden="false" outlineLevel="0" max="38" min="37" style="160" width="5.49"/>
    <col collapsed="false" customWidth="true" hidden="false" outlineLevel="0" max="39" min="39" style="543" width="6.32"/>
    <col collapsed="false" customWidth="true" hidden="false" outlineLevel="0" max="40" min="40" style="156" width="6.32"/>
    <col collapsed="false" customWidth="true" hidden="false" outlineLevel="0" max="41" min="41" style="200" width="6.32"/>
    <col collapsed="false" customWidth="true" hidden="false" outlineLevel="0" max="42" min="42" style="156" width="6.49"/>
    <col collapsed="false" customWidth="true" hidden="false" outlineLevel="0" max="43" min="43" style="156" width="4.99"/>
    <col collapsed="false" customWidth="false" hidden="false" outlineLevel="0" max="257" min="44" style="156" width="9.32"/>
  </cols>
  <sheetData>
    <row r="1" customFormat="false" ht="14.1" hidden="false" customHeight="true" outlineLevel="0" collapsed="false">
      <c r="A1" s="164"/>
      <c r="B1" s="164"/>
      <c r="C1" s="165"/>
      <c r="D1" s="164"/>
      <c r="E1" s="165"/>
      <c r="F1" s="164"/>
      <c r="G1" s="164"/>
      <c r="H1" s="166"/>
      <c r="I1" s="164"/>
      <c r="J1" s="164"/>
      <c r="K1" s="167" t="s">
        <v>0</v>
      </c>
      <c r="L1" s="164"/>
      <c r="M1" s="164"/>
      <c r="N1" s="164"/>
      <c r="O1" s="164"/>
      <c r="P1" s="164"/>
      <c r="Q1" s="169"/>
      <c r="R1" s="169"/>
      <c r="S1" s="169"/>
      <c r="T1" s="164"/>
      <c r="U1" s="164"/>
      <c r="V1" s="165"/>
      <c r="W1" s="164"/>
      <c r="X1" s="164"/>
      <c r="Y1" s="164"/>
      <c r="Z1" s="164"/>
      <c r="AA1" s="164"/>
      <c r="AB1" s="164"/>
      <c r="AC1" s="165"/>
      <c r="AD1" s="164"/>
      <c r="AE1" s="164"/>
      <c r="AF1" s="164"/>
      <c r="AG1" s="169"/>
      <c r="AH1" s="170"/>
      <c r="AI1" s="171"/>
      <c r="AJ1" s="172"/>
      <c r="AK1" s="288"/>
      <c r="AL1" s="288"/>
      <c r="AM1" s="289"/>
      <c r="AN1" s="160"/>
      <c r="AO1" s="544"/>
    </row>
    <row r="2" customFormat="false" ht="14.1" hidden="false" customHeight="true" outlineLevel="0" collapsed="false">
      <c r="A2" s="173" t="s">
        <v>1</v>
      </c>
      <c r="B2" s="164"/>
      <c r="C2" s="165"/>
      <c r="D2" s="174" t="n">
        <v>1.9835</v>
      </c>
      <c r="E2" s="165"/>
      <c r="F2" s="164"/>
      <c r="G2" s="164"/>
      <c r="H2" s="166"/>
      <c r="I2" s="164"/>
      <c r="J2" s="164"/>
      <c r="K2" s="175" t="s">
        <v>119</v>
      </c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226" t="s">
        <v>94</v>
      </c>
      <c r="X2" s="226"/>
      <c r="Y2" s="226"/>
      <c r="Z2" s="164"/>
      <c r="AA2" s="164"/>
      <c r="AB2" s="164"/>
      <c r="AC2" s="165"/>
      <c r="AD2" s="164"/>
      <c r="AE2" s="164"/>
      <c r="AF2" s="164"/>
      <c r="AG2" s="169"/>
      <c r="AH2" s="170"/>
      <c r="AI2" s="171"/>
      <c r="AJ2" s="172"/>
      <c r="AK2" s="288"/>
      <c r="AL2" s="288"/>
      <c r="AM2" s="289"/>
      <c r="AN2" s="160"/>
      <c r="AO2" s="544"/>
    </row>
    <row r="3" customFormat="false" ht="14.1" hidden="false" customHeight="true" outlineLevel="0" collapsed="false">
      <c r="A3" s="176"/>
      <c r="B3" s="176"/>
      <c r="C3" s="177"/>
      <c r="D3" s="178"/>
      <c r="E3" s="177"/>
      <c r="F3" s="176"/>
      <c r="G3" s="176"/>
      <c r="H3" s="179"/>
      <c r="I3" s="176"/>
      <c r="J3" s="176"/>
      <c r="K3" s="176"/>
      <c r="L3" s="176"/>
      <c r="M3" s="176"/>
      <c r="N3" s="176"/>
      <c r="O3" s="177"/>
      <c r="P3" s="176"/>
      <c r="Q3" s="181"/>
      <c r="R3" s="181"/>
      <c r="S3" s="181"/>
      <c r="T3" s="176"/>
      <c r="U3" s="176"/>
      <c r="V3" s="177"/>
      <c r="W3" s="176"/>
      <c r="X3" s="176"/>
      <c r="Y3" s="176"/>
      <c r="Z3" s="176"/>
      <c r="AA3" s="176"/>
      <c r="AB3" s="176"/>
      <c r="AC3" s="177"/>
      <c r="AD3" s="176"/>
      <c r="AE3" s="176"/>
      <c r="AF3" s="176"/>
      <c r="AG3" s="181"/>
      <c r="AH3" s="182"/>
      <c r="AI3" s="183"/>
      <c r="AJ3" s="184"/>
      <c r="AK3" s="291"/>
      <c r="AL3" s="291"/>
      <c r="AM3" s="292"/>
      <c r="AN3" s="545"/>
      <c r="AO3" s="544"/>
    </row>
    <row r="4" s="200" customFormat="true" ht="14.1" hidden="false" customHeight="true" outlineLevel="0" collapsed="false">
      <c r="A4" s="187"/>
      <c r="B4" s="188"/>
      <c r="C4" s="189"/>
      <c r="D4" s="293" t="s">
        <v>3</v>
      </c>
      <c r="E4" s="189"/>
      <c r="F4" s="191"/>
      <c r="G4" s="187"/>
      <c r="H4" s="192"/>
      <c r="I4" s="187"/>
      <c r="J4" s="187"/>
      <c r="K4" s="187"/>
      <c r="L4" s="187"/>
      <c r="M4" s="187"/>
      <c r="N4" s="187"/>
      <c r="O4" s="187"/>
      <c r="P4" s="187"/>
      <c r="Q4" s="196"/>
      <c r="R4" s="196"/>
      <c r="S4" s="196"/>
      <c r="T4" s="193" t="s">
        <v>4</v>
      </c>
      <c r="U4" s="187"/>
      <c r="V4" s="194"/>
      <c r="W4" s="187"/>
      <c r="X4" s="187"/>
      <c r="Y4" s="187"/>
      <c r="Z4" s="187"/>
      <c r="AA4" s="187"/>
      <c r="AB4" s="187"/>
      <c r="AC4" s="194"/>
      <c r="AD4" s="187"/>
      <c r="AE4" s="187"/>
      <c r="AF4" s="187"/>
      <c r="AG4" s="196"/>
      <c r="AH4" s="197"/>
      <c r="AI4" s="198" t="s">
        <v>5</v>
      </c>
      <c r="AJ4" s="199"/>
      <c r="AK4" s="187"/>
      <c r="AL4" s="187"/>
      <c r="AM4" s="546" t="s">
        <v>6</v>
      </c>
      <c r="AN4" s="546"/>
      <c r="AO4" s="547"/>
      <c r="AP4" s="204"/>
      <c r="AQ4" s="204"/>
    </row>
    <row r="5" s="524" customFormat="true" ht="12.95" hidden="false" customHeight="true" outlineLevel="0" collapsed="false">
      <c r="A5" s="233" t="s">
        <v>7</v>
      </c>
      <c r="B5" s="466" t="s">
        <v>8</v>
      </c>
      <c r="C5" s="229" t="s">
        <v>8</v>
      </c>
      <c r="D5" s="233" t="s">
        <v>9</v>
      </c>
      <c r="E5" s="229" t="s">
        <v>10</v>
      </c>
      <c r="F5" s="522" t="s">
        <v>11</v>
      </c>
      <c r="G5" s="233" t="s">
        <v>12</v>
      </c>
      <c r="H5" s="235" t="s">
        <v>13</v>
      </c>
      <c r="I5" s="233" t="s">
        <v>14</v>
      </c>
      <c r="J5" s="233" t="s">
        <v>15</v>
      </c>
      <c r="K5" s="233" t="s">
        <v>16</v>
      </c>
      <c r="L5" s="233" t="s">
        <v>15</v>
      </c>
      <c r="M5" s="210" t="s">
        <v>17</v>
      </c>
      <c r="N5" s="210"/>
      <c r="O5" s="210"/>
      <c r="P5" s="210"/>
      <c r="Q5" s="210"/>
      <c r="R5" s="210"/>
      <c r="S5" s="210"/>
      <c r="T5" s="420" t="s">
        <v>18</v>
      </c>
      <c r="U5" s="420" t="s">
        <v>19</v>
      </c>
      <c r="V5" s="420" t="s">
        <v>16</v>
      </c>
      <c r="W5" s="79" t="s">
        <v>20</v>
      </c>
      <c r="X5" s="79" t="s">
        <v>92</v>
      </c>
      <c r="Y5" s="229" t="s">
        <v>20</v>
      </c>
      <c r="Z5" s="420" t="s">
        <v>21</v>
      </c>
      <c r="AA5" s="212" t="s">
        <v>86</v>
      </c>
      <c r="AB5" s="213"/>
      <c r="AC5" s="420" t="s">
        <v>23</v>
      </c>
      <c r="AD5" s="229" t="s">
        <v>110</v>
      </c>
      <c r="AE5" s="233" t="s">
        <v>14</v>
      </c>
      <c r="AF5" s="233" t="s">
        <v>15</v>
      </c>
      <c r="AG5" s="233" t="s">
        <v>16</v>
      </c>
      <c r="AH5" s="523" t="s">
        <v>25</v>
      </c>
      <c r="AI5" s="224" t="s">
        <v>26</v>
      </c>
      <c r="AJ5" s="350" t="s">
        <v>27</v>
      </c>
      <c r="AK5" s="68" t="s">
        <v>87</v>
      </c>
      <c r="AL5" s="68" t="s">
        <v>20</v>
      </c>
      <c r="AM5" s="427" t="s">
        <v>88</v>
      </c>
      <c r="AN5" s="427" t="s">
        <v>88</v>
      </c>
      <c r="AO5" s="68" t="s">
        <v>29</v>
      </c>
      <c r="AP5" s="218" t="s">
        <v>30</v>
      </c>
      <c r="AQ5" s="218" t="s">
        <v>52</v>
      </c>
    </row>
    <row r="6" s="524" customFormat="true" ht="12.95" hidden="false" customHeight="true" outlineLevel="0" collapsed="false">
      <c r="A6" s="470" t="s">
        <v>120</v>
      </c>
      <c r="B6" s="466" t="s">
        <v>32</v>
      </c>
      <c r="C6" s="229" t="s">
        <v>9</v>
      </c>
      <c r="D6" s="233" t="s">
        <v>33</v>
      </c>
      <c r="E6" s="229" t="s">
        <v>34</v>
      </c>
      <c r="F6" s="522" t="s">
        <v>35</v>
      </c>
      <c r="G6" s="233" t="s">
        <v>36</v>
      </c>
      <c r="H6" s="235" t="s">
        <v>37</v>
      </c>
      <c r="I6" s="233" t="s">
        <v>38</v>
      </c>
      <c r="J6" s="233" t="s">
        <v>38</v>
      </c>
      <c r="K6" s="233" t="s">
        <v>38</v>
      </c>
      <c r="L6" s="233" t="s">
        <v>39</v>
      </c>
      <c r="M6" s="471" t="s">
        <v>40</v>
      </c>
      <c r="N6" s="233" t="s">
        <v>41</v>
      </c>
      <c r="O6" s="233" t="s">
        <v>42</v>
      </c>
      <c r="P6" s="233" t="s">
        <v>43</v>
      </c>
      <c r="Q6" s="233" t="s">
        <v>44</v>
      </c>
      <c r="R6" s="233" t="s">
        <v>45</v>
      </c>
      <c r="S6" s="234" t="s">
        <v>46</v>
      </c>
      <c r="T6" s="420" t="s">
        <v>47</v>
      </c>
      <c r="U6" s="420" t="s">
        <v>48</v>
      </c>
      <c r="V6" s="420" t="s">
        <v>20</v>
      </c>
      <c r="W6" s="79" t="s">
        <v>58</v>
      </c>
      <c r="X6" s="229" t="s">
        <v>72</v>
      </c>
      <c r="Y6" s="229" t="s">
        <v>53</v>
      </c>
      <c r="Z6" s="420" t="s">
        <v>51</v>
      </c>
      <c r="AA6" s="221"/>
      <c r="AB6" s="222"/>
      <c r="AC6" s="420" t="s">
        <v>54</v>
      </c>
      <c r="AD6" s="229" t="s">
        <v>55</v>
      </c>
      <c r="AE6" s="233" t="s">
        <v>56</v>
      </c>
      <c r="AF6" s="233" t="s">
        <v>56</v>
      </c>
      <c r="AG6" s="233" t="s">
        <v>56</v>
      </c>
      <c r="AH6" s="525"/>
      <c r="AI6" s="224" t="s">
        <v>57</v>
      </c>
      <c r="AJ6" s="350" t="s">
        <v>57</v>
      </c>
      <c r="AK6" s="68" t="s">
        <v>58</v>
      </c>
      <c r="AL6" s="68" t="s">
        <v>59</v>
      </c>
      <c r="AM6" s="427" t="s">
        <v>60</v>
      </c>
      <c r="AN6" s="427" t="s">
        <v>60</v>
      </c>
      <c r="AO6" s="68" t="s">
        <v>61</v>
      </c>
      <c r="AP6" s="218" t="s">
        <v>62</v>
      </c>
      <c r="AQ6" s="218" t="s">
        <v>121</v>
      </c>
    </row>
    <row r="7" s="524" customFormat="true" ht="12.95" hidden="false" customHeight="true" outlineLevel="0" collapsed="false">
      <c r="A7" s="233"/>
      <c r="B7" s="466"/>
      <c r="C7" s="229"/>
      <c r="D7" s="233"/>
      <c r="E7" s="229" t="s">
        <v>63</v>
      </c>
      <c r="F7" s="522"/>
      <c r="G7" s="233"/>
      <c r="H7" s="235"/>
      <c r="I7" s="233"/>
      <c r="J7" s="233"/>
      <c r="K7" s="233"/>
      <c r="L7" s="233"/>
      <c r="M7" s="471"/>
      <c r="N7" s="233" t="s">
        <v>64</v>
      </c>
      <c r="O7" s="233" t="s">
        <v>65</v>
      </c>
      <c r="P7" s="233"/>
      <c r="Q7" s="233"/>
      <c r="R7" s="233"/>
      <c r="S7" s="234" t="s">
        <v>42</v>
      </c>
      <c r="T7" s="420"/>
      <c r="U7" s="420"/>
      <c r="V7" s="420"/>
      <c r="W7" s="79"/>
      <c r="X7" s="79"/>
      <c r="Y7" s="79"/>
      <c r="Z7" s="420"/>
      <c r="AA7" s="232"/>
      <c r="AB7" s="236"/>
      <c r="AC7" s="420"/>
      <c r="AD7" s="79"/>
      <c r="AE7" s="420"/>
      <c r="AF7" s="420"/>
      <c r="AG7" s="420"/>
      <c r="AH7" s="525"/>
      <c r="AI7" s="224"/>
      <c r="AJ7" s="350"/>
      <c r="AK7" s="68" t="s">
        <v>63</v>
      </c>
      <c r="AL7" s="68" t="s">
        <v>67</v>
      </c>
      <c r="AM7" s="427" t="s">
        <v>107</v>
      </c>
      <c r="AN7" s="427" t="s">
        <v>93</v>
      </c>
      <c r="AO7" s="68" t="s">
        <v>70</v>
      </c>
      <c r="AP7" s="218" t="s">
        <v>71</v>
      </c>
      <c r="AQ7" s="218" t="s">
        <v>122</v>
      </c>
    </row>
    <row r="8" s="524" customFormat="true" ht="12.95" hidden="false" customHeight="true" outlineLevel="0" collapsed="false">
      <c r="A8" s="233"/>
      <c r="B8" s="466"/>
      <c r="C8" s="229"/>
      <c r="D8" s="233"/>
      <c r="E8" s="229"/>
      <c r="F8" s="522"/>
      <c r="G8" s="233"/>
      <c r="H8" s="235"/>
      <c r="I8" s="233"/>
      <c r="J8" s="233"/>
      <c r="K8" s="233"/>
      <c r="L8" s="233"/>
      <c r="M8" s="471"/>
      <c r="N8" s="472" t="n">
        <v>1.03</v>
      </c>
      <c r="O8" s="472" t="n">
        <v>1.05</v>
      </c>
      <c r="P8" s="472" t="n">
        <v>1.02</v>
      </c>
      <c r="Q8" s="239" t="n">
        <v>1.02</v>
      </c>
      <c r="R8" s="472" t="n">
        <v>1.04</v>
      </c>
      <c r="S8" s="234" t="s">
        <v>53</v>
      </c>
      <c r="T8" s="233"/>
      <c r="U8" s="233"/>
      <c r="V8" s="233"/>
      <c r="W8" s="229"/>
      <c r="X8" s="229"/>
      <c r="Y8" s="229"/>
      <c r="Z8" s="233"/>
      <c r="AA8" s="232"/>
      <c r="AB8" s="236"/>
      <c r="AC8" s="233"/>
      <c r="AD8" s="229"/>
      <c r="AE8" s="233"/>
      <c r="AF8" s="233"/>
      <c r="AG8" s="233"/>
      <c r="AH8" s="525"/>
      <c r="AI8" s="224"/>
      <c r="AJ8" s="350"/>
      <c r="AK8" s="68"/>
      <c r="AL8" s="68"/>
      <c r="AM8" s="427"/>
      <c r="AN8" s="427" t="s">
        <v>67</v>
      </c>
      <c r="AO8" s="548"/>
      <c r="AQ8" s="427" t="s">
        <v>67</v>
      </c>
    </row>
    <row r="9" customFormat="false" ht="12.95" hidden="false" customHeight="true" outlineLevel="0" collapsed="false">
      <c r="A9" s="173" t="s">
        <v>74</v>
      </c>
      <c r="B9" s="549"/>
      <c r="C9" s="194"/>
      <c r="D9" s="194"/>
      <c r="E9" s="194"/>
      <c r="F9" s="550" t="n">
        <f aca="false">JUL!F47</f>
        <v>-2925.63650113436</v>
      </c>
      <c r="G9" s="194" t="n">
        <f aca="false">JUL!G47</f>
        <v>71157</v>
      </c>
      <c r="H9" s="194" t="n">
        <f aca="false">JUL!H47</f>
        <v>1002.02</v>
      </c>
      <c r="I9" s="194" t="n">
        <f aca="false">JUL!I47</f>
        <v>72159.02</v>
      </c>
      <c r="J9" s="194" t="n">
        <f aca="false">JUL!J47</f>
        <v>4159.78715467608</v>
      </c>
      <c r="K9" s="194" t="n">
        <f aca="false">JUL!K47</f>
        <v>76318.8071546761</v>
      </c>
      <c r="L9" s="194" t="n">
        <f aca="false">JUL!L47</f>
        <v>-1935.52090113436</v>
      </c>
      <c r="M9" s="551" t="n">
        <f aca="false">JUL!M47</f>
        <v>28854</v>
      </c>
      <c r="N9" s="194" t="n">
        <f aca="false">JUL!N47</f>
        <v>229.671805</v>
      </c>
      <c r="O9" s="194" t="n">
        <f aca="false">JUL!O47</f>
        <v>9482.9805</v>
      </c>
      <c r="P9" s="194" t="n">
        <f aca="false">JUL!P47</f>
        <v>2.2644</v>
      </c>
      <c r="Q9" s="196"/>
      <c r="R9" s="196"/>
      <c r="S9" s="552"/>
      <c r="T9" s="194" t="n">
        <f aca="false">JUL!T47</f>
        <v>13132</v>
      </c>
      <c r="U9" s="194" t="n">
        <f aca="false">JUL!U47</f>
        <v>7284.8</v>
      </c>
      <c r="V9" s="194" t="n">
        <f aca="false">JUL!V47</f>
        <v>38504.537695</v>
      </c>
      <c r="W9" s="194" t="n">
        <f aca="false">JUL!W47</f>
        <v>2012.37767548394</v>
      </c>
      <c r="X9" s="194" t="n">
        <f aca="false">JUL!X42</f>
        <v>2709.21</v>
      </c>
      <c r="Y9" s="194" t="n">
        <f aca="false">JUL!Y42</f>
        <v>0</v>
      </c>
      <c r="Z9" s="194" t="n">
        <f aca="false">JUL!Z47</f>
        <v>16786.6</v>
      </c>
      <c r="AA9" s="551" t="n">
        <f aca="false">JUL!AA47</f>
        <v>207.4</v>
      </c>
      <c r="AB9" s="553" t="n">
        <f aca="false">JUL!AB47</f>
        <v>158.6</v>
      </c>
      <c r="AC9" s="194"/>
      <c r="AD9" s="194"/>
      <c r="AE9" s="194" t="n">
        <f aca="false">JUL!AE47</f>
        <v>73149.1356</v>
      </c>
      <c r="AF9" s="194" t="n">
        <f aca="false">JUL!AF47</f>
        <v>6095.30805581043</v>
      </c>
      <c r="AG9" s="194" t="n">
        <f aca="false">JUL!AG47</f>
        <v>79244.4436558104</v>
      </c>
      <c r="AH9" s="356"/>
      <c r="AI9" s="347"/>
      <c r="AJ9" s="554"/>
      <c r="AK9" s="358"/>
      <c r="AL9" s="358"/>
      <c r="AM9" s="296"/>
      <c r="AN9" s="196" t="n">
        <f aca="false">JUL!AN48</f>
        <v>838.773035596626</v>
      </c>
      <c r="AO9" s="243" t="n">
        <f aca="false">JUL!AO47</f>
        <v>995.07</v>
      </c>
      <c r="AP9" s="243" t="n">
        <f aca="false">JUL!AP47</f>
        <v>0</v>
      </c>
    </row>
    <row r="10" s="157" customFormat="true" ht="12.95" hidden="false" customHeight="true" outlineLevel="0" collapsed="false">
      <c r="A10" s="250" t="s">
        <v>75</v>
      </c>
      <c r="B10" s="555" t="n">
        <f aca="false">JUL!B42</f>
        <v>6900.38</v>
      </c>
      <c r="C10" s="194" t="n">
        <f aca="false">JUL!C42</f>
        <v>284987</v>
      </c>
      <c r="D10" s="194" t="n">
        <f aca="false">JUL!D51</f>
        <v>-14387</v>
      </c>
      <c r="E10" s="194" t="n">
        <f aca="false">JUL!E51</f>
        <v>132987</v>
      </c>
      <c r="F10" s="550" t="n">
        <f aca="false">JUL!F50</f>
        <v>-7253.34005545753</v>
      </c>
      <c r="G10" s="194" t="n">
        <f aca="false">JUL!G50</f>
        <v>78809</v>
      </c>
      <c r="H10" s="347" t="n">
        <f aca="false">JUL!H50</f>
        <v>1224.843</v>
      </c>
      <c r="I10" s="194" t="n">
        <f aca="false">JUL!I50</f>
        <v>80033.843</v>
      </c>
      <c r="J10" s="194" t="n">
        <f aca="false">JUL!J50</f>
        <v>5691.97553884548</v>
      </c>
      <c r="K10" s="194" t="n">
        <f aca="false">JUL!K50</f>
        <v>85725.8185388455</v>
      </c>
      <c r="L10" s="194" t="n">
        <f aca="false">JUL!L50</f>
        <v>-1621.03745545752</v>
      </c>
      <c r="M10" s="551" t="n">
        <f aca="false">JUL!M50</f>
        <v>30146.6</v>
      </c>
      <c r="N10" s="194" t="n">
        <f aca="false">JUL!N50</f>
        <v>229.671805</v>
      </c>
      <c r="O10" s="194" t="n">
        <f aca="false">JUL!O50</f>
        <v>9482.9805</v>
      </c>
      <c r="P10" s="194"/>
      <c r="Q10" s="194" t="n">
        <f aca="false">JUL!Q50</f>
        <v>501.789</v>
      </c>
      <c r="R10" s="194" t="n">
        <f aca="false">JUL!R50</f>
        <v>904.1548</v>
      </c>
      <c r="S10" s="556" t="n">
        <f aca="false">JUL!S50</f>
        <v>383.51</v>
      </c>
      <c r="T10" s="194" t="n">
        <f aca="false">JUL!T50</f>
        <v>20313.94</v>
      </c>
      <c r="U10" s="194" t="n">
        <f aca="false">JUL!U50</f>
        <v>7436.27</v>
      </c>
      <c r="V10" s="194" t="n">
        <f aca="false">JUL!V50</f>
        <v>46392.439495</v>
      </c>
      <c r="W10" s="194"/>
      <c r="X10" s="194"/>
      <c r="Y10" s="194"/>
      <c r="Z10" s="194" t="n">
        <f aca="false">JUL!Z50</f>
        <v>0</v>
      </c>
      <c r="AA10" s="244"/>
      <c r="AB10" s="245"/>
      <c r="AC10" s="194" t="n">
        <f aca="false">JUL!AC50</f>
        <v>10985</v>
      </c>
      <c r="AD10" s="194" t="n">
        <f aca="false">JUL!AD50</f>
        <v>8937.25787748929</v>
      </c>
      <c r="AE10" s="194" t="n">
        <f aca="false">JUL!AE50</f>
        <v>85666.1456</v>
      </c>
      <c r="AF10" s="194" t="n">
        <f aca="false">JUL!AF50</f>
        <v>7313.012994303</v>
      </c>
      <c r="AG10" s="194" t="n">
        <f aca="false">JUL!AG50</f>
        <v>92979.158594303</v>
      </c>
      <c r="AH10" s="247" t="n">
        <f aca="false">JUL!AH50</f>
        <v>9.06</v>
      </c>
      <c r="AI10" s="347"/>
      <c r="AJ10" s="554"/>
      <c r="AK10" s="347" t="n">
        <f aca="false">JUL!AK51</f>
        <v>15698.7543455</v>
      </c>
      <c r="AL10" s="347" t="n">
        <f aca="false">JUL!AL50</f>
        <v>236.546271401</v>
      </c>
      <c r="AM10" s="355"/>
      <c r="AN10" s="196" t="n">
        <f aca="false">JUL!AN51</f>
        <v>838.773035596626</v>
      </c>
      <c r="AO10" s="347" t="n">
        <f aca="false">JUL!AO50</f>
        <v>0</v>
      </c>
      <c r="AP10" s="347" t="n">
        <f aca="false">JUL!AP50</f>
        <v>0</v>
      </c>
    </row>
    <row r="11" customFormat="false" ht="3" hidden="false" customHeight="true" outlineLevel="0" collapsed="false">
      <c r="A11" s="252"/>
      <c r="B11" s="557"/>
      <c r="C11" s="558"/>
      <c r="D11" s="383"/>
      <c r="E11" s="558"/>
      <c r="F11" s="559"/>
      <c r="G11" s="383"/>
      <c r="H11" s="560"/>
      <c r="I11" s="383"/>
      <c r="J11" s="383"/>
      <c r="K11" s="383"/>
      <c r="L11" s="383"/>
      <c r="M11" s="561"/>
      <c r="N11" s="383"/>
      <c r="O11" s="383"/>
      <c r="P11" s="383"/>
      <c r="Q11" s="562"/>
      <c r="R11" s="562"/>
      <c r="S11" s="563"/>
      <c r="T11" s="383"/>
      <c r="U11" s="383"/>
      <c r="V11" s="383"/>
      <c r="W11" s="558"/>
      <c r="X11" s="558"/>
      <c r="Y11" s="558"/>
      <c r="Z11" s="383"/>
      <c r="AA11" s="258"/>
      <c r="AB11" s="259"/>
      <c r="AC11" s="383"/>
      <c r="AD11" s="558"/>
      <c r="AE11" s="383"/>
      <c r="AF11" s="383"/>
      <c r="AG11" s="383"/>
      <c r="AH11" s="564"/>
      <c r="AI11" s="565"/>
      <c r="AJ11" s="566"/>
      <c r="AK11" s="384"/>
      <c r="AL11" s="384"/>
      <c r="AM11" s="384"/>
      <c r="AN11" s="567"/>
      <c r="AO11" s="568"/>
      <c r="AP11" s="568"/>
      <c r="AQ11" s="568"/>
    </row>
    <row r="12" customFormat="false" ht="12.95" hidden="false" customHeight="true" outlineLevel="0" collapsed="false">
      <c r="A12" s="172" t="n">
        <v>1</v>
      </c>
      <c r="B12" s="555" t="n">
        <v>6900.25</v>
      </c>
      <c r="C12" s="194" t="n">
        <v>284505</v>
      </c>
      <c r="D12" s="347" t="n">
        <f aca="false">C12-C10</f>
        <v>-482</v>
      </c>
      <c r="E12" s="194" t="n">
        <f aca="false">C12-152000</f>
        <v>132505</v>
      </c>
      <c r="F12" s="569" t="n">
        <f aca="false">D12/$D$2</f>
        <v>-243.004789513486</v>
      </c>
      <c r="G12" s="187" t="n">
        <v>279</v>
      </c>
      <c r="H12" s="192" t="n">
        <v>0</v>
      </c>
      <c r="I12" s="187" t="n">
        <f aca="false">G12+H12</f>
        <v>279</v>
      </c>
      <c r="J12" s="195" t="n">
        <f aca="false">IF(L12&gt;0,L12,0)</f>
        <v>9.99521048651374</v>
      </c>
      <c r="K12" s="187" t="n">
        <f aca="false">I12+J12</f>
        <v>288.995210486514</v>
      </c>
      <c r="L12" s="187" t="n">
        <f aca="false">F12-(I12-AE12)</f>
        <v>9.99521048651374</v>
      </c>
      <c r="M12" s="570" t="n">
        <v>175</v>
      </c>
      <c r="N12" s="126" t="n">
        <f aca="false">1.8299*1.03</f>
        <v>1.884797</v>
      </c>
      <c r="O12" s="187" t="n">
        <f aca="false">(31.17+28.19)*1.05</f>
        <v>62.328</v>
      </c>
      <c r="P12" s="187"/>
      <c r="Q12" s="196" t="n">
        <f aca="false">2.33*1.02</f>
        <v>2.3766</v>
      </c>
      <c r="R12" s="571" t="n">
        <v>4.2</v>
      </c>
      <c r="S12" s="572" t="n">
        <v>1.76</v>
      </c>
      <c r="T12" s="187" t="n">
        <v>65</v>
      </c>
      <c r="U12" s="187" t="n">
        <v>73</v>
      </c>
      <c r="V12" s="195" t="n">
        <f aca="false">M12-N12-O12-Q12-R12-S12+T12+U12</f>
        <v>240.450603</v>
      </c>
      <c r="W12" s="105" t="n">
        <f aca="false">W9-(AN12/1.9835)</f>
        <v>2010.75992460309</v>
      </c>
      <c r="X12" s="105" t="n">
        <f aca="false">X9+AO12</f>
        <v>2709.21</v>
      </c>
      <c r="Y12" s="194" t="n">
        <f aca="false">Y9</f>
        <v>0</v>
      </c>
      <c r="Z12" s="187" t="n">
        <v>149</v>
      </c>
      <c r="AA12" s="267" t="n">
        <v>1.7</v>
      </c>
      <c r="AB12" s="269" t="n">
        <v>1.3</v>
      </c>
      <c r="AC12" s="187" t="n">
        <v>70</v>
      </c>
      <c r="AD12" s="194" t="n">
        <f aca="false">AD10-AC12</f>
        <v>8867.25787748929</v>
      </c>
      <c r="AE12" s="30" t="n">
        <f aca="false">N12+O12+Q12+R12+S12+V12+Z12+AC12</f>
        <v>532</v>
      </c>
      <c r="AF12" s="187" t="n">
        <f aca="false">IF(L12&lt;0,L12*-1,0)</f>
        <v>0</v>
      </c>
      <c r="AG12" s="187" t="n">
        <f aca="false">AE12+AF12</f>
        <v>532</v>
      </c>
      <c r="AH12" s="356" t="n">
        <v>0</v>
      </c>
      <c r="AI12" s="347" t="n">
        <v>82</v>
      </c>
      <c r="AJ12" s="554" t="n">
        <v>57</v>
      </c>
      <c r="AK12" s="243" t="n">
        <f aca="false">AK10</f>
        <v>15698.7543455</v>
      </c>
      <c r="AL12" s="358"/>
      <c r="AM12" s="246"/>
      <c r="AN12" s="366" t="n">
        <f aca="false">45.4*(W9*1.9835+X9*1.9835+Y9*1.9835)/E12</f>
        <v>3.2088088721651</v>
      </c>
      <c r="AO12" s="573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2.95" hidden="false" customHeight="true" outlineLevel="0" collapsed="false">
      <c r="A13" s="172" t="n">
        <f aca="false">A12+1</f>
        <v>2</v>
      </c>
      <c r="B13" s="555" t="n">
        <v>6900.04</v>
      </c>
      <c r="C13" s="194" t="n">
        <v>283728</v>
      </c>
      <c r="D13" s="347" t="n">
        <f aca="false">C13-C12</f>
        <v>-777</v>
      </c>
      <c r="E13" s="194" t="n">
        <f aca="false">C13-152000</f>
        <v>131728</v>
      </c>
      <c r="F13" s="569" t="n">
        <f aca="false">D13/$D$2</f>
        <v>-391.731787244769</v>
      </c>
      <c r="G13" s="187" t="n">
        <v>247</v>
      </c>
      <c r="H13" s="192" t="n">
        <v>0</v>
      </c>
      <c r="I13" s="187" t="n">
        <f aca="false">G13+H13</f>
        <v>247</v>
      </c>
      <c r="J13" s="195" t="n">
        <f aca="false">IF(L13&gt;0,L13,0)</f>
        <v>0</v>
      </c>
      <c r="K13" s="187" t="n">
        <f aca="false">I13+J13</f>
        <v>247</v>
      </c>
      <c r="L13" s="187" t="n">
        <f aca="false">F13-(I13-AE13)</f>
        <v>-92.7317872447694</v>
      </c>
      <c r="M13" s="570" t="n">
        <v>178</v>
      </c>
      <c r="N13" s="126" t="n">
        <f aca="false">1.8299*1.03</f>
        <v>1.884797</v>
      </c>
      <c r="O13" s="187" t="n">
        <f aca="false">(28.59+30.64)*1.05</f>
        <v>62.1915</v>
      </c>
      <c r="P13" s="187"/>
      <c r="Q13" s="196" t="n">
        <f aca="false">2.33*1.02</f>
        <v>2.3766</v>
      </c>
      <c r="R13" s="571" t="n">
        <v>4.2</v>
      </c>
      <c r="S13" s="572" t="n">
        <v>0.32</v>
      </c>
      <c r="T13" s="187" t="n">
        <v>103</v>
      </c>
      <c r="U13" s="187" t="n">
        <v>72</v>
      </c>
      <c r="V13" s="187" t="n">
        <f aca="false">M13-N13-O13-Q13-R13-S13+T13+U13</f>
        <v>282.027103</v>
      </c>
      <c r="W13" s="105" t="n">
        <f aca="false">W12-(V13-I13)-Q13-R13-AA13-(AN13/1.9835)</f>
        <v>1965.82948594646</v>
      </c>
      <c r="X13" s="105" t="n">
        <f aca="false">X12+AO13</f>
        <v>2709.21</v>
      </c>
      <c r="Y13" s="194" t="n">
        <f aca="false">Y12</f>
        <v>0</v>
      </c>
      <c r="Z13" s="187" t="n">
        <v>123</v>
      </c>
      <c r="AA13" s="267" t="n">
        <v>1.7</v>
      </c>
      <c r="AB13" s="269" t="n">
        <v>1.3</v>
      </c>
      <c r="AC13" s="187" t="n">
        <v>70</v>
      </c>
      <c r="AD13" s="194" t="n">
        <f aca="false">AD12-AC13</f>
        <v>8797.25787748929</v>
      </c>
      <c r="AE13" s="30" t="n">
        <f aca="false">N13+O13+Q13+R13+S13+V13+Z13+AC13</f>
        <v>546</v>
      </c>
      <c r="AF13" s="187" t="n">
        <f aca="false">IF(L13&lt;0,L13*-1,0)</f>
        <v>92.7317872447694</v>
      </c>
      <c r="AG13" s="187" t="n">
        <f aca="false">AE13+AF13</f>
        <v>638.731787244769</v>
      </c>
      <c r="AH13" s="356" t="n">
        <v>0</v>
      </c>
      <c r="AI13" s="347" t="n">
        <v>80</v>
      </c>
      <c r="AJ13" s="554" t="n">
        <v>56</v>
      </c>
      <c r="AK13" s="243" t="n">
        <f aca="false">AK12</f>
        <v>15698.7543455</v>
      </c>
      <c r="AL13" s="358"/>
      <c r="AM13" s="246"/>
      <c r="AN13" s="366" t="n">
        <f aca="false">45.4*(W12*1.9835+X12*1.9835+Y12*1.9835)/E13</f>
        <v>3.22663017493199</v>
      </c>
      <c r="AO13" s="573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2.95" hidden="false" customHeight="true" outlineLevel="0" collapsed="false">
      <c r="A14" s="172" t="n">
        <f aca="false">A13+1</f>
        <v>3</v>
      </c>
      <c r="B14" s="555" t="n">
        <v>6899.78</v>
      </c>
      <c r="C14" s="194" t="n">
        <v>282772</v>
      </c>
      <c r="D14" s="347" t="n">
        <f aca="false">C14-C13</f>
        <v>-956</v>
      </c>
      <c r="E14" s="194" t="n">
        <f aca="false">C14-152000</f>
        <v>130772</v>
      </c>
      <c r="F14" s="569" t="n">
        <f aca="false">D14/$D$2</f>
        <v>-481.976304512226</v>
      </c>
      <c r="G14" s="187" t="n">
        <v>211</v>
      </c>
      <c r="H14" s="192" t="n">
        <v>0</v>
      </c>
      <c r="I14" s="187" t="n">
        <f aca="false">G14+H14</f>
        <v>211</v>
      </c>
      <c r="J14" s="195" t="n">
        <f aca="false">IF(L14&gt;0,L14,0)</f>
        <v>0</v>
      </c>
      <c r="K14" s="187" t="n">
        <f aca="false">I14+J14</f>
        <v>211</v>
      </c>
      <c r="L14" s="187" t="n">
        <f aca="false">F14-(I14-AE14)</f>
        <v>-89.9763045122259</v>
      </c>
      <c r="M14" s="570" t="n">
        <v>187</v>
      </c>
      <c r="N14" s="126" t="n">
        <f aca="false">1.8299*1.03</f>
        <v>1.884797</v>
      </c>
      <c r="O14" s="187" t="n">
        <f aca="false">(36.97+35.88)*1.05</f>
        <v>76.4925</v>
      </c>
      <c r="P14" s="187"/>
      <c r="Q14" s="196" t="n">
        <f aca="false">2.33*1.02</f>
        <v>2.3766</v>
      </c>
      <c r="R14" s="571" t="n">
        <v>4.2</v>
      </c>
      <c r="S14" s="572" t="n">
        <v>5.09</v>
      </c>
      <c r="T14" s="187" t="n">
        <v>130</v>
      </c>
      <c r="U14" s="187" t="n">
        <v>71</v>
      </c>
      <c r="V14" s="187" t="n">
        <f aca="false">M14-N14-O14-Q14-R14-S14+T14+U14</f>
        <v>297.956103</v>
      </c>
      <c r="W14" s="105" t="n">
        <f aca="false">W13-(V14-I14)-Q14-R14-AA14-(AN14/1.9835)</f>
        <v>1868.9737536079</v>
      </c>
      <c r="X14" s="105" t="n">
        <f aca="false">X13+AO14</f>
        <v>2709.21</v>
      </c>
      <c r="Y14" s="194" t="n">
        <f aca="false">Y13</f>
        <v>0</v>
      </c>
      <c r="Z14" s="187" t="n">
        <v>142</v>
      </c>
      <c r="AA14" s="267" t="n">
        <v>1.7</v>
      </c>
      <c r="AB14" s="269" t="n">
        <v>1.3</v>
      </c>
      <c r="AC14" s="187" t="n">
        <v>73</v>
      </c>
      <c r="AD14" s="194" t="n">
        <f aca="false">AD13-AC14</f>
        <v>8724.25787748929</v>
      </c>
      <c r="AE14" s="30" t="n">
        <f aca="false">N14+O14+Q14+R14+S14+V14+Z14+AC14</f>
        <v>603</v>
      </c>
      <c r="AF14" s="187" t="n">
        <f aca="false">IF(L14&lt;0,L14*-1,0)</f>
        <v>89.9763045122259</v>
      </c>
      <c r="AG14" s="187" t="n">
        <f aca="false">AE14+AF14</f>
        <v>692.976304512226</v>
      </c>
      <c r="AH14" s="356" t="n">
        <v>0</v>
      </c>
      <c r="AI14" s="347" t="n">
        <v>84</v>
      </c>
      <c r="AJ14" s="554" t="n">
        <v>55</v>
      </c>
      <c r="AK14" s="243" t="n">
        <f aca="false">AK13</f>
        <v>15698.7543455</v>
      </c>
      <c r="AL14" s="358"/>
      <c r="AM14" s="246"/>
      <c r="AN14" s="366" t="n">
        <f aca="false">45.4*(W13*1.9835+X13*1.9835+Y13*1.9835)/E14</f>
        <v>3.21927869303074</v>
      </c>
      <c r="AO14" s="573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2.95" hidden="false" customHeight="true" outlineLevel="0" collapsed="false">
      <c r="A15" s="172" t="n">
        <f aca="false">A14+1</f>
        <v>4</v>
      </c>
      <c r="B15" s="555" t="n">
        <v>6899.54</v>
      </c>
      <c r="C15" s="194" t="n">
        <v>281890</v>
      </c>
      <c r="D15" s="347" t="n">
        <f aca="false">C15-C14</f>
        <v>-882</v>
      </c>
      <c r="E15" s="194" t="n">
        <f aca="false">C15-152000</f>
        <v>129890</v>
      </c>
      <c r="F15" s="569" t="n">
        <f aca="false">D15/$D$2</f>
        <v>-444.668515250819</v>
      </c>
      <c r="G15" s="187" t="n">
        <v>188</v>
      </c>
      <c r="H15" s="192" t="n">
        <v>0</v>
      </c>
      <c r="I15" s="187" t="n">
        <f aca="false">G15+H15</f>
        <v>188</v>
      </c>
      <c r="J15" s="195" t="n">
        <f aca="false">IF(L15&gt;0,L15,0)</f>
        <v>0</v>
      </c>
      <c r="K15" s="187" t="n">
        <f aca="false">I15+J15</f>
        <v>188</v>
      </c>
      <c r="L15" s="187" t="n">
        <f aca="false">F15-(I15-AE15)</f>
        <v>-31.6685152508193</v>
      </c>
      <c r="M15" s="570" t="n">
        <v>188</v>
      </c>
      <c r="N15" s="126" t="n">
        <f aca="false">1.8299*1.03</f>
        <v>1.884797</v>
      </c>
      <c r="O15" s="187" t="n">
        <f aca="false">(37.04+37.25)*1.05</f>
        <v>78.0045</v>
      </c>
      <c r="P15" s="187"/>
      <c r="Q15" s="196" t="n">
        <f aca="false">2.33*1.02</f>
        <v>2.3766</v>
      </c>
      <c r="R15" s="571" t="n">
        <v>4.2</v>
      </c>
      <c r="S15" s="572" t="n">
        <v>2.11</v>
      </c>
      <c r="T15" s="187" t="n">
        <v>130</v>
      </c>
      <c r="U15" s="187" t="n">
        <v>69</v>
      </c>
      <c r="V15" s="187" t="n">
        <f aca="false">M15-N15-O15-Q15-R15-S15+T15+U15</f>
        <v>298.424103</v>
      </c>
      <c r="W15" s="105" t="n">
        <f aca="false">W14-(V15-I15)-Q15-R15-AA15-(AN15/1.9835)</f>
        <v>1748.6728539614</v>
      </c>
      <c r="X15" s="105" t="n">
        <f aca="false">X14+AO15</f>
        <v>2709.21</v>
      </c>
      <c r="Y15" s="194" t="n">
        <f aca="false">Y14</f>
        <v>0</v>
      </c>
      <c r="Z15" s="187" t="n">
        <v>139</v>
      </c>
      <c r="AA15" s="267" t="n">
        <v>1.7</v>
      </c>
      <c r="AB15" s="269" t="n">
        <v>1.3</v>
      </c>
      <c r="AC15" s="187" t="n">
        <v>75</v>
      </c>
      <c r="AD15" s="194" t="n">
        <f aca="false">AD14-AC15</f>
        <v>8649.25787748929</v>
      </c>
      <c r="AE15" s="30" t="n">
        <f aca="false">N15+O15+Q15+R15+S15+V15+Z15+AC15</f>
        <v>601</v>
      </c>
      <c r="AF15" s="187" t="n">
        <f aca="false">IF(L15&lt;0,L15*-1,0)</f>
        <v>31.6685152508193</v>
      </c>
      <c r="AG15" s="187" t="n">
        <f aca="false">AE15+AF15</f>
        <v>632.668515250819</v>
      </c>
      <c r="AH15" s="356" t="n">
        <v>0.36</v>
      </c>
      <c r="AI15" s="347" t="n">
        <v>75</v>
      </c>
      <c r="AJ15" s="554" t="n">
        <v>57</v>
      </c>
      <c r="AK15" s="243" t="n">
        <f aca="false">AK14</f>
        <v>15698.7543455</v>
      </c>
      <c r="AL15" s="358"/>
      <c r="AM15" s="246"/>
      <c r="AN15" s="366" t="n">
        <f aca="false">45.4*(W14*1.9835+X14*1.9835+Y14*1.9835)/E15</f>
        <v>3.17399004833143</v>
      </c>
      <c r="AO15" s="573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2.95" hidden="false" customHeight="true" outlineLevel="0" collapsed="false">
      <c r="A16" s="172" t="n">
        <f aca="false">A15+1</f>
        <v>5</v>
      </c>
      <c r="B16" s="555" t="n">
        <v>6899.34</v>
      </c>
      <c r="C16" s="194" t="n">
        <v>281155</v>
      </c>
      <c r="D16" s="347" t="n">
        <f aca="false">C16-C15</f>
        <v>-735</v>
      </c>
      <c r="E16" s="194" t="n">
        <f aca="false">C16-152000</f>
        <v>129155</v>
      </c>
      <c r="F16" s="569" t="n">
        <f aca="false">D16/$D$2</f>
        <v>-370.557096042349</v>
      </c>
      <c r="G16" s="187" t="n">
        <v>266</v>
      </c>
      <c r="H16" s="192" t="n">
        <v>0</v>
      </c>
      <c r="I16" s="187" t="n">
        <f aca="false">G16+H16</f>
        <v>266</v>
      </c>
      <c r="J16" s="195" t="n">
        <f aca="false">IF(L16&gt;0,L16,0)</f>
        <v>0</v>
      </c>
      <c r="K16" s="187" t="n">
        <f aca="false">I16+J16</f>
        <v>266</v>
      </c>
      <c r="L16" s="187" t="n">
        <f aca="false">F16-(I16-AE16)</f>
        <v>-92.5570960423494</v>
      </c>
      <c r="M16" s="570" t="n">
        <v>175</v>
      </c>
      <c r="N16" s="126" t="n">
        <f aca="false">1.8299*1.03</f>
        <v>1.884797</v>
      </c>
      <c r="O16" s="187" t="n">
        <f aca="false">(35.98+36.25)*1.05</f>
        <v>75.8415</v>
      </c>
      <c r="P16" s="187"/>
      <c r="Q16" s="196" t="n">
        <f aca="false">2.33*1.02</f>
        <v>2.3766</v>
      </c>
      <c r="R16" s="571" t="n">
        <v>4.2</v>
      </c>
      <c r="S16" s="572" t="n">
        <v>0.8</v>
      </c>
      <c r="T16" s="187" t="n">
        <v>130</v>
      </c>
      <c r="U16" s="187" t="n">
        <v>64</v>
      </c>
      <c r="V16" s="187" t="n">
        <f aca="false">M16-N16-O16-Q16-R16-S16+T16+U16</f>
        <v>283.897103</v>
      </c>
      <c r="W16" s="105" t="n">
        <f aca="false">W15-(V16-I16)-Q16-R16-AA16-(AN16/1.9835)</f>
        <v>1720.93213550269</v>
      </c>
      <c r="X16" s="105" t="n">
        <f aca="false">X15+AO16</f>
        <v>2709.21</v>
      </c>
      <c r="Y16" s="194" t="n">
        <f aca="false">Y15</f>
        <v>0</v>
      </c>
      <c r="Z16" s="187" t="n">
        <v>100</v>
      </c>
      <c r="AA16" s="267" t="n">
        <v>1.7</v>
      </c>
      <c r="AB16" s="269" t="n">
        <v>1.3</v>
      </c>
      <c r="AC16" s="187" t="n">
        <v>75</v>
      </c>
      <c r="AD16" s="194" t="n">
        <f aca="false">AD15-AC16</f>
        <v>8574.25787748929</v>
      </c>
      <c r="AE16" s="30" t="n">
        <f aca="false">N16+O16+Q16+R16+S16+V16+Z16+AC16</f>
        <v>544</v>
      </c>
      <c r="AF16" s="187" t="n">
        <f aca="false">IF(L16&lt;0,L16*-1,0)</f>
        <v>92.5570960423494</v>
      </c>
      <c r="AG16" s="187" t="n">
        <f aca="false">AE16+AF16</f>
        <v>636.557096042349</v>
      </c>
      <c r="AH16" s="356" t="n">
        <v>0</v>
      </c>
      <c r="AI16" s="347" t="n">
        <v>79</v>
      </c>
      <c r="AJ16" s="554" t="n">
        <v>54</v>
      </c>
      <c r="AK16" s="243" t="n">
        <f aca="false">AK15</f>
        <v>15698.7543455</v>
      </c>
      <c r="AL16" s="358"/>
      <c r="AM16" s="246"/>
      <c r="AN16" s="366" t="n">
        <f aca="false">45.4*(W15*1.9835+X15*1.9835+Y15*1.9835)/E16</f>
        <v>3.1081751623537</v>
      </c>
      <c r="AO16" s="573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2.95" hidden="false" customHeight="true" outlineLevel="0" collapsed="false">
      <c r="A17" s="172" t="n">
        <f aca="false">A16+1</f>
        <v>6</v>
      </c>
      <c r="B17" s="555" t="n">
        <v>6899.17</v>
      </c>
      <c r="C17" s="194" t="n">
        <v>280531</v>
      </c>
      <c r="D17" s="347" t="n">
        <f aca="false">C17-C16</f>
        <v>-624</v>
      </c>
      <c r="E17" s="194" t="n">
        <f aca="false">C17-152000</f>
        <v>128531</v>
      </c>
      <c r="F17" s="569" t="n">
        <f aca="false">D17/$D$2</f>
        <v>-314.595412150239</v>
      </c>
      <c r="G17" s="187" t="n">
        <v>247</v>
      </c>
      <c r="H17" s="192" t="n">
        <v>0</v>
      </c>
      <c r="I17" s="187" t="n">
        <f aca="false">G17+H17</f>
        <v>247</v>
      </c>
      <c r="J17" s="195" t="n">
        <f aca="false">IF(L17&gt;0,L17,0)</f>
        <v>0</v>
      </c>
      <c r="K17" s="187" t="n">
        <f aca="false">I17+J17</f>
        <v>247</v>
      </c>
      <c r="L17" s="187" t="n">
        <f aca="false">F17-(I17-AE17)</f>
        <v>-35.5954121502395</v>
      </c>
      <c r="M17" s="570" t="n">
        <v>180</v>
      </c>
      <c r="N17" s="126" t="n">
        <f aca="false">1.8299*1.03</f>
        <v>1.884797</v>
      </c>
      <c r="O17" s="187" t="n">
        <f aca="false">(37.5+40.12)*1.05</f>
        <v>81.501</v>
      </c>
      <c r="P17" s="187"/>
      <c r="Q17" s="196" t="n">
        <f aca="false">2.33*1.02</f>
        <v>2.3766</v>
      </c>
      <c r="R17" s="571" t="n">
        <v>4.2</v>
      </c>
      <c r="S17" s="572" t="n">
        <v>2.65</v>
      </c>
      <c r="T17" s="187" t="n">
        <v>123</v>
      </c>
      <c r="U17" s="187" t="n">
        <v>64</v>
      </c>
      <c r="V17" s="187" t="n">
        <f aca="false">M17-N17-O17-Q17-R17-S17+T17+U17</f>
        <v>274.387603</v>
      </c>
      <c r="W17" s="105" t="n">
        <f aca="false">W16-(V17-I17)-Q17-R17-AA17-(AN17/1.9835)</f>
        <v>1683.70310804048</v>
      </c>
      <c r="X17" s="105" t="n">
        <f aca="false">X16+AO17</f>
        <v>2709.21</v>
      </c>
      <c r="Y17" s="194" t="n">
        <f aca="false">Y16</f>
        <v>0</v>
      </c>
      <c r="Z17" s="187" t="n">
        <v>84</v>
      </c>
      <c r="AA17" s="267" t="n">
        <v>1.7</v>
      </c>
      <c r="AB17" s="269" t="n">
        <v>1.3</v>
      </c>
      <c r="AC17" s="187" t="n">
        <v>75</v>
      </c>
      <c r="AD17" s="194" t="n">
        <f aca="false">AD16-AC17</f>
        <v>8499.25787748929</v>
      </c>
      <c r="AE17" s="30" t="n">
        <f aca="false">N17+O17+Q17+R17+S17+V17+Z17+AC17</f>
        <v>526</v>
      </c>
      <c r="AF17" s="187" t="n">
        <f aca="false">IF(L17&lt;0,L17*-1,0)</f>
        <v>35.5954121502395</v>
      </c>
      <c r="AG17" s="187" t="n">
        <f aca="false">AE17+AF17</f>
        <v>561.59541215024</v>
      </c>
      <c r="AH17" s="356" t="n">
        <v>0.22</v>
      </c>
      <c r="AI17" s="347" t="n">
        <v>78</v>
      </c>
      <c r="AJ17" s="554" t="n">
        <v>56</v>
      </c>
      <c r="AK17" s="243" t="n">
        <f aca="false">AK16</f>
        <v>15698.7543455</v>
      </c>
      <c r="AL17" s="358"/>
      <c r="AM17" s="246"/>
      <c r="AN17" s="366" t="n">
        <f aca="false">45.4*(W16*1.9835+X16*1.9835+Y16*1.9835)/E17</f>
        <v>3.10382932078595</v>
      </c>
      <c r="AO17" s="573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2.95" hidden="false" customHeight="true" outlineLevel="0" collapsed="false">
      <c r="A18" s="172" t="n">
        <f aca="false">A17+1</f>
        <v>7</v>
      </c>
      <c r="B18" s="555" t="n">
        <v>6899</v>
      </c>
      <c r="C18" s="194" t="n">
        <v>279906</v>
      </c>
      <c r="D18" s="347" t="n">
        <f aca="false">C18-C17</f>
        <v>-625</v>
      </c>
      <c r="E18" s="194" t="n">
        <f aca="false">C18-152000</f>
        <v>127906</v>
      </c>
      <c r="F18" s="569" t="n">
        <f aca="false">D18/$D$2</f>
        <v>-315.099571464583</v>
      </c>
      <c r="G18" s="187" t="n">
        <v>231</v>
      </c>
      <c r="H18" s="192" t="n">
        <v>0</v>
      </c>
      <c r="I18" s="187" t="n">
        <f aca="false">G18+H18</f>
        <v>231</v>
      </c>
      <c r="J18" s="195" t="n">
        <f aca="false">IF(L18&gt;0,L18,0)</f>
        <v>0</v>
      </c>
      <c r="K18" s="187" t="n">
        <f aca="false">I18+J18</f>
        <v>231</v>
      </c>
      <c r="L18" s="187" t="n">
        <f aca="false">F18-(I18-AE18)</f>
        <v>-69.0995714645828</v>
      </c>
      <c r="M18" s="570" t="n">
        <v>139</v>
      </c>
      <c r="N18" s="126" t="n">
        <f aca="false">1.8299*1.03</f>
        <v>1.884797</v>
      </c>
      <c r="O18" s="187" t="n">
        <f aca="false">(33.8+34.33)*1.05</f>
        <v>71.5365</v>
      </c>
      <c r="P18" s="187"/>
      <c r="Q18" s="196" t="n">
        <f aca="false">2.33*1.02</f>
        <v>2.3766</v>
      </c>
      <c r="R18" s="571" t="n">
        <v>4.2</v>
      </c>
      <c r="S18" s="572" t="n">
        <v>2.87</v>
      </c>
      <c r="T18" s="187" t="n">
        <v>113</v>
      </c>
      <c r="U18" s="187" t="n">
        <v>64</v>
      </c>
      <c r="V18" s="187" t="n">
        <f aca="false">M18-N18-O18-Q18-R18-S18+T18+U18</f>
        <v>233.132103</v>
      </c>
      <c r="W18" s="105" t="n">
        <f aca="false">W17-(V18-I18)-Q18-R18-AA18-(AN18/1.9835)</f>
        <v>1671.73514859352</v>
      </c>
      <c r="X18" s="105" t="n">
        <f aca="false">X17+AO18</f>
        <v>2709.21</v>
      </c>
      <c r="Y18" s="194" t="n">
        <f aca="false">Y17</f>
        <v>0</v>
      </c>
      <c r="Z18" s="187" t="n">
        <v>86</v>
      </c>
      <c r="AA18" s="267" t="n">
        <v>1.7</v>
      </c>
      <c r="AB18" s="269" t="n">
        <v>1.3</v>
      </c>
      <c r="AC18" s="187" t="n">
        <v>75</v>
      </c>
      <c r="AD18" s="194" t="n">
        <f aca="false">AD17-AC18</f>
        <v>8424.25787748929</v>
      </c>
      <c r="AE18" s="30" t="n">
        <f aca="false">N18+O18+Q18+R18+S18+V18+Z18+AC18</f>
        <v>477</v>
      </c>
      <c r="AF18" s="187" t="n">
        <f aca="false">IF(L18&lt;0,L18*-1,0)</f>
        <v>69.0995714645828</v>
      </c>
      <c r="AG18" s="187" t="n">
        <f aca="false">AE18+AF18</f>
        <v>546.099571464583</v>
      </c>
      <c r="AH18" s="356" t="n">
        <v>0</v>
      </c>
      <c r="AI18" s="347" t="n">
        <v>80</v>
      </c>
      <c r="AJ18" s="554" t="n">
        <v>58</v>
      </c>
      <c r="AK18" s="243" t="n">
        <f aca="false">AK17</f>
        <v>15698.7543455</v>
      </c>
      <c r="AL18" s="358"/>
      <c r="AM18" s="246"/>
      <c r="AN18" s="366" t="n">
        <f aca="false">45.4*(W17*1.9835+X17*1.9835+Y17*1.9835)/E18</f>
        <v>3.09278516254783</v>
      </c>
      <c r="AO18" s="573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2.95" hidden="false" customHeight="true" outlineLevel="0" collapsed="false">
      <c r="A19" s="172" t="n">
        <f aca="false">A18+1</f>
        <v>8</v>
      </c>
      <c r="B19" s="555" t="n">
        <v>6898.8</v>
      </c>
      <c r="C19" s="194" t="n">
        <v>279177</v>
      </c>
      <c r="D19" s="347" t="n">
        <f aca="false">C19-C18</f>
        <v>-729</v>
      </c>
      <c r="E19" s="194" t="n">
        <f aca="false">C19-152000</f>
        <v>127177</v>
      </c>
      <c r="F19" s="569" t="n">
        <f aca="false">D19/$D$2</f>
        <v>-367.532140156289</v>
      </c>
      <c r="G19" s="187" t="n">
        <v>275</v>
      </c>
      <c r="H19" s="192" t="n">
        <v>0</v>
      </c>
      <c r="I19" s="187" t="n">
        <f aca="false">G19+H19</f>
        <v>275</v>
      </c>
      <c r="J19" s="195" t="n">
        <f aca="false">IF(L19&gt;0,L19,0)</f>
        <v>0</v>
      </c>
      <c r="K19" s="187" t="n">
        <f aca="false">I19+J19</f>
        <v>275</v>
      </c>
      <c r="L19" s="187" t="n">
        <f aca="false">F19-(I19-AE19)</f>
        <v>-120.532140156289</v>
      </c>
      <c r="M19" s="570" t="n">
        <v>145</v>
      </c>
      <c r="N19" s="126" t="n">
        <f aca="false">1.8299*1.03</f>
        <v>1.884797</v>
      </c>
      <c r="O19" s="187" t="n">
        <f aca="false">(30.08+31.21)*1.05</f>
        <v>64.3545</v>
      </c>
      <c r="P19" s="187"/>
      <c r="Q19" s="196" t="n">
        <f aca="false">2.33*1.02</f>
        <v>2.3766</v>
      </c>
      <c r="R19" s="571" t="n">
        <v>4.2</v>
      </c>
      <c r="S19" s="572" t="n">
        <v>1.22</v>
      </c>
      <c r="T19" s="187" t="n">
        <v>123</v>
      </c>
      <c r="U19" s="187" t="n">
        <v>65</v>
      </c>
      <c r="V19" s="187" t="n">
        <f aca="false">M19-N19-O19-Q19-R19-S19+T19+U19</f>
        <v>258.964103</v>
      </c>
      <c r="W19" s="105" t="n">
        <f aca="false">W18-(AN19/1.9835)</f>
        <v>1670.17122658132</v>
      </c>
      <c r="X19" s="105" t="n">
        <f aca="false">X18+AO19</f>
        <v>2709.21</v>
      </c>
      <c r="Y19" s="194" t="n">
        <f aca="false">Y18</f>
        <v>0</v>
      </c>
      <c r="Z19" s="187" t="n">
        <v>114</v>
      </c>
      <c r="AA19" s="267" t="n">
        <v>1.7</v>
      </c>
      <c r="AB19" s="269" t="n">
        <v>1.3</v>
      </c>
      <c r="AC19" s="187" t="n">
        <v>75</v>
      </c>
      <c r="AD19" s="194" t="n">
        <f aca="false">AD18-AC19</f>
        <v>8349.25787748929</v>
      </c>
      <c r="AE19" s="30" t="n">
        <f aca="false">N19+O19+Q19+R19+S19+V19+Z19+AC19</f>
        <v>522</v>
      </c>
      <c r="AF19" s="187" t="n">
        <f aca="false">IF(L19&lt;0,L19*-1,0)</f>
        <v>120.532140156289</v>
      </c>
      <c r="AG19" s="187" t="n">
        <f aca="false">AE19+AF19</f>
        <v>642.532140156289</v>
      </c>
      <c r="AH19" s="356" t="n">
        <v>0</v>
      </c>
      <c r="AI19" s="347" t="n">
        <v>85</v>
      </c>
      <c r="AJ19" s="554" t="n">
        <v>57</v>
      </c>
      <c r="AK19" s="243" t="n">
        <f aca="false">AK18</f>
        <v>15698.7543455</v>
      </c>
      <c r="AL19" s="358"/>
      <c r="AM19" s="246"/>
      <c r="AN19" s="366" t="n">
        <f aca="false">45.4*(W18*1.9835+X18*1.9835+Y18*1.9835)/E19</f>
        <v>3.10203931120785</v>
      </c>
      <c r="AO19" s="573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2.95" hidden="false" customHeight="true" outlineLevel="0" collapsed="false">
      <c r="A20" s="172" t="n">
        <f aca="false">A19+1</f>
        <v>9</v>
      </c>
      <c r="B20" s="555" t="n">
        <v>6898.6</v>
      </c>
      <c r="C20" s="194" t="n">
        <v>278448</v>
      </c>
      <c r="D20" s="347" t="n">
        <f aca="false">C20-C19</f>
        <v>-729</v>
      </c>
      <c r="E20" s="194" t="n">
        <f aca="false">C20-152000</f>
        <v>126448</v>
      </c>
      <c r="F20" s="569" t="n">
        <f aca="false">D20/$D$2</f>
        <v>-367.532140156289</v>
      </c>
      <c r="G20" s="187" t="n">
        <v>249</v>
      </c>
      <c r="H20" s="192" t="n">
        <v>0</v>
      </c>
      <c r="I20" s="187" t="n">
        <f aca="false">G20+H20</f>
        <v>249</v>
      </c>
      <c r="J20" s="195" t="n">
        <f aca="false">IF(L20&gt;0,L20,0)</f>
        <v>0</v>
      </c>
      <c r="K20" s="187" t="n">
        <f aca="false">I20+J20</f>
        <v>249</v>
      </c>
      <c r="L20" s="187" t="n">
        <f aca="false">F20-(I20-AE20)</f>
        <v>-86.5321401562894</v>
      </c>
      <c r="M20" s="570" t="n">
        <v>121</v>
      </c>
      <c r="N20" s="126" t="n">
        <f aca="false">1.8299*1.03</f>
        <v>1.884797</v>
      </c>
      <c r="O20" s="187" t="n">
        <f aca="false">(24.39+25.17)*1.05</f>
        <v>52.038</v>
      </c>
      <c r="P20" s="187"/>
      <c r="Q20" s="196" t="n">
        <f aca="false">2.33*1.02</f>
        <v>2.3766</v>
      </c>
      <c r="R20" s="571" t="n">
        <v>4.2</v>
      </c>
      <c r="S20" s="572" t="n">
        <v>0.7</v>
      </c>
      <c r="T20" s="187" t="n">
        <v>144</v>
      </c>
      <c r="U20" s="187" t="n">
        <v>67</v>
      </c>
      <c r="V20" s="187" t="n">
        <f aca="false">M20-N20-O20-Q20-R20-S20+T20+U20</f>
        <v>270.800603</v>
      </c>
      <c r="W20" s="105" t="n">
        <f aca="false">W19-(V20-I20)-Q20-R20-AA20-(AN20/1.9835)</f>
        <v>1638.52164673323</v>
      </c>
      <c r="X20" s="105" t="n">
        <f aca="false">X19+AO20</f>
        <v>2709.21</v>
      </c>
      <c r="Y20" s="194" t="n">
        <f aca="false">Y19</f>
        <v>0</v>
      </c>
      <c r="Z20" s="187" t="n">
        <v>123</v>
      </c>
      <c r="AA20" s="267" t="n">
        <v>1.7</v>
      </c>
      <c r="AB20" s="269" t="n">
        <v>1.3</v>
      </c>
      <c r="AC20" s="187" t="n">
        <v>75</v>
      </c>
      <c r="AD20" s="194" t="n">
        <f aca="false">AD19-AC20</f>
        <v>8274.25787748929</v>
      </c>
      <c r="AE20" s="30" t="n">
        <f aca="false">N20+O20+Q20+R20+S20+V20+Z20+AC20</f>
        <v>530</v>
      </c>
      <c r="AF20" s="187" t="n">
        <f aca="false">IF(L20&lt;0,L20*-1,0)</f>
        <v>86.5321401562894</v>
      </c>
      <c r="AG20" s="187" t="n">
        <f aca="false">AE20+AF20</f>
        <v>616.532140156289</v>
      </c>
      <c r="AH20" s="356" t="n">
        <v>0</v>
      </c>
      <c r="AI20" s="200" t="n">
        <v>78</v>
      </c>
      <c r="AJ20" s="554" t="n">
        <v>58</v>
      </c>
      <c r="AK20" s="243" t="n">
        <f aca="false">AK19</f>
        <v>15698.7543455</v>
      </c>
      <c r="AL20" s="358"/>
      <c r="AM20" s="246"/>
      <c r="AN20" s="366" t="n">
        <f aca="false">45.4*(W19*1.9835+X19*1.9835+Y19*1.9835)/E20</f>
        <v>3.11880947817879</v>
      </c>
      <c r="AO20" s="573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2.95" hidden="false" customHeight="true" outlineLevel="0" collapsed="false">
      <c r="A21" s="172" t="n">
        <f aca="false">A20+1</f>
        <v>10</v>
      </c>
      <c r="B21" s="555" t="n">
        <v>6898.36</v>
      </c>
      <c r="C21" s="194" t="n">
        <v>277573</v>
      </c>
      <c r="D21" s="347" t="n">
        <f aca="false">C21-C20</f>
        <v>-875</v>
      </c>
      <c r="E21" s="194" t="n">
        <f aca="false">C21-152000</f>
        <v>125573</v>
      </c>
      <c r="F21" s="569" t="n">
        <f aca="false">D21/$D$2</f>
        <v>-441.139400050416</v>
      </c>
      <c r="G21" s="187" t="n">
        <v>263</v>
      </c>
      <c r="H21" s="192" t="n">
        <v>0</v>
      </c>
      <c r="I21" s="187" t="n">
        <f aca="false">G21+H21</f>
        <v>263</v>
      </c>
      <c r="J21" s="195" t="n">
        <v>0</v>
      </c>
      <c r="K21" s="187" t="n">
        <f aca="false">I21+J21</f>
        <v>263</v>
      </c>
      <c r="L21" s="187" t="n">
        <f aca="false">F21-(I21-AE21)</f>
        <v>-104.139400050416</v>
      </c>
      <c r="M21" s="570" t="n">
        <v>163</v>
      </c>
      <c r="N21" s="126" t="n">
        <f aca="false">1.8299*1.03</f>
        <v>1.884797</v>
      </c>
      <c r="O21" s="187" t="n">
        <f aca="false">(31.51+33.42)*1.05</f>
        <v>68.1765</v>
      </c>
      <c r="P21" s="187"/>
      <c r="Q21" s="196" t="n">
        <f aca="false">2.33*1.02</f>
        <v>2.3766</v>
      </c>
      <c r="R21" s="571" t="n">
        <v>4.2</v>
      </c>
      <c r="S21" s="572" t="n">
        <v>3.55</v>
      </c>
      <c r="T21" s="187" t="n">
        <v>150</v>
      </c>
      <c r="U21" s="187" t="n">
        <v>69</v>
      </c>
      <c r="V21" s="187" t="n">
        <f aca="false">M21-N21-O21-Q21-R21-S21+T21+U21</f>
        <v>301.812103</v>
      </c>
      <c r="W21" s="105" t="n">
        <f aca="false">W20-(V21-I21)-Q21-R21-AA21-(AN21/1.9835)</f>
        <v>1589.86105314559</v>
      </c>
      <c r="X21" s="105" t="n">
        <f aca="false">X20+AO21</f>
        <v>2709.21</v>
      </c>
      <c r="Y21" s="194" t="n">
        <f aca="false">Y20</f>
        <v>0</v>
      </c>
      <c r="Z21" s="187" t="n">
        <v>142</v>
      </c>
      <c r="AA21" s="267" t="n">
        <v>1.7</v>
      </c>
      <c r="AB21" s="269" t="n">
        <v>1.3</v>
      </c>
      <c r="AC21" s="187" t="n">
        <v>76</v>
      </c>
      <c r="AD21" s="194" t="n">
        <f aca="false">AD20-AC21</f>
        <v>8198.25787748929</v>
      </c>
      <c r="AE21" s="30" t="n">
        <f aca="false">N21+O21+Q21+R21+S21+V21+Z21+AC21</f>
        <v>600</v>
      </c>
      <c r="AF21" s="187" t="n">
        <f aca="false">IF(L21&lt;0,L21*-1,0)</f>
        <v>104.139400050416</v>
      </c>
      <c r="AG21" s="187" t="n">
        <f aca="false">AE21+AF21</f>
        <v>704.139400050416</v>
      </c>
      <c r="AH21" s="356" t="n">
        <v>0</v>
      </c>
      <c r="AI21" s="347" t="n">
        <v>84</v>
      </c>
      <c r="AJ21" s="554" t="n">
        <v>54</v>
      </c>
      <c r="AK21" s="243" t="n">
        <f aca="false">AK20</f>
        <v>15698.7543455</v>
      </c>
      <c r="AL21" s="358"/>
      <c r="AM21" s="246"/>
      <c r="AN21" s="366" t="n">
        <f aca="false">45.4*(W20*1.9835+X20*1.9835+Y20*1.9835)/E21</f>
        <v>3.11784498058348</v>
      </c>
      <c r="AO21" s="573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2.95" hidden="false" customHeight="true" outlineLevel="0" collapsed="false">
      <c r="A22" s="172" t="n">
        <v>11</v>
      </c>
      <c r="B22" s="555" t="n">
        <v>6898.11</v>
      </c>
      <c r="C22" s="194" t="n">
        <v>276662</v>
      </c>
      <c r="D22" s="347" t="n">
        <f aca="false">C22-C21</f>
        <v>-911</v>
      </c>
      <c r="E22" s="194" t="n">
        <f aca="false">C22-152000</f>
        <v>124662</v>
      </c>
      <c r="F22" s="569" t="n">
        <f aca="false">D22/$D$2</f>
        <v>-459.289135366776</v>
      </c>
      <c r="G22" s="187" t="n">
        <v>224</v>
      </c>
      <c r="H22" s="192" t="n">
        <v>0</v>
      </c>
      <c r="I22" s="187" t="n">
        <f aca="false">G22+H22</f>
        <v>224</v>
      </c>
      <c r="J22" s="195" t="n">
        <f aca="false">IF(L22&gt;0,L22,0)</f>
        <v>0</v>
      </c>
      <c r="K22" s="187" t="n">
        <f aca="false">I22+J22</f>
        <v>224</v>
      </c>
      <c r="L22" s="187" t="n">
        <f aca="false">F22-(I22-AE22)</f>
        <v>-67.2891353667759</v>
      </c>
      <c r="M22" s="570" t="n">
        <v>179</v>
      </c>
      <c r="N22" s="126" t="n">
        <f aca="false">1.8299*1.03</f>
        <v>1.884797</v>
      </c>
      <c r="O22" s="187" t="n">
        <f aca="false">(38.86+34.31)*1.05</f>
        <v>76.8285</v>
      </c>
      <c r="P22" s="187"/>
      <c r="Q22" s="196" t="n">
        <f aca="false">2.33*1.02</f>
        <v>2.3766</v>
      </c>
      <c r="R22" s="571" t="n">
        <v>4.2</v>
      </c>
      <c r="S22" s="572" t="n">
        <v>1.74</v>
      </c>
      <c r="T22" s="187" t="n">
        <v>149</v>
      </c>
      <c r="U22" s="187" t="n">
        <v>69</v>
      </c>
      <c r="V22" s="187" t="n">
        <f aca="false">M22-N22-O22-Q22-R22-S22+T22+U22</f>
        <v>309.970103</v>
      </c>
      <c r="W22" s="105" t="n">
        <f aca="false">W21-(V22-I22)-Q22-R22-AA22-(AN22/1.9835)</f>
        <v>1494.04869400488</v>
      </c>
      <c r="X22" s="105" t="n">
        <f aca="false">X21+AO22</f>
        <v>2709.21</v>
      </c>
      <c r="Y22" s="194" t="n">
        <f aca="false">Y21</f>
        <v>0</v>
      </c>
      <c r="Z22" s="187" t="n">
        <v>142</v>
      </c>
      <c r="AA22" s="267" t="n">
        <v>1.7</v>
      </c>
      <c r="AB22" s="269" t="n">
        <v>1.3</v>
      </c>
      <c r="AC22" s="187" t="n">
        <v>77</v>
      </c>
      <c r="AD22" s="194" t="n">
        <f aca="false">AD21-AC22</f>
        <v>8121.25787748929</v>
      </c>
      <c r="AE22" s="30" t="n">
        <f aca="false">N22+O22+Q22+R22+S22+V22+Z22+AC22</f>
        <v>616</v>
      </c>
      <c r="AF22" s="187" t="n">
        <f aca="false">IF(L22&lt;0,L22*-1,0)</f>
        <v>67.2891353667759</v>
      </c>
      <c r="AG22" s="187" t="n">
        <f aca="false">AE22+AF22</f>
        <v>683.289135366776</v>
      </c>
      <c r="AH22" s="356" t="n">
        <v>0</v>
      </c>
      <c r="AI22" s="347" t="n">
        <v>87</v>
      </c>
      <c r="AJ22" s="554" t="n">
        <v>56</v>
      </c>
      <c r="AK22" s="243" t="n">
        <f aca="false">AK21</f>
        <v>15698.7543455</v>
      </c>
      <c r="AL22" s="358"/>
      <c r="AM22" s="246"/>
      <c r="AN22" s="366" t="n">
        <f aca="false">45.4*(W21*1.9835+X21*1.9835+Y21*1.9835)/E22</f>
        <v>3.10547895509224</v>
      </c>
      <c r="AO22" s="573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2.95" hidden="false" customHeight="true" outlineLevel="0" collapsed="false">
      <c r="A23" s="172" t="n">
        <v>12</v>
      </c>
      <c r="B23" s="555" t="n">
        <v>6897.87</v>
      </c>
      <c r="C23" s="194" t="n">
        <v>275790</v>
      </c>
      <c r="D23" s="347" t="n">
        <f aca="false">C23-C22</f>
        <v>-872</v>
      </c>
      <c r="E23" s="194" t="n">
        <f aca="false">C23-152000</f>
        <v>123790</v>
      </c>
      <c r="F23" s="569" t="n">
        <f aca="false">D23/$D$2</f>
        <v>-439.626922107386</v>
      </c>
      <c r="G23" s="187" t="n">
        <v>237</v>
      </c>
      <c r="H23" s="192" t="n">
        <v>0</v>
      </c>
      <c r="I23" s="187" t="n">
        <f aca="false">G23+H23</f>
        <v>237</v>
      </c>
      <c r="J23" s="195" t="n">
        <f aca="false">IF(L23&gt;0,L23,0)</f>
        <v>0</v>
      </c>
      <c r="K23" s="187" t="n">
        <f aca="false">I23+J23</f>
        <v>237</v>
      </c>
      <c r="L23" s="187" t="n">
        <f aca="false">F23-(I23-AE23)</f>
        <v>-100.626922107386</v>
      </c>
      <c r="M23" s="570" t="n">
        <v>154</v>
      </c>
      <c r="N23" s="126" t="n">
        <f aca="false">1.8299*1.03</f>
        <v>1.884797</v>
      </c>
      <c r="O23" s="187" t="n">
        <f aca="false">(33.72+33.31)*1.05</f>
        <v>70.3815</v>
      </c>
      <c r="P23" s="187"/>
      <c r="Q23" s="196" t="n">
        <f aca="false">2.33*1.02</f>
        <v>2.3766</v>
      </c>
      <c r="R23" s="571" t="n">
        <v>4.2</v>
      </c>
      <c r="S23" s="572" t="n">
        <v>0.67</v>
      </c>
      <c r="T23" s="187" t="n">
        <v>134</v>
      </c>
      <c r="U23" s="187" t="n">
        <v>70</v>
      </c>
      <c r="V23" s="187" t="n">
        <f aca="false">M23-N23-O23-Q23-R23-S23+T23+U23</f>
        <v>278.487103</v>
      </c>
      <c r="W23" s="105" t="n">
        <f aca="false">W22-(V23-I23)-Q23-R23-AA23-(AN23/1.9835)</f>
        <v>1442.74344528465</v>
      </c>
      <c r="X23" s="105" t="n">
        <f aca="false">X22+AO23</f>
        <v>2709.21</v>
      </c>
      <c r="Y23" s="194" t="n">
        <f aca="false">Y22</f>
        <v>0</v>
      </c>
      <c r="Z23" s="187" t="n">
        <v>141</v>
      </c>
      <c r="AA23" s="267" t="n">
        <v>1.7</v>
      </c>
      <c r="AB23" s="269" t="n">
        <v>1.3</v>
      </c>
      <c r="AC23" s="187" t="n">
        <v>77</v>
      </c>
      <c r="AD23" s="194" t="n">
        <f aca="false">AD22-AC23</f>
        <v>8044.25787748929</v>
      </c>
      <c r="AE23" s="30" t="n">
        <f aca="false">N23+O23+Q23+R23+S23+V23+Z23+AC23</f>
        <v>576</v>
      </c>
      <c r="AF23" s="187" t="n">
        <f aca="false">IF(L23&lt;0,L23*-1,0)</f>
        <v>100.626922107386</v>
      </c>
      <c r="AG23" s="187" t="n">
        <f aca="false">AE23+AF23</f>
        <v>676.626922107386</v>
      </c>
      <c r="AH23" s="356" t="n">
        <v>0.19</v>
      </c>
      <c r="AI23" s="347" t="n">
        <v>76</v>
      </c>
      <c r="AJ23" s="554" t="n">
        <v>56</v>
      </c>
      <c r="AK23" s="243" t="n">
        <f aca="false">AK22</f>
        <v>15698.7543455</v>
      </c>
      <c r="AL23" s="358"/>
      <c r="AM23" s="246"/>
      <c r="AN23" s="366" t="n">
        <f aca="false">45.4*(W22*1.9835+X22*1.9835+Y22*1.9835)/E23</f>
        <v>3.05765593608502</v>
      </c>
      <c r="AO23" s="573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2.95" hidden="false" customHeight="true" outlineLevel="0" collapsed="false">
      <c r="A24" s="172" t="n">
        <v>13</v>
      </c>
      <c r="B24" s="555" t="n">
        <v>6897.71</v>
      </c>
      <c r="C24" s="194" t="n">
        <v>275212</v>
      </c>
      <c r="D24" s="347" t="n">
        <f aca="false">C24-C23</f>
        <v>-578</v>
      </c>
      <c r="E24" s="194" t="n">
        <f aca="false">C24-152000</f>
        <v>123212</v>
      </c>
      <c r="F24" s="569" t="n">
        <f aca="false">D24/$D$2</f>
        <v>-291.404083690446</v>
      </c>
      <c r="G24" s="187" t="n">
        <v>318</v>
      </c>
      <c r="H24" s="192" t="n">
        <v>0</v>
      </c>
      <c r="I24" s="187" t="n">
        <f aca="false">G24+H24</f>
        <v>318</v>
      </c>
      <c r="J24" s="195" t="n">
        <f aca="false">IF(L24&gt;0,L24,0)</f>
        <v>0</v>
      </c>
      <c r="K24" s="187" t="n">
        <f aca="false">I24+J24</f>
        <v>318</v>
      </c>
      <c r="L24" s="187" t="n">
        <f aca="false">F24-(I24-AE24)</f>
        <v>-48.4040836904462</v>
      </c>
      <c r="M24" s="570" t="n">
        <v>165</v>
      </c>
      <c r="N24" s="126" t="n">
        <f aca="false">1.8299*1.03</f>
        <v>1.884797</v>
      </c>
      <c r="O24" s="187" t="n">
        <f aca="false">(30.59+33.1)*1.05</f>
        <v>66.8745</v>
      </c>
      <c r="P24" s="187"/>
      <c r="Q24" s="196" t="n">
        <f aca="false">2.33*1.02</f>
        <v>2.3766</v>
      </c>
      <c r="R24" s="571" t="n">
        <v>4.2</v>
      </c>
      <c r="S24" s="572" t="n">
        <v>4.02</v>
      </c>
      <c r="T24" s="187" t="n">
        <v>136</v>
      </c>
      <c r="U24" s="187" t="n">
        <v>72</v>
      </c>
      <c r="V24" s="187" t="n">
        <f aca="false">M24-N24-O24-Q24-R24-S24+T24+U24</f>
        <v>293.644103</v>
      </c>
      <c r="W24" s="105" t="n">
        <f aca="false">W23-(AN24/1.9835)</f>
        <v>1441.21357249291</v>
      </c>
      <c r="X24" s="105" t="n">
        <f aca="false">X23+AO24</f>
        <v>2709.21</v>
      </c>
      <c r="Y24" s="194" t="n">
        <f aca="false">Y23</f>
        <v>0</v>
      </c>
      <c r="Z24" s="187" t="n">
        <v>111</v>
      </c>
      <c r="AA24" s="267" t="n">
        <v>1.7</v>
      </c>
      <c r="AB24" s="269" t="n">
        <v>1.3</v>
      </c>
      <c r="AC24" s="187" t="n">
        <v>77</v>
      </c>
      <c r="AD24" s="194" t="n">
        <f aca="false">AD23-AC24</f>
        <v>7967.25787748929</v>
      </c>
      <c r="AE24" s="30" t="n">
        <f aca="false">N24+O24+Q24+R24+S24+V24+Z24+AC24</f>
        <v>561</v>
      </c>
      <c r="AF24" s="187" t="n">
        <f aca="false">IF(L24&lt;0,L24*-1,0)</f>
        <v>48.4040836904462</v>
      </c>
      <c r="AG24" s="187" t="n">
        <f aca="false">AE24+AF24</f>
        <v>609.404083690446</v>
      </c>
      <c r="AH24" s="356" t="n">
        <v>0</v>
      </c>
      <c r="AI24" s="347" t="n">
        <v>81</v>
      </c>
      <c r="AJ24" s="554" t="n">
        <v>53</v>
      </c>
      <c r="AK24" s="243" t="n">
        <f aca="false">AK23</f>
        <v>15698.7543455</v>
      </c>
      <c r="AL24" s="358"/>
      <c r="AM24" s="246"/>
      <c r="AN24" s="366" t="n">
        <f aca="false">45.4*(W23*1.9835+X23*1.9835+Y23*1.9835)/E24</f>
        <v>3.03450268241716</v>
      </c>
      <c r="AO24" s="573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2.95" hidden="false" customHeight="true" outlineLevel="0" collapsed="false">
      <c r="A25" s="172" t="n">
        <v>14</v>
      </c>
      <c r="B25" s="555" t="n">
        <v>6897.49</v>
      </c>
      <c r="C25" s="194" t="n">
        <v>274415</v>
      </c>
      <c r="D25" s="347" t="n">
        <f aca="false">C25-C24</f>
        <v>-797</v>
      </c>
      <c r="E25" s="194" t="n">
        <f aca="false">C25-152000</f>
        <v>122415</v>
      </c>
      <c r="F25" s="569" t="n">
        <f aca="false">D25/$D$2</f>
        <v>-401.814973531636</v>
      </c>
      <c r="G25" s="187" t="n">
        <v>268</v>
      </c>
      <c r="H25" s="192" t="n">
        <v>0</v>
      </c>
      <c r="I25" s="187" t="n">
        <f aca="false">G25+H25</f>
        <v>268</v>
      </c>
      <c r="J25" s="195" t="n">
        <f aca="false">IF(L25&gt;0,L25,0)</f>
        <v>0</v>
      </c>
      <c r="K25" s="187" t="n">
        <f aca="false">I25+J25</f>
        <v>268</v>
      </c>
      <c r="L25" s="187" t="n">
        <f aca="false">F25-(I25-AE25)</f>
        <v>-54.814973531636</v>
      </c>
      <c r="M25" s="570" t="n">
        <v>175</v>
      </c>
      <c r="N25" s="126" t="n">
        <f aca="false">1.8299*1.03</f>
        <v>1.884797</v>
      </c>
      <c r="O25" s="187" t="n">
        <f aca="false">(31.95+32.93)*1.05</f>
        <v>68.124</v>
      </c>
      <c r="P25" s="187"/>
      <c r="Q25" s="196" t="n">
        <f aca="false">2.33*1.02</f>
        <v>2.3766</v>
      </c>
      <c r="R25" s="571" t="n">
        <v>4.2</v>
      </c>
      <c r="S25" s="572" t="n">
        <v>4.25</v>
      </c>
      <c r="T25" s="187" t="n">
        <v>124</v>
      </c>
      <c r="U25" s="187" t="n">
        <v>71</v>
      </c>
      <c r="V25" s="187" t="n">
        <f aca="false">M25-N25-O25-Q25-R25-S25+T25+U25+50</f>
        <v>339.164603</v>
      </c>
      <c r="W25" s="105" t="n">
        <f aca="false">W24-(V25-I25)-Q25-R25-AA25-(AN25/1.9835)+50</f>
        <v>1410.23310363341</v>
      </c>
      <c r="X25" s="105" t="n">
        <f aca="false">X24+AO25-50</f>
        <v>2659.21</v>
      </c>
      <c r="Y25" s="194" t="n">
        <f aca="false">Y24</f>
        <v>0</v>
      </c>
      <c r="Z25" s="187" t="n">
        <v>168</v>
      </c>
      <c r="AA25" s="267" t="n">
        <v>1.7</v>
      </c>
      <c r="AB25" s="269" t="n">
        <v>1.3</v>
      </c>
      <c r="AC25" s="187" t="n">
        <v>77</v>
      </c>
      <c r="AD25" s="194" t="n">
        <f aca="false">AD24-AC25</f>
        <v>7890.25787748929</v>
      </c>
      <c r="AE25" s="30" t="n">
        <f aca="false">N25+O25+Q25+R25+S25+V25+Z25+AC25-50</f>
        <v>615</v>
      </c>
      <c r="AF25" s="187" t="n">
        <f aca="false">IF(L25&lt;0,L25*-1,0)</f>
        <v>54.814973531636</v>
      </c>
      <c r="AG25" s="187" t="n">
        <f aca="false">AE25+AF25</f>
        <v>669.814973531636</v>
      </c>
      <c r="AH25" s="356" t="n">
        <v>0</v>
      </c>
      <c r="AI25" s="347" t="n">
        <v>82</v>
      </c>
      <c r="AJ25" s="554" t="n">
        <v>55</v>
      </c>
      <c r="AK25" s="243" t="n">
        <f aca="false">AK24</f>
        <v>15698.7543455</v>
      </c>
      <c r="AL25" s="358"/>
      <c r="AM25" s="246"/>
      <c r="AN25" s="366" t="n">
        <f aca="false">45.4*(W24*1.9835+X24*1.9835+Y24*1.9835)/E25</f>
        <v>3.05313383232612</v>
      </c>
      <c r="AO25" s="573"/>
      <c r="AP25" s="0"/>
      <c r="AQ25" s="0" t="n">
        <f aca="false">50*1.9835</f>
        <v>99.175</v>
      </c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2.95" hidden="false" customHeight="true" outlineLevel="0" collapsed="false">
      <c r="A26" s="172" t="n">
        <v>15</v>
      </c>
      <c r="B26" s="555" t="n">
        <v>6897.29</v>
      </c>
      <c r="C26" s="194" t="n">
        <v>273692</v>
      </c>
      <c r="D26" s="347" t="n">
        <f aca="false">C26-C25</f>
        <v>-723</v>
      </c>
      <c r="E26" s="194" t="n">
        <f aca="false">C26-152000</f>
        <v>121692</v>
      </c>
      <c r="F26" s="569" t="n">
        <f aca="false">D26/$D$2</f>
        <v>-364.507184270229</v>
      </c>
      <c r="G26" s="187" t="n">
        <v>235</v>
      </c>
      <c r="H26" s="192" t="n">
        <v>0</v>
      </c>
      <c r="I26" s="187" t="n">
        <f aca="false">G26+H26</f>
        <v>235</v>
      </c>
      <c r="J26" s="195" t="n">
        <f aca="false">IF(L26&gt;0,L26,0)</f>
        <v>51.4928157297706</v>
      </c>
      <c r="K26" s="187" t="n">
        <f aca="false">I26+J26</f>
        <v>286.492815729771</v>
      </c>
      <c r="L26" s="187" t="n">
        <f aca="false">F26-(I26-AE26)</f>
        <v>51.4928157297706</v>
      </c>
      <c r="M26" s="570" t="n">
        <v>189</v>
      </c>
      <c r="N26" s="126" t="n">
        <f aca="false">1.8299*1.03</f>
        <v>1.884797</v>
      </c>
      <c r="O26" s="187" t="n">
        <f aca="false">(32.23+37.74)*1.05</f>
        <v>73.4685</v>
      </c>
      <c r="P26" s="187"/>
      <c r="Q26" s="196" t="n">
        <f aca="false">2.33*1.02</f>
        <v>2.3766</v>
      </c>
      <c r="R26" s="571" t="n">
        <v>4.2</v>
      </c>
      <c r="S26" s="572" t="n">
        <v>1.08</v>
      </c>
      <c r="T26" s="187" t="n">
        <v>123</v>
      </c>
      <c r="U26" s="187" t="n">
        <v>76</v>
      </c>
      <c r="V26" s="187" t="n">
        <f aca="false">M26-N26-O26-Q26-R26-S26+T26+U26+50</f>
        <v>354.990103</v>
      </c>
      <c r="W26" s="105" t="n">
        <f aca="false">W25-(V26-I26)-Q26-R26-AA26-(AN26/1.9835)+50</f>
        <v>1330.44820127022</v>
      </c>
      <c r="X26" s="105" t="n">
        <f aca="false">X25+AO26-50</f>
        <v>2609.21</v>
      </c>
      <c r="Y26" s="194" t="n">
        <f aca="false">Y25</f>
        <v>0</v>
      </c>
      <c r="Z26" s="187" t="n">
        <v>186</v>
      </c>
      <c r="AA26" s="267" t="n">
        <v>1.7</v>
      </c>
      <c r="AB26" s="269" t="n">
        <v>1.3</v>
      </c>
      <c r="AC26" s="187" t="n">
        <v>77</v>
      </c>
      <c r="AD26" s="194" t="n">
        <f aca="false">AD25-AC26</f>
        <v>7813.25787748929</v>
      </c>
      <c r="AE26" s="30" t="n">
        <f aca="false">N26+O26+Q26+R26+S26+V26+Z26+AC26-50</f>
        <v>651</v>
      </c>
      <c r="AF26" s="187" t="n">
        <f aca="false">IF(L26&lt;0,L26*-1,0)</f>
        <v>0</v>
      </c>
      <c r="AG26" s="187" t="n">
        <f aca="false">AE26+AF26</f>
        <v>651</v>
      </c>
      <c r="AH26" s="356" t="n">
        <v>0.33</v>
      </c>
      <c r="AI26" s="347" t="n">
        <v>81</v>
      </c>
      <c r="AJ26" s="554" t="n">
        <v>54</v>
      </c>
      <c r="AK26" s="243" t="n">
        <f aca="false">AK25</f>
        <v>15698.7543455</v>
      </c>
      <c r="AL26" s="358"/>
      <c r="AM26" s="246"/>
      <c r="AN26" s="366" t="n">
        <f aca="false">45.4*(W25*1.9835+X25*1.9835+Y25*1.9835)/E26</f>
        <v>3.01134843688148</v>
      </c>
      <c r="AO26" s="573"/>
      <c r="AP26" s="0"/>
      <c r="AQ26" s="0" t="n">
        <f aca="false">AQ25+(50*1.9835)</f>
        <v>198.35</v>
      </c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2.95" hidden="false" customHeight="true" outlineLevel="0" collapsed="false">
      <c r="A27" s="172" t="n">
        <v>16</v>
      </c>
      <c r="B27" s="555" t="n">
        <v>6897.06</v>
      </c>
      <c r="C27" s="194" t="n">
        <v>272860</v>
      </c>
      <c r="D27" s="347" t="n">
        <f aca="false">C27-C26</f>
        <v>-832</v>
      </c>
      <c r="E27" s="194" t="n">
        <f aca="false">C27-152000</f>
        <v>120860</v>
      </c>
      <c r="F27" s="569" t="n">
        <f aca="false">D27/$D$2</f>
        <v>-419.460549533653</v>
      </c>
      <c r="G27" s="187" t="n">
        <v>263</v>
      </c>
      <c r="H27" s="192" t="n">
        <v>0</v>
      </c>
      <c r="I27" s="187" t="n">
        <f aca="false">G27+H27</f>
        <v>263</v>
      </c>
      <c r="J27" s="195" t="n">
        <f aca="false">IF(L27&gt;0,L27,0)</f>
        <v>0</v>
      </c>
      <c r="K27" s="187" t="n">
        <f aca="false">I27+J27</f>
        <v>263</v>
      </c>
      <c r="L27" s="187" t="n">
        <f aca="false">F27-(I27-AE27)</f>
        <v>-72.4605495336526</v>
      </c>
      <c r="M27" s="570" t="n">
        <v>166</v>
      </c>
      <c r="N27" s="126" t="n">
        <f aca="false">1.8299*1.03</f>
        <v>1.884797</v>
      </c>
      <c r="O27" s="187" t="n">
        <f aca="false">(28.66+28.77)*1.05</f>
        <v>60.3015</v>
      </c>
      <c r="P27" s="187"/>
      <c r="Q27" s="196" t="n">
        <f aca="false">2.33*1.02</f>
        <v>2.3766</v>
      </c>
      <c r="R27" s="571" t="n">
        <v>4.2</v>
      </c>
      <c r="S27" s="572" t="n">
        <v>1.25</v>
      </c>
      <c r="T27" s="187" t="n">
        <v>123</v>
      </c>
      <c r="U27" s="187" t="n">
        <v>77</v>
      </c>
      <c r="V27" s="187" t="n">
        <f aca="false">M27-N27-O27-Q27-R27-S27+T27+U27+50</f>
        <v>345.987103</v>
      </c>
      <c r="W27" s="105" t="n">
        <f aca="false">W26-(V27-I27)-Q27-R27-AA27-(AN27/1.9835)+50</f>
        <v>1287.704600187</v>
      </c>
      <c r="X27" s="105" t="n">
        <f aca="false">X26+AO27-50</f>
        <v>2559.21</v>
      </c>
      <c r="Y27" s="194" t="n">
        <f aca="false">Y26</f>
        <v>0</v>
      </c>
      <c r="Z27" s="187" t="n">
        <v>177</v>
      </c>
      <c r="AA27" s="267" t="n">
        <v>1.7</v>
      </c>
      <c r="AB27" s="269" t="n">
        <v>1.3</v>
      </c>
      <c r="AC27" s="187" t="n">
        <v>67</v>
      </c>
      <c r="AD27" s="194" t="n">
        <f aca="false">AD26-AC27</f>
        <v>7746.25787748929</v>
      </c>
      <c r="AE27" s="30" t="n">
        <f aca="false">N27+O27+Q27+R27+S27+V27+Z27+AC27-50</f>
        <v>610</v>
      </c>
      <c r="AF27" s="187" t="n">
        <f aca="false">IF(L27&lt;0,L27*-1,0)</f>
        <v>72.4605495336526</v>
      </c>
      <c r="AG27" s="187" t="n">
        <f aca="false">AE27+AF27</f>
        <v>682.460549533653</v>
      </c>
      <c r="AH27" s="356" t="n">
        <v>0.01</v>
      </c>
      <c r="AI27" s="347" t="n">
        <v>79</v>
      </c>
      <c r="AJ27" s="554" t="n">
        <v>52</v>
      </c>
      <c r="AK27" s="243" t="n">
        <f aca="false">AK26</f>
        <v>15698.7543455</v>
      </c>
      <c r="AL27" s="358"/>
      <c r="AM27" s="246"/>
      <c r="AN27" s="366" t="n">
        <f aca="false">45.4*(W26*1.9835+X26*1.9835+Y26*1.9835)/E27</f>
        <v>2.93537784806193</v>
      </c>
      <c r="AO27" s="573"/>
      <c r="AP27" s="0"/>
      <c r="AQ27" s="0" t="n">
        <f aca="false">AQ26+(50*1.9835)</f>
        <v>297.525</v>
      </c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2.95" hidden="false" customHeight="true" outlineLevel="0" collapsed="false">
      <c r="A28" s="172" t="n">
        <v>17</v>
      </c>
      <c r="B28" s="555" t="n">
        <v>6896.83</v>
      </c>
      <c r="C28" s="194" t="n">
        <v>272033</v>
      </c>
      <c r="D28" s="347" t="n">
        <f aca="false">C28-C27</f>
        <v>-827</v>
      </c>
      <c r="E28" s="194" t="n">
        <f aca="false">C28-152000</f>
        <v>120033</v>
      </c>
      <c r="F28" s="569" t="n">
        <f aca="false">D28/$D$2</f>
        <v>-416.939752961936</v>
      </c>
      <c r="G28" s="187" t="n">
        <v>229</v>
      </c>
      <c r="H28" s="192" t="n">
        <v>0</v>
      </c>
      <c r="I28" s="187" t="n">
        <f aca="false">G28+H28</f>
        <v>229</v>
      </c>
      <c r="J28" s="195" t="n">
        <f aca="false">IF(L28&gt;0,L28,0)</f>
        <v>0</v>
      </c>
      <c r="K28" s="187" t="n">
        <f aca="false">I28+J28</f>
        <v>229</v>
      </c>
      <c r="L28" s="187" t="n">
        <f aca="false">F28-(I28-AE28)</f>
        <v>-50.9397529619359</v>
      </c>
      <c r="M28" s="570" t="n">
        <v>160</v>
      </c>
      <c r="N28" s="126" t="n">
        <f aca="false">1.8299*1.03</f>
        <v>1.884797</v>
      </c>
      <c r="O28" s="187" t="n">
        <f aca="false">(25.68+26.06)*1.05</f>
        <v>54.327</v>
      </c>
      <c r="P28" s="187"/>
      <c r="Q28" s="196" t="n">
        <f aca="false">2.33*1.02</f>
        <v>2.3766</v>
      </c>
      <c r="R28" s="571" t="n">
        <v>4.2</v>
      </c>
      <c r="S28" s="572" t="n">
        <v>2.52</v>
      </c>
      <c r="T28" s="187" t="n">
        <v>124</v>
      </c>
      <c r="U28" s="187" t="n">
        <v>76</v>
      </c>
      <c r="V28" s="187" t="n">
        <f aca="false">M28-N28-O28-Q28-R28-S28+T28+U28+50</f>
        <v>344.691603</v>
      </c>
      <c r="W28" s="105" t="n">
        <f aca="false">W27-(V28-I28)-Q28-R28-AA28-(AN28/1.9835)+50</f>
        <v>1212.28138129263</v>
      </c>
      <c r="X28" s="105" t="n">
        <f aca="false">X27+AO28-50</f>
        <v>2509.21</v>
      </c>
      <c r="Y28" s="194" t="n">
        <f aca="false">Y27</f>
        <v>0</v>
      </c>
      <c r="Z28" s="187" t="n">
        <v>174</v>
      </c>
      <c r="AA28" s="267" t="n">
        <v>1.7</v>
      </c>
      <c r="AB28" s="269" t="n">
        <v>1.3</v>
      </c>
      <c r="AC28" s="187" t="n">
        <v>61</v>
      </c>
      <c r="AD28" s="194" t="n">
        <f aca="false">AD27-AC28</f>
        <v>7685.25787748929</v>
      </c>
      <c r="AE28" s="30" t="n">
        <f aca="false">N28+O28+Q28+R28+S28+V28+Z28+AC28-50</f>
        <v>595</v>
      </c>
      <c r="AF28" s="187" t="n">
        <f aca="false">IF(L28&lt;0,L28*-1,0)</f>
        <v>50.9397529619359</v>
      </c>
      <c r="AG28" s="187" t="n">
        <f aca="false">AE28+AF28</f>
        <v>645.939752961936</v>
      </c>
      <c r="AH28" s="356" t="n">
        <v>0</v>
      </c>
      <c r="AI28" s="347" t="n">
        <v>81</v>
      </c>
      <c r="AJ28" s="554" t="n">
        <v>53</v>
      </c>
      <c r="AK28" s="243" t="n">
        <f aca="false">AK27</f>
        <v>15698.7543455</v>
      </c>
      <c r="AL28" s="358"/>
      <c r="AM28" s="246"/>
      <c r="AN28" s="366" t="n">
        <f aca="false">45.4*(W27*1.9835+X27*1.9835+Y27*1.9835)/E28</f>
        <v>2.88602402647588</v>
      </c>
      <c r="AO28" s="573"/>
      <c r="AP28" s="0"/>
      <c r="AQ28" s="0" t="n">
        <f aca="false">AQ27+(50*1.9835)</f>
        <v>396.7</v>
      </c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2.95" hidden="false" customHeight="true" outlineLevel="0" collapsed="false">
      <c r="A29" s="172" t="n">
        <v>18</v>
      </c>
      <c r="B29" s="555" t="n">
        <v>6896.53</v>
      </c>
      <c r="C29" s="194" t="n">
        <v>270957</v>
      </c>
      <c r="D29" s="347" t="n">
        <f aca="false">C29-C28</f>
        <v>-1076</v>
      </c>
      <c r="E29" s="194" t="n">
        <f aca="false">C29-152000</f>
        <v>118957</v>
      </c>
      <c r="F29" s="569" t="n">
        <f aca="false">D29/$D$2</f>
        <v>-542.475422233426</v>
      </c>
      <c r="G29" s="187" t="n">
        <v>200</v>
      </c>
      <c r="H29" s="192" t="n">
        <v>0</v>
      </c>
      <c r="I29" s="187" t="n">
        <f aca="false">G29+H29</f>
        <v>200</v>
      </c>
      <c r="J29" s="195" t="n">
        <f aca="false">IF(L29&gt;0,L29,0)</f>
        <v>0</v>
      </c>
      <c r="K29" s="187" t="n">
        <f aca="false">I29+J29</f>
        <v>200</v>
      </c>
      <c r="L29" s="187" t="n">
        <f aca="false">F29-(I29-AE29)</f>
        <v>-93.4754222334258</v>
      </c>
      <c r="M29" s="570" t="n">
        <v>204</v>
      </c>
      <c r="N29" s="126" t="n">
        <f aca="false">1.8299*1.03</f>
        <v>1.884797</v>
      </c>
      <c r="O29" s="187" t="n">
        <f aca="false">(34.05+35.5)*1.05</f>
        <v>73.0275</v>
      </c>
      <c r="P29" s="187"/>
      <c r="Q29" s="196" t="n">
        <f aca="false">2.33*1.02</f>
        <v>2.3766</v>
      </c>
      <c r="R29" s="571" t="n">
        <v>4.2</v>
      </c>
      <c r="S29" s="572" t="n">
        <v>3.02</v>
      </c>
      <c r="T29" s="187" t="n">
        <v>123</v>
      </c>
      <c r="U29" s="187" t="n">
        <v>74</v>
      </c>
      <c r="V29" s="187" t="n">
        <f aca="false">M29-N29-O29-Q29-R29-S29+T29+U29+50</f>
        <v>366.491103</v>
      </c>
      <c r="W29" s="105" t="n">
        <f aca="false">W28-(V29-I29)-Q29-R29-AA29-(AN29/1.9835)+50</f>
        <v>1086.09336920018</v>
      </c>
      <c r="X29" s="105" t="n">
        <f aca="false">X28+AO29-50</f>
        <v>2459.21</v>
      </c>
      <c r="Y29" s="194" t="n">
        <f aca="false">Y28</f>
        <v>0</v>
      </c>
      <c r="Z29" s="187" t="n">
        <v>187</v>
      </c>
      <c r="AA29" s="267" t="n">
        <v>1.7</v>
      </c>
      <c r="AB29" s="269" t="n">
        <v>1.3</v>
      </c>
      <c r="AC29" s="187" t="n">
        <v>61</v>
      </c>
      <c r="AD29" s="194" t="n">
        <f aca="false">AD28-AC29</f>
        <v>7624.25787748929</v>
      </c>
      <c r="AE29" s="30" t="n">
        <f aca="false">N29+O29+Q29+R29+S29+V29+Z29+AC29-50</f>
        <v>649</v>
      </c>
      <c r="AF29" s="187" t="n">
        <f aca="false">IF(L29&lt;0,L29*-1,0)</f>
        <v>93.4754222334258</v>
      </c>
      <c r="AG29" s="187" t="n">
        <f aca="false">AE29+AF29</f>
        <v>742.475422233426</v>
      </c>
      <c r="AH29" s="356" t="n">
        <v>0</v>
      </c>
      <c r="AI29" s="347" t="n">
        <v>84</v>
      </c>
      <c r="AJ29" s="554" t="n">
        <v>53</v>
      </c>
      <c r="AK29" s="243" t="n">
        <f aca="false">AK28</f>
        <v>15698.7543455</v>
      </c>
      <c r="AL29" s="358"/>
      <c r="AM29" s="246"/>
      <c r="AN29" s="366" t="n">
        <f aca="false">45.4*(W28*1.9835+X28*1.9835+Y28*1.9835)/E29</f>
        <v>2.81718308487642</v>
      </c>
      <c r="AO29" s="573"/>
      <c r="AP29" s="0"/>
      <c r="AQ29" s="0" t="n">
        <f aca="false">AQ28+(50*1.9835)</f>
        <v>495.875</v>
      </c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2.95" hidden="false" customHeight="true" outlineLevel="0" collapsed="false">
      <c r="A30" s="172" t="n">
        <v>19</v>
      </c>
      <c r="B30" s="555" t="n">
        <v>6896.23</v>
      </c>
      <c r="C30" s="194" t="n">
        <v>269880</v>
      </c>
      <c r="D30" s="347" t="n">
        <f aca="false">C30-C29</f>
        <v>-1077</v>
      </c>
      <c r="E30" s="194" t="n">
        <f aca="false">C30-152000</f>
        <v>117880</v>
      </c>
      <c r="F30" s="569" t="n">
        <f aca="false">D30/$D$2</f>
        <v>-542.979581547769</v>
      </c>
      <c r="G30" s="187" t="n">
        <v>179</v>
      </c>
      <c r="H30" s="192" t="n">
        <v>0</v>
      </c>
      <c r="I30" s="187" t="n">
        <f aca="false">G30+H30</f>
        <v>179</v>
      </c>
      <c r="J30" s="195" t="n">
        <f aca="false">IF(L30&gt;0,L30,0)</f>
        <v>0</v>
      </c>
      <c r="K30" s="187" t="n">
        <f aca="false">I30+J30</f>
        <v>179</v>
      </c>
      <c r="L30" s="187" t="n">
        <f aca="false">F30-(I30-AE30)</f>
        <v>-50.979581547769</v>
      </c>
      <c r="M30" s="570" t="n">
        <v>204</v>
      </c>
      <c r="N30" s="126" t="n">
        <f aca="false">1.8299*1.03</f>
        <v>1.884797</v>
      </c>
      <c r="O30" s="187" t="n">
        <f aca="false">(37.3+39.68)*1.05</f>
        <v>80.829</v>
      </c>
      <c r="P30" s="187"/>
      <c r="Q30" s="196" t="n">
        <f aca="false">2.33*1.02</f>
        <v>2.3766</v>
      </c>
      <c r="R30" s="571" t="n">
        <v>4.2</v>
      </c>
      <c r="S30" s="572" t="n">
        <v>3.79</v>
      </c>
      <c r="T30" s="187" t="n">
        <v>123</v>
      </c>
      <c r="U30" s="574" t="n">
        <v>75</v>
      </c>
      <c r="V30" s="187" t="n">
        <f aca="false">M30-N30-O30-Q30-R30-S30+T30+U30+50</f>
        <v>358.919603</v>
      </c>
      <c r="W30" s="105" t="n">
        <f aca="false">W29-(V30-I30)-Q30-R30-AA30-(AN30/1.9835)+50</f>
        <v>946.53173717947</v>
      </c>
      <c r="X30" s="105" t="n">
        <f aca="false">X29+AO30-50</f>
        <v>2409.21</v>
      </c>
      <c r="Y30" s="194" t="n">
        <f aca="false">Y29</f>
        <v>0</v>
      </c>
      <c r="Z30" s="187" t="n">
        <v>208</v>
      </c>
      <c r="AA30" s="267" t="n">
        <v>1.7</v>
      </c>
      <c r="AB30" s="269" t="n">
        <v>1.3</v>
      </c>
      <c r="AC30" s="187" t="n">
        <v>61</v>
      </c>
      <c r="AD30" s="194" t="n">
        <f aca="false">AD29-AC30</f>
        <v>7563.25787748929</v>
      </c>
      <c r="AE30" s="30" t="n">
        <f aca="false">N30+O30+Q30+R30+S30+V30+Z30+AC30-50</f>
        <v>671</v>
      </c>
      <c r="AF30" s="187" t="n">
        <f aca="false">IF(L30&lt;0,L30*-1,0)</f>
        <v>50.979581547769</v>
      </c>
      <c r="AG30" s="187" t="n">
        <f aca="false">AE30+AF30</f>
        <v>721.979581547769</v>
      </c>
      <c r="AH30" s="356" t="n">
        <v>0</v>
      </c>
      <c r="AI30" s="347" t="n">
        <v>83</v>
      </c>
      <c r="AJ30" s="554" t="n">
        <v>59</v>
      </c>
      <c r="AK30" s="243" t="n">
        <f aca="false">AK29</f>
        <v>15698.7543455</v>
      </c>
      <c r="AL30" s="358"/>
      <c r="AM30" s="246"/>
      <c r="AN30" s="366" t="n">
        <f aca="false">45.4*(W29*1.9835+X29*1.9835+Y29*1.9835)/E30</f>
        <v>2.70832846258491</v>
      </c>
      <c r="AO30" s="573"/>
      <c r="AP30" s="0"/>
      <c r="AQ30" s="0" t="n">
        <f aca="false">AQ29+(50*1.9835)</f>
        <v>595.05</v>
      </c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2.95" hidden="false" customHeight="true" outlineLevel="0" collapsed="false">
      <c r="A31" s="172" t="n">
        <v>20</v>
      </c>
      <c r="B31" s="555" t="n">
        <v>6895.96</v>
      </c>
      <c r="C31" s="194" t="n">
        <v>268912</v>
      </c>
      <c r="D31" s="347" t="n">
        <f aca="false">C31-C30</f>
        <v>-968</v>
      </c>
      <c r="E31" s="194" t="n">
        <f aca="false">C31-152000</f>
        <v>116912</v>
      </c>
      <c r="F31" s="569" t="n">
        <f aca="false">D31/$D$2</f>
        <v>-488.026216284346</v>
      </c>
      <c r="G31" s="187" t="n">
        <v>173</v>
      </c>
      <c r="H31" s="192" t="n">
        <v>0</v>
      </c>
      <c r="I31" s="187" t="n">
        <f aca="false">G31+H31</f>
        <v>173</v>
      </c>
      <c r="J31" s="195" t="n">
        <f aca="false">IF(L31&gt;0,L31,0)</f>
        <v>0</v>
      </c>
      <c r="K31" s="187" t="n">
        <f aca="false">I31+J31</f>
        <v>173</v>
      </c>
      <c r="L31" s="187" t="n">
        <f aca="false">F31-(I31-AE31)</f>
        <v>-69.0262162843458</v>
      </c>
      <c r="M31" s="570" t="n">
        <v>194</v>
      </c>
      <c r="N31" s="126" t="n">
        <f aca="false">1.8299*1.03</f>
        <v>1.884797</v>
      </c>
      <c r="O31" s="187" t="n">
        <f aca="false">(32.88+37.83)*1.05</f>
        <v>74.2455</v>
      </c>
      <c r="P31" s="187"/>
      <c r="Q31" s="196" t="n">
        <f aca="false">2.33*1.02</f>
        <v>2.3766</v>
      </c>
      <c r="R31" s="571" t="n">
        <v>4.2</v>
      </c>
      <c r="S31" s="572" t="n">
        <v>2.11</v>
      </c>
      <c r="T31" s="187" t="n">
        <v>125</v>
      </c>
      <c r="U31" s="574" t="n">
        <v>74</v>
      </c>
      <c r="V31" s="187" t="n">
        <f aca="false">M31-N31-O31-Q31-R31-S31+T31+U31+50</f>
        <v>358.183103</v>
      </c>
      <c r="W31" s="105" t="n">
        <f aca="false">W30-(V31-I31)-Q31-R31-AA31-(AN31/1.9835)+50</f>
        <v>801.768911532796</v>
      </c>
      <c r="X31" s="105" t="n">
        <f aca="false">X30+AO31-50</f>
        <v>2359.21</v>
      </c>
      <c r="Y31" s="194" t="n">
        <f aca="false">Y30</f>
        <v>0</v>
      </c>
      <c r="Z31" s="187" t="n">
        <v>138</v>
      </c>
      <c r="AA31" s="267" t="n">
        <v>1.7</v>
      </c>
      <c r="AB31" s="269" t="n">
        <v>1.3</v>
      </c>
      <c r="AC31" s="187" t="n">
        <v>61</v>
      </c>
      <c r="AD31" s="194" t="n">
        <f aca="false">AD30-AC31</f>
        <v>7502.25787748929</v>
      </c>
      <c r="AE31" s="30" t="n">
        <f aca="false">N31+O31+Q31+R31+S31+V31+Z31+AC31-50</f>
        <v>592</v>
      </c>
      <c r="AF31" s="187" t="n">
        <f aca="false">IF(L31&lt;0,L31*-1,0)</f>
        <v>69.0262162843458</v>
      </c>
      <c r="AG31" s="187" t="n">
        <f aca="false">AE31+AF31</f>
        <v>661.026216284346</v>
      </c>
      <c r="AH31" s="356" t="n">
        <v>0</v>
      </c>
      <c r="AI31" s="347" t="n">
        <v>81</v>
      </c>
      <c r="AJ31" s="554" t="n">
        <v>57</v>
      </c>
      <c r="AK31" s="243" t="n">
        <f aca="false">AK30</f>
        <v>15698.7543455</v>
      </c>
      <c r="AL31" s="358"/>
      <c r="AM31" s="246"/>
      <c r="AN31" s="366" t="n">
        <f aca="false">45.4*(W30*1.9835+X30*1.9835+Y30*1.9835)/E31</f>
        <v>2.58474376967783</v>
      </c>
      <c r="AO31" s="573"/>
      <c r="AP31" s="0"/>
      <c r="AQ31" s="0" t="n">
        <f aca="false">AQ30+(50*1.9835)</f>
        <v>694.225</v>
      </c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2.95" hidden="false" customHeight="true" outlineLevel="0" collapsed="false">
      <c r="A32" s="172" t="n">
        <v>21</v>
      </c>
      <c r="B32" s="555" t="n">
        <v>6895.65</v>
      </c>
      <c r="C32" s="194" t="n">
        <v>267809</v>
      </c>
      <c r="D32" s="347" t="n">
        <f aca="false">C32-C31</f>
        <v>-1103</v>
      </c>
      <c r="E32" s="194" t="n">
        <f aca="false">C32-152000</f>
        <v>115809</v>
      </c>
      <c r="F32" s="569" t="n">
        <f aca="false">D32/$D$2</f>
        <v>-556.087723720696</v>
      </c>
      <c r="G32" s="187" t="n">
        <v>191</v>
      </c>
      <c r="H32" s="192" t="n">
        <v>0</v>
      </c>
      <c r="I32" s="187" t="n">
        <f aca="false">G32+H32</f>
        <v>191</v>
      </c>
      <c r="J32" s="195" t="n">
        <f aca="false">IF(L32&gt;0,L32,0)</f>
        <v>0</v>
      </c>
      <c r="K32" s="187" t="n">
        <f aca="false">I32+J32</f>
        <v>191</v>
      </c>
      <c r="L32" s="187" t="n">
        <f aca="false">F32-(I32-AE32)</f>
        <v>-104.087723720696</v>
      </c>
      <c r="M32" s="570" t="n">
        <v>184</v>
      </c>
      <c r="N32" s="126" t="n">
        <f aca="false">1.8299*1.03</f>
        <v>1.884797</v>
      </c>
      <c r="O32" s="187" t="n">
        <f aca="false">(31.72+32.97)*1.05</f>
        <v>67.9245</v>
      </c>
      <c r="P32" s="187"/>
      <c r="Q32" s="196" t="n">
        <f aca="false">2.33*1.02</f>
        <v>2.3766</v>
      </c>
      <c r="R32" s="571" t="n">
        <v>4.2</v>
      </c>
      <c r="S32" s="572" t="n">
        <v>1.2</v>
      </c>
      <c r="T32" s="187" t="n">
        <v>124</v>
      </c>
      <c r="U32" s="574" t="n">
        <v>72</v>
      </c>
      <c r="V32" s="187" t="n">
        <f aca="false">M32-N32-O32-Q32-R32-S32+T32+U32+50</f>
        <v>352.414103</v>
      </c>
      <c r="W32" s="105" t="n">
        <f aca="false">W31-(V32-I32)-Q32-R32-AA32-(AN32/1.9835)+50</f>
        <v>680.839026408923</v>
      </c>
      <c r="X32" s="105" t="n">
        <f aca="false">X31+AO32-50</f>
        <v>2309.21</v>
      </c>
      <c r="Y32" s="194" t="n">
        <f aca="false">Y31</f>
        <v>0</v>
      </c>
      <c r="Z32" s="187" t="n">
        <v>202</v>
      </c>
      <c r="AA32" s="267" t="n">
        <v>1.7</v>
      </c>
      <c r="AB32" s="269" t="n">
        <v>1.3</v>
      </c>
      <c r="AC32" s="187" t="n">
        <v>61</v>
      </c>
      <c r="AD32" s="194" t="n">
        <f aca="false">AD31-AC32</f>
        <v>7441.25787748929</v>
      </c>
      <c r="AE32" s="30" t="n">
        <f aca="false">N32+O32+Q32+R32+S32+V32+Z32+AC32-50</f>
        <v>643</v>
      </c>
      <c r="AF32" s="187" t="n">
        <f aca="false">IF(L32&lt;0,L32*-1,0)</f>
        <v>104.087723720696</v>
      </c>
      <c r="AG32" s="187" t="n">
        <f aca="false">AE32+AF32</f>
        <v>747.087723720696</v>
      </c>
      <c r="AH32" s="356" t="n">
        <v>0</v>
      </c>
      <c r="AI32" s="347" t="n">
        <v>83</v>
      </c>
      <c r="AJ32" s="554" t="n">
        <v>54</v>
      </c>
      <c r="AK32" s="243" t="n">
        <f aca="false">AK31</f>
        <v>15698.7543455</v>
      </c>
      <c r="AL32" s="358"/>
      <c r="AM32" s="246"/>
      <c r="AN32" s="366" t="n">
        <f aca="false">45.4*(W31*1.9835+X31*1.9835+Y31*1.9835)/E32</f>
        <v>2.45791774270176</v>
      </c>
      <c r="AO32" s="573"/>
      <c r="AP32" s="0"/>
      <c r="AQ32" s="0" t="n">
        <f aca="false">AQ31+(50*1.9835)</f>
        <v>793.4</v>
      </c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2.95" hidden="false" customHeight="true" outlineLevel="0" collapsed="false">
      <c r="A33" s="172" t="n">
        <v>22</v>
      </c>
      <c r="B33" s="555" t="n">
        <v>6895.36</v>
      </c>
      <c r="C33" s="194" t="n">
        <v>266777</v>
      </c>
      <c r="D33" s="347" t="n">
        <f aca="false">C33-C32</f>
        <v>-1032</v>
      </c>
      <c r="E33" s="194" t="n">
        <f aca="false">C33-152000</f>
        <v>114777</v>
      </c>
      <c r="F33" s="569" t="n">
        <f aca="false">D33/$D$2</f>
        <v>-520.292412402319</v>
      </c>
      <c r="G33" s="187" t="n">
        <v>179</v>
      </c>
      <c r="H33" s="192" t="n">
        <v>0</v>
      </c>
      <c r="I33" s="187" t="n">
        <f aca="false">G33+H33</f>
        <v>179</v>
      </c>
      <c r="J33" s="195" t="n">
        <f aca="false">IF(L33&gt;0,L33,0)</f>
        <v>0</v>
      </c>
      <c r="K33" s="187" t="n">
        <f aca="false">I33+J33</f>
        <v>179</v>
      </c>
      <c r="L33" s="187" t="n">
        <f aca="false">F33-(I33-AE33)</f>
        <v>-71.2924124023191</v>
      </c>
      <c r="M33" s="570" t="n">
        <v>189</v>
      </c>
      <c r="N33" s="126" t="n">
        <f aca="false">1.8299*1.03</f>
        <v>1.884797</v>
      </c>
      <c r="O33" s="187" t="n">
        <f aca="false">(31.82+33.19)*1.05</f>
        <v>68.2605</v>
      </c>
      <c r="P33" s="187"/>
      <c r="Q33" s="196" t="n">
        <f aca="false">2.33*1.02</f>
        <v>2.3766</v>
      </c>
      <c r="R33" s="571" t="n">
        <v>4.2</v>
      </c>
      <c r="S33" s="572" t="n">
        <v>1.1</v>
      </c>
      <c r="T33" s="187" t="n">
        <v>125</v>
      </c>
      <c r="U33" s="187" t="n">
        <v>74</v>
      </c>
      <c r="V33" s="187" t="n">
        <f aca="false">M33-N33-O33-Q33-R33-S33+T33+U33+50</f>
        <v>360.178103</v>
      </c>
      <c r="W33" s="105" t="n">
        <f aca="false">W32-(V33-I33)-Q33-R33-AA33-(AN33/1.9835)+50</f>
        <v>540.201610619784</v>
      </c>
      <c r="X33" s="105" t="n">
        <f aca="false">X32+AO33-50</f>
        <v>2259.21</v>
      </c>
      <c r="Y33" s="194" t="n">
        <f aca="false">Y32</f>
        <v>0</v>
      </c>
      <c r="Z33" s="187" t="n">
        <v>179</v>
      </c>
      <c r="AA33" s="267" t="n">
        <v>1.7</v>
      </c>
      <c r="AB33" s="269" t="n">
        <v>1.3</v>
      </c>
      <c r="AC33" s="187" t="n">
        <v>61</v>
      </c>
      <c r="AD33" s="194" t="n">
        <f aca="false">AD32-AC33</f>
        <v>7380.25787748929</v>
      </c>
      <c r="AE33" s="30" t="n">
        <f aca="false">N33+O33+Q33+R33+S33+V33+Z33+AC33-50</f>
        <v>628</v>
      </c>
      <c r="AF33" s="187" t="n">
        <f aca="false">IF(L33&lt;0,L33*-1,0)</f>
        <v>71.2924124023191</v>
      </c>
      <c r="AG33" s="187" t="n">
        <f aca="false">AE33+AF33</f>
        <v>699.292412402319</v>
      </c>
      <c r="AH33" s="356" t="n">
        <v>0.01</v>
      </c>
      <c r="AI33" s="347" t="n">
        <v>79</v>
      </c>
      <c r="AJ33" s="554" t="n">
        <v>54</v>
      </c>
      <c r="AK33" s="243" t="n">
        <f aca="false">AK32</f>
        <v>15698.7543455</v>
      </c>
      <c r="AL33" s="358"/>
      <c r="AM33" s="246"/>
      <c r="AN33" s="366" t="n">
        <f aca="false">45.4*(W32*1.9835+X32*1.9835+Y32*1.9835)/E33</f>
        <v>2.34591081725648</v>
      </c>
      <c r="AO33" s="573"/>
      <c r="AP33" s="0"/>
      <c r="AQ33" s="0" t="n">
        <f aca="false">AQ32+(50*1.9835)</f>
        <v>892.575</v>
      </c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2.95" hidden="false" customHeight="true" outlineLevel="0" collapsed="false">
      <c r="A34" s="172" t="n">
        <v>23</v>
      </c>
      <c r="B34" s="555" t="n">
        <v>6895.07</v>
      </c>
      <c r="C34" s="194" t="n">
        <v>265745</v>
      </c>
      <c r="D34" s="347" t="n">
        <f aca="false">C34-C33</f>
        <v>-1032</v>
      </c>
      <c r="E34" s="194" t="n">
        <f aca="false">C34-152000</f>
        <v>113745</v>
      </c>
      <c r="F34" s="569" t="n">
        <f aca="false">D34/$D$2</f>
        <v>-520.292412402319</v>
      </c>
      <c r="G34" s="187" t="n">
        <v>183</v>
      </c>
      <c r="H34" s="192" t="n">
        <v>0</v>
      </c>
      <c r="I34" s="187" t="n">
        <f aca="false">G34+H34</f>
        <v>183</v>
      </c>
      <c r="J34" s="195" t="n">
        <f aca="false">IF(L34&gt;0,L34,0)</f>
        <v>0</v>
      </c>
      <c r="K34" s="187" t="n">
        <f aca="false">I34+J34</f>
        <v>183</v>
      </c>
      <c r="L34" s="187" t="n">
        <f aca="false">F34-(I34-AE34)</f>
        <v>-88.2924124023191</v>
      </c>
      <c r="M34" s="570" t="n">
        <v>184</v>
      </c>
      <c r="N34" s="126" t="n">
        <f aca="false">1.8299*1.03</f>
        <v>1.884797</v>
      </c>
      <c r="O34" s="187" t="n">
        <f aca="false">(27.55+30.75)*1.05</f>
        <v>61.215</v>
      </c>
      <c r="P34" s="187"/>
      <c r="Q34" s="196" t="n">
        <f aca="false">2.33*1.02</f>
        <v>2.3766</v>
      </c>
      <c r="R34" s="571" t="n">
        <v>4.2</v>
      </c>
      <c r="S34" s="572" t="n">
        <v>1.78</v>
      </c>
      <c r="T34" s="187" t="n">
        <v>124</v>
      </c>
      <c r="U34" s="187" t="n">
        <v>74</v>
      </c>
      <c r="V34" s="187" t="n">
        <f aca="false">M34-N34-O34-Q34-R34-S34+T34+U34+50</f>
        <v>360.543603</v>
      </c>
      <c r="W34" s="105" t="n">
        <f aca="false">W33-(V34-I34)-Q34-R34-AA34-(AN34/1.9835)+50</f>
        <v>403.264054882326</v>
      </c>
      <c r="X34" s="105" t="n">
        <f aca="false">X33+AO34-50</f>
        <v>2209.21</v>
      </c>
      <c r="Y34" s="194" t="n">
        <f aca="false">Y33</f>
        <v>0</v>
      </c>
      <c r="Z34" s="187" t="n">
        <v>173</v>
      </c>
      <c r="AA34" s="267" t="n">
        <v>1.7</v>
      </c>
      <c r="AB34" s="269" t="n">
        <v>1.3</v>
      </c>
      <c r="AC34" s="187" t="n">
        <v>60</v>
      </c>
      <c r="AD34" s="194" t="n">
        <f aca="false">AD33-AC34</f>
        <v>7320.25787748929</v>
      </c>
      <c r="AE34" s="30" t="n">
        <f aca="false">N34+O34+Q34+R34+S34+V34+Z34+AC34-50</f>
        <v>615</v>
      </c>
      <c r="AF34" s="187" t="n">
        <f aca="false">IF(L34&lt;0,L34*-1,0)</f>
        <v>88.2924124023191</v>
      </c>
      <c r="AG34" s="187" t="n">
        <f aca="false">AE34+AF34</f>
        <v>703.292412402319</v>
      </c>
      <c r="AH34" s="356" t="n">
        <v>0</v>
      </c>
      <c r="AI34" s="347" t="n">
        <v>82</v>
      </c>
      <c r="AJ34" s="554" t="n">
        <v>50</v>
      </c>
      <c r="AK34" s="243" t="n">
        <f aca="false">AK33</f>
        <v>15698.7543455</v>
      </c>
      <c r="AL34" s="358"/>
      <c r="AM34" s="246"/>
      <c r="AN34" s="366" t="n">
        <f aca="false">45.4*(W33*1.9835+X33*1.9835+Y33*1.9835)/E34</f>
        <v>2.21626915474756</v>
      </c>
      <c r="AO34" s="573"/>
      <c r="AP34" s="0"/>
      <c r="AQ34" s="0" t="n">
        <f aca="false">AQ33+(50*1.9835)</f>
        <v>991.75</v>
      </c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2.95" hidden="false" customHeight="true" outlineLevel="0" collapsed="false">
      <c r="A35" s="172" t="n">
        <v>24</v>
      </c>
      <c r="B35" s="555" t="n">
        <v>6894.79</v>
      </c>
      <c r="C35" s="194" t="n">
        <v>264755</v>
      </c>
      <c r="D35" s="347" t="n">
        <f aca="false">C35-C34</f>
        <v>-990</v>
      </c>
      <c r="E35" s="194" t="n">
        <f aca="false">C35-152000</f>
        <v>112755</v>
      </c>
      <c r="F35" s="569" t="n">
        <f aca="false">D35/$D$2</f>
        <v>-499.117721199899</v>
      </c>
      <c r="G35" s="187" t="n">
        <v>194</v>
      </c>
      <c r="H35" s="192" t="n">
        <v>0</v>
      </c>
      <c r="I35" s="187" t="n">
        <f aca="false">G35+H35</f>
        <v>194</v>
      </c>
      <c r="J35" s="195" t="n">
        <f aca="false">IF(L35&gt;0,L35,0)</f>
        <v>0</v>
      </c>
      <c r="K35" s="187" t="n">
        <f aca="false">I35+J35</f>
        <v>194</v>
      </c>
      <c r="L35" s="187" t="n">
        <f aca="false">F35-(I35-AE35)</f>
        <v>-76.1177211998992</v>
      </c>
      <c r="M35" s="570" t="n">
        <v>178</v>
      </c>
      <c r="N35" s="126" t="n">
        <f aca="false">1.8299*1.03</f>
        <v>1.884797</v>
      </c>
      <c r="O35" s="187" t="n">
        <f aca="false">(21.13+22.07)*1.05</f>
        <v>45.36</v>
      </c>
      <c r="P35" s="187"/>
      <c r="Q35" s="196" t="n">
        <f aca="false">2.33*1.02</f>
        <v>2.3766</v>
      </c>
      <c r="R35" s="571" t="n">
        <v>4.2</v>
      </c>
      <c r="S35" s="572" t="n">
        <v>3.8</v>
      </c>
      <c r="T35" s="187" t="n">
        <v>123</v>
      </c>
      <c r="U35" s="187" t="n">
        <v>75</v>
      </c>
      <c r="V35" s="187" t="n">
        <f aca="false">M35-N35-O35-Q35-R35-S35+T35+U35+45.4</f>
        <v>363.778603</v>
      </c>
      <c r="W35" s="105" t="n">
        <f aca="false">W34-(V35-I35)-Q35-R35-AA35-(AN35/1.9835)+45.4</f>
        <v>269.556957757084</v>
      </c>
      <c r="X35" s="105" t="n">
        <f aca="false">X34+AO35-45.4</f>
        <v>2163.81</v>
      </c>
      <c r="Y35" s="194" t="n">
        <f aca="false">Y34</f>
        <v>0</v>
      </c>
      <c r="Z35" s="187" t="n">
        <v>182</v>
      </c>
      <c r="AA35" s="267" t="n">
        <v>1.7</v>
      </c>
      <c r="AB35" s="269" t="n">
        <v>1.3</v>
      </c>
      <c r="AC35" s="187" t="n">
        <v>59</v>
      </c>
      <c r="AD35" s="194" t="n">
        <f aca="false">AD34-AC35</f>
        <v>7261.25787748929</v>
      </c>
      <c r="AE35" s="30" t="n">
        <f aca="false">N35+O35+Q35+R35+S35+V35+Z35+AC35-45.4</f>
        <v>617</v>
      </c>
      <c r="AF35" s="187" t="n">
        <f aca="false">IF(L35&lt;0,L35*-1,0)</f>
        <v>76.1177211998992</v>
      </c>
      <c r="AG35" s="187" t="n">
        <f aca="false">AE35+AF35</f>
        <v>693.117721199899</v>
      </c>
      <c r="AH35" s="356" t="n">
        <v>0</v>
      </c>
      <c r="AI35" s="347" t="n">
        <v>83</v>
      </c>
      <c r="AJ35" s="554" t="n">
        <v>56</v>
      </c>
      <c r="AK35" s="243" t="n">
        <f aca="false">AK34</f>
        <v>15698.7543455</v>
      </c>
      <c r="AL35" s="358"/>
      <c r="AM35" s="246"/>
      <c r="AN35" s="366" t="n">
        <f aca="false">45.4*(W34*1.9835+X34*1.9835+Y34*1.9835)/E35</f>
        <v>2.08643199741743</v>
      </c>
      <c r="AO35" s="573"/>
      <c r="AP35" s="0"/>
      <c r="AQ35" s="0" t="n">
        <f aca="false">AQ34+(50*1.9835)</f>
        <v>1090.925</v>
      </c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2.95" hidden="false" customHeight="true" outlineLevel="0" collapsed="false">
      <c r="A36" s="172" t="n">
        <v>25</v>
      </c>
      <c r="B36" s="555" t="n">
        <v>6894.57</v>
      </c>
      <c r="C36" s="194" t="n">
        <v>263978</v>
      </c>
      <c r="D36" s="347" t="n">
        <f aca="false">C36-C35</f>
        <v>-777</v>
      </c>
      <c r="E36" s="194" t="n">
        <f aca="false">C36-152000</f>
        <v>111978</v>
      </c>
      <c r="F36" s="569" t="n">
        <f aca="false">D36/$D$2</f>
        <v>-391.731787244769</v>
      </c>
      <c r="G36" s="187" t="n">
        <v>199</v>
      </c>
      <c r="H36" s="192" t="n">
        <v>0</v>
      </c>
      <c r="I36" s="187" t="n">
        <f aca="false">G36+H36</f>
        <v>199</v>
      </c>
      <c r="J36" s="195" t="n">
        <f aca="false">IF(L36&gt;0,L36,0)</f>
        <v>0</v>
      </c>
      <c r="K36" s="187" t="n">
        <f aca="false">I36+J36</f>
        <v>199</v>
      </c>
      <c r="L36" s="187" t="n">
        <f aca="false">F36-(I36-AE36)</f>
        <v>-4.73178724476935</v>
      </c>
      <c r="M36" s="570" t="n">
        <v>165</v>
      </c>
      <c r="N36" s="126" t="n">
        <f aca="false">1.8299*1.03</f>
        <v>1.884797</v>
      </c>
      <c r="O36" s="187" t="n">
        <f aca="false">(17.48+18.7)*1.05</f>
        <v>37.989</v>
      </c>
      <c r="P36" s="187"/>
      <c r="Q36" s="196" t="n">
        <f aca="false">2.33*1.02</f>
        <v>2.3766</v>
      </c>
      <c r="R36" s="571" t="n">
        <v>4.2</v>
      </c>
      <c r="S36" s="572" t="n">
        <v>2.55</v>
      </c>
      <c r="T36" s="187" t="n">
        <v>123</v>
      </c>
      <c r="U36" s="187" t="n">
        <v>74</v>
      </c>
      <c r="V36" s="187" t="n">
        <f aca="false">M36-N36-O36-Q36-R36-S36+T36+U36+38</f>
        <v>350.999603</v>
      </c>
      <c r="W36" s="105" t="n">
        <f aca="false">W35-(V36-I36)-Q36-R36-AA36-(AN36/1.9835)+38</f>
        <v>146.294178287759</v>
      </c>
      <c r="X36" s="105" t="n">
        <f aca="false">X35+AO36-38</f>
        <v>2125.81</v>
      </c>
      <c r="Y36" s="194" t="n">
        <f aca="false">Y35</f>
        <v>0</v>
      </c>
      <c r="Z36" s="187" t="n">
        <v>165</v>
      </c>
      <c r="AA36" s="267" t="n">
        <v>1.7</v>
      </c>
      <c r="AB36" s="269" t="n">
        <v>1.3</v>
      </c>
      <c r="AC36" s="187" t="n">
        <v>59</v>
      </c>
      <c r="AD36" s="194" t="n">
        <f aca="false">AD35-AC36</f>
        <v>7202.25787748929</v>
      </c>
      <c r="AE36" s="30" t="n">
        <f aca="false">N36+O36+Q36+R36+S36+V36+Z36+AC36-38</f>
        <v>586</v>
      </c>
      <c r="AF36" s="187" t="n">
        <f aca="false">IF(L36&lt;0,L36*-1,0)</f>
        <v>4.73178724476935</v>
      </c>
      <c r="AG36" s="187" t="n">
        <f aca="false">AE36+AF36</f>
        <v>590.731787244769</v>
      </c>
      <c r="AH36" s="356" t="n">
        <v>0.07</v>
      </c>
      <c r="AI36" s="347" t="n">
        <v>80</v>
      </c>
      <c r="AJ36" s="554" t="n">
        <v>56</v>
      </c>
      <c r="AK36" s="243" t="n">
        <f aca="false">AK35</f>
        <v>15698.7543455</v>
      </c>
      <c r="AL36" s="358"/>
      <c r="AM36" s="246"/>
      <c r="AN36" s="366" t="n">
        <f aca="false">45.4*(W35*1.9835+X35*1.9835+Y35*1.9835)/E36</f>
        <v>1.95687442690785</v>
      </c>
      <c r="AO36" s="573"/>
      <c r="AP36" s="0"/>
      <c r="AQ36" s="0" t="n">
        <f aca="false">AQ35+(50*1.9835)</f>
        <v>1190.1</v>
      </c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2.95" hidden="false" customHeight="true" outlineLevel="0" collapsed="false">
      <c r="A37" s="172" t="n">
        <v>26</v>
      </c>
      <c r="B37" s="555" t="n">
        <v>6894.45</v>
      </c>
      <c r="C37" s="194" t="n">
        <v>263555</v>
      </c>
      <c r="D37" s="347" t="n">
        <f aca="false">C37-C36</f>
        <v>-423</v>
      </c>
      <c r="E37" s="194" t="n">
        <f aca="false">C37-152000</f>
        <v>111555</v>
      </c>
      <c r="F37" s="569" t="n">
        <f aca="false">D37/$D$2</f>
        <v>-213.25938996723</v>
      </c>
      <c r="G37" s="187" t="n">
        <v>296</v>
      </c>
      <c r="H37" s="192" t="n">
        <v>0</v>
      </c>
      <c r="I37" s="187" t="n">
        <f aca="false">G37+H37</f>
        <v>296</v>
      </c>
      <c r="J37" s="195" t="n">
        <f aca="false">IF(L37&gt;0,L37,0)</f>
        <v>46.7406100327703</v>
      </c>
      <c r="K37" s="187" t="n">
        <f aca="false">I37+J37</f>
        <v>342.74061003277</v>
      </c>
      <c r="L37" s="187" t="n">
        <f aca="false">F37-(I37-AE37)</f>
        <v>46.7406100327703</v>
      </c>
      <c r="M37" s="570" t="n">
        <v>164</v>
      </c>
      <c r="N37" s="126" t="n">
        <f aca="false">1.8299*1.03</f>
        <v>1.884797</v>
      </c>
      <c r="O37" s="187" t="n">
        <f aca="false">(20.38+25.19)*1.05</f>
        <v>47.8485</v>
      </c>
      <c r="P37" s="187"/>
      <c r="Q37" s="196" t="n">
        <f aca="false">2.33*1.02</f>
        <v>2.3766</v>
      </c>
      <c r="R37" s="571" t="n">
        <v>4.2</v>
      </c>
      <c r="S37" s="572" t="n">
        <v>0.62</v>
      </c>
      <c r="T37" s="187" t="n">
        <v>120</v>
      </c>
      <c r="U37" s="187" t="n">
        <v>74</v>
      </c>
      <c r="V37" s="187" t="n">
        <f aca="false">M37-N37-O37-Q37-R37-S37+T37+U37+47.8</f>
        <v>348.870103</v>
      </c>
      <c r="W37" s="105" t="n">
        <f aca="false">W36-(V37-I37)-Q37-R37-AA37-(AN37/1.9835)+47.8</f>
        <v>132.022787647632</v>
      </c>
      <c r="X37" s="105" t="n">
        <f aca="false">X36+AO37-47.8</f>
        <v>2078.01</v>
      </c>
      <c r="Y37" s="194" t="n">
        <f aca="false">Y36</f>
        <v>0</v>
      </c>
      <c r="Z37" s="187" t="n">
        <v>139</v>
      </c>
      <c r="AA37" s="267" t="n">
        <v>1.7</v>
      </c>
      <c r="AB37" s="269" t="n">
        <v>1.3</v>
      </c>
      <c r="AC37" s="187" t="n">
        <v>59</v>
      </c>
      <c r="AD37" s="194" t="n">
        <f aca="false">AD36-AC37</f>
        <v>7143.25787748929</v>
      </c>
      <c r="AE37" s="30" t="n">
        <f aca="false">N37+O37+Q37+R37+S37+V37+Z37+AC37-47.8</f>
        <v>556</v>
      </c>
      <c r="AF37" s="187" t="n">
        <f aca="false">IF(L37&lt;0,L37*-1,0)</f>
        <v>0</v>
      </c>
      <c r="AG37" s="187" t="n">
        <f aca="false">AE37+AF37</f>
        <v>556</v>
      </c>
      <c r="AH37" s="356" t="n">
        <v>0.63</v>
      </c>
      <c r="AI37" s="347" t="n">
        <v>74</v>
      </c>
      <c r="AJ37" s="554" t="n">
        <v>52</v>
      </c>
      <c r="AK37" s="243" t="n">
        <f aca="false">AK36</f>
        <v>15698.7543455</v>
      </c>
      <c r="AL37" s="358"/>
      <c r="AM37" s="246"/>
      <c r="AN37" s="366" t="n">
        <f aca="false">45.4*(W36*1.9835+X36*1.9835+Y36*1.9835)/E37</f>
        <v>1.83411793419007</v>
      </c>
      <c r="AO37" s="573"/>
      <c r="AP37" s="0"/>
      <c r="AQ37" s="0" t="n">
        <f aca="false">AQ36+(50*1.9835)</f>
        <v>1289.275</v>
      </c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2.95" hidden="false" customHeight="true" outlineLevel="0" collapsed="false">
      <c r="A38" s="172" t="n">
        <v>27</v>
      </c>
      <c r="B38" s="555" t="n">
        <v>6894.34</v>
      </c>
      <c r="C38" s="194" t="n">
        <v>263167</v>
      </c>
      <c r="D38" s="347" t="n">
        <f aca="false">C38-C37</f>
        <v>-388</v>
      </c>
      <c r="E38" s="194" t="n">
        <f aca="false">C38-152000</f>
        <v>111167</v>
      </c>
      <c r="F38" s="569" t="n">
        <f aca="false">D38/$D$2</f>
        <v>-195.613813965213</v>
      </c>
      <c r="G38" s="187" t="n">
        <v>349</v>
      </c>
      <c r="H38" s="192" t="n">
        <v>0</v>
      </c>
      <c r="I38" s="187" t="n">
        <f aca="false">G38+H38</f>
        <v>349</v>
      </c>
      <c r="J38" s="195" t="n">
        <f aca="false">IF(L38&gt;0,L38,0)</f>
        <v>0</v>
      </c>
      <c r="K38" s="187" t="n">
        <f aca="false">I38+J38</f>
        <v>349</v>
      </c>
      <c r="L38" s="187" t="n">
        <f aca="false">F38-(I38-AE38)</f>
        <v>-31.613813965213</v>
      </c>
      <c r="M38" s="570" t="n">
        <v>159</v>
      </c>
      <c r="N38" s="126" t="n">
        <f aca="false">1.8299*1.03</f>
        <v>1.884797</v>
      </c>
      <c r="O38" s="187" t="n">
        <f aca="false">(26.39+26.51)*1.05</f>
        <v>55.545</v>
      </c>
      <c r="P38" s="187"/>
      <c r="Q38" s="196" t="n">
        <f aca="false">2.33*1.02</f>
        <v>2.3766</v>
      </c>
      <c r="R38" s="571" t="n">
        <v>4.2</v>
      </c>
      <c r="S38" s="572" t="n">
        <v>0.75</v>
      </c>
      <c r="T38" s="187" t="n">
        <v>118</v>
      </c>
      <c r="U38" s="187" t="n">
        <v>75</v>
      </c>
      <c r="V38" s="187" t="n">
        <f aca="false">M38-N38-O38-Q38-R38-S38+T38+U38+50</f>
        <v>337.243603</v>
      </c>
      <c r="W38" s="105" t="n">
        <f aca="false">W37-(AN38/1.9835)</f>
        <v>131.120222240999</v>
      </c>
      <c r="X38" s="105" t="n">
        <f aca="false">X37+AO38-50</f>
        <v>2028.01</v>
      </c>
      <c r="Y38" s="194" t="n">
        <f aca="false">Y37</f>
        <v>0</v>
      </c>
      <c r="Z38" s="187" t="n">
        <v>102</v>
      </c>
      <c r="AA38" s="267" t="n">
        <v>1.7</v>
      </c>
      <c r="AB38" s="269" t="n">
        <v>1.3</v>
      </c>
      <c r="AC38" s="187" t="n">
        <v>59</v>
      </c>
      <c r="AD38" s="194" t="n">
        <f aca="false">AD37-AC38</f>
        <v>7084.25787748929</v>
      </c>
      <c r="AE38" s="30" t="n">
        <f aca="false">N38+O38+Q38+R38+S38+V38+Z38+AC38-50</f>
        <v>513</v>
      </c>
      <c r="AF38" s="187" t="n">
        <f aca="false">IF(L38&lt;0,L38*-1,0)</f>
        <v>31.613813965213</v>
      </c>
      <c r="AG38" s="187" t="n">
        <f aca="false">AE38+AF38</f>
        <v>544.613813965213</v>
      </c>
      <c r="AH38" s="356" t="n">
        <v>0</v>
      </c>
      <c r="AI38" s="347" t="n">
        <v>73</v>
      </c>
      <c r="AJ38" s="554" t="n">
        <v>47</v>
      </c>
      <c r="AK38" s="243" t="n">
        <f aca="false">AK37</f>
        <v>15698.7543455</v>
      </c>
      <c r="AL38" s="358"/>
      <c r="AM38" s="246"/>
      <c r="AN38" s="366" t="n">
        <f aca="false">45.4*(W37*1.9835+X37*1.9835+Y37*1.9835)/E38</f>
        <v>1.79023848405712</v>
      </c>
      <c r="AO38" s="573"/>
      <c r="AP38" s="0"/>
      <c r="AQ38" s="0" t="n">
        <f aca="false">AQ37+(50*1.9835)</f>
        <v>1388.45</v>
      </c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2.95" hidden="false" customHeight="true" outlineLevel="0" collapsed="false">
      <c r="A39" s="575" t="n">
        <v>28</v>
      </c>
      <c r="B39" s="576" t="n">
        <v>6894.12</v>
      </c>
      <c r="C39" s="577" t="n">
        <v>262390</v>
      </c>
      <c r="D39" s="578" t="n">
        <f aca="false">C39-C38</f>
        <v>-777</v>
      </c>
      <c r="E39" s="577" t="n">
        <f aca="false">C39-152000</f>
        <v>110390</v>
      </c>
      <c r="F39" s="579" t="n">
        <f aca="false">D39/$D$2</f>
        <v>-391.731787244769</v>
      </c>
      <c r="G39" s="574" t="n">
        <v>257</v>
      </c>
      <c r="H39" s="192" t="n">
        <v>0</v>
      </c>
      <c r="I39" s="574" t="n">
        <f aca="false">G39+H39</f>
        <v>257</v>
      </c>
      <c r="J39" s="580" t="n">
        <f aca="false">IF(L39&gt;0,L39,0)</f>
        <v>0</v>
      </c>
      <c r="K39" s="574" t="n">
        <f aca="false">I39+J39</f>
        <v>257</v>
      </c>
      <c r="L39" s="574" t="n">
        <f aca="false">F39-(I39-AE39)</f>
        <v>-60.7317872447692</v>
      </c>
      <c r="M39" s="581" t="n">
        <v>153</v>
      </c>
      <c r="N39" s="126" t="n">
        <f aca="false">1.8299*1.03</f>
        <v>1.884797</v>
      </c>
      <c r="O39" s="574" t="n">
        <f aca="false">(23.78+20.3)*1.05</f>
        <v>46.284</v>
      </c>
      <c r="P39" s="574"/>
      <c r="Q39" s="196" t="n">
        <f aca="false">2.33*1.02</f>
        <v>2.3766</v>
      </c>
      <c r="R39" s="571" t="n">
        <v>4.2</v>
      </c>
      <c r="S39" s="572" t="n">
        <v>2.37</v>
      </c>
      <c r="T39" s="574" t="n">
        <v>118</v>
      </c>
      <c r="U39" s="574" t="n">
        <v>75</v>
      </c>
      <c r="V39" s="187" t="n">
        <f aca="false">M39-N39-O39-Q39-R39-S39+T39+U39+46.3</f>
        <v>335.184603</v>
      </c>
      <c r="W39" s="105" t="n">
        <f aca="false">W38-(AN39/1.9835)</f>
        <v>130.232238618481</v>
      </c>
      <c r="X39" s="105" t="n">
        <f aca="false">X38+AO39-46.3</f>
        <v>1981.71</v>
      </c>
      <c r="Y39" s="194" t="n">
        <f aca="false">Y38</f>
        <v>0</v>
      </c>
      <c r="Z39" s="574" t="n">
        <v>184</v>
      </c>
      <c r="AA39" s="267" t="n">
        <v>1.7</v>
      </c>
      <c r="AB39" s="269" t="n">
        <v>1.3</v>
      </c>
      <c r="AC39" s="187" t="n">
        <v>58</v>
      </c>
      <c r="AD39" s="194" t="n">
        <f aca="false">AD38-AC39</f>
        <v>7026.25787748929</v>
      </c>
      <c r="AE39" s="30" t="n">
        <f aca="false">N39+O39+Q39+R39+S39+V39+Z39+AC39-46.3</f>
        <v>588</v>
      </c>
      <c r="AF39" s="574" t="n">
        <f aca="false">IF(L39&lt;0,L39*-1,0)</f>
        <v>60.7317872447692</v>
      </c>
      <c r="AG39" s="574" t="n">
        <f aca="false">AE39+AF39</f>
        <v>648.731787244769</v>
      </c>
      <c r="AH39" s="582" t="n">
        <v>0</v>
      </c>
      <c r="AI39" s="578" t="n">
        <v>79</v>
      </c>
      <c r="AJ39" s="583" t="n">
        <v>49</v>
      </c>
      <c r="AK39" s="243" t="n">
        <f aca="false">AK38</f>
        <v>15698.7543455</v>
      </c>
      <c r="AL39" s="358"/>
      <c r="AM39" s="246"/>
      <c r="AN39" s="366" t="n">
        <f aca="false">45.4*(W38*1.9835+X38*1.9835+Y38*1.9835)/E39</f>
        <v>1.76131551526408</v>
      </c>
      <c r="AO39" s="573"/>
      <c r="AP39" s="0"/>
      <c r="AQ39" s="0" t="n">
        <f aca="false">AQ38+(50*1.9835)</f>
        <v>1487.625</v>
      </c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2.95" hidden="false" customHeight="true" outlineLevel="0" collapsed="false">
      <c r="A40" s="575" t="n">
        <v>29</v>
      </c>
      <c r="B40" s="576" t="n">
        <v>6893.83</v>
      </c>
      <c r="C40" s="577" t="n">
        <v>261372</v>
      </c>
      <c r="D40" s="578" t="n">
        <f aca="false">C40-C39</f>
        <v>-1018</v>
      </c>
      <c r="E40" s="577" t="n">
        <f aca="false">C40-152000</f>
        <v>109372</v>
      </c>
      <c r="F40" s="579" t="n">
        <f aca="false">D40/$D$2</f>
        <v>-513.234182001513</v>
      </c>
      <c r="G40" s="574" t="n">
        <v>209</v>
      </c>
      <c r="H40" s="584" t="n">
        <v>0</v>
      </c>
      <c r="I40" s="574" t="n">
        <f aca="false">G40+H40</f>
        <v>209</v>
      </c>
      <c r="J40" s="580" t="n">
        <f aca="false">IF(L40&gt;0,L40,0)</f>
        <v>0</v>
      </c>
      <c r="K40" s="574" t="n">
        <f aca="false">I40+J40</f>
        <v>209</v>
      </c>
      <c r="L40" s="574" t="n">
        <f aca="false">F40-(I40-AE40)</f>
        <v>-105.234182001513</v>
      </c>
      <c r="M40" s="581" t="n">
        <v>183</v>
      </c>
      <c r="N40" s="126" t="n">
        <f aca="false">1.8299*1.03</f>
        <v>1.884797</v>
      </c>
      <c r="O40" s="574" t="n">
        <f aca="false">(26.88+26.47)*1.05</f>
        <v>56.0175</v>
      </c>
      <c r="P40" s="574"/>
      <c r="Q40" s="196" t="n">
        <f aca="false">2.33*1.02</f>
        <v>2.3766</v>
      </c>
      <c r="R40" s="571" t="n">
        <v>4.2</v>
      </c>
      <c r="S40" s="572" t="n">
        <v>3.32</v>
      </c>
      <c r="T40" s="574" t="n">
        <v>118</v>
      </c>
      <c r="U40" s="574" t="n">
        <v>76</v>
      </c>
      <c r="V40" s="187" t="n">
        <f aca="false">M40-N40-O40-Q40-R40-S40+T40+U40+50</f>
        <v>359.201103</v>
      </c>
      <c r="W40" s="105" t="n">
        <f aca="false">W39-(V40-I40)-Q40-R40-AA40-(AN40/1.9835)+50</f>
        <v>20.8778745202727</v>
      </c>
      <c r="X40" s="105" t="n">
        <f aca="false">X39+AO40-50</f>
        <v>1931.71</v>
      </c>
      <c r="Y40" s="194" t="n">
        <f aca="false">Y39</f>
        <v>0</v>
      </c>
      <c r="Z40" s="574" t="n">
        <v>182</v>
      </c>
      <c r="AA40" s="267" t="n">
        <v>1.7</v>
      </c>
      <c r="AB40" s="269" t="n">
        <v>1.3</v>
      </c>
      <c r="AC40" s="187" t="n">
        <v>58</v>
      </c>
      <c r="AD40" s="194" t="n">
        <f aca="false">AD39-AC40</f>
        <v>6968.25787748929</v>
      </c>
      <c r="AE40" s="30" t="n">
        <f aca="false">N40+O40+Q40+R40+S40+V40+Z40+AC40-50</f>
        <v>617</v>
      </c>
      <c r="AF40" s="574" t="n">
        <f aca="false">IF(L40&lt;0,L40*-1,0)</f>
        <v>105.234182001513</v>
      </c>
      <c r="AG40" s="574" t="n">
        <f aca="false">AE40+AF40</f>
        <v>722.234182001513</v>
      </c>
      <c r="AH40" s="582" t="n">
        <v>0</v>
      </c>
      <c r="AI40" s="578" t="n">
        <v>82</v>
      </c>
      <c r="AJ40" s="583" t="n">
        <v>50</v>
      </c>
      <c r="AK40" s="243" t="n">
        <f aca="false">AK39</f>
        <v>15698.7543455</v>
      </c>
      <c r="AL40" s="358"/>
      <c r="AM40" s="246"/>
      <c r="AN40" s="366" t="n">
        <f aca="false">45.4*(W39*1.9835+X39*1.9835+Y39*1.9835)/E40</f>
        <v>1.7388572882969</v>
      </c>
      <c r="AO40" s="573"/>
      <c r="AP40" s="0"/>
      <c r="AQ40" s="0" t="n">
        <f aca="false">AQ39+(50*1.9835)</f>
        <v>1586.8</v>
      </c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12.95" hidden="false" customHeight="true" outlineLevel="0" collapsed="false">
      <c r="A41" s="575" t="n">
        <v>30</v>
      </c>
      <c r="B41" s="576" t="n">
        <v>6893.53</v>
      </c>
      <c r="C41" s="577" t="n">
        <v>260323</v>
      </c>
      <c r="D41" s="578" t="n">
        <f aca="false">C41-C40</f>
        <v>-1049</v>
      </c>
      <c r="E41" s="577" t="n">
        <f aca="false">C41-152000</f>
        <v>108323</v>
      </c>
      <c r="F41" s="579" t="n">
        <f aca="false">D41/$D$2</f>
        <v>-528.863120746156</v>
      </c>
      <c r="G41" s="574" t="n">
        <v>184</v>
      </c>
      <c r="H41" s="584" t="n">
        <v>0</v>
      </c>
      <c r="I41" s="574" t="n">
        <f aca="false">G41+H41</f>
        <v>184</v>
      </c>
      <c r="J41" s="580" t="n">
        <f aca="false">IF(L41&gt;0,L41,0)</f>
        <v>0</v>
      </c>
      <c r="K41" s="574" t="n">
        <f aca="false">I41+J41</f>
        <v>184</v>
      </c>
      <c r="L41" s="574" t="n">
        <f aca="false">F41-(I41-AE41)</f>
        <v>-63.8631207461558</v>
      </c>
      <c r="M41" s="581" t="n">
        <v>185</v>
      </c>
      <c r="N41" s="126" t="n">
        <f aca="false">1.8299*1.03</f>
        <v>1.884797</v>
      </c>
      <c r="O41" s="574" t="n">
        <f aca="false">(31.03+33.86)*1.05</f>
        <v>68.1345</v>
      </c>
      <c r="P41" s="574"/>
      <c r="Q41" s="196" t="n">
        <f aca="false">2.33*1.02</f>
        <v>2.3766</v>
      </c>
      <c r="R41" s="571" t="n">
        <v>4.2</v>
      </c>
      <c r="S41" s="572" t="n">
        <v>3.67</v>
      </c>
      <c r="T41" s="574" t="n">
        <v>118</v>
      </c>
      <c r="U41" s="574" t="n">
        <v>75</v>
      </c>
      <c r="V41" s="187" t="n">
        <f aca="false">M41-N41-O41-Q41-R41-S41+T41+U41+50</f>
        <v>347.734103</v>
      </c>
      <c r="W41" s="105" t="n">
        <f aca="false">W40-(V41-I41)-Q41-R41-AA41-(AN41/1.9835)+50+102</f>
        <v>0.0488089425817009</v>
      </c>
      <c r="X41" s="105" t="n">
        <f aca="false">X40+AO41-50-102</f>
        <v>1779.71</v>
      </c>
      <c r="Y41" s="194" t="n">
        <f aca="false">Y40</f>
        <v>0</v>
      </c>
      <c r="Z41" s="574" t="n">
        <v>213</v>
      </c>
      <c r="AA41" s="267" t="n">
        <v>1.7</v>
      </c>
      <c r="AB41" s="269" t="n">
        <v>1.3</v>
      </c>
      <c r="AC41" s="187" t="n">
        <v>58</v>
      </c>
      <c r="AD41" s="194" t="n">
        <f aca="false">AD40-AC41</f>
        <v>6910.25787748929</v>
      </c>
      <c r="AE41" s="30" t="n">
        <f aca="false">N41+O41+Q41+R41+S41+V41+Z41+AC41-50</f>
        <v>649</v>
      </c>
      <c r="AF41" s="574" t="n">
        <f aca="false">IF(L41&lt;0,L41*-1,0)</f>
        <v>63.8631207461558</v>
      </c>
      <c r="AG41" s="574" t="n">
        <f aca="false">AE41+AF41</f>
        <v>712.863120746156</v>
      </c>
      <c r="AH41" s="582" t="n">
        <v>0</v>
      </c>
      <c r="AI41" s="578" t="n">
        <v>81</v>
      </c>
      <c r="AJ41" s="583" t="n">
        <v>50</v>
      </c>
      <c r="AK41" s="243" t="n">
        <f aca="false">AK40</f>
        <v>15698.7543455</v>
      </c>
      <c r="AL41" s="358"/>
      <c r="AM41" s="246"/>
      <c r="AN41" s="366" t="n">
        <f aca="false">45.4*(W40*1.9835+X40*1.9835+Y40*1.9835)/E41</f>
        <v>1.62322217285007</v>
      </c>
      <c r="AO41" s="573"/>
      <c r="AP41" s="0"/>
      <c r="AQ41" s="0" t="n">
        <f aca="false">AQ40+(50*1.9835)</f>
        <v>1685.975</v>
      </c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</row>
    <row r="42" customFormat="false" ht="12.95" hidden="false" customHeight="true" outlineLevel="0" collapsed="false">
      <c r="A42" s="575" t="n">
        <v>31</v>
      </c>
      <c r="B42" s="576" t="n">
        <v>6893.26</v>
      </c>
      <c r="C42" s="577" t="n">
        <v>259378</v>
      </c>
      <c r="D42" s="578" t="n">
        <f aca="false">C42-C41</f>
        <v>-945</v>
      </c>
      <c r="E42" s="577" t="n">
        <f aca="false">C42-152000</f>
        <v>107378</v>
      </c>
      <c r="F42" s="579" t="n">
        <f aca="false">D42/$D$2</f>
        <v>-476.430552054449</v>
      </c>
      <c r="G42" s="574" t="n">
        <v>167</v>
      </c>
      <c r="H42" s="584" t="n">
        <v>0</v>
      </c>
      <c r="I42" s="574" t="n">
        <f aca="false">G42+H42</f>
        <v>167</v>
      </c>
      <c r="J42" s="580" t="n">
        <f aca="false">IF(L42&gt;0,L42,0)</f>
        <v>0</v>
      </c>
      <c r="K42" s="574" t="n">
        <f aca="false">I42+J42</f>
        <v>167</v>
      </c>
      <c r="L42" s="574" t="n">
        <f aca="false">F42-(I42-AE42)</f>
        <v>-18.4305520544492</v>
      </c>
      <c r="M42" s="581" t="n">
        <v>171</v>
      </c>
      <c r="N42" s="126" t="n">
        <f aca="false">1.8299*1.03</f>
        <v>1.884797</v>
      </c>
      <c r="O42" s="574" t="n">
        <f aca="false">(25.37+27.46)*1.05</f>
        <v>55.4715</v>
      </c>
      <c r="P42" s="574"/>
      <c r="Q42" s="196" t="n">
        <f aca="false">2.33*1.02</f>
        <v>2.3766</v>
      </c>
      <c r="R42" s="571" t="n">
        <v>4.2</v>
      </c>
      <c r="S42" s="572" t="n">
        <v>3.04</v>
      </c>
      <c r="T42" s="574" t="n">
        <v>117</v>
      </c>
      <c r="U42" s="574" t="n">
        <v>74</v>
      </c>
      <c r="V42" s="187" t="n">
        <f aca="false">M42-N42-O42-Q42-R42-S42+T42+U42+50</f>
        <v>345.027103</v>
      </c>
      <c r="W42" s="105" t="n">
        <f aca="false">W41</f>
        <v>0.0488089425817009</v>
      </c>
      <c r="X42" s="105" t="n">
        <f aca="false">X41-(V42-I42)-Q42-R42-AA42-(AN42/1.9835)</f>
        <v>1592.65380533573</v>
      </c>
      <c r="Y42" s="194" t="n">
        <f aca="false">Y41</f>
        <v>0</v>
      </c>
      <c r="Z42" s="574" t="n">
        <v>206</v>
      </c>
      <c r="AA42" s="267" t="n">
        <v>1.7</v>
      </c>
      <c r="AB42" s="269" t="n">
        <v>1.3</v>
      </c>
      <c r="AC42" s="187" t="n">
        <v>57</v>
      </c>
      <c r="AD42" s="194" t="n">
        <f aca="false">AD41-AC42</f>
        <v>6853.25787748929</v>
      </c>
      <c r="AE42" s="30" t="n">
        <f aca="false">N42+O42+Q42+R42+S42+V42+Z42+AC42-50</f>
        <v>625</v>
      </c>
      <c r="AF42" s="574" t="n">
        <f aca="false">IF(L42&lt;0,L42*-1,0)</f>
        <v>18.4305520544492</v>
      </c>
      <c r="AG42" s="574" t="n">
        <f aca="false">AE42+AF42</f>
        <v>643.430552054449</v>
      </c>
      <c r="AH42" s="582" t="n">
        <v>0</v>
      </c>
      <c r="AI42" s="578" t="n">
        <v>81</v>
      </c>
      <c r="AJ42" s="583" t="n">
        <v>51</v>
      </c>
      <c r="AK42" s="243" t="n">
        <f aca="false">AK41</f>
        <v>15698.7543455</v>
      </c>
      <c r="AL42" s="358"/>
      <c r="AM42" s="246"/>
      <c r="AN42" s="366" t="n">
        <f aca="false">45.4*(W41*1.9835+X41*1.9835+Y41*1.9835)/E42</f>
        <v>1.49256721607971</v>
      </c>
      <c r="AO42" s="573"/>
      <c r="AP42" s="0"/>
      <c r="AQ42" s="0" t="n">
        <f aca="false">AQ41+(50*1.9835)</f>
        <v>1785.15</v>
      </c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</row>
    <row r="43" customFormat="false" ht="3" hidden="false" customHeight="true" outlineLevel="0" collapsed="false">
      <c r="A43" s="252"/>
      <c r="B43" s="585"/>
      <c r="C43" s="558"/>
      <c r="D43" s="383"/>
      <c r="E43" s="558"/>
      <c r="F43" s="559"/>
      <c r="G43" s="383"/>
      <c r="H43" s="560"/>
      <c r="I43" s="383"/>
      <c r="J43" s="383"/>
      <c r="K43" s="383"/>
      <c r="L43" s="383"/>
      <c r="M43" s="561"/>
      <c r="N43" s="383"/>
      <c r="O43" s="383"/>
      <c r="P43" s="383"/>
      <c r="Q43" s="562"/>
      <c r="R43" s="562"/>
      <c r="S43" s="563"/>
      <c r="T43" s="383"/>
      <c r="U43" s="383"/>
      <c r="V43" s="383"/>
      <c r="W43" s="558"/>
      <c r="X43" s="558"/>
      <c r="Y43" s="558"/>
      <c r="Z43" s="383"/>
      <c r="AA43" s="258"/>
      <c r="AB43" s="259"/>
      <c r="AC43" s="383"/>
      <c r="AD43" s="383"/>
      <c r="AE43" s="383"/>
      <c r="AF43" s="383"/>
      <c r="AG43" s="383"/>
      <c r="AH43" s="564"/>
      <c r="AI43" s="565"/>
      <c r="AJ43" s="566"/>
      <c r="AK43" s="384"/>
      <c r="AL43" s="384"/>
      <c r="AM43" s="384"/>
      <c r="AN43" s="567"/>
      <c r="AO43" s="568"/>
      <c r="AP43" s="568"/>
      <c r="AQ43" s="568"/>
    </row>
    <row r="44" customFormat="false" ht="12.95" hidden="false" customHeight="true" outlineLevel="0" collapsed="false">
      <c r="A44" s="173" t="s">
        <v>76</v>
      </c>
      <c r="B44" s="549"/>
      <c r="C44" s="194"/>
      <c r="D44" s="194"/>
      <c r="E44" s="194"/>
      <c r="F44" s="550" t="n">
        <f aca="false">SUM(F12:F42)</f>
        <v>-12911.0158810184</v>
      </c>
      <c r="G44" s="194" t="n">
        <f aca="false">SUM(G12:G42)</f>
        <v>7190</v>
      </c>
      <c r="H44" s="194" t="n">
        <f aca="false">SUM(H12:H42)</f>
        <v>0</v>
      </c>
      <c r="I44" s="194" t="n">
        <f aca="false">SUM(I12:I42)</f>
        <v>7190</v>
      </c>
      <c r="J44" s="194" t="n">
        <f aca="false">SUM(J12:J42)</f>
        <v>108.228636249055</v>
      </c>
      <c r="K44" s="194" t="n">
        <f aca="false">SUM(K12:K42)</f>
        <v>7298.22863624906</v>
      </c>
      <c r="L44" s="194" t="n">
        <f aca="false">SUM(L12:L42)</f>
        <v>-1847.0158810184</v>
      </c>
      <c r="M44" s="551" t="n">
        <f aca="false">SUM(M12:M42)</f>
        <v>5356</v>
      </c>
      <c r="N44" s="194" t="n">
        <f aca="false">SUM(N12:N42)</f>
        <v>58.428707</v>
      </c>
      <c r="O44" s="194" t="n">
        <f aca="false">SUM(O12:O42)</f>
        <v>2000.922</v>
      </c>
      <c r="P44" s="194" t="n">
        <f aca="false">SUM(P12:P42)</f>
        <v>0</v>
      </c>
      <c r="Q44" s="347" t="n">
        <f aca="false">SUM(Q12:Q42)</f>
        <v>73.6746</v>
      </c>
      <c r="R44" s="347" t="n">
        <f aca="false">SUM(R12:R42)</f>
        <v>130.2</v>
      </c>
      <c r="S44" s="586" t="n">
        <f aca="false">SUM(S12:S42)</f>
        <v>69.72</v>
      </c>
      <c r="T44" s="194" t="n">
        <f aca="false">SUM(T12:T42)</f>
        <v>3823</v>
      </c>
      <c r="U44" s="194" t="n">
        <f aca="false">SUM(U12:U42)</f>
        <v>2230</v>
      </c>
      <c r="V44" s="194" t="n">
        <f aca="false">SUM(V12:V42)</f>
        <v>9953.554693</v>
      </c>
      <c r="W44" s="194"/>
      <c r="X44" s="194"/>
      <c r="Y44" s="194"/>
      <c r="Z44" s="194" t="n">
        <f aca="false">SUM(Z12:Z42)</f>
        <v>4761</v>
      </c>
      <c r="AA44" s="551" t="n">
        <f aca="false">SUM(AA12:AA42)</f>
        <v>52.7</v>
      </c>
      <c r="AB44" s="553" t="n">
        <f aca="false">SUM(AB12:AB42)</f>
        <v>40.3</v>
      </c>
      <c r="AC44" s="194" t="n">
        <f aca="false">SUM(AC12:AC42)</f>
        <v>2084</v>
      </c>
      <c r="AD44" s="194"/>
      <c r="AE44" s="194" t="n">
        <f aca="false">SUM(AE12:AE42)</f>
        <v>18254</v>
      </c>
      <c r="AF44" s="194" t="n">
        <f aca="false">SUM(AF12:AF42)</f>
        <v>1955.24451726746</v>
      </c>
      <c r="AG44" s="194" t="n">
        <f aca="false">SUM(AG12:AG42)</f>
        <v>20209.2445172675</v>
      </c>
      <c r="AH44" s="356" t="n">
        <f aca="false">SUM(AH12:AH42)</f>
        <v>1.82</v>
      </c>
      <c r="AI44" s="347" t="n">
        <f aca="false">AVERAGE(AI12:AI42)</f>
        <v>80.5483870967742</v>
      </c>
      <c r="AJ44" s="554" t="n">
        <f aca="false">AVERAGE(AJ12:AJ42)</f>
        <v>54.1612903225806</v>
      </c>
      <c r="AK44" s="358" t="s">
        <v>108</v>
      </c>
      <c r="AL44" s="194" t="n">
        <f aca="false">SUM(AL12:AL42)</f>
        <v>0</v>
      </c>
      <c r="AM44" s="296"/>
      <c r="AN44" s="196"/>
      <c r="AO44" s="243" t="n">
        <f aca="false">SUM(AO12:AO42)</f>
        <v>0</v>
      </c>
      <c r="AP44" s="243" t="n">
        <f aca="false">SUM(AP12:AP42)</f>
        <v>0</v>
      </c>
      <c r="AQ44" s="243"/>
    </row>
    <row r="45" customFormat="false" ht="12.95" hidden="false" customHeight="true" outlineLevel="0" collapsed="false">
      <c r="A45" s="173" t="s">
        <v>78</v>
      </c>
      <c r="B45" s="549"/>
      <c r="C45" s="194"/>
      <c r="D45" s="194" t="n">
        <f aca="false">SUM(D12:D42)</f>
        <v>-25609</v>
      </c>
      <c r="E45" s="194"/>
      <c r="F45" s="550" t="n">
        <f aca="false">F44*$D$2</f>
        <v>-25609</v>
      </c>
      <c r="G45" s="194" t="n">
        <f aca="false">G44*$D$2</f>
        <v>14261.365</v>
      </c>
      <c r="H45" s="194" t="n">
        <f aca="false">H44*$D$2</f>
        <v>0</v>
      </c>
      <c r="I45" s="194" t="n">
        <f aca="false">I44*$D$2</f>
        <v>14261.365</v>
      </c>
      <c r="J45" s="194" t="n">
        <f aca="false">J44*$D$2</f>
        <v>214.6715</v>
      </c>
      <c r="K45" s="194" t="n">
        <f aca="false">K44*$D$2</f>
        <v>14476.0365</v>
      </c>
      <c r="L45" s="194" t="n">
        <f aca="false">L44*$D$2</f>
        <v>-3663.556</v>
      </c>
      <c r="M45" s="551" t="n">
        <f aca="false">M44*$D$2</f>
        <v>10623.626</v>
      </c>
      <c r="N45" s="194" t="n">
        <f aca="false">N44*$D$2</f>
        <v>115.8933403345</v>
      </c>
      <c r="O45" s="194" t="n">
        <f aca="false">O44*$D$2</f>
        <v>3968.828787</v>
      </c>
      <c r="P45" s="194" t="n">
        <f aca="false">P44*$D$2</f>
        <v>0</v>
      </c>
      <c r="Q45" s="347" t="n">
        <f aca="false">Q44*$D$2</f>
        <v>146.1335691</v>
      </c>
      <c r="R45" s="347" t="n">
        <f aca="false">R44*$D$2</f>
        <v>258.2517</v>
      </c>
      <c r="S45" s="586" t="n">
        <f aca="false">S44*$D$2</f>
        <v>138.28962</v>
      </c>
      <c r="T45" s="194" t="n">
        <f aca="false">T44*$D$2</f>
        <v>7582.9205</v>
      </c>
      <c r="U45" s="194" t="n">
        <f aca="false">U44*$D$2</f>
        <v>4423.205</v>
      </c>
      <c r="V45" s="194" t="n">
        <f aca="false">V44*$D$2</f>
        <v>19742.8757335655</v>
      </c>
      <c r="W45" s="194"/>
      <c r="X45" s="194"/>
      <c r="Y45" s="194"/>
      <c r="Z45" s="194" t="n">
        <f aca="false">Z44*$D$2</f>
        <v>9443.4435</v>
      </c>
      <c r="AA45" s="551" t="n">
        <f aca="false">AA44*$D$2</f>
        <v>104.53045</v>
      </c>
      <c r="AB45" s="553" t="n">
        <f aca="false">AB44*$D$2</f>
        <v>79.93505</v>
      </c>
      <c r="AC45" s="194" t="n">
        <f aca="false">AC44*$D$2</f>
        <v>4133.614</v>
      </c>
      <c r="AD45" s="194"/>
      <c r="AE45" s="194" t="n">
        <f aca="false">AE44*$D$2</f>
        <v>36206.809</v>
      </c>
      <c r="AF45" s="194" t="n">
        <f aca="false">AF44*$D$2</f>
        <v>3878.2275</v>
      </c>
      <c r="AG45" s="194" t="n">
        <f aca="false">AG44*$D$2</f>
        <v>40085.0365</v>
      </c>
      <c r="AH45" s="356"/>
      <c r="AI45" s="347" t="n">
        <f aca="false">MAX(AI12:AI42)</f>
        <v>87</v>
      </c>
      <c r="AJ45" s="554" t="n">
        <f aca="false">MAX(AJ12:AJ42)</f>
        <v>59</v>
      </c>
      <c r="AK45" s="358" t="s">
        <v>79</v>
      </c>
      <c r="AL45" s="194" t="n">
        <f aca="false">AL44*$D$2</f>
        <v>0</v>
      </c>
      <c r="AM45" s="296"/>
      <c r="AN45" s="196" t="n">
        <f aca="false">SUM(AN12:AN42)</f>
        <v>81.9696909883649</v>
      </c>
      <c r="AO45" s="243" t="n">
        <f aca="false">AO44*$D$2</f>
        <v>0</v>
      </c>
      <c r="AP45" s="243" t="n">
        <f aca="false">AP44*$D$2</f>
        <v>0</v>
      </c>
      <c r="AQ45" s="243" t="n">
        <f aca="false">AQ42</f>
        <v>1785.15</v>
      </c>
    </row>
    <row r="46" customFormat="false" ht="3" hidden="false" customHeight="true" outlineLevel="0" collapsed="false">
      <c r="A46" s="274"/>
      <c r="B46" s="585"/>
      <c r="C46" s="558"/>
      <c r="D46" s="558"/>
      <c r="E46" s="558"/>
      <c r="F46" s="587"/>
      <c r="G46" s="558"/>
      <c r="H46" s="558"/>
      <c r="I46" s="558"/>
      <c r="J46" s="558"/>
      <c r="K46" s="558"/>
      <c r="L46" s="558"/>
      <c r="M46" s="588"/>
      <c r="N46" s="558"/>
      <c r="O46" s="558"/>
      <c r="P46" s="558"/>
      <c r="Q46" s="565"/>
      <c r="R46" s="565"/>
      <c r="S46" s="589"/>
      <c r="T46" s="558"/>
      <c r="U46" s="558"/>
      <c r="V46" s="558"/>
      <c r="W46" s="558"/>
      <c r="X46" s="558"/>
      <c r="Y46" s="558"/>
      <c r="Z46" s="558"/>
      <c r="AA46" s="588"/>
      <c r="AB46" s="590"/>
      <c r="AC46" s="558"/>
      <c r="AD46" s="383"/>
      <c r="AE46" s="558"/>
      <c r="AF46" s="558"/>
      <c r="AG46" s="558"/>
      <c r="AH46" s="591"/>
      <c r="AI46" s="558"/>
      <c r="AJ46" s="587"/>
      <c r="AK46" s="558"/>
      <c r="AL46" s="558"/>
      <c r="AM46" s="390"/>
      <c r="AN46" s="562"/>
      <c r="AO46" s="262"/>
      <c r="AP46" s="262"/>
      <c r="AQ46" s="568"/>
    </row>
    <row r="47" customFormat="false" ht="12.95" hidden="false" customHeight="true" outlineLevel="0" collapsed="false">
      <c r="A47" s="173" t="s">
        <v>80</v>
      </c>
      <c r="B47" s="549"/>
      <c r="C47" s="194"/>
      <c r="D47" s="194"/>
      <c r="E47" s="194"/>
      <c r="F47" s="550" t="n">
        <f aca="false">F9+F44</f>
        <v>-15836.6523821528</v>
      </c>
      <c r="G47" s="194" t="n">
        <f aca="false">G9+G44</f>
        <v>78347</v>
      </c>
      <c r="H47" s="194" t="n">
        <f aca="false">H9+H44</f>
        <v>1002.02</v>
      </c>
      <c r="I47" s="194" t="n">
        <f aca="false">I9+I44</f>
        <v>79349.02</v>
      </c>
      <c r="J47" s="194" t="n">
        <f aca="false">J9+J44</f>
        <v>4268.01579092513</v>
      </c>
      <c r="K47" s="194" t="n">
        <f aca="false">K9+K44</f>
        <v>83617.0357909251</v>
      </c>
      <c r="L47" s="194" t="n">
        <f aca="false">L9+L44</f>
        <v>-3782.53678215276</v>
      </c>
      <c r="M47" s="551" t="n">
        <f aca="false">M9+M44</f>
        <v>34210</v>
      </c>
      <c r="N47" s="194" t="n">
        <f aca="false">N9+N44</f>
        <v>288.100512</v>
      </c>
      <c r="O47" s="194" t="n">
        <f aca="false">O9+O44</f>
        <v>11483.9025</v>
      </c>
      <c r="P47" s="194" t="n">
        <f aca="false">P9+P44</f>
        <v>2.2644</v>
      </c>
      <c r="Q47" s="347"/>
      <c r="R47" s="347"/>
      <c r="S47" s="586"/>
      <c r="T47" s="194" t="n">
        <f aca="false">T9+T44</f>
        <v>16955</v>
      </c>
      <c r="U47" s="194" t="n">
        <f aca="false">U9+U44</f>
        <v>9514.8</v>
      </c>
      <c r="V47" s="194" t="n">
        <f aca="false">V9+V44</f>
        <v>48458.092388</v>
      </c>
      <c r="W47" s="577"/>
      <c r="X47" s="194"/>
      <c r="Y47" s="194"/>
      <c r="Z47" s="194" t="n">
        <f aca="false">Z9+Z44</f>
        <v>21547.6</v>
      </c>
      <c r="AA47" s="551" t="n">
        <f aca="false">AA9+AA44</f>
        <v>260.1</v>
      </c>
      <c r="AB47" s="553" t="n">
        <f aca="false">AB9+AB44</f>
        <v>198.9</v>
      </c>
      <c r="AC47" s="194"/>
      <c r="AD47" s="577"/>
      <c r="AE47" s="194" t="n">
        <f aca="false">AE9+AE44</f>
        <v>91403.1356</v>
      </c>
      <c r="AF47" s="194" t="n">
        <f aca="false">AF9+AF44</f>
        <v>8050.55257307789</v>
      </c>
      <c r="AG47" s="194" t="n">
        <f aca="false">AG9+AG44</f>
        <v>99453.6881730779</v>
      </c>
      <c r="AH47" s="356"/>
      <c r="AI47" s="347" t="n">
        <f aca="false">MIN(AI12:AI42)</f>
        <v>73</v>
      </c>
      <c r="AJ47" s="554" t="n">
        <f aca="false">MIN(AJ12:AJ42)</f>
        <v>47</v>
      </c>
      <c r="AK47" s="358" t="s">
        <v>81</v>
      </c>
      <c r="AL47" s="358"/>
      <c r="AM47" s="296"/>
      <c r="AN47" s="196"/>
      <c r="AO47" s="243" t="n">
        <f aca="false">AO9+AO44</f>
        <v>995.07</v>
      </c>
      <c r="AP47" s="243" t="n">
        <f aca="false">AP9+AP44</f>
        <v>0</v>
      </c>
      <c r="AQ47" s="243"/>
    </row>
    <row r="48" customFormat="false" ht="12.95" hidden="false" customHeight="true" outlineLevel="0" collapsed="false">
      <c r="A48" s="173" t="s">
        <v>82</v>
      </c>
      <c r="B48" s="549"/>
      <c r="C48" s="194"/>
      <c r="D48" s="194"/>
      <c r="E48" s="194"/>
      <c r="F48" s="550" t="n">
        <f aca="false">F47*$D$2</f>
        <v>-31412</v>
      </c>
      <c r="G48" s="194" t="n">
        <f aca="false">G47*$D$2</f>
        <v>155401.2745</v>
      </c>
      <c r="H48" s="194" t="n">
        <f aca="false">H47*$D$2</f>
        <v>1987.50667</v>
      </c>
      <c r="I48" s="194" t="n">
        <f aca="false">I47*$D$2</f>
        <v>157388.78117</v>
      </c>
      <c r="J48" s="194" t="n">
        <f aca="false">J47*$D$2</f>
        <v>8465.6093213</v>
      </c>
      <c r="K48" s="194" t="n">
        <f aca="false">K47*$D$2</f>
        <v>165854.3904913</v>
      </c>
      <c r="L48" s="194" t="n">
        <f aca="false">L47*$D$2</f>
        <v>-7502.6617074</v>
      </c>
      <c r="M48" s="551" t="n">
        <f aca="false">M47*$D$2</f>
        <v>67855.535</v>
      </c>
      <c r="N48" s="194" t="n">
        <f aca="false">N47*$D$2</f>
        <v>571.447365552</v>
      </c>
      <c r="O48" s="194" t="n">
        <f aca="false">O47*$D$2</f>
        <v>22778.32060875</v>
      </c>
      <c r="P48" s="194" t="n">
        <f aca="false">P47*$D$2</f>
        <v>4.4914374</v>
      </c>
      <c r="Q48" s="347"/>
      <c r="R48" s="347"/>
      <c r="S48" s="586"/>
      <c r="T48" s="194" t="n">
        <f aca="false">T47*$D$2</f>
        <v>33630.2425</v>
      </c>
      <c r="U48" s="194" t="n">
        <f aca="false">U47*$D$2</f>
        <v>18872.6058</v>
      </c>
      <c r="V48" s="194" t="n">
        <f aca="false">V47*$D$2</f>
        <v>96116.626251598</v>
      </c>
      <c r="W48" s="194"/>
      <c r="X48" s="194"/>
      <c r="Y48" s="194"/>
      <c r="Z48" s="194" t="n">
        <f aca="false">Z47*$D$2</f>
        <v>42739.6646</v>
      </c>
      <c r="AA48" s="551" t="n">
        <f aca="false">AA47*$D$2</f>
        <v>515.90835</v>
      </c>
      <c r="AB48" s="553" t="n">
        <f aca="false">AB47*$D$2</f>
        <v>394.51815</v>
      </c>
      <c r="AC48" s="194"/>
      <c r="AD48" s="194"/>
      <c r="AE48" s="194" t="n">
        <f aca="false">AE47*$D$2</f>
        <v>181298.1194626</v>
      </c>
      <c r="AF48" s="194" t="n">
        <f aca="false">AF47*$D$2</f>
        <v>15968.2710287</v>
      </c>
      <c r="AG48" s="194" t="n">
        <f aca="false">AG47*$D$2</f>
        <v>197266.3904913</v>
      </c>
      <c r="AH48" s="356"/>
      <c r="AI48" s="347"/>
      <c r="AJ48" s="554"/>
      <c r="AK48" s="358"/>
      <c r="AL48" s="358"/>
      <c r="AM48" s="296"/>
      <c r="AN48" s="196" t="n">
        <f aca="false">AN9+AN45</f>
        <v>920.742726584991</v>
      </c>
      <c r="AO48" s="243" t="n">
        <f aca="false">AO47*$D$2</f>
        <v>1973.721345</v>
      </c>
      <c r="AP48" s="243" t="n">
        <f aca="false">AP47*$D$2</f>
        <v>0</v>
      </c>
      <c r="AQ48" s="243"/>
    </row>
    <row r="49" customFormat="false" ht="3" hidden="false" customHeight="true" outlineLevel="0" collapsed="false">
      <c r="A49" s="274"/>
      <c r="B49" s="585"/>
      <c r="C49" s="558"/>
      <c r="D49" s="558"/>
      <c r="E49" s="558"/>
      <c r="F49" s="587"/>
      <c r="G49" s="558"/>
      <c r="H49" s="565"/>
      <c r="I49" s="558"/>
      <c r="J49" s="558"/>
      <c r="K49" s="558"/>
      <c r="L49" s="558"/>
      <c r="M49" s="588"/>
      <c r="N49" s="558"/>
      <c r="O49" s="558"/>
      <c r="P49" s="558"/>
      <c r="Q49" s="565"/>
      <c r="R49" s="565"/>
      <c r="S49" s="589"/>
      <c r="T49" s="558"/>
      <c r="U49" s="558"/>
      <c r="V49" s="558"/>
      <c r="W49" s="558"/>
      <c r="X49" s="558"/>
      <c r="Y49" s="558"/>
      <c r="Z49" s="558"/>
      <c r="AA49" s="276"/>
      <c r="AB49" s="277"/>
      <c r="AC49" s="558"/>
      <c r="AD49" s="558"/>
      <c r="AE49" s="558"/>
      <c r="AF49" s="558"/>
      <c r="AG49" s="558"/>
      <c r="AH49" s="564"/>
      <c r="AI49" s="592"/>
      <c r="AJ49" s="593"/>
      <c r="AK49" s="592"/>
      <c r="AL49" s="592"/>
      <c r="AM49" s="594"/>
      <c r="AN49" s="562"/>
      <c r="AO49" s="384"/>
      <c r="AP49" s="384"/>
      <c r="AQ49" s="568"/>
    </row>
    <row r="50" customFormat="false" ht="12.95" hidden="false" customHeight="true" outlineLevel="0" collapsed="false">
      <c r="A50" s="173" t="s">
        <v>83</v>
      </c>
      <c r="B50" s="549"/>
      <c r="C50" s="194"/>
      <c r="D50" s="194"/>
      <c r="E50" s="194"/>
      <c r="F50" s="550" t="n">
        <f aca="false">F10+F44</f>
        <v>-20164.3559364759</v>
      </c>
      <c r="G50" s="194" t="n">
        <f aca="false">G10+G44</f>
        <v>85999</v>
      </c>
      <c r="H50" s="347" t="n">
        <f aca="false">H10+H44</f>
        <v>1224.843</v>
      </c>
      <c r="I50" s="194" t="n">
        <f aca="false">I10+I44</f>
        <v>87223.843</v>
      </c>
      <c r="J50" s="194" t="n">
        <f aca="false">J10+J44</f>
        <v>5800.20417509453</v>
      </c>
      <c r="K50" s="194" t="n">
        <f aca="false">K10+K44</f>
        <v>93024.0471750945</v>
      </c>
      <c r="L50" s="194" t="n">
        <f aca="false">L10+L44</f>
        <v>-3468.05333647593</v>
      </c>
      <c r="M50" s="551" t="n">
        <f aca="false">M10+M44</f>
        <v>35502.6</v>
      </c>
      <c r="N50" s="194" t="n">
        <f aca="false">N10+N44</f>
        <v>288.100512</v>
      </c>
      <c r="O50" s="194" t="n">
        <f aca="false">O10+O44</f>
        <v>11483.9025</v>
      </c>
      <c r="P50" s="194"/>
      <c r="Q50" s="347" t="n">
        <f aca="false">Q10+Q44</f>
        <v>575.4636</v>
      </c>
      <c r="R50" s="347" t="n">
        <f aca="false">R10+R44</f>
        <v>1034.3548</v>
      </c>
      <c r="S50" s="586" t="n">
        <f aca="false">S10+S44</f>
        <v>453.23</v>
      </c>
      <c r="T50" s="194" t="n">
        <f aca="false">T10+T44</f>
        <v>24136.94</v>
      </c>
      <c r="U50" s="194" t="n">
        <f aca="false">U10+U44</f>
        <v>9666.27</v>
      </c>
      <c r="V50" s="194" t="n">
        <f aca="false">V10+V44</f>
        <v>56345.994188</v>
      </c>
      <c r="W50" s="194"/>
      <c r="X50" s="194"/>
      <c r="Y50" s="194"/>
      <c r="Z50" s="194"/>
      <c r="AA50" s="244"/>
      <c r="AB50" s="245"/>
      <c r="AC50" s="194" t="n">
        <f aca="false">AC10+AC44</f>
        <v>13069</v>
      </c>
      <c r="AD50" s="194" t="n">
        <f aca="false">AD42</f>
        <v>6853.25787748929</v>
      </c>
      <c r="AE50" s="194" t="n">
        <f aca="false">AE10+AE44</f>
        <v>103920.1456</v>
      </c>
      <c r="AF50" s="194" t="n">
        <f aca="false">AF10+AF44</f>
        <v>9268.25751157046</v>
      </c>
      <c r="AG50" s="194" t="n">
        <f aca="false">AG10+AG44</f>
        <v>113188.40311157</v>
      </c>
      <c r="AH50" s="356" t="n">
        <f aca="false">AH10+AH44</f>
        <v>10.88</v>
      </c>
      <c r="AI50" s="347"/>
      <c r="AJ50" s="554"/>
      <c r="AK50" s="358"/>
      <c r="AL50" s="194" t="n">
        <f aca="false">AL10+AL44</f>
        <v>236.546271401</v>
      </c>
      <c r="AM50" s="296"/>
      <c r="AN50" s="196"/>
      <c r="AO50" s="347"/>
      <c r="AP50" s="347" t="n">
        <f aca="false">AP10+AP44</f>
        <v>0</v>
      </c>
    </row>
    <row r="51" customFormat="false" ht="12.95" hidden="false" customHeight="true" outlineLevel="0" collapsed="false">
      <c r="A51" s="173" t="s">
        <v>84</v>
      </c>
      <c r="B51" s="549"/>
      <c r="C51" s="194"/>
      <c r="D51" s="194" t="n">
        <f aca="false">D10+D45</f>
        <v>-39996</v>
      </c>
      <c r="E51" s="194" t="n">
        <f aca="false">E42</f>
        <v>107378</v>
      </c>
      <c r="F51" s="550" t="n">
        <f aca="false">F50*$D$2</f>
        <v>-39996</v>
      </c>
      <c r="G51" s="194" t="n">
        <f aca="false">G50*$D$2</f>
        <v>170579.0165</v>
      </c>
      <c r="H51" s="347" t="n">
        <f aca="false">H50*$D$2</f>
        <v>2429.4760905</v>
      </c>
      <c r="I51" s="194" t="n">
        <f aca="false">I50*$D$2</f>
        <v>173008.4925905</v>
      </c>
      <c r="J51" s="194" t="n">
        <f aca="false">J50*$D$2</f>
        <v>11504.7049813</v>
      </c>
      <c r="K51" s="194" t="n">
        <f aca="false">K50*$D$2</f>
        <v>184513.1975718</v>
      </c>
      <c r="L51" s="194" t="n">
        <f aca="false">L50*$D$2</f>
        <v>-6878.8837929</v>
      </c>
      <c r="M51" s="551" t="n">
        <f aca="false">M50*$D$2</f>
        <v>70419.4071</v>
      </c>
      <c r="N51" s="194" t="n">
        <f aca="false">N50*$D$2</f>
        <v>571.447365552</v>
      </c>
      <c r="O51" s="194" t="n">
        <f aca="false">O50*$D$2</f>
        <v>22778.32060875</v>
      </c>
      <c r="P51" s="194"/>
      <c r="Q51" s="347" t="n">
        <f aca="false">Q50*$D$2</f>
        <v>1141.4320506</v>
      </c>
      <c r="R51" s="347" t="n">
        <f aca="false">R50*$D$2</f>
        <v>2051.6427458</v>
      </c>
      <c r="S51" s="595" t="n">
        <f aca="false">S50*$D$2</f>
        <v>898.981705</v>
      </c>
      <c r="T51" s="194" t="n">
        <f aca="false">T50*$D$2</f>
        <v>47875.62049</v>
      </c>
      <c r="U51" s="194" t="n">
        <f aca="false">U50*$D$2</f>
        <v>19173.046545</v>
      </c>
      <c r="V51" s="194" t="n">
        <f aca="false">V50*$D$2</f>
        <v>111762.279471898</v>
      </c>
      <c r="W51" s="194"/>
      <c r="X51" s="194"/>
      <c r="Y51" s="194"/>
      <c r="Z51" s="194"/>
      <c r="AA51" s="281"/>
      <c r="AB51" s="251"/>
      <c r="AC51" s="194" t="n">
        <f aca="false">AC50*$D$2</f>
        <v>25922.3615</v>
      </c>
      <c r="AD51" s="194" t="n">
        <f aca="false">AD50*$D$2</f>
        <v>13593.437</v>
      </c>
      <c r="AE51" s="194" t="n">
        <f aca="false">AE50*$D$2</f>
        <v>206125.6087976</v>
      </c>
      <c r="AF51" s="194" t="n">
        <f aca="false">AF50*$D$2</f>
        <v>18383.5887742</v>
      </c>
      <c r="AG51" s="194" t="n">
        <f aca="false">AG50*$D$2</f>
        <v>224509.1975718</v>
      </c>
      <c r="AH51" s="356"/>
      <c r="AI51" s="347"/>
      <c r="AJ51" s="554"/>
      <c r="AK51" s="358" t="n">
        <f aca="false">AK42</f>
        <v>15698.7543455</v>
      </c>
      <c r="AL51" s="194" t="n">
        <f aca="false">AL50*$D$2</f>
        <v>469.189529323884</v>
      </c>
      <c r="AM51" s="296"/>
      <c r="AN51" s="196" t="n">
        <f aca="false">AN10+AN45</f>
        <v>920.742726584991</v>
      </c>
      <c r="AO51" s="347"/>
      <c r="AP51" s="347" t="n">
        <f aca="false">AP50*$D$2</f>
        <v>0</v>
      </c>
    </row>
    <row r="52" customFormat="false" ht="3" hidden="false" customHeight="true" outlineLevel="0" collapsed="false">
      <c r="A52" s="252"/>
      <c r="B52" s="332"/>
      <c r="C52" s="319"/>
      <c r="D52" s="252"/>
      <c r="E52" s="319"/>
      <c r="F52" s="320"/>
      <c r="G52" s="252"/>
      <c r="H52" s="596"/>
      <c r="I52" s="252"/>
      <c r="J52" s="252"/>
      <c r="K52" s="597"/>
      <c r="L52" s="252"/>
      <c r="M52" s="536"/>
      <c r="N52" s="252"/>
      <c r="O52" s="252"/>
      <c r="P52" s="252"/>
      <c r="Q52" s="598"/>
      <c r="R52" s="599"/>
      <c r="S52" s="598"/>
      <c r="T52" s="252"/>
      <c r="U52" s="252"/>
      <c r="V52" s="252"/>
      <c r="W52" s="319"/>
      <c r="X52" s="319"/>
      <c r="Y52" s="319"/>
      <c r="Z52" s="252"/>
      <c r="AA52" s="258"/>
      <c r="AB52" s="259"/>
      <c r="AC52" s="252"/>
      <c r="AD52" s="319"/>
      <c r="AE52" s="252"/>
      <c r="AF52" s="252"/>
      <c r="AG52" s="252"/>
      <c r="AH52" s="332"/>
      <c r="AI52" s="252"/>
      <c r="AJ52" s="320"/>
      <c r="AK52" s="252"/>
      <c r="AL52" s="252"/>
      <c r="AM52" s="341"/>
      <c r="AN52" s="598"/>
      <c r="AO52" s="568"/>
      <c r="AP52" s="568"/>
      <c r="AQ52" s="568"/>
    </row>
    <row r="53" customFormat="false" ht="11.1" hidden="false" customHeight="true" outlineLevel="0" collapsed="false">
      <c r="A53" s="600"/>
      <c r="B53" s="152"/>
      <c r="C53" s="9"/>
      <c r="D53" s="8"/>
      <c r="E53" s="509"/>
      <c r="F53" s="0"/>
      <c r="G53" s="0"/>
      <c r="H53" s="13"/>
      <c r="I53" s="8"/>
      <c r="J53" s="8"/>
      <c r="K53" s="510"/>
      <c r="L53" s="165"/>
      <c r="M53" s="8"/>
      <c r="N53" s="8"/>
      <c r="O53" s="8"/>
      <c r="P53" s="8"/>
      <c r="Q53" s="12"/>
      <c r="R53" s="12"/>
      <c r="S53" s="12"/>
      <c r="T53" s="8"/>
      <c r="U53" s="8"/>
      <c r="V53" s="8"/>
      <c r="W53" s="511"/>
      <c r="X53" s="511"/>
      <c r="Y53" s="511"/>
      <c r="Z53" s="8"/>
      <c r="AA53" s="8"/>
      <c r="AB53" s="8"/>
      <c r="AC53" s="8"/>
      <c r="AD53" s="509"/>
      <c r="AE53" s="509"/>
      <c r="AF53" s="164"/>
      <c r="AG53" s="164"/>
      <c r="AH53" s="169"/>
      <c r="AI53" s="171"/>
      <c r="AJ53" s="171"/>
      <c r="AK53" s="172"/>
      <c r="AL53" s="172"/>
      <c r="AM53" s="289"/>
      <c r="AN53" s="601"/>
      <c r="AO53" s="544"/>
    </row>
    <row r="54" customFormat="false" ht="11.1" hidden="false" customHeight="true" outlineLevel="0" collapsed="false">
      <c r="A54" s="164"/>
      <c r="B54" s="602"/>
      <c r="C54" s="9"/>
      <c r="D54" s="153"/>
      <c r="E54" s="488"/>
      <c r="F54" s="512"/>
      <c r="G54" s="0"/>
      <c r="H54" s="13"/>
      <c r="I54" s="10"/>
      <c r="J54" s="8"/>
      <c r="K54" s="154"/>
      <c r="L54" s="168"/>
      <c r="M54" s="8"/>
      <c r="N54" s="8"/>
      <c r="O54" s="9"/>
      <c r="P54" s="9"/>
      <c r="Q54" s="12"/>
      <c r="R54" s="398"/>
      <c r="S54" s="398"/>
      <c r="T54" s="513"/>
      <c r="U54" s="125"/>
      <c r="V54" s="514"/>
      <c r="W54" s="165"/>
      <c r="X54" s="228"/>
      <c r="Y54" s="228"/>
      <c r="Z54" s="37"/>
      <c r="AA54" s="37"/>
      <c r="AB54" s="37"/>
      <c r="AC54" s="8"/>
      <c r="AD54" s="9"/>
      <c r="AE54" s="9"/>
      <c r="AF54" s="164"/>
      <c r="AG54" s="169"/>
      <c r="AH54" s="171"/>
      <c r="AI54" s="171"/>
      <c r="AJ54" s="171"/>
      <c r="AK54" s="603"/>
      <c r="AL54" s="603"/>
      <c r="AM54" s="289"/>
      <c r="AN54" s="601"/>
      <c r="AO54" s="544"/>
    </row>
    <row r="55" customFormat="false" ht="11.1" hidden="false" customHeight="true" outlineLevel="0" collapsed="false">
      <c r="A55" s="284"/>
      <c r="B55" s="165"/>
      <c r="E55" s="488"/>
      <c r="F55" s="489"/>
      <c r="G55" s="0"/>
      <c r="H55" s="13"/>
      <c r="I55" s="153"/>
      <c r="J55" s="153"/>
      <c r="K55" s="515"/>
      <c r="L55" s="492"/>
      <c r="M55" s="123"/>
      <c r="N55" s="123"/>
      <c r="O55" s="488"/>
      <c r="P55" s="488"/>
      <c r="Q55" s="604"/>
      <c r="R55" s="398"/>
      <c r="S55" s="398"/>
      <c r="T55" s="513"/>
      <c r="U55" s="125"/>
      <c r="V55" s="91"/>
      <c r="W55" s="165"/>
      <c r="X55" s="165"/>
      <c r="Y55" s="165"/>
      <c r="Z55" s="165"/>
      <c r="AA55" s="165"/>
      <c r="AB55" s="165"/>
      <c r="AC55" s="9"/>
      <c r="AD55" s="513"/>
      <c r="AE55" s="513"/>
      <c r="AF55" s="284"/>
      <c r="AG55" s="169"/>
      <c r="AH55" s="171"/>
      <c r="AI55" s="171"/>
      <c r="AJ55" s="172"/>
      <c r="AK55" s="342"/>
      <c r="AL55" s="342"/>
      <c r="AM55" s="343"/>
      <c r="AN55" s="160"/>
      <c r="AO55" s="544"/>
    </row>
    <row r="56" customFormat="false" ht="11.1" hidden="false" customHeight="true" outlineLevel="0" collapsed="false">
      <c r="A56" s="284"/>
      <c r="B56" s="284"/>
      <c r="C56" s="165"/>
      <c r="D56" s="165"/>
      <c r="E56" s="488"/>
      <c r="F56" s="0"/>
      <c r="G56" s="0"/>
      <c r="H56" s="165"/>
      <c r="I56" s="0"/>
      <c r="J56" s="153"/>
      <c r="K56" s="515"/>
      <c r="L56" s="171"/>
      <c r="M56" s="123"/>
      <c r="N56" s="123"/>
      <c r="O56" s="171"/>
      <c r="P56" s="171"/>
      <c r="Q56" s="169"/>
      <c r="R56" s="398"/>
      <c r="S56" s="398"/>
      <c r="T56" s="457"/>
      <c r="U56" s="457"/>
      <c r="V56" s="91"/>
      <c r="W56" s="171"/>
      <c r="X56" s="171"/>
      <c r="Y56" s="171"/>
      <c r="Z56" s="165"/>
      <c r="AA56" s="165"/>
      <c r="AB56" s="165"/>
      <c r="AC56" s="9"/>
      <c r="AD56" s="165"/>
      <c r="AE56" s="165"/>
      <c r="AF56" s="284"/>
      <c r="AG56" s="491"/>
      <c r="AH56" s="171"/>
      <c r="AI56" s="171"/>
      <c r="AJ56" s="172"/>
      <c r="AK56" s="342"/>
      <c r="AL56" s="342"/>
      <c r="AM56" s="343"/>
      <c r="AN56" s="160"/>
      <c r="AO56" s="544"/>
    </row>
    <row r="57" customFormat="false" ht="11.1" hidden="false" customHeight="true" outlineLevel="0" collapsed="false">
      <c r="A57" s="284"/>
      <c r="B57" s="284"/>
      <c r="C57" s="165"/>
      <c r="D57" s="284"/>
      <c r="E57" s="165"/>
      <c r="F57" s="284"/>
      <c r="G57" s="285"/>
      <c r="H57" s="166"/>
      <c r="I57" s="284"/>
      <c r="J57" s="284"/>
      <c r="K57" s="284"/>
      <c r="L57" s="284"/>
      <c r="M57" s="168"/>
      <c r="N57" s="168"/>
      <c r="O57" s="168"/>
      <c r="P57" s="168"/>
      <c r="Q57" s="169"/>
      <c r="R57" s="169"/>
      <c r="S57" s="169"/>
      <c r="T57" s="284"/>
      <c r="U57" s="284"/>
      <c r="V57" s="0"/>
      <c r="W57" s="165"/>
      <c r="X57" s="165"/>
      <c r="Y57" s="165"/>
      <c r="AC57" s="165"/>
      <c r="AD57" s="284"/>
      <c r="AE57" s="284"/>
      <c r="AF57" s="284"/>
      <c r="AG57" s="169"/>
      <c r="AH57" s="170"/>
      <c r="AI57" s="171"/>
      <c r="AJ57" s="172"/>
      <c r="AK57" s="342"/>
      <c r="AL57" s="342"/>
      <c r="AM57" s="343"/>
      <c r="AN57" s="160"/>
      <c r="AO57" s="544"/>
    </row>
    <row r="58" customFormat="false" ht="11.1" hidden="false" customHeight="true" outlineLevel="0" collapsed="false">
      <c r="Q58" s="160"/>
      <c r="R58" s="160"/>
      <c r="S58" s="160"/>
      <c r="T58" s="605"/>
      <c r="U58" s="156"/>
      <c r="V58" s="165"/>
      <c r="W58" s="165"/>
      <c r="X58" s="165"/>
      <c r="Y58" s="165"/>
      <c r="AC58" s="157"/>
      <c r="AE58" s="156"/>
      <c r="AF58" s="156"/>
      <c r="AG58" s="160"/>
      <c r="AH58" s="158"/>
      <c r="AI58" s="161"/>
      <c r="AJ58" s="162"/>
      <c r="AK58" s="606"/>
      <c r="AL58" s="606"/>
      <c r="AM58" s="163"/>
      <c r="AN58" s="160"/>
      <c r="AO58" s="544"/>
    </row>
    <row r="59" customFormat="false" ht="11.1" hidden="false" customHeight="true" outlineLevel="0" collapsed="false">
      <c r="Q59" s="160"/>
      <c r="R59" s="160"/>
      <c r="S59" s="160"/>
      <c r="T59" s="605"/>
      <c r="U59" s="156"/>
      <c r="V59" s="165"/>
      <c r="W59" s="165"/>
      <c r="X59" s="165"/>
      <c r="Y59" s="165"/>
      <c r="AC59" s="157"/>
      <c r="AE59" s="156"/>
      <c r="AF59" s="156"/>
      <c r="AG59" s="160"/>
      <c r="AH59" s="158"/>
      <c r="AI59" s="161"/>
      <c r="AJ59" s="162"/>
      <c r="AK59" s="156"/>
      <c r="AL59" s="156"/>
      <c r="AM59" s="163"/>
      <c r="AN59" s="160"/>
      <c r="AO59" s="544"/>
    </row>
    <row r="60" customFormat="false" ht="11.1" hidden="false" customHeight="true" outlineLevel="0" collapsed="false">
      <c r="U60" s="165"/>
      <c r="V60" s="165"/>
    </row>
  </sheetData>
  <mergeCells count="3">
    <mergeCell ref="K2:V2"/>
    <mergeCell ref="W2:Y2"/>
    <mergeCell ref="M5:S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10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K30" activePane="bottomRight" state="frozen"/>
      <selection pane="topLeft" activeCell="A1" activeCellId="0" sqref="A1"/>
      <selection pane="topRight" activeCell="K1" activeCellId="0" sqref="K1"/>
      <selection pane="bottomLeft" activeCell="A30" activeCellId="0" sqref="A30"/>
      <selection pane="bottomRight" activeCell="AD41" activeCellId="0" sqref="AD41"/>
    </sheetView>
  </sheetViews>
  <sheetFormatPr defaultColWidth="9.328125" defaultRowHeight="11.1" zeroHeight="false" outlineLevelRow="0" outlineLevelCol="0"/>
  <cols>
    <col collapsed="false" customWidth="true" hidden="false" outlineLevel="0" max="1" min="1" style="156" width="4.66"/>
    <col collapsed="false" customWidth="true" hidden="false" outlineLevel="0" max="2" min="2" style="156" width="6.99"/>
    <col collapsed="false" customWidth="true" hidden="false" outlineLevel="0" max="3" min="3" style="157" width="6.32"/>
    <col collapsed="false" customWidth="true" hidden="false" outlineLevel="0" max="4" min="4" style="156" width="6.99"/>
    <col collapsed="false" customWidth="true" hidden="false" outlineLevel="0" max="5" min="5" style="157" width="6.99"/>
    <col collapsed="false" customWidth="true" hidden="false" outlineLevel="0" max="6" min="6" style="156" width="7.32"/>
    <col collapsed="false" customWidth="true" hidden="false" outlineLevel="0" max="7" min="7" style="156" width="6.82"/>
    <col collapsed="false" customWidth="true" hidden="false" outlineLevel="0" max="8" min="8" style="542" width="5.66"/>
    <col collapsed="false" customWidth="true" hidden="false" outlineLevel="0" max="11" min="9" style="156" width="6.32"/>
    <col collapsed="false" customWidth="true" hidden="false" outlineLevel="0" max="12" min="12" style="156" width="7.16"/>
    <col collapsed="false" customWidth="true" hidden="false" outlineLevel="0" max="13" min="13" style="159" width="5.49"/>
    <col collapsed="false" customWidth="true" hidden="false" outlineLevel="0" max="14" min="14" style="159" width="4.49"/>
    <col collapsed="false" customWidth="true" hidden="false" outlineLevel="0" max="15" min="15" style="159" width="5.49"/>
    <col collapsed="false" customWidth="true" hidden="false" outlineLevel="0" max="16" min="16" style="159" width="4.82"/>
    <col collapsed="false" customWidth="true" hidden="false" outlineLevel="0" max="19" min="17" style="160" width="4.32"/>
    <col collapsed="false" customWidth="true" hidden="false" outlineLevel="0" max="20" min="20" style="156" width="5.49"/>
    <col collapsed="false" customWidth="true" hidden="false" outlineLevel="0" max="21" min="21" style="157" width="5.49"/>
    <col collapsed="false" customWidth="true" hidden="false" outlineLevel="0" max="22" min="22" style="156" width="6.32"/>
    <col collapsed="false" customWidth="true" hidden="false" outlineLevel="0" max="23" min="23" style="156" width="5.49"/>
    <col collapsed="false" customWidth="true" hidden="false" outlineLevel="0" max="25" min="24" style="157" width="5.49"/>
    <col collapsed="false" customWidth="true" hidden="false" outlineLevel="0" max="28" min="26" style="156" width="5.49"/>
    <col collapsed="false" customWidth="true" hidden="false" outlineLevel="0" max="29" min="29" style="156" width="6.49"/>
    <col collapsed="false" customWidth="true" hidden="false" outlineLevel="0" max="30" min="30" style="156" width="5.49"/>
    <col collapsed="false" customWidth="true" hidden="false" outlineLevel="0" max="31" min="31" style="160" width="6.32"/>
    <col collapsed="false" customWidth="true" hidden="false" outlineLevel="0" max="32" min="32" style="158" width="6.99"/>
    <col collapsed="false" customWidth="true" hidden="false" outlineLevel="0" max="33" min="33" style="161" width="6.99"/>
    <col collapsed="false" customWidth="true" hidden="false" outlineLevel="0" max="34" min="34" style="162" width="5.32"/>
    <col collapsed="false" customWidth="true" hidden="false" outlineLevel="0" max="35" min="35" style="156" width="3.82"/>
    <col collapsed="false" customWidth="true" hidden="false" outlineLevel="0" max="36" min="36" style="160" width="3.82"/>
    <col collapsed="false" customWidth="true" hidden="false" outlineLevel="0" max="38" min="37" style="156" width="5.49"/>
    <col collapsed="false" customWidth="true" hidden="false" outlineLevel="0" max="39" min="39" style="159" width="6.32"/>
    <col collapsed="false" customWidth="true" hidden="false" outlineLevel="0" max="40" min="40" style="160" width="6.32"/>
    <col collapsed="false" customWidth="true" hidden="false" outlineLevel="0" max="41" min="41" style="156" width="6.32"/>
    <col collapsed="false" customWidth="true" hidden="false" outlineLevel="0" max="42" min="42" style="156" width="6.49"/>
    <col collapsed="false" customWidth="true" hidden="false" outlineLevel="0" max="43" min="43" style="200" width="4.66"/>
    <col collapsed="false" customWidth="false" hidden="false" outlineLevel="0" max="257" min="44" style="156" width="9.32"/>
  </cols>
  <sheetData>
    <row r="1" customFormat="false" ht="14.1" hidden="false" customHeight="true" outlineLevel="0" collapsed="false">
      <c r="A1" s="164"/>
      <c r="B1" s="164"/>
      <c r="C1" s="165"/>
      <c r="D1" s="164"/>
      <c r="E1" s="165"/>
      <c r="F1" s="164"/>
      <c r="G1" s="164"/>
      <c r="H1" s="166"/>
      <c r="I1" s="164"/>
      <c r="J1" s="164"/>
      <c r="K1" s="167" t="s">
        <v>0</v>
      </c>
      <c r="L1" s="164"/>
      <c r="M1" s="164"/>
      <c r="N1" s="164"/>
      <c r="O1" s="164"/>
      <c r="P1" s="164"/>
      <c r="Q1" s="169"/>
      <c r="R1" s="169"/>
      <c r="S1" s="169"/>
      <c r="T1" s="164"/>
      <c r="U1" s="164"/>
      <c r="V1" s="165"/>
      <c r="W1" s="164"/>
      <c r="X1" s="164"/>
      <c r="Y1" s="164"/>
      <c r="Z1" s="164"/>
      <c r="AA1" s="164"/>
      <c r="AB1" s="164"/>
      <c r="AC1" s="165"/>
      <c r="AD1" s="164"/>
      <c r="AE1" s="164"/>
      <c r="AF1" s="164"/>
      <c r="AG1" s="169"/>
      <c r="AH1" s="170"/>
      <c r="AI1" s="171"/>
      <c r="AJ1" s="172"/>
      <c r="AK1" s="288"/>
      <c r="AL1" s="288"/>
      <c r="AM1" s="541"/>
      <c r="AN1" s="458"/>
    </row>
    <row r="2" customFormat="false" ht="14.1" hidden="false" customHeight="true" outlineLevel="0" collapsed="false">
      <c r="A2" s="173" t="s">
        <v>1</v>
      </c>
      <c r="B2" s="164"/>
      <c r="C2" s="165"/>
      <c r="D2" s="174" t="n">
        <v>1.9835</v>
      </c>
      <c r="E2" s="165"/>
      <c r="F2" s="164"/>
      <c r="G2" s="164"/>
      <c r="H2" s="166"/>
      <c r="I2" s="164"/>
      <c r="J2" s="164"/>
      <c r="K2" s="175" t="s">
        <v>123</v>
      </c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64"/>
      <c r="AA2" s="164"/>
      <c r="AB2" s="164"/>
      <c r="AC2" s="165"/>
      <c r="AD2" s="164"/>
      <c r="AE2" s="164"/>
      <c r="AF2" s="164"/>
      <c r="AG2" s="169"/>
      <c r="AH2" s="170"/>
      <c r="AI2" s="171"/>
      <c r="AJ2" s="172"/>
      <c r="AK2" s="288"/>
      <c r="AL2" s="288"/>
      <c r="AM2" s="541"/>
      <c r="AN2" s="458"/>
    </row>
    <row r="3" customFormat="false" ht="14.1" hidden="false" customHeight="true" outlineLevel="0" collapsed="false">
      <c r="A3" s="176"/>
      <c r="B3" s="176"/>
      <c r="C3" s="177"/>
      <c r="D3" s="178"/>
      <c r="E3" s="177"/>
      <c r="F3" s="176"/>
      <c r="G3" s="176"/>
      <c r="H3" s="179"/>
      <c r="I3" s="176"/>
      <c r="J3" s="176"/>
      <c r="K3" s="176"/>
      <c r="L3" s="176"/>
      <c r="M3" s="176"/>
      <c r="N3" s="176"/>
      <c r="O3" s="176"/>
      <c r="P3" s="176"/>
      <c r="Q3" s="181"/>
      <c r="R3" s="181"/>
      <c r="S3" s="181"/>
      <c r="T3" s="176"/>
      <c r="U3" s="176"/>
      <c r="V3" s="177"/>
      <c r="W3" s="176"/>
      <c r="X3" s="176"/>
      <c r="Y3" s="176"/>
      <c r="Z3" s="176"/>
      <c r="AA3" s="176"/>
      <c r="AB3" s="176"/>
      <c r="AC3" s="177"/>
      <c r="AD3" s="176"/>
      <c r="AE3" s="176"/>
      <c r="AF3" s="176"/>
      <c r="AG3" s="181"/>
      <c r="AH3" s="182"/>
      <c r="AI3" s="183"/>
      <c r="AJ3" s="184"/>
      <c r="AK3" s="291"/>
      <c r="AL3" s="291"/>
      <c r="AM3" s="607"/>
      <c r="AN3" s="608"/>
      <c r="AO3" s="163"/>
    </row>
    <row r="4" s="200" customFormat="true" ht="14.1" hidden="false" customHeight="true" outlineLevel="0" collapsed="false">
      <c r="A4" s="187"/>
      <c r="B4" s="188"/>
      <c r="C4" s="189"/>
      <c r="D4" s="293" t="s">
        <v>3</v>
      </c>
      <c r="E4" s="189"/>
      <c r="F4" s="191"/>
      <c r="G4" s="187"/>
      <c r="H4" s="192"/>
      <c r="I4" s="187"/>
      <c r="J4" s="187"/>
      <c r="K4" s="187"/>
      <c r="L4" s="187"/>
      <c r="M4" s="187"/>
      <c r="N4" s="187"/>
      <c r="O4" s="187"/>
      <c r="P4" s="187"/>
      <c r="Q4" s="196"/>
      <c r="R4" s="196"/>
      <c r="S4" s="196"/>
      <c r="T4" s="193" t="s">
        <v>4</v>
      </c>
      <c r="U4" s="187"/>
      <c r="V4" s="194"/>
      <c r="W4" s="187"/>
      <c r="X4" s="187"/>
      <c r="Y4" s="187"/>
      <c r="Z4" s="187"/>
      <c r="AA4" s="187"/>
      <c r="AB4" s="187"/>
      <c r="AC4" s="194"/>
      <c r="AD4" s="187"/>
      <c r="AE4" s="187"/>
      <c r="AF4" s="187"/>
      <c r="AG4" s="196"/>
      <c r="AH4" s="197"/>
      <c r="AI4" s="198" t="s">
        <v>5</v>
      </c>
      <c r="AJ4" s="199"/>
      <c r="AK4" s="187"/>
      <c r="AL4" s="187"/>
      <c r="AM4" s="546" t="s">
        <v>6</v>
      </c>
      <c r="AN4" s="546"/>
      <c r="AO4" s="547"/>
      <c r="AP4" s="204"/>
      <c r="AQ4" s="204"/>
    </row>
    <row r="5" s="524" customFormat="true" ht="12.95" hidden="false" customHeight="true" outlineLevel="0" collapsed="false">
      <c r="A5" s="233" t="s">
        <v>7</v>
      </c>
      <c r="B5" s="466" t="s">
        <v>8</v>
      </c>
      <c r="C5" s="229" t="s">
        <v>8</v>
      </c>
      <c r="D5" s="233" t="s">
        <v>9</v>
      </c>
      <c r="E5" s="229" t="s">
        <v>10</v>
      </c>
      <c r="F5" s="522" t="s">
        <v>11</v>
      </c>
      <c r="G5" s="233" t="s">
        <v>12</v>
      </c>
      <c r="H5" s="235" t="s">
        <v>13</v>
      </c>
      <c r="I5" s="233" t="s">
        <v>14</v>
      </c>
      <c r="J5" s="233" t="s">
        <v>15</v>
      </c>
      <c r="K5" s="233" t="s">
        <v>16</v>
      </c>
      <c r="L5" s="233" t="s">
        <v>15</v>
      </c>
      <c r="M5" s="210" t="s">
        <v>17</v>
      </c>
      <c r="N5" s="210"/>
      <c r="O5" s="210"/>
      <c r="P5" s="210"/>
      <c r="Q5" s="210"/>
      <c r="R5" s="210"/>
      <c r="S5" s="210"/>
      <c r="T5" s="420" t="s">
        <v>18</v>
      </c>
      <c r="U5" s="420" t="s">
        <v>19</v>
      </c>
      <c r="V5" s="420" t="s">
        <v>16</v>
      </c>
      <c r="W5" s="79" t="s">
        <v>20</v>
      </c>
      <c r="X5" s="79" t="s">
        <v>92</v>
      </c>
      <c r="Y5" s="229" t="s">
        <v>20</v>
      </c>
      <c r="Z5" s="420" t="s">
        <v>21</v>
      </c>
      <c r="AA5" s="53" t="s">
        <v>124</v>
      </c>
      <c r="AB5" s="54"/>
      <c r="AC5" s="420" t="s">
        <v>23</v>
      </c>
      <c r="AD5" s="229" t="s">
        <v>110</v>
      </c>
      <c r="AE5" s="233" t="s">
        <v>14</v>
      </c>
      <c r="AF5" s="233" t="s">
        <v>15</v>
      </c>
      <c r="AG5" s="233" t="s">
        <v>16</v>
      </c>
      <c r="AH5" s="523" t="s">
        <v>25</v>
      </c>
      <c r="AI5" s="224" t="s">
        <v>26</v>
      </c>
      <c r="AJ5" s="350" t="s">
        <v>27</v>
      </c>
      <c r="AK5" s="68" t="s">
        <v>87</v>
      </c>
      <c r="AL5" s="68" t="s">
        <v>20</v>
      </c>
      <c r="AM5" s="427" t="s">
        <v>88</v>
      </c>
      <c r="AN5" s="427" t="s">
        <v>88</v>
      </c>
      <c r="AO5" s="68" t="s">
        <v>29</v>
      </c>
      <c r="AP5" s="218" t="s">
        <v>30</v>
      </c>
      <c r="AQ5" s="218" t="s">
        <v>52</v>
      </c>
    </row>
    <row r="6" s="524" customFormat="true" ht="12.95" hidden="false" customHeight="true" outlineLevel="0" collapsed="false">
      <c r="A6" s="470" t="s">
        <v>125</v>
      </c>
      <c r="B6" s="466" t="s">
        <v>32</v>
      </c>
      <c r="C6" s="229" t="s">
        <v>9</v>
      </c>
      <c r="D6" s="233" t="s">
        <v>33</v>
      </c>
      <c r="E6" s="229" t="s">
        <v>34</v>
      </c>
      <c r="F6" s="522" t="s">
        <v>35</v>
      </c>
      <c r="G6" s="233" t="s">
        <v>36</v>
      </c>
      <c r="H6" s="235" t="s">
        <v>37</v>
      </c>
      <c r="I6" s="233" t="s">
        <v>38</v>
      </c>
      <c r="J6" s="233" t="s">
        <v>38</v>
      </c>
      <c r="K6" s="233" t="s">
        <v>38</v>
      </c>
      <c r="L6" s="233" t="s">
        <v>39</v>
      </c>
      <c r="M6" s="471" t="s">
        <v>40</v>
      </c>
      <c r="N6" s="233" t="s">
        <v>41</v>
      </c>
      <c r="O6" s="233" t="s">
        <v>42</v>
      </c>
      <c r="P6" s="233" t="s">
        <v>43</v>
      </c>
      <c r="Q6" s="233" t="s">
        <v>44</v>
      </c>
      <c r="R6" s="233" t="s">
        <v>45</v>
      </c>
      <c r="S6" s="234" t="s">
        <v>46</v>
      </c>
      <c r="T6" s="420" t="s">
        <v>47</v>
      </c>
      <c r="U6" s="420" t="s">
        <v>48</v>
      </c>
      <c r="V6" s="420" t="s">
        <v>20</v>
      </c>
      <c r="W6" s="79" t="s">
        <v>58</v>
      </c>
      <c r="X6" s="229" t="s">
        <v>72</v>
      </c>
      <c r="Y6" s="229" t="s">
        <v>106</v>
      </c>
      <c r="Z6" s="420" t="s">
        <v>51</v>
      </c>
      <c r="AA6" s="63" t="s">
        <v>52</v>
      </c>
      <c r="AB6" s="65" t="s">
        <v>53</v>
      </c>
      <c r="AC6" s="420" t="s">
        <v>54</v>
      </c>
      <c r="AD6" s="229" t="s">
        <v>55</v>
      </c>
      <c r="AE6" s="233" t="s">
        <v>56</v>
      </c>
      <c r="AF6" s="233" t="s">
        <v>56</v>
      </c>
      <c r="AG6" s="233" t="s">
        <v>56</v>
      </c>
      <c r="AH6" s="525"/>
      <c r="AI6" s="224" t="s">
        <v>57</v>
      </c>
      <c r="AJ6" s="350" t="s">
        <v>57</v>
      </c>
      <c r="AK6" s="68" t="s">
        <v>58</v>
      </c>
      <c r="AL6" s="68" t="s">
        <v>59</v>
      </c>
      <c r="AM6" s="427" t="s">
        <v>60</v>
      </c>
      <c r="AN6" s="427" t="s">
        <v>60</v>
      </c>
      <c r="AO6" s="68" t="s">
        <v>61</v>
      </c>
      <c r="AP6" s="218" t="s">
        <v>62</v>
      </c>
      <c r="AQ6" s="218" t="s">
        <v>121</v>
      </c>
    </row>
    <row r="7" s="524" customFormat="true" ht="12.95" hidden="false" customHeight="true" outlineLevel="0" collapsed="false">
      <c r="A7" s="233"/>
      <c r="B7" s="466"/>
      <c r="C7" s="229"/>
      <c r="D7" s="233"/>
      <c r="E7" s="229" t="s">
        <v>63</v>
      </c>
      <c r="F7" s="522"/>
      <c r="G7" s="233"/>
      <c r="H7" s="235"/>
      <c r="I7" s="233"/>
      <c r="J7" s="233"/>
      <c r="K7" s="233"/>
      <c r="L7" s="233"/>
      <c r="M7" s="471"/>
      <c r="N7" s="233" t="s">
        <v>64</v>
      </c>
      <c r="O7" s="233" t="s">
        <v>65</v>
      </c>
      <c r="P7" s="233"/>
      <c r="Q7" s="233"/>
      <c r="R7" s="233"/>
      <c r="S7" s="234" t="s">
        <v>42</v>
      </c>
      <c r="T7" s="420"/>
      <c r="U7" s="420"/>
      <c r="V7" s="420"/>
      <c r="W7" s="79"/>
      <c r="X7" s="79"/>
      <c r="Y7" s="79"/>
      <c r="Z7" s="420"/>
      <c r="AA7" s="77"/>
      <c r="AB7" s="80"/>
      <c r="AC7" s="420"/>
      <c r="AD7" s="79"/>
      <c r="AE7" s="420"/>
      <c r="AF7" s="420"/>
      <c r="AG7" s="420"/>
      <c r="AH7" s="525"/>
      <c r="AI7" s="224"/>
      <c r="AJ7" s="350"/>
      <c r="AK7" s="68" t="s">
        <v>63</v>
      </c>
      <c r="AL7" s="68" t="s">
        <v>67</v>
      </c>
      <c r="AM7" s="427" t="s">
        <v>107</v>
      </c>
      <c r="AN7" s="427" t="s">
        <v>93</v>
      </c>
      <c r="AO7" s="68" t="s">
        <v>70</v>
      </c>
      <c r="AP7" s="218" t="s">
        <v>71</v>
      </c>
      <c r="AQ7" s="218" t="s">
        <v>122</v>
      </c>
    </row>
    <row r="8" s="524" customFormat="true" ht="12.95" hidden="false" customHeight="true" outlineLevel="0" collapsed="false">
      <c r="A8" s="233"/>
      <c r="B8" s="466"/>
      <c r="C8" s="229"/>
      <c r="D8" s="233"/>
      <c r="E8" s="229"/>
      <c r="F8" s="522"/>
      <c r="G8" s="233"/>
      <c r="H8" s="235"/>
      <c r="I8" s="233"/>
      <c r="J8" s="233"/>
      <c r="K8" s="233"/>
      <c r="L8" s="233"/>
      <c r="M8" s="471"/>
      <c r="N8" s="239" t="n">
        <v>1.03</v>
      </c>
      <c r="O8" s="239" t="n">
        <v>1.05</v>
      </c>
      <c r="P8" s="239" t="n">
        <v>1.02</v>
      </c>
      <c r="Q8" s="239" t="n">
        <v>1.02</v>
      </c>
      <c r="R8" s="239" t="n">
        <v>1.04</v>
      </c>
      <c r="S8" s="234" t="s">
        <v>53</v>
      </c>
      <c r="T8" s="233"/>
      <c r="U8" s="233"/>
      <c r="V8" s="233"/>
      <c r="W8" s="229"/>
      <c r="X8" s="229"/>
      <c r="Y8" s="229"/>
      <c r="Z8" s="233"/>
      <c r="AA8" s="77"/>
      <c r="AB8" s="80"/>
      <c r="AC8" s="233"/>
      <c r="AD8" s="229"/>
      <c r="AE8" s="233"/>
      <c r="AF8" s="233"/>
      <c r="AG8" s="233"/>
      <c r="AH8" s="525"/>
      <c r="AI8" s="224"/>
      <c r="AJ8" s="350"/>
      <c r="AK8" s="68"/>
      <c r="AL8" s="68"/>
      <c r="AM8" s="427"/>
      <c r="AN8" s="427" t="s">
        <v>67</v>
      </c>
      <c r="AO8" s="548"/>
      <c r="AQ8" s="427" t="s">
        <v>67</v>
      </c>
    </row>
    <row r="9" customFormat="false" ht="12.95" hidden="false" customHeight="true" outlineLevel="0" collapsed="false">
      <c r="A9" s="173" t="s">
        <v>74</v>
      </c>
      <c r="B9" s="609"/>
      <c r="C9" s="610"/>
      <c r="D9" s="611"/>
      <c r="E9" s="611"/>
      <c r="F9" s="612" t="n">
        <f aca="false">AUG!F47</f>
        <v>-15836.6523821528</v>
      </c>
      <c r="G9" s="611" t="n">
        <f aca="false">AUG!G47</f>
        <v>78347</v>
      </c>
      <c r="H9" s="611" t="n">
        <f aca="false">AUG!H47</f>
        <v>1002.02</v>
      </c>
      <c r="I9" s="611" t="n">
        <f aca="false">AUG!I47</f>
        <v>79349.02</v>
      </c>
      <c r="J9" s="611" t="n">
        <f aca="false">AUG!J47</f>
        <v>4268.01579092513</v>
      </c>
      <c r="K9" s="611" t="n">
        <f aca="false">AUG!K47</f>
        <v>83617.0357909251</v>
      </c>
      <c r="L9" s="611" t="n">
        <f aca="false">AUG!L47</f>
        <v>-3782.53678215276</v>
      </c>
      <c r="M9" s="613" t="n">
        <f aca="false">AUG!M47</f>
        <v>34210</v>
      </c>
      <c r="N9" s="611" t="n">
        <f aca="false">AUG!N47</f>
        <v>288.100512</v>
      </c>
      <c r="O9" s="611" t="n">
        <f aca="false">AUG!O47</f>
        <v>11483.9025</v>
      </c>
      <c r="P9" s="611" t="n">
        <f aca="false">AUG!P47</f>
        <v>2.2644</v>
      </c>
      <c r="Q9" s="614"/>
      <c r="R9" s="614"/>
      <c r="S9" s="615"/>
      <c r="T9" s="611" t="n">
        <f aca="false">AUG!T47</f>
        <v>16955</v>
      </c>
      <c r="U9" s="611" t="n">
        <f aca="false">AUG!U47</f>
        <v>9514.8</v>
      </c>
      <c r="V9" s="611" t="n">
        <f aca="false">AUG!V47</f>
        <v>48458.092388</v>
      </c>
      <c r="W9" s="611" t="n">
        <f aca="false">AUG!W42</f>
        <v>0.0488089425817009</v>
      </c>
      <c r="X9" s="611" t="n">
        <f aca="false">AUG!X42</f>
        <v>1592.65380533573</v>
      </c>
      <c r="Y9" s="611" t="n">
        <f aca="false">AUG!Y39</f>
        <v>0</v>
      </c>
      <c r="Z9" s="611" t="n">
        <f aca="false">AUG!Z47</f>
        <v>21547.6</v>
      </c>
      <c r="AA9" s="611" t="n">
        <f aca="false">AUG!AA47</f>
        <v>260.1</v>
      </c>
      <c r="AB9" s="611" t="n">
        <f aca="false">AUG!AB47</f>
        <v>198.9</v>
      </c>
      <c r="AC9" s="611"/>
      <c r="AD9" s="611"/>
      <c r="AE9" s="611" t="n">
        <f aca="false">AUG!AE47</f>
        <v>91403.1356</v>
      </c>
      <c r="AF9" s="611" t="n">
        <f aca="false">AUG!AF47</f>
        <v>8050.55257307789</v>
      </c>
      <c r="AG9" s="611" t="n">
        <f aca="false">AUG!AG47</f>
        <v>99453.6881730779</v>
      </c>
      <c r="AH9" s="616"/>
      <c r="AI9" s="617"/>
      <c r="AJ9" s="618"/>
      <c r="AK9" s="617"/>
      <c r="AL9" s="243"/>
      <c r="AM9" s="246"/>
      <c r="AN9" s="366" t="n">
        <f aca="false">AUG!AN48</f>
        <v>920.742726584991</v>
      </c>
      <c r="AO9" s="243" t="n">
        <f aca="false">AUG!AO47</f>
        <v>995.07</v>
      </c>
      <c r="AP9" s="243" t="n">
        <f aca="false">AUG!AP47</f>
        <v>0</v>
      </c>
      <c r="AQ9" s="243"/>
    </row>
    <row r="10" s="157" customFormat="true" ht="12.95" hidden="false" customHeight="true" outlineLevel="0" collapsed="false">
      <c r="A10" s="250" t="s">
        <v>75</v>
      </c>
      <c r="B10" s="619" t="n">
        <f aca="false">AUG!B42</f>
        <v>6893.26</v>
      </c>
      <c r="C10" s="611" t="n">
        <f aca="false">AUG!C42</f>
        <v>259378</v>
      </c>
      <c r="D10" s="611" t="n">
        <f aca="false">AUG!D51</f>
        <v>-39996</v>
      </c>
      <c r="E10" s="611" t="n">
        <f aca="false">AUG!E51</f>
        <v>107378</v>
      </c>
      <c r="F10" s="612" t="n">
        <f aca="false">AUG!F50</f>
        <v>-20164.3559364759</v>
      </c>
      <c r="G10" s="611" t="n">
        <f aca="false">AUG!G50</f>
        <v>85999</v>
      </c>
      <c r="H10" s="611" t="n">
        <f aca="false">AUG!H50</f>
        <v>1224.843</v>
      </c>
      <c r="I10" s="611" t="n">
        <f aca="false">AUG!I50</f>
        <v>87223.843</v>
      </c>
      <c r="J10" s="611" t="n">
        <f aca="false">AUG!J50</f>
        <v>5800.20417509453</v>
      </c>
      <c r="K10" s="611" t="n">
        <f aca="false">AUG!K50</f>
        <v>93024.0471750945</v>
      </c>
      <c r="L10" s="611" t="n">
        <f aca="false">AUG!L50</f>
        <v>-3468.05333647593</v>
      </c>
      <c r="M10" s="613" t="n">
        <f aca="false">AUG!M50</f>
        <v>35502.6</v>
      </c>
      <c r="N10" s="611" t="n">
        <f aca="false">AUG!N50</f>
        <v>288.100512</v>
      </c>
      <c r="O10" s="611" t="n">
        <f aca="false">AUG!O50</f>
        <v>11483.9025</v>
      </c>
      <c r="P10" s="611"/>
      <c r="Q10" s="617" t="n">
        <f aca="false">AUG!Q50</f>
        <v>575.4636</v>
      </c>
      <c r="R10" s="617" t="n">
        <f aca="false">AUG!R50</f>
        <v>1034.3548</v>
      </c>
      <c r="S10" s="620" t="n">
        <f aca="false">AUG!S50</f>
        <v>453.23</v>
      </c>
      <c r="T10" s="611" t="n">
        <f aca="false">AUG!T50</f>
        <v>24136.94</v>
      </c>
      <c r="U10" s="611" t="n">
        <f aca="false">AUG!U50</f>
        <v>9666.27</v>
      </c>
      <c r="V10" s="611" t="n">
        <f aca="false">AUG!V50</f>
        <v>56345.994188</v>
      </c>
      <c r="W10" s="611"/>
      <c r="X10" s="611" t="n">
        <f aca="false">AUG!X50</f>
        <v>0</v>
      </c>
      <c r="Y10" s="611"/>
      <c r="Z10" s="611" t="n">
        <f aca="false">AUG!Z50</f>
        <v>0</v>
      </c>
      <c r="AA10" s="97"/>
      <c r="AB10" s="95"/>
      <c r="AC10" s="611" t="n">
        <f aca="false">AUG!AC50</f>
        <v>13069</v>
      </c>
      <c r="AD10" s="611" t="n">
        <f aca="false">AUG!AD50</f>
        <v>6853.25787748929</v>
      </c>
      <c r="AE10" s="611" t="n">
        <f aca="false">AUG!AE50</f>
        <v>103920.1456</v>
      </c>
      <c r="AF10" s="611" t="n">
        <f aca="false">AUG!AF50</f>
        <v>9268.25751157046</v>
      </c>
      <c r="AG10" s="611" t="n">
        <f aca="false">AUG!AG50</f>
        <v>113188.40311157</v>
      </c>
      <c r="AH10" s="616" t="n">
        <f aca="false">AUG!AH50</f>
        <v>10.88</v>
      </c>
      <c r="AI10" s="617"/>
      <c r="AJ10" s="618"/>
      <c r="AK10" s="243" t="n">
        <f aca="false">AUG!AK51</f>
        <v>15698.7543455</v>
      </c>
      <c r="AL10" s="243" t="n">
        <f aca="false">AUG!AL50</f>
        <v>236.546271401</v>
      </c>
      <c r="AM10" s="246"/>
      <c r="AN10" s="366" t="n">
        <f aca="false">AUG!AN51</f>
        <v>920.742726584991</v>
      </c>
      <c r="AO10" s="617" t="n">
        <f aca="false">AUG!AO50</f>
        <v>0</v>
      </c>
      <c r="AP10" s="617" t="n">
        <f aca="false">AUG!AP50</f>
        <v>0</v>
      </c>
      <c r="AQ10" s="243" t="n">
        <f aca="false">AUG!AQ45</f>
        <v>1785.15</v>
      </c>
    </row>
    <row r="11" customFormat="false" ht="3" hidden="false" customHeight="true" outlineLevel="0" collapsed="false">
      <c r="A11" s="252"/>
      <c r="B11" s="621"/>
      <c r="C11" s="622"/>
      <c r="D11" s="537"/>
      <c r="E11" s="622"/>
      <c r="F11" s="623"/>
      <c r="G11" s="537"/>
      <c r="H11" s="624"/>
      <c r="I11" s="537"/>
      <c r="J11" s="537"/>
      <c r="K11" s="537"/>
      <c r="L11" s="537"/>
      <c r="M11" s="625"/>
      <c r="N11" s="537"/>
      <c r="O11" s="537"/>
      <c r="P11" s="537"/>
      <c r="Q11" s="539"/>
      <c r="R11" s="539"/>
      <c r="S11" s="626"/>
      <c r="T11" s="537"/>
      <c r="U11" s="537"/>
      <c r="V11" s="537"/>
      <c r="W11" s="622"/>
      <c r="X11" s="622"/>
      <c r="Y11" s="622"/>
      <c r="Z11" s="537"/>
      <c r="AA11" s="115"/>
      <c r="AB11" s="113"/>
      <c r="AC11" s="537"/>
      <c r="AD11" s="622"/>
      <c r="AE11" s="537"/>
      <c r="AF11" s="537"/>
      <c r="AG11" s="537"/>
      <c r="AH11" s="627"/>
      <c r="AI11" s="540" t="n">
        <v>0</v>
      </c>
      <c r="AJ11" s="628"/>
      <c r="AK11" s="540"/>
      <c r="AL11" s="262"/>
      <c r="AM11" s="260"/>
      <c r="AN11" s="475" t="s">
        <v>126</v>
      </c>
      <c r="AO11" s="475" t="s">
        <v>126</v>
      </c>
      <c r="AP11" s="475" t="s">
        <v>126</v>
      </c>
      <c r="AQ11" s="475" t="s">
        <v>126</v>
      </c>
    </row>
    <row r="12" customFormat="false" ht="12.95" hidden="false" customHeight="true" outlineLevel="0" collapsed="false">
      <c r="A12" s="172" t="n">
        <v>1</v>
      </c>
      <c r="B12" s="619" t="n">
        <v>6892.94</v>
      </c>
      <c r="C12" s="611" t="n">
        <v>258261</v>
      </c>
      <c r="D12" s="617" t="n">
        <f aca="false">C12-C10</f>
        <v>-1117</v>
      </c>
      <c r="E12" s="611" t="n">
        <f aca="false">C12-151978</f>
        <v>106283</v>
      </c>
      <c r="F12" s="629" t="n">
        <f aca="false">D12/$D$2</f>
        <v>-563.145954121502</v>
      </c>
      <c r="G12" s="630" t="n">
        <v>168</v>
      </c>
      <c r="H12" s="631" t="n">
        <v>0</v>
      </c>
      <c r="I12" s="630" t="n">
        <f aca="false">G12+H12</f>
        <v>168</v>
      </c>
      <c r="J12" s="632" t="n">
        <f aca="false">IF(L12&gt;0,L12,0)</f>
        <v>0</v>
      </c>
      <c r="K12" s="630" t="n">
        <f aca="false">I12+J12</f>
        <v>168</v>
      </c>
      <c r="L12" s="630" t="n">
        <f aca="false">F12-(I12-AE12)</f>
        <v>-116.145954121502</v>
      </c>
      <c r="M12" s="633" t="n">
        <v>176</v>
      </c>
      <c r="N12" s="126" t="n">
        <f aca="false">1.8299*1.03</f>
        <v>1.884797</v>
      </c>
      <c r="O12" s="630" t="n">
        <f aca="false">(24.06+24.73)*1.05</f>
        <v>51.2295</v>
      </c>
      <c r="P12" s="630"/>
      <c r="Q12" s="196" t="n">
        <f aca="false">1.85*1.02</f>
        <v>1.887</v>
      </c>
      <c r="R12" s="634" t="n">
        <v>4.2</v>
      </c>
      <c r="S12" s="635" t="n">
        <v>1.71</v>
      </c>
      <c r="T12" s="630" t="n">
        <v>109</v>
      </c>
      <c r="U12" s="630" t="n">
        <v>74</v>
      </c>
      <c r="V12" s="630" t="n">
        <f aca="false">M12-N12-O12-Q12-R12-S12+T12+U12+50</f>
        <v>348.088703</v>
      </c>
      <c r="W12" s="611" t="n">
        <f aca="false">W9</f>
        <v>0.0488089425817009</v>
      </c>
      <c r="X12" s="105" t="n">
        <f aca="false">X9-(V12-I12)-Q12-R12-AA12-(AN12/1.9835)</f>
        <v>1404.23712622125</v>
      </c>
      <c r="Y12" s="611" t="n">
        <f aca="false">Y9</f>
        <v>0</v>
      </c>
      <c r="Z12" s="630" t="n">
        <v>203</v>
      </c>
      <c r="AA12" s="129" t="n">
        <v>1.7</v>
      </c>
      <c r="AB12" s="130" t="n">
        <v>1.3</v>
      </c>
      <c r="AC12" s="630" t="n">
        <v>53</v>
      </c>
      <c r="AD12" s="611" t="n">
        <f aca="false">AD10-AC12</f>
        <v>6800.25787748929</v>
      </c>
      <c r="AE12" s="636" t="n">
        <f aca="false">N12+O12+Q12+R12+S12+V12+Z12+AC12-50</f>
        <v>615</v>
      </c>
      <c r="AF12" s="630" t="n">
        <f aca="false">IF(L12&lt;0,L12*-1,0)</f>
        <v>116.145954121502</v>
      </c>
      <c r="AG12" s="630" t="n">
        <f aca="false">AE12+AF12</f>
        <v>731.145954121502</v>
      </c>
      <c r="AH12" s="616" t="n">
        <v>0</v>
      </c>
      <c r="AI12" s="617" t="n">
        <v>79</v>
      </c>
      <c r="AJ12" s="618" t="n">
        <v>50</v>
      </c>
      <c r="AK12" s="617" t="n">
        <f aca="false">AK10</f>
        <v>15698.7543455</v>
      </c>
      <c r="AL12" s="243"/>
      <c r="AM12" s="246"/>
      <c r="AN12" s="366" t="n">
        <f aca="false">36.1*(W9*1.9835+X9*1.9835+Y9*1.9835)/E12</f>
        <v>1.07302612307424</v>
      </c>
      <c r="AO12" s="105"/>
      <c r="AQ12" s="347" t="n">
        <f aca="false">AQ10+(50*1.9835)</f>
        <v>1884.325</v>
      </c>
    </row>
    <row r="13" customFormat="false" ht="12.95" hidden="false" customHeight="true" outlineLevel="0" collapsed="false">
      <c r="A13" s="172" t="n">
        <v>2</v>
      </c>
      <c r="B13" s="619" t="n">
        <v>6892.63</v>
      </c>
      <c r="C13" s="611" t="n">
        <v>257187</v>
      </c>
      <c r="D13" s="617" t="n">
        <f aca="false">C13-C12</f>
        <v>-1074</v>
      </c>
      <c r="E13" s="611" t="n">
        <f aca="false">C13-151978</f>
        <v>105209</v>
      </c>
      <c r="F13" s="629" t="n">
        <f aca="false">D13/$D$2</f>
        <v>-541.467103604739</v>
      </c>
      <c r="G13" s="630" t="n">
        <v>150</v>
      </c>
      <c r="H13" s="631" t="n">
        <v>0</v>
      </c>
      <c r="I13" s="630" t="n">
        <f aca="false">G13+H13</f>
        <v>150</v>
      </c>
      <c r="J13" s="632" t="n">
        <f aca="false">IF(L13&gt;0,L13,0)</f>
        <v>0</v>
      </c>
      <c r="K13" s="630" t="n">
        <f aca="false">I13+J13</f>
        <v>150</v>
      </c>
      <c r="L13" s="630" t="n">
        <f aca="false">F13-(I13-AE13)</f>
        <v>-83.4671036047391</v>
      </c>
      <c r="M13" s="633" t="n">
        <v>207</v>
      </c>
      <c r="N13" s="126" t="n">
        <f aca="false">1.8299*1.03</f>
        <v>1.884797</v>
      </c>
      <c r="O13" s="630" t="n">
        <f aca="false">(30.48+32.63)*1.05</f>
        <v>66.2655</v>
      </c>
      <c r="P13" s="630"/>
      <c r="Q13" s="196" t="n">
        <f aca="false">1.85*1.02</f>
        <v>1.887</v>
      </c>
      <c r="R13" s="634" t="n">
        <v>4.2</v>
      </c>
      <c r="S13" s="635" t="n">
        <v>0.72</v>
      </c>
      <c r="T13" s="630" t="n">
        <v>105</v>
      </c>
      <c r="U13" s="630" t="n">
        <v>74</v>
      </c>
      <c r="V13" s="630" t="n">
        <f aca="false">M13-N13-O13-Q13-R13-S13+T13+U13+50</f>
        <v>361.042703</v>
      </c>
      <c r="W13" s="611" t="n">
        <f aca="false">W12</f>
        <v>0.0488089425817009</v>
      </c>
      <c r="X13" s="105" t="n">
        <f aca="false">X12-(V13-I13)-Q13-R13-AA13-(AN13/1.9835)</f>
        <v>1184.9255754491</v>
      </c>
      <c r="Y13" s="611" t="n">
        <f aca="false">Y12</f>
        <v>0</v>
      </c>
      <c r="Z13" s="630" t="n">
        <v>171</v>
      </c>
      <c r="AA13" s="129" t="n">
        <v>1.7</v>
      </c>
      <c r="AB13" s="130" t="n">
        <v>1.3</v>
      </c>
      <c r="AC13" s="630" t="n">
        <v>51</v>
      </c>
      <c r="AD13" s="611" t="n">
        <f aca="false">AD12-AC13</f>
        <v>6749.25787748929</v>
      </c>
      <c r="AE13" s="636" t="n">
        <f aca="false">N13+O13+Q13+R13+S13+V13+Z13+AC13-50</f>
        <v>608</v>
      </c>
      <c r="AF13" s="630" t="n">
        <f aca="false">IF(L13&lt;0,L13*-1,0)</f>
        <v>83.4671036047391</v>
      </c>
      <c r="AG13" s="630" t="n">
        <f aca="false">AE13+AF13</f>
        <v>691.467103604739</v>
      </c>
      <c r="AH13" s="616" t="n">
        <v>0</v>
      </c>
      <c r="AI13" s="617" t="n">
        <v>77</v>
      </c>
      <c r="AJ13" s="618" t="n">
        <v>51</v>
      </c>
      <c r="AK13" s="617" t="n">
        <f aca="false">AK12</f>
        <v>15698.7543455</v>
      </c>
      <c r="AL13" s="243"/>
      <c r="AM13" s="246"/>
      <c r="AN13" s="366" t="n">
        <f aca="false">36.1*(W12*1.9835+X12*1.9835+Y12*1.9835)/E13</f>
        <v>0.955745056046043</v>
      </c>
      <c r="AO13" s="105"/>
      <c r="AQ13" s="347" t="n">
        <f aca="false">AQ12+(50*1.9835)</f>
        <v>1983.5</v>
      </c>
    </row>
    <row r="14" customFormat="false" ht="12.95" hidden="false" customHeight="true" outlineLevel="0" collapsed="false">
      <c r="A14" s="172" t="n">
        <v>3</v>
      </c>
      <c r="B14" s="619" t="n">
        <v>6892.4</v>
      </c>
      <c r="C14" s="611" t="n">
        <v>256389</v>
      </c>
      <c r="D14" s="617" t="n">
        <f aca="false">C14-C13</f>
        <v>-798</v>
      </c>
      <c r="E14" s="611" t="n">
        <f aca="false">C14-151978</f>
        <v>104411</v>
      </c>
      <c r="F14" s="629" t="n">
        <f aca="false">D14/$D$2</f>
        <v>-402.319132845979</v>
      </c>
      <c r="G14" s="630" t="n">
        <v>155</v>
      </c>
      <c r="H14" s="631" t="n">
        <v>0</v>
      </c>
      <c r="I14" s="630" t="n">
        <f aca="false">G14+H14</f>
        <v>155</v>
      </c>
      <c r="J14" s="632" t="n">
        <f aca="false">IF(L14&gt;0,L14,0)</f>
        <v>0</v>
      </c>
      <c r="K14" s="630" t="n">
        <f aca="false">I14+J14</f>
        <v>155</v>
      </c>
      <c r="L14" s="630" t="n">
        <f aca="false">F14-(I14-AE14)</f>
        <v>-28.3191328459793</v>
      </c>
      <c r="M14" s="633" t="n">
        <v>187</v>
      </c>
      <c r="N14" s="126" t="n">
        <f aca="false">1.8299*1.03</f>
        <v>1.884797</v>
      </c>
      <c r="O14" s="630" t="n">
        <f aca="false">(29.46+30.36)*1.05</f>
        <v>62.811</v>
      </c>
      <c r="P14" s="630"/>
      <c r="Q14" s="196" t="n">
        <f aca="false">1.85*1.02</f>
        <v>1.887</v>
      </c>
      <c r="R14" s="634" t="n">
        <v>4.2</v>
      </c>
      <c r="S14" s="635" t="n">
        <v>3.4</v>
      </c>
      <c r="T14" s="630" t="n">
        <v>105</v>
      </c>
      <c r="U14" s="630" t="n">
        <v>74</v>
      </c>
      <c r="V14" s="630" t="n">
        <f aca="false">M14-N14-O14-Q14-R14-S14+T14+U14+50</f>
        <v>341.817203</v>
      </c>
      <c r="W14" s="611" t="n">
        <f aca="false">W13</f>
        <v>0.0488089425817009</v>
      </c>
      <c r="X14" s="105" t="n">
        <f aca="false">X13-(V14-I14)-Q14-R14-AA14-(AN14/1.9835)</f>
        <v>989.911668727499</v>
      </c>
      <c r="Y14" s="611" t="n">
        <f aca="false">Y13</f>
        <v>0</v>
      </c>
      <c r="Z14" s="630" t="n">
        <v>113</v>
      </c>
      <c r="AA14" s="129" t="n">
        <v>1.7</v>
      </c>
      <c r="AB14" s="130" t="n">
        <v>1.3</v>
      </c>
      <c r="AC14" s="630" t="n">
        <v>50</v>
      </c>
      <c r="AD14" s="611" t="n">
        <f aca="false">AD13-AC14</f>
        <v>6699.25787748929</v>
      </c>
      <c r="AE14" s="636" t="n">
        <f aca="false">N14+O14+Q14+R14+S14+V14+Z14+AC14-50</f>
        <v>529</v>
      </c>
      <c r="AF14" s="630" t="n">
        <f aca="false">IF(L14&lt;0,L14*-1,0)</f>
        <v>28.3191328459793</v>
      </c>
      <c r="AG14" s="630" t="n">
        <f aca="false">AE14+AF14</f>
        <v>557.319132845979</v>
      </c>
      <c r="AH14" s="616" t="n">
        <v>0</v>
      </c>
      <c r="AI14" s="617" t="n">
        <v>77</v>
      </c>
      <c r="AJ14" s="618" t="n">
        <v>46</v>
      </c>
      <c r="AK14" s="617" t="n">
        <f aca="false">AK13</f>
        <v>15698.7543455</v>
      </c>
      <c r="AL14" s="243"/>
      <c r="AM14" s="246"/>
      <c r="AN14" s="366" t="n">
        <f aca="false">36.1*(W13*1.9835+X13*1.9835+Y13*1.9835)/E14</f>
        <v>0.812647331804282</v>
      </c>
      <c r="AO14" s="105"/>
      <c r="AQ14" s="347" t="n">
        <f aca="false">AQ13+(50*1.9835)</f>
        <v>2082.675</v>
      </c>
    </row>
    <row r="15" customFormat="false" ht="12.95" hidden="false" customHeight="true" outlineLevel="0" collapsed="false">
      <c r="A15" s="172" t="n">
        <v>4</v>
      </c>
      <c r="B15" s="619" t="n">
        <v>6892.16</v>
      </c>
      <c r="C15" s="611" t="n">
        <v>255557</v>
      </c>
      <c r="D15" s="617" t="n">
        <f aca="false">C15-C14</f>
        <v>-832</v>
      </c>
      <c r="E15" s="611" t="n">
        <f aca="false">C15-151978</f>
        <v>103579</v>
      </c>
      <c r="F15" s="629" t="n">
        <f aca="false">D15/$D$2</f>
        <v>-419.460549533653</v>
      </c>
      <c r="G15" s="630" t="n">
        <v>142</v>
      </c>
      <c r="H15" s="631" t="n">
        <v>0</v>
      </c>
      <c r="I15" s="630" t="n">
        <f aca="false">G15+H15</f>
        <v>142</v>
      </c>
      <c r="J15" s="632" t="n">
        <f aca="false">IF(L15&gt;0,L15,0)</f>
        <v>19.5394504663474</v>
      </c>
      <c r="K15" s="630" t="n">
        <f aca="false">I15+J15</f>
        <v>161.539450466347</v>
      </c>
      <c r="L15" s="630" t="n">
        <f aca="false">F15-(I15-AE15)</f>
        <v>19.5394504663474</v>
      </c>
      <c r="M15" s="633" t="n">
        <v>184</v>
      </c>
      <c r="N15" s="126" t="n">
        <f aca="false">1.8299*1.03</f>
        <v>1.884797</v>
      </c>
      <c r="O15" s="630" t="n">
        <f aca="false">(31.41+32.31)*1.05</f>
        <v>66.906</v>
      </c>
      <c r="P15" s="630"/>
      <c r="Q15" s="196" t="n">
        <f aca="false">1.85*1.02</f>
        <v>1.887</v>
      </c>
      <c r="R15" s="634" t="n">
        <v>4.2</v>
      </c>
      <c r="S15" s="635" t="n">
        <v>1.99</v>
      </c>
      <c r="T15" s="630" t="n">
        <v>105</v>
      </c>
      <c r="U15" s="630" t="n">
        <v>75</v>
      </c>
      <c r="V15" s="630" t="n">
        <f aca="false">M15-N15-O15-Q15-R15-S15+T15+U15+50</f>
        <v>337.132203</v>
      </c>
      <c r="W15" s="611" t="n">
        <f aca="false">W14</f>
        <v>0.0488089425817009</v>
      </c>
      <c r="X15" s="105" t="n">
        <f aca="false">X14-(V15-I15)-Q15-R15-AA15-(AN15/1.9835)</f>
        <v>786.647438518857</v>
      </c>
      <c r="Y15" s="611" t="n">
        <f aca="false">Y14</f>
        <v>0</v>
      </c>
      <c r="Z15" s="630" t="n">
        <v>167</v>
      </c>
      <c r="AA15" s="129" t="n">
        <v>1.7</v>
      </c>
      <c r="AB15" s="130" t="n">
        <v>1.3</v>
      </c>
      <c r="AC15" s="630" t="n">
        <v>50</v>
      </c>
      <c r="AD15" s="611" t="n">
        <f aca="false">AD14-AC15</f>
        <v>6649.25787748929</v>
      </c>
      <c r="AE15" s="636" t="n">
        <f aca="false">N15+O15+Q15+R15+S15+V15+Z15+AC15-50</f>
        <v>581</v>
      </c>
      <c r="AF15" s="630" t="n">
        <f aca="false">IF(L15&lt;0,L15*-1,0)</f>
        <v>0</v>
      </c>
      <c r="AG15" s="630" t="n">
        <f aca="false">AE15+AF15</f>
        <v>581</v>
      </c>
      <c r="AH15" s="616" t="n">
        <v>0</v>
      </c>
      <c r="AI15" s="617" t="n">
        <v>79</v>
      </c>
      <c r="AJ15" s="618" t="n">
        <v>49</v>
      </c>
      <c r="AK15" s="617" t="n">
        <f aca="false">AK14</f>
        <v>15698.7543455</v>
      </c>
      <c r="AL15" s="243"/>
      <c r="AM15" s="246"/>
      <c r="AN15" s="366" t="n">
        <f aca="false">36.1*(W14*1.9835+X14*1.9835+Y14*1.9835)/E15</f>
        <v>0.684361468340645</v>
      </c>
      <c r="AO15" s="105"/>
      <c r="AQ15" s="347" t="n">
        <f aca="false">AQ14+(50*1.9835)</f>
        <v>2181.85</v>
      </c>
    </row>
    <row r="16" customFormat="false" ht="12.95" hidden="false" customHeight="true" outlineLevel="0" collapsed="false">
      <c r="A16" s="172" t="n">
        <v>5</v>
      </c>
      <c r="B16" s="619" t="n">
        <v>6891.85</v>
      </c>
      <c r="C16" s="611" t="n">
        <v>254488</v>
      </c>
      <c r="D16" s="617" t="n">
        <f aca="false">C16-C15</f>
        <v>-1069</v>
      </c>
      <c r="E16" s="611" t="n">
        <f aca="false">C16-151978</f>
        <v>102510</v>
      </c>
      <c r="F16" s="629" t="n">
        <f aca="false">D16/$D$2</f>
        <v>-538.946307033022</v>
      </c>
      <c r="G16" s="630" t="n">
        <v>134</v>
      </c>
      <c r="H16" s="631" t="n">
        <v>0</v>
      </c>
      <c r="I16" s="630" t="n">
        <f aca="false">G16+H16</f>
        <v>134</v>
      </c>
      <c r="J16" s="632" t="n">
        <f aca="false">IF(L16&gt;0,L16,0)</f>
        <v>0</v>
      </c>
      <c r="K16" s="630" t="n">
        <f aca="false">I16+J16</f>
        <v>134</v>
      </c>
      <c r="L16" s="630" t="n">
        <f aca="false">F16-(I16-AE16)</f>
        <v>-184.946307033022</v>
      </c>
      <c r="M16" s="633" t="n">
        <v>187</v>
      </c>
      <c r="N16" s="126" t="n">
        <f aca="false">1.8299*1.03</f>
        <v>1.884797</v>
      </c>
      <c r="O16" s="630" t="n">
        <f aca="false">(29.62+30.59)*1.05</f>
        <v>63.2205</v>
      </c>
      <c r="P16" s="630"/>
      <c r="Q16" s="196" t="n">
        <f aca="false">1.85*1.02</f>
        <v>1.887</v>
      </c>
      <c r="R16" s="634" t="n">
        <v>4.2</v>
      </c>
      <c r="S16" s="635" t="n">
        <v>0.67</v>
      </c>
      <c r="T16" s="630" t="n">
        <v>11</v>
      </c>
      <c r="U16" s="630" t="n">
        <v>75</v>
      </c>
      <c r="V16" s="630" t="n">
        <f aca="false">M16-N16-O16-Q16-R16-S16+T16+U16+50</f>
        <v>251.137703</v>
      </c>
      <c r="W16" s="611" t="n">
        <f aca="false">W15</f>
        <v>0.0488089425817009</v>
      </c>
      <c r="X16" s="105" t="n">
        <f aca="false">X15-(V16-I16)-Q16-R16-AA16-(AN16/1.9835)</f>
        <v>661.445691966683</v>
      </c>
      <c r="Y16" s="611" t="n">
        <f aca="false">Y15</f>
        <v>0</v>
      </c>
      <c r="Z16" s="630" t="n">
        <v>165</v>
      </c>
      <c r="AA16" s="129" t="n">
        <v>1.7</v>
      </c>
      <c r="AB16" s="130" t="n">
        <v>1.3</v>
      </c>
      <c r="AC16" s="630" t="n">
        <v>50</v>
      </c>
      <c r="AD16" s="611" t="n">
        <f aca="false">AD15-AC16</f>
        <v>6599.25787748929</v>
      </c>
      <c r="AE16" s="636" t="n">
        <f aca="false">N16+O16+Q16+R16+S16+V16+Z16+AC16-50</f>
        <v>488</v>
      </c>
      <c r="AF16" s="630" t="n">
        <f aca="false">IF(L16&lt;0,L16*-1,0)</f>
        <v>184.946307033022</v>
      </c>
      <c r="AG16" s="630" t="n">
        <f aca="false">AE16+AF16</f>
        <v>672.946307033022</v>
      </c>
      <c r="AH16" s="616" t="n">
        <v>0</v>
      </c>
      <c r="AI16" s="617" t="n">
        <v>80</v>
      </c>
      <c r="AJ16" s="618" t="n">
        <v>50</v>
      </c>
      <c r="AK16" s="617" t="n">
        <f aca="false">AK15</f>
        <v>15698.7543455</v>
      </c>
      <c r="AL16" s="243"/>
      <c r="AM16" s="246"/>
      <c r="AN16" s="366" t="n">
        <f aca="false">36.1*(W15*1.9835+X15*1.9835+Y15*1.9835)/E16</f>
        <v>0.549515885737153</v>
      </c>
      <c r="AO16" s="105"/>
      <c r="AQ16" s="347" t="n">
        <f aca="false">AQ15+(50*1.9835)</f>
        <v>2281.025</v>
      </c>
    </row>
    <row r="17" customFormat="false" ht="12.95" hidden="false" customHeight="true" outlineLevel="0" collapsed="false">
      <c r="A17" s="172" t="n">
        <v>6</v>
      </c>
      <c r="B17" s="619" t="n">
        <v>6891.54</v>
      </c>
      <c r="C17" s="611" t="n">
        <v>253423</v>
      </c>
      <c r="D17" s="617" t="n">
        <f aca="false">C17-C16</f>
        <v>-1065</v>
      </c>
      <c r="E17" s="611" t="n">
        <f aca="false">C17-151978</f>
        <v>101445</v>
      </c>
      <c r="F17" s="629" t="n">
        <f aca="false">D17/$D$2</f>
        <v>-536.929669775649</v>
      </c>
      <c r="G17" s="630" t="n">
        <v>130</v>
      </c>
      <c r="H17" s="631" t="n">
        <v>0</v>
      </c>
      <c r="I17" s="630" t="n">
        <f aca="false">G17+H17</f>
        <v>130</v>
      </c>
      <c r="J17" s="632" t="n">
        <f aca="false">IF(L17&gt;0,L17,0)</f>
        <v>0</v>
      </c>
      <c r="K17" s="630" t="n">
        <f aca="false">I17+J17</f>
        <v>130</v>
      </c>
      <c r="L17" s="630" t="n">
        <f aca="false">F17-(I17-AE17)</f>
        <v>-92.9296697756491</v>
      </c>
      <c r="M17" s="633" t="n">
        <v>181</v>
      </c>
      <c r="N17" s="126" t="n">
        <f aca="false">1.8299*1.03</f>
        <v>1.884797</v>
      </c>
      <c r="O17" s="630" t="n">
        <f aca="false">(29.77+31.63)*1.05</f>
        <v>64.47</v>
      </c>
      <c r="P17" s="630"/>
      <c r="Q17" s="196" t="n">
        <f aca="false">1.85*1.02</f>
        <v>1.887</v>
      </c>
      <c r="R17" s="634" t="n">
        <v>4.2</v>
      </c>
      <c r="S17" s="635" t="n">
        <v>0.34</v>
      </c>
      <c r="T17" s="630" t="n">
        <v>112</v>
      </c>
      <c r="U17" s="630" t="n">
        <v>75</v>
      </c>
      <c r="V17" s="630" t="n">
        <f aca="false">M17-N17-O17-Q17-R17-S17+T17+U17+50</f>
        <v>345.218203</v>
      </c>
      <c r="W17" s="611" t="n">
        <f aca="false">W16</f>
        <v>0.0488089425817009</v>
      </c>
      <c r="X17" s="265" t="n">
        <f aca="false">X16-(V17-I17)-Q17-R17-AA17-(AN17/1.9835)+76.1</f>
        <v>514.305090953151</v>
      </c>
      <c r="Y17" s="611" t="n">
        <f aca="false">Y16-76.1</f>
        <v>-76.1</v>
      </c>
      <c r="Z17" s="630" t="n">
        <v>157</v>
      </c>
      <c r="AA17" s="129" t="n">
        <v>1.7</v>
      </c>
      <c r="AB17" s="130" t="n">
        <v>1.3</v>
      </c>
      <c r="AC17" s="630" t="n">
        <v>49</v>
      </c>
      <c r="AD17" s="611" t="n">
        <f aca="false">AD16-AC17</f>
        <v>6550.25787748929</v>
      </c>
      <c r="AE17" s="636" t="n">
        <f aca="false">N17+O17+Q17+R17+S17+V17+Z17+AC17-50</f>
        <v>574</v>
      </c>
      <c r="AF17" s="630" t="n">
        <f aca="false">IF(L17&lt;0,L17*-1,0)</f>
        <v>92.9296697756491</v>
      </c>
      <c r="AG17" s="630" t="n">
        <f aca="false">AE17+AF17</f>
        <v>666.929669775649</v>
      </c>
      <c r="AH17" s="616" t="n">
        <v>0.02</v>
      </c>
      <c r="AI17" s="617" t="n">
        <v>77</v>
      </c>
      <c r="AJ17" s="618" t="n">
        <v>50</v>
      </c>
      <c r="AK17" s="617" t="n">
        <f aca="false">AK16</f>
        <v>15698.7543455</v>
      </c>
      <c r="AL17" s="243"/>
      <c r="AM17" s="246"/>
      <c r="AN17" s="366" t="n">
        <f aca="false">36.1*(W16*1.9835+X16*1.9835+Y16*1.9835)/E17</f>
        <v>0.466911959842105</v>
      </c>
      <c r="AO17" s="105"/>
      <c r="AQ17" s="347" t="n">
        <f aca="false">AQ16+(50*1.9835)</f>
        <v>2380.2</v>
      </c>
    </row>
    <row r="18" customFormat="false" ht="12.95" hidden="false" customHeight="true" outlineLevel="0" collapsed="false">
      <c r="A18" s="172" t="n">
        <v>7</v>
      </c>
      <c r="B18" s="619" t="n">
        <v>6891.33</v>
      </c>
      <c r="C18" s="611" t="n">
        <v>252702</v>
      </c>
      <c r="D18" s="617" t="n">
        <f aca="false">C18-C17</f>
        <v>-721</v>
      </c>
      <c r="E18" s="611" t="n">
        <f aca="false">C18-151978</f>
        <v>100724</v>
      </c>
      <c r="F18" s="629" t="n">
        <f aca="false">D18/$D$2</f>
        <v>-363.498865641543</v>
      </c>
      <c r="G18" s="630" t="n">
        <v>152</v>
      </c>
      <c r="H18" s="631" t="n">
        <v>0.01</v>
      </c>
      <c r="I18" s="630" t="n">
        <f aca="false">G18+H18</f>
        <v>152.01</v>
      </c>
      <c r="J18" s="632" t="n">
        <f aca="false">IF(L18&gt;0,L18,0)</f>
        <v>61.4911343584573</v>
      </c>
      <c r="K18" s="630" t="n">
        <f aca="false">I18+J18</f>
        <v>213.501134358457</v>
      </c>
      <c r="L18" s="630" t="n">
        <f aca="false">F18-(I18-AE18)</f>
        <v>61.4911343584573</v>
      </c>
      <c r="M18" s="633" t="n">
        <v>183</v>
      </c>
      <c r="N18" s="126" t="n">
        <f aca="false">1.8299*1.03</f>
        <v>1.884797</v>
      </c>
      <c r="O18" s="630" t="n">
        <f aca="false">(26.46+29.66)*1.05</f>
        <v>58.926</v>
      </c>
      <c r="P18" s="630"/>
      <c r="Q18" s="196" t="n">
        <f aca="false">1.85*1.02</f>
        <v>1.887</v>
      </c>
      <c r="R18" s="634" t="n">
        <v>4.2</v>
      </c>
      <c r="S18" s="635" t="n">
        <v>1.01</v>
      </c>
      <c r="T18" s="630" t="n">
        <v>112</v>
      </c>
      <c r="U18" s="630" t="n">
        <v>74</v>
      </c>
      <c r="V18" s="630" t="n">
        <f aca="false">M18-N18-O18-Q18-R18-S18+T18+U18+50</f>
        <v>351.092203</v>
      </c>
      <c r="W18" s="611" t="n">
        <f aca="false">W17</f>
        <v>0.0488089425817009</v>
      </c>
      <c r="X18" s="265" t="n">
        <f aca="false">X17-50</f>
        <v>464.305090953151</v>
      </c>
      <c r="Y18" s="611" t="n">
        <f aca="false">Y17-(V18-I18)-Q18-R18-AA18</f>
        <v>-282.969203</v>
      </c>
      <c r="Z18" s="630" t="n">
        <v>159</v>
      </c>
      <c r="AA18" s="129" t="n">
        <v>1.7</v>
      </c>
      <c r="AB18" s="130" t="n">
        <v>1.3</v>
      </c>
      <c r="AC18" s="630" t="n">
        <v>49</v>
      </c>
      <c r="AD18" s="611" t="n">
        <f aca="false">AD17-AC18</f>
        <v>6501.25787748929</v>
      </c>
      <c r="AE18" s="636" t="n">
        <f aca="false">N18+O18+Q18+R18+S18+V18+Z18+AC18-50</f>
        <v>577</v>
      </c>
      <c r="AF18" s="630" t="n">
        <f aca="false">IF(L18&lt;0,L18*-1,0)</f>
        <v>0</v>
      </c>
      <c r="AG18" s="630" t="n">
        <f aca="false">AE18+AF18</f>
        <v>577</v>
      </c>
      <c r="AH18" s="616" t="n">
        <v>0.39</v>
      </c>
      <c r="AI18" s="617" t="n">
        <v>69</v>
      </c>
      <c r="AJ18" s="618" t="n">
        <v>48</v>
      </c>
      <c r="AK18" s="617" t="n">
        <f aca="false">AK17</f>
        <v>15698.7543455</v>
      </c>
      <c r="AL18" s="243"/>
      <c r="AM18" s="246"/>
      <c r="AN18" s="366" t="n">
        <f aca="false">36.1*(W17*1.9835+X17*1.9835+Y17*1.9835)/E18</f>
        <v>0.31155321112147</v>
      </c>
      <c r="AO18" s="105"/>
      <c r="AQ18" s="347" t="n">
        <f aca="false">AQ17+(50*1.9835)</f>
        <v>2479.375</v>
      </c>
    </row>
    <row r="19" customFormat="false" ht="12.95" hidden="false" customHeight="true" outlineLevel="0" collapsed="false">
      <c r="A19" s="172" t="n">
        <v>8</v>
      </c>
      <c r="B19" s="619" t="n">
        <v>6891.23</v>
      </c>
      <c r="C19" s="611" t="n">
        <v>252359</v>
      </c>
      <c r="D19" s="617" t="n">
        <f aca="false">C19-C18</f>
        <v>-343</v>
      </c>
      <c r="E19" s="611" t="n">
        <f aca="false">C19-151978</f>
        <v>100381</v>
      </c>
      <c r="F19" s="629" t="n">
        <f aca="false">D19/$D$2</f>
        <v>-172.926644819763</v>
      </c>
      <c r="G19" s="630" t="n">
        <v>207</v>
      </c>
      <c r="H19" s="631" t="n">
        <v>0</v>
      </c>
      <c r="I19" s="630" t="n">
        <f aca="false">G19+H19</f>
        <v>207</v>
      </c>
      <c r="J19" s="632" t="n">
        <f aca="false">IF(L19&gt;0,L19,0)</f>
        <v>65.0733551802369</v>
      </c>
      <c r="K19" s="630" t="n">
        <f aca="false">I19+J19</f>
        <v>272.073355180237</v>
      </c>
      <c r="L19" s="630" t="n">
        <f aca="false">F19-(I19-AE19)</f>
        <v>65.0733551802369</v>
      </c>
      <c r="M19" s="633" t="n">
        <v>137</v>
      </c>
      <c r="N19" s="126" t="n">
        <f aca="false">1.8299*1.03</f>
        <v>1.884797</v>
      </c>
      <c r="O19" s="630" t="n">
        <f aca="false">(20.21+19.88)*1.05</f>
        <v>42.0945</v>
      </c>
      <c r="P19" s="630"/>
      <c r="Q19" s="196" t="n">
        <f aca="false">1.85*1.02</f>
        <v>1.887</v>
      </c>
      <c r="R19" s="634" t="n">
        <v>4.2</v>
      </c>
      <c r="S19" s="635" t="n">
        <v>2.54</v>
      </c>
      <c r="T19" s="630" t="n">
        <v>113</v>
      </c>
      <c r="U19" s="630" t="n">
        <v>73</v>
      </c>
      <c r="V19" s="630" t="n">
        <f aca="false">M19-N19-O19-Q19-R19-S19+T19+U19+42.1</f>
        <v>312.493703</v>
      </c>
      <c r="W19" s="611" t="n">
        <f aca="false">W18</f>
        <v>0.0488089425817009</v>
      </c>
      <c r="X19" s="265" t="n">
        <f aca="false">X18-42.1</f>
        <v>422.205090953151</v>
      </c>
      <c r="Y19" s="611" t="n">
        <f aca="false">Y18-(V19-I19)-Q19-R19-AA19</f>
        <v>-396.249906</v>
      </c>
      <c r="Z19" s="630" t="n">
        <v>73</v>
      </c>
      <c r="AA19" s="129" t="n">
        <v>1.7</v>
      </c>
      <c r="AB19" s="130" t="n">
        <v>1.3</v>
      </c>
      <c r="AC19" s="630" t="n">
        <v>49</v>
      </c>
      <c r="AD19" s="611" t="n">
        <f aca="false">AD18-AC19</f>
        <v>6452.25787748929</v>
      </c>
      <c r="AE19" s="636" t="n">
        <f aca="false">N19+O19+Q19+R19+S19+V19+Z19+AC19-42.1</f>
        <v>445</v>
      </c>
      <c r="AF19" s="630" t="n">
        <f aca="false">IF(L19&lt;0,L19*-1,0)</f>
        <v>0</v>
      </c>
      <c r="AG19" s="630" t="n">
        <f aca="false">AE19+AF19</f>
        <v>445</v>
      </c>
      <c r="AH19" s="616" t="n">
        <v>0.14</v>
      </c>
      <c r="AI19" s="617" t="n">
        <v>62</v>
      </c>
      <c r="AJ19" s="618" t="n">
        <v>49</v>
      </c>
      <c r="AK19" s="617" t="n">
        <f aca="false">AK18</f>
        <v>15698.7543455</v>
      </c>
      <c r="AL19" s="243"/>
      <c r="AM19" s="246"/>
      <c r="AN19" s="366" t="n">
        <f aca="false">36.1*(W18*1.9835+X18*1.9835+Y18*1.9835)/E19</f>
        <v>0.129386371137625</v>
      </c>
      <c r="AO19" s="105"/>
      <c r="AQ19" s="347" t="n">
        <f aca="false">AQ18+(42.1*1.9835)</f>
        <v>2562.88035</v>
      </c>
    </row>
    <row r="20" customFormat="false" ht="12.95" hidden="false" customHeight="true" outlineLevel="0" collapsed="false">
      <c r="A20" s="172" t="n">
        <v>9</v>
      </c>
      <c r="B20" s="619" t="n">
        <v>6891.11</v>
      </c>
      <c r="C20" s="611" t="n">
        <v>251947</v>
      </c>
      <c r="D20" s="617" t="n">
        <f aca="false">C20-C19</f>
        <v>-412</v>
      </c>
      <c r="E20" s="611" t="n">
        <f aca="false">C20-151978</f>
        <v>99969</v>
      </c>
      <c r="F20" s="629" t="n">
        <f aca="false">D20/$D$2</f>
        <v>-207.713637509453</v>
      </c>
      <c r="G20" s="630" t="n">
        <v>282</v>
      </c>
      <c r="H20" s="631" t="n">
        <v>0</v>
      </c>
      <c r="I20" s="630" t="n">
        <f aca="false">G20+H20</f>
        <v>282</v>
      </c>
      <c r="J20" s="632" t="n">
        <f aca="false">IF(L20&gt;0,L20,0)</f>
        <v>0</v>
      </c>
      <c r="K20" s="630" t="n">
        <f aca="false">I20+J20</f>
        <v>282</v>
      </c>
      <c r="L20" s="630" t="n">
        <f aca="false">F20-(I20-AE20)</f>
        <v>-15.713637509453</v>
      </c>
      <c r="M20" s="633" t="n">
        <v>136</v>
      </c>
      <c r="N20" s="126" t="n">
        <f aca="false">1.8299*1.03</f>
        <v>1.884797</v>
      </c>
      <c r="O20" s="630" t="n">
        <f aca="false">(25.74+24.3)*1.05</f>
        <v>52.542</v>
      </c>
      <c r="P20" s="630"/>
      <c r="Q20" s="196" t="n">
        <f aca="false">1.85*1.02</f>
        <v>1.887</v>
      </c>
      <c r="R20" s="634" t="n">
        <v>3.98</v>
      </c>
      <c r="S20" s="635" t="n">
        <v>0</v>
      </c>
      <c r="T20" s="630" t="n">
        <v>135</v>
      </c>
      <c r="U20" s="630" t="n">
        <v>69</v>
      </c>
      <c r="V20" s="630" t="n">
        <f aca="false">M20-N20-O20-Q20-R20-S20+T20+U20+50</f>
        <v>329.706203</v>
      </c>
      <c r="W20" s="611" t="n">
        <f aca="false">W19</f>
        <v>0.0488089425817009</v>
      </c>
      <c r="X20" s="265" t="n">
        <f aca="false">X19-50</f>
        <v>372.205090953151</v>
      </c>
      <c r="Y20" s="611" t="n">
        <f aca="false">Y19-(V20-I20)-Q20-R20-AA20</f>
        <v>-451.523109</v>
      </c>
      <c r="Z20" s="630" t="n">
        <v>85</v>
      </c>
      <c r="AA20" s="129" t="n">
        <v>1.7</v>
      </c>
      <c r="AB20" s="130" t="n">
        <v>1.3</v>
      </c>
      <c r="AC20" s="630" t="n">
        <v>49</v>
      </c>
      <c r="AD20" s="611" t="n">
        <f aca="false">AD19-AC20</f>
        <v>6403.25787748929</v>
      </c>
      <c r="AE20" s="636" t="n">
        <f aca="false">N20+O20+Q20+R20+S20+V20+Z20+AC20-50</f>
        <v>474</v>
      </c>
      <c r="AF20" s="630" t="n">
        <f aca="false">IF(L20&lt;0,L20*-1,0)</f>
        <v>15.713637509453</v>
      </c>
      <c r="AG20" s="630" t="n">
        <f aca="false">AE20+AF20</f>
        <v>489.713637509453</v>
      </c>
      <c r="AH20" s="616" t="n">
        <v>0.22</v>
      </c>
      <c r="AI20" s="617" t="n">
        <v>70</v>
      </c>
      <c r="AJ20" s="618" t="n">
        <v>43</v>
      </c>
      <c r="AK20" s="617" t="n">
        <f aca="false">AK19</f>
        <v>15698.7543455</v>
      </c>
      <c r="AL20" s="243"/>
      <c r="AM20" s="246"/>
      <c r="AN20" s="366" t="n">
        <f aca="false">36.1*(W19*1.9835+X19*1.9835+Y19*1.9835)/E20</f>
        <v>0.0186257647901639</v>
      </c>
      <c r="AO20" s="105"/>
      <c r="AQ20" s="347" t="n">
        <f aca="false">AQ19+(50*1.9835)</f>
        <v>2662.05535</v>
      </c>
    </row>
    <row r="21" customFormat="false" ht="12.95" hidden="false" customHeight="true" outlineLevel="0" collapsed="false">
      <c r="A21" s="172" t="n">
        <v>10</v>
      </c>
      <c r="B21" s="619" t="n">
        <v>6890.98</v>
      </c>
      <c r="C21" s="611" t="n">
        <v>251501</v>
      </c>
      <c r="D21" s="617" t="n">
        <f aca="false">C21-C20</f>
        <v>-446</v>
      </c>
      <c r="E21" s="611" t="n">
        <f aca="false">C21-151978</f>
        <v>99523</v>
      </c>
      <c r="F21" s="629" t="n">
        <f aca="false">D21/$D$2</f>
        <v>-224.855054197126</v>
      </c>
      <c r="G21" s="630" t="n">
        <v>252</v>
      </c>
      <c r="H21" s="631" t="n">
        <v>0</v>
      </c>
      <c r="I21" s="630" t="n">
        <f aca="false">G21+H21</f>
        <v>252</v>
      </c>
      <c r="J21" s="632" t="n">
        <f aca="false">IF(L21&gt;0,L21,0)</f>
        <v>0</v>
      </c>
      <c r="K21" s="630" t="n">
        <f aca="false">I21+J21</f>
        <v>252</v>
      </c>
      <c r="L21" s="630" t="n">
        <f aca="false">F21-(I21-AE21)</f>
        <v>-20.8550541971263</v>
      </c>
      <c r="M21" s="633" t="n">
        <v>146</v>
      </c>
      <c r="N21" s="126" t="n">
        <f aca="false">1.8299*1.03</f>
        <v>1.884797</v>
      </c>
      <c r="O21" s="630" t="n">
        <f aca="false">(26.89+27.56)*1.05</f>
        <v>57.1725</v>
      </c>
      <c r="P21" s="630"/>
      <c r="Q21" s="196" t="n">
        <f aca="false">1.85*1.02</f>
        <v>1.887</v>
      </c>
      <c r="R21" s="634" t="n">
        <v>4.2</v>
      </c>
      <c r="S21" s="635" t="n">
        <v>1.01</v>
      </c>
      <c r="T21" s="630" t="n">
        <v>154</v>
      </c>
      <c r="U21" s="630" t="n">
        <v>68</v>
      </c>
      <c r="V21" s="630" t="n">
        <f aca="false">M21-N21-O21-Q21-R21-S21+T21+U21+50</f>
        <v>351.845703</v>
      </c>
      <c r="W21" s="611" t="n">
        <f aca="false">W20</f>
        <v>0.0488089425817009</v>
      </c>
      <c r="X21" s="265" t="n">
        <f aca="false">X20-50</f>
        <v>322.205090953151</v>
      </c>
      <c r="Y21" s="611" t="n">
        <f aca="false">Y20-(V21-I21)-Q21-R21-AA21</f>
        <v>-559.155812</v>
      </c>
      <c r="Z21" s="630" t="n">
        <v>40</v>
      </c>
      <c r="AA21" s="129" t="n">
        <v>1.7</v>
      </c>
      <c r="AB21" s="130" t="n">
        <v>1.3</v>
      </c>
      <c r="AC21" s="630" t="n">
        <v>48</v>
      </c>
      <c r="AD21" s="611" t="n">
        <f aca="false">AD20-AC21</f>
        <v>6355.25787748929</v>
      </c>
      <c r="AE21" s="636" t="n">
        <f aca="false">N21+O21+Q21+R21+S21+V21+Z21+AC21-50</f>
        <v>456</v>
      </c>
      <c r="AF21" s="630" t="n">
        <f aca="false">IF(L21&lt;0,L21*-1,0)</f>
        <v>20.8550541971263</v>
      </c>
      <c r="AG21" s="630" t="n">
        <f aca="false">AE21+AF21</f>
        <v>476.855054197126</v>
      </c>
      <c r="AH21" s="616" t="n">
        <v>0.03</v>
      </c>
      <c r="AI21" s="617" t="n">
        <v>70</v>
      </c>
      <c r="AJ21" s="618" t="n">
        <v>45</v>
      </c>
      <c r="AK21" s="617" t="n">
        <f aca="false">AK20</f>
        <v>15698.7543455</v>
      </c>
      <c r="AL21" s="243"/>
      <c r="AM21" s="246"/>
      <c r="AN21" s="366" t="n">
        <f aca="false">36.1*(W20*1.9835+X20*1.9835+Y20*1.9835)/E21</f>
        <v>-0.0570322457414382</v>
      </c>
      <c r="AO21" s="105"/>
      <c r="AQ21" s="347" t="n">
        <f aca="false">AQ20+(50*1.9835)</f>
        <v>2761.23035</v>
      </c>
    </row>
    <row r="22" customFormat="false" ht="12.95" hidden="false" customHeight="true" outlineLevel="0" collapsed="false">
      <c r="A22" s="172" t="n">
        <v>11</v>
      </c>
      <c r="B22" s="619" t="n">
        <v>6890.71</v>
      </c>
      <c r="C22" s="611" t="n">
        <v>250583</v>
      </c>
      <c r="D22" s="617" t="n">
        <f aca="false">C22-C21</f>
        <v>-918</v>
      </c>
      <c r="E22" s="611" t="n">
        <f aca="false">C22-151978</f>
        <v>98605</v>
      </c>
      <c r="F22" s="629" t="n">
        <f aca="false">D22/$D$2</f>
        <v>-462.818250567179</v>
      </c>
      <c r="G22" s="630" t="n">
        <v>240</v>
      </c>
      <c r="H22" s="631" t="n">
        <v>0</v>
      </c>
      <c r="I22" s="630" t="n">
        <f aca="false">G22+H22</f>
        <v>240</v>
      </c>
      <c r="J22" s="632" t="n">
        <f aca="false">IF(L22&gt;0,L22,0)</f>
        <v>0</v>
      </c>
      <c r="K22" s="630" t="n">
        <f aca="false">I22+J22</f>
        <v>240</v>
      </c>
      <c r="L22" s="630" t="n">
        <f aca="false">F22-(I22-AE22)</f>
        <v>-206.818250567179</v>
      </c>
      <c r="M22" s="633" t="n">
        <v>143</v>
      </c>
      <c r="N22" s="126" t="n">
        <f aca="false">1.8299*1.03</f>
        <v>1.884797</v>
      </c>
      <c r="O22" s="630" t="n">
        <f aca="false">(28.84+28.76)*1.05</f>
        <v>60.48</v>
      </c>
      <c r="P22" s="630"/>
      <c r="Q22" s="196" t="n">
        <f aca="false">1.85*1.02</f>
        <v>1.887</v>
      </c>
      <c r="R22" s="634" t="n">
        <v>4.2</v>
      </c>
      <c r="S22" s="635" t="n">
        <v>1.41</v>
      </c>
      <c r="T22" s="630" t="n">
        <v>153</v>
      </c>
      <c r="U22" s="630" t="n">
        <v>66</v>
      </c>
      <c r="V22" s="630" t="n">
        <f aca="false">M22-N22-O22-Q22-R22-S22+T22+U22+50</f>
        <v>342.138203</v>
      </c>
      <c r="W22" s="611" t="n">
        <f aca="false">W21</f>
        <v>0.0488089425817009</v>
      </c>
      <c r="X22" s="265" t="n">
        <f aca="false">X21-50</f>
        <v>272.205090953151</v>
      </c>
      <c r="Y22" s="611" t="n">
        <f aca="false">Y21-(V22-I22)-Q22-R22-AA22</f>
        <v>-669.081015</v>
      </c>
      <c r="Z22" s="630" t="n">
        <v>86</v>
      </c>
      <c r="AA22" s="129" t="n">
        <v>1.7</v>
      </c>
      <c r="AB22" s="130" t="n">
        <v>1.3</v>
      </c>
      <c r="AC22" s="630" t="n">
        <v>48</v>
      </c>
      <c r="AD22" s="611" t="n">
        <f aca="false">AD21-AC22</f>
        <v>6307.25787748929</v>
      </c>
      <c r="AE22" s="636" t="n">
        <f aca="false">N22+O22+Q22+R22+S22+V22+Z22+AC22-50</f>
        <v>496</v>
      </c>
      <c r="AF22" s="630" t="n">
        <f aca="false">IF(L22&lt;0,L22*-1,0)</f>
        <v>206.818250567179</v>
      </c>
      <c r="AG22" s="630" t="n">
        <f aca="false">AE22+AF22</f>
        <v>702.818250567179</v>
      </c>
      <c r="AH22" s="616" t="n">
        <v>0</v>
      </c>
      <c r="AI22" s="617" t="n">
        <v>75</v>
      </c>
      <c r="AJ22" s="618" t="n">
        <v>44</v>
      </c>
      <c r="AK22" s="617" t="n">
        <f aca="false">AK21</f>
        <v>15698.7543455</v>
      </c>
      <c r="AL22" s="243"/>
      <c r="AM22" s="246"/>
      <c r="AN22" s="366" t="n">
        <f aca="false">36.1*(W21*1.9835+X21*1.9835+Y21*1.9835)/E22</f>
        <v>-0.172031919577944</v>
      </c>
      <c r="AO22" s="105"/>
      <c r="AQ22" s="347" t="n">
        <f aca="false">AQ21+(50*1.9835)</f>
        <v>2860.40535</v>
      </c>
    </row>
    <row r="23" customFormat="false" ht="12.95" hidden="false" customHeight="true" outlineLevel="0" collapsed="false">
      <c r="A23" s="172" t="n">
        <v>12</v>
      </c>
      <c r="B23" s="619" t="n">
        <v>6890.54</v>
      </c>
      <c r="C23" s="611" t="n">
        <v>250005</v>
      </c>
      <c r="D23" s="617" t="n">
        <f aca="false">C23-C22</f>
        <v>-578</v>
      </c>
      <c r="E23" s="611" t="n">
        <f aca="false">C23-151978</f>
        <v>98027</v>
      </c>
      <c r="F23" s="629" t="n">
        <f aca="false">D23/$D$2</f>
        <v>-291.404083690446</v>
      </c>
      <c r="G23" s="630" t="n">
        <v>258</v>
      </c>
      <c r="H23" s="631" t="n">
        <v>0</v>
      </c>
      <c r="I23" s="630" t="n">
        <f aca="false">G23+H23</f>
        <v>258</v>
      </c>
      <c r="J23" s="632" t="n">
        <f aca="false">IF(L23&gt;0,L23,0)</f>
        <v>0</v>
      </c>
      <c r="K23" s="630" t="n">
        <f aca="false">I23+J23</f>
        <v>258</v>
      </c>
      <c r="L23" s="630" t="n">
        <f aca="false">F23-(I23-AE23)</f>
        <v>-70.4040836904462</v>
      </c>
      <c r="M23" s="633" t="n">
        <v>146</v>
      </c>
      <c r="N23" s="126" t="n">
        <f aca="false">1.8299*1.03</f>
        <v>1.884797</v>
      </c>
      <c r="O23" s="630" t="n">
        <f aca="false">(28.52+29.41)*1.05</f>
        <v>60.8265</v>
      </c>
      <c r="P23" s="630"/>
      <c r="Q23" s="196" t="n">
        <f aca="false">1.85*1.02</f>
        <v>1.887</v>
      </c>
      <c r="R23" s="634" t="n">
        <v>4.2</v>
      </c>
      <c r="S23" s="635" t="n">
        <v>1.83</v>
      </c>
      <c r="T23" s="630" t="n">
        <v>153</v>
      </c>
      <c r="U23" s="630" t="n">
        <v>64</v>
      </c>
      <c r="V23" s="630" t="n">
        <f aca="false">M23-N23-O23-Q23-R23-S23+T23+U23+50</f>
        <v>342.371703</v>
      </c>
      <c r="W23" s="611" t="n">
        <f aca="false">W22</f>
        <v>0.0488089425817009</v>
      </c>
      <c r="X23" s="265" t="n">
        <f aca="false">X22-50</f>
        <v>222.205090953151</v>
      </c>
      <c r="Y23" s="611" t="n">
        <f aca="false">Y22-(V23-I23)-Q23-R23-AA23</f>
        <v>-761.239718</v>
      </c>
      <c r="Z23" s="630" t="n">
        <v>68</v>
      </c>
      <c r="AA23" s="129" t="n">
        <v>1.7</v>
      </c>
      <c r="AB23" s="130" t="n">
        <v>1.3</v>
      </c>
      <c r="AC23" s="630" t="n">
        <v>48</v>
      </c>
      <c r="AD23" s="611" t="n">
        <f aca="false">AD22-AC23</f>
        <v>6259.25787748929</v>
      </c>
      <c r="AE23" s="636" t="n">
        <f aca="false">N23+O23+Q23+R23+S23+V23+Z23+AC23-50</f>
        <v>479</v>
      </c>
      <c r="AF23" s="630" t="n">
        <f aca="false">IF(L23&lt;0,L23*-1,0)</f>
        <v>70.4040836904462</v>
      </c>
      <c r="AG23" s="630" t="n">
        <f aca="false">AE23+AF23</f>
        <v>549.404083690446</v>
      </c>
      <c r="AH23" s="616" t="n">
        <v>0</v>
      </c>
      <c r="AI23" s="617" t="n">
        <v>77</v>
      </c>
      <c r="AJ23" s="618" t="n">
        <v>50</v>
      </c>
      <c r="AK23" s="617" t="n">
        <f aca="false">AK22</f>
        <v>15698.7543455</v>
      </c>
      <c r="AL23" s="243"/>
      <c r="AM23" s="246"/>
      <c r="AN23" s="366" t="n">
        <f aca="false">36.1*(W22*1.9835+X22*1.9835+Y22*1.9835)/E23</f>
        <v>-0.289864503039125</v>
      </c>
      <c r="AO23" s="105"/>
      <c r="AQ23" s="347" t="n">
        <f aca="false">AQ22+(50*1.9835)</f>
        <v>2959.58035</v>
      </c>
    </row>
    <row r="24" customFormat="false" ht="12.95" hidden="false" customHeight="true" outlineLevel="0" collapsed="false">
      <c r="A24" s="172" t="n">
        <v>13</v>
      </c>
      <c r="B24" s="619" t="n">
        <v>6890.36</v>
      </c>
      <c r="C24" s="611" t="n">
        <v>249392</v>
      </c>
      <c r="D24" s="617" t="n">
        <f aca="false">C24-C23</f>
        <v>-613</v>
      </c>
      <c r="E24" s="611" t="n">
        <f aca="false">C24-151978</f>
        <v>97414</v>
      </c>
      <c r="F24" s="629" t="n">
        <f aca="false">D24/$D$2</f>
        <v>-309.049659692463</v>
      </c>
      <c r="G24" s="630" t="n">
        <v>239</v>
      </c>
      <c r="H24" s="631" t="n">
        <v>0</v>
      </c>
      <c r="I24" s="630" t="n">
        <f aca="false">G24+H24</f>
        <v>239</v>
      </c>
      <c r="J24" s="632" t="n">
        <f aca="false">IF(L24&gt;0,L24,0)</f>
        <v>0</v>
      </c>
      <c r="K24" s="630" t="n">
        <f aca="false">I24+J24</f>
        <v>239</v>
      </c>
      <c r="L24" s="630" t="n">
        <f aca="false">F24-(I24-AE24)</f>
        <v>-83.0496596924628</v>
      </c>
      <c r="M24" s="633" t="n">
        <v>157</v>
      </c>
      <c r="N24" s="126" t="n">
        <f aca="false">1.8299*1.03</f>
        <v>1.884797</v>
      </c>
      <c r="O24" s="630" t="n">
        <f aca="false">(27.27+29.21)*1.05</f>
        <v>59.304</v>
      </c>
      <c r="P24" s="630"/>
      <c r="Q24" s="196" t="n">
        <f aca="false">1.85*1.02</f>
        <v>1.887</v>
      </c>
      <c r="R24" s="634" t="n">
        <v>4.2</v>
      </c>
      <c r="S24" s="635" t="n">
        <v>1.83</v>
      </c>
      <c r="T24" s="630" t="n">
        <v>126</v>
      </c>
      <c r="U24" s="630" t="n">
        <v>64</v>
      </c>
      <c r="V24" s="630" t="n">
        <f aca="false">M24-N24-O24-Q24-R24-S24+T24+U24+50</f>
        <v>327.894203</v>
      </c>
      <c r="W24" s="611" t="n">
        <f aca="false">W23</f>
        <v>0.0488089425817009</v>
      </c>
      <c r="X24" s="265" t="n">
        <f aca="false">X23-50</f>
        <v>172.205090953151</v>
      </c>
      <c r="Y24" s="611" t="n">
        <f aca="false">Y23-(V24-I24)-Q24-R24-AA24</f>
        <v>-857.920921</v>
      </c>
      <c r="Z24" s="630" t="n">
        <v>70</v>
      </c>
      <c r="AA24" s="129" t="n">
        <v>1.7</v>
      </c>
      <c r="AB24" s="130" t="n">
        <v>1.3</v>
      </c>
      <c r="AC24" s="630" t="n">
        <v>48</v>
      </c>
      <c r="AD24" s="611" t="n">
        <f aca="false">AD23-AC24</f>
        <v>6211.25787748929</v>
      </c>
      <c r="AE24" s="636" t="n">
        <f aca="false">N24+O24+Q24+R24+S24+V24+Z24+AC24-50</f>
        <v>465</v>
      </c>
      <c r="AF24" s="630" t="n">
        <f aca="false">IF(L24&lt;0,L24*-1,0)</f>
        <v>83.0496596924628</v>
      </c>
      <c r="AG24" s="630" t="n">
        <f aca="false">AE24+AF24</f>
        <v>548.049659692463</v>
      </c>
      <c r="AH24" s="616" t="n">
        <v>0</v>
      </c>
      <c r="AI24" s="617" t="n">
        <v>77</v>
      </c>
      <c r="AJ24" s="618" t="n">
        <v>48</v>
      </c>
      <c r="AK24" s="617" t="n">
        <f aca="false">AK23</f>
        <v>15698.7543455</v>
      </c>
      <c r="AL24" s="243"/>
      <c r="AM24" s="246"/>
      <c r="AN24" s="366" t="n">
        <f aca="false">36.1*(W23*1.9835+X23*1.9835+Y23*1.9835)/E24</f>
        <v>-0.396182572983086</v>
      </c>
      <c r="AO24" s="105"/>
      <c r="AQ24" s="347" t="n">
        <f aca="false">AQ23+(50*1.9835)</f>
        <v>3058.75535</v>
      </c>
    </row>
    <row r="25" customFormat="false" ht="12.95" hidden="false" customHeight="true" outlineLevel="0" collapsed="false">
      <c r="A25" s="172" t="n">
        <v>14</v>
      </c>
      <c r="B25" s="619" t="n">
        <v>6890.29</v>
      </c>
      <c r="C25" s="611" t="n">
        <v>249154</v>
      </c>
      <c r="D25" s="617" t="n">
        <f aca="false">C25-C24</f>
        <v>-238</v>
      </c>
      <c r="E25" s="611" t="n">
        <f aca="false">C25-151978</f>
        <v>97176</v>
      </c>
      <c r="F25" s="629" t="n">
        <f aca="false">D25/$D$2</f>
        <v>-119.989916813713</v>
      </c>
      <c r="G25" s="630" t="n">
        <v>230</v>
      </c>
      <c r="H25" s="631" t="n">
        <v>0</v>
      </c>
      <c r="I25" s="630" t="n">
        <f aca="false">G25+H25</f>
        <v>230</v>
      </c>
      <c r="J25" s="632" t="n">
        <f aca="false">IF(L25&gt;0,L25,0)</f>
        <v>88.0100831862869</v>
      </c>
      <c r="K25" s="630" t="n">
        <f aca="false">I25+J25</f>
        <v>318.010083186287</v>
      </c>
      <c r="L25" s="630" t="n">
        <f aca="false">F25-(I25-AE25)</f>
        <v>88.0100831862869</v>
      </c>
      <c r="M25" s="633" t="n">
        <v>156</v>
      </c>
      <c r="N25" s="126" t="n">
        <f aca="false">1.8299*1.03</f>
        <v>1.884797</v>
      </c>
      <c r="O25" s="630" t="n">
        <f aca="false">(31.01+31.69)*1.05</f>
        <v>65.835</v>
      </c>
      <c r="P25" s="630"/>
      <c r="Q25" s="196" t="n">
        <f aca="false">1.85*1.02</f>
        <v>1.887</v>
      </c>
      <c r="R25" s="634" t="n">
        <v>4.2</v>
      </c>
      <c r="S25" s="635" t="n">
        <v>1.11</v>
      </c>
      <c r="T25" s="630" t="n">
        <v>103</v>
      </c>
      <c r="U25" s="630" t="n">
        <v>64</v>
      </c>
      <c r="V25" s="630" t="n">
        <f aca="false">M25-N25-O25-Q25-R25-S25+T25+U25+50</f>
        <v>298.083203</v>
      </c>
      <c r="W25" s="611" t="n">
        <f aca="false">W24</f>
        <v>0.0488089425817009</v>
      </c>
      <c r="X25" s="630" t="n">
        <f aca="false">X24-50</f>
        <v>122.205090953151</v>
      </c>
      <c r="Y25" s="611" t="n">
        <f aca="false">Y24-(V25-I25)-Q25-R25-AA25</f>
        <v>-933.791124</v>
      </c>
      <c r="Z25" s="630" t="n">
        <v>67</v>
      </c>
      <c r="AA25" s="129" t="n">
        <v>1.7</v>
      </c>
      <c r="AB25" s="130" t="n">
        <v>1.3</v>
      </c>
      <c r="AC25" s="630" t="n">
        <v>48</v>
      </c>
      <c r="AD25" s="611" t="n">
        <f aca="false">AD24-AC25</f>
        <v>6163.25787748929</v>
      </c>
      <c r="AE25" s="636" t="n">
        <f aca="false">N25+O25+Q25+R25+S25+V25+Z25+AC25-50</f>
        <v>438</v>
      </c>
      <c r="AF25" s="630" t="n">
        <f aca="false">IF(L25&lt;0,L25*-1,0)</f>
        <v>0</v>
      </c>
      <c r="AG25" s="630" t="n">
        <f aca="false">AE25+AF25</f>
        <v>438</v>
      </c>
      <c r="AH25" s="616" t="n">
        <v>0.42</v>
      </c>
      <c r="AI25" s="617" t="n">
        <v>71</v>
      </c>
      <c r="AJ25" s="618" t="n">
        <v>49</v>
      </c>
      <c r="AK25" s="617" t="n">
        <f aca="false">AK24</f>
        <v>15698.7543455</v>
      </c>
      <c r="AL25" s="243"/>
      <c r="AM25" s="246"/>
      <c r="AN25" s="366" t="n">
        <f aca="false">36.1*(W24*1.9835+X24*1.9835+Y24*1.9835)/E25</f>
        <v>-0.505235257292</v>
      </c>
      <c r="AO25" s="105"/>
      <c r="AQ25" s="347" t="n">
        <f aca="false">AQ24+(50*1.9835)</f>
        <v>3157.93035</v>
      </c>
    </row>
    <row r="26" customFormat="false" ht="12.95" hidden="false" customHeight="true" outlineLevel="0" collapsed="false">
      <c r="A26" s="172" t="n">
        <v>15</v>
      </c>
      <c r="B26" s="619" t="n">
        <v>6890.35</v>
      </c>
      <c r="C26" s="611" t="n">
        <v>249358</v>
      </c>
      <c r="D26" s="617" t="n">
        <f aca="false">C26-C25</f>
        <v>204</v>
      </c>
      <c r="E26" s="611" t="n">
        <f aca="false">C26-151978</f>
        <v>97380</v>
      </c>
      <c r="F26" s="629" t="n">
        <f aca="false">D26/$D$2</f>
        <v>102.84850012604</v>
      </c>
      <c r="G26" s="630" t="n">
        <v>356</v>
      </c>
      <c r="H26" s="631" t="n">
        <v>0</v>
      </c>
      <c r="I26" s="630" t="n">
        <f aca="false">G26+H26</f>
        <v>356</v>
      </c>
      <c r="J26" s="632" t="n">
        <f aca="false">IF(L26&gt;0,L26,0)</f>
        <v>106.84850012604</v>
      </c>
      <c r="K26" s="630" t="n">
        <f aca="false">I26+J26</f>
        <v>462.84850012604</v>
      </c>
      <c r="L26" s="630" t="n">
        <f aca="false">F26-(I26-AE26)</f>
        <v>106.84850012604</v>
      </c>
      <c r="M26" s="633" t="n">
        <v>101</v>
      </c>
      <c r="N26" s="126" t="n">
        <f aca="false">1.8299*1.03</f>
        <v>1.884797</v>
      </c>
      <c r="O26" s="630" t="n">
        <f aca="false">(21.8+22.38)*1.05</f>
        <v>46.389</v>
      </c>
      <c r="P26" s="630"/>
      <c r="Q26" s="196" t="n">
        <f aca="false">1.85*1.02</f>
        <v>1.887</v>
      </c>
      <c r="R26" s="634" t="n">
        <v>3.66</v>
      </c>
      <c r="S26" s="635" t="n">
        <v>0</v>
      </c>
      <c r="T26" s="630" t="n">
        <v>135</v>
      </c>
      <c r="U26" s="630" t="n">
        <v>62</v>
      </c>
      <c r="V26" s="630" t="n">
        <f aca="false">M26-N26-O26-Q26-R26-S26+T26+U26+46.4</f>
        <v>290.579203</v>
      </c>
      <c r="W26" s="611" t="n">
        <f aca="false">W25</f>
        <v>0.0488089425817009</v>
      </c>
      <c r="X26" s="630" t="n">
        <f aca="false">X25-46.4</f>
        <v>75.8050909531507</v>
      </c>
      <c r="Y26" s="611" t="n">
        <f aca="false">Y25</f>
        <v>-933.791124</v>
      </c>
      <c r="Z26" s="630" t="n">
        <v>14</v>
      </c>
      <c r="AA26" s="129" t="n">
        <v>1.7</v>
      </c>
      <c r="AB26" s="130" t="n">
        <v>1.3</v>
      </c>
      <c r="AC26" s="630" t="n">
        <v>48</v>
      </c>
      <c r="AD26" s="611" t="n">
        <f aca="false">AD25-AC26</f>
        <v>6115.25787748929</v>
      </c>
      <c r="AE26" s="636" t="n">
        <f aca="false">N26+O26+Q26+R26+S26+V26+Z26+AC26-46.4</f>
        <v>360</v>
      </c>
      <c r="AF26" s="630" t="n">
        <f aca="false">IF(L26&lt;0,L26*-1,0)</f>
        <v>0</v>
      </c>
      <c r="AG26" s="630" t="n">
        <f aca="false">AE26+AF26</f>
        <v>360</v>
      </c>
      <c r="AH26" s="616" t="n">
        <v>0.32</v>
      </c>
      <c r="AI26" s="617" t="n">
        <v>73</v>
      </c>
      <c r="AJ26" s="618" t="n">
        <v>48</v>
      </c>
      <c r="AK26" s="617" t="n">
        <f aca="false">AK25</f>
        <v>15698.7543455</v>
      </c>
      <c r="AL26" s="243"/>
      <c r="AM26" s="246"/>
      <c r="AN26" s="366" t="n">
        <f aca="false">36.1*(W25*1.9835+X25*1.9835+Y25*1.9835)/E26</f>
        <v>-0.596730287870101</v>
      </c>
      <c r="AO26" s="105"/>
      <c r="AQ26" s="347" t="n">
        <f aca="false">AQ25+(46.4*1.9835)</f>
        <v>3249.96475</v>
      </c>
    </row>
    <row r="27" customFormat="false" ht="12.95" hidden="false" customHeight="true" outlineLevel="0" collapsed="false">
      <c r="A27" s="172" t="n">
        <v>16</v>
      </c>
      <c r="B27" s="619" t="n">
        <v>6890.39</v>
      </c>
      <c r="C27" s="611" t="n">
        <v>249494</v>
      </c>
      <c r="D27" s="617" t="n">
        <f aca="false">C27-C26</f>
        <v>136</v>
      </c>
      <c r="E27" s="611" t="n">
        <f aca="false">C27-151978</f>
        <v>97516</v>
      </c>
      <c r="F27" s="629" t="n">
        <f aca="false">D27/$D$2</f>
        <v>68.5656667506932</v>
      </c>
      <c r="G27" s="630" t="n">
        <v>394</v>
      </c>
      <c r="H27" s="631" t="n">
        <v>0</v>
      </c>
      <c r="I27" s="630" t="n">
        <f aca="false">G27+H27</f>
        <v>394</v>
      </c>
      <c r="J27" s="632" t="n">
        <f aca="false">IF(L27&gt;0,L27,0)</f>
        <v>20.5656667506932</v>
      </c>
      <c r="K27" s="630" t="n">
        <f aca="false">I27+J27</f>
        <v>414.565666750693</v>
      </c>
      <c r="L27" s="630" t="n">
        <f aca="false">F27-(I27-AE27)</f>
        <v>20.5656667506932</v>
      </c>
      <c r="M27" s="633" t="n">
        <v>71</v>
      </c>
      <c r="N27" s="126" t="n">
        <f aca="false">1.8299*1.03</f>
        <v>1.884797</v>
      </c>
      <c r="O27" s="630" t="n">
        <f aca="false">10.35*1.05</f>
        <v>10.8675</v>
      </c>
      <c r="P27" s="630"/>
      <c r="Q27" s="196" t="n">
        <f aca="false">1.85*1.02</f>
        <v>1.887</v>
      </c>
      <c r="R27" s="634" t="n">
        <v>4.2</v>
      </c>
      <c r="S27" s="635" t="n">
        <v>2.23</v>
      </c>
      <c r="T27" s="630" t="n">
        <v>148</v>
      </c>
      <c r="U27" s="630" t="n">
        <v>59</v>
      </c>
      <c r="V27" s="630" t="n">
        <f aca="false">M27-N27-O27-Q27-R27-S27+T27+U27+10.9</f>
        <v>267.830703</v>
      </c>
      <c r="W27" s="611" t="n">
        <f aca="false">W26</f>
        <v>0.0488089425817009</v>
      </c>
      <c r="X27" s="630" t="n">
        <f aca="false">X26-10.9</f>
        <v>64.9050909531507</v>
      </c>
      <c r="Y27" s="611" t="n">
        <f aca="false">Y26</f>
        <v>-933.791124</v>
      </c>
      <c r="Z27" s="630" t="n">
        <v>20</v>
      </c>
      <c r="AA27" s="129" t="n">
        <v>1.7</v>
      </c>
      <c r="AB27" s="130" t="n">
        <v>1.3</v>
      </c>
      <c r="AC27" s="630" t="n">
        <v>48</v>
      </c>
      <c r="AD27" s="611" t="n">
        <f aca="false">AD26-AC27</f>
        <v>6067.25787748929</v>
      </c>
      <c r="AE27" s="636" t="n">
        <f aca="false">N27+O27+Q27+R27+S27+V27+Z27+AC27-10.9</f>
        <v>346</v>
      </c>
      <c r="AF27" s="630" t="n">
        <f aca="false">IF(L27&lt;0,L27*-1,0)</f>
        <v>0</v>
      </c>
      <c r="AG27" s="630" t="n">
        <f aca="false">AE27+AF27</f>
        <v>346</v>
      </c>
      <c r="AH27" s="616" t="n">
        <v>0.17</v>
      </c>
      <c r="AI27" s="617" t="n">
        <v>66</v>
      </c>
      <c r="AJ27" s="618" t="n">
        <v>39</v>
      </c>
      <c r="AK27" s="617" t="n">
        <f aca="false">AK26</f>
        <v>15698.7543455</v>
      </c>
      <c r="AL27" s="243"/>
      <c r="AM27" s="246"/>
      <c r="AN27" s="366" t="n">
        <f aca="false">36.1*(W26*1.9835+X26*1.9835+Y26*1.9835)/E27</f>
        <v>-0.629968797661824</v>
      </c>
      <c r="AO27" s="105"/>
      <c r="AQ27" s="347" t="n">
        <f aca="false">AQ26+(10.9*1.9835)</f>
        <v>3271.5849</v>
      </c>
    </row>
    <row r="28" customFormat="false" ht="12.95" hidden="false" customHeight="true" outlineLevel="0" collapsed="false">
      <c r="A28" s="172" t="n">
        <v>17</v>
      </c>
      <c r="B28" s="619" t="n">
        <v>6890.28</v>
      </c>
      <c r="C28" s="611" t="n">
        <v>249120</v>
      </c>
      <c r="D28" s="617" t="n">
        <f aca="false">C28-C27</f>
        <v>-374</v>
      </c>
      <c r="E28" s="611" t="n">
        <f aca="false">C28-151978</f>
        <v>97142</v>
      </c>
      <c r="F28" s="629" t="n">
        <f aca="false">D28/$D$2</f>
        <v>-188.555583564406</v>
      </c>
      <c r="G28" s="630" t="n">
        <v>258</v>
      </c>
      <c r="H28" s="631" t="n">
        <v>0</v>
      </c>
      <c r="I28" s="630" t="n">
        <f aca="false">G28+H28</f>
        <v>258</v>
      </c>
      <c r="J28" s="632" t="n">
        <f aca="false">IF(L28&gt;0,L28,0)</f>
        <v>0</v>
      </c>
      <c r="K28" s="630" t="n">
        <f aca="false">I28+J28</f>
        <v>258</v>
      </c>
      <c r="L28" s="630" t="n">
        <f aca="false">F28-(I28-AE28)</f>
        <v>-109.755583564406</v>
      </c>
      <c r="M28" s="633" t="n">
        <v>86</v>
      </c>
      <c r="N28" s="126" t="n">
        <f aca="false">1.8299*1.03</f>
        <v>1.884797</v>
      </c>
      <c r="O28" s="630" t="n">
        <f aca="false">5.65*1.05</f>
        <v>5.9325</v>
      </c>
      <c r="P28" s="630"/>
      <c r="Q28" s="196" t="n">
        <f aca="false">1.85*1.02</f>
        <v>1.887</v>
      </c>
      <c r="R28" s="634" t="n">
        <v>4.2</v>
      </c>
      <c r="S28" s="635" t="n">
        <v>0.3</v>
      </c>
      <c r="T28" s="630" t="n">
        <v>138</v>
      </c>
      <c r="U28" s="630" t="n">
        <v>57</v>
      </c>
      <c r="V28" s="630" t="n">
        <f aca="false">M28-N28-O28-Q28-R28-S28+T28+U28+5.9</f>
        <v>272.695703</v>
      </c>
      <c r="W28" s="611" t="n">
        <f aca="false">W27</f>
        <v>0.0488089425817009</v>
      </c>
      <c r="X28" s="630" t="n">
        <f aca="false">X27-5.9</f>
        <v>59.0050909531507</v>
      </c>
      <c r="Y28" s="611" t="n">
        <f aca="false">Y27-(V28-I28)-Q28-R28-AA28</f>
        <v>-956.273827</v>
      </c>
      <c r="Z28" s="630" t="n">
        <v>8.8</v>
      </c>
      <c r="AA28" s="129" t="n">
        <v>1.7</v>
      </c>
      <c r="AB28" s="130" t="n">
        <v>1.3</v>
      </c>
      <c r="AC28" s="630" t="n">
        <v>47</v>
      </c>
      <c r="AD28" s="611" t="n">
        <f aca="false">AD27-AC28</f>
        <v>6020.25787748929</v>
      </c>
      <c r="AE28" s="636" t="n">
        <f aca="false">N28+O28+Q28+R28+S28+V28+Z28+AC28-5.9</f>
        <v>336.8</v>
      </c>
      <c r="AF28" s="630" t="n">
        <f aca="false">IF(L28&lt;0,L28*-1,0)</f>
        <v>109.755583564406</v>
      </c>
      <c r="AG28" s="630" t="n">
        <f aca="false">AE28+AF28</f>
        <v>446.555583564406</v>
      </c>
      <c r="AH28" s="616" t="n">
        <v>0</v>
      </c>
      <c r="AI28" s="617" t="n">
        <v>55</v>
      </c>
      <c r="AJ28" s="618" t="n">
        <v>32</v>
      </c>
      <c r="AK28" s="617" t="n">
        <f aca="false">AK27</f>
        <v>15698.7543455</v>
      </c>
      <c r="AL28" s="243"/>
      <c r="AM28" s="246"/>
      <c r="AN28" s="366" t="n">
        <f aca="false">36.1*(W27*1.9835+X27*1.9835+Y27*1.9835)/E28</f>
        <v>-0.640428699098129</v>
      </c>
      <c r="AO28" s="105"/>
      <c r="AQ28" s="347" t="n">
        <f aca="false">AQ27+(5.9*1.9835)</f>
        <v>3283.28755</v>
      </c>
    </row>
    <row r="29" customFormat="false" ht="12.95" hidden="false" customHeight="true" outlineLevel="0" collapsed="false">
      <c r="A29" s="172" t="n">
        <v>18</v>
      </c>
      <c r="B29" s="619" t="n">
        <v>6890.17</v>
      </c>
      <c r="C29" s="611" t="n">
        <v>248746</v>
      </c>
      <c r="D29" s="617" t="n">
        <f aca="false">C29-C28</f>
        <v>-374</v>
      </c>
      <c r="E29" s="611" t="n">
        <f aca="false">C29-151978</f>
        <v>96768</v>
      </c>
      <c r="F29" s="629" t="n">
        <f aca="false">D29/$D$2</f>
        <v>-188.555583564406</v>
      </c>
      <c r="G29" s="630" t="n">
        <v>211</v>
      </c>
      <c r="H29" s="631" t="n">
        <v>0</v>
      </c>
      <c r="I29" s="630" t="n">
        <f aca="false">G29+H29</f>
        <v>211</v>
      </c>
      <c r="J29" s="632" t="n">
        <f aca="false">IF(L29&gt;0,L29,0)</f>
        <v>0</v>
      </c>
      <c r="K29" s="630" t="n">
        <f aca="false">I29+J29</f>
        <v>211</v>
      </c>
      <c r="L29" s="630" t="n">
        <f aca="false">F29-(I29-AE29)</f>
        <v>-3.25558356440641</v>
      </c>
      <c r="M29" s="633" t="n">
        <v>144</v>
      </c>
      <c r="N29" s="126" t="n">
        <f aca="false">1.8299*1.03</f>
        <v>1.884797</v>
      </c>
      <c r="O29" s="630" t="n">
        <f aca="false">(18.86+16.27)*1.05</f>
        <v>36.8865</v>
      </c>
      <c r="P29" s="630"/>
      <c r="Q29" s="196" t="n">
        <f aca="false">1.85*1.02</f>
        <v>1.887</v>
      </c>
      <c r="R29" s="634" t="n">
        <v>4.2</v>
      </c>
      <c r="S29" s="635" t="n">
        <v>1.09</v>
      </c>
      <c r="T29" s="630" t="n">
        <v>111</v>
      </c>
      <c r="U29" s="630" t="n">
        <v>54</v>
      </c>
      <c r="V29" s="630" t="n">
        <f aca="false">M29-N29-O29-Q29-R29-S29+T29+U29+36.9</f>
        <v>299.951703</v>
      </c>
      <c r="W29" s="611" t="n">
        <f aca="false">W28</f>
        <v>0.0488089425817009</v>
      </c>
      <c r="X29" s="630" t="n">
        <f aca="false">X28-36.9</f>
        <v>22.1050909531507</v>
      </c>
      <c r="Y29" s="611" t="n">
        <f aca="false">Y28-(V29-I29)-Q29-R29-AA29</f>
        <v>-1053.01253</v>
      </c>
      <c r="Z29" s="630" t="n">
        <v>7.4</v>
      </c>
      <c r="AA29" s="129" t="n">
        <v>1.7</v>
      </c>
      <c r="AB29" s="130" t="n">
        <v>1.3</v>
      </c>
      <c r="AC29" s="630" t="n">
        <v>43</v>
      </c>
      <c r="AD29" s="611" t="n">
        <f aca="false">AD28-AC29</f>
        <v>5977.25787748929</v>
      </c>
      <c r="AE29" s="636" t="n">
        <f aca="false">N29+O29+Q29+R29+S29+V29+Z29+AC29</f>
        <v>396.3</v>
      </c>
      <c r="AF29" s="630" t="n">
        <f aca="false">IF(L29&lt;0,L29*-1,0)</f>
        <v>3.25558356440641</v>
      </c>
      <c r="AG29" s="630" t="n">
        <f aca="false">AE29+AF29</f>
        <v>399.555583564406</v>
      </c>
      <c r="AH29" s="616" t="n">
        <v>0</v>
      </c>
      <c r="AI29" s="617" t="n">
        <v>66</v>
      </c>
      <c r="AJ29" s="618" t="n">
        <v>29</v>
      </c>
      <c r="AK29" s="617" t="n">
        <f aca="false">AK28</f>
        <v>15698.7543455</v>
      </c>
      <c r="AL29" s="243"/>
      <c r="AM29" s="246"/>
      <c r="AN29" s="366" t="n">
        <v>0</v>
      </c>
      <c r="AO29" s="105"/>
      <c r="AQ29" s="347" t="n">
        <f aca="false">AQ28+(36.9*1.9835)</f>
        <v>3356.4787</v>
      </c>
    </row>
    <row r="30" customFormat="false" ht="12.95" hidden="false" customHeight="true" outlineLevel="0" collapsed="false">
      <c r="A30" s="172" t="n">
        <v>19</v>
      </c>
      <c r="B30" s="619" t="n">
        <v>6890.04</v>
      </c>
      <c r="C30" s="611" t="n">
        <v>248304</v>
      </c>
      <c r="D30" s="617" t="n">
        <f aca="false">C30-C29</f>
        <v>-442</v>
      </c>
      <c r="E30" s="611" t="n">
        <f aca="false">C30-151978</f>
        <v>96326</v>
      </c>
      <c r="F30" s="629" t="n">
        <f aca="false">D30/$D$2</f>
        <v>-222.838416939753</v>
      </c>
      <c r="G30" s="630" t="n">
        <v>188</v>
      </c>
      <c r="H30" s="631" t="n">
        <v>0</v>
      </c>
      <c r="I30" s="630" t="n">
        <f aca="false">G30+H30</f>
        <v>188</v>
      </c>
      <c r="J30" s="632" t="n">
        <f aca="false">IF(L30&gt;0,L30,0)</f>
        <v>0</v>
      </c>
      <c r="K30" s="630" t="n">
        <f aca="false">I30+J30</f>
        <v>188</v>
      </c>
      <c r="L30" s="630" t="n">
        <f aca="false">F30-(I30-AE30)</f>
        <v>-67.738416939753</v>
      </c>
      <c r="M30" s="633" t="n">
        <v>126</v>
      </c>
      <c r="N30" s="126" t="n">
        <f aca="false">1.8299*1.03</f>
        <v>1.884797</v>
      </c>
      <c r="O30" s="630" t="n">
        <f aca="false">(22.23+21.9)*1.05</f>
        <v>46.3365</v>
      </c>
      <c r="P30" s="630"/>
      <c r="Q30" s="196" t="n">
        <f aca="false">1.85*1.02</f>
        <v>1.887</v>
      </c>
      <c r="R30" s="634" t="n">
        <v>4.2</v>
      </c>
      <c r="S30" s="635" t="n">
        <v>0.85</v>
      </c>
      <c r="T30" s="630" t="n">
        <v>87</v>
      </c>
      <c r="U30" s="630" t="n">
        <v>52</v>
      </c>
      <c r="V30" s="630" t="n">
        <f aca="false">M30-N30-O30-Q30-R30-S30+T30+U30+22.1</f>
        <v>231.941703</v>
      </c>
      <c r="W30" s="611" t="n">
        <f aca="false">W29</f>
        <v>0.0488089425817009</v>
      </c>
      <c r="X30" s="611" t="n">
        <f aca="false">X29-22.1</f>
        <v>0.00509095315070596</v>
      </c>
      <c r="Y30" s="611" t="n">
        <f aca="false">Y29-(V30-I30)-Q30-R30-AA30</f>
        <v>-1104.741233</v>
      </c>
      <c r="Z30" s="630" t="n">
        <v>15</v>
      </c>
      <c r="AA30" s="129" t="n">
        <v>1.7</v>
      </c>
      <c r="AB30" s="130" t="n">
        <v>1.3</v>
      </c>
      <c r="AC30" s="630" t="n">
        <v>41</v>
      </c>
      <c r="AD30" s="611" t="n">
        <f aca="false">AD29-AC30</f>
        <v>5936.25787748929</v>
      </c>
      <c r="AE30" s="636" t="n">
        <f aca="false">N30+O30+Q30+R30+S30+V30+Z30+AC30</f>
        <v>343.1</v>
      </c>
      <c r="AF30" s="630" t="n">
        <f aca="false">IF(L30&lt;0,L30*-1,0)</f>
        <v>67.738416939753</v>
      </c>
      <c r="AG30" s="630" t="n">
        <f aca="false">AE30+AF30</f>
        <v>410.838416939753</v>
      </c>
      <c r="AH30" s="616" t="n">
        <v>0</v>
      </c>
      <c r="AI30" s="617" t="n">
        <v>69</v>
      </c>
      <c r="AJ30" s="618" t="n">
        <v>35</v>
      </c>
      <c r="AK30" s="617" t="n">
        <f aca="false">AK29</f>
        <v>15698.7543455</v>
      </c>
      <c r="AL30" s="243"/>
      <c r="AM30" s="246"/>
      <c r="AN30" s="366" t="n">
        <v>0</v>
      </c>
      <c r="AO30" s="105"/>
      <c r="AQ30" s="347" t="n">
        <f aca="false">AQ29+(22.1*1.9835)</f>
        <v>3400.31405</v>
      </c>
    </row>
    <row r="31" customFormat="false" ht="12.95" hidden="false" customHeight="true" outlineLevel="0" collapsed="false">
      <c r="A31" s="172" t="n">
        <v>20</v>
      </c>
      <c r="B31" s="619" t="n">
        <v>6890.01</v>
      </c>
      <c r="C31" s="611" t="n">
        <v>248202</v>
      </c>
      <c r="D31" s="617" t="n">
        <f aca="false">C31-C30</f>
        <v>-102</v>
      </c>
      <c r="E31" s="611" t="n">
        <f aca="false">C31-151978</f>
        <v>96224</v>
      </c>
      <c r="F31" s="629" t="n">
        <f aca="false">D31/$D$2</f>
        <v>-51.4242500630199</v>
      </c>
      <c r="G31" s="630" t="n">
        <v>179</v>
      </c>
      <c r="H31" s="631" t="n">
        <v>0</v>
      </c>
      <c r="I31" s="630" t="n">
        <f aca="false">G31+H31</f>
        <v>179</v>
      </c>
      <c r="J31" s="632" t="n">
        <f aca="false">IF(L31&gt;0,L31,0)</f>
        <v>118.27574993698</v>
      </c>
      <c r="K31" s="630" t="n">
        <f aca="false">I31+J31</f>
        <v>297.27574993698</v>
      </c>
      <c r="L31" s="630" t="n">
        <f aca="false">F31-(I31-AE31)</f>
        <v>118.27574993698</v>
      </c>
      <c r="M31" s="633" t="n">
        <v>165</v>
      </c>
      <c r="N31" s="126" t="n">
        <f aca="false">1.8299*1.03</f>
        <v>1.884797</v>
      </c>
      <c r="O31" s="630" t="n">
        <f aca="false">(25.42+25.99)*1.05</f>
        <v>53.9805</v>
      </c>
      <c r="P31" s="630"/>
      <c r="Q31" s="196" t="n">
        <f aca="false">1.85*1.02</f>
        <v>1.887</v>
      </c>
      <c r="R31" s="634" t="n">
        <v>4.2</v>
      </c>
      <c r="S31" s="635" t="n">
        <v>0.59</v>
      </c>
      <c r="T31" s="630" t="n">
        <v>87</v>
      </c>
      <c r="U31" s="630" t="n">
        <v>50</v>
      </c>
      <c r="V31" s="630" t="n">
        <f aca="false">M31-N31-O31-Q31-R31-S31+T31+U31</f>
        <v>239.457703</v>
      </c>
      <c r="W31" s="611" t="n">
        <f aca="false">W30</f>
        <v>0.0488089425817009</v>
      </c>
      <c r="X31" s="611" t="n">
        <f aca="false">X30</f>
        <v>0.00509095315070596</v>
      </c>
      <c r="Y31" s="611" t="n">
        <f aca="false">Y30-(V31-I31)-Q31-R31-AA31</f>
        <v>-1172.985936</v>
      </c>
      <c r="Z31" s="630" t="n">
        <v>5.7</v>
      </c>
      <c r="AA31" s="129" t="n">
        <v>1.7</v>
      </c>
      <c r="AB31" s="130" t="n">
        <v>1.3</v>
      </c>
      <c r="AC31" s="630" t="n">
        <v>41</v>
      </c>
      <c r="AD31" s="611" t="n">
        <f aca="false">AD30-AC31</f>
        <v>5895.25787748929</v>
      </c>
      <c r="AE31" s="636" t="n">
        <f aca="false">N31+O31+Q31+R31+S31+V31+Z31+AC31</f>
        <v>348.7</v>
      </c>
      <c r="AF31" s="630" t="n">
        <f aca="false">IF(L31&lt;0,L31*-1,0)</f>
        <v>0</v>
      </c>
      <c r="AG31" s="630" t="n">
        <f aca="false">AE31+AF31</f>
        <v>348.7</v>
      </c>
      <c r="AH31" s="616" t="n">
        <v>0.45</v>
      </c>
      <c r="AI31" s="617" t="n">
        <v>64</v>
      </c>
      <c r="AJ31" s="618" t="n">
        <v>37</v>
      </c>
      <c r="AK31" s="617" t="n">
        <f aca="false">AK30</f>
        <v>15698.7543455</v>
      </c>
      <c r="AL31" s="243"/>
      <c r="AM31" s="246"/>
      <c r="AN31" s="366" t="n">
        <v>0</v>
      </c>
      <c r="AO31" s="105"/>
    </row>
    <row r="32" customFormat="false" ht="12.95" hidden="false" customHeight="true" outlineLevel="0" collapsed="false">
      <c r="A32" s="172" t="n">
        <v>21</v>
      </c>
      <c r="B32" s="619" t="n">
        <v>6890.02</v>
      </c>
      <c r="C32" s="611" t="n">
        <v>248236</v>
      </c>
      <c r="D32" s="617" t="n">
        <f aca="false">C32-C31</f>
        <v>34</v>
      </c>
      <c r="E32" s="611" t="n">
        <f aca="false">C32-151978</f>
        <v>96258</v>
      </c>
      <c r="F32" s="629" t="n">
        <f aca="false">D32/$D$2</f>
        <v>17.1414166876733</v>
      </c>
      <c r="G32" s="630" t="n">
        <v>231</v>
      </c>
      <c r="H32" s="631" t="n">
        <v>0</v>
      </c>
      <c r="I32" s="630" t="n">
        <f aca="false">G32+H32</f>
        <v>231</v>
      </c>
      <c r="J32" s="632" t="n">
        <f aca="false">IF(L32&gt;0,L32,0)</f>
        <v>95.1414166876733</v>
      </c>
      <c r="K32" s="630" t="n">
        <f aca="false">I32+J32</f>
        <v>326.141416687673</v>
      </c>
      <c r="L32" s="630" t="n">
        <f aca="false">F32-(I32-AE32)</f>
        <v>95.1414166876733</v>
      </c>
      <c r="M32" s="633" t="n">
        <v>133</v>
      </c>
      <c r="N32" s="126" t="n">
        <f aca="false">1.8299*1.03</f>
        <v>1.884797</v>
      </c>
      <c r="O32" s="630" t="n">
        <f aca="false">(27.1+28.06)*1.05</f>
        <v>57.918</v>
      </c>
      <c r="P32" s="630"/>
      <c r="Q32" s="196" t="n">
        <f aca="false">1.85*1.02</f>
        <v>1.887</v>
      </c>
      <c r="R32" s="634" t="n">
        <v>4.2</v>
      </c>
      <c r="S32" s="635" t="n">
        <v>1.21</v>
      </c>
      <c r="T32" s="630" t="n">
        <v>87</v>
      </c>
      <c r="U32" s="630" t="n">
        <v>48</v>
      </c>
      <c r="V32" s="630" t="n">
        <f aca="false">M32-N32-O32-Q32-R32-S32+T32+U32</f>
        <v>200.900203</v>
      </c>
      <c r="W32" s="611" t="n">
        <f aca="false">W31</f>
        <v>0.0488089425817009</v>
      </c>
      <c r="X32" s="611" t="n">
        <f aca="false">X31</f>
        <v>0.00509095315070596</v>
      </c>
      <c r="Y32" s="611" t="n">
        <f aca="false">Y31</f>
        <v>-1172.985936</v>
      </c>
      <c r="Z32" s="630" t="n">
        <v>0</v>
      </c>
      <c r="AA32" s="129" t="n">
        <v>1.7</v>
      </c>
      <c r="AB32" s="130" t="n">
        <v>1.3</v>
      </c>
      <c r="AC32" s="630" t="n">
        <v>41</v>
      </c>
      <c r="AD32" s="611" t="n">
        <f aca="false">AD31-AC32</f>
        <v>5854.25787748929</v>
      </c>
      <c r="AE32" s="636" t="n">
        <f aca="false">N32+O32+Q32+R32+S32+V32+Z32+AC32</f>
        <v>309</v>
      </c>
      <c r="AF32" s="630" t="n">
        <f aca="false">IF(L32&lt;0,L32*-1,0)</f>
        <v>0</v>
      </c>
      <c r="AG32" s="630" t="n">
        <f aca="false">AE32+AF32</f>
        <v>309</v>
      </c>
      <c r="AH32" s="616" t="n">
        <v>0</v>
      </c>
      <c r="AI32" s="617" t="n">
        <v>56</v>
      </c>
      <c r="AJ32" s="618" t="n">
        <v>33</v>
      </c>
      <c r="AK32" s="617" t="n">
        <f aca="false">AK31</f>
        <v>15698.7543455</v>
      </c>
      <c r="AL32" s="243"/>
      <c r="AM32" s="246"/>
      <c r="AN32" s="366" t="n">
        <v>0</v>
      </c>
      <c r="AO32" s="105"/>
    </row>
    <row r="33" customFormat="false" ht="12.95" hidden="false" customHeight="true" outlineLevel="0" collapsed="false">
      <c r="A33" s="172" t="n">
        <v>22</v>
      </c>
      <c r="B33" s="619" t="n">
        <v>6889.99</v>
      </c>
      <c r="C33" s="611" t="n">
        <v>248134</v>
      </c>
      <c r="D33" s="617" t="n">
        <f aca="false">C33-C32</f>
        <v>-102</v>
      </c>
      <c r="E33" s="611" t="n">
        <f aca="false">C33-151978</f>
        <v>96156</v>
      </c>
      <c r="F33" s="629" t="n">
        <f aca="false">D33/$D$2</f>
        <v>-51.4242500630199</v>
      </c>
      <c r="G33" s="630" t="n">
        <v>252</v>
      </c>
      <c r="H33" s="631" t="n">
        <v>0</v>
      </c>
      <c r="I33" s="630" t="n">
        <f aca="false">G33+H33</f>
        <v>252</v>
      </c>
      <c r="J33" s="632" t="n">
        <f aca="false">IF(L33&gt;0,L33,0)</f>
        <v>0</v>
      </c>
      <c r="K33" s="630" t="n">
        <f aca="false">I33+J33</f>
        <v>252</v>
      </c>
      <c r="L33" s="630" t="n">
        <f aca="false">F33-(I33-AE33)</f>
        <v>-27.4242500630199</v>
      </c>
      <c r="M33" s="633" t="n">
        <v>81</v>
      </c>
      <c r="N33" s="126" t="n">
        <f aca="false">1.8299*1.03</f>
        <v>1.884797</v>
      </c>
      <c r="O33" s="630" t="n">
        <f aca="false">(12.98+15.29)*1.05</f>
        <v>29.6835</v>
      </c>
      <c r="P33" s="630"/>
      <c r="Q33" s="196" t="n">
        <f aca="false">1.85*1.02</f>
        <v>1.887</v>
      </c>
      <c r="R33" s="634" t="n">
        <v>4.2</v>
      </c>
      <c r="S33" s="635" t="n">
        <v>0.58</v>
      </c>
      <c r="T33" s="630" t="n">
        <v>106</v>
      </c>
      <c r="U33" s="630" t="n">
        <v>48</v>
      </c>
      <c r="V33" s="630" t="n">
        <f aca="false">M33-N33-O33-Q33-R33-S33+T33+U33</f>
        <v>196.764703</v>
      </c>
      <c r="W33" s="611" t="n">
        <f aca="false">W32</f>
        <v>0.0488089425817009</v>
      </c>
      <c r="X33" s="611" t="n">
        <f aca="false">X32</f>
        <v>0.00509095315070596</v>
      </c>
      <c r="Y33" s="611" t="n">
        <f aca="false">Y32</f>
        <v>-1172.985936</v>
      </c>
      <c r="Z33" s="630" t="n">
        <v>0</v>
      </c>
      <c r="AA33" s="129" t="n">
        <v>1.7</v>
      </c>
      <c r="AB33" s="130" t="n">
        <v>1.3</v>
      </c>
      <c r="AC33" s="630" t="n">
        <v>41</v>
      </c>
      <c r="AD33" s="611" t="n">
        <f aca="false">AD32-AC33</f>
        <v>5813.25787748929</v>
      </c>
      <c r="AE33" s="636" t="n">
        <f aca="false">N33+O33+Q33+R33+S33+V33+Z33+AC33</f>
        <v>276</v>
      </c>
      <c r="AF33" s="630" t="n">
        <f aca="false">IF(L33&lt;0,L33*-1,0)</f>
        <v>27.4242500630199</v>
      </c>
      <c r="AG33" s="630" t="n">
        <f aca="false">AE33+AF33</f>
        <v>303.42425006302</v>
      </c>
      <c r="AH33" s="616" t="n">
        <v>0.17</v>
      </c>
      <c r="AI33" s="617" t="n">
        <v>50</v>
      </c>
      <c r="AJ33" s="618" t="n">
        <v>34</v>
      </c>
      <c r="AK33" s="617" t="n">
        <f aca="false">AK32</f>
        <v>15698.7543455</v>
      </c>
      <c r="AL33" s="243"/>
      <c r="AM33" s="246"/>
      <c r="AN33" s="366" t="n">
        <v>0</v>
      </c>
      <c r="AO33" s="105"/>
    </row>
    <row r="34" customFormat="false" ht="12.95" hidden="false" customHeight="true" outlineLevel="0" collapsed="false">
      <c r="A34" s="172" t="n">
        <v>23</v>
      </c>
      <c r="B34" s="619" t="n">
        <v>6889.94</v>
      </c>
      <c r="C34" s="611" t="n">
        <v>247966</v>
      </c>
      <c r="D34" s="617" t="n">
        <f aca="false">C34-C33</f>
        <v>-168</v>
      </c>
      <c r="E34" s="611" t="n">
        <f aca="false">C34-151978</f>
        <v>95988</v>
      </c>
      <c r="F34" s="629" t="n">
        <f aca="false">D34/$D$2</f>
        <v>-84.6987648096799</v>
      </c>
      <c r="G34" s="630" t="n">
        <v>234</v>
      </c>
      <c r="H34" s="631" t="n">
        <v>0</v>
      </c>
      <c r="I34" s="630" t="n">
        <f aca="false">G34+H34</f>
        <v>234</v>
      </c>
      <c r="J34" s="632" t="n">
        <f aca="false">IF(L34&gt;0,L34,0)</f>
        <v>0</v>
      </c>
      <c r="K34" s="630" t="n">
        <f aca="false">I34+J34</f>
        <v>234</v>
      </c>
      <c r="L34" s="630" t="n">
        <f aca="false">F34-(I34-AE34)</f>
        <v>-47.6987648096799</v>
      </c>
      <c r="M34" s="633" t="n">
        <v>65</v>
      </c>
      <c r="N34" s="126" t="n">
        <f aca="false">1.8299*1.03</f>
        <v>1.884797</v>
      </c>
      <c r="O34" s="630" t="n">
        <f aca="false">5.11*1.05</f>
        <v>5.3655</v>
      </c>
      <c r="P34" s="630"/>
      <c r="Q34" s="196" t="n">
        <f aca="false">1.85*1.02</f>
        <v>1.887</v>
      </c>
      <c r="R34" s="634" t="n">
        <v>4.2</v>
      </c>
      <c r="S34" s="635" t="n">
        <v>1.17</v>
      </c>
      <c r="T34" s="630" t="n">
        <v>118</v>
      </c>
      <c r="U34" s="630" t="n">
        <v>47</v>
      </c>
      <c r="V34" s="630" t="n">
        <f aca="false">M34-N34-O34-Q34-R34-S34+T34+U34</f>
        <v>215.492703</v>
      </c>
      <c r="W34" s="611" t="n">
        <f aca="false">W33</f>
        <v>0.0488089425817009</v>
      </c>
      <c r="X34" s="611" t="n">
        <f aca="false">X33</f>
        <v>0.00509095315070596</v>
      </c>
      <c r="Y34" s="611" t="n">
        <f aca="false">Y33</f>
        <v>-1172.985936</v>
      </c>
      <c r="Z34" s="630" t="n">
        <v>0</v>
      </c>
      <c r="AA34" s="129" t="n">
        <v>1.7</v>
      </c>
      <c r="AB34" s="130" t="n">
        <v>1.3</v>
      </c>
      <c r="AC34" s="630" t="n">
        <v>41</v>
      </c>
      <c r="AD34" s="611" t="n">
        <f aca="false">AD33-AC34</f>
        <v>5772.25787748929</v>
      </c>
      <c r="AE34" s="636" t="n">
        <f aca="false">N34+O34+Q34+R34+S34+V34+Z34+AC34</f>
        <v>271</v>
      </c>
      <c r="AF34" s="630" t="n">
        <f aca="false">IF(L34&lt;0,L34*-1,0)</f>
        <v>47.6987648096799</v>
      </c>
      <c r="AG34" s="630" t="n">
        <f aca="false">AE34+AF34</f>
        <v>318.69876480968</v>
      </c>
      <c r="AH34" s="616" t="n">
        <v>0</v>
      </c>
      <c r="AI34" s="617" t="n">
        <v>55</v>
      </c>
      <c r="AJ34" s="618" t="n">
        <v>29</v>
      </c>
      <c r="AK34" s="617" t="n">
        <f aca="false">AK33</f>
        <v>15698.7543455</v>
      </c>
      <c r="AL34" s="243"/>
      <c r="AM34" s="246"/>
      <c r="AN34" s="366" t="n">
        <v>0</v>
      </c>
      <c r="AO34" s="105"/>
    </row>
    <row r="35" customFormat="false" ht="12.95" hidden="false" customHeight="true" outlineLevel="0" collapsed="false">
      <c r="A35" s="172" t="n">
        <v>24</v>
      </c>
      <c r="B35" s="619" t="n">
        <v>6889.87</v>
      </c>
      <c r="C35" s="611" t="n">
        <v>247730</v>
      </c>
      <c r="D35" s="617" t="n">
        <f aca="false">C35-C34</f>
        <v>-236</v>
      </c>
      <c r="E35" s="611" t="n">
        <f aca="false">C35-151978</f>
        <v>95752</v>
      </c>
      <c r="F35" s="629" t="n">
        <f aca="false">D35/$D$2</f>
        <v>-118.981598185026</v>
      </c>
      <c r="G35" s="630" t="n">
        <v>225</v>
      </c>
      <c r="H35" s="631" t="n">
        <v>0</v>
      </c>
      <c r="I35" s="630" t="n">
        <f aca="false">G35+H35</f>
        <v>225</v>
      </c>
      <c r="J35" s="632" t="n">
        <f aca="false">IF(L35&gt;0,L35,0)</f>
        <v>0</v>
      </c>
      <c r="K35" s="630" t="n">
        <f aca="false">I35+J35</f>
        <v>225</v>
      </c>
      <c r="L35" s="630" t="n">
        <f aca="false">F35-(I35-AE35)</f>
        <v>-66.9815981850265</v>
      </c>
      <c r="M35" s="633" t="n">
        <v>71</v>
      </c>
      <c r="N35" s="126" t="n">
        <f aca="false">1.8299*1.03</f>
        <v>1.884797</v>
      </c>
      <c r="O35" s="630" t="n">
        <f aca="false">10.69*1.05</f>
        <v>11.2245</v>
      </c>
      <c r="P35" s="630"/>
      <c r="Q35" s="196" t="n">
        <f aca="false">1.85*1.02</f>
        <v>1.887</v>
      </c>
      <c r="R35" s="634" t="n">
        <v>4.2</v>
      </c>
      <c r="S35" s="635" t="n">
        <v>1.43</v>
      </c>
      <c r="T35" s="630" t="n">
        <v>118</v>
      </c>
      <c r="U35" s="630" t="n">
        <v>47</v>
      </c>
      <c r="V35" s="630" t="n">
        <f aca="false">M35-N35-O35-Q35-R35-S35+T35+U35</f>
        <v>215.373703</v>
      </c>
      <c r="W35" s="611" t="n">
        <f aca="false">W34</f>
        <v>0.0488089425817009</v>
      </c>
      <c r="X35" s="611" t="n">
        <f aca="false">X34</f>
        <v>0.00509095315070596</v>
      </c>
      <c r="Y35" s="611" t="n">
        <f aca="false">Y34</f>
        <v>-1172.985936</v>
      </c>
      <c r="Z35" s="630" t="n">
        <v>0</v>
      </c>
      <c r="AA35" s="129" t="n">
        <v>1.7</v>
      </c>
      <c r="AB35" s="130" t="n">
        <v>1.3</v>
      </c>
      <c r="AC35" s="630" t="n">
        <v>41</v>
      </c>
      <c r="AD35" s="611" t="n">
        <f aca="false">AD34-AC35</f>
        <v>5731.25787748929</v>
      </c>
      <c r="AE35" s="636" t="n">
        <f aca="false">N35+O35+Q35+R35+S35+V35+Z35+AC35</f>
        <v>277</v>
      </c>
      <c r="AF35" s="630" t="n">
        <f aca="false">IF(L35&lt;0,L35*-1,0)</f>
        <v>66.9815981850265</v>
      </c>
      <c r="AG35" s="630" t="n">
        <f aca="false">AE35+AF35</f>
        <v>343.981598185026</v>
      </c>
      <c r="AH35" s="616" t="n">
        <v>0</v>
      </c>
      <c r="AI35" s="617" t="n">
        <v>62</v>
      </c>
      <c r="AJ35" s="618" t="n">
        <v>31</v>
      </c>
      <c r="AK35" s="617" t="n">
        <f aca="false">AK34</f>
        <v>15698.7543455</v>
      </c>
      <c r="AL35" s="243"/>
      <c r="AM35" s="246"/>
      <c r="AN35" s="366" t="n">
        <v>0</v>
      </c>
      <c r="AO35" s="105"/>
    </row>
    <row r="36" customFormat="false" ht="12.95" hidden="false" customHeight="true" outlineLevel="0" collapsed="false">
      <c r="A36" s="172" t="n">
        <v>25</v>
      </c>
      <c r="B36" s="619" t="n">
        <v>6889.83</v>
      </c>
      <c r="C36" s="611" t="n">
        <v>247596</v>
      </c>
      <c r="D36" s="617" t="n">
        <f aca="false">C36-C35</f>
        <v>-134</v>
      </c>
      <c r="E36" s="611" t="n">
        <f aca="false">C36-151978</f>
        <v>95618</v>
      </c>
      <c r="F36" s="629" t="n">
        <f aca="false">D36/$D$2</f>
        <v>-67.5573481220066</v>
      </c>
      <c r="G36" s="630" t="n">
        <v>231</v>
      </c>
      <c r="H36" s="631" t="n">
        <v>0</v>
      </c>
      <c r="I36" s="630" t="n">
        <f aca="false">G36+H36</f>
        <v>231</v>
      </c>
      <c r="J36" s="632" t="n">
        <f aca="false">IF(L36&gt;0,L36,0)</f>
        <v>0</v>
      </c>
      <c r="K36" s="630" t="n">
        <f aca="false">I36+J36</f>
        <v>231</v>
      </c>
      <c r="L36" s="630" t="n">
        <f aca="false">F36-(I36-AE36)</f>
        <v>-9.55734812200656</v>
      </c>
      <c r="M36" s="633" t="n">
        <v>95</v>
      </c>
      <c r="N36" s="126" t="n">
        <f aca="false">1.8299*1.03</f>
        <v>1.884797</v>
      </c>
      <c r="O36" s="630" t="n">
        <f aca="false">(10.36+13.84)*1.05</f>
        <v>25.41</v>
      </c>
      <c r="P36" s="630"/>
      <c r="Q36" s="196" t="n">
        <f aca="false">1.85*1.02</f>
        <v>1.887</v>
      </c>
      <c r="R36" s="634" t="n">
        <v>4.11</v>
      </c>
      <c r="S36" s="635" t="n">
        <v>0</v>
      </c>
      <c r="T36" s="630" t="n">
        <v>107</v>
      </c>
      <c r="U36" s="630" t="n">
        <v>46</v>
      </c>
      <c r="V36" s="630" t="n">
        <f aca="false">M36-N36-O36-Q36-R36-S36+T36+U36</f>
        <v>214.708203</v>
      </c>
      <c r="W36" s="611" t="n">
        <f aca="false">W35</f>
        <v>0.0488089425817009</v>
      </c>
      <c r="X36" s="611" t="n">
        <f aca="false">X35</f>
        <v>0.00509095315070596</v>
      </c>
      <c r="Y36" s="611" t="n">
        <f aca="false">Y35</f>
        <v>-1172.985936</v>
      </c>
      <c r="Z36" s="630" t="n">
        <v>0</v>
      </c>
      <c r="AA36" s="129" t="n">
        <v>1.7</v>
      </c>
      <c r="AB36" s="130" t="n">
        <v>1.3</v>
      </c>
      <c r="AC36" s="630" t="n">
        <v>41</v>
      </c>
      <c r="AD36" s="611" t="n">
        <f aca="false">AD35-AC36</f>
        <v>5690.25787748929</v>
      </c>
      <c r="AE36" s="636" t="n">
        <f aca="false">N36+O36+Q36+R36+S36+V36+Z36+AC36</f>
        <v>289</v>
      </c>
      <c r="AF36" s="630" t="n">
        <f aca="false">IF(L36&lt;0,L36*-1,0)</f>
        <v>9.55734812200656</v>
      </c>
      <c r="AG36" s="630" t="n">
        <f aca="false">AE36+AF36</f>
        <v>298.557348122007</v>
      </c>
      <c r="AH36" s="616" t="n">
        <v>0</v>
      </c>
      <c r="AI36" s="617" t="n">
        <v>66</v>
      </c>
      <c r="AJ36" s="618" t="n">
        <v>37</v>
      </c>
      <c r="AK36" s="617" t="n">
        <f aca="false">AK35</f>
        <v>15698.7543455</v>
      </c>
      <c r="AL36" s="243"/>
      <c r="AM36" s="246"/>
      <c r="AN36" s="366" t="n">
        <v>0</v>
      </c>
      <c r="AO36" s="105"/>
    </row>
    <row r="37" customFormat="false" ht="12.95" hidden="false" customHeight="true" outlineLevel="0" collapsed="false">
      <c r="A37" s="172" t="n">
        <v>26</v>
      </c>
      <c r="B37" s="619" t="n">
        <v>6889.78</v>
      </c>
      <c r="C37" s="611" t="n">
        <v>247427</v>
      </c>
      <c r="D37" s="617" t="n">
        <f aca="false">C37-C36</f>
        <v>-169</v>
      </c>
      <c r="E37" s="611" t="n">
        <f aca="false">C37-151978</f>
        <v>95449</v>
      </c>
      <c r="F37" s="629" t="n">
        <f aca="false">D37/$D$2</f>
        <v>-85.2029241240232</v>
      </c>
      <c r="G37" s="630" t="n">
        <v>251</v>
      </c>
      <c r="H37" s="631" t="n">
        <v>0</v>
      </c>
      <c r="I37" s="630" t="n">
        <f aca="false">G37+H37</f>
        <v>251</v>
      </c>
      <c r="J37" s="632" t="n">
        <f aca="false">IF(L37&gt;0,L37,0)</f>
        <v>0</v>
      </c>
      <c r="K37" s="630" t="n">
        <f aca="false">I37+J37</f>
        <v>251</v>
      </c>
      <c r="L37" s="630" t="n">
        <f aca="false">F37-(I37-AE37)</f>
        <v>-40.2029241240232</v>
      </c>
      <c r="M37" s="633" t="n">
        <v>113</v>
      </c>
      <c r="N37" s="126" t="n">
        <f aca="false">1.8299*1.03</f>
        <v>1.884797</v>
      </c>
      <c r="O37" s="630" t="n">
        <f aca="false">(25.63+25.66)*1.05</f>
        <v>53.8545</v>
      </c>
      <c r="P37" s="630"/>
      <c r="Q37" s="196" t="n">
        <f aca="false">1.85*1.02</f>
        <v>1.887</v>
      </c>
      <c r="R37" s="634" t="n">
        <v>4.2</v>
      </c>
      <c r="S37" s="635" t="n">
        <v>0.04</v>
      </c>
      <c r="T37" s="630" t="n">
        <v>98</v>
      </c>
      <c r="U37" s="630" t="n">
        <v>44</v>
      </c>
      <c r="V37" s="630" t="n">
        <f aca="false">M37-N37-O37-Q37-R37-S37+T37+U37</f>
        <v>193.133703</v>
      </c>
      <c r="W37" s="611" t="n">
        <f aca="false">W36</f>
        <v>0.0488089425817009</v>
      </c>
      <c r="X37" s="611" t="n">
        <f aca="false">X36</f>
        <v>0.00509095315070596</v>
      </c>
      <c r="Y37" s="611" t="n">
        <f aca="false">Y36</f>
        <v>-1172.985936</v>
      </c>
      <c r="Z37" s="630" t="n">
        <v>0</v>
      </c>
      <c r="AA37" s="129" t="n">
        <v>1.7</v>
      </c>
      <c r="AB37" s="130" t="n">
        <v>1.3</v>
      </c>
      <c r="AC37" s="630" t="n">
        <v>41</v>
      </c>
      <c r="AD37" s="611" t="n">
        <f aca="false">AD36-AC37</f>
        <v>5649.25787748929</v>
      </c>
      <c r="AE37" s="636" t="n">
        <f aca="false">N37+O37+Q37+R37+S37+V37+Z37+AC37</f>
        <v>296</v>
      </c>
      <c r="AF37" s="630" t="n">
        <f aca="false">IF(L37&lt;0,L37*-1,0)</f>
        <v>40.2029241240232</v>
      </c>
      <c r="AG37" s="630" t="n">
        <f aca="false">AE37+AF37</f>
        <v>336.202924124023</v>
      </c>
      <c r="AH37" s="616" t="n">
        <v>0</v>
      </c>
      <c r="AI37" s="617" t="n">
        <v>71</v>
      </c>
      <c r="AJ37" s="618" t="n">
        <v>40</v>
      </c>
      <c r="AK37" s="617" t="n">
        <f aca="false">AK36</f>
        <v>15698.7543455</v>
      </c>
      <c r="AL37" s="243"/>
      <c r="AM37" s="246"/>
      <c r="AN37" s="366" t="n">
        <v>0</v>
      </c>
      <c r="AO37" s="105"/>
    </row>
    <row r="38" customFormat="false" ht="12.95" hidden="false" customHeight="true" outlineLevel="0" collapsed="false">
      <c r="A38" s="172" t="n">
        <v>27</v>
      </c>
      <c r="B38" s="619" t="n">
        <v>6889.73</v>
      </c>
      <c r="C38" s="611" t="n">
        <v>247259</v>
      </c>
      <c r="D38" s="617" t="n">
        <f aca="false">C38-C37</f>
        <v>-168</v>
      </c>
      <c r="E38" s="611" t="n">
        <f aca="false">C38-151978</f>
        <v>95281</v>
      </c>
      <c r="F38" s="629" t="n">
        <f aca="false">D38/$D$2</f>
        <v>-84.6987648096799</v>
      </c>
      <c r="G38" s="630" t="n">
        <v>268</v>
      </c>
      <c r="H38" s="631" t="n">
        <v>0</v>
      </c>
      <c r="I38" s="630" t="n">
        <f aca="false">G38+H38</f>
        <v>268</v>
      </c>
      <c r="J38" s="632" t="n">
        <f aca="false">IF(L38&gt;0,L38,0)</f>
        <v>0</v>
      </c>
      <c r="K38" s="630" t="n">
        <f aca="false">I38+J38</f>
        <v>268</v>
      </c>
      <c r="L38" s="630" t="n">
        <f aca="false">F38-(I38-AE38)</f>
        <v>-42.6987648096799</v>
      </c>
      <c r="M38" s="633" t="n">
        <v>128</v>
      </c>
      <c r="N38" s="126" t="n">
        <f aca="false">1.8299*1.03</f>
        <v>1.884797</v>
      </c>
      <c r="O38" s="630" t="n">
        <f aca="false">(31.18+30.86)*1.05</f>
        <v>65.142</v>
      </c>
      <c r="P38" s="630"/>
      <c r="Q38" s="196" t="n">
        <f aca="false">1.85*1.02</f>
        <v>1.887</v>
      </c>
      <c r="R38" s="634" t="n">
        <v>4.2</v>
      </c>
      <c r="S38" s="635" t="n">
        <v>1.21</v>
      </c>
      <c r="T38" s="630" t="n">
        <v>98</v>
      </c>
      <c r="U38" s="630" t="n">
        <v>43</v>
      </c>
      <c r="V38" s="630" t="n">
        <f aca="false">M38-N38-O38-Q38-R38-S38+T38+U38</f>
        <v>194.676203</v>
      </c>
      <c r="W38" s="611" t="n">
        <f aca="false">W37</f>
        <v>0.0488089425817009</v>
      </c>
      <c r="X38" s="611" t="n">
        <f aca="false">X37</f>
        <v>0.00509095315070596</v>
      </c>
      <c r="Y38" s="611" t="n">
        <f aca="false">Y37</f>
        <v>-1172.985936</v>
      </c>
      <c r="Z38" s="630" t="n">
        <v>0</v>
      </c>
      <c r="AA38" s="129" t="n">
        <v>1.7</v>
      </c>
      <c r="AB38" s="130" t="n">
        <v>1.3</v>
      </c>
      <c r="AC38" s="630" t="n">
        <v>41</v>
      </c>
      <c r="AD38" s="611" t="n">
        <f aca="false">AD37-AC38</f>
        <v>5608.25787748929</v>
      </c>
      <c r="AE38" s="636" t="n">
        <f aca="false">N38+O38+Q38+R38+S38+V38+Z38+AC38</f>
        <v>310</v>
      </c>
      <c r="AF38" s="630" t="n">
        <f aca="false">IF(L38&lt;0,L38*-1,0)</f>
        <v>42.6987648096799</v>
      </c>
      <c r="AG38" s="630" t="n">
        <f aca="false">AE38+AF38</f>
        <v>352.69876480968</v>
      </c>
      <c r="AH38" s="616" t="n">
        <v>0</v>
      </c>
      <c r="AI38" s="617" t="n">
        <v>71</v>
      </c>
      <c r="AJ38" s="618" t="n">
        <v>43</v>
      </c>
      <c r="AK38" s="617" t="n">
        <f aca="false">AK37</f>
        <v>15698.7543455</v>
      </c>
      <c r="AL38" s="243"/>
      <c r="AM38" s="246"/>
      <c r="AN38" s="366" t="n">
        <v>0</v>
      </c>
      <c r="AO38" s="105"/>
    </row>
    <row r="39" customFormat="false" ht="12.95" hidden="false" customHeight="true" outlineLevel="0" collapsed="false">
      <c r="A39" s="172" t="n">
        <v>28</v>
      </c>
      <c r="B39" s="619" t="n">
        <v>6889.68</v>
      </c>
      <c r="C39" s="611" t="n">
        <v>247091</v>
      </c>
      <c r="D39" s="617" t="n">
        <f aca="false">C39-C38</f>
        <v>-168</v>
      </c>
      <c r="E39" s="611" t="n">
        <f aca="false">C39-151978</f>
        <v>95113</v>
      </c>
      <c r="F39" s="629" t="n">
        <f aca="false">D39/$D$2</f>
        <v>-84.6987648096799</v>
      </c>
      <c r="G39" s="630" t="n">
        <v>275</v>
      </c>
      <c r="H39" s="631" t="n">
        <v>0</v>
      </c>
      <c r="I39" s="630" t="n">
        <f aca="false">G39+H39</f>
        <v>275</v>
      </c>
      <c r="J39" s="632" t="n">
        <f aca="false">IF(L39&gt;0,L39,0)</f>
        <v>0</v>
      </c>
      <c r="K39" s="630" t="n">
        <f aca="false">I39+J39</f>
        <v>275</v>
      </c>
      <c r="L39" s="630" t="n">
        <f aca="false">F39-(I39-AE39)</f>
        <v>-38.6987648096799</v>
      </c>
      <c r="M39" s="633" t="n">
        <v>123</v>
      </c>
      <c r="N39" s="126" t="n">
        <f aca="false">1.8299*1.03</f>
        <v>1.884797</v>
      </c>
      <c r="O39" s="630" t="n">
        <f aca="false">(25.11+25.62)*1.05</f>
        <v>53.2665</v>
      </c>
      <c r="P39" s="630"/>
      <c r="Q39" s="196" t="n">
        <f aca="false">1.85*1.02</f>
        <v>1.887</v>
      </c>
      <c r="R39" s="634" t="n">
        <v>4.2</v>
      </c>
      <c r="S39" s="635" t="n">
        <v>1.11</v>
      </c>
      <c r="T39" s="630" t="n">
        <v>98</v>
      </c>
      <c r="U39" s="630" t="n">
        <v>43</v>
      </c>
      <c r="V39" s="630" t="n">
        <f aca="false">M39-N39-O39-Q39-R39-S39+T39+U39</f>
        <v>201.651703</v>
      </c>
      <c r="W39" s="611" t="n">
        <f aca="false">W38</f>
        <v>0.0488089425817009</v>
      </c>
      <c r="X39" s="611" t="n">
        <f aca="false">X38</f>
        <v>0.00509095315070596</v>
      </c>
      <c r="Y39" s="611" t="n">
        <f aca="false">Y38</f>
        <v>-1172.985936</v>
      </c>
      <c r="Z39" s="630" t="n">
        <v>17</v>
      </c>
      <c r="AA39" s="129" t="n">
        <v>1.7</v>
      </c>
      <c r="AB39" s="130" t="n">
        <v>1.3</v>
      </c>
      <c r="AC39" s="630" t="n">
        <v>40</v>
      </c>
      <c r="AD39" s="611" t="n">
        <f aca="false">AD38-AC39</f>
        <v>5568.25787748929</v>
      </c>
      <c r="AE39" s="636" t="n">
        <f aca="false">N39+O39+Q39+R39+S39+V39+Z39+AC39</f>
        <v>321</v>
      </c>
      <c r="AF39" s="630" t="n">
        <f aca="false">IF(L39&lt;0,L39*-1,0)</f>
        <v>38.6987648096799</v>
      </c>
      <c r="AG39" s="630" t="n">
        <f aca="false">AE39+AF39</f>
        <v>359.69876480968</v>
      </c>
      <c r="AH39" s="616" t="n">
        <v>0</v>
      </c>
      <c r="AI39" s="617" t="n">
        <v>73</v>
      </c>
      <c r="AJ39" s="618" t="n">
        <v>43</v>
      </c>
      <c r="AK39" s="617" t="n">
        <f aca="false">AK38</f>
        <v>15698.7543455</v>
      </c>
      <c r="AL39" s="243"/>
      <c r="AM39" s="246"/>
      <c r="AN39" s="366" t="n">
        <v>0</v>
      </c>
      <c r="AO39" s="105"/>
    </row>
    <row r="40" customFormat="false" ht="12.95" hidden="false" customHeight="true" outlineLevel="0" collapsed="false">
      <c r="A40" s="172" t="n">
        <v>29</v>
      </c>
      <c r="B40" s="619" t="n">
        <v>6889.63</v>
      </c>
      <c r="C40" s="611" t="n">
        <v>246922</v>
      </c>
      <c r="D40" s="617" t="n">
        <f aca="false">C40-C39</f>
        <v>-169</v>
      </c>
      <c r="E40" s="611" t="n">
        <f aca="false">C40-151978</f>
        <v>94944</v>
      </c>
      <c r="F40" s="629" t="n">
        <f aca="false">D40/$D$2</f>
        <v>-85.2029241240232</v>
      </c>
      <c r="G40" s="630" t="n">
        <v>269</v>
      </c>
      <c r="H40" s="631" t="n">
        <v>0</v>
      </c>
      <c r="I40" s="630" t="n">
        <f aca="false">G40+H40</f>
        <v>269</v>
      </c>
      <c r="J40" s="632" t="n">
        <f aca="false">IF(L40&gt;0,L40,0)</f>
        <v>0</v>
      </c>
      <c r="K40" s="630" t="n">
        <f aca="false">I40+J40</f>
        <v>269</v>
      </c>
      <c r="L40" s="630" t="n">
        <f aca="false">F40-(I40-AE40)</f>
        <v>-56.7029241240232</v>
      </c>
      <c r="M40" s="633" t="n">
        <v>112</v>
      </c>
      <c r="N40" s="126" t="n">
        <f aca="false">1.8299*1.03</f>
        <v>1.884797</v>
      </c>
      <c r="O40" s="630" t="n">
        <f aca="false">(21.62+16.4)*1.05</f>
        <v>39.921</v>
      </c>
      <c r="P40" s="630"/>
      <c r="Q40" s="196" t="n">
        <f aca="false">1.85*1.02</f>
        <v>1.887</v>
      </c>
      <c r="R40" s="634" t="n">
        <v>4.2</v>
      </c>
      <c r="S40" s="635" t="n">
        <v>1.11</v>
      </c>
      <c r="T40" s="630" t="n">
        <v>98</v>
      </c>
      <c r="U40" s="630" t="n">
        <v>43</v>
      </c>
      <c r="V40" s="630" t="n">
        <f aca="false">M40-N40-O40-Q40-R40-S40+T40+U40</f>
        <v>203.997203</v>
      </c>
      <c r="W40" s="611" t="n">
        <f aca="false">W39</f>
        <v>0.0488089425817009</v>
      </c>
      <c r="X40" s="611" t="n">
        <f aca="false">X39</f>
        <v>0.00509095315070596</v>
      </c>
      <c r="Y40" s="611" t="n">
        <f aca="false">Y39</f>
        <v>-1172.985936</v>
      </c>
      <c r="Z40" s="630" t="n">
        <v>4.5</v>
      </c>
      <c r="AA40" s="129" t="n">
        <v>1.7</v>
      </c>
      <c r="AB40" s="130" t="n">
        <v>1.3</v>
      </c>
      <c r="AC40" s="630" t="n">
        <v>40</v>
      </c>
      <c r="AD40" s="611" t="n">
        <f aca="false">AD39-AC40</f>
        <v>5528.25787748929</v>
      </c>
      <c r="AE40" s="636" t="n">
        <f aca="false">N40+O40+Q40+R40+S40+V40+Z40+AC40</f>
        <v>297.5</v>
      </c>
      <c r="AF40" s="630" t="n">
        <f aca="false">IF(L40&lt;0,L40*-1,0)</f>
        <v>56.7029241240232</v>
      </c>
      <c r="AG40" s="630" t="n">
        <f aca="false">AE40+AF40</f>
        <v>354.202924124023</v>
      </c>
      <c r="AH40" s="616" t="n">
        <v>0</v>
      </c>
      <c r="AI40" s="617" t="n">
        <v>73</v>
      </c>
      <c r="AJ40" s="618" t="n">
        <v>42</v>
      </c>
      <c r="AK40" s="617" t="n">
        <f aca="false">AK39</f>
        <v>15698.7543455</v>
      </c>
      <c r="AL40" s="243"/>
      <c r="AM40" s="246"/>
      <c r="AN40" s="366" t="n">
        <v>0</v>
      </c>
      <c r="AO40" s="105"/>
    </row>
    <row r="41" customFormat="false" ht="12.95" hidden="false" customHeight="true" outlineLevel="0" collapsed="false">
      <c r="A41" s="172" t="n">
        <v>30</v>
      </c>
      <c r="B41" s="619" t="n">
        <v>6889.61</v>
      </c>
      <c r="C41" s="611" t="n">
        <v>246821</v>
      </c>
      <c r="D41" s="617" t="n">
        <f aca="false">C41-C40</f>
        <v>-101</v>
      </c>
      <c r="E41" s="611" t="n">
        <f aca="false">C41-151978</f>
        <v>94843</v>
      </c>
      <c r="F41" s="629" t="n">
        <f aca="false">D41/$D$2</f>
        <v>-50.9200907486766</v>
      </c>
      <c r="G41" s="630" t="n">
        <v>256</v>
      </c>
      <c r="H41" s="631" t="n">
        <v>0</v>
      </c>
      <c r="I41" s="630" t="n">
        <f aca="false">G41+H41</f>
        <v>256</v>
      </c>
      <c r="J41" s="632" t="n">
        <f aca="false">IF(L41&gt;0,L41,0)</f>
        <v>0</v>
      </c>
      <c r="K41" s="630" t="n">
        <f aca="false">I41+J41</f>
        <v>256</v>
      </c>
      <c r="L41" s="630" t="n">
        <f aca="false">F41-(I41-AE41)</f>
        <v>-4.32009074867656</v>
      </c>
      <c r="M41" s="633" t="n">
        <v>113</v>
      </c>
      <c r="N41" s="126" t="n">
        <f aca="false">1.8299*1.03</f>
        <v>1.884797</v>
      </c>
      <c r="O41" s="630" t="n">
        <f aca="false">(14.8+10.52)*1.05</f>
        <v>26.586</v>
      </c>
      <c r="P41" s="630"/>
      <c r="Q41" s="196" t="n">
        <f aca="false">1.85*1.02</f>
        <v>1.887</v>
      </c>
      <c r="R41" s="634" t="n">
        <v>4.2</v>
      </c>
      <c r="S41" s="635" t="n">
        <v>0.48</v>
      </c>
      <c r="T41" s="630" t="n">
        <v>98</v>
      </c>
      <c r="U41" s="630" t="n">
        <v>43</v>
      </c>
      <c r="V41" s="630" t="n">
        <f aca="false">M41-N41-O41-Q41-R41-S41+T41+U41</f>
        <v>218.962203</v>
      </c>
      <c r="W41" s="611" t="n">
        <f aca="false">W40</f>
        <v>0.0488089425817009</v>
      </c>
      <c r="X41" s="611" t="n">
        <f aca="false">X40</f>
        <v>0.00509095315070596</v>
      </c>
      <c r="Y41" s="611" t="n">
        <f aca="false">Y40</f>
        <v>-1172.985936</v>
      </c>
      <c r="Z41" s="630" t="n">
        <v>8.6</v>
      </c>
      <c r="AA41" s="129" t="n">
        <v>1.7</v>
      </c>
      <c r="AB41" s="130" t="n">
        <v>1.3</v>
      </c>
      <c r="AC41" s="630" t="n">
        <v>40</v>
      </c>
      <c r="AD41" s="611" t="n">
        <f aca="false">AD40-AC41</f>
        <v>5488.25787748929</v>
      </c>
      <c r="AE41" s="636" t="n">
        <f aca="false">N41+O41+Q41+R41+S41+V41+Z41+AC41</f>
        <v>302.6</v>
      </c>
      <c r="AF41" s="630" t="n">
        <f aca="false">IF(L41&lt;0,L41*-1,0)</f>
        <v>4.32009074867656</v>
      </c>
      <c r="AG41" s="630" t="n">
        <f aca="false">AE41+AF41</f>
        <v>306.920090748677</v>
      </c>
      <c r="AH41" s="616" t="n">
        <v>0</v>
      </c>
      <c r="AI41" s="637" t="n">
        <v>75</v>
      </c>
      <c r="AJ41" s="618" t="n">
        <v>41</v>
      </c>
      <c r="AK41" s="617" t="n">
        <f aca="false">AK40</f>
        <v>15698.7543455</v>
      </c>
      <c r="AL41" s="243"/>
      <c r="AM41" s="246"/>
      <c r="AN41" s="366" t="n">
        <v>0</v>
      </c>
      <c r="AO41" s="105"/>
    </row>
    <row r="42" customFormat="false" ht="3" hidden="false" customHeight="true" outlineLevel="0" collapsed="false">
      <c r="A42" s="252"/>
      <c r="B42" s="638"/>
      <c r="C42" s="622"/>
      <c r="D42" s="537"/>
      <c r="E42" s="622"/>
      <c r="F42" s="623"/>
      <c r="G42" s="537"/>
      <c r="H42" s="624"/>
      <c r="I42" s="537"/>
      <c r="J42" s="537"/>
      <c r="K42" s="537"/>
      <c r="L42" s="537"/>
      <c r="M42" s="625"/>
      <c r="N42" s="537"/>
      <c r="O42" s="537"/>
      <c r="P42" s="537"/>
      <c r="Q42" s="539"/>
      <c r="R42" s="539"/>
      <c r="S42" s="626"/>
      <c r="T42" s="537"/>
      <c r="U42" s="537"/>
      <c r="V42" s="537"/>
      <c r="W42" s="622"/>
      <c r="X42" s="622"/>
      <c r="Y42" s="622"/>
      <c r="Z42" s="537"/>
      <c r="AA42" s="115"/>
      <c r="AB42" s="113"/>
      <c r="AC42" s="537"/>
      <c r="AD42" s="537"/>
      <c r="AE42" s="537"/>
      <c r="AF42" s="537"/>
      <c r="AG42" s="537"/>
      <c r="AH42" s="627"/>
      <c r="AI42" s="540"/>
      <c r="AJ42" s="628"/>
      <c r="AK42" s="540"/>
      <c r="AL42" s="262"/>
      <c r="AM42" s="260"/>
      <c r="AN42" s="475"/>
      <c r="AO42" s="475"/>
      <c r="AP42" s="475"/>
      <c r="AQ42" s="475"/>
    </row>
    <row r="43" customFormat="false" ht="12.95" hidden="false" customHeight="true" outlineLevel="0" collapsed="false">
      <c r="A43" s="173" t="s">
        <v>76</v>
      </c>
      <c r="B43" s="609"/>
      <c r="C43" s="611"/>
      <c r="D43" s="611"/>
      <c r="E43" s="611"/>
      <c r="F43" s="612" t="n">
        <f aca="false">SUM(F12:F41)</f>
        <v>-6330.72851020923</v>
      </c>
      <c r="G43" s="611" t="n">
        <f aca="false">SUM(G12:G41)</f>
        <v>6817</v>
      </c>
      <c r="H43" s="611" t="n">
        <f aca="false">SUM(H12:H41)</f>
        <v>0.01</v>
      </c>
      <c r="I43" s="611" t="n">
        <f aca="false">SUM(I12:I41)</f>
        <v>6817.01</v>
      </c>
      <c r="J43" s="611" t="n">
        <f aca="false">SUM(J12:J41)</f>
        <v>574.945356692715</v>
      </c>
      <c r="K43" s="611" t="n">
        <f aca="false">SUM(K12:K41)</f>
        <v>7391.95535669272</v>
      </c>
      <c r="L43" s="611" t="n">
        <f aca="false">SUM(L12:L41)</f>
        <v>-842.738510209226</v>
      </c>
      <c r="M43" s="613" t="n">
        <f aca="false">SUM(M12:M41)</f>
        <v>4053</v>
      </c>
      <c r="N43" s="611" t="n">
        <f aca="false">SUM(N12:N41)</f>
        <v>56.54391</v>
      </c>
      <c r="O43" s="611" t="n">
        <f aca="false">SUM(O12:O41)</f>
        <v>1400.847</v>
      </c>
      <c r="P43" s="611" t="n">
        <f aca="false">SUM(P12:P41)</f>
        <v>0</v>
      </c>
      <c r="Q43" s="617" t="n">
        <f aca="false">SUM(Q12:Q41)</f>
        <v>56.61</v>
      </c>
      <c r="R43" s="617" t="n">
        <f aca="false">SUM(R12:R41)</f>
        <v>125.15</v>
      </c>
      <c r="S43" s="620" t="n">
        <f aca="false">SUM(S12:S41)</f>
        <v>32.97</v>
      </c>
      <c r="T43" s="611" t="n">
        <f aca="false">SUM(T12:T41)</f>
        <v>3328</v>
      </c>
      <c r="U43" s="611" t="n">
        <f aca="false">SUM(U12:U41)</f>
        <v>1775</v>
      </c>
      <c r="V43" s="611" t="n">
        <f aca="false">SUM(V12:V41)</f>
        <v>8298.17909</v>
      </c>
      <c r="W43" s="611"/>
      <c r="X43" s="611"/>
      <c r="Y43" s="611"/>
      <c r="Z43" s="611" t="n">
        <f aca="false">SUM(Z12:Z41)</f>
        <v>1725</v>
      </c>
      <c r="AA43" s="611" t="n">
        <f aca="false">SUM(AA12:AA41)</f>
        <v>51</v>
      </c>
      <c r="AB43" s="611" t="n">
        <f aca="false">SUM(AB12:AB41)</f>
        <v>39</v>
      </c>
      <c r="AC43" s="611" t="n">
        <f aca="false">SUM(AC12:AC41)</f>
        <v>1365</v>
      </c>
      <c r="AD43" s="611"/>
      <c r="AE43" s="611" t="n">
        <f aca="false">SUM(AE12:AE41)</f>
        <v>12305</v>
      </c>
      <c r="AF43" s="611" t="n">
        <f aca="false">SUM(AF12:AF41)</f>
        <v>1417.68386690194</v>
      </c>
      <c r="AG43" s="611" t="n">
        <f aca="false">SUM(AG12:AG41)</f>
        <v>13722.6838669019</v>
      </c>
      <c r="AH43" s="616" t="n">
        <f aca="false">SUM(AH12:AH41)</f>
        <v>2.33</v>
      </c>
      <c r="AI43" s="617" t="n">
        <f aca="false">AVERAGE(AI12:AI41)</f>
        <v>69.5</v>
      </c>
      <c r="AJ43" s="618" t="n">
        <f aca="false">AVERAGE(AJ12:AJ41)</f>
        <v>42.1666666666667</v>
      </c>
      <c r="AK43" s="617" t="s">
        <v>108</v>
      </c>
      <c r="AL43" s="611" t="n">
        <f aca="false">SUM(AL12:AL41)</f>
        <v>0</v>
      </c>
      <c r="AM43" s="246"/>
      <c r="AN43" s="366"/>
      <c r="AO43" s="243" t="n">
        <f aca="false">SUM(AO12:AO41)</f>
        <v>0</v>
      </c>
      <c r="AP43" s="243" t="n">
        <f aca="false">SUM(AP12:AP41)</f>
        <v>0</v>
      </c>
    </row>
    <row r="44" customFormat="false" ht="12.95" hidden="false" customHeight="true" outlineLevel="0" collapsed="false">
      <c r="A44" s="173" t="s">
        <v>78</v>
      </c>
      <c r="B44" s="609"/>
      <c r="C44" s="611"/>
      <c r="D44" s="611" t="n">
        <f aca="false">SUM(D12:D41)</f>
        <v>-12557</v>
      </c>
      <c r="E44" s="611"/>
      <c r="F44" s="612" t="n">
        <f aca="false">F43*$D$2</f>
        <v>-12557</v>
      </c>
      <c r="G44" s="611" t="n">
        <f aca="false">G43*$D$2</f>
        <v>13521.5195</v>
      </c>
      <c r="H44" s="611" t="n">
        <f aca="false">H43*$D$2</f>
        <v>0.019835</v>
      </c>
      <c r="I44" s="611" t="n">
        <f aca="false">I43*$D$2</f>
        <v>13521.539335</v>
      </c>
      <c r="J44" s="611" t="n">
        <f aca="false">J43*$D$2</f>
        <v>1140.404115</v>
      </c>
      <c r="K44" s="611" t="n">
        <f aca="false">K43*$D$2</f>
        <v>14661.94345</v>
      </c>
      <c r="L44" s="611" t="n">
        <f aca="false">L43*$D$2</f>
        <v>-1671.571835</v>
      </c>
      <c r="M44" s="613" t="n">
        <f aca="false">M43*$D$2</f>
        <v>8039.1255</v>
      </c>
      <c r="N44" s="611" t="n">
        <f aca="false">N43*$D$2</f>
        <v>112.154845485</v>
      </c>
      <c r="O44" s="611" t="n">
        <f aca="false">O43*$D$2</f>
        <v>2778.5800245</v>
      </c>
      <c r="P44" s="611" t="n">
        <f aca="false">P43*$D$2</f>
        <v>0</v>
      </c>
      <c r="Q44" s="617" t="n">
        <f aca="false">Q43*$D$2</f>
        <v>112.285935</v>
      </c>
      <c r="R44" s="617" t="n">
        <f aca="false">R43*$D$2</f>
        <v>248.235025</v>
      </c>
      <c r="S44" s="620" t="n">
        <f aca="false">S43*$D$2</f>
        <v>65.395995</v>
      </c>
      <c r="T44" s="611" t="n">
        <f aca="false">T43*$D$2</f>
        <v>6601.088</v>
      </c>
      <c r="U44" s="611" t="n">
        <f aca="false">U43*$D$2</f>
        <v>3520.7125</v>
      </c>
      <c r="V44" s="611" t="n">
        <f aca="false">V43*$D$2</f>
        <v>16459.438225015</v>
      </c>
      <c r="W44" s="611"/>
      <c r="X44" s="611"/>
      <c r="Y44" s="611"/>
      <c r="Z44" s="611" t="n">
        <f aca="false">Z43*$D$2</f>
        <v>3421.5375</v>
      </c>
      <c r="AA44" s="611" t="n">
        <f aca="false">AA43*$D$2</f>
        <v>101.1585</v>
      </c>
      <c r="AB44" s="611" t="n">
        <f aca="false">AB43*$D$2</f>
        <v>77.3565</v>
      </c>
      <c r="AC44" s="611" t="n">
        <f aca="false">AC43*$D$2</f>
        <v>2707.4775</v>
      </c>
      <c r="AD44" s="611"/>
      <c r="AE44" s="611" t="n">
        <f aca="false">AE43*$D$2</f>
        <v>24406.9675</v>
      </c>
      <c r="AF44" s="611" t="n">
        <f aca="false">AF43*$D$2</f>
        <v>2811.97595</v>
      </c>
      <c r="AG44" s="611" t="n">
        <f aca="false">AG43*$D$2</f>
        <v>27218.94345</v>
      </c>
      <c r="AH44" s="616"/>
      <c r="AI44" s="617" t="n">
        <f aca="false">MAX(AI12:AI41)</f>
        <v>80</v>
      </c>
      <c r="AJ44" s="618" t="n">
        <f aca="false">MAX(AJ12:AJ41)</f>
        <v>51</v>
      </c>
      <c r="AK44" s="617" t="s">
        <v>79</v>
      </c>
      <c r="AL44" s="611" t="n">
        <f aca="false">AL43*$D$2</f>
        <v>0</v>
      </c>
      <c r="AM44" s="246"/>
      <c r="AN44" s="366" t="n">
        <f aca="false">SUM(AN12:AN41)</f>
        <v>1.71429888863008</v>
      </c>
      <c r="AO44" s="243" t="n">
        <f aca="false">AO43*$D$2</f>
        <v>0</v>
      </c>
      <c r="AP44" s="243" t="n">
        <f aca="false">AP43*$D$2</f>
        <v>0</v>
      </c>
    </row>
    <row r="45" customFormat="false" ht="3" hidden="false" customHeight="true" outlineLevel="0" collapsed="false">
      <c r="A45" s="274"/>
      <c r="B45" s="638"/>
      <c r="C45" s="622"/>
      <c r="D45" s="622"/>
      <c r="E45" s="622"/>
      <c r="F45" s="639"/>
      <c r="G45" s="622"/>
      <c r="H45" s="622"/>
      <c r="I45" s="622"/>
      <c r="J45" s="622"/>
      <c r="K45" s="622"/>
      <c r="L45" s="622"/>
      <c r="M45" s="640"/>
      <c r="N45" s="622"/>
      <c r="O45" s="622"/>
      <c r="P45" s="622"/>
      <c r="Q45" s="540"/>
      <c r="R45" s="540"/>
      <c r="S45" s="641"/>
      <c r="T45" s="622"/>
      <c r="U45" s="622"/>
      <c r="V45" s="622"/>
      <c r="W45" s="622"/>
      <c r="X45" s="622"/>
      <c r="Y45" s="622"/>
      <c r="Z45" s="622"/>
      <c r="AA45" s="622"/>
      <c r="AB45" s="622"/>
      <c r="AC45" s="622"/>
      <c r="AD45" s="537"/>
      <c r="AE45" s="622"/>
      <c r="AF45" s="622"/>
      <c r="AG45" s="622"/>
      <c r="AH45" s="642"/>
      <c r="AI45" s="622"/>
      <c r="AJ45" s="639"/>
      <c r="AK45" s="622"/>
      <c r="AL45" s="254"/>
      <c r="AM45" s="260"/>
      <c r="AN45" s="475"/>
      <c r="AO45" s="262"/>
      <c r="AP45" s="262"/>
      <c r="AQ45" s="262"/>
    </row>
    <row r="46" customFormat="false" ht="12.95" hidden="false" customHeight="true" outlineLevel="0" collapsed="false">
      <c r="A46" s="173" t="s">
        <v>80</v>
      </c>
      <c r="B46" s="609"/>
      <c r="C46" s="611"/>
      <c r="D46" s="611"/>
      <c r="E46" s="611"/>
      <c r="F46" s="612" t="n">
        <f aca="false">F9+F43</f>
        <v>-22167.380892362</v>
      </c>
      <c r="G46" s="611" t="n">
        <f aca="false">G9+G43</f>
        <v>85164</v>
      </c>
      <c r="H46" s="611" t="n">
        <f aca="false">H9+H43</f>
        <v>1002.03</v>
      </c>
      <c r="I46" s="611" t="n">
        <f aca="false">I9+I43</f>
        <v>86166.03</v>
      </c>
      <c r="J46" s="611" t="n">
        <f aca="false">J9+J43</f>
        <v>4842.96114761785</v>
      </c>
      <c r="K46" s="611" t="n">
        <f aca="false">K9+K43</f>
        <v>91008.9911476179</v>
      </c>
      <c r="L46" s="611" t="n">
        <f aca="false">L9+L43</f>
        <v>-4625.27529236199</v>
      </c>
      <c r="M46" s="613" t="n">
        <f aca="false">M9+M43</f>
        <v>38263</v>
      </c>
      <c r="N46" s="611" t="n">
        <f aca="false">N9+N43</f>
        <v>344.644422</v>
      </c>
      <c r="O46" s="611" t="n">
        <f aca="false">O9+O43</f>
        <v>12884.7495</v>
      </c>
      <c r="P46" s="611" t="n">
        <f aca="false">P9+P43</f>
        <v>2.2644</v>
      </c>
      <c r="Q46" s="617"/>
      <c r="R46" s="617"/>
      <c r="S46" s="620"/>
      <c r="T46" s="611" t="n">
        <f aca="false">T9+T43</f>
        <v>20283</v>
      </c>
      <c r="U46" s="611" t="n">
        <f aca="false">U9+U43</f>
        <v>11289.8</v>
      </c>
      <c r="V46" s="611" t="n">
        <f aca="false">V9+V43</f>
        <v>56756.271478</v>
      </c>
      <c r="W46" s="611"/>
      <c r="X46" s="611"/>
      <c r="Y46" s="611"/>
      <c r="Z46" s="611" t="n">
        <f aca="false">Z9+Z43</f>
        <v>23272.6</v>
      </c>
      <c r="AA46" s="611" t="n">
        <f aca="false">AA9+AA43</f>
        <v>311.1</v>
      </c>
      <c r="AB46" s="611" t="n">
        <f aca="false">AB9+AB43</f>
        <v>237.9</v>
      </c>
      <c r="AC46" s="611"/>
      <c r="AD46" s="611"/>
      <c r="AE46" s="611" t="n">
        <f aca="false">AE9+AE43</f>
        <v>103708.1356</v>
      </c>
      <c r="AF46" s="611" t="n">
        <f aca="false">AF9+AF43</f>
        <v>9468.23643997983</v>
      </c>
      <c r="AG46" s="611" t="n">
        <f aca="false">AG9+AG43</f>
        <v>113176.37203998</v>
      </c>
      <c r="AH46" s="616"/>
      <c r="AI46" s="617" t="n">
        <f aca="false">MIN(AI12:AI41)</f>
        <v>50</v>
      </c>
      <c r="AJ46" s="618" t="n">
        <f aca="false">MIN(AJ12:AJ41)</f>
        <v>29</v>
      </c>
      <c r="AK46" s="617" t="s">
        <v>81</v>
      </c>
      <c r="AL46" s="243"/>
      <c r="AM46" s="246"/>
      <c r="AN46" s="366"/>
      <c r="AO46" s="243" t="n">
        <f aca="false">AO9+AO43</f>
        <v>995.07</v>
      </c>
      <c r="AP46" s="243" t="n">
        <f aca="false">AP9+AP43</f>
        <v>0</v>
      </c>
    </row>
    <row r="47" customFormat="false" ht="12.95" hidden="false" customHeight="true" outlineLevel="0" collapsed="false">
      <c r="A47" s="173" t="s">
        <v>82</v>
      </c>
      <c r="B47" s="609"/>
      <c r="C47" s="611"/>
      <c r="D47" s="611"/>
      <c r="E47" s="611"/>
      <c r="F47" s="612" t="n">
        <f aca="false">F46*$D$2</f>
        <v>-43969</v>
      </c>
      <c r="G47" s="611" t="n">
        <f aca="false">G46*$D$2</f>
        <v>168922.794</v>
      </c>
      <c r="H47" s="611" t="n">
        <f aca="false">H46*$D$2</f>
        <v>1987.526505</v>
      </c>
      <c r="I47" s="611" t="n">
        <f aca="false">I46*$D$2</f>
        <v>170910.320505</v>
      </c>
      <c r="J47" s="611" t="n">
        <f aca="false">J46*$D$2</f>
        <v>9606.0134363</v>
      </c>
      <c r="K47" s="611" t="n">
        <f aca="false">K46*$D$2</f>
        <v>180516.3339413</v>
      </c>
      <c r="L47" s="611" t="n">
        <f aca="false">L46*$D$2</f>
        <v>-9174.2335424</v>
      </c>
      <c r="M47" s="613" t="n">
        <f aca="false">M46*$D$2</f>
        <v>75894.6605</v>
      </c>
      <c r="N47" s="611" t="n">
        <f aca="false">N46*$D$2</f>
        <v>683.602211037</v>
      </c>
      <c r="O47" s="611" t="n">
        <f aca="false">O46*$D$2</f>
        <v>25556.90063325</v>
      </c>
      <c r="P47" s="611" t="n">
        <f aca="false">P46*$D$2</f>
        <v>4.4914374</v>
      </c>
      <c r="Q47" s="617"/>
      <c r="R47" s="617"/>
      <c r="S47" s="620"/>
      <c r="T47" s="611" t="n">
        <f aca="false">T46*$D$2</f>
        <v>40231.3305</v>
      </c>
      <c r="U47" s="611" t="n">
        <f aca="false">U46*$D$2</f>
        <v>22393.3183</v>
      </c>
      <c r="V47" s="611" t="n">
        <f aca="false">V46*$D$2</f>
        <v>112576.064476613</v>
      </c>
      <c r="W47" s="611"/>
      <c r="X47" s="611"/>
      <c r="Y47" s="611"/>
      <c r="Z47" s="611" t="n">
        <f aca="false">Z46*$D$2</f>
        <v>46161.2021</v>
      </c>
      <c r="AA47" s="611" t="n">
        <f aca="false">AA46*$D$2</f>
        <v>617.06685</v>
      </c>
      <c r="AB47" s="611" t="n">
        <f aca="false">AB46*$D$2</f>
        <v>471.87465</v>
      </c>
      <c r="AC47" s="611"/>
      <c r="AD47" s="611"/>
      <c r="AE47" s="611" t="n">
        <f aca="false">AE46*$D$2</f>
        <v>205705.0869626</v>
      </c>
      <c r="AF47" s="611" t="n">
        <f aca="false">AF46*$D$2</f>
        <v>18780.2469787</v>
      </c>
      <c r="AG47" s="611" t="n">
        <f aca="false">AG46*$D$2</f>
        <v>224485.3339413</v>
      </c>
      <c r="AH47" s="616"/>
      <c r="AI47" s="617"/>
      <c r="AJ47" s="618"/>
      <c r="AK47" s="617"/>
      <c r="AL47" s="243"/>
      <c r="AM47" s="246"/>
      <c r="AN47" s="366" t="n">
        <f aca="false">AN9+AN44</f>
        <v>922.457025473621</v>
      </c>
      <c r="AO47" s="243" t="n">
        <f aca="false">AO46*$D$2</f>
        <v>1973.721345</v>
      </c>
      <c r="AP47" s="243" t="n">
        <f aca="false">AP46*$D$2</f>
        <v>0</v>
      </c>
    </row>
    <row r="48" customFormat="false" ht="3" hidden="false" customHeight="true" outlineLevel="0" collapsed="false">
      <c r="A48" s="274"/>
      <c r="B48" s="638"/>
      <c r="C48" s="622"/>
      <c r="D48" s="622"/>
      <c r="E48" s="622"/>
      <c r="F48" s="639"/>
      <c r="G48" s="622"/>
      <c r="H48" s="540"/>
      <c r="I48" s="622"/>
      <c r="J48" s="622"/>
      <c r="K48" s="622"/>
      <c r="L48" s="622"/>
      <c r="M48" s="640"/>
      <c r="N48" s="622"/>
      <c r="O48" s="622"/>
      <c r="P48" s="622"/>
      <c r="Q48" s="540"/>
      <c r="R48" s="540"/>
      <c r="S48" s="641"/>
      <c r="T48" s="622"/>
      <c r="U48" s="622"/>
      <c r="V48" s="622"/>
      <c r="W48" s="622"/>
      <c r="X48" s="622"/>
      <c r="Y48" s="622"/>
      <c r="Z48" s="622"/>
      <c r="AA48" s="142"/>
      <c r="AB48" s="141"/>
      <c r="AC48" s="622"/>
      <c r="AD48" s="622"/>
      <c r="AE48" s="622"/>
      <c r="AF48" s="622"/>
      <c r="AG48" s="622"/>
      <c r="AH48" s="627"/>
      <c r="AI48" s="643"/>
      <c r="AJ48" s="644"/>
      <c r="AK48" s="643"/>
      <c r="AL48" s="279"/>
      <c r="AM48" s="260"/>
      <c r="AN48" s="475"/>
      <c r="AO48" s="262"/>
      <c r="AP48" s="262"/>
      <c r="AQ48" s="262"/>
    </row>
    <row r="49" customFormat="false" ht="12.95" hidden="false" customHeight="true" outlineLevel="0" collapsed="false">
      <c r="A49" s="173" t="s">
        <v>83</v>
      </c>
      <c r="B49" s="609"/>
      <c r="C49" s="611"/>
      <c r="D49" s="611"/>
      <c r="E49" s="611"/>
      <c r="F49" s="612" t="n">
        <f aca="false">F10+F43</f>
        <v>-26495.0844466852</v>
      </c>
      <c r="G49" s="611" t="n">
        <f aca="false">G10+G43</f>
        <v>92816</v>
      </c>
      <c r="H49" s="617" t="n">
        <f aca="false">H10+H43</f>
        <v>1224.853</v>
      </c>
      <c r="I49" s="611" t="n">
        <f aca="false">I10+I43</f>
        <v>94040.853</v>
      </c>
      <c r="J49" s="611" t="n">
        <f aca="false">J10+J43</f>
        <v>6375.14953178725</v>
      </c>
      <c r="K49" s="611" t="n">
        <f aca="false">K10+K43</f>
        <v>100416.002531787</v>
      </c>
      <c r="L49" s="611" t="n">
        <f aca="false">L10+L43</f>
        <v>-4310.79184668515</v>
      </c>
      <c r="M49" s="613" t="n">
        <f aca="false">M10+M43</f>
        <v>39555.6</v>
      </c>
      <c r="N49" s="611" t="n">
        <f aca="false">N10+N43</f>
        <v>344.644422</v>
      </c>
      <c r="O49" s="611" t="n">
        <f aca="false">O10+O43</f>
        <v>12884.7495</v>
      </c>
      <c r="P49" s="611"/>
      <c r="Q49" s="617" t="n">
        <f aca="false">Q10+Q43</f>
        <v>632.0736</v>
      </c>
      <c r="R49" s="617" t="n">
        <f aca="false">R10+R43</f>
        <v>1159.5048</v>
      </c>
      <c r="S49" s="620" t="n">
        <f aca="false">S10+S43</f>
        <v>486.2</v>
      </c>
      <c r="T49" s="611" t="n">
        <f aca="false">T10+T43</f>
        <v>27464.94</v>
      </c>
      <c r="U49" s="611" t="n">
        <f aca="false">U10+U43</f>
        <v>11441.27</v>
      </c>
      <c r="V49" s="611" t="n">
        <f aca="false">V10+V43</f>
        <v>64644.173278</v>
      </c>
      <c r="W49" s="611"/>
      <c r="X49" s="611"/>
      <c r="Y49" s="611"/>
      <c r="Z49" s="611"/>
      <c r="AA49" s="97"/>
      <c r="AB49" s="95"/>
      <c r="AC49" s="611" t="n">
        <f aca="false">AC10+AC43</f>
        <v>14434</v>
      </c>
      <c r="AD49" s="611" t="n">
        <f aca="false">AD41</f>
        <v>5488.25787748929</v>
      </c>
      <c r="AE49" s="611" t="n">
        <f aca="false">AE10+AE43</f>
        <v>116225.1456</v>
      </c>
      <c r="AF49" s="611" t="n">
        <f aca="false">AF10+AF43</f>
        <v>10685.9413784724</v>
      </c>
      <c r="AG49" s="611" t="n">
        <f aca="false">AG10+AG43</f>
        <v>126911.086978472</v>
      </c>
      <c r="AH49" s="616" t="n">
        <f aca="false">AH10+AH43</f>
        <v>13.21</v>
      </c>
      <c r="AI49" s="617"/>
      <c r="AJ49" s="618"/>
      <c r="AK49" s="617"/>
      <c r="AL49" s="611" t="n">
        <f aca="false">AL10+AL43</f>
        <v>236.546271401</v>
      </c>
      <c r="AM49" s="246"/>
      <c r="AN49" s="366"/>
      <c r="AO49" s="617" t="n">
        <f aca="false">AO10+AO43</f>
        <v>0</v>
      </c>
      <c r="AP49" s="617"/>
    </row>
    <row r="50" customFormat="false" ht="12.95" hidden="false" customHeight="true" outlineLevel="0" collapsed="false">
      <c r="A50" s="173" t="s">
        <v>84</v>
      </c>
      <c r="B50" s="609"/>
      <c r="C50" s="611"/>
      <c r="D50" s="611" t="n">
        <f aca="false">D10+D44</f>
        <v>-52553</v>
      </c>
      <c r="E50" s="611" t="n">
        <f aca="false">E41</f>
        <v>94843</v>
      </c>
      <c r="F50" s="612" t="n">
        <f aca="false">F49*$D$2</f>
        <v>-52553</v>
      </c>
      <c r="G50" s="611" t="n">
        <f aca="false">G49*$D$2</f>
        <v>184100.536</v>
      </c>
      <c r="H50" s="617" t="n">
        <f aca="false">H49*$D$2</f>
        <v>2429.4959255</v>
      </c>
      <c r="I50" s="611" t="n">
        <f aca="false">I49*$D$2</f>
        <v>186530.0319255</v>
      </c>
      <c r="J50" s="611" t="n">
        <f aca="false">J49*$D$2</f>
        <v>12645.1090963</v>
      </c>
      <c r="K50" s="611" t="n">
        <f aca="false">K49*$D$2</f>
        <v>199175.1410218</v>
      </c>
      <c r="L50" s="611" t="n">
        <f aca="false">L49*$D$2</f>
        <v>-8550.4556279</v>
      </c>
      <c r="M50" s="613" t="n">
        <f aca="false">M49*$D$2</f>
        <v>78458.5326</v>
      </c>
      <c r="N50" s="611" t="n">
        <f aca="false">N49*$D$2</f>
        <v>683.602211037</v>
      </c>
      <c r="O50" s="611" t="n">
        <f aca="false">O49*$D$2</f>
        <v>25556.90063325</v>
      </c>
      <c r="P50" s="611"/>
      <c r="Q50" s="617" t="n">
        <f aca="false">Q49*$D$2</f>
        <v>1253.7179856</v>
      </c>
      <c r="R50" s="617" t="n">
        <f aca="false">R49*$D$2</f>
        <v>2299.8777708</v>
      </c>
      <c r="S50" s="620" t="n">
        <f aca="false">S49*$D$2</f>
        <v>964.3777</v>
      </c>
      <c r="T50" s="611" t="n">
        <f aca="false">T49*$D$2</f>
        <v>54476.70849</v>
      </c>
      <c r="U50" s="611" t="n">
        <f aca="false">U49*$D$2</f>
        <v>22693.759045</v>
      </c>
      <c r="V50" s="611" t="n">
        <f aca="false">V49*$D$2</f>
        <v>128221.717696913</v>
      </c>
      <c r="W50" s="611"/>
      <c r="X50" s="611"/>
      <c r="Y50" s="611"/>
      <c r="Z50" s="611"/>
      <c r="AA50" s="97"/>
      <c r="AB50" s="95"/>
      <c r="AC50" s="611" t="n">
        <f aca="false">AC49*$D$2</f>
        <v>28629.839</v>
      </c>
      <c r="AD50" s="611" t="n">
        <f aca="false">AD49*$D$2</f>
        <v>10885.9595</v>
      </c>
      <c r="AE50" s="611" t="n">
        <f aca="false">AE49*$D$2</f>
        <v>230532.5762976</v>
      </c>
      <c r="AF50" s="611" t="n">
        <f aca="false">AF49*$D$2</f>
        <v>21195.5647242</v>
      </c>
      <c r="AG50" s="611" t="n">
        <f aca="false">AG49*$D$2</f>
        <v>251728.1410218</v>
      </c>
      <c r="AH50" s="616"/>
      <c r="AI50" s="617"/>
      <c r="AJ50" s="618"/>
      <c r="AK50" s="617" t="n">
        <f aca="false">AK41</f>
        <v>15698.7543455</v>
      </c>
      <c r="AL50" s="611" t="n">
        <f aca="false">AL49*$D$2</f>
        <v>469.189529323884</v>
      </c>
      <c r="AM50" s="246"/>
      <c r="AN50" s="366" t="n">
        <f aca="false">AN10+AN44</f>
        <v>922.457025473621</v>
      </c>
      <c r="AO50" s="617" t="n">
        <f aca="false">AO49*$D$2</f>
        <v>0</v>
      </c>
      <c r="AP50" s="617"/>
    </row>
    <row r="51" customFormat="false" ht="3" hidden="false" customHeight="true" outlineLevel="0" collapsed="false">
      <c r="A51" s="252"/>
      <c r="B51" s="638"/>
      <c r="C51" s="622"/>
      <c r="D51" s="537"/>
      <c r="E51" s="622"/>
      <c r="F51" s="623"/>
      <c r="G51" s="537"/>
      <c r="H51" s="624"/>
      <c r="I51" s="537"/>
      <c r="J51" s="537"/>
      <c r="K51" s="537"/>
      <c r="L51" s="537"/>
      <c r="M51" s="625"/>
      <c r="N51" s="537"/>
      <c r="O51" s="537"/>
      <c r="P51" s="537"/>
      <c r="Q51" s="539"/>
      <c r="R51" s="539"/>
      <c r="S51" s="626"/>
      <c r="T51" s="537"/>
      <c r="U51" s="537"/>
      <c r="V51" s="537"/>
      <c r="W51" s="622"/>
      <c r="X51" s="622"/>
      <c r="Y51" s="622"/>
      <c r="Z51" s="537"/>
      <c r="AA51" s="111"/>
      <c r="AB51" s="146"/>
      <c r="AC51" s="537"/>
      <c r="AD51" s="622"/>
      <c r="AE51" s="537"/>
      <c r="AF51" s="537"/>
      <c r="AG51" s="537"/>
      <c r="AH51" s="638"/>
      <c r="AI51" s="537"/>
      <c r="AJ51" s="623"/>
      <c r="AK51" s="537"/>
      <c r="AL51" s="255"/>
      <c r="AM51" s="260"/>
      <c r="AN51" s="475"/>
      <c r="AO51" s="475"/>
      <c r="AP51" s="475"/>
      <c r="AQ51" s="262"/>
    </row>
    <row r="52" customFormat="false" ht="11.1" hidden="false" customHeight="true" outlineLevel="0" collapsed="false">
      <c r="A52" s="284"/>
      <c r="B52" s="284"/>
      <c r="C52" s="165"/>
      <c r="D52" s="284"/>
      <c r="E52" s="165"/>
      <c r="F52" s="284"/>
      <c r="G52" s="166"/>
      <c r="I52" s="154"/>
      <c r="J52" s="284"/>
      <c r="K52" s="284"/>
      <c r="L52" s="284"/>
      <c r="M52" s="168"/>
      <c r="N52" s="9"/>
      <c r="O52" s="168"/>
      <c r="P52" s="168"/>
      <c r="Q52" s="169"/>
      <c r="R52" s="169"/>
      <c r="S52" s="169"/>
      <c r="T52" s="284"/>
      <c r="U52" s="284"/>
      <c r="V52" s="0"/>
      <c r="W52" s="165"/>
      <c r="X52" s="165"/>
      <c r="Y52" s="165"/>
      <c r="Z52" s="159"/>
      <c r="AA52" s="159"/>
      <c r="AB52" s="159"/>
      <c r="AC52" s="165"/>
      <c r="AD52" s="284"/>
      <c r="AE52" s="284"/>
      <c r="AF52" s="284"/>
      <c r="AG52" s="169"/>
      <c r="AH52" s="170"/>
      <c r="AI52" s="171"/>
      <c r="AJ52" s="172"/>
      <c r="AK52" s="342"/>
      <c r="AL52" s="342"/>
      <c r="AM52" s="541"/>
      <c r="AN52" s="458"/>
    </row>
    <row r="53" customFormat="false" ht="11.1" hidden="false" customHeight="true" outlineLevel="0" collapsed="false">
      <c r="A53" s="164"/>
      <c r="B53" s="602"/>
      <c r="C53" s="9"/>
      <c r="D53" s="153"/>
      <c r="E53" s="488"/>
      <c r="F53" s="512"/>
      <c r="G53" s="0"/>
      <c r="H53" s="13"/>
      <c r="I53" s="10"/>
      <c r="J53" s="8"/>
      <c r="K53" s="154"/>
      <c r="L53" s="168"/>
      <c r="M53" s="8"/>
      <c r="N53" s="8" t="s">
        <v>127</v>
      </c>
      <c r="O53" s="8"/>
      <c r="P53" s="8"/>
      <c r="Q53" s="12"/>
      <c r="R53" s="398"/>
      <c r="S53" s="398"/>
      <c r="T53" s="513"/>
      <c r="U53" s="125"/>
      <c r="V53" s="514"/>
      <c r="W53" s="165"/>
      <c r="X53" s="228"/>
      <c r="Y53" s="228"/>
      <c r="Z53" s="645"/>
      <c r="AA53" s="645"/>
      <c r="AB53" s="645"/>
      <c r="AC53" s="8"/>
      <c r="AD53" s="9"/>
      <c r="AE53" s="9"/>
      <c r="AF53" s="164"/>
      <c r="AG53" s="169"/>
      <c r="AH53" s="171"/>
      <c r="AI53" s="171"/>
      <c r="AJ53" s="171"/>
      <c r="AK53" s="603"/>
      <c r="AL53" s="603"/>
      <c r="AM53" s="541"/>
      <c r="AN53" s="601"/>
      <c r="AO53" s="543"/>
    </row>
    <row r="54" customFormat="false" ht="11.1" hidden="false" customHeight="true" outlineLevel="0" collapsed="false">
      <c r="A54" s="284"/>
      <c r="B54" s="165"/>
      <c r="E54" s="488"/>
      <c r="F54" s="489"/>
      <c r="G54" s="0"/>
      <c r="H54" s="13"/>
      <c r="I54" s="153"/>
      <c r="J54" s="153"/>
      <c r="K54" s="515"/>
      <c r="L54" s="492"/>
      <c r="M54" s="123"/>
      <c r="N54" s="123"/>
      <c r="O54" s="37" t="n">
        <f aca="false">24517+3400</f>
        <v>27917</v>
      </c>
      <c r="P54" s="488"/>
      <c r="Q54" s="604"/>
      <c r="R54" s="398"/>
      <c r="S54" s="398"/>
      <c r="T54" s="513"/>
      <c r="U54" s="125"/>
      <c r="V54" s="91"/>
      <c r="W54" s="165"/>
      <c r="X54" s="165"/>
      <c r="Y54" s="165"/>
      <c r="Z54" s="165"/>
      <c r="AA54" s="165"/>
      <c r="AB54" s="165"/>
      <c r="AC54" s="9"/>
      <c r="AD54" s="513"/>
      <c r="AE54" s="513"/>
      <c r="AF54" s="284"/>
      <c r="AG54" s="169"/>
      <c r="AH54" s="171"/>
      <c r="AI54" s="171"/>
      <c r="AJ54" s="172"/>
      <c r="AK54" s="342"/>
      <c r="AL54" s="342"/>
      <c r="AM54" s="541"/>
      <c r="AO54" s="543"/>
    </row>
    <row r="55" customFormat="false" ht="11.1" hidden="false" customHeight="true" outlineLevel="0" collapsed="false">
      <c r="A55" s="284"/>
      <c r="B55" s="284"/>
      <c r="C55" s="165"/>
      <c r="D55" s="165"/>
      <c r="E55" s="488"/>
      <c r="F55" s="0"/>
      <c r="G55" s="0"/>
      <c r="H55" s="165"/>
      <c r="I55" s="0"/>
      <c r="J55" s="153"/>
      <c r="K55" s="515"/>
      <c r="L55" s="171"/>
      <c r="M55" s="123"/>
      <c r="N55" s="123" t="s">
        <v>128</v>
      </c>
      <c r="O55" s="165" t="n">
        <f aca="false">O50</f>
        <v>25556.90063325</v>
      </c>
      <c r="P55" s="171"/>
      <c r="Q55" s="169"/>
      <c r="R55" s="398"/>
      <c r="S55" s="398"/>
      <c r="T55" s="457"/>
      <c r="U55" s="457"/>
      <c r="V55" s="91"/>
      <c r="W55" s="171"/>
      <c r="X55" s="171"/>
      <c r="Y55" s="171"/>
      <c r="Z55" s="165"/>
      <c r="AA55" s="165"/>
      <c r="AB55" s="165"/>
      <c r="AC55" s="9"/>
      <c r="AD55" s="165"/>
      <c r="AE55" s="165"/>
      <c r="AF55" s="284"/>
      <c r="AG55" s="491"/>
      <c r="AH55" s="171"/>
      <c r="AI55" s="171"/>
      <c r="AJ55" s="172"/>
      <c r="AK55" s="342"/>
      <c r="AL55" s="342"/>
      <c r="AM55" s="541"/>
      <c r="AO55" s="543"/>
    </row>
    <row r="56" customFormat="false" ht="11.1" hidden="false" customHeight="true" outlineLevel="0" collapsed="false">
      <c r="A56" s="284"/>
      <c r="B56" s="284"/>
      <c r="C56" s="165"/>
      <c r="D56" s="284"/>
      <c r="E56" s="165"/>
      <c r="F56" s="284"/>
      <c r="G56" s="285"/>
      <c r="H56" s="166"/>
      <c r="I56" s="284"/>
      <c r="J56" s="284"/>
      <c r="K56" s="284"/>
      <c r="L56" s="284"/>
      <c r="M56" s="168"/>
      <c r="N56" s="168" t="s">
        <v>129</v>
      </c>
      <c r="O56" s="646" t="n">
        <f aca="false">O54-O55</f>
        <v>2360.09936675</v>
      </c>
      <c r="P56" s="168"/>
      <c r="Q56" s="169"/>
      <c r="R56" s="169"/>
      <c r="S56" s="169"/>
      <c r="T56" s="284"/>
      <c r="U56" s="284"/>
      <c r="V56" s="0"/>
      <c r="W56" s="165"/>
      <c r="X56" s="165"/>
      <c r="Y56" s="165"/>
      <c r="AC56" s="165"/>
      <c r="AD56" s="284"/>
      <c r="AE56" s="284"/>
      <c r="AF56" s="284"/>
      <c r="AG56" s="169"/>
      <c r="AH56" s="170"/>
      <c r="AI56" s="171"/>
      <c r="AJ56" s="172"/>
      <c r="AK56" s="342"/>
      <c r="AL56" s="342"/>
      <c r="AM56" s="541"/>
      <c r="AO56" s="543"/>
    </row>
    <row r="57" customFormat="false" ht="11.1" hidden="false" customHeight="true" outlineLevel="0" collapsed="false">
      <c r="T57" s="605"/>
      <c r="U57" s="156"/>
      <c r="V57" s="165"/>
      <c r="W57" s="165"/>
      <c r="X57" s="165"/>
      <c r="Y57" s="165"/>
      <c r="AC57" s="157"/>
      <c r="AE57" s="156"/>
      <c r="AF57" s="156"/>
      <c r="AG57" s="160"/>
      <c r="AH57" s="158"/>
      <c r="AI57" s="161"/>
      <c r="AJ57" s="162"/>
      <c r="AK57" s="606"/>
      <c r="AL57" s="606"/>
      <c r="AO57" s="543"/>
    </row>
    <row r="58" customFormat="false" ht="11.1" hidden="false" customHeight="true" outlineLevel="0" collapsed="false">
      <c r="U58" s="156"/>
      <c r="V58" s="157"/>
      <c r="X58" s="156"/>
      <c r="Y58" s="156"/>
      <c r="AC58" s="157"/>
      <c r="AE58" s="156"/>
      <c r="AF58" s="156"/>
      <c r="AG58" s="160"/>
      <c r="AH58" s="158"/>
      <c r="AI58" s="161"/>
      <c r="AJ58" s="162"/>
      <c r="AN58" s="458"/>
    </row>
    <row r="59" customFormat="false" ht="11.1" hidden="false" customHeight="true" outlineLevel="0" collapsed="false">
      <c r="R59" s="647"/>
      <c r="S59" s="647"/>
    </row>
    <row r="60" customFormat="false" ht="11.1" hidden="false" customHeight="true" outlineLevel="0" collapsed="false">
      <c r="R60" s="647"/>
      <c r="S60" s="647"/>
    </row>
  </sheetData>
  <mergeCells count="2">
    <mergeCell ref="K2:Y2"/>
    <mergeCell ref="M5:S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10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1" topLeftCell="B29" activePane="bottomRight" state="frozen"/>
      <selection pane="topLeft" activeCell="A1" activeCellId="0" sqref="A1"/>
      <selection pane="topRight" activeCell="B1" activeCellId="0" sqref="B1"/>
      <selection pane="bottomLeft" activeCell="A29" activeCellId="0" sqref="A29"/>
      <selection pane="bottomRight" activeCell="AD42" activeCellId="0" sqref="AD42"/>
    </sheetView>
  </sheetViews>
  <sheetFormatPr defaultColWidth="9.328125" defaultRowHeight="11.1" zeroHeight="false" outlineLevelRow="0" outlineLevelCol="0"/>
  <cols>
    <col collapsed="false" customWidth="true" hidden="false" outlineLevel="0" max="1" min="1" style="156" width="4.66"/>
    <col collapsed="false" customWidth="true" hidden="false" outlineLevel="0" max="2" min="2" style="156" width="6.99"/>
    <col collapsed="false" customWidth="true" hidden="false" outlineLevel="0" max="3" min="3" style="157" width="6.32"/>
    <col collapsed="false" customWidth="true" hidden="false" outlineLevel="0" max="4" min="4" style="156" width="6.99"/>
    <col collapsed="false" customWidth="true" hidden="false" outlineLevel="0" max="5" min="5" style="157" width="6.99"/>
    <col collapsed="false" customWidth="true" hidden="false" outlineLevel="0" max="6" min="6" style="156" width="7.32"/>
    <col collapsed="false" customWidth="true" hidden="false" outlineLevel="0" max="7" min="7" style="156" width="6.82"/>
    <col collapsed="false" customWidth="true" hidden="false" outlineLevel="0" max="8" min="8" style="648" width="5.66"/>
    <col collapsed="false" customWidth="true" hidden="false" outlineLevel="0" max="11" min="9" style="156" width="6.32"/>
    <col collapsed="false" customWidth="true" hidden="false" outlineLevel="0" max="12" min="12" style="156" width="7.16"/>
    <col collapsed="false" customWidth="true" hidden="false" outlineLevel="0" max="13" min="13" style="159" width="5.49"/>
    <col collapsed="false" customWidth="true" hidden="false" outlineLevel="0" max="14" min="14" style="159" width="4.49"/>
    <col collapsed="false" customWidth="true" hidden="false" outlineLevel="0" max="15" min="15" style="159" width="5.49"/>
    <col collapsed="false" customWidth="true" hidden="false" outlineLevel="0" max="16" min="16" style="159" width="4.82"/>
    <col collapsed="false" customWidth="true" hidden="false" outlineLevel="0" max="19" min="17" style="156" width="4.32"/>
    <col collapsed="false" customWidth="true" hidden="false" outlineLevel="0" max="20" min="20" style="156" width="5.49"/>
    <col collapsed="false" customWidth="true" hidden="false" outlineLevel="0" max="21" min="21" style="157" width="5.49"/>
    <col collapsed="false" customWidth="true" hidden="false" outlineLevel="0" max="22" min="22" style="156" width="6.32"/>
    <col collapsed="false" customWidth="true" hidden="false" outlineLevel="0" max="23" min="23" style="156" width="5.49"/>
    <col collapsed="false" customWidth="true" hidden="false" outlineLevel="0" max="25" min="24" style="157" width="5.49"/>
    <col collapsed="false" customWidth="true" hidden="false" outlineLevel="0" max="28" min="26" style="156" width="5.49"/>
    <col collapsed="false" customWidth="true" hidden="false" outlineLevel="0" max="29" min="29" style="156" width="6.32"/>
    <col collapsed="false" customWidth="true" hidden="false" outlineLevel="0" max="30" min="30" style="156" width="5.49"/>
    <col collapsed="false" customWidth="true" hidden="false" outlineLevel="0" max="31" min="31" style="160" width="6.32"/>
    <col collapsed="false" customWidth="true" hidden="false" outlineLevel="0" max="33" min="32" style="161" width="6.99"/>
    <col collapsed="false" customWidth="true" hidden="false" outlineLevel="0" max="34" min="34" style="162" width="5.82"/>
    <col collapsed="false" customWidth="true" hidden="false" outlineLevel="0" max="35" min="35" style="156" width="3.82"/>
    <col collapsed="false" customWidth="true" hidden="false" outlineLevel="0" max="36" min="36" style="160" width="3.82"/>
    <col collapsed="false" customWidth="true" hidden="false" outlineLevel="0" max="38" min="37" style="156" width="5.49"/>
    <col collapsed="false" customWidth="true" hidden="false" outlineLevel="0" max="39" min="39" style="159" width="6.32"/>
    <col collapsed="false" customWidth="true" hidden="false" outlineLevel="0" max="40" min="40" style="160" width="6.32"/>
    <col collapsed="false" customWidth="true" hidden="false" outlineLevel="0" max="41" min="41" style="156" width="6.32"/>
    <col collapsed="false" customWidth="true" hidden="false" outlineLevel="0" max="42" min="42" style="156" width="6.49"/>
    <col collapsed="false" customWidth="false" hidden="false" outlineLevel="0" max="43" min="43" style="543" width="9.32"/>
    <col collapsed="false" customWidth="false" hidden="false" outlineLevel="0" max="257" min="44" style="156" width="9.32"/>
  </cols>
  <sheetData>
    <row r="1" customFormat="false" ht="14.1" hidden="false" customHeight="true" outlineLevel="0" collapsed="false">
      <c r="A1" s="164"/>
      <c r="B1" s="164"/>
      <c r="C1" s="165"/>
      <c r="D1" s="164"/>
      <c r="E1" s="165"/>
      <c r="F1" s="164"/>
      <c r="G1" s="164"/>
      <c r="H1" s="649"/>
      <c r="I1" s="164"/>
      <c r="J1" s="164"/>
      <c r="K1" s="167" t="s">
        <v>0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4"/>
      <c r="X1" s="164"/>
      <c r="Y1" s="164"/>
      <c r="Z1" s="164"/>
      <c r="AA1" s="164"/>
      <c r="AB1" s="164"/>
      <c r="AC1" s="165"/>
      <c r="AD1" s="164"/>
      <c r="AE1" s="164"/>
      <c r="AF1" s="164"/>
      <c r="AG1" s="169"/>
      <c r="AH1" s="171"/>
      <c r="AI1" s="171"/>
      <c r="AJ1" s="172"/>
      <c r="AK1" s="288"/>
      <c r="AL1" s="288"/>
      <c r="AM1" s="541"/>
    </row>
    <row r="2" customFormat="false" ht="14.1" hidden="false" customHeight="true" outlineLevel="0" collapsed="false">
      <c r="A2" s="173" t="s">
        <v>1</v>
      </c>
      <c r="B2" s="164"/>
      <c r="C2" s="165"/>
      <c r="D2" s="174" t="n">
        <v>1.9835</v>
      </c>
      <c r="E2" s="165"/>
      <c r="F2" s="164"/>
      <c r="G2" s="164"/>
      <c r="H2" s="649"/>
      <c r="I2" s="164"/>
      <c r="J2" s="164"/>
      <c r="K2" s="175" t="s">
        <v>130</v>
      </c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64"/>
      <c r="AA2" s="164"/>
      <c r="AB2" s="164"/>
      <c r="AC2" s="165"/>
      <c r="AD2" s="164"/>
      <c r="AE2" s="164"/>
      <c r="AF2" s="164"/>
      <c r="AG2" s="169"/>
      <c r="AH2" s="171"/>
      <c r="AI2" s="171"/>
      <c r="AJ2" s="172"/>
      <c r="AK2" s="288"/>
      <c r="AL2" s="288"/>
      <c r="AM2" s="541"/>
    </row>
    <row r="3" customFormat="false" ht="14.1" hidden="false" customHeight="true" outlineLevel="0" collapsed="false">
      <c r="A3" s="176"/>
      <c r="B3" s="176"/>
      <c r="C3" s="177"/>
      <c r="D3" s="178"/>
      <c r="E3" s="177"/>
      <c r="F3" s="176"/>
      <c r="G3" s="176"/>
      <c r="H3" s="650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7"/>
      <c r="W3" s="176"/>
      <c r="X3" s="176"/>
      <c r="Y3" s="176"/>
      <c r="Z3" s="176"/>
      <c r="AA3" s="176"/>
      <c r="AB3" s="176"/>
      <c r="AC3" s="177"/>
      <c r="AD3" s="176"/>
      <c r="AE3" s="176"/>
      <c r="AF3" s="176"/>
      <c r="AG3" s="181"/>
      <c r="AH3" s="183"/>
      <c r="AI3" s="183"/>
      <c r="AJ3" s="184"/>
      <c r="AK3" s="291"/>
      <c r="AL3" s="291"/>
      <c r="AM3" s="607"/>
      <c r="AN3" s="545"/>
    </row>
    <row r="4" s="200" customFormat="true" ht="14.1" hidden="false" customHeight="true" outlineLevel="0" collapsed="false">
      <c r="A4" s="187"/>
      <c r="B4" s="188"/>
      <c r="C4" s="189"/>
      <c r="D4" s="293" t="s">
        <v>3</v>
      </c>
      <c r="E4" s="189"/>
      <c r="F4" s="191"/>
      <c r="G4" s="187"/>
      <c r="H4" s="192"/>
      <c r="I4" s="187"/>
      <c r="J4" s="187"/>
      <c r="K4" s="187"/>
      <c r="L4" s="187"/>
      <c r="M4" s="187"/>
      <c r="N4" s="187"/>
      <c r="O4" s="187"/>
      <c r="P4" s="187"/>
      <c r="Q4" s="196"/>
      <c r="R4" s="196"/>
      <c r="S4" s="196"/>
      <c r="T4" s="193" t="s">
        <v>4</v>
      </c>
      <c r="U4" s="187"/>
      <c r="V4" s="194"/>
      <c r="W4" s="187"/>
      <c r="X4" s="187"/>
      <c r="Y4" s="187"/>
      <c r="Z4" s="187"/>
      <c r="AA4" s="187"/>
      <c r="AB4" s="187"/>
      <c r="AC4" s="194"/>
      <c r="AD4" s="187"/>
      <c r="AE4" s="187"/>
      <c r="AF4" s="187"/>
      <c r="AG4" s="196"/>
      <c r="AH4" s="197"/>
      <c r="AI4" s="198" t="s">
        <v>5</v>
      </c>
      <c r="AJ4" s="199"/>
      <c r="AK4" s="187"/>
      <c r="AL4" s="187"/>
      <c r="AM4" s="546" t="s">
        <v>6</v>
      </c>
      <c r="AN4" s="546"/>
      <c r="AO4" s="547"/>
      <c r="AP4" s="204"/>
      <c r="AQ4" s="547"/>
    </row>
    <row r="5" s="524" customFormat="true" ht="12.95" hidden="false" customHeight="true" outlineLevel="0" collapsed="false">
      <c r="A5" s="233" t="s">
        <v>7</v>
      </c>
      <c r="B5" s="466" t="s">
        <v>8</v>
      </c>
      <c r="C5" s="229" t="s">
        <v>8</v>
      </c>
      <c r="D5" s="233" t="s">
        <v>9</v>
      </c>
      <c r="E5" s="229" t="s">
        <v>10</v>
      </c>
      <c r="F5" s="522" t="s">
        <v>11</v>
      </c>
      <c r="G5" s="233" t="s">
        <v>12</v>
      </c>
      <c r="H5" s="235" t="s">
        <v>13</v>
      </c>
      <c r="I5" s="233" t="s">
        <v>14</v>
      </c>
      <c r="J5" s="233" t="s">
        <v>15</v>
      </c>
      <c r="K5" s="233" t="s">
        <v>16</v>
      </c>
      <c r="L5" s="233" t="s">
        <v>15</v>
      </c>
      <c r="M5" s="210" t="s">
        <v>17</v>
      </c>
      <c r="N5" s="210"/>
      <c r="O5" s="210"/>
      <c r="P5" s="210"/>
      <c r="Q5" s="210"/>
      <c r="R5" s="210"/>
      <c r="S5" s="210"/>
      <c r="T5" s="420" t="s">
        <v>18</v>
      </c>
      <c r="U5" s="420" t="s">
        <v>19</v>
      </c>
      <c r="V5" s="420" t="s">
        <v>16</v>
      </c>
      <c r="W5" s="79" t="s">
        <v>20</v>
      </c>
      <c r="X5" s="79" t="s">
        <v>92</v>
      </c>
      <c r="Y5" s="229" t="s">
        <v>20</v>
      </c>
      <c r="Z5" s="420" t="s">
        <v>21</v>
      </c>
      <c r="AA5" s="212" t="s">
        <v>86</v>
      </c>
      <c r="AB5" s="213"/>
      <c r="AC5" s="420" t="s">
        <v>23</v>
      </c>
      <c r="AD5" s="229" t="s">
        <v>110</v>
      </c>
      <c r="AE5" s="233" t="s">
        <v>14</v>
      </c>
      <c r="AF5" s="233" t="s">
        <v>15</v>
      </c>
      <c r="AG5" s="233" t="s">
        <v>16</v>
      </c>
      <c r="AH5" s="523" t="s">
        <v>131</v>
      </c>
      <c r="AI5" s="224" t="s">
        <v>26</v>
      </c>
      <c r="AJ5" s="350" t="s">
        <v>27</v>
      </c>
      <c r="AK5" s="68" t="s">
        <v>87</v>
      </c>
      <c r="AL5" s="68" t="s">
        <v>20</v>
      </c>
      <c r="AM5" s="427" t="s">
        <v>88</v>
      </c>
      <c r="AN5" s="427" t="s">
        <v>88</v>
      </c>
      <c r="AO5" s="68" t="s">
        <v>29</v>
      </c>
      <c r="AP5" s="218" t="s">
        <v>30</v>
      </c>
      <c r="AQ5" s="235" t="s">
        <v>132</v>
      </c>
    </row>
    <row r="6" s="524" customFormat="true" ht="12.95" hidden="false" customHeight="true" outlineLevel="0" collapsed="false">
      <c r="A6" s="470" t="s">
        <v>133</v>
      </c>
      <c r="B6" s="466" t="s">
        <v>32</v>
      </c>
      <c r="C6" s="229" t="s">
        <v>9</v>
      </c>
      <c r="D6" s="233" t="s">
        <v>33</v>
      </c>
      <c r="E6" s="229" t="s">
        <v>34</v>
      </c>
      <c r="F6" s="522" t="s">
        <v>35</v>
      </c>
      <c r="G6" s="233" t="s">
        <v>36</v>
      </c>
      <c r="H6" s="235" t="s">
        <v>37</v>
      </c>
      <c r="I6" s="233" t="s">
        <v>38</v>
      </c>
      <c r="J6" s="233" t="s">
        <v>38</v>
      </c>
      <c r="K6" s="233" t="s">
        <v>38</v>
      </c>
      <c r="L6" s="233" t="s">
        <v>39</v>
      </c>
      <c r="M6" s="471" t="s">
        <v>40</v>
      </c>
      <c r="N6" s="233" t="s">
        <v>41</v>
      </c>
      <c r="O6" s="233" t="s">
        <v>42</v>
      </c>
      <c r="P6" s="233" t="s">
        <v>43</v>
      </c>
      <c r="Q6" s="233" t="s">
        <v>44</v>
      </c>
      <c r="R6" s="233" t="s">
        <v>45</v>
      </c>
      <c r="S6" s="234" t="s">
        <v>46</v>
      </c>
      <c r="T6" s="420" t="s">
        <v>47</v>
      </c>
      <c r="U6" s="420" t="s">
        <v>48</v>
      </c>
      <c r="V6" s="420" t="s">
        <v>20</v>
      </c>
      <c r="W6" s="79" t="s">
        <v>58</v>
      </c>
      <c r="X6" s="229" t="s">
        <v>72</v>
      </c>
      <c r="Y6" s="229" t="s">
        <v>53</v>
      </c>
      <c r="Z6" s="420" t="s">
        <v>51</v>
      </c>
      <c r="AA6" s="221"/>
      <c r="AB6" s="222"/>
      <c r="AC6" s="420" t="s">
        <v>54</v>
      </c>
      <c r="AD6" s="229" t="s">
        <v>55</v>
      </c>
      <c r="AE6" s="233" t="s">
        <v>56</v>
      </c>
      <c r="AF6" s="233" t="s">
        <v>56</v>
      </c>
      <c r="AG6" s="233" t="s">
        <v>56</v>
      </c>
      <c r="AH6" s="525"/>
      <c r="AI6" s="224" t="s">
        <v>57</v>
      </c>
      <c r="AJ6" s="350" t="s">
        <v>57</v>
      </c>
      <c r="AK6" s="68" t="s">
        <v>58</v>
      </c>
      <c r="AL6" s="68" t="s">
        <v>59</v>
      </c>
      <c r="AM6" s="427" t="s">
        <v>60</v>
      </c>
      <c r="AN6" s="427" t="s">
        <v>60</v>
      </c>
      <c r="AO6" s="68" t="s">
        <v>61</v>
      </c>
      <c r="AP6" s="218" t="s">
        <v>62</v>
      </c>
      <c r="AQ6" s="235" t="s">
        <v>134</v>
      </c>
    </row>
    <row r="7" s="524" customFormat="true" ht="12.95" hidden="false" customHeight="true" outlineLevel="0" collapsed="false">
      <c r="A7" s="233"/>
      <c r="B7" s="466"/>
      <c r="C7" s="229"/>
      <c r="D7" s="233"/>
      <c r="E7" s="229" t="s">
        <v>63</v>
      </c>
      <c r="F7" s="522"/>
      <c r="G7" s="233"/>
      <c r="H7" s="235"/>
      <c r="I7" s="233"/>
      <c r="J7" s="233"/>
      <c r="K7" s="233"/>
      <c r="L7" s="233"/>
      <c r="M7" s="471"/>
      <c r="N7" s="233" t="s">
        <v>64</v>
      </c>
      <c r="O7" s="233" t="s">
        <v>65</v>
      </c>
      <c r="P7" s="233"/>
      <c r="Q7" s="233"/>
      <c r="R7" s="233"/>
      <c r="S7" s="234" t="s">
        <v>42</v>
      </c>
      <c r="T7" s="420"/>
      <c r="U7" s="420"/>
      <c r="V7" s="420"/>
      <c r="W7" s="79"/>
      <c r="X7" s="79"/>
      <c r="Y7" s="79"/>
      <c r="Z7" s="420"/>
      <c r="AA7" s="232"/>
      <c r="AB7" s="236"/>
      <c r="AC7" s="420"/>
      <c r="AD7" s="79"/>
      <c r="AE7" s="420"/>
      <c r="AF7" s="420"/>
      <c r="AG7" s="420"/>
      <c r="AH7" s="525"/>
      <c r="AI7" s="224"/>
      <c r="AJ7" s="350"/>
      <c r="AK7" s="68" t="s">
        <v>63</v>
      </c>
      <c r="AL7" s="68" t="s">
        <v>67</v>
      </c>
      <c r="AM7" s="427" t="s">
        <v>107</v>
      </c>
      <c r="AN7" s="427" t="s">
        <v>93</v>
      </c>
      <c r="AO7" s="68" t="s">
        <v>70</v>
      </c>
      <c r="AP7" s="218" t="s">
        <v>71</v>
      </c>
      <c r="AQ7" s="651" t="s">
        <v>135</v>
      </c>
    </row>
    <row r="8" s="524" customFormat="true" ht="12.95" hidden="false" customHeight="true" outlineLevel="0" collapsed="false">
      <c r="A8" s="233"/>
      <c r="B8" s="466"/>
      <c r="C8" s="229"/>
      <c r="D8" s="233"/>
      <c r="E8" s="229"/>
      <c r="F8" s="522"/>
      <c r="G8" s="233"/>
      <c r="H8" s="235"/>
      <c r="I8" s="233"/>
      <c r="J8" s="233"/>
      <c r="K8" s="233"/>
      <c r="L8" s="233"/>
      <c r="M8" s="471"/>
      <c r="N8" s="239" t="n">
        <v>1.03</v>
      </c>
      <c r="O8" s="239" t="n">
        <v>1.05</v>
      </c>
      <c r="P8" s="239" t="n">
        <v>1.02</v>
      </c>
      <c r="Q8" s="239" t="n">
        <v>1.02</v>
      </c>
      <c r="R8" s="239" t="n">
        <v>1.04</v>
      </c>
      <c r="S8" s="234" t="s">
        <v>53</v>
      </c>
      <c r="T8" s="233"/>
      <c r="U8" s="233"/>
      <c r="V8" s="233"/>
      <c r="W8" s="229"/>
      <c r="X8" s="229"/>
      <c r="Y8" s="229"/>
      <c r="Z8" s="233"/>
      <c r="AA8" s="232"/>
      <c r="AB8" s="236"/>
      <c r="AC8" s="233"/>
      <c r="AD8" s="229"/>
      <c r="AE8" s="233"/>
      <c r="AF8" s="233"/>
      <c r="AG8" s="233"/>
      <c r="AH8" s="525"/>
      <c r="AI8" s="224"/>
      <c r="AJ8" s="350"/>
      <c r="AK8" s="68"/>
      <c r="AL8" s="68"/>
      <c r="AM8" s="427"/>
      <c r="AN8" s="427" t="s">
        <v>67</v>
      </c>
      <c r="AO8" s="548"/>
      <c r="AQ8" s="235"/>
    </row>
    <row r="9" customFormat="false" ht="12.95" hidden="false" customHeight="true" outlineLevel="0" collapsed="false">
      <c r="A9" s="173" t="s">
        <v>74</v>
      </c>
      <c r="B9" s="241"/>
      <c r="C9" s="105"/>
      <c r="D9" s="105"/>
      <c r="E9" s="105"/>
      <c r="F9" s="242" t="n">
        <f aca="false">SEP!F46</f>
        <v>-22167.380892362</v>
      </c>
      <c r="G9" s="105" t="n">
        <f aca="false">SEP!G46</f>
        <v>85164</v>
      </c>
      <c r="H9" s="652" t="n">
        <f aca="false">SEP!H46</f>
        <v>1002.03</v>
      </c>
      <c r="I9" s="105" t="n">
        <f aca="false">SEP!I46</f>
        <v>86166.03</v>
      </c>
      <c r="J9" s="105" t="n">
        <f aca="false">SEP!J46</f>
        <v>4842.96114761785</v>
      </c>
      <c r="K9" s="105" t="n">
        <f aca="false">SEP!K46</f>
        <v>91008.9911476179</v>
      </c>
      <c r="L9" s="105" t="n">
        <f aca="false">SEP!L46</f>
        <v>-4625.27529236199</v>
      </c>
      <c r="M9" s="244" t="n">
        <f aca="false">SEP!M46</f>
        <v>38263</v>
      </c>
      <c r="N9" s="105" t="n">
        <f aca="false">SEP!N46</f>
        <v>344.644422</v>
      </c>
      <c r="O9" s="105" t="n">
        <f aca="false">SEP!O46</f>
        <v>12884.7495</v>
      </c>
      <c r="P9" s="105" t="n">
        <f aca="false">SEP!P46</f>
        <v>2.2644</v>
      </c>
      <c r="Q9" s="105"/>
      <c r="R9" s="105"/>
      <c r="S9" s="245"/>
      <c r="T9" s="105" t="n">
        <f aca="false">SEP!T46</f>
        <v>20283</v>
      </c>
      <c r="U9" s="105" t="n">
        <f aca="false">SEP!U46</f>
        <v>11289.8</v>
      </c>
      <c r="V9" s="105" t="n">
        <f aca="false">SEP!V46</f>
        <v>56756.271478</v>
      </c>
      <c r="W9" s="105" t="n">
        <f aca="false">SEP!W46</f>
        <v>0</v>
      </c>
      <c r="X9" s="105" t="n">
        <f aca="false">SEP!X41</f>
        <v>0.00509095315070596</v>
      </c>
      <c r="Y9" s="105" t="n">
        <f aca="false">SEP!Y41</f>
        <v>-1172.985936</v>
      </c>
      <c r="Z9" s="105" t="n">
        <f aca="false">SEP!Z46</f>
        <v>23272.6</v>
      </c>
      <c r="AA9" s="105" t="n">
        <f aca="false">SEP!AA46</f>
        <v>311.1</v>
      </c>
      <c r="AB9" s="105" t="n">
        <f aca="false">SEP!AB46</f>
        <v>237.9</v>
      </c>
      <c r="AC9" s="105"/>
      <c r="AD9" s="105"/>
      <c r="AE9" s="105" t="n">
        <f aca="false">SEP!AE46</f>
        <v>103708.1356</v>
      </c>
      <c r="AF9" s="105" t="n">
        <f aca="false">SEP!AF46</f>
        <v>9468.23643997983</v>
      </c>
      <c r="AG9" s="105" t="n">
        <f aca="false">SEP!AG46</f>
        <v>113176.37203998</v>
      </c>
      <c r="AH9" s="379"/>
      <c r="AI9" s="243"/>
      <c r="AJ9" s="248"/>
      <c r="AK9" s="243"/>
      <c r="AL9" s="243"/>
      <c r="AM9" s="246"/>
      <c r="AN9" s="366" t="n">
        <f aca="false">SEP!AN47</f>
        <v>922.457025473621</v>
      </c>
      <c r="AO9" s="243" t="n">
        <f aca="false">SEP!AO46</f>
        <v>995.07</v>
      </c>
      <c r="AP9" s="243" t="n">
        <f aca="false">SEP!AP46</f>
        <v>0</v>
      </c>
    </row>
    <row r="10" s="157" customFormat="true" ht="12.95" hidden="false" customHeight="true" outlineLevel="0" collapsed="false">
      <c r="A10" s="250" t="s">
        <v>75</v>
      </c>
      <c r="B10" s="104" t="n">
        <f aca="false">SEP!B41</f>
        <v>6889.61</v>
      </c>
      <c r="C10" s="105" t="n">
        <f aca="false">SEP!C41</f>
        <v>246821</v>
      </c>
      <c r="D10" s="105" t="n">
        <f aca="false">SEP!D50</f>
        <v>-52553</v>
      </c>
      <c r="E10" s="105" t="n">
        <f aca="false">SEP!E50</f>
        <v>94843</v>
      </c>
      <c r="F10" s="242" t="n">
        <f aca="false">SEP!F49</f>
        <v>-26495.0844466852</v>
      </c>
      <c r="G10" s="105" t="n">
        <f aca="false">SEP!G49</f>
        <v>92816</v>
      </c>
      <c r="H10" s="652" t="n">
        <f aca="false">SEP!H49</f>
        <v>1224.853</v>
      </c>
      <c r="I10" s="105" t="n">
        <f aca="false">SEP!I49</f>
        <v>94040.853</v>
      </c>
      <c r="J10" s="105" t="n">
        <f aca="false">SEP!J49</f>
        <v>6375.14953178725</v>
      </c>
      <c r="K10" s="105" t="n">
        <f aca="false">SEP!K49</f>
        <v>100416.002531787</v>
      </c>
      <c r="L10" s="105" t="n">
        <f aca="false">SEP!L49</f>
        <v>-4310.79184668515</v>
      </c>
      <c r="M10" s="244" t="n">
        <f aca="false">SEP!M49</f>
        <v>39555.6</v>
      </c>
      <c r="N10" s="105" t="n">
        <f aca="false">SEP!N49</f>
        <v>344.644422</v>
      </c>
      <c r="O10" s="105" t="n">
        <f aca="false">SEP!O49</f>
        <v>12884.7495</v>
      </c>
      <c r="P10" s="105"/>
      <c r="Q10" s="105" t="n">
        <f aca="false">SEP!Q49</f>
        <v>632.0736</v>
      </c>
      <c r="R10" s="243" t="n">
        <f aca="false">SEP!R49</f>
        <v>1159.5048</v>
      </c>
      <c r="S10" s="245" t="n">
        <f aca="false">SEP!S49</f>
        <v>486.2</v>
      </c>
      <c r="T10" s="105" t="n">
        <f aca="false">SEP!T49</f>
        <v>27464.94</v>
      </c>
      <c r="U10" s="105" t="n">
        <f aca="false">SEP!U49</f>
        <v>11441.27</v>
      </c>
      <c r="V10" s="105" t="n">
        <f aca="false">SEP!V49</f>
        <v>64644.173278</v>
      </c>
      <c r="W10" s="105"/>
      <c r="X10" s="105" t="n">
        <f aca="false">SEP!X49</f>
        <v>0</v>
      </c>
      <c r="Y10" s="105"/>
      <c r="Z10" s="105" t="n">
        <f aca="false">SEP!Z49</f>
        <v>0</v>
      </c>
      <c r="AA10" s="244"/>
      <c r="AB10" s="245"/>
      <c r="AC10" s="105" t="n">
        <f aca="false">SEP!AC49</f>
        <v>14434</v>
      </c>
      <c r="AD10" s="105" t="n">
        <f aca="false">SEP!AD49</f>
        <v>5488.25787748929</v>
      </c>
      <c r="AE10" s="105" t="n">
        <f aca="false">SEP!AE49</f>
        <v>116225.1456</v>
      </c>
      <c r="AF10" s="105" t="n">
        <f aca="false">SEP!AF49</f>
        <v>10685.9413784724</v>
      </c>
      <c r="AG10" s="105" t="n">
        <f aca="false">SEP!AG49</f>
        <v>126911.086978472</v>
      </c>
      <c r="AH10" s="379" t="n">
        <f aca="false">SEP!AH49</f>
        <v>13.21</v>
      </c>
      <c r="AI10" s="243"/>
      <c r="AJ10" s="248"/>
      <c r="AK10" s="243" t="n">
        <f aca="false">SEP!AK50</f>
        <v>15698.7543455</v>
      </c>
      <c r="AL10" s="243" t="n">
        <f aca="false">SEP!AL49</f>
        <v>236.546271401</v>
      </c>
      <c r="AM10" s="246"/>
      <c r="AN10" s="366" t="n">
        <f aca="false">SEP!AN50</f>
        <v>922.457025473621</v>
      </c>
      <c r="AO10" s="243" t="n">
        <f aca="false">SEP!AO49</f>
        <v>0</v>
      </c>
      <c r="AP10" s="243" t="n">
        <f aca="false">SEP!AP49</f>
        <v>0</v>
      </c>
      <c r="AQ10" s="543"/>
    </row>
    <row r="11" customFormat="false" ht="3" hidden="false" customHeight="true" outlineLevel="0" collapsed="false">
      <c r="A11" s="252"/>
      <c r="B11" s="253"/>
      <c r="C11" s="254"/>
      <c r="D11" s="255"/>
      <c r="E11" s="254"/>
      <c r="F11" s="256"/>
      <c r="G11" s="255"/>
      <c r="H11" s="653"/>
      <c r="I11" s="255"/>
      <c r="J11" s="255"/>
      <c r="K11" s="255"/>
      <c r="L11" s="255"/>
      <c r="M11" s="258"/>
      <c r="N11" s="255"/>
      <c r="O11" s="255"/>
      <c r="P11" s="255"/>
      <c r="Q11" s="255"/>
      <c r="R11" s="255"/>
      <c r="S11" s="259"/>
      <c r="T11" s="255"/>
      <c r="U11" s="255"/>
      <c r="V11" s="255"/>
      <c r="W11" s="254"/>
      <c r="X11" s="254"/>
      <c r="Y11" s="254"/>
      <c r="Z11" s="255"/>
      <c r="AA11" s="258"/>
      <c r="AB11" s="259"/>
      <c r="AC11" s="255"/>
      <c r="AD11" s="254"/>
      <c r="AE11" s="255"/>
      <c r="AF11" s="255"/>
      <c r="AG11" s="255"/>
      <c r="AH11" s="527"/>
      <c r="AI11" s="262"/>
      <c r="AJ11" s="263"/>
      <c r="AK11" s="262"/>
      <c r="AL11" s="262"/>
      <c r="AM11" s="260"/>
      <c r="AN11" s="475"/>
      <c r="AO11" s="475"/>
      <c r="AP11" s="475"/>
      <c r="AQ11" s="567"/>
    </row>
    <row r="12" customFormat="false" ht="12.95" hidden="false" customHeight="true" outlineLevel="0" collapsed="false">
      <c r="A12" s="172" t="n">
        <v>1</v>
      </c>
      <c r="B12" s="104" t="n">
        <v>6889.57</v>
      </c>
      <c r="C12" s="105" t="n">
        <v>246720</v>
      </c>
      <c r="D12" s="243" t="n">
        <f aca="false">C12-C10</f>
        <v>-101</v>
      </c>
      <c r="E12" s="105" t="n">
        <f aca="false">C12-152000</f>
        <v>94720</v>
      </c>
      <c r="F12" s="264" t="n">
        <f aca="false">D12/$D$2</f>
        <v>-50.9200907486766</v>
      </c>
      <c r="G12" s="265" t="n">
        <v>240</v>
      </c>
      <c r="H12" s="654" t="n">
        <v>0</v>
      </c>
      <c r="I12" s="265" t="n">
        <f aca="false">G12+H12</f>
        <v>240</v>
      </c>
      <c r="J12" s="246" t="n">
        <f aca="false">IF(L12&gt;0,L12,0)</f>
        <v>0</v>
      </c>
      <c r="K12" s="265" t="n">
        <f aca="false">I12+J12</f>
        <v>240</v>
      </c>
      <c r="L12" s="265" t="n">
        <f aca="false">F12-(I12-AE12)</f>
        <v>-9.92009074867658</v>
      </c>
      <c r="M12" s="267" t="n">
        <v>100</v>
      </c>
      <c r="N12" s="126" t="n">
        <f aca="false">1.8299*1.03</f>
        <v>1.884797</v>
      </c>
      <c r="O12" s="265" t="n">
        <f aca="false">(7.21+8.12)*1.05</f>
        <v>16.0965</v>
      </c>
      <c r="P12" s="265"/>
      <c r="Q12" s="614" t="n">
        <f aca="false">1.54*1.02</f>
        <v>1.5708</v>
      </c>
      <c r="R12" s="634" t="n">
        <v>4.2</v>
      </c>
      <c r="S12" s="635" t="n">
        <v>1.11</v>
      </c>
      <c r="T12" s="265" t="n">
        <v>98</v>
      </c>
      <c r="U12" s="265" t="n">
        <v>43</v>
      </c>
      <c r="V12" s="265" t="n">
        <f aca="false">M12-N12-O12-Q12-R12-S12+T12+U12</f>
        <v>216.137903</v>
      </c>
      <c r="W12" s="105" t="n">
        <v>0</v>
      </c>
      <c r="X12" s="105" t="n">
        <v>0</v>
      </c>
      <c r="Y12" s="611" t="n">
        <f aca="false">Y9-(AN12/1.9835)</f>
        <v>-1172.98593707495</v>
      </c>
      <c r="Z12" s="265" t="n">
        <v>0</v>
      </c>
      <c r="AA12" s="129" t="n">
        <v>1.7</v>
      </c>
      <c r="AB12" s="130" t="n">
        <v>1.3</v>
      </c>
      <c r="AC12" s="265" t="n">
        <v>40</v>
      </c>
      <c r="AD12" s="105" t="n">
        <f aca="false">AD10-AC12</f>
        <v>5448.25787748929</v>
      </c>
      <c r="AE12" s="636" t="n">
        <f aca="false">N12+O12+Q12+R12+S12+V12+Z12+AC12</f>
        <v>281</v>
      </c>
      <c r="AF12" s="265" t="n">
        <f aca="false">IF(L12&lt;0,L12*-1,0)</f>
        <v>9.92009074867658</v>
      </c>
      <c r="AG12" s="265" t="n">
        <f aca="false">AE12+AF12</f>
        <v>290.920090748677</v>
      </c>
      <c r="AH12" s="379" t="n">
        <v>0</v>
      </c>
      <c r="AI12" s="243" t="n">
        <v>71</v>
      </c>
      <c r="AJ12" s="248" t="n">
        <v>44</v>
      </c>
      <c r="AK12" s="243" t="n">
        <f aca="false">AK10</f>
        <v>15698.7543455</v>
      </c>
      <c r="AL12" s="243"/>
      <c r="AM12" s="246" t="n">
        <v>0</v>
      </c>
      <c r="AN12" s="366" t="n">
        <f aca="false">20*(W9*1.9835+X9*1.9835)/E12</f>
        <v>2.13215911622155E-006</v>
      </c>
      <c r="AO12" s="105"/>
    </row>
    <row r="13" customFormat="false" ht="12.95" hidden="false" customHeight="true" outlineLevel="0" collapsed="false">
      <c r="A13" s="172" t="n">
        <f aca="false">A12+1</f>
        <v>2</v>
      </c>
      <c r="B13" s="104" t="n">
        <v>6889.48</v>
      </c>
      <c r="C13" s="105" t="n">
        <v>246417</v>
      </c>
      <c r="D13" s="243" t="n">
        <f aca="false">C13-C12</f>
        <v>-303</v>
      </c>
      <c r="E13" s="105" t="n">
        <f aca="false">C13-152000</f>
        <v>94417</v>
      </c>
      <c r="F13" s="264" t="n">
        <f aca="false">D13/$D$2</f>
        <v>-152.76027224603</v>
      </c>
      <c r="G13" s="265" t="n">
        <v>226</v>
      </c>
      <c r="H13" s="654" t="n">
        <v>0</v>
      </c>
      <c r="I13" s="265" t="n">
        <f aca="false">G13+H13</f>
        <v>226</v>
      </c>
      <c r="J13" s="246" t="n">
        <f aca="false">IF(L13&gt;0,L13,0)</f>
        <v>0</v>
      </c>
      <c r="K13" s="265" t="n">
        <f aca="false">I13+J13</f>
        <v>226</v>
      </c>
      <c r="L13" s="265" t="n">
        <f aca="false">F13-(I13-AE13)</f>
        <v>-84.7602722460297</v>
      </c>
      <c r="M13" s="267" t="n">
        <v>114</v>
      </c>
      <c r="N13" s="126" t="n">
        <f aca="false">1.8299*1.03</f>
        <v>1.884797</v>
      </c>
      <c r="O13" s="265" t="n">
        <f aca="false">(8.69+10.98)*1.05</f>
        <v>20.6535</v>
      </c>
      <c r="P13" s="265"/>
      <c r="Q13" s="614" t="n">
        <f aca="false">1.54*1.02</f>
        <v>1.5708</v>
      </c>
      <c r="R13" s="634" t="n">
        <v>4.2</v>
      </c>
      <c r="S13" s="635" t="n">
        <v>0.47</v>
      </c>
      <c r="T13" s="265" t="n">
        <v>98</v>
      </c>
      <c r="U13" s="265" t="n">
        <v>42</v>
      </c>
      <c r="V13" s="265" t="n">
        <f aca="false">M13-N13-O13-Q13-R13-S13+T13+U13</f>
        <v>225.220903</v>
      </c>
      <c r="W13" s="105" t="n">
        <v>0</v>
      </c>
      <c r="X13" s="105" t="n">
        <v>0</v>
      </c>
      <c r="Y13" s="611" t="n">
        <f aca="false">Y12-(AN13/1.9835)</f>
        <v>-1172.98593707495</v>
      </c>
      <c r="Z13" s="265" t="n">
        <v>0</v>
      </c>
      <c r="AA13" s="129" t="n">
        <v>1.7</v>
      </c>
      <c r="AB13" s="130" t="n">
        <v>1.3</v>
      </c>
      <c r="AC13" s="265" t="n">
        <v>40</v>
      </c>
      <c r="AD13" s="105" t="n">
        <f aca="false">AD12-AC13</f>
        <v>5408.25787748929</v>
      </c>
      <c r="AE13" s="636" t="n">
        <f aca="false">N13+O13+Q13+R13+S13+V13+Z13+AC13</f>
        <v>294</v>
      </c>
      <c r="AF13" s="265" t="n">
        <f aca="false">IF(L13&lt;0,L13*-1,0)</f>
        <v>84.7602722460297</v>
      </c>
      <c r="AG13" s="265" t="n">
        <f aca="false">AE13+AF13</f>
        <v>378.76027224603</v>
      </c>
      <c r="AH13" s="379" t="n">
        <v>0</v>
      </c>
      <c r="AI13" s="243" t="n">
        <v>74</v>
      </c>
      <c r="AJ13" s="248" t="n">
        <v>46</v>
      </c>
      <c r="AK13" s="243" t="n">
        <f aca="false">AK12</f>
        <v>15698.7543455</v>
      </c>
      <c r="AL13" s="243"/>
      <c r="AM13" s="246" t="n">
        <v>0</v>
      </c>
      <c r="AN13" s="366" t="n">
        <f aca="false">20*(W12*1.9835+X12*1.9835)/E13</f>
        <v>0</v>
      </c>
      <c r="AO13" s="105"/>
    </row>
    <row r="14" customFormat="false" ht="12.95" hidden="false" customHeight="true" outlineLevel="0" collapsed="false">
      <c r="A14" s="172" t="n">
        <f aca="false">A13+1</f>
        <v>3</v>
      </c>
      <c r="B14" s="104" t="n">
        <v>6889.41</v>
      </c>
      <c r="C14" s="105" t="n">
        <v>246182</v>
      </c>
      <c r="D14" s="243" t="n">
        <f aca="false">C14-C13</f>
        <v>-235</v>
      </c>
      <c r="E14" s="105" t="n">
        <f aca="false">C14-152000</f>
        <v>94182</v>
      </c>
      <c r="F14" s="264" t="n">
        <f aca="false">D14/$D$2</f>
        <v>-118.477438870683</v>
      </c>
      <c r="G14" s="265" t="n">
        <v>217</v>
      </c>
      <c r="H14" s="654" t="n">
        <v>0</v>
      </c>
      <c r="I14" s="265" t="n">
        <f aca="false">G14+H14</f>
        <v>217</v>
      </c>
      <c r="J14" s="246" t="n">
        <f aca="false">IF(L14&gt;0,L14,0)</f>
        <v>4.52256112931687</v>
      </c>
      <c r="K14" s="265" t="n">
        <f aca="false">I14+J14</f>
        <v>221.522561129317</v>
      </c>
      <c r="L14" s="265" t="n">
        <f aca="false">F14-(I14-AE14)</f>
        <v>4.52256112931687</v>
      </c>
      <c r="M14" s="267" t="n">
        <v>151</v>
      </c>
      <c r="N14" s="126" t="n">
        <f aca="false">1.8299*1.03</f>
        <v>1.884797</v>
      </c>
      <c r="O14" s="265" t="n">
        <f aca="false">(27.78+30.16)*1.05</f>
        <v>60.837</v>
      </c>
      <c r="P14" s="265"/>
      <c r="Q14" s="614" t="n">
        <f aca="false">1.54*1.02</f>
        <v>1.5708</v>
      </c>
      <c r="R14" s="634" t="n">
        <v>4.2</v>
      </c>
      <c r="S14" s="635" t="n">
        <v>0.98</v>
      </c>
      <c r="T14" s="265" t="n">
        <v>97</v>
      </c>
      <c r="U14" s="265" t="n">
        <v>41</v>
      </c>
      <c r="V14" s="265" t="n">
        <f aca="false">M14-N14-O14-Q14-R14-S14+T14+U14</f>
        <v>219.527403</v>
      </c>
      <c r="W14" s="105" t="n">
        <v>0</v>
      </c>
      <c r="X14" s="105" t="n">
        <v>0</v>
      </c>
      <c r="Y14" s="611" t="n">
        <f aca="false">Y13-(V14-I14)-Q14-R14-AA14-(AN14/1.9835)</f>
        <v>-1182.98414007495</v>
      </c>
      <c r="Z14" s="265" t="n">
        <v>11</v>
      </c>
      <c r="AA14" s="129" t="n">
        <v>1.7</v>
      </c>
      <c r="AB14" s="130" t="n">
        <v>1.3</v>
      </c>
      <c r="AC14" s="265" t="n">
        <v>40</v>
      </c>
      <c r="AD14" s="105" t="n">
        <f aca="false">AD13-AC14</f>
        <v>5368.25787748929</v>
      </c>
      <c r="AE14" s="636" t="n">
        <f aca="false">N14+O14+Q14+R14+S14+V14+Z14+AC14</f>
        <v>340</v>
      </c>
      <c r="AF14" s="265" t="n">
        <f aca="false">IF(L14&lt;0,L14*-1,0)</f>
        <v>0</v>
      </c>
      <c r="AG14" s="265" t="n">
        <f aca="false">AE14+AF14</f>
        <v>340</v>
      </c>
      <c r="AH14" s="379" t="n">
        <v>0</v>
      </c>
      <c r="AI14" s="243" t="n">
        <v>65</v>
      </c>
      <c r="AJ14" s="248" t="n">
        <v>49</v>
      </c>
      <c r="AK14" s="243" t="n">
        <f aca="false">AK13</f>
        <v>15698.7543455</v>
      </c>
      <c r="AL14" s="243"/>
      <c r="AM14" s="246" t="n">
        <v>0</v>
      </c>
      <c r="AN14" s="366" t="n">
        <f aca="false">20*(W13*1.9835+X13*1.9835)/E14</f>
        <v>0</v>
      </c>
      <c r="AO14" s="105"/>
    </row>
    <row r="15" customFormat="false" ht="12.95" hidden="false" customHeight="true" outlineLevel="0" collapsed="false">
      <c r="A15" s="172" t="n">
        <f aca="false">A14+1</f>
        <v>4</v>
      </c>
      <c r="B15" s="104" t="n">
        <v>6889.31</v>
      </c>
      <c r="C15" s="105" t="n">
        <v>245845</v>
      </c>
      <c r="D15" s="243" t="n">
        <f aca="false">C15-C14</f>
        <v>-337</v>
      </c>
      <c r="E15" s="105" t="n">
        <f aca="false">C15-152000</f>
        <v>93845</v>
      </c>
      <c r="F15" s="264" t="n">
        <f aca="false">D15/$D$2</f>
        <v>-169.901688933703</v>
      </c>
      <c r="G15" s="265" t="n">
        <v>244</v>
      </c>
      <c r="H15" s="654" t="n">
        <v>0</v>
      </c>
      <c r="I15" s="265" t="n">
        <f aca="false">G15+H15</f>
        <v>244</v>
      </c>
      <c r="J15" s="246" t="n">
        <f aca="false">IF(L15&gt;0,L15,0)</f>
        <v>0</v>
      </c>
      <c r="K15" s="265" t="n">
        <f aca="false">I15+J15</f>
        <v>244</v>
      </c>
      <c r="L15" s="265" t="n">
        <f aca="false">F15-(I15-AE15)</f>
        <v>-93.9016889337031</v>
      </c>
      <c r="M15" s="267" t="n">
        <v>131</v>
      </c>
      <c r="N15" s="126" t="n">
        <f aca="false">1.8299*1.03</f>
        <v>1.884797</v>
      </c>
      <c r="O15" s="265" t="n">
        <f aca="false">(30.63+28.83)*1.05</f>
        <v>62.433</v>
      </c>
      <c r="P15" s="265"/>
      <c r="Q15" s="614" t="n">
        <f aca="false">1.54*1.02</f>
        <v>1.5708</v>
      </c>
      <c r="R15" s="634" t="n">
        <v>4.2</v>
      </c>
      <c r="S15" s="635" t="n">
        <v>0.45</v>
      </c>
      <c r="T15" s="265" t="n">
        <v>97</v>
      </c>
      <c r="U15" s="265" t="n">
        <v>42</v>
      </c>
      <c r="V15" s="265" t="n">
        <f aca="false">M15-N15-O15-Q15-R15-S15+T15+U15</f>
        <v>199.461403</v>
      </c>
      <c r="W15" s="105" t="n">
        <v>0</v>
      </c>
      <c r="X15" s="105" t="n">
        <v>0</v>
      </c>
      <c r="Y15" s="611" t="n">
        <f aca="false">Y14-(AN15/1.9835)</f>
        <v>-1182.98414007495</v>
      </c>
      <c r="Z15" s="265" t="n">
        <v>10</v>
      </c>
      <c r="AA15" s="129" t="n">
        <v>1.7</v>
      </c>
      <c r="AB15" s="130" t="n">
        <v>1.3</v>
      </c>
      <c r="AC15" s="265" t="n">
        <v>40</v>
      </c>
      <c r="AD15" s="105" t="n">
        <f aca="false">AD14-AC15</f>
        <v>5328.25787748929</v>
      </c>
      <c r="AE15" s="636" t="n">
        <f aca="false">N15+O15+Q15+R15+S15+V15+Z15+AC15</f>
        <v>320</v>
      </c>
      <c r="AF15" s="265" t="n">
        <f aca="false">IF(L15&lt;0,L15*-1,0)</f>
        <v>93.9016889337031</v>
      </c>
      <c r="AG15" s="265" t="n">
        <f aca="false">AE15+AF15</f>
        <v>413.901688933703</v>
      </c>
      <c r="AH15" s="379" t="n">
        <v>0</v>
      </c>
      <c r="AI15" s="243" t="n">
        <v>75</v>
      </c>
      <c r="AJ15" s="248" t="n">
        <v>45</v>
      </c>
      <c r="AK15" s="243" t="n">
        <f aca="false">AK14</f>
        <v>15698.7543455</v>
      </c>
      <c r="AL15" s="243"/>
      <c r="AM15" s="246" t="n">
        <v>0</v>
      </c>
      <c r="AN15" s="366" t="n">
        <f aca="false">20*(W14*1.9835+X14*1.9835)/E15</f>
        <v>0</v>
      </c>
      <c r="AO15" s="105"/>
    </row>
    <row r="16" customFormat="false" ht="12.95" hidden="false" customHeight="true" outlineLevel="0" collapsed="false">
      <c r="A16" s="172" t="n">
        <f aca="false">A15+1</f>
        <v>5</v>
      </c>
      <c r="B16" s="104" t="n">
        <v>6889.24</v>
      </c>
      <c r="C16" s="105" t="n">
        <v>245609</v>
      </c>
      <c r="D16" s="243" t="n">
        <f aca="false">C16-C15</f>
        <v>-236</v>
      </c>
      <c r="E16" s="105" t="n">
        <f aca="false">C16-152000</f>
        <v>93609</v>
      </c>
      <c r="F16" s="264" t="n">
        <f aca="false">D16/$D$2</f>
        <v>-118.981598185026</v>
      </c>
      <c r="G16" s="265" t="n">
        <v>281</v>
      </c>
      <c r="H16" s="654" t="n">
        <v>0</v>
      </c>
      <c r="I16" s="265" t="n">
        <f aca="false">G16+H16</f>
        <v>281</v>
      </c>
      <c r="J16" s="246" t="n">
        <f aca="false">IF(L16&gt;0,L16,0)</f>
        <v>66.0184018149735</v>
      </c>
      <c r="K16" s="265" t="n">
        <f aca="false">I16+J16</f>
        <v>347.018401814974</v>
      </c>
      <c r="L16" s="265" t="n">
        <f aca="false">F16-(I16-AE16)</f>
        <v>66.0184018149735</v>
      </c>
      <c r="M16" s="267" t="n">
        <v>96</v>
      </c>
      <c r="N16" s="126" t="n">
        <f aca="false">1.8299*1.03</f>
        <v>1.884797</v>
      </c>
      <c r="O16" s="265" t="n">
        <f aca="false">(18.29+22.04)*1.05</f>
        <v>42.3465</v>
      </c>
      <c r="P16" s="265"/>
      <c r="Q16" s="614" t="n">
        <f aca="false">1.54*1.02</f>
        <v>1.5708</v>
      </c>
      <c r="R16" s="634" t="n">
        <v>4.2</v>
      </c>
      <c r="S16" s="635" t="n">
        <v>0.99</v>
      </c>
      <c r="T16" s="265" t="n">
        <v>97</v>
      </c>
      <c r="U16" s="265" t="n">
        <v>46</v>
      </c>
      <c r="V16" s="265" t="n">
        <f aca="false">M16-N16-O16-Q16-R16-S16+T16+U16</f>
        <v>188.007903</v>
      </c>
      <c r="W16" s="105" t="n">
        <v>0</v>
      </c>
      <c r="X16" s="105" t="n">
        <v>0</v>
      </c>
      <c r="Y16" s="611" t="n">
        <f aca="false">Y15-(AN16/1.9835)</f>
        <v>-1182.98414007495</v>
      </c>
      <c r="Z16" s="265" t="n">
        <v>0</v>
      </c>
      <c r="AA16" s="129" t="n">
        <v>1.7</v>
      </c>
      <c r="AB16" s="130" t="n">
        <v>1.3</v>
      </c>
      <c r="AC16" s="265" t="n">
        <v>227</v>
      </c>
      <c r="AD16" s="105" t="n">
        <f aca="false">AD15-AC16</f>
        <v>5101.25787748929</v>
      </c>
      <c r="AE16" s="636" t="n">
        <f aca="false">N16+O16+Q16+R16+S16+V16+Z16+AC16</f>
        <v>466</v>
      </c>
      <c r="AF16" s="265" t="n">
        <f aca="false">IF(L16&lt;0,L16*-1,0)</f>
        <v>0</v>
      </c>
      <c r="AG16" s="265" t="n">
        <f aca="false">AE16+AF16</f>
        <v>466</v>
      </c>
      <c r="AH16" s="379" t="n">
        <v>0.32</v>
      </c>
      <c r="AI16" s="243" t="n">
        <v>62</v>
      </c>
      <c r="AJ16" s="248" t="n">
        <v>50</v>
      </c>
      <c r="AK16" s="243" t="n">
        <f aca="false">AK15</f>
        <v>15698.7543455</v>
      </c>
      <c r="AL16" s="243"/>
      <c r="AM16" s="246" t="n">
        <v>0</v>
      </c>
      <c r="AN16" s="366" t="n">
        <f aca="false">20*(W15*1.9835+X15*1.9835)/E16</f>
        <v>0</v>
      </c>
      <c r="AO16" s="105"/>
    </row>
    <row r="17" customFormat="false" ht="12.95" hidden="false" customHeight="true" outlineLevel="0" collapsed="false">
      <c r="A17" s="172" t="n">
        <f aca="false">A16+1</f>
        <v>6</v>
      </c>
      <c r="B17" s="104" t="n">
        <v>6889.59</v>
      </c>
      <c r="C17" s="105" t="n">
        <v>246788</v>
      </c>
      <c r="D17" s="243" t="n">
        <f aca="false">C17-C16</f>
        <v>1179</v>
      </c>
      <c r="E17" s="105" t="n">
        <f aca="false">C17-152000</f>
        <v>94788</v>
      </c>
      <c r="F17" s="264" t="n">
        <f aca="false">D17/$D$2</f>
        <v>594.403831610789</v>
      </c>
      <c r="G17" s="265" t="n">
        <v>613</v>
      </c>
      <c r="H17" s="654" t="n">
        <v>0</v>
      </c>
      <c r="I17" s="265" t="n">
        <f aca="false">G17+H17</f>
        <v>613</v>
      </c>
      <c r="J17" s="246" t="n">
        <f aca="false">IF(L17&gt;0,L17,0)</f>
        <v>226.403831610789</v>
      </c>
      <c r="K17" s="265" t="n">
        <f aca="false">I17+J17</f>
        <v>839.403831610789</v>
      </c>
      <c r="L17" s="265" t="n">
        <f aca="false">F17-(I17-AE17)</f>
        <v>226.403831610789</v>
      </c>
      <c r="M17" s="267" t="n">
        <v>67</v>
      </c>
      <c r="N17" s="126" t="n">
        <f aca="false">1.8299*1.03</f>
        <v>1.884797</v>
      </c>
      <c r="O17" s="265" t="n">
        <f aca="false">(6.95+9.67)*1.05</f>
        <v>17.451</v>
      </c>
      <c r="P17" s="265"/>
      <c r="Q17" s="614" t="n">
        <f aca="false">1.54*1.02</f>
        <v>1.5708</v>
      </c>
      <c r="R17" s="634" t="n">
        <v>4.17</v>
      </c>
      <c r="S17" s="635" t="n">
        <v>0</v>
      </c>
      <c r="T17" s="265" t="n">
        <v>83</v>
      </c>
      <c r="U17" s="265" t="n">
        <v>45</v>
      </c>
      <c r="V17" s="265" t="n">
        <f aca="false">M17-N17-O17-Q17-R17-S17+T17+U17</f>
        <v>169.923403</v>
      </c>
      <c r="W17" s="105" t="n">
        <v>0</v>
      </c>
      <c r="X17" s="105" t="n">
        <v>0</v>
      </c>
      <c r="Y17" s="611" t="n">
        <f aca="false">Y16-(AN17/1.9835)</f>
        <v>-1182.98414007495</v>
      </c>
      <c r="Z17" s="265" t="n">
        <v>0</v>
      </c>
      <c r="AA17" s="129" t="n">
        <v>1.7</v>
      </c>
      <c r="AB17" s="130" t="n">
        <v>1.3</v>
      </c>
      <c r="AC17" s="265" t="n">
        <v>50</v>
      </c>
      <c r="AD17" s="105" t="n">
        <f aca="false">AD16-AC17</f>
        <v>5051.25787748929</v>
      </c>
      <c r="AE17" s="636" t="n">
        <f aca="false">N17+O17+Q17+R17+S17+V17+Z17+AC17</f>
        <v>245</v>
      </c>
      <c r="AF17" s="265" t="n">
        <f aca="false">IF(L17&lt;0,L17*-1,0)</f>
        <v>0</v>
      </c>
      <c r="AG17" s="265" t="n">
        <f aca="false">AE17+AF17</f>
        <v>245</v>
      </c>
      <c r="AH17" s="379" t="n">
        <v>0.91</v>
      </c>
      <c r="AI17" s="243" t="n">
        <v>57</v>
      </c>
      <c r="AJ17" s="248" t="n">
        <v>50</v>
      </c>
      <c r="AK17" s="243" t="n">
        <f aca="false">AK16</f>
        <v>15698.7543455</v>
      </c>
      <c r="AL17" s="243"/>
      <c r="AM17" s="246" t="n">
        <v>0</v>
      </c>
      <c r="AN17" s="366" t="n">
        <f aca="false">20*(W16*1.9835+X16*1.9835)/E17</f>
        <v>0</v>
      </c>
      <c r="AO17" s="105"/>
    </row>
    <row r="18" customFormat="false" ht="12.95" hidden="false" customHeight="true" outlineLevel="0" collapsed="false">
      <c r="A18" s="172" t="n">
        <f aca="false">A17+1</f>
        <v>7</v>
      </c>
      <c r="B18" s="104" t="n">
        <v>6890.89</v>
      </c>
      <c r="C18" s="105" t="n">
        <v>251195</v>
      </c>
      <c r="D18" s="243" t="n">
        <f aca="false">C18-C17</f>
        <v>4407</v>
      </c>
      <c r="E18" s="105" t="n">
        <f aca="false">C18-152000</f>
        <v>99195</v>
      </c>
      <c r="F18" s="264" t="n">
        <f aca="false">D18/$D$2</f>
        <v>2221.83009831107</v>
      </c>
      <c r="G18" s="265" t="n">
        <v>2360</v>
      </c>
      <c r="H18" s="654" t="n">
        <v>0</v>
      </c>
      <c r="I18" s="265" t="n">
        <f aca="false">G18+H18</f>
        <v>2360</v>
      </c>
      <c r="J18" s="246" t="n">
        <f aca="false">IF(L18&gt;0,L18,0)</f>
        <v>74.8300983110662</v>
      </c>
      <c r="K18" s="265" t="n">
        <f aca="false">I18+J18</f>
        <v>2434.83009831107</v>
      </c>
      <c r="L18" s="265" t="n">
        <f aca="false">F18-(I18-AE18)</f>
        <v>74.8300983110662</v>
      </c>
      <c r="M18" s="267" t="n">
        <v>50</v>
      </c>
      <c r="N18" s="126" t="n">
        <f aca="false">1.8299*1.03</f>
        <v>1.884797</v>
      </c>
      <c r="O18" s="265" t="n">
        <f aca="false">2.48*1.05</f>
        <v>2.604</v>
      </c>
      <c r="P18" s="265"/>
      <c r="Q18" s="614" t="n">
        <f aca="false">1.54*1.02</f>
        <v>1.5708</v>
      </c>
      <c r="R18" s="634" t="n">
        <v>3.03</v>
      </c>
      <c r="S18" s="635" t="n">
        <v>0</v>
      </c>
      <c r="T18" s="265" t="n">
        <v>73</v>
      </c>
      <c r="U18" s="265" t="n">
        <v>39</v>
      </c>
      <c r="V18" s="265" t="n">
        <f aca="false">M18-N18-O18-Q18-R18-S18+T18+U18</f>
        <v>152.910403</v>
      </c>
      <c r="W18" s="105" t="n">
        <v>0</v>
      </c>
      <c r="X18" s="105" t="n">
        <v>0</v>
      </c>
      <c r="Y18" s="611" t="n">
        <f aca="false">Y17-(AN18/1.9835)</f>
        <v>-1182.98414007495</v>
      </c>
      <c r="Z18" s="265" t="n">
        <v>0</v>
      </c>
      <c r="AA18" s="129" t="n">
        <v>1.7</v>
      </c>
      <c r="AB18" s="130" t="n">
        <v>1.3</v>
      </c>
      <c r="AC18" s="265" t="n">
        <v>51</v>
      </c>
      <c r="AD18" s="105" t="n">
        <f aca="false">AD17-AC18</f>
        <v>5000.25787748929</v>
      </c>
      <c r="AE18" s="636" t="n">
        <f aca="false">N18+O18+Q18+R18+S18+V18+Z18+AC18</f>
        <v>213</v>
      </c>
      <c r="AF18" s="265" t="n">
        <f aca="false">IF(L18&lt;0,L18*-1,0)</f>
        <v>0</v>
      </c>
      <c r="AG18" s="265" t="n">
        <f aca="false">AE18+AF18</f>
        <v>213</v>
      </c>
      <c r="AH18" s="379" t="n">
        <v>0.19</v>
      </c>
      <c r="AI18" s="243" t="n">
        <v>60</v>
      </c>
      <c r="AJ18" s="248" t="n">
        <v>46</v>
      </c>
      <c r="AK18" s="243" t="n">
        <f aca="false">AK17</f>
        <v>15698.7543455</v>
      </c>
      <c r="AL18" s="243"/>
      <c r="AM18" s="246" t="n">
        <v>0</v>
      </c>
      <c r="AN18" s="366" t="n">
        <f aca="false">20*(W17*1.9835+X17*1.9835)/E18</f>
        <v>0</v>
      </c>
      <c r="AO18" s="105"/>
    </row>
    <row r="19" customFormat="false" ht="12.95" hidden="false" customHeight="true" outlineLevel="0" collapsed="false">
      <c r="A19" s="172" t="n">
        <f aca="false">A18+1</f>
        <v>8</v>
      </c>
      <c r="B19" s="104" t="n">
        <v>6891.47</v>
      </c>
      <c r="C19" s="105" t="n">
        <v>253183</v>
      </c>
      <c r="D19" s="243" t="n">
        <f aca="false">C19-C18</f>
        <v>1988</v>
      </c>
      <c r="E19" s="105" t="n">
        <f aca="false">C19-152000</f>
        <v>101183</v>
      </c>
      <c r="F19" s="264" t="n">
        <f aca="false">D19/$D$2</f>
        <v>1002.26871691455</v>
      </c>
      <c r="G19" s="265" t="n">
        <v>1170</v>
      </c>
      <c r="H19" s="654" t="n">
        <v>0</v>
      </c>
      <c r="I19" s="265" t="n">
        <f aca="false">G19+H19</f>
        <v>1170</v>
      </c>
      <c r="J19" s="246" t="n">
        <f aca="false">IF(L19&gt;0,L19,0)</f>
        <v>45.2687169145449</v>
      </c>
      <c r="K19" s="265" t="n">
        <f aca="false">I19+J19</f>
        <v>1215.26871691454</v>
      </c>
      <c r="L19" s="265" t="n">
        <f aca="false">F19-(I19-AE19)</f>
        <v>45.2687169145449</v>
      </c>
      <c r="M19" s="267" t="n">
        <v>55</v>
      </c>
      <c r="N19" s="126" t="n">
        <f aca="false">1.8299*1.03</f>
        <v>1.884797</v>
      </c>
      <c r="O19" s="265" t="n">
        <f aca="false">1.68*1.05</f>
        <v>1.764</v>
      </c>
      <c r="P19" s="265"/>
      <c r="Q19" s="614" t="n">
        <f aca="false">1.54*1.02</f>
        <v>1.5708</v>
      </c>
      <c r="R19" s="634" t="n">
        <v>4.05</v>
      </c>
      <c r="S19" s="635" t="n">
        <v>0</v>
      </c>
      <c r="T19" s="265" t="n">
        <v>72</v>
      </c>
      <c r="U19" s="265" t="n">
        <v>36</v>
      </c>
      <c r="V19" s="265" t="n">
        <f aca="false">M19-N19-O19-Q19-R19-S19+T19+U19</f>
        <v>153.730403</v>
      </c>
      <c r="W19" s="105" t="n">
        <v>0</v>
      </c>
      <c r="X19" s="105" t="n">
        <v>0</v>
      </c>
      <c r="Y19" s="611" t="n">
        <f aca="false">Y18-(AN19/1.9835)</f>
        <v>-1182.98414007495</v>
      </c>
      <c r="Z19" s="265" t="n">
        <v>0</v>
      </c>
      <c r="AA19" s="129" t="n">
        <v>1.7</v>
      </c>
      <c r="AB19" s="130" t="n">
        <v>1.3</v>
      </c>
      <c r="AC19" s="265" t="n">
        <v>50</v>
      </c>
      <c r="AD19" s="105" t="n">
        <f aca="false">AD18-AC19</f>
        <v>4950.25787748929</v>
      </c>
      <c r="AE19" s="636" t="n">
        <f aca="false">N19+O19+Q19+R19+S19+V19+Z19+AC19</f>
        <v>213</v>
      </c>
      <c r="AF19" s="265" t="n">
        <f aca="false">IF(L19&lt;0,L19*-1,0)</f>
        <v>0</v>
      </c>
      <c r="AG19" s="265" t="n">
        <f aca="false">AE19+AF19</f>
        <v>213</v>
      </c>
      <c r="AH19" s="379" t="n">
        <v>0.01</v>
      </c>
      <c r="AI19" s="243" t="n">
        <v>61</v>
      </c>
      <c r="AJ19" s="248" t="n">
        <v>44</v>
      </c>
      <c r="AK19" s="243" t="n">
        <f aca="false">AK18</f>
        <v>15698.7543455</v>
      </c>
      <c r="AL19" s="243"/>
      <c r="AM19" s="246" t="n">
        <v>0</v>
      </c>
      <c r="AN19" s="366" t="n">
        <f aca="false">20*(W18*1.9835+X18*1.9835)/E19</f>
        <v>0</v>
      </c>
      <c r="AO19" s="105"/>
    </row>
    <row r="20" customFormat="false" ht="12.95" hidden="false" customHeight="true" outlineLevel="0" collapsed="false">
      <c r="A20" s="172" t="n">
        <f aca="false">A19+1</f>
        <v>9</v>
      </c>
      <c r="B20" s="104" t="n">
        <v>6891.96</v>
      </c>
      <c r="C20" s="105" t="n">
        <v>254865</v>
      </c>
      <c r="D20" s="243" t="n">
        <f aca="false">C20-C19</f>
        <v>1682</v>
      </c>
      <c r="E20" s="105" t="n">
        <f aca="false">C20-152000</f>
        <v>102865</v>
      </c>
      <c r="F20" s="264" t="n">
        <f aca="false">D20/$D$2</f>
        <v>847.995966725485</v>
      </c>
      <c r="G20" s="265" t="n">
        <v>880</v>
      </c>
      <c r="H20" s="654" t="n">
        <v>0</v>
      </c>
      <c r="I20" s="265" t="n">
        <f aca="false">G20+H20</f>
        <v>880</v>
      </c>
      <c r="J20" s="246" t="n">
        <f aca="false">IF(L20&gt;0,L20,0)</f>
        <v>181.995966725485</v>
      </c>
      <c r="K20" s="265" t="n">
        <f aca="false">I20+J20</f>
        <v>1061.99596672549</v>
      </c>
      <c r="L20" s="265" t="n">
        <f aca="false">F20-(I20-AE20)</f>
        <v>181.995966725485</v>
      </c>
      <c r="M20" s="267" t="n">
        <v>69</v>
      </c>
      <c r="N20" s="126" t="n">
        <f aca="false">1.8299*1.03</f>
        <v>1.884797</v>
      </c>
      <c r="O20" s="265" t="n">
        <f aca="false">(7.38+9.12)*1.05</f>
        <v>17.325</v>
      </c>
      <c r="P20" s="265"/>
      <c r="Q20" s="614" t="n">
        <f aca="false">1.54*1.02</f>
        <v>1.5708</v>
      </c>
      <c r="R20" s="634" t="n">
        <v>4.2</v>
      </c>
      <c r="S20" s="635" t="n">
        <v>1.01</v>
      </c>
      <c r="T20" s="265" t="n">
        <v>62</v>
      </c>
      <c r="U20" s="265" t="n">
        <v>33</v>
      </c>
      <c r="V20" s="265" t="n">
        <f aca="false">M20-N20-O20-Q20-R20-S20+T20+U20</f>
        <v>138.009403</v>
      </c>
      <c r="W20" s="105" t="n">
        <v>0</v>
      </c>
      <c r="X20" s="105" t="n">
        <v>0</v>
      </c>
      <c r="Y20" s="611" t="n">
        <f aca="false">Y19-(AN20/1.9835)</f>
        <v>-1182.98414007495</v>
      </c>
      <c r="Z20" s="265" t="n">
        <v>0</v>
      </c>
      <c r="AA20" s="129" t="n">
        <v>1.7</v>
      </c>
      <c r="AB20" s="130" t="n">
        <v>1.3</v>
      </c>
      <c r="AC20" s="265" t="n">
        <v>50</v>
      </c>
      <c r="AD20" s="105" t="n">
        <f aca="false">AD19-AC20</f>
        <v>4900.25787748929</v>
      </c>
      <c r="AE20" s="636" t="n">
        <f aca="false">N20+O20+Q20+R20+S20+V20+Z20+AC20</f>
        <v>214</v>
      </c>
      <c r="AF20" s="265" t="n">
        <f aca="false">IF(L20&lt;0,L20*-1,0)</f>
        <v>0</v>
      </c>
      <c r="AG20" s="265" t="n">
        <f aca="false">AE20+AF20</f>
        <v>214</v>
      </c>
      <c r="AH20" s="379" t="n">
        <v>0.54</v>
      </c>
      <c r="AI20" s="249" t="n">
        <v>55</v>
      </c>
      <c r="AJ20" s="248" t="n">
        <v>44</v>
      </c>
      <c r="AK20" s="243" t="n">
        <f aca="false">AK19</f>
        <v>15698.7543455</v>
      </c>
      <c r="AL20" s="243"/>
      <c r="AM20" s="246" t="n">
        <v>0</v>
      </c>
      <c r="AN20" s="366" t="n">
        <f aca="false">20*(W19*1.9835+X19*1.9835)/E20</f>
        <v>0</v>
      </c>
      <c r="AO20" s="105"/>
    </row>
    <row r="21" customFormat="false" ht="12.95" hidden="false" customHeight="true" outlineLevel="0" collapsed="false">
      <c r="A21" s="172" t="n">
        <f aca="false">A20+1</f>
        <v>10</v>
      </c>
      <c r="B21" s="104" t="n">
        <v>6892.37</v>
      </c>
      <c r="C21" s="105" t="n">
        <v>256285</v>
      </c>
      <c r="D21" s="243" t="n">
        <f aca="false">C21-C20</f>
        <v>1420</v>
      </c>
      <c r="E21" s="105" t="n">
        <f aca="false">C21-152000</f>
        <v>104285</v>
      </c>
      <c r="F21" s="264" t="n">
        <f aca="false">D21/$D$2</f>
        <v>715.906226367532</v>
      </c>
      <c r="G21" s="265" t="n">
        <v>823</v>
      </c>
      <c r="H21" s="654" t="n">
        <v>0</v>
      </c>
      <c r="I21" s="265" t="n">
        <f aca="false">G21+H21</f>
        <v>823</v>
      </c>
      <c r="J21" s="246" t="n">
        <f aca="false">IF(L21&gt;0,L21,0)</f>
        <v>109.906226367532</v>
      </c>
      <c r="K21" s="265" t="n">
        <f aca="false">I21+J21</f>
        <v>932.906226367532</v>
      </c>
      <c r="L21" s="265" t="n">
        <f aca="false">F21-(I21-AE21)</f>
        <v>109.906226367532</v>
      </c>
      <c r="M21" s="267" t="n">
        <v>86</v>
      </c>
      <c r="N21" s="126" t="n">
        <f aca="false">1.8299*1.03</f>
        <v>1.884797</v>
      </c>
      <c r="O21" s="265" t="n">
        <f aca="false">(24.67+25.36)*1.05</f>
        <v>52.5315</v>
      </c>
      <c r="P21" s="265"/>
      <c r="Q21" s="614" t="n">
        <f aca="false">1.54*1.02</f>
        <v>1.5708</v>
      </c>
      <c r="R21" s="634" t="n">
        <v>4.2</v>
      </c>
      <c r="S21" s="635" t="n">
        <v>1.01</v>
      </c>
      <c r="T21" s="265" t="n">
        <v>54</v>
      </c>
      <c r="U21" s="265" t="n">
        <v>28</v>
      </c>
      <c r="V21" s="265" t="n">
        <f aca="false">M21-N21-O21-Q21-R21-S21+T21+U21</f>
        <v>106.802903</v>
      </c>
      <c r="W21" s="105" t="n">
        <v>0</v>
      </c>
      <c r="X21" s="105" t="n">
        <v>0</v>
      </c>
      <c r="Y21" s="611" t="n">
        <f aca="false">Y20-(AN21/1.9835)</f>
        <v>-1182.98414007495</v>
      </c>
      <c r="Z21" s="265" t="n">
        <v>0</v>
      </c>
      <c r="AA21" s="129" t="n">
        <v>1.7</v>
      </c>
      <c r="AB21" s="130" t="n">
        <v>1.3</v>
      </c>
      <c r="AC21" s="265" t="n">
        <v>49</v>
      </c>
      <c r="AD21" s="105" t="n">
        <f aca="false">AD20-AC21</f>
        <v>4851.25787748929</v>
      </c>
      <c r="AE21" s="636" t="n">
        <f aca="false">N21+O21+Q21+R21+S21+V21+Z21+AC21</f>
        <v>217</v>
      </c>
      <c r="AF21" s="265" t="n">
        <f aca="false">IF(L21&lt;0,L21*-1,0)</f>
        <v>0</v>
      </c>
      <c r="AG21" s="265" t="n">
        <f aca="false">AE21+AF21</f>
        <v>217</v>
      </c>
      <c r="AH21" s="379" t="n">
        <v>0.04</v>
      </c>
      <c r="AI21" s="243" t="n">
        <v>56</v>
      </c>
      <c r="AJ21" s="248" t="n">
        <v>39</v>
      </c>
      <c r="AK21" s="243" t="n">
        <f aca="false">AK20</f>
        <v>15698.7543455</v>
      </c>
      <c r="AL21" s="243"/>
      <c r="AM21" s="246" t="n">
        <v>0</v>
      </c>
      <c r="AN21" s="366" t="n">
        <f aca="false">20*(W20*1.9835+X20*1.9835)/E21</f>
        <v>0</v>
      </c>
      <c r="AO21" s="105"/>
    </row>
    <row r="22" customFormat="false" ht="12.95" hidden="false" customHeight="true" outlineLevel="0" collapsed="false">
      <c r="A22" s="172" t="n">
        <f aca="false">A21+1</f>
        <v>11</v>
      </c>
      <c r="B22" s="104" t="n">
        <v>6892.62</v>
      </c>
      <c r="C22" s="105" t="n">
        <v>257152</v>
      </c>
      <c r="D22" s="243" t="n">
        <f aca="false">C22-C21</f>
        <v>867</v>
      </c>
      <c r="E22" s="105" t="n">
        <f aca="false">C22-152000</f>
        <v>105152</v>
      </c>
      <c r="F22" s="264" t="n">
        <f aca="false">D22/$D$2</f>
        <v>437.106125535669</v>
      </c>
      <c r="G22" s="265" t="n">
        <v>709</v>
      </c>
      <c r="H22" s="654" t="n">
        <v>0</v>
      </c>
      <c r="I22" s="265" t="n">
        <f aca="false">G22+H22</f>
        <v>709</v>
      </c>
      <c r="J22" s="246" t="n">
        <f aca="false">IF(L22&gt;0,L22,0)</f>
        <v>0</v>
      </c>
      <c r="K22" s="265" t="n">
        <f aca="false">I22+J22</f>
        <v>709</v>
      </c>
      <c r="L22" s="265" t="n">
        <f aca="false">F22-(I22-AE22)</f>
        <v>-52.8938744643307</v>
      </c>
      <c r="M22" s="267" t="n">
        <v>90</v>
      </c>
      <c r="N22" s="126" t="n">
        <f aca="false">1.8299*1.03</f>
        <v>1.884797</v>
      </c>
      <c r="O22" s="265" t="n">
        <f aca="false">(29.05+29.84)*1.05</f>
        <v>61.8345</v>
      </c>
      <c r="P22" s="265"/>
      <c r="Q22" s="614" t="n">
        <f aca="false">1.54*1.02</f>
        <v>1.5708</v>
      </c>
      <c r="R22" s="634" t="n">
        <v>3.12</v>
      </c>
      <c r="S22" s="635" t="n">
        <v>0</v>
      </c>
      <c r="T22" s="265" t="n">
        <v>54</v>
      </c>
      <c r="U22" s="265" t="n">
        <v>26</v>
      </c>
      <c r="V22" s="265" t="n">
        <f aca="false">M22-N22-O22-Q22-R22-S22+T22+U22</f>
        <v>101.589903</v>
      </c>
      <c r="W22" s="105" t="n">
        <v>0</v>
      </c>
      <c r="X22" s="105" t="n">
        <v>0</v>
      </c>
      <c r="Y22" s="611" t="n">
        <f aca="false">Y21-(AN22/1.9835)</f>
        <v>-1182.98414007495</v>
      </c>
      <c r="Z22" s="265" t="n">
        <v>0</v>
      </c>
      <c r="AA22" s="129" t="n">
        <v>1.7</v>
      </c>
      <c r="AB22" s="130" t="n">
        <v>1.3</v>
      </c>
      <c r="AC22" s="265" t="n">
        <v>49</v>
      </c>
      <c r="AD22" s="105" t="n">
        <f aca="false">AD21-AC22</f>
        <v>4802.25787748929</v>
      </c>
      <c r="AE22" s="636" t="n">
        <f aca="false">N22+O22+Q22+R22+S22+V22+Z22+AC22</f>
        <v>219</v>
      </c>
      <c r="AF22" s="265" t="n">
        <f aca="false">IF(L22&lt;0,L22*-1,0)</f>
        <v>52.8938744643307</v>
      </c>
      <c r="AG22" s="265" t="n">
        <f aca="false">AE22+AF22</f>
        <v>271.893874464331</v>
      </c>
      <c r="AH22" s="379" t="n">
        <v>0</v>
      </c>
      <c r="AI22" s="243" t="n">
        <v>60</v>
      </c>
      <c r="AJ22" s="248" t="n">
        <v>37</v>
      </c>
      <c r="AK22" s="243" t="n">
        <f aca="false">AK21</f>
        <v>15698.7543455</v>
      </c>
      <c r="AL22" s="243"/>
      <c r="AM22" s="246" t="n">
        <v>0</v>
      </c>
      <c r="AN22" s="366" t="n">
        <f aca="false">20*(W21*1.9835+X21*1.9835)/E22</f>
        <v>0</v>
      </c>
      <c r="AO22" s="105"/>
      <c r="AP22" s="655"/>
    </row>
    <row r="23" customFormat="false" ht="12.95" hidden="false" customHeight="true" outlineLevel="0" collapsed="false">
      <c r="A23" s="172" t="n">
        <f aca="false">A22+1</f>
        <v>12</v>
      </c>
      <c r="B23" s="104" t="n">
        <v>6892.87</v>
      </c>
      <c r="C23" s="105" t="n">
        <v>258018</v>
      </c>
      <c r="D23" s="243" t="n">
        <f aca="false">C23-C22</f>
        <v>866</v>
      </c>
      <c r="E23" s="105" t="n">
        <f aca="false">C23-152000</f>
        <v>106018</v>
      </c>
      <c r="F23" s="264" t="n">
        <f aca="false">D23/$D$2</f>
        <v>436.601966221326</v>
      </c>
      <c r="G23" s="265" t="n">
        <v>621</v>
      </c>
      <c r="H23" s="654" t="n">
        <v>0</v>
      </c>
      <c r="I23" s="265" t="n">
        <f aca="false">G23+H23</f>
        <v>621</v>
      </c>
      <c r="J23" s="246" t="n">
        <f aca="false">IF(L23&gt;0,L23,0)</f>
        <v>33.6019662213259</v>
      </c>
      <c r="K23" s="265" t="n">
        <f aca="false">I23+J23</f>
        <v>654.601966221326</v>
      </c>
      <c r="L23" s="265" t="n">
        <f aca="false">F23-(I23-AE23)</f>
        <v>33.6019662213259</v>
      </c>
      <c r="M23" s="267" t="n">
        <v>89</v>
      </c>
      <c r="N23" s="126" t="n">
        <f aca="false">1.8299*1.03</f>
        <v>1.884797</v>
      </c>
      <c r="O23" s="265" t="n">
        <f aca="false">(25.91+25.11)*1.05</f>
        <v>53.571</v>
      </c>
      <c r="P23" s="265"/>
      <c r="Q23" s="614" t="n">
        <f aca="false">1.54*1.02</f>
        <v>1.5708</v>
      </c>
      <c r="R23" s="634" t="n">
        <v>4.2</v>
      </c>
      <c r="S23" s="635" t="n">
        <v>0.9</v>
      </c>
      <c r="T23" s="265" t="n">
        <v>54</v>
      </c>
      <c r="U23" s="265" t="n">
        <v>26</v>
      </c>
      <c r="V23" s="265" t="n">
        <f aca="false">M23-N23-O23-Q23-R23-S23+T23+U23</f>
        <v>106.873403</v>
      </c>
      <c r="W23" s="105" t="n">
        <v>0</v>
      </c>
      <c r="X23" s="105" t="n">
        <v>0</v>
      </c>
      <c r="Y23" s="611" t="n">
        <f aca="false">Y22-(AN23/1.9835)</f>
        <v>-1182.98414007495</v>
      </c>
      <c r="Z23" s="265" t="n">
        <v>0</v>
      </c>
      <c r="AA23" s="129" t="n">
        <v>1.7</v>
      </c>
      <c r="AB23" s="130" t="n">
        <v>1.3</v>
      </c>
      <c r="AC23" s="265" t="n">
        <v>49</v>
      </c>
      <c r="AD23" s="105" t="n">
        <f aca="false">AD22-AC23</f>
        <v>4753.25787748929</v>
      </c>
      <c r="AE23" s="636" t="n">
        <f aca="false">N23+O23+Q23+R23+S23+V23+Z23+AC23</f>
        <v>218</v>
      </c>
      <c r="AF23" s="265" t="n">
        <f aca="false">IF(L23&lt;0,L23*-1,0)</f>
        <v>0</v>
      </c>
      <c r="AG23" s="265" t="n">
        <f aca="false">AE23+AF23</f>
        <v>218</v>
      </c>
      <c r="AH23" s="379" t="n">
        <v>0</v>
      </c>
      <c r="AI23" s="243" t="n">
        <v>62</v>
      </c>
      <c r="AJ23" s="248" t="n">
        <v>36</v>
      </c>
      <c r="AK23" s="243" t="n">
        <f aca="false">AK22</f>
        <v>15698.7543455</v>
      </c>
      <c r="AL23" s="243"/>
      <c r="AM23" s="246" t="n">
        <v>0</v>
      </c>
      <c r="AN23" s="366" t="n">
        <f aca="false">20*(W22*1.9835+X22*1.9835)/E23</f>
        <v>0</v>
      </c>
      <c r="AO23" s="105"/>
    </row>
    <row r="24" customFormat="false" ht="12.95" hidden="false" customHeight="true" outlineLevel="0" collapsed="false">
      <c r="A24" s="172" t="n">
        <f aca="false">A23+1</f>
        <v>13</v>
      </c>
      <c r="B24" s="104" t="n">
        <v>6893.07</v>
      </c>
      <c r="C24" s="105" t="n">
        <v>258714</v>
      </c>
      <c r="D24" s="243" t="n">
        <f aca="false">C24-C23</f>
        <v>696</v>
      </c>
      <c r="E24" s="105" t="n">
        <f aca="false">C24-152000</f>
        <v>106714</v>
      </c>
      <c r="F24" s="264" t="n">
        <f aca="false">D24/$D$2</f>
        <v>350.894882782959</v>
      </c>
      <c r="G24" s="265" t="n">
        <v>543</v>
      </c>
      <c r="H24" s="654" t="n">
        <v>0</v>
      </c>
      <c r="I24" s="265" t="n">
        <f aca="false">G24+H24</f>
        <v>543</v>
      </c>
      <c r="J24" s="246" t="n">
        <f aca="false">IF(L24&gt;0,L24,0)</f>
        <v>13.8948827829594</v>
      </c>
      <c r="K24" s="265" t="n">
        <f aca="false">I24+J24</f>
        <v>556.89488278296</v>
      </c>
      <c r="L24" s="265" t="n">
        <f aca="false">F24-(I24-AE24)</f>
        <v>13.8948827829594</v>
      </c>
      <c r="M24" s="267" t="n">
        <v>76</v>
      </c>
      <c r="N24" s="126" t="n">
        <f aca="false">1.8299*1.03</f>
        <v>1.884797</v>
      </c>
      <c r="O24" s="265" t="n">
        <f aca="false">(23.64+23.09)*1.05</f>
        <v>49.0665</v>
      </c>
      <c r="P24" s="265"/>
      <c r="Q24" s="614" t="n">
        <f aca="false">1.54*1.02</f>
        <v>1.5708</v>
      </c>
      <c r="R24" s="634" t="n">
        <v>3.71</v>
      </c>
      <c r="S24" s="635" t="n">
        <v>0</v>
      </c>
      <c r="T24" s="265" t="n">
        <v>55</v>
      </c>
      <c r="U24" s="265" t="n">
        <v>26</v>
      </c>
      <c r="V24" s="265" t="n">
        <f aca="false">M24-N24-O24-Q24-R24-S24+T24+U24</f>
        <v>100.767903</v>
      </c>
      <c r="W24" s="105" t="n">
        <v>0</v>
      </c>
      <c r="X24" s="105" t="n">
        <v>0</v>
      </c>
      <c r="Y24" s="611" t="n">
        <f aca="false">Y23-(AN24/1.9835)</f>
        <v>-1182.98414007495</v>
      </c>
      <c r="Z24" s="265" t="n">
        <v>0</v>
      </c>
      <c r="AA24" s="129" t="n">
        <v>1.7</v>
      </c>
      <c r="AB24" s="130" t="n">
        <v>1.3</v>
      </c>
      <c r="AC24" s="265" t="n">
        <v>49</v>
      </c>
      <c r="AD24" s="105" t="n">
        <f aca="false">AD23-AC24</f>
        <v>4704.25787748929</v>
      </c>
      <c r="AE24" s="636" t="n">
        <f aca="false">N24+O24+Q24+R24+S24+V24+Z24+AC24</f>
        <v>206</v>
      </c>
      <c r="AF24" s="265" t="n">
        <f aca="false">IF(L24&lt;0,L24*-1,0)</f>
        <v>0</v>
      </c>
      <c r="AG24" s="265" t="n">
        <f aca="false">AE24+AF24</f>
        <v>206</v>
      </c>
      <c r="AH24" s="379" t="n">
        <v>0</v>
      </c>
      <c r="AI24" s="243" t="n">
        <v>64</v>
      </c>
      <c r="AJ24" s="248" t="n">
        <v>36</v>
      </c>
      <c r="AK24" s="243" t="n">
        <f aca="false">AK23</f>
        <v>15698.7543455</v>
      </c>
      <c r="AL24" s="243"/>
      <c r="AM24" s="246" t="n">
        <v>0</v>
      </c>
      <c r="AN24" s="366" t="n">
        <f aca="false">20*(W23*1.9835+X23*1.9835)/E24</f>
        <v>0</v>
      </c>
      <c r="AO24" s="105"/>
    </row>
    <row r="25" customFormat="false" ht="12.95" hidden="false" customHeight="true" outlineLevel="0" collapsed="false">
      <c r="A25" s="172" t="n">
        <f aca="false">A24+1</f>
        <v>14</v>
      </c>
      <c r="B25" s="104" t="n">
        <v>6893.35</v>
      </c>
      <c r="C25" s="105" t="n">
        <v>259693</v>
      </c>
      <c r="D25" s="243" t="n">
        <f aca="false">C25-C24</f>
        <v>979</v>
      </c>
      <c r="E25" s="105" t="n">
        <f aca="false">C25-152000</f>
        <v>107693</v>
      </c>
      <c r="F25" s="264" t="n">
        <f aca="false">D25/$D$2</f>
        <v>493.571968742123</v>
      </c>
      <c r="G25" s="265" t="n">
        <v>511</v>
      </c>
      <c r="H25" s="654" t="n">
        <v>0.01</v>
      </c>
      <c r="I25" s="265" t="n">
        <f aca="false">G25+H25</f>
        <v>511.01</v>
      </c>
      <c r="J25" s="246" t="n">
        <f aca="false">IF(L25&gt;0,L25,0)</f>
        <v>177.561968742123</v>
      </c>
      <c r="K25" s="265" t="n">
        <f aca="false">I25+J25</f>
        <v>688.571968742123</v>
      </c>
      <c r="L25" s="265" t="n">
        <f aca="false">F25-(I25-AE25)</f>
        <v>177.561968742123</v>
      </c>
      <c r="M25" s="267" t="n">
        <v>65</v>
      </c>
      <c r="N25" s="126" t="n">
        <f aca="false">1.8299*1.03</f>
        <v>1.884797</v>
      </c>
      <c r="O25" s="265" t="n">
        <f aca="false">(21.59+20.21)*1.05</f>
        <v>43.89</v>
      </c>
      <c r="P25" s="265"/>
      <c r="Q25" s="614" t="n">
        <f aca="false">1.54*1.02</f>
        <v>1.5708</v>
      </c>
      <c r="R25" s="634" t="n">
        <v>4.2</v>
      </c>
      <c r="S25" s="635" t="n">
        <v>1.54</v>
      </c>
      <c r="T25" s="265" t="n">
        <v>55</v>
      </c>
      <c r="U25" s="388" t="n">
        <v>26</v>
      </c>
      <c r="V25" s="265" t="n">
        <f aca="false">M25-N25-O25-Q25-R25-S25+T25+U25</f>
        <v>92.914403</v>
      </c>
      <c r="W25" s="105" t="n">
        <v>0</v>
      </c>
      <c r="X25" s="105" t="n">
        <v>0</v>
      </c>
      <c r="Y25" s="611" t="n">
        <f aca="false">Y24-(AN25/1.9835)</f>
        <v>-1182.98414007495</v>
      </c>
      <c r="Z25" s="265" t="n">
        <v>0</v>
      </c>
      <c r="AA25" s="129" t="n">
        <v>1.7</v>
      </c>
      <c r="AB25" s="130" t="n">
        <v>1.3</v>
      </c>
      <c r="AC25" s="265" t="n">
        <v>49</v>
      </c>
      <c r="AD25" s="105" t="n">
        <f aca="false">AD24-AC25</f>
        <v>4655.25787748929</v>
      </c>
      <c r="AE25" s="636" t="n">
        <f aca="false">N25+O25+Q25+R25+S25+V25+Z25+AC25</f>
        <v>195</v>
      </c>
      <c r="AF25" s="265" t="n">
        <f aca="false">IF(L25&lt;0,L25*-1,0)</f>
        <v>0</v>
      </c>
      <c r="AG25" s="265" t="n">
        <f aca="false">AE25+AF25</f>
        <v>195</v>
      </c>
      <c r="AH25" s="379" t="n">
        <v>0.6</v>
      </c>
      <c r="AI25" s="249" t="n">
        <v>61</v>
      </c>
      <c r="AJ25" s="248" t="n">
        <v>43</v>
      </c>
      <c r="AK25" s="243" t="n">
        <f aca="false">AK24</f>
        <v>15698.7543455</v>
      </c>
      <c r="AL25" s="243"/>
      <c r="AM25" s="246" t="n">
        <v>0</v>
      </c>
      <c r="AN25" s="366" t="n">
        <f aca="false">20*(W24*1.9835+X24*1.9835)/E25</f>
        <v>0</v>
      </c>
      <c r="AO25" s="105"/>
    </row>
    <row r="26" customFormat="false" ht="12.95" hidden="false" customHeight="true" outlineLevel="0" collapsed="false">
      <c r="A26" s="172" t="n">
        <f aca="false">A25+1</f>
        <v>15</v>
      </c>
      <c r="B26" s="104" t="n">
        <v>6893.62</v>
      </c>
      <c r="C26" s="105" t="n">
        <v>260638</v>
      </c>
      <c r="D26" s="243" t="n">
        <f aca="false">C26-C25</f>
        <v>945</v>
      </c>
      <c r="E26" s="105" t="n">
        <f aca="false">C26-152000</f>
        <v>108638</v>
      </c>
      <c r="F26" s="264" t="n">
        <f aca="false">D26/$D$2</f>
        <v>476.430552054449</v>
      </c>
      <c r="G26" s="265" t="n">
        <v>678</v>
      </c>
      <c r="H26" s="654" t="n">
        <v>0</v>
      </c>
      <c r="I26" s="265" t="n">
        <f aca="false">G26+H26</f>
        <v>678</v>
      </c>
      <c r="J26" s="246" t="n">
        <f aca="false">IF(L26&gt;0,L26,0)</f>
        <v>0</v>
      </c>
      <c r="K26" s="265" t="n">
        <f aca="false">I26+J26</f>
        <v>678</v>
      </c>
      <c r="L26" s="265" t="n">
        <f aca="false">F26-(I26-AE26)</f>
        <v>-19.5694479455508</v>
      </c>
      <c r="M26" s="267" t="n">
        <v>52</v>
      </c>
      <c r="N26" s="126" t="n">
        <f aca="false">1.8299*1.03</f>
        <v>1.884797</v>
      </c>
      <c r="O26" s="265" t="n">
        <f aca="false">(18.78+19.13)*1.05</f>
        <v>39.8055</v>
      </c>
      <c r="P26" s="265"/>
      <c r="Q26" s="614" t="n">
        <f aca="false">1.54*1.02</f>
        <v>1.5708</v>
      </c>
      <c r="R26" s="634" t="n">
        <v>4.2</v>
      </c>
      <c r="S26" s="635" t="n">
        <v>0.84</v>
      </c>
      <c r="T26" s="265" t="n">
        <v>55</v>
      </c>
      <c r="U26" s="388" t="n">
        <v>26</v>
      </c>
      <c r="V26" s="265" t="n">
        <f aca="false">M26-N26-O26-Q26-R26-S26+T26+U26</f>
        <v>84.698903</v>
      </c>
      <c r="W26" s="105" t="n">
        <v>0</v>
      </c>
      <c r="X26" s="105" t="n">
        <v>0</v>
      </c>
      <c r="Y26" s="611" t="n">
        <f aca="false">Y25-(AN26/1.9835)</f>
        <v>-1182.98414007495</v>
      </c>
      <c r="Z26" s="265" t="n">
        <v>0</v>
      </c>
      <c r="AA26" s="129" t="n">
        <v>1.7</v>
      </c>
      <c r="AB26" s="130" t="n">
        <v>1.3</v>
      </c>
      <c r="AC26" s="265" t="n">
        <v>49</v>
      </c>
      <c r="AD26" s="105" t="n">
        <f aca="false">AD25-AC26</f>
        <v>4606.25787748929</v>
      </c>
      <c r="AE26" s="636" t="n">
        <f aca="false">N26+O26+Q26+R26+S26+V26+Z26+AC26</f>
        <v>182</v>
      </c>
      <c r="AF26" s="265" t="n">
        <f aca="false">IF(L26&lt;0,L26*-1,0)</f>
        <v>19.5694479455508</v>
      </c>
      <c r="AG26" s="265" t="n">
        <f aca="false">AE26+AF26</f>
        <v>201.569447945551</v>
      </c>
      <c r="AH26" s="379" t="n">
        <v>0</v>
      </c>
      <c r="AI26" s="249" t="n">
        <v>57</v>
      </c>
      <c r="AJ26" s="248" t="n">
        <v>38</v>
      </c>
      <c r="AK26" s="243" t="n">
        <f aca="false">AK25</f>
        <v>15698.7543455</v>
      </c>
      <c r="AL26" s="243"/>
      <c r="AM26" s="246" t="n">
        <v>0</v>
      </c>
      <c r="AN26" s="366" t="n">
        <f aca="false">20*(W25*1.9835+X25*1.9835)/E26</f>
        <v>0</v>
      </c>
      <c r="AO26" s="105"/>
    </row>
    <row r="27" customFormat="false" ht="12.95" hidden="false" customHeight="true" outlineLevel="0" collapsed="false">
      <c r="A27" s="172" t="n">
        <f aca="false">A26+1</f>
        <v>16</v>
      </c>
      <c r="B27" s="104" t="n">
        <v>6893.95</v>
      </c>
      <c r="C27" s="105" t="n">
        <v>261792</v>
      </c>
      <c r="D27" s="243" t="n">
        <f aca="false">C27-C26</f>
        <v>1154</v>
      </c>
      <c r="E27" s="105" t="n">
        <f aca="false">C27-152000</f>
        <v>109792</v>
      </c>
      <c r="F27" s="264" t="n">
        <f aca="false">D27/$D$2</f>
        <v>581.799848752206</v>
      </c>
      <c r="G27" s="265" t="n">
        <v>680</v>
      </c>
      <c r="H27" s="654" t="n">
        <v>0</v>
      </c>
      <c r="I27" s="265" t="n">
        <f aca="false">G27+H27</f>
        <v>680</v>
      </c>
      <c r="J27" s="246" t="n">
        <f aca="false">IF(L27&gt;0,L27,0)</f>
        <v>18.9998487522057</v>
      </c>
      <c r="K27" s="265" t="n">
        <f aca="false">I27+J27</f>
        <v>698.999848752206</v>
      </c>
      <c r="L27" s="265" t="n">
        <f aca="false">F27-(I27-AE27)</f>
        <v>18.9998487522057</v>
      </c>
      <c r="M27" s="267" t="n">
        <v>43</v>
      </c>
      <c r="N27" s="126" t="n">
        <f aca="false">1.8299*1.03</f>
        <v>1.884797</v>
      </c>
      <c r="O27" s="265" t="n">
        <f aca="false">(23.39+24.71)*1.05</f>
        <v>50.505</v>
      </c>
      <c r="P27" s="265"/>
      <c r="Q27" s="614" t="n">
        <f aca="false">1.54*1.02</f>
        <v>1.5708</v>
      </c>
      <c r="R27" s="634" t="n">
        <v>4.2</v>
      </c>
      <c r="S27" s="635" t="n">
        <v>1.06</v>
      </c>
      <c r="T27" s="265" t="n">
        <v>17</v>
      </c>
      <c r="U27" s="265" t="n">
        <v>8.2</v>
      </c>
      <c r="V27" s="265" t="n">
        <f aca="false">M27-N27-O27-Q27-R27-S27+T27+U27</f>
        <v>8.979403</v>
      </c>
      <c r="W27" s="105" t="n">
        <v>0</v>
      </c>
      <c r="X27" s="105" t="n">
        <v>0</v>
      </c>
      <c r="Y27" s="105"/>
      <c r="Z27" s="265" t="n">
        <v>0</v>
      </c>
      <c r="AA27" s="129" t="n">
        <v>1.7</v>
      </c>
      <c r="AB27" s="130" t="n">
        <v>1.3</v>
      </c>
      <c r="AC27" s="265" t="n">
        <v>49</v>
      </c>
      <c r="AD27" s="105" t="n">
        <f aca="false">AD26-AC27</f>
        <v>4557.25787748929</v>
      </c>
      <c r="AE27" s="636" t="n">
        <f aca="false">N27+O27+Q27+R27+S27+V27+Z27+AC27</f>
        <v>117.2</v>
      </c>
      <c r="AF27" s="265" t="n">
        <f aca="false">IF(L27&lt;0,L27*-1,0)</f>
        <v>0</v>
      </c>
      <c r="AG27" s="265" t="n">
        <f aca="false">AE27+AF27</f>
        <v>117.2</v>
      </c>
      <c r="AH27" s="379" t="n">
        <v>0</v>
      </c>
      <c r="AI27" s="249" t="n">
        <v>56</v>
      </c>
      <c r="AJ27" s="248" t="n">
        <v>34</v>
      </c>
      <c r="AK27" s="243" t="n">
        <f aca="false">AK26</f>
        <v>15698.7543455</v>
      </c>
      <c r="AL27" s="243"/>
      <c r="AM27" s="246" t="n">
        <v>0</v>
      </c>
      <c r="AN27" s="366" t="n">
        <v>0</v>
      </c>
      <c r="AO27" s="105"/>
    </row>
    <row r="28" customFormat="false" ht="12.95" hidden="false" customHeight="true" outlineLevel="0" collapsed="false">
      <c r="A28" s="172" t="n">
        <f aca="false">A27+1</f>
        <v>17</v>
      </c>
      <c r="B28" s="104" t="n">
        <v>6894.37</v>
      </c>
      <c r="C28" s="105" t="n">
        <v>263273</v>
      </c>
      <c r="D28" s="243" t="n">
        <f aca="false">C28-C27</f>
        <v>1481</v>
      </c>
      <c r="E28" s="105" t="n">
        <f aca="false">C28-152000</f>
        <v>111273</v>
      </c>
      <c r="F28" s="264" t="n">
        <f aca="false">D28/$D$2</f>
        <v>746.659944542475</v>
      </c>
      <c r="G28" s="265" t="n">
        <v>615</v>
      </c>
      <c r="H28" s="654" t="n">
        <v>0</v>
      </c>
      <c r="I28" s="265" t="n">
        <f aca="false">G28+H28</f>
        <v>615</v>
      </c>
      <c r="J28" s="246" t="n">
        <f aca="false">IF(L28&gt;0,L28,0)</f>
        <v>249.659944542475</v>
      </c>
      <c r="K28" s="265" t="n">
        <f aca="false">I28+J28</f>
        <v>864.659944542475</v>
      </c>
      <c r="L28" s="265" t="n">
        <f aca="false">F28-(I28-AE28)</f>
        <v>249.659944542475</v>
      </c>
      <c r="M28" s="267" t="n">
        <v>69</v>
      </c>
      <c r="N28" s="126" t="n">
        <f aca="false">1.8299*1.03</f>
        <v>1.884797</v>
      </c>
      <c r="O28" s="265" t="n">
        <f aca="false">(25.31+27.21)*1.05</f>
        <v>55.146</v>
      </c>
      <c r="P28" s="265"/>
      <c r="Q28" s="614" t="n">
        <f aca="false">1.54*1.02</f>
        <v>1.5708</v>
      </c>
      <c r="R28" s="634" t="n">
        <v>2.55</v>
      </c>
      <c r="S28" s="635" t="n">
        <v>0</v>
      </c>
      <c r="T28" s="265" t="n">
        <v>0</v>
      </c>
      <c r="U28" s="265" t="n">
        <v>0</v>
      </c>
      <c r="V28" s="265" t="n">
        <f aca="false">M28-N28-O28-Q28-R28-S28+T28+U28</f>
        <v>7.84840299999999</v>
      </c>
      <c r="W28" s="105" t="n">
        <v>0</v>
      </c>
      <c r="X28" s="105" t="n">
        <v>0</v>
      </c>
      <c r="Y28" s="105"/>
      <c r="Z28" s="265" t="n">
        <v>0</v>
      </c>
      <c r="AA28" s="129" t="n">
        <v>1.7</v>
      </c>
      <c r="AB28" s="130" t="n">
        <v>1.3</v>
      </c>
      <c r="AC28" s="265" t="n">
        <v>49</v>
      </c>
      <c r="AD28" s="105" t="n">
        <f aca="false">AD27-AC28</f>
        <v>4508.25787748929</v>
      </c>
      <c r="AE28" s="636" t="n">
        <f aca="false">N28+O28+Q28+R28+S28+V28+Z28+AC28</f>
        <v>118</v>
      </c>
      <c r="AF28" s="265" t="n">
        <f aca="false">IF(L28&lt;0,L28*-1,0)</f>
        <v>0</v>
      </c>
      <c r="AG28" s="265" t="n">
        <f aca="false">AE28+AF28</f>
        <v>118</v>
      </c>
      <c r="AH28" s="379" t="n">
        <v>0.35</v>
      </c>
      <c r="AI28" s="249" t="n">
        <v>49</v>
      </c>
      <c r="AJ28" s="248" t="n">
        <v>31</v>
      </c>
      <c r="AK28" s="243" t="n">
        <f aca="false">AK27</f>
        <v>15698.7543455</v>
      </c>
      <c r="AL28" s="243"/>
      <c r="AM28" s="246" t="n">
        <v>0</v>
      </c>
      <c r="AN28" s="366" t="n">
        <v>0</v>
      </c>
      <c r="AO28" s="105"/>
    </row>
    <row r="29" customFormat="false" ht="12.95" hidden="false" customHeight="true" outlineLevel="0" collapsed="false">
      <c r="A29" s="172" t="n">
        <f aca="false">A28+1</f>
        <v>18</v>
      </c>
      <c r="B29" s="104" t="n">
        <v>6894.61</v>
      </c>
      <c r="C29" s="105" t="n">
        <v>264119</v>
      </c>
      <c r="D29" s="243" t="n">
        <f aca="false">C29-C28</f>
        <v>846</v>
      </c>
      <c r="E29" s="105" t="n">
        <f aca="false">C29-152000</f>
        <v>112119</v>
      </c>
      <c r="F29" s="264" t="n">
        <f aca="false">D29/$D$2</f>
        <v>426.518779934459</v>
      </c>
      <c r="G29" s="265" t="n">
        <v>540</v>
      </c>
      <c r="H29" s="654" t="n">
        <v>0</v>
      </c>
      <c r="I29" s="265" t="n">
        <f aca="false">G29+H29</f>
        <v>540</v>
      </c>
      <c r="J29" s="246" t="n">
        <f aca="false">IF(L29&gt;0,L29,0)</f>
        <v>11.5187799344593</v>
      </c>
      <c r="K29" s="265" t="n">
        <f aca="false">I29+J29</f>
        <v>551.518779934459</v>
      </c>
      <c r="L29" s="265" t="n">
        <f aca="false">F29-(I29-AE29)</f>
        <v>11.5187799344593</v>
      </c>
      <c r="M29" s="267" t="n">
        <v>76</v>
      </c>
      <c r="N29" s="126" t="n">
        <f aca="false">1.8299*1.03</f>
        <v>1.884797</v>
      </c>
      <c r="O29" s="265" t="n">
        <f aca="false">(27.07+28.07)*1.05</f>
        <v>57.897</v>
      </c>
      <c r="P29" s="265"/>
      <c r="Q29" s="614" t="n">
        <f aca="false">1.54*1.02</f>
        <v>1.5708</v>
      </c>
      <c r="R29" s="634" t="n">
        <v>2.47</v>
      </c>
      <c r="S29" s="635" t="n">
        <v>0</v>
      </c>
      <c r="T29" s="265" t="n">
        <v>0</v>
      </c>
      <c r="U29" s="265" t="n">
        <v>0</v>
      </c>
      <c r="V29" s="265" t="n">
        <f aca="false">M29-N29-O29-Q29-R29-S29+T29+U29</f>
        <v>12.177403</v>
      </c>
      <c r="W29" s="105" t="n">
        <v>0</v>
      </c>
      <c r="X29" s="105" t="n">
        <v>0</v>
      </c>
      <c r="Y29" s="105"/>
      <c r="Z29" s="265" t="n">
        <v>0</v>
      </c>
      <c r="AA29" s="129" t="n">
        <v>1.7</v>
      </c>
      <c r="AB29" s="130" t="n">
        <v>1.3</v>
      </c>
      <c r="AC29" s="265" t="n">
        <v>49</v>
      </c>
      <c r="AD29" s="105" t="n">
        <f aca="false">AD28-AC29</f>
        <v>4459.25787748929</v>
      </c>
      <c r="AE29" s="636" t="n">
        <f aca="false">N29+O29+Q29+R29+S29+V29+Z29+AC29</f>
        <v>125</v>
      </c>
      <c r="AF29" s="265" t="n">
        <f aca="false">IF(L29&lt;0,L29*-1,0)</f>
        <v>0</v>
      </c>
      <c r="AG29" s="265" t="n">
        <f aca="false">AE29+AF29</f>
        <v>125</v>
      </c>
      <c r="AH29" s="379" t="n">
        <v>0</v>
      </c>
      <c r="AI29" s="249" t="n">
        <v>46</v>
      </c>
      <c r="AJ29" s="248" t="n">
        <v>28</v>
      </c>
      <c r="AK29" s="243" t="n">
        <f aca="false">AK28</f>
        <v>15698.7543455</v>
      </c>
      <c r="AL29" s="243"/>
      <c r="AM29" s="246" t="n">
        <v>0</v>
      </c>
      <c r="AN29" s="366" t="n">
        <v>0</v>
      </c>
      <c r="AO29" s="105"/>
    </row>
    <row r="30" customFormat="false" ht="12.95" hidden="false" customHeight="true" outlineLevel="0" collapsed="false">
      <c r="A30" s="172" t="n">
        <f aca="false">A29+1</f>
        <v>19</v>
      </c>
      <c r="B30" s="104" t="n">
        <v>6894.78</v>
      </c>
      <c r="C30" s="369" t="n">
        <v>264719</v>
      </c>
      <c r="D30" s="243" t="n">
        <f aca="false">C30-C29</f>
        <v>600</v>
      </c>
      <c r="E30" s="105" t="n">
        <f aca="false">C30-152000</f>
        <v>112719</v>
      </c>
      <c r="F30" s="264" t="n">
        <f aca="false">D30/$D$2</f>
        <v>302.495588605999</v>
      </c>
      <c r="G30" s="265" t="n">
        <v>474</v>
      </c>
      <c r="H30" s="654" t="n">
        <v>0</v>
      </c>
      <c r="I30" s="265" t="n">
        <f aca="false">G30+H30</f>
        <v>474</v>
      </c>
      <c r="J30" s="246" t="n">
        <f aca="false">IF(L30&gt;0,L30,0)</f>
        <v>0</v>
      </c>
      <c r="K30" s="265" t="n">
        <f aca="false">I30+J30</f>
        <v>474</v>
      </c>
      <c r="L30" s="265" t="n">
        <f aca="false">F30-(I30-AE30)</f>
        <v>-52.5044113940005</v>
      </c>
      <c r="M30" s="267" t="n">
        <v>70</v>
      </c>
      <c r="N30" s="126" t="n">
        <f aca="false">1.8299*1.03</f>
        <v>1.884797</v>
      </c>
      <c r="O30" s="265" t="n">
        <f aca="false">(23.66+27.53)*1.05</f>
        <v>53.7495</v>
      </c>
      <c r="P30" s="265"/>
      <c r="Q30" s="614" t="n">
        <f aca="false">1.54*1.02</f>
        <v>1.5708</v>
      </c>
      <c r="R30" s="634" t="n">
        <v>2.93</v>
      </c>
      <c r="S30" s="635" t="n">
        <v>0</v>
      </c>
      <c r="T30" s="265" t="n">
        <v>0</v>
      </c>
      <c r="U30" s="265" t="n">
        <v>0</v>
      </c>
      <c r="V30" s="265" t="n">
        <f aca="false">M30-N30-O30-Q30-R30-S30+T30+U30</f>
        <v>9.864903</v>
      </c>
      <c r="W30" s="105" t="n">
        <v>0</v>
      </c>
      <c r="X30" s="105" t="n">
        <v>0</v>
      </c>
      <c r="Y30" s="105"/>
      <c r="Z30" s="265" t="n">
        <v>0</v>
      </c>
      <c r="AA30" s="129" t="n">
        <v>1.7</v>
      </c>
      <c r="AB30" s="130" t="n">
        <v>1.3</v>
      </c>
      <c r="AC30" s="265" t="n">
        <v>49</v>
      </c>
      <c r="AD30" s="105" t="n">
        <f aca="false">AD29-AC30</f>
        <v>4410.25787748929</v>
      </c>
      <c r="AE30" s="636" t="n">
        <f aca="false">N30+O30+Q30+R30+S30+V30+Z30+AC30</f>
        <v>119</v>
      </c>
      <c r="AF30" s="265" t="n">
        <f aca="false">IF(L30&lt;0,L30*-1,0)</f>
        <v>52.5044113940005</v>
      </c>
      <c r="AG30" s="265" t="n">
        <f aca="false">AE30+AF30</f>
        <v>171.504411394001</v>
      </c>
      <c r="AH30" s="379" t="n">
        <v>0</v>
      </c>
      <c r="AI30" s="249" t="n">
        <v>52</v>
      </c>
      <c r="AJ30" s="248" t="n">
        <v>27</v>
      </c>
      <c r="AK30" s="243" t="n">
        <f aca="false">AK29</f>
        <v>15698.7543455</v>
      </c>
      <c r="AL30" s="243"/>
      <c r="AM30" s="246" t="n">
        <v>0</v>
      </c>
      <c r="AN30" s="366" t="n">
        <v>0</v>
      </c>
      <c r="AO30" s="105"/>
    </row>
    <row r="31" customFormat="false" ht="12.95" hidden="false" customHeight="true" outlineLevel="0" collapsed="false">
      <c r="A31" s="172" t="n">
        <f aca="false">A30+1</f>
        <v>20</v>
      </c>
      <c r="B31" s="104" t="n">
        <v>6894.96</v>
      </c>
      <c r="C31" s="105" t="n">
        <v>265355</v>
      </c>
      <c r="D31" s="243" t="n">
        <f aca="false">C31-C30</f>
        <v>636</v>
      </c>
      <c r="E31" s="105" t="n">
        <f aca="false">C31-152000</f>
        <v>113355</v>
      </c>
      <c r="F31" s="264" t="n">
        <f aca="false">D31/$D$2</f>
        <v>320.645323922359</v>
      </c>
      <c r="G31" s="265" t="n">
        <v>471</v>
      </c>
      <c r="H31" s="654" t="n">
        <v>0</v>
      </c>
      <c r="I31" s="265" t="n">
        <f aca="false">G31+H31</f>
        <v>471</v>
      </c>
      <c r="J31" s="246" t="n">
        <f aca="false">IF(L31&gt;0,L31,0)</f>
        <v>0</v>
      </c>
      <c r="K31" s="265" t="n">
        <f aca="false">I31+J31</f>
        <v>471</v>
      </c>
      <c r="L31" s="265" t="n">
        <f aca="false">F31-(I31-AE31)</f>
        <v>-34.3546760776405</v>
      </c>
      <c r="M31" s="267" t="n">
        <v>67</v>
      </c>
      <c r="N31" s="126" t="n">
        <f aca="false">1.8299*1.03</f>
        <v>1.884797</v>
      </c>
      <c r="O31" s="265" t="n">
        <f aca="false">(29.51+27.94)*1.05</f>
        <v>60.3225</v>
      </c>
      <c r="P31" s="265"/>
      <c r="Q31" s="614" t="n">
        <f aca="false">1.54*1.02</f>
        <v>1.5708</v>
      </c>
      <c r="R31" s="634" t="n">
        <v>4.2</v>
      </c>
      <c r="S31" s="635" t="n">
        <v>1.65</v>
      </c>
      <c r="T31" s="265" t="n">
        <v>34</v>
      </c>
      <c r="U31" s="265" t="n">
        <v>0</v>
      </c>
      <c r="V31" s="265" t="n">
        <f aca="false">M31-N31-O31-Q31-R31-S31+T31+U31-T31</f>
        <v>-2.62809700000001</v>
      </c>
      <c r="W31" s="105" t="n">
        <v>0</v>
      </c>
      <c r="X31" s="105" t="n">
        <v>0</v>
      </c>
      <c r="Y31" s="105"/>
      <c r="Z31" s="265" t="n">
        <v>0</v>
      </c>
      <c r="AA31" s="129" t="n">
        <v>1.7</v>
      </c>
      <c r="AB31" s="130" t="n">
        <v>1.3</v>
      </c>
      <c r="AC31" s="265" t="n">
        <v>49</v>
      </c>
      <c r="AD31" s="105" t="n">
        <f aca="false">AD30-AC31</f>
        <v>4361.25787748929</v>
      </c>
      <c r="AE31" s="636" t="n">
        <f aca="false">N31+O31+Q31+R31+S31+V31+Z31+AC31</f>
        <v>116</v>
      </c>
      <c r="AF31" s="265" t="n">
        <f aca="false">IF(L31&lt;0,L31*-1,0)</f>
        <v>34.3546760776405</v>
      </c>
      <c r="AG31" s="265" t="n">
        <f aca="false">AE31+AF31</f>
        <v>150.354676077641</v>
      </c>
      <c r="AH31" s="379" t="n">
        <v>0</v>
      </c>
      <c r="AI31" s="249" t="n">
        <v>56</v>
      </c>
      <c r="AJ31" s="248" t="n">
        <v>30</v>
      </c>
      <c r="AK31" s="243" t="n">
        <f aca="false">AK30</f>
        <v>15698.7543455</v>
      </c>
      <c r="AL31" s="243"/>
      <c r="AM31" s="246" t="n">
        <v>0</v>
      </c>
      <c r="AN31" s="366" t="n">
        <v>0</v>
      </c>
      <c r="AO31" s="105"/>
      <c r="AQ31" s="543" t="n">
        <f aca="false">T31*1.9835</f>
        <v>67.439</v>
      </c>
    </row>
    <row r="32" customFormat="false" ht="12.95" hidden="false" customHeight="true" outlineLevel="0" collapsed="false">
      <c r="A32" s="172" t="n">
        <f aca="false">A31+1</f>
        <v>21</v>
      </c>
      <c r="B32" s="104" t="n">
        <v>6895.16</v>
      </c>
      <c r="C32" s="105" t="n">
        <v>266065</v>
      </c>
      <c r="D32" s="243" t="n">
        <f aca="false">C32-C31</f>
        <v>710</v>
      </c>
      <c r="E32" s="105" t="n">
        <f aca="false">C32-152000</f>
        <v>114065</v>
      </c>
      <c r="F32" s="264" t="n">
        <f aca="false">D32/$D$2</f>
        <v>357.953113183766</v>
      </c>
      <c r="G32" s="265" t="n">
        <v>497</v>
      </c>
      <c r="H32" s="654" t="n">
        <v>0</v>
      </c>
      <c r="I32" s="265" t="n">
        <f aca="false">G32+H32</f>
        <v>497</v>
      </c>
      <c r="J32" s="246" t="n">
        <f aca="false">IF(L32&gt;0,L32,0)</f>
        <v>0</v>
      </c>
      <c r="K32" s="265" t="n">
        <f aca="false">I32+J32</f>
        <v>497</v>
      </c>
      <c r="L32" s="265" t="n">
        <f aca="false">F32-(I32-AE32)</f>
        <v>-28.046886816234</v>
      </c>
      <c r="M32" s="267" t="n">
        <v>62</v>
      </c>
      <c r="N32" s="126" t="n">
        <f aca="false">1.8299*1.03</f>
        <v>1.884797</v>
      </c>
      <c r="O32" s="265" t="n">
        <f aca="false">(24.81+25.41)*1.05</f>
        <v>52.731</v>
      </c>
      <c r="P32" s="265"/>
      <c r="Q32" s="614" t="n">
        <f aca="false">1.54*1.02</f>
        <v>1.5708</v>
      </c>
      <c r="R32" s="634" t="n">
        <v>4.2</v>
      </c>
      <c r="S32" s="635" t="n">
        <v>1.52</v>
      </c>
      <c r="T32" s="265" t="n">
        <v>81</v>
      </c>
      <c r="U32" s="265" t="n">
        <v>0</v>
      </c>
      <c r="V32" s="265" t="n">
        <f aca="false">M32-N32-O32-Q32-R32-S32+T32+U32-T32</f>
        <v>0.093402999999995</v>
      </c>
      <c r="W32" s="105" t="n">
        <v>0</v>
      </c>
      <c r="X32" s="105" t="n">
        <v>0</v>
      </c>
      <c r="Y32" s="105"/>
      <c r="Z32" s="265" t="n">
        <v>0</v>
      </c>
      <c r="AA32" s="129" t="n">
        <v>1.7</v>
      </c>
      <c r="AB32" s="130" t="n">
        <v>1.3</v>
      </c>
      <c r="AC32" s="265" t="n">
        <v>49</v>
      </c>
      <c r="AD32" s="105" t="n">
        <f aca="false">AD31-AC32</f>
        <v>4312.25787748929</v>
      </c>
      <c r="AE32" s="636" t="n">
        <f aca="false">N32+O32+Q32+R32+S32+V32+Z32+AC32</f>
        <v>111</v>
      </c>
      <c r="AF32" s="265" t="n">
        <f aca="false">IF(L32&lt;0,L32*-1,0)</f>
        <v>28.046886816234</v>
      </c>
      <c r="AG32" s="265" t="n">
        <f aca="false">AE32+AF32</f>
        <v>139.046886816234</v>
      </c>
      <c r="AH32" s="379" t="n">
        <v>0</v>
      </c>
      <c r="AI32" s="243" t="n">
        <v>51</v>
      </c>
      <c r="AJ32" s="248" t="n">
        <v>31</v>
      </c>
      <c r="AK32" s="243" t="n">
        <f aca="false">AK31</f>
        <v>15698.7543455</v>
      </c>
      <c r="AL32" s="243"/>
      <c r="AM32" s="246" t="n">
        <v>0</v>
      </c>
      <c r="AN32" s="366" t="n">
        <v>0</v>
      </c>
      <c r="AO32" s="105"/>
      <c r="AQ32" s="543" t="n">
        <f aca="false">AQ31+(T32*1.9835)</f>
        <v>228.1025</v>
      </c>
    </row>
    <row r="33" customFormat="false" ht="12.95" hidden="false" customHeight="true" outlineLevel="0" collapsed="false">
      <c r="A33" s="172" t="n">
        <f aca="false">A32+1</f>
        <v>22</v>
      </c>
      <c r="B33" s="104" t="n">
        <v>6895.3</v>
      </c>
      <c r="C33" s="105" t="n">
        <v>266563</v>
      </c>
      <c r="D33" s="243" t="n">
        <f aca="false">C33-C32</f>
        <v>498</v>
      </c>
      <c r="E33" s="105" t="n">
        <f aca="false">C33-152000</f>
        <v>114563</v>
      </c>
      <c r="F33" s="264" t="n">
        <f aca="false">D33/$D$2</f>
        <v>251.07133854298</v>
      </c>
      <c r="G33" s="265" t="n">
        <v>439</v>
      </c>
      <c r="H33" s="654" t="n">
        <v>0</v>
      </c>
      <c r="I33" s="265" t="n">
        <f aca="false">G33+H33</f>
        <v>439</v>
      </c>
      <c r="J33" s="246" t="n">
        <f aca="false">IF(L33&gt;0,L33,0)</f>
        <v>0</v>
      </c>
      <c r="K33" s="265" t="n">
        <f aca="false">I33+J33</f>
        <v>439</v>
      </c>
      <c r="L33" s="265" t="n">
        <f aca="false">F33-(I33-AE33)</f>
        <v>-86.9286614570204</v>
      </c>
      <c r="M33" s="267" t="n">
        <v>52</v>
      </c>
      <c r="N33" s="126" t="n">
        <f aca="false">1.8299*1.03</f>
        <v>1.884797</v>
      </c>
      <c r="O33" s="265" t="n">
        <f aca="false">(17.19+16.91)*1.05</f>
        <v>35.805</v>
      </c>
      <c r="P33" s="265"/>
      <c r="Q33" s="614" t="n">
        <f aca="false">1.54*1.02</f>
        <v>1.5708</v>
      </c>
      <c r="R33" s="634" t="n">
        <v>4.2</v>
      </c>
      <c r="S33" s="635" t="n">
        <v>0.75</v>
      </c>
      <c r="T33" s="265" t="n">
        <v>79</v>
      </c>
      <c r="U33" s="265" t="n">
        <v>0</v>
      </c>
      <c r="V33" s="265" t="n">
        <f aca="false">M33-N33-O33-Q33-R33-S33+T33+U33-T33</f>
        <v>7.78940299999999</v>
      </c>
      <c r="W33" s="105" t="n">
        <v>0</v>
      </c>
      <c r="X33" s="105" t="n">
        <v>0</v>
      </c>
      <c r="Y33" s="105"/>
      <c r="Z33" s="265" t="n">
        <v>0</v>
      </c>
      <c r="AA33" s="129" t="n">
        <v>1.7</v>
      </c>
      <c r="AB33" s="130" t="n">
        <v>1.3</v>
      </c>
      <c r="AC33" s="265" t="n">
        <v>49</v>
      </c>
      <c r="AD33" s="105" t="n">
        <f aca="false">AD32-AC33</f>
        <v>4263.25787748929</v>
      </c>
      <c r="AE33" s="636" t="n">
        <f aca="false">N33+O33+Q33+R33+S33+V33+Z33+AC33</f>
        <v>101</v>
      </c>
      <c r="AF33" s="265" t="n">
        <f aca="false">IF(L33&lt;0,L33*-1,0)</f>
        <v>86.9286614570204</v>
      </c>
      <c r="AG33" s="265" t="n">
        <f aca="false">AE33+AF33</f>
        <v>187.92866145702</v>
      </c>
      <c r="AH33" s="379" t="n">
        <v>0</v>
      </c>
      <c r="AI33" s="243" t="n">
        <v>56</v>
      </c>
      <c r="AJ33" s="248" t="n">
        <v>26</v>
      </c>
      <c r="AK33" s="243" t="n">
        <f aca="false">AK32</f>
        <v>15698.7543455</v>
      </c>
      <c r="AL33" s="243"/>
      <c r="AM33" s="246" t="n">
        <v>0</v>
      </c>
      <c r="AN33" s="366" t="n">
        <v>0</v>
      </c>
      <c r="AO33" s="105"/>
      <c r="AP33" s="655"/>
      <c r="AQ33" s="543" t="n">
        <f aca="false">AQ32+(T33*1.9835)</f>
        <v>384.799</v>
      </c>
    </row>
    <row r="34" customFormat="false" ht="12.95" hidden="false" customHeight="true" outlineLevel="0" collapsed="false">
      <c r="A34" s="172" t="n">
        <f aca="false">A33+1</f>
        <v>23</v>
      </c>
      <c r="B34" s="104" t="n">
        <v>6895.45</v>
      </c>
      <c r="C34" s="105" t="n">
        <v>267097</v>
      </c>
      <c r="D34" s="243" t="n">
        <f aca="false">C34-C33</f>
        <v>534</v>
      </c>
      <c r="E34" s="105" t="n">
        <f aca="false">C34-152000</f>
        <v>115097</v>
      </c>
      <c r="F34" s="264" t="n">
        <f aca="false">D34/$D$2</f>
        <v>269.221073859339</v>
      </c>
      <c r="G34" s="265" t="n">
        <v>428</v>
      </c>
      <c r="H34" s="654" t="n">
        <v>0</v>
      </c>
      <c r="I34" s="265" t="n">
        <f aca="false">G34+H34</f>
        <v>428</v>
      </c>
      <c r="J34" s="246" t="n">
        <f aca="false">IF(L34&gt;0,L34,0)</f>
        <v>0</v>
      </c>
      <c r="K34" s="265" t="n">
        <f aca="false">I34+J34</f>
        <v>428</v>
      </c>
      <c r="L34" s="265" t="n">
        <f aca="false">F34-(I34-AE34)</f>
        <v>-36.7789261406605</v>
      </c>
      <c r="M34" s="267" t="n">
        <v>73</v>
      </c>
      <c r="N34" s="126" t="n">
        <f aca="false">1.8299*1.03</f>
        <v>1.884797</v>
      </c>
      <c r="O34" s="265" t="n">
        <f aca="false">(18.54+33.79)*1.05</f>
        <v>54.9465</v>
      </c>
      <c r="P34" s="265"/>
      <c r="Q34" s="614" t="n">
        <f aca="false">1.54*1.02</f>
        <v>1.5708</v>
      </c>
      <c r="R34" s="634" t="n">
        <v>2.98</v>
      </c>
      <c r="S34" s="635" t="n">
        <v>0</v>
      </c>
      <c r="T34" s="265" t="n">
        <v>77</v>
      </c>
      <c r="U34" s="265" t="n">
        <v>0</v>
      </c>
      <c r="V34" s="265" t="n">
        <f aca="false">M34-N34-O34-Q34-R34-S34+T34+U34-T34</f>
        <v>11.617903</v>
      </c>
      <c r="W34" s="105" t="n">
        <v>0</v>
      </c>
      <c r="X34" s="105" t="n">
        <v>0</v>
      </c>
      <c r="Y34" s="105"/>
      <c r="Z34" s="265" t="n">
        <v>0</v>
      </c>
      <c r="AA34" s="129" t="n">
        <v>1.7</v>
      </c>
      <c r="AB34" s="130" t="n">
        <v>1.3</v>
      </c>
      <c r="AC34" s="265" t="n">
        <v>49</v>
      </c>
      <c r="AD34" s="105" t="n">
        <f aca="false">AD33-AC34</f>
        <v>4214.25787748929</v>
      </c>
      <c r="AE34" s="636" t="n">
        <f aca="false">N34+O34+Q34+R34+S34+V34+Z34+AC34</f>
        <v>122</v>
      </c>
      <c r="AF34" s="265" t="n">
        <f aca="false">IF(L34&lt;0,L34*-1,0)</f>
        <v>36.7789261406605</v>
      </c>
      <c r="AG34" s="265" t="n">
        <f aca="false">AE34+AF34</f>
        <v>158.77892614066</v>
      </c>
      <c r="AH34" s="379" t="n">
        <v>0</v>
      </c>
      <c r="AI34" s="243" t="n">
        <v>59</v>
      </c>
      <c r="AJ34" s="270" t="n">
        <v>28</v>
      </c>
      <c r="AK34" s="243" t="n">
        <f aca="false">AK33</f>
        <v>15698.7543455</v>
      </c>
      <c r="AL34" s="243"/>
      <c r="AM34" s="246" t="n">
        <v>0</v>
      </c>
      <c r="AN34" s="366" t="n">
        <v>0</v>
      </c>
      <c r="AO34" s="105"/>
      <c r="AP34" s="605" t="s">
        <v>94</v>
      </c>
      <c r="AQ34" s="543" t="n">
        <f aca="false">AQ33+(T34*1.9835)</f>
        <v>537.5285</v>
      </c>
    </row>
    <row r="35" customFormat="false" ht="12.95" hidden="false" customHeight="true" outlineLevel="0" collapsed="false">
      <c r="A35" s="172" t="n">
        <f aca="false">A34+1</f>
        <v>24</v>
      </c>
      <c r="B35" s="104" t="n">
        <v>6895.6</v>
      </c>
      <c r="C35" s="105" t="n">
        <v>267631</v>
      </c>
      <c r="D35" s="243" t="n">
        <f aca="false">C35-C34</f>
        <v>534</v>
      </c>
      <c r="E35" s="105" t="n">
        <f aca="false">C35-152000</f>
        <v>115631</v>
      </c>
      <c r="F35" s="264" t="n">
        <f aca="false">D35/$D$2</f>
        <v>269.221073859339</v>
      </c>
      <c r="G35" s="265" t="n">
        <v>415</v>
      </c>
      <c r="H35" s="654" t="n">
        <v>0</v>
      </c>
      <c r="I35" s="265" t="n">
        <f aca="false">G35+H35</f>
        <v>415</v>
      </c>
      <c r="J35" s="246" t="n">
        <f aca="false">IF(L35&gt;0,L35,0)</f>
        <v>0</v>
      </c>
      <c r="K35" s="265" t="n">
        <f aca="false">I35+J35</f>
        <v>415</v>
      </c>
      <c r="L35" s="265" t="n">
        <f aca="false">F35-(I35-AE35)</f>
        <v>-25.7789261406605</v>
      </c>
      <c r="M35" s="267" t="n">
        <v>71</v>
      </c>
      <c r="N35" s="126" t="n">
        <f aca="false">1.8299*1.03</f>
        <v>1.884797</v>
      </c>
      <c r="O35" s="265" t="n">
        <f aca="false">(22.28+32.07)*1.05</f>
        <v>57.0675</v>
      </c>
      <c r="P35" s="265"/>
      <c r="Q35" s="614" t="n">
        <f aca="false">1.54*1.02</f>
        <v>1.5708</v>
      </c>
      <c r="R35" s="634" t="n">
        <v>3.63</v>
      </c>
      <c r="S35" s="635" t="n">
        <v>0</v>
      </c>
      <c r="T35" s="265" t="n">
        <v>72</v>
      </c>
      <c r="U35" s="265" t="n">
        <v>0</v>
      </c>
      <c r="V35" s="265" t="n">
        <f aca="false">M35-N35-O35-Q35-R35-S35+T35+U35-T35</f>
        <v>6.846903</v>
      </c>
      <c r="W35" s="105" t="n">
        <v>0</v>
      </c>
      <c r="X35" s="105" t="n">
        <v>0</v>
      </c>
      <c r="Y35" s="105"/>
      <c r="Z35" s="265" t="n">
        <v>0</v>
      </c>
      <c r="AA35" s="129" t="n">
        <v>1.7</v>
      </c>
      <c r="AB35" s="130" t="n">
        <v>1.3</v>
      </c>
      <c r="AC35" s="265" t="n">
        <v>49</v>
      </c>
      <c r="AD35" s="105" t="n">
        <f aca="false">AD34-AC35</f>
        <v>4165.25787748929</v>
      </c>
      <c r="AE35" s="636" t="n">
        <f aca="false">N35+O35+Q35+R35+S35+V35+Z35+AC35</f>
        <v>120</v>
      </c>
      <c r="AF35" s="265" t="n">
        <f aca="false">IF(L35&lt;0,L35*-1,0)</f>
        <v>25.7789261406605</v>
      </c>
      <c r="AG35" s="265" t="n">
        <f aca="false">AE35+AF35</f>
        <v>145.77892614066</v>
      </c>
      <c r="AH35" s="379" t="n">
        <v>0</v>
      </c>
      <c r="AI35" s="243" t="n">
        <v>62</v>
      </c>
      <c r="AJ35" s="270" t="n">
        <v>35</v>
      </c>
      <c r="AK35" s="243" t="n">
        <f aca="false">AK34</f>
        <v>15698.7543455</v>
      </c>
      <c r="AL35" s="243"/>
      <c r="AM35" s="246" t="n">
        <v>0</v>
      </c>
      <c r="AN35" s="366" t="n">
        <v>0</v>
      </c>
      <c r="AO35" s="105"/>
      <c r="AQ35" s="543" t="n">
        <f aca="false">AQ34+(T35*1.9835)</f>
        <v>680.3405</v>
      </c>
    </row>
    <row r="36" customFormat="false" ht="12.95" hidden="false" customHeight="true" outlineLevel="0" collapsed="false">
      <c r="A36" s="172" t="n">
        <v>25</v>
      </c>
      <c r="B36" s="104" t="n">
        <v>6895.78</v>
      </c>
      <c r="C36" s="105" t="n">
        <v>268272</v>
      </c>
      <c r="D36" s="243" t="n">
        <f aca="false">C36-C35</f>
        <v>641</v>
      </c>
      <c r="E36" s="105" t="n">
        <f aca="false">C36-152000</f>
        <v>116272</v>
      </c>
      <c r="F36" s="264" t="n">
        <f aca="false">D36/$D$2</f>
        <v>323.166120494076</v>
      </c>
      <c r="G36" s="265" t="n">
        <v>410</v>
      </c>
      <c r="H36" s="654" t="n">
        <v>0</v>
      </c>
      <c r="I36" s="265" t="n">
        <f aca="false">G36+H36</f>
        <v>410</v>
      </c>
      <c r="J36" s="246" t="n">
        <f aca="false">IF(L36&gt;0,L36,0)</f>
        <v>14.1661204940761</v>
      </c>
      <c r="K36" s="265" t="n">
        <f aca="false">I36+J36</f>
        <v>424.166120494076</v>
      </c>
      <c r="L36" s="265" t="n">
        <f aca="false">F36-(I36-AE36)</f>
        <v>14.1661204940761</v>
      </c>
      <c r="M36" s="267" t="n">
        <v>51</v>
      </c>
      <c r="N36" s="126" t="n">
        <f aca="false">1.8299*1.03</f>
        <v>1.884797</v>
      </c>
      <c r="O36" s="265" t="n">
        <f aca="false">(21.7+23.3)*1.05</f>
        <v>47.25</v>
      </c>
      <c r="P36" s="265"/>
      <c r="Q36" s="614" t="n">
        <f aca="false">1.54*1.02</f>
        <v>1.5708</v>
      </c>
      <c r="R36" s="634" t="n">
        <v>2.29</v>
      </c>
      <c r="S36" s="635" t="n">
        <v>0</v>
      </c>
      <c r="T36" s="265" t="n">
        <v>73</v>
      </c>
      <c r="U36" s="265" t="n">
        <v>0</v>
      </c>
      <c r="V36" s="265" t="n">
        <f aca="false">M36-N36-O36-Q36-R36-S36+T36+U36-T36</f>
        <v>-1.995597</v>
      </c>
      <c r="W36" s="105" t="n">
        <v>0</v>
      </c>
      <c r="X36" s="105" t="n">
        <v>0</v>
      </c>
      <c r="Y36" s="105"/>
      <c r="Z36" s="265" t="n">
        <v>0</v>
      </c>
      <c r="AA36" s="129" t="n">
        <v>1.7</v>
      </c>
      <c r="AB36" s="130" t="n">
        <v>1.3</v>
      </c>
      <c r="AC36" s="265" t="n">
        <v>50</v>
      </c>
      <c r="AD36" s="105" t="n">
        <f aca="false">AD35-AC36</f>
        <v>4115.25787748929</v>
      </c>
      <c r="AE36" s="636" t="n">
        <f aca="false">N36+O36+Q36+R36+S36+V36+Z36+AC36</f>
        <v>101</v>
      </c>
      <c r="AF36" s="265" t="n">
        <f aca="false">IF(L36&lt;0,L36*-1,0)</f>
        <v>0</v>
      </c>
      <c r="AG36" s="265" t="n">
        <f aca="false">AE36+AF36</f>
        <v>101</v>
      </c>
      <c r="AH36" s="379" t="n">
        <v>0.43</v>
      </c>
      <c r="AI36" s="243" t="n">
        <v>50</v>
      </c>
      <c r="AJ36" s="270" t="n">
        <v>23</v>
      </c>
      <c r="AK36" s="243" t="n">
        <f aca="false">AK35</f>
        <v>15698.7543455</v>
      </c>
      <c r="AL36" s="243"/>
      <c r="AM36" s="246" t="n">
        <v>0</v>
      </c>
      <c r="AN36" s="366" t="n">
        <v>0</v>
      </c>
      <c r="AO36" s="105"/>
      <c r="AQ36" s="543" t="n">
        <f aca="false">AQ35+(T36*1.9835)</f>
        <v>825.136</v>
      </c>
    </row>
    <row r="37" customFormat="false" ht="12.95" hidden="false" customHeight="true" outlineLevel="0" collapsed="false">
      <c r="A37" s="172" t="n">
        <v>26</v>
      </c>
      <c r="B37" s="104" t="n">
        <v>6895.92</v>
      </c>
      <c r="C37" s="105" t="n">
        <v>268770</v>
      </c>
      <c r="D37" s="243" t="n">
        <f aca="false">C37-C36</f>
        <v>498</v>
      </c>
      <c r="E37" s="105" t="n">
        <f aca="false">C37-152000</f>
        <v>116770</v>
      </c>
      <c r="F37" s="264" t="n">
        <f aca="false">D37/$D$2</f>
        <v>251.07133854298</v>
      </c>
      <c r="G37" s="265" t="n">
        <v>391</v>
      </c>
      <c r="H37" s="654" t="n">
        <v>0</v>
      </c>
      <c r="I37" s="265" t="n">
        <f aca="false">G37+H37</f>
        <v>391</v>
      </c>
      <c r="J37" s="246" t="n">
        <f aca="false">IF(L37&gt;0,L37,0)</f>
        <v>0</v>
      </c>
      <c r="K37" s="265" t="n">
        <f aca="false">I37+J37</f>
        <v>391</v>
      </c>
      <c r="L37" s="265" t="n">
        <f aca="false">F37-(I37-AE37)</f>
        <v>-61.9286614570204</v>
      </c>
      <c r="M37" s="267" t="n">
        <v>29</v>
      </c>
      <c r="N37" s="126" t="n">
        <f aca="false">1.8299*1.03</f>
        <v>1.884797</v>
      </c>
      <c r="O37" s="265" t="n">
        <f aca="false">(17.87+18.71)*1.05</f>
        <v>38.409</v>
      </c>
      <c r="P37" s="265"/>
      <c r="Q37" s="614" t="n">
        <f aca="false">1.54*1.02</f>
        <v>1.5708</v>
      </c>
      <c r="R37" s="634" t="n">
        <v>2.9</v>
      </c>
      <c r="S37" s="635" t="n">
        <v>0</v>
      </c>
      <c r="T37" s="265" t="n">
        <v>74</v>
      </c>
      <c r="U37" s="265" t="n">
        <v>0</v>
      </c>
      <c r="V37" s="265" t="n">
        <f aca="false">M37-N37-O37-Q37-R37-S37+T37+U37-T37</f>
        <v>-15.764597</v>
      </c>
      <c r="W37" s="105" t="n">
        <v>0</v>
      </c>
      <c r="X37" s="105" t="n">
        <v>0</v>
      </c>
      <c r="Y37" s="105"/>
      <c r="Z37" s="265" t="n">
        <v>0</v>
      </c>
      <c r="AA37" s="129" t="n">
        <v>1.7</v>
      </c>
      <c r="AB37" s="130" t="n">
        <v>1.3</v>
      </c>
      <c r="AC37" s="265" t="n">
        <v>49</v>
      </c>
      <c r="AD37" s="105" t="n">
        <f aca="false">AD36-AC37</f>
        <v>4066.25787748929</v>
      </c>
      <c r="AE37" s="636" t="n">
        <f aca="false">N37+O37+Q37+R37+S37+V37+Z37+AC37</f>
        <v>78</v>
      </c>
      <c r="AF37" s="265" t="n">
        <f aca="false">IF(L37&lt;0,L37*-1,0)</f>
        <v>61.9286614570204</v>
      </c>
      <c r="AG37" s="265" t="n">
        <f aca="false">AE37+AF37</f>
        <v>139.92866145702</v>
      </c>
      <c r="AH37" s="379" t="n">
        <v>0</v>
      </c>
      <c r="AI37" s="243" t="n">
        <v>38</v>
      </c>
      <c r="AJ37" s="270" t="n">
        <v>20</v>
      </c>
      <c r="AK37" s="243" t="n">
        <f aca="false">AK36</f>
        <v>15698.7543455</v>
      </c>
      <c r="AL37" s="243"/>
      <c r="AM37" s="246" t="n">
        <v>0</v>
      </c>
      <c r="AN37" s="366" t="n">
        <v>0</v>
      </c>
      <c r="AO37" s="105"/>
      <c r="AQ37" s="543" t="n">
        <f aca="false">AQ36+(T37*1.9835)</f>
        <v>971.915</v>
      </c>
    </row>
    <row r="38" customFormat="false" ht="12.95" hidden="false" customHeight="true" outlineLevel="0" collapsed="false">
      <c r="A38" s="172" t="n">
        <v>27</v>
      </c>
      <c r="B38" s="104" t="n">
        <v>6896.02</v>
      </c>
      <c r="C38" s="105" t="n">
        <v>269126</v>
      </c>
      <c r="D38" s="243" t="n">
        <f aca="false">C38-C37</f>
        <v>356</v>
      </c>
      <c r="E38" s="105" t="n">
        <f aca="false">C38-152000</f>
        <v>117126</v>
      </c>
      <c r="F38" s="264" t="n">
        <f aca="false">D38/$D$2</f>
        <v>179.480715906226</v>
      </c>
      <c r="G38" s="265" t="n">
        <v>359</v>
      </c>
      <c r="H38" s="654" t="n">
        <v>0</v>
      </c>
      <c r="I38" s="265" t="n">
        <f aca="false">G38+H38</f>
        <v>359</v>
      </c>
      <c r="J38" s="246" t="n">
        <f aca="false">IF(L38&gt;0,L38,0)</f>
        <v>0</v>
      </c>
      <c r="K38" s="265" t="n">
        <f aca="false">I38+J38</f>
        <v>359</v>
      </c>
      <c r="L38" s="265" t="n">
        <f aca="false">F38-(I38-AE38)</f>
        <v>-121.319284093774</v>
      </c>
      <c r="M38" s="267" t="n">
        <v>9.2</v>
      </c>
      <c r="N38" s="126" t="n">
        <f aca="false">1.8299*1.03</f>
        <v>1.884797</v>
      </c>
      <c r="O38" s="265" t="n">
        <f aca="false">(13.6+13.97)*1.05</f>
        <v>28.9485</v>
      </c>
      <c r="P38" s="265"/>
      <c r="Q38" s="614" t="n">
        <f aca="false">1.54*1.02</f>
        <v>1.5708</v>
      </c>
      <c r="R38" s="634" t="n">
        <v>4.2</v>
      </c>
      <c r="S38" s="635" t="n">
        <v>0.98</v>
      </c>
      <c r="T38" s="265" t="n">
        <v>75</v>
      </c>
      <c r="U38" s="265" t="n">
        <v>0</v>
      </c>
      <c r="V38" s="265" t="n">
        <f aca="false">M38-N38-O38-Q38-R38-S38+T38+U38-T38</f>
        <v>-28.384097</v>
      </c>
      <c r="W38" s="105" t="n">
        <v>0</v>
      </c>
      <c r="X38" s="105" t="n">
        <v>0</v>
      </c>
      <c r="Y38" s="105"/>
      <c r="Z38" s="265" t="n">
        <v>0</v>
      </c>
      <c r="AA38" s="129" t="n">
        <v>1.7</v>
      </c>
      <c r="AB38" s="130" t="n">
        <v>1.3</v>
      </c>
      <c r="AC38" s="265" t="n">
        <v>49</v>
      </c>
      <c r="AD38" s="105" t="n">
        <f aca="false">AD37-AC38</f>
        <v>4017.25787748929</v>
      </c>
      <c r="AE38" s="636" t="n">
        <f aca="false">N38+O38+Q38+R38+S38+V38+Z38+AC38</f>
        <v>58.2</v>
      </c>
      <c r="AF38" s="265" t="n">
        <f aca="false">IF(L38&lt;0,L38*-1,0)</f>
        <v>121.319284093774</v>
      </c>
      <c r="AG38" s="265" t="n">
        <f aca="false">AE38+AF38</f>
        <v>179.519284093774</v>
      </c>
      <c r="AH38" s="379" t="n">
        <v>0</v>
      </c>
      <c r="AI38" s="243" t="n">
        <v>58</v>
      </c>
      <c r="AJ38" s="270" t="n">
        <v>26</v>
      </c>
      <c r="AK38" s="243" t="n">
        <f aca="false">AK37</f>
        <v>15698.7543455</v>
      </c>
      <c r="AL38" s="243"/>
      <c r="AM38" s="246" t="n">
        <v>0</v>
      </c>
      <c r="AN38" s="366" t="n">
        <v>0</v>
      </c>
      <c r="AO38" s="105"/>
      <c r="AQ38" s="543" t="n">
        <f aca="false">AQ37+(T38*1.9835)</f>
        <v>1120.6775</v>
      </c>
    </row>
    <row r="39" customFormat="false" ht="12.95" hidden="false" customHeight="true" outlineLevel="0" collapsed="false">
      <c r="A39" s="172" t="n">
        <v>28</v>
      </c>
      <c r="B39" s="104" t="n">
        <v>6896.13</v>
      </c>
      <c r="C39" s="105" t="n">
        <v>269521</v>
      </c>
      <c r="D39" s="243" t="n">
        <f aca="false">C39-C38</f>
        <v>395</v>
      </c>
      <c r="E39" s="105" t="n">
        <f aca="false">C39-152000</f>
        <v>117521</v>
      </c>
      <c r="F39" s="264" t="n">
        <f aca="false">D39/$D$2</f>
        <v>199.142929165616</v>
      </c>
      <c r="G39" s="265" t="n">
        <v>380</v>
      </c>
      <c r="H39" s="654" t="n">
        <v>0</v>
      </c>
      <c r="I39" s="265" t="n">
        <f aca="false">G39+H39</f>
        <v>380</v>
      </c>
      <c r="J39" s="246" t="n">
        <f aca="false">IF(L39&gt;0,L39,0)</f>
        <v>0</v>
      </c>
      <c r="K39" s="265" t="n">
        <f aca="false">I39+J39</f>
        <v>380</v>
      </c>
      <c r="L39" s="265" t="n">
        <f aca="false">F39-(I39-AE39)</f>
        <v>-115.857070834384</v>
      </c>
      <c r="M39" s="267" t="n">
        <v>16</v>
      </c>
      <c r="N39" s="126" t="n">
        <f aca="false">1.8299*1.03</f>
        <v>1.884797</v>
      </c>
      <c r="O39" s="265" t="n">
        <f aca="false">(8.97+11.55)*1.05</f>
        <v>21.546</v>
      </c>
      <c r="P39" s="265"/>
      <c r="Q39" s="614" t="n">
        <f aca="false">1.54*1.02</f>
        <v>1.5708</v>
      </c>
      <c r="R39" s="634" t="n">
        <v>4.2</v>
      </c>
      <c r="S39" s="635" t="n">
        <v>0.99</v>
      </c>
      <c r="T39" s="265" t="n">
        <v>75</v>
      </c>
      <c r="U39" s="265" t="n">
        <v>0</v>
      </c>
      <c r="V39" s="265" t="n">
        <f aca="false">M39-N39-O39-Q39-R39-S39+T39+U39-T39</f>
        <v>-14.191597</v>
      </c>
      <c r="W39" s="105" t="n">
        <v>0</v>
      </c>
      <c r="X39" s="105" t="n">
        <v>0</v>
      </c>
      <c r="Y39" s="105"/>
      <c r="Z39" s="265" t="n">
        <v>0</v>
      </c>
      <c r="AA39" s="129" t="n">
        <v>1.7</v>
      </c>
      <c r="AB39" s="130" t="n">
        <v>1.3</v>
      </c>
      <c r="AC39" s="265" t="n">
        <v>49</v>
      </c>
      <c r="AD39" s="105" t="n">
        <f aca="false">AD38-AC39</f>
        <v>3968.25787748929</v>
      </c>
      <c r="AE39" s="636" t="n">
        <f aca="false">N39+O39+Q39+R39+S39+V39+Z39+AC39</f>
        <v>65</v>
      </c>
      <c r="AF39" s="265" t="n">
        <f aca="false">IF(L39&lt;0,L39*-1,0)</f>
        <v>115.857070834384</v>
      </c>
      <c r="AG39" s="265" t="n">
        <f aca="false">AE39+AF39</f>
        <v>180.857070834384</v>
      </c>
      <c r="AH39" s="379" t="n">
        <v>0</v>
      </c>
      <c r="AI39" s="243" t="n">
        <v>61</v>
      </c>
      <c r="AJ39" s="270" t="n">
        <v>31</v>
      </c>
      <c r="AK39" s="243" t="n">
        <f aca="false">AK38</f>
        <v>15698.7543455</v>
      </c>
      <c r="AL39" s="243"/>
      <c r="AM39" s="246" t="n">
        <v>0</v>
      </c>
      <c r="AN39" s="366" t="n">
        <v>0</v>
      </c>
      <c r="AO39" s="105"/>
      <c r="AQ39" s="543" t="n">
        <f aca="false">AQ38+(T39*1.9835)</f>
        <v>1269.44</v>
      </c>
    </row>
    <row r="40" customFormat="false" ht="12.95" hidden="false" customHeight="true" outlineLevel="0" collapsed="false">
      <c r="A40" s="172" t="n">
        <v>29</v>
      </c>
      <c r="B40" s="104" t="n">
        <v>6896.25</v>
      </c>
      <c r="C40" s="105" t="n">
        <v>269952</v>
      </c>
      <c r="D40" s="243" t="n">
        <f aca="false">C40-C39</f>
        <v>431</v>
      </c>
      <c r="E40" s="105" t="n">
        <f aca="false">C40-152000</f>
        <v>117952</v>
      </c>
      <c r="F40" s="264" t="n">
        <f aca="false">D40/$D$2</f>
        <v>217.292664481976</v>
      </c>
      <c r="G40" s="265" t="n">
        <v>364</v>
      </c>
      <c r="H40" s="654" t="n">
        <v>0</v>
      </c>
      <c r="I40" s="265" t="n">
        <f aca="false">G40+H40</f>
        <v>364</v>
      </c>
      <c r="J40" s="246" t="n">
        <f aca="false">IF(L40&gt;0,L40,0)</f>
        <v>0</v>
      </c>
      <c r="K40" s="265" t="n">
        <f aca="false">I40+J40</f>
        <v>364</v>
      </c>
      <c r="L40" s="265" t="n">
        <f aca="false">F40-(I40-AE40)</f>
        <v>-72.7073355180237</v>
      </c>
      <c r="M40" s="267" t="n">
        <v>25</v>
      </c>
      <c r="N40" s="126" t="n">
        <f aca="false">1.8299*1.03</f>
        <v>1.884797</v>
      </c>
      <c r="O40" s="265" t="n">
        <f aca="false">(8.34+9.45)*1.05</f>
        <v>18.6795</v>
      </c>
      <c r="P40" s="265"/>
      <c r="Q40" s="614" t="n">
        <f aca="false">1.54*1.02</f>
        <v>1.5708</v>
      </c>
      <c r="R40" s="634" t="n">
        <v>3.52</v>
      </c>
      <c r="S40" s="635" t="n">
        <v>0</v>
      </c>
      <c r="T40" s="265" t="n">
        <v>75</v>
      </c>
      <c r="U40" s="265" t="n">
        <v>0</v>
      </c>
      <c r="V40" s="265" t="n">
        <f aca="false">M40-N40-O40-Q40-R40-S40+T40+U40-T40</f>
        <v>-0.655096999999998</v>
      </c>
      <c r="W40" s="105" t="n">
        <v>0</v>
      </c>
      <c r="X40" s="105" t="n">
        <v>0</v>
      </c>
      <c r="Y40" s="105"/>
      <c r="Z40" s="265" t="n">
        <v>0</v>
      </c>
      <c r="AA40" s="129" t="n">
        <v>1.7</v>
      </c>
      <c r="AB40" s="130" t="n">
        <v>1.3</v>
      </c>
      <c r="AC40" s="265" t="n">
        <v>49</v>
      </c>
      <c r="AD40" s="105" t="n">
        <f aca="false">AD39-AC40</f>
        <v>3919.25787748929</v>
      </c>
      <c r="AE40" s="636" t="n">
        <f aca="false">N40+O40+Q40+R40+S40+V40+Z40+AC40</f>
        <v>74</v>
      </c>
      <c r="AF40" s="265" t="n">
        <f aca="false">IF(L40&lt;0,L40*-1,0)</f>
        <v>72.7073355180237</v>
      </c>
      <c r="AG40" s="265" t="n">
        <f aca="false">AE40+AF40</f>
        <v>146.707335518024</v>
      </c>
      <c r="AH40" s="379" t="n">
        <v>0</v>
      </c>
      <c r="AI40" s="243" t="n">
        <v>60</v>
      </c>
      <c r="AJ40" s="270" t="n">
        <v>32</v>
      </c>
      <c r="AK40" s="243" t="n">
        <f aca="false">AK39</f>
        <v>15698.7543455</v>
      </c>
      <c r="AL40" s="243"/>
      <c r="AM40" s="246" t="n">
        <v>0</v>
      </c>
      <c r="AN40" s="366" t="n">
        <v>0</v>
      </c>
      <c r="AO40" s="105"/>
      <c r="AQ40" s="543" t="n">
        <f aca="false">AQ39+(T40*1.9835)</f>
        <v>1418.2025</v>
      </c>
    </row>
    <row r="41" customFormat="false" ht="12.95" hidden="false" customHeight="true" outlineLevel="0" collapsed="false">
      <c r="A41" s="172" t="n">
        <v>30</v>
      </c>
      <c r="B41" s="104" t="n">
        <v>6896.4</v>
      </c>
      <c r="C41" s="105" t="n">
        <v>270490</v>
      </c>
      <c r="D41" s="243" t="n">
        <f aca="false">C41-C40</f>
        <v>538</v>
      </c>
      <c r="E41" s="105" t="n">
        <f aca="false">C41-152000</f>
        <v>118490</v>
      </c>
      <c r="F41" s="264" t="n">
        <f aca="false">D41/$D$2</f>
        <v>271.237711116713</v>
      </c>
      <c r="G41" s="265" t="n">
        <v>351</v>
      </c>
      <c r="H41" s="654" t="n">
        <v>0</v>
      </c>
      <c r="I41" s="265" t="n">
        <f aca="false">G41+H41</f>
        <v>351</v>
      </c>
      <c r="J41" s="246" t="n">
        <f aca="false">IF(L41&gt;0,L41,0)</f>
        <v>0</v>
      </c>
      <c r="K41" s="265" t="n">
        <f aca="false">I41+J41</f>
        <v>351</v>
      </c>
      <c r="L41" s="265" t="n">
        <f aca="false">F41-(I41-AE41)</f>
        <v>-15.7622888832871</v>
      </c>
      <c r="M41" s="267" t="n">
        <v>14</v>
      </c>
      <c r="N41" s="126" t="n">
        <f aca="false">1.8299*1.03</f>
        <v>1.884797</v>
      </c>
      <c r="O41" s="265" t="n">
        <f aca="false">(6.22+9.46)*1.05</f>
        <v>16.464</v>
      </c>
      <c r="P41" s="265"/>
      <c r="Q41" s="614" t="n">
        <f aca="false">1.54*1.02</f>
        <v>1.5708</v>
      </c>
      <c r="R41" s="634" t="n">
        <v>2.3</v>
      </c>
      <c r="S41" s="635" t="n">
        <v>0</v>
      </c>
      <c r="T41" s="265" t="n">
        <v>75</v>
      </c>
      <c r="U41" s="265" t="n">
        <v>0</v>
      </c>
      <c r="V41" s="265" t="n">
        <f aca="false">M41-N41-O41-Q41-R41-S41+T41+U41-T41</f>
        <v>-8.21959699999999</v>
      </c>
      <c r="W41" s="105" t="n">
        <v>0</v>
      </c>
      <c r="X41" s="105" t="n">
        <v>0</v>
      </c>
      <c r="Y41" s="105"/>
      <c r="Z41" s="265" t="n">
        <v>0</v>
      </c>
      <c r="AA41" s="129" t="n">
        <v>1.7</v>
      </c>
      <c r="AB41" s="130" t="n">
        <v>1.3</v>
      </c>
      <c r="AC41" s="265" t="n">
        <v>50</v>
      </c>
      <c r="AD41" s="105" t="n">
        <f aca="false">AD40-AC41</f>
        <v>3869.25787748929</v>
      </c>
      <c r="AE41" s="636" t="n">
        <f aca="false">N41+O41+Q41+R41+S41+V41+Z41+AC41</f>
        <v>64</v>
      </c>
      <c r="AF41" s="265" t="n">
        <f aca="false">IF(L41&lt;0,L41*-1,0)</f>
        <v>15.7622888832871</v>
      </c>
      <c r="AG41" s="265" t="n">
        <f aca="false">AE41+AF41</f>
        <v>79.7622888832871</v>
      </c>
      <c r="AH41" s="379" t="n">
        <v>0</v>
      </c>
      <c r="AI41" s="243" t="n">
        <v>55</v>
      </c>
      <c r="AJ41" s="270" t="n">
        <v>30</v>
      </c>
      <c r="AK41" s="243" t="n">
        <f aca="false">AK40</f>
        <v>15698.7543455</v>
      </c>
      <c r="AL41" s="243"/>
      <c r="AM41" s="246" t="n">
        <v>0</v>
      </c>
      <c r="AN41" s="366" t="n">
        <v>0</v>
      </c>
      <c r="AO41" s="105"/>
      <c r="AQ41" s="543" t="n">
        <f aca="false">AQ40+(T41*1.9835)</f>
        <v>1566.965</v>
      </c>
    </row>
    <row r="42" customFormat="false" ht="12.95" hidden="false" customHeight="true" outlineLevel="0" collapsed="false">
      <c r="A42" s="172" t="n">
        <v>31</v>
      </c>
      <c r="B42" s="104" t="n">
        <v>6896.52</v>
      </c>
      <c r="C42" s="105" t="n">
        <v>270921</v>
      </c>
      <c r="D42" s="243" t="n">
        <f aca="false">C42-C41</f>
        <v>431</v>
      </c>
      <c r="E42" s="105" t="n">
        <f aca="false">C42-152000</f>
        <v>118921</v>
      </c>
      <c r="F42" s="264" t="n">
        <f aca="false">D42/$D$2</f>
        <v>217.292664481976</v>
      </c>
      <c r="G42" s="265" t="n">
        <v>326</v>
      </c>
      <c r="H42" s="654" t="n">
        <v>0.94</v>
      </c>
      <c r="I42" s="265" t="n">
        <f aca="false">G42+H42</f>
        <v>326.94</v>
      </c>
      <c r="J42" s="246" t="n">
        <f aca="false">IF(L42&gt;0,L42,0)</f>
        <v>0</v>
      </c>
      <c r="K42" s="265" t="n">
        <f aca="false">I42+J42</f>
        <v>326.94</v>
      </c>
      <c r="L42" s="265" t="n">
        <f aca="false">F42-(I42-AE42)</f>
        <v>-53.7473355180237</v>
      </c>
      <c r="M42" s="267" t="n">
        <v>5.9</v>
      </c>
      <c r="N42" s="126" t="n">
        <f aca="false">1.8299*1.03</f>
        <v>1.884797</v>
      </c>
      <c r="O42" s="265" t="n">
        <f aca="false">(3.54+6.34)*1.05</f>
        <v>10.374</v>
      </c>
      <c r="P42" s="265"/>
      <c r="Q42" s="614" t="n">
        <f aca="false">1.54*1.02</f>
        <v>1.5708</v>
      </c>
      <c r="R42" s="634" t="n">
        <v>1.45</v>
      </c>
      <c r="S42" s="635" t="n">
        <v>0</v>
      </c>
      <c r="T42" s="265" t="n">
        <v>54</v>
      </c>
      <c r="U42" s="265" t="n">
        <v>0</v>
      </c>
      <c r="V42" s="265" t="n">
        <f aca="false">M42-N42-O42-Q42-R42-S42+T42+U42-T42</f>
        <v>-9.379597</v>
      </c>
      <c r="W42" s="105" t="n">
        <v>0</v>
      </c>
      <c r="X42" s="105" t="n">
        <v>0</v>
      </c>
      <c r="Y42" s="105"/>
      <c r="Z42" s="265" t="n">
        <v>0</v>
      </c>
      <c r="AA42" s="267" t="n">
        <v>1.7</v>
      </c>
      <c r="AB42" s="269" t="n">
        <v>1.3</v>
      </c>
      <c r="AC42" s="265" t="n">
        <v>50</v>
      </c>
      <c r="AD42" s="105" t="n">
        <f aca="false">AD41-AC42</f>
        <v>3819.25787748929</v>
      </c>
      <c r="AE42" s="636" t="n">
        <f aca="false">N42+O42+Q42+R42+S42+V42+Z42+AC42</f>
        <v>55.9</v>
      </c>
      <c r="AF42" s="265" t="n">
        <f aca="false">IF(L42&lt;0,L42*-1,0)</f>
        <v>53.7473355180237</v>
      </c>
      <c r="AG42" s="265" t="n">
        <f aca="false">AE42+AF42</f>
        <v>109.647335518024</v>
      </c>
      <c r="AH42" s="379" t="n">
        <v>0</v>
      </c>
      <c r="AI42" s="243" t="n">
        <v>55</v>
      </c>
      <c r="AJ42" s="270" t="n">
        <v>28</v>
      </c>
      <c r="AK42" s="243" t="n">
        <f aca="false">AK41</f>
        <v>15698.7543455</v>
      </c>
      <c r="AL42" s="243"/>
      <c r="AM42" s="246" t="n">
        <v>0</v>
      </c>
      <c r="AN42" s="366" t="n">
        <v>0</v>
      </c>
      <c r="AO42" s="105"/>
      <c r="AQ42" s="543" t="n">
        <f aca="false">AQ41+(T42*1.9835)</f>
        <v>1674.074</v>
      </c>
    </row>
    <row r="43" customFormat="false" ht="3" hidden="false" customHeight="true" outlineLevel="0" collapsed="false">
      <c r="A43" s="252"/>
      <c r="B43" s="271"/>
      <c r="C43" s="254"/>
      <c r="D43" s="255"/>
      <c r="E43" s="254"/>
      <c r="F43" s="256"/>
      <c r="G43" s="255"/>
      <c r="H43" s="653"/>
      <c r="I43" s="255"/>
      <c r="J43" s="255"/>
      <c r="K43" s="255"/>
      <c r="L43" s="255"/>
      <c r="M43" s="258" t="n">
        <v>0</v>
      </c>
      <c r="N43" s="255"/>
      <c r="O43" s="255"/>
      <c r="P43" s="255"/>
      <c r="Q43" s="255"/>
      <c r="R43" s="255"/>
      <c r="S43" s="259"/>
      <c r="T43" s="255"/>
      <c r="U43" s="255" t="n">
        <v>0</v>
      </c>
      <c r="V43" s="255"/>
      <c r="W43" s="254"/>
      <c r="X43" s="254"/>
      <c r="Y43" s="254"/>
      <c r="Z43" s="255"/>
      <c r="AA43" s="258"/>
      <c r="AB43" s="259"/>
      <c r="AC43" s="255"/>
      <c r="AD43" s="255"/>
      <c r="AE43" s="255"/>
      <c r="AF43" s="255"/>
      <c r="AG43" s="255"/>
      <c r="AH43" s="527"/>
      <c r="AI43" s="262"/>
      <c r="AJ43" s="263"/>
      <c r="AK43" s="262"/>
      <c r="AL43" s="262"/>
      <c r="AM43" s="260"/>
      <c r="AN43" s="475"/>
      <c r="AO43" s="262"/>
      <c r="AP43" s="262"/>
      <c r="AQ43" s="384"/>
    </row>
    <row r="44" customFormat="false" ht="12.95" hidden="false" customHeight="true" outlineLevel="0" collapsed="false">
      <c r="A44" s="173" t="s">
        <v>76</v>
      </c>
      <c r="B44" s="241"/>
      <c r="C44" s="105"/>
      <c r="D44" s="105"/>
      <c r="E44" s="105"/>
      <c r="F44" s="242" t="n">
        <f aca="false">SUM(F12:F42)</f>
        <v>12150.2394756743</v>
      </c>
      <c r="G44" s="105" t="n">
        <f aca="false">SUM(G12:G42)</f>
        <v>17256</v>
      </c>
      <c r="H44" s="243" t="n">
        <f aca="false">SUM(H12:H42)</f>
        <v>0.95</v>
      </c>
      <c r="I44" s="105" t="n">
        <f aca="false">SUM(I12:I42)</f>
        <v>17256.95</v>
      </c>
      <c r="J44" s="105" t="n">
        <f aca="false">SUM(J12:J42)</f>
        <v>1228.34931434333</v>
      </c>
      <c r="K44" s="105" t="n">
        <f aca="false">SUM(K12:K42)</f>
        <v>18485.2993143433</v>
      </c>
      <c r="L44" s="105" t="n">
        <f aca="false">SUM(L12:L42)</f>
        <v>261.589475674313</v>
      </c>
      <c r="M44" s="244" t="n">
        <f aca="false">SUM(M12:M42)</f>
        <v>2024.1</v>
      </c>
      <c r="N44" s="105" t="n">
        <f aca="false">SUM(N12:N42)</f>
        <v>58.428707</v>
      </c>
      <c r="O44" s="105" t="n">
        <f aca="false">SUM(O12:O42)</f>
        <v>1202.0505</v>
      </c>
      <c r="P44" s="105" t="n">
        <f aca="false">SUM(P12:P42)</f>
        <v>0</v>
      </c>
      <c r="Q44" s="105" t="n">
        <f aca="false">SUM(Q12:Q42)</f>
        <v>48.6948</v>
      </c>
      <c r="R44" s="105" t="n">
        <f aca="false">SUM(R12:R42)</f>
        <v>112.3</v>
      </c>
      <c r="S44" s="245" t="n">
        <f aca="false">SUM(S12:S42)</f>
        <v>16.25</v>
      </c>
      <c r="T44" s="105" t="n">
        <f aca="false">SUM(T12:T42)</f>
        <v>1965</v>
      </c>
      <c r="U44" s="105" t="n">
        <f aca="false">SUM(U12:U42)</f>
        <v>533.2</v>
      </c>
      <c r="V44" s="105" t="n">
        <f aca="false">SUM(V12:V42)</f>
        <v>2240.575993</v>
      </c>
      <c r="W44" s="105"/>
      <c r="X44" s="105"/>
      <c r="Y44" s="105"/>
      <c r="Z44" s="105" t="n">
        <f aca="false">SUM(Z12:Z42)</f>
        <v>21</v>
      </c>
      <c r="AA44" s="244"/>
      <c r="AB44" s="245"/>
      <c r="AC44" s="105" t="n">
        <f aca="false">SUM(AC12:AC42)</f>
        <v>1669</v>
      </c>
      <c r="AD44" s="105"/>
      <c r="AE44" s="105" t="n">
        <f aca="false">SUM(AE12:AE42)</f>
        <v>5368.3</v>
      </c>
      <c r="AF44" s="105" t="n">
        <f aca="false">SUM(AF12:AF42)</f>
        <v>966.759838669019</v>
      </c>
      <c r="AG44" s="105" t="n">
        <f aca="false">SUM(AG12:AG42)</f>
        <v>6335.05983866902</v>
      </c>
      <c r="AH44" s="379" t="n">
        <f aca="false">SUM(AH12:AH42)</f>
        <v>3.39</v>
      </c>
      <c r="AI44" s="243" t="n">
        <f aca="false">AVERAGE(AI12:AI42)</f>
        <v>58.1935483870968</v>
      </c>
      <c r="AJ44" s="248" t="n">
        <f aca="false">AVERAGE(AJ12:AJ42)</f>
        <v>35.7096774193548</v>
      </c>
      <c r="AK44" s="243" t="s">
        <v>108</v>
      </c>
      <c r="AL44" s="105" t="n">
        <f aca="false">SUM(AL12:AL42)</f>
        <v>0</v>
      </c>
      <c r="AM44" s="246"/>
      <c r="AN44" s="366"/>
      <c r="AO44" s="243" t="n">
        <f aca="false">SUM(AO12:AO42)</f>
        <v>0</v>
      </c>
    </row>
    <row r="45" customFormat="false" ht="12.95" hidden="false" customHeight="true" outlineLevel="0" collapsed="false">
      <c r="A45" s="173" t="s">
        <v>78</v>
      </c>
      <c r="B45" s="241"/>
      <c r="C45" s="105"/>
      <c r="D45" s="105" t="n">
        <f aca="false">SUM(D12:D42)</f>
        <v>24100</v>
      </c>
      <c r="E45" s="105"/>
      <c r="F45" s="242" t="n">
        <f aca="false">F44*$D$2</f>
        <v>24100</v>
      </c>
      <c r="G45" s="105" t="n">
        <f aca="false">G44*$D$2</f>
        <v>34227.276</v>
      </c>
      <c r="H45" s="243" t="n">
        <f aca="false">H44*$D$2</f>
        <v>1.884325</v>
      </c>
      <c r="I45" s="105" t="n">
        <f aca="false">I44*$D$2</f>
        <v>34229.160325</v>
      </c>
      <c r="J45" s="105" t="n">
        <f aca="false">J44*$D$2</f>
        <v>2436.430865</v>
      </c>
      <c r="K45" s="105" t="n">
        <f aca="false">K44*$D$2</f>
        <v>36665.59119</v>
      </c>
      <c r="L45" s="105" t="n">
        <f aca="false">L44*$D$2</f>
        <v>518.862724999999</v>
      </c>
      <c r="M45" s="244" t="n">
        <f aca="false">M44*$D$2</f>
        <v>4014.80235</v>
      </c>
      <c r="N45" s="105" t="n">
        <f aca="false">N44*$D$2</f>
        <v>115.8933403345</v>
      </c>
      <c r="O45" s="105" t="n">
        <f aca="false">O44*$D$2</f>
        <v>2384.26716675</v>
      </c>
      <c r="P45" s="105" t="n">
        <f aca="false">P44*$D$2</f>
        <v>0</v>
      </c>
      <c r="Q45" s="105" t="n">
        <f aca="false">Q44*$D$2</f>
        <v>96.5861358</v>
      </c>
      <c r="R45" s="105" t="n">
        <f aca="false">R44*$D$2</f>
        <v>222.74705</v>
      </c>
      <c r="S45" s="245" t="n">
        <f aca="false">S44*$D$2</f>
        <v>32.231875</v>
      </c>
      <c r="T45" s="105" t="n">
        <f aca="false">T44*$D$2</f>
        <v>3897.5775</v>
      </c>
      <c r="U45" s="105" t="n">
        <f aca="false">U44*$D$2</f>
        <v>1057.6022</v>
      </c>
      <c r="V45" s="105" t="n">
        <f aca="false">V44*$D$2</f>
        <v>4444.1824821155</v>
      </c>
      <c r="W45" s="105"/>
      <c r="X45" s="105"/>
      <c r="Y45" s="105"/>
      <c r="Z45" s="105" t="n">
        <f aca="false">Z44*$D$2</f>
        <v>41.6535</v>
      </c>
      <c r="AA45" s="244"/>
      <c r="AB45" s="245"/>
      <c r="AC45" s="105" t="n">
        <f aca="false">AC44*$D$2</f>
        <v>3310.4615</v>
      </c>
      <c r="AD45" s="105"/>
      <c r="AE45" s="105" t="n">
        <f aca="false">AE44*$D$2</f>
        <v>10648.02305</v>
      </c>
      <c r="AF45" s="105" t="n">
        <f aca="false">AF44*$D$2</f>
        <v>1917.56814</v>
      </c>
      <c r="AG45" s="105" t="n">
        <f aca="false">AG44*$D$2</f>
        <v>12565.59119</v>
      </c>
      <c r="AH45" s="379"/>
      <c r="AI45" s="243" t="n">
        <f aca="false">MAX(AI12:AI42)</f>
        <v>75</v>
      </c>
      <c r="AJ45" s="248" t="n">
        <f aca="false">MAX(AJ12:AJ42)</f>
        <v>50</v>
      </c>
      <c r="AK45" s="243" t="s">
        <v>79</v>
      </c>
      <c r="AL45" s="105" t="n">
        <f aca="false">AL44*$D$2</f>
        <v>0</v>
      </c>
      <c r="AM45" s="246"/>
      <c r="AN45" s="366" t="n">
        <f aca="false">SUM(AN12:AN42)</f>
        <v>2.13215911622155E-006</v>
      </c>
      <c r="AO45" s="243" t="n">
        <f aca="false">AO44*$D$2</f>
        <v>0</v>
      </c>
    </row>
    <row r="46" customFormat="false" ht="3" hidden="false" customHeight="true" outlineLevel="0" collapsed="false">
      <c r="A46" s="274"/>
      <c r="B46" s="271"/>
      <c r="C46" s="254"/>
      <c r="D46" s="254"/>
      <c r="E46" s="254"/>
      <c r="F46" s="275"/>
      <c r="G46" s="254"/>
      <c r="H46" s="262"/>
      <c r="I46" s="254"/>
      <c r="J46" s="254"/>
      <c r="K46" s="254"/>
      <c r="L46" s="254"/>
      <c r="M46" s="276"/>
      <c r="N46" s="254"/>
      <c r="O46" s="254"/>
      <c r="P46" s="254"/>
      <c r="Q46" s="254"/>
      <c r="R46" s="254"/>
      <c r="S46" s="277"/>
      <c r="T46" s="254"/>
      <c r="U46" s="254"/>
      <c r="V46" s="254"/>
      <c r="W46" s="254"/>
      <c r="X46" s="254"/>
      <c r="Y46" s="254"/>
      <c r="Z46" s="254"/>
      <c r="AA46" s="276"/>
      <c r="AB46" s="277"/>
      <c r="AC46" s="254"/>
      <c r="AD46" s="255"/>
      <c r="AE46" s="254"/>
      <c r="AF46" s="254"/>
      <c r="AG46" s="254"/>
      <c r="AH46" s="278"/>
      <c r="AI46" s="254"/>
      <c r="AJ46" s="275"/>
      <c r="AK46" s="254"/>
      <c r="AL46" s="254"/>
      <c r="AM46" s="260"/>
      <c r="AN46" s="475"/>
      <c r="AO46" s="262"/>
      <c r="AP46" s="262"/>
      <c r="AQ46" s="384"/>
    </row>
    <row r="47" customFormat="false" ht="12.95" hidden="false" customHeight="true" outlineLevel="0" collapsed="false">
      <c r="A47" s="173" t="s">
        <v>80</v>
      </c>
      <c r="B47" s="241"/>
      <c r="C47" s="105"/>
      <c r="D47" s="105"/>
      <c r="E47" s="105"/>
      <c r="F47" s="242" t="n">
        <f aca="false">F9+F44</f>
        <v>-10017.1414166877</v>
      </c>
      <c r="G47" s="105" t="n">
        <f aca="false">G9+G44</f>
        <v>102420</v>
      </c>
      <c r="H47" s="243" t="n">
        <f aca="false">H9+H44</f>
        <v>1002.98</v>
      </c>
      <c r="I47" s="105" t="n">
        <f aca="false">I9+I44</f>
        <v>103422.98</v>
      </c>
      <c r="J47" s="105" t="n">
        <f aca="false">J9+J44</f>
        <v>6071.31046196118</v>
      </c>
      <c r="K47" s="105" t="n">
        <f aca="false">K9+K44</f>
        <v>109494.290461961</v>
      </c>
      <c r="L47" s="105" t="n">
        <f aca="false">L9+L44</f>
        <v>-4363.68581668767</v>
      </c>
      <c r="M47" s="244" t="n">
        <f aca="false">M9+M44</f>
        <v>40287.1</v>
      </c>
      <c r="N47" s="105" t="n">
        <f aca="false">N9+N44</f>
        <v>403.073129</v>
      </c>
      <c r="O47" s="105" t="n">
        <f aca="false">O9+O44</f>
        <v>14086.8</v>
      </c>
      <c r="P47" s="105" t="n">
        <f aca="false">P9+P44</f>
        <v>2.2644</v>
      </c>
      <c r="Q47" s="105"/>
      <c r="R47" s="105"/>
      <c r="S47" s="245"/>
      <c r="T47" s="105" t="n">
        <f aca="false">T9+T44</f>
        <v>22248</v>
      </c>
      <c r="U47" s="105" t="n">
        <f aca="false">U9+U44</f>
        <v>11823</v>
      </c>
      <c r="V47" s="105" t="n">
        <f aca="false">V9+V44</f>
        <v>58996.847471</v>
      </c>
      <c r="W47" s="105"/>
      <c r="X47" s="105"/>
      <c r="Y47" s="105"/>
      <c r="Z47" s="105" t="n">
        <f aca="false">Z9+Z44</f>
        <v>23293.6</v>
      </c>
      <c r="AA47" s="244"/>
      <c r="AB47" s="245"/>
      <c r="AC47" s="105"/>
      <c r="AD47" s="105"/>
      <c r="AE47" s="105" t="n">
        <f aca="false">AE9+AE44</f>
        <v>109076.4356</v>
      </c>
      <c r="AF47" s="105" t="n">
        <f aca="false">AF9+AF44</f>
        <v>10434.9962786489</v>
      </c>
      <c r="AG47" s="105" t="n">
        <f aca="false">AG9+AG44</f>
        <v>119511.431878649</v>
      </c>
      <c r="AH47" s="379"/>
      <c r="AI47" s="243" t="n">
        <f aca="false">MIN(AI12:AI42)</f>
        <v>38</v>
      </c>
      <c r="AJ47" s="248" t="n">
        <f aca="false">MIN(AJ12:AJ42)</f>
        <v>20</v>
      </c>
      <c r="AK47" s="243" t="s">
        <v>81</v>
      </c>
      <c r="AL47" s="243"/>
      <c r="AM47" s="246"/>
      <c r="AN47" s="366"/>
      <c r="AO47" s="243" t="n">
        <f aca="false">AO9+AO44</f>
        <v>995.07</v>
      </c>
      <c r="AP47" s="243" t="n">
        <f aca="false">AP9+AP44</f>
        <v>0</v>
      </c>
    </row>
    <row r="48" customFormat="false" ht="12.95" hidden="false" customHeight="true" outlineLevel="0" collapsed="false">
      <c r="A48" s="173" t="s">
        <v>82</v>
      </c>
      <c r="B48" s="241"/>
      <c r="C48" s="105"/>
      <c r="D48" s="105"/>
      <c r="E48" s="105"/>
      <c r="F48" s="242" t="n">
        <f aca="false">F47*$D$2</f>
        <v>-19869</v>
      </c>
      <c r="G48" s="105" t="n">
        <f aca="false">G47*$D$2</f>
        <v>203150.07</v>
      </c>
      <c r="H48" s="243" t="n">
        <f aca="false">H47*$D$2</f>
        <v>1989.41083</v>
      </c>
      <c r="I48" s="105" t="n">
        <f aca="false">I47*$D$2</f>
        <v>205139.48083</v>
      </c>
      <c r="J48" s="105" t="n">
        <f aca="false">J47*$D$2</f>
        <v>12042.4443013</v>
      </c>
      <c r="K48" s="105" t="n">
        <f aca="false">K47*$D$2</f>
        <v>217181.9251313</v>
      </c>
      <c r="L48" s="105" t="n">
        <f aca="false">L47*$D$2</f>
        <v>-8655.3708174</v>
      </c>
      <c r="M48" s="244" t="n">
        <f aca="false">M47*$D$2</f>
        <v>79909.46285</v>
      </c>
      <c r="N48" s="105" t="n">
        <f aca="false">N47*$D$2</f>
        <v>799.4955513715</v>
      </c>
      <c r="O48" s="105" t="n">
        <f aca="false">O47*$D$2</f>
        <v>27941.1678</v>
      </c>
      <c r="P48" s="105" t="n">
        <f aca="false">P47*$D$2</f>
        <v>4.4914374</v>
      </c>
      <c r="Q48" s="105"/>
      <c r="R48" s="105"/>
      <c r="S48" s="245"/>
      <c r="T48" s="105" t="n">
        <f aca="false">T47*$D$2</f>
        <v>44128.908</v>
      </c>
      <c r="U48" s="105" t="n">
        <f aca="false">U47*$D$2</f>
        <v>23450.9205</v>
      </c>
      <c r="V48" s="105" t="n">
        <f aca="false">V47*$D$2</f>
        <v>117020.246958729</v>
      </c>
      <c r="W48" s="105"/>
      <c r="X48" s="105"/>
      <c r="Y48" s="105"/>
      <c r="Z48" s="105" t="n">
        <f aca="false">Z47*$D$2</f>
        <v>46202.8556</v>
      </c>
      <c r="AA48" s="244"/>
      <c r="AB48" s="245"/>
      <c r="AC48" s="105"/>
      <c r="AD48" s="105"/>
      <c r="AE48" s="105" t="n">
        <f aca="false">AE47*$D$2</f>
        <v>216353.1100126</v>
      </c>
      <c r="AF48" s="105" t="n">
        <f aca="false">AF47*$D$2</f>
        <v>20697.8151187</v>
      </c>
      <c r="AG48" s="105" t="n">
        <f aca="false">AG47*$D$2</f>
        <v>237050.9251313</v>
      </c>
      <c r="AH48" s="379"/>
      <c r="AI48" s="243"/>
      <c r="AJ48" s="248"/>
      <c r="AK48" s="243"/>
      <c r="AL48" s="243"/>
      <c r="AM48" s="246"/>
      <c r="AN48" s="366" t="n">
        <f aca="false">AN9+AN45</f>
        <v>922.45702760578</v>
      </c>
      <c r="AO48" s="243" t="n">
        <f aca="false">AO47*$D$2</f>
        <v>1973.721345</v>
      </c>
      <c r="AP48" s="243" t="n">
        <f aca="false">AP47*$D$2</f>
        <v>0</v>
      </c>
    </row>
    <row r="49" customFormat="false" ht="3" hidden="false" customHeight="true" outlineLevel="0" collapsed="false">
      <c r="A49" s="274"/>
      <c r="B49" s="271"/>
      <c r="C49" s="254"/>
      <c r="D49" s="254"/>
      <c r="E49" s="254"/>
      <c r="F49" s="275"/>
      <c r="G49" s="254"/>
      <c r="H49" s="262"/>
      <c r="I49" s="254"/>
      <c r="J49" s="254"/>
      <c r="K49" s="254"/>
      <c r="L49" s="254"/>
      <c r="M49" s="276"/>
      <c r="N49" s="254"/>
      <c r="O49" s="254"/>
      <c r="P49" s="254"/>
      <c r="Q49" s="254"/>
      <c r="R49" s="254"/>
      <c r="S49" s="277"/>
      <c r="T49" s="254"/>
      <c r="U49" s="254"/>
      <c r="V49" s="254"/>
      <c r="W49" s="254"/>
      <c r="X49" s="254"/>
      <c r="Y49" s="254"/>
      <c r="Z49" s="254"/>
      <c r="AA49" s="276"/>
      <c r="AB49" s="277"/>
      <c r="AC49" s="254"/>
      <c r="AD49" s="254"/>
      <c r="AE49" s="254"/>
      <c r="AF49" s="254"/>
      <c r="AG49" s="254"/>
      <c r="AH49" s="527"/>
      <c r="AI49" s="475"/>
      <c r="AJ49" s="656"/>
      <c r="AK49" s="475"/>
      <c r="AL49" s="475"/>
      <c r="AM49" s="260"/>
      <c r="AN49" s="475"/>
      <c r="AO49" s="262"/>
      <c r="AP49" s="262"/>
      <c r="AQ49" s="384"/>
    </row>
    <row r="50" customFormat="false" ht="12.95" hidden="false" customHeight="true" outlineLevel="0" collapsed="false">
      <c r="A50" s="173" t="s">
        <v>83</v>
      </c>
      <c r="B50" s="241"/>
      <c r="C50" s="105"/>
      <c r="D50" s="105"/>
      <c r="E50" s="105"/>
      <c r="F50" s="242" t="n">
        <f aca="false">F10+F44</f>
        <v>-14344.8449710108</v>
      </c>
      <c r="G50" s="105" t="n">
        <f aca="false">G10+G44</f>
        <v>110072</v>
      </c>
      <c r="H50" s="243" t="n">
        <f aca="false">H10+H44</f>
        <v>1225.803</v>
      </c>
      <c r="I50" s="105" t="n">
        <f aca="false">I10+I44</f>
        <v>111297.803</v>
      </c>
      <c r="J50" s="105" t="n">
        <f aca="false">J10+J44</f>
        <v>7603.49884613058</v>
      </c>
      <c r="K50" s="105" t="n">
        <f aca="false">K10+K44</f>
        <v>118901.301846131</v>
      </c>
      <c r="L50" s="105" t="n">
        <f aca="false">L10+L44</f>
        <v>-4049.20237101084</v>
      </c>
      <c r="M50" s="244" t="n">
        <f aca="false">M10+M44</f>
        <v>41579.7</v>
      </c>
      <c r="N50" s="105" t="n">
        <f aca="false">N10+N44</f>
        <v>403.073129</v>
      </c>
      <c r="O50" s="105" t="n">
        <f aca="false">O10+O44</f>
        <v>14086.8</v>
      </c>
      <c r="P50" s="105"/>
      <c r="Q50" s="105" t="n">
        <f aca="false">Q10+Q44</f>
        <v>680.7684</v>
      </c>
      <c r="R50" s="243" t="n">
        <f aca="false">R10+R44</f>
        <v>1271.8048</v>
      </c>
      <c r="S50" s="245" t="n">
        <f aca="false">S10+S44</f>
        <v>502.45</v>
      </c>
      <c r="T50" s="105" t="n">
        <f aca="false">T10+T44</f>
        <v>29429.94</v>
      </c>
      <c r="U50" s="105" t="n">
        <f aca="false">U10+U44</f>
        <v>11974.47</v>
      </c>
      <c r="V50" s="105" t="n">
        <f aca="false">V10+V44</f>
        <v>66884.749271</v>
      </c>
      <c r="W50" s="105"/>
      <c r="X50" s="105"/>
      <c r="Y50" s="105"/>
      <c r="Z50" s="105"/>
      <c r="AA50" s="244"/>
      <c r="AB50" s="245"/>
      <c r="AC50" s="105" t="n">
        <f aca="false">AC10+AC44</f>
        <v>16103</v>
      </c>
      <c r="AD50" s="105" t="n">
        <f aca="false">AD42</f>
        <v>3819.25787748929</v>
      </c>
      <c r="AE50" s="105" t="n">
        <f aca="false">AE10+AE44</f>
        <v>121593.4456</v>
      </c>
      <c r="AF50" s="105" t="n">
        <f aca="false">AF10+AF44</f>
        <v>11652.7012171414</v>
      </c>
      <c r="AG50" s="105" t="n">
        <f aca="false">AG10+AG44</f>
        <v>133246.146817141</v>
      </c>
      <c r="AH50" s="526" t="n">
        <f aca="false">AH10+AH44</f>
        <v>16.6</v>
      </c>
      <c r="AI50" s="243"/>
      <c r="AJ50" s="248"/>
      <c r="AK50" s="243"/>
      <c r="AL50" s="105" t="n">
        <f aca="false">AL10+AL44</f>
        <v>236.546271401</v>
      </c>
      <c r="AM50" s="246"/>
      <c r="AN50" s="366"/>
      <c r="AO50" s="243" t="n">
        <f aca="false">AO10+AO44</f>
        <v>0</v>
      </c>
      <c r="AP50" s="243"/>
    </row>
    <row r="51" customFormat="false" ht="12.95" hidden="false" customHeight="true" outlineLevel="0" collapsed="false">
      <c r="A51" s="173" t="s">
        <v>84</v>
      </c>
      <c r="B51" s="241"/>
      <c r="C51" s="105"/>
      <c r="D51" s="105" t="n">
        <f aca="false">D10+D45</f>
        <v>-28453</v>
      </c>
      <c r="E51" s="105" t="n">
        <f aca="false">E42</f>
        <v>118921</v>
      </c>
      <c r="F51" s="242" t="n">
        <f aca="false">F50*$D$2</f>
        <v>-28453</v>
      </c>
      <c r="G51" s="105" t="n">
        <f aca="false">G50*$D$2</f>
        <v>218327.812</v>
      </c>
      <c r="H51" s="243" t="n">
        <f aca="false">H50*$D$2</f>
        <v>2431.3802505</v>
      </c>
      <c r="I51" s="105" t="n">
        <f aca="false">I50*$D$2</f>
        <v>220759.1922505</v>
      </c>
      <c r="J51" s="105" t="n">
        <f aca="false">J50*$D$2</f>
        <v>15081.5399613</v>
      </c>
      <c r="K51" s="105" t="n">
        <f aca="false">K50*$D$2</f>
        <v>235840.7322118</v>
      </c>
      <c r="L51" s="105" t="n">
        <f aca="false">L50*$D$2</f>
        <v>-8031.5929029</v>
      </c>
      <c r="M51" s="244" t="n">
        <f aca="false">M50*$D$2</f>
        <v>82473.33495</v>
      </c>
      <c r="N51" s="105" t="n">
        <f aca="false">N50*$D$2</f>
        <v>799.4955513715</v>
      </c>
      <c r="O51" s="105" t="n">
        <f aca="false">O50*$D$2</f>
        <v>27941.1678</v>
      </c>
      <c r="P51" s="105"/>
      <c r="Q51" s="243" t="n">
        <f aca="false">Q50*$D$2</f>
        <v>1350.3041214</v>
      </c>
      <c r="R51" s="243" t="n">
        <f aca="false">R50*$D$2</f>
        <v>2522.6248208</v>
      </c>
      <c r="S51" s="251" t="n">
        <f aca="false">S50*$D$2</f>
        <v>996.609575</v>
      </c>
      <c r="T51" s="105" t="n">
        <f aca="false">T50*$D$2</f>
        <v>58374.28599</v>
      </c>
      <c r="U51" s="105" t="n">
        <f aca="false">U50*$D$2</f>
        <v>23751.361245</v>
      </c>
      <c r="V51" s="105" t="n">
        <f aca="false">V50*$D$2</f>
        <v>132665.900179028</v>
      </c>
      <c r="W51" s="105"/>
      <c r="X51" s="105"/>
      <c r="Y51" s="105"/>
      <c r="Z51" s="105"/>
      <c r="AA51" s="281"/>
      <c r="AB51" s="251"/>
      <c r="AC51" s="105" t="n">
        <f aca="false">AC50*$D$2</f>
        <v>31940.3005</v>
      </c>
      <c r="AD51" s="105" t="n">
        <f aca="false">AD50*$D$2</f>
        <v>7575.498</v>
      </c>
      <c r="AE51" s="105" t="n">
        <f aca="false">AE50*$D$2</f>
        <v>241180.5993476</v>
      </c>
      <c r="AF51" s="105" t="n">
        <f aca="false">AF50*$D$2</f>
        <v>23113.1328642</v>
      </c>
      <c r="AG51" s="105" t="n">
        <f aca="false">AG50*$D$2</f>
        <v>264293.7322118</v>
      </c>
      <c r="AH51" s="379"/>
      <c r="AI51" s="243"/>
      <c r="AJ51" s="248"/>
      <c r="AK51" s="243" t="n">
        <f aca="false">AK42</f>
        <v>15698.7543455</v>
      </c>
      <c r="AL51" s="105" t="n">
        <f aca="false">AL50*$D$2</f>
        <v>469.189529323884</v>
      </c>
      <c r="AM51" s="246"/>
      <c r="AN51" s="366" t="n">
        <f aca="false">AN10+AN45</f>
        <v>922.45702760578</v>
      </c>
      <c r="AO51" s="243" t="n">
        <f aca="false">AO50*$D$2</f>
        <v>0</v>
      </c>
      <c r="AP51" s="243"/>
    </row>
    <row r="52" customFormat="false" ht="3" hidden="false" customHeight="true" outlineLevel="0" collapsed="false">
      <c r="A52" s="252"/>
      <c r="B52" s="332"/>
      <c r="C52" s="319"/>
      <c r="D52" s="252"/>
      <c r="E52" s="319"/>
      <c r="F52" s="320"/>
      <c r="G52" s="252"/>
      <c r="H52" s="657"/>
      <c r="I52" s="252"/>
      <c r="J52" s="252"/>
      <c r="K52" s="252"/>
      <c r="L52" s="252"/>
      <c r="M52" s="536"/>
      <c r="N52" s="252"/>
      <c r="O52" s="252"/>
      <c r="P52" s="252"/>
      <c r="Q52" s="252"/>
      <c r="R52" s="323"/>
      <c r="S52" s="252"/>
      <c r="T52" s="252"/>
      <c r="U52" s="252"/>
      <c r="V52" s="252"/>
      <c r="W52" s="319"/>
      <c r="X52" s="319"/>
      <c r="Y52" s="319"/>
      <c r="Z52" s="252"/>
      <c r="AA52" s="258"/>
      <c r="AB52" s="259"/>
      <c r="AC52" s="252"/>
      <c r="AD52" s="319"/>
      <c r="AE52" s="252"/>
      <c r="AF52" s="252"/>
      <c r="AG52" s="252"/>
      <c r="AH52" s="332"/>
      <c r="AI52" s="252"/>
      <c r="AJ52" s="320"/>
      <c r="AK52" s="252"/>
      <c r="AL52" s="252"/>
      <c r="AM52" s="535"/>
      <c r="AN52" s="598"/>
      <c r="AO52" s="252"/>
      <c r="AP52" s="252"/>
      <c r="AQ52" s="341"/>
    </row>
    <row r="53" customFormat="false" ht="11.1" hidden="false" customHeight="true" outlineLevel="0" collapsed="false">
      <c r="A53" s="284"/>
      <c r="B53" s="284"/>
      <c r="C53" s="165"/>
      <c r="D53" s="284"/>
      <c r="E53" s="165"/>
      <c r="F53" s="284"/>
      <c r="G53" s="166"/>
      <c r="H53" s="658"/>
      <c r="I53" s="154"/>
      <c r="J53" s="284"/>
      <c r="K53" s="284"/>
      <c r="L53" s="284"/>
      <c r="M53" s="168"/>
      <c r="N53" s="9"/>
      <c r="O53" s="168"/>
      <c r="P53" s="168"/>
      <c r="Q53" s="168"/>
      <c r="R53" s="284"/>
      <c r="S53" s="284"/>
      <c r="T53" s="284"/>
      <c r="U53" s="284"/>
      <c r="V53" s="0"/>
      <c r="W53" s="165"/>
      <c r="X53" s="165"/>
      <c r="Y53" s="165"/>
      <c r="Z53" s="159"/>
      <c r="AA53" s="159"/>
      <c r="AB53" s="159"/>
      <c r="AC53" s="165"/>
      <c r="AD53" s="284"/>
      <c r="AE53" s="284"/>
      <c r="AF53" s="284"/>
      <c r="AG53" s="169"/>
      <c r="AH53" s="170"/>
      <c r="AI53" s="171"/>
      <c r="AJ53" s="172"/>
      <c r="AK53" s="342"/>
      <c r="AL53" s="342"/>
      <c r="AM53" s="541"/>
      <c r="AN53" s="458"/>
    </row>
    <row r="54" customFormat="false" ht="11.1" hidden="false" customHeight="true" outlineLevel="0" collapsed="false">
      <c r="A54" s="164"/>
      <c r="B54" s="602"/>
      <c r="C54" s="9"/>
      <c r="D54" s="153"/>
      <c r="E54" s="488"/>
      <c r="F54" s="512"/>
      <c r="G54" s="0"/>
      <c r="H54" s="659"/>
      <c r="I54" s="10"/>
      <c r="J54" s="8"/>
      <c r="K54" s="154"/>
      <c r="L54" s="8"/>
      <c r="M54" s="8"/>
      <c r="N54" s="8" t="s">
        <v>136</v>
      </c>
      <c r="O54" s="8"/>
      <c r="P54" s="8"/>
      <c r="Q54" s="14"/>
      <c r="R54" s="398"/>
      <c r="S54" s="398"/>
      <c r="T54" s="513"/>
      <c r="U54" s="125"/>
      <c r="V54" s="514"/>
      <c r="W54" s="165"/>
      <c r="X54" s="228"/>
      <c r="Y54" s="228"/>
      <c r="Z54" s="37"/>
      <c r="AA54" s="37"/>
      <c r="AB54" s="37"/>
      <c r="AC54" s="8"/>
      <c r="AD54" s="9"/>
      <c r="AE54" s="9"/>
      <c r="AF54" s="164"/>
      <c r="AG54" s="169"/>
      <c r="AH54" s="171"/>
      <c r="AI54" s="171"/>
      <c r="AJ54" s="171"/>
      <c r="AK54" s="603"/>
      <c r="AL54" s="603"/>
      <c r="AM54" s="541"/>
      <c r="AN54" s="601"/>
      <c r="AO54" s="543"/>
    </row>
    <row r="55" customFormat="false" ht="11.1" hidden="false" customHeight="true" outlineLevel="0" collapsed="false">
      <c r="A55" s="284"/>
      <c r="B55" s="165"/>
      <c r="E55" s="488"/>
      <c r="F55" s="489"/>
      <c r="G55" s="0"/>
      <c r="H55" s="659"/>
      <c r="I55" s="153"/>
      <c r="J55" s="153"/>
      <c r="K55" s="515"/>
      <c r="L55" s="123"/>
      <c r="M55" s="123"/>
      <c r="N55" s="123"/>
      <c r="O55" s="37" t="n">
        <f aca="false">24517+3400</f>
        <v>27917</v>
      </c>
      <c r="P55" s="37"/>
      <c r="Q55" s="604"/>
      <c r="R55" s="398"/>
      <c r="S55" s="398"/>
      <c r="T55" s="513"/>
      <c r="U55" s="125"/>
      <c r="V55" s="91"/>
      <c r="W55" s="165"/>
      <c r="X55" s="165"/>
      <c r="Y55" s="165"/>
      <c r="Z55" s="165"/>
      <c r="AA55" s="165"/>
      <c r="AB55" s="165"/>
      <c r="AC55" s="9"/>
      <c r="AD55" s="513"/>
      <c r="AE55" s="513"/>
      <c r="AF55" s="284"/>
      <c r="AG55" s="169"/>
      <c r="AH55" s="171"/>
      <c r="AI55" s="171"/>
      <c r="AJ55" s="172"/>
      <c r="AK55" s="342"/>
      <c r="AL55" s="342"/>
      <c r="AM55" s="541"/>
      <c r="AO55" s="543"/>
    </row>
    <row r="56" customFormat="false" ht="11.1" hidden="false" customHeight="true" outlineLevel="0" collapsed="false">
      <c r="A56" s="284"/>
      <c r="B56" s="284"/>
      <c r="C56" s="165"/>
      <c r="D56" s="165"/>
      <c r="E56" s="488"/>
      <c r="F56" s="0"/>
      <c r="G56" s="0"/>
      <c r="H56" s="228"/>
      <c r="I56" s="0"/>
      <c r="J56" s="153"/>
      <c r="K56" s="515"/>
      <c r="L56" s="171"/>
      <c r="M56" s="123"/>
      <c r="N56" s="123" t="s">
        <v>128</v>
      </c>
      <c r="O56" s="165" t="n">
        <f aca="false">O51</f>
        <v>27941.1678</v>
      </c>
      <c r="P56" s="165"/>
      <c r="Q56" s="169"/>
      <c r="R56" s="398"/>
      <c r="S56" s="398"/>
      <c r="T56" s="457"/>
      <c r="U56" s="457"/>
      <c r="V56" s="91"/>
      <c r="W56" s="171"/>
      <c r="X56" s="171"/>
      <c r="Y56" s="171"/>
      <c r="Z56" s="165"/>
      <c r="AA56" s="165"/>
      <c r="AB56" s="165"/>
      <c r="AC56" s="9"/>
      <c r="AD56" s="165"/>
      <c r="AE56" s="165"/>
      <c r="AF56" s="284"/>
      <c r="AG56" s="491"/>
      <c r="AH56" s="171"/>
      <c r="AI56" s="171"/>
      <c r="AJ56" s="172"/>
      <c r="AK56" s="342"/>
      <c r="AL56" s="342"/>
      <c r="AM56" s="541"/>
      <c r="AO56" s="543"/>
    </row>
    <row r="57" customFormat="false" ht="11.1" hidden="false" customHeight="true" outlineLevel="0" collapsed="false">
      <c r="A57" s="284"/>
      <c r="B57" s="284"/>
      <c r="C57" s="165"/>
      <c r="D57" s="284"/>
      <c r="E57" s="165"/>
      <c r="F57" s="284"/>
      <c r="G57" s="285"/>
      <c r="H57" s="231"/>
      <c r="I57" s="284"/>
      <c r="J57" s="284"/>
      <c r="K57" s="284"/>
      <c r="L57" s="284"/>
      <c r="M57" s="168"/>
      <c r="N57" s="168" t="s">
        <v>129</v>
      </c>
      <c r="O57" s="646" t="n">
        <f aca="false">O55-O56</f>
        <v>-24.1678000000029</v>
      </c>
      <c r="P57" s="168"/>
      <c r="Q57" s="169"/>
      <c r="R57" s="169"/>
      <c r="S57" s="169"/>
      <c r="T57" s="284"/>
      <c r="U57" s="284"/>
      <c r="V57" s="0"/>
      <c r="W57" s="165"/>
      <c r="X57" s="165"/>
      <c r="Y57" s="165"/>
      <c r="AC57" s="165"/>
      <c r="AD57" s="284"/>
      <c r="AE57" s="284"/>
      <c r="AF57" s="284"/>
      <c r="AG57" s="169"/>
      <c r="AH57" s="170"/>
      <c r="AI57" s="171"/>
      <c r="AJ57" s="172"/>
      <c r="AK57" s="342"/>
      <c r="AL57" s="342"/>
      <c r="AM57" s="541"/>
      <c r="AO57" s="543"/>
    </row>
    <row r="58" customFormat="false" ht="11.1" hidden="false" customHeight="true" outlineLevel="0" collapsed="false">
      <c r="H58" s="658"/>
      <c r="Q58" s="160"/>
      <c r="R58" s="160"/>
      <c r="S58" s="160"/>
      <c r="T58" s="605"/>
      <c r="U58" s="156"/>
      <c r="V58" s="165"/>
      <c r="W58" s="165"/>
      <c r="X58" s="165"/>
      <c r="Y58" s="165"/>
      <c r="AC58" s="157"/>
      <c r="AE58" s="156"/>
      <c r="AF58" s="156"/>
      <c r="AG58" s="160"/>
      <c r="AH58" s="158"/>
      <c r="AI58" s="161"/>
      <c r="AJ58" s="162"/>
      <c r="AK58" s="606"/>
      <c r="AL58" s="606"/>
      <c r="AO58" s="543"/>
    </row>
    <row r="59" customFormat="false" ht="11.1" hidden="false" customHeight="true" outlineLevel="0" collapsed="false">
      <c r="H59" s="658"/>
      <c r="Q59" s="159"/>
      <c r="U59" s="156"/>
      <c r="V59" s="157"/>
      <c r="X59" s="156"/>
      <c r="Y59" s="156"/>
      <c r="AC59" s="157"/>
      <c r="AE59" s="156"/>
      <c r="AF59" s="156"/>
      <c r="AG59" s="160"/>
      <c r="AH59" s="158"/>
      <c r="AI59" s="161"/>
      <c r="AJ59" s="162"/>
      <c r="AN59" s="458"/>
    </row>
  </sheetData>
  <mergeCells count="2">
    <mergeCell ref="K2:Y2"/>
    <mergeCell ref="M5:S5"/>
  </mergeCells>
  <printOptions headings="true" gridLines="true" gridLinesSet="true" horizontalCentered="true" verticalCentered="false"/>
  <pageMargins left="0.25" right="0.25" top="0.25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7" man="true" max="16383" min="0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1997-11-03T15:03:40Z</dcterms:created>
  <dc:creator>JOHN PORTER</dc:creator>
  <dc:description/>
  <dc:language>en-US</dc:language>
  <cp:lastModifiedBy>LaVon Millard</cp:lastModifiedBy>
  <cp:lastPrinted>2012-12-02T12:59:44Z</cp:lastPrinted>
  <dcterms:modified xsi:type="dcterms:W3CDTF">2012-12-02T13:00:19Z</dcterms:modified>
  <cp:revision>0</cp:revision>
  <dc:subject>MCPHEE IN/OUT FLOW</dc:subject>
  <dc:title>RIVER</dc:title>
</cp:coreProperties>
</file>